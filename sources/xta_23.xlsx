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brella_dev\Desktop\22-23 bakalavr\"/>
    </mc:Choice>
  </mc:AlternateContent>
  <bookViews>
    <workbookView xWindow="0" yWindow="0" windowWidth="28800" windowHeight="12330" tabRatio="776" firstSheet="2" activeTab="2"/>
  </bookViews>
  <sheets>
    <sheet name="Xorijiy til va adabiyoti " sheetId="11" state="hidden" r:id="rId1"/>
    <sheet name="Kechki 2" sheetId="15" state="hidden" r:id="rId2"/>
    <sheet name="XTA (Nizomiy tayanch O'R)" sheetId="16" r:id="rId3"/>
    <sheet name="Kechki 2 (Nizomiy)" sheetId="17" r:id="rId4"/>
    <sheet name="Лист2" sheetId="18" r:id="rId5"/>
  </sheets>
  <definedNames>
    <definedName name="_xlnm._FilterDatabase" localSheetId="0" hidden="1">'Xorijiy til va adabiyoti '!$A$33:$ER$80</definedName>
    <definedName name="_xlnm._FilterDatabase" localSheetId="2" hidden="1">'XTA (Nizomiy tayanch O''R)'!$A$32:$EY$90</definedName>
    <definedName name="_xlnm.Print_Area" localSheetId="1">'Kechki 2'!$A$1:$FC$112</definedName>
    <definedName name="_xlnm.Print_Area" localSheetId="3">'Kechki 2 (Nizomiy)'!$A$1:$FI$121</definedName>
    <definedName name="_xlnm.Print_Area" localSheetId="0">'Xorijiy til va adabiyoti '!$A$1:$ER$109</definedName>
    <definedName name="_xlnm.Print_Area" localSheetId="2">'XTA (Nizomiy tayanch O''R)'!$A$1:$EY$120</definedName>
  </definedNames>
  <calcPr calcId="162913"/>
</workbook>
</file>

<file path=xl/calcChain.xml><?xml version="1.0" encoding="utf-8"?>
<calcChain xmlns="http://schemas.openxmlformats.org/spreadsheetml/2006/main">
  <c r="EZ29" i="17" l="1"/>
  <c r="EP29" i="17"/>
  <c r="EF29" i="17"/>
  <c r="DV29" i="17"/>
  <c r="DL29" i="17"/>
  <c r="HU21" i="17" l="1"/>
  <c r="AF105" i="17" s="1"/>
  <c r="HW21" i="17"/>
  <c r="AF108" i="17" s="1"/>
  <c r="HY21" i="17"/>
  <c r="AF111" i="17" s="1"/>
  <c r="IA21" i="17"/>
  <c r="AF106" i="17" s="1"/>
  <c r="IC21" i="17"/>
  <c r="AF109" i="17" s="1"/>
  <c r="IE21" i="17"/>
  <c r="AF110" i="17" s="1"/>
  <c r="HS20" i="17"/>
  <c r="AF112" i="17" l="1"/>
  <c r="IG20" i="17"/>
  <c r="HS19" i="17"/>
  <c r="HS18" i="17"/>
  <c r="IG18" i="17" s="1"/>
  <c r="HS17" i="17"/>
  <c r="IG17" i="17" s="1"/>
  <c r="HS16" i="17"/>
  <c r="IG16" i="17" s="1"/>
  <c r="HS21" i="17" l="1"/>
  <c r="IG19" i="17"/>
  <c r="IG21" i="17" s="1"/>
  <c r="AJ82" i="17" l="1"/>
  <c r="FE82" i="17"/>
  <c r="Z82" i="17" s="1"/>
  <c r="AJ84" i="17"/>
  <c r="FE84" i="17"/>
  <c r="Z84" i="17" s="1"/>
  <c r="Z78" i="16"/>
  <c r="AJ78" i="16"/>
  <c r="EU78" i="16"/>
  <c r="EU79" i="16"/>
  <c r="BN84" i="17" l="1"/>
  <c r="BN82" i="17"/>
  <c r="BN78" i="16"/>
  <c r="AJ60" i="17"/>
  <c r="FE60" i="17"/>
  <c r="Z60" i="17" s="1"/>
  <c r="BN60" i="17" l="1"/>
  <c r="AJ62" i="17"/>
  <c r="FE62" i="17"/>
  <c r="Z62" i="17" s="1"/>
  <c r="AJ64" i="17"/>
  <c r="FE64" i="17"/>
  <c r="Z64" i="17" s="1"/>
  <c r="AJ66" i="17"/>
  <c r="FE66" i="17"/>
  <c r="Z66" i="17" s="1"/>
  <c r="AJ68" i="17"/>
  <c r="FE68" i="17"/>
  <c r="Z68" i="17" s="1"/>
  <c r="AJ70" i="17"/>
  <c r="FE70" i="17"/>
  <c r="Z70" i="17" s="1"/>
  <c r="BN68" i="17" l="1"/>
  <c r="BN64" i="17"/>
  <c r="BN66" i="17"/>
  <c r="BN70" i="17"/>
  <c r="BN62" i="17"/>
  <c r="EZ95" i="17"/>
  <c r="EU95" i="17"/>
  <c r="EP95" i="17"/>
  <c r="EK95" i="17"/>
  <c r="EF95" i="17"/>
  <c r="EA95" i="17"/>
  <c r="DV95" i="17"/>
  <c r="DQ95" i="17"/>
  <c r="DL95" i="17"/>
  <c r="DG95" i="17"/>
  <c r="DB95" i="17"/>
  <c r="CW95" i="17"/>
  <c r="CR95" i="17"/>
  <c r="CM95" i="17"/>
  <c r="CH95" i="17"/>
  <c r="CC95" i="17"/>
  <c r="BX95" i="17"/>
  <c r="BS95" i="17"/>
  <c r="BN95" i="17"/>
  <c r="BI95" i="17"/>
  <c r="BD95" i="17"/>
  <c r="AY95" i="17"/>
  <c r="AT95" i="17"/>
  <c r="AO95" i="17"/>
  <c r="AJ95" i="17"/>
  <c r="FE94" i="17"/>
  <c r="Z94" i="17" s="1"/>
  <c r="FE93" i="17"/>
  <c r="Z93" i="17" s="1"/>
  <c r="FE90" i="17"/>
  <c r="Z90" i="17" s="1"/>
  <c r="AJ90" i="17"/>
  <c r="FE88" i="17"/>
  <c r="Z88" i="17" s="1"/>
  <c r="AJ88" i="17"/>
  <c r="FE86" i="17"/>
  <c r="Z86" i="17" s="1"/>
  <c r="AJ86" i="17"/>
  <c r="FE80" i="17"/>
  <c r="Z80" i="17" s="1"/>
  <c r="AJ80" i="17"/>
  <c r="FE78" i="17"/>
  <c r="Z78" i="17" s="1"/>
  <c r="AJ78" i="17"/>
  <c r="FE76" i="17"/>
  <c r="Z76" i="17" s="1"/>
  <c r="AJ76" i="17"/>
  <c r="FE74" i="17"/>
  <c r="Z74" i="17" s="1"/>
  <c r="AJ74" i="17"/>
  <c r="FE72" i="17"/>
  <c r="Z72" i="17" s="1"/>
  <c r="AJ72" i="17"/>
  <c r="FE58" i="17"/>
  <c r="Z58" i="17" s="1"/>
  <c r="AJ58" i="17"/>
  <c r="FE56" i="17"/>
  <c r="Z56" i="17" s="1"/>
  <c r="AJ56" i="17"/>
  <c r="FE55" i="17"/>
  <c r="FE54" i="17"/>
  <c r="Z54" i="17" s="1"/>
  <c r="AJ54" i="17"/>
  <c r="EZ53" i="17"/>
  <c r="EU53" i="17"/>
  <c r="EP53" i="17"/>
  <c r="EK53" i="17"/>
  <c r="EF53" i="17"/>
  <c r="EA53" i="17"/>
  <c r="DV53" i="17"/>
  <c r="DQ53" i="17"/>
  <c r="DL53" i="17"/>
  <c r="DG53" i="17"/>
  <c r="DB53" i="17"/>
  <c r="CW53" i="17"/>
  <c r="CR53" i="17"/>
  <c r="CM53" i="17"/>
  <c r="CH53" i="17"/>
  <c r="CC53" i="17"/>
  <c r="BX53" i="17"/>
  <c r="BS53" i="17"/>
  <c r="BI53" i="17"/>
  <c r="BD53" i="17"/>
  <c r="AY53" i="17"/>
  <c r="AT53" i="17"/>
  <c r="AO53" i="17"/>
  <c r="FE52" i="17"/>
  <c r="Z52" i="17" s="1"/>
  <c r="AJ52" i="17"/>
  <c r="FE51" i="17"/>
  <c r="Z51" i="17" s="1"/>
  <c r="AJ51" i="17"/>
  <c r="FE50" i="17"/>
  <c r="Z50" i="17" s="1"/>
  <c r="AJ50" i="17"/>
  <c r="FE49" i="17"/>
  <c r="Z49" i="17" s="1"/>
  <c r="AJ49" i="17"/>
  <c r="FE48" i="17"/>
  <c r="Z48" i="17" s="1"/>
  <c r="AJ48" i="17"/>
  <c r="FE47" i="17"/>
  <c r="Z47" i="17" s="1"/>
  <c r="AJ47" i="17"/>
  <c r="FE46" i="17"/>
  <c r="Z46" i="17" s="1"/>
  <c r="AJ46" i="17"/>
  <c r="FE45" i="17"/>
  <c r="Z45" i="17" s="1"/>
  <c r="AJ45" i="17"/>
  <c r="FE44" i="17"/>
  <c r="Z44" i="17" s="1"/>
  <c r="AJ44" i="17"/>
  <c r="FE43" i="17"/>
  <c r="Z43" i="17" s="1"/>
  <c r="AJ43" i="17"/>
  <c r="FE42" i="17"/>
  <c r="Z42" i="17" s="1"/>
  <c r="AJ42" i="17"/>
  <c r="FE41" i="17"/>
  <c r="Z41" i="17" s="1"/>
  <c r="AJ41" i="17"/>
  <c r="FE40" i="17"/>
  <c r="Z40" i="17" s="1"/>
  <c r="AJ40" i="17"/>
  <c r="FE39" i="17"/>
  <c r="Z39" i="17" s="1"/>
  <c r="AJ39" i="17"/>
  <c r="FE38" i="17"/>
  <c r="Z38" i="17" s="1"/>
  <c r="AJ38" i="17"/>
  <c r="FE37" i="17"/>
  <c r="Z37" i="17" s="1"/>
  <c r="AJ37" i="17"/>
  <c r="FE36" i="17"/>
  <c r="Z36" i="17" s="1"/>
  <c r="AJ36" i="17"/>
  <c r="EZ35" i="17"/>
  <c r="EU35" i="17"/>
  <c r="EP35" i="17"/>
  <c r="EK35" i="17"/>
  <c r="EF35" i="17"/>
  <c r="EA35" i="17"/>
  <c r="DV35" i="17"/>
  <c r="DQ35" i="17"/>
  <c r="DL35" i="17"/>
  <c r="DG35" i="17"/>
  <c r="DB35" i="17"/>
  <c r="CW35" i="17"/>
  <c r="CR35" i="17"/>
  <c r="CM35" i="17"/>
  <c r="CH35" i="17"/>
  <c r="CC35" i="17"/>
  <c r="BX35" i="17"/>
  <c r="BS35" i="17"/>
  <c r="BI35" i="17"/>
  <c r="BD35" i="17"/>
  <c r="AY35" i="17"/>
  <c r="AT35" i="17"/>
  <c r="AO35" i="17"/>
  <c r="BN88" i="17" l="1"/>
  <c r="BN74" i="17"/>
  <c r="BN72" i="17"/>
  <c r="BN86" i="17"/>
  <c r="BN90" i="17"/>
  <c r="BN39" i="17"/>
  <c r="BN80" i="17"/>
  <c r="BN58" i="17"/>
  <c r="DB92" i="17"/>
  <c r="EP92" i="17"/>
  <c r="EP96" i="17" s="1"/>
  <c r="EP33" i="17" s="1"/>
  <c r="BN76" i="17"/>
  <c r="AJ53" i="17"/>
  <c r="BN50" i="17"/>
  <c r="BN78" i="17"/>
  <c r="BN42" i="17"/>
  <c r="BN46" i="17"/>
  <c r="AY92" i="17"/>
  <c r="AY96" i="17" s="1"/>
  <c r="CR92" i="17"/>
  <c r="EF92" i="17"/>
  <c r="EF96" i="17" s="1"/>
  <c r="EF33" i="17" s="1"/>
  <c r="FE53" i="17"/>
  <c r="BD92" i="17"/>
  <c r="BD96" i="17" s="1"/>
  <c r="CW92" i="17"/>
  <c r="EK92" i="17"/>
  <c r="EK96" i="17" s="1"/>
  <c r="EK33" i="17" s="1"/>
  <c r="Z95" i="17"/>
  <c r="BI92" i="17"/>
  <c r="BI96" i="17" s="1"/>
  <c r="BN56" i="17"/>
  <c r="BS92" i="17"/>
  <c r="DG92" i="17"/>
  <c r="EU92" i="17"/>
  <c r="EU96" i="17" s="1"/>
  <c r="EU33" i="17" s="1"/>
  <c r="FE95" i="17"/>
  <c r="BX92" i="17"/>
  <c r="DL92" i="17"/>
  <c r="DL96" i="17" s="1"/>
  <c r="DL33" i="17" s="1"/>
  <c r="EZ92" i="17"/>
  <c r="EZ96" i="17" s="1"/>
  <c r="EZ33" i="17" s="1"/>
  <c r="CC92" i="17"/>
  <c r="DQ92" i="17"/>
  <c r="DQ96" i="17" s="1"/>
  <c r="DQ33" i="17" s="1"/>
  <c r="AO92" i="17"/>
  <c r="AO96" i="17" s="1"/>
  <c r="CH92" i="17"/>
  <c r="DV92" i="17"/>
  <c r="DV96" i="17" s="1"/>
  <c r="DV33" i="17" s="1"/>
  <c r="AT92" i="17"/>
  <c r="AT96" i="17" s="1"/>
  <c r="CM92" i="17"/>
  <c r="EA92" i="17"/>
  <c r="EA96" i="17" s="1"/>
  <c r="EA33" i="17" s="1"/>
  <c r="DB96" i="17"/>
  <c r="BS96" i="17"/>
  <c r="DG96" i="17"/>
  <c r="BX96" i="17"/>
  <c r="CC96" i="17"/>
  <c r="CH96" i="17"/>
  <c r="BN44" i="17"/>
  <c r="BN52" i="17"/>
  <c r="BN37" i="17"/>
  <c r="BN51" i="17"/>
  <c r="BN41" i="17"/>
  <c r="BN48" i="17"/>
  <c r="BN38" i="17"/>
  <c r="BN45" i="17"/>
  <c r="AJ35" i="17"/>
  <c r="BN49" i="17"/>
  <c r="BN43" i="17"/>
  <c r="BN40" i="17"/>
  <c r="BN47" i="17"/>
  <c r="Z53" i="17"/>
  <c r="Z35" i="17"/>
  <c r="BN36" i="17"/>
  <c r="CM96" i="17"/>
  <c r="CR96" i="17"/>
  <c r="CW96" i="17"/>
  <c r="BN54" i="17"/>
  <c r="FE35" i="17"/>
  <c r="Z80" i="16"/>
  <c r="AJ80" i="16"/>
  <c r="EU80" i="16"/>
  <c r="EU81" i="16"/>
  <c r="Z82" i="16"/>
  <c r="AJ82" i="16"/>
  <c r="EU82" i="16"/>
  <c r="EU83" i="16"/>
  <c r="BN53" i="17" l="1"/>
  <c r="AJ92" i="17"/>
  <c r="AJ96" i="17" s="1"/>
  <c r="FE92" i="17"/>
  <c r="FE96" i="17" s="1"/>
  <c r="Z92" i="17"/>
  <c r="BN35" i="17"/>
  <c r="FE33" i="17"/>
  <c r="Z96" i="17"/>
  <c r="AE35" i="17" s="1"/>
  <c r="BN80" i="16"/>
  <c r="BN82" i="16"/>
  <c r="Z68" i="16"/>
  <c r="AJ68" i="16"/>
  <c r="EU68" i="16"/>
  <c r="EU69" i="16"/>
  <c r="Z70" i="16"/>
  <c r="AJ70" i="16"/>
  <c r="EU70" i="16"/>
  <c r="EU71" i="16"/>
  <c r="Z72" i="16"/>
  <c r="AJ72" i="16"/>
  <c r="EU72" i="16"/>
  <c r="EU73" i="16"/>
  <c r="Z74" i="16"/>
  <c r="AJ74" i="16"/>
  <c r="EU74" i="16"/>
  <c r="EU75" i="16"/>
  <c r="Z76" i="16"/>
  <c r="AJ76" i="16"/>
  <c r="EU76" i="16"/>
  <c r="EU77" i="16"/>
  <c r="Z50" i="16"/>
  <c r="EU50" i="16"/>
  <c r="EP93" i="16"/>
  <c r="EK93" i="16"/>
  <c r="EF93" i="16"/>
  <c r="EA93" i="16"/>
  <c r="DV93" i="16"/>
  <c r="DQ93" i="16"/>
  <c r="DL93" i="16"/>
  <c r="DG93" i="16"/>
  <c r="DB93" i="16"/>
  <c r="CW93" i="16"/>
  <c r="CR93" i="16"/>
  <c r="CM93" i="16"/>
  <c r="CH93" i="16"/>
  <c r="CC93" i="16"/>
  <c r="BX93" i="16"/>
  <c r="BS93" i="16"/>
  <c r="AJ93" i="16"/>
  <c r="EU92" i="16"/>
  <c r="Z92" i="16"/>
  <c r="BN92" i="16" s="1"/>
  <c r="EU91" i="16"/>
  <c r="Z91" i="16"/>
  <c r="BN91" i="16" s="1"/>
  <c r="EU89" i="16"/>
  <c r="EU88" i="16"/>
  <c r="AJ88" i="16"/>
  <c r="Z88" i="16"/>
  <c r="EU87" i="16"/>
  <c r="EU86" i="16"/>
  <c r="AJ86" i="16"/>
  <c r="Z86" i="16"/>
  <c r="EU85" i="16"/>
  <c r="EU84" i="16"/>
  <c r="AJ84" i="16"/>
  <c r="Z84" i="16"/>
  <c r="EU67" i="16"/>
  <c r="EU66" i="16"/>
  <c r="AJ66" i="16"/>
  <c r="Z66" i="16"/>
  <c r="EU65" i="16"/>
  <c r="EU64" i="16"/>
  <c r="AJ64" i="16"/>
  <c r="Z64" i="16"/>
  <c r="EU63" i="16"/>
  <c r="EU62" i="16"/>
  <c r="AJ62" i="16"/>
  <c r="Z62" i="16"/>
  <c r="BN62" i="16" s="1"/>
  <c r="EU61" i="16"/>
  <c r="EU60" i="16"/>
  <c r="AJ60" i="16"/>
  <c r="Z60" i="16"/>
  <c r="EU59" i="16"/>
  <c r="EU58" i="16"/>
  <c r="AJ58" i="16"/>
  <c r="Z58" i="16"/>
  <c r="BN58" i="16" s="1"/>
  <c r="EU57" i="16"/>
  <c r="EU56" i="16"/>
  <c r="AJ56" i="16"/>
  <c r="Z56" i="16"/>
  <c r="EU55" i="16"/>
  <c r="EU54" i="16"/>
  <c r="AJ54" i="16"/>
  <c r="Z54" i="16"/>
  <c r="BN54" i="16" s="1"/>
  <c r="EU53" i="16"/>
  <c r="EU52" i="16"/>
  <c r="AJ52" i="16"/>
  <c r="Z52" i="16"/>
  <c r="EP51" i="16"/>
  <c r="EK51" i="16"/>
  <c r="EF51" i="16"/>
  <c r="EA51" i="16"/>
  <c r="DV51" i="16"/>
  <c r="DQ51" i="16"/>
  <c r="DL51" i="16"/>
  <c r="DG51" i="16"/>
  <c r="DB51" i="16"/>
  <c r="CW51" i="16"/>
  <c r="CR51" i="16"/>
  <c r="CM51" i="16"/>
  <c r="CH51" i="16"/>
  <c r="CC51" i="16"/>
  <c r="BX51" i="16"/>
  <c r="BS51" i="16"/>
  <c r="BI51" i="16"/>
  <c r="BD51" i="16"/>
  <c r="AY51" i="16"/>
  <c r="AT51" i="16"/>
  <c r="AO51" i="16"/>
  <c r="EU49" i="16"/>
  <c r="AJ49" i="16"/>
  <c r="Z49" i="16"/>
  <c r="EU48" i="16"/>
  <c r="AJ48" i="16"/>
  <c r="Z48" i="16"/>
  <c r="EU47" i="16"/>
  <c r="AJ47" i="16"/>
  <c r="Z47" i="16"/>
  <c r="EU46" i="16"/>
  <c r="AJ46" i="16"/>
  <c r="Z46" i="16"/>
  <c r="EU45" i="16"/>
  <c r="AJ45" i="16"/>
  <c r="Z45" i="16"/>
  <c r="EU44" i="16"/>
  <c r="AJ44" i="16"/>
  <c r="Z44" i="16"/>
  <c r="EU43" i="16"/>
  <c r="AJ43" i="16"/>
  <c r="Z43" i="16"/>
  <c r="EU42" i="16"/>
  <c r="AJ42" i="16"/>
  <c r="Z42" i="16"/>
  <c r="EU41" i="16"/>
  <c r="AJ41" i="16"/>
  <c r="Z41" i="16"/>
  <c r="EU40" i="16"/>
  <c r="AJ40" i="16"/>
  <c r="Z40" i="16"/>
  <c r="EU39" i="16"/>
  <c r="AJ39" i="16"/>
  <c r="Z39" i="16"/>
  <c r="EU38" i="16"/>
  <c r="AJ38" i="16"/>
  <c r="Z38" i="16"/>
  <c r="EU37" i="16"/>
  <c r="AJ37" i="16"/>
  <c r="Z37" i="16"/>
  <c r="EU36" i="16"/>
  <c r="AJ36" i="16"/>
  <c r="Z36" i="16"/>
  <c r="EU35" i="16"/>
  <c r="AJ35" i="16"/>
  <c r="Z35" i="16"/>
  <c r="EU34" i="16"/>
  <c r="AJ34" i="16"/>
  <c r="Z34" i="16"/>
  <c r="EP33" i="16"/>
  <c r="EK33" i="16"/>
  <c r="EF33" i="16"/>
  <c r="EA33" i="16"/>
  <c r="DV33" i="16"/>
  <c r="DQ33" i="16"/>
  <c r="DL33" i="16"/>
  <c r="DG33" i="16"/>
  <c r="DB33" i="16"/>
  <c r="CW33" i="16"/>
  <c r="CR33" i="16"/>
  <c r="CM33" i="16"/>
  <c r="CH33" i="16"/>
  <c r="CC33" i="16"/>
  <c r="BX33" i="16"/>
  <c r="BS33" i="16"/>
  <c r="BI33" i="16"/>
  <c r="BD33" i="16"/>
  <c r="AY33" i="16"/>
  <c r="AT33" i="16"/>
  <c r="AO33" i="16"/>
  <c r="HS19" i="16"/>
  <c r="AF109" i="16" s="1"/>
  <c r="HQ19" i="16"/>
  <c r="AF105" i="16" s="1"/>
  <c r="HO19" i="16"/>
  <c r="AF108" i="16" s="1"/>
  <c r="HM19" i="16"/>
  <c r="AF106" i="16" s="1"/>
  <c r="HK19" i="16"/>
  <c r="AF110" i="16" s="1"/>
  <c r="HI19" i="16"/>
  <c r="AF107" i="16" s="1"/>
  <c r="HG19" i="16"/>
  <c r="AF104" i="16" s="1"/>
  <c r="HE18" i="16"/>
  <c r="HU18" i="16" s="1"/>
  <c r="HE17" i="16"/>
  <c r="HU17" i="16" s="1"/>
  <c r="HE16" i="16"/>
  <c r="HU16" i="16" s="1"/>
  <c r="HE15" i="16"/>
  <c r="HU15" i="16" s="1"/>
  <c r="EU33" i="16" l="1"/>
  <c r="BN92" i="17"/>
  <c r="BN96" i="17" s="1"/>
  <c r="AE53" i="17"/>
  <c r="AE95" i="17"/>
  <c r="AE92" i="17"/>
  <c r="AJ51" i="16"/>
  <c r="BN68" i="16"/>
  <c r="EK90" i="16"/>
  <c r="EK31" i="16" s="1"/>
  <c r="BN72" i="16"/>
  <c r="BN74" i="16"/>
  <c r="BN76" i="16"/>
  <c r="BN70" i="16"/>
  <c r="BN35" i="16"/>
  <c r="BN46" i="16"/>
  <c r="BN50" i="16"/>
  <c r="BN93" i="16"/>
  <c r="BN66" i="16"/>
  <c r="BI90" i="16"/>
  <c r="BI94" i="16" s="1"/>
  <c r="BX90" i="16"/>
  <c r="BX94" i="16" s="1"/>
  <c r="DL90" i="16"/>
  <c r="DL31" i="16" s="1"/>
  <c r="AO90" i="16"/>
  <c r="AO94" i="16" s="1"/>
  <c r="CH90" i="16"/>
  <c r="CH94" i="16" s="1"/>
  <c r="DV90" i="16"/>
  <c r="DV31" i="16" s="1"/>
  <c r="BN86" i="16"/>
  <c r="EU93" i="16"/>
  <c r="CW90" i="16"/>
  <c r="CW94" i="16" s="1"/>
  <c r="BN37" i="16"/>
  <c r="BN42" i="16"/>
  <c r="BN52" i="16"/>
  <c r="BN56" i="16"/>
  <c r="BN60" i="16"/>
  <c r="BN64" i="16"/>
  <c r="BN84" i="16"/>
  <c r="AT90" i="16"/>
  <c r="AT94" i="16" s="1"/>
  <c r="CM90" i="16"/>
  <c r="CM94" i="16" s="1"/>
  <c r="EA90" i="16"/>
  <c r="EA31" i="16" s="1"/>
  <c r="AY90" i="16"/>
  <c r="AY94" i="16" s="1"/>
  <c r="CR90" i="16"/>
  <c r="CR94" i="16" s="1"/>
  <c r="EF90" i="16"/>
  <c r="EF31" i="16" s="1"/>
  <c r="AJ33" i="16"/>
  <c r="BN44" i="16"/>
  <c r="BD90" i="16"/>
  <c r="BD94" i="16" s="1"/>
  <c r="DB90" i="16"/>
  <c r="DB94" i="16" s="1"/>
  <c r="Z51" i="16"/>
  <c r="BS90" i="16"/>
  <c r="BS94" i="16" s="1"/>
  <c r="DG90" i="16"/>
  <c r="DG31" i="16" s="1"/>
  <c r="BN88" i="16"/>
  <c r="HU19" i="16"/>
  <c r="CC90" i="16"/>
  <c r="CC94" i="16" s="1"/>
  <c r="DQ90" i="16"/>
  <c r="DQ31" i="16" s="1"/>
  <c r="BN41" i="16"/>
  <c r="BN49" i="16"/>
  <c r="BN36" i="16"/>
  <c r="BN39" i="16"/>
  <c r="BN47" i="16"/>
  <c r="BN38" i="16"/>
  <c r="BN43" i="16"/>
  <c r="BN45" i="16"/>
  <c r="BN40" i="16"/>
  <c r="BN48" i="16"/>
  <c r="Z33" i="16"/>
  <c r="EU51" i="16"/>
  <c r="EP90" i="16"/>
  <c r="EP31" i="16" s="1"/>
  <c r="Z93" i="16"/>
  <c r="BN34" i="16"/>
  <c r="HE19" i="16"/>
  <c r="EV82" i="15"/>
  <c r="AE96" i="17" l="1"/>
  <c r="AJ90" i="16"/>
  <c r="AJ94" i="16" s="1"/>
  <c r="EA94" i="16"/>
  <c r="EK94" i="16"/>
  <c r="DQ94" i="16"/>
  <c r="DL94" i="16"/>
  <c r="DV94" i="16"/>
  <c r="BN51" i="16"/>
  <c r="DG94" i="16"/>
  <c r="EF94" i="16"/>
  <c r="Z90" i="16"/>
  <c r="Z94" i="16" s="1"/>
  <c r="AE93" i="16" s="1"/>
  <c r="EU90" i="16"/>
  <c r="EU31" i="16" s="1"/>
  <c r="BN33" i="16"/>
  <c r="EP94" i="16"/>
  <c r="HL19" i="11"/>
  <c r="HJ19" i="11"/>
  <c r="HH19" i="11"/>
  <c r="HF19" i="11"/>
  <c r="HD19" i="11"/>
  <c r="HB19" i="11"/>
  <c r="GZ19" i="11"/>
  <c r="HN18" i="11"/>
  <c r="GX18" i="11"/>
  <c r="GX17" i="11"/>
  <c r="HN17" i="11" s="1"/>
  <c r="GX16" i="11"/>
  <c r="HN16" i="11" s="1"/>
  <c r="GX15" i="11"/>
  <c r="HN15" i="11" s="1"/>
  <c r="BN90" i="16" l="1"/>
  <c r="BN94" i="16" s="1"/>
  <c r="EU94" i="16"/>
  <c r="AE90" i="16"/>
  <c r="AE94" i="16" s="1"/>
  <c r="AE33" i="16"/>
  <c r="AE51" i="16"/>
  <c r="GX19" i="11"/>
  <c r="HN19" i="11"/>
  <c r="FA84" i="15"/>
  <c r="AG62" i="15"/>
  <c r="AG64" i="15"/>
  <c r="AG66" i="15"/>
  <c r="AG68" i="15"/>
  <c r="AG70" i="15"/>
  <c r="AG72" i="15"/>
  <c r="AG74" i="15"/>
  <c r="AG76" i="15"/>
  <c r="AG78" i="15"/>
  <c r="AG80" i="15"/>
  <c r="AG60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37" i="15"/>
  <c r="BK85" i="15"/>
  <c r="AG60" i="11"/>
  <c r="AG62" i="11"/>
  <c r="AG64" i="11"/>
  <c r="AG66" i="11"/>
  <c r="AG68" i="11"/>
  <c r="AG70" i="11"/>
  <c r="AG72" i="11"/>
  <c r="AG74" i="11"/>
  <c r="AG76" i="11"/>
  <c r="AG78" i="11"/>
  <c r="AG58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35" i="11"/>
  <c r="AL85" i="15" l="1"/>
  <c r="AQ85" i="15"/>
  <c r="AV85" i="15"/>
  <c r="BA85" i="15"/>
  <c r="BF85" i="15"/>
  <c r="AG85" i="15"/>
  <c r="DC85" i="15"/>
  <c r="CX85" i="15"/>
  <c r="CS85" i="15"/>
  <c r="CN85" i="15"/>
  <c r="CI85" i="15"/>
  <c r="CD85" i="15"/>
  <c r="BY85" i="15"/>
  <c r="BT85" i="15"/>
  <c r="BO85" i="15"/>
  <c r="CI59" i="15"/>
  <c r="CN59" i="15"/>
  <c r="CS59" i="15"/>
  <c r="CX59" i="15"/>
  <c r="DC59" i="15"/>
  <c r="FA64" i="15"/>
  <c r="FA66" i="15"/>
  <c r="FA68" i="15"/>
  <c r="FA70" i="15"/>
  <c r="FA72" i="15"/>
  <c r="FA74" i="15"/>
  <c r="FA76" i="15"/>
  <c r="FA78" i="15"/>
  <c r="FA80" i="15"/>
  <c r="FA62" i="15"/>
  <c r="DH59" i="15"/>
  <c r="DM59" i="15"/>
  <c r="DR59" i="15"/>
  <c r="DW59" i="15"/>
  <c r="EB59" i="15"/>
  <c r="EG59" i="15"/>
  <c r="EL59" i="15"/>
  <c r="EQ59" i="15"/>
  <c r="FA60" i="15" l="1"/>
  <c r="FA58" i="15"/>
  <c r="FA57" i="15"/>
  <c r="FA56" i="15"/>
  <c r="FA55" i="15"/>
  <c r="FA54" i="15"/>
  <c r="Z54" i="15" s="1"/>
  <c r="BK54" i="15" s="1"/>
  <c r="FA53" i="15"/>
  <c r="Z53" i="15" s="1"/>
  <c r="BK53" i="15" s="1"/>
  <c r="FA52" i="15"/>
  <c r="Z52" i="15" s="1"/>
  <c r="BK52" i="15" s="1"/>
  <c r="FA51" i="15"/>
  <c r="Z51" i="15" s="1"/>
  <c r="BK51" i="15" s="1"/>
  <c r="FA50" i="15"/>
  <c r="FA49" i="15"/>
  <c r="Z49" i="15" s="1"/>
  <c r="BK49" i="15" s="1"/>
  <c r="FA48" i="15"/>
  <c r="Z48" i="15" s="1"/>
  <c r="BK48" i="15" s="1"/>
  <c r="FA47" i="15"/>
  <c r="Z47" i="15" s="1"/>
  <c r="BK47" i="15" s="1"/>
  <c r="FA46" i="15"/>
  <c r="Z46" i="15" s="1"/>
  <c r="BK46" i="15" s="1"/>
  <c r="FA45" i="15"/>
  <c r="Z45" i="15" s="1"/>
  <c r="BK45" i="15" s="1"/>
  <c r="FA44" i="15"/>
  <c r="Z44" i="15" s="1"/>
  <c r="BK44" i="15" s="1"/>
  <c r="FA43" i="15"/>
  <c r="Z43" i="15" s="1"/>
  <c r="BK43" i="15" s="1"/>
  <c r="FA42" i="15"/>
  <c r="FA41" i="15"/>
  <c r="FA40" i="15"/>
  <c r="Z40" i="15" s="1"/>
  <c r="BK40" i="15" s="1"/>
  <c r="FA39" i="15"/>
  <c r="Z39" i="15" s="1"/>
  <c r="BK39" i="15" s="1"/>
  <c r="FA38" i="15"/>
  <c r="Z38" i="15" s="1"/>
  <c r="BK38" i="15" s="1"/>
  <c r="FA37" i="15"/>
  <c r="Z41" i="15"/>
  <c r="BK41" i="15" s="1"/>
  <c r="Z42" i="15"/>
  <c r="BK42" i="15" s="1"/>
  <c r="Z50" i="15"/>
  <c r="BK50" i="15" s="1"/>
  <c r="Z55" i="15"/>
  <c r="BK55" i="15" s="1"/>
  <c r="Z56" i="15"/>
  <c r="BK56" i="15" s="1"/>
  <c r="Z57" i="15"/>
  <c r="BK57" i="15" s="1"/>
  <c r="Z58" i="15"/>
  <c r="BK58" i="15" s="1"/>
  <c r="Z37" i="15" l="1"/>
  <c r="BK37" i="15" s="1"/>
  <c r="FA36" i="15"/>
  <c r="CW83" i="11"/>
  <c r="CR83" i="11"/>
  <c r="CM83" i="11"/>
  <c r="CH83" i="11"/>
  <c r="CC83" i="11"/>
  <c r="BX83" i="11"/>
  <c r="BS83" i="11"/>
  <c r="BN83" i="11"/>
  <c r="EP60" i="11"/>
  <c r="EP61" i="11"/>
  <c r="EP62" i="11"/>
  <c r="EP63" i="11"/>
  <c r="EP64" i="11"/>
  <c r="EP65" i="11"/>
  <c r="EP66" i="11"/>
  <c r="EP67" i="11"/>
  <c r="EP68" i="11"/>
  <c r="EP69" i="11"/>
  <c r="EP70" i="11"/>
  <c r="EP71" i="11"/>
  <c r="EP72" i="11"/>
  <c r="EP73" i="11"/>
  <c r="EP74" i="11"/>
  <c r="EP75" i="11"/>
  <c r="EP76" i="11"/>
  <c r="EP77" i="11"/>
  <c r="EP78" i="11"/>
  <c r="EP79" i="11"/>
  <c r="EP58" i="11"/>
  <c r="EP36" i="11"/>
  <c r="EP37" i="11"/>
  <c r="EP38" i="11"/>
  <c r="EP39" i="11"/>
  <c r="EP40" i="11"/>
  <c r="EP41" i="11"/>
  <c r="EP42" i="11"/>
  <c r="EP43" i="11"/>
  <c r="EP44" i="11"/>
  <c r="EP45" i="11"/>
  <c r="EP46" i="11"/>
  <c r="EP47" i="11"/>
  <c r="EP48" i="11"/>
  <c r="EP49" i="11"/>
  <c r="EP50" i="11"/>
  <c r="EP51" i="11"/>
  <c r="EP52" i="11"/>
  <c r="EP53" i="11"/>
  <c r="EP54" i="11"/>
  <c r="EP55" i="11"/>
  <c r="EP56" i="11"/>
  <c r="EP35" i="11"/>
  <c r="BT59" i="15" l="1"/>
  <c r="BY59" i="15"/>
  <c r="CD59" i="15"/>
  <c r="EV59" i="15"/>
  <c r="BO59" i="15"/>
  <c r="Z35" i="11"/>
  <c r="CC57" i="11"/>
  <c r="EK57" i="11"/>
  <c r="EF57" i="11"/>
  <c r="EA57" i="11"/>
  <c r="DV57" i="11"/>
  <c r="DQ57" i="11"/>
  <c r="DL57" i="11"/>
  <c r="DG57" i="11"/>
  <c r="DB57" i="11"/>
  <c r="BS57" i="11"/>
  <c r="BX57" i="11"/>
  <c r="CH57" i="11"/>
  <c r="CM57" i="11"/>
  <c r="CR57" i="11"/>
  <c r="CW57" i="11"/>
  <c r="BN57" i="11"/>
  <c r="Z38" i="11" l="1"/>
  <c r="Z39" i="11"/>
  <c r="Z37" i="11"/>
  <c r="BJ39" i="11" l="1"/>
  <c r="BJ37" i="11"/>
  <c r="BJ38" i="11"/>
  <c r="AV57" i="11" l="1"/>
  <c r="AQ57" i="11"/>
  <c r="AL57" i="11"/>
  <c r="Z78" i="15" l="1"/>
  <c r="BK78" i="15" s="1"/>
  <c r="Z80" i="15"/>
  <c r="BK80" i="15" s="1"/>
  <c r="Z76" i="15"/>
  <c r="BK76" i="15" s="1"/>
  <c r="Z74" i="15"/>
  <c r="BK74" i="15" s="1"/>
  <c r="Z76" i="11" l="1"/>
  <c r="BJ76" i="11" s="1"/>
  <c r="Z74" i="11"/>
  <c r="BJ74" i="11" s="1"/>
  <c r="Z72" i="11"/>
  <c r="BJ72" i="11" s="1"/>
  <c r="Z72" i="15" l="1"/>
  <c r="BK72" i="15" s="1"/>
  <c r="Z66" i="15"/>
  <c r="BK66" i="15" s="1"/>
  <c r="Z70" i="15" l="1"/>
  <c r="BK70" i="15" s="1"/>
  <c r="Z68" i="15"/>
  <c r="BK68" i="15" s="1"/>
  <c r="Z70" i="11"/>
  <c r="BJ70" i="11" s="1"/>
  <c r="Z68" i="11"/>
  <c r="BJ68" i="11" s="1"/>
  <c r="Z78" i="11" l="1"/>
  <c r="BJ78" i="11" s="1"/>
  <c r="Z55" i="11"/>
  <c r="Z54" i="11"/>
  <c r="Z45" i="11"/>
  <c r="Z44" i="11"/>
  <c r="Z43" i="11"/>
  <c r="Z42" i="11"/>
  <c r="BJ45" i="11" l="1"/>
  <c r="BJ55" i="11"/>
  <c r="BJ54" i="11"/>
  <c r="BJ44" i="11"/>
  <c r="BJ43" i="11"/>
  <c r="BJ42" i="11"/>
  <c r="Z62" i="11"/>
  <c r="BJ62" i="11" s="1"/>
  <c r="Z60" i="11"/>
  <c r="BJ60" i="11" s="1"/>
  <c r="Z58" i="11"/>
  <c r="BJ58" i="11" l="1"/>
  <c r="DR22" i="15"/>
  <c r="DU22" i="15"/>
  <c r="DX22" i="15"/>
  <c r="EA22" i="15"/>
  <c r="ED22" i="15"/>
  <c r="EG22" i="15"/>
  <c r="DO22" i="15"/>
  <c r="DK21" i="15"/>
  <c r="EJ21" i="15" s="1"/>
  <c r="DM36" i="15"/>
  <c r="DM82" i="15" s="1"/>
  <c r="DR36" i="15"/>
  <c r="DR82" i="15" s="1"/>
  <c r="DW36" i="15"/>
  <c r="DW82" i="15" s="1"/>
  <c r="EB36" i="15"/>
  <c r="EB82" i="15" s="1"/>
  <c r="EG36" i="15"/>
  <c r="EG82" i="15" s="1"/>
  <c r="EL36" i="15"/>
  <c r="EL82" i="15" s="1"/>
  <c r="EQ36" i="15"/>
  <c r="EQ82" i="15" s="1"/>
  <c r="EV36" i="15"/>
  <c r="DK20" i="15"/>
  <c r="EJ20" i="15" s="1"/>
  <c r="DK19" i="15"/>
  <c r="EJ19" i="15" s="1"/>
  <c r="DK18" i="15"/>
  <c r="EJ18" i="15" s="1"/>
  <c r="DK17" i="15"/>
  <c r="EQ85" i="15"/>
  <c r="EL85" i="15"/>
  <c r="EG85" i="15"/>
  <c r="EB85" i="15"/>
  <c r="DW85" i="15"/>
  <c r="DR85" i="15"/>
  <c r="DM85" i="15"/>
  <c r="DH85" i="15"/>
  <c r="Z84" i="15"/>
  <c r="Z64" i="15"/>
  <c r="BK64" i="15" s="1"/>
  <c r="Z62" i="15"/>
  <c r="BK62" i="15" s="1"/>
  <c r="FA61" i="15"/>
  <c r="FA59" i="15" s="1"/>
  <c r="Z60" i="15"/>
  <c r="BK60" i="15" s="1"/>
  <c r="BF59" i="15"/>
  <c r="BA59" i="15"/>
  <c r="AV59" i="15"/>
  <c r="AQ59" i="15"/>
  <c r="AL59" i="15"/>
  <c r="DH36" i="15"/>
  <c r="DC36" i="15"/>
  <c r="DC86" i="15" s="1"/>
  <c r="CX36" i="15"/>
  <c r="CX86" i="15" s="1"/>
  <c r="CS36" i="15"/>
  <c r="CS86" i="15" s="1"/>
  <c r="CN36" i="15"/>
  <c r="CN86" i="15" s="1"/>
  <c r="CI36" i="15"/>
  <c r="CI86" i="15" s="1"/>
  <c r="CD36" i="15"/>
  <c r="CD86" i="15" s="1"/>
  <c r="BY36" i="15"/>
  <c r="BY86" i="15" s="1"/>
  <c r="BT36" i="15"/>
  <c r="BT86" i="15" s="1"/>
  <c r="BO36" i="15"/>
  <c r="BF36" i="15"/>
  <c r="BA36" i="15"/>
  <c r="AV36" i="15"/>
  <c r="AQ36" i="15"/>
  <c r="AL36" i="15"/>
  <c r="BO86" i="15" l="1"/>
  <c r="AL82" i="15"/>
  <c r="AL86" i="15" s="1"/>
  <c r="BF82" i="15"/>
  <c r="BF86" i="15" s="1"/>
  <c r="EG86" i="15"/>
  <c r="EG34" i="15" s="1"/>
  <c r="DM86" i="15"/>
  <c r="DM34" i="15" s="1"/>
  <c r="DK22" i="15"/>
  <c r="EJ22" i="15" s="1"/>
  <c r="AG59" i="15"/>
  <c r="BT82" i="15"/>
  <c r="BA82" i="15"/>
  <c r="BA86" i="15" s="1"/>
  <c r="BY82" i="15"/>
  <c r="CS82" i="15"/>
  <c r="EJ17" i="15"/>
  <c r="CN82" i="15"/>
  <c r="DH82" i="15"/>
  <c r="DH86" i="15" s="1"/>
  <c r="DH34" i="15" s="1"/>
  <c r="EB86" i="15"/>
  <c r="EB34" i="15" s="1"/>
  <c r="CD82" i="15"/>
  <c r="CX82" i="15"/>
  <c r="DR86" i="15"/>
  <c r="DR34" i="15" s="1"/>
  <c r="EL86" i="15"/>
  <c r="EL34" i="15" s="1"/>
  <c r="AQ82" i="15"/>
  <c r="AQ86" i="15" s="1"/>
  <c r="BO82" i="15"/>
  <c r="CI82" i="15"/>
  <c r="DC82" i="15"/>
  <c r="DW86" i="15"/>
  <c r="DW34" i="15" s="1"/>
  <c r="EQ86" i="15"/>
  <c r="EQ34" i="15" s="1"/>
  <c r="AV82" i="15"/>
  <c r="AV86" i="15" s="1"/>
  <c r="Z36" i="15"/>
  <c r="AG36" i="15"/>
  <c r="Z59" i="15"/>
  <c r="FA82" i="15" l="1"/>
  <c r="BK59" i="15"/>
  <c r="AG82" i="15"/>
  <c r="AG86" i="15" s="1"/>
  <c r="Z82" i="15"/>
  <c r="BK36" i="15"/>
  <c r="BK82" i="15" l="1"/>
  <c r="BK86" i="15" s="1"/>
  <c r="Z53" i="11"/>
  <c r="BJ53" i="11" l="1"/>
  <c r="Z51" i="11"/>
  <c r="Z52" i="11"/>
  <c r="BJ52" i="11" l="1"/>
  <c r="BJ51" i="11"/>
  <c r="EP82" i="11" l="1"/>
  <c r="EP81" i="11"/>
  <c r="DG83" i="11"/>
  <c r="DL83" i="11"/>
  <c r="DQ83" i="11"/>
  <c r="DV83" i="11"/>
  <c r="EA83" i="11"/>
  <c r="EF83" i="11"/>
  <c r="EK83" i="11"/>
  <c r="DB83" i="11"/>
  <c r="BA57" i="11"/>
  <c r="BE57" i="11"/>
  <c r="DB34" i="11"/>
  <c r="DG34" i="11"/>
  <c r="DL34" i="11"/>
  <c r="DQ34" i="11"/>
  <c r="DV34" i="11"/>
  <c r="EA34" i="11"/>
  <c r="EF34" i="11"/>
  <c r="EK34" i="11"/>
  <c r="BS34" i="11"/>
  <c r="BX34" i="11"/>
  <c r="CC34" i="11"/>
  <c r="CH34" i="11"/>
  <c r="CM34" i="11"/>
  <c r="CR34" i="11"/>
  <c r="CW34" i="11"/>
  <c r="BN34" i="11"/>
  <c r="AL34" i="11"/>
  <c r="AQ34" i="11"/>
  <c r="AV34" i="11"/>
  <c r="BA34" i="11"/>
  <c r="BE34" i="11"/>
  <c r="Z81" i="11"/>
  <c r="BJ81" i="11" s="1"/>
  <c r="Z82" i="11"/>
  <c r="BJ82" i="11" s="1"/>
  <c r="BJ83" i="11" l="1"/>
  <c r="Z57" i="11"/>
  <c r="EP83" i="11"/>
  <c r="BX80" i="11"/>
  <c r="BX84" i="11" s="1"/>
  <c r="AQ80" i="11"/>
  <c r="AQ84" i="11" s="1"/>
  <c r="BE80" i="11"/>
  <c r="BE84" i="11" s="1"/>
  <c r="BS80" i="11"/>
  <c r="BS84" i="11" s="1"/>
  <c r="DG80" i="11"/>
  <c r="DG32" i="11" s="1"/>
  <c r="DV80" i="11"/>
  <c r="DV32" i="11" s="1"/>
  <c r="AG83" i="11"/>
  <c r="EK80" i="11"/>
  <c r="DQ80" i="11"/>
  <c r="DQ32" i="11" s="1"/>
  <c r="CM80" i="11"/>
  <c r="CM84" i="11" s="1"/>
  <c r="EF80" i="11"/>
  <c r="DL80" i="11"/>
  <c r="DL32" i="11" s="1"/>
  <c r="AV80" i="11"/>
  <c r="AV84" i="11" s="1"/>
  <c r="CC80" i="11"/>
  <c r="CC84" i="11" s="1"/>
  <c r="BN80" i="11"/>
  <c r="BN84" i="11" s="1"/>
  <c r="DB80" i="11"/>
  <c r="EA80" i="11"/>
  <c r="AL80" i="11"/>
  <c r="AL84" i="11" s="1"/>
  <c r="CR80" i="11"/>
  <c r="CR84" i="11" s="1"/>
  <c r="BA80" i="11"/>
  <c r="BA84" i="11" s="1"/>
  <c r="CH80" i="11"/>
  <c r="CH84" i="11" s="1"/>
  <c r="CW80" i="11"/>
  <c r="CW84" i="11" s="1"/>
  <c r="Z83" i="11"/>
  <c r="EP57" i="11"/>
  <c r="EP34" i="11"/>
  <c r="EP59" i="11"/>
  <c r="Z36" i="11"/>
  <c r="Z40" i="11"/>
  <c r="Z41" i="11"/>
  <c r="Z46" i="11"/>
  <c r="Z47" i="11"/>
  <c r="Z48" i="11"/>
  <c r="Z49" i="11"/>
  <c r="Z50" i="11"/>
  <c r="Z56" i="11"/>
  <c r="Z64" i="11"/>
  <c r="BJ64" i="11" s="1"/>
  <c r="Z66" i="11"/>
  <c r="BJ66" i="11" s="1"/>
  <c r="AG57" i="11"/>
  <c r="EF84" i="11" l="1"/>
  <c r="EF32" i="11"/>
  <c r="EA84" i="11"/>
  <c r="EA32" i="11"/>
  <c r="DB84" i="11"/>
  <c r="DB32" i="11"/>
  <c r="EK84" i="11"/>
  <c r="EK32" i="11"/>
  <c r="DV84" i="11"/>
  <c r="DQ84" i="11"/>
  <c r="DG84" i="11"/>
  <c r="DL84" i="11"/>
  <c r="EP80" i="11"/>
  <c r="Z34" i="11"/>
  <c r="AG34" i="11"/>
  <c r="BJ49" i="11"/>
  <c r="BJ46" i="11"/>
  <c r="BJ57" i="11"/>
  <c r="BJ56" i="11"/>
  <c r="BJ48" i="11"/>
  <c r="BJ50" i="11"/>
  <c r="BJ47" i="11"/>
  <c r="BJ41" i="11"/>
  <c r="BJ40" i="11"/>
  <c r="BJ36" i="11"/>
  <c r="BJ35" i="11"/>
  <c r="EP84" i="11" l="1"/>
  <c r="EP32" i="11"/>
  <c r="Z80" i="11"/>
  <c r="BJ34" i="11"/>
  <c r="AG80" i="11"/>
  <c r="AG84" i="11" s="1"/>
  <c r="Z84" i="11" l="1"/>
  <c r="AD80" i="11"/>
  <c r="BJ80" i="11"/>
  <c r="BJ84" i="11" s="1"/>
  <c r="AD83" i="11" l="1"/>
  <c r="AD84" i="11" s="1"/>
  <c r="AD57" i="11"/>
  <c r="AD34" i="11"/>
  <c r="EV85" i="15"/>
  <c r="EV86" i="15" s="1"/>
  <c r="EV34" i="15" s="1"/>
  <c r="FA34" i="15" s="1"/>
  <c r="FA83" i="15"/>
  <c r="FA85" i="15" s="1"/>
  <c r="FA86" i="15" s="1"/>
  <c r="Z83" i="15" l="1"/>
  <c r="Z85" i="15" s="1"/>
  <c r="Z86" i="15" l="1"/>
  <c r="AD85" i="15"/>
  <c r="AD36" i="15" l="1"/>
  <c r="AD59" i="15"/>
  <c r="AD82" i="15"/>
  <c r="AD86" i="15" s="1"/>
</calcChain>
</file>

<file path=xl/sharedStrings.xml><?xml version="1.0" encoding="utf-8"?>
<sst xmlns="http://schemas.openxmlformats.org/spreadsheetml/2006/main" count="1721" uniqueCount="363">
  <si>
    <t>М</t>
  </si>
  <si>
    <t>I</t>
  </si>
  <si>
    <t>II</t>
  </si>
  <si>
    <t>III</t>
  </si>
  <si>
    <t>IV</t>
  </si>
  <si>
    <t>А</t>
  </si>
  <si>
    <t>К</t>
  </si>
  <si>
    <t>1.10</t>
  </si>
  <si>
    <t>1.11</t>
  </si>
  <si>
    <t>1.12</t>
  </si>
  <si>
    <t>1.13</t>
  </si>
  <si>
    <t>1.15</t>
  </si>
  <si>
    <t>1.16</t>
  </si>
  <si>
    <t>2.01</t>
  </si>
  <si>
    <t>2.02</t>
  </si>
  <si>
    <t>Akademik daraja - BAKALAVR</t>
  </si>
  <si>
    <t>Malakaviy amaliyot</t>
  </si>
  <si>
    <t>Kredit ta'lim tizimiga kirish</t>
  </si>
  <si>
    <t>Attestatsiya</t>
  </si>
  <si>
    <t>Yakuniy davlat attestatsiyasi</t>
  </si>
  <si>
    <t>Y</t>
  </si>
  <si>
    <t>O‘quv jarayoni (haftalarda)</t>
  </si>
  <si>
    <t>Jami</t>
  </si>
  <si>
    <t>Nazariy va amaliy ta'lim</t>
  </si>
  <si>
    <t>Аттестациялар Attestatsiya</t>
  </si>
  <si>
    <t>Hammasi</t>
  </si>
  <si>
    <t>Haftalar</t>
  </si>
  <si>
    <t>KURS</t>
  </si>
  <si>
    <t>JAMI</t>
  </si>
  <si>
    <t>T/R</t>
  </si>
  <si>
    <t>Mustaqil ta'lim</t>
  </si>
  <si>
    <t>1-kurs</t>
  </si>
  <si>
    <t>2-kurs</t>
  </si>
  <si>
    <t>3-kurs</t>
  </si>
  <si>
    <t>Soatlarning kurs, semestr va haftalar bo'yicha taqsimoti</t>
  </si>
  <si>
    <t>Kreditlarning kurs, semestr va haftalar bo'yicha taqsimoti</t>
  </si>
  <si>
    <t>Kurslardagi haftalar soni</t>
  </si>
  <si>
    <t>Semestrlar</t>
  </si>
  <si>
    <t>Semestrdagi auditoriya mashg'lotlari haftalarining soni</t>
  </si>
  <si>
    <t>Kredit taqsimoti</t>
  </si>
  <si>
    <t>Jami kreditlar soni</t>
  </si>
  <si>
    <t>Majburiy fanlar</t>
  </si>
  <si>
    <t>Mediasavodxonlik va axborot madaniyati</t>
  </si>
  <si>
    <t>2.00</t>
  </si>
  <si>
    <t>2.03</t>
  </si>
  <si>
    <t>2.04</t>
  </si>
  <si>
    <t>2.05</t>
  </si>
  <si>
    <t>2.06</t>
  </si>
  <si>
    <t>2.07</t>
  </si>
  <si>
    <t>2.08</t>
  </si>
  <si>
    <t>K</t>
  </si>
  <si>
    <t>Sentyabr</t>
  </si>
  <si>
    <t>Oktyabr</t>
  </si>
  <si>
    <t>Noyabr</t>
  </si>
  <si>
    <t>Dekabr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</si>
  <si>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</si>
  <si>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</si>
  <si>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</si>
  <si>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</si>
  <si>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</si>
  <si>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</si>
  <si>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</si>
  <si>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</si>
  <si>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 xml:space="preserve">Nazariy va amaliy ta'lim </t>
  </si>
  <si>
    <t>T</t>
  </si>
  <si>
    <t>4-kun Nazariy va amaliy ta'lim/ 
2 kun Malakaviy amaliyot</t>
  </si>
  <si>
    <t>A</t>
  </si>
  <si>
    <t>M</t>
  </si>
  <si>
    <t>Fanning malakaviy kodi</t>
  </si>
  <si>
    <t>O'quv bloklari, fanlar va faoliyat turlarining nomlari</t>
  </si>
  <si>
    <t>Talabaning o'quv yuklamasi, soatlarda ishi hajmi soatlarda</t>
  </si>
  <si>
    <t>Umumiy yuklama hajmi</t>
  </si>
  <si>
    <t>Auditoriya mashg'ulotlari soatlarda</t>
  </si>
  <si>
    <t>Ma'ruza</t>
  </si>
  <si>
    <t>Amaliy</t>
  </si>
  <si>
    <t>Seminar</t>
  </si>
  <si>
    <t>Laboratoriya</t>
  </si>
  <si>
    <t>Kurs ishi</t>
  </si>
  <si>
    <t>4-kurs</t>
  </si>
  <si>
    <t>soat</t>
  </si>
  <si>
    <t>%</t>
  </si>
  <si>
    <t>Ta'til haftalar soni</t>
  </si>
  <si>
    <t xml:space="preserve">   Ta'til</t>
  </si>
  <si>
    <t>O'EYT104</t>
  </si>
  <si>
    <t>UmPsix104</t>
  </si>
  <si>
    <t>Fal304</t>
  </si>
  <si>
    <t>O'zbekistonning eng yangi tarixi</t>
  </si>
  <si>
    <t>Umumiy psixologiya</t>
  </si>
  <si>
    <t>Umumiy pedagogika</t>
  </si>
  <si>
    <t>AYo104</t>
  </si>
  <si>
    <t xml:space="preserve">Amaliy xorijiy tili. </t>
  </si>
  <si>
    <t>Tanlov fanlari</t>
  </si>
  <si>
    <t>Jami:</t>
  </si>
  <si>
    <t>Malakaviy va pedagogik amaliyotlar</t>
  </si>
  <si>
    <t>Shundan</t>
  </si>
  <si>
    <t>1.00</t>
  </si>
  <si>
    <t>1.01</t>
  </si>
  <si>
    <t>1.02</t>
  </si>
  <si>
    <t>1.03</t>
  </si>
  <si>
    <t>1.04</t>
  </si>
  <si>
    <t>1.05</t>
  </si>
  <si>
    <t>1.07</t>
  </si>
  <si>
    <t>1.09</t>
  </si>
  <si>
    <t>Izoh:</t>
  </si>
  <si>
    <t>O'quv jarayonining tarkibiy qismlari</t>
  </si>
  <si>
    <t>Haftalar soni</t>
  </si>
  <si>
    <t>Semestr</t>
  </si>
  <si>
    <t>Davlat attestatsiyasi</t>
  </si>
  <si>
    <t xml:space="preserve"> Nazariy va amaliy ta'lim</t>
  </si>
  <si>
    <t xml:space="preserve"> 4-kun Nazariy va amaliy ta'lim/ 
 2 kun Malakaviy amaliyot</t>
  </si>
  <si>
    <t xml:space="preserve"> Attestatsiyalar</t>
  </si>
  <si>
    <t xml:space="preserve"> Yakuniy davlat attestatsiyalari</t>
  </si>
  <si>
    <t xml:space="preserve"> Ta'tillar</t>
  </si>
  <si>
    <t xml:space="preserve"> Kredit ta'lim tizimiga kirish</t>
  </si>
  <si>
    <t>35</t>
  </si>
  <si>
    <t>85</t>
  </si>
  <si>
    <t>19</t>
  </si>
  <si>
    <t>3</t>
  </si>
  <si>
    <t>54</t>
  </si>
  <si>
    <t>5</t>
  </si>
  <si>
    <t>1,2,8</t>
  </si>
  <si>
    <t>3-8</t>
  </si>
  <si>
    <t>1-8</t>
  </si>
  <si>
    <t>8</t>
  </si>
  <si>
    <t>1-7</t>
  </si>
  <si>
    <t>204</t>
  </si>
  <si>
    <t>Bitiruv malakaviy ishini himoya qilish yoki ixtisoslik fanlaridan Davlat attestatsiyasi</t>
  </si>
  <si>
    <t>_______________________________</t>
  </si>
  <si>
    <t>MSVAX104</t>
  </si>
  <si>
    <t>BPvaP104</t>
  </si>
  <si>
    <t>1.17</t>
  </si>
  <si>
    <t>Ingliz tili nazariy kursi</t>
  </si>
  <si>
    <t>Bolalar diagnostikasi va psixodiagnostikasi</t>
  </si>
  <si>
    <t>Ta'limda STEAM-texnologiyalari</t>
  </si>
  <si>
    <t>Til va adabiyot</t>
  </si>
  <si>
    <t>Tarjima nazariyasi va amaliyoti</t>
  </si>
  <si>
    <t>Tilshunoslikka kirish</t>
  </si>
  <si>
    <t>Akademik yozuv</t>
  </si>
  <si>
    <t>TNvaA</t>
  </si>
  <si>
    <t>IO'M</t>
  </si>
  <si>
    <t>ITO'vaBXS</t>
  </si>
  <si>
    <t>AxT104</t>
  </si>
  <si>
    <t>UP104</t>
  </si>
  <si>
    <t>T-steam-T106</t>
  </si>
  <si>
    <t>TK104</t>
  </si>
  <si>
    <t>ItNK112</t>
  </si>
  <si>
    <t>AKT205</t>
  </si>
  <si>
    <t>Madaniyatlararo muloqot</t>
  </si>
  <si>
    <t>TAO'A210</t>
  </si>
  <si>
    <t>MA209</t>
  </si>
  <si>
    <t>O'vaYA126</t>
  </si>
  <si>
    <t>NKB309</t>
  </si>
  <si>
    <t>IT404</t>
  </si>
  <si>
    <t>ITS315</t>
  </si>
  <si>
    <t>1.14</t>
  </si>
  <si>
    <t>1.18</t>
  </si>
  <si>
    <t>4</t>
  </si>
  <si>
    <t>2, 7</t>
  </si>
  <si>
    <t xml:space="preserve"> Malakaviy amaliyot</t>
  </si>
  <si>
    <r>
      <t xml:space="preserve">1. </t>
    </r>
    <r>
      <rPr>
        <sz val="48"/>
        <rFont val="Times New Roman"/>
        <family val="1"/>
        <charset val="204"/>
      </rPr>
      <t>3-8 semestrlarda 4+2 tartibda amalga oshiriladi. Bunda haftaning 4 kunida nazariy va amaliy ta'lim, 2 kunda pedagogik amaliyot o'tkaziladi.</t>
    </r>
  </si>
  <si>
    <r>
      <t xml:space="preserve">2. </t>
    </r>
    <r>
      <rPr>
        <sz val="48"/>
        <rFont val="Times New Roman"/>
        <family val="1"/>
        <charset val="204"/>
      </rPr>
      <t>3-8 semestrdagi mutaxassislik fanlarining o'quv rejalaridagi mustaqil ta’lim mazmuni joriy semestrdagi amaliyot dasturi mazmuniga mos kelishi va bir birini to`ldirishi, talabaning amaliyoti mustaqil ta’lim topshirig`ini bajarish uchun asos sifatida xizmat qilishi nazarda tutilishi kerak.</t>
    </r>
  </si>
  <si>
    <r>
      <t xml:space="preserve">3. </t>
    </r>
    <r>
      <rPr>
        <sz val="48"/>
        <rFont val="Times New Roman"/>
        <family val="1"/>
        <charset val="204"/>
      </rPr>
      <t>1-3 kurs talabalarining yozgi ta’til davrida avvalgi semestrlarda o'zlashtirilmagan fanlari uchun yozgi semestr tashkil qilinishi mumkin. Bunda yozgi ta’tilning birinchi xaftasi ro`yxatga olish xaftaligi, keyingi to`rt xafta yozgi semestr hisobidan akademik davr hisoblanadi.</t>
    </r>
  </si>
  <si>
    <r>
      <t xml:space="preserve">4. </t>
    </r>
    <r>
      <rPr>
        <sz val="48"/>
        <rFont val="Times New Roman"/>
        <family val="1"/>
        <charset val="204"/>
      </rPr>
      <t>O'quv rejaga kiritiladigan ixtisoslikka oid fanlarning amaliy mashg'ulotlari va laboratoriya ishlari oliy ta’lim muassasasi hamda bazaviy  tashkilotlarda o`tkazilishi mumkin.</t>
    </r>
  </si>
  <si>
    <t>1.19</t>
  </si>
  <si>
    <t>1.20</t>
  </si>
  <si>
    <t>1.21</t>
  </si>
  <si>
    <t>5-kurs</t>
  </si>
  <si>
    <t>Amaliyotlar</t>
  </si>
  <si>
    <t>1-9</t>
  </si>
  <si>
    <t>Attestatsiyalar</t>
  </si>
  <si>
    <t>Yakuniy davlat attestatsiyalari</t>
  </si>
  <si>
    <t>2</t>
  </si>
  <si>
    <t>9</t>
  </si>
  <si>
    <t>Ta'tillar</t>
  </si>
  <si>
    <t>6</t>
  </si>
  <si>
    <t>1,3,5,7,9</t>
  </si>
  <si>
    <t>56</t>
  </si>
  <si>
    <t>4-kun Nazariy va amaliy ta'lim/ 2 kun Malakaviy amaliyot</t>
  </si>
  <si>
    <t>94</t>
  </si>
  <si>
    <t>20</t>
  </si>
  <si>
    <t>61</t>
  </si>
  <si>
    <t>242</t>
  </si>
  <si>
    <t>1</t>
  </si>
  <si>
    <t>2-9</t>
  </si>
  <si>
    <t>Axborot texnologiyalarini kasbiy faoliyatda qo'llash  (ECTS 4)</t>
  </si>
  <si>
    <t>ATKFQ205</t>
  </si>
  <si>
    <t xml:space="preserve">Nutq malakalarini baholash(Assessment of language skills) </t>
  </si>
  <si>
    <t>Nutq malakalari integratsiyasi</t>
  </si>
  <si>
    <t>O'qish va yozuv amaliyoti</t>
  </si>
  <si>
    <t>Til aspektlarini o'qitish amaliyoti</t>
  </si>
  <si>
    <t>Ingliz tili o'qitish metodikasi</t>
  </si>
  <si>
    <t>Ingliz tili o'qitish va baholashning xalqaro standarti</t>
  </si>
  <si>
    <t>Xorijiy tilni intensiv o'qitish</t>
  </si>
  <si>
    <t>Ingliz tilini stilistikasi</t>
  </si>
  <si>
    <t>Uzluksiz ta'limda tendensiyalar va zamonaviy yondashuvlar</t>
  </si>
  <si>
    <t>Amaliy fonetika</t>
  </si>
  <si>
    <t>Mamlakatshunoslik (County study)</t>
  </si>
  <si>
    <t>AF204</t>
  </si>
  <si>
    <t>CS204</t>
  </si>
  <si>
    <t>NMB202</t>
  </si>
  <si>
    <t>Ingliz tili va ona tili qiyosiy tipologiyasi</t>
  </si>
  <si>
    <t>Ingliz tili o'qitishning innovatsion pedagogik texnologiyalari</t>
  </si>
  <si>
    <t>Chet tili o'qitishning integratsiyalashgan kursi</t>
  </si>
  <si>
    <t>Chet tilida gapirish ko'nikmalarini rivojlantirish</t>
  </si>
  <si>
    <t>ITOTQT304</t>
  </si>
  <si>
    <t>ITO'IPT304</t>
  </si>
  <si>
    <t>CHTO'IK304</t>
  </si>
  <si>
    <t>CHTGKR</t>
  </si>
  <si>
    <t>Chet tilda yozuv ko'nikmalarini rivojlantirish</t>
  </si>
  <si>
    <t>Ingliz adabiyoti tarixi</t>
  </si>
  <si>
    <t>CHTYKR304</t>
  </si>
  <si>
    <t>IAT304</t>
  </si>
  <si>
    <t>Maktabgacha ta'limda ingliz tili o'qitish metodikasi</t>
  </si>
  <si>
    <t>MTITO'M304</t>
  </si>
  <si>
    <t>Lingvistika va metodik tadqiqot asoslari</t>
  </si>
  <si>
    <t>LVMTA304</t>
  </si>
  <si>
    <t>Chet tilida tinglab tushunish ko'nikmalarini rivojlantirish</t>
  </si>
  <si>
    <t>CHTTTKR304</t>
  </si>
  <si>
    <t>Chet tilida o'qish ko'nikmalarini rivojlantirish</t>
  </si>
  <si>
    <t>CHO'KR304</t>
  </si>
  <si>
    <t>Ingliz tili morfologiyasi</t>
  </si>
  <si>
    <t>ITM408</t>
  </si>
  <si>
    <t>Ingliz tili leksikologiyasi</t>
  </si>
  <si>
    <t>ITL408</t>
  </si>
  <si>
    <t>Ingliz tili nazariy fonetikasi</t>
  </si>
  <si>
    <t>ITNF408</t>
  </si>
  <si>
    <t>Ingliz tili leksikografikasi</t>
  </si>
  <si>
    <t>Davlat tilida ish yuritish</t>
  </si>
  <si>
    <t>DTIY406</t>
  </si>
  <si>
    <t>Badiiy matn tahlili</t>
  </si>
  <si>
    <t>BMT406</t>
  </si>
  <si>
    <t>ItNK110</t>
  </si>
  <si>
    <t xml:space="preserve">Raqamli o'quv kurslarini rivojlantirish </t>
  </si>
  <si>
    <t>Inklyuziv ta'lim. Gospital pedagogika</t>
  </si>
  <si>
    <t>1.06</t>
  </si>
  <si>
    <t>1.08</t>
  </si>
  <si>
    <t>1.22</t>
  </si>
  <si>
    <t>2.09</t>
  </si>
  <si>
    <t>2.10</t>
  </si>
  <si>
    <t>2.11</t>
  </si>
  <si>
    <t>SITQ2</t>
  </si>
  <si>
    <t>Sohada IT texnologiyalarini qo'llash</t>
  </si>
  <si>
    <t>Notiqlik san'ati</t>
  </si>
  <si>
    <t>NS202</t>
  </si>
  <si>
    <t>4-SEMESTR 48 SOAT AMALIY BERILSIN</t>
  </si>
  <si>
    <t>4-SEMESTR 90 SOAT AMALIY BERILSIN</t>
  </si>
  <si>
    <t>"TASDIQLAYMAN"</t>
  </si>
  <si>
    <t>"_____" _____________ 20_____ yil</t>
  </si>
  <si>
    <t>sonli qarori bilan ma'qullangan</t>
  </si>
  <si>
    <t>Fakultet dekani:</t>
  </si>
  <si>
    <t>Kafedra mudiri:</t>
  </si>
  <si>
    <t>M.O'.</t>
  </si>
  <si>
    <t>ITO'M308</t>
  </si>
  <si>
    <t>_________   ___________________________</t>
  </si>
  <si>
    <t>20__-yil "____" ____________dagi ______</t>
  </si>
  <si>
    <t>TURAN INTERNATIONAL UNIVERSITY</t>
  </si>
  <si>
    <t>HEMISda fan turini tanlovga o'zgartirish kerak</t>
  </si>
  <si>
    <t>ISHCHI O‘QUV REJA</t>
  </si>
  <si>
    <t>Turan International University rektori</t>
  </si>
  <si>
    <t>Ta’lim yo‘nalishi: 60111800 - Xorijiy til va adabiyoti (Ingliz tili)</t>
  </si>
  <si>
    <t>O‘qish muddati - 4 yil</t>
  </si>
  <si>
    <t>Ta’lim shakli - kunduzgi</t>
  </si>
  <si>
    <t>I. O‘QUV JARAYONI JADVALI</t>
  </si>
  <si>
    <t>O‘quv ishlari bo‘yicha prorektor:</t>
  </si>
  <si>
    <t>O‘quv departamenti direktori:</t>
  </si>
  <si>
    <t>Turan International University Kengashining</t>
  </si>
  <si>
    <t>2022/2023 o‘quv yili</t>
  </si>
  <si>
    <t>Bolalar psixologiyasi va psixodiagnostikasi</t>
  </si>
  <si>
    <t>HEMISda fan turini tanlovga olish kerak</t>
  </si>
  <si>
    <t>3 va semestrdagi amaliyot kreditlarini to'g'irlash kerak</t>
  </si>
  <si>
    <t>O‘QUV REJA</t>
  </si>
  <si>
    <t>II. O‘QUV REJASI</t>
  </si>
  <si>
    <t>O‘qish muddati - 4,5 yil</t>
  </si>
  <si>
    <t>Ta’lim shakli - kechki</t>
  </si>
  <si>
    <t>________   _____________________________</t>
  </si>
  <si>
    <t>II. ISHCHI O‘QUV REJASI</t>
  </si>
  <si>
    <t>O‘quv jarayonining tarkibiy qismlari</t>
  </si>
  <si>
    <t>HAFTALAR</t>
  </si>
  <si>
    <t>Ta‘tillar haftasi</t>
  </si>
  <si>
    <t>Nazariy va amaliy ta‘lim</t>
  </si>
  <si>
    <t>Kredit tizimiga kirish</t>
  </si>
  <si>
    <t>4kun nazariy / 2kun malaka amaliyot</t>
  </si>
  <si>
    <t>Sentabr</t>
  </si>
  <si>
    <t>Oktabr</t>
  </si>
  <si>
    <t xml:space="preserve"> Iyul</t>
  </si>
  <si>
    <t>4kun nazariy / 2kun malakaviy amaliyot</t>
  </si>
  <si>
    <t>Ta'til</t>
  </si>
  <si>
    <t>Kreditlarning kurs va haftalar bo'yicha taqsimoti</t>
  </si>
  <si>
    <t>Kurslardagi kreditlar soni</t>
  </si>
  <si>
    <t>ITOTQT302</t>
  </si>
  <si>
    <t>ITO'IPT302</t>
  </si>
  <si>
    <t>Nizomiy</t>
  </si>
  <si>
    <t>Falsafa</t>
  </si>
  <si>
    <t>Amaliy o'zbek (rus) tili. Davlat tilida ish yuritish</t>
  </si>
  <si>
    <t>Amaliy xorijiy tili</t>
  </si>
  <si>
    <t>FAL404</t>
  </si>
  <si>
    <t>AO'TDT406</t>
  </si>
  <si>
    <t>UTTZY402</t>
  </si>
  <si>
    <t>ITS409</t>
  </si>
  <si>
    <t>XTIO404</t>
  </si>
  <si>
    <t>TNA308</t>
  </si>
  <si>
    <t>TA308</t>
  </si>
  <si>
    <t>IOBXS308</t>
  </si>
  <si>
    <r>
      <t xml:space="preserve">5. </t>
    </r>
    <r>
      <rPr>
        <sz val="48"/>
        <rFont val="Times New Roman"/>
        <family val="1"/>
        <charset val="204"/>
      </rPr>
      <t>Bitiruv oldi amaliyoti tarkibiga uni himoya qilish bo‘yicha Davlat attestatsiyalari ham kiradi.</t>
    </r>
  </si>
  <si>
    <t>Maxsus pedagogikaning klinik asoslari</t>
  </si>
  <si>
    <t>MPKA104</t>
  </si>
  <si>
    <t>Notiqlik san’ati</t>
  </si>
  <si>
    <t>Chet tili o'qitishning xalqaro tajribalari</t>
  </si>
  <si>
    <t>Ingliz tilida matn sharhi</t>
  </si>
  <si>
    <t>Xorijiy tili</t>
  </si>
  <si>
    <t>XT104</t>
  </si>
  <si>
    <t>2.12</t>
  </si>
  <si>
    <t>2.13</t>
  </si>
  <si>
    <t>2.14</t>
  </si>
  <si>
    <t>2.15</t>
  </si>
  <si>
    <t>2.16</t>
  </si>
  <si>
    <t>ITMS106</t>
  </si>
  <si>
    <t>ChOXS104</t>
  </si>
  <si>
    <t>NS104</t>
  </si>
  <si>
    <t>Mustaqil
 ta'lim</t>
  </si>
  <si>
    <t>Falsafa (ECTS 4</t>
  </si>
  <si>
    <t>Amaliy o'zbek (rus) tili. Davlat tilida ish yuritish (ECTS 6)</t>
  </si>
  <si>
    <t>O‘zbek tilini sohada qo‘llash</t>
  </si>
  <si>
    <t>OTSQ406</t>
  </si>
  <si>
    <t>Mustaqil ta’lim ko‘nikmalari</t>
  </si>
  <si>
    <t>MTK404</t>
  </si>
  <si>
    <t>MTIO'M304</t>
  </si>
  <si>
    <t>CHTYR304</t>
  </si>
  <si>
    <t>Tsteam106</t>
  </si>
  <si>
    <t>Ingliz tilining nazariy kursi</t>
  </si>
  <si>
    <t>Falsafa (ECTS 4)</t>
  </si>
  <si>
    <t>Ingliz tili frazeologiyasi</t>
  </si>
  <si>
    <t>ITF404</t>
  </si>
  <si>
    <t>Ingliz tili sintaksisi</t>
  </si>
  <si>
    <t>ITS104</t>
  </si>
  <si>
    <t>2.17</t>
  </si>
  <si>
    <t>2.18</t>
  </si>
  <si>
    <t>2.19</t>
  </si>
  <si>
    <t>ITOTQ302</t>
  </si>
  <si>
    <t>CHTO'I304</t>
  </si>
  <si>
    <t>CHTYK304</t>
  </si>
  <si>
    <t>MTITO'304</t>
  </si>
  <si>
    <t>CHTKR304</t>
  </si>
  <si>
    <t>Turan International University Kengashining 20__-yil "____" ____________dagi ______ sonli qarori bilan ma'qullangan</t>
  </si>
  <si>
    <t>V</t>
  </si>
  <si>
    <t xml:space="preserve"> 4-kun Nazariy va amaliy ta'lim/  2 kun Malakaviy amaliyot</t>
  </si>
  <si>
    <t>___________________</t>
  </si>
  <si>
    <t>________________________________________________________________</t>
  </si>
  <si>
    <t>1,2</t>
  </si>
  <si>
    <t>1,3,5,7</t>
  </si>
  <si>
    <t>IT204</t>
  </si>
  <si>
    <t>4kun nazariy / 2kun amaliyot</t>
  </si>
  <si>
    <t>3-9</t>
  </si>
  <si>
    <r>
      <t xml:space="preserve">1. </t>
    </r>
    <r>
      <rPr>
        <sz val="48"/>
        <rFont val="Times New Roman"/>
        <family val="1"/>
        <charset val="204"/>
      </rPr>
      <t>3-9 semestrlarda Semestrlar uchun ajratilgan amaliyot soatlari semestr davomida kunduzgi vaqt hisobidan bajariladi</t>
    </r>
  </si>
  <si>
    <t>O‘qish va yozuv amaliyoti</t>
  </si>
  <si>
    <t>Sohada IT texnologiyalarini qo‘llash</t>
  </si>
  <si>
    <t>Maktabgacha ta'limda STEAM-texnologiyalari</t>
  </si>
  <si>
    <t>3-sem 30</t>
  </si>
  <si>
    <t>1-sem 60, 2-sem 60, 3-sem:60, 4-sem 60</t>
  </si>
  <si>
    <t>Inklyuziv ta'lim. Davolash pedagogika</t>
  </si>
  <si>
    <t>4-sem: 24, 5-sem48, 6-sem:24</t>
  </si>
  <si>
    <t>Uzluksiz ta'limdagi tendensiyalar va zamonaviy yondashuvlar</t>
  </si>
  <si>
    <t>Semestrda auditoriya haftalarining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</si>
</sst>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7" x14ac:knownFonts="1">
    <font>
      <sz val="10"/>
      <name val="Arial Cyr"/>
      <charset val="204"/>
    </font>
    <font>
      <sz val="8"/>
      <name val="Arial Cyr"/>
      <charset val="204"/>
    </font>
    <font>
      <b/>
      <sz val="3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b/>
      <sz val="36"/>
      <name val="Times New Roman"/>
      <family val="1"/>
      <charset val="204"/>
    </font>
    <font>
      <sz val="20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sz val="24"/>
      <name val="Times New Roman"/>
      <family val="1"/>
      <charset val="204"/>
    </font>
    <font>
      <sz val="18"/>
      <name val="Times New Roman"/>
      <family val="1"/>
      <charset val="204"/>
    </font>
    <font>
      <b/>
      <sz val="30"/>
      <name val="Times New Roman"/>
      <family val="1"/>
      <charset val="204"/>
    </font>
    <font>
      <sz val="38"/>
      <name val="Times New Roman"/>
      <family val="1"/>
      <charset val="204"/>
    </font>
    <font>
      <b/>
      <sz val="48"/>
      <name val="Times New Roman"/>
      <family val="1"/>
      <charset val="204"/>
    </font>
    <font>
      <sz val="48"/>
      <name val="Times New Roman"/>
      <family val="1"/>
      <charset val="204"/>
    </font>
    <font>
      <sz val="3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32"/>
      <name val="Times New Roman"/>
      <family val="1"/>
      <charset val="204"/>
    </font>
    <font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48"/>
      <name val="Arial Cyr"/>
      <charset val="204"/>
    </font>
    <font>
      <sz val="48"/>
      <name val="Arial Cyr"/>
      <charset val="204"/>
    </font>
    <font>
      <b/>
      <sz val="55"/>
      <name val="Times New Roman"/>
      <family val="1"/>
      <charset val="204"/>
    </font>
    <font>
      <i/>
      <sz val="26"/>
      <name val="Times New Roman"/>
      <family val="1"/>
      <charset val="204"/>
    </font>
    <font>
      <b/>
      <sz val="40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80"/>
      <name val="Times New Roman"/>
      <family val="1"/>
      <charset val="204"/>
    </font>
    <font>
      <b/>
      <sz val="65"/>
      <name val="Times New Roman"/>
      <family val="1"/>
      <charset val="204"/>
    </font>
    <font>
      <b/>
      <sz val="52"/>
      <name val="Times New Roman"/>
      <family val="1"/>
      <charset val="204"/>
    </font>
    <font>
      <sz val="40"/>
      <name val="Times New Roman"/>
      <family val="1"/>
      <charset val="204"/>
    </font>
    <font>
      <sz val="50"/>
      <name val="Arial Cyr"/>
      <charset val="204"/>
    </font>
    <font>
      <b/>
      <sz val="52"/>
      <name val="Arial Cyr"/>
      <charset val="204"/>
    </font>
    <font>
      <sz val="55"/>
      <name val="Times New Roman"/>
      <family val="1"/>
      <charset val="204"/>
    </font>
    <font>
      <b/>
      <sz val="44"/>
      <name val="Times New Roman"/>
      <family val="1"/>
      <charset val="204"/>
    </font>
    <font>
      <sz val="44"/>
      <name val="Times New Roman"/>
      <family val="1"/>
      <charset val="204"/>
    </font>
    <font>
      <b/>
      <sz val="34"/>
      <name val="Times New Roman"/>
      <family val="1"/>
      <charset val="204"/>
    </font>
    <font>
      <sz val="32"/>
      <name val="Times New Roman"/>
      <family val="1"/>
      <charset val="204"/>
    </font>
    <font>
      <i/>
      <sz val="40"/>
      <name val="Times New Roman"/>
      <family val="1"/>
      <charset val="204"/>
    </font>
    <font>
      <b/>
      <i/>
      <sz val="36"/>
      <name val="Times New Roman"/>
      <family val="1"/>
      <charset val="204"/>
    </font>
    <font>
      <sz val="10"/>
      <color rgb="FFFF0000"/>
      <name val="Arial Cyr"/>
      <charset val="204"/>
    </font>
    <font>
      <sz val="34"/>
      <name val="Times New Roman"/>
      <family val="1"/>
      <charset val="204"/>
    </font>
    <font>
      <b/>
      <sz val="28"/>
      <name val="Times New Roman"/>
      <family val="1"/>
      <charset val="204"/>
    </font>
    <font>
      <sz val="44"/>
      <name val="Arial Cyr"/>
      <charset val="204"/>
    </font>
    <font>
      <b/>
      <sz val="45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 diagonalUp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Up="1">
      <left/>
      <right/>
      <top style="medium">
        <color indexed="64"/>
      </top>
      <bottom/>
      <diagonal style="medium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>
      <left/>
      <right/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49" fontId="5" fillId="2" borderId="0" xfId="0" applyNumberFormat="1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5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 wrapText="1"/>
    </xf>
    <xf numFmtId="49" fontId="9" fillId="2" borderId="0" xfId="0" applyNumberFormat="1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/>
    <xf numFmtId="0" fontId="9" fillId="2" borderId="0" xfId="0" applyFont="1" applyFill="1"/>
    <xf numFmtId="49" fontId="9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vertical="center" wrapText="1"/>
    </xf>
    <xf numFmtId="49" fontId="12" fillId="2" borderId="0" xfId="0" applyNumberFormat="1" applyFont="1" applyFill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 wrapText="1"/>
    </xf>
    <xf numFmtId="49" fontId="16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49" fontId="16" fillId="2" borderId="0" xfId="0" applyNumberFormat="1" applyFont="1" applyFill="1" applyAlignment="1">
      <alignment horizontal="justify" vertical="center" wrapText="1"/>
    </xf>
    <xf numFmtId="1" fontId="16" fillId="2" borderId="0" xfId="0" applyNumberFormat="1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2" borderId="0" xfId="0" applyFont="1" applyFill="1"/>
    <xf numFmtId="0" fontId="21" fillId="2" borderId="0" xfId="0" applyFont="1" applyFill="1"/>
    <xf numFmtId="0" fontId="16" fillId="2" borderId="0" xfId="0" applyFont="1" applyFill="1"/>
    <xf numFmtId="0" fontId="23" fillId="2" borderId="0" xfId="0" applyFont="1" applyFill="1"/>
    <xf numFmtId="49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justify" vertical="center" wrapText="1"/>
    </xf>
    <xf numFmtId="0" fontId="24" fillId="2" borderId="0" xfId="0" applyFont="1" applyFill="1" applyAlignment="1">
      <alignment horizontal="justify"/>
    </xf>
    <xf numFmtId="0" fontId="24" fillId="2" borderId="0" xfId="0" applyFont="1" applyFill="1"/>
    <xf numFmtId="49" fontId="17" fillId="2" borderId="0" xfId="0" applyNumberFormat="1" applyFont="1" applyFill="1"/>
    <xf numFmtId="0" fontId="17" fillId="2" borderId="0" xfId="0" applyFont="1" applyFill="1"/>
    <xf numFmtId="1" fontId="17" fillId="2" borderId="0" xfId="0" applyNumberFormat="1" applyFont="1" applyFill="1"/>
    <xf numFmtId="2" fontId="16" fillId="2" borderId="0" xfId="0" applyNumberFormat="1" applyFont="1" applyFill="1"/>
    <xf numFmtId="0" fontId="8" fillId="2" borderId="0" xfId="0" applyFont="1" applyFill="1"/>
    <xf numFmtId="1" fontId="18" fillId="2" borderId="0" xfId="0" applyNumberFormat="1" applyFont="1" applyFill="1"/>
    <xf numFmtId="49" fontId="18" fillId="2" borderId="0" xfId="0" applyNumberFormat="1" applyFont="1" applyFill="1"/>
    <xf numFmtId="2" fontId="8" fillId="2" borderId="0" xfId="0" applyNumberFormat="1" applyFont="1" applyFill="1"/>
    <xf numFmtId="49" fontId="11" fillId="2" borderId="0" xfId="0" applyNumberFormat="1" applyFont="1" applyFill="1"/>
    <xf numFmtId="1" fontId="11" fillId="2" borderId="0" xfId="0" applyNumberFormat="1" applyFont="1" applyFill="1"/>
    <xf numFmtId="2" fontId="19" fillId="2" borderId="0" xfId="0" applyNumberFormat="1" applyFont="1" applyFill="1"/>
    <xf numFmtId="0" fontId="19" fillId="2" borderId="0" xfId="0" applyFont="1" applyFill="1"/>
    <xf numFmtId="0" fontId="22" fillId="2" borderId="0" xfId="0" applyFont="1" applyFill="1" applyAlignment="1">
      <alignment horizontal="center"/>
    </xf>
    <xf numFmtId="0" fontId="22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3" fillId="0" borderId="0" xfId="0" applyFont="1" applyFill="1"/>
    <xf numFmtId="49" fontId="20" fillId="0" borderId="0" xfId="0" applyNumberFormat="1" applyFont="1" applyFill="1" applyAlignment="1">
      <alignment horizontal="center" vertical="center" wrapText="1"/>
    </xf>
    <xf numFmtId="0" fontId="22" fillId="0" borderId="0" xfId="0" applyFont="1" applyFill="1" applyAlignment="1">
      <alignment horizontal="left" vertical="center" wrapText="1"/>
    </xf>
    <xf numFmtId="49" fontId="16" fillId="0" borderId="0" xfId="0" applyNumberFormat="1" applyFont="1" applyFill="1" applyAlignment="1">
      <alignment horizontal="right" vertical="center" wrapText="1"/>
    </xf>
    <xf numFmtId="1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64" fontId="16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49" fontId="8" fillId="2" borderId="0" xfId="0" applyNumberFormat="1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 wrapText="1"/>
    </xf>
    <xf numFmtId="49" fontId="16" fillId="2" borderId="0" xfId="0" applyNumberFormat="1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 vertical="center"/>
    </xf>
    <xf numFmtId="49" fontId="16" fillId="2" borderId="0" xfId="0" applyNumberFormat="1" applyFont="1" applyFill="1" applyBorder="1" applyAlignment="1">
      <alignment horizontal="left" wrapText="1"/>
    </xf>
    <xf numFmtId="0" fontId="22" fillId="0" borderId="0" xfId="0" applyFont="1" applyFill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0" fillId="6" borderId="0" xfId="0" applyFill="1"/>
    <xf numFmtId="0" fontId="16" fillId="4" borderId="1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 vertical="center"/>
    </xf>
    <xf numFmtId="0" fontId="32" fillId="3" borderId="1" xfId="0" applyFont="1" applyFill="1" applyBorder="1" applyAlignment="1">
      <alignment vertical="center"/>
    </xf>
    <xf numFmtId="49" fontId="32" fillId="2" borderId="1" xfId="0" applyNumberFormat="1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vertical="center"/>
    </xf>
    <xf numFmtId="0" fontId="27" fillId="4" borderId="1" xfId="0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left" vertical="center" wrapText="1"/>
    </xf>
    <xf numFmtId="49" fontId="27" fillId="2" borderId="1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17" fillId="2" borderId="9" xfId="0" applyFont="1" applyFill="1" applyBorder="1"/>
    <xf numFmtId="0" fontId="17" fillId="2" borderId="0" xfId="0" applyFont="1" applyFill="1" applyBorder="1"/>
    <xf numFmtId="0" fontId="17" fillId="2" borderId="10" xfId="0" applyFont="1" applyFill="1" applyBorder="1"/>
    <xf numFmtId="0" fontId="17" fillId="2" borderId="11" xfId="0" applyFont="1" applyFill="1" applyBorder="1"/>
    <xf numFmtId="0" fontId="17" fillId="2" borderId="12" xfId="0" applyFont="1" applyFill="1" applyBorder="1"/>
    <xf numFmtId="0" fontId="17" fillId="2" borderId="13" xfId="0" applyFont="1" applyFill="1" applyBorder="1"/>
    <xf numFmtId="0" fontId="16" fillId="2" borderId="7" xfId="0" applyFont="1" applyFill="1" applyBorder="1"/>
    <xf numFmtId="0" fontId="16" fillId="2" borderId="0" xfId="0" applyFont="1" applyFill="1" applyBorder="1"/>
    <xf numFmtId="0" fontId="33" fillId="0" borderId="0" xfId="0" applyFont="1" applyFill="1" applyAlignment="1">
      <alignment horizontal="left" vertical="center"/>
    </xf>
    <xf numFmtId="49" fontId="31" fillId="2" borderId="0" xfId="0" applyNumberFormat="1" applyFont="1" applyFill="1" applyBorder="1" applyAlignment="1">
      <alignment vertical="center" wrapText="1"/>
    </xf>
    <xf numFmtId="0" fontId="34" fillId="0" borderId="0" xfId="0" applyFont="1"/>
    <xf numFmtId="49" fontId="31" fillId="2" borderId="0" xfId="0" applyNumberFormat="1" applyFont="1" applyFill="1" applyBorder="1" applyAlignment="1">
      <alignment vertical="center"/>
    </xf>
    <xf numFmtId="0" fontId="31" fillId="2" borderId="0" xfId="0" applyFont="1" applyFill="1" applyBorder="1" applyAlignment="1">
      <alignment horizontal="left"/>
    </xf>
    <xf numFmtId="0" fontId="31" fillId="2" borderId="0" xfId="0" applyFont="1" applyFill="1" applyBorder="1" applyAlignment="1">
      <alignment horizontal="left" vertical="center"/>
    </xf>
    <xf numFmtId="49" fontId="31" fillId="2" borderId="0" xfId="0" applyNumberFormat="1" applyFont="1" applyFill="1" applyBorder="1" applyAlignment="1">
      <alignment horizontal="left" wrapText="1"/>
    </xf>
    <xf numFmtId="0" fontId="31" fillId="2" borderId="0" xfId="0" applyFont="1" applyFill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49" fontId="18" fillId="0" borderId="1" xfId="0" applyNumberFormat="1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 wrapText="1"/>
    </xf>
    <xf numFmtId="49" fontId="18" fillId="6" borderId="1" xfId="0" applyNumberFormat="1" applyFont="1" applyFill="1" applyBorder="1" applyAlignment="1">
      <alignment horizontal="left" vertical="center" wrapText="1"/>
    </xf>
    <xf numFmtId="49" fontId="18" fillId="2" borderId="1" xfId="0" applyNumberFormat="1" applyFont="1" applyFill="1" applyBorder="1" applyAlignment="1">
      <alignment horizontal="left" vertical="center" wrapText="1"/>
    </xf>
    <xf numFmtId="0" fontId="8" fillId="4" borderId="34" xfId="0" applyFont="1" applyFill="1" applyBorder="1" applyAlignment="1">
      <alignment horizontal="center" vertical="center" wrapText="1"/>
    </xf>
    <xf numFmtId="49" fontId="27" fillId="2" borderId="34" xfId="0" applyNumberFormat="1" applyFont="1" applyFill="1" applyBorder="1" applyAlignment="1">
      <alignment horizontal="center" vertical="center" wrapText="1"/>
    </xf>
    <xf numFmtId="49" fontId="27" fillId="0" borderId="34" xfId="0" applyNumberFormat="1" applyFont="1" applyFill="1" applyBorder="1" applyAlignment="1">
      <alignment horizontal="center" vertical="center" wrapText="1"/>
    </xf>
    <xf numFmtId="49" fontId="27" fillId="6" borderId="34" xfId="0" applyNumberFormat="1" applyFont="1" applyFill="1" applyBorder="1" applyAlignment="1">
      <alignment horizontal="center" vertical="center" wrapText="1"/>
    </xf>
    <xf numFmtId="0" fontId="27" fillId="4" borderId="34" xfId="0" applyFont="1" applyFill="1" applyBorder="1" applyAlignment="1">
      <alignment horizontal="center" vertical="center" wrapText="1"/>
    </xf>
    <xf numFmtId="49" fontId="20" fillId="4" borderId="34" xfId="0" applyNumberFormat="1" applyFont="1" applyFill="1" applyBorder="1" applyAlignment="1">
      <alignment horizontal="center" vertical="center" wrapText="1"/>
    </xf>
    <xf numFmtId="49" fontId="20" fillId="0" borderId="34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49" fontId="20" fillId="5" borderId="62" xfId="0" applyNumberFormat="1" applyFont="1" applyFill="1" applyBorder="1" applyAlignment="1">
      <alignment horizontal="center" vertical="center" wrapText="1"/>
    </xf>
    <xf numFmtId="0" fontId="22" fillId="5" borderId="63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71" xfId="0" applyFont="1" applyFill="1" applyBorder="1" applyAlignment="1">
      <alignment horizontal="center" vertical="center"/>
    </xf>
    <xf numFmtId="49" fontId="9" fillId="2" borderId="0" xfId="0" applyNumberFormat="1" applyFont="1" applyFill="1" applyBorder="1"/>
    <xf numFmtId="0" fontId="2" fillId="2" borderId="0" xfId="0" applyFont="1" applyFill="1" applyBorder="1" applyAlignment="1">
      <alignment vertical="center" textRotation="90"/>
    </xf>
    <xf numFmtId="0" fontId="3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textRotation="90" wrapText="1"/>
    </xf>
    <xf numFmtId="49" fontId="1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 textRotation="90" wrapText="1"/>
    </xf>
    <xf numFmtId="0" fontId="15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/>
    <xf numFmtId="0" fontId="9" fillId="2" borderId="0" xfId="0" applyFont="1" applyFill="1" applyBorder="1"/>
    <xf numFmtId="49" fontId="9" fillId="2" borderId="0" xfId="0" applyNumberFormat="1" applyFont="1" applyFill="1" applyBorder="1" applyAlignment="1">
      <alignment horizontal="center" vertical="center"/>
    </xf>
    <xf numFmtId="49" fontId="12" fillId="2" borderId="0" xfId="0" applyNumberFormat="1" applyFont="1" applyFill="1" applyBorder="1" applyAlignment="1">
      <alignment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 wrapText="1"/>
    </xf>
    <xf numFmtId="49" fontId="16" fillId="2" borderId="0" xfId="0" applyNumberFormat="1" applyFont="1" applyFill="1" applyBorder="1" applyAlignment="1">
      <alignment vertical="center"/>
    </xf>
    <xf numFmtId="49" fontId="16" fillId="2" borderId="0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justify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32" fillId="2" borderId="23" xfId="0" applyFont="1" applyFill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40" fillId="2" borderId="23" xfId="0" applyFont="1" applyFill="1" applyBorder="1" applyAlignment="1">
      <alignment horizontal="center" vertical="center" wrapText="1"/>
    </xf>
    <xf numFmtId="0" fontId="40" fillId="2" borderId="0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32" fillId="0" borderId="23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40" fillId="0" borderId="23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2" fillId="6" borderId="0" xfId="0" applyFont="1" applyFill="1" applyAlignment="1">
      <alignment horizontal="center"/>
    </xf>
    <xf numFmtId="0" fontId="42" fillId="6" borderId="0" xfId="0" applyFont="1" applyFill="1"/>
    <xf numFmtId="0" fontId="0" fillId="6" borderId="0" xfId="0" applyFont="1" applyFill="1"/>
    <xf numFmtId="0" fontId="0" fillId="6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2" fillId="2" borderId="0" xfId="0" applyFont="1" applyFill="1"/>
    <xf numFmtId="0" fontId="32" fillId="2" borderId="0" xfId="0" applyFont="1" applyFill="1" applyAlignment="1">
      <alignment horizontal="center" vertical="center"/>
    </xf>
    <xf numFmtId="0" fontId="3" fillId="2" borderId="0" xfId="0" applyFont="1" applyFill="1" applyBorder="1"/>
    <xf numFmtId="0" fontId="6" fillId="2" borderId="0" xfId="0" applyFont="1" applyFill="1" applyBorder="1"/>
    <xf numFmtId="0" fontId="20" fillId="2" borderId="0" xfId="0" applyFont="1" applyFill="1" applyBorder="1" applyAlignment="1">
      <alignment vertical="center"/>
    </xf>
    <xf numFmtId="0" fontId="44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45" fillId="0" borderId="0" xfId="0" applyFont="1"/>
    <xf numFmtId="0" fontId="36" fillId="2" borderId="3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vertical="center"/>
    </xf>
    <xf numFmtId="0" fontId="44" fillId="2" borderId="14" xfId="0" applyFont="1" applyFill="1" applyBorder="1" applyAlignment="1">
      <alignment horizontal="center" vertical="center"/>
    </xf>
    <xf numFmtId="0" fontId="44" fillId="2" borderId="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justify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44" fillId="2" borderId="71" xfId="0" applyFont="1" applyFill="1" applyBorder="1" applyAlignment="1">
      <alignment horizontal="center" vertical="center"/>
    </xf>
    <xf numFmtId="49" fontId="32" fillId="6" borderId="1" xfId="0" applyNumberFormat="1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vertical="center"/>
    </xf>
    <xf numFmtId="0" fontId="27" fillId="2" borderId="34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justify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28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32" fillId="0" borderId="1" xfId="0" applyFont="1" applyFill="1" applyBorder="1" applyAlignment="1">
      <alignment vertical="center" wrapText="1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9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/>
    </xf>
    <xf numFmtId="49" fontId="31" fillId="2" borderId="0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1" fontId="16" fillId="2" borderId="46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49" fontId="17" fillId="2" borderId="1" xfId="0" applyNumberFormat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0" borderId="42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164" fontId="16" fillId="0" borderId="6" xfId="0" applyNumberFormat="1" applyFont="1" applyFill="1" applyBorder="1" applyAlignment="1">
      <alignment horizontal="center" vertical="center" wrapText="1"/>
    </xf>
    <xf numFmtId="164" fontId="16" fillId="0" borderId="7" xfId="0" applyNumberFormat="1" applyFont="1" applyFill="1" applyBorder="1" applyAlignment="1">
      <alignment horizontal="center" vertical="center" wrapText="1"/>
    </xf>
    <xf numFmtId="164" fontId="16" fillId="0" borderId="8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Fill="1" applyBorder="1" applyAlignment="1">
      <alignment horizontal="center" vertical="center" wrapText="1"/>
    </xf>
    <xf numFmtId="164" fontId="16" fillId="0" borderId="12" xfId="0" applyNumberFormat="1" applyFont="1" applyFill="1" applyBorder="1" applyAlignment="1">
      <alignment horizontal="center" vertical="center" wrapText="1"/>
    </xf>
    <xf numFmtId="164" fontId="16" fillId="0" borderId="13" xfId="0" applyNumberFormat="1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16" fillId="0" borderId="50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horizontal="center" vertical="center"/>
    </xf>
    <xf numFmtId="0" fontId="17" fillId="0" borderId="46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1" fontId="16" fillId="4" borderId="46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 wrapText="1"/>
    </xf>
    <xf numFmtId="1" fontId="16" fillId="4" borderId="42" xfId="0" applyNumberFormat="1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" fontId="16" fillId="4" borderId="4" xfId="0" applyNumberFormat="1" applyFont="1" applyFill="1" applyBorder="1" applyAlignment="1">
      <alignment horizontal="center" vertical="center" wrapText="1"/>
    </xf>
    <xf numFmtId="1" fontId="16" fillId="4" borderId="5" xfId="0" applyNumberFormat="1" applyFont="1" applyFill="1" applyBorder="1" applyAlignment="1">
      <alignment horizontal="center" vertical="center" wrapText="1"/>
    </xf>
    <xf numFmtId="1" fontId="16" fillId="4" borderId="3" xfId="0" applyNumberFormat="1" applyFont="1" applyFill="1" applyBorder="1" applyAlignment="1">
      <alignment horizontal="center" vertical="center" wrapText="1"/>
    </xf>
    <xf numFmtId="1" fontId="16" fillId="0" borderId="46" xfId="0" applyNumberFormat="1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6" fillId="2" borderId="4" xfId="0" applyNumberFormat="1" applyFont="1" applyFill="1" applyBorder="1" applyAlignment="1">
      <alignment horizontal="center" vertical="center"/>
    </xf>
    <xf numFmtId="49" fontId="16" fillId="2" borderId="5" xfId="0" applyNumberFormat="1" applyFont="1" applyFill="1" applyBorder="1" applyAlignment="1">
      <alignment horizontal="center" vertical="center"/>
    </xf>
    <xf numFmtId="49" fontId="16" fillId="2" borderId="3" xfId="0" applyNumberFormat="1" applyFont="1" applyFill="1" applyBorder="1" applyAlignment="1">
      <alignment horizontal="center" vertical="center"/>
    </xf>
    <xf numFmtId="49" fontId="16" fillId="2" borderId="4" xfId="0" applyNumberFormat="1" applyFont="1" applyFill="1" applyBorder="1" applyAlignment="1">
      <alignment horizontal="center" vertical="center" wrapText="1"/>
    </xf>
    <xf numFmtId="49" fontId="16" fillId="2" borderId="5" xfId="0" applyNumberFormat="1" applyFont="1" applyFill="1" applyBorder="1" applyAlignment="1">
      <alignment horizontal="center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49" fontId="17" fillId="2" borderId="4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right" vertical="center" wrapText="1"/>
    </xf>
    <xf numFmtId="0" fontId="16" fillId="4" borderId="1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justify" vertical="center" wrapText="1"/>
    </xf>
    <xf numFmtId="1" fontId="16" fillId="5" borderId="47" xfId="0" applyNumberFormat="1" applyFont="1" applyFill="1" applyBorder="1" applyAlignment="1">
      <alignment horizontal="center" vertical="center"/>
    </xf>
    <xf numFmtId="1" fontId="16" fillId="5" borderId="48" xfId="0" applyNumberFormat="1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right" vertical="center" wrapText="1"/>
    </xf>
    <xf numFmtId="1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 wrapText="1"/>
    </xf>
    <xf numFmtId="1" fontId="16" fillId="4" borderId="4" xfId="0" applyNumberFormat="1" applyFont="1" applyFill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28" fillId="2" borderId="14" xfId="0" applyFont="1" applyFill="1" applyBorder="1" applyAlignment="1">
      <alignment horizontal="center" vertical="center" textRotation="90" wrapText="1"/>
    </xf>
    <xf numFmtId="0" fontId="28" fillId="2" borderId="15" xfId="0" applyFont="1" applyFill="1" applyBorder="1" applyAlignment="1">
      <alignment horizontal="center" vertical="center" textRotation="90" wrapText="1"/>
    </xf>
    <xf numFmtId="0" fontId="28" fillId="2" borderId="16" xfId="0" applyFont="1" applyFill="1" applyBorder="1" applyAlignment="1">
      <alignment horizontal="center" vertical="center" textRotation="90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50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textRotation="90" wrapText="1"/>
    </xf>
    <xf numFmtId="0" fontId="28" fillId="2" borderId="7" xfId="0" applyFont="1" applyFill="1" applyBorder="1" applyAlignment="1">
      <alignment horizontal="center" vertical="center" textRotation="90" wrapText="1"/>
    </xf>
    <xf numFmtId="0" fontId="28" fillId="2" borderId="8" xfId="0" applyFont="1" applyFill="1" applyBorder="1" applyAlignment="1">
      <alignment horizontal="center" vertical="center" textRotation="90" wrapText="1"/>
    </xf>
    <xf numFmtId="0" fontId="28" fillId="2" borderId="9" xfId="0" applyFont="1" applyFill="1" applyBorder="1" applyAlignment="1">
      <alignment horizontal="center" vertical="center" textRotation="90" wrapText="1"/>
    </xf>
    <xf numFmtId="0" fontId="28" fillId="2" borderId="0" xfId="0" applyFont="1" applyFill="1" applyBorder="1" applyAlignment="1">
      <alignment horizontal="center" vertical="center" textRotation="90" wrapText="1"/>
    </xf>
    <xf numFmtId="0" fontId="28" fillId="2" borderId="10" xfId="0" applyFont="1" applyFill="1" applyBorder="1" applyAlignment="1">
      <alignment horizontal="center" vertical="center" textRotation="90" wrapText="1"/>
    </xf>
    <xf numFmtId="0" fontId="28" fillId="2" borderId="11" xfId="0" applyFont="1" applyFill="1" applyBorder="1" applyAlignment="1">
      <alignment horizontal="center" vertical="center" textRotation="90" wrapText="1"/>
    </xf>
    <xf numFmtId="0" fontId="28" fillId="2" borderId="12" xfId="0" applyFont="1" applyFill="1" applyBorder="1" applyAlignment="1">
      <alignment horizontal="center" vertical="center" textRotation="90" wrapText="1"/>
    </xf>
    <xf numFmtId="0" fontId="28" fillId="2" borderId="13" xfId="0" applyFont="1" applyFill="1" applyBorder="1" applyAlignment="1">
      <alignment horizontal="center" vertical="center" textRotation="90" wrapText="1"/>
    </xf>
    <xf numFmtId="2" fontId="28" fillId="2" borderId="1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8" fillId="2" borderId="42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textRotation="90" wrapText="1"/>
    </xf>
    <xf numFmtId="1" fontId="28" fillId="2" borderId="42" xfId="0" applyNumberFormat="1" applyFont="1" applyFill="1" applyBorder="1" applyAlignment="1">
      <alignment horizontal="center" vertical="center" textRotation="90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28" fillId="2" borderId="46" xfId="0" applyNumberFormat="1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1" fontId="28" fillId="2" borderId="28" xfId="0" applyNumberFormat="1" applyFont="1" applyFill="1" applyBorder="1" applyAlignment="1">
      <alignment horizontal="center" vertical="center" textRotation="90" wrapText="1"/>
    </xf>
    <xf numFmtId="1" fontId="28" fillId="2" borderId="44" xfId="0" applyNumberFormat="1" applyFont="1" applyFill="1" applyBorder="1" applyAlignment="1">
      <alignment horizontal="center" vertical="center" textRotation="90" wrapText="1"/>
    </xf>
    <xf numFmtId="1" fontId="28" fillId="2" borderId="45" xfId="0" applyNumberFormat="1" applyFont="1" applyFill="1" applyBorder="1" applyAlignment="1">
      <alignment horizontal="center" vertical="center" textRotation="90" wrapText="1"/>
    </xf>
    <xf numFmtId="1" fontId="28" fillId="2" borderId="46" xfId="0" applyNumberFormat="1" applyFont="1" applyFill="1" applyBorder="1" applyAlignment="1">
      <alignment horizontal="center" vertical="center" textRotation="90" wrapText="1"/>
    </xf>
    <xf numFmtId="1" fontId="17" fillId="0" borderId="1" xfId="0" applyNumberFormat="1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" fontId="16" fillId="2" borderId="0" xfId="0" applyNumberFormat="1" applyFont="1" applyFill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" fontId="16" fillId="2" borderId="43" xfId="0" applyNumberFormat="1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49" fontId="27" fillId="2" borderId="14" xfId="0" applyNumberFormat="1" applyFont="1" applyFill="1" applyBorder="1" applyAlignment="1">
      <alignment horizontal="center" vertical="center" wrapText="1"/>
    </xf>
    <xf numFmtId="49" fontId="27" fillId="2" borderId="16" xfId="0" applyNumberFormat="1" applyFont="1" applyFill="1" applyBorder="1" applyAlignment="1">
      <alignment horizontal="center" vertical="center" wrapText="1"/>
    </xf>
    <xf numFmtId="49" fontId="27" fillId="0" borderId="14" xfId="0" applyNumberFormat="1" applyFont="1" applyFill="1" applyBorder="1" applyAlignment="1">
      <alignment horizontal="center" vertical="center" wrapText="1"/>
    </xf>
    <xf numFmtId="49" fontId="27" fillId="0" borderId="16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textRotation="90"/>
    </xf>
    <xf numFmtId="0" fontId="27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textRotation="90"/>
    </xf>
    <xf numFmtId="0" fontId="38" fillId="2" borderId="6" xfId="0" applyFont="1" applyFill="1" applyBorder="1" applyAlignment="1">
      <alignment horizontal="center" vertical="center" textRotation="90" wrapText="1"/>
    </xf>
    <xf numFmtId="0" fontId="38" fillId="2" borderId="8" xfId="0" applyFont="1" applyFill="1" applyBorder="1" applyAlignment="1">
      <alignment horizontal="center" vertical="center" textRotation="90" wrapText="1"/>
    </xf>
    <xf numFmtId="0" fontId="38" fillId="2" borderId="9" xfId="0" applyFont="1" applyFill="1" applyBorder="1" applyAlignment="1">
      <alignment horizontal="center" vertical="center" textRotation="90" wrapText="1"/>
    </xf>
    <xf numFmtId="0" fontId="38" fillId="2" borderId="10" xfId="0" applyFont="1" applyFill="1" applyBorder="1" applyAlignment="1">
      <alignment horizontal="center" vertical="center" textRotation="90" wrapText="1"/>
    </xf>
    <xf numFmtId="0" fontId="38" fillId="2" borderId="11" xfId="0" applyFont="1" applyFill="1" applyBorder="1" applyAlignment="1">
      <alignment horizontal="center" vertical="center" textRotation="90" wrapText="1"/>
    </xf>
    <xf numFmtId="0" fontId="38" fillId="2" borderId="13" xfId="0" applyFont="1" applyFill="1" applyBorder="1" applyAlignment="1">
      <alignment horizontal="center" vertical="center" textRotation="90" wrapText="1"/>
    </xf>
    <xf numFmtId="0" fontId="20" fillId="2" borderId="6" xfId="0" applyFont="1" applyFill="1" applyBorder="1" applyAlignment="1">
      <alignment horizontal="center" vertical="center" textRotation="90" wrapText="1"/>
    </xf>
    <xf numFmtId="0" fontId="20" fillId="2" borderId="8" xfId="0" applyFont="1" applyFill="1" applyBorder="1" applyAlignment="1">
      <alignment horizontal="center" vertical="center" textRotation="90" wrapText="1"/>
    </xf>
    <xf numFmtId="0" fontId="20" fillId="2" borderId="9" xfId="0" applyFont="1" applyFill="1" applyBorder="1" applyAlignment="1">
      <alignment horizontal="center" vertical="center" textRotation="90" wrapText="1"/>
    </xf>
    <xf numFmtId="0" fontId="20" fillId="2" borderId="10" xfId="0" applyFont="1" applyFill="1" applyBorder="1" applyAlignment="1">
      <alignment horizontal="center" vertical="center" textRotation="90" wrapText="1"/>
    </xf>
    <xf numFmtId="0" fontId="20" fillId="2" borderId="11" xfId="0" applyFont="1" applyFill="1" applyBorder="1" applyAlignment="1">
      <alignment horizontal="center" vertical="center" textRotation="90" wrapText="1"/>
    </xf>
    <xf numFmtId="0" fontId="20" fillId="2" borderId="13" xfId="0" applyFont="1" applyFill="1" applyBorder="1" applyAlignment="1">
      <alignment horizontal="center" vertical="center" textRotation="90" wrapText="1"/>
    </xf>
    <xf numFmtId="0" fontId="38" fillId="2" borderId="4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/>
    </xf>
    <xf numFmtId="0" fontId="18" fillId="2" borderId="72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18" fillId="2" borderId="74" xfId="0" applyFont="1" applyFill="1" applyBorder="1" applyAlignment="1">
      <alignment horizontal="center" vertical="center"/>
    </xf>
    <xf numFmtId="0" fontId="39" fillId="2" borderId="72" xfId="0" applyFont="1" applyFill="1" applyBorder="1" applyAlignment="1">
      <alignment horizontal="center" vertical="center" wrapText="1"/>
    </xf>
    <xf numFmtId="0" fontId="39" fillId="2" borderId="73" xfId="0" applyFont="1" applyFill="1" applyBorder="1" applyAlignment="1">
      <alignment horizontal="center" vertical="center" wrapText="1"/>
    </xf>
    <xf numFmtId="0" fontId="39" fillId="2" borderId="74" xfId="0" applyFont="1" applyFill="1" applyBorder="1" applyAlignment="1">
      <alignment horizontal="center" vertical="center" wrapText="1"/>
    </xf>
    <xf numFmtId="0" fontId="18" fillId="2" borderId="75" xfId="0" applyFont="1" applyFill="1" applyBorder="1" applyAlignment="1">
      <alignment horizontal="center" vertical="center"/>
    </xf>
    <xf numFmtId="0" fontId="18" fillId="2" borderId="76" xfId="0" applyFont="1" applyFill="1" applyBorder="1" applyAlignment="1">
      <alignment horizontal="center" vertical="center"/>
    </xf>
    <xf numFmtId="0" fontId="18" fillId="2" borderId="7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49" fontId="36" fillId="2" borderId="1" xfId="0" applyNumberFormat="1" applyFont="1" applyFill="1" applyBorder="1" applyAlignment="1">
      <alignment horizontal="center" vertical="center" wrapText="1"/>
    </xf>
    <xf numFmtId="49" fontId="37" fillId="2" borderId="1" xfId="0" applyNumberFormat="1" applyFont="1" applyFill="1" applyBorder="1" applyAlignment="1">
      <alignment horizontal="center" vertical="center" wrapText="1"/>
    </xf>
    <xf numFmtId="49" fontId="36" fillId="2" borderId="1" xfId="0" applyNumberFormat="1" applyFont="1" applyFill="1" applyBorder="1" applyAlignment="1">
      <alignment horizontal="center" vertical="center"/>
    </xf>
    <xf numFmtId="1" fontId="16" fillId="0" borderId="34" xfId="0" applyNumberFormat="1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35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1" fontId="16" fillId="0" borderId="4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7" fillId="0" borderId="40" xfId="0" applyFont="1" applyFill="1" applyBorder="1" applyAlignment="1">
      <alignment horizontal="center" vertical="center" wrapText="1"/>
    </xf>
    <xf numFmtId="0" fontId="17" fillId="0" borderId="4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6" fillId="0" borderId="41" xfId="0" applyFont="1" applyFill="1" applyBorder="1" applyAlignment="1">
      <alignment horizontal="center" vertical="center" wrapText="1"/>
    </xf>
    <xf numFmtId="0" fontId="17" fillId="0" borderId="35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4" borderId="35" xfId="0" applyFont="1" applyFill="1" applyBorder="1" applyAlignment="1">
      <alignment horizontal="center" vertical="center" wrapText="1"/>
    </xf>
    <xf numFmtId="1" fontId="16" fillId="4" borderId="34" xfId="0" applyNumberFormat="1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textRotation="90" wrapText="1"/>
    </xf>
    <xf numFmtId="0" fontId="14" fillId="2" borderId="7" xfId="0" applyFont="1" applyFill="1" applyBorder="1" applyAlignment="1">
      <alignment horizontal="center" vertical="center" textRotation="90" wrapText="1"/>
    </xf>
    <xf numFmtId="0" fontId="14" fillId="2" borderId="8" xfId="0" applyFont="1" applyFill="1" applyBorder="1" applyAlignment="1">
      <alignment horizontal="center" vertical="center" textRotation="90" wrapText="1"/>
    </xf>
    <xf numFmtId="0" fontId="14" fillId="2" borderId="9" xfId="0" applyFont="1" applyFill="1" applyBorder="1" applyAlignment="1">
      <alignment horizontal="center" vertical="center" textRotation="90" wrapText="1"/>
    </xf>
    <xf numFmtId="0" fontId="14" fillId="2" borderId="0" xfId="0" applyFont="1" applyFill="1" applyAlignment="1">
      <alignment horizontal="center" vertical="center" textRotation="90" wrapText="1"/>
    </xf>
    <xf numFmtId="0" fontId="14" fillId="2" borderId="10" xfId="0" applyFont="1" applyFill="1" applyBorder="1" applyAlignment="1">
      <alignment horizontal="center" vertical="center" textRotation="90" wrapText="1"/>
    </xf>
    <xf numFmtId="0" fontId="14" fillId="2" borderId="11" xfId="0" applyFont="1" applyFill="1" applyBorder="1" applyAlignment="1">
      <alignment horizontal="center" vertical="center" textRotation="90" wrapText="1"/>
    </xf>
    <xf numFmtId="0" fontId="14" fillId="2" borderId="12" xfId="0" applyFont="1" applyFill="1" applyBorder="1" applyAlignment="1">
      <alignment horizontal="center" vertical="center" textRotation="90" wrapText="1"/>
    </xf>
    <xf numFmtId="0" fontId="14" fillId="2" borderId="13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0" fontId="2" fillId="2" borderId="8" xfId="0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10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0" fillId="2" borderId="4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 wrapText="1"/>
    </xf>
    <xf numFmtId="0" fontId="28" fillId="2" borderId="52" xfId="0" applyFont="1" applyFill="1" applyBorder="1" applyAlignment="1">
      <alignment horizontal="center" vertical="center"/>
    </xf>
    <xf numFmtId="0" fontId="28" fillId="2" borderId="59" xfId="0" applyFont="1" applyFill="1" applyBorder="1" applyAlignment="1">
      <alignment horizontal="center" vertical="center"/>
    </xf>
    <xf numFmtId="0" fontId="28" fillId="2" borderId="60" xfId="0" applyFont="1" applyFill="1" applyBorder="1" applyAlignment="1">
      <alignment horizontal="center" vertical="center"/>
    </xf>
    <xf numFmtId="0" fontId="28" fillId="2" borderId="53" xfId="0" applyFont="1" applyFill="1" applyBorder="1" applyAlignment="1">
      <alignment horizontal="center" vertical="center" textRotation="90" wrapText="1"/>
    </xf>
    <xf numFmtId="2" fontId="28" fillId="2" borderId="54" xfId="0" applyNumberFormat="1" applyFont="1" applyFill="1" applyBorder="1" applyAlignment="1">
      <alignment horizontal="center" vertical="center" wrapText="1"/>
    </xf>
    <xf numFmtId="0" fontId="28" fillId="2" borderId="55" xfId="0" applyFont="1" applyFill="1" applyBorder="1" applyAlignment="1">
      <alignment horizontal="center" vertical="center" wrapText="1"/>
    </xf>
    <xf numFmtId="0" fontId="28" fillId="2" borderId="56" xfId="0" applyFont="1" applyFill="1" applyBorder="1" applyAlignment="1">
      <alignment horizontal="center" vertical="center" wrapText="1"/>
    </xf>
    <xf numFmtId="0" fontId="28" fillId="2" borderId="57" xfId="0" applyFont="1" applyFill="1" applyBorder="1" applyAlignment="1">
      <alignment horizontal="center" vertical="center" wrapText="1"/>
    </xf>
    <xf numFmtId="0" fontId="28" fillId="2" borderId="58" xfId="0" applyFont="1" applyFill="1" applyBorder="1" applyAlignment="1">
      <alignment horizontal="center" vertical="center" wrapText="1"/>
    </xf>
    <xf numFmtId="0" fontId="28" fillId="2" borderId="67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28" fillId="2" borderId="68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2" xfId="0" applyNumberFormat="1" applyFont="1" applyFill="1" applyBorder="1" applyAlignment="1">
      <alignment horizontal="center" vertical="center" wrapText="1"/>
    </xf>
    <xf numFmtId="1" fontId="16" fillId="2" borderId="39" xfId="0" applyNumberFormat="1" applyFont="1" applyFill="1" applyBorder="1" applyAlignment="1">
      <alignment horizontal="center" vertical="center" wrapText="1"/>
    </xf>
    <xf numFmtId="0" fontId="25" fillId="2" borderId="3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1" fontId="28" fillId="2" borderId="67" xfId="0" applyNumberFormat="1" applyFont="1" applyFill="1" applyBorder="1" applyAlignment="1">
      <alignment horizontal="center" vertical="center" textRotation="90" wrapText="1"/>
    </xf>
    <xf numFmtId="1" fontId="28" fillId="2" borderId="54" xfId="0" applyNumberFormat="1" applyFont="1" applyFill="1" applyBorder="1" applyAlignment="1">
      <alignment horizontal="center" vertical="center" textRotation="90" wrapText="1"/>
    </xf>
    <xf numFmtId="1" fontId="28" fillId="2" borderId="68" xfId="0" applyNumberFormat="1" applyFont="1" applyFill="1" applyBorder="1" applyAlignment="1">
      <alignment horizontal="center" vertical="center" textRotation="90" wrapText="1"/>
    </xf>
    <xf numFmtId="1" fontId="28" fillId="2" borderId="34" xfId="0" applyNumberFormat="1" applyFont="1" applyFill="1" applyBorder="1" applyAlignment="1">
      <alignment horizontal="center" vertical="center" textRotation="90" wrapText="1"/>
    </xf>
    <xf numFmtId="1" fontId="28" fillId="2" borderId="35" xfId="0" applyNumberFormat="1" applyFont="1" applyFill="1" applyBorder="1" applyAlignment="1">
      <alignment horizontal="center" vertical="center" textRotation="90" wrapText="1"/>
    </xf>
    <xf numFmtId="1" fontId="28" fillId="2" borderId="34" xfId="0" applyNumberFormat="1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/>
    </xf>
    <xf numFmtId="0" fontId="25" fillId="2" borderId="35" xfId="0" applyFont="1" applyFill="1" applyBorder="1" applyAlignment="1">
      <alignment horizontal="center" vertical="center" wrapText="1"/>
    </xf>
    <xf numFmtId="1" fontId="16" fillId="2" borderId="34" xfId="0" applyNumberFormat="1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" fontId="17" fillId="0" borderId="4" xfId="0" applyNumberFormat="1" applyFont="1" applyFill="1" applyBorder="1" applyAlignment="1">
      <alignment horizontal="center" vertical="center"/>
    </xf>
    <xf numFmtId="1" fontId="17" fillId="0" borderId="5" xfId="0" applyNumberFormat="1" applyFont="1" applyFill="1" applyBorder="1" applyAlignment="1">
      <alignment horizontal="center" vertical="center"/>
    </xf>
    <xf numFmtId="1" fontId="17" fillId="0" borderId="3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" fontId="16" fillId="4" borderId="35" xfId="0" applyNumberFormat="1" applyFont="1" applyFill="1" applyBorder="1" applyAlignment="1">
      <alignment horizontal="center" vertical="center" wrapText="1"/>
    </xf>
    <xf numFmtId="0" fontId="17" fillId="0" borderId="37" xfId="0" applyFont="1" applyFill="1" applyBorder="1" applyAlignment="1">
      <alignment horizontal="center" vertical="center" wrapText="1"/>
    </xf>
    <xf numFmtId="164" fontId="17" fillId="0" borderId="4" xfId="0" applyNumberFormat="1" applyFont="1" applyFill="1" applyBorder="1" applyAlignment="1">
      <alignment horizontal="center" vertical="center" wrapText="1"/>
    </xf>
    <xf numFmtId="164" fontId="17" fillId="0" borderId="5" xfId="0" applyNumberFormat="1" applyFont="1" applyFill="1" applyBorder="1" applyAlignment="1">
      <alignment horizontal="center" vertical="center" wrapText="1"/>
    </xf>
    <xf numFmtId="164" fontId="17" fillId="0" borderId="3" xfId="0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35" xfId="0" applyFont="1" applyFill="1" applyBorder="1" applyAlignment="1">
      <alignment horizontal="center" vertical="center" wrapText="1"/>
    </xf>
    <xf numFmtId="1" fontId="16" fillId="6" borderId="34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0" fontId="16" fillId="6" borderId="35" xfId="0" applyFont="1" applyFill="1" applyBorder="1" applyAlignment="1">
      <alignment horizontal="center" vertical="center"/>
    </xf>
    <xf numFmtId="0" fontId="17" fillId="6" borderId="35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>
      <alignment horizontal="left" vertical="center" wrapText="1"/>
    </xf>
    <xf numFmtId="49" fontId="17" fillId="7" borderId="1" xfId="0" applyNumberFormat="1" applyFont="1" applyFill="1" applyBorder="1" applyAlignment="1">
      <alignment horizontal="left" vertical="center" wrapText="1"/>
    </xf>
    <xf numFmtId="0" fontId="17" fillId="0" borderId="3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35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164" fontId="16" fillId="0" borderId="1" xfId="0" applyNumberFormat="1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16" fillId="5" borderId="63" xfId="0" applyNumberFormat="1" applyFont="1" applyFill="1" applyBorder="1" applyAlignment="1">
      <alignment horizontal="center" vertical="center" wrapText="1"/>
    </xf>
    <xf numFmtId="1" fontId="16" fillId="5" borderId="63" xfId="0" applyNumberFormat="1" applyFont="1" applyFill="1" applyBorder="1" applyAlignment="1">
      <alignment horizontal="center" vertical="center"/>
    </xf>
    <xf numFmtId="0" fontId="16" fillId="5" borderId="63" xfId="0" applyFont="1" applyFill="1" applyBorder="1" applyAlignment="1">
      <alignment horizontal="center" vertical="center"/>
    </xf>
    <xf numFmtId="1" fontId="16" fillId="5" borderId="64" xfId="0" applyNumberFormat="1" applyFont="1" applyFill="1" applyBorder="1" applyAlignment="1">
      <alignment horizontal="center" vertical="center"/>
    </xf>
    <xf numFmtId="0" fontId="16" fillId="5" borderId="65" xfId="0" applyFont="1" applyFill="1" applyBorder="1" applyAlignment="1">
      <alignment horizontal="center" vertical="center"/>
    </xf>
    <xf numFmtId="0" fontId="16" fillId="5" borderId="66" xfId="0" applyFont="1" applyFill="1" applyBorder="1" applyAlignment="1">
      <alignment horizontal="center" vertical="center"/>
    </xf>
    <xf numFmtId="0" fontId="16" fillId="5" borderId="62" xfId="0" applyFont="1" applyFill="1" applyBorder="1" applyAlignment="1">
      <alignment horizontal="center" vertical="center" wrapText="1"/>
    </xf>
    <xf numFmtId="0" fontId="16" fillId="5" borderId="63" xfId="0" applyFont="1" applyFill="1" applyBorder="1" applyAlignment="1">
      <alignment horizontal="center" vertical="center" wrapText="1"/>
    </xf>
    <xf numFmtId="0" fontId="16" fillId="5" borderId="64" xfId="0" applyFont="1" applyFill="1" applyBorder="1" applyAlignment="1">
      <alignment horizontal="center" vertical="center" wrapText="1"/>
    </xf>
    <xf numFmtId="0" fontId="16" fillId="5" borderId="70" xfId="0" applyFont="1" applyFill="1" applyBorder="1" applyAlignment="1">
      <alignment horizontal="center" vertical="center" wrapText="1"/>
    </xf>
    <xf numFmtId="49" fontId="16" fillId="5" borderId="63" xfId="0" applyNumberFormat="1" applyFont="1" applyFill="1" applyBorder="1" applyAlignment="1">
      <alignment horizontal="right" vertical="center" wrapText="1"/>
    </xf>
    <xf numFmtId="1" fontId="16" fillId="5" borderId="62" xfId="0" applyNumberFormat="1" applyFont="1" applyFill="1" applyBorder="1" applyAlignment="1">
      <alignment horizontal="center" vertical="center"/>
    </xf>
    <xf numFmtId="0" fontId="16" fillId="5" borderId="70" xfId="0" applyFont="1" applyFill="1" applyBorder="1" applyAlignment="1">
      <alignment horizontal="center" vertical="center"/>
    </xf>
    <xf numFmtId="1" fontId="16" fillId="2" borderId="0" xfId="0" applyNumberFormat="1" applyFont="1" applyFill="1" applyBorder="1" applyAlignment="1">
      <alignment horizontal="center" vertical="center" wrapText="1"/>
    </xf>
    <xf numFmtId="0" fontId="16" fillId="5" borderId="6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49" fontId="37" fillId="2" borderId="1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 wrapText="1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16" fillId="2" borderId="2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49" fontId="16" fillId="2" borderId="23" xfId="0" applyNumberFormat="1" applyFont="1" applyFill="1" applyBorder="1" applyAlignment="1">
      <alignment horizontal="center" vertical="center" wrapText="1"/>
    </xf>
    <xf numFmtId="49" fontId="16" fillId="2" borderId="0" xfId="0" applyNumberFormat="1" applyFont="1" applyFill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16" fillId="2" borderId="17" xfId="0" applyNumberFormat="1" applyFont="1" applyFill="1" applyBorder="1" applyAlignment="1">
      <alignment horizontal="center" vertical="center"/>
    </xf>
    <xf numFmtId="49" fontId="16" fillId="2" borderId="18" xfId="0" applyNumberFormat="1" applyFont="1" applyFill="1" applyBorder="1" applyAlignment="1">
      <alignment horizontal="center" vertical="center"/>
    </xf>
    <xf numFmtId="49" fontId="16" fillId="2" borderId="19" xfId="0" applyNumberFormat="1" applyFont="1" applyFill="1" applyBorder="1" applyAlignment="1">
      <alignment horizontal="center" vertical="center"/>
    </xf>
    <xf numFmtId="49" fontId="16" fillId="2" borderId="20" xfId="0" applyNumberFormat="1" applyFont="1" applyFill="1" applyBorder="1" applyAlignment="1">
      <alignment horizontal="center" vertical="center"/>
    </xf>
    <xf numFmtId="49" fontId="16" fillId="2" borderId="21" xfId="0" applyNumberFormat="1" applyFont="1" applyFill="1" applyBorder="1" applyAlignment="1">
      <alignment horizontal="center" vertical="center"/>
    </xf>
    <xf numFmtId="49" fontId="16" fillId="2" borderId="22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 wrapText="1"/>
    </xf>
    <xf numFmtId="49" fontId="17" fillId="0" borderId="4" xfId="0" applyNumberFormat="1" applyFont="1" applyFill="1" applyBorder="1" applyAlignment="1">
      <alignment horizontal="left" vertical="center" wrapText="1"/>
    </xf>
    <xf numFmtId="49" fontId="17" fillId="0" borderId="5" xfId="0" applyNumberFormat="1" applyFont="1" applyFill="1" applyBorder="1" applyAlignment="1">
      <alignment horizontal="left" vertical="center" wrapText="1"/>
    </xf>
    <xf numFmtId="49" fontId="17" fillId="0" borderId="3" xfId="0" applyNumberFormat="1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49" fontId="27" fillId="0" borderId="61" xfId="0" applyNumberFormat="1" applyFont="1" applyFill="1" applyBorder="1" applyAlignment="1">
      <alignment horizontal="center" vertical="center" wrapText="1"/>
    </xf>
    <xf numFmtId="49" fontId="27" fillId="0" borderId="60" xfId="0" applyNumberFormat="1" applyFont="1" applyFill="1" applyBorder="1" applyAlignment="1">
      <alignment horizontal="center" vertical="center" wrapText="1"/>
    </xf>
    <xf numFmtId="49" fontId="27" fillId="6" borderId="61" xfId="0" applyNumberFormat="1" applyFont="1" applyFill="1" applyBorder="1" applyAlignment="1">
      <alignment horizontal="center" vertical="center" wrapText="1"/>
    </xf>
    <xf numFmtId="49" fontId="27" fillId="6" borderId="60" xfId="0" applyNumberFormat="1" applyFont="1" applyFill="1" applyBorder="1" applyAlignment="1">
      <alignment horizontal="center" vertical="center" wrapText="1"/>
    </xf>
    <xf numFmtId="49" fontId="27" fillId="2" borderId="61" xfId="0" applyNumberFormat="1" applyFont="1" applyFill="1" applyBorder="1" applyAlignment="1">
      <alignment horizontal="center" vertical="center" wrapText="1"/>
    </xf>
    <xf numFmtId="49" fontId="27" fillId="2" borderId="60" xfId="0" applyNumberFormat="1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7" fillId="2" borderId="4" xfId="0" applyNumberFormat="1" applyFont="1" applyFill="1" applyBorder="1" applyAlignment="1">
      <alignment horizontal="center" vertical="center"/>
    </xf>
    <xf numFmtId="0" fontId="17" fillId="2" borderId="5" xfId="0" applyNumberFormat="1" applyFont="1" applyFill="1" applyBorder="1" applyAlignment="1">
      <alignment horizontal="center" vertical="center"/>
    </xf>
    <xf numFmtId="0" fontId="17" fillId="2" borderId="3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right" vertical="center"/>
    </xf>
    <xf numFmtId="1" fontId="16" fillId="0" borderId="3" xfId="0" applyNumberFormat="1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/>
    </xf>
    <xf numFmtId="0" fontId="16" fillId="2" borderId="5" xfId="0" applyNumberFormat="1" applyFont="1" applyFill="1" applyBorder="1" applyAlignment="1">
      <alignment horizontal="center" vertical="center"/>
    </xf>
    <xf numFmtId="0" fontId="16" fillId="2" borderId="3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left" vertical="center"/>
    </xf>
    <xf numFmtId="1" fontId="16" fillId="5" borderId="69" xfId="0" applyNumberFormat="1" applyFont="1" applyFill="1" applyBorder="1" applyAlignment="1">
      <alignment horizontal="center" vertical="center"/>
    </xf>
    <xf numFmtId="164" fontId="46" fillId="5" borderId="63" xfId="0" applyNumberFormat="1" applyFont="1" applyFill="1" applyBorder="1" applyAlignment="1">
      <alignment horizontal="center" vertical="center" wrapText="1"/>
    </xf>
    <xf numFmtId="1" fontId="16" fillId="4" borderId="3" xfId="0" applyNumberFormat="1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/>
    </xf>
    <xf numFmtId="0" fontId="27" fillId="2" borderId="34" xfId="0" applyFont="1" applyFill="1" applyBorder="1" applyAlignment="1">
      <alignment horizontal="center" vertical="center"/>
    </xf>
    <xf numFmtId="0" fontId="27" fillId="2" borderId="35" xfId="0" applyFont="1" applyFill="1" applyBorder="1" applyAlignment="1">
      <alignment horizontal="center" vertical="center"/>
    </xf>
    <xf numFmtId="1" fontId="27" fillId="2" borderId="4" xfId="0" applyNumberFormat="1" applyFont="1" applyFill="1" applyBorder="1" applyAlignment="1">
      <alignment horizontal="center" vertical="center"/>
    </xf>
    <xf numFmtId="1" fontId="27" fillId="2" borderId="5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7" fillId="2" borderId="36" xfId="0" applyNumberFormat="1" applyFont="1" applyFill="1" applyBorder="1" applyAlignment="1">
      <alignment horizontal="center" vertical="center"/>
    </xf>
    <xf numFmtId="1" fontId="28" fillId="2" borderId="3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center"/>
    </xf>
    <xf numFmtId="1" fontId="27" fillId="2" borderId="34" xfId="0" applyNumberFormat="1" applyFont="1" applyFill="1" applyBorder="1" applyAlignment="1">
      <alignment horizontal="center" vertical="center"/>
    </xf>
    <xf numFmtId="1" fontId="28" fillId="2" borderId="67" xfId="0" applyNumberFormat="1" applyFont="1" applyFill="1" applyBorder="1" applyAlignment="1">
      <alignment horizontal="center" vertical="center" textRotation="90"/>
    </xf>
    <xf numFmtId="1" fontId="28" fillId="2" borderId="78" xfId="0" applyNumberFormat="1" applyFont="1" applyFill="1" applyBorder="1" applyAlignment="1">
      <alignment horizontal="center" vertical="center" textRotation="90"/>
    </xf>
    <xf numFmtId="1" fontId="28" fillId="2" borderId="54" xfId="0" applyNumberFormat="1" applyFont="1" applyFill="1" applyBorder="1" applyAlignment="1">
      <alignment horizontal="center" vertical="center" textRotation="90"/>
    </xf>
    <xf numFmtId="1" fontId="28" fillId="2" borderId="68" xfId="0" applyNumberFormat="1" applyFont="1" applyFill="1" applyBorder="1" applyAlignment="1">
      <alignment horizontal="center" vertical="center" textRotation="90"/>
    </xf>
    <xf numFmtId="1" fontId="28" fillId="2" borderId="34" xfId="0" applyNumberFormat="1" applyFont="1" applyFill="1" applyBorder="1" applyAlignment="1">
      <alignment horizontal="center" vertical="center" textRotation="90"/>
    </xf>
    <xf numFmtId="1" fontId="28" fillId="2" borderId="3" xfId="0" applyNumberFormat="1" applyFont="1" applyFill="1" applyBorder="1" applyAlignment="1">
      <alignment horizontal="center" vertical="center" textRotation="90"/>
    </xf>
    <xf numFmtId="1" fontId="28" fillId="2" borderId="1" xfId="0" applyNumberFormat="1" applyFont="1" applyFill="1" applyBorder="1" applyAlignment="1">
      <alignment horizontal="center" vertical="center" textRotation="90"/>
    </xf>
    <xf numFmtId="1" fontId="28" fillId="2" borderId="35" xfId="0" applyNumberFormat="1" applyFont="1" applyFill="1" applyBorder="1" applyAlignment="1">
      <alignment horizontal="center" vertical="center" textRotation="90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vertical="center" wrapText="1"/>
    </xf>
    <xf numFmtId="0" fontId="20" fillId="2" borderId="74" xfId="0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center" vertical="center"/>
    </xf>
    <xf numFmtId="0" fontId="8" fillId="2" borderId="73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8" fillId="2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 wrapText="1"/>
    </xf>
    <xf numFmtId="0" fontId="8" fillId="2" borderId="8" xfId="0" applyFont="1" applyFill="1" applyBorder="1" applyAlignment="1">
      <alignment horizontal="center" vertical="center" textRotation="90" wrapText="1"/>
    </xf>
    <xf numFmtId="0" fontId="8" fillId="2" borderId="9" xfId="0" applyFont="1" applyFill="1" applyBorder="1" applyAlignment="1">
      <alignment horizontal="center" vertical="center" textRotation="90" wrapText="1"/>
    </xf>
    <xf numFmtId="0" fontId="8" fillId="2" borderId="10" xfId="0" applyFont="1" applyFill="1" applyBorder="1" applyAlignment="1">
      <alignment horizontal="center" vertical="center" textRotation="90" wrapText="1"/>
    </xf>
    <xf numFmtId="0" fontId="8" fillId="2" borderId="11" xfId="0" applyFont="1" applyFill="1" applyBorder="1" applyAlignment="1">
      <alignment horizontal="center" vertical="center" textRotation="90" wrapText="1"/>
    </xf>
    <xf numFmtId="0" fontId="8" fillId="2" borderId="13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right" vertical="center"/>
    </xf>
    <xf numFmtId="0" fontId="32" fillId="2" borderId="72" xfId="0" applyFont="1" applyFill="1" applyBorder="1" applyAlignment="1">
      <alignment horizontal="center" vertical="center"/>
    </xf>
    <xf numFmtId="0" fontId="32" fillId="2" borderId="73" xfId="0" applyFont="1" applyFill="1" applyBorder="1" applyAlignment="1">
      <alignment horizontal="center" vertical="center"/>
    </xf>
    <xf numFmtId="0" fontId="32" fillId="2" borderId="74" xfId="0" applyFont="1" applyFill="1" applyBorder="1" applyAlignment="1">
      <alignment horizontal="center" vertical="center"/>
    </xf>
    <xf numFmtId="0" fontId="18" fillId="2" borderId="72" xfId="0" applyFont="1" applyFill="1" applyBorder="1" applyAlignment="1">
      <alignment horizontal="center" vertical="center" wrapText="1"/>
    </xf>
    <xf numFmtId="0" fontId="18" fillId="2" borderId="73" xfId="0" applyFont="1" applyFill="1" applyBorder="1" applyAlignment="1">
      <alignment horizontal="center" vertical="center" wrapText="1"/>
    </xf>
    <xf numFmtId="0" fontId="18" fillId="2" borderId="7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3" fillId="2" borderId="72" xfId="0" applyFont="1" applyFill="1" applyBorder="1" applyAlignment="1">
      <alignment horizontal="center" vertical="center" wrapText="1"/>
    </xf>
    <xf numFmtId="0" fontId="43" fillId="2" borderId="73" xfId="0" applyFont="1" applyFill="1" applyBorder="1" applyAlignment="1">
      <alignment horizontal="center" vertical="center" wrapText="1"/>
    </xf>
    <xf numFmtId="0" fontId="43" fillId="2" borderId="74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37" fillId="0" borderId="3" xfId="0" applyFont="1" applyFill="1" applyBorder="1" applyAlignment="1">
      <alignment horizontal="left" vertical="center" wrapText="1"/>
    </xf>
    <xf numFmtId="0" fontId="17" fillId="6" borderId="34" xfId="0" applyFont="1" applyFill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 wrapText="1"/>
    </xf>
    <xf numFmtId="0" fontId="17" fillId="6" borderId="41" xfId="0" applyFont="1" applyFill="1" applyBorder="1" applyAlignment="1">
      <alignment horizontal="center" vertical="center" wrapText="1"/>
    </xf>
    <xf numFmtId="49" fontId="37" fillId="6" borderId="1" xfId="0" applyNumberFormat="1" applyFont="1" applyFill="1" applyBorder="1" applyAlignment="1">
      <alignment horizontal="left" vertical="center" wrapText="1"/>
    </xf>
    <xf numFmtId="49" fontId="37" fillId="0" borderId="4" xfId="0" applyNumberFormat="1" applyFont="1" applyFill="1" applyBorder="1" applyAlignment="1">
      <alignment horizontal="left" vertical="center" wrapText="1"/>
    </xf>
    <xf numFmtId="49" fontId="37" fillId="0" borderId="5" xfId="0" applyNumberFormat="1" applyFont="1" applyFill="1" applyBorder="1" applyAlignment="1">
      <alignment horizontal="left" vertical="center" wrapText="1"/>
    </xf>
    <xf numFmtId="49" fontId="37" fillId="0" borderId="3" xfId="0" applyNumberFormat="1" applyFont="1" applyFill="1" applyBorder="1" applyAlignment="1">
      <alignment horizontal="left" vertical="center" wrapText="1"/>
    </xf>
    <xf numFmtId="49" fontId="37" fillId="0" borderId="1" xfId="0" applyNumberFormat="1" applyFont="1" applyFill="1" applyBorder="1" applyAlignment="1">
      <alignment horizontal="left" vertical="center" wrapText="1"/>
    </xf>
    <xf numFmtId="49" fontId="37" fillId="2" borderId="1" xfId="0" applyNumberFormat="1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center" vertical="center" wrapText="1"/>
    </xf>
    <xf numFmtId="49" fontId="36" fillId="2" borderId="4" xfId="0" applyNumberFormat="1" applyFont="1" applyFill="1" applyBorder="1" applyAlignment="1">
      <alignment horizontal="center" vertical="center" wrapText="1"/>
    </xf>
    <xf numFmtId="49" fontId="36" fillId="2" borderId="5" xfId="0" applyNumberFormat="1" applyFont="1" applyFill="1" applyBorder="1" applyAlignment="1">
      <alignment horizontal="center" vertical="center" wrapText="1"/>
    </xf>
    <xf numFmtId="49" fontId="36" fillId="2" borderId="3" xfId="0" applyNumberFormat="1" applyFont="1" applyFill="1" applyBorder="1" applyAlignment="1">
      <alignment horizontal="center" vertical="center" wrapText="1"/>
    </xf>
    <xf numFmtId="0" fontId="37" fillId="2" borderId="4" xfId="0" applyNumberFormat="1" applyFont="1" applyFill="1" applyBorder="1" applyAlignment="1">
      <alignment horizontal="center" vertical="center"/>
    </xf>
    <xf numFmtId="0" fontId="37" fillId="2" borderId="5" xfId="0" applyNumberFormat="1" applyFont="1" applyFill="1" applyBorder="1" applyAlignment="1">
      <alignment horizontal="center" vertical="center"/>
    </xf>
    <xf numFmtId="0" fontId="37" fillId="2" borderId="3" xfId="0" applyNumberFormat="1" applyFont="1" applyFill="1" applyBorder="1" applyAlignment="1">
      <alignment horizontal="center" vertical="center"/>
    </xf>
    <xf numFmtId="0" fontId="36" fillId="2" borderId="4" xfId="0" applyNumberFormat="1" applyFont="1" applyFill="1" applyBorder="1" applyAlignment="1">
      <alignment horizontal="center" vertical="center"/>
    </xf>
    <xf numFmtId="0" fontId="36" fillId="2" borderId="5" xfId="0" applyNumberFormat="1" applyFont="1" applyFill="1" applyBorder="1" applyAlignment="1">
      <alignment horizontal="center" vertical="center"/>
    </xf>
    <xf numFmtId="0" fontId="36" fillId="2" borderId="3" xfId="0" applyNumberFormat="1" applyFont="1" applyFill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vertical="center" wrapText="1"/>
    </xf>
    <xf numFmtId="49" fontId="36" fillId="0" borderId="1" xfId="0" applyNumberFormat="1" applyFont="1" applyFill="1" applyBorder="1" applyAlignment="1">
      <alignment horizontal="left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7" fillId="0" borderId="38" xfId="0" applyFont="1" applyFill="1" applyBorder="1" applyAlignment="1">
      <alignment horizontal="center" vertical="center" wrapText="1"/>
    </xf>
    <xf numFmtId="0" fontId="17" fillId="0" borderId="39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left" vertical="center" wrapText="1"/>
    </xf>
    <xf numFmtId="1" fontId="17" fillId="6" borderId="4" xfId="0" applyNumberFormat="1" applyFont="1" applyFill="1" applyBorder="1" applyAlignment="1">
      <alignment horizontal="center" vertical="center"/>
    </xf>
    <xf numFmtId="1" fontId="17" fillId="6" borderId="5" xfId="0" applyNumberFormat="1" applyFont="1" applyFill="1" applyBorder="1" applyAlignment="1">
      <alignment horizontal="center" vertical="center"/>
    </xf>
    <xf numFmtId="1" fontId="17" fillId="6" borderId="3" xfId="0" applyNumberFormat="1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1" fontId="16" fillId="6" borderId="4" xfId="0" applyNumberFormat="1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 wrapText="1"/>
    </xf>
    <xf numFmtId="1" fontId="16" fillId="6" borderId="3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left" vertical="center"/>
    </xf>
    <xf numFmtId="0" fontId="37" fillId="0" borderId="4" xfId="0" applyFont="1" applyFill="1" applyBorder="1" applyAlignment="1">
      <alignment horizontal="left" vertical="center"/>
    </xf>
    <xf numFmtId="0" fontId="37" fillId="0" borderId="5" xfId="0" applyFont="1" applyFill="1" applyBorder="1" applyAlignment="1">
      <alignment horizontal="left" vertical="center"/>
    </xf>
    <xf numFmtId="0" fontId="37" fillId="0" borderId="3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 wrapText="1"/>
    </xf>
    <xf numFmtId="0" fontId="36" fillId="2" borderId="35" xfId="0" applyFont="1" applyFill="1" applyBorder="1" applyAlignment="1">
      <alignment horizontal="center" vertical="center" wrapText="1"/>
    </xf>
    <xf numFmtId="0" fontId="36" fillId="2" borderId="34" xfId="0" applyFont="1" applyFill="1" applyBorder="1" applyAlignment="1">
      <alignment horizontal="center" vertical="center" wrapText="1"/>
    </xf>
    <xf numFmtId="1" fontId="36" fillId="2" borderId="11" xfId="0" applyNumberFormat="1" applyFont="1" applyFill="1" applyBorder="1" applyAlignment="1">
      <alignment horizontal="center" vertical="center" wrapText="1"/>
    </xf>
    <xf numFmtId="1" fontId="36" fillId="2" borderId="12" xfId="0" applyNumberFormat="1" applyFont="1" applyFill="1" applyBorder="1" applyAlignment="1">
      <alignment horizontal="center" vertical="center" wrapText="1"/>
    </xf>
    <xf numFmtId="1" fontId="36" fillId="2" borderId="39" xfId="0" applyNumberFormat="1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textRotation="90" wrapText="1"/>
    </xf>
    <xf numFmtId="0" fontId="36" fillId="2" borderId="7" xfId="0" applyFont="1" applyFill="1" applyBorder="1" applyAlignment="1">
      <alignment horizontal="center" vertical="center" textRotation="90" wrapText="1"/>
    </xf>
    <xf numFmtId="0" fontId="36" fillId="2" borderId="8" xfId="0" applyFont="1" applyFill="1" applyBorder="1" applyAlignment="1">
      <alignment horizontal="center" vertical="center" textRotation="90" wrapText="1"/>
    </xf>
    <xf numFmtId="0" fontId="36" fillId="2" borderId="9" xfId="0" applyFont="1" applyFill="1" applyBorder="1" applyAlignment="1">
      <alignment horizontal="center" vertical="center" textRotation="90" wrapText="1"/>
    </xf>
    <xf numFmtId="0" fontId="36" fillId="2" borderId="0" xfId="0" applyFont="1" applyFill="1" applyBorder="1" applyAlignment="1">
      <alignment horizontal="center" vertical="center" textRotation="90" wrapText="1"/>
    </xf>
    <xf numFmtId="0" fontId="36" fillId="2" borderId="10" xfId="0" applyFont="1" applyFill="1" applyBorder="1" applyAlignment="1">
      <alignment horizontal="center" vertical="center" textRotation="90" wrapText="1"/>
    </xf>
    <xf numFmtId="0" fontId="36" fillId="2" borderId="11" xfId="0" applyFont="1" applyFill="1" applyBorder="1" applyAlignment="1">
      <alignment horizontal="center" vertical="center" textRotation="90" wrapText="1"/>
    </xf>
    <xf numFmtId="0" fontId="36" fillId="2" borderId="12" xfId="0" applyFont="1" applyFill="1" applyBorder="1" applyAlignment="1">
      <alignment horizontal="center" vertical="center" textRotation="90" wrapText="1"/>
    </xf>
    <xf numFmtId="0" fontId="36" fillId="2" borderId="13" xfId="0" applyFont="1" applyFill="1" applyBorder="1" applyAlignment="1">
      <alignment horizontal="center" vertical="center" textRotation="90" wrapText="1"/>
    </xf>
    <xf numFmtId="1" fontId="36" fillId="2" borderId="34" xfId="0" applyNumberFormat="1" applyFont="1" applyFill="1" applyBorder="1" applyAlignment="1">
      <alignment horizontal="center" vertical="center"/>
    </xf>
    <xf numFmtId="1" fontId="36" fillId="2" borderId="3" xfId="0" applyNumberFormat="1" applyFont="1" applyFill="1" applyBorder="1" applyAlignment="1">
      <alignment horizontal="center" vertical="center"/>
    </xf>
    <xf numFmtId="1" fontId="36" fillId="2" borderId="1" xfId="0" applyNumberFormat="1" applyFont="1" applyFill="1" applyBorder="1" applyAlignment="1">
      <alignment horizontal="center" vertical="center"/>
    </xf>
    <xf numFmtId="0" fontId="36" fillId="2" borderId="35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1" fontId="36" fillId="2" borderId="1" xfId="0" applyNumberFormat="1" applyFont="1" applyFill="1" applyBorder="1" applyAlignment="1">
      <alignment horizontal="center" vertical="center" wrapText="1"/>
    </xf>
    <xf numFmtId="1" fontId="36" fillId="2" borderId="4" xfId="0" applyNumberFormat="1" applyFont="1" applyFill="1" applyBorder="1" applyAlignment="1">
      <alignment horizontal="center" vertical="center" wrapText="1"/>
    </xf>
    <xf numFmtId="1" fontId="36" fillId="2" borderId="5" xfId="0" applyNumberFormat="1" applyFont="1" applyFill="1" applyBorder="1" applyAlignment="1">
      <alignment horizontal="center" vertical="center" wrapText="1"/>
    </xf>
    <xf numFmtId="1" fontId="36" fillId="2" borderId="3" xfId="0" applyNumberFormat="1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4" xfId="0" applyFont="1" applyFill="1" applyBorder="1" applyAlignment="1">
      <alignment horizontal="center" vertical="center"/>
    </xf>
    <xf numFmtId="0" fontId="36" fillId="2" borderId="52" xfId="0" applyFont="1" applyFill="1" applyBorder="1" applyAlignment="1">
      <alignment horizontal="center" vertical="center"/>
    </xf>
    <xf numFmtId="0" fontId="36" fillId="2" borderId="59" xfId="0" applyFont="1" applyFill="1" applyBorder="1" applyAlignment="1">
      <alignment horizontal="center" vertical="center"/>
    </xf>
    <xf numFmtId="0" fontId="36" fillId="2" borderId="60" xfId="0" applyFont="1" applyFill="1" applyBorder="1" applyAlignment="1">
      <alignment horizontal="center" vertical="center"/>
    </xf>
    <xf numFmtId="0" fontId="36" fillId="2" borderId="53" xfId="0" applyFont="1" applyFill="1" applyBorder="1" applyAlignment="1">
      <alignment horizontal="center" vertical="center" textRotation="90" wrapText="1"/>
    </xf>
    <xf numFmtId="0" fontId="36" fillId="2" borderId="15" xfId="0" applyFont="1" applyFill="1" applyBorder="1" applyAlignment="1">
      <alignment horizontal="center" vertical="center" textRotation="90" wrapText="1"/>
    </xf>
    <xf numFmtId="0" fontId="36" fillId="2" borderId="16" xfId="0" applyFont="1" applyFill="1" applyBorder="1" applyAlignment="1">
      <alignment horizontal="center" vertical="center" textRotation="90" wrapText="1"/>
    </xf>
    <xf numFmtId="2" fontId="36" fillId="2" borderId="54" xfId="0" applyNumberFormat="1" applyFont="1" applyFill="1" applyBorder="1" applyAlignment="1">
      <alignment horizontal="center" vertical="center" wrapText="1"/>
    </xf>
    <xf numFmtId="2" fontId="36" fillId="2" borderId="1" xfId="0" applyNumberFormat="1" applyFont="1" applyFill="1" applyBorder="1" applyAlignment="1">
      <alignment horizontal="center" vertical="center" wrapText="1"/>
    </xf>
    <xf numFmtId="0" fontId="36" fillId="2" borderId="55" xfId="0" applyFont="1" applyFill="1" applyBorder="1" applyAlignment="1">
      <alignment horizontal="center" vertical="center" wrapText="1"/>
    </xf>
    <xf numFmtId="0" fontId="36" fillId="2" borderId="56" xfId="0" applyFont="1" applyFill="1" applyBorder="1" applyAlignment="1">
      <alignment horizontal="center" vertical="center" wrapText="1"/>
    </xf>
    <xf numFmtId="0" fontId="36" fillId="2" borderId="57" xfId="0" applyFont="1" applyFill="1" applyBorder="1" applyAlignment="1">
      <alignment horizontal="center" vertical="center" wrapText="1"/>
    </xf>
    <xf numFmtId="0" fontId="36" fillId="2" borderId="58" xfId="0" applyFont="1" applyFill="1" applyBorder="1" applyAlignment="1">
      <alignment horizontal="center" vertical="center" wrapText="1"/>
    </xf>
    <xf numFmtId="0" fontId="36" fillId="2" borderId="67" xfId="0" applyFont="1" applyFill="1" applyBorder="1" applyAlignment="1">
      <alignment horizontal="center" vertical="center" wrapText="1"/>
    </xf>
    <xf numFmtId="0" fontId="36" fillId="2" borderId="54" xfId="0" applyFont="1" applyFill="1" applyBorder="1" applyAlignment="1">
      <alignment horizontal="center" vertical="center" wrapText="1"/>
    </xf>
    <xf numFmtId="0" fontId="36" fillId="2" borderId="68" xfId="0" applyFont="1" applyFill="1" applyBorder="1" applyAlignment="1">
      <alignment horizontal="center" vertical="center" wrapText="1"/>
    </xf>
    <xf numFmtId="1" fontId="36" fillId="2" borderId="67" xfId="0" applyNumberFormat="1" applyFont="1" applyFill="1" applyBorder="1" applyAlignment="1">
      <alignment horizontal="center" vertical="center" textRotation="90" wrapText="1"/>
    </xf>
    <xf numFmtId="1" fontId="36" fillId="2" borderId="78" xfId="0" applyNumberFormat="1" applyFont="1" applyFill="1" applyBorder="1" applyAlignment="1">
      <alignment horizontal="center" vertical="center" textRotation="90" wrapText="1"/>
    </xf>
    <xf numFmtId="1" fontId="36" fillId="2" borderId="54" xfId="0" applyNumberFormat="1" applyFont="1" applyFill="1" applyBorder="1" applyAlignment="1">
      <alignment horizontal="center" vertical="center" textRotation="90" wrapText="1"/>
    </xf>
    <xf numFmtId="1" fontId="36" fillId="2" borderId="68" xfId="0" applyNumberFormat="1" applyFont="1" applyFill="1" applyBorder="1" applyAlignment="1">
      <alignment horizontal="center" vertical="center" textRotation="90" wrapText="1"/>
    </xf>
    <xf numFmtId="1" fontId="36" fillId="2" borderId="34" xfId="0" applyNumberFormat="1" applyFont="1" applyFill="1" applyBorder="1" applyAlignment="1">
      <alignment horizontal="center" vertical="center" textRotation="90" wrapText="1"/>
    </xf>
    <xf numFmtId="1" fontId="36" fillId="2" borderId="3" xfId="0" applyNumberFormat="1" applyFont="1" applyFill="1" applyBorder="1" applyAlignment="1">
      <alignment horizontal="center" vertical="center" textRotation="90" wrapText="1"/>
    </xf>
    <xf numFmtId="1" fontId="36" fillId="2" borderId="1" xfId="0" applyNumberFormat="1" applyFont="1" applyFill="1" applyBorder="1" applyAlignment="1">
      <alignment horizontal="center" vertical="center" textRotation="90" wrapText="1"/>
    </xf>
    <xf numFmtId="1" fontId="36" fillId="2" borderId="35" xfId="0" applyNumberFormat="1" applyFont="1" applyFill="1" applyBorder="1" applyAlignment="1">
      <alignment horizontal="center" vertical="center" textRotation="90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49" fontId="10" fillId="0" borderId="61" xfId="0" applyNumberFormat="1" applyFont="1" applyFill="1" applyBorder="1" applyAlignment="1">
      <alignment horizontal="center" vertical="center" wrapText="1"/>
    </xf>
    <xf numFmtId="49" fontId="10" fillId="0" borderId="60" xfId="0" applyNumberFormat="1" applyFont="1" applyFill="1" applyBorder="1" applyAlignment="1">
      <alignment horizontal="center" vertical="center" wrapText="1"/>
    </xf>
    <xf numFmtId="49" fontId="10" fillId="6" borderId="61" xfId="0" applyNumberFormat="1" applyFont="1" applyFill="1" applyBorder="1" applyAlignment="1">
      <alignment horizontal="center" vertical="center" wrapText="1"/>
    </xf>
    <xf numFmtId="49" fontId="10" fillId="6" borderId="60" xfId="0" applyNumberFormat="1" applyFont="1" applyFill="1" applyBorder="1" applyAlignment="1">
      <alignment horizontal="center" vertical="center" wrapText="1"/>
    </xf>
    <xf numFmtId="49" fontId="10" fillId="0" borderId="14" xfId="0" applyNumberFormat="1" applyFont="1" applyFill="1" applyBorder="1" applyAlignment="1">
      <alignment horizontal="center" vertical="center" wrapText="1"/>
    </xf>
    <xf numFmtId="49" fontId="10" fillId="0" borderId="16" xfId="0" applyNumberFormat="1" applyFont="1" applyFill="1" applyBorder="1" applyAlignment="1">
      <alignment horizontal="center" vertical="center" wrapText="1"/>
    </xf>
    <xf numFmtId="49" fontId="10" fillId="2" borderId="14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6" borderId="14" xfId="0" applyNumberFormat="1" applyFont="1" applyFill="1" applyBorder="1" applyAlignment="1">
      <alignment horizontal="center" vertical="center" wrapText="1"/>
    </xf>
    <xf numFmtId="49" fontId="10" fillId="6" borderId="1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CC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2333625</xdr:colOff>
          <xdr:row>8</xdr:row>
          <xdr:rowOff>247650</xdr:rowOff>
        </xdr:from>
        <xdr:to>
          <xdr:col>135</xdr:col>
          <xdr:colOff>238125</xdr:colOff>
          <xdr:row>23</xdr:row>
          <xdr:rowOff>285751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EV$9:$HO$22" spid="_x0000_s16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14750" y="9248775"/>
              <a:ext cx="57673875" cy="115157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2476500</xdr:colOff>
      <xdr:row>8</xdr:row>
      <xdr:rowOff>190500</xdr:rowOff>
    </xdr:from>
    <xdr:to>
      <xdr:col>136</xdr:col>
      <xdr:colOff>0</xdr:colOff>
      <xdr:row>22</xdr:row>
      <xdr:rowOff>190500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7715250"/>
          <a:ext cx="54006750" cy="1147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173181</xdr:colOff>
          <xdr:row>7</xdr:row>
          <xdr:rowOff>995794</xdr:rowOff>
        </xdr:from>
        <xdr:to>
          <xdr:col>141</xdr:col>
          <xdr:colOff>216477</xdr:colOff>
          <xdr:row>24</xdr:row>
          <xdr:rowOff>86591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FQ$10:$IH$24" spid="_x0000_s34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879772" y="7360226"/>
              <a:ext cx="51738069" cy="1073727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O110"/>
  <sheetViews>
    <sheetView view="pageBreakPreview" topLeftCell="A34" zoomScale="20" zoomScaleNormal="25" zoomScaleSheetLayoutView="20" workbookViewId="0">
      <selection activeCell="AQ43" sqref="AQ43:AU43"/>
    </sheetView>
  </sheetViews>
  <sheetFormatPr defaultColWidth="9.140625" defaultRowHeight="15.75" x14ac:dyDescent="0.25"/>
  <cols>
    <col min="1" max="1" width="20.85546875" style="1" customWidth="1"/>
    <col min="2" max="2" width="48.5703125" style="1" customWidth="1"/>
    <col min="3" max="22" width="7.28515625" style="57" customWidth="1"/>
    <col min="23" max="25" width="7.28515625" style="58" customWidth="1"/>
    <col min="26" max="27" width="8" style="59" customWidth="1"/>
    <col min="28" max="29" width="7.5703125" style="59" customWidth="1"/>
    <col min="30" max="30" width="8.42578125" style="14" customWidth="1"/>
    <col min="31" max="31" width="9" style="14" customWidth="1"/>
    <col min="32" max="32" width="8.42578125" style="14" customWidth="1"/>
    <col min="33" max="35" width="5" style="14" customWidth="1"/>
    <col min="36" max="36" width="5.5703125" style="14" customWidth="1"/>
    <col min="37" max="48" width="6.140625" style="60" customWidth="1"/>
    <col min="49" max="59" width="6.140625" style="14" customWidth="1"/>
    <col min="60" max="65" width="6.140625" style="58" customWidth="1"/>
    <col min="66" max="113" width="6.140625" style="14" customWidth="1"/>
    <col min="114" max="145" width="5" style="14" customWidth="1"/>
    <col min="146" max="148" width="8.140625" style="7" customWidth="1"/>
    <col min="149" max="16384" width="9.140625" style="7"/>
  </cols>
  <sheetData>
    <row r="1" spans="1:223" ht="101.25" x14ac:dyDescent="0.2">
      <c r="A1" s="254" t="s">
        <v>255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DZ1" s="254"/>
      <c r="EA1" s="254"/>
      <c r="EB1" s="254"/>
      <c r="EC1" s="254"/>
      <c r="ED1" s="254"/>
      <c r="EE1" s="254"/>
      <c r="EF1" s="254"/>
      <c r="EG1" s="254"/>
      <c r="EH1" s="254"/>
      <c r="EI1" s="254"/>
      <c r="EJ1" s="254"/>
      <c r="EK1" s="254"/>
      <c r="EL1" s="254"/>
      <c r="EM1" s="254"/>
      <c r="EN1" s="254"/>
      <c r="EO1" s="254"/>
      <c r="EP1" s="254"/>
      <c r="EQ1" s="254"/>
      <c r="ER1" s="254"/>
    </row>
    <row r="2" spans="1:223" ht="91.5" x14ac:dyDescent="1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6"/>
      <c r="AB2" s="6"/>
      <c r="AC2" s="6"/>
      <c r="AD2" s="6"/>
      <c r="AE2" s="6"/>
      <c r="AF2" s="6"/>
      <c r="AG2" s="6"/>
      <c r="AH2" s="484" t="s">
        <v>270</v>
      </c>
      <c r="AI2" s="484"/>
      <c r="AJ2" s="484"/>
      <c r="AK2" s="484"/>
      <c r="AL2" s="484"/>
      <c r="AM2" s="484"/>
      <c r="AN2" s="484"/>
      <c r="AO2" s="484"/>
      <c r="AP2" s="484"/>
      <c r="AQ2" s="484"/>
      <c r="AR2" s="484"/>
      <c r="AS2" s="484"/>
      <c r="AT2" s="484"/>
      <c r="AU2" s="484"/>
      <c r="AV2" s="484"/>
      <c r="AW2" s="484"/>
      <c r="AX2" s="484"/>
      <c r="AY2" s="484"/>
      <c r="AZ2" s="484"/>
      <c r="BA2" s="484"/>
      <c r="BB2" s="484"/>
      <c r="BC2" s="484"/>
      <c r="BD2" s="484"/>
      <c r="BE2" s="484"/>
      <c r="BF2" s="484"/>
      <c r="BG2" s="484"/>
      <c r="BH2" s="484"/>
      <c r="BI2" s="484"/>
      <c r="BJ2" s="484"/>
      <c r="BK2" s="484"/>
      <c r="BL2" s="484"/>
      <c r="BM2" s="484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  <c r="CJ2" s="484"/>
      <c r="CK2" s="484"/>
      <c r="CL2" s="484"/>
      <c r="CM2" s="484"/>
      <c r="CN2" s="484"/>
      <c r="CO2" s="484"/>
      <c r="CP2" s="484"/>
      <c r="CQ2" s="484"/>
      <c r="CR2" s="484"/>
      <c r="CS2" s="484"/>
      <c r="CT2" s="484"/>
      <c r="CU2" s="92"/>
      <c r="CV2" s="92"/>
      <c r="CW2" s="92"/>
      <c r="CX2" s="9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</row>
    <row r="3" spans="1:223" ht="90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6"/>
      <c r="AB3" s="6"/>
      <c r="AC3" s="6"/>
      <c r="AD3" s="6"/>
      <c r="AE3" s="6"/>
      <c r="AF3" s="6"/>
      <c r="AG3" s="6"/>
      <c r="AH3" s="255" t="s">
        <v>266</v>
      </c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92"/>
      <c r="CV3" s="92"/>
      <c r="CW3" s="92"/>
      <c r="CX3" s="92"/>
      <c r="CY3" s="255" t="s">
        <v>246</v>
      </c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</row>
    <row r="4" spans="1:223" ht="90" customHeight="1" x14ac:dyDescent="0.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6"/>
      <c r="AB4" s="6"/>
      <c r="AC4" s="6"/>
      <c r="AD4" s="6"/>
      <c r="AE4" s="6"/>
      <c r="AF4" s="6"/>
      <c r="AG4" s="6"/>
      <c r="AH4" s="256" t="s">
        <v>259</v>
      </c>
      <c r="AI4" s="256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J4" s="256"/>
      <c r="CK4" s="256"/>
      <c r="CL4" s="256"/>
      <c r="CM4" s="256"/>
      <c r="CN4" s="256"/>
      <c r="CO4" s="256"/>
      <c r="CP4" s="256"/>
      <c r="CQ4" s="256"/>
      <c r="CR4" s="256"/>
      <c r="CS4" s="256"/>
      <c r="CT4" s="256"/>
      <c r="CU4" s="93"/>
      <c r="CV4" s="93"/>
      <c r="CW4" s="93"/>
      <c r="CX4" s="93"/>
      <c r="CY4" s="255" t="s">
        <v>258</v>
      </c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</row>
    <row r="5" spans="1:223" ht="90" customHeight="1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11"/>
      <c r="AB5" s="11"/>
      <c r="AC5" s="11"/>
      <c r="AD5" s="11"/>
      <c r="AE5" s="11"/>
      <c r="AF5" s="11"/>
      <c r="AG5" s="11"/>
      <c r="AH5" s="256" t="s">
        <v>15</v>
      </c>
      <c r="AI5" s="256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93"/>
      <c r="CV5" s="93"/>
      <c r="CW5" s="93"/>
      <c r="CX5" s="93"/>
      <c r="CY5" s="256" t="s">
        <v>253</v>
      </c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</row>
    <row r="6" spans="1:223" ht="90" customHeight="1" x14ac:dyDescent="0.2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76"/>
      <c r="AA6" s="11"/>
      <c r="AB6" s="11"/>
      <c r="AC6" s="11"/>
      <c r="AD6" s="11"/>
      <c r="AE6" s="11"/>
      <c r="AF6" s="11"/>
      <c r="AG6" s="11"/>
      <c r="AH6" s="256" t="s">
        <v>260</v>
      </c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93"/>
      <c r="CV6" s="93"/>
      <c r="CW6" s="93"/>
      <c r="CX6" s="93"/>
      <c r="CY6" s="256" t="s">
        <v>247</v>
      </c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</row>
    <row r="7" spans="1:223" ht="91.5" customHeight="1" x14ac:dyDescent="1.25"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/>
      <c r="U7" s="10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256" t="s">
        <v>261</v>
      </c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93"/>
      <c r="CV7" s="93"/>
      <c r="CW7" s="93"/>
      <c r="CX7" s="93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5"/>
      <c r="DN7" s="95"/>
      <c r="DO7" s="95"/>
      <c r="DP7" s="95"/>
      <c r="DQ7" s="95"/>
      <c r="DR7" s="95"/>
      <c r="DS7" s="95"/>
      <c r="DT7" s="95"/>
      <c r="DU7" s="95"/>
      <c r="DV7" s="96"/>
      <c r="DW7" s="96"/>
      <c r="DX7" s="96"/>
      <c r="DY7" s="96"/>
      <c r="DZ7" s="96"/>
      <c r="EA7" s="96"/>
      <c r="EB7" s="96"/>
      <c r="EC7" s="96"/>
      <c r="ED7" s="97"/>
      <c r="EE7" s="97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</row>
    <row r="8" spans="1:223" ht="69" x14ac:dyDescent="0.2">
      <c r="A8" s="459" t="s">
        <v>262</v>
      </c>
      <c r="B8" s="459"/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59"/>
      <c r="AG8" s="459"/>
      <c r="AH8" s="459"/>
      <c r="AI8" s="459"/>
      <c r="AJ8" s="459"/>
      <c r="AK8" s="459"/>
      <c r="AL8" s="459"/>
      <c r="AM8" s="459"/>
      <c r="AN8" s="459"/>
      <c r="AO8" s="459"/>
      <c r="AP8" s="459"/>
      <c r="AQ8" s="459"/>
      <c r="AR8" s="459"/>
      <c r="AS8" s="459"/>
      <c r="AT8" s="459"/>
      <c r="AU8" s="459"/>
      <c r="AV8" s="459"/>
      <c r="AW8" s="459"/>
      <c r="AX8" s="459"/>
      <c r="AY8" s="459"/>
      <c r="AZ8" s="459"/>
      <c r="BA8" s="459"/>
      <c r="BB8" s="459"/>
      <c r="BC8" s="459"/>
      <c r="BD8" s="459"/>
      <c r="BE8" s="459"/>
      <c r="BF8" s="459"/>
      <c r="BG8" s="459"/>
      <c r="BH8" s="459"/>
      <c r="BI8" s="459"/>
      <c r="BJ8" s="459"/>
      <c r="BK8" s="459"/>
      <c r="BL8" s="459"/>
      <c r="BM8" s="459"/>
      <c r="BN8" s="459"/>
      <c r="BO8" s="459"/>
      <c r="BP8" s="459"/>
      <c r="BQ8" s="459"/>
      <c r="BR8" s="459"/>
      <c r="BS8" s="459"/>
      <c r="BT8" s="459"/>
      <c r="BU8" s="459"/>
      <c r="BV8" s="459"/>
      <c r="BW8" s="459"/>
      <c r="BX8" s="459"/>
      <c r="BY8" s="459"/>
      <c r="BZ8" s="459"/>
      <c r="CA8" s="459"/>
      <c r="CB8" s="459"/>
      <c r="CC8" s="459"/>
      <c r="CD8" s="459"/>
      <c r="CE8" s="459"/>
      <c r="CF8" s="459"/>
      <c r="CG8" s="459"/>
      <c r="CH8" s="459"/>
      <c r="CI8" s="459"/>
      <c r="CJ8" s="459"/>
      <c r="CK8" s="459"/>
      <c r="CL8" s="459"/>
      <c r="CM8" s="459"/>
      <c r="CN8" s="459"/>
      <c r="CO8" s="459"/>
      <c r="CP8" s="459"/>
      <c r="CQ8" s="459"/>
      <c r="CR8" s="459"/>
      <c r="CS8" s="459"/>
      <c r="CT8" s="459"/>
      <c r="CU8" s="459"/>
      <c r="CV8" s="459"/>
      <c r="CW8" s="459"/>
      <c r="CX8" s="459"/>
      <c r="CY8" s="459"/>
      <c r="CZ8" s="459"/>
      <c r="DA8" s="459"/>
      <c r="DB8" s="459"/>
      <c r="DC8" s="459"/>
      <c r="DD8" s="459"/>
      <c r="DE8" s="459"/>
      <c r="DF8" s="459"/>
      <c r="DG8" s="459"/>
      <c r="DH8" s="459"/>
      <c r="DI8" s="459"/>
      <c r="DJ8" s="459"/>
      <c r="DK8" s="459"/>
      <c r="DL8" s="459"/>
      <c r="DM8" s="459"/>
      <c r="DN8" s="459"/>
      <c r="DO8" s="459"/>
      <c r="DP8" s="459"/>
      <c r="DQ8" s="459"/>
      <c r="DR8" s="459"/>
      <c r="DS8" s="459"/>
      <c r="DT8" s="459"/>
      <c r="DU8" s="459"/>
      <c r="DV8" s="459"/>
      <c r="DW8" s="459"/>
      <c r="DX8" s="459"/>
      <c r="DY8" s="459"/>
      <c r="DZ8" s="459"/>
      <c r="EA8" s="459"/>
      <c r="EB8" s="459"/>
      <c r="EC8" s="459"/>
      <c r="ED8" s="459"/>
      <c r="EE8" s="459"/>
      <c r="EF8" s="459"/>
      <c r="EG8" s="459"/>
      <c r="EH8" s="459"/>
      <c r="EI8" s="459"/>
      <c r="EJ8" s="459"/>
      <c r="EK8" s="459"/>
      <c r="EL8" s="459"/>
      <c r="EM8" s="459"/>
      <c r="EN8" s="459"/>
      <c r="EO8" s="459"/>
      <c r="EP8" s="459"/>
      <c r="EQ8" s="459"/>
      <c r="ER8" s="459"/>
    </row>
    <row r="9" spans="1:223" ht="69" customHeight="1" x14ac:dyDescent="0.4">
      <c r="C9" s="150"/>
      <c r="D9" s="151"/>
      <c r="E9" s="151"/>
      <c r="F9" s="151"/>
      <c r="G9" s="151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152"/>
      <c r="DB9" s="152"/>
      <c r="DC9" s="152"/>
      <c r="DD9" s="152"/>
      <c r="DE9" s="152"/>
      <c r="DF9" s="152"/>
      <c r="DG9" s="152"/>
      <c r="DH9" s="152"/>
      <c r="DI9" s="152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4"/>
      <c r="EG9" s="154"/>
      <c r="EH9" s="154"/>
      <c r="EI9" s="154"/>
      <c r="EJ9" s="154"/>
      <c r="EK9" s="154"/>
      <c r="EL9" s="154"/>
      <c r="EM9" s="155"/>
      <c r="EN9" s="155"/>
      <c r="EO9" s="155"/>
      <c r="EP9" s="19"/>
      <c r="EV9" s="464" t="s">
        <v>27</v>
      </c>
      <c r="EW9" s="464"/>
      <c r="EX9" s="465" t="s">
        <v>277</v>
      </c>
      <c r="EY9" s="465"/>
      <c r="EZ9" s="465"/>
      <c r="FA9" s="465"/>
      <c r="FB9" s="465"/>
      <c r="FC9" s="465"/>
      <c r="FD9" s="465"/>
      <c r="FE9" s="465"/>
      <c r="FF9" s="465"/>
      <c r="FG9" s="465"/>
      <c r="FH9" s="465"/>
      <c r="FI9" s="465"/>
      <c r="FJ9" s="465"/>
      <c r="FK9" s="465"/>
      <c r="FL9" s="465"/>
      <c r="FM9" s="465"/>
      <c r="FN9" s="465"/>
      <c r="FO9" s="465"/>
      <c r="FP9" s="465"/>
      <c r="FQ9" s="465"/>
      <c r="FR9" s="465"/>
      <c r="FS9" s="465"/>
      <c r="FT9" s="465"/>
      <c r="FU9" s="465"/>
      <c r="FV9" s="465"/>
      <c r="FW9" s="465"/>
      <c r="FX9" s="465"/>
      <c r="FY9" s="465"/>
      <c r="FZ9" s="465"/>
      <c r="GA9" s="465"/>
      <c r="GB9" s="465"/>
      <c r="GC9" s="465"/>
      <c r="GD9" s="465"/>
      <c r="GE9" s="465"/>
      <c r="GF9" s="465"/>
      <c r="GG9" s="465"/>
      <c r="GH9" s="465"/>
      <c r="GI9" s="465"/>
      <c r="GJ9" s="465"/>
      <c r="GK9" s="465"/>
      <c r="GL9" s="465"/>
      <c r="GM9" s="465"/>
      <c r="GN9" s="465"/>
      <c r="GO9" s="465"/>
      <c r="GP9" s="465"/>
      <c r="GQ9" s="465"/>
      <c r="GR9" s="465"/>
      <c r="GS9" s="465"/>
      <c r="GT9" s="465"/>
      <c r="GU9" s="465"/>
      <c r="GV9" s="465"/>
      <c r="GW9" s="465"/>
      <c r="GX9" s="466" t="s">
        <v>21</v>
      </c>
      <c r="GY9" s="466"/>
      <c r="GZ9" s="466"/>
      <c r="HA9" s="466"/>
      <c r="HB9" s="466"/>
      <c r="HC9" s="466"/>
      <c r="HD9" s="466"/>
      <c r="HE9" s="466"/>
      <c r="HF9" s="466"/>
      <c r="HG9" s="466"/>
      <c r="HH9" s="466"/>
      <c r="HI9" s="466"/>
      <c r="HJ9" s="466"/>
      <c r="HK9" s="466"/>
      <c r="HL9" s="467" t="s">
        <v>278</v>
      </c>
      <c r="HM9" s="467"/>
      <c r="HN9" s="467" t="s">
        <v>25</v>
      </c>
      <c r="HO9" s="467"/>
    </row>
    <row r="10" spans="1:223" ht="42" customHeight="1" x14ac:dyDescent="0.4">
      <c r="C10" s="150"/>
      <c r="D10" s="151"/>
      <c r="E10" s="151"/>
      <c r="F10" s="151"/>
      <c r="G10" s="151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2"/>
      <c r="CY10" s="152"/>
      <c r="CZ10" s="152"/>
      <c r="DA10" s="152"/>
      <c r="DB10" s="152"/>
      <c r="DC10" s="152"/>
      <c r="DD10" s="152"/>
      <c r="DE10" s="152"/>
      <c r="DF10" s="152"/>
      <c r="DG10" s="152"/>
      <c r="DH10" s="152"/>
      <c r="DI10" s="152"/>
      <c r="DJ10" s="154"/>
      <c r="DK10" s="154"/>
      <c r="DL10" s="154"/>
      <c r="DM10" s="154"/>
      <c r="DN10" s="156"/>
      <c r="DO10" s="156"/>
      <c r="DP10" s="156"/>
      <c r="DQ10" s="156"/>
      <c r="DR10" s="156"/>
      <c r="DS10" s="156"/>
      <c r="DT10" s="156"/>
      <c r="DU10" s="156"/>
      <c r="DV10" s="156"/>
      <c r="DW10" s="156"/>
      <c r="DX10" s="156"/>
      <c r="DY10" s="156"/>
      <c r="DZ10" s="156"/>
      <c r="EA10" s="156"/>
      <c r="EB10" s="156"/>
      <c r="EC10" s="156"/>
      <c r="ED10" s="156"/>
      <c r="EE10" s="156"/>
      <c r="EF10" s="154"/>
      <c r="EG10" s="154"/>
      <c r="EH10" s="154"/>
      <c r="EI10" s="154"/>
      <c r="EJ10" s="154"/>
      <c r="EK10" s="154"/>
      <c r="EL10" s="154"/>
      <c r="EM10" s="155"/>
      <c r="EN10" s="155"/>
      <c r="EO10" s="155"/>
      <c r="EP10" s="19"/>
      <c r="EV10" s="464"/>
      <c r="EW10" s="464"/>
      <c r="EX10" s="465"/>
      <c r="EY10" s="465"/>
      <c r="EZ10" s="465"/>
      <c r="FA10" s="465"/>
      <c r="FB10" s="465"/>
      <c r="FC10" s="465"/>
      <c r="FD10" s="465"/>
      <c r="FE10" s="465"/>
      <c r="FF10" s="465"/>
      <c r="FG10" s="465"/>
      <c r="FH10" s="465"/>
      <c r="FI10" s="465"/>
      <c r="FJ10" s="465"/>
      <c r="FK10" s="465"/>
      <c r="FL10" s="465"/>
      <c r="FM10" s="465"/>
      <c r="FN10" s="465"/>
      <c r="FO10" s="465"/>
      <c r="FP10" s="465"/>
      <c r="FQ10" s="465"/>
      <c r="FR10" s="465"/>
      <c r="FS10" s="465"/>
      <c r="FT10" s="465"/>
      <c r="FU10" s="465"/>
      <c r="FV10" s="465"/>
      <c r="FW10" s="465"/>
      <c r="FX10" s="465"/>
      <c r="FY10" s="465"/>
      <c r="FZ10" s="465"/>
      <c r="GA10" s="465"/>
      <c r="GB10" s="465"/>
      <c r="GC10" s="465"/>
      <c r="GD10" s="465"/>
      <c r="GE10" s="465"/>
      <c r="GF10" s="465"/>
      <c r="GG10" s="465"/>
      <c r="GH10" s="465"/>
      <c r="GI10" s="465"/>
      <c r="GJ10" s="465"/>
      <c r="GK10" s="465"/>
      <c r="GL10" s="465"/>
      <c r="GM10" s="465"/>
      <c r="GN10" s="465"/>
      <c r="GO10" s="465"/>
      <c r="GP10" s="465"/>
      <c r="GQ10" s="465"/>
      <c r="GR10" s="465"/>
      <c r="GS10" s="465"/>
      <c r="GT10" s="465"/>
      <c r="GU10" s="465"/>
      <c r="GV10" s="465"/>
      <c r="GW10" s="465"/>
      <c r="GX10" s="467" t="s">
        <v>22</v>
      </c>
      <c r="GY10" s="467"/>
      <c r="GZ10" s="466" t="s">
        <v>94</v>
      </c>
      <c r="HA10" s="466"/>
      <c r="HB10" s="466"/>
      <c r="HC10" s="466"/>
      <c r="HD10" s="466"/>
      <c r="HE10" s="466"/>
      <c r="HF10" s="466"/>
      <c r="HG10" s="466"/>
      <c r="HH10" s="466"/>
      <c r="HI10" s="466"/>
      <c r="HJ10" s="466"/>
      <c r="HK10" s="466"/>
      <c r="HL10" s="467"/>
      <c r="HM10" s="467"/>
      <c r="HN10" s="467"/>
      <c r="HO10" s="467"/>
    </row>
    <row r="11" spans="1:223" ht="42" customHeight="1" x14ac:dyDescent="0.4">
      <c r="C11" s="150"/>
      <c r="D11" s="151"/>
      <c r="E11" s="151"/>
      <c r="F11" s="151"/>
      <c r="G11" s="151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4"/>
      <c r="DK11" s="154"/>
      <c r="DL11" s="154"/>
      <c r="DM11" s="154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4"/>
      <c r="EG11" s="154"/>
      <c r="EH11" s="154"/>
      <c r="EI11" s="154"/>
      <c r="EJ11" s="154"/>
      <c r="EK11" s="154"/>
      <c r="EL11" s="154"/>
      <c r="EM11" s="155"/>
      <c r="EN11" s="155"/>
      <c r="EO11" s="155"/>
      <c r="EP11" s="19"/>
      <c r="EV11" s="464"/>
      <c r="EW11" s="464"/>
      <c r="EX11" s="465"/>
      <c r="EY11" s="465"/>
      <c r="EZ11" s="465"/>
      <c r="FA11" s="465"/>
      <c r="FB11" s="465"/>
      <c r="FC11" s="465"/>
      <c r="FD11" s="465"/>
      <c r="FE11" s="465"/>
      <c r="FF11" s="465"/>
      <c r="FG11" s="465"/>
      <c r="FH11" s="465"/>
      <c r="FI11" s="465"/>
      <c r="FJ11" s="465"/>
      <c r="FK11" s="465"/>
      <c r="FL11" s="465"/>
      <c r="FM11" s="465"/>
      <c r="FN11" s="465"/>
      <c r="FO11" s="465"/>
      <c r="FP11" s="465"/>
      <c r="FQ11" s="465"/>
      <c r="FR11" s="465"/>
      <c r="FS11" s="465"/>
      <c r="FT11" s="465"/>
      <c r="FU11" s="465"/>
      <c r="FV11" s="465"/>
      <c r="FW11" s="465"/>
      <c r="FX11" s="465"/>
      <c r="FY11" s="465"/>
      <c r="FZ11" s="465"/>
      <c r="GA11" s="465"/>
      <c r="GB11" s="465"/>
      <c r="GC11" s="465"/>
      <c r="GD11" s="465"/>
      <c r="GE11" s="465"/>
      <c r="GF11" s="465"/>
      <c r="GG11" s="465"/>
      <c r="GH11" s="465"/>
      <c r="GI11" s="465"/>
      <c r="GJ11" s="465"/>
      <c r="GK11" s="465"/>
      <c r="GL11" s="465"/>
      <c r="GM11" s="465"/>
      <c r="GN11" s="465"/>
      <c r="GO11" s="465"/>
      <c r="GP11" s="465"/>
      <c r="GQ11" s="465"/>
      <c r="GR11" s="465"/>
      <c r="GS11" s="465"/>
      <c r="GT11" s="465"/>
      <c r="GU11" s="465"/>
      <c r="GV11" s="465"/>
      <c r="GW11" s="465"/>
      <c r="GX11" s="467"/>
      <c r="GY11" s="467"/>
      <c r="GZ11" s="468" t="s">
        <v>279</v>
      </c>
      <c r="HA11" s="469"/>
      <c r="HB11" s="468" t="s">
        <v>18</v>
      </c>
      <c r="HC11" s="469"/>
      <c r="HD11" s="468" t="s">
        <v>280</v>
      </c>
      <c r="HE11" s="469"/>
      <c r="HF11" s="468" t="s">
        <v>16</v>
      </c>
      <c r="HG11" s="469"/>
      <c r="HH11" s="468" t="s">
        <v>19</v>
      </c>
      <c r="HI11" s="469"/>
      <c r="HJ11" s="474" t="s">
        <v>281</v>
      </c>
      <c r="HK11" s="475"/>
      <c r="HL11" s="467"/>
      <c r="HM11" s="467"/>
      <c r="HN11" s="467"/>
      <c r="HO11" s="467"/>
    </row>
    <row r="12" spans="1:223" ht="30" customHeight="1" x14ac:dyDescent="0.4">
      <c r="C12" s="150"/>
      <c r="D12" s="151"/>
      <c r="E12" s="151"/>
      <c r="F12" s="151"/>
      <c r="G12" s="151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4"/>
      <c r="DK12" s="154"/>
      <c r="DL12" s="154"/>
      <c r="DM12" s="154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4"/>
      <c r="EG12" s="154"/>
      <c r="EH12" s="154"/>
      <c r="EI12" s="154"/>
      <c r="EJ12" s="154"/>
      <c r="EK12" s="154"/>
      <c r="EL12" s="154"/>
      <c r="EM12" s="155"/>
      <c r="EN12" s="155"/>
      <c r="EO12" s="155"/>
      <c r="EP12" s="19"/>
      <c r="EV12" s="464"/>
      <c r="EW12" s="464"/>
      <c r="EX12" s="465"/>
      <c r="EY12" s="465"/>
      <c r="EZ12" s="465"/>
      <c r="FA12" s="465"/>
      <c r="FB12" s="465"/>
      <c r="FC12" s="465"/>
      <c r="FD12" s="465"/>
      <c r="FE12" s="465"/>
      <c r="FF12" s="465"/>
      <c r="FG12" s="465"/>
      <c r="FH12" s="465"/>
      <c r="FI12" s="465"/>
      <c r="FJ12" s="465"/>
      <c r="FK12" s="465"/>
      <c r="FL12" s="465"/>
      <c r="FM12" s="465"/>
      <c r="FN12" s="465"/>
      <c r="FO12" s="465"/>
      <c r="FP12" s="465"/>
      <c r="FQ12" s="465"/>
      <c r="FR12" s="465"/>
      <c r="FS12" s="465"/>
      <c r="FT12" s="465"/>
      <c r="FU12" s="465"/>
      <c r="FV12" s="465"/>
      <c r="FW12" s="465"/>
      <c r="FX12" s="465"/>
      <c r="FY12" s="465"/>
      <c r="FZ12" s="465"/>
      <c r="GA12" s="465"/>
      <c r="GB12" s="465"/>
      <c r="GC12" s="465"/>
      <c r="GD12" s="465"/>
      <c r="GE12" s="465"/>
      <c r="GF12" s="465"/>
      <c r="GG12" s="465"/>
      <c r="GH12" s="465"/>
      <c r="GI12" s="465"/>
      <c r="GJ12" s="465"/>
      <c r="GK12" s="465"/>
      <c r="GL12" s="465"/>
      <c r="GM12" s="465"/>
      <c r="GN12" s="465"/>
      <c r="GO12" s="465"/>
      <c r="GP12" s="465"/>
      <c r="GQ12" s="465"/>
      <c r="GR12" s="465"/>
      <c r="GS12" s="465"/>
      <c r="GT12" s="465"/>
      <c r="GU12" s="465"/>
      <c r="GV12" s="465"/>
      <c r="GW12" s="465"/>
      <c r="GX12" s="467"/>
      <c r="GY12" s="467"/>
      <c r="GZ12" s="470"/>
      <c r="HA12" s="471"/>
      <c r="HB12" s="470"/>
      <c r="HC12" s="471"/>
      <c r="HD12" s="470"/>
      <c r="HE12" s="471"/>
      <c r="HF12" s="470"/>
      <c r="HG12" s="471"/>
      <c r="HH12" s="470"/>
      <c r="HI12" s="471"/>
      <c r="HJ12" s="476"/>
      <c r="HK12" s="477"/>
      <c r="HL12" s="467"/>
      <c r="HM12" s="467"/>
      <c r="HN12" s="467"/>
      <c r="HO12" s="467"/>
    </row>
    <row r="13" spans="1:223" ht="78" customHeight="1" x14ac:dyDescent="0.4">
      <c r="C13" s="150"/>
      <c r="D13" s="151"/>
      <c r="E13" s="151"/>
      <c r="F13" s="151"/>
      <c r="G13" s="151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2"/>
      <c r="DC13" s="152"/>
      <c r="DD13" s="152"/>
      <c r="DE13" s="152"/>
      <c r="DF13" s="152"/>
      <c r="DG13" s="152"/>
      <c r="DH13" s="152"/>
      <c r="DI13" s="152"/>
      <c r="DJ13" s="154"/>
      <c r="DK13" s="154"/>
      <c r="DL13" s="154"/>
      <c r="DM13" s="154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4"/>
      <c r="EG13" s="154"/>
      <c r="EH13" s="154"/>
      <c r="EI13" s="154"/>
      <c r="EJ13" s="154"/>
      <c r="EK13" s="154"/>
      <c r="EL13" s="154"/>
      <c r="EM13" s="155"/>
      <c r="EN13" s="155"/>
      <c r="EO13" s="155"/>
      <c r="EP13" s="19"/>
      <c r="EV13" s="464"/>
      <c r="EW13" s="464"/>
      <c r="EX13" s="480" t="s">
        <v>282</v>
      </c>
      <c r="EY13" s="481"/>
      <c r="EZ13" s="481"/>
      <c r="FA13" s="481"/>
      <c r="FB13" s="482"/>
      <c r="FC13" s="480" t="s">
        <v>283</v>
      </c>
      <c r="FD13" s="481"/>
      <c r="FE13" s="481"/>
      <c r="FF13" s="482"/>
      <c r="FG13" s="480" t="s">
        <v>53</v>
      </c>
      <c r="FH13" s="481"/>
      <c r="FI13" s="481"/>
      <c r="FJ13" s="481"/>
      <c r="FK13" s="482"/>
      <c r="FL13" s="480" t="s">
        <v>54</v>
      </c>
      <c r="FM13" s="481"/>
      <c r="FN13" s="481"/>
      <c r="FO13" s="482"/>
      <c r="FP13" s="480" t="s">
        <v>55</v>
      </c>
      <c r="FQ13" s="481"/>
      <c r="FR13" s="481"/>
      <c r="FS13" s="481"/>
      <c r="FT13" s="482"/>
      <c r="FU13" s="480" t="s">
        <v>56</v>
      </c>
      <c r="FV13" s="481"/>
      <c r="FW13" s="481"/>
      <c r="FX13" s="482"/>
      <c r="FY13" s="480" t="s">
        <v>57</v>
      </c>
      <c r="FZ13" s="481"/>
      <c r="GA13" s="481"/>
      <c r="GB13" s="481"/>
      <c r="GC13" s="482"/>
      <c r="GD13" s="480" t="s">
        <v>58</v>
      </c>
      <c r="GE13" s="481"/>
      <c r="GF13" s="481"/>
      <c r="GG13" s="482"/>
      <c r="GH13" s="480" t="s">
        <v>59</v>
      </c>
      <c r="GI13" s="481"/>
      <c r="GJ13" s="481"/>
      <c r="GK13" s="482"/>
      <c r="GL13" s="480" t="s">
        <v>60</v>
      </c>
      <c r="GM13" s="481"/>
      <c r="GN13" s="481"/>
      <c r="GO13" s="482"/>
      <c r="GP13" s="480" t="s">
        <v>284</v>
      </c>
      <c r="GQ13" s="481"/>
      <c r="GR13" s="481"/>
      <c r="GS13" s="482"/>
      <c r="GT13" s="480" t="s">
        <v>62</v>
      </c>
      <c r="GU13" s="481"/>
      <c r="GV13" s="481"/>
      <c r="GW13" s="482"/>
      <c r="GX13" s="467"/>
      <c r="GY13" s="467"/>
      <c r="GZ13" s="470"/>
      <c r="HA13" s="471"/>
      <c r="HB13" s="470"/>
      <c r="HC13" s="471"/>
      <c r="HD13" s="470"/>
      <c r="HE13" s="471"/>
      <c r="HF13" s="470"/>
      <c r="HG13" s="471"/>
      <c r="HH13" s="470"/>
      <c r="HI13" s="471"/>
      <c r="HJ13" s="476"/>
      <c r="HK13" s="477"/>
      <c r="HL13" s="467"/>
      <c r="HM13" s="467"/>
      <c r="HN13" s="467"/>
      <c r="HO13" s="467"/>
    </row>
    <row r="14" spans="1:223" ht="84" customHeight="1" x14ac:dyDescent="0.4">
      <c r="C14" s="150"/>
      <c r="D14" s="151"/>
      <c r="E14" s="151"/>
      <c r="F14" s="151"/>
      <c r="G14" s="151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4"/>
      <c r="DK14" s="154"/>
      <c r="DL14" s="154"/>
      <c r="DM14" s="154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4"/>
      <c r="EG14" s="154"/>
      <c r="EH14" s="154"/>
      <c r="EI14" s="154"/>
      <c r="EJ14" s="154"/>
      <c r="EK14" s="154"/>
      <c r="EL14" s="154"/>
      <c r="EM14" s="155"/>
      <c r="EN14" s="155"/>
      <c r="EO14" s="155"/>
      <c r="EP14" s="19"/>
      <c r="EV14" s="464"/>
      <c r="EW14" s="464"/>
      <c r="EX14" s="148">
        <v>1</v>
      </c>
      <c r="EY14" s="148">
        <v>2</v>
      </c>
      <c r="EZ14" s="148">
        <v>3</v>
      </c>
      <c r="FA14" s="148">
        <v>4</v>
      </c>
      <c r="FB14" s="148">
        <v>5</v>
      </c>
      <c r="FC14" s="148">
        <v>6</v>
      </c>
      <c r="FD14" s="148">
        <v>7</v>
      </c>
      <c r="FE14" s="148">
        <v>8</v>
      </c>
      <c r="FF14" s="148">
        <v>9</v>
      </c>
      <c r="FG14" s="148">
        <v>10</v>
      </c>
      <c r="FH14" s="148">
        <v>11</v>
      </c>
      <c r="FI14" s="148">
        <v>12</v>
      </c>
      <c r="FJ14" s="148">
        <v>13</v>
      </c>
      <c r="FK14" s="148">
        <v>14</v>
      </c>
      <c r="FL14" s="148">
        <v>15</v>
      </c>
      <c r="FM14" s="148">
        <v>16</v>
      </c>
      <c r="FN14" s="148">
        <v>17</v>
      </c>
      <c r="FO14" s="148">
        <v>18</v>
      </c>
      <c r="FP14" s="148">
        <v>19</v>
      </c>
      <c r="FQ14" s="148">
        <v>20</v>
      </c>
      <c r="FR14" s="148">
        <v>21</v>
      </c>
      <c r="FS14" s="148">
        <v>22</v>
      </c>
      <c r="FT14" s="148">
        <v>23</v>
      </c>
      <c r="FU14" s="148">
        <v>24</v>
      </c>
      <c r="FV14" s="148">
        <v>25</v>
      </c>
      <c r="FW14" s="148">
        <v>26</v>
      </c>
      <c r="FX14" s="148">
        <v>27</v>
      </c>
      <c r="FY14" s="148">
        <v>28</v>
      </c>
      <c r="FZ14" s="148">
        <v>29</v>
      </c>
      <c r="GA14" s="148">
        <v>30</v>
      </c>
      <c r="GB14" s="148">
        <v>31</v>
      </c>
      <c r="GC14" s="148">
        <v>32</v>
      </c>
      <c r="GD14" s="148">
        <v>33</v>
      </c>
      <c r="GE14" s="148">
        <v>34</v>
      </c>
      <c r="GF14" s="148">
        <v>35</v>
      </c>
      <c r="GG14" s="148">
        <v>36</v>
      </c>
      <c r="GH14" s="148">
        <v>37</v>
      </c>
      <c r="GI14" s="148">
        <v>38</v>
      </c>
      <c r="GJ14" s="148">
        <v>39</v>
      </c>
      <c r="GK14" s="148">
        <v>40</v>
      </c>
      <c r="GL14" s="148">
        <v>41</v>
      </c>
      <c r="GM14" s="148">
        <v>42</v>
      </c>
      <c r="GN14" s="148">
        <v>43</v>
      </c>
      <c r="GO14" s="148">
        <v>44</v>
      </c>
      <c r="GP14" s="148">
        <v>45</v>
      </c>
      <c r="GQ14" s="148">
        <v>46</v>
      </c>
      <c r="GR14" s="148">
        <v>47</v>
      </c>
      <c r="GS14" s="148">
        <v>48</v>
      </c>
      <c r="GT14" s="148">
        <v>49</v>
      </c>
      <c r="GU14" s="148">
        <v>50</v>
      </c>
      <c r="GV14" s="148">
        <v>51</v>
      </c>
      <c r="GW14" s="148">
        <v>52</v>
      </c>
      <c r="GX14" s="467"/>
      <c r="GY14" s="467"/>
      <c r="GZ14" s="472"/>
      <c r="HA14" s="473"/>
      <c r="HB14" s="472"/>
      <c r="HC14" s="473"/>
      <c r="HD14" s="472"/>
      <c r="HE14" s="473"/>
      <c r="HF14" s="472"/>
      <c r="HG14" s="473"/>
      <c r="HH14" s="472"/>
      <c r="HI14" s="473"/>
      <c r="HJ14" s="478"/>
      <c r="HK14" s="479"/>
      <c r="HL14" s="467"/>
      <c r="HM14" s="467"/>
      <c r="HN14" s="467"/>
      <c r="HO14" s="467"/>
    </row>
    <row r="15" spans="1:223" ht="60" customHeight="1" x14ac:dyDescent="0.4">
      <c r="C15" s="150"/>
      <c r="D15" s="151"/>
      <c r="E15" s="151"/>
      <c r="F15" s="151"/>
      <c r="G15" s="151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4"/>
      <c r="DK15" s="154"/>
      <c r="DL15" s="154"/>
      <c r="DM15" s="154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4"/>
      <c r="EG15" s="154"/>
      <c r="EH15" s="154"/>
      <c r="EI15" s="154"/>
      <c r="EJ15" s="154"/>
      <c r="EK15" s="154"/>
      <c r="EL15" s="154"/>
      <c r="EM15" s="155"/>
      <c r="EN15" s="155"/>
      <c r="EO15" s="155"/>
      <c r="EP15" s="19"/>
      <c r="EV15" s="483" t="s">
        <v>1</v>
      </c>
      <c r="EW15" s="483"/>
      <c r="EX15" s="148" t="s">
        <v>64</v>
      </c>
      <c r="EY15" s="148" t="s">
        <v>50</v>
      </c>
      <c r="EZ15" s="148" t="s">
        <v>50</v>
      </c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 t="s">
        <v>64</v>
      </c>
      <c r="FQ15" s="148" t="s">
        <v>64</v>
      </c>
      <c r="FR15" s="148" t="s">
        <v>66</v>
      </c>
      <c r="FS15" s="148" t="s">
        <v>66</v>
      </c>
      <c r="FT15" s="148" t="s">
        <v>64</v>
      </c>
      <c r="FU15" s="148" t="s">
        <v>64</v>
      </c>
      <c r="FV15" s="148"/>
      <c r="FW15" s="148"/>
      <c r="FX15" s="148"/>
      <c r="FY15" s="148"/>
      <c r="FZ15" s="148"/>
      <c r="GA15" s="148"/>
      <c r="GB15" s="148"/>
      <c r="GC15" s="148"/>
      <c r="GD15" s="148" t="s">
        <v>67</v>
      </c>
      <c r="GE15" s="148" t="s">
        <v>67</v>
      </c>
      <c r="GF15" s="148" t="s">
        <v>67</v>
      </c>
      <c r="GG15" s="148"/>
      <c r="GH15" s="148"/>
      <c r="GI15" s="148"/>
      <c r="GJ15" s="148"/>
      <c r="GK15" s="148"/>
      <c r="GL15" s="148"/>
      <c r="GM15" s="148"/>
      <c r="GN15" s="148" t="s">
        <v>66</v>
      </c>
      <c r="GO15" s="148" t="s">
        <v>66</v>
      </c>
      <c r="GP15" s="148" t="s">
        <v>64</v>
      </c>
      <c r="GQ15" s="148" t="s">
        <v>64</v>
      </c>
      <c r="GR15" s="148" t="s">
        <v>64</v>
      </c>
      <c r="GS15" s="148" t="s">
        <v>64</v>
      </c>
      <c r="GT15" s="148" t="s">
        <v>64</v>
      </c>
      <c r="GU15" s="148" t="s">
        <v>64</v>
      </c>
      <c r="GV15" s="148" t="s">
        <v>64</v>
      </c>
      <c r="GW15" s="148" t="s">
        <v>64</v>
      </c>
      <c r="GX15" s="480">
        <f>SUM(GZ15:HK15)</f>
        <v>36</v>
      </c>
      <c r="GY15" s="482"/>
      <c r="GZ15" s="480">
        <v>30</v>
      </c>
      <c r="HA15" s="482"/>
      <c r="HB15" s="480">
        <v>4</v>
      </c>
      <c r="HC15" s="482"/>
      <c r="HD15" s="480">
        <v>2</v>
      </c>
      <c r="HE15" s="482"/>
      <c r="HF15" s="480">
        <v>0</v>
      </c>
      <c r="HG15" s="482"/>
      <c r="HH15" s="480">
        <v>0</v>
      </c>
      <c r="HI15" s="482"/>
      <c r="HJ15" s="480">
        <v>0</v>
      </c>
      <c r="HK15" s="482"/>
      <c r="HL15" s="480">
        <v>16</v>
      </c>
      <c r="HM15" s="482"/>
      <c r="HN15" s="466">
        <f>GX15+HL15</f>
        <v>52</v>
      </c>
      <c r="HO15" s="466"/>
    </row>
    <row r="16" spans="1:223" ht="54" customHeight="1" x14ac:dyDescent="0.4">
      <c r="C16" s="150"/>
      <c r="D16" s="156"/>
      <c r="E16" s="156"/>
      <c r="F16" s="156"/>
      <c r="G16" s="156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6"/>
      <c r="DK16" s="156"/>
      <c r="DL16" s="156"/>
      <c r="DM16" s="156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3"/>
      <c r="EJ16" s="153"/>
      <c r="EK16" s="153"/>
      <c r="EL16" s="153"/>
      <c r="EM16" s="155"/>
      <c r="EN16" s="155"/>
      <c r="EO16" s="155"/>
      <c r="EP16" s="19"/>
      <c r="EV16" s="483" t="s">
        <v>2</v>
      </c>
      <c r="EW16" s="483"/>
      <c r="EX16" s="148" t="s">
        <v>64</v>
      </c>
      <c r="EY16" s="148" t="s">
        <v>50</v>
      </c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8" t="s">
        <v>64</v>
      </c>
      <c r="FP16" s="148" t="s">
        <v>64</v>
      </c>
      <c r="FQ16" s="148" t="s">
        <v>66</v>
      </c>
      <c r="FR16" s="148" t="s">
        <v>66</v>
      </c>
      <c r="FS16" s="148" t="s">
        <v>64</v>
      </c>
      <c r="FT16" s="148" t="s">
        <v>64</v>
      </c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  <c r="GG16" s="149"/>
      <c r="GH16" s="149"/>
      <c r="GI16" s="149"/>
      <c r="GJ16" s="148" t="s">
        <v>66</v>
      </c>
      <c r="GK16" s="148" t="s">
        <v>66</v>
      </c>
      <c r="GL16" s="148" t="s">
        <v>64</v>
      </c>
      <c r="GM16" s="148" t="s">
        <v>64</v>
      </c>
      <c r="GN16" s="148" t="s">
        <v>64</v>
      </c>
      <c r="GO16" s="148" t="s">
        <v>64</v>
      </c>
      <c r="GP16" s="148" t="s">
        <v>64</v>
      </c>
      <c r="GQ16" s="148" t="s">
        <v>64</v>
      </c>
      <c r="GR16" s="148" t="s">
        <v>64</v>
      </c>
      <c r="GS16" s="148" t="s">
        <v>64</v>
      </c>
      <c r="GT16" s="148" t="s">
        <v>64</v>
      </c>
      <c r="GU16" s="148" t="s">
        <v>64</v>
      </c>
      <c r="GV16" s="148" t="s">
        <v>64</v>
      </c>
      <c r="GW16" s="148" t="s">
        <v>64</v>
      </c>
      <c r="GX16" s="480">
        <f>SUM(GZ16:HK16)</f>
        <v>35</v>
      </c>
      <c r="GY16" s="482"/>
      <c r="GZ16" s="480">
        <v>0</v>
      </c>
      <c r="HA16" s="482"/>
      <c r="HB16" s="480">
        <v>4</v>
      </c>
      <c r="HC16" s="482"/>
      <c r="HD16" s="480">
        <v>1</v>
      </c>
      <c r="HE16" s="482"/>
      <c r="HF16" s="480">
        <v>0</v>
      </c>
      <c r="HG16" s="482"/>
      <c r="HH16" s="480">
        <v>0</v>
      </c>
      <c r="HI16" s="482"/>
      <c r="HJ16" s="480">
        <v>30</v>
      </c>
      <c r="HK16" s="482"/>
      <c r="HL16" s="480">
        <v>17</v>
      </c>
      <c r="HM16" s="482"/>
      <c r="HN16" s="466">
        <f>GX16+HL16</f>
        <v>52</v>
      </c>
      <c r="HO16" s="466"/>
    </row>
    <row r="17" spans="1:223" ht="54" customHeight="1" x14ac:dyDescent="0.4">
      <c r="C17" s="150"/>
      <c r="D17" s="156"/>
      <c r="E17" s="156"/>
      <c r="F17" s="156"/>
      <c r="G17" s="156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6"/>
      <c r="DK17" s="156"/>
      <c r="DL17" s="156"/>
      <c r="DM17" s="156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3"/>
      <c r="EJ17" s="153"/>
      <c r="EK17" s="153"/>
      <c r="EL17" s="153"/>
      <c r="EM17" s="155"/>
      <c r="EN17" s="155"/>
      <c r="EO17" s="155"/>
      <c r="EP17" s="19"/>
      <c r="EV17" s="483" t="s">
        <v>3</v>
      </c>
      <c r="EW17" s="483"/>
      <c r="EX17" s="148" t="s">
        <v>64</v>
      </c>
      <c r="EY17" s="148" t="s">
        <v>50</v>
      </c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8" t="s">
        <v>64</v>
      </c>
      <c r="FP17" s="148" t="s">
        <v>64</v>
      </c>
      <c r="FQ17" s="148" t="s">
        <v>66</v>
      </c>
      <c r="FR17" s="148" t="s">
        <v>66</v>
      </c>
      <c r="FS17" s="148" t="s">
        <v>64</v>
      </c>
      <c r="FT17" s="148" t="s">
        <v>64</v>
      </c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  <c r="GI17" s="149"/>
      <c r="GJ17" s="148" t="s">
        <v>66</v>
      </c>
      <c r="GK17" s="148" t="s">
        <v>66</v>
      </c>
      <c r="GL17" s="148" t="s">
        <v>64</v>
      </c>
      <c r="GM17" s="148" t="s">
        <v>64</v>
      </c>
      <c r="GN17" s="148" t="s">
        <v>64</v>
      </c>
      <c r="GO17" s="148" t="s">
        <v>64</v>
      </c>
      <c r="GP17" s="148" t="s">
        <v>64</v>
      </c>
      <c r="GQ17" s="148" t="s">
        <v>64</v>
      </c>
      <c r="GR17" s="148" t="s">
        <v>64</v>
      </c>
      <c r="GS17" s="148" t="s">
        <v>64</v>
      </c>
      <c r="GT17" s="148" t="s">
        <v>64</v>
      </c>
      <c r="GU17" s="148" t="s">
        <v>64</v>
      </c>
      <c r="GV17" s="148" t="s">
        <v>64</v>
      </c>
      <c r="GW17" s="148" t="s">
        <v>64</v>
      </c>
      <c r="GX17" s="480">
        <f>SUM(GZ17:HK17)</f>
        <v>35</v>
      </c>
      <c r="GY17" s="482"/>
      <c r="GZ17" s="480">
        <v>0</v>
      </c>
      <c r="HA17" s="482"/>
      <c r="HB17" s="480">
        <v>4</v>
      </c>
      <c r="HC17" s="482"/>
      <c r="HD17" s="480">
        <v>1</v>
      </c>
      <c r="HE17" s="482"/>
      <c r="HF17" s="480">
        <v>0</v>
      </c>
      <c r="HG17" s="482"/>
      <c r="HH17" s="480">
        <v>0</v>
      </c>
      <c r="HI17" s="482"/>
      <c r="HJ17" s="480">
        <v>30</v>
      </c>
      <c r="HK17" s="482"/>
      <c r="HL17" s="480">
        <v>17</v>
      </c>
      <c r="HM17" s="482"/>
      <c r="HN17" s="466">
        <f>GX17+HL17</f>
        <v>52</v>
      </c>
      <c r="HO17" s="466"/>
    </row>
    <row r="18" spans="1:223" ht="54" customHeight="1" x14ac:dyDescent="0.4">
      <c r="C18" s="150"/>
      <c r="D18" s="156"/>
      <c r="E18" s="156"/>
      <c r="F18" s="156"/>
      <c r="G18" s="156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6"/>
      <c r="DK18" s="156"/>
      <c r="DL18" s="156"/>
      <c r="DM18" s="156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3"/>
      <c r="EJ18" s="153"/>
      <c r="EK18" s="153"/>
      <c r="EL18" s="153"/>
      <c r="EM18" s="155"/>
      <c r="EN18" s="155"/>
      <c r="EO18" s="155"/>
      <c r="EP18" s="19"/>
      <c r="EV18" s="483" t="s">
        <v>4</v>
      </c>
      <c r="EW18" s="483"/>
      <c r="EX18" s="148" t="s">
        <v>64</v>
      </c>
      <c r="EY18" s="148" t="s">
        <v>50</v>
      </c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8" t="s">
        <v>64</v>
      </c>
      <c r="FP18" s="148" t="s">
        <v>64</v>
      </c>
      <c r="FQ18" s="148" t="s">
        <v>66</v>
      </c>
      <c r="FR18" s="148" t="s">
        <v>66</v>
      </c>
      <c r="FS18" s="148" t="s">
        <v>64</v>
      </c>
      <c r="FT18" s="148" t="s">
        <v>64</v>
      </c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  <c r="GI18" s="149"/>
      <c r="GJ18" s="148" t="s">
        <v>66</v>
      </c>
      <c r="GK18" s="148" t="s">
        <v>66</v>
      </c>
      <c r="GL18" s="148" t="s">
        <v>64</v>
      </c>
      <c r="GM18" s="148" t="s">
        <v>20</v>
      </c>
      <c r="GN18" s="148" t="s">
        <v>20</v>
      </c>
      <c r="GO18" s="148" t="s">
        <v>64</v>
      </c>
      <c r="GP18" s="148" t="s">
        <v>64</v>
      </c>
      <c r="GQ18" s="148" t="s">
        <v>64</v>
      </c>
      <c r="GR18" s="148" t="s">
        <v>64</v>
      </c>
      <c r="GS18" s="148" t="s">
        <v>64</v>
      </c>
      <c r="GT18" s="148"/>
      <c r="GU18" s="148"/>
      <c r="GV18" s="148"/>
      <c r="GW18" s="148"/>
      <c r="GX18" s="480">
        <f>SUM(GZ18:HK18)</f>
        <v>37</v>
      </c>
      <c r="GY18" s="482"/>
      <c r="GZ18" s="480">
        <v>0</v>
      </c>
      <c r="HA18" s="482"/>
      <c r="HB18" s="480">
        <v>4</v>
      </c>
      <c r="HC18" s="482"/>
      <c r="HD18" s="480">
        <v>1</v>
      </c>
      <c r="HE18" s="482"/>
      <c r="HF18" s="480">
        <v>0</v>
      </c>
      <c r="HG18" s="482"/>
      <c r="HH18" s="480">
        <v>2</v>
      </c>
      <c r="HI18" s="482"/>
      <c r="HJ18" s="480">
        <v>30</v>
      </c>
      <c r="HK18" s="482"/>
      <c r="HL18" s="480">
        <v>11</v>
      </c>
      <c r="HM18" s="482"/>
      <c r="HN18" s="466">
        <f>GX18+HL18</f>
        <v>48</v>
      </c>
      <c r="HO18" s="466"/>
    </row>
    <row r="19" spans="1:223" ht="54" customHeight="1" x14ac:dyDescent="0.6">
      <c r="C19" s="150"/>
      <c r="D19" s="156"/>
      <c r="E19" s="156"/>
      <c r="F19" s="156"/>
      <c r="G19" s="156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6"/>
      <c r="DK19" s="156"/>
      <c r="DL19" s="156"/>
      <c r="DM19" s="156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8"/>
      <c r="EC19" s="158"/>
      <c r="ED19" s="158"/>
      <c r="EE19" s="158"/>
      <c r="EF19" s="158"/>
      <c r="EG19" s="158"/>
      <c r="EH19" s="158"/>
      <c r="EI19" s="153"/>
      <c r="EJ19" s="153"/>
      <c r="EK19" s="153"/>
      <c r="EL19" s="153"/>
      <c r="EM19" s="155"/>
      <c r="EN19" s="155"/>
      <c r="EO19" s="155"/>
      <c r="EP19" s="19"/>
      <c r="EV19" s="485" t="s">
        <v>28</v>
      </c>
      <c r="EW19" s="485"/>
      <c r="EX19" s="485"/>
      <c r="EY19" s="485"/>
      <c r="EZ19" s="485"/>
      <c r="FA19" s="485"/>
      <c r="FB19" s="485"/>
      <c r="FC19" s="485"/>
      <c r="FD19" s="485"/>
      <c r="FE19" s="485"/>
      <c r="FF19" s="485"/>
      <c r="FG19" s="485"/>
      <c r="FH19" s="485"/>
      <c r="FI19" s="485"/>
      <c r="FJ19" s="485"/>
      <c r="FK19" s="485"/>
      <c r="FL19" s="485"/>
      <c r="FM19" s="485"/>
      <c r="FN19" s="485"/>
      <c r="FO19" s="485"/>
      <c r="FP19" s="485"/>
      <c r="FQ19" s="485"/>
      <c r="FR19" s="485"/>
      <c r="FS19" s="485"/>
      <c r="FT19" s="485"/>
      <c r="FU19" s="485"/>
      <c r="FV19" s="485"/>
      <c r="FW19" s="485"/>
      <c r="FX19" s="485"/>
      <c r="FY19" s="485"/>
      <c r="FZ19" s="485"/>
      <c r="GA19" s="485"/>
      <c r="GB19" s="485"/>
      <c r="GC19" s="485"/>
      <c r="GD19" s="485"/>
      <c r="GE19" s="485"/>
      <c r="GF19" s="485"/>
      <c r="GG19" s="485"/>
      <c r="GH19" s="485"/>
      <c r="GI19" s="485"/>
      <c r="GJ19" s="485"/>
      <c r="GK19" s="485"/>
      <c r="GL19" s="485"/>
      <c r="GM19" s="485"/>
      <c r="GN19" s="485"/>
      <c r="GO19" s="485"/>
      <c r="GP19" s="485"/>
      <c r="GQ19" s="485"/>
      <c r="GR19" s="485"/>
      <c r="GS19" s="485"/>
      <c r="GT19" s="485"/>
      <c r="GU19" s="485"/>
      <c r="GV19" s="485"/>
      <c r="GW19" s="485"/>
      <c r="GX19" s="480">
        <f>SUM(GX15:GY18)</f>
        <v>143</v>
      </c>
      <c r="GY19" s="482"/>
      <c r="GZ19" s="480">
        <f>SUM(GZ15:HA18)</f>
        <v>30</v>
      </c>
      <c r="HA19" s="482"/>
      <c r="HB19" s="480">
        <f>SUM(HB15:HC18)</f>
        <v>16</v>
      </c>
      <c r="HC19" s="482"/>
      <c r="HD19" s="480">
        <f>SUM(HD15:HE18)</f>
        <v>5</v>
      </c>
      <c r="HE19" s="482"/>
      <c r="HF19" s="480">
        <f>SUM(HF15:HG18)</f>
        <v>0</v>
      </c>
      <c r="HG19" s="482"/>
      <c r="HH19" s="480">
        <f>SUM(HH15:HI18)</f>
        <v>2</v>
      </c>
      <c r="HI19" s="482"/>
      <c r="HJ19" s="480">
        <f>SUM(HJ15:HK18)</f>
        <v>90</v>
      </c>
      <c r="HK19" s="482"/>
      <c r="HL19" s="480">
        <f>SUM(HL15:HM18)</f>
        <v>61</v>
      </c>
      <c r="HM19" s="482"/>
      <c r="HN19" s="480">
        <f>SUM(HN15:HO18)</f>
        <v>204</v>
      </c>
      <c r="HO19" s="482"/>
    </row>
    <row r="20" spans="1:223" ht="57" customHeight="1" thickBot="1" x14ac:dyDescent="0.45">
      <c r="C20" s="150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G20" s="156"/>
      <c r="DH20" s="156"/>
      <c r="DI20" s="156"/>
      <c r="DJ20" s="156"/>
      <c r="DK20" s="156"/>
      <c r="DL20" s="156"/>
      <c r="DM20" s="156"/>
      <c r="DN20" s="156"/>
      <c r="DO20" s="156"/>
      <c r="DP20" s="156"/>
      <c r="DQ20" s="156"/>
      <c r="DR20" s="156"/>
      <c r="DS20" s="156"/>
      <c r="DT20" s="156"/>
      <c r="DU20" s="156"/>
      <c r="DV20" s="156"/>
      <c r="DW20" s="156"/>
      <c r="DX20" s="156"/>
      <c r="DY20" s="156"/>
      <c r="DZ20" s="156"/>
      <c r="EA20" s="156"/>
      <c r="EB20" s="156"/>
      <c r="EC20" s="156"/>
      <c r="ED20" s="156"/>
      <c r="EE20" s="156"/>
      <c r="EF20" s="156"/>
      <c r="EG20" s="156"/>
      <c r="EH20" s="156"/>
      <c r="EI20" s="153"/>
      <c r="EJ20" s="153"/>
      <c r="EK20" s="153"/>
      <c r="EL20" s="153"/>
      <c r="EM20" s="155"/>
      <c r="EN20" s="155"/>
      <c r="EO20" s="155"/>
      <c r="EP20" s="19"/>
    </row>
    <row r="21" spans="1:223" ht="120" customHeight="1" thickBot="1" x14ac:dyDescent="0.45">
      <c r="C21" s="150"/>
      <c r="D21" s="150"/>
      <c r="E21" s="159"/>
      <c r="F21" s="160"/>
      <c r="G21" s="161"/>
      <c r="H21" s="161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0"/>
      <c r="CU21" s="160"/>
      <c r="CV21" s="160"/>
      <c r="CW21" s="160"/>
      <c r="CX21" s="160"/>
      <c r="CY21" s="160"/>
      <c r="CZ21" s="160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0"/>
      <c r="DL21" s="160"/>
      <c r="DM21" s="160"/>
      <c r="DN21" s="160"/>
      <c r="DO21" s="160"/>
      <c r="DP21" s="160"/>
      <c r="DQ21" s="160"/>
      <c r="DR21" s="160"/>
      <c r="DS21" s="160"/>
      <c r="DT21" s="160"/>
      <c r="DU21" s="160"/>
      <c r="DV21" s="160"/>
      <c r="DW21" s="159"/>
      <c r="DX21" s="159"/>
      <c r="DY21" s="159"/>
      <c r="DZ21" s="159"/>
      <c r="EA21" s="159"/>
      <c r="EB21" s="159"/>
      <c r="EC21" s="159"/>
      <c r="ED21" s="159"/>
      <c r="EE21" s="155"/>
      <c r="EF21" s="155"/>
      <c r="EG21" s="155"/>
      <c r="EH21" s="162"/>
      <c r="EI21" s="162"/>
      <c r="EJ21" s="162"/>
      <c r="EK21" s="162"/>
      <c r="EL21" s="162"/>
      <c r="EM21" s="155"/>
      <c r="EN21" s="155"/>
      <c r="EO21" s="155"/>
      <c r="EV21" s="24"/>
      <c r="EW21" s="486"/>
      <c r="EX21" s="487"/>
      <c r="EY21" s="488"/>
      <c r="EZ21" s="489" t="s">
        <v>279</v>
      </c>
      <c r="FA21" s="490"/>
      <c r="FB21" s="490"/>
      <c r="FC21" s="490"/>
      <c r="FD21" s="490"/>
      <c r="FE21" s="491"/>
      <c r="FF21" s="24"/>
      <c r="FG21" s="492"/>
      <c r="FH21" s="493"/>
      <c r="FI21" s="494"/>
      <c r="FJ21" s="489" t="s">
        <v>285</v>
      </c>
      <c r="FK21" s="490"/>
      <c r="FL21" s="490"/>
      <c r="FM21" s="490"/>
      <c r="FN21" s="490"/>
      <c r="FO21" s="491"/>
      <c r="FP21" s="24"/>
      <c r="FQ21" s="486" t="s">
        <v>67</v>
      </c>
      <c r="FR21" s="487"/>
      <c r="FS21" s="488"/>
      <c r="FT21" s="489" t="s">
        <v>16</v>
      </c>
      <c r="FU21" s="490"/>
      <c r="FV21" s="490"/>
      <c r="FW21" s="490"/>
      <c r="FX21" s="490"/>
      <c r="FY21" s="491"/>
      <c r="FZ21" s="24"/>
      <c r="GA21" s="486" t="s">
        <v>50</v>
      </c>
      <c r="GB21" s="487"/>
      <c r="GC21" s="488"/>
      <c r="GD21" s="489" t="s">
        <v>17</v>
      </c>
      <c r="GE21" s="490"/>
      <c r="GF21" s="490"/>
      <c r="GG21" s="490"/>
      <c r="GH21" s="490"/>
      <c r="GI21" s="491"/>
      <c r="GJ21" s="24"/>
      <c r="GK21" s="486" t="s">
        <v>66</v>
      </c>
      <c r="GL21" s="487"/>
      <c r="GM21" s="488"/>
      <c r="GN21" s="489" t="s">
        <v>18</v>
      </c>
      <c r="GO21" s="490"/>
      <c r="GP21" s="490"/>
      <c r="GQ21" s="490"/>
      <c r="GR21" s="490"/>
      <c r="GS21" s="491"/>
      <c r="GT21" s="24"/>
      <c r="GU21" s="486" t="s">
        <v>20</v>
      </c>
      <c r="GV21" s="487"/>
      <c r="GW21" s="488"/>
      <c r="GX21" s="489" t="s">
        <v>19</v>
      </c>
      <c r="GY21" s="490"/>
      <c r="GZ21" s="490"/>
      <c r="HA21" s="490"/>
      <c r="HB21" s="490"/>
      <c r="HC21" s="491"/>
      <c r="HD21" s="24"/>
      <c r="HE21" s="486" t="s">
        <v>64</v>
      </c>
      <c r="HF21" s="487"/>
      <c r="HG21" s="488"/>
      <c r="HH21" s="489" t="s">
        <v>286</v>
      </c>
      <c r="HI21" s="490"/>
      <c r="HJ21" s="490"/>
      <c r="HK21" s="490"/>
      <c r="HL21" s="490"/>
      <c r="HM21" s="491"/>
      <c r="HN21" s="24"/>
      <c r="HO21" s="24"/>
    </row>
    <row r="22" spans="1:223" s="24" customFormat="1" ht="21.75" customHeight="1" x14ac:dyDescent="0.2">
      <c r="A22" s="20"/>
      <c r="B22" s="20"/>
      <c r="C22" s="165"/>
      <c r="D22" s="165"/>
      <c r="E22" s="165"/>
      <c r="F22" s="165"/>
      <c r="G22" s="165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66"/>
      <c r="V22" s="166"/>
      <c r="W22" s="166"/>
      <c r="X22" s="165"/>
      <c r="Y22" s="165"/>
      <c r="Z22" s="165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8"/>
      <c r="AX22" s="168"/>
      <c r="AY22" s="168"/>
      <c r="AZ22" s="168"/>
      <c r="BA22" s="168"/>
      <c r="BB22" s="168"/>
      <c r="BC22" s="169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8"/>
      <c r="BT22" s="168"/>
      <c r="BU22" s="168"/>
      <c r="BV22" s="168"/>
      <c r="BW22" s="168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5"/>
      <c r="CQ22" s="165"/>
      <c r="CR22" s="165"/>
      <c r="CS22" s="165"/>
      <c r="CT22" s="165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5"/>
      <c r="DI22" s="165"/>
      <c r="DJ22" s="165"/>
      <c r="DK22" s="165"/>
      <c r="DL22" s="165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5"/>
      <c r="DZ22" s="165"/>
      <c r="EA22" s="165"/>
      <c r="EB22" s="165"/>
      <c r="EC22" s="165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</row>
    <row r="23" spans="1:223" s="24" customFormat="1" ht="92.25" customHeight="1" x14ac:dyDescent="0.2">
      <c r="A23" s="20"/>
      <c r="B23" s="20"/>
      <c r="C23" s="165"/>
      <c r="D23" s="165"/>
      <c r="E23" s="165"/>
      <c r="F23" s="165"/>
      <c r="G23" s="165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66"/>
      <c r="V23" s="166"/>
      <c r="W23" s="166"/>
      <c r="X23" s="165"/>
      <c r="Y23" s="165"/>
      <c r="Z23" s="165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8"/>
      <c r="AX23" s="168"/>
      <c r="AY23" s="168"/>
      <c r="AZ23" s="168"/>
      <c r="BA23" s="168"/>
      <c r="BB23" s="168"/>
      <c r="BC23" s="169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8"/>
      <c r="BT23" s="168"/>
      <c r="BU23" s="168"/>
      <c r="BV23" s="168"/>
      <c r="BW23" s="168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5"/>
      <c r="CQ23" s="165"/>
      <c r="CR23" s="165"/>
      <c r="CS23" s="165"/>
      <c r="CT23" s="165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5"/>
      <c r="DI23" s="165"/>
      <c r="DJ23" s="165"/>
      <c r="DK23" s="165"/>
      <c r="DL23" s="165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5"/>
      <c r="DZ23" s="165"/>
      <c r="EA23" s="165"/>
      <c r="EB23" s="165"/>
      <c r="EC23" s="165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</row>
    <row r="24" spans="1:223" ht="100.5" customHeight="1" thickBot="1" x14ac:dyDescent="0.25">
      <c r="A24" s="459" t="s">
        <v>271</v>
      </c>
      <c r="B24" s="459"/>
      <c r="C24" s="459"/>
      <c r="D24" s="459"/>
      <c r="E24" s="459"/>
      <c r="F24" s="459"/>
      <c r="G24" s="459"/>
      <c r="H24" s="459"/>
      <c r="I24" s="459"/>
      <c r="J24" s="459"/>
      <c r="K24" s="459"/>
      <c r="L24" s="459"/>
      <c r="M24" s="459"/>
      <c r="N24" s="459"/>
      <c r="O24" s="459"/>
      <c r="P24" s="459"/>
      <c r="Q24" s="459"/>
      <c r="R24" s="459"/>
      <c r="S24" s="459"/>
      <c r="T24" s="459"/>
      <c r="U24" s="459"/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59"/>
      <c r="AK24" s="459"/>
      <c r="AL24" s="459"/>
      <c r="AM24" s="459"/>
      <c r="AN24" s="459"/>
      <c r="AO24" s="459"/>
      <c r="AP24" s="459"/>
      <c r="AQ24" s="459"/>
      <c r="AR24" s="459"/>
      <c r="AS24" s="459"/>
      <c r="AT24" s="459"/>
      <c r="AU24" s="459"/>
      <c r="AV24" s="459"/>
      <c r="AW24" s="459"/>
      <c r="AX24" s="459"/>
      <c r="AY24" s="459"/>
      <c r="AZ24" s="459"/>
      <c r="BA24" s="459"/>
      <c r="BB24" s="459"/>
      <c r="BC24" s="459"/>
      <c r="BD24" s="459"/>
      <c r="BE24" s="459"/>
      <c r="BF24" s="459"/>
      <c r="BG24" s="459"/>
      <c r="BH24" s="459"/>
      <c r="BI24" s="459"/>
      <c r="BJ24" s="459"/>
      <c r="BK24" s="459"/>
      <c r="BL24" s="459"/>
      <c r="BM24" s="459"/>
      <c r="BN24" s="459"/>
      <c r="BO24" s="459"/>
      <c r="BP24" s="459"/>
      <c r="BQ24" s="459"/>
      <c r="BR24" s="459"/>
      <c r="BS24" s="459"/>
      <c r="BT24" s="459"/>
      <c r="BU24" s="459"/>
      <c r="BV24" s="459"/>
      <c r="BW24" s="459"/>
      <c r="BX24" s="459"/>
      <c r="BY24" s="459"/>
      <c r="BZ24" s="459"/>
      <c r="CA24" s="459"/>
      <c r="CB24" s="459"/>
      <c r="CC24" s="459"/>
      <c r="CD24" s="459"/>
      <c r="CE24" s="459"/>
      <c r="CF24" s="459"/>
      <c r="CG24" s="459"/>
      <c r="CH24" s="459"/>
      <c r="CI24" s="459"/>
      <c r="CJ24" s="459"/>
      <c r="CK24" s="459"/>
      <c r="CL24" s="459"/>
      <c r="CM24" s="459"/>
      <c r="CN24" s="459"/>
      <c r="CO24" s="459"/>
      <c r="CP24" s="459"/>
      <c r="CQ24" s="459"/>
      <c r="CR24" s="459"/>
      <c r="CS24" s="459"/>
      <c r="CT24" s="459"/>
      <c r="CU24" s="459"/>
      <c r="CV24" s="459"/>
      <c r="CW24" s="459"/>
      <c r="CX24" s="459"/>
      <c r="CY24" s="459"/>
      <c r="CZ24" s="459"/>
      <c r="DA24" s="459"/>
      <c r="DB24" s="459"/>
      <c r="DC24" s="459"/>
      <c r="DD24" s="459"/>
      <c r="DE24" s="459"/>
      <c r="DF24" s="459"/>
      <c r="DG24" s="459"/>
      <c r="DH24" s="459"/>
      <c r="DI24" s="459"/>
      <c r="DJ24" s="459"/>
      <c r="DK24" s="459"/>
      <c r="DL24" s="459"/>
      <c r="DM24" s="459"/>
      <c r="DN24" s="459"/>
      <c r="DO24" s="459"/>
      <c r="DP24" s="459"/>
      <c r="DQ24" s="459"/>
      <c r="DR24" s="459"/>
      <c r="DS24" s="459"/>
      <c r="DT24" s="459"/>
      <c r="DU24" s="459"/>
      <c r="DV24" s="459"/>
      <c r="DW24" s="459"/>
      <c r="DX24" s="459"/>
      <c r="DY24" s="459"/>
      <c r="DZ24" s="459"/>
      <c r="EA24" s="459"/>
      <c r="EB24" s="459"/>
      <c r="EC24" s="459"/>
      <c r="ED24" s="459"/>
      <c r="EE24" s="459"/>
      <c r="EF24" s="459"/>
      <c r="EG24" s="459"/>
      <c r="EH24" s="459"/>
      <c r="EI24" s="459"/>
      <c r="EJ24" s="459"/>
      <c r="EK24" s="459"/>
      <c r="EL24" s="459"/>
      <c r="EM24" s="459"/>
      <c r="EN24" s="459"/>
      <c r="EO24" s="459"/>
      <c r="EP24" s="459"/>
      <c r="EQ24" s="459"/>
      <c r="ER24" s="459"/>
    </row>
    <row r="25" spans="1:223" s="61" customFormat="1" ht="63.75" x14ac:dyDescent="0.45">
      <c r="A25" s="437" t="s">
        <v>29</v>
      </c>
      <c r="B25" s="399" t="s">
        <v>68</v>
      </c>
      <c r="C25" s="414" t="s">
        <v>69</v>
      </c>
      <c r="D25" s="414"/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02" t="s">
        <v>70</v>
      </c>
      <c r="AA25" s="403"/>
      <c r="AB25" s="403"/>
      <c r="AC25" s="403"/>
      <c r="AD25" s="403"/>
      <c r="AE25" s="403"/>
      <c r="AF25" s="403"/>
      <c r="AG25" s="403"/>
      <c r="AH25" s="403"/>
      <c r="AI25" s="403"/>
      <c r="AJ25" s="403"/>
      <c r="AK25" s="403"/>
      <c r="AL25" s="403"/>
      <c r="AM25" s="403"/>
      <c r="AN25" s="403"/>
      <c r="AO25" s="403"/>
      <c r="AP25" s="403"/>
      <c r="AQ25" s="403"/>
      <c r="AR25" s="403"/>
      <c r="AS25" s="403"/>
      <c r="AT25" s="403"/>
      <c r="AU25" s="403"/>
      <c r="AV25" s="403"/>
      <c r="AW25" s="403"/>
      <c r="AX25" s="403"/>
      <c r="AY25" s="403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329"/>
      <c r="BK25" s="329"/>
      <c r="BL25" s="329"/>
      <c r="BM25" s="404"/>
      <c r="BN25" s="418" t="s">
        <v>34</v>
      </c>
      <c r="BO25" s="334"/>
      <c r="BP25" s="334"/>
      <c r="BQ25" s="334"/>
      <c r="BR25" s="334"/>
      <c r="BS25" s="334"/>
      <c r="BT25" s="334"/>
      <c r="BU25" s="334"/>
      <c r="BV25" s="334"/>
      <c r="BW25" s="334"/>
      <c r="BX25" s="334"/>
      <c r="BY25" s="334"/>
      <c r="BZ25" s="334"/>
      <c r="CA25" s="334"/>
      <c r="CB25" s="334"/>
      <c r="CC25" s="334"/>
      <c r="CD25" s="334"/>
      <c r="CE25" s="334"/>
      <c r="CF25" s="334"/>
      <c r="CG25" s="334"/>
      <c r="CH25" s="334"/>
      <c r="CI25" s="334"/>
      <c r="CJ25" s="334"/>
      <c r="CK25" s="334"/>
      <c r="CL25" s="334"/>
      <c r="CM25" s="334"/>
      <c r="CN25" s="334"/>
      <c r="CO25" s="334"/>
      <c r="CP25" s="334"/>
      <c r="CQ25" s="334"/>
      <c r="CR25" s="334"/>
      <c r="CS25" s="334"/>
      <c r="CT25" s="334"/>
      <c r="CU25" s="334"/>
      <c r="CV25" s="334"/>
      <c r="CW25" s="334"/>
      <c r="CX25" s="334"/>
      <c r="CY25" s="334"/>
      <c r="CZ25" s="334"/>
      <c r="DA25" s="426"/>
      <c r="DB25" s="418" t="s">
        <v>287</v>
      </c>
      <c r="DC25" s="334"/>
      <c r="DD25" s="334"/>
      <c r="DE25" s="334"/>
      <c r="DF25" s="334"/>
      <c r="DG25" s="334"/>
      <c r="DH25" s="334"/>
      <c r="DI25" s="334"/>
      <c r="DJ25" s="334"/>
      <c r="DK25" s="334"/>
      <c r="DL25" s="334"/>
      <c r="DM25" s="334"/>
      <c r="DN25" s="334"/>
      <c r="DO25" s="334"/>
      <c r="DP25" s="334"/>
      <c r="DQ25" s="334"/>
      <c r="DR25" s="334"/>
      <c r="DS25" s="334"/>
      <c r="DT25" s="334"/>
      <c r="DU25" s="334"/>
      <c r="DV25" s="334"/>
      <c r="DW25" s="334"/>
      <c r="DX25" s="334"/>
      <c r="DY25" s="334"/>
      <c r="DZ25" s="334"/>
      <c r="EA25" s="334"/>
      <c r="EB25" s="334"/>
      <c r="EC25" s="334"/>
      <c r="ED25" s="334"/>
      <c r="EE25" s="334"/>
      <c r="EF25" s="334"/>
      <c r="EG25" s="334"/>
      <c r="EH25" s="334"/>
      <c r="EI25" s="334"/>
      <c r="EJ25" s="334"/>
      <c r="EK25" s="334"/>
      <c r="EL25" s="334"/>
      <c r="EM25" s="334"/>
      <c r="EN25" s="334"/>
      <c r="EO25" s="402"/>
      <c r="EP25" s="432" t="s">
        <v>40</v>
      </c>
      <c r="EQ25" s="433"/>
      <c r="ER25" s="434"/>
    </row>
    <row r="26" spans="1:223" s="62" customFormat="1" ht="69" customHeight="1" x14ac:dyDescent="0.45">
      <c r="A26" s="438"/>
      <c r="B26" s="400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328" t="s">
        <v>71</v>
      </c>
      <c r="AA26" s="329"/>
      <c r="AB26" s="329"/>
      <c r="AC26" s="329"/>
      <c r="AD26" s="329"/>
      <c r="AE26" s="329"/>
      <c r="AF26" s="330"/>
      <c r="AG26" s="328" t="s">
        <v>72</v>
      </c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29"/>
      <c r="BA26" s="329"/>
      <c r="BB26" s="329"/>
      <c r="BC26" s="329"/>
      <c r="BD26" s="329"/>
      <c r="BE26" s="329"/>
      <c r="BF26" s="329"/>
      <c r="BG26" s="329"/>
      <c r="BH26" s="329"/>
      <c r="BI26" s="329"/>
      <c r="BJ26" s="427" t="s">
        <v>30</v>
      </c>
      <c r="BK26" s="427"/>
      <c r="BL26" s="427"/>
      <c r="BM26" s="428"/>
      <c r="BN26" s="418" t="s">
        <v>31</v>
      </c>
      <c r="BO26" s="334"/>
      <c r="BP26" s="334"/>
      <c r="BQ26" s="334"/>
      <c r="BR26" s="334"/>
      <c r="BS26" s="334"/>
      <c r="BT26" s="334"/>
      <c r="BU26" s="334"/>
      <c r="BV26" s="334"/>
      <c r="BW26" s="334"/>
      <c r="BX26" s="334" t="s">
        <v>32</v>
      </c>
      <c r="BY26" s="334"/>
      <c r="BZ26" s="334"/>
      <c r="CA26" s="334"/>
      <c r="CB26" s="334"/>
      <c r="CC26" s="334"/>
      <c r="CD26" s="334"/>
      <c r="CE26" s="334"/>
      <c r="CF26" s="334"/>
      <c r="CG26" s="334"/>
      <c r="CH26" s="334" t="s">
        <v>33</v>
      </c>
      <c r="CI26" s="334"/>
      <c r="CJ26" s="334"/>
      <c r="CK26" s="334"/>
      <c r="CL26" s="334"/>
      <c r="CM26" s="334"/>
      <c r="CN26" s="334"/>
      <c r="CO26" s="334"/>
      <c r="CP26" s="334"/>
      <c r="CQ26" s="334"/>
      <c r="CR26" s="334" t="s">
        <v>78</v>
      </c>
      <c r="CS26" s="334"/>
      <c r="CT26" s="334"/>
      <c r="CU26" s="334"/>
      <c r="CV26" s="334"/>
      <c r="CW26" s="334"/>
      <c r="CX26" s="334"/>
      <c r="CY26" s="334"/>
      <c r="CZ26" s="334"/>
      <c r="DA26" s="426"/>
      <c r="DB26" s="418" t="s">
        <v>31</v>
      </c>
      <c r="DC26" s="334"/>
      <c r="DD26" s="334"/>
      <c r="DE26" s="334"/>
      <c r="DF26" s="334"/>
      <c r="DG26" s="334"/>
      <c r="DH26" s="334"/>
      <c r="DI26" s="334"/>
      <c r="DJ26" s="334"/>
      <c r="DK26" s="334"/>
      <c r="DL26" s="334" t="s">
        <v>32</v>
      </c>
      <c r="DM26" s="334"/>
      <c r="DN26" s="334"/>
      <c r="DO26" s="334"/>
      <c r="DP26" s="334"/>
      <c r="DQ26" s="334"/>
      <c r="DR26" s="334"/>
      <c r="DS26" s="334"/>
      <c r="DT26" s="334"/>
      <c r="DU26" s="334"/>
      <c r="DV26" s="334" t="s">
        <v>33</v>
      </c>
      <c r="DW26" s="334"/>
      <c r="DX26" s="334"/>
      <c r="DY26" s="334"/>
      <c r="DZ26" s="334"/>
      <c r="EA26" s="334"/>
      <c r="EB26" s="334"/>
      <c r="EC26" s="334"/>
      <c r="ED26" s="334"/>
      <c r="EE26" s="334"/>
      <c r="EF26" s="334" t="s">
        <v>78</v>
      </c>
      <c r="EG26" s="334"/>
      <c r="EH26" s="334"/>
      <c r="EI26" s="334"/>
      <c r="EJ26" s="334"/>
      <c r="EK26" s="334"/>
      <c r="EL26" s="334"/>
      <c r="EM26" s="334"/>
      <c r="EN26" s="334"/>
      <c r="EO26" s="402"/>
      <c r="EP26" s="435"/>
      <c r="EQ26" s="427"/>
      <c r="ER26" s="428"/>
    </row>
    <row r="27" spans="1:223" s="62" customFormat="1" ht="60" customHeight="1" x14ac:dyDescent="0.45">
      <c r="A27" s="438"/>
      <c r="B27" s="400"/>
      <c r="C27" s="414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331"/>
      <c r="AA27" s="332"/>
      <c r="AB27" s="332"/>
      <c r="AC27" s="332"/>
      <c r="AD27" s="332"/>
      <c r="AE27" s="332"/>
      <c r="AF27" s="333"/>
      <c r="AG27" s="405" t="s">
        <v>22</v>
      </c>
      <c r="AH27" s="406"/>
      <c r="AI27" s="406"/>
      <c r="AJ27" s="406"/>
      <c r="AK27" s="407"/>
      <c r="AL27" s="405" t="s">
        <v>73</v>
      </c>
      <c r="AM27" s="406"/>
      <c r="AN27" s="406"/>
      <c r="AO27" s="406"/>
      <c r="AP27" s="407"/>
      <c r="AQ27" s="405" t="s">
        <v>74</v>
      </c>
      <c r="AR27" s="406"/>
      <c r="AS27" s="406"/>
      <c r="AT27" s="406"/>
      <c r="AU27" s="407"/>
      <c r="AV27" s="405" t="s">
        <v>75</v>
      </c>
      <c r="AW27" s="406"/>
      <c r="AX27" s="406"/>
      <c r="AY27" s="406"/>
      <c r="AZ27" s="407"/>
      <c r="BA27" s="405" t="s">
        <v>76</v>
      </c>
      <c r="BB27" s="406"/>
      <c r="BC27" s="406"/>
      <c r="BD27" s="407"/>
      <c r="BE27" s="405" t="s">
        <v>77</v>
      </c>
      <c r="BF27" s="406"/>
      <c r="BG27" s="406"/>
      <c r="BH27" s="406"/>
      <c r="BI27" s="406"/>
      <c r="BJ27" s="427"/>
      <c r="BK27" s="427"/>
      <c r="BL27" s="427"/>
      <c r="BM27" s="428"/>
      <c r="BN27" s="419" t="s">
        <v>36</v>
      </c>
      <c r="BO27" s="420"/>
      <c r="BP27" s="420"/>
      <c r="BQ27" s="420"/>
      <c r="BR27" s="420"/>
      <c r="BS27" s="420"/>
      <c r="BT27" s="420"/>
      <c r="BU27" s="420"/>
      <c r="BV27" s="420"/>
      <c r="BW27" s="420"/>
      <c r="BX27" s="420"/>
      <c r="BY27" s="420"/>
      <c r="BZ27" s="420"/>
      <c r="CA27" s="420"/>
      <c r="CB27" s="420"/>
      <c r="CC27" s="420"/>
      <c r="CD27" s="420"/>
      <c r="CE27" s="420"/>
      <c r="CF27" s="420"/>
      <c r="CG27" s="420"/>
      <c r="CH27" s="420"/>
      <c r="CI27" s="420"/>
      <c r="CJ27" s="420"/>
      <c r="CK27" s="420"/>
      <c r="CL27" s="420"/>
      <c r="CM27" s="420"/>
      <c r="CN27" s="420"/>
      <c r="CO27" s="420"/>
      <c r="CP27" s="420"/>
      <c r="CQ27" s="420"/>
      <c r="CR27" s="420"/>
      <c r="CS27" s="420"/>
      <c r="CT27" s="420"/>
      <c r="CU27" s="420"/>
      <c r="CV27" s="420"/>
      <c r="CW27" s="420"/>
      <c r="CX27" s="420"/>
      <c r="CY27" s="420"/>
      <c r="CZ27" s="420"/>
      <c r="DA27" s="422"/>
      <c r="DB27" s="419" t="s">
        <v>288</v>
      </c>
      <c r="DC27" s="420"/>
      <c r="DD27" s="420"/>
      <c r="DE27" s="420"/>
      <c r="DF27" s="420"/>
      <c r="DG27" s="420"/>
      <c r="DH27" s="420"/>
      <c r="DI27" s="420"/>
      <c r="DJ27" s="420"/>
      <c r="DK27" s="420"/>
      <c r="DL27" s="420"/>
      <c r="DM27" s="420"/>
      <c r="DN27" s="420"/>
      <c r="DO27" s="420"/>
      <c r="DP27" s="420"/>
      <c r="DQ27" s="420"/>
      <c r="DR27" s="420"/>
      <c r="DS27" s="420"/>
      <c r="DT27" s="420"/>
      <c r="DU27" s="420"/>
      <c r="DV27" s="420"/>
      <c r="DW27" s="420"/>
      <c r="DX27" s="420"/>
      <c r="DY27" s="420"/>
      <c r="DZ27" s="420"/>
      <c r="EA27" s="420"/>
      <c r="EB27" s="420"/>
      <c r="EC27" s="420"/>
      <c r="ED27" s="420"/>
      <c r="EE27" s="420"/>
      <c r="EF27" s="420"/>
      <c r="EG27" s="420"/>
      <c r="EH27" s="420"/>
      <c r="EI27" s="420"/>
      <c r="EJ27" s="420"/>
      <c r="EK27" s="420"/>
      <c r="EL27" s="420"/>
      <c r="EM27" s="420"/>
      <c r="EN27" s="420"/>
      <c r="EO27" s="421"/>
      <c r="EP27" s="435"/>
      <c r="EQ27" s="427"/>
      <c r="ER27" s="428"/>
    </row>
    <row r="28" spans="1:223" s="62" customFormat="1" ht="50.1" customHeight="1" x14ac:dyDescent="0.45">
      <c r="A28" s="438"/>
      <c r="B28" s="400"/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331"/>
      <c r="AA28" s="332"/>
      <c r="AB28" s="332"/>
      <c r="AC28" s="332"/>
      <c r="AD28" s="332"/>
      <c r="AE28" s="332"/>
      <c r="AF28" s="333"/>
      <c r="AG28" s="408"/>
      <c r="AH28" s="409"/>
      <c r="AI28" s="409"/>
      <c r="AJ28" s="409"/>
      <c r="AK28" s="410"/>
      <c r="AL28" s="408"/>
      <c r="AM28" s="409"/>
      <c r="AN28" s="409"/>
      <c r="AO28" s="409"/>
      <c r="AP28" s="410"/>
      <c r="AQ28" s="408"/>
      <c r="AR28" s="409"/>
      <c r="AS28" s="409"/>
      <c r="AT28" s="409"/>
      <c r="AU28" s="410"/>
      <c r="AV28" s="408"/>
      <c r="AW28" s="409"/>
      <c r="AX28" s="409"/>
      <c r="AY28" s="409"/>
      <c r="AZ28" s="410"/>
      <c r="BA28" s="408"/>
      <c r="BB28" s="409"/>
      <c r="BC28" s="409"/>
      <c r="BD28" s="410"/>
      <c r="BE28" s="408"/>
      <c r="BF28" s="409"/>
      <c r="BG28" s="409"/>
      <c r="BH28" s="409"/>
      <c r="BI28" s="409"/>
      <c r="BJ28" s="427"/>
      <c r="BK28" s="427"/>
      <c r="BL28" s="427"/>
      <c r="BM28" s="428"/>
      <c r="BN28" s="419">
        <v>30</v>
      </c>
      <c r="BO28" s="420"/>
      <c r="BP28" s="420"/>
      <c r="BQ28" s="420"/>
      <c r="BR28" s="420"/>
      <c r="BS28" s="420"/>
      <c r="BT28" s="420"/>
      <c r="BU28" s="420"/>
      <c r="BV28" s="420"/>
      <c r="BW28" s="420"/>
      <c r="BX28" s="420">
        <v>30</v>
      </c>
      <c r="BY28" s="420"/>
      <c r="BZ28" s="420"/>
      <c r="CA28" s="420"/>
      <c r="CB28" s="420"/>
      <c r="CC28" s="420"/>
      <c r="CD28" s="420"/>
      <c r="CE28" s="420"/>
      <c r="CF28" s="420"/>
      <c r="CG28" s="420"/>
      <c r="CH28" s="420">
        <v>30</v>
      </c>
      <c r="CI28" s="420"/>
      <c r="CJ28" s="420"/>
      <c r="CK28" s="420"/>
      <c r="CL28" s="420"/>
      <c r="CM28" s="420"/>
      <c r="CN28" s="420"/>
      <c r="CO28" s="420"/>
      <c r="CP28" s="420"/>
      <c r="CQ28" s="420"/>
      <c r="CR28" s="420">
        <v>30</v>
      </c>
      <c r="CS28" s="420"/>
      <c r="CT28" s="420"/>
      <c r="CU28" s="420"/>
      <c r="CV28" s="420"/>
      <c r="CW28" s="420"/>
      <c r="CX28" s="420"/>
      <c r="CY28" s="420"/>
      <c r="CZ28" s="420"/>
      <c r="DA28" s="422"/>
      <c r="DB28" s="419">
        <v>60</v>
      </c>
      <c r="DC28" s="420"/>
      <c r="DD28" s="420"/>
      <c r="DE28" s="420"/>
      <c r="DF28" s="420"/>
      <c r="DG28" s="420"/>
      <c r="DH28" s="420"/>
      <c r="DI28" s="420"/>
      <c r="DJ28" s="420"/>
      <c r="DK28" s="420"/>
      <c r="DL28" s="420">
        <v>60</v>
      </c>
      <c r="DM28" s="420"/>
      <c r="DN28" s="420"/>
      <c r="DO28" s="420"/>
      <c r="DP28" s="420"/>
      <c r="DQ28" s="420"/>
      <c r="DR28" s="420"/>
      <c r="DS28" s="420"/>
      <c r="DT28" s="420"/>
      <c r="DU28" s="420"/>
      <c r="DV28" s="420">
        <v>60</v>
      </c>
      <c r="DW28" s="420"/>
      <c r="DX28" s="420"/>
      <c r="DY28" s="420"/>
      <c r="DZ28" s="420"/>
      <c r="EA28" s="420"/>
      <c r="EB28" s="420"/>
      <c r="EC28" s="420"/>
      <c r="ED28" s="420"/>
      <c r="EE28" s="420"/>
      <c r="EF28" s="420">
        <v>60</v>
      </c>
      <c r="EG28" s="420"/>
      <c r="EH28" s="420"/>
      <c r="EI28" s="420"/>
      <c r="EJ28" s="420"/>
      <c r="EK28" s="420"/>
      <c r="EL28" s="420"/>
      <c r="EM28" s="420"/>
      <c r="EN28" s="420"/>
      <c r="EO28" s="421"/>
      <c r="EP28" s="435"/>
      <c r="EQ28" s="427"/>
      <c r="ER28" s="428"/>
    </row>
    <row r="29" spans="1:223" s="62" customFormat="1" ht="63.75" x14ac:dyDescent="0.45">
      <c r="A29" s="438"/>
      <c r="B29" s="400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331"/>
      <c r="AA29" s="332"/>
      <c r="AB29" s="332"/>
      <c r="AC29" s="332"/>
      <c r="AD29" s="332"/>
      <c r="AE29" s="332"/>
      <c r="AF29" s="333"/>
      <c r="AG29" s="408"/>
      <c r="AH29" s="409"/>
      <c r="AI29" s="409"/>
      <c r="AJ29" s="409"/>
      <c r="AK29" s="410"/>
      <c r="AL29" s="408"/>
      <c r="AM29" s="409"/>
      <c r="AN29" s="409"/>
      <c r="AO29" s="409"/>
      <c r="AP29" s="410"/>
      <c r="AQ29" s="408"/>
      <c r="AR29" s="409"/>
      <c r="AS29" s="409"/>
      <c r="AT29" s="409"/>
      <c r="AU29" s="410"/>
      <c r="AV29" s="408"/>
      <c r="AW29" s="409"/>
      <c r="AX29" s="409"/>
      <c r="AY29" s="409"/>
      <c r="AZ29" s="410"/>
      <c r="BA29" s="408"/>
      <c r="BB29" s="409"/>
      <c r="BC29" s="409"/>
      <c r="BD29" s="410"/>
      <c r="BE29" s="408"/>
      <c r="BF29" s="409"/>
      <c r="BG29" s="409"/>
      <c r="BH29" s="409"/>
      <c r="BI29" s="409"/>
      <c r="BJ29" s="427"/>
      <c r="BK29" s="427"/>
      <c r="BL29" s="427"/>
      <c r="BM29" s="428"/>
      <c r="BN29" s="419" t="s">
        <v>37</v>
      </c>
      <c r="BO29" s="420"/>
      <c r="BP29" s="420"/>
      <c r="BQ29" s="420"/>
      <c r="BR29" s="420"/>
      <c r="BS29" s="420"/>
      <c r="BT29" s="420"/>
      <c r="BU29" s="420"/>
      <c r="BV29" s="420"/>
      <c r="BW29" s="420"/>
      <c r="BX29" s="420"/>
      <c r="BY29" s="420"/>
      <c r="BZ29" s="420"/>
      <c r="CA29" s="420"/>
      <c r="CB29" s="420"/>
      <c r="CC29" s="420"/>
      <c r="CD29" s="420"/>
      <c r="CE29" s="420"/>
      <c r="CF29" s="420"/>
      <c r="CG29" s="420"/>
      <c r="CH29" s="420"/>
      <c r="CI29" s="420"/>
      <c r="CJ29" s="420"/>
      <c r="CK29" s="420"/>
      <c r="CL29" s="420"/>
      <c r="CM29" s="420"/>
      <c r="CN29" s="420"/>
      <c r="CO29" s="420"/>
      <c r="CP29" s="420"/>
      <c r="CQ29" s="420"/>
      <c r="CR29" s="420"/>
      <c r="CS29" s="420"/>
      <c r="CT29" s="420"/>
      <c r="CU29" s="420"/>
      <c r="CV29" s="420"/>
      <c r="CW29" s="420"/>
      <c r="CX29" s="420"/>
      <c r="CY29" s="420"/>
      <c r="CZ29" s="420"/>
      <c r="DA29" s="422"/>
      <c r="DB29" s="419" t="s">
        <v>37</v>
      </c>
      <c r="DC29" s="420"/>
      <c r="DD29" s="420"/>
      <c r="DE29" s="420"/>
      <c r="DF29" s="420"/>
      <c r="DG29" s="420"/>
      <c r="DH29" s="420"/>
      <c r="DI29" s="420"/>
      <c r="DJ29" s="420"/>
      <c r="DK29" s="420"/>
      <c r="DL29" s="420"/>
      <c r="DM29" s="420"/>
      <c r="DN29" s="420"/>
      <c r="DO29" s="420"/>
      <c r="DP29" s="420"/>
      <c r="DQ29" s="420"/>
      <c r="DR29" s="420"/>
      <c r="DS29" s="420"/>
      <c r="DT29" s="420"/>
      <c r="DU29" s="420"/>
      <c r="DV29" s="420"/>
      <c r="DW29" s="420"/>
      <c r="DX29" s="420"/>
      <c r="DY29" s="420"/>
      <c r="DZ29" s="420"/>
      <c r="EA29" s="420"/>
      <c r="EB29" s="420"/>
      <c r="EC29" s="420"/>
      <c r="ED29" s="420"/>
      <c r="EE29" s="420"/>
      <c r="EF29" s="420"/>
      <c r="EG29" s="420"/>
      <c r="EH29" s="420"/>
      <c r="EI29" s="420"/>
      <c r="EJ29" s="420"/>
      <c r="EK29" s="420"/>
      <c r="EL29" s="420"/>
      <c r="EM29" s="420"/>
      <c r="EN29" s="420"/>
      <c r="EO29" s="421"/>
      <c r="EP29" s="435"/>
      <c r="EQ29" s="427"/>
      <c r="ER29" s="428"/>
    </row>
    <row r="30" spans="1:223" s="62" customFormat="1" ht="50.1" customHeight="1" x14ac:dyDescent="0.45">
      <c r="A30" s="438"/>
      <c r="B30" s="400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331"/>
      <c r="AA30" s="332"/>
      <c r="AB30" s="332"/>
      <c r="AC30" s="332"/>
      <c r="AD30" s="332"/>
      <c r="AE30" s="332"/>
      <c r="AF30" s="333"/>
      <c r="AG30" s="408"/>
      <c r="AH30" s="409"/>
      <c r="AI30" s="409"/>
      <c r="AJ30" s="409"/>
      <c r="AK30" s="410"/>
      <c r="AL30" s="408"/>
      <c r="AM30" s="409"/>
      <c r="AN30" s="409"/>
      <c r="AO30" s="409"/>
      <c r="AP30" s="410"/>
      <c r="AQ30" s="408"/>
      <c r="AR30" s="409"/>
      <c r="AS30" s="409"/>
      <c r="AT30" s="409"/>
      <c r="AU30" s="410"/>
      <c r="AV30" s="408"/>
      <c r="AW30" s="409"/>
      <c r="AX30" s="409"/>
      <c r="AY30" s="409"/>
      <c r="AZ30" s="410"/>
      <c r="BA30" s="408"/>
      <c r="BB30" s="409"/>
      <c r="BC30" s="409"/>
      <c r="BD30" s="410"/>
      <c r="BE30" s="408"/>
      <c r="BF30" s="409"/>
      <c r="BG30" s="409"/>
      <c r="BH30" s="409"/>
      <c r="BI30" s="409"/>
      <c r="BJ30" s="427"/>
      <c r="BK30" s="427"/>
      <c r="BL30" s="427"/>
      <c r="BM30" s="428"/>
      <c r="BN30" s="419">
        <v>1</v>
      </c>
      <c r="BO30" s="420"/>
      <c r="BP30" s="420"/>
      <c r="BQ30" s="420"/>
      <c r="BR30" s="420"/>
      <c r="BS30" s="420">
        <v>2</v>
      </c>
      <c r="BT30" s="420"/>
      <c r="BU30" s="420"/>
      <c r="BV30" s="420"/>
      <c r="BW30" s="420"/>
      <c r="BX30" s="420">
        <v>3</v>
      </c>
      <c r="BY30" s="420"/>
      <c r="BZ30" s="420"/>
      <c r="CA30" s="420"/>
      <c r="CB30" s="420"/>
      <c r="CC30" s="420">
        <v>4</v>
      </c>
      <c r="CD30" s="420"/>
      <c r="CE30" s="420"/>
      <c r="CF30" s="420"/>
      <c r="CG30" s="420"/>
      <c r="CH30" s="420">
        <v>5</v>
      </c>
      <c r="CI30" s="420"/>
      <c r="CJ30" s="420"/>
      <c r="CK30" s="420"/>
      <c r="CL30" s="420"/>
      <c r="CM30" s="420">
        <v>6</v>
      </c>
      <c r="CN30" s="420"/>
      <c r="CO30" s="420"/>
      <c r="CP30" s="420"/>
      <c r="CQ30" s="420"/>
      <c r="CR30" s="420">
        <v>7</v>
      </c>
      <c r="CS30" s="420"/>
      <c r="CT30" s="420"/>
      <c r="CU30" s="420"/>
      <c r="CV30" s="420"/>
      <c r="CW30" s="420">
        <v>8</v>
      </c>
      <c r="CX30" s="420"/>
      <c r="CY30" s="420"/>
      <c r="CZ30" s="420"/>
      <c r="DA30" s="422"/>
      <c r="DB30" s="419">
        <v>1</v>
      </c>
      <c r="DC30" s="420"/>
      <c r="DD30" s="420"/>
      <c r="DE30" s="420"/>
      <c r="DF30" s="420"/>
      <c r="DG30" s="420">
        <v>2</v>
      </c>
      <c r="DH30" s="420"/>
      <c r="DI30" s="420"/>
      <c r="DJ30" s="420"/>
      <c r="DK30" s="420"/>
      <c r="DL30" s="420">
        <v>3</v>
      </c>
      <c r="DM30" s="420"/>
      <c r="DN30" s="420"/>
      <c r="DO30" s="420"/>
      <c r="DP30" s="420"/>
      <c r="DQ30" s="420">
        <v>4</v>
      </c>
      <c r="DR30" s="420"/>
      <c r="DS30" s="420"/>
      <c r="DT30" s="420"/>
      <c r="DU30" s="420"/>
      <c r="DV30" s="420">
        <v>5</v>
      </c>
      <c r="DW30" s="420"/>
      <c r="DX30" s="420"/>
      <c r="DY30" s="420"/>
      <c r="DZ30" s="420"/>
      <c r="EA30" s="420">
        <v>6</v>
      </c>
      <c r="EB30" s="420"/>
      <c r="EC30" s="420"/>
      <c r="ED30" s="420"/>
      <c r="EE30" s="420"/>
      <c r="EF30" s="420">
        <v>7</v>
      </c>
      <c r="EG30" s="420"/>
      <c r="EH30" s="420"/>
      <c r="EI30" s="420"/>
      <c r="EJ30" s="420"/>
      <c r="EK30" s="420">
        <v>8</v>
      </c>
      <c r="EL30" s="420"/>
      <c r="EM30" s="420"/>
      <c r="EN30" s="420"/>
      <c r="EO30" s="421"/>
      <c r="EP30" s="435"/>
      <c r="EQ30" s="427"/>
      <c r="ER30" s="428"/>
    </row>
    <row r="31" spans="1:223" s="62" customFormat="1" ht="63.75" x14ac:dyDescent="0.45">
      <c r="A31" s="438"/>
      <c r="B31" s="400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331"/>
      <c r="AA31" s="332"/>
      <c r="AB31" s="332"/>
      <c r="AC31" s="332"/>
      <c r="AD31" s="332"/>
      <c r="AE31" s="332"/>
      <c r="AF31" s="333"/>
      <c r="AG31" s="408"/>
      <c r="AH31" s="409"/>
      <c r="AI31" s="409"/>
      <c r="AJ31" s="409"/>
      <c r="AK31" s="410"/>
      <c r="AL31" s="408"/>
      <c r="AM31" s="409"/>
      <c r="AN31" s="409"/>
      <c r="AO31" s="409"/>
      <c r="AP31" s="410"/>
      <c r="AQ31" s="408"/>
      <c r="AR31" s="409"/>
      <c r="AS31" s="409"/>
      <c r="AT31" s="409"/>
      <c r="AU31" s="410"/>
      <c r="AV31" s="408"/>
      <c r="AW31" s="409"/>
      <c r="AX31" s="409"/>
      <c r="AY31" s="409"/>
      <c r="AZ31" s="410"/>
      <c r="BA31" s="408"/>
      <c r="BB31" s="409"/>
      <c r="BC31" s="409"/>
      <c r="BD31" s="410"/>
      <c r="BE31" s="408"/>
      <c r="BF31" s="409"/>
      <c r="BG31" s="409"/>
      <c r="BH31" s="409"/>
      <c r="BI31" s="409"/>
      <c r="BJ31" s="427"/>
      <c r="BK31" s="427"/>
      <c r="BL31" s="427"/>
      <c r="BM31" s="428"/>
      <c r="BN31" s="419" t="s">
        <v>38</v>
      </c>
      <c r="BO31" s="420"/>
      <c r="BP31" s="420"/>
      <c r="BQ31" s="420"/>
      <c r="BR31" s="420"/>
      <c r="BS31" s="420"/>
      <c r="BT31" s="420"/>
      <c r="BU31" s="420"/>
      <c r="BV31" s="420"/>
      <c r="BW31" s="420"/>
      <c r="BX31" s="420"/>
      <c r="BY31" s="420"/>
      <c r="BZ31" s="420"/>
      <c r="CA31" s="420"/>
      <c r="CB31" s="420"/>
      <c r="CC31" s="420"/>
      <c r="CD31" s="420"/>
      <c r="CE31" s="420"/>
      <c r="CF31" s="420"/>
      <c r="CG31" s="420"/>
      <c r="CH31" s="420"/>
      <c r="CI31" s="420"/>
      <c r="CJ31" s="420"/>
      <c r="CK31" s="420"/>
      <c r="CL31" s="420"/>
      <c r="CM31" s="420"/>
      <c r="CN31" s="420"/>
      <c r="CO31" s="420"/>
      <c r="CP31" s="420"/>
      <c r="CQ31" s="420"/>
      <c r="CR31" s="420"/>
      <c r="CS31" s="420"/>
      <c r="CT31" s="420"/>
      <c r="CU31" s="420"/>
      <c r="CV31" s="420"/>
      <c r="CW31" s="420"/>
      <c r="CX31" s="420"/>
      <c r="CY31" s="420"/>
      <c r="CZ31" s="420"/>
      <c r="DA31" s="422"/>
      <c r="DB31" s="419" t="s">
        <v>39</v>
      </c>
      <c r="DC31" s="420"/>
      <c r="DD31" s="420"/>
      <c r="DE31" s="420"/>
      <c r="DF31" s="420"/>
      <c r="DG31" s="420"/>
      <c r="DH31" s="420"/>
      <c r="DI31" s="420"/>
      <c r="DJ31" s="420"/>
      <c r="DK31" s="420"/>
      <c r="DL31" s="420"/>
      <c r="DM31" s="420"/>
      <c r="DN31" s="420"/>
      <c r="DO31" s="420"/>
      <c r="DP31" s="420"/>
      <c r="DQ31" s="420"/>
      <c r="DR31" s="420"/>
      <c r="DS31" s="420"/>
      <c r="DT31" s="420"/>
      <c r="DU31" s="420"/>
      <c r="DV31" s="420"/>
      <c r="DW31" s="420"/>
      <c r="DX31" s="420"/>
      <c r="DY31" s="420"/>
      <c r="DZ31" s="420"/>
      <c r="EA31" s="420"/>
      <c r="EB31" s="420"/>
      <c r="EC31" s="420"/>
      <c r="ED31" s="420"/>
      <c r="EE31" s="420"/>
      <c r="EF31" s="420"/>
      <c r="EG31" s="420"/>
      <c r="EH31" s="420"/>
      <c r="EI31" s="420"/>
      <c r="EJ31" s="420"/>
      <c r="EK31" s="420"/>
      <c r="EL31" s="420"/>
      <c r="EM31" s="420"/>
      <c r="EN31" s="420"/>
      <c r="EO31" s="421"/>
      <c r="EP31" s="435"/>
      <c r="EQ31" s="427"/>
      <c r="ER31" s="428"/>
    </row>
    <row r="32" spans="1:223" s="62" customFormat="1" ht="63.75" x14ac:dyDescent="0.45">
      <c r="A32" s="439"/>
      <c r="B32" s="401"/>
      <c r="C32" s="414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334" t="s">
        <v>79</v>
      </c>
      <c r="AA32" s="334"/>
      <c r="AB32" s="334"/>
      <c r="AC32" s="334"/>
      <c r="AD32" s="334" t="s">
        <v>80</v>
      </c>
      <c r="AE32" s="334"/>
      <c r="AF32" s="334"/>
      <c r="AG32" s="411"/>
      <c r="AH32" s="412"/>
      <c r="AI32" s="412"/>
      <c r="AJ32" s="412"/>
      <c r="AK32" s="413"/>
      <c r="AL32" s="411"/>
      <c r="AM32" s="412"/>
      <c r="AN32" s="412"/>
      <c r="AO32" s="412"/>
      <c r="AP32" s="413"/>
      <c r="AQ32" s="411"/>
      <c r="AR32" s="412"/>
      <c r="AS32" s="412"/>
      <c r="AT32" s="412"/>
      <c r="AU32" s="413"/>
      <c r="AV32" s="411"/>
      <c r="AW32" s="412"/>
      <c r="AX32" s="412"/>
      <c r="AY32" s="412"/>
      <c r="AZ32" s="413"/>
      <c r="BA32" s="411"/>
      <c r="BB32" s="412"/>
      <c r="BC32" s="412"/>
      <c r="BD32" s="413"/>
      <c r="BE32" s="411"/>
      <c r="BF32" s="412"/>
      <c r="BG32" s="412"/>
      <c r="BH32" s="412"/>
      <c r="BI32" s="412"/>
      <c r="BJ32" s="427"/>
      <c r="BK32" s="427"/>
      <c r="BL32" s="427"/>
      <c r="BM32" s="428"/>
      <c r="BN32" s="419">
        <v>15</v>
      </c>
      <c r="BO32" s="420"/>
      <c r="BP32" s="420"/>
      <c r="BQ32" s="420"/>
      <c r="BR32" s="420"/>
      <c r="BS32" s="420">
        <v>15</v>
      </c>
      <c r="BT32" s="420"/>
      <c r="BU32" s="420"/>
      <c r="BV32" s="420"/>
      <c r="BW32" s="420"/>
      <c r="BX32" s="420">
        <v>15</v>
      </c>
      <c r="BY32" s="420"/>
      <c r="BZ32" s="420"/>
      <c r="CA32" s="420"/>
      <c r="CB32" s="420"/>
      <c r="CC32" s="420">
        <v>15</v>
      </c>
      <c r="CD32" s="420"/>
      <c r="CE32" s="420"/>
      <c r="CF32" s="420"/>
      <c r="CG32" s="420"/>
      <c r="CH32" s="420">
        <v>15</v>
      </c>
      <c r="CI32" s="420"/>
      <c r="CJ32" s="420"/>
      <c r="CK32" s="420"/>
      <c r="CL32" s="420"/>
      <c r="CM32" s="420">
        <v>15</v>
      </c>
      <c r="CN32" s="420"/>
      <c r="CO32" s="420"/>
      <c r="CP32" s="420"/>
      <c r="CQ32" s="420"/>
      <c r="CR32" s="420">
        <v>15</v>
      </c>
      <c r="CS32" s="420"/>
      <c r="CT32" s="420"/>
      <c r="CU32" s="420"/>
      <c r="CV32" s="420"/>
      <c r="CW32" s="420">
        <v>15</v>
      </c>
      <c r="CX32" s="420"/>
      <c r="CY32" s="420"/>
      <c r="CZ32" s="420"/>
      <c r="DA32" s="422"/>
      <c r="DB32" s="419">
        <f>DB80</f>
        <v>30</v>
      </c>
      <c r="DC32" s="420"/>
      <c r="DD32" s="420"/>
      <c r="DE32" s="420"/>
      <c r="DF32" s="420"/>
      <c r="DG32" s="419">
        <f t="shared" ref="DG32" si="0">DG80</f>
        <v>27</v>
      </c>
      <c r="DH32" s="420"/>
      <c r="DI32" s="420"/>
      <c r="DJ32" s="420"/>
      <c r="DK32" s="420"/>
      <c r="DL32" s="419">
        <f t="shared" ref="DL32" si="1">DL80</f>
        <v>24</v>
      </c>
      <c r="DM32" s="420"/>
      <c r="DN32" s="420"/>
      <c r="DO32" s="420"/>
      <c r="DP32" s="420"/>
      <c r="DQ32" s="419">
        <f t="shared" ref="DQ32" si="2">DQ80</f>
        <v>24</v>
      </c>
      <c r="DR32" s="420"/>
      <c r="DS32" s="420"/>
      <c r="DT32" s="420"/>
      <c r="DU32" s="420"/>
      <c r="DV32" s="419">
        <f t="shared" ref="DV32" si="3">DV80</f>
        <v>24</v>
      </c>
      <c r="DW32" s="420"/>
      <c r="DX32" s="420"/>
      <c r="DY32" s="420"/>
      <c r="DZ32" s="420"/>
      <c r="EA32" s="419">
        <f t="shared" ref="EA32" si="4">EA80</f>
        <v>24</v>
      </c>
      <c r="EB32" s="420"/>
      <c r="EC32" s="420"/>
      <c r="ED32" s="420"/>
      <c r="EE32" s="420"/>
      <c r="EF32" s="419">
        <f t="shared" ref="EF32" si="5">EF80</f>
        <v>24</v>
      </c>
      <c r="EG32" s="420"/>
      <c r="EH32" s="420"/>
      <c r="EI32" s="420"/>
      <c r="EJ32" s="420"/>
      <c r="EK32" s="419">
        <f t="shared" ref="EK32" si="6">EK80</f>
        <v>21</v>
      </c>
      <c r="EL32" s="420"/>
      <c r="EM32" s="420"/>
      <c r="EN32" s="420"/>
      <c r="EO32" s="420"/>
      <c r="EP32" s="430">
        <f>EP80+EP83</f>
        <v>240</v>
      </c>
      <c r="EQ32" s="431"/>
      <c r="ER32" s="422"/>
    </row>
    <row r="33" spans="1:149" s="63" customFormat="1" ht="55.5" customHeight="1" x14ac:dyDescent="0.2">
      <c r="A33" s="28">
        <v>1</v>
      </c>
      <c r="B33" s="27"/>
      <c r="C33" s="423">
        <v>2</v>
      </c>
      <c r="D33" s="425"/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380"/>
      <c r="Z33" s="429">
        <v>3</v>
      </c>
      <c r="AA33" s="429"/>
      <c r="AB33" s="429"/>
      <c r="AC33" s="429"/>
      <c r="AD33" s="415">
        <v>4</v>
      </c>
      <c r="AE33" s="416"/>
      <c r="AF33" s="417"/>
      <c r="AG33" s="415">
        <v>5</v>
      </c>
      <c r="AH33" s="416"/>
      <c r="AI33" s="416"/>
      <c r="AJ33" s="416"/>
      <c r="AK33" s="417"/>
      <c r="AL33" s="415">
        <v>6</v>
      </c>
      <c r="AM33" s="416"/>
      <c r="AN33" s="416"/>
      <c r="AO33" s="416"/>
      <c r="AP33" s="417"/>
      <c r="AQ33" s="415">
        <v>7</v>
      </c>
      <c r="AR33" s="416"/>
      <c r="AS33" s="416"/>
      <c r="AT33" s="416"/>
      <c r="AU33" s="417"/>
      <c r="AV33" s="415">
        <v>8</v>
      </c>
      <c r="AW33" s="416"/>
      <c r="AX33" s="416"/>
      <c r="AY33" s="416"/>
      <c r="AZ33" s="417"/>
      <c r="BA33" s="415">
        <v>9</v>
      </c>
      <c r="BB33" s="416"/>
      <c r="BC33" s="416"/>
      <c r="BD33" s="417"/>
      <c r="BE33" s="415">
        <v>10</v>
      </c>
      <c r="BF33" s="416"/>
      <c r="BG33" s="416"/>
      <c r="BH33" s="416"/>
      <c r="BI33" s="417"/>
      <c r="BJ33" s="415">
        <v>11</v>
      </c>
      <c r="BK33" s="416"/>
      <c r="BL33" s="416"/>
      <c r="BM33" s="443"/>
      <c r="BN33" s="380">
        <v>12</v>
      </c>
      <c r="BO33" s="378"/>
      <c r="BP33" s="378"/>
      <c r="BQ33" s="378"/>
      <c r="BR33" s="378"/>
      <c r="BS33" s="378">
        <v>13</v>
      </c>
      <c r="BT33" s="378"/>
      <c r="BU33" s="378"/>
      <c r="BV33" s="378"/>
      <c r="BW33" s="378"/>
      <c r="BX33" s="378">
        <v>14</v>
      </c>
      <c r="BY33" s="378"/>
      <c r="BZ33" s="378"/>
      <c r="CA33" s="378"/>
      <c r="CB33" s="378"/>
      <c r="CC33" s="378">
        <v>15</v>
      </c>
      <c r="CD33" s="378"/>
      <c r="CE33" s="378"/>
      <c r="CF33" s="378"/>
      <c r="CG33" s="378"/>
      <c r="CH33" s="378">
        <v>16</v>
      </c>
      <c r="CI33" s="378"/>
      <c r="CJ33" s="378"/>
      <c r="CK33" s="378"/>
      <c r="CL33" s="378"/>
      <c r="CM33" s="378">
        <v>17</v>
      </c>
      <c r="CN33" s="378"/>
      <c r="CO33" s="378"/>
      <c r="CP33" s="378"/>
      <c r="CQ33" s="378"/>
      <c r="CR33" s="378">
        <v>18</v>
      </c>
      <c r="CS33" s="378"/>
      <c r="CT33" s="378"/>
      <c r="CU33" s="378"/>
      <c r="CV33" s="378"/>
      <c r="CW33" s="378">
        <v>19</v>
      </c>
      <c r="CX33" s="378"/>
      <c r="CY33" s="378"/>
      <c r="CZ33" s="378"/>
      <c r="DA33" s="379"/>
      <c r="DB33" s="380">
        <v>20</v>
      </c>
      <c r="DC33" s="378"/>
      <c r="DD33" s="378"/>
      <c r="DE33" s="378"/>
      <c r="DF33" s="378"/>
      <c r="DG33" s="378">
        <v>21</v>
      </c>
      <c r="DH33" s="378"/>
      <c r="DI33" s="378"/>
      <c r="DJ33" s="378"/>
      <c r="DK33" s="378"/>
      <c r="DL33" s="378">
        <v>22</v>
      </c>
      <c r="DM33" s="378"/>
      <c r="DN33" s="378"/>
      <c r="DO33" s="378"/>
      <c r="DP33" s="378"/>
      <c r="DQ33" s="378">
        <v>23</v>
      </c>
      <c r="DR33" s="378"/>
      <c r="DS33" s="378"/>
      <c r="DT33" s="378"/>
      <c r="DU33" s="378"/>
      <c r="DV33" s="378">
        <v>24</v>
      </c>
      <c r="DW33" s="378"/>
      <c r="DX33" s="378"/>
      <c r="DY33" s="378"/>
      <c r="DZ33" s="378"/>
      <c r="EA33" s="378">
        <v>25</v>
      </c>
      <c r="EB33" s="378"/>
      <c r="EC33" s="378"/>
      <c r="ED33" s="378"/>
      <c r="EE33" s="378"/>
      <c r="EF33" s="378">
        <v>26</v>
      </c>
      <c r="EG33" s="378"/>
      <c r="EH33" s="378"/>
      <c r="EI33" s="378"/>
      <c r="EJ33" s="378"/>
      <c r="EK33" s="378">
        <v>27</v>
      </c>
      <c r="EL33" s="378"/>
      <c r="EM33" s="378"/>
      <c r="EN33" s="378"/>
      <c r="EO33" s="423"/>
      <c r="EP33" s="259">
        <v>28</v>
      </c>
      <c r="EQ33" s="260"/>
      <c r="ER33" s="261"/>
    </row>
    <row r="34" spans="1:149" s="65" customFormat="1" ht="80.099999999999994" customHeight="1" x14ac:dyDescent="0.2">
      <c r="A34" s="109" t="s">
        <v>95</v>
      </c>
      <c r="B34" s="29"/>
      <c r="C34" s="424" t="s">
        <v>41</v>
      </c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326">
        <f>SUM(Z35:AC56)</f>
        <v>4500</v>
      </c>
      <c r="AA34" s="326"/>
      <c r="AB34" s="326"/>
      <c r="AC34" s="326"/>
      <c r="AD34" s="362">
        <f>Z34/$Z$84*100</f>
        <v>62.5</v>
      </c>
      <c r="AE34" s="362"/>
      <c r="AF34" s="362"/>
      <c r="AG34" s="335">
        <f>SUM(AG35:AK56)</f>
        <v>1926</v>
      </c>
      <c r="AH34" s="336"/>
      <c r="AI34" s="336"/>
      <c r="AJ34" s="336"/>
      <c r="AK34" s="337"/>
      <c r="AL34" s="335">
        <f>SUM(AL35:AP56)</f>
        <v>602</v>
      </c>
      <c r="AM34" s="336"/>
      <c r="AN34" s="336"/>
      <c r="AO34" s="336"/>
      <c r="AP34" s="337"/>
      <c r="AQ34" s="335">
        <f>SUM(AQ35:AU56)</f>
        <v>1076</v>
      </c>
      <c r="AR34" s="336"/>
      <c r="AS34" s="336"/>
      <c r="AT34" s="336"/>
      <c r="AU34" s="337"/>
      <c r="AV34" s="335">
        <f>SUM(AV35:AZ56)</f>
        <v>248</v>
      </c>
      <c r="AW34" s="336"/>
      <c r="AX34" s="336"/>
      <c r="AY34" s="336"/>
      <c r="AZ34" s="337"/>
      <c r="BA34" s="335">
        <f>SUM(BA35:BD56)</f>
        <v>0</v>
      </c>
      <c r="BB34" s="336"/>
      <c r="BC34" s="336"/>
      <c r="BD34" s="337"/>
      <c r="BE34" s="335">
        <f>SUM(BE35:BI56)</f>
        <v>0</v>
      </c>
      <c r="BF34" s="336"/>
      <c r="BG34" s="336"/>
      <c r="BH34" s="336"/>
      <c r="BI34" s="337"/>
      <c r="BJ34" s="326">
        <f>SUM(BJ35:BM56)</f>
        <v>2574</v>
      </c>
      <c r="BK34" s="326"/>
      <c r="BL34" s="326"/>
      <c r="BM34" s="327"/>
      <c r="BN34" s="291">
        <f>SUM(BN35:BR56)</f>
        <v>24</v>
      </c>
      <c r="BO34" s="290"/>
      <c r="BP34" s="290"/>
      <c r="BQ34" s="290"/>
      <c r="BR34" s="290"/>
      <c r="BS34" s="290">
        <f>SUM(BS35:BW56)</f>
        <v>24</v>
      </c>
      <c r="BT34" s="290"/>
      <c r="BU34" s="290"/>
      <c r="BV34" s="290"/>
      <c r="BW34" s="290"/>
      <c r="BX34" s="290">
        <f>SUM(BX35:CB56)</f>
        <v>16</v>
      </c>
      <c r="BY34" s="290"/>
      <c r="BZ34" s="290"/>
      <c r="CA34" s="290"/>
      <c r="CB34" s="290"/>
      <c r="CC34" s="290">
        <f>SUM(CC35:CG56)</f>
        <v>22</v>
      </c>
      <c r="CD34" s="290"/>
      <c r="CE34" s="290"/>
      <c r="CF34" s="290"/>
      <c r="CG34" s="290"/>
      <c r="CH34" s="290">
        <f>SUM(CH35:CL56)</f>
        <v>16</v>
      </c>
      <c r="CI34" s="290"/>
      <c r="CJ34" s="290"/>
      <c r="CK34" s="290"/>
      <c r="CL34" s="290"/>
      <c r="CM34" s="290">
        <f>SUM(CM35:CQ56)</f>
        <v>16</v>
      </c>
      <c r="CN34" s="290"/>
      <c r="CO34" s="290"/>
      <c r="CP34" s="290"/>
      <c r="CQ34" s="290"/>
      <c r="CR34" s="290">
        <f>SUM(CR35:CV56)</f>
        <v>14</v>
      </c>
      <c r="CS34" s="290"/>
      <c r="CT34" s="290"/>
      <c r="CU34" s="290"/>
      <c r="CV34" s="290"/>
      <c r="CW34" s="290">
        <f>SUM(CW35:DA56)</f>
        <v>12</v>
      </c>
      <c r="CX34" s="290"/>
      <c r="CY34" s="290"/>
      <c r="CZ34" s="290"/>
      <c r="DA34" s="444"/>
      <c r="DB34" s="291">
        <f>SUM(DB35:DF56)</f>
        <v>30</v>
      </c>
      <c r="DC34" s="290"/>
      <c r="DD34" s="290"/>
      <c r="DE34" s="290"/>
      <c r="DF34" s="290"/>
      <c r="DG34" s="290">
        <f>SUM(DG35:DK56)</f>
        <v>27</v>
      </c>
      <c r="DH34" s="290"/>
      <c r="DI34" s="290"/>
      <c r="DJ34" s="290"/>
      <c r="DK34" s="290"/>
      <c r="DL34" s="290">
        <f>SUM(DL35:DP56)</f>
        <v>16</v>
      </c>
      <c r="DM34" s="290"/>
      <c r="DN34" s="290"/>
      <c r="DO34" s="290"/>
      <c r="DP34" s="290"/>
      <c r="DQ34" s="290">
        <f>SUM(DQ35:DU56)</f>
        <v>22</v>
      </c>
      <c r="DR34" s="290"/>
      <c r="DS34" s="290"/>
      <c r="DT34" s="290"/>
      <c r="DU34" s="290"/>
      <c r="DV34" s="290">
        <f>SUM(DV35:DZ56)</f>
        <v>16</v>
      </c>
      <c r="DW34" s="290"/>
      <c r="DX34" s="290"/>
      <c r="DY34" s="290"/>
      <c r="DZ34" s="290"/>
      <c r="EA34" s="290">
        <f>SUM(EA35:EE56)</f>
        <v>16</v>
      </c>
      <c r="EB34" s="290"/>
      <c r="EC34" s="290"/>
      <c r="ED34" s="290"/>
      <c r="EE34" s="290"/>
      <c r="EF34" s="290">
        <f>SUM(EF35:EJ56)</f>
        <v>14</v>
      </c>
      <c r="EG34" s="290"/>
      <c r="EH34" s="290"/>
      <c r="EI34" s="290"/>
      <c r="EJ34" s="290"/>
      <c r="EK34" s="290">
        <f>SUM(EK35:EO56)</f>
        <v>9</v>
      </c>
      <c r="EL34" s="290"/>
      <c r="EM34" s="290"/>
      <c r="EN34" s="290"/>
      <c r="EO34" s="292"/>
      <c r="EP34" s="323">
        <f t="shared" ref="EP34:EP59" si="7">DB34+DG34+DL34+DQ34+DV34+EF34+EA34+EK34</f>
        <v>150</v>
      </c>
      <c r="EQ34" s="324"/>
      <c r="ER34" s="325"/>
    </row>
    <row r="35" spans="1:149" s="66" customFormat="1" ht="90" customHeight="1" x14ac:dyDescent="0.2">
      <c r="A35" s="111" t="s">
        <v>96</v>
      </c>
      <c r="B35" s="106" t="s">
        <v>83</v>
      </c>
      <c r="C35" s="294" t="s">
        <v>86</v>
      </c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65">
        <f>(DB35+DG35+DL35+DQ35+DV35+EA35+EF35+EK35)*30</f>
        <v>120</v>
      </c>
      <c r="AA35" s="265"/>
      <c r="AB35" s="265"/>
      <c r="AC35" s="265"/>
      <c r="AD35" s="267"/>
      <c r="AE35" s="267"/>
      <c r="AF35" s="267"/>
      <c r="AG35" s="263">
        <f>SUM(AL35:BD35)</f>
        <v>60</v>
      </c>
      <c r="AH35" s="263"/>
      <c r="AI35" s="263"/>
      <c r="AJ35" s="263"/>
      <c r="AK35" s="263"/>
      <c r="AL35" s="263">
        <v>30</v>
      </c>
      <c r="AM35" s="263"/>
      <c r="AN35" s="263"/>
      <c r="AO35" s="263"/>
      <c r="AP35" s="263"/>
      <c r="AQ35" s="263"/>
      <c r="AR35" s="263"/>
      <c r="AS35" s="263"/>
      <c r="AT35" s="263"/>
      <c r="AU35" s="263"/>
      <c r="AV35" s="263">
        <v>30</v>
      </c>
      <c r="AW35" s="263"/>
      <c r="AX35" s="263"/>
      <c r="AY35" s="263"/>
      <c r="AZ35" s="263"/>
      <c r="BA35" s="264"/>
      <c r="BB35" s="264"/>
      <c r="BC35" s="264"/>
      <c r="BD35" s="264"/>
      <c r="BE35" s="264"/>
      <c r="BF35" s="264"/>
      <c r="BG35" s="264"/>
      <c r="BH35" s="264"/>
      <c r="BI35" s="264"/>
      <c r="BJ35" s="265">
        <f t="shared" ref="BJ35:BJ56" si="8">Z35-AG35</f>
        <v>60</v>
      </c>
      <c r="BK35" s="265"/>
      <c r="BL35" s="265"/>
      <c r="BM35" s="261"/>
      <c r="BN35" s="266">
        <v>4</v>
      </c>
      <c r="BO35" s="267"/>
      <c r="BP35" s="267"/>
      <c r="BQ35" s="267"/>
      <c r="BR35" s="267"/>
      <c r="BS35" s="267"/>
      <c r="BT35" s="267"/>
      <c r="BU35" s="267"/>
      <c r="BV35" s="267"/>
      <c r="BW35" s="267"/>
      <c r="BX35" s="267"/>
      <c r="BY35" s="267"/>
      <c r="BZ35" s="267"/>
      <c r="CA35" s="267"/>
      <c r="CB35" s="267"/>
      <c r="CC35" s="267"/>
      <c r="CD35" s="267"/>
      <c r="CE35" s="267"/>
      <c r="CF35" s="267"/>
      <c r="CG35" s="267"/>
      <c r="CH35" s="267"/>
      <c r="CI35" s="267"/>
      <c r="CJ35" s="267"/>
      <c r="CK35" s="267"/>
      <c r="CL35" s="267"/>
      <c r="CM35" s="267"/>
      <c r="CN35" s="267"/>
      <c r="CO35" s="267"/>
      <c r="CP35" s="267"/>
      <c r="CQ35" s="267"/>
      <c r="CR35" s="267"/>
      <c r="CS35" s="267"/>
      <c r="CT35" s="267"/>
      <c r="CU35" s="267"/>
      <c r="CV35" s="267"/>
      <c r="CW35" s="267"/>
      <c r="CX35" s="267"/>
      <c r="CY35" s="267"/>
      <c r="CZ35" s="267"/>
      <c r="DA35" s="268"/>
      <c r="DB35" s="266">
        <v>4</v>
      </c>
      <c r="DC35" s="267"/>
      <c r="DD35" s="267"/>
      <c r="DE35" s="267"/>
      <c r="DF35" s="267"/>
      <c r="DG35" s="267"/>
      <c r="DH35" s="267"/>
      <c r="DI35" s="267"/>
      <c r="DJ35" s="267"/>
      <c r="DK35" s="267"/>
      <c r="DL35" s="267"/>
      <c r="DM35" s="267"/>
      <c r="DN35" s="267"/>
      <c r="DO35" s="267"/>
      <c r="DP35" s="267"/>
      <c r="DQ35" s="267"/>
      <c r="DR35" s="267"/>
      <c r="DS35" s="267"/>
      <c r="DT35" s="267"/>
      <c r="DU35" s="267"/>
      <c r="DV35" s="267"/>
      <c r="DW35" s="267"/>
      <c r="DX35" s="267"/>
      <c r="DY35" s="267"/>
      <c r="DZ35" s="267"/>
      <c r="EA35" s="267"/>
      <c r="EB35" s="267"/>
      <c r="EC35" s="267"/>
      <c r="ED35" s="267"/>
      <c r="EE35" s="267"/>
      <c r="EF35" s="267"/>
      <c r="EG35" s="267"/>
      <c r="EH35" s="267"/>
      <c r="EI35" s="267"/>
      <c r="EJ35" s="267"/>
      <c r="EK35" s="267"/>
      <c r="EL35" s="267"/>
      <c r="EM35" s="267"/>
      <c r="EN35" s="267"/>
      <c r="EO35" s="458"/>
      <c r="EP35" s="259">
        <f>SUM(DB35:EO35)</f>
        <v>4</v>
      </c>
      <c r="EQ35" s="260"/>
      <c r="ER35" s="261"/>
    </row>
    <row r="36" spans="1:149" s="66" customFormat="1" ht="90" customHeight="1" x14ac:dyDescent="0.2">
      <c r="A36" s="111" t="s">
        <v>97</v>
      </c>
      <c r="B36" s="106" t="s">
        <v>128</v>
      </c>
      <c r="C36" s="271" t="s">
        <v>42</v>
      </c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65">
        <f t="shared" ref="Z36:Z66" si="9">(DB36+DG36+DL36+DQ36+DV36+EA36+EF36+EK36)*30</f>
        <v>120</v>
      </c>
      <c r="AA36" s="265"/>
      <c r="AB36" s="265"/>
      <c r="AC36" s="265"/>
      <c r="AD36" s="267"/>
      <c r="AE36" s="267"/>
      <c r="AF36" s="267"/>
      <c r="AG36" s="263">
        <f t="shared" ref="AG36:AG56" si="10">SUM(AL36:BD36)</f>
        <v>48</v>
      </c>
      <c r="AH36" s="263"/>
      <c r="AI36" s="263"/>
      <c r="AJ36" s="263"/>
      <c r="AK36" s="263"/>
      <c r="AL36" s="263">
        <v>30</v>
      </c>
      <c r="AM36" s="263"/>
      <c r="AN36" s="263"/>
      <c r="AO36" s="263"/>
      <c r="AP36" s="263"/>
      <c r="AQ36" s="263"/>
      <c r="AR36" s="263"/>
      <c r="AS36" s="263"/>
      <c r="AT36" s="263"/>
      <c r="AU36" s="263"/>
      <c r="AV36" s="263">
        <v>18</v>
      </c>
      <c r="AW36" s="263"/>
      <c r="AX36" s="263"/>
      <c r="AY36" s="263"/>
      <c r="AZ36" s="263"/>
      <c r="BA36" s="264"/>
      <c r="BB36" s="264"/>
      <c r="BC36" s="264"/>
      <c r="BD36" s="264"/>
      <c r="BE36" s="264"/>
      <c r="BF36" s="264"/>
      <c r="BG36" s="264"/>
      <c r="BH36" s="264"/>
      <c r="BI36" s="264"/>
      <c r="BJ36" s="265">
        <f t="shared" si="8"/>
        <v>72</v>
      </c>
      <c r="BK36" s="265"/>
      <c r="BL36" s="265"/>
      <c r="BM36" s="261"/>
      <c r="BN36" s="266">
        <v>3</v>
      </c>
      <c r="BO36" s="267"/>
      <c r="BP36" s="267"/>
      <c r="BQ36" s="267"/>
      <c r="BR36" s="267"/>
      <c r="BS36" s="267"/>
      <c r="BT36" s="267"/>
      <c r="BU36" s="267"/>
      <c r="BV36" s="267"/>
      <c r="BW36" s="267"/>
      <c r="BX36" s="267"/>
      <c r="BY36" s="267"/>
      <c r="BZ36" s="267"/>
      <c r="CA36" s="267"/>
      <c r="CB36" s="267"/>
      <c r="CC36" s="267"/>
      <c r="CD36" s="267"/>
      <c r="CE36" s="267"/>
      <c r="CF36" s="267"/>
      <c r="CG36" s="267"/>
      <c r="CH36" s="267"/>
      <c r="CI36" s="267"/>
      <c r="CJ36" s="267"/>
      <c r="CK36" s="267"/>
      <c r="CL36" s="267"/>
      <c r="CM36" s="267"/>
      <c r="CN36" s="267"/>
      <c r="CO36" s="267"/>
      <c r="CP36" s="267"/>
      <c r="CQ36" s="267"/>
      <c r="CR36" s="267"/>
      <c r="CS36" s="267"/>
      <c r="CT36" s="267"/>
      <c r="CU36" s="267"/>
      <c r="CV36" s="267"/>
      <c r="CW36" s="267"/>
      <c r="CX36" s="267"/>
      <c r="CY36" s="267"/>
      <c r="CZ36" s="267"/>
      <c r="DA36" s="268"/>
      <c r="DB36" s="269">
        <v>4</v>
      </c>
      <c r="DC36" s="270"/>
      <c r="DD36" s="270"/>
      <c r="DE36" s="270"/>
      <c r="DF36" s="270"/>
      <c r="DG36" s="270"/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322"/>
      <c r="EP36" s="259">
        <f t="shared" ref="EP36:EP56" si="11">SUM(DB36:EO36)</f>
        <v>4</v>
      </c>
      <c r="EQ36" s="260"/>
      <c r="ER36" s="261"/>
    </row>
    <row r="37" spans="1:149" s="66" customFormat="1" ht="90" customHeight="1" x14ac:dyDescent="0.2">
      <c r="A37" s="111" t="s">
        <v>98</v>
      </c>
      <c r="B37" s="106" t="s">
        <v>231</v>
      </c>
      <c r="C37" s="294" t="s">
        <v>131</v>
      </c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65">
        <f t="shared" ref="Z37:Z39" si="12">(DB37+DG37+DL37+DQ37+DV37+EA37+EF37+EK37)*30</f>
        <v>300</v>
      </c>
      <c r="AA37" s="265"/>
      <c r="AB37" s="265"/>
      <c r="AC37" s="265"/>
      <c r="AD37" s="267"/>
      <c r="AE37" s="267"/>
      <c r="AF37" s="267"/>
      <c r="AG37" s="263">
        <f t="shared" si="10"/>
        <v>90</v>
      </c>
      <c r="AH37" s="263"/>
      <c r="AI37" s="263"/>
      <c r="AJ37" s="263"/>
      <c r="AK37" s="263"/>
      <c r="AL37" s="262">
        <v>60</v>
      </c>
      <c r="AM37" s="262"/>
      <c r="AN37" s="262"/>
      <c r="AO37" s="262"/>
      <c r="AP37" s="262"/>
      <c r="AQ37" s="262">
        <v>30</v>
      </c>
      <c r="AR37" s="262"/>
      <c r="AS37" s="262"/>
      <c r="AT37" s="262"/>
      <c r="AU37" s="262"/>
      <c r="AV37" s="263"/>
      <c r="AW37" s="263"/>
      <c r="AX37" s="263"/>
      <c r="AY37" s="263"/>
      <c r="AZ37" s="263"/>
      <c r="BA37" s="264"/>
      <c r="BB37" s="264"/>
      <c r="BC37" s="264"/>
      <c r="BD37" s="264"/>
      <c r="BE37" s="264"/>
      <c r="BF37" s="264"/>
      <c r="BG37" s="264"/>
      <c r="BH37" s="264"/>
      <c r="BI37" s="264"/>
      <c r="BJ37" s="265">
        <f t="shared" si="8"/>
        <v>210</v>
      </c>
      <c r="BK37" s="265"/>
      <c r="BL37" s="265"/>
      <c r="BM37" s="261"/>
      <c r="BN37" s="266">
        <v>6</v>
      </c>
      <c r="BO37" s="267"/>
      <c r="BP37" s="267"/>
      <c r="BQ37" s="267"/>
      <c r="BR37" s="267"/>
      <c r="BS37" s="267"/>
      <c r="BT37" s="267"/>
      <c r="BU37" s="267"/>
      <c r="BV37" s="267"/>
      <c r="BW37" s="267"/>
      <c r="BX37" s="267"/>
      <c r="BY37" s="267"/>
      <c r="BZ37" s="267"/>
      <c r="CA37" s="267"/>
      <c r="CB37" s="267"/>
      <c r="CC37" s="267"/>
      <c r="CD37" s="267"/>
      <c r="CE37" s="267"/>
      <c r="CF37" s="267"/>
      <c r="CG37" s="267"/>
      <c r="CH37" s="267"/>
      <c r="CI37" s="267"/>
      <c r="CJ37" s="267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8"/>
      <c r="DB37" s="269">
        <v>10</v>
      </c>
      <c r="DC37" s="270"/>
      <c r="DD37" s="270"/>
      <c r="DE37" s="270"/>
      <c r="DF37" s="270"/>
      <c r="DG37" s="270"/>
      <c r="DH37" s="270"/>
      <c r="DI37" s="270"/>
      <c r="DJ37" s="270"/>
      <c r="DK37" s="270"/>
      <c r="DL37" s="270"/>
      <c r="DM37" s="270"/>
      <c r="DN37" s="270"/>
      <c r="DO37" s="270"/>
      <c r="DP37" s="270"/>
      <c r="DQ37" s="270"/>
      <c r="DR37" s="270"/>
      <c r="DS37" s="270"/>
      <c r="DT37" s="270"/>
      <c r="DU37" s="270"/>
      <c r="DV37" s="270"/>
      <c r="DW37" s="270"/>
      <c r="DX37" s="270"/>
      <c r="DY37" s="270"/>
      <c r="DZ37" s="270"/>
      <c r="EA37" s="270"/>
      <c r="EB37" s="270"/>
      <c r="EC37" s="270"/>
      <c r="ED37" s="270"/>
      <c r="EE37" s="270"/>
      <c r="EF37" s="270"/>
      <c r="EG37" s="270"/>
      <c r="EH37" s="270"/>
      <c r="EI37" s="270"/>
      <c r="EJ37" s="270"/>
      <c r="EK37" s="270"/>
      <c r="EL37" s="270"/>
      <c r="EM37" s="270"/>
      <c r="EN37" s="270"/>
      <c r="EO37" s="322"/>
      <c r="EP37" s="259">
        <f t="shared" si="11"/>
        <v>10</v>
      </c>
      <c r="EQ37" s="260"/>
      <c r="ER37" s="261"/>
    </row>
    <row r="38" spans="1:149" s="66" customFormat="1" ht="120" customHeight="1" x14ac:dyDescent="0.2">
      <c r="A38" s="111" t="s">
        <v>99</v>
      </c>
      <c r="B38" s="106" t="s">
        <v>129</v>
      </c>
      <c r="C38" s="271" t="s">
        <v>132</v>
      </c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65">
        <f t="shared" ref="Z38" si="13">(DB38+DG38+DL38+DQ38+DV38+EA38+EF38+EK38)*30</f>
        <v>120</v>
      </c>
      <c r="AA38" s="265"/>
      <c r="AB38" s="265"/>
      <c r="AC38" s="265"/>
      <c r="AD38" s="267"/>
      <c r="AE38" s="267"/>
      <c r="AF38" s="267"/>
      <c r="AG38" s="263">
        <f t="shared" si="10"/>
        <v>60</v>
      </c>
      <c r="AH38" s="263"/>
      <c r="AI38" s="263"/>
      <c r="AJ38" s="263"/>
      <c r="AK38" s="263"/>
      <c r="AL38" s="262">
        <v>30</v>
      </c>
      <c r="AM38" s="262"/>
      <c r="AN38" s="262"/>
      <c r="AO38" s="262"/>
      <c r="AP38" s="262"/>
      <c r="AQ38" s="262"/>
      <c r="AR38" s="262"/>
      <c r="AS38" s="262"/>
      <c r="AT38" s="262"/>
      <c r="AU38" s="262"/>
      <c r="AV38" s="263">
        <v>30</v>
      </c>
      <c r="AW38" s="263"/>
      <c r="AX38" s="263"/>
      <c r="AY38" s="263"/>
      <c r="AZ38" s="263"/>
      <c r="BA38" s="264"/>
      <c r="BB38" s="264"/>
      <c r="BC38" s="264"/>
      <c r="BD38" s="264"/>
      <c r="BE38" s="264"/>
      <c r="BF38" s="264"/>
      <c r="BG38" s="264"/>
      <c r="BH38" s="264"/>
      <c r="BI38" s="264"/>
      <c r="BJ38" s="265">
        <f t="shared" si="8"/>
        <v>60</v>
      </c>
      <c r="BK38" s="265"/>
      <c r="BL38" s="265"/>
      <c r="BM38" s="261"/>
      <c r="BN38" s="266"/>
      <c r="BO38" s="267"/>
      <c r="BP38" s="267"/>
      <c r="BQ38" s="267"/>
      <c r="BR38" s="267"/>
      <c r="BS38" s="267">
        <v>4</v>
      </c>
      <c r="BT38" s="267"/>
      <c r="BU38" s="267"/>
      <c r="BV38" s="267"/>
      <c r="BW38" s="267"/>
      <c r="BX38" s="267"/>
      <c r="BY38" s="267"/>
      <c r="BZ38" s="267"/>
      <c r="CA38" s="267"/>
      <c r="CB38" s="267"/>
      <c r="CC38" s="267"/>
      <c r="CD38" s="267"/>
      <c r="CE38" s="267"/>
      <c r="CF38" s="267"/>
      <c r="CG38" s="267"/>
      <c r="CH38" s="267"/>
      <c r="CI38" s="267"/>
      <c r="CJ38" s="267"/>
      <c r="CK38" s="267"/>
      <c r="CL38" s="267"/>
      <c r="CM38" s="267"/>
      <c r="CN38" s="267"/>
      <c r="CO38" s="267"/>
      <c r="CP38" s="267"/>
      <c r="CQ38" s="267"/>
      <c r="CR38" s="267"/>
      <c r="CS38" s="267"/>
      <c r="CT38" s="267"/>
      <c r="CU38" s="267"/>
      <c r="CV38" s="267"/>
      <c r="CW38" s="267"/>
      <c r="CX38" s="267"/>
      <c r="CY38" s="267"/>
      <c r="CZ38" s="267"/>
      <c r="DA38" s="268"/>
      <c r="DB38" s="269"/>
      <c r="DC38" s="270"/>
      <c r="DD38" s="270"/>
      <c r="DE38" s="270"/>
      <c r="DF38" s="270"/>
      <c r="DG38" s="270">
        <v>4</v>
      </c>
      <c r="DH38" s="270"/>
      <c r="DI38" s="270"/>
      <c r="DJ38" s="270"/>
      <c r="DK38" s="270"/>
      <c r="DL38" s="270"/>
      <c r="DM38" s="270"/>
      <c r="DN38" s="270"/>
      <c r="DO38" s="270"/>
      <c r="DP38" s="270"/>
      <c r="DQ38" s="270"/>
      <c r="DR38" s="270"/>
      <c r="DS38" s="270"/>
      <c r="DT38" s="270"/>
      <c r="DU38" s="270"/>
      <c r="DV38" s="270"/>
      <c r="DW38" s="270"/>
      <c r="DX38" s="270"/>
      <c r="DY38" s="270"/>
      <c r="DZ38" s="270"/>
      <c r="EA38" s="270"/>
      <c r="EB38" s="270"/>
      <c r="EC38" s="270"/>
      <c r="ED38" s="270"/>
      <c r="EE38" s="270"/>
      <c r="EF38" s="270"/>
      <c r="EG38" s="270"/>
      <c r="EH38" s="270"/>
      <c r="EI38" s="270"/>
      <c r="EJ38" s="270"/>
      <c r="EK38" s="270"/>
      <c r="EL38" s="270"/>
      <c r="EM38" s="270"/>
      <c r="EN38" s="270"/>
      <c r="EO38" s="322"/>
      <c r="EP38" s="259">
        <f t="shared" si="11"/>
        <v>4</v>
      </c>
      <c r="EQ38" s="260"/>
      <c r="ER38" s="261"/>
    </row>
    <row r="39" spans="1:149" s="66" customFormat="1" ht="90" customHeight="1" x14ac:dyDescent="0.2">
      <c r="A39" s="111" t="s">
        <v>100</v>
      </c>
      <c r="B39" s="106" t="s">
        <v>143</v>
      </c>
      <c r="C39" s="294" t="s">
        <v>133</v>
      </c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65">
        <f t="shared" si="12"/>
        <v>180</v>
      </c>
      <c r="AA39" s="265"/>
      <c r="AB39" s="265"/>
      <c r="AC39" s="265"/>
      <c r="AD39" s="267"/>
      <c r="AE39" s="267"/>
      <c r="AF39" s="267"/>
      <c r="AG39" s="263">
        <f t="shared" si="10"/>
        <v>60</v>
      </c>
      <c r="AH39" s="263"/>
      <c r="AI39" s="263"/>
      <c r="AJ39" s="263"/>
      <c r="AK39" s="263"/>
      <c r="AL39" s="262">
        <v>30</v>
      </c>
      <c r="AM39" s="262"/>
      <c r="AN39" s="262"/>
      <c r="AO39" s="262"/>
      <c r="AP39" s="262"/>
      <c r="AQ39" s="262">
        <v>30</v>
      </c>
      <c r="AR39" s="262"/>
      <c r="AS39" s="262"/>
      <c r="AT39" s="262"/>
      <c r="AU39" s="262"/>
      <c r="AV39" s="263"/>
      <c r="AW39" s="263"/>
      <c r="AX39" s="263"/>
      <c r="AY39" s="263"/>
      <c r="AZ39" s="263"/>
      <c r="BA39" s="264"/>
      <c r="BB39" s="264"/>
      <c r="BC39" s="264"/>
      <c r="BD39" s="264"/>
      <c r="BE39" s="264"/>
      <c r="BF39" s="264"/>
      <c r="BG39" s="264"/>
      <c r="BH39" s="264"/>
      <c r="BI39" s="264"/>
      <c r="BJ39" s="265">
        <f t="shared" si="8"/>
        <v>120</v>
      </c>
      <c r="BK39" s="265"/>
      <c r="BL39" s="265"/>
      <c r="BM39" s="261"/>
      <c r="BN39" s="266"/>
      <c r="BO39" s="267"/>
      <c r="BP39" s="267"/>
      <c r="BQ39" s="267"/>
      <c r="BR39" s="267"/>
      <c r="BS39" s="267">
        <v>4</v>
      </c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267"/>
      <c r="CV39" s="267"/>
      <c r="CW39" s="267"/>
      <c r="CX39" s="267"/>
      <c r="CY39" s="267"/>
      <c r="CZ39" s="267"/>
      <c r="DA39" s="268"/>
      <c r="DB39" s="269"/>
      <c r="DC39" s="270"/>
      <c r="DD39" s="270"/>
      <c r="DE39" s="270"/>
      <c r="DF39" s="270"/>
      <c r="DG39" s="270">
        <v>6</v>
      </c>
      <c r="DH39" s="270"/>
      <c r="DI39" s="270"/>
      <c r="DJ39" s="270"/>
      <c r="DK39" s="270"/>
      <c r="DL39" s="270"/>
      <c r="DM39" s="270"/>
      <c r="DN39" s="270"/>
      <c r="DO39" s="270"/>
      <c r="DP39" s="270"/>
      <c r="DQ39" s="270"/>
      <c r="DR39" s="270"/>
      <c r="DS39" s="270"/>
      <c r="DT39" s="270"/>
      <c r="DU39" s="270"/>
      <c r="DV39" s="270"/>
      <c r="DW39" s="270"/>
      <c r="DX39" s="270"/>
      <c r="DY39" s="270"/>
      <c r="DZ39" s="270"/>
      <c r="EA39" s="270"/>
      <c r="EB39" s="270"/>
      <c r="EC39" s="270"/>
      <c r="ED39" s="270"/>
      <c r="EE39" s="270"/>
      <c r="EF39" s="270"/>
      <c r="EG39" s="270"/>
      <c r="EH39" s="270"/>
      <c r="EI39" s="270"/>
      <c r="EJ39" s="270"/>
      <c r="EK39" s="270"/>
      <c r="EL39" s="270"/>
      <c r="EM39" s="270"/>
      <c r="EN39" s="270"/>
      <c r="EO39" s="322"/>
      <c r="EP39" s="259">
        <f t="shared" si="11"/>
        <v>6</v>
      </c>
      <c r="EQ39" s="260"/>
      <c r="ER39" s="261"/>
    </row>
    <row r="40" spans="1:149" s="66" customFormat="1" ht="90" customHeight="1" x14ac:dyDescent="0.2">
      <c r="A40" s="111" t="s">
        <v>234</v>
      </c>
      <c r="B40" s="106" t="s">
        <v>84</v>
      </c>
      <c r="C40" s="294" t="s">
        <v>87</v>
      </c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65">
        <f t="shared" si="9"/>
        <v>120</v>
      </c>
      <c r="AA40" s="265"/>
      <c r="AB40" s="265"/>
      <c r="AC40" s="265"/>
      <c r="AD40" s="267"/>
      <c r="AE40" s="267"/>
      <c r="AF40" s="267"/>
      <c r="AG40" s="263">
        <f t="shared" si="10"/>
        <v>60</v>
      </c>
      <c r="AH40" s="263"/>
      <c r="AI40" s="263"/>
      <c r="AJ40" s="263"/>
      <c r="AK40" s="263"/>
      <c r="AL40" s="262">
        <v>30</v>
      </c>
      <c r="AM40" s="262"/>
      <c r="AN40" s="262"/>
      <c r="AO40" s="262"/>
      <c r="AP40" s="262"/>
      <c r="AQ40" s="262"/>
      <c r="AR40" s="262"/>
      <c r="AS40" s="262"/>
      <c r="AT40" s="262"/>
      <c r="AU40" s="262"/>
      <c r="AV40" s="263">
        <v>30</v>
      </c>
      <c r="AW40" s="263"/>
      <c r="AX40" s="263"/>
      <c r="AY40" s="263"/>
      <c r="AZ40" s="263"/>
      <c r="BA40" s="264"/>
      <c r="BB40" s="264"/>
      <c r="BC40" s="264"/>
      <c r="BD40" s="264"/>
      <c r="BE40" s="264"/>
      <c r="BF40" s="264"/>
      <c r="BG40" s="264"/>
      <c r="BH40" s="264"/>
      <c r="BI40" s="264"/>
      <c r="BJ40" s="265">
        <f t="shared" si="8"/>
        <v>60</v>
      </c>
      <c r="BK40" s="265"/>
      <c r="BL40" s="265"/>
      <c r="BM40" s="261"/>
      <c r="BN40" s="266">
        <v>4</v>
      </c>
      <c r="BO40" s="267"/>
      <c r="BP40" s="267"/>
      <c r="BQ40" s="267"/>
      <c r="BR40" s="267"/>
      <c r="BS40" s="267"/>
      <c r="BT40" s="267"/>
      <c r="BU40" s="267"/>
      <c r="BV40" s="267"/>
      <c r="BW40" s="267"/>
      <c r="BX40" s="267"/>
      <c r="BY40" s="267"/>
      <c r="BZ40" s="267"/>
      <c r="CA40" s="267"/>
      <c r="CB40" s="267"/>
      <c r="CC40" s="267"/>
      <c r="CD40" s="267"/>
      <c r="CE40" s="267"/>
      <c r="CF40" s="267"/>
      <c r="CG40" s="267"/>
      <c r="CH40" s="267"/>
      <c r="CI40" s="267"/>
      <c r="CJ40" s="267"/>
      <c r="CK40" s="267"/>
      <c r="CL40" s="267"/>
      <c r="CM40" s="267"/>
      <c r="CN40" s="267"/>
      <c r="CO40" s="267"/>
      <c r="CP40" s="267"/>
      <c r="CQ40" s="267"/>
      <c r="CR40" s="267"/>
      <c r="CS40" s="267"/>
      <c r="CT40" s="267"/>
      <c r="CU40" s="267"/>
      <c r="CV40" s="267"/>
      <c r="CW40" s="267"/>
      <c r="CX40" s="267"/>
      <c r="CY40" s="267"/>
      <c r="CZ40" s="267"/>
      <c r="DA40" s="268"/>
      <c r="DB40" s="269">
        <v>4</v>
      </c>
      <c r="DC40" s="270"/>
      <c r="DD40" s="270"/>
      <c r="DE40" s="270"/>
      <c r="DF40" s="270"/>
      <c r="DG40" s="270"/>
      <c r="DH40" s="270"/>
      <c r="DI40" s="270"/>
      <c r="DJ40" s="270"/>
      <c r="DK40" s="270"/>
      <c r="DL40" s="270"/>
      <c r="DM40" s="270"/>
      <c r="DN40" s="270"/>
      <c r="DO40" s="270"/>
      <c r="DP40" s="270"/>
      <c r="DQ40" s="270"/>
      <c r="DR40" s="270"/>
      <c r="DS40" s="270"/>
      <c r="DT40" s="270"/>
      <c r="DU40" s="270"/>
      <c r="DV40" s="270"/>
      <c r="DW40" s="270"/>
      <c r="DX40" s="270"/>
      <c r="DY40" s="270"/>
      <c r="DZ40" s="270"/>
      <c r="EA40" s="270"/>
      <c r="EB40" s="270"/>
      <c r="EC40" s="270"/>
      <c r="ED40" s="270"/>
      <c r="EE40" s="270"/>
      <c r="EF40" s="270"/>
      <c r="EG40" s="270"/>
      <c r="EH40" s="270"/>
      <c r="EI40" s="270"/>
      <c r="EJ40" s="270"/>
      <c r="EK40" s="270"/>
      <c r="EL40" s="270"/>
      <c r="EM40" s="270"/>
      <c r="EN40" s="270"/>
      <c r="EO40" s="322"/>
      <c r="EP40" s="259">
        <f t="shared" si="11"/>
        <v>4</v>
      </c>
      <c r="EQ40" s="260"/>
      <c r="ER40" s="261"/>
    </row>
    <row r="41" spans="1:149" s="66" customFormat="1" ht="90" customHeight="1" x14ac:dyDescent="0.2">
      <c r="A41" s="111" t="s">
        <v>101</v>
      </c>
      <c r="B41" s="106" t="s">
        <v>142</v>
      </c>
      <c r="C41" s="294" t="s">
        <v>88</v>
      </c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65">
        <f t="shared" si="9"/>
        <v>120</v>
      </c>
      <c r="AA41" s="265"/>
      <c r="AB41" s="265"/>
      <c r="AC41" s="265"/>
      <c r="AD41" s="267"/>
      <c r="AE41" s="267"/>
      <c r="AF41" s="267"/>
      <c r="AG41" s="263">
        <f t="shared" si="10"/>
        <v>60</v>
      </c>
      <c r="AH41" s="263"/>
      <c r="AI41" s="263"/>
      <c r="AJ41" s="263"/>
      <c r="AK41" s="263"/>
      <c r="AL41" s="262">
        <v>30</v>
      </c>
      <c r="AM41" s="262"/>
      <c r="AN41" s="262"/>
      <c r="AO41" s="262"/>
      <c r="AP41" s="262"/>
      <c r="AQ41" s="262"/>
      <c r="AR41" s="262"/>
      <c r="AS41" s="262"/>
      <c r="AT41" s="262"/>
      <c r="AU41" s="262"/>
      <c r="AV41" s="263">
        <v>30</v>
      </c>
      <c r="AW41" s="263"/>
      <c r="AX41" s="263"/>
      <c r="AY41" s="263"/>
      <c r="AZ41" s="263"/>
      <c r="BA41" s="264"/>
      <c r="BB41" s="264"/>
      <c r="BC41" s="264"/>
      <c r="BD41" s="264"/>
      <c r="BE41" s="264"/>
      <c r="BF41" s="264"/>
      <c r="BG41" s="264"/>
      <c r="BH41" s="264"/>
      <c r="BI41" s="264"/>
      <c r="BJ41" s="265">
        <f t="shared" si="8"/>
        <v>60</v>
      </c>
      <c r="BK41" s="265"/>
      <c r="BL41" s="265"/>
      <c r="BM41" s="261"/>
      <c r="BN41" s="266"/>
      <c r="BO41" s="267"/>
      <c r="BP41" s="267"/>
      <c r="BQ41" s="267"/>
      <c r="BR41" s="267"/>
      <c r="BS41" s="267">
        <v>4</v>
      </c>
      <c r="BT41" s="267"/>
      <c r="BU41" s="267"/>
      <c r="BV41" s="267"/>
      <c r="BW41" s="267"/>
      <c r="BX41" s="267"/>
      <c r="BY41" s="267"/>
      <c r="BZ41" s="267"/>
      <c r="CA41" s="267"/>
      <c r="CB41" s="267"/>
      <c r="CC41" s="267"/>
      <c r="CD41" s="267"/>
      <c r="CE41" s="267"/>
      <c r="CF41" s="267"/>
      <c r="CG41" s="267"/>
      <c r="CH41" s="267"/>
      <c r="CI41" s="267"/>
      <c r="CJ41" s="267"/>
      <c r="CK41" s="267"/>
      <c r="CL41" s="267"/>
      <c r="CM41" s="267"/>
      <c r="CN41" s="267"/>
      <c r="CO41" s="267"/>
      <c r="CP41" s="267"/>
      <c r="CQ41" s="267"/>
      <c r="CR41" s="267"/>
      <c r="CS41" s="267"/>
      <c r="CT41" s="267"/>
      <c r="CU41" s="267"/>
      <c r="CV41" s="267"/>
      <c r="CW41" s="267"/>
      <c r="CX41" s="267"/>
      <c r="CY41" s="267"/>
      <c r="CZ41" s="267"/>
      <c r="DA41" s="268"/>
      <c r="DB41" s="269"/>
      <c r="DC41" s="270"/>
      <c r="DD41" s="270"/>
      <c r="DE41" s="270"/>
      <c r="DF41" s="270"/>
      <c r="DG41" s="270">
        <v>4</v>
      </c>
      <c r="DH41" s="270"/>
      <c r="DI41" s="270"/>
      <c r="DJ41" s="270"/>
      <c r="DK41" s="270"/>
      <c r="DL41" s="270"/>
      <c r="DM41" s="270"/>
      <c r="DN41" s="270"/>
      <c r="DO41" s="270"/>
      <c r="DP41" s="270"/>
      <c r="DQ41" s="270"/>
      <c r="DR41" s="270"/>
      <c r="DS41" s="270"/>
      <c r="DT41" s="270"/>
      <c r="DU41" s="270"/>
      <c r="DV41" s="270"/>
      <c r="DW41" s="270"/>
      <c r="DX41" s="270"/>
      <c r="DY41" s="270"/>
      <c r="DZ41" s="270"/>
      <c r="EA41" s="270"/>
      <c r="EB41" s="270"/>
      <c r="EC41" s="270"/>
      <c r="ED41" s="270"/>
      <c r="EE41" s="270"/>
      <c r="EF41" s="270"/>
      <c r="EG41" s="270"/>
      <c r="EH41" s="270"/>
      <c r="EI41" s="270"/>
      <c r="EJ41" s="270"/>
      <c r="EK41" s="270"/>
      <c r="EL41" s="270"/>
      <c r="EM41" s="270"/>
      <c r="EN41" s="270"/>
      <c r="EO41" s="322"/>
      <c r="EP41" s="259">
        <f t="shared" si="11"/>
        <v>4</v>
      </c>
      <c r="EQ41" s="260"/>
      <c r="ER41" s="261"/>
    </row>
    <row r="42" spans="1:149" s="68" customFormat="1" ht="90" customHeight="1" x14ac:dyDescent="0.2">
      <c r="A42" s="111" t="s">
        <v>235</v>
      </c>
      <c r="B42" s="107" t="s">
        <v>141</v>
      </c>
      <c r="C42" s="287" t="s">
        <v>90</v>
      </c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65">
        <f t="shared" si="9"/>
        <v>120</v>
      </c>
      <c r="AA42" s="265"/>
      <c r="AB42" s="265"/>
      <c r="AC42" s="265"/>
      <c r="AD42" s="267"/>
      <c r="AE42" s="267"/>
      <c r="AF42" s="267"/>
      <c r="AG42" s="263">
        <f t="shared" si="10"/>
        <v>60</v>
      </c>
      <c r="AH42" s="263"/>
      <c r="AI42" s="263"/>
      <c r="AJ42" s="263"/>
      <c r="AK42" s="263"/>
      <c r="AL42" s="263"/>
      <c r="AM42" s="263"/>
      <c r="AN42" s="263"/>
      <c r="AO42" s="263"/>
      <c r="AP42" s="263"/>
      <c r="AQ42" s="263">
        <v>60</v>
      </c>
      <c r="AR42" s="263"/>
      <c r="AS42" s="263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3"/>
      <c r="BG42" s="263"/>
      <c r="BH42" s="263"/>
      <c r="BI42" s="263"/>
      <c r="BJ42" s="265">
        <f t="shared" si="8"/>
        <v>60</v>
      </c>
      <c r="BK42" s="265"/>
      <c r="BL42" s="265"/>
      <c r="BM42" s="261"/>
      <c r="BN42" s="266"/>
      <c r="BO42" s="267"/>
      <c r="BP42" s="267"/>
      <c r="BQ42" s="267"/>
      <c r="BR42" s="267"/>
      <c r="BS42" s="267">
        <v>4</v>
      </c>
      <c r="BT42" s="267"/>
      <c r="BU42" s="267"/>
      <c r="BV42" s="267"/>
      <c r="BW42" s="267"/>
      <c r="BX42" s="270"/>
      <c r="BY42" s="270"/>
      <c r="BZ42" s="270"/>
      <c r="CA42" s="270"/>
      <c r="CB42" s="270"/>
      <c r="CC42" s="270"/>
      <c r="CD42" s="270"/>
      <c r="CE42" s="270"/>
      <c r="CF42" s="270"/>
      <c r="CG42" s="270"/>
      <c r="CH42" s="270"/>
      <c r="CI42" s="270"/>
      <c r="CJ42" s="270"/>
      <c r="CK42" s="270"/>
      <c r="CL42" s="270"/>
      <c r="CM42" s="270"/>
      <c r="CN42" s="270"/>
      <c r="CO42" s="270"/>
      <c r="CP42" s="270"/>
      <c r="CQ42" s="270"/>
      <c r="CR42" s="270"/>
      <c r="CS42" s="270"/>
      <c r="CT42" s="270"/>
      <c r="CU42" s="270"/>
      <c r="CV42" s="270"/>
      <c r="CW42" s="270"/>
      <c r="CX42" s="270"/>
      <c r="CY42" s="270"/>
      <c r="CZ42" s="270"/>
      <c r="DA42" s="293"/>
      <c r="DB42" s="269"/>
      <c r="DC42" s="270"/>
      <c r="DD42" s="270"/>
      <c r="DE42" s="270"/>
      <c r="DF42" s="270"/>
      <c r="DG42" s="270">
        <v>4</v>
      </c>
      <c r="DH42" s="270"/>
      <c r="DI42" s="270"/>
      <c r="DJ42" s="270"/>
      <c r="DK42" s="270"/>
      <c r="DL42" s="270"/>
      <c r="DM42" s="270"/>
      <c r="DN42" s="270"/>
      <c r="DO42" s="270"/>
      <c r="DP42" s="270"/>
      <c r="DQ42" s="270"/>
      <c r="DR42" s="270"/>
      <c r="DS42" s="270"/>
      <c r="DT42" s="270"/>
      <c r="DU42" s="270"/>
      <c r="DV42" s="270"/>
      <c r="DW42" s="270"/>
      <c r="DX42" s="270"/>
      <c r="DY42" s="270"/>
      <c r="DZ42" s="270"/>
      <c r="EA42" s="270"/>
      <c r="EB42" s="270"/>
      <c r="EC42" s="270"/>
      <c r="ED42" s="270"/>
      <c r="EE42" s="270"/>
      <c r="EF42" s="270"/>
      <c r="EG42" s="270"/>
      <c r="EH42" s="270"/>
      <c r="EI42" s="270"/>
      <c r="EJ42" s="270"/>
      <c r="EK42" s="270"/>
      <c r="EL42" s="270"/>
      <c r="EM42" s="270"/>
      <c r="EN42" s="270"/>
      <c r="EO42" s="322"/>
      <c r="EP42" s="259">
        <f t="shared" si="11"/>
        <v>4</v>
      </c>
      <c r="EQ42" s="260"/>
      <c r="ER42" s="261"/>
    </row>
    <row r="43" spans="1:149" s="68" customFormat="1" ht="90" customHeight="1" x14ac:dyDescent="0.2">
      <c r="A43" s="111" t="s">
        <v>102</v>
      </c>
      <c r="B43" s="107" t="s">
        <v>144</v>
      </c>
      <c r="C43" s="287" t="s">
        <v>136</v>
      </c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65">
        <f t="shared" si="9"/>
        <v>120</v>
      </c>
      <c r="AA43" s="265"/>
      <c r="AB43" s="265"/>
      <c r="AC43" s="265"/>
      <c r="AD43" s="378"/>
      <c r="AE43" s="378"/>
      <c r="AF43" s="378"/>
      <c r="AG43" s="263">
        <f t="shared" si="10"/>
        <v>60</v>
      </c>
      <c r="AH43" s="263"/>
      <c r="AI43" s="263"/>
      <c r="AJ43" s="263"/>
      <c r="AK43" s="263"/>
      <c r="AL43" s="263">
        <v>30</v>
      </c>
      <c r="AM43" s="263"/>
      <c r="AN43" s="263"/>
      <c r="AO43" s="263"/>
      <c r="AP43" s="263"/>
      <c r="AQ43" s="263"/>
      <c r="AR43" s="263"/>
      <c r="AS43" s="263"/>
      <c r="AT43" s="263"/>
      <c r="AU43" s="263"/>
      <c r="AV43" s="263">
        <v>30</v>
      </c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5">
        <f t="shared" si="8"/>
        <v>60</v>
      </c>
      <c r="BK43" s="265"/>
      <c r="BL43" s="265"/>
      <c r="BM43" s="261"/>
      <c r="BN43" s="266"/>
      <c r="BO43" s="267"/>
      <c r="BP43" s="267"/>
      <c r="BQ43" s="267"/>
      <c r="BR43" s="267"/>
      <c r="BS43" s="267">
        <v>4</v>
      </c>
      <c r="BT43" s="267"/>
      <c r="BU43" s="267"/>
      <c r="BV43" s="267"/>
      <c r="BW43" s="267"/>
      <c r="BX43" s="270"/>
      <c r="BY43" s="270"/>
      <c r="BZ43" s="270"/>
      <c r="CA43" s="270"/>
      <c r="CB43" s="270"/>
      <c r="CC43" s="270"/>
      <c r="CD43" s="270"/>
      <c r="CE43" s="270"/>
      <c r="CF43" s="270"/>
      <c r="CG43" s="270"/>
      <c r="CH43" s="270"/>
      <c r="CI43" s="270"/>
      <c r="CJ43" s="270"/>
      <c r="CK43" s="270"/>
      <c r="CL43" s="270"/>
      <c r="CM43" s="270"/>
      <c r="CN43" s="270"/>
      <c r="CO43" s="270"/>
      <c r="CP43" s="270"/>
      <c r="CQ43" s="270"/>
      <c r="CR43" s="270"/>
      <c r="CS43" s="270"/>
      <c r="CT43" s="270"/>
      <c r="CU43" s="270"/>
      <c r="CV43" s="270"/>
      <c r="CW43" s="270"/>
      <c r="CX43" s="270"/>
      <c r="CY43" s="270"/>
      <c r="CZ43" s="270"/>
      <c r="DA43" s="293"/>
      <c r="DB43" s="269"/>
      <c r="DC43" s="270"/>
      <c r="DD43" s="270"/>
      <c r="DE43" s="270"/>
      <c r="DF43" s="270"/>
      <c r="DG43" s="270">
        <v>4</v>
      </c>
      <c r="DH43" s="270"/>
      <c r="DI43" s="270"/>
      <c r="DJ43" s="270"/>
      <c r="DK43" s="270"/>
      <c r="DL43" s="270"/>
      <c r="DM43" s="270"/>
      <c r="DN43" s="270"/>
      <c r="DO43" s="270"/>
      <c r="DP43" s="270"/>
      <c r="DQ43" s="270"/>
      <c r="DR43" s="270"/>
      <c r="DS43" s="270"/>
      <c r="DT43" s="270"/>
      <c r="DU43" s="270"/>
      <c r="DV43" s="270"/>
      <c r="DW43" s="270"/>
      <c r="DX43" s="270"/>
      <c r="DY43" s="270"/>
      <c r="DZ43" s="270"/>
      <c r="EA43" s="270"/>
      <c r="EB43" s="270"/>
      <c r="EC43" s="270"/>
      <c r="ED43" s="270"/>
      <c r="EE43" s="270"/>
      <c r="EF43" s="270"/>
      <c r="EG43" s="270"/>
      <c r="EH43" s="270"/>
      <c r="EI43" s="270"/>
      <c r="EJ43" s="270"/>
      <c r="EK43" s="270"/>
      <c r="EL43" s="270"/>
      <c r="EM43" s="270"/>
      <c r="EN43" s="270"/>
      <c r="EO43" s="322"/>
      <c r="EP43" s="259">
        <f t="shared" si="11"/>
        <v>4</v>
      </c>
      <c r="EQ43" s="260"/>
      <c r="ER43" s="261"/>
    </row>
    <row r="44" spans="1:149" s="68" customFormat="1" ht="90" customHeight="1" x14ac:dyDescent="0.2">
      <c r="A44" s="111" t="s">
        <v>7</v>
      </c>
      <c r="B44" s="107" t="s">
        <v>89</v>
      </c>
      <c r="C44" s="287" t="s">
        <v>137</v>
      </c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65">
        <f t="shared" si="9"/>
        <v>120</v>
      </c>
      <c r="AA44" s="265"/>
      <c r="AB44" s="265"/>
      <c r="AC44" s="265"/>
      <c r="AD44" s="267"/>
      <c r="AE44" s="267"/>
      <c r="AF44" s="267"/>
      <c r="AG44" s="263">
        <f t="shared" si="10"/>
        <v>48</v>
      </c>
      <c r="AH44" s="263"/>
      <c r="AI44" s="263"/>
      <c r="AJ44" s="263"/>
      <c r="AK44" s="263"/>
      <c r="AL44" s="263">
        <v>18</v>
      </c>
      <c r="AM44" s="263"/>
      <c r="AN44" s="263"/>
      <c r="AO44" s="263"/>
      <c r="AP44" s="263"/>
      <c r="AQ44" s="263"/>
      <c r="AR44" s="263"/>
      <c r="AS44" s="263"/>
      <c r="AT44" s="263"/>
      <c r="AU44" s="263"/>
      <c r="AV44" s="263">
        <v>30</v>
      </c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5">
        <f t="shared" si="8"/>
        <v>72</v>
      </c>
      <c r="BK44" s="265"/>
      <c r="BL44" s="265"/>
      <c r="BM44" s="261"/>
      <c r="BN44" s="266">
        <v>3</v>
      </c>
      <c r="BO44" s="267"/>
      <c r="BP44" s="267"/>
      <c r="BQ44" s="267"/>
      <c r="BR44" s="267"/>
      <c r="BS44" s="267"/>
      <c r="BT44" s="267"/>
      <c r="BU44" s="267"/>
      <c r="BV44" s="267"/>
      <c r="BW44" s="267"/>
      <c r="BX44" s="270"/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0"/>
      <c r="DA44" s="293"/>
      <c r="DB44" s="269">
        <v>4</v>
      </c>
      <c r="DC44" s="270"/>
      <c r="DD44" s="270"/>
      <c r="DE44" s="270"/>
      <c r="DF44" s="270"/>
      <c r="DG44" s="270"/>
      <c r="DH44" s="270"/>
      <c r="DI44" s="270"/>
      <c r="DJ44" s="270"/>
      <c r="DK44" s="270"/>
      <c r="DL44" s="270"/>
      <c r="DM44" s="270"/>
      <c r="DN44" s="270"/>
      <c r="DO44" s="270"/>
      <c r="DP44" s="270"/>
      <c r="DQ44" s="270"/>
      <c r="DR44" s="270"/>
      <c r="DS44" s="270"/>
      <c r="DT44" s="270"/>
      <c r="DU44" s="270"/>
      <c r="DV44" s="270"/>
      <c r="DW44" s="270"/>
      <c r="DX44" s="270"/>
      <c r="DY44" s="270"/>
      <c r="DZ44" s="270"/>
      <c r="EA44" s="270"/>
      <c r="EB44" s="270"/>
      <c r="EC44" s="270"/>
      <c r="ED44" s="270"/>
      <c r="EE44" s="270"/>
      <c r="EF44" s="270"/>
      <c r="EG44" s="270"/>
      <c r="EH44" s="270"/>
      <c r="EI44" s="270"/>
      <c r="EJ44" s="270"/>
      <c r="EK44" s="270"/>
      <c r="EL44" s="270"/>
      <c r="EM44" s="270"/>
      <c r="EN44" s="270"/>
      <c r="EO44" s="322"/>
      <c r="EP44" s="259">
        <f t="shared" si="11"/>
        <v>4</v>
      </c>
      <c r="EQ44" s="260"/>
      <c r="ER44" s="261"/>
      <c r="ES44" s="67"/>
    </row>
    <row r="45" spans="1:149" s="66" customFormat="1" ht="90" customHeight="1" x14ac:dyDescent="0.2">
      <c r="A45" s="111" t="s">
        <v>8</v>
      </c>
      <c r="B45" s="106" t="s">
        <v>150</v>
      </c>
      <c r="C45" s="294" t="s">
        <v>188</v>
      </c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65">
        <f t="shared" ref="Z45" si="14">(DB45+DG45+DL45+DQ45+DV45+EA45+EF45+EK45)*30</f>
        <v>510</v>
      </c>
      <c r="AA45" s="265"/>
      <c r="AB45" s="265"/>
      <c r="AC45" s="265"/>
      <c r="AD45" s="267"/>
      <c r="AE45" s="267"/>
      <c r="AF45" s="267"/>
      <c r="AG45" s="263">
        <f t="shared" si="10"/>
        <v>240</v>
      </c>
      <c r="AH45" s="263"/>
      <c r="AI45" s="263"/>
      <c r="AJ45" s="263"/>
      <c r="AK45" s="263"/>
      <c r="AL45" s="263"/>
      <c r="AM45" s="263"/>
      <c r="AN45" s="263"/>
      <c r="AO45" s="263"/>
      <c r="AP45" s="263"/>
      <c r="AQ45" s="263">
        <v>240</v>
      </c>
      <c r="AR45" s="263"/>
      <c r="AS45" s="263"/>
      <c r="AT45" s="263"/>
      <c r="AU45" s="263"/>
      <c r="AV45" s="263"/>
      <c r="AW45" s="263"/>
      <c r="AX45" s="263"/>
      <c r="AY45" s="263"/>
      <c r="AZ45" s="263"/>
      <c r="BA45" s="264"/>
      <c r="BB45" s="264"/>
      <c r="BC45" s="264"/>
      <c r="BD45" s="264"/>
      <c r="BE45" s="264"/>
      <c r="BF45" s="264"/>
      <c r="BG45" s="264"/>
      <c r="BH45" s="264"/>
      <c r="BI45" s="264"/>
      <c r="BJ45" s="265">
        <f t="shared" si="8"/>
        <v>270</v>
      </c>
      <c r="BK45" s="265"/>
      <c r="BL45" s="265"/>
      <c r="BM45" s="261"/>
      <c r="BN45" s="266">
        <v>4</v>
      </c>
      <c r="BO45" s="267"/>
      <c r="BP45" s="267"/>
      <c r="BQ45" s="267"/>
      <c r="BR45" s="267"/>
      <c r="BS45" s="267">
        <v>4</v>
      </c>
      <c r="BT45" s="267"/>
      <c r="BU45" s="267"/>
      <c r="BV45" s="267"/>
      <c r="BW45" s="267"/>
      <c r="BX45" s="270">
        <v>4</v>
      </c>
      <c r="BY45" s="270"/>
      <c r="BZ45" s="270"/>
      <c r="CA45" s="270"/>
      <c r="CB45" s="270"/>
      <c r="CC45" s="270">
        <v>4</v>
      </c>
      <c r="CD45" s="270"/>
      <c r="CE45" s="270"/>
      <c r="CF45" s="270"/>
      <c r="CG45" s="270"/>
      <c r="CH45" s="270"/>
      <c r="CI45" s="270"/>
      <c r="CJ45" s="270"/>
      <c r="CK45" s="270"/>
      <c r="CL45" s="270"/>
      <c r="CM45" s="270"/>
      <c r="CN45" s="270"/>
      <c r="CO45" s="270"/>
      <c r="CP45" s="270"/>
      <c r="CQ45" s="270"/>
      <c r="CR45" s="270"/>
      <c r="CS45" s="270"/>
      <c r="CT45" s="270"/>
      <c r="CU45" s="270"/>
      <c r="CV45" s="270"/>
      <c r="CW45" s="270"/>
      <c r="CX45" s="270"/>
      <c r="CY45" s="270"/>
      <c r="CZ45" s="270"/>
      <c r="DA45" s="293"/>
      <c r="DB45" s="269">
        <v>4</v>
      </c>
      <c r="DC45" s="270"/>
      <c r="DD45" s="270"/>
      <c r="DE45" s="270"/>
      <c r="DF45" s="270"/>
      <c r="DG45" s="270">
        <v>5</v>
      </c>
      <c r="DH45" s="270"/>
      <c r="DI45" s="270"/>
      <c r="DJ45" s="270"/>
      <c r="DK45" s="270"/>
      <c r="DL45" s="270">
        <v>4</v>
      </c>
      <c r="DM45" s="270"/>
      <c r="DN45" s="270"/>
      <c r="DO45" s="270"/>
      <c r="DP45" s="270"/>
      <c r="DQ45" s="270">
        <v>4</v>
      </c>
      <c r="DR45" s="270"/>
      <c r="DS45" s="270"/>
      <c r="DT45" s="270"/>
      <c r="DU45" s="270"/>
      <c r="DV45" s="270"/>
      <c r="DW45" s="270"/>
      <c r="DX45" s="270"/>
      <c r="DY45" s="270"/>
      <c r="DZ45" s="270"/>
      <c r="EA45" s="270"/>
      <c r="EB45" s="270"/>
      <c r="EC45" s="270"/>
      <c r="ED45" s="270"/>
      <c r="EE45" s="270"/>
      <c r="EF45" s="270"/>
      <c r="EG45" s="270"/>
      <c r="EH45" s="270"/>
      <c r="EI45" s="270"/>
      <c r="EJ45" s="270"/>
      <c r="EK45" s="270"/>
      <c r="EL45" s="270"/>
      <c r="EM45" s="270"/>
      <c r="EN45" s="270"/>
      <c r="EO45" s="322"/>
      <c r="EP45" s="259">
        <f t="shared" si="11"/>
        <v>17</v>
      </c>
      <c r="EQ45" s="260"/>
      <c r="ER45" s="261"/>
    </row>
    <row r="46" spans="1:149" s="67" customFormat="1" ht="90" customHeight="1" x14ac:dyDescent="0.2">
      <c r="A46" s="111" t="s">
        <v>9</v>
      </c>
      <c r="B46" s="106" t="s">
        <v>148</v>
      </c>
      <c r="C46" s="294" t="s">
        <v>187</v>
      </c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65">
        <f t="shared" si="9"/>
        <v>360</v>
      </c>
      <c r="AA46" s="265"/>
      <c r="AB46" s="265"/>
      <c r="AC46" s="265"/>
      <c r="AD46" s="267"/>
      <c r="AE46" s="267"/>
      <c r="AF46" s="267"/>
      <c r="AG46" s="263">
        <f t="shared" si="10"/>
        <v>180</v>
      </c>
      <c r="AH46" s="263"/>
      <c r="AI46" s="263"/>
      <c r="AJ46" s="263"/>
      <c r="AK46" s="263"/>
      <c r="AL46" s="263"/>
      <c r="AM46" s="263"/>
      <c r="AN46" s="263"/>
      <c r="AO46" s="263"/>
      <c r="AP46" s="263"/>
      <c r="AQ46" s="263">
        <v>180</v>
      </c>
      <c r="AR46" s="263"/>
      <c r="AS46" s="263"/>
      <c r="AT46" s="263"/>
      <c r="AU46" s="263"/>
      <c r="AV46" s="263"/>
      <c r="AW46" s="263"/>
      <c r="AX46" s="263"/>
      <c r="AY46" s="263"/>
      <c r="AZ46" s="263"/>
      <c r="BA46" s="264"/>
      <c r="BB46" s="264"/>
      <c r="BC46" s="264"/>
      <c r="BD46" s="264"/>
      <c r="BE46" s="264"/>
      <c r="BF46" s="264"/>
      <c r="BG46" s="264"/>
      <c r="BH46" s="264"/>
      <c r="BI46" s="264"/>
      <c r="BJ46" s="265">
        <f t="shared" si="8"/>
        <v>180</v>
      </c>
      <c r="BK46" s="265"/>
      <c r="BL46" s="265"/>
      <c r="BM46" s="261"/>
      <c r="BN46" s="266"/>
      <c r="BO46" s="267"/>
      <c r="BP46" s="267"/>
      <c r="BQ46" s="267"/>
      <c r="BR46" s="267"/>
      <c r="BS46" s="267"/>
      <c r="BT46" s="267"/>
      <c r="BU46" s="267"/>
      <c r="BV46" s="267"/>
      <c r="BW46" s="267"/>
      <c r="BX46" s="270">
        <v>6</v>
      </c>
      <c r="BY46" s="270"/>
      <c r="BZ46" s="270"/>
      <c r="CA46" s="270"/>
      <c r="CB46" s="270"/>
      <c r="CC46" s="270">
        <v>6</v>
      </c>
      <c r="CD46" s="270"/>
      <c r="CE46" s="270"/>
      <c r="CF46" s="270"/>
      <c r="CG46" s="270"/>
      <c r="CH46" s="270"/>
      <c r="CI46" s="270"/>
      <c r="CJ46" s="270"/>
      <c r="CK46" s="270"/>
      <c r="CL46" s="270"/>
      <c r="CM46" s="270"/>
      <c r="CN46" s="270"/>
      <c r="CO46" s="270"/>
      <c r="CP46" s="270"/>
      <c r="CQ46" s="270"/>
      <c r="CR46" s="270"/>
      <c r="CS46" s="270"/>
      <c r="CT46" s="270"/>
      <c r="CU46" s="270"/>
      <c r="CV46" s="270"/>
      <c r="CW46" s="270"/>
      <c r="CX46" s="270"/>
      <c r="CY46" s="270"/>
      <c r="CZ46" s="270"/>
      <c r="DA46" s="293"/>
      <c r="DB46" s="269"/>
      <c r="DC46" s="270"/>
      <c r="DD46" s="270"/>
      <c r="DE46" s="270"/>
      <c r="DF46" s="270"/>
      <c r="DG46" s="270"/>
      <c r="DH46" s="270"/>
      <c r="DI46" s="270"/>
      <c r="DJ46" s="270"/>
      <c r="DK46" s="270"/>
      <c r="DL46" s="270">
        <v>6</v>
      </c>
      <c r="DM46" s="270"/>
      <c r="DN46" s="270"/>
      <c r="DO46" s="270"/>
      <c r="DP46" s="270"/>
      <c r="DQ46" s="270">
        <v>6</v>
      </c>
      <c r="DR46" s="270"/>
      <c r="DS46" s="270"/>
      <c r="DT46" s="270"/>
      <c r="DU46" s="270"/>
      <c r="DV46" s="270"/>
      <c r="DW46" s="270"/>
      <c r="DX46" s="270"/>
      <c r="DY46" s="270"/>
      <c r="DZ46" s="270"/>
      <c r="EA46" s="270"/>
      <c r="EB46" s="270"/>
      <c r="EC46" s="270"/>
      <c r="ED46" s="270"/>
      <c r="EE46" s="270"/>
      <c r="EF46" s="270"/>
      <c r="EG46" s="270"/>
      <c r="EH46" s="270"/>
      <c r="EI46" s="270"/>
      <c r="EJ46" s="270"/>
      <c r="EK46" s="270"/>
      <c r="EL46" s="270"/>
      <c r="EM46" s="270"/>
      <c r="EN46" s="270"/>
      <c r="EO46" s="322"/>
      <c r="EP46" s="259">
        <f t="shared" si="11"/>
        <v>12</v>
      </c>
      <c r="EQ46" s="260"/>
      <c r="ER46" s="261"/>
    </row>
    <row r="47" spans="1:149" s="66" customFormat="1" ht="90" customHeight="1" x14ac:dyDescent="0.2">
      <c r="A47" s="111" t="s">
        <v>10</v>
      </c>
      <c r="B47" s="106" t="s">
        <v>149</v>
      </c>
      <c r="C47" s="440" t="s">
        <v>147</v>
      </c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265">
        <f t="shared" si="9"/>
        <v>180</v>
      </c>
      <c r="AA47" s="265"/>
      <c r="AB47" s="265"/>
      <c r="AC47" s="265"/>
      <c r="AD47" s="267"/>
      <c r="AE47" s="267"/>
      <c r="AF47" s="267"/>
      <c r="AG47" s="263">
        <f t="shared" si="10"/>
        <v>72</v>
      </c>
      <c r="AH47" s="263"/>
      <c r="AI47" s="263"/>
      <c r="AJ47" s="263"/>
      <c r="AK47" s="263"/>
      <c r="AL47" s="263"/>
      <c r="AM47" s="263"/>
      <c r="AN47" s="263"/>
      <c r="AO47" s="263"/>
      <c r="AP47" s="263"/>
      <c r="AQ47" s="263">
        <v>72</v>
      </c>
      <c r="AR47" s="263"/>
      <c r="AS47" s="263"/>
      <c r="AT47" s="263"/>
      <c r="AU47" s="263"/>
      <c r="AV47" s="263"/>
      <c r="AW47" s="263"/>
      <c r="AX47" s="263"/>
      <c r="AY47" s="263"/>
      <c r="AZ47" s="263"/>
      <c r="BA47" s="264"/>
      <c r="BB47" s="264"/>
      <c r="BC47" s="264"/>
      <c r="BD47" s="264"/>
      <c r="BE47" s="264"/>
      <c r="BF47" s="264"/>
      <c r="BG47" s="264"/>
      <c r="BH47" s="264"/>
      <c r="BI47" s="264"/>
      <c r="BJ47" s="265">
        <f t="shared" si="8"/>
        <v>108</v>
      </c>
      <c r="BK47" s="265"/>
      <c r="BL47" s="265"/>
      <c r="BM47" s="261"/>
      <c r="BN47" s="266"/>
      <c r="BO47" s="267"/>
      <c r="BP47" s="267"/>
      <c r="BQ47" s="267"/>
      <c r="BR47" s="267"/>
      <c r="BS47" s="267"/>
      <c r="BT47" s="267"/>
      <c r="BU47" s="267"/>
      <c r="BV47" s="267"/>
      <c r="BW47" s="267"/>
      <c r="BX47" s="270">
        <v>2</v>
      </c>
      <c r="BY47" s="270"/>
      <c r="BZ47" s="270"/>
      <c r="CA47" s="270"/>
      <c r="CB47" s="270"/>
      <c r="CC47" s="270">
        <v>4</v>
      </c>
      <c r="CD47" s="270"/>
      <c r="CE47" s="270"/>
      <c r="CF47" s="270"/>
      <c r="CG47" s="270"/>
      <c r="CH47" s="270"/>
      <c r="CI47" s="270"/>
      <c r="CJ47" s="270"/>
      <c r="CK47" s="270"/>
      <c r="CL47" s="270"/>
      <c r="CM47" s="270"/>
      <c r="CN47" s="270"/>
      <c r="CO47" s="270"/>
      <c r="CP47" s="270"/>
      <c r="CQ47" s="270"/>
      <c r="CR47" s="270"/>
      <c r="CS47" s="270"/>
      <c r="CT47" s="270"/>
      <c r="CU47" s="270"/>
      <c r="CV47" s="270"/>
      <c r="CW47" s="270"/>
      <c r="CX47" s="270"/>
      <c r="CY47" s="270"/>
      <c r="CZ47" s="270"/>
      <c r="DA47" s="293"/>
      <c r="DB47" s="269"/>
      <c r="DC47" s="270"/>
      <c r="DD47" s="270"/>
      <c r="DE47" s="270"/>
      <c r="DF47" s="270"/>
      <c r="DG47" s="270"/>
      <c r="DH47" s="270"/>
      <c r="DI47" s="270"/>
      <c r="DJ47" s="270"/>
      <c r="DK47" s="270"/>
      <c r="DL47" s="270">
        <v>2</v>
      </c>
      <c r="DM47" s="270"/>
      <c r="DN47" s="270"/>
      <c r="DO47" s="270"/>
      <c r="DP47" s="270"/>
      <c r="DQ47" s="270">
        <v>4</v>
      </c>
      <c r="DR47" s="270"/>
      <c r="DS47" s="270"/>
      <c r="DT47" s="270"/>
      <c r="DU47" s="270"/>
      <c r="DV47" s="270"/>
      <c r="DW47" s="270"/>
      <c r="DX47" s="270"/>
      <c r="DY47" s="270"/>
      <c r="DZ47" s="270"/>
      <c r="EA47" s="270"/>
      <c r="EB47" s="270"/>
      <c r="EC47" s="270"/>
      <c r="ED47" s="270"/>
      <c r="EE47" s="270"/>
      <c r="EF47" s="270"/>
      <c r="EG47" s="270"/>
      <c r="EH47" s="270"/>
      <c r="EI47" s="270"/>
      <c r="EJ47" s="270"/>
      <c r="EK47" s="270"/>
      <c r="EL47" s="270"/>
      <c r="EM47" s="270"/>
      <c r="EN47" s="270"/>
      <c r="EO47" s="322"/>
      <c r="EP47" s="259">
        <f t="shared" si="11"/>
        <v>6</v>
      </c>
      <c r="EQ47" s="260"/>
      <c r="ER47" s="261"/>
    </row>
    <row r="48" spans="1:149" s="66" customFormat="1" ht="90" customHeight="1" x14ac:dyDescent="0.2">
      <c r="A48" s="111" t="s">
        <v>154</v>
      </c>
      <c r="B48" s="106" t="s">
        <v>151</v>
      </c>
      <c r="C48" s="440" t="s">
        <v>233</v>
      </c>
      <c r="D48" s="440"/>
      <c r="E48" s="440"/>
      <c r="F48" s="440"/>
      <c r="G48" s="440"/>
      <c r="H48" s="440"/>
      <c r="I48" s="440"/>
      <c r="J48" s="440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265">
        <f t="shared" si="9"/>
        <v>120</v>
      </c>
      <c r="AA48" s="265"/>
      <c r="AB48" s="265"/>
      <c r="AC48" s="265"/>
      <c r="AD48" s="267"/>
      <c r="AE48" s="267"/>
      <c r="AF48" s="267"/>
      <c r="AG48" s="263">
        <f t="shared" si="10"/>
        <v>48</v>
      </c>
      <c r="AH48" s="263"/>
      <c r="AI48" s="263"/>
      <c r="AJ48" s="263"/>
      <c r="AK48" s="263"/>
      <c r="AL48" s="263">
        <v>32</v>
      </c>
      <c r="AM48" s="263"/>
      <c r="AN48" s="263"/>
      <c r="AO48" s="263"/>
      <c r="AP48" s="263"/>
      <c r="AQ48" s="263">
        <v>8</v>
      </c>
      <c r="AR48" s="263"/>
      <c r="AS48" s="263"/>
      <c r="AT48" s="263"/>
      <c r="AU48" s="263"/>
      <c r="AV48" s="263">
        <v>8</v>
      </c>
      <c r="AW48" s="263"/>
      <c r="AX48" s="263"/>
      <c r="AY48" s="263"/>
      <c r="AZ48" s="263"/>
      <c r="BA48" s="264"/>
      <c r="BB48" s="264"/>
      <c r="BC48" s="264"/>
      <c r="BD48" s="264"/>
      <c r="BE48" s="264"/>
      <c r="BF48" s="264"/>
      <c r="BG48" s="264"/>
      <c r="BH48" s="264"/>
      <c r="BI48" s="264"/>
      <c r="BJ48" s="265">
        <f t="shared" si="8"/>
        <v>72</v>
      </c>
      <c r="BK48" s="265"/>
      <c r="BL48" s="265"/>
      <c r="BM48" s="261"/>
      <c r="BN48" s="266"/>
      <c r="BO48" s="267"/>
      <c r="BP48" s="267"/>
      <c r="BQ48" s="267"/>
      <c r="BR48" s="267"/>
      <c r="BS48" s="267"/>
      <c r="BT48" s="267"/>
      <c r="BU48" s="267"/>
      <c r="BV48" s="267"/>
      <c r="BW48" s="267"/>
      <c r="BX48" s="270"/>
      <c r="BY48" s="270"/>
      <c r="BZ48" s="270"/>
      <c r="CA48" s="270"/>
      <c r="CB48" s="270"/>
      <c r="CC48" s="270">
        <v>4</v>
      </c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/>
      <c r="CU48" s="270"/>
      <c r="CV48" s="270"/>
      <c r="CW48" s="270"/>
      <c r="CX48" s="270"/>
      <c r="CY48" s="270"/>
      <c r="CZ48" s="270"/>
      <c r="DA48" s="293"/>
      <c r="DB48" s="269"/>
      <c r="DC48" s="270"/>
      <c r="DD48" s="270"/>
      <c r="DE48" s="270"/>
      <c r="DF48" s="270"/>
      <c r="DG48" s="270"/>
      <c r="DH48" s="270"/>
      <c r="DI48" s="270"/>
      <c r="DJ48" s="270"/>
      <c r="DK48" s="270"/>
      <c r="DL48" s="270"/>
      <c r="DM48" s="270"/>
      <c r="DN48" s="270"/>
      <c r="DO48" s="270"/>
      <c r="DP48" s="270"/>
      <c r="DQ48" s="270">
        <v>4</v>
      </c>
      <c r="DR48" s="270"/>
      <c r="DS48" s="270"/>
      <c r="DT48" s="270"/>
      <c r="DU48" s="270"/>
      <c r="DV48" s="270"/>
      <c r="DW48" s="270"/>
      <c r="DX48" s="270"/>
      <c r="DY48" s="270"/>
      <c r="DZ48" s="270"/>
      <c r="EA48" s="270"/>
      <c r="EB48" s="270"/>
      <c r="EC48" s="270"/>
      <c r="ED48" s="270"/>
      <c r="EE48" s="270"/>
      <c r="EF48" s="270"/>
      <c r="EG48" s="270"/>
      <c r="EH48" s="270"/>
      <c r="EI48" s="270"/>
      <c r="EJ48" s="270"/>
      <c r="EK48" s="270"/>
      <c r="EL48" s="270"/>
      <c r="EM48" s="270"/>
      <c r="EN48" s="270"/>
      <c r="EO48" s="322"/>
      <c r="EP48" s="259">
        <f t="shared" si="11"/>
        <v>4</v>
      </c>
      <c r="EQ48" s="260"/>
      <c r="ER48" s="261"/>
    </row>
    <row r="49" spans="1:149" s="100" customFormat="1" ht="90" customHeight="1" x14ac:dyDescent="0.2">
      <c r="A49" s="111" t="s">
        <v>11</v>
      </c>
      <c r="B49" s="108" t="s">
        <v>153</v>
      </c>
      <c r="C49" s="271" t="s">
        <v>189</v>
      </c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397">
        <f t="shared" si="9"/>
        <v>240</v>
      </c>
      <c r="AA49" s="397"/>
      <c r="AB49" s="397"/>
      <c r="AC49" s="397"/>
      <c r="AD49" s="270"/>
      <c r="AE49" s="270"/>
      <c r="AF49" s="270"/>
      <c r="AG49" s="263">
        <f t="shared" si="10"/>
        <v>120</v>
      </c>
      <c r="AH49" s="263"/>
      <c r="AI49" s="263"/>
      <c r="AJ49" s="263"/>
      <c r="AK49" s="263"/>
      <c r="AL49" s="273"/>
      <c r="AM49" s="273"/>
      <c r="AN49" s="273"/>
      <c r="AO49" s="273"/>
      <c r="AP49" s="273"/>
      <c r="AQ49" s="273">
        <v>120</v>
      </c>
      <c r="AR49" s="273"/>
      <c r="AS49" s="273"/>
      <c r="AT49" s="273"/>
      <c r="AU49" s="273"/>
      <c r="AV49" s="273"/>
      <c r="AW49" s="273"/>
      <c r="AX49" s="273"/>
      <c r="AY49" s="273"/>
      <c r="AZ49" s="273"/>
      <c r="BA49" s="274"/>
      <c r="BB49" s="274"/>
      <c r="BC49" s="274"/>
      <c r="BD49" s="274"/>
      <c r="BE49" s="274"/>
      <c r="BF49" s="274"/>
      <c r="BG49" s="274"/>
      <c r="BH49" s="274"/>
      <c r="BI49" s="274"/>
      <c r="BJ49" s="397">
        <f t="shared" si="8"/>
        <v>120</v>
      </c>
      <c r="BK49" s="397"/>
      <c r="BL49" s="397"/>
      <c r="BM49" s="340"/>
      <c r="BN49" s="269"/>
      <c r="BO49" s="270"/>
      <c r="BP49" s="270"/>
      <c r="BQ49" s="270"/>
      <c r="BR49" s="270"/>
      <c r="BS49" s="270"/>
      <c r="BT49" s="270"/>
      <c r="BU49" s="270"/>
      <c r="BV49" s="270"/>
      <c r="BW49" s="270"/>
      <c r="BX49" s="270">
        <v>4</v>
      </c>
      <c r="BY49" s="270"/>
      <c r="BZ49" s="270"/>
      <c r="CA49" s="270"/>
      <c r="CB49" s="270"/>
      <c r="CC49" s="270">
        <v>4</v>
      </c>
      <c r="CD49" s="270"/>
      <c r="CE49" s="270"/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70"/>
      <c r="DA49" s="293"/>
      <c r="DB49" s="269"/>
      <c r="DC49" s="270"/>
      <c r="DD49" s="270"/>
      <c r="DE49" s="270"/>
      <c r="DF49" s="270"/>
      <c r="DG49" s="270"/>
      <c r="DH49" s="270"/>
      <c r="DI49" s="270"/>
      <c r="DJ49" s="270"/>
      <c r="DK49" s="270"/>
      <c r="DL49" s="270">
        <v>4</v>
      </c>
      <c r="DM49" s="270"/>
      <c r="DN49" s="270"/>
      <c r="DO49" s="270"/>
      <c r="DP49" s="270"/>
      <c r="DQ49" s="270">
        <v>4</v>
      </c>
      <c r="DR49" s="270"/>
      <c r="DS49" s="270"/>
      <c r="DT49" s="270"/>
      <c r="DU49" s="270"/>
      <c r="DV49" s="270"/>
      <c r="DW49" s="270"/>
      <c r="DX49" s="270"/>
      <c r="DY49" s="270"/>
      <c r="DZ49" s="270"/>
      <c r="EA49" s="270"/>
      <c r="EB49" s="270"/>
      <c r="EC49" s="270"/>
      <c r="ED49" s="270"/>
      <c r="EE49" s="270"/>
      <c r="EF49" s="270"/>
      <c r="EG49" s="270"/>
      <c r="EH49" s="270"/>
      <c r="EI49" s="270"/>
      <c r="EJ49" s="270"/>
      <c r="EK49" s="270"/>
      <c r="EL49" s="270"/>
      <c r="EM49" s="270"/>
      <c r="EN49" s="270"/>
      <c r="EO49" s="322"/>
      <c r="EP49" s="338">
        <f t="shared" si="11"/>
        <v>8</v>
      </c>
      <c r="EQ49" s="339"/>
      <c r="ER49" s="340"/>
    </row>
    <row r="50" spans="1:149" s="99" customFormat="1" ht="90" customHeight="1" x14ac:dyDescent="0.2">
      <c r="A50" s="111" t="s">
        <v>12</v>
      </c>
      <c r="B50" s="108" t="s">
        <v>252</v>
      </c>
      <c r="C50" s="294" t="s">
        <v>190</v>
      </c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397">
        <f t="shared" si="9"/>
        <v>240</v>
      </c>
      <c r="AA50" s="397"/>
      <c r="AB50" s="397"/>
      <c r="AC50" s="397"/>
      <c r="AD50" s="270"/>
      <c r="AE50" s="270"/>
      <c r="AF50" s="270"/>
      <c r="AG50" s="273">
        <f t="shared" si="10"/>
        <v>96</v>
      </c>
      <c r="AH50" s="273"/>
      <c r="AI50" s="273"/>
      <c r="AJ50" s="273"/>
      <c r="AK50" s="273"/>
      <c r="AL50" s="273">
        <v>48</v>
      </c>
      <c r="AM50" s="273"/>
      <c r="AN50" s="273"/>
      <c r="AO50" s="273"/>
      <c r="AP50" s="273"/>
      <c r="AQ50" s="273">
        <v>48</v>
      </c>
      <c r="AR50" s="273"/>
      <c r="AS50" s="273"/>
      <c r="AT50" s="273"/>
      <c r="AU50" s="273"/>
      <c r="AV50" s="273"/>
      <c r="AW50" s="273"/>
      <c r="AX50" s="273"/>
      <c r="AY50" s="273"/>
      <c r="AZ50" s="273"/>
      <c r="BA50" s="274"/>
      <c r="BB50" s="274"/>
      <c r="BC50" s="274"/>
      <c r="BD50" s="274"/>
      <c r="BE50" s="274"/>
      <c r="BF50" s="274"/>
      <c r="BG50" s="274"/>
      <c r="BH50" s="274"/>
      <c r="BI50" s="274"/>
      <c r="BJ50" s="397">
        <f t="shared" si="8"/>
        <v>144</v>
      </c>
      <c r="BK50" s="397"/>
      <c r="BL50" s="397"/>
      <c r="BM50" s="340"/>
      <c r="BN50" s="269"/>
      <c r="BO50" s="270"/>
      <c r="BP50" s="270"/>
      <c r="BQ50" s="270"/>
      <c r="BR50" s="270"/>
      <c r="BS50" s="270"/>
      <c r="BT50" s="270"/>
      <c r="BU50" s="270"/>
      <c r="BV50" s="270"/>
      <c r="BW50" s="270"/>
      <c r="BX50" s="270"/>
      <c r="BY50" s="270"/>
      <c r="BZ50" s="270"/>
      <c r="CA50" s="270"/>
      <c r="CB50" s="270"/>
      <c r="CC50" s="270"/>
      <c r="CD50" s="270"/>
      <c r="CE50" s="270"/>
      <c r="CF50" s="270"/>
      <c r="CG50" s="270"/>
      <c r="CH50" s="270">
        <v>4</v>
      </c>
      <c r="CI50" s="270"/>
      <c r="CJ50" s="270"/>
      <c r="CK50" s="270"/>
      <c r="CL50" s="270"/>
      <c r="CM50" s="270">
        <v>4</v>
      </c>
      <c r="CN50" s="270"/>
      <c r="CO50" s="270"/>
      <c r="CP50" s="270"/>
      <c r="CQ50" s="270"/>
      <c r="CR50" s="270"/>
      <c r="CS50" s="270"/>
      <c r="CT50" s="270"/>
      <c r="CU50" s="270"/>
      <c r="CV50" s="270"/>
      <c r="CW50" s="270"/>
      <c r="CX50" s="270"/>
      <c r="CY50" s="270"/>
      <c r="CZ50" s="270"/>
      <c r="DA50" s="293"/>
      <c r="DB50" s="269"/>
      <c r="DC50" s="270"/>
      <c r="DD50" s="270"/>
      <c r="DE50" s="270"/>
      <c r="DF50" s="270"/>
      <c r="DG50" s="270"/>
      <c r="DH50" s="270"/>
      <c r="DI50" s="270"/>
      <c r="DJ50" s="270"/>
      <c r="DK50" s="270"/>
      <c r="DL50" s="270"/>
      <c r="DM50" s="270"/>
      <c r="DN50" s="270"/>
      <c r="DO50" s="270"/>
      <c r="DP50" s="270"/>
      <c r="DQ50" s="270"/>
      <c r="DR50" s="270"/>
      <c r="DS50" s="270"/>
      <c r="DT50" s="270"/>
      <c r="DU50" s="270"/>
      <c r="DV50" s="270">
        <v>4</v>
      </c>
      <c r="DW50" s="270"/>
      <c r="DX50" s="270"/>
      <c r="DY50" s="270"/>
      <c r="DZ50" s="270"/>
      <c r="EA50" s="270">
        <v>4</v>
      </c>
      <c r="EB50" s="270"/>
      <c r="EC50" s="270"/>
      <c r="ED50" s="270"/>
      <c r="EE50" s="270"/>
      <c r="EF50" s="270"/>
      <c r="EG50" s="270"/>
      <c r="EH50" s="270"/>
      <c r="EI50" s="270"/>
      <c r="EJ50" s="270"/>
      <c r="EK50" s="270"/>
      <c r="EL50" s="270"/>
      <c r="EM50" s="270"/>
      <c r="EN50" s="270"/>
      <c r="EO50" s="322"/>
      <c r="EP50" s="338">
        <f t="shared" si="11"/>
        <v>8</v>
      </c>
      <c r="EQ50" s="339"/>
      <c r="ER50" s="340"/>
      <c r="ES50" s="100"/>
    </row>
    <row r="51" spans="1:149" s="99" customFormat="1" ht="120" customHeight="1" x14ac:dyDescent="0.2">
      <c r="A51" s="111" t="s">
        <v>130</v>
      </c>
      <c r="B51" s="108" t="s">
        <v>152</v>
      </c>
      <c r="C51" s="271" t="s">
        <v>191</v>
      </c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397">
        <f t="shared" ref="Z51" si="15">(DB51+DG51+DL51+DQ51+DV51+EA51+EF51+EK51)*30</f>
        <v>240</v>
      </c>
      <c r="AA51" s="397"/>
      <c r="AB51" s="397"/>
      <c r="AC51" s="397"/>
      <c r="AD51" s="270"/>
      <c r="AE51" s="270"/>
      <c r="AF51" s="270"/>
      <c r="AG51" s="273">
        <f t="shared" si="10"/>
        <v>96</v>
      </c>
      <c r="AH51" s="273"/>
      <c r="AI51" s="273"/>
      <c r="AJ51" s="273"/>
      <c r="AK51" s="273"/>
      <c r="AL51" s="273"/>
      <c r="AM51" s="273"/>
      <c r="AN51" s="273"/>
      <c r="AO51" s="273"/>
      <c r="AP51" s="273"/>
      <c r="AQ51" s="273">
        <v>96</v>
      </c>
      <c r="AR51" s="273"/>
      <c r="AS51" s="273"/>
      <c r="AT51" s="273"/>
      <c r="AU51" s="273"/>
      <c r="AV51" s="273"/>
      <c r="AW51" s="273"/>
      <c r="AX51" s="273"/>
      <c r="AY51" s="273"/>
      <c r="AZ51" s="273"/>
      <c r="BA51" s="436"/>
      <c r="BB51" s="436"/>
      <c r="BC51" s="436"/>
      <c r="BD51" s="436"/>
      <c r="BE51" s="274"/>
      <c r="BF51" s="274"/>
      <c r="BG51" s="274"/>
      <c r="BH51" s="274"/>
      <c r="BI51" s="274"/>
      <c r="BJ51" s="397">
        <f t="shared" si="8"/>
        <v>144</v>
      </c>
      <c r="BK51" s="397"/>
      <c r="BL51" s="397"/>
      <c r="BM51" s="340"/>
      <c r="BN51" s="269"/>
      <c r="BO51" s="270"/>
      <c r="BP51" s="270"/>
      <c r="BQ51" s="270"/>
      <c r="BR51" s="270"/>
      <c r="BS51" s="270"/>
      <c r="BT51" s="270"/>
      <c r="BU51" s="270"/>
      <c r="BV51" s="270"/>
      <c r="BW51" s="270"/>
      <c r="BX51" s="270"/>
      <c r="BY51" s="270"/>
      <c r="BZ51" s="270"/>
      <c r="CA51" s="270"/>
      <c r="CB51" s="270"/>
      <c r="CC51" s="270"/>
      <c r="CD51" s="270"/>
      <c r="CE51" s="270"/>
      <c r="CF51" s="270"/>
      <c r="CG51" s="270"/>
      <c r="CH51" s="270">
        <v>4</v>
      </c>
      <c r="CI51" s="270"/>
      <c r="CJ51" s="270"/>
      <c r="CK51" s="270"/>
      <c r="CL51" s="270"/>
      <c r="CM51" s="270">
        <v>4</v>
      </c>
      <c r="CN51" s="270"/>
      <c r="CO51" s="270"/>
      <c r="CP51" s="270"/>
      <c r="CQ51" s="270"/>
      <c r="CR51" s="270"/>
      <c r="CS51" s="270"/>
      <c r="CT51" s="270"/>
      <c r="CU51" s="270"/>
      <c r="CV51" s="270"/>
      <c r="CW51" s="270"/>
      <c r="CX51" s="270"/>
      <c r="CY51" s="270"/>
      <c r="CZ51" s="270"/>
      <c r="DA51" s="293"/>
      <c r="DB51" s="269"/>
      <c r="DC51" s="270"/>
      <c r="DD51" s="270"/>
      <c r="DE51" s="270"/>
      <c r="DF51" s="270"/>
      <c r="DG51" s="270"/>
      <c r="DH51" s="270"/>
      <c r="DI51" s="270"/>
      <c r="DJ51" s="270"/>
      <c r="DK51" s="270"/>
      <c r="DL51" s="270"/>
      <c r="DM51" s="270"/>
      <c r="DN51" s="270"/>
      <c r="DO51" s="270"/>
      <c r="DP51" s="270"/>
      <c r="DQ51" s="270"/>
      <c r="DR51" s="270"/>
      <c r="DS51" s="270"/>
      <c r="DT51" s="270"/>
      <c r="DU51" s="270"/>
      <c r="DV51" s="270">
        <v>4</v>
      </c>
      <c r="DW51" s="270"/>
      <c r="DX51" s="270"/>
      <c r="DY51" s="270"/>
      <c r="DZ51" s="270"/>
      <c r="EA51" s="270">
        <v>4</v>
      </c>
      <c r="EB51" s="270"/>
      <c r="EC51" s="270"/>
      <c r="ED51" s="270"/>
      <c r="EE51" s="270"/>
      <c r="EF51" s="270"/>
      <c r="EG51" s="270"/>
      <c r="EH51" s="270"/>
      <c r="EI51" s="270"/>
      <c r="EJ51" s="270"/>
      <c r="EK51" s="270"/>
      <c r="EL51" s="270"/>
      <c r="EM51" s="270"/>
      <c r="EN51" s="270"/>
      <c r="EO51" s="322"/>
      <c r="EP51" s="338">
        <f t="shared" si="11"/>
        <v>8</v>
      </c>
      <c r="EQ51" s="339"/>
      <c r="ER51" s="340"/>
      <c r="ES51" s="100"/>
    </row>
    <row r="52" spans="1:149" s="99" customFormat="1" ht="90" customHeight="1" x14ac:dyDescent="0.2">
      <c r="A52" s="111" t="s">
        <v>155</v>
      </c>
      <c r="B52" s="108" t="s">
        <v>138</v>
      </c>
      <c r="C52" s="294" t="s">
        <v>134</v>
      </c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397">
        <f t="shared" ref="Z52" si="16">(DB52+DG52+DL52+DQ52+DV52+EA52+EF52+EK52)*30</f>
        <v>240</v>
      </c>
      <c r="AA52" s="397"/>
      <c r="AB52" s="397"/>
      <c r="AC52" s="397"/>
      <c r="AD52" s="270"/>
      <c r="AE52" s="270"/>
      <c r="AF52" s="270"/>
      <c r="AG52" s="273">
        <f t="shared" si="10"/>
        <v>96</v>
      </c>
      <c r="AH52" s="273"/>
      <c r="AI52" s="273"/>
      <c r="AJ52" s="273"/>
      <c r="AK52" s="273"/>
      <c r="AL52" s="273">
        <v>48</v>
      </c>
      <c r="AM52" s="273"/>
      <c r="AN52" s="273"/>
      <c r="AO52" s="273"/>
      <c r="AP52" s="273"/>
      <c r="AQ52" s="273">
        <v>48</v>
      </c>
      <c r="AR52" s="273"/>
      <c r="AS52" s="273"/>
      <c r="AT52" s="273"/>
      <c r="AU52" s="273"/>
      <c r="AV52" s="273"/>
      <c r="AW52" s="273"/>
      <c r="AX52" s="273"/>
      <c r="AY52" s="273"/>
      <c r="AZ52" s="273"/>
      <c r="BA52" s="274"/>
      <c r="BB52" s="274"/>
      <c r="BC52" s="274"/>
      <c r="BD52" s="274"/>
      <c r="BE52" s="274"/>
      <c r="BF52" s="274"/>
      <c r="BG52" s="274"/>
      <c r="BH52" s="274"/>
      <c r="BI52" s="274"/>
      <c r="BJ52" s="397">
        <f t="shared" si="8"/>
        <v>144</v>
      </c>
      <c r="BK52" s="397"/>
      <c r="BL52" s="397"/>
      <c r="BM52" s="340"/>
      <c r="BN52" s="269"/>
      <c r="BO52" s="270"/>
      <c r="BP52" s="270"/>
      <c r="BQ52" s="270"/>
      <c r="BR52" s="270"/>
      <c r="BS52" s="270"/>
      <c r="BT52" s="270"/>
      <c r="BU52" s="270"/>
      <c r="BV52" s="270"/>
      <c r="BW52" s="270"/>
      <c r="BX52" s="270"/>
      <c r="BY52" s="270"/>
      <c r="BZ52" s="270"/>
      <c r="CA52" s="270"/>
      <c r="CB52" s="270"/>
      <c r="CC52" s="270"/>
      <c r="CD52" s="270"/>
      <c r="CE52" s="270"/>
      <c r="CF52" s="270"/>
      <c r="CG52" s="270"/>
      <c r="CH52" s="270">
        <v>4</v>
      </c>
      <c r="CI52" s="270"/>
      <c r="CJ52" s="270"/>
      <c r="CK52" s="270"/>
      <c r="CL52" s="270"/>
      <c r="CM52" s="270">
        <v>4</v>
      </c>
      <c r="CN52" s="270"/>
      <c r="CO52" s="270"/>
      <c r="CP52" s="270"/>
      <c r="CQ52" s="270"/>
      <c r="CR52" s="270"/>
      <c r="CS52" s="270"/>
      <c r="CT52" s="270"/>
      <c r="CU52" s="270"/>
      <c r="CV52" s="270"/>
      <c r="CW52" s="270"/>
      <c r="CX52" s="270"/>
      <c r="CY52" s="270"/>
      <c r="CZ52" s="270"/>
      <c r="DA52" s="293"/>
      <c r="DB52" s="269"/>
      <c r="DC52" s="270"/>
      <c r="DD52" s="270"/>
      <c r="DE52" s="270"/>
      <c r="DF52" s="270"/>
      <c r="DG52" s="270"/>
      <c r="DH52" s="270"/>
      <c r="DI52" s="270"/>
      <c r="DJ52" s="270"/>
      <c r="DK52" s="270"/>
      <c r="DL52" s="270"/>
      <c r="DM52" s="270"/>
      <c r="DN52" s="270"/>
      <c r="DO52" s="270"/>
      <c r="DP52" s="270"/>
      <c r="DQ52" s="270"/>
      <c r="DR52" s="270"/>
      <c r="DS52" s="270"/>
      <c r="DT52" s="270"/>
      <c r="DU52" s="270"/>
      <c r="DV52" s="270">
        <v>4</v>
      </c>
      <c r="DW52" s="270"/>
      <c r="DX52" s="270"/>
      <c r="DY52" s="270"/>
      <c r="DZ52" s="270"/>
      <c r="EA52" s="270">
        <v>4</v>
      </c>
      <c r="EB52" s="270"/>
      <c r="EC52" s="270"/>
      <c r="ED52" s="270"/>
      <c r="EE52" s="270"/>
      <c r="EF52" s="270"/>
      <c r="EG52" s="270"/>
      <c r="EH52" s="270"/>
      <c r="EI52" s="270"/>
      <c r="EJ52" s="270"/>
      <c r="EK52" s="270"/>
      <c r="EL52" s="270"/>
      <c r="EM52" s="270"/>
      <c r="EN52" s="270"/>
      <c r="EO52" s="322"/>
      <c r="EP52" s="338">
        <f t="shared" si="11"/>
        <v>8</v>
      </c>
      <c r="EQ52" s="339"/>
      <c r="ER52" s="340"/>
      <c r="ES52" s="100"/>
    </row>
    <row r="53" spans="1:149" s="99" customFormat="1" ht="90" customHeight="1" x14ac:dyDescent="0.2">
      <c r="A53" s="111" t="s">
        <v>163</v>
      </c>
      <c r="B53" s="108" t="s">
        <v>139</v>
      </c>
      <c r="C53" s="294" t="s">
        <v>135</v>
      </c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397">
        <f t="shared" ref="Z53:Z55" si="17">(DB53+DG53+DL53+DQ53+DV53+EA53+EF53+EK53)*30</f>
        <v>240</v>
      </c>
      <c r="AA53" s="397"/>
      <c r="AB53" s="397"/>
      <c r="AC53" s="397"/>
      <c r="AD53" s="270"/>
      <c r="AE53" s="270"/>
      <c r="AF53" s="270"/>
      <c r="AG53" s="273">
        <f t="shared" si="10"/>
        <v>96</v>
      </c>
      <c r="AH53" s="273"/>
      <c r="AI53" s="273"/>
      <c r="AJ53" s="273"/>
      <c r="AK53" s="273"/>
      <c r="AL53" s="273">
        <v>48</v>
      </c>
      <c r="AM53" s="273"/>
      <c r="AN53" s="273"/>
      <c r="AO53" s="273"/>
      <c r="AP53" s="273"/>
      <c r="AQ53" s="273">
        <v>48</v>
      </c>
      <c r="AR53" s="273"/>
      <c r="AS53" s="273"/>
      <c r="AT53" s="273"/>
      <c r="AU53" s="273"/>
      <c r="AV53" s="273"/>
      <c r="AW53" s="273"/>
      <c r="AX53" s="273"/>
      <c r="AY53" s="273"/>
      <c r="AZ53" s="273"/>
      <c r="BA53" s="274"/>
      <c r="BB53" s="274"/>
      <c r="BC53" s="274"/>
      <c r="BD53" s="274"/>
      <c r="BE53" s="274"/>
      <c r="BF53" s="274"/>
      <c r="BG53" s="274"/>
      <c r="BH53" s="274"/>
      <c r="BI53" s="274"/>
      <c r="BJ53" s="397">
        <f t="shared" si="8"/>
        <v>144</v>
      </c>
      <c r="BK53" s="397"/>
      <c r="BL53" s="397"/>
      <c r="BM53" s="340"/>
      <c r="BN53" s="269"/>
      <c r="BO53" s="270"/>
      <c r="BP53" s="270"/>
      <c r="BQ53" s="270"/>
      <c r="BR53" s="270"/>
      <c r="BS53" s="270"/>
      <c r="BT53" s="270"/>
      <c r="BU53" s="270"/>
      <c r="BV53" s="270"/>
      <c r="BW53" s="270"/>
      <c r="BX53" s="270"/>
      <c r="BY53" s="270"/>
      <c r="BZ53" s="270"/>
      <c r="CA53" s="270"/>
      <c r="CB53" s="270"/>
      <c r="CC53" s="270"/>
      <c r="CD53" s="270"/>
      <c r="CE53" s="270"/>
      <c r="CF53" s="270"/>
      <c r="CG53" s="270"/>
      <c r="CH53" s="270">
        <v>4</v>
      </c>
      <c r="CI53" s="270"/>
      <c r="CJ53" s="270"/>
      <c r="CK53" s="270"/>
      <c r="CL53" s="270"/>
      <c r="CM53" s="270">
        <v>4</v>
      </c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93"/>
      <c r="DB53" s="269"/>
      <c r="DC53" s="270"/>
      <c r="DD53" s="270"/>
      <c r="DE53" s="270"/>
      <c r="DF53" s="270"/>
      <c r="DG53" s="270"/>
      <c r="DH53" s="270"/>
      <c r="DI53" s="270"/>
      <c r="DJ53" s="270"/>
      <c r="DK53" s="270"/>
      <c r="DL53" s="270"/>
      <c r="DM53" s="270"/>
      <c r="DN53" s="270"/>
      <c r="DO53" s="270"/>
      <c r="DP53" s="270"/>
      <c r="DQ53" s="270"/>
      <c r="DR53" s="270"/>
      <c r="DS53" s="270"/>
      <c r="DT53" s="270"/>
      <c r="DU53" s="270"/>
      <c r="DV53" s="270">
        <v>4</v>
      </c>
      <c r="DW53" s="270"/>
      <c r="DX53" s="270"/>
      <c r="DY53" s="270"/>
      <c r="DZ53" s="270"/>
      <c r="EA53" s="270">
        <v>4</v>
      </c>
      <c r="EB53" s="270"/>
      <c r="EC53" s="270"/>
      <c r="ED53" s="270"/>
      <c r="EE53" s="270"/>
      <c r="EF53" s="270"/>
      <c r="EG53" s="270"/>
      <c r="EH53" s="270"/>
      <c r="EI53" s="270"/>
      <c r="EJ53" s="270"/>
      <c r="EK53" s="270"/>
      <c r="EL53" s="270"/>
      <c r="EM53" s="270"/>
      <c r="EN53" s="270"/>
      <c r="EO53" s="322"/>
      <c r="EP53" s="338">
        <f t="shared" si="11"/>
        <v>8</v>
      </c>
      <c r="EQ53" s="339"/>
      <c r="ER53" s="340"/>
      <c r="ES53" s="100"/>
    </row>
    <row r="54" spans="1:149" s="100" customFormat="1" ht="90" customHeight="1" x14ac:dyDescent="0.2">
      <c r="A54" s="111" t="s">
        <v>164</v>
      </c>
      <c r="B54" s="108" t="s">
        <v>140</v>
      </c>
      <c r="C54" s="271" t="s">
        <v>192</v>
      </c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397">
        <f t="shared" si="17"/>
        <v>210</v>
      </c>
      <c r="AA54" s="397"/>
      <c r="AB54" s="397"/>
      <c r="AC54" s="397"/>
      <c r="AD54" s="270"/>
      <c r="AE54" s="270"/>
      <c r="AF54" s="270"/>
      <c r="AG54" s="263">
        <f t="shared" si="10"/>
        <v>84</v>
      </c>
      <c r="AH54" s="263"/>
      <c r="AI54" s="263"/>
      <c r="AJ54" s="263"/>
      <c r="AK54" s="263"/>
      <c r="AL54" s="273">
        <v>42</v>
      </c>
      <c r="AM54" s="273"/>
      <c r="AN54" s="273"/>
      <c r="AO54" s="273"/>
      <c r="AP54" s="273"/>
      <c r="AQ54" s="273">
        <v>42</v>
      </c>
      <c r="AR54" s="273"/>
      <c r="AS54" s="273"/>
      <c r="AT54" s="273"/>
      <c r="AU54" s="273"/>
      <c r="AV54" s="273"/>
      <c r="AW54" s="273"/>
      <c r="AX54" s="273"/>
      <c r="AY54" s="273"/>
      <c r="AZ54" s="273"/>
      <c r="BA54" s="274"/>
      <c r="BB54" s="274"/>
      <c r="BC54" s="274"/>
      <c r="BD54" s="274"/>
      <c r="BE54" s="274"/>
      <c r="BF54" s="274"/>
      <c r="BG54" s="274"/>
      <c r="BH54" s="274"/>
      <c r="BI54" s="274"/>
      <c r="BJ54" s="397">
        <f t="shared" si="8"/>
        <v>126</v>
      </c>
      <c r="BK54" s="397"/>
      <c r="BL54" s="397"/>
      <c r="BM54" s="340"/>
      <c r="BN54" s="269"/>
      <c r="BO54" s="270"/>
      <c r="BP54" s="270"/>
      <c r="BQ54" s="270"/>
      <c r="BR54" s="270"/>
      <c r="BS54" s="270"/>
      <c r="BT54" s="270"/>
      <c r="BU54" s="270"/>
      <c r="BV54" s="270"/>
      <c r="BW54" s="270"/>
      <c r="BX54" s="270"/>
      <c r="BY54" s="270"/>
      <c r="BZ54" s="270"/>
      <c r="CA54" s="270"/>
      <c r="CB54" s="270"/>
      <c r="CC54" s="270"/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>
        <v>4</v>
      </c>
      <c r="CS54" s="270"/>
      <c r="CT54" s="270"/>
      <c r="CU54" s="270"/>
      <c r="CV54" s="270"/>
      <c r="CW54" s="270">
        <v>4</v>
      </c>
      <c r="CX54" s="270"/>
      <c r="CY54" s="270"/>
      <c r="CZ54" s="270"/>
      <c r="DA54" s="293"/>
      <c r="DB54" s="269"/>
      <c r="DC54" s="270"/>
      <c r="DD54" s="270"/>
      <c r="DE54" s="270"/>
      <c r="DF54" s="270"/>
      <c r="DG54" s="270"/>
      <c r="DH54" s="270"/>
      <c r="DI54" s="270"/>
      <c r="DJ54" s="270"/>
      <c r="DK54" s="270"/>
      <c r="DL54" s="270"/>
      <c r="DM54" s="270"/>
      <c r="DN54" s="270"/>
      <c r="DO54" s="270"/>
      <c r="DP54" s="270"/>
      <c r="DQ54" s="270"/>
      <c r="DR54" s="270"/>
      <c r="DS54" s="270"/>
      <c r="DT54" s="270"/>
      <c r="DU54" s="270"/>
      <c r="DV54" s="270"/>
      <c r="DW54" s="270"/>
      <c r="DX54" s="270"/>
      <c r="DY54" s="270"/>
      <c r="DZ54" s="270"/>
      <c r="EA54" s="270"/>
      <c r="EB54" s="270"/>
      <c r="EC54" s="270"/>
      <c r="ED54" s="270"/>
      <c r="EE54" s="270"/>
      <c r="EF54" s="270">
        <v>4</v>
      </c>
      <c r="EG54" s="270"/>
      <c r="EH54" s="270"/>
      <c r="EI54" s="270"/>
      <c r="EJ54" s="270"/>
      <c r="EK54" s="270">
        <v>3</v>
      </c>
      <c r="EL54" s="270"/>
      <c r="EM54" s="270"/>
      <c r="EN54" s="270"/>
      <c r="EO54" s="322"/>
      <c r="EP54" s="338">
        <f t="shared" si="11"/>
        <v>7</v>
      </c>
      <c r="EQ54" s="339"/>
      <c r="ER54" s="340"/>
      <c r="ES54" s="99"/>
    </row>
    <row r="55" spans="1:149" s="66" customFormat="1" ht="90" customHeight="1" x14ac:dyDescent="0.2">
      <c r="A55" s="111" t="s">
        <v>165</v>
      </c>
      <c r="B55" s="106" t="s">
        <v>140</v>
      </c>
      <c r="C55" s="398" t="s">
        <v>193</v>
      </c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265">
        <f t="shared" si="17"/>
        <v>270</v>
      </c>
      <c r="AA55" s="265"/>
      <c r="AB55" s="265"/>
      <c r="AC55" s="265"/>
      <c r="AD55" s="267"/>
      <c r="AE55" s="267"/>
      <c r="AF55" s="267"/>
      <c r="AG55" s="263">
        <f t="shared" si="10"/>
        <v>108</v>
      </c>
      <c r="AH55" s="263"/>
      <c r="AI55" s="263"/>
      <c r="AJ55" s="263"/>
      <c r="AK55" s="263"/>
      <c r="AL55" s="263">
        <v>54</v>
      </c>
      <c r="AM55" s="263"/>
      <c r="AN55" s="263"/>
      <c r="AO55" s="263"/>
      <c r="AP55" s="263"/>
      <c r="AQ55" s="263">
        <v>54</v>
      </c>
      <c r="AR55" s="263"/>
      <c r="AS55" s="263"/>
      <c r="AT55" s="263"/>
      <c r="AU55" s="263"/>
      <c r="AV55" s="263"/>
      <c r="AW55" s="263"/>
      <c r="AX55" s="263"/>
      <c r="AY55" s="263"/>
      <c r="AZ55" s="263"/>
      <c r="BA55" s="264"/>
      <c r="BB55" s="264"/>
      <c r="BC55" s="264"/>
      <c r="BD55" s="264"/>
      <c r="BE55" s="264"/>
      <c r="BF55" s="264"/>
      <c r="BG55" s="264"/>
      <c r="BH55" s="264"/>
      <c r="BI55" s="264"/>
      <c r="BJ55" s="265">
        <f t="shared" si="8"/>
        <v>162</v>
      </c>
      <c r="BK55" s="265"/>
      <c r="BL55" s="265"/>
      <c r="BM55" s="261"/>
      <c r="BN55" s="266"/>
      <c r="BO55" s="267"/>
      <c r="BP55" s="267"/>
      <c r="BQ55" s="267"/>
      <c r="BR55" s="267"/>
      <c r="BS55" s="267"/>
      <c r="BT55" s="267"/>
      <c r="BU55" s="267"/>
      <c r="BV55" s="267"/>
      <c r="BW55" s="267"/>
      <c r="BX55" s="270"/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>
        <v>6</v>
      </c>
      <c r="CS55" s="270"/>
      <c r="CT55" s="270"/>
      <c r="CU55" s="270"/>
      <c r="CV55" s="270"/>
      <c r="CW55" s="270">
        <v>4</v>
      </c>
      <c r="CX55" s="270"/>
      <c r="CY55" s="270"/>
      <c r="CZ55" s="270"/>
      <c r="DA55" s="293"/>
      <c r="DB55" s="269"/>
      <c r="DC55" s="270"/>
      <c r="DD55" s="270"/>
      <c r="DE55" s="270"/>
      <c r="DF55" s="270"/>
      <c r="DG55" s="270"/>
      <c r="DH55" s="270"/>
      <c r="DI55" s="270"/>
      <c r="DJ55" s="270"/>
      <c r="DK55" s="270"/>
      <c r="DL55" s="270"/>
      <c r="DM55" s="270"/>
      <c r="DN55" s="270"/>
      <c r="DO55" s="270"/>
      <c r="DP55" s="270"/>
      <c r="DQ55" s="270"/>
      <c r="DR55" s="270"/>
      <c r="DS55" s="270"/>
      <c r="DT55" s="270"/>
      <c r="DU55" s="270"/>
      <c r="DV55" s="270"/>
      <c r="DW55" s="270"/>
      <c r="DX55" s="270"/>
      <c r="DY55" s="270"/>
      <c r="DZ55" s="270"/>
      <c r="EA55" s="270"/>
      <c r="EB55" s="270"/>
      <c r="EC55" s="270"/>
      <c r="ED55" s="270"/>
      <c r="EE55" s="270"/>
      <c r="EF55" s="270">
        <v>6</v>
      </c>
      <c r="EG55" s="270"/>
      <c r="EH55" s="270"/>
      <c r="EI55" s="270"/>
      <c r="EJ55" s="270"/>
      <c r="EK55" s="270">
        <v>3</v>
      </c>
      <c r="EL55" s="270"/>
      <c r="EM55" s="270"/>
      <c r="EN55" s="270"/>
      <c r="EO55" s="322"/>
      <c r="EP55" s="259">
        <f t="shared" si="11"/>
        <v>9</v>
      </c>
      <c r="EQ55" s="260"/>
      <c r="ER55" s="261"/>
      <c r="ES55" s="68"/>
    </row>
    <row r="56" spans="1:149" s="66" customFormat="1" ht="120" customHeight="1" x14ac:dyDescent="0.2">
      <c r="A56" s="111" t="s">
        <v>236</v>
      </c>
      <c r="B56" s="106" t="s">
        <v>140</v>
      </c>
      <c r="C56" s="398" t="s">
        <v>194</v>
      </c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265">
        <f t="shared" si="9"/>
        <v>210</v>
      </c>
      <c r="AA56" s="265"/>
      <c r="AB56" s="265"/>
      <c r="AC56" s="265"/>
      <c r="AD56" s="267"/>
      <c r="AE56" s="267"/>
      <c r="AF56" s="267"/>
      <c r="AG56" s="263">
        <f t="shared" si="10"/>
        <v>84</v>
      </c>
      <c r="AH56" s="263"/>
      <c r="AI56" s="263"/>
      <c r="AJ56" s="263"/>
      <c r="AK56" s="263"/>
      <c r="AL56" s="263">
        <v>42</v>
      </c>
      <c r="AM56" s="263"/>
      <c r="AN56" s="263"/>
      <c r="AO56" s="263"/>
      <c r="AP56" s="263"/>
      <c r="AQ56" s="263"/>
      <c r="AR56" s="263"/>
      <c r="AS56" s="263"/>
      <c r="AT56" s="263"/>
      <c r="AU56" s="263"/>
      <c r="AV56" s="263">
        <v>42</v>
      </c>
      <c r="AW56" s="263"/>
      <c r="AX56" s="263"/>
      <c r="AY56" s="263"/>
      <c r="AZ56" s="263"/>
      <c r="BA56" s="264"/>
      <c r="BB56" s="264"/>
      <c r="BC56" s="264"/>
      <c r="BD56" s="264"/>
      <c r="BE56" s="264"/>
      <c r="BF56" s="264"/>
      <c r="BG56" s="264"/>
      <c r="BH56" s="264"/>
      <c r="BI56" s="264"/>
      <c r="BJ56" s="265">
        <f t="shared" si="8"/>
        <v>126</v>
      </c>
      <c r="BK56" s="265"/>
      <c r="BL56" s="265"/>
      <c r="BM56" s="261"/>
      <c r="BN56" s="266"/>
      <c r="BO56" s="267"/>
      <c r="BP56" s="267"/>
      <c r="BQ56" s="267"/>
      <c r="BR56" s="267"/>
      <c r="BS56" s="267"/>
      <c r="BT56" s="267"/>
      <c r="BU56" s="267"/>
      <c r="BV56" s="267"/>
      <c r="BW56" s="267"/>
      <c r="BX56" s="270"/>
      <c r="BY56" s="270"/>
      <c r="BZ56" s="270"/>
      <c r="CA56" s="270"/>
      <c r="CB56" s="270"/>
      <c r="CC56" s="270"/>
      <c r="CD56" s="270"/>
      <c r="CE56" s="270"/>
      <c r="CF56" s="270"/>
      <c r="CG56" s="270"/>
      <c r="CH56" s="270"/>
      <c r="CI56" s="270"/>
      <c r="CJ56" s="270"/>
      <c r="CK56" s="270"/>
      <c r="CL56" s="270"/>
      <c r="CM56" s="270"/>
      <c r="CN56" s="270"/>
      <c r="CO56" s="270"/>
      <c r="CP56" s="270"/>
      <c r="CQ56" s="270"/>
      <c r="CR56" s="270">
        <v>4</v>
      </c>
      <c r="CS56" s="270"/>
      <c r="CT56" s="270"/>
      <c r="CU56" s="270"/>
      <c r="CV56" s="270"/>
      <c r="CW56" s="270">
        <v>4</v>
      </c>
      <c r="CX56" s="270"/>
      <c r="CY56" s="270"/>
      <c r="CZ56" s="270"/>
      <c r="DA56" s="293"/>
      <c r="DB56" s="269"/>
      <c r="DC56" s="270"/>
      <c r="DD56" s="270"/>
      <c r="DE56" s="270"/>
      <c r="DF56" s="270"/>
      <c r="DG56" s="270"/>
      <c r="DH56" s="270"/>
      <c r="DI56" s="270"/>
      <c r="DJ56" s="270"/>
      <c r="DK56" s="270"/>
      <c r="DL56" s="270"/>
      <c r="DM56" s="270"/>
      <c r="DN56" s="270"/>
      <c r="DO56" s="270"/>
      <c r="DP56" s="270"/>
      <c r="DQ56" s="270"/>
      <c r="DR56" s="270"/>
      <c r="DS56" s="270"/>
      <c r="DT56" s="270"/>
      <c r="DU56" s="270"/>
      <c r="DV56" s="270"/>
      <c r="DW56" s="270"/>
      <c r="DX56" s="270"/>
      <c r="DY56" s="270"/>
      <c r="DZ56" s="270"/>
      <c r="EA56" s="270"/>
      <c r="EB56" s="270"/>
      <c r="EC56" s="270"/>
      <c r="ED56" s="270"/>
      <c r="EE56" s="270"/>
      <c r="EF56" s="270">
        <v>4</v>
      </c>
      <c r="EG56" s="270"/>
      <c r="EH56" s="270"/>
      <c r="EI56" s="270"/>
      <c r="EJ56" s="270"/>
      <c r="EK56" s="270">
        <v>3</v>
      </c>
      <c r="EL56" s="270"/>
      <c r="EM56" s="270"/>
      <c r="EN56" s="270"/>
      <c r="EO56" s="322"/>
      <c r="EP56" s="259">
        <f t="shared" si="11"/>
        <v>7</v>
      </c>
      <c r="EQ56" s="260"/>
      <c r="ER56" s="261"/>
      <c r="ES56" s="68"/>
    </row>
    <row r="57" spans="1:149" s="66" customFormat="1" ht="99.95" customHeight="1" x14ac:dyDescent="0.2">
      <c r="A57" s="109" t="s">
        <v>43</v>
      </c>
      <c r="B57" s="109"/>
      <c r="C57" s="424" t="s">
        <v>91</v>
      </c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326">
        <f>SUM(DB57:EO57)*30</f>
        <v>1440</v>
      </c>
      <c r="AA57" s="326"/>
      <c r="AB57" s="326"/>
      <c r="AC57" s="326"/>
      <c r="AD57" s="362">
        <f>Z57/$Z$84*100</f>
        <v>20</v>
      </c>
      <c r="AE57" s="362"/>
      <c r="AF57" s="362"/>
      <c r="AG57" s="335">
        <f>SUM(AG58:AK79)</f>
        <v>588</v>
      </c>
      <c r="AH57" s="336"/>
      <c r="AI57" s="336"/>
      <c r="AJ57" s="336"/>
      <c r="AK57" s="337"/>
      <c r="AL57" s="335">
        <f>SUM(AL58:AP79)</f>
        <v>32</v>
      </c>
      <c r="AM57" s="336"/>
      <c r="AN57" s="336"/>
      <c r="AO57" s="336"/>
      <c r="AP57" s="337"/>
      <c r="AQ57" s="335">
        <f>SUM(AQ58:AU79)</f>
        <v>548</v>
      </c>
      <c r="AR57" s="336"/>
      <c r="AS57" s="336"/>
      <c r="AT57" s="336"/>
      <c r="AU57" s="337"/>
      <c r="AV57" s="335">
        <f>SUM(AV58:AZ79)</f>
        <v>8</v>
      </c>
      <c r="AW57" s="336"/>
      <c r="AX57" s="336"/>
      <c r="AY57" s="336"/>
      <c r="AZ57" s="337"/>
      <c r="BA57" s="335">
        <f>SUM(BA59:BD79)</f>
        <v>0</v>
      </c>
      <c r="BB57" s="336"/>
      <c r="BC57" s="336"/>
      <c r="BD57" s="337"/>
      <c r="BE57" s="335">
        <f>SUM(BE59:BI79)</f>
        <v>0</v>
      </c>
      <c r="BF57" s="336"/>
      <c r="BG57" s="336"/>
      <c r="BH57" s="336"/>
      <c r="BI57" s="337"/>
      <c r="BJ57" s="326">
        <f>SUM(BJ58:BM79)</f>
        <v>852</v>
      </c>
      <c r="BK57" s="326"/>
      <c r="BL57" s="326"/>
      <c r="BM57" s="327"/>
      <c r="BN57" s="291">
        <f>+SUM(BN58:BR79)</f>
        <v>0</v>
      </c>
      <c r="BO57" s="290"/>
      <c r="BP57" s="290"/>
      <c r="BQ57" s="290"/>
      <c r="BR57" s="292"/>
      <c r="BS57" s="290">
        <f t="shared" ref="BS57" si="18">+SUM(BS58:BW79)</f>
        <v>0</v>
      </c>
      <c r="BT57" s="290"/>
      <c r="BU57" s="290"/>
      <c r="BV57" s="290"/>
      <c r="BW57" s="290"/>
      <c r="BX57" s="290">
        <f t="shared" ref="BX57" si="19">+SUM(BX58:CB79)</f>
        <v>8</v>
      </c>
      <c r="BY57" s="290"/>
      <c r="BZ57" s="290"/>
      <c r="CA57" s="290"/>
      <c r="CB57" s="290"/>
      <c r="CC57" s="290">
        <f t="shared" ref="CC57" si="20">+SUM(CC58:CG79)</f>
        <v>2</v>
      </c>
      <c r="CD57" s="290"/>
      <c r="CE57" s="290"/>
      <c r="CF57" s="290"/>
      <c r="CG57" s="290"/>
      <c r="CH57" s="290">
        <f t="shared" ref="CH57" si="21">+SUM(CH58:CL79)</f>
        <v>8</v>
      </c>
      <c r="CI57" s="290"/>
      <c r="CJ57" s="290"/>
      <c r="CK57" s="290"/>
      <c r="CL57" s="290"/>
      <c r="CM57" s="290">
        <f t="shared" ref="CM57" si="22">+SUM(CM58:CQ79)</f>
        <v>8</v>
      </c>
      <c r="CN57" s="290"/>
      <c r="CO57" s="290"/>
      <c r="CP57" s="290"/>
      <c r="CQ57" s="290"/>
      <c r="CR57" s="290">
        <f t="shared" ref="CR57" si="23">+SUM(CR58:CV79)</f>
        <v>10</v>
      </c>
      <c r="CS57" s="290"/>
      <c r="CT57" s="290"/>
      <c r="CU57" s="290"/>
      <c r="CV57" s="290"/>
      <c r="CW57" s="290">
        <f t="shared" ref="CW57" si="24">+SUM(CW58:DA79)</f>
        <v>12</v>
      </c>
      <c r="CX57" s="290"/>
      <c r="CY57" s="290"/>
      <c r="CZ57" s="290"/>
      <c r="DA57" s="444"/>
      <c r="DB57" s="291">
        <f>+SUM(DB58:DF79)</f>
        <v>0</v>
      </c>
      <c r="DC57" s="290"/>
      <c r="DD57" s="290"/>
      <c r="DE57" s="290"/>
      <c r="DF57" s="292"/>
      <c r="DG57" s="290">
        <f t="shared" ref="DG57" si="25">+SUM(DG58:DK79)</f>
        <v>0</v>
      </c>
      <c r="DH57" s="290"/>
      <c r="DI57" s="290"/>
      <c r="DJ57" s="290"/>
      <c r="DK57" s="290"/>
      <c r="DL57" s="290">
        <f t="shared" ref="DL57" si="26">+SUM(DL58:DP79)</f>
        <v>8</v>
      </c>
      <c r="DM57" s="290"/>
      <c r="DN57" s="290"/>
      <c r="DO57" s="290"/>
      <c r="DP57" s="290"/>
      <c r="DQ57" s="290">
        <f t="shared" ref="DQ57" si="27">+SUM(DQ58:DU79)</f>
        <v>2</v>
      </c>
      <c r="DR57" s="290"/>
      <c r="DS57" s="290"/>
      <c r="DT57" s="290"/>
      <c r="DU57" s="290"/>
      <c r="DV57" s="290">
        <f t="shared" ref="DV57" si="28">+SUM(DV58:DZ79)</f>
        <v>8</v>
      </c>
      <c r="DW57" s="290"/>
      <c r="DX57" s="290"/>
      <c r="DY57" s="290"/>
      <c r="DZ57" s="290"/>
      <c r="EA57" s="290">
        <f t="shared" ref="EA57" si="29">+SUM(EA58:EE79)</f>
        <v>8</v>
      </c>
      <c r="EB57" s="290"/>
      <c r="EC57" s="290"/>
      <c r="ED57" s="290"/>
      <c r="EE57" s="290"/>
      <c r="EF57" s="290">
        <f t="shared" ref="EF57" si="30">+SUM(EF58:EJ79)</f>
        <v>10</v>
      </c>
      <c r="EG57" s="290"/>
      <c r="EH57" s="290"/>
      <c r="EI57" s="290"/>
      <c r="EJ57" s="290"/>
      <c r="EK57" s="291">
        <f t="shared" ref="EK57" si="31">+SUM(EK58:EO79)</f>
        <v>12</v>
      </c>
      <c r="EL57" s="290"/>
      <c r="EM57" s="290"/>
      <c r="EN57" s="290"/>
      <c r="EO57" s="292"/>
      <c r="EP57" s="323">
        <f t="shared" ref="EP57" si="32">DB57+DG57+DL57+DQ57+DV57+EF57+EA57+EK57</f>
        <v>48</v>
      </c>
      <c r="EQ57" s="324"/>
      <c r="ER57" s="325"/>
      <c r="ES57" s="68"/>
    </row>
    <row r="58" spans="1:149" s="67" customFormat="1" ht="120" customHeight="1" x14ac:dyDescent="0.2">
      <c r="A58" s="460" t="s">
        <v>13</v>
      </c>
      <c r="B58" s="107" t="s">
        <v>146</v>
      </c>
      <c r="C58" s="272" t="s">
        <v>232</v>
      </c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81">
        <f t="shared" ref="Z58" si="33">(DB58+DG58+DL58+DQ58+DV58+EA58+EF58+EK58)*30</f>
        <v>120</v>
      </c>
      <c r="AA58" s="282"/>
      <c r="AB58" s="282"/>
      <c r="AC58" s="342"/>
      <c r="AD58" s="344"/>
      <c r="AE58" s="288"/>
      <c r="AF58" s="345"/>
      <c r="AG58" s="275">
        <f>SUM(AL58:BD59)</f>
        <v>48</v>
      </c>
      <c r="AH58" s="276"/>
      <c r="AI58" s="276"/>
      <c r="AJ58" s="276"/>
      <c r="AK58" s="277"/>
      <c r="AL58" s="275">
        <v>20</v>
      </c>
      <c r="AM58" s="276"/>
      <c r="AN58" s="276"/>
      <c r="AO58" s="276"/>
      <c r="AP58" s="277"/>
      <c r="AQ58" s="275">
        <v>20</v>
      </c>
      <c r="AR58" s="276"/>
      <c r="AS58" s="276"/>
      <c r="AT58" s="276"/>
      <c r="AU58" s="277"/>
      <c r="AV58" s="275">
        <v>8</v>
      </c>
      <c r="AW58" s="276"/>
      <c r="AX58" s="276"/>
      <c r="AY58" s="276"/>
      <c r="AZ58" s="277"/>
      <c r="BA58" s="275"/>
      <c r="BB58" s="276"/>
      <c r="BC58" s="276"/>
      <c r="BD58" s="277"/>
      <c r="BE58" s="275"/>
      <c r="BF58" s="276"/>
      <c r="BG58" s="276"/>
      <c r="BH58" s="276"/>
      <c r="BI58" s="277"/>
      <c r="BJ58" s="281">
        <f>Z58-AG58</f>
        <v>72</v>
      </c>
      <c r="BK58" s="282"/>
      <c r="BL58" s="282"/>
      <c r="BM58" s="283"/>
      <c r="BN58" s="288"/>
      <c r="BO58" s="288"/>
      <c r="BP58" s="288"/>
      <c r="BQ58" s="288"/>
      <c r="BR58" s="288"/>
      <c r="BS58" s="270"/>
      <c r="BT58" s="270"/>
      <c r="BU58" s="270"/>
      <c r="BV58" s="270"/>
      <c r="BW58" s="270"/>
      <c r="BX58" s="270">
        <v>4</v>
      </c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93"/>
      <c r="DB58" s="266"/>
      <c r="DC58" s="267"/>
      <c r="DD58" s="267"/>
      <c r="DE58" s="267"/>
      <c r="DF58" s="267"/>
      <c r="DG58" s="270"/>
      <c r="DH58" s="270"/>
      <c r="DI58" s="270"/>
      <c r="DJ58" s="270"/>
      <c r="DK58" s="270"/>
      <c r="DL58" s="270">
        <v>4</v>
      </c>
      <c r="DM58" s="270"/>
      <c r="DN58" s="270"/>
      <c r="DO58" s="270"/>
      <c r="DP58" s="270"/>
      <c r="DQ58" s="270"/>
      <c r="DR58" s="270"/>
      <c r="DS58" s="270"/>
      <c r="DT58" s="270"/>
      <c r="DU58" s="270"/>
      <c r="DV58" s="270"/>
      <c r="DW58" s="270"/>
      <c r="DX58" s="270"/>
      <c r="DY58" s="270"/>
      <c r="DZ58" s="270"/>
      <c r="EA58" s="270"/>
      <c r="EB58" s="270"/>
      <c r="EC58" s="270"/>
      <c r="ED58" s="270"/>
      <c r="EE58" s="270"/>
      <c r="EF58" s="270"/>
      <c r="EG58" s="270"/>
      <c r="EH58" s="270"/>
      <c r="EI58" s="270"/>
      <c r="EJ58" s="270"/>
      <c r="EK58" s="270"/>
      <c r="EL58" s="270"/>
      <c r="EM58" s="270"/>
      <c r="EN58" s="270"/>
      <c r="EO58" s="322"/>
      <c r="EP58" s="341">
        <f>SUM(DB58:EO59)</f>
        <v>4</v>
      </c>
      <c r="EQ58" s="267"/>
      <c r="ER58" s="268"/>
      <c r="ES58" s="105" t="s">
        <v>256</v>
      </c>
    </row>
    <row r="59" spans="1:149" s="67" customFormat="1" ht="120" customHeight="1" x14ac:dyDescent="0.2">
      <c r="A59" s="461"/>
      <c r="B59" s="107" t="s">
        <v>185</v>
      </c>
      <c r="C59" s="272" t="s">
        <v>184</v>
      </c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84"/>
      <c r="AA59" s="285"/>
      <c r="AB59" s="285"/>
      <c r="AC59" s="343"/>
      <c r="AD59" s="346"/>
      <c r="AE59" s="289"/>
      <c r="AF59" s="347"/>
      <c r="AG59" s="278"/>
      <c r="AH59" s="279"/>
      <c r="AI59" s="279"/>
      <c r="AJ59" s="279"/>
      <c r="AK59" s="280"/>
      <c r="AL59" s="278"/>
      <c r="AM59" s="279"/>
      <c r="AN59" s="279"/>
      <c r="AO59" s="279"/>
      <c r="AP59" s="280"/>
      <c r="AQ59" s="278"/>
      <c r="AR59" s="279"/>
      <c r="AS59" s="279"/>
      <c r="AT59" s="279"/>
      <c r="AU59" s="280"/>
      <c r="AV59" s="278"/>
      <c r="AW59" s="279"/>
      <c r="AX59" s="279"/>
      <c r="AY59" s="279"/>
      <c r="AZ59" s="280"/>
      <c r="BA59" s="278"/>
      <c r="BB59" s="279"/>
      <c r="BC59" s="279"/>
      <c r="BD59" s="280"/>
      <c r="BE59" s="278"/>
      <c r="BF59" s="279"/>
      <c r="BG59" s="279"/>
      <c r="BH59" s="279"/>
      <c r="BI59" s="280"/>
      <c r="BJ59" s="284"/>
      <c r="BK59" s="285"/>
      <c r="BL59" s="285"/>
      <c r="BM59" s="286"/>
      <c r="BN59" s="289"/>
      <c r="BO59" s="289"/>
      <c r="BP59" s="289"/>
      <c r="BQ59" s="289"/>
      <c r="BR59" s="289"/>
      <c r="BS59" s="270"/>
      <c r="BT59" s="270"/>
      <c r="BU59" s="270"/>
      <c r="BV59" s="270"/>
      <c r="BW59" s="270"/>
      <c r="BX59" s="270"/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93"/>
      <c r="DB59" s="266"/>
      <c r="DC59" s="267"/>
      <c r="DD59" s="267"/>
      <c r="DE59" s="267"/>
      <c r="DF59" s="267"/>
      <c r="DG59" s="270"/>
      <c r="DH59" s="270"/>
      <c r="DI59" s="270"/>
      <c r="DJ59" s="270"/>
      <c r="DK59" s="270"/>
      <c r="DL59" s="270"/>
      <c r="DM59" s="270"/>
      <c r="DN59" s="270"/>
      <c r="DO59" s="270"/>
      <c r="DP59" s="270"/>
      <c r="DQ59" s="270"/>
      <c r="DR59" s="270"/>
      <c r="DS59" s="270"/>
      <c r="DT59" s="270"/>
      <c r="DU59" s="270"/>
      <c r="DV59" s="270"/>
      <c r="DW59" s="270"/>
      <c r="DX59" s="270"/>
      <c r="DY59" s="270"/>
      <c r="DZ59" s="270"/>
      <c r="EA59" s="270"/>
      <c r="EB59" s="270"/>
      <c r="EC59" s="270"/>
      <c r="ED59" s="270"/>
      <c r="EE59" s="270"/>
      <c r="EF59" s="270"/>
      <c r="EG59" s="270"/>
      <c r="EH59" s="270"/>
      <c r="EI59" s="270"/>
      <c r="EJ59" s="270"/>
      <c r="EK59" s="270"/>
      <c r="EL59" s="270"/>
      <c r="EM59" s="270"/>
      <c r="EN59" s="270"/>
      <c r="EO59" s="322"/>
      <c r="EP59" s="341">
        <f t="shared" si="7"/>
        <v>0</v>
      </c>
      <c r="EQ59" s="267"/>
      <c r="ER59" s="268"/>
    </row>
    <row r="60" spans="1:149" s="98" customFormat="1" ht="99.95" customHeight="1" x14ac:dyDescent="0.2">
      <c r="A60" s="462" t="s">
        <v>14</v>
      </c>
      <c r="B60" s="110" t="s">
        <v>197</v>
      </c>
      <c r="C60" s="287" t="s">
        <v>195</v>
      </c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307">
        <f t="shared" ref="Z60" si="34">(DB60+DG60+DL60+DQ60+DV60+EA60+EF60+EK60)*30</f>
        <v>120</v>
      </c>
      <c r="AA60" s="308"/>
      <c r="AB60" s="308"/>
      <c r="AC60" s="309"/>
      <c r="AD60" s="295"/>
      <c r="AE60" s="296"/>
      <c r="AF60" s="297"/>
      <c r="AG60" s="275">
        <f t="shared" ref="AG60" si="35">SUM(AL60:BD61)</f>
        <v>60</v>
      </c>
      <c r="AH60" s="276"/>
      <c r="AI60" s="276"/>
      <c r="AJ60" s="276"/>
      <c r="AK60" s="277"/>
      <c r="AL60" s="301"/>
      <c r="AM60" s="302"/>
      <c r="AN60" s="302"/>
      <c r="AO60" s="302"/>
      <c r="AP60" s="303"/>
      <c r="AQ60" s="301">
        <v>60</v>
      </c>
      <c r="AR60" s="302"/>
      <c r="AS60" s="302"/>
      <c r="AT60" s="302"/>
      <c r="AU60" s="303"/>
      <c r="AV60" s="301"/>
      <c r="AW60" s="302"/>
      <c r="AX60" s="302"/>
      <c r="AY60" s="302"/>
      <c r="AZ60" s="303"/>
      <c r="BA60" s="301"/>
      <c r="BB60" s="302"/>
      <c r="BC60" s="302"/>
      <c r="BD60" s="303"/>
      <c r="BE60" s="301"/>
      <c r="BF60" s="302"/>
      <c r="BG60" s="302"/>
      <c r="BH60" s="302"/>
      <c r="BI60" s="303"/>
      <c r="BJ60" s="281">
        <f t="shared" ref="BJ60" si="36">Z60-AG60</f>
        <v>60</v>
      </c>
      <c r="BK60" s="282"/>
      <c r="BL60" s="282"/>
      <c r="BM60" s="283"/>
      <c r="BN60" s="314"/>
      <c r="BO60" s="314"/>
      <c r="BP60" s="314"/>
      <c r="BQ60" s="314"/>
      <c r="BR60" s="314"/>
      <c r="BS60" s="270"/>
      <c r="BT60" s="270"/>
      <c r="BU60" s="270"/>
      <c r="BV60" s="270"/>
      <c r="BW60" s="270"/>
      <c r="BX60" s="270">
        <v>4</v>
      </c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0"/>
      <c r="CV60" s="270"/>
      <c r="CW60" s="270"/>
      <c r="CX60" s="270"/>
      <c r="CY60" s="270"/>
      <c r="CZ60" s="270"/>
      <c r="DA60" s="293"/>
      <c r="DB60" s="269"/>
      <c r="DC60" s="270"/>
      <c r="DD60" s="270"/>
      <c r="DE60" s="270"/>
      <c r="DF60" s="270"/>
      <c r="DG60" s="270"/>
      <c r="DH60" s="270"/>
      <c r="DI60" s="270"/>
      <c r="DJ60" s="270"/>
      <c r="DK60" s="270"/>
      <c r="DL60" s="270">
        <v>4</v>
      </c>
      <c r="DM60" s="270"/>
      <c r="DN60" s="270"/>
      <c r="DO60" s="270"/>
      <c r="DP60" s="270"/>
      <c r="DQ60" s="270"/>
      <c r="DR60" s="270"/>
      <c r="DS60" s="270"/>
      <c r="DT60" s="270"/>
      <c r="DU60" s="270"/>
      <c r="DV60" s="270"/>
      <c r="DW60" s="270"/>
      <c r="DX60" s="270"/>
      <c r="DY60" s="270"/>
      <c r="DZ60" s="270"/>
      <c r="EA60" s="270"/>
      <c r="EB60" s="270"/>
      <c r="EC60" s="270"/>
      <c r="ED60" s="270"/>
      <c r="EE60" s="270"/>
      <c r="EF60" s="270"/>
      <c r="EG60" s="270"/>
      <c r="EH60" s="270"/>
      <c r="EI60" s="270"/>
      <c r="EJ60" s="270"/>
      <c r="EK60" s="270"/>
      <c r="EL60" s="270"/>
      <c r="EM60" s="270"/>
      <c r="EN60" s="270"/>
      <c r="EO60" s="322"/>
      <c r="EP60" s="321">
        <f t="shared" ref="EP60" si="37">SUM(DB60:EO61)</f>
        <v>4</v>
      </c>
      <c r="EQ60" s="270"/>
      <c r="ER60" s="293"/>
      <c r="ES60" s="105" t="s">
        <v>256</v>
      </c>
    </row>
    <row r="61" spans="1:149" s="98" customFormat="1" ht="99.95" customHeight="1" x14ac:dyDescent="0.2">
      <c r="A61" s="463"/>
      <c r="B61" s="110" t="s">
        <v>198</v>
      </c>
      <c r="C61" s="287" t="s">
        <v>196</v>
      </c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310"/>
      <c r="AA61" s="311"/>
      <c r="AB61" s="311"/>
      <c r="AC61" s="312"/>
      <c r="AD61" s="298"/>
      <c r="AE61" s="299"/>
      <c r="AF61" s="300"/>
      <c r="AG61" s="278"/>
      <c r="AH61" s="279"/>
      <c r="AI61" s="279"/>
      <c r="AJ61" s="279"/>
      <c r="AK61" s="280"/>
      <c r="AL61" s="304"/>
      <c r="AM61" s="305"/>
      <c r="AN61" s="305"/>
      <c r="AO61" s="305"/>
      <c r="AP61" s="306"/>
      <c r="AQ61" s="304"/>
      <c r="AR61" s="305"/>
      <c r="AS61" s="305"/>
      <c r="AT61" s="305"/>
      <c r="AU61" s="306"/>
      <c r="AV61" s="304"/>
      <c r="AW61" s="305"/>
      <c r="AX61" s="305"/>
      <c r="AY61" s="305"/>
      <c r="AZ61" s="306"/>
      <c r="BA61" s="304"/>
      <c r="BB61" s="305"/>
      <c r="BC61" s="305"/>
      <c r="BD61" s="306"/>
      <c r="BE61" s="304"/>
      <c r="BF61" s="305"/>
      <c r="BG61" s="305"/>
      <c r="BH61" s="305"/>
      <c r="BI61" s="306"/>
      <c r="BJ61" s="284"/>
      <c r="BK61" s="285"/>
      <c r="BL61" s="285"/>
      <c r="BM61" s="286"/>
      <c r="BN61" s="317"/>
      <c r="BO61" s="317"/>
      <c r="BP61" s="317"/>
      <c r="BQ61" s="317"/>
      <c r="BR61" s="317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93"/>
      <c r="DB61" s="269"/>
      <c r="DC61" s="270"/>
      <c r="DD61" s="270"/>
      <c r="DE61" s="270"/>
      <c r="DF61" s="270"/>
      <c r="DG61" s="270"/>
      <c r="DH61" s="270"/>
      <c r="DI61" s="270"/>
      <c r="DJ61" s="270"/>
      <c r="DK61" s="270"/>
      <c r="DL61" s="270"/>
      <c r="DM61" s="270"/>
      <c r="DN61" s="270"/>
      <c r="DO61" s="270"/>
      <c r="DP61" s="270"/>
      <c r="DQ61" s="270"/>
      <c r="DR61" s="270"/>
      <c r="DS61" s="270"/>
      <c r="DT61" s="270"/>
      <c r="DU61" s="270"/>
      <c r="DV61" s="270"/>
      <c r="DW61" s="270"/>
      <c r="DX61" s="270"/>
      <c r="DY61" s="270"/>
      <c r="DZ61" s="270"/>
      <c r="EA61" s="270"/>
      <c r="EB61" s="270"/>
      <c r="EC61" s="270"/>
      <c r="ED61" s="270"/>
      <c r="EE61" s="270"/>
      <c r="EF61" s="270"/>
      <c r="EG61" s="270"/>
      <c r="EH61" s="270"/>
      <c r="EI61" s="270"/>
      <c r="EJ61" s="270"/>
      <c r="EK61" s="270"/>
      <c r="EL61" s="270"/>
      <c r="EM61" s="270"/>
      <c r="EN61" s="270"/>
      <c r="EO61" s="322"/>
      <c r="EP61" s="321">
        <f t="shared" ref="EP61" si="38">DB61+DG61+DL61+DQ61+DV61+EF61+EA61+EK61</f>
        <v>0</v>
      </c>
      <c r="EQ61" s="270"/>
      <c r="ER61" s="293"/>
    </row>
    <row r="62" spans="1:149" s="98" customFormat="1" ht="99.95" customHeight="1" x14ac:dyDescent="0.2">
      <c r="A62" s="462" t="s">
        <v>44</v>
      </c>
      <c r="B62" s="110" t="s">
        <v>240</v>
      </c>
      <c r="C62" s="287" t="s">
        <v>241</v>
      </c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307">
        <f t="shared" ref="Z62" si="39">(DB62+DG62+DL62+DQ62+DV62+EA62+EF62+EK62)*30</f>
        <v>360</v>
      </c>
      <c r="AA62" s="308"/>
      <c r="AB62" s="308"/>
      <c r="AC62" s="309"/>
      <c r="AD62" s="313"/>
      <c r="AE62" s="314"/>
      <c r="AF62" s="315"/>
      <c r="AG62" s="301">
        <f t="shared" ref="AG62" si="40">SUM(AL62:BD63)</f>
        <v>144</v>
      </c>
      <c r="AH62" s="302"/>
      <c r="AI62" s="302"/>
      <c r="AJ62" s="302"/>
      <c r="AK62" s="303"/>
      <c r="AL62" s="301"/>
      <c r="AM62" s="302"/>
      <c r="AN62" s="302"/>
      <c r="AO62" s="302"/>
      <c r="AP62" s="303"/>
      <c r="AQ62" s="301">
        <v>144</v>
      </c>
      <c r="AR62" s="302"/>
      <c r="AS62" s="302"/>
      <c r="AT62" s="302"/>
      <c r="AU62" s="303"/>
      <c r="AV62" s="301"/>
      <c r="AW62" s="302"/>
      <c r="AX62" s="302"/>
      <c r="AY62" s="302"/>
      <c r="AZ62" s="303"/>
      <c r="BA62" s="301"/>
      <c r="BB62" s="302"/>
      <c r="BC62" s="302"/>
      <c r="BD62" s="303"/>
      <c r="BE62" s="301"/>
      <c r="BF62" s="302"/>
      <c r="BG62" s="302"/>
      <c r="BH62" s="302"/>
      <c r="BI62" s="303"/>
      <c r="BJ62" s="307">
        <f t="shared" ref="BJ62" si="41">Z62-AG62</f>
        <v>216</v>
      </c>
      <c r="BK62" s="308"/>
      <c r="BL62" s="308"/>
      <c r="BM62" s="319"/>
      <c r="BN62" s="314"/>
      <c r="BO62" s="314"/>
      <c r="BP62" s="314"/>
      <c r="BQ62" s="314"/>
      <c r="BR62" s="314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>
        <v>2</v>
      </c>
      <c r="CD62" s="270"/>
      <c r="CE62" s="270"/>
      <c r="CF62" s="270"/>
      <c r="CG62" s="270"/>
      <c r="CH62" s="270">
        <v>4</v>
      </c>
      <c r="CI62" s="270"/>
      <c r="CJ62" s="270"/>
      <c r="CK62" s="270"/>
      <c r="CL62" s="270"/>
      <c r="CM62" s="270">
        <v>2</v>
      </c>
      <c r="CN62" s="270"/>
      <c r="CO62" s="270"/>
      <c r="CP62" s="270"/>
      <c r="CQ62" s="270"/>
      <c r="CR62" s="270">
        <v>2</v>
      </c>
      <c r="CS62" s="270"/>
      <c r="CT62" s="270"/>
      <c r="CU62" s="270"/>
      <c r="CV62" s="270"/>
      <c r="CW62" s="270">
        <v>2</v>
      </c>
      <c r="CX62" s="270"/>
      <c r="CY62" s="270"/>
      <c r="CZ62" s="270"/>
      <c r="DA62" s="293"/>
      <c r="DB62" s="269"/>
      <c r="DC62" s="270"/>
      <c r="DD62" s="270"/>
      <c r="DE62" s="270"/>
      <c r="DF62" s="270"/>
      <c r="DG62" s="270"/>
      <c r="DH62" s="270"/>
      <c r="DI62" s="270"/>
      <c r="DJ62" s="270"/>
      <c r="DK62" s="270"/>
      <c r="DL62" s="270"/>
      <c r="DM62" s="270"/>
      <c r="DN62" s="270"/>
      <c r="DO62" s="270"/>
      <c r="DP62" s="270"/>
      <c r="DQ62" s="270">
        <v>2</v>
      </c>
      <c r="DR62" s="270"/>
      <c r="DS62" s="270"/>
      <c r="DT62" s="270"/>
      <c r="DU62" s="270"/>
      <c r="DV62" s="270">
        <v>4</v>
      </c>
      <c r="DW62" s="270"/>
      <c r="DX62" s="270"/>
      <c r="DY62" s="270"/>
      <c r="DZ62" s="270"/>
      <c r="EA62" s="270">
        <v>2</v>
      </c>
      <c r="EB62" s="270"/>
      <c r="EC62" s="270"/>
      <c r="ED62" s="270"/>
      <c r="EE62" s="270"/>
      <c r="EF62" s="270">
        <v>2</v>
      </c>
      <c r="EG62" s="270"/>
      <c r="EH62" s="270"/>
      <c r="EI62" s="270"/>
      <c r="EJ62" s="270"/>
      <c r="EK62" s="270">
        <v>2</v>
      </c>
      <c r="EL62" s="270"/>
      <c r="EM62" s="270"/>
      <c r="EN62" s="270"/>
      <c r="EO62" s="322"/>
      <c r="EP62" s="321">
        <f t="shared" ref="EP62" si="42">SUM(DB62:EO63)</f>
        <v>12</v>
      </c>
      <c r="EQ62" s="270"/>
      <c r="ER62" s="293"/>
    </row>
    <row r="63" spans="1:149" s="98" customFormat="1" ht="120" customHeight="1" x14ac:dyDescent="0.2">
      <c r="A63" s="463"/>
      <c r="B63" s="110" t="s">
        <v>199</v>
      </c>
      <c r="C63" s="271" t="s">
        <v>186</v>
      </c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310"/>
      <c r="AA63" s="311"/>
      <c r="AB63" s="311"/>
      <c r="AC63" s="312"/>
      <c r="AD63" s="316"/>
      <c r="AE63" s="317"/>
      <c r="AF63" s="318"/>
      <c r="AG63" s="304"/>
      <c r="AH63" s="305"/>
      <c r="AI63" s="305"/>
      <c r="AJ63" s="305"/>
      <c r="AK63" s="306"/>
      <c r="AL63" s="304"/>
      <c r="AM63" s="305"/>
      <c r="AN63" s="305"/>
      <c r="AO63" s="305"/>
      <c r="AP63" s="306"/>
      <c r="AQ63" s="304"/>
      <c r="AR63" s="305"/>
      <c r="AS63" s="305"/>
      <c r="AT63" s="305"/>
      <c r="AU63" s="306"/>
      <c r="AV63" s="304"/>
      <c r="AW63" s="305"/>
      <c r="AX63" s="305"/>
      <c r="AY63" s="305"/>
      <c r="AZ63" s="306"/>
      <c r="BA63" s="304"/>
      <c r="BB63" s="305"/>
      <c r="BC63" s="305"/>
      <c r="BD63" s="306"/>
      <c r="BE63" s="304"/>
      <c r="BF63" s="305"/>
      <c r="BG63" s="305"/>
      <c r="BH63" s="305"/>
      <c r="BI63" s="306"/>
      <c r="BJ63" s="310"/>
      <c r="BK63" s="311"/>
      <c r="BL63" s="311"/>
      <c r="BM63" s="320"/>
      <c r="BN63" s="317"/>
      <c r="BO63" s="317"/>
      <c r="BP63" s="317"/>
      <c r="BQ63" s="317"/>
      <c r="BR63" s="317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93"/>
      <c r="DB63" s="269"/>
      <c r="DC63" s="270"/>
      <c r="DD63" s="270"/>
      <c r="DE63" s="270"/>
      <c r="DF63" s="270"/>
      <c r="DG63" s="270"/>
      <c r="DH63" s="270"/>
      <c r="DI63" s="270"/>
      <c r="DJ63" s="270"/>
      <c r="DK63" s="270"/>
      <c r="DL63" s="270"/>
      <c r="DM63" s="270"/>
      <c r="DN63" s="270"/>
      <c r="DO63" s="270"/>
      <c r="DP63" s="270"/>
      <c r="DQ63" s="270"/>
      <c r="DR63" s="270"/>
      <c r="DS63" s="270"/>
      <c r="DT63" s="270"/>
      <c r="DU63" s="270"/>
      <c r="DV63" s="270"/>
      <c r="DW63" s="270"/>
      <c r="DX63" s="270"/>
      <c r="DY63" s="270"/>
      <c r="DZ63" s="270"/>
      <c r="EA63" s="270"/>
      <c r="EB63" s="270"/>
      <c r="EC63" s="270"/>
      <c r="ED63" s="270"/>
      <c r="EE63" s="270"/>
      <c r="EF63" s="270"/>
      <c r="EG63" s="270"/>
      <c r="EH63" s="270"/>
      <c r="EI63" s="270"/>
      <c r="EJ63" s="270"/>
      <c r="EK63" s="270"/>
      <c r="EL63" s="270"/>
      <c r="EM63" s="270"/>
      <c r="EN63" s="270"/>
      <c r="EO63" s="322"/>
      <c r="EP63" s="321">
        <f t="shared" ref="EP63" si="43">DB63+DG63+DL63+DQ63+DV63+EF63+EA63+EK63</f>
        <v>0</v>
      </c>
      <c r="EQ63" s="270"/>
      <c r="ER63" s="293"/>
    </row>
    <row r="64" spans="1:149" s="98" customFormat="1" ht="120" customHeight="1" x14ac:dyDescent="0.2">
      <c r="A64" s="462" t="s">
        <v>45</v>
      </c>
      <c r="B64" s="110" t="s">
        <v>204</v>
      </c>
      <c r="C64" s="271" t="s">
        <v>200</v>
      </c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307">
        <f t="shared" si="9"/>
        <v>60</v>
      </c>
      <c r="AA64" s="308"/>
      <c r="AB64" s="308"/>
      <c r="AC64" s="309"/>
      <c r="AD64" s="313"/>
      <c r="AE64" s="314"/>
      <c r="AF64" s="315"/>
      <c r="AG64" s="275">
        <f t="shared" ref="AG64" si="44">SUM(AL64:BD65)</f>
        <v>24</v>
      </c>
      <c r="AH64" s="276"/>
      <c r="AI64" s="276"/>
      <c r="AJ64" s="276"/>
      <c r="AK64" s="277"/>
      <c r="AL64" s="301"/>
      <c r="AM64" s="302"/>
      <c r="AN64" s="302"/>
      <c r="AO64" s="302"/>
      <c r="AP64" s="303"/>
      <c r="AQ64" s="301">
        <v>24</v>
      </c>
      <c r="AR64" s="302"/>
      <c r="AS64" s="302"/>
      <c r="AT64" s="302"/>
      <c r="AU64" s="303"/>
      <c r="AV64" s="301"/>
      <c r="AW64" s="302"/>
      <c r="AX64" s="302"/>
      <c r="AY64" s="302"/>
      <c r="AZ64" s="303"/>
      <c r="BA64" s="301"/>
      <c r="BB64" s="302"/>
      <c r="BC64" s="302"/>
      <c r="BD64" s="303"/>
      <c r="BE64" s="301"/>
      <c r="BF64" s="302"/>
      <c r="BG64" s="302"/>
      <c r="BH64" s="302"/>
      <c r="BI64" s="303"/>
      <c r="BJ64" s="281">
        <f t="shared" ref="BJ64" si="45">Z64-AG64</f>
        <v>36</v>
      </c>
      <c r="BK64" s="282"/>
      <c r="BL64" s="282"/>
      <c r="BM64" s="283"/>
      <c r="BN64" s="314"/>
      <c r="BO64" s="314"/>
      <c r="BP64" s="314"/>
      <c r="BQ64" s="314"/>
      <c r="BR64" s="314"/>
      <c r="BS64" s="270"/>
      <c r="BT64" s="270"/>
      <c r="BU64" s="270"/>
      <c r="BV64" s="270"/>
      <c r="BW64" s="270"/>
      <c r="BX64" s="270"/>
      <c r="BY64" s="270"/>
      <c r="BZ64" s="270"/>
      <c r="CA64" s="270"/>
      <c r="CB64" s="270"/>
      <c r="CC64" s="270"/>
      <c r="CD64" s="270"/>
      <c r="CE64" s="270"/>
      <c r="CF64" s="270"/>
      <c r="CG64" s="270"/>
      <c r="CH64" s="270">
        <v>2</v>
      </c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0"/>
      <c r="CV64" s="270"/>
      <c r="CW64" s="270"/>
      <c r="CX64" s="270"/>
      <c r="CY64" s="270"/>
      <c r="CZ64" s="270"/>
      <c r="DA64" s="293"/>
      <c r="DB64" s="269"/>
      <c r="DC64" s="270"/>
      <c r="DD64" s="270"/>
      <c r="DE64" s="270"/>
      <c r="DF64" s="270"/>
      <c r="DG64" s="270"/>
      <c r="DH64" s="270"/>
      <c r="DI64" s="270"/>
      <c r="DJ64" s="270"/>
      <c r="DK64" s="270"/>
      <c r="DL64" s="270"/>
      <c r="DM64" s="270"/>
      <c r="DN64" s="270"/>
      <c r="DO64" s="270"/>
      <c r="DP64" s="270"/>
      <c r="DQ64" s="270"/>
      <c r="DR64" s="270"/>
      <c r="DS64" s="270"/>
      <c r="DT64" s="270"/>
      <c r="DU64" s="270"/>
      <c r="DV64" s="270">
        <v>2</v>
      </c>
      <c r="DW64" s="270"/>
      <c r="DX64" s="270"/>
      <c r="DY64" s="270"/>
      <c r="DZ64" s="270"/>
      <c r="EA64" s="270"/>
      <c r="EB64" s="270"/>
      <c r="EC64" s="270"/>
      <c r="ED64" s="270"/>
      <c r="EE64" s="270"/>
      <c r="EF64" s="270"/>
      <c r="EG64" s="270"/>
      <c r="EH64" s="270"/>
      <c r="EI64" s="270"/>
      <c r="EJ64" s="270"/>
      <c r="EK64" s="270"/>
      <c r="EL64" s="270"/>
      <c r="EM64" s="270"/>
      <c r="EN64" s="270"/>
      <c r="EO64" s="322"/>
      <c r="EP64" s="321">
        <f t="shared" ref="EP64" si="46">SUM(DB64:EO65)</f>
        <v>2</v>
      </c>
      <c r="EQ64" s="270"/>
      <c r="ER64" s="293"/>
    </row>
    <row r="65" spans="1:149" s="99" customFormat="1" ht="120" customHeight="1" x14ac:dyDescent="0.2">
      <c r="A65" s="463"/>
      <c r="B65" s="110" t="s">
        <v>205</v>
      </c>
      <c r="C65" s="271" t="s">
        <v>201</v>
      </c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310"/>
      <c r="AA65" s="311"/>
      <c r="AB65" s="311"/>
      <c r="AC65" s="312"/>
      <c r="AD65" s="316"/>
      <c r="AE65" s="317"/>
      <c r="AF65" s="318"/>
      <c r="AG65" s="278"/>
      <c r="AH65" s="279"/>
      <c r="AI65" s="279"/>
      <c r="AJ65" s="279"/>
      <c r="AK65" s="280"/>
      <c r="AL65" s="304"/>
      <c r="AM65" s="305"/>
      <c r="AN65" s="305"/>
      <c r="AO65" s="305"/>
      <c r="AP65" s="306"/>
      <c r="AQ65" s="304"/>
      <c r="AR65" s="305"/>
      <c r="AS65" s="305"/>
      <c r="AT65" s="305"/>
      <c r="AU65" s="306"/>
      <c r="AV65" s="304"/>
      <c r="AW65" s="305"/>
      <c r="AX65" s="305"/>
      <c r="AY65" s="305"/>
      <c r="AZ65" s="306"/>
      <c r="BA65" s="304"/>
      <c r="BB65" s="305"/>
      <c r="BC65" s="305"/>
      <c r="BD65" s="306"/>
      <c r="BE65" s="304"/>
      <c r="BF65" s="305"/>
      <c r="BG65" s="305"/>
      <c r="BH65" s="305"/>
      <c r="BI65" s="306"/>
      <c r="BJ65" s="284"/>
      <c r="BK65" s="285"/>
      <c r="BL65" s="285"/>
      <c r="BM65" s="286"/>
      <c r="BN65" s="317"/>
      <c r="BO65" s="317"/>
      <c r="BP65" s="317"/>
      <c r="BQ65" s="317"/>
      <c r="BR65" s="317"/>
      <c r="BS65" s="270"/>
      <c r="BT65" s="270"/>
      <c r="BU65" s="270"/>
      <c r="BV65" s="270"/>
      <c r="BW65" s="270"/>
      <c r="BX65" s="270"/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93"/>
      <c r="DB65" s="269"/>
      <c r="DC65" s="270"/>
      <c r="DD65" s="270"/>
      <c r="DE65" s="270"/>
      <c r="DF65" s="270"/>
      <c r="DG65" s="270"/>
      <c r="DH65" s="270"/>
      <c r="DI65" s="270"/>
      <c r="DJ65" s="270"/>
      <c r="DK65" s="270"/>
      <c r="DL65" s="270"/>
      <c r="DM65" s="270"/>
      <c r="DN65" s="270"/>
      <c r="DO65" s="270"/>
      <c r="DP65" s="270"/>
      <c r="DQ65" s="270"/>
      <c r="DR65" s="270"/>
      <c r="DS65" s="270"/>
      <c r="DT65" s="270"/>
      <c r="DU65" s="270"/>
      <c r="DV65" s="270"/>
      <c r="DW65" s="270"/>
      <c r="DX65" s="270"/>
      <c r="DY65" s="270"/>
      <c r="DZ65" s="270"/>
      <c r="EA65" s="270"/>
      <c r="EB65" s="270"/>
      <c r="EC65" s="270"/>
      <c r="ED65" s="270"/>
      <c r="EE65" s="270"/>
      <c r="EF65" s="270"/>
      <c r="EG65" s="270"/>
      <c r="EH65" s="270"/>
      <c r="EI65" s="270"/>
      <c r="EJ65" s="270"/>
      <c r="EK65" s="270"/>
      <c r="EL65" s="270"/>
      <c r="EM65" s="270"/>
      <c r="EN65" s="270"/>
      <c r="EO65" s="322"/>
      <c r="EP65" s="321">
        <f t="shared" ref="EP65" si="47">DB65+DG65+DL65+DQ65+DV65+EF65+EA65+EK65</f>
        <v>0</v>
      </c>
      <c r="EQ65" s="270"/>
      <c r="ER65" s="293"/>
    </row>
    <row r="66" spans="1:149" s="99" customFormat="1" ht="120" customHeight="1" x14ac:dyDescent="0.2">
      <c r="A66" s="462" t="s">
        <v>46</v>
      </c>
      <c r="B66" s="110" t="s">
        <v>206</v>
      </c>
      <c r="C66" s="271" t="s">
        <v>202</v>
      </c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307">
        <f t="shared" si="9"/>
        <v>60</v>
      </c>
      <c r="AA66" s="308"/>
      <c r="AB66" s="308"/>
      <c r="AC66" s="309"/>
      <c r="AD66" s="446"/>
      <c r="AE66" s="447"/>
      <c r="AF66" s="448"/>
      <c r="AG66" s="275">
        <f t="shared" ref="AG66" si="48">SUM(AL66:BD67)</f>
        <v>24</v>
      </c>
      <c r="AH66" s="276"/>
      <c r="AI66" s="276"/>
      <c r="AJ66" s="276"/>
      <c r="AK66" s="277"/>
      <c r="AL66" s="301"/>
      <c r="AM66" s="302"/>
      <c r="AN66" s="302"/>
      <c r="AO66" s="302"/>
      <c r="AP66" s="303"/>
      <c r="AQ66" s="301">
        <v>24</v>
      </c>
      <c r="AR66" s="302"/>
      <c r="AS66" s="302"/>
      <c r="AT66" s="302"/>
      <c r="AU66" s="303"/>
      <c r="AV66" s="301"/>
      <c r="AW66" s="302"/>
      <c r="AX66" s="302"/>
      <c r="AY66" s="302"/>
      <c r="AZ66" s="303"/>
      <c r="BA66" s="301"/>
      <c r="BB66" s="302"/>
      <c r="BC66" s="302"/>
      <c r="BD66" s="303"/>
      <c r="BE66" s="301"/>
      <c r="BF66" s="302"/>
      <c r="BG66" s="302"/>
      <c r="BH66" s="302"/>
      <c r="BI66" s="303"/>
      <c r="BJ66" s="281">
        <f t="shared" ref="BJ66" si="49">Z66-AG66</f>
        <v>36</v>
      </c>
      <c r="BK66" s="282"/>
      <c r="BL66" s="282"/>
      <c r="BM66" s="283"/>
      <c r="BN66" s="314"/>
      <c r="BO66" s="314"/>
      <c r="BP66" s="314"/>
      <c r="BQ66" s="314"/>
      <c r="BR66" s="314"/>
      <c r="BS66" s="270"/>
      <c r="BT66" s="270"/>
      <c r="BU66" s="270"/>
      <c r="BV66" s="270"/>
      <c r="BW66" s="270"/>
      <c r="BX66" s="270"/>
      <c r="BY66" s="270"/>
      <c r="BZ66" s="270"/>
      <c r="CA66" s="270"/>
      <c r="CB66" s="270"/>
      <c r="CC66" s="270"/>
      <c r="CD66" s="270"/>
      <c r="CE66" s="270"/>
      <c r="CF66" s="270"/>
      <c r="CG66" s="270"/>
      <c r="CH66" s="270">
        <v>2</v>
      </c>
      <c r="CI66" s="270"/>
      <c r="CJ66" s="270"/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0"/>
      <c r="CV66" s="270"/>
      <c r="CW66" s="270"/>
      <c r="CX66" s="270"/>
      <c r="CY66" s="270"/>
      <c r="CZ66" s="270"/>
      <c r="DA66" s="293"/>
      <c r="DB66" s="269"/>
      <c r="DC66" s="270"/>
      <c r="DD66" s="270"/>
      <c r="DE66" s="270"/>
      <c r="DF66" s="270"/>
      <c r="DG66" s="270"/>
      <c r="DH66" s="270"/>
      <c r="DI66" s="270"/>
      <c r="DJ66" s="270"/>
      <c r="DK66" s="270"/>
      <c r="DL66" s="270"/>
      <c r="DM66" s="270"/>
      <c r="DN66" s="270"/>
      <c r="DO66" s="270"/>
      <c r="DP66" s="270"/>
      <c r="DQ66" s="270"/>
      <c r="DR66" s="270"/>
      <c r="DS66" s="270"/>
      <c r="DT66" s="270"/>
      <c r="DU66" s="270"/>
      <c r="DV66" s="270">
        <v>2</v>
      </c>
      <c r="DW66" s="270"/>
      <c r="DX66" s="270"/>
      <c r="DY66" s="270"/>
      <c r="DZ66" s="270"/>
      <c r="EA66" s="270"/>
      <c r="EB66" s="270"/>
      <c r="EC66" s="270"/>
      <c r="ED66" s="270"/>
      <c r="EE66" s="270"/>
      <c r="EF66" s="270"/>
      <c r="EG66" s="270"/>
      <c r="EH66" s="270"/>
      <c r="EI66" s="270"/>
      <c r="EJ66" s="270"/>
      <c r="EK66" s="270"/>
      <c r="EL66" s="270"/>
      <c r="EM66" s="270"/>
      <c r="EN66" s="270"/>
      <c r="EO66" s="322"/>
      <c r="EP66" s="321">
        <f t="shared" ref="EP66" si="50">SUM(DB66:EO67)</f>
        <v>2</v>
      </c>
      <c r="EQ66" s="270"/>
      <c r="ER66" s="293"/>
    </row>
    <row r="67" spans="1:149" s="99" customFormat="1" ht="120" customHeight="1" x14ac:dyDescent="0.2">
      <c r="A67" s="463"/>
      <c r="B67" s="110" t="s">
        <v>207</v>
      </c>
      <c r="C67" s="271" t="s">
        <v>203</v>
      </c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310"/>
      <c r="AA67" s="311"/>
      <c r="AB67" s="311"/>
      <c r="AC67" s="312"/>
      <c r="AD67" s="449"/>
      <c r="AE67" s="450"/>
      <c r="AF67" s="451"/>
      <c r="AG67" s="278"/>
      <c r="AH67" s="279"/>
      <c r="AI67" s="279"/>
      <c r="AJ67" s="279"/>
      <c r="AK67" s="280"/>
      <c r="AL67" s="304"/>
      <c r="AM67" s="305"/>
      <c r="AN67" s="305"/>
      <c r="AO67" s="305"/>
      <c r="AP67" s="306"/>
      <c r="AQ67" s="304"/>
      <c r="AR67" s="305"/>
      <c r="AS67" s="305"/>
      <c r="AT67" s="305"/>
      <c r="AU67" s="306"/>
      <c r="AV67" s="304"/>
      <c r="AW67" s="305"/>
      <c r="AX67" s="305"/>
      <c r="AY67" s="305"/>
      <c r="AZ67" s="306"/>
      <c r="BA67" s="304"/>
      <c r="BB67" s="305"/>
      <c r="BC67" s="305"/>
      <c r="BD67" s="306"/>
      <c r="BE67" s="304"/>
      <c r="BF67" s="305"/>
      <c r="BG67" s="305"/>
      <c r="BH67" s="305"/>
      <c r="BI67" s="306"/>
      <c r="BJ67" s="284"/>
      <c r="BK67" s="285"/>
      <c r="BL67" s="285"/>
      <c r="BM67" s="286"/>
      <c r="BN67" s="317"/>
      <c r="BO67" s="317"/>
      <c r="BP67" s="317"/>
      <c r="BQ67" s="317"/>
      <c r="BR67" s="317"/>
      <c r="BS67" s="270"/>
      <c r="BT67" s="270"/>
      <c r="BU67" s="270"/>
      <c r="BV67" s="270"/>
      <c r="BW67" s="270"/>
      <c r="BX67" s="270"/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93"/>
      <c r="DB67" s="269"/>
      <c r="DC67" s="270"/>
      <c r="DD67" s="270"/>
      <c r="DE67" s="270"/>
      <c r="DF67" s="270"/>
      <c r="DG67" s="270"/>
      <c r="DH67" s="270"/>
      <c r="DI67" s="270"/>
      <c r="DJ67" s="270"/>
      <c r="DK67" s="270"/>
      <c r="DL67" s="270"/>
      <c r="DM67" s="270"/>
      <c r="DN67" s="270"/>
      <c r="DO67" s="270"/>
      <c r="DP67" s="270"/>
      <c r="DQ67" s="270"/>
      <c r="DR67" s="270"/>
      <c r="DS67" s="270"/>
      <c r="DT67" s="270"/>
      <c r="DU67" s="270"/>
      <c r="DV67" s="270"/>
      <c r="DW67" s="270"/>
      <c r="DX67" s="270"/>
      <c r="DY67" s="270"/>
      <c r="DZ67" s="270"/>
      <c r="EA67" s="270"/>
      <c r="EB67" s="270"/>
      <c r="EC67" s="270"/>
      <c r="ED67" s="270"/>
      <c r="EE67" s="270"/>
      <c r="EF67" s="270"/>
      <c r="EG67" s="270"/>
      <c r="EH67" s="270"/>
      <c r="EI67" s="270"/>
      <c r="EJ67" s="270"/>
      <c r="EK67" s="270"/>
      <c r="EL67" s="270"/>
      <c r="EM67" s="270"/>
      <c r="EN67" s="270"/>
      <c r="EO67" s="322"/>
      <c r="EP67" s="321">
        <f t="shared" ref="EP67" si="51">DB67+DG67+DL67+DQ67+DV67+EF67+EA67+EK67</f>
        <v>0</v>
      </c>
      <c r="EQ67" s="270"/>
      <c r="ER67" s="293"/>
    </row>
    <row r="68" spans="1:149" s="99" customFormat="1" ht="120" customHeight="1" x14ac:dyDescent="0.2">
      <c r="A68" s="462" t="s">
        <v>47</v>
      </c>
      <c r="B68" s="110" t="s">
        <v>210</v>
      </c>
      <c r="C68" s="271" t="s">
        <v>208</v>
      </c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307">
        <f t="shared" ref="Z68" si="52">(DB68+DG68+DL68+DQ68+DV68+EA68+EF68+EK68)*30</f>
        <v>60</v>
      </c>
      <c r="AA68" s="308"/>
      <c r="AB68" s="308"/>
      <c r="AC68" s="309"/>
      <c r="AD68" s="446"/>
      <c r="AE68" s="447"/>
      <c r="AF68" s="448"/>
      <c r="AG68" s="301">
        <f t="shared" ref="AG68" si="53">SUM(AL68:BD69)</f>
        <v>24</v>
      </c>
      <c r="AH68" s="302"/>
      <c r="AI68" s="302"/>
      <c r="AJ68" s="302"/>
      <c r="AK68" s="303"/>
      <c r="AL68" s="301"/>
      <c r="AM68" s="302"/>
      <c r="AN68" s="302"/>
      <c r="AO68" s="302"/>
      <c r="AP68" s="303"/>
      <c r="AQ68" s="301">
        <v>24</v>
      </c>
      <c r="AR68" s="302"/>
      <c r="AS68" s="302"/>
      <c r="AT68" s="302"/>
      <c r="AU68" s="303"/>
      <c r="AV68" s="301"/>
      <c r="AW68" s="302"/>
      <c r="AX68" s="302"/>
      <c r="AY68" s="302"/>
      <c r="AZ68" s="303"/>
      <c r="BA68" s="301"/>
      <c r="BB68" s="302"/>
      <c r="BC68" s="302"/>
      <c r="BD68" s="303"/>
      <c r="BE68" s="301"/>
      <c r="BF68" s="302"/>
      <c r="BG68" s="302"/>
      <c r="BH68" s="302"/>
      <c r="BI68" s="303"/>
      <c r="BJ68" s="307">
        <f t="shared" ref="BJ68" si="54">Z68-AG68</f>
        <v>36</v>
      </c>
      <c r="BK68" s="308"/>
      <c r="BL68" s="308"/>
      <c r="BM68" s="319"/>
      <c r="BN68" s="314"/>
      <c r="BO68" s="314"/>
      <c r="BP68" s="314"/>
      <c r="BQ68" s="314"/>
      <c r="BR68" s="314"/>
      <c r="BS68" s="270"/>
      <c r="BT68" s="270"/>
      <c r="BU68" s="270"/>
      <c r="BV68" s="270"/>
      <c r="BW68" s="270"/>
      <c r="BX68" s="270"/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/>
      <c r="CJ68" s="270"/>
      <c r="CK68" s="270"/>
      <c r="CL68" s="270"/>
      <c r="CM68" s="270">
        <v>2</v>
      </c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93"/>
      <c r="DB68" s="269"/>
      <c r="DC68" s="270"/>
      <c r="DD68" s="270"/>
      <c r="DE68" s="270"/>
      <c r="DF68" s="270"/>
      <c r="DG68" s="270"/>
      <c r="DH68" s="270"/>
      <c r="DI68" s="270"/>
      <c r="DJ68" s="270"/>
      <c r="DK68" s="270"/>
      <c r="DL68" s="270"/>
      <c r="DM68" s="270"/>
      <c r="DN68" s="270"/>
      <c r="DO68" s="270"/>
      <c r="DP68" s="270"/>
      <c r="DQ68" s="270"/>
      <c r="DR68" s="270"/>
      <c r="DS68" s="270"/>
      <c r="DT68" s="270"/>
      <c r="DU68" s="270"/>
      <c r="DV68" s="270"/>
      <c r="DW68" s="270"/>
      <c r="DX68" s="270"/>
      <c r="DY68" s="270"/>
      <c r="DZ68" s="270"/>
      <c r="EA68" s="270">
        <v>2</v>
      </c>
      <c r="EB68" s="270"/>
      <c r="EC68" s="270"/>
      <c r="ED68" s="270"/>
      <c r="EE68" s="270"/>
      <c r="EF68" s="270"/>
      <c r="EG68" s="270"/>
      <c r="EH68" s="270"/>
      <c r="EI68" s="270"/>
      <c r="EJ68" s="270"/>
      <c r="EK68" s="270"/>
      <c r="EL68" s="270"/>
      <c r="EM68" s="270"/>
      <c r="EN68" s="270"/>
      <c r="EO68" s="322"/>
      <c r="EP68" s="321">
        <f t="shared" ref="EP68" si="55">SUM(DB68:EO69)</f>
        <v>2</v>
      </c>
      <c r="EQ68" s="270"/>
      <c r="ER68" s="293"/>
    </row>
    <row r="69" spans="1:149" s="99" customFormat="1" ht="99.95" customHeight="1" x14ac:dyDescent="0.2">
      <c r="A69" s="463"/>
      <c r="B69" s="110" t="s">
        <v>211</v>
      </c>
      <c r="C69" s="271" t="s">
        <v>209</v>
      </c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310"/>
      <c r="AA69" s="311"/>
      <c r="AB69" s="311"/>
      <c r="AC69" s="312"/>
      <c r="AD69" s="449"/>
      <c r="AE69" s="450"/>
      <c r="AF69" s="451"/>
      <c r="AG69" s="304"/>
      <c r="AH69" s="305"/>
      <c r="AI69" s="305"/>
      <c r="AJ69" s="305"/>
      <c r="AK69" s="306"/>
      <c r="AL69" s="304"/>
      <c r="AM69" s="305"/>
      <c r="AN69" s="305"/>
      <c r="AO69" s="305"/>
      <c r="AP69" s="306"/>
      <c r="AQ69" s="304"/>
      <c r="AR69" s="305"/>
      <c r="AS69" s="305"/>
      <c r="AT69" s="305"/>
      <c r="AU69" s="306"/>
      <c r="AV69" s="304"/>
      <c r="AW69" s="305"/>
      <c r="AX69" s="305"/>
      <c r="AY69" s="305"/>
      <c r="AZ69" s="306"/>
      <c r="BA69" s="304"/>
      <c r="BB69" s="305"/>
      <c r="BC69" s="305"/>
      <c r="BD69" s="306"/>
      <c r="BE69" s="304"/>
      <c r="BF69" s="305"/>
      <c r="BG69" s="305"/>
      <c r="BH69" s="305"/>
      <c r="BI69" s="306"/>
      <c r="BJ69" s="310"/>
      <c r="BK69" s="311"/>
      <c r="BL69" s="311"/>
      <c r="BM69" s="320"/>
      <c r="BN69" s="317"/>
      <c r="BO69" s="317"/>
      <c r="BP69" s="317"/>
      <c r="BQ69" s="317"/>
      <c r="BR69" s="317"/>
      <c r="BS69" s="270"/>
      <c r="BT69" s="270"/>
      <c r="BU69" s="270"/>
      <c r="BV69" s="270"/>
      <c r="BW69" s="270"/>
      <c r="BX69" s="270"/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93"/>
      <c r="DB69" s="269"/>
      <c r="DC69" s="270"/>
      <c r="DD69" s="270"/>
      <c r="DE69" s="270"/>
      <c r="DF69" s="270"/>
      <c r="DG69" s="270"/>
      <c r="DH69" s="270"/>
      <c r="DI69" s="270"/>
      <c r="DJ69" s="270"/>
      <c r="DK69" s="270"/>
      <c r="DL69" s="270"/>
      <c r="DM69" s="270"/>
      <c r="DN69" s="270"/>
      <c r="DO69" s="270"/>
      <c r="DP69" s="270"/>
      <c r="DQ69" s="270"/>
      <c r="DR69" s="270"/>
      <c r="DS69" s="270"/>
      <c r="DT69" s="270"/>
      <c r="DU69" s="270"/>
      <c r="DV69" s="270"/>
      <c r="DW69" s="270"/>
      <c r="DX69" s="270"/>
      <c r="DY69" s="270"/>
      <c r="DZ69" s="270"/>
      <c r="EA69" s="270"/>
      <c r="EB69" s="270"/>
      <c r="EC69" s="270"/>
      <c r="ED69" s="270"/>
      <c r="EE69" s="270"/>
      <c r="EF69" s="270"/>
      <c r="EG69" s="270"/>
      <c r="EH69" s="270"/>
      <c r="EI69" s="270"/>
      <c r="EJ69" s="270"/>
      <c r="EK69" s="270"/>
      <c r="EL69" s="270"/>
      <c r="EM69" s="270"/>
      <c r="EN69" s="270"/>
      <c r="EO69" s="322"/>
      <c r="EP69" s="321">
        <f t="shared" ref="EP69" si="56">DB69+DG69+DL69+DQ69+DV69+EF69+EA69+EK69</f>
        <v>0</v>
      </c>
      <c r="EQ69" s="270"/>
      <c r="ER69" s="293"/>
    </row>
    <row r="70" spans="1:149" s="99" customFormat="1" ht="120" customHeight="1" x14ac:dyDescent="0.2">
      <c r="A70" s="462" t="s">
        <v>48</v>
      </c>
      <c r="B70" s="110" t="s">
        <v>213</v>
      </c>
      <c r="C70" s="271" t="s">
        <v>212</v>
      </c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307">
        <f t="shared" ref="Z70" si="57">(DB70+DG70+DL70+DQ70+DV70+EA70+EF70+EK70)*30</f>
        <v>60</v>
      </c>
      <c r="AA70" s="308"/>
      <c r="AB70" s="308"/>
      <c r="AC70" s="309"/>
      <c r="AD70" s="446"/>
      <c r="AE70" s="447"/>
      <c r="AF70" s="448"/>
      <c r="AG70" s="301">
        <f t="shared" ref="AG70" si="58">SUM(AL70:BD71)</f>
        <v>24</v>
      </c>
      <c r="AH70" s="302"/>
      <c r="AI70" s="302"/>
      <c r="AJ70" s="302"/>
      <c r="AK70" s="303"/>
      <c r="AL70" s="301">
        <v>12</v>
      </c>
      <c r="AM70" s="302"/>
      <c r="AN70" s="302"/>
      <c r="AO70" s="302"/>
      <c r="AP70" s="303"/>
      <c r="AQ70" s="301">
        <v>12</v>
      </c>
      <c r="AR70" s="302"/>
      <c r="AS70" s="302"/>
      <c r="AT70" s="302"/>
      <c r="AU70" s="303"/>
      <c r="AV70" s="301"/>
      <c r="AW70" s="302"/>
      <c r="AX70" s="302"/>
      <c r="AY70" s="302"/>
      <c r="AZ70" s="303"/>
      <c r="BA70" s="301"/>
      <c r="BB70" s="302"/>
      <c r="BC70" s="302"/>
      <c r="BD70" s="303"/>
      <c r="BE70" s="301"/>
      <c r="BF70" s="302"/>
      <c r="BG70" s="302"/>
      <c r="BH70" s="302"/>
      <c r="BI70" s="303"/>
      <c r="BJ70" s="307">
        <f t="shared" ref="BJ70" si="59">Z70-AG70</f>
        <v>36</v>
      </c>
      <c r="BK70" s="308"/>
      <c r="BL70" s="308"/>
      <c r="BM70" s="319"/>
      <c r="BN70" s="314"/>
      <c r="BO70" s="314"/>
      <c r="BP70" s="314"/>
      <c r="BQ70" s="314"/>
      <c r="BR70" s="314"/>
      <c r="BS70" s="270"/>
      <c r="BT70" s="270"/>
      <c r="BU70" s="270"/>
      <c r="BV70" s="270"/>
      <c r="BW70" s="270"/>
      <c r="BX70" s="270"/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>
        <v>2</v>
      </c>
      <c r="CS70" s="270"/>
      <c r="CT70" s="270"/>
      <c r="CU70" s="270"/>
      <c r="CV70" s="270"/>
      <c r="CW70" s="270"/>
      <c r="CX70" s="270"/>
      <c r="CY70" s="270"/>
      <c r="CZ70" s="270"/>
      <c r="DA70" s="293"/>
      <c r="DB70" s="269"/>
      <c r="DC70" s="270"/>
      <c r="DD70" s="270"/>
      <c r="DE70" s="270"/>
      <c r="DF70" s="270"/>
      <c r="DG70" s="270"/>
      <c r="DH70" s="270"/>
      <c r="DI70" s="270"/>
      <c r="DJ70" s="270"/>
      <c r="DK70" s="270"/>
      <c r="DL70" s="270"/>
      <c r="DM70" s="270"/>
      <c r="DN70" s="270"/>
      <c r="DO70" s="270"/>
      <c r="DP70" s="270"/>
      <c r="DQ70" s="270"/>
      <c r="DR70" s="270"/>
      <c r="DS70" s="270"/>
      <c r="DT70" s="270"/>
      <c r="DU70" s="270"/>
      <c r="DV70" s="270"/>
      <c r="DW70" s="270"/>
      <c r="DX70" s="270"/>
      <c r="DY70" s="270"/>
      <c r="DZ70" s="270"/>
      <c r="EA70" s="270"/>
      <c r="EB70" s="270"/>
      <c r="EC70" s="270"/>
      <c r="ED70" s="270"/>
      <c r="EE70" s="270"/>
      <c r="EF70" s="270">
        <v>2</v>
      </c>
      <c r="EG70" s="270"/>
      <c r="EH70" s="270"/>
      <c r="EI70" s="270"/>
      <c r="EJ70" s="270"/>
      <c r="EK70" s="270"/>
      <c r="EL70" s="270"/>
      <c r="EM70" s="270"/>
      <c r="EN70" s="270"/>
      <c r="EO70" s="322"/>
      <c r="EP70" s="321">
        <f t="shared" ref="EP70" si="60">SUM(DB70:EO71)</f>
        <v>2</v>
      </c>
      <c r="EQ70" s="270"/>
      <c r="ER70" s="293"/>
    </row>
    <row r="71" spans="1:149" s="99" customFormat="1" ht="120" customHeight="1" x14ac:dyDescent="0.2">
      <c r="A71" s="463"/>
      <c r="B71" s="110" t="s">
        <v>215</v>
      </c>
      <c r="C71" s="271" t="s">
        <v>214</v>
      </c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310"/>
      <c r="AA71" s="311"/>
      <c r="AB71" s="311"/>
      <c r="AC71" s="312"/>
      <c r="AD71" s="449"/>
      <c r="AE71" s="450"/>
      <c r="AF71" s="451"/>
      <c r="AG71" s="304"/>
      <c r="AH71" s="305"/>
      <c r="AI71" s="305"/>
      <c r="AJ71" s="305"/>
      <c r="AK71" s="306"/>
      <c r="AL71" s="304"/>
      <c r="AM71" s="305"/>
      <c r="AN71" s="305"/>
      <c r="AO71" s="305"/>
      <c r="AP71" s="306"/>
      <c r="AQ71" s="304"/>
      <c r="AR71" s="305"/>
      <c r="AS71" s="305"/>
      <c r="AT71" s="305"/>
      <c r="AU71" s="306"/>
      <c r="AV71" s="304"/>
      <c r="AW71" s="305"/>
      <c r="AX71" s="305"/>
      <c r="AY71" s="305"/>
      <c r="AZ71" s="306"/>
      <c r="BA71" s="304"/>
      <c r="BB71" s="305"/>
      <c r="BC71" s="305"/>
      <c r="BD71" s="306"/>
      <c r="BE71" s="304"/>
      <c r="BF71" s="305"/>
      <c r="BG71" s="305"/>
      <c r="BH71" s="305"/>
      <c r="BI71" s="306"/>
      <c r="BJ71" s="310"/>
      <c r="BK71" s="311"/>
      <c r="BL71" s="311"/>
      <c r="BM71" s="320"/>
      <c r="BN71" s="317"/>
      <c r="BO71" s="317"/>
      <c r="BP71" s="317"/>
      <c r="BQ71" s="317"/>
      <c r="BR71" s="317"/>
      <c r="BS71" s="270"/>
      <c r="BT71" s="270"/>
      <c r="BU71" s="270"/>
      <c r="BV71" s="270"/>
      <c r="BW71" s="270"/>
      <c r="BX71" s="270"/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/>
      <c r="CO71" s="270"/>
      <c r="CP71" s="270"/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93"/>
      <c r="DB71" s="269"/>
      <c r="DC71" s="270"/>
      <c r="DD71" s="270"/>
      <c r="DE71" s="270"/>
      <c r="DF71" s="270"/>
      <c r="DG71" s="270"/>
      <c r="DH71" s="270"/>
      <c r="DI71" s="270"/>
      <c r="DJ71" s="270"/>
      <c r="DK71" s="270"/>
      <c r="DL71" s="270"/>
      <c r="DM71" s="270"/>
      <c r="DN71" s="270"/>
      <c r="DO71" s="270"/>
      <c r="DP71" s="270"/>
      <c r="DQ71" s="270"/>
      <c r="DR71" s="270"/>
      <c r="DS71" s="270"/>
      <c r="DT71" s="270"/>
      <c r="DU71" s="270"/>
      <c r="DV71" s="270"/>
      <c r="DW71" s="270"/>
      <c r="DX71" s="270"/>
      <c r="DY71" s="270"/>
      <c r="DZ71" s="270"/>
      <c r="EA71" s="270"/>
      <c r="EB71" s="270"/>
      <c r="EC71" s="270"/>
      <c r="ED71" s="270"/>
      <c r="EE71" s="270"/>
      <c r="EF71" s="270"/>
      <c r="EG71" s="270"/>
      <c r="EH71" s="270"/>
      <c r="EI71" s="270"/>
      <c r="EJ71" s="270"/>
      <c r="EK71" s="270"/>
      <c r="EL71" s="270"/>
      <c r="EM71" s="270"/>
      <c r="EN71" s="270"/>
      <c r="EO71" s="322"/>
      <c r="EP71" s="321">
        <f t="shared" ref="EP71" si="61">DB71+DG71+DL71+DQ71+DV71+EF71+EA71+EK71</f>
        <v>0</v>
      </c>
      <c r="EQ71" s="270"/>
      <c r="ER71" s="293"/>
    </row>
    <row r="72" spans="1:149" s="99" customFormat="1" ht="120" customHeight="1" x14ac:dyDescent="0.2">
      <c r="A72" s="462" t="s">
        <v>49</v>
      </c>
      <c r="B72" s="110" t="s">
        <v>217</v>
      </c>
      <c r="C72" s="271" t="s">
        <v>216</v>
      </c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307">
        <f t="shared" ref="Z72" si="62">(DB72+DG72+DL72+DQ72+DV72+EA72+EF72+EK72)*30</f>
        <v>120</v>
      </c>
      <c r="AA72" s="308"/>
      <c r="AB72" s="308"/>
      <c r="AC72" s="309"/>
      <c r="AD72" s="446"/>
      <c r="AE72" s="447"/>
      <c r="AF72" s="448"/>
      <c r="AG72" s="301">
        <f t="shared" ref="AG72" si="63">SUM(AL72:BD73)</f>
        <v>48</v>
      </c>
      <c r="AH72" s="302"/>
      <c r="AI72" s="302"/>
      <c r="AJ72" s="302"/>
      <c r="AK72" s="303"/>
      <c r="AL72" s="301"/>
      <c r="AM72" s="302"/>
      <c r="AN72" s="302"/>
      <c r="AO72" s="302"/>
      <c r="AP72" s="303"/>
      <c r="AQ72" s="301">
        <v>48</v>
      </c>
      <c r="AR72" s="302"/>
      <c r="AS72" s="302"/>
      <c r="AT72" s="302"/>
      <c r="AU72" s="303"/>
      <c r="AV72" s="301"/>
      <c r="AW72" s="302"/>
      <c r="AX72" s="302"/>
      <c r="AY72" s="302"/>
      <c r="AZ72" s="303"/>
      <c r="BA72" s="301"/>
      <c r="BB72" s="302"/>
      <c r="BC72" s="302"/>
      <c r="BD72" s="303"/>
      <c r="BE72" s="301"/>
      <c r="BF72" s="302"/>
      <c r="BG72" s="302"/>
      <c r="BH72" s="302"/>
      <c r="BI72" s="303"/>
      <c r="BJ72" s="307">
        <f t="shared" ref="BJ72" si="64">Z72-AG72</f>
        <v>72</v>
      </c>
      <c r="BK72" s="308"/>
      <c r="BL72" s="308"/>
      <c r="BM72" s="319"/>
      <c r="BN72" s="314"/>
      <c r="BO72" s="314"/>
      <c r="BP72" s="314"/>
      <c r="BQ72" s="314"/>
      <c r="BR72" s="314"/>
      <c r="BS72" s="270"/>
      <c r="BT72" s="270"/>
      <c r="BU72" s="270"/>
      <c r="BV72" s="270"/>
      <c r="BW72" s="270"/>
      <c r="BX72" s="270"/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>
        <v>4</v>
      </c>
      <c r="CN72" s="270"/>
      <c r="CO72" s="270"/>
      <c r="CP72" s="270"/>
      <c r="CQ72" s="270"/>
      <c r="CR72" s="270"/>
      <c r="CS72" s="270"/>
      <c r="CT72" s="270"/>
      <c r="CU72" s="270"/>
      <c r="CV72" s="270"/>
      <c r="CW72" s="270"/>
      <c r="CX72" s="270"/>
      <c r="CY72" s="270"/>
      <c r="CZ72" s="270"/>
      <c r="DA72" s="293"/>
      <c r="DB72" s="269"/>
      <c r="DC72" s="270"/>
      <c r="DD72" s="270"/>
      <c r="DE72" s="270"/>
      <c r="DF72" s="270"/>
      <c r="DG72" s="270"/>
      <c r="DH72" s="270"/>
      <c r="DI72" s="270"/>
      <c r="DJ72" s="270"/>
      <c r="DK72" s="270"/>
      <c r="DL72" s="270"/>
      <c r="DM72" s="270"/>
      <c r="DN72" s="270"/>
      <c r="DO72" s="270"/>
      <c r="DP72" s="270"/>
      <c r="DQ72" s="270"/>
      <c r="DR72" s="270"/>
      <c r="DS72" s="270"/>
      <c r="DT72" s="270"/>
      <c r="DU72" s="270"/>
      <c r="DV72" s="270"/>
      <c r="DW72" s="270"/>
      <c r="DX72" s="270"/>
      <c r="DY72" s="270"/>
      <c r="DZ72" s="270"/>
      <c r="EA72" s="270">
        <v>4</v>
      </c>
      <c r="EB72" s="270"/>
      <c r="EC72" s="270"/>
      <c r="ED72" s="270"/>
      <c r="EE72" s="270"/>
      <c r="EF72" s="270"/>
      <c r="EG72" s="270"/>
      <c r="EH72" s="270"/>
      <c r="EI72" s="270"/>
      <c r="EJ72" s="270"/>
      <c r="EK72" s="270"/>
      <c r="EL72" s="270"/>
      <c r="EM72" s="270"/>
      <c r="EN72" s="270"/>
      <c r="EO72" s="322"/>
      <c r="EP72" s="321">
        <f t="shared" ref="EP72" si="65">SUM(DB72:EO73)</f>
        <v>4</v>
      </c>
      <c r="EQ72" s="270"/>
      <c r="ER72" s="293"/>
    </row>
    <row r="73" spans="1:149" s="99" customFormat="1" ht="120" customHeight="1" x14ac:dyDescent="0.2">
      <c r="A73" s="463"/>
      <c r="B73" s="110" t="s">
        <v>219</v>
      </c>
      <c r="C73" s="271" t="s">
        <v>218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310"/>
      <c r="AA73" s="311"/>
      <c r="AB73" s="311"/>
      <c r="AC73" s="312"/>
      <c r="AD73" s="449"/>
      <c r="AE73" s="450"/>
      <c r="AF73" s="451"/>
      <c r="AG73" s="304"/>
      <c r="AH73" s="305"/>
      <c r="AI73" s="305"/>
      <c r="AJ73" s="305"/>
      <c r="AK73" s="306"/>
      <c r="AL73" s="304"/>
      <c r="AM73" s="305"/>
      <c r="AN73" s="305"/>
      <c r="AO73" s="305"/>
      <c r="AP73" s="306"/>
      <c r="AQ73" s="304"/>
      <c r="AR73" s="305"/>
      <c r="AS73" s="305"/>
      <c r="AT73" s="305"/>
      <c r="AU73" s="306"/>
      <c r="AV73" s="304"/>
      <c r="AW73" s="305"/>
      <c r="AX73" s="305"/>
      <c r="AY73" s="305"/>
      <c r="AZ73" s="306"/>
      <c r="BA73" s="304"/>
      <c r="BB73" s="305"/>
      <c r="BC73" s="305"/>
      <c r="BD73" s="306"/>
      <c r="BE73" s="304"/>
      <c r="BF73" s="305"/>
      <c r="BG73" s="305"/>
      <c r="BH73" s="305"/>
      <c r="BI73" s="306"/>
      <c r="BJ73" s="310"/>
      <c r="BK73" s="311"/>
      <c r="BL73" s="311"/>
      <c r="BM73" s="320"/>
      <c r="BN73" s="317"/>
      <c r="BO73" s="317"/>
      <c r="BP73" s="317"/>
      <c r="BQ73" s="317"/>
      <c r="BR73" s="317"/>
      <c r="BS73" s="270"/>
      <c r="BT73" s="270"/>
      <c r="BU73" s="270"/>
      <c r="BV73" s="270"/>
      <c r="BW73" s="270"/>
      <c r="BX73" s="270"/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93"/>
      <c r="DB73" s="269"/>
      <c r="DC73" s="270"/>
      <c r="DD73" s="270"/>
      <c r="DE73" s="270"/>
      <c r="DF73" s="270"/>
      <c r="DG73" s="270"/>
      <c r="DH73" s="270"/>
      <c r="DI73" s="270"/>
      <c r="DJ73" s="270"/>
      <c r="DK73" s="270"/>
      <c r="DL73" s="270"/>
      <c r="DM73" s="270"/>
      <c r="DN73" s="270"/>
      <c r="DO73" s="270"/>
      <c r="DP73" s="270"/>
      <c r="DQ73" s="270"/>
      <c r="DR73" s="270"/>
      <c r="DS73" s="270"/>
      <c r="DT73" s="270"/>
      <c r="DU73" s="270"/>
      <c r="DV73" s="270"/>
      <c r="DW73" s="270"/>
      <c r="DX73" s="270"/>
      <c r="DY73" s="270"/>
      <c r="DZ73" s="270"/>
      <c r="EA73" s="270"/>
      <c r="EB73" s="270"/>
      <c r="EC73" s="270"/>
      <c r="ED73" s="270"/>
      <c r="EE73" s="270"/>
      <c r="EF73" s="270"/>
      <c r="EG73" s="270"/>
      <c r="EH73" s="270"/>
      <c r="EI73" s="270"/>
      <c r="EJ73" s="270"/>
      <c r="EK73" s="270"/>
      <c r="EL73" s="270"/>
      <c r="EM73" s="270"/>
      <c r="EN73" s="270"/>
      <c r="EO73" s="322"/>
      <c r="EP73" s="321">
        <f t="shared" ref="EP73" si="66">DB73+DG73+DL73+DQ73+DV73+EF73+EA73+EK73</f>
        <v>0</v>
      </c>
      <c r="EQ73" s="270"/>
      <c r="ER73" s="293"/>
    </row>
    <row r="74" spans="1:149" s="99" customFormat="1" ht="99.95" customHeight="1" x14ac:dyDescent="0.2">
      <c r="A74" s="462" t="s">
        <v>237</v>
      </c>
      <c r="B74" s="110" t="s">
        <v>221</v>
      </c>
      <c r="C74" s="271" t="s">
        <v>220</v>
      </c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307">
        <f t="shared" ref="Z74" si="67">(DB74+DG74+DL74+DQ74+DV74+EA74+EF74+EK74)*30</f>
        <v>120</v>
      </c>
      <c r="AA74" s="308"/>
      <c r="AB74" s="308"/>
      <c r="AC74" s="309"/>
      <c r="AD74" s="446"/>
      <c r="AE74" s="447"/>
      <c r="AF74" s="448"/>
      <c r="AG74" s="275">
        <f t="shared" ref="AG74" si="68">SUM(AL74:BD75)</f>
        <v>48</v>
      </c>
      <c r="AH74" s="276"/>
      <c r="AI74" s="276"/>
      <c r="AJ74" s="276"/>
      <c r="AK74" s="277"/>
      <c r="AL74" s="301"/>
      <c r="AM74" s="302"/>
      <c r="AN74" s="302"/>
      <c r="AO74" s="302"/>
      <c r="AP74" s="303"/>
      <c r="AQ74" s="301">
        <v>48</v>
      </c>
      <c r="AR74" s="302"/>
      <c r="AS74" s="302"/>
      <c r="AT74" s="302"/>
      <c r="AU74" s="303"/>
      <c r="AV74" s="301"/>
      <c r="AW74" s="302"/>
      <c r="AX74" s="302"/>
      <c r="AY74" s="302"/>
      <c r="AZ74" s="303"/>
      <c r="BA74" s="301"/>
      <c r="BB74" s="302"/>
      <c r="BC74" s="302"/>
      <c r="BD74" s="303"/>
      <c r="BE74" s="301"/>
      <c r="BF74" s="302"/>
      <c r="BG74" s="302"/>
      <c r="BH74" s="302"/>
      <c r="BI74" s="303"/>
      <c r="BJ74" s="281">
        <f t="shared" ref="BJ74" si="69">Z74-AG74</f>
        <v>72</v>
      </c>
      <c r="BK74" s="282"/>
      <c r="BL74" s="282"/>
      <c r="BM74" s="283"/>
      <c r="BN74" s="314"/>
      <c r="BO74" s="314"/>
      <c r="BP74" s="314"/>
      <c r="BQ74" s="314"/>
      <c r="BR74" s="314"/>
      <c r="BS74" s="270"/>
      <c r="BT74" s="270"/>
      <c r="BU74" s="270"/>
      <c r="BV74" s="270"/>
      <c r="BW74" s="270"/>
      <c r="BX74" s="270"/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>
        <v>4</v>
      </c>
      <c r="CX74" s="270"/>
      <c r="CY74" s="270"/>
      <c r="CZ74" s="270"/>
      <c r="DA74" s="293"/>
      <c r="DB74" s="269"/>
      <c r="DC74" s="270"/>
      <c r="DD74" s="270"/>
      <c r="DE74" s="270"/>
      <c r="DF74" s="270"/>
      <c r="DG74" s="270"/>
      <c r="DH74" s="270"/>
      <c r="DI74" s="270"/>
      <c r="DJ74" s="270"/>
      <c r="DK74" s="270"/>
      <c r="DL74" s="270"/>
      <c r="DM74" s="270"/>
      <c r="DN74" s="270"/>
      <c r="DO74" s="270"/>
      <c r="DP74" s="270"/>
      <c r="DQ74" s="270"/>
      <c r="DR74" s="270"/>
      <c r="DS74" s="270"/>
      <c r="DT74" s="270"/>
      <c r="DU74" s="270"/>
      <c r="DV74" s="270"/>
      <c r="DW74" s="270"/>
      <c r="DX74" s="270"/>
      <c r="DY74" s="270"/>
      <c r="DZ74" s="270"/>
      <c r="EA74" s="270"/>
      <c r="EB74" s="270"/>
      <c r="EC74" s="270"/>
      <c r="ED74" s="270"/>
      <c r="EE74" s="270"/>
      <c r="EF74" s="270"/>
      <c r="EG74" s="270"/>
      <c r="EH74" s="270"/>
      <c r="EI74" s="270"/>
      <c r="EJ74" s="270"/>
      <c r="EK74" s="270">
        <v>4</v>
      </c>
      <c r="EL74" s="270"/>
      <c r="EM74" s="270"/>
      <c r="EN74" s="270"/>
      <c r="EO74" s="322"/>
      <c r="EP74" s="321">
        <f t="shared" ref="EP74" si="70">SUM(DB74:EO75)</f>
        <v>4</v>
      </c>
      <c r="EQ74" s="270"/>
      <c r="ER74" s="293"/>
    </row>
    <row r="75" spans="1:149" s="99" customFormat="1" ht="99.95" customHeight="1" x14ac:dyDescent="0.2">
      <c r="A75" s="463"/>
      <c r="B75" s="110" t="s">
        <v>223</v>
      </c>
      <c r="C75" s="271" t="s">
        <v>222</v>
      </c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310"/>
      <c r="AA75" s="311"/>
      <c r="AB75" s="311"/>
      <c r="AC75" s="312"/>
      <c r="AD75" s="449"/>
      <c r="AE75" s="450"/>
      <c r="AF75" s="451"/>
      <c r="AG75" s="278"/>
      <c r="AH75" s="279"/>
      <c r="AI75" s="279"/>
      <c r="AJ75" s="279"/>
      <c r="AK75" s="280"/>
      <c r="AL75" s="304"/>
      <c r="AM75" s="305"/>
      <c r="AN75" s="305"/>
      <c r="AO75" s="305"/>
      <c r="AP75" s="306"/>
      <c r="AQ75" s="304"/>
      <c r="AR75" s="305"/>
      <c r="AS75" s="305"/>
      <c r="AT75" s="305"/>
      <c r="AU75" s="306"/>
      <c r="AV75" s="304"/>
      <c r="AW75" s="305"/>
      <c r="AX75" s="305"/>
      <c r="AY75" s="305"/>
      <c r="AZ75" s="306"/>
      <c r="BA75" s="304"/>
      <c r="BB75" s="305"/>
      <c r="BC75" s="305"/>
      <c r="BD75" s="306"/>
      <c r="BE75" s="304"/>
      <c r="BF75" s="305"/>
      <c r="BG75" s="305"/>
      <c r="BH75" s="305"/>
      <c r="BI75" s="306"/>
      <c r="BJ75" s="284"/>
      <c r="BK75" s="285"/>
      <c r="BL75" s="285"/>
      <c r="BM75" s="286"/>
      <c r="BN75" s="317"/>
      <c r="BO75" s="317"/>
      <c r="BP75" s="317"/>
      <c r="BQ75" s="317"/>
      <c r="BR75" s="317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93"/>
      <c r="DB75" s="269"/>
      <c r="DC75" s="270"/>
      <c r="DD75" s="270"/>
      <c r="DE75" s="270"/>
      <c r="DF75" s="270"/>
      <c r="DG75" s="270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270"/>
      <c r="EB75" s="27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322"/>
      <c r="EP75" s="321">
        <f t="shared" ref="EP75" si="71">DB75+DG75+DL75+DQ75+DV75+EF75+EA75+EK75</f>
        <v>0</v>
      </c>
      <c r="EQ75" s="270"/>
      <c r="ER75" s="293"/>
    </row>
    <row r="76" spans="1:149" s="68" customFormat="1" ht="99.95" customHeight="1" x14ac:dyDescent="0.2">
      <c r="A76" s="460" t="s">
        <v>238</v>
      </c>
      <c r="B76" s="107" t="s">
        <v>225</v>
      </c>
      <c r="C76" s="445" t="s">
        <v>224</v>
      </c>
      <c r="D76" s="445"/>
      <c r="E76" s="445"/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281">
        <f t="shared" ref="Z76" si="72">(DB76+DG76+DL76+DQ76+DV76+EA76+EF76+EK76)*30</f>
        <v>180</v>
      </c>
      <c r="AA76" s="282"/>
      <c r="AB76" s="282"/>
      <c r="AC76" s="342"/>
      <c r="AD76" s="386"/>
      <c r="AE76" s="387"/>
      <c r="AF76" s="388"/>
      <c r="AG76" s="275">
        <f t="shared" ref="AG76" si="73">SUM(AL76:BD77)</f>
        <v>72</v>
      </c>
      <c r="AH76" s="276"/>
      <c r="AI76" s="276"/>
      <c r="AJ76" s="276"/>
      <c r="AK76" s="277"/>
      <c r="AL76" s="275"/>
      <c r="AM76" s="276"/>
      <c r="AN76" s="276"/>
      <c r="AO76" s="276"/>
      <c r="AP76" s="277"/>
      <c r="AQ76" s="275">
        <v>72</v>
      </c>
      <c r="AR76" s="276"/>
      <c r="AS76" s="276"/>
      <c r="AT76" s="276"/>
      <c r="AU76" s="277"/>
      <c r="AV76" s="275"/>
      <c r="AW76" s="276"/>
      <c r="AX76" s="276"/>
      <c r="AY76" s="276"/>
      <c r="AZ76" s="277"/>
      <c r="BA76" s="275"/>
      <c r="BB76" s="276"/>
      <c r="BC76" s="276"/>
      <c r="BD76" s="277"/>
      <c r="BE76" s="275"/>
      <c r="BF76" s="276"/>
      <c r="BG76" s="276"/>
      <c r="BH76" s="276"/>
      <c r="BI76" s="277"/>
      <c r="BJ76" s="281">
        <f t="shared" ref="BJ76" si="74">Z76-AG76</f>
        <v>108</v>
      </c>
      <c r="BK76" s="282"/>
      <c r="BL76" s="282"/>
      <c r="BM76" s="283"/>
      <c r="BN76" s="288"/>
      <c r="BO76" s="288"/>
      <c r="BP76" s="288"/>
      <c r="BQ76" s="288"/>
      <c r="BR76" s="288"/>
      <c r="BS76" s="270"/>
      <c r="BT76" s="270"/>
      <c r="BU76" s="270"/>
      <c r="BV76" s="270"/>
      <c r="BW76" s="270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>
        <v>4</v>
      </c>
      <c r="CS76" s="270"/>
      <c r="CT76" s="270"/>
      <c r="CU76" s="270"/>
      <c r="CV76" s="270"/>
      <c r="CW76" s="270">
        <v>2</v>
      </c>
      <c r="CX76" s="270"/>
      <c r="CY76" s="270"/>
      <c r="CZ76" s="270"/>
      <c r="DA76" s="293"/>
      <c r="DB76" s="266"/>
      <c r="DC76" s="267"/>
      <c r="DD76" s="267"/>
      <c r="DE76" s="267"/>
      <c r="DF76" s="267"/>
      <c r="DG76" s="270"/>
      <c r="DH76" s="270"/>
      <c r="DI76" s="270"/>
      <c r="DJ76" s="270"/>
      <c r="DK76" s="270"/>
      <c r="DL76" s="270"/>
      <c r="DM76" s="270"/>
      <c r="DN76" s="270"/>
      <c r="DO76" s="270"/>
      <c r="DP76" s="270"/>
      <c r="DQ76" s="270"/>
      <c r="DR76" s="270"/>
      <c r="DS76" s="270"/>
      <c r="DT76" s="270"/>
      <c r="DU76" s="270"/>
      <c r="DV76" s="270"/>
      <c r="DW76" s="270"/>
      <c r="DX76" s="270"/>
      <c r="DY76" s="270"/>
      <c r="DZ76" s="270"/>
      <c r="EA76" s="270"/>
      <c r="EB76" s="270"/>
      <c r="EC76" s="270"/>
      <c r="ED76" s="270"/>
      <c r="EE76" s="270"/>
      <c r="EF76" s="270">
        <v>4</v>
      </c>
      <c r="EG76" s="270"/>
      <c r="EH76" s="270"/>
      <c r="EI76" s="270"/>
      <c r="EJ76" s="270"/>
      <c r="EK76" s="270">
        <v>2</v>
      </c>
      <c r="EL76" s="270"/>
      <c r="EM76" s="270"/>
      <c r="EN76" s="270"/>
      <c r="EO76" s="322"/>
      <c r="EP76" s="341">
        <f t="shared" ref="EP76" si="75">SUM(DB76:EO77)</f>
        <v>6</v>
      </c>
      <c r="EQ76" s="267"/>
      <c r="ER76" s="268"/>
    </row>
    <row r="77" spans="1:149" s="68" customFormat="1" ht="99.95" customHeight="1" x14ac:dyDescent="0.2">
      <c r="A77" s="461"/>
      <c r="B77" s="107" t="s">
        <v>223</v>
      </c>
      <c r="C77" s="445" t="s">
        <v>226</v>
      </c>
      <c r="D77" s="445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45"/>
      <c r="X77" s="445"/>
      <c r="Y77" s="445"/>
      <c r="Z77" s="284"/>
      <c r="AA77" s="285"/>
      <c r="AB77" s="285"/>
      <c r="AC77" s="343"/>
      <c r="AD77" s="392"/>
      <c r="AE77" s="393"/>
      <c r="AF77" s="394"/>
      <c r="AG77" s="278"/>
      <c r="AH77" s="279"/>
      <c r="AI77" s="279"/>
      <c r="AJ77" s="279"/>
      <c r="AK77" s="280"/>
      <c r="AL77" s="278"/>
      <c r="AM77" s="279"/>
      <c r="AN77" s="279"/>
      <c r="AO77" s="279"/>
      <c r="AP77" s="280"/>
      <c r="AQ77" s="278"/>
      <c r="AR77" s="279"/>
      <c r="AS77" s="279"/>
      <c r="AT77" s="279"/>
      <c r="AU77" s="280"/>
      <c r="AV77" s="278"/>
      <c r="AW77" s="279"/>
      <c r="AX77" s="279"/>
      <c r="AY77" s="279"/>
      <c r="AZ77" s="280"/>
      <c r="BA77" s="278"/>
      <c r="BB77" s="279"/>
      <c r="BC77" s="279"/>
      <c r="BD77" s="280"/>
      <c r="BE77" s="278"/>
      <c r="BF77" s="279"/>
      <c r="BG77" s="279"/>
      <c r="BH77" s="279"/>
      <c r="BI77" s="280"/>
      <c r="BJ77" s="284"/>
      <c r="BK77" s="285"/>
      <c r="BL77" s="285"/>
      <c r="BM77" s="286"/>
      <c r="BN77" s="289"/>
      <c r="BO77" s="289"/>
      <c r="BP77" s="289"/>
      <c r="BQ77" s="289"/>
      <c r="BR77" s="289"/>
      <c r="BS77" s="270"/>
      <c r="BT77" s="270"/>
      <c r="BU77" s="270"/>
      <c r="BV77" s="270"/>
      <c r="BW77" s="270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93"/>
      <c r="DB77" s="266"/>
      <c r="DC77" s="267"/>
      <c r="DD77" s="267"/>
      <c r="DE77" s="267"/>
      <c r="DF77" s="267"/>
      <c r="DG77" s="270"/>
      <c r="DH77" s="270"/>
      <c r="DI77" s="270"/>
      <c r="DJ77" s="270"/>
      <c r="DK77" s="270"/>
      <c r="DL77" s="270"/>
      <c r="DM77" s="270"/>
      <c r="DN77" s="270"/>
      <c r="DO77" s="270"/>
      <c r="DP77" s="270"/>
      <c r="DQ77" s="270"/>
      <c r="DR77" s="270"/>
      <c r="DS77" s="270"/>
      <c r="DT77" s="270"/>
      <c r="DU77" s="270"/>
      <c r="DV77" s="270"/>
      <c r="DW77" s="270"/>
      <c r="DX77" s="270"/>
      <c r="DY77" s="270"/>
      <c r="DZ77" s="270"/>
      <c r="EA77" s="270"/>
      <c r="EB77" s="270"/>
      <c r="EC77" s="270"/>
      <c r="ED77" s="270"/>
      <c r="EE77" s="270"/>
      <c r="EF77" s="270"/>
      <c r="EG77" s="270"/>
      <c r="EH77" s="270"/>
      <c r="EI77" s="270"/>
      <c r="EJ77" s="270"/>
      <c r="EK77" s="270"/>
      <c r="EL77" s="270"/>
      <c r="EM77" s="270"/>
      <c r="EN77" s="270"/>
      <c r="EO77" s="322"/>
      <c r="EP77" s="341">
        <f t="shared" ref="EP77" si="76">DB77+DG77+DL77+DQ77+DV77+EF77+EA77+EK77</f>
        <v>0</v>
      </c>
      <c r="EQ77" s="267"/>
      <c r="ER77" s="268"/>
    </row>
    <row r="78" spans="1:149" s="68" customFormat="1" ht="99.95" customHeight="1" x14ac:dyDescent="0.2">
      <c r="A78" s="460" t="s">
        <v>239</v>
      </c>
      <c r="B78" s="107" t="s">
        <v>228</v>
      </c>
      <c r="C78" s="445" t="s">
        <v>227</v>
      </c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45"/>
      <c r="X78" s="445"/>
      <c r="Y78" s="445"/>
      <c r="Z78" s="281">
        <f t="shared" ref="Z78" si="77">(DB78+DG78+DL78+DQ78+DV78+EA78+EF78+EK78)*30</f>
        <v>180</v>
      </c>
      <c r="AA78" s="282"/>
      <c r="AB78" s="282"/>
      <c r="AC78" s="342"/>
      <c r="AD78" s="386"/>
      <c r="AE78" s="387"/>
      <c r="AF78" s="388"/>
      <c r="AG78" s="275">
        <f t="shared" ref="AG78" si="78">SUM(AL78:BD79)</f>
        <v>72</v>
      </c>
      <c r="AH78" s="276"/>
      <c r="AI78" s="276"/>
      <c r="AJ78" s="276"/>
      <c r="AK78" s="277"/>
      <c r="AL78" s="275"/>
      <c r="AM78" s="276"/>
      <c r="AN78" s="276"/>
      <c r="AO78" s="276"/>
      <c r="AP78" s="277"/>
      <c r="AQ78" s="275">
        <v>72</v>
      </c>
      <c r="AR78" s="276"/>
      <c r="AS78" s="276"/>
      <c r="AT78" s="276"/>
      <c r="AU78" s="277"/>
      <c r="AV78" s="275"/>
      <c r="AW78" s="276"/>
      <c r="AX78" s="276"/>
      <c r="AY78" s="276"/>
      <c r="AZ78" s="277"/>
      <c r="BA78" s="275"/>
      <c r="BB78" s="276"/>
      <c r="BC78" s="276"/>
      <c r="BD78" s="277"/>
      <c r="BE78" s="275"/>
      <c r="BF78" s="276"/>
      <c r="BG78" s="276"/>
      <c r="BH78" s="276"/>
      <c r="BI78" s="277"/>
      <c r="BJ78" s="281">
        <f t="shared" ref="BJ78" si="79">Z78-AG78</f>
        <v>108</v>
      </c>
      <c r="BK78" s="282"/>
      <c r="BL78" s="282"/>
      <c r="BM78" s="283"/>
      <c r="BN78" s="288"/>
      <c r="BO78" s="288"/>
      <c r="BP78" s="288"/>
      <c r="BQ78" s="288"/>
      <c r="BR78" s="288"/>
      <c r="BS78" s="270"/>
      <c r="BT78" s="270"/>
      <c r="BU78" s="270"/>
      <c r="BV78" s="270"/>
      <c r="BW78" s="270"/>
      <c r="BX78" s="270"/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0"/>
      <c r="CO78" s="270"/>
      <c r="CP78" s="270"/>
      <c r="CQ78" s="270"/>
      <c r="CR78" s="270">
        <v>2</v>
      </c>
      <c r="CS78" s="270"/>
      <c r="CT78" s="270"/>
      <c r="CU78" s="270"/>
      <c r="CV78" s="270"/>
      <c r="CW78" s="270">
        <v>4</v>
      </c>
      <c r="CX78" s="270"/>
      <c r="CY78" s="270"/>
      <c r="CZ78" s="270"/>
      <c r="DA78" s="293"/>
      <c r="DB78" s="266"/>
      <c r="DC78" s="267"/>
      <c r="DD78" s="267"/>
      <c r="DE78" s="267"/>
      <c r="DF78" s="267"/>
      <c r="DG78" s="270"/>
      <c r="DH78" s="270"/>
      <c r="DI78" s="270"/>
      <c r="DJ78" s="270"/>
      <c r="DK78" s="270"/>
      <c r="DL78" s="270"/>
      <c r="DM78" s="270"/>
      <c r="DN78" s="270"/>
      <c r="DO78" s="270"/>
      <c r="DP78" s="270"/>
      <c r="DQ78" s="270"/>
      <c r="DR78" s="270"/>
      <c r="DS78" s="270"/>
      <c r="DT78" s="270"/>
      <c r="DU78" s="270"/>
      <c r="DV78" s="270"/>
      <c r="DW78" s="270"/>
      <c r="DX78" s="270"/>
      <c r="DY78" s="270"/>
      <c r="DZ78" s="270"/>
      <c r="EA78" s="270"/>
      <c r="EB78" s="270"/>
      <c r="EC78" s="270"/>
      <c r="ED78" s="270"/>
      <c r="EE78" s="270"/>
      <c r="EF78" s="270">
        <v>2</v>
      </c>
      <c r="EG78" s="270"/>
      <c r="EH78" s="270"/>
      <c r="EI78" s="270"/>
      <c r="EJ78" s="270"/>
      <c r="EK78" s="270">
        <v>4</v>
      </c>
      <c r="EL78" s="270"/>
      <c r="EM78" s="270"/>
      <c r="EN78" s="270"/>
      <c r="EO78" s="322"/>
      <c r="EP78" s="341">
        <f t="shared" ref="EP78" si="80">SUM(DB78:EO79)</f>
        <v>6</v>
      </c>
      <c r="EQ78" s="267"/>
      <c r="ER78" s="268"/>
    </row>
    <row r="79" spans="1:149" s="68" customFormat="1" ht="99.95" customHeight="1" x14ac:dyDescent="0.2">
      <c r="A79" s="461"/>
      <c r="B79" s="107" t="s">
        <v>230</v>
      </c>
      <c r="C79" s="445" t="s">
        <v>229</v>
      </c>
      <c r="D79" s="445"/>
      <c r="E79" s="445"/>
      <c r="F79" s="445"/>
      <c r="G79" s="445"/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445"/>
      <c r="S79" s="445"/>
      <c r="T79" s="445"/>
      <c r="U79" s="445"/>
      <c r="V79" s="445"/>
      <c r="W79" s="445"/>
      <c r="X79" s="445"/>
      <c r="Y79" s="445"/>
      <c r="Z79" s="284"/>
      <c r="AA79" s="285"/>
      <c r="AB79" s="285"/>
      <c r="AC79" s="343"/>
      <c r="AD79" s="392"/>
      <c r="AE79" s="393"/>
      <c r="AF79" s="394"/>
      <c r="AG79" s="278"/>
      <c r="AH79" s="279"/>
      <c r="AI79" s="279"/>
      <c r="AJ79" s="279"/>
      <c r="AK79" s="280"/>
      <c r="AL79" s="278"/>
      <c r="AM79" s="279"/>
      <c r="AN79" s="279"/>
      <c r="AO79" s="279"/>
      <c r="AP79" s="280"/>
      <c r="AQ79" s="278"/>
      <c r="AR79" s="279"/>
      <c r="AS79" s="279"/>
      <c r="AT79" s="279"/>
      <c r="AU79" s="280"/>
      <c r="AV79" s="278"/>
      <c r="AW79" s="279"/>
      <c r="AX79" s="279"/>
      <c r="AY79" s="279"/>
      <c r="AZ79" s="280"/>
      <c r="BA79" s="278"/>
      <c r="BB79" s="279"/>
      <c r="BC79" s="279"/>
      <c r="BD79" s="280"/>
      <c r="BE79" s="278"/>
      <c r="BF79" s="279"/>
      <c r="BG79" s="279"/>
      <c r="BH79" s="279"/>
      <c r="BI79" s="280"/>
      <c r="BJ79" s="284"/>
      <c r="BK79" s="285"/>
      <c r="BL79" s="285"/>
      <c r="BM79" s="286"/>
      <c r="BN79" s="289"/>
      <c r="BO79" s="289"/>
      <c r="BP79" s="289"/>
      <c r="BQ79" s="289"/>
      <c r="BR79" s="289"/>
      <c r="BS79" s="270"/>
      <c r="BT79" s="270"/>
      <c r="BU79" s="270"/>
      <c r="BV79" s="270"/>
      <c r="BW79" s="270"/>
      <c r="BX79" s="270"/>
      <c r="BY79" s="270"/>
      <c r="BZ79" s="270"/>
      <c r="CA79" s="270"/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0"/>
      <c r="CV79" s="270"/>
      <c r="CW79" s="270"/>
      <c r="CX79" s="270"/>
      <c r="CY79" s="270"/>
      <c r="CZ79" s="270"/>
      <c r="DA79" s="293"/>
      <c r="DB79" s="266"/>
      <c r="DC79" s="267"/>
      <c r="DD79" s="267"/>
      <c r="DE79" s="267"/>
      <c r="DF79" s="267"/>
      <c r="DG79" s="270"/>
      <c r="DH79" s="270"/>
      <c r="DI79" s="270"/>
      <c r="DJ79" s="270"/>
      <c r="DK79" s="270"/>
      <c r="DL79" s="270"/>
      <c r="DM79" s="270"/>
      <c r="DN79" s="270"/>
      <c r="DO79" s="270"/>
      <c r="DP79" s="270"/>
      <c r="DQ79" s="270"/>
      <c r="DR79" s="270"/>
      <c r="DS79" s="270"/>
      <c r="DT79" s="270"/>
      <c r="DU79" s="270"/>
      <c r="DV79" s="270"/>
      <c r="DW79" s="270"/>
      <c r="DX79" s="270"/>
      <c r="DY79" s="270"/>
      <c r="DZ79" s="270"/>
      <c r="EA79" s="270"/>
      <c r="EB79" s="270"/>
      <c r="EC79" s="270"/>
      <c r="ED79" s="270"/>
      <c r="EE79" s="270"/>
      <c r="EF79" s="270"/>
      <c r="EG79" s="270"/>
      <c r="EH79" s="270"/>
      <c r="EI79" s="270"/>
      <c r="EJ79" s="270"/>
      <c r="EK79" s="270"/>
      <c r="EL79" s="270"/>
      <c r="EM79" s="270"/>
      <c r="EN79" s="270"/>
      <c r="EO79" s="322"/>
      <c r="EP79" s="341">
        <f t="shared" ref="EP79" si="81">DB79+DG79+DL79+DQ79+DV79+EF79+EA79+EK79</f>
        <v>0</v>
      </c>
      <c r="EQ79" s="267"/>
      <c r="ER79" s="268"/>
    </row>
    <row r="80" spans="1:149" s="67" customFormat="1" ht="80.099999999999994" customHeight="1" x14ac:dyDescent="0.45">
      <c r="A80" s="32"/>
      <c r="B80" s="33"/>
      <c r="C80" s="360" t="s">
        <v>92</v>
      </c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35">
        <f>Z57+Z34</f>
        <v>5940</v>
      </c>
      <c r="AA80" s="336"/>
      <c r="AB80" s="336"/>
      <c r="AC80" s="337"/>
      <c r="AD80" s="362">
        <f>Z80/$Z$84*100</f>
        <v>82.5</v>
      </c>
      <c r="AE80" s="362"/>
      <c r="AF80" s="362"/>
      <c r="AG80" s="324">
        <f>AG57+AG34</f>
        <v>2514</v>
      </c>
      <c r="AH80" s="361"/>
      <c r="AI80" s="361"/>
      <c r="AJ80" s="361"/>
      <c r="AK80" s="361"/>
      <c r="AL80" s="324">
        <f>AL57+AL34</f>
        <v>634</v>
      </c>
      <c r="AM80" s="361"/>
      <c r="AN80" s="361"/>
      <c r="AO80" s="361"/>
      <c r="AP80" s="361"/>
      <c r="AQ80" s="324">
        <f>AQ57+AQ34</f>
        <v>1624</v>
      </c>
      <c r="AR80" s="361"/>
      <c r="AS80" s="361"/>
      <c r="AT80" s="361"/>
      <c r="AU80" s="361"/>
      <c r="AV80" s="324">
        <f>AV57+AV34</f>
        <v>256</v>
      </c>
      <c r="AW80" s="361"/>
      <c r="AX80" s="361"/>
      <c r="AY80" s="361"/>
      <c r="AZ80" s="361"/>
      <c r="BA80" s="324">
        <f>BA57+BA34</f>
        <v>0</v>
      </c>
      <c r="BB80" s="361"/>
      <c r="BC80" s="361"/>
      <c r="BD80" s="361"/>
      <c r="BE80" s="324">
        <f>BE57+BE34</f>
        <v>0</v>
      </c>
      <c r="BF80" s="361"/>
      <c r="BG80" s="361"/>
      <c r="BH80" s="361"/>
      <c r="BI80" s="361"/>
      <c r="BJ80" s="376">
        <f>BJ57+BJ34</f>
        <v>3426</v>
      </c>
      <c r="BK80" s="370"/>
      <c r="BL80" s="370"/>
      <c r="BM80" s="377"/>
      <c r="BN80" s="291">
        <f>BN57+BN34</f>
        <v>24</v>
      </c>
      <c r="BO80" s="290"/>
      <c r="BP80" s="290"/>
      <c r="BQ80" s="290"/>
      <c r="BR80" s="290"/>
      <c r="BS80" s="292">
        <f>BS57+BS34</f>
        <v>24</v>
      </c>
      <c r="BT80" s="395"/>
      <c r="BU80" s="395"/>
      <c r="BV80" s="395"/>
      <c r="BW80" s="291"/>
      <c r="BX80" s="292">
        <f>BX57+BX34</f>
        <v>24</v>
      </c>
      <c r="BY80" s="395"/>
      <c r="BZ80" s="395"/>
      <c r="CA80" s="395"/>
      <c r="CB80" s="291"/>
      <c r="CC80" s="292">
        <f>CC57+CC34</f>
        <v>24</v>
      </c>
      <c r="CD80" s="395"/>
      <c r="CE80" s="395"/>
      <c r="CF80" s="395"/>
      <c r="CG80" s="291"/>
      <c r="CH80" s="292">
        <f>CH57+CH34</f>
        <v>24</v>
      </c>
      <c r="CI80" s="395"/>
      <c r="CJ80" s="395"/>
      <c r="CK80" s="395"/>
      <c r="CL80" s="291"/>
      <c r="CM80" s="292">
        <f>CM57+CM34</f>
        <v>24</v>
      </c>
      <c r="CN80" s="395"/>
      <c r="CO80" s="395"/>
      <c r="CP80" s="395"/>
      <c r="CQ80" s="291"/>
      <c r="CR80" s="292">
        <f>CR57+CR34</f>
        <v>24</v>
      </c>
      <c r="CS80" s="395"/>
      <c r="CT80" s="395"/>
      <c r="CU80" s="395"/>
      <c r="CV80" s="291"/>
      <c r="CW80" s="292">
        <f>CW57+CW34</f>
        <v>24</v>
      </c>
      <c r="CX80" s="395"/>
      <c r="CY80" s="395"/>
      <c r="CZ80" s="395"/>
      <c r="DA80" s="396"/>
      <c r="DB80" s="291">
        <f>DB57+DB34</f>
        <v>30</v>
      </c>
      <c r="DC80" s="290"/>
      <c r="DD80" s="290"/>
      <c r="DE80" s="290"/>
      <c r="DF80" s="290"/>
      <c r="DG80" s="291">
        <f>DG57+DG34</f>
        <v>27</v>
      </c>
      <c r="DH80" s="290"/>
      <c r="DI80" s="290"/>
      <c r="DJ80" s="290"/>
      <c r="DK80" s="290"/>
      <c r="DL80" s="291">
        <f>DL57+DL34</f>
        <v>24</v>
      </c>
      <c r="DM80" s="290"/>
      <c r="DN80" s="290"/>
      <c r="DO80" s="290"/>
      <c r="DP80" s="290"/>
      <c r="DQ80" s="291">
        <f>DQ57+DQ34</f>
        <v>24</v>
      </c>
      <c r="DR80" s="290"/>
      <c r="DS80" s="290"/>
      <c r="DT80" s="290"/>
      <c r="DU80" s="290"/>
      <c r="DV80" s="291">
        <f>DV57+DV34</f>
        <v>24</v>
      </c>
      <c r="DW80" s="290"/>
      <c r="DX80" s="290"/>
      <c r="DY80" s="290"/>
      <c r="DZ80" s="290"/>
      <c r="EA80" s="291">
        <f>EA57+EA34</f>
        <v>24</v>
      </c>
      <c r="EB80" s="290"/>
      <c r="EC80" s="290"/>
      <c r="ED80" s="290"/>
      <c r="EE80" s="290"/>
      <c r="EF80" s="291">
        <f>EF57+EF34</f>
        <v>24</v>
      </c>
      <c r="EG80" s="290"/>
      <c r="EH80" s="290"/>
      <c r="EI80" s="290"/>
      <c r="EJ80" s="290"/>
      <c r="EK80" s="291">
        <f>EK57+EK34</f>
        <v>21</v>
      </c>
      <c r="EL80" s="290"/>
      <c r="EM80" s="290"/>
      <c r="EN80" s="290"/>
      <c r="EO80" s="292"/>
      <c r="EP80" s="323">
        <f>EP57+EP34</f>
        <v>198</v>
      </c>
      <c r="EQ80" s="324"/>
      <c r="ER80" s="325"/>
      <c r="ES80" s="42"/>
    </row>
    <row r="81" spans="1:161" s="68" customFormat="1" ht="99.95" customHeight="1" x14ac:dyDescent="0.2">
      <c r="A81" s="30"/>
      <c r="B81" s="31"/>
      <c r="C81" s="272" t="s">
        <v>93</v>
      </c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65">
        <f t="shared" ref="Z81:Z82" si="82">(DB81+DG81+DL81+DQ81+DV81+EA81+EF81+EK81)*30</f>
        <v>1170</v>
      </c>
      <c r="AA81" s="265"/>
      <c r="AB81" s="265"/>
      <c r="AC81" s="265"/>
      <c r="AD81" s="442"/>
      <c r="AE81" s="442"/>
      <c r="AF81" s="442"/>
      <c r="AG81" s="263"/>
      <c r="AH81" s="263"/>
      <c r="AI81" s="263"/>
      <c r="AJ81" s="263"/>
      <c r="AK81" s="263"/>
      <c r="AL81" s="452"/>
      <c r="AM81" s="453"/>
      <c r="AN81" s="453"/>
      <c r="AO81" s="453"/>
      <c r="AP81" s="454"/>
      <c r="AQ81" s="263"/>
      <c r="AR81" s="263"/>
      <c r="AS81" s="263"/>
      <c r="AT81" s="263"/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63"/>
      <c r="BJ81" s="265">
        <f t="shared" ref="BJ81:BJ82" si="83">Z81-AG81</f>
        <v>1170</v>
      </c>
      <c r="BK81" s="265"/>
      <c r="BL81" s="265"/>
      <c r="BM81" s="261"/>
      <c r="BN81" s="380"/>
      <c r="BO81" s="378"/>
      <c r="BP81" s="378"/>
      <c r="BQ81" s="378"/>
      <c r="BR81" s="378"/>
      <c r="BS81" s="378"/>
      <c r="BT81" s="378"/>
      <c r="BU81" s="378"/>
      <c r="BV81" s="378"/>
      <c r="BW81" s="378"/>
      <c r="BX81" s="378"/>
      <c r="BY81" s="378"/>
      <c r="BZ81" s="378"/>
      <c r="CA81" s="378"/>
      <c r="CB81" s="378"/>
      <c r="CC81" s="378"/>
      <c r="CD81" s="378"/>
      <c r="CE81" s="378"/>
      <c r="CF81" s="378"/>
      <c r="CG81" s="378"/>
      <c r="CH81" s="378"/>
      <c r="CI81" s="378"/>
      <c r="CJ81" s="378"/>
      <c r="CK81" s="378"/>
      <c r="CL81" s="378"/>
      <c r="CM81" s="378"/>
      <c r="CN81" s="378"/>
      <c r="CO81" s="378"/>
      <c r="CP81" s="378"/>
      <c r="CQ81" s="378"/>
      <c r="CR81" s="378"/>
      <c r="CS81" s="378"/>
      <c r="CT81" s="378"/>
      <c r="CU81" s="378"/>
      <c r="CV81" s="378"/>
      <c r="CW81" s="378"/>
      <c r="CX81" s="378"/>
      <c r="CY81" s="378"/>
      <c r="CZ81" s="378"/>
      <c r="DA81" s="379"/>
      <c r="DB81" s="380"/>
      <c r="DC81" s="378"/>
      <c r="DD81" s="378"/>
      <c r="DE81" s="378"/>
      <c r="DF81" s="378"/>
      <c r="DG81" s="267">
        <v>3</v>
      </c>
      <c r="DH81" s="267"/>
      <c r="DI81" s="267"/>
      <c r="DJ81" s="267"/>
      <c r="DK81" s="267"/>
      <c r="DL81" s="267">
        <v>6</v>
      </c>
      <c r="DM81" s="267"/>
      <c r="DN81" s="267"/>
      <c r="DO81" s="267"/>
      <c r="DP81" s="267"/>
      <c r="DQ81" s="267">
        <v>6</v>
      </c>
      <c r="DR81" s="267"/>
      <c r="DS81" s="267"/>
      <c r="DT81" s="267"/>
      <c r="DU81" s="267"/>
      <c r="DV81" s="267">
        <v>6</v>
      </c>
      <c r="DW81" s="267"/>
      <c r="DX81" s="267"/>
      <c r="DY81" s="267"/>
      <c r="DZ81" s="267"/>
      <c r="EA81" s="267">
        <v>6</v>
      </c>
      <c r="EB81" s="267"/>
      <c r="EC81" s="267"/>
      <c r="ED81" s="267"/>
      <c r="EE81" s="267"/>
      <c r="EF81" s="267">
        <v>6</v>
      </c>
      <c r="EG81" s="267"/>
      <c r="EH81" s="267"/>
      <c r="EI81" s="267"/>
      <c r="EJ81" s="267"/>
      <c r="EK81" s="267">
        <v>6</v>
      </c>
      <c r="EL81" s="267"/>
      <c r="EM81" s="267"/>
      <c r="EN81" s="267"/>
      <c r="EO81" s="458"/>
      <c r="EP81" s="259">
        <f t="shared" ref="EP81" si="84">DB81+DG81+DL81+DQ81+DV81+EF81+EA81+EK81</f>
        <v>39</v>
      </c>
      <c r="EQ81" s="260"/>
      <c r="ER81" s="261"/>
      <c r="ES81" s="67"/>
    </row>
    <row r="82" spans="1:161" s="67" customFormat="1" ht="99.95" customHeight="1" x14ac:dyDescent="0.45">
      <c r="A82" s="30"/>
      <c r="B82" s="31"/>
      <c r="C82" s="272" t="s">
        <v>19</v>
      </c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65">
        <f t="shared" si="82"/>
        <v>90</v>
      </c>
      <c r="AA82" s="265"/>
      <c r="AB82" s="265"/>
      <c r="AC82" s="265"/>
      <c r="AD82" s="429"/>
      <c r="AE82" s="429"/>
      <c r="AF82" s="378"/>
      <c r="AG82" s="263"/>
      <c r="AH82" s="263"/>
      <c r="AI82" s="263"/>
      <c r="AJ82" s="263"/>
      <c r="AK82" s="263"/>
      <c r="AL82" s="452"/>
      <c r="AM82" s="453"/>
      <c r="AN82" s="453"/>
      <c r="AO82" s="453"/>
      <c r="AP82" s="454"/>
      <c r="AQ82" s="263"/>
      <c r="AR82" s="263"/>
      <c r="AS82" s="263"/>
      <c r="AT82" s="263"/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63"/>
      <c r="BJ82" s="265">
        <f t="shared" si="83"/>
        <v>90</v>
      </c>
      <c r="BK82" s="265"/>
      <c r="BL82" s="265"/>
      <c r="BM82" s="261"/>
      <c r="BN82" s="380"/>
      <c r="BO82" s="378"/>
      <c r="BP82" s="378"/>
      <c r="BQ82" s="378"/>
      <c r="BR82" s="378"/>
      <c r="BS82" s="378"/>
      <c r="BT82" s="378"/>
      <c r="BU82" s="378"/>
      <c r="BV82" s="378"/>
      <c r="BW82" s="378"/>
      <c r="BX82" s="378"/>
      <c r="BY82" s="378"/>
      <c r="BZ82" s="378"/>
      <c r="CA82" s="378"/>
      <c r="CB82" s="378"/>
      <c r="CC82" s="378"/>
      <c r="CD82" s="378"/>
      <c r="CE82" s="378"/>
      <c r="CF82" s="378"/>
      <c r="CG82" s="378"/>
      <c r="CH82" s="378"/>
      <c r="CI82" s="378"/>
      <c r="CJ82" s="378"/>
      <c r="CK82" s="378"/>
      <c r="CL82" s="378"/>
      <c r="CM82" s="378"/>
      <c r="CN82" s="378"/>
      <c r="CO82" s="378"/>
      <c r="CP82" s="378"/>
      <c r="CQ82" s="378"/>
      <c r="CR82" s="378"/>
      <c r="CS82" s="378"/>
      <c r="CT82" s="378"/>
      <c r="CU82" s="378"/>
      <c r="CV82" s="378"/>
      <c r="CW82" s="378"/>
      <c r="CX82" s="378"/>
      <c r="CY82" s="378"/>
      <c r="CZ82" s="378"/>
      <c r="DA82" s="379"/>
      <c r="DB82" s="380"/>
      <c r="DC82" s="378"/>
      <c r="DD82" s="378"/>
      <c r="DE82" s="378"/>
      <c r="DF82" s="378"/>
      <c r="DG82" s="267"/>
      <c r="DH82" s="267"/>
      <c r="DI82" s="267"/>
      <c r="DJ82" s="267"/>
      <c r="DK82" s="267"/>
      <c r="DL82" s="267"/>
      <c r="DM82" s="267"/>
      <c r="DN82" s="267"/>
      <c r="DO82" s="267"/>
      <c r="DP82" s="267"/>
      <c r="DQ82" s="267"/>
      <c r="DR82" s="267"/>
      <c r="DS82" s="267"/>
      <c r="DT82" s="267"/>
      <c r="DU82" s="267"/>
      <c r="DV82" s="267"/>
      <c r="DW82" s="267"/>
      <c r="DX82" s="267"/>
      <c r="DY82" s="267"/>
      <c r="DZ82" s="267"/>
      <c r="EA82" s="267"/>
      <c r="EB82" s="267"/>
      <c r="EC82" s="267"/>
      <c r="ED82" s="267"/>
      <c r="EE82" s="267"/>
      <c r="EF82" s="267"/>
      <c r="EG82" s="267"/>
      <c r="EH82" s="267"/>
      <c r="EI82" s="267"/>
      <c r="EJ82" s="267"/>
      <c r="EK82" s="267">
        <v>3</v>
      </c>
      <c r="EL82" s="267"/>
      <c r="EM82" s="267"/>
      <c r="EN82" s="267"/>
      <c r="EO82" s="458"/>
      <c r="EP82" s="259">
        <f t="shared" ref="EP82" si="85">DB82+DG82+DL82+DQ82+DV82+EF82+EA82+EK82</f>
        <v>3</v>
      </c>
      <c r="EQ82" s="260"/>
      <c r="ER82" s="261"/>
      <c r="ES82" s="42"/>
    </row>
    <row r="83" spans="1:161" s="67" customFormat="1" ht="80.099999999999994" customHeight="1" x14ac:dyDescent="0.45">
      <c r="A83" s="32"/>
      <c r="B83" s="33"/>
      <c r="C83" s="360" t="s">
        <v>92</v>
      </c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1">
        <f>Z81+Z82</f>
        <v>1260</v>
      </c>
      <c r="AA83" s="361"/>
      <c r="AB83" s="361"/>
      <c r="AC83" s="361"/>
      <c r="AD83" s="362">
        <f>Z83/$Z$84*100</f>
        <v>17.5</v>
      </c>
      <c r="AE83" s="362"/>
      <c r="AF83" s="362"/>
      <c r="AG83" s="361">
        <f>AG81+AG82</f>
        <v>0</v>
      </c>
      <c r="AH83" s="361"/>
      <c r="AI83" s="361"/>
      <c r="AJ83" s="361"/>
      <c r="AK83" s="361"/>
      <c r="AL83" s="369"/>
      <c r="AM83" s="370"/>
      <c r="AN83" s="370"/>
      <c r="AO83" s="370"/>
      <c r="AP83" s="371"/>
      <c r="AQ83" s="361"/>
      <c r="AR83" s="361"/>
      <c r="AS83" s="361"/>
      <c r="AT83" s="361"/>
      <c r="AU83" s="361"/>
      <c r="AV83" s="361"/>
      <c r="AW83" s="361"/>
      <c r="AX83" s="361"/>
      <c r="AY83" s="361"/>
      <c r="AZ83" s="361"/>
      <c r="BA83" s="361"/>
      <c r="BB83" s="361"/>
      <c r="BC83" s="361"/>
      <c r="BD83" s="361"/>
      <c r="BE83" s="361"/>
      <c r="BF83" s="361"/>
      <c r="BG83" s="361"/>
      <c r="BH83" s="361"/>
      <c r="BI83" s="361"/>
      <c r="BJ83" s="369">
        <f>BJ81+BJ82</f>
        <v>1260</v>
      </c>
      <c r="BK83" s="370"/>
      <c r="BL83" s="370"/>
      <c r="BM83" s="377"/>
      <c r="BN83" s="291">
        <f t="shared" ref="BN83:CW83" si="86">BN81+BN82</f>
        <v>0</v>
      </c>
      <c r="BO83" s="290"/>
      <c r="BP83" s="290"/>
      <c r="BQ83" s="290"/>
      <c r="BR83" s="290"/>
      <c r="BS83" s="291">
        <f t="shared" si="86"/>
        <v>0</v>
      </c>
      <c r="BT83" s="290"/>
      <c r="BU83" s="290"/>
      <c r="BV83" s="290"/>
      <c r="BW83" s="290"/>
      <c r="BX83" s="291">
        <f t="shared" si="86"/>
        <v>0</v>
      </c>
      <c r="BY83" s="290"/>
      <c r="BZ83" s="290"/>
      <c r="CA83" s="290"/>
      <c r="CB83" s="290"/>
      <c r="CC83" s="291">
        <f t="shared" si="86"/>
        <v>0</v>
      </c>
      <c r="CD83" s="290"/>
      <c r="CE83" s="290"/>
      <c r="CF83" s="290"/>
      <c r="CG83" s="290"/>
      <c r="CH83" s="291">
        <f t="shared" si="86"/>
        <v>0</v>
      </c>
      <c r="CI83" s="290"/>
      <c r="CJ83" s="290"/>
      <c r="CK83" s="290"/>
      <c r="CL83" s="290"/>
      <c r="CM83" s="291">
        <f t="shared" si="86"/>
        <v>0</v>
      </c>
      <c r="CN83" s="290"/>
      <c r="CO83" s="290"/>
      <c r="CP83" s="290"/>
      <c r="CQ83" s="290"/>
      <c r="CR83" s="291">
        <f t="shared" si="86"/>
        <v>0</v>
      </c>
      <c r="CS83" s="290"/>
      <c r="CT83" s="290"/>
      <c r="CU83" s="290"/>
      <c r="CV83" s="290"/>
      <c r="CW83" s="291">
        <f t="shared" si="86"/>
        <v>0</v>
      </c>
      <c r="CX83" s="290"/>
      <c r="CY83" s="290"/>
      <c r="CZ83" s="290"/>
      <c r="DA83" s="290"/>
      <c r="DB83" s="291">
        <f>DB81+DB82</f>
        <v>0</v>
      </c>
      <c r="DC83" s="290"/>
      <c r="DD83" s="290"/>
      <c r="DE83" s="290"/>
      <c r="DF83" s="290"/>
      <c r="DG83" s="291">
        <f t="shared" ref="DG83" si="87">DG81+DG82</f>
        <v>3</v>
      </c>
      <c r="DH83" s="290"/>
      <c r="DI83" s="290"/>
      <c r="DJ83" s="290"/>
      <c r="DK83" s="290"/>
      <c r="DL83" s="291">
        <f t="shared" ref="DL83" si="88">DL81+DL82</f>
        <v>6</v>
      </c>
      <c r="DM83" s="290"/>
      <c r="DN83" s="290"/>
      <c r="DO83" s="290"/>
      <c r="DP83" s="290"/>
      <c r="DQ83" s="291">
        <f t="shared" ref="DQ83" si="89">DQ81+DQ82</f>
        <v>6</v>
      </c>
      <c r="DR83" s="290"/>
      <c r="DS83" s="290"/>
      <c r="DT83" s="290"/>
      <c r="DU83" s="290"/>
      <c r="DV83" s="291">
        <f t="shared" ref="DV83" si="90">DV81+DV82</f>
        <v>6</v>
      </c>
      <c r="DW83" s="290"/>
      <c r="DX83" s="290"/>
      <c r="DY83" s="290"/>
      <c r="DZ83" s="290"/>
      <c r="EA83" s="291">
        <f t="shared" ref="EA83" si="91">EA81+EA82</f>
        <v>6</v>
      </c>
      <c r="EB83" s="290"/>
      <c r="EC83" s="290"/>
      <c r="ED83" s="290"/>
      <c r="EE83" s="290"/>
      <c r="EF83" s="291">
        <f t="shared" ref="EF83" si="92">EF81+EF82</f>
        <v>6</v>
      </c>
      <c r="EG83" s="290"/>
      <c r="EH83" s="290"/>
      <c r="EI83" s="290"/>
      <c r="EJ83" s="290"/>
      <c r="EK83" s="291">
        <f t="shared" ref="EK83" si="93">EK81+EK82</f>
        <v>9</v>
      </c>
      <c r="EL83" s="290"/>
      <c r="EM83" s="290"/>
      <c r="EN83" s="290"/>
      <c r="EO83" s="292"/>
      <c r="EP83" s="323">
        <f>EP81+EP82</f>
        <v>42</v>
      </c>
      <c r="EQ83" s="324"/>
      <c r="ER83" s="325"/>
      <c r="ES83" s="42"/>
    </row>
    <row r="84" spans="1:161" s="68" customFormat="1" ht="80.099999999999994" customHeight="1" thickBot="1" x14ac:dyDescent="0.25">
      <c r="A84" s="34"/>
      <c r="B84" s="35"/>
      <c r="C84" s="372" t="s">
        <v>25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3">
        <f>Z83+Z80</f>
        <v>7200</v>
      </c>
      <c r="AA84" s="374"/>
      <c r="AB84" s="374"/>
      <c r="AC84" s="374"/>
      <c r="AD84" s="375">
        <f>AD80+AD83</f>
        <v>100</v>
      </c>
      <c r="AE84" s="375"/>
      <c r="AF84" s="375"/>
      <c r="AG84" s="455">
        <f t="shared" ref="AG84" si="94">AG83+AG80</f>
        <v>2514</v>
      </c>
      <c r="AH84" s="455"/>
      <c r="AI84" s="455"/>
      <c r="AJ84" s="455"/>
      <c r="AK84" s="455"/>
      <c r="AL84" s="455">
        <f t="shared" ref="AL84" si="95">AL83+AL80</f>
        <v>634</v>
      </c>
      <c r="AM84" s="455"/>
      <c r="AN84" s="455"/>
      <c r="AO84" s="455"/>
      <c r="AP84" s="455"/>
      <c r="AQ84" s="455">
        <f t="shared" ref="AQ84" si="96">AQ83+AQ80</f>
        <v>1624</v>
      </c>
      <c r="AR84" s="455"/>
      <c r="AS84" s="455"/>
      <c r="AT84" s="455"/>
      <c r="AU84" s="455"/>
      <c r="AV84" s="455">
        <f t="shared" ref="AV84" si="97">AV83+AV80</f>
        <v>256</v>
      </c>
      <c r="AW84" s="455"/>
      <c r="AX84" s="455"/>
      <c r="AY84" s="455"/>
      <c r="AZ84" s="455"/>
      <c r="BA84" s="373">
        <f>BA80+BA83</f>
        <v>0</v>
      </c>
      <c r="BB84" s="374"/>
      <c r="BC84" s="374"/>
      <c r="BD84" s="374"/>
      <c r="BE84" s="373">
        <f>BE80+BE83</f>
        <v>0</v>
      </c>
      <c r="BF84" s="374"/>
      <c r="BG84" s="374"/>
      <c r="BH84" s="374"/>
      <c r="BI84" s="374"/>
      <c r="BJ84" s="373">
        <f>BJ80+BJ83</f>
        <v>4686</v>
      </c>
      <c r="BK84" s="374"/>
      <c r="BL84" s="374"/>
      <c r="BM84" s="374"/>
      <c r="BN84" s="455">
        <f t="shared" ref="BN84" si="98">BN83+BN80</f>
        <v>24</v>
      </c>
      <c r="BO84" s="455"/>
      <c r="BP84" s="455"/>
      <c r="BQ84" s="455"/>
      <c r="BR84" s="455"/>
      <c r="BS84" s="455">
        <f t="shared" ref="BS84" si="99">BS83+BS80</f>
        <v>24</v>
      </c>
      <c r="BT84" s="455"/>
      <c r="BU84" s="455"/>
      <c r="BV84" s="455"/>
      <c r="BW84" s="455"/>
      <c r="BX84" s="455">
        <f t="shared" ref="BX84" si="100">BX83+BX80</f>
        <v>24</v>
      </c>
      <c r="BY84" s="455"/>
      <c r="BZ84" s="455"/>
      <c r="CA84" s="455"/>
      <c r="CB84" s="455"/>
      <c r="CC84" s="455">
        <f t="shared" ref="CC84" si="101">CC83+CC80</f>
        <v>24</v>
      </c>
      <c r="CD84" s="455"/>
      <c r="CE84" s="455"/>
      <c r="CF84" s="455"/>
      <c r="CG84" s="455"/>
      <c r="CH84" s="455">
        <f t="shared" ref="CH84" si="102">CH83+CH80</f>
        <v>24</v>
      </c>
      <c r="CI84" s="455"/>
      <c r="CJ84" s="455"/>
      <c r="CK84" s="455"/>
      <c r="CL84" s="455"/>
      <c r="CM84" s="455">
        <f t="shared" ref="CM84" si="103">CM83+CM80</f>
        <v>24</v>
      </c>
      <c r="CN84" s="455"/>
      <c r="CO84" s="455"/>
      <c r="CP84" s="455"/>
      <c r="CQ84" s="455"/>
      <c r="CR84" s="455">
        <f t="shared" ref="CR84" si="104">CR83+CR80</f>
        <v>24</v>
      </c>
      <c r="CS84" s="455"/>
      <c r="CT84" s="455"/>
      <c r="CU84" s="455"/>
      <c r="CV84" s="455"/>
      <c r="CW84" s="455">
        <f t="shared" ref="CW84" si="105">CW83+CW80</f>
        <v>24</v>
      </c>
      <c r="CX84" s="455"/>
      <c r="CY84" s="455"/>
      <c r="CZ84" s="455"/>
      <c r="DA84" s="455"/>
      <c r="DB84" s="456">
        <f>DB83+DB80</f>
        <v>30</v>
      </c>
      <c r="DC84" s="455"/>
      <c r="DD84" s="455"/>
      <c r="DE84" s="455"/>
      <c r="DF84" s="455"/>
      <c r="DG84" s="455">
        <f>DG83+DG80</f>
        <v>30</v>
      </c>
      <c r="DH84" s="455"/>
      <c r="DI84" s="455"/>
      <c r="DJ84" s="455"/>
      <c r="DK84" s="455"/>
      <c r="DL84" s="455">
        <f t="shared" ref="DL84" si="106">DL83+DL80</f>
        <v>30</v>
      </c>
      <c r="DM84" s="455"/>
      <c r="DN84" s="455"/>
      <c r="DO84" s="455"/>
      <c r="DP84" s="455"/>
      <c r="DQ84" s="455">
        <f t="shared" ref="DQ84" si="107">DQ83+DQ80</f>
        <v>30</v>
      </c>
      <c r="DR84" s="455"/>
      <c r="DS84" s="455"/>
      <c r="DT84" s="455"/>
      <c r="DU84" s="455"/>
      <c r="DV84" s="455">
        <f t="shared" ref="DV84" si="108">DV83+DV80</f>
        <v>30</v>
      </c>
      <c r="DW84" s="455"/>
      <c r="DX84" s="455"/>
      <c r="DY84" s="455"/>
      <c r="DZ84" s="455"/>
      <c r="EA84" s="455">
        <f t="shared" ref="EA84" si="109">EA83+EA80</f>
        <v>30</v>
      </c>
      <c r="EB84" s="455"/>
      <c r="EC84" s="455"/>
      <c r="ED84" s="455"/>
      <c r="EE84" s="455"/>
      <c r="EF84" s="455">
        <f t="shared" ref="EF84" si="110">EF83+EF80</f>
        <v>30</v>
      </c>
      <c r="EG84" s="455"/>
      <c r="EH84" s="455"/>
      <c r="EI84" s="455"/>
      <c r="EJ84" s="455"/>
      <c r="EK84" s="455">
        <f t="shared" ref="EK84" si="111">EK83+EK80</f>
        <v>30</v>
      </c>
      <c r="EL84" s="455"/>
      <c r="EM84" s="455"/>
      <c r="EN84" s="455"/>
      <c r="EO84" s="457"/>
      <c r="EP84" s="366">
        <f>EP83+EP80</f>
        <v>240</v>
      </c>
      <c r="EQ84" s="367"/>
      <c r="ER84" s="368"/>
      <c r="ES84" s="67"/>
    </row>
    <row r="85" spans="1:161" s="42" customFormat="1" ht="78.75" customHeight="1" x14ac:dyDescent="0.65">
      <c r="A85" s="36"/>
      <c r="B85" s="36" t="s">
        <v>103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441"/>
      <c r="AA85" s="441"/>
      <c r="AB85" s="441"/>
      <c r="AC85" s="390"/>
      <c r="AD85" s="38"/>
      <c r="AE85" s="38"/>
      <c r="AF85" s="36"/>
      <c r="AG85" s="38"/>
      <c r="AH85" s="38"/>
      <c r="AI85" s="38"/>
      <c r="AJ85" s="36"/>
      <c r="AK85" s="38"/>
      <c r="AL85" s="38"/>
      <c r="AM85" s="38"/>
      <c r="AN85" s="36"/>
      <c r="AO85" s="38"/>
      <c r="AP85" s="38"/>
      <c r="AQ85" s="38"/>
      <c r="AR85" s="36"/>
      <c r="AS85" s="38"/>
      <c r="AT85" s="38"/>
      <c r="AU85" s="38"/>
      <c r="AV85" s="36"/>
      <c r="AW85" s="38"/>
      <c r="AX85" s="38"/>
      <c r="AY85" s="38"/>
      <c r="AZ85" s="36"/>
      <c r="BA85" s="38"/>
      <c r="BB85" s="38"/>
      <c r="BC85" s="38"/>
      <c r="BD85" s="36"/>
      <c r="BE85" s="36"/>
      <c r="BF85" s="36"/>
      <c r="BG85" s="36"/>
      <c r="BH85" s="36"/>
      <c r="BI85" s="36"/>
      <c r="BJ85" s="38"/>
      <c r="BK85" s="38"/>
      <c r="BL85" s="38"/>
      <c r="BM85" s="36"/>
      <c r="BN85" s="38"/>
      <c r="BO85" s="36"/>
      <c r="BP85" s="36"/>
      <c r="BQ85" s="36"/>
      <c r="BR85" s="38"/>
      <c r="BS85" s="36"/>
      <c r="BT85" s="36"/>
      <c r="BU85" s="36"/>
      <c r="BV85" s="38"/>
      <c r="BW85" s="36"/>
      <c r="BX85" s="36"/>
      <c r="BY85" s="36"/>
      <c r="BZ85" s="38"/>
      <c r="CA85" s="36"/>
      <c r="CB85" s="36"/>
      <c r="CC85" s="36"/>
      <c r="CD85" s="38"/>
      <c r="CE85" s="36"/>
      <c r="CF85" s="36"/>
      <c r="CG85" s="36"/>
      <c r="CH85" s="38"/>
      <c r="CI85" s="36"/>
      <c r="CJ85" s="36"/>
      <c r="CK85" s="36"/>
      <c r="CL85" s="38"/>
      <c r="CM85" s="36"/>
      <c r="CN85" s="36"/>
      <c r="CO85" s="36"/>
      <c r="CP85" s="38"/>
      <c r="CQ85" s="36"/>
      <c r="CR85" s="36"/>
      <c r="CS85" s="36"/>
      <c r="CT85" s="38"/>
      <c r="CU85" s="36"/>
      <c r="CV85" s="36"/>
      <c r="CW85" s="36"/>
      <c r="CX85" s="38"/>
      <c r="CY85" s="36"/>
      <c r="CZ85" s="36"/>
      <c r="DA85" s="36"/>
      <c r="DB85" s="38"/>
      <c r="DC85" s="36"/>
      <c r="DD85" s="36"/>
      <c r="DE85" s="36"/>
      <c r="DF85" s="38"/>
      <c r="DG85" s="36"/>
      <c r="DH85" s="36"/>
      <c r="DI85" s="36"/>
      <c r="DJ85" s="38"/>
      <c r="DK85" s="36"/>
      <c r="DL85" s="36"/>
      <c r="DM85" s="36"/>
      <c r="DN85" s="38"/>
      <c r="DO85" s="36"/>
      <c r="DP85" s="36"/>
      <c r="DQ85" s="36"/>
      <c r="DR85" s="38"/>
      <c r="DS85" s="36"/>
      <c r="DT85" s="36"/>
      <c r="DU85" s="36"/>
      <c r="DV85" s="38"/>
      <c r="DW85" s="36"/>
      <c r="DX85" s="36"/>
      <c r="DY85" s="36"/>
      <c r="DZ85" s="38"/>
      <c r="EA85" s="36"/>
      <c r="EB85" s="36"/>
      <c r="EC85" s="36"/>
      <c r="ED85" s="38"/>
      <c r="EE85" s="36"/>
      <c r="EF85" s="36"/>
      <c r="EG85" s="36"/>
      <c r="EH85" s="38"/>
      <c r="EI85" s="36"/>
      <c r="EJ85" s="36"/>
      <c r="EK85" s="36"/>
      <c r="EL85" s="38"/>
      <c r="EM85" s="36"/>
      <c r="EN85" s="36"/>
      <c r="EO85" s="36"/>
      <c r="EP85" s="39"/>
      <c r="EQ85" s="39"/>
      <c r="ER85" s="40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</row>
    <row r="86" spans="1:161" s="42" customFormat="1" ht="93.75" customHeight="1" x14ac:dyDescent="0.65">
      <c r="A86" s="36"/>
      <c r="B86" s="363" t="s">
        <v>159</v>
      </c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  <c r="AN86" s="363"/>
      <c r="AO86" s="363"/>
      <c r="AP86" s="363"/>
      <c r="AQ86" s="363"/>
      <c r="AR86" s="363"/>
      <c r="AS86" s="363"/>
      <c r="AT86" s="363"/>
      <c r="AU86" s="363"/>
      <c r="AV86" s="363"/>
      <c r="AW86" s="363"/>
      <c r="AX86" s="363"/>
      <c r="AY86" s="363"/>
      <c r="AZ86" s="363"/>
      <c r="BA86" s="363"/>
      <c r="BB86" s="363"/>
      <c r="BC86" s="363"/>
      <c r="BD86" s="363"/>
      <c r="BE86" s="363"/>
      <c r="BF86" s="363"/>
      <c r="BG86" s="363"/>
      <c r="BH86" s="363"/>
      <c r="BI86" s="363"/>
      <c r="BJ86" s="363"/>
      <c r="BK86" s="363"/>
      <c r="BL86" s="363"/>
      <c r="BM86" s="363"/>
      <c r="BN86" s="363"/>
      <c r="BO86" s="363"/>
      <c r="BP86" s="363"/>
      <c r="BQ86" s="363"/>
      <c r="BR86" s="363"/>
      <c r="BS86" s="363"/>
      <c r="BT86" s="363"/>
      <c r="BU86" s="363"/>
      <c r="BV86" s="363"/>
      <c r="BW86" s="363"/>
      <c r="BX86" s="363"/>
      <c r="BY86" s="363"/>
      <c r="BZ86" s="363"/>
      <c r="CA86" s="363"/>
      <c r="CB86" s="363"/>
      <c r="CC86" s="363"/>
      <c r="CD86" s="363"/>
      <c r="CE86" s="363"/>
      <c r="CF86" s="363"/>
      <c r="CG86" s="363"/>
      <c r="CH86" s="363"/>
      <c r="CI86" s="363"/>
      <c r="CJ86" s="363"/>
      <c r="CK86" s="363"/>
      <c r="CL86" s="363"/>
      <c r="CM86" s="363"/>
      <c r="CN86" s="363"/>
      <c r="CO86" s="363"/>
      <c r="CP86" s="363"/>
      <c r="CQ86" s="363"/>
      <c r="CR86" s="363"/>
      <c r="CS86" s="363"/>
      <c r="CT86" s="363"/>
      <c r="CU86" s="363"/>
      <c r="CV86" s="363"/>
      <c r="CW86" s="363"/>
      <c r="CX86" s="363"/>
      <c r="CY86" s="363"/>
      <c r="CZ86" s="363"/>
      <c r="DA86" s="363"/>
      <c r="DB86" s="363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</row>
    <row r="87" spans="1:161" s="42" customFormat="1" ht="132.75" customHeight="1" x14ac:dyDescent="0.8">
      <c r="A87" s="43"/>
      <c r="B87" s="363" t="s">
        <v>160</v>
      </c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  <c r="AN87" s="363"/>
      <c r="AO87" s="363"/>
      <c r="AP87" s="363"/>
      <c r="AQ87" s="363"/>
      <c r="AR87" s="363"/>
      <c r="AS87" s="363"/>
      <c r="AT87" s="363"/>
      <c r="AU87" s="363"/>
      <c r="AV87" s="363"/>
      <c r="AW87" s="363"/>
      <c r="AX87" s="363"/>
      <c r="AY87" s="363"/>
      <c r="AZ87" s="363"/>
      <c r="BA87" s="363"/>
      <c r="BB87" s="363"/>
      <c r="BC87" s="363"/>
      <c r="BD87" s="363"/>
      <c r="BE87" s="363"/>
      <c r="BF87" s="363"/>
      <c r="BG87" s="363"/>
      <c r="BH87" s="363"/>
      <c r="BI87" s="363"/>
      <c r="BJ87" s="363"/>
      <c r="BK87" s="363"/>
      <c r="BL87" s="363"/>
      <c r="BM87" s="363"/>
      <c r="BN87" s="363"/>
      <c r="BO87" s="363"/>
      <c r="BP87" s="363"/>
      <c r="BQ87" s="363"/>
      <c r="BR87" s="363"/>
      <c r="BS87" s="363"/>
      <c r="BT87" s="363"/>
      <c r="BU87" s="363"/>
      <c r="BV87" s="363"/>
      <c r="BW87" s="363"/>
      <c r="BX87" s="363"/>
      <c r="BY87" s="363"/>
      <c r="BZ87" s="363"/>
      <c r="CA87" s="363"/>
      <c r="CB87" s="363"/>
      <c r="CC87" s="363"/>
      <c r="CD87" s="363"/>
      <c r="CE87" s="363"/>
      <c r="CF87" s="363"/>
      <c r="CG87" s="363"/>
      <c r="CH87" s="363"/>
      <c r="CI87" s="363"/>
      <c r="CJ87" s="363"/>
      <c r="CK87" s="363"/>
      <c r="CL87" s="363"/>
      <c r="CM87" s="363"/>
      <c r="CN87" s="363"/>
      <c r="CO87" s="363"/>
      <c r="CP87" s="363"/>
      <c r="CQ87" s="363"/>
      <c r="CR87" s="363"/>
      <c r="CS87" s="363"/>
      <c r="CT87" s="363"/>
      <c r="CU87" s="363"/>
      <c r="CV87" s="363"/>
      <c r="CW87" s="363"/>
      <c r="CX87" s="363"/>
      <c r="CY87" s="363"/>
      <c r="CZ87" s="363"/>
      <c r="DA87" s="363"/>
      <c r="DB87" s="363"/>
      <c r="DC87" s="363"/>
      <c r="DD87" s="363"/>
      <c r="DE87" s="363"/>
      <c r="DF87" s="363"/>
      <c r="DG87" s="363"/>
      <c r="DH87" s="363"/>
      <c r="DI87" s="363"/>
      <c r="DJ87" s="363"/>
      <c r="DK87" s="363"/>
      <c r="DL87" s="363"/>
      <c r="DM87" s="363"/>
      <c r="DN87" s="363"/>
      <c r="DO87" s="363"/>
      <c r="DP87" s="363"/>
      <c r="DQ87" s="363"/>
      <c r="DR87" s="363"/>
      <c r="DS87" s="363"/>
      <c r="DT87" s="363"/>
      <c r="DU87" s="363"/>
      <c r="DV87" s="363"/>
      <c r="DW87" s="363"/>
      <c r="DX87" s="363"/>
      <c r="DY87" s="363"/>
      <c r="DZ87" s="363"/>
      <c r="EA87" s="363"/>
      <c r="EB87" s="363"/>
      <c r="EC87" s="363"/>
      <c r="ED87" s="363"/>
      <c r="EE87" s="363"/>
      <c r="EF87" s="363"/>
      <c r="EG87" s="363"/>
      <c r="EH87" s="363"/>
      <c r="EI87" s="363"/>
      <c r="EJ87" s="363"/>
      <c r="EK87" s="363"/>
      <c r="EL87" s="363"/>
      <c r="EM87" s="363"/>
      <c r="EN87" s="363"/>
      <c r="EO87" s="363"/>
      <c r="EP87" s="363"/>
      <c r="EQ87" s="363"/>
      <c r="ER87" s="363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</row>
    <row r="88" spans="1:161" s="42" customFormat="1" ht="117.75" customHeight="1" x14ac:dyDescent="0.8">
      <c r="A88" s="43"/>
      <c r="B88" s="364" t="s">
        <v>161</v>
      </c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  <c r="AA88" s="364"/>
      <c r="AB88" s="364"/>
      <c r="AC88" s="364"/>
      <c r="AD88" s="364"/>
      <c r="AE88" s="364"/>
      <c r="AF88" s="364"/>
      <c r="AG88" s="364"/>
      <c r="AH88" s="364"/>
      <c r="AI88" s="364"/>
      <c r="AJ88" s="364"/>
      <c r="AK88" s="364"/>
      <c r="AL88" s="364"/>
      <c r="AM88" s="364"/>
      <c r="AN88" s="364"/>
      <c r="AO88" s="364"/>
      <c r="AP88" s="364"/>
      <c r="AQ88" s="364"/>
      <c r="AR88" s="364"/>
      <c r="AS88" s="364"/>
      <c r="AT88" s="364"/>
      <c r="AU88" s="364"/>
      <c r="AV88" s="364"/>
      <c r="AW88" s="364"/>
      <c r="AX88" s="364"/>
      <c r="AY88" s="364"/>
      <c r="AZ88" s="364"/>
      <c r="BA88" s="364"/>
      <c r="BB88" s="364"/>
      <c r="BC88" s="364"/>
      <c r="BD88" s="364"/>
      <c r="BE88" s="364"/>
      <c r="BF88" s="364"/>
      <c r="BG88" s="364"/>
      <c r="BH88" s="364"/>
      <c r="BI88" s="364"/>
      <c r="BJ88" s="364"/>
      <c r="BK88" s="364"/>
      <c r="BL88" s="364"/>
      <c r="BM88" s="364"/>
      <c r="BN88" s="364"/>
      <c r="BO88" s="364"/>
      <c r="BP88" s="364"/>
      <c r="BQ88" s="364"/>
      <c r="BR88" s="364"/>
      <c r="BS88" s="364"/>
      <c r="BT88" s="364"/>
      <c r="BU88" s="364"/>
      <c r="BV88" s="364"/>
      <c r="BW88" s="364"/>
      <c r="BX88" s="364"/>
      <c r="BY88" s="364"/>
      <c r="BZ88" s="364"/>
      <c r="CA88" s="364"/>
      <c r="CB88" s="364"/>
      <c r="CC88" s="364"/>
      <c r="CD88" s="364"/>
      <c r="CE88" s="364"/>
      <c r="CF88" s="364"/>
      <c r="CG88" s="364"/>
      <c r="CH88" s="364"/>
      <c r="CI88" s="364"/>
      <c r="CJ88" s="364"/>
      <c r="CK88" s="364"/>
      <c r="CL88" s="364"/>
      <c r="CM88" s="364"/>
      <c r="CN88" s="364"/>
      <c r="CO88" s="364"/>
      <c r="CP88" s="364"/>
      <c r="CQ88" s="364"/>
      <c r="CR88" s="364"/>
      <c r="CS88" s="364"/>
      <c r="CT88" s="364"/>
      <c r="CU88" s="364"/>
      <c r="CV88" s="364"/>
      <c r="CW88" s="364"/>
      <c r="CX88" s="364"/>
      <c r="CY88" s="364"/>
      <c r="CZ88" s="364"/>
      <c r="DA88" s="364"/>
      <c r="DB88" s="364"/>
      <c r="DC88" s="364"/>
      <c r="DD88" s="364"/>
      <c r="DE88" s="364"/>
      <c r="DF88" s="364"/>
      <c r="DG88" s="364"/>
      <c r="DH88" s="364"/>
      <c r="DI88" s="364"/>
      <c r="DJ88" s="364"/>
      <c r="DK88" s="364"/>
      <c r="DL88" s="364"/>
      <c r="DM88" s="364"/>
      <c r="DN88" s="364"/>
      <c r="DO88" s="364"/>
      <c r="DP88" s="364"/>
      <c r="DQ88" s="364"/>
      <c r="DR88" s="364"/>
      <c r="DS88" s="364"/>
      <c r="DT88" s="364"/>
      <c r="DU88" s="364"/>
      <c r="DV88" s="364"/>
      <c r="DW88" s="364"/>
      <c r="DX88" s="364"/>
      <c r="DY88" s="364"/>
      <c r="DZ88" s="364"/>
      <c r="EA88" s="364"/>
      <c r="EB88" s="364"/>
      <c r="EC88" s="364"/>
      <c r="ED88" s="364"/>
      <c r="EE88" s="364"/>
      <c r="EF88" s="364"/>
      <c r="EG88" s="364"/>
      <c r="EH88" s="364"/>
      <c r="EI88" s="364"/>
      <c r="EJ88" s="364"/>
      <c r="EK88" s="364"/>
      <c r="EL88" s="364"/>
      <c r="EM88" s="364"/>
      <c r="EN88" s="364"/>
      <c r="EO88" s="364"/>
      <c r="EP88" s="364"/>
      <c r="EQ88" s="364"/>
      <c r="ER88" s="364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</row>
    <row r="89" spans="1:161" s="42" customFormat="1" ht="96.75" customHeight="1" x14ac:dyDescent="0.8">
      <c r="A89" s="43"/>
      <c r="B89" s="364" t="s">
        <v>162</v>
      </c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  <c r="AA89" s="364"/>
      <c r="AB89" s="364"/>
      <c r="AC89" s="364"/>
      <c r="AD89" s="364"/>
      <c r="AE89" s="364"/>
      <c r="AF89" s="364"/>
      <c r="AG89" s="364"/>
      <c r="AH89" s="364"/>
      <c r="AI89" s="364"/>
      <c r="AJ89" s="364"/>
      <c r="AK89" s="364"/>
      <c r="AL89" s="364"/>
      <c r="AM89" s="364"/>
      <c r="AN89" s="364"/>
      <c r="AO89" s="364"/>
      <c r="AP89" s="364"/>
      <c r="AQ89" s="364"/>
      <c r="AR89" s="364"/>
      <c r="AS89" s="364"/>
      <c r="AT89" s="364"/>
      <c r="AU89" s="364"/>
      <c r="AV89" s="364"/>
      <c r="AW89" s="364"/>
      <c r="AX89" s="364"/>
      <c r="AY89" s="364"/>
      <c r="AZ89" s="364"/>
      <c r="BA89" s="364"/>
      <c r="BB89" s="364"/>
      <c r="BC89" s="364"/>
      <c r="BD89" s="364"/>
      <c r="BE89" s="364"/>
      <c r="BF89" s="364"/>
      <c r="BG89" s="364"/>
      <c r="BH89" s="364"/>
      <c r="BI89" s="364"/>
      <c r="BJ89" s="364"/>
      <c r="BK89" s="364"/>
      <c r="BL89" s="364"/>
      <c r="BM89" s="364"/>
      <c r="BN89" s="364"/>
      <c r="BO89" s="364"/>
      <c r="BP89" s="364"/>
      <c r="BQ89" s="364"/>
      <c r="BR89" s="364"/>
      <c r="BS89" s="364"/>
      <c r="BT89" s="364"/>
      <c r="BU89" s="364"/>
      <c r="BV89" s="364"/>
      <c r="BW89" s="364"/>
      <c r="BX89" s="364"/>
      <c r="BY89" s="364"/>
      <c r="BZ89" s="364"/>
      <c r="CA89" s="364"/>
      <c r="CB89" s="364"/>
      <c r="CC89" s="364"/>
      <c r="CD89" s="364"/>
      <c r="CE89" s="364"/>
      <c r="CF89" s="364"/>
      <c r="CG89" s="364"/>
      <c r="CH89" s="364"/>
      <c r="CI89" s="364"/>
      <c r="CJ89" s="364"/>
      <c r="CK89" s="364"/>
      <c r="CL89" s="364"/>
      <c r="CM89" s="364"/>
      <c r="CN89" s="364"/>
      <c r="CO89" s="364"/>
      <c r="CP89" s="364"/>
      <c r="CQ89" s="364"/>
      <c r="CR89" s="364"/>
      <c r="CS89" s="364"/>
      <c r="CT89" s="364"/>
      <c r="CU89" s="364"/>
      <c r="CV89" s="364"/>
      <c r="CW89" s="364"/>
      <c r="CX89" s="364"/>
      <c r="CY89" s="364"/>
      <c r="CZ89" s="364"/>
      <c r="DA89" s="364"/>
      <c r="DB89" s="364"/>
      <c r="DC89" s="364"/>
      <c r="DD89" s="364"/>
      <c r="DE89" s="364"/>
      <c r="DF89" s="364"/>
      <c r="DG89" s="364"/>
      <c r="DH89" s="364"/>
      <c r="DI89" s="364"/>
      <c r="DJ89" s="364"/>
      <c r="DK89" s="364"/>
      <c r="DL89" s="364"/>
      <c r="DM89" s="364"/>
      <c r="DN89" s="364"/>
      <c r="DO89" s="364"/>
      <c r="DP89" s="364"/>
      <c r="DQ89" s="364"/>
      <c r="DR89" s="364"/>
      <c r="DS89" s="364"/>
      <c r="DT89" s="364"/>
      <c r="DU89" s="364"/>
      <c r="DV89" s="364"/>
      <c r="DW89" s="364"/>
      <c r="DX89" s="364"/>
      <c r="DY89" s="364"/>
      <c r="DZ89" s="364"/>
      <c r="EA89" s="364"/>
      <c r="EB89" s="364"/>
      <c r="EC89" s="364"/>
      <c r="ED89" s="364"/>
      <c r="EE89" s="364"/>
      <c r="EF89" s="364"/>
      <c r="EG89" s="364"/>
      <c r="EH89" s="364"/>
      <c r="EI89" s="364"/>
      <c r="EJ89" s="364"/>
      <c r="EK89" s="364"/>
      <c r="EL89" s="364"/>
      <c r="EM89" s="364"/>
      <c r="EN89" s="364"/>
      <c r="EO89" s="364"/>
      <c r="EP89" s="364"/>
      <c r="EQ89" s="364"/>
      <c r="ER89" s="364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</row>
    <row r="90" spans="1:161" s="14" customFormat="1" ht="27" customHeight="1" x14ac:dyDescent="0.8">
      <c r="A90" s="44"/>
      <c r="B90" s="44"/>
      <c r="C90" s="45"/>
      <c r="D90" s="45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  <c r="DM90" s="46"/>
      <c r="DN90" s="46"/>
      <c r="DO90" s="46"/>
      <c r="DP90" s="46"/>
      <c r="DQ90" s="47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21"/>
      <c r="EH90" s="48"/>
      <c r="EI90" s="48"/>
      <c r="EJ90" s="48"/>
      <c r="EK90" s="48"/>
      <c r="EL90" s="48"/>
      <c r="EM90" s="48"/>
      <c r="EN90" s="48"/>
      <c r="EO90" s="21"/>
      <c r="EP90" s="48"/>
      <c r="EQ90" s="48"/>
      <c r="ER90" s="48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</row>
    <row r="91" spans="1:161" s="14" customFormat="1" ht="32.25" customHeight="1" x14ac:dyDescent="0.8">
      <c r="A91" s="44"/>
      <c r="B91" s="44"/>
      <c r="C91" s="45"/>
      <c r="D91" s="45"/>
      <c r="E91" s="365"/>
      <c r="F91" s="365"/>
      <c r="G91" s="365"/>
      <c r="H91" s="365"/>
      <c r="I91" s="365"/>
      <c r="J91" s="365"/>
      <c r="K91" s="365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65"/>
      <c r="AY91" s="365"/>
      <c r="AZ91" s="365"/>
      <c r="BA91" s="365"/>
      <c r="BB91" s="365"/>
      <c r="BC91" s="365"/>
      <c r="BD91" s="365"/>
      <c r="BE91" s="365"/>
      <c r="BF91" s="365"/>
      <c r="BG91" s="365"/>
      <c r="BH91" s="365"/>
      <c r="BI91" s="365"/>
      <c r="BJ91" s="365"/>
      <c r="BK91" s="365"/>
      <c r="BL91" s="365"/>
      <c r="BM91" s="365"/>
      <c r="BN91" s="365"/>
      <c r="BO91" s="365"/>
      <c r="BP91" s="365"/>
      <c r="BQ91" s="365"/>
      <c r="BR91" s="365"/>
      <c r="BS91" s="365"/>
      <c r="BT91" s="365"/>
      <c r="BU91" s="365"/>
      <c r="BV91" s="365"/>
      <c r="BW91" s="365"/>
      <c r="BX91" s="365"/>
      <c r="BY91" s="365"/>
      <c r="BZ91" s="365"/>
      <c r="CA91" s="365"/>
      <c r="CB91" s="365"/>
      <c r="CC91" s="365"/>
      <c r="CD91" s="365"/>
      <c r="CE91" s="365"/>
      <c r="CF91" s="365"/>
      <c r="CG91" s="365"/>
      <c r="CH91" s="365"/>
      <c r="CI91" s="365"/>
      <c r="CJ91" s="365"/>
      <c r="CK91" s="365"/>
      <c r="CL91" s="365"/>
      <c r="CM91" s="365"/>
      <c r="CN91" s="365"/>
      <c r="CO91" s="365"/>
      <c r="CP91" s="365"/>
      <c r="CQ91" s="365"/>
      <c r="CR91" s="365"/>
      <c r="CS91" s="365"/>
      <c r="CT91" s="365"/>
      <c r="CU91" s="365"/>
      <c r="CV91" s="365"/>
      <c r="CW91" s="365"/>
      <c r="CX91" s="365"/>
      <c r="CY91" s="365"/>
      <c r="CZ91" s="365"/>
      <c r="DA91" s="365"/>
      <c r="DB91" s="365"/>
      <c r="DC91" s="365"/>
      <c r="DD91" s="365"/>
      <c r="DE91" s="365"/>
      <c r="DF91" s="365"/>
      <c r="DG91" s="365"/>
      <c r="DH91" s="365"/>
      <c r="DI91" s="365"/>
      <c r="DJ91" s="365"/>
      <c r="DK91" s="365"/>
      <c r="DL91" s="365"/>
      <c r="DM91" s="365"/>
      <c r="DN91" s="365"/>
      <c r="DO91" s="365"/>
      <c r="DP91" s="46"/>
      <c r="DQ91" s="47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21"/>
      <c r="EH91" s="48"/>
      <c r="EI91" s="48"/>
      <c r="EJ91" s="48"/>
      <c r="EK91" s="48"/>
      <c r="EL91" s="48"/>
      <c r="EM91" s="48"/>
      <c r="EN91" s="48"/>
      <c r="EO91" s="21"/>
      <c r="EP91" s="48"/>
      <c r="EQ91" s="48"/>
      <c r="ER91" s="48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</row>
    <row r="92" spans="1:161" ht="111.75" customHeight="1" x14ac:dyDescent="0.85">
      <c r="A92" s="43"/>
      <c r="B92" s="43"/>
      <c r="C92" s="49"/>
      <c r="D92" s="49"/>
      <c r="E92" s="348" t="s">
        <v>104</v>
      </c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8"/>
      <c r="R92" s="348"/>
      <c r="S92" s="348"/>
      <c r="T92" s="348"/>
      <c r="U92" s="348"/>
      <c r="V92" s="348"/>
      <c r="W92" s="348"/>
      <c r="X92" s="348"/>
      <c r="Y92" s="348"/>
      <c r="Z92" s="348"/>
      <c r="AA92" s="348"/>
      <c r="AB92" s="348"/>
      <c r="AC92" s="348"/>
      <c r="AD92" s="348"/>
      <c r="AE92" s="351" t="s">
        <v>105</v>
      </c>
      <c r="AF92" s="352"/>
      <c r="AG92" s="352"/>
      <c r="AH92" s="352"/>
      <c r="AI92" s="352"/>
      <c r="AJ92" s="352"/>
      <c r="AK92" s="352"/>
      <c r="AL92" s="353"/>
      <c r="AM92" s="354" t="s">
        <v>106</v>
      </c>
      <c r="AN92" s="355"/>
      <c r="AO92" s="355"/>
      <c r="AP92" s="355"/>
      <c r="AQ92" s="355"/>
      <c r="AR92" s="355"/>
      <c r="AS92" s="355"/>
      <c r="AT92" s="356"/>
      <c r="AU92" s="383" t="s">
        <v>107</v>
      </c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/>
      <c r="BU92" s="384"/>
      <c r="BV92" s="384"/>
      <c r="BW92" s="384"/>
      <c r="BX92" s="384"/>
      <c r="BY92" s="384"/>
      <c r="BZ92" s="384"/>
      <c r="CA92" s="384"/>
      <c r="CB92" s="384"/>
      <c r="CC92" s="384"/>
      <c r="CD92" s="384"/>
      <c r="CE92" s="384"/>
      <c r="CF92" s="384"/>
      <c r="CG92" s="385"/>
      <c r="CH92" s="50"/>
      <c r="CI92" s="50"/>
      <c r="CJ92" s="50"/>
      <c r="CK92" s="50"/>
      <c r="CL92" s="50"/>
      <c r="CM92" s="50"/>
      <c r="CN92" s="50"/>
      <c r="CO92" s="50"/>
      <c r="CP92" s="112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13"/>
      <c r="EK92" s="114"/>
      <c r="EL92" s="50"/>
      <c r="EM92" s="50"/>
      <c r="EN92" s="50"/>
      <c r="EO92" s="50"/>
      <c r="EP92" s="50"/>
      <c r="EQ92" s="50"/>
      <c r="ER92" s="50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</row>
    <row r="93" spans="1:161" ht="90.75" customHeight="1" x14ac:dyDescent="0.85">
      <c r="A93" s="43"/>
      <c r="B93" s="43"/>
      <c r="C93" s="49"/>
      <c r="D93" s="49"/>
      <c r="E93" s="349" t="s">
        <v>108</v>
      </c>
      <c r="F93" s="349"/>
      <c r="G93" s="349"/>
      <c r="H93" s="349"/>
      <c r="I93" s="349"/>
      <c r="J93" s="349"/>
      <c r="K93" s="349"/>
      <c r="L93" s="349"/>
      <c r="M93" s="349"/>
      <c r="N93" s="349"/>
      <c r="O93" s="349"/>
      <c r="P93" s="349"/>
      <c r="Q93" s="349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  <c r="AE93" s="357" t="s">
        <v>114</v>
      </c>
      <c r="AF93" s="358"/>
      <c r="AG93" s="358"/>
      <c r="AH93" s="358"/>
      <c r="AI93" s="358"/>
      <c r="AJ93" s="358"/>
      <c r="AK93" s="358"/>
      <c r="AL93" s="359"/>
      <c r="AM93" s="357" t="s">
        <v>120</v>
      </c>
      <c r="AN93" s="358"/>
      <c r="AO93" s="358"/>
      <c r="AP93" s="358"/>
      <c r="AQ93" s="358"/>
      <c r="AR93" s="358"/>
      <c r="AS93" s="358"/>
      <c r="AT93" s="359"/>
      <c r="AU93" s="386" t="s">
        <v>126</v>
      </c>
      <c r="AV93" s="387"/>
      <c r="AW93" s="387"/>
      <c r="AX93" s="387"/>
      <c r="AY93" s="387"/>
      <c r="AZ93" s="387"/>
      <c r="BA93" s="387"/>
      <c r="BB93" s="387"/>
      <c r="BC93" s="387"/>
      <c r="BD93" s="387"/>
      <c r="BE93" s="387"/>
      <c r="BF93" s="387"/>
      <c r="BG93" s="387"/>
      <c r="BH93" s="387"/>
      <c r="BI93" s="387"/>
      <c r="BJ93" s="387"/>
      <c r="BK93" s="387"/>
      <c r="BL93" s="387"/>
      <c r="BM93" s="387"/>
      <c r="BN93" s="387"/>
      <c r="BO93" s="387"/>
      <c r="BP93" s="387"/>
      <c r="BQ93" s="387"/>
      <c r="BR93" s="387"/>
      <c r="BS93" s="387"/>
      <c r="BT93" s="387"/>
      <c r="BU93" s="387"/>
      <c r="BV93" s="387"/>
      <c r="BW93" s="387"/>
      <c r="BX93" s="387"/>
      <c r="BY93" s="387"/>
      <c r="BZ93" s="387"/>
      <c r="CA93" s="387"/>
      <c r="CB93" s="387"/>
      <c r="CC93" s="387"/>
      <c r="CD93" s="387"/>
      <c r="CE93" s="387"/>
      <c r="CF93" s="387"/>
      <c r="CG93" s="388"/>
      <c r="CH93" s="50"/>
      <c r="CI93" s="50"/>
      <c r="CJ93" s="50"/>
      <c r="CK93" s="50"/>
      <c r="CL93" s="50"/>
      <c r="CM93" s="50"/>
      <c r="CN93" s="50"/>
      <c r="CO93" s="50"/>
      <c r="CP93" s="115"/>
      <c r="CQ93" s="258" t="s">
        <v>265</v>
      </c>
      <c r="CR93" s="258"/>
      <c r="CS93" s="258"/>
      <c r="CT93" s="258"/>
      <c r="CU93" s="258"/>
      <c r="CV93" s="258"/>
      <c r="CW93" s="258"/>
      <c r="CX93" s="258"/>
      <c r="CY93" s="258"/>
      <c r="CZ93" s="258"/>
      <c r="DA93" s="258"/>
      <c r="DB93" s="258"/>
      <c r="DC93" s="258"/>
      <c r="DD93" s="258"/>
      <c r="DE93" s="258"/>
      <c r="DF93" s="258"/>
      <c r="DG93" s="258"/>
      <c r="DH93" s="258"/>
      <c r="DI93" s="258"/>
      <c r="DJ93" s="258"/>
      <c r="DK93" s="258"/>
      <c r="DL93" s="258"/>
      <c r="DM93" s="258"/>
      <c r="DN93" s="258"/>
      <c r="DO93" s="258"/>
      <c r="DP93" s="258"/>
      <c r="DQ93" s="258"/>
      <c r="DR93" s="258"/>
      <c r="DS93" s="258"/>
      <c r="DT93" s="258"/>
      <c r="DU93" s="258"/>
      <c r="DV93" s="258"/>
      <c r="DW93" s="258"/>
      <c r="DX93" s="258"/>
      <c r="DY93" s="258"/>
      <c r="DZ93" s="258"/>
      <c r="EA93" s="258"/>
      <c r="EB93" s="258"/>
      <c r="EC93" s="258"/>
      <c r="ED93" s="258"/>
      <c r="EE93" s="258"/>
      <c r="EF93" s="258"/>
      <c r="EG93" s="258"/>
      <c r="EH93" s="258"/>
      <c r="EI93" s="258"/>
      <c r="EJ93" s="116"/>
      <c r="EK93" s="117"/>
      <c r="EL93" s="50"/>
      <c r="EM93" s="50"/>
      <c r="EN93" s="50"/>
      <c r="EO93" s="50"/>
      <c r="EP93" s="50"/>
      <c r="EQ93" s="50"/>
      <c r="ER93" s="50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</row>
    <row r="94" spans="1:161" ht="126.75" customHeight="1" x14ac:dyDescent="0.85">
      <c r="A94" s="43"/>
      <c r="B94" s="43"/>
      <c r="C94" s="49"/>
      <c r="D94" s="49"/>
      <c r="E94" s="350" t="s">
        <v>109</v>
      </c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7" t="s">
        <v>115</v>
      </c>
      <c r="AF94" s="358"/>
      <c r="AG94" s="358"/>
      <c r="AH94" s="358"/>
      <c r="AI94" s="358"/>
      <c r="AJ94" s="358"/>
      <c r="AK94" s="358"/>
      <c r="AL94" s="359"/>
      <c r="AM94" s="357" t="s">
        <v>121</v>
      </c>
      <c r="AN94" s="358"/>
      <c r="AO94" s="358"/>
      <c r="AP94" s="358"/>
      <c r="AQ94" s="358"/>
      <c r="AR94" s="358"/>
      <c r="AS94" s="358"/>
      <c r="AT94" s="359"/>
      <c r="AU94" s="389"/>
      <c r="AV94" s="390"/>
      <c r="AW94" s="390"/>
      <c r="AX94" s="390"/>
      <c r="AY94" s="390"/>
      <c r="AZ94" s="390"/>
      <c r="BA94" s="390"/>
      <c r="BB94" s="390"/>
      <c r="BC94" s="390"/>
      <c r="BD94" s="390"/>
      <c r="BE94" s="390"/>
      <c r="BF94" s="390"/>
      <c r="BG94" s="390"/>
      <c r="BH94" s="390"/>
      <c r="BI94" s="390"/>
      <c r="BJ94" s="390"/>
      <c r="BK94" s="390"/>
      <c r="BL94" s="390"/>
      <c r="BM94" s="390"/>
      <c r="BN94" s="390"/>
      <c r="BO94" s="390"/>
      <c r="BP94" s="390"/>
      <c r="BQ94" s="390"/>
      <c r="BR94" s="390"/>
      <c r="BS94" s="390"/>
      <c r="BT94" s="390"/>
      <c r="BU94" s="390"/>
      <c r="BV94" s="390"/>
      <c r="BW94" s="390"/>
      <c r="BX94" s="390"/>
      <c r="BY94" s="390"/>
      <c r="BZ94" s="390"/>
      <c r="CA94" s="390"/>
      <c r="CB94" s="390"/>
      <c r="CC94" s="390"/>
      <c r="CD94" s="390"/>
      <c r="CE94" s="390"/>
      <c r="CF94" s="390"/>
      <c r="CG94" s="391"/>
      <c r="CH94" s="50"/>
      <c r="CI94" s="50"/>
      <c r="CJ94" s="50"/>
      <c r="CK94" s="50"/>
      <c r="CL94" s="50"/>
      <c r="CM94" s="50"/>
      <c r="CN94" s="50"/>
      <c r="CO94" s="50"/>
      <c r="CP94" s="115"/>
      <c r="CQ94" s="258" t="s">
        <v>254</v>
      </c>
      <c r="CR94" s="258"/>
      <c r="CS94" s="258"/>
      <c r="CT94" s="258"/>
      <c r="CU94" s="258"/>
      <c r="CV94" s="258"/>
      <c r="CW94" s="258"/>
      <c r="CX94" s="258"/>
      <c r="CY94" s="258"/>
      <c r="CZ94" s="258"/>
      <c r="DA94" s="258"/>
      <c r="DB94" s="258"/>
      <c r="DC94" s="258"/>
      <c r="DD94" s="258"/>
      <c r="DE94" s="258"/>
      <c r="DF94" s="258"/>
      <c r="DG94" s="258"/>
      <c r="DH94" s="258"/>
      <c r="DI94" s="258"/>
      <c r="DJ94" s="258"/>
      <c r="DK94" s="258"/>
      <c r="DL94" s="258"/>
      <c r="DM94" s="258"/>
      <c r="DN94" s="258"/>
      <c r="DO94" s="258"/>
      <c r="DP94" s="258"/>
      <c r="DQ94" s="258"/>
      <c r="DR94" s="258"/>
      <c r="DS94" s="258"/>
      <c r="DT94" s="258"/>
      <c r="DU94" s="258"/>
      <c r="DV94" s="258"/>
      <c r="DW94" s="258"/>
      <c r="DX94" s="258"/>
      <c r="DY94" s="258"/>
      <c r="DZ94" s="258"/>
      <c r="EA94" s="258"/>
      <c r="EB94" s="258"/>
      <c r="EC94" s="258"/>
      <c r="ED94" s="258"/>
      <c r="EE94" s="258"/>
      <c r="EF94" s="258"/>
      <c r="EG94" s="258"/>
      <c r="EH94" s="258"/>
      <c r="EI94" s="258"/>
      <c r="EJ94" s="116"/>
      <c r="EK94" s="117"/>
      <c r="EL94" s="50"/>
      <c r="EM94" s="50"/>
      <c r="EN94" s="50"/>
      <c r="EO94" s="50"/>
      <c r="EP94" s="50"/>
      <c r="EQ94" s="50"/>
      <c r="ER94" s="50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</row>
    <row r="95" spans="1:161" ht="102.75" customHeight="1" x14ac:dyDescent="0.85">
      <c r="A95" s="43"/>
      <c r="B95" s="43"/>
      <c r="C95" s="49"/>
      <c r="D95" s="49"/>
      <c r="E95" s="350" t="s">
        <v>158</v>
      </c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7" t="s">
        <v>156</v>
      </c>
      <c r="AF95" s="358"/>
      <c r="AG95" s="358"/>
      <c r="AH95" s="358"/>
      <c r="AI95" s="358"/>
      <c r="AJ95" s="358"/>
      <c r="AK95" s="358"/>
      <c r="AL95" s="359"/>
      <c r="AM95" s="357" t="s">
        <v>157</v>
      </c>
      <c r="AN95" s="358"/>
      <c r="AO95" s="358"/>
      <c r="AP95" s="358"/>
      <c r="AQ95" s="358"/>
      <c r="AR95" s="358"/>
      <c r="AS95" s="358"/>
      <c r="AT95" s="359"/>
      <c r="AU95" s="389"/>
      <c r="AV95" s="390"/>
      <c r="AW95" s="390"/>
      <c r="AX95" s="390"/>
      <c r="AY95" s="390"/>
      <c r="AZ95" s="390"/>
      <c r="BA95" s="390"/>
      <c r="BB95" s="390"/>
      <c r="BC95" s="390"/>
      <c r="BD95" s="390"/>
      <c r="BE95" s="390"/>
      <c r="BF95" s="390"/>
      <c r="BG95" s="390"/>
      <c r="BH95" s="390"/>
      <c r="BI95" s="390"/>
      <c r="BJ95" s="390"/>
      <c r="BK95" s="390"/>
      <c r="BL95" s="390"/>
      <c r="BM95" s="390"/>
      <c r="BN95" s="390"/>
      <c r="BO95" s="390"/>
      <c r="BP95" s="390"/>
      <c r="BQ95" s="390"/>
      <c r="BR95" s="390"/>
      <c r="BS95" s="390"/>
      <c r="BT95" s="390"/>
      <c r="BU95" s="390"/>
      <c r="BV95" s="390"/>
      <c r="BW95" s="390"/>
      <c r="BX95" s="390"/>
      <c r="BY95" s="390"/>
      <c r="BZ95" s="390"/>
      <c r="CA95" s="390"/>
      <c r="CB95" s="390"/>
      <c r="CC95" s="390"/>
      <c r="CD95" s="390"/>
      <c r="CE95" s="390"/>
      <c r="CF95" s="390"/>
      <c r="CG95" s="391"/>
      <c r="CH95" s="50"/>
      <c r="CI95" s="50"/>
      <c r="CJ95" s="50"/>
      <c r="CK95" s="50"/>
      <c r="CL95" s="50"/>
      <c r="CM95" s="50"/>
      <c r="CN95" s="50"/>
      <c r="CO95" s="50"/>
      <c r="CP95" s="115"/>
      <c r="CQ95" s="258" t="s">
        <v>248</v>
      </c>
      <c r="CR95" s="258"/>
      <c r="CS95" s="258"/>
      <c r="CT95" s="258"/>
      <c r="CU95" s="258"/>
      <c r="CV95" s="258"/>
      <c r="CW95" s="258"/>
      <c r="CX95" s="258"/>
      <c r="CY95" s="258"/>
      <c r="CZ95" s="258"/>
      <c r="DA95" s="258"/>
      <c r="DB95" s="258"/>
      <c r="DC95" s="258"/>
      <c r="DD95" s="258"/>
      <c r="DE95" s="258"/>
      <c r="DF95" s="258"/>
      <c r="DG95" s="258"/>
      <c r="DH95" s="258"/>
      <c r="DI95" s="258"/>
      <c r="DJ95" s="258"/>
      <c r="DK95" s="258"/>
      <c r="DL95" s="258"/>
      <c r="DM95" s="258"/>
      <c r="DN95" s="258"/>
      <c r="DO95" s="258"/>
      <c r="DP95" s="258"/>
      <c r="DQ95" s="258"/>
      <c r="DR95" s="258"/>
      <c r="DS95" s="258"/>
      <c r="DT95" s="258"/>
      <c r="DU95" s="258"/>
      <c r="DV95" s="258"/>
      <c r="DW95" s="258"/>
      <c r="DX95" s="258"/>
      <c r="DY95" s="258"/>
      <c r="DZ95" s="258"/>
      <c r="EA95" s="258"/>
      <c r="EB95" s="258"/>
      <c r="EC95" s="258"/>
      <c r="ED95" s="258"/>
      <c r="EE95" s="258"/>
      <c r="EF95" s="258"/>
      <c r="EG95" s="258"/>
      <c r="EH95" s="258"/>
      <c r="EI95" s="258"/>
      <c r="EJ95" s="116"/>
      <c r="EK95" s="117"/>
      <c r="EL95" s="50"/>
      <c r="EM95" s="50"/>
      <c r="EN95" s="50"/>
      <c r="EO95" s="50"/>
      <c r="EP95" s="50"/>
      <c r="EQ95" s="50"/>
      <c r="ER95" s="50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</row>
    <row r="96" spans="1:161" ht="76.5" customHeight="1" x14ac:dyDescent="0.85">
      <c r="A96" s="43"/>
      <c r="B96" s="43"/>
      <c r="C96" s="49"/>
      <c r="D96" s="49"/>
      <c r="E96" s="350" t="s">
        <v>110</v>
      </c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7" t="s">
        <v>116</v>
      </c>
      <c r="AF96" s="358"/>
      <c r="AG96" s="358"/>
      <c r="AH96" s="358"/>
      <c r="AI96" s="358"/>
      <c r="AJ96" s="358"/>
      <c r="AK96" s="358"/>
      <c r="AL96" s="359"/>
      <c r="AM96" s="357" t="s">
        <v>122</v>
      </c>
      <c r="AN96" s="358"/>
      <c r="AO96" s="358"/>
      <c r="AP96" s="358"/>
      <c r="AQ96" s="358"/>
      <c r="AR96" s="358"/>
      <c r="AS96" s="358"/>
      <c r="AT96" s="359"/>
      <c r="AU96" s="389"/>
      <c r="AV96" s="390"/>
      <c r="AW96" s="390"/>
      <c r="AX96" s="390"/>
      <c r="AY96" s="390"/>
      <c r="AZ96" s="390"/>
      <c r="BA96" s="390"/>
      <c r="BB96" s="390"/>
      <c r="BC96" s="390"/>
      <c r="BD96" s="390"/>
      <c r="BE96" s="390"/>
      <c r="BF96" s="390"/>
      <c r="BG96" s="390"/>
      <c r="BH96" s="390"/>
      <c r="BI96" s="390"/>
      <c r="BJ96" s="390"/>
      <c r="BK96" s="390"/>
      <c r="BL96" s="390"/>
      <c r="BM96" s="390"/>
      <c r="BN96" s="390"/>
      <c r="BO96" s="390"/>
      <c r="BP96" s="390"/>
      <c r="BQ96" s="390"/>
      <c r="BR96" s="390"/>
      <c r="BS96" s="390"/>
      <c r="BT96" s="390"/>
      <c r="BU96" s="390"/>
      <c r="BV96" s="390"/>
      <c r="BW96" s="390"/>
      <c r="BX96" s="390"/>
      <c r="BY96" s="390"/>
      <c r="BZ96" s="390"/>
      <c r="CA96" s="390"/>
      <c r="CB96" s="390"/>
      <c r="CC96" s="390"/>
      <c r="CD96" s="390"/>
      <c r="CE96" s="390"/>
      <c r="CF96" s="390"/>
      <c r="CG96" s="391"/>
      <c r="CH96" s="50"/>
      <c r="CI96" s="50"/>
      <c r="CJ96" s="50"/>
      <c r="CK96" s="50"/>
      <c r="CL96" s="50"/>
      <c r="CM96" s="50"/>
      <c r="CN96" s="50"/>
      <c r="CO96" s="50"/>
      <c r="CP96" s="115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16"/>
      <c r="EK96" s="117"/>
      <c r="EL96" s="50"/>
      <c r="EM96" s="50"/>
      <c r="EN96" s="50"/>
      <c r="EO96" s="50"/>
      <c r="EP96" s="50"/>
      <c r="EQ96" s="50"/>
      <c r="ER96" s="50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</row>
    <row r="97" spans="1:161" ht="91.5" customHeight="1" x14ac:dyDescent="0.85">
      <c r="A97" s="43"/>
      <c r="B97" s="43"/>
      <c r="C97" s="49"/>
      <c r="D97" s="49"/>
      <c r="E97" s="350" t="s">
        <v>111</v>
      </c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7" t="s">
        <v>117</v>
      </c>
      <c r="AF97" s="358"/>
      <c r="AG97" s="358"/>
      <c r="AH97" s="358"/>
      <c r="AI97" s="358"/>
      <c r="AJ97" s="358"/>
      <c r="AK97" s="358"/>
      <c r="AL97" s="359"/>
      <c r="AM97" s="357" t="s">
        <v>123</v>
      </c>
      <c r="AN97" s="358"/>
      <c r="AO97" s="358"/>
      <c r="AP97" s="358"/>
      <c r="AQ97" s="358"/>
      <c r="AR97" s="358"/>
      <c r="AS97" s="358"/>
      <c r="AT97" s="359"/>
      <c r="AU97" s="389"/>
      <c r="AV97" s="390"/>
      <c r="AW97" s="390"/>
      <c r="AX97" s="390"/>
      <c r="AY97" s="390"/>
      <c r="AZ97" s="390"/>
      <c r="BA97" s="390"/>
      <c r="BB97" s="390"/>
      <c r="BC97" s="390"/>
      <c r="BD97" s="390"/>
      <c r="BE97" s="390"/>
      <c r="BF97" s="390"/>
      <c r="BG97" s="390"/>
      <c r="BH97" s="390"/>
      <c r="BI97" s="390"/>
      <c r="BJ97" s="390"/>
      <c r="BK97" s="390"/>
      <c r="BL97" s="390"/>
      <c r="BM97" s="390"/>
      <c r="BN97" s="390"/>
      <c r="BO97" s="390"/>
      <c r="BP97" s="390"/>
      <c r="BQ97" s="390"/>
      <c r="BR97" s="390"/>
      <c r="BS97" s="390"/>
      <c r="BT97" s="390"/>
      <c r="BU97" s="390"/>
      <c r="BV97" s="390"/>
      <c r="BW97" s="390"/>
      <c r="BX97" s="390"/>
      <c r="BY97" s="390"/>
      <c r="BZ97" s="390"/>
      <c r="CA97" s="390"/>
      <c r="CB97" s="390"/>
      <c r="CC97" s="390"/>
      <c r="CD97" s="390"/>
      <c r="CE97" s="390"/>
      <c r="CF97" s="390"/>
      <c r="CG97" s="391"/>
      <c r="CH97" s="50"/>
      <c r="CI97" s="50"/>
      <c r="CJ97" s="50"/>
      <c r="CK97" s="50"/>
      <c r="CL97" s="50"/>
      <c r="CM97" s="50"/>
      <c r="CN97" s="50"/>
      <c r="CO97" s="50"/>
      <c r="CP97" s="115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  <c r="DM97" s="116"/>
      <c r="DN97" s="116"/>
      <c r="DO97" s="116"/>
      <c r="DP97" s="116"/>
      <c r="DQ97" s="116"/>
      <c r="DR97" s="116"/>
      <c r="DS97" s="116"/>
      <c r="DT97" s="116"/>
      <c r="DU97" s="116"/>
      <c r="DV97" s="116"/>
      <c r="DW97" s="116"/>
      <c r="DX97" s="116"/>
      <c r="DY97" s="116"/>
      <c r="DZ97" s="116"/>
      <c r="EA97" s="116"/>
      <c r="EB97" s="116"/>
      <c r="EC97" s="116"/>
      <c r="ED97" s="116"/>
      <c r="EE97" s="116"/>
      <c r="EF97" s="116"/>
      <c r="EG97" s="116"/>
      <c r="EH97" s="116"/>
      <c r="EI97" s="116"/>
      <c r="EJ97" s="116"/>
      <c r="EK97" s="117"/>
      <c r="EL97" s="50"/>
      <c r="EM97" s="50"/>
      <c r="EN97" s="50"/>
      <c r="EO97" s="50"/>
      <c r="EP97" s="50"/>
      <c r="EQ97" s="50"/>
      <c r="ER97" s="50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</row>
    <row r="98" spans="1:161" ht="91.5" customHeight="1" x14ac:dyDescent="0.85">
      <c r="A98" s="43"/>
      <c r="B98" s="43"/>
      <c r="C98" s="49"/>
      <c r="D98" s="49"/>
      <c r="E98" s="349" t="s">
        <v>112</v>
      </c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57" t="s">
        <v>118</v>
      </c>
      <c r="AF98" s="358"/>
      <c r="AG98" s="358"/>
      <c r="AH98" s="358"/>
      <c r="AI98" s="358"/>
      <c r="AJ98" s="358"/>
      <c r="AK98" s="358"/>
      <c r="AL98" s="359"/>
      <c r="AM98" s="357" t="s">
        <v>122</v>
      </c>
      <c r="AN98" s="358"/>
      <c r="AO98" s="358"/>
      <c r="AP98" s="358"/>
      <c r="AQ98" s="358"/>
      <c r="AR98" s="358"/>
      <c r="AS98" s="358"/>
      <c r="AT98" s="359"/>
      <c r="AU98" s="389"/>
      <c r="AV98" s="390"/>
      <c r="AW98" s="390"/>
      <c r="AX98" s="390"/>
      <c r="AY98" s="390"/>
      <c r="AZ98" s="390"/>
      <c r="BA98" s="390"/>
      <c r="BB98" s="390"/>
      <c r="BC98" s="390"/>
      <c r="BD98" s="390"/>
      <c r="BE98" s="390"/>
      <c r="BF98" s="390"/>
      <c r="BG98" s="390"/>
      <c r="BH98" s="390"/>
      <c r="BI98" s="390"/>
      <c r="BJ98" s="390"/>
      <c r="BK98" s="390"/>
      <c r="BL98" s="390"/>
      <c r="BM98" s="390"/>
      <c r="BN98" s="390"/>
      <c r="BO98" s="390"/>
      <c r="BP98" s="390"/>
      <c r="BQ98" s="390"/>
      <c r="BR98" s="390"/>
      <c r="BS98" s="390"/>
      <c r="BT98" s="390"/>
      <c r="BU98" s="390"/>
      <c r="BV98" s="390"/>
      <c r="BW98" s="390"/>
      <c r="BX98" s="390"/>
      <c r="BY98" s="390"/>
      <c r="BZ98" s="390"/>
      <c r="CA98" s="390"/>
      <c r="CB98" s="390"/>
      <c r="CC98" s="390"/>
      <c r="CD98" s="390"/>
      <c r="CE98" s="390"/>
      <c r="CF98" s="390"/>
      <c r="CG98" s="391"/>
      <c r="CH98" s="50"/>
      <c r="CI98" s="50"/>
      <c r="CJ98" s="50"/>
      <c r="CK98" s="50"/>
      <c r="CL98" s="50"/>
      <c r="CM98" s="50"/>
      <c r="CN98" s="50"/>
      <c r="CO98" s="50"/>
      <c r="CP98" s="115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  <c r="DT98" s="116"/>
      <c r="DU98" s="116"/>
      <c r="DV98" s="116"/>
      <c r="DW98" s="116"/>
      <c r="DX98" s="116"/>
      <c r="DY98" s="116"/>
      <c r="DZ98" s="116"/>
      <c r="EA98" s="116"/>
      <c r="EB98" s="116"/>
      <c r="EC98" s="116"/>
      <c r="ED98" s="116"/>
      <c r="EE98" s="116"/>
      <c r="EF98" s="116"/>
      <c r="EG98" s="116"/>
      <c r="EH98" s="116"/>
      <c r="EI98" s="116"/>
      <c r="EJ98" s="116"/>
      <c r="EK98" s="117"/>
      <c r="EL98" s="50"/>
      <c r="EM98" s="50"/>
      <c r="EN98" s="50"/>
      <c r="EO98" s="50"/>
      <c r="EP98" s="50"/>
      <c r="EQ98" s="50"/>
      <c r="ER98" s="50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</row>
    <row r="99" spans="1:161" ht="88.5" customHeight="1" x14ac:dyDescent="0.85">
      <c r="A99" s="43"/>
      <c r="B99" s="43"/>
      <c r="C99" s="49"/>
      <c r="D99" s="49"/>
      <c r="E99" s="350" t="s">
        <v>113</v>
      </c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7" t="s">
        <v>119</v>
      </c>
      <c r="AF99" s="358"/>
      <c r="AG99" s="358"/>
      <c r="AH99" s="358"/>
      <c r="AI99" s="358"/>
      <c r="AJ99" s="358"/>
      <c r="AK99" s="358"/>
      <c r="AL99" s="359"/>
      <c r="AM99" s="357" t="s">
        <v>124</v>
      </c>
      <c r="AN99" s="358"/>
      <c r="AO99" s="358"/>
      <c r="AP99" s="358"/>
      <c r="AQ99" s="358"/>
      <c r="AR99" s="358"/>
      <c r="AS99" s="358"/>
      <c r="AT99" s="359"/>
      <c r="AU99" s="389"/>
      <c r="AV99" s="390"/>
      <c r="AW99" s="390"/>
      <c r="AX99" s="390"/>
      <c r="AY99" s="390"/>
      <c r="AZ99" s="390"/>
      <c r="BA99" s="390"/>
      <c r="BB99" s="390"/>
      <c r="BC99" s="390"/>
      <c r="BD99" s="390"/>
      <c r="BE99" s="390"/>
      <c r="BF99" s="390"/>
      <c r="BG99" s="390"/>
      <c r="BH99" s="390"/>
      <c r="BI99" s="390"/>
      <c r="BJ99" s="390"/>
      <c r="BK99" s="390"/>
      <c r="BL99" s="390"/>
      <c r="BM99" s="390"/>
      <c r="BN99" s="390"/>
      <c r="BO99" s="390"/>
      <c r="BP99" s="390"/>
      <c r="BQ99" s="390"/>
      <c r="BR99" s="390"/>
      <c r="BS99" s="390"/>
      <c r="BT99" s="390"/>
      <c r="BU99" s="390"/>
      <c r="BV99" s="390"/>
      <c r="BW99" s="390"/>
      <c r="BX99" s="390"/>
      <c r="BY99" s="390"/>
      <c r="BZ99" s="390"/>
      <c r="CA99" s="390"/>
      <c r="CB99" s="390"/>
      <c r="CC99" s="390"/>
      <c r="CD99" s="390"/>
      <c r="CE99" s="390"/>
      <c r="CF99" s="390"/>
      <c r="CG99" s="391"/>
      <c r="CH99" s="50"/>
      <c r="CI99" s="50"/>
      <c r="CJ99" s="50"/>
      <c r="CK99" s="50"/>
      <c r="CL99" s="50"/>
      <c r="CM99" s="50"/>
      <c r="CN99" s="50"/>
      <c r="CO99" s="50"/>
      <c r="CP99" s="115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7"/>
      <c r="EL99" s="50"/>
      <c r="EM99" s="50"/>
      <c r="EN99" s="50"/>
      <c r="EO99" s="50"/>
      <c r="EP99" s="50"/>
      <c r="EQ99" s="50"/>
      <c r="ER99" s="50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</row>
    <row r="100" spans="1:161" ht="61.5" x14ac:dyDescent="0.85">
      <c r="A100" s="43"/>
      <c r="B100" s="43"/>
      <c r="C100" s="49"/>
      <c r="D100" s="49"/>
      <c r="E100" s="257" t="s">
        <v>22</v>
      </c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351" t="s">
        <v>125</v>
      </c>
      <c r="AF100" s="352"/>
      <c r="AG100" s="352"/>
      <c r="AH100" s="352"/>
      <c r="AI100" s="352"/>
      <c r="AJ100" s="352"/>
      <c r="AK100" s="352"/>
      <c r="AL100" s="353"/>
      <c r="AM100" s="357"/>
      <c r="AN100" s="358"/>
      <c r="AO100" s="358"/>
      <c r="AP100" s="358"/>
      <c r="AQ100" s="358"/>
      <c r="AR100" s="358"/>
      <c r="AS100" s="358"/>
      <c r="AT100" s="359"/>
      <c r="AU100" s="392"/>
      <c r="AV100" s="393"/>
      <c r="AW100" s="393"/>
      <c r="AX100" s="393"/>
      <c r="AY100" s="393"/>
      <c r="AZ100" s="393"/>
      <c r="BA100" s="393"/>
      <c r="BB100" s="393"/>
      <c r="BC100" s="393"/>
      <c r="BD100" s="393"/>
      <c r="BE100" s="393"/>
      <c r="BF100" s="393"/>
      <c r="BG100" s="393"/>
      <c r="BH100" s="393"/>
      <c r="BI100" s="393"/>
      <c r="BJ100" s="393"/>
      <c r="BK100" s="393"/>
      <c r="BL100" s="393"/>
      <c r="BM100" s="393"/>
      <c r="BN100" s="393"/>
      <c r="BO100" s="393"/>
      <c r="BP100" s="393"/>
      <c r="BQ100" s="393"/>
      <c r="BR100" s="393"/>
      <c r="BS100" s="393"/>
      <c r="BT100" s="393"/>
      <c r="BU100" s="393"/>
      <c r="BV100" s="393"/>
      <c r="BW100" s="393"/>
      <c r="BX100" s="393"/>
      <c r="BY100" s="393"/>
      <c r="BZ100" s="393"/>
      <c r="CA100" s="393"/>
      <c r="CB100" s="393"/>
      <c r="CC100" s="393"/>
      <c r="CD100" s="393"/>
      <c r="CE100" s="393"/>
      <c r="CF100" s="393"/>
      <c r="CG100" s="394"/>
      <c r="CH100" s="50"/>
      <c r="CI100" s="50"/>
      <c r="CJ100" s="50"/>
      <c r="CK100" s="50"/>
      <c r="CL100" s="50"/>
      <c r="CM100" s="50"/>
      <c r="CN100" s="50"/>
      <c r="CO100" s="50"/>
      <c r="CP100" s="118"/>
      <c r="CQ100" s="119"/>
      <c r="CR100" s="119"/>
      <c r="CS100" s="119"/>
      <c r="CT100" s="119"/>
      <c r="CU100" s="119"/>
      <c r="CV100" s="119"/>
      <c r="CW100" s="119"/>
      <c r="CX100" s="119"/>
      <c r="CY100" s="119"/>
      <c r="CZ100" s="119"/>
      <c r="DA100" s="119"/>
      <c r="DB100" s="119"/>
      <c r="DC100" s="119"/>
      <c r="DD100" s="119"/>
      <c r="DE100" s="119"/>
      <c r="DF100" s="119"/>
      <c r="DG100" s="119"/>
      <c r="DH100" s="119"/>
      <c r="DI100" s="119"/>
      <c r="DJ100" s="119"/>
      <c r="DK100" s="119"/>
      <c r="DL100" s="119"/>
      <c r="DM100" s="119"/>
      <c r="DN100" s="119"/>
      <c r="DO100" s="119"/>
      <c r="DP100" s="119"/>
      <c r="DQ100" s="119"/>
      <c r="DR100" s="119"/>
      <c r="DS100" s="119"/>
      <c r="DT100" s="119"/>
      <c r="DU100" s="119"/>
      <c r="DV100" s="119"/>
      <c r="DW100" s="119"/>
      <c r="DX100" s="119"/>
      <c r="DY100" s="119"/>
      <c r="DZ100" s="119"/>
      <c r="EA100" s="119"/>
      <c r="EB100" s="119"/>
      <c r="EC100" s="119"/>
      <c r="ED100" s="119"/>
      <c r="EE100" s="119"/>
      <c r="EF100" s="119"/>
      <c r="EG100" s="119"/>
      <c r="EH100" s="119"/>
      <c r="EI100" s="119"/>
      <c r="EJ100" s="119"/>
      <c r="EK100" s="120"/>
      <c r="EL100" s="50"/>
      <c r="EM100" s="50"/>
      <c r="EN100" s="50"/>
      <c r="EO100" s="50"/>
      <c r="EP100" s="50"/>
      <c r="EQ100" s="50"/>
      <c r="ER100" s="50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</row>
    <row r="101" spans="1:161" ht="61.5" x14ac:dyDescent="0.85">
      <c r="A101" s="43"/>
      <c r="B101" s="43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51"/>
      <c r="X101" s="51"/>
      <c r="Y101" s="51"/>
      <c r="Z101" s="52"/>
      <c r="AA101" s="52"/>
      <c r="AB101" s="52"/>
      <c r="AC101" s="52"/>
      <c r="AD101" s="50"/>
      <c r="AE101" s="50"/>
      <c r="AF101" s="50"/>
      <c r="AG101" s="50"/>
      <c r="AH101" s="50"/>
      <c r="AI101" s="50"/>
      <c r="AJ101" s="50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1"/>
      <c r="BI101" s="51"/>
      <c r="BJ101" s="51"/>
      <c r="BK101" s="51"/>
      <c r="BL101" s="51"/>
      <c r="BM101" s="51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</row>
    <row r="102" spans="1:161" ht="129.94999999999999" customHeight="1" x14ac:dyDescent="0.85">
      <c r="A102" s="43"/>
      <c r="B102" s="381" t="s">
        <v>263</v>
      </c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2" t="s">
        <v>127</v>
      </c>
      <c r="Z102" s="382"/>
      <c r="AA102" s="382"/>
      <c r="AB102" s="382"/>
      <c r="AC102" s="382"/>
      <c r="AD102" s="382"/>
      <c r="AE102" s="382"/>
      <c r="AF102" s="382"/>
      <c r="AG102" s="382"/>
      <c r="AH102" s="382"/>
      <c r="AI102" s="382"/>
      <c r="AJ102" s="382"/>
      <c r="AK102" s="382"/>
      <c r="AL102" s="382"/>
      <c r="AM102" s="382"/>
      <c r="AN102" s="382"/>
      <c r="AO102" s="382"/>
      <c r="AP102" s="382"/>
      <c r="AQ102" s="382"/>
      <c r="AR102" s="382"/>
      <c r="AS102" s="382"/>
      <c r="AT102" s="382"/>
      <c r="AU102" s="382"/>
      <c r="AV102" s="364"/>
      <c r="AW102" s="364"/>
      <c r="AX102" s="364"/>
      <c r="AY102" s="364"/>
      <c r="AZ102" s="364"/>
      <c r="BA102" s="364"/>
      <c r="BB102" s="364"/>
      <c r="BC102" s="364"/>
      <c r="BD102" s="364"/>
      <c r="BE102" s="364"/>
      <c r="BF102" s="364"/>
      <c r="BG102" s="364"/>
      <c r="BH102" s="364"/>
      <c r="BI102" s="364"/>
      <c r="BJ102" s="364"/>
      <c r="BK102" s="364"/>
      <c r="BL102" s="364"/>
      <c r="BM102" s="364"/>
      <c r="BN102" s="364"/>
      <c r="BO102" s="364"/>
      <c r="BP102" s="364"/>
      <c r="BQ102" s="364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</row>
    <row r="103" spans="1:161" ht="75" x14ac:dyDescent="0.85">
      <c r="A103" s="43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64"/>
      <c r="Z103" s="364"/>
      <c r="AA103" s="364"/>
      <c r="AB103" s="364"/>
      <c r="AC103" s="364"/>
      <c r="AD103" s="364"/>
      <c r="AE103" s="364"/>
      <c r="AF103" s="364"/>
      <c r="AG103" s="364"/>
      <c r="AH103" s="364"/>
      <c r="AI103" s="364"/>
      <c r="AJ103" s="364"/>
      <c r="AK103" s="364"/>
      <c r="AL103" s="364"/>
      <c r="AM103" s="364"/>
      <c r="AN103" s="364"/>
      <c r="AO103" s="364"/>
      <c r="AP103" s="364"/>
      <c r="AQ103" s="364"/>
      <c r="AR103" s="364"/>
      <c r="AS103" s="364"/>
      <c r="AT103" s="364"/>
      <c r="AU103" s="364"/>
      <c r="AV103" s="364"/>
      <c r="AW103" s="364"/>
      <c r="AX103" s="364"/>
      <c r="AY103" s="364"/>
      <c r="AZ103" s="364"/>
      <c r="BA103" s="364"/>
      <c r="BB103" s="364"/>
      <c r="BC103" s="364"/>
      <c r="BD103" s="364"/>
      <c r="BE103" s="364"/>
      <c r="BF103" s="364"/>
      <c r="BG103" s="364"/>
      <c r="BH103" s="364"/>
      <c r="BI103" s="364"/>
      <c r="BJ103" s="364"/>
      <c r="BK103" s="364"/>
      <c r="BL103" s="364"/>
      <c r="BM103" s="364"/>
      <c r="BN103" s="364"/>
      <c r="BO103" s="364"/>
      <c r="BP103" s="364"/>
      <c r="BQ103" s="364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</row>
    <row r="104" spans="1:161" ht="129.94999999999999" customHeight="1" x14ac:dyDescent="0.85">
      <c r="A104" s="43"/>
      <c r="B104" s="381" t="s">
        <v>264</v>
      </c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2" t="s">
        <v>127</v>
      </c>
      <c r="Z104" s="382"/>
      <c r="AA104" s="382"/>
      <c r="AB104" s="382"/>
      <c r="AC104" s="382"/>
      <c r="AD104" s="382"/>
      <c r="AE104" s="382"/>
      <c r="AF104" s="382"/>
      <c r="AG104" s="382"/>
      <c r="AH104" s="382"/>
      <c r="AI104" s="382"/>
      <c r="AJ104" s="382"/>
      <c r="AK104" s="382"/>
      <c r="AL104" s="382"/>
      <c r="AM104" s="382"/>
      <c r="AN104" s="382"/>
      <c r="AO104" s="382"/>
      <c r="AP104" s="382"/>
      <c r="AQ104" s="382"/>
      <c r="AR104" s="382"/>
      <c r="AS104" s="382"/>
      <c r="AT104" s="382"/>
      <c r="AU104" s="382"/>
      <c r="AV104" s="364"/>
      <c r="AW104" s="364"/>
      <c r="AX104" s="364"/>
      <c r="AY104" s="364"/>
      <c r="AZ104" s="364"/>
      <c r="BA104" s="364"/>
      <c r="BB104" s="364"/>
      <c r="BC104" s="364"/>
      <c r="BD104" s="364"/>
      <c r="BE104" s="364"/>
      <c r="BF104" s="364"/>
      <c r="BG104" s="364"/>
      <c r="BH104" s="364"/>
      <c r="BI104" s="364"/>
      <c r="BJ104" s="364"/>
      <c r="BK104" s="364"/>
      <c r="BL104" s="364"/>
      <c r="BM104" s="364"/>
      <c r="BN104" s="364"/>
      <c r="BO104" s="364"/>
      <c r="BP104" s="364"/>
      <c r="BQ104" s="364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</row>
    <row r="105" spans="1:161" ht="75" x14ac:dyDescent="0.85">
      <c r="A105" s="43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64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4"/>
      <c r="AU105" s="364"/>
      <c r="AV105" s="364"/>
      <c r="AW105" s="364"/>
      <c r="AX105" s="364"/>
      <c r="AY105" s="364"/>
      <c r="AZ105" s="364"/>
      <c r="BA105" s="364"/>
      <c r="BB105" s="364"/>
      <c r="BC105" s="364"/>
      <c r="BD105" s="364"/>
      <c r="BE105" s="364"/>
      <c r="BF105" s="364"/>
      <c r="BG105" s="364"/>
      <c r="BH105" s="364"/>
      <c r="BI105" s="364"/>
      <c r="BJ105" s="364"/>
      <c r="BK105" s="364"/>
      <c r="BL105" s="364"/>
      <c r="BM105" s="364"/>
      <c r="BN105" s="364"/>
      <c r="BO105" s="364"/>
      <c r="BP105" s="364"/>
      <c r="BQ105" s="364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</row>
    <row r="106" spans="1:161" ht="129.94999999999999" customHeight="1" x14ac:dyDescent="0.85">
      <c r="A106" s="43"/>
      <c r="B106" s="381" t="s">
        <v>249</v>
      </c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2" t="s">
        <v>127</v>
      </c>
      <c r="Z106" s="382"/>
      <c r="AA106" s="382"/>
      <c r="AB106" s="382"/>
      <c r="AC106" s="382"/>
      <c r="AD106" s="382"/>
      <c r="AE106" s="382"/>
      <c r="AF106" s="382"/>
      <c r="AG106" s="382"/>
      <c r="AH106" s="382"/>
      <c r="AI106" s="382"/>
      <c r="AJ106" s="382"/>
      <c r="AK106" s="382"/>
      <c r="AL106" s="382"/>
      <c r="AM106" s="382"/>
      <c r="AN106" s="382"/>
      <c r="AO106" s="382"/>
      <c r="AP106" s="382"/>
      <c r="AQ106" s="382"/>
      <c r="AR106" s="382"/>
      <c r="AS106" s="382"/>
      <c r="AT106" s="382"/>
      <c r="AU106" s="382"/>
      <c r="AV106" s="364"/>
      <c r="AW106" s="364"/>
      <c r="AX106" s="364"/>
      <c r="AY106" s="364"/>
      <c r="AZ106" s="364"/>
      <c r="BA106" s="364"/>
      <c r="BB106" s="364"/>
      <c r="BC106" s="364"/>
      <c r="BD106" s="364"/>
      <c r="BE106" s="364"/>
      <c r="BF106" s="364"/>
      <c r="BG106" s="364"/>
      <c r="BH106" s="364"/>
      <c r="BI106" s="364"/>
      <c r="BJ106" s="364"/>
      <c r="BK106" s="364"/>
      <c r="BL106" s="364"/>
      <c r="BM106" s="364"/>
      <c r="BN106" s="364"/>
      <c r="BO106" s="364"/>
      <c r="BP106" s="364"/>
      <c r="BQ106" s="364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</row>
    <row r="107" spans="1:161" ht="75" x14ac:dyDescent="0.85">
      <c r="A107" s="43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64"/>
      <c r="Z107" s="364"/>
      <c r="AA107" s="364"/>
      <c r="AB107" s="364"/>
      <c r="AC107" s="364"/>
      <c r="AD107" s="364"/>
      <c r="AE107" s="364"/>
      <c r="AF107" s="364"/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64"/>
      <c r="AQ107" s="364"/>
      <c r="AR107" s="364"/>
      <c r="AS107" s="364"/>
      <c r="AT107" s="364"/>
      <c r="AU107" s="364"/>
      <c r="AV107" s="364"/>
      <c r="AW107" s="364"/>
      <c r="AX107" s="364"/>
      <c r="AY107" s="364"/>
      <c r="AZ107" s="364"/>
      <c r="BA107" s="364"/>
      <c r="BB107" s="364"/>
      <c r="BC107" s="364"/>
      <c r="BD107" s="364"/>
      <c r="BE107" s="364"/>
      <c r="BF107" s="364"/>
      <c r="BG107" s="364"/>
      <c r="BH107" s="364"/>
      <c r="BI107" s="364"/>
      <c r="BJ107" s="364"/>
      <c r="BK107" s="364"/>
      <c r="BL107" s="364"/>
      <c r="BM107" s="364"/>
      <c r="BN107" s="364"/>
      <c r="BO107" s="364"/>
      <c r="BP107" s="364"/>
      <c r="BQ107" s="364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</row>
    <row r="108" spans="1:161" ht="129.94999999999999" customHeight="1" x14ac:dyDescent="0.85">
      <c r="A108" s="43"/>
      <c r="B108" s="381" t="s">
        <v>250</v>
      </c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2" t="s">
        <v>127</v>
      </c>
      <c r="Z108" s="382"/>
      <c r="AA108" s="382"/>
      <c r="AB108" s="382"/>
      <c r="AC108" s="382"/>
      <c r="AD108" s="382"/>
      <c r="AE108" s="382"/>
      <c r="AF108" s="382"/>
      <c r="AG108" s="382"/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2"/>
      <c r="AR108" s="382"/>
      <c r="AS108" s="382"/>
      <c r="AT108" s="382"/>
      <c r="AU108" s="382"/>
      <c r="AV108" s="364"/>
      <c r="AW108" s="364"/>
      <c r="AX108" s="364"/>
      <c r="AY108" s="364"/>
      <c r="AZ108" s="364"/>
      <c r="BA108" s="364"/>
      <c r="BB108" s="364"/>
      <c r="BC108" s="364"/>
      <c r="BD108" s="364"/>
      <c r="BE108" s="364"/>
      <c r="BF108" s="364"/>
      <c r="BG108" s="364"/>
      <c r="BH108" s="364"/>
      <c r="BI108" s="364"/>
      <c r="BJ108" s="364"/>
      <c r="BK108" s="364"/>
      <c r="BL108" s="364"/>
      <c r="BM108" s="364"/>
      <c r="BN108" s="364"/>
      <c r="BO108" s="364"/>
      <c r="BP108" s="364"/>
      <c r="BQ108" s="364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</row>
    <row r="109" spans="1:161" ht="45.75" x14ac:dyDescent="0.6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54"/>
      <c r="BI109" s="54"/>
      <c r="BJ109" s="54"/>
      <c r="BK109" s="54"/>
      <c r="BL109" s="54"/>
      <c r="BM109" s="54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</row>
    <row r="110" spans="1:161" ht="45.75" x14ac:dyDescent="0.65">
      <c r="A110" s="53"/>
      <c r="B110" s="53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4"/>
      <c r="X110" s="54"/>
      <c r="Y110" s="54"/>
      <c r="Z110" s="56"/>
      <c r="AA110" s="56"/>
      <c r="AB110" s="56"/>
      <c r="AC110" s="56"/>
      <c r="AD110" s="41"/>
      <c r="AE110" s="41"/>
      <c r="AF110" s="41"/>
      <c r="AG110" s="41"/>
      <c r="AH110" s="41"/>
      <c r="AI110" s="41"/>
      <c r="AJ110" s="41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54"/>
      <c r="BI110" s="54"/>
      <c r="BJ110" s="54"/>
      <c r="BK110" s="54"/>
      <c r="BL110" s="54"/>
      <c r="BM110" s="54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</row>
  </sheetData>
  <mergeCells count="1363">
    <mergeCell ref="AH3:CT3"/>
    <mergeCell ref="AH2:CT2"/>
    <mergeCell ref="AH7:CT7"/>
    <mergeCell ref="AH6:CT6"/>
    <mergeCell ref="AH5:CT5"/>
    <mergeCell ref="AH4:CT4"/>
    <mergeCell ref="A24:ER24"/>
    <mergeCell ref="EV19:GW19"/>
    <mergeCell ref="GX19:GY19"/>
    <mergeCell ref="GZ19:HA19"/>
    <mergeCell ref="HB19:HC19"/>
    <mergeCell ref="HD19:HE19"/>
    <mergeCell ref="HF19:HG19"/>
    <mergeCell ref="HH19:HI19"/>
    <mergeCell ref="HJ19:HK19"/>
    <mergeCell ref="HL19:HM19"/>
    <mergeCell ref="HN19:HO19"/>
    <mergeCell ref="EW21:EY21"/>
    <mergeCell ref="EZ21:FE21"/>
    <mergeCell ref="FG21:FI21"/>
    <mergeCell ref="FJ21:FO21"/>
    <mergeCell ref="FQ21:FS21"/>
    <mergeCell ref="FT21:FY21"/>
    <mergeCell ref="GA21:GC21"/>
    <mergeCell ref="GD21:GI21"/>
    <mergeCell ref="GK21:GM21"/>
    <mergeCell ref="GN21:GS21"/>
    <mergeCell ref="GU21:GW21"/>
    <mergeCell ref="GX21:HC21"/>
    <mergeCell ref="HE21:HG21"/>
    <mergeCell ref="HH21:HM21"/>
    <mergeCell ref="EV17:EW17"/>
    <mergeCell ref="GX17:GY17"/>
    <mergeCell ref="GZ17:HA17"/>
    <mergeCell ref="HB17:HC17"/>
    <mergeCell ref="HD17:HE17"/>
    <mergeCell ref="HF17:HG17"/>
    <mergeCell ref="HH17:HI17"/>
    <mergeCell ref="HJ17:HK17"/>
    <mergeCell ref="HL17:HM17"/>
    <mergeCell ref="HN17:HO17"/>
    <mergeCell ref="EV18:EW18"/>
    <mergeCell ref="GX18:GY18"/>
    <mergeCell ref="GZ18:HA18"/>
    <mergeCell ref="HB18:HC18"/>
    <mergeCell ref="HD18:HE18"/>
    <mergeCell ref="HF18:HG18"/>
    <mergeCell ref="HH18:HI18"/>
    <mergeCell ref="HJ18:HK18"/>
    <mergeCell ref="HL18:HM18"/>
    <mergeCell ref="HN18:HO18"/>
    <mergeCell ref="EV15:EW15"/>
    <mergeCell ref="GX15:G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EV16:EW16"/>
    <mergeCell ref="GX16:G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EV9:EW14"/>
    <mergeCell ref="EX9:GW12"/>
    <mergeCell ref="GX9:HK9"/>
    <mergeCell ref="HL9:HM14"/>
    <mergeCell ref="HN9:HO14"/>
    <mergeCell ref="GX10:GY14"/>
    <mergeCell ref="GZ10:HK10"/>
    <mergeCell ref="GZ11:HA14"/>
    <mergeCell ref="HB11:HC14"/>
    <mergeCell ref="HD11:HE14"/>
    <mergeCell ref="HF11:HG14"/>
    <mergeCell ref="HH11:HI14"/>
    <mergeCell ref="HJ11:HK14"/>
    <mergeCell ref="EX13:FB13"/>
    <mergeCell ref="FC13:FF13"/>
    <mergeCell ref="FG13:FK13"/>
    <mergeCell ref="FL13:FO13"/>
    <mergeCell ref="FP13:FT13"/>
    <mergeCell ref="FU13:FX13"/>
    <mergeCell ref="FY13:GC13"/>
    <mergeCell ref="GD13:GG13"/>
    <mergeCell ref="GH13:GK13"/>
    <mergeCell ref="GL13:GO13"/>
    <mergeCell ref="GP13:GS13"/>
    <mergeCell ref="GT13:GW13"/>
    <mergeCell ref="A78:A79"/>
    <mergeCell ref="EK76:EO77"/>
    <mergeCell ref="EP76:ER77"/>
    <mergeCell ref="C77:Y77"/>
    <mergeCell ref="DQ74:DU75"/>
    <mergeCell ref="DV74:DZ75"/>
    <mergeCell ref="EA74:EE75"/>
    <mergeCell ref="EF74:EJ75"/>
    <mergeCell ref="EK74:EO75"/>
    <mergeCell ref="EP74:ER75"/>
    <mergeCell ref="C75:Y75"/>
    <mergeCell ref="C76:Y76"/>
    <mergeCell ref="Z76:AC77"/>
    <mergeCell ref="AD76:AF77"/>
    <mergeCell ref="AG76:AK77"/>
    <mergeCell ref="AL76:AP77"/>
    <mergeCell ref="AQ76:AU77"/>
    <mergeCell ref="AV76:AZ77"/>
    <mergeCell ref="BA76:BD77"/>
    <mergeCell ref="BE76:BI77"/>
    <mergeCell ref="BJ76:BM77"/>
    <mergeCell ref="BN76:BR77"/>
    <mergeCell ref="DQ76:DU77"/>
    <mergeCell ref="DV76:DZ77"/>
    <mergeCell ref="EA76:EE77"/>
    <mergeCell ref="EF76:EJ77"/>
    <mergeCell ref="A76:A77"/>
    <mergeCell ref="BS76:BW77"/>
    <mergeCell ref="BX76:CB77"/>
    <mergeCell ref="CC76:CG77"/>
    <mergeCell ref="CH76:CL77"/>
    <mergeCell ref="CM76:CQ7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CW74:DA75"/>
    <mergeCell ref="DB74:DF75"/>
    <mergeCell ref="DG74:DK75"/>
    <mergeCell ref="DL74:DP75"/>
    <mergeCell ref="C72:Y72"/>
    <mergeCell ref="Z72:AC73"/>
    <mergeCell ref="AD72:AF73"/>
    <mergeCell ref="AG72:AK73"/>
    <mergeCell ref="AL72:AP73"/>
    <mergeCell ref="AQ72:AU73"/>
    <mergeCell ref="AV72:AZ73"/>
    <mergeCell ref="BA72:BD73"/>
    <mergeCell ref="BS72:BW73"/>
    <mergeCell ref="BX72:CB73"/>
    <mergeCell ref="CC72:CG73"/>
    <mergeCell ref="CM68:CQ69"/>
    <mergeCell ref="CR68:CV69"/>
    <mergeCell ref="CR60:CV61"/>
    <mergeCell ref="CW60:DA61"/>
    <mergeCell ref="C73:Y73"/>
    <mergeCell ref="C68:Y68"/>
    <mergeCell ref="CH72:CL73"/>
    <mergeCell ref="CM72:CQ73"/>
    <mergeCell ref="C69:Y69"/>
    <mergeCell ref="C70:Y70"/>
    <mergeCell ref="Z70:AC71"/>
    <mergeCell ref="AD70:AF71"/>
    <mergeCell ref="AG70:AK71"/>
    <mergeCell ref="AL70:AP71"/>
    <mergeCell ref="AQ70:AU71"/>
    <mergeCell ref="AV70:AZ71"/>
    <mergeCell ref="BA70:BD71"/>
    <mergeCell ref="BE70:BI71"/>
    <mergeCell ref="BJ70:BM71"/>
    <mergeCell ref="BN70:BR71"/>
    <mergeCell ref="AQ68:AU69"/>
    <mergeCell ref="AV68:AZ69"/>
    <mergeCell ref="BA68:BD69"/>
    <mergeCell ref="BE68:BI69"/>
    <mergeCell ref="BJ68:BM69"/>
    <mergeCell ref="BN68:BR69"/>
    <mergeCell ref="Z68:AC69"/>
    <mergeCell ref="AD68:AF69"/>
    <mergeCell ref="AG74:AK75"/>
    <mergeCell ref="AL74:AP75"/>
    <mergeCell ref="AQ74:AU75"/>
    <mergeCell ref="AV74:AZ75"/>
    <mergeCell ref="BA74:BD75"/>
    <mergeCell ref="BE74:BI75"/>
    <mergeCell ref="BJ74:BM75"/>
    <mergeCell ref="BN74:BR75"/>
    <mergeCell ref="BS74:BW75"/>
    <mergeCell ref="BX74:CB75"/>
    <mergeCell ref="CC74:CG75"/>
    <mergeCell ref="CH74:CL75"/>
    <mergeCell ref="CM74:CQ75"/>
    <mergeCell ref="CR74:CV75"/>
    <mergeCell ref="DV70:DZ71"/>
    <mergeCell ref="EA70:EE71"/>
    <mergeCell ref="EP68:ER69"/>
    <mergeCell ref="BS68:BW69"/>
    <mergeCell ref="BX68:CB69"/>
    <mergeCell ref="EK70:EO71"/>
    <mergeCell ref="EP70:ER71"/>
    <mergeCell ref="EP72:ER73"/>
    <mergeCell ref="DV72:DZ73"/>
    <mergeCell ref="EA72:EE73"/>
    <mergeCell ref="EF72:EJ73"/>
    <mergeCell ref="EF70:EJ71"/>
    <mergeCell ref="DB78:DF79"/>
    <mergeCell ref="DG78:DK79"/>
    <mergeCell ref="DL78:DP79"/>
    <mergeCell ref="DQ78:DU79"/>
    <mergeCell ref="DB68:DF69"/>
    <mergeCell ref="DG68:DK69"/>
    <mergeCell ref="DL70:DP71"/>
    <mergeCell ref="DQ70:DU71"/>
    <mergeCell ref="BS70:BW71"/>
    <mergeCell ref="BX70:CB71"/>
    <mergeCell ref="CC70:CG71"/>
    <mergeCell ref="CH70:CL71"/>
    <mergeCell ref="CM70:CQ71"/>
    <mergeCell ref="CR70:CV71"/>
    <mergeCell ref="CW70:DA71"/>
    <mergeCell ref="DB70:DF71"/>
    <mergeCell ref="DG70:DK71"/>
    <mergeCell ref="DQ72:DU73"/>
    <mergeCell ref="CC68:CG69"/>
    <mergeCell ref="CH68:CL69"/>
    <mergeCell ref="DG72:DK73"/>
    <mergeCell ref="DL72:DP73"/>
    <mergeCell ref="DG76:DK77"/>
    <mergeCell ref="DL76:DP77"/>
    <mergeCell ref="BS78:BW79"/>
    <mergeCell ref="BX78:CB79"/>
    <mergeCell ref="DB72:DF73"/>
    <mergeCell ref="EP66:ER67"/>
    <mergeCell ref="C78:Y78"/>
    <mergeCell ref="Z78:AC79"/>
    <mergeCell ref="AD78:AF79"/>
    <mergeCell ref="AG78:AK79"/>
    <mergeCell ref="AL78:AP79"/>
    <mergeCell ref="Z66:AC67"/>
    <mergeCell ref="AD66:AF67"/>
    <mergeCell ref="AG66:AK67"/>
    <mergeCell ref="AL66:AP67"/>
    <mergeCell ref="AQ66:AU67"/>
    <mergeCell ref="AV66:AZ67"/>
    <mergeCell ref="BA66:BD67"/>
    <mergeCell ref="BE66:BI67"/>
    <mergeCell ref="BJ66:BM67"/>
    <mergeCell ref="BN66:BR67"/>
    <mergeCell ref="BS66:BW67"/>
    <mergeCell ref="BX66:CB67"/>
    <mergeCell ref="CC66:CG67"/>
    <mergeCell ref="CH66:CL67"/>
    <mergeCell ref="CM66:CQ67"/>
    <mergeCell ref="CR66:CV67"/>
    <mergeCell ref="CW66:DA67"/>
    <mergeCell ref="DL66:DP67"/>
    <mergeCell ref="DQ66:DU67"/>
    <mergeCell ref="DV66:DZ67"/>
    <mergeCell ref="EA66:EE67"/>
    <mergeCell ref="EF66:EJ67"/>
    <mergeCell ref="EK66:EO67"/>
    <mergeCell ref="EK78:EO79"/>
    <mergeCell ref="EP78:ER79"/>
    <mergeCell ref="AQ78:AU79"/>
    <mergeCell ref="EP55:ER55"/>
    <mergeCell ref="Z64:AC65"/>
    <mergeCell ref="AD64:AF65"/>
    <mergeCell ref="AG64:AK65"/>
    <mergeCell ref="AL64:AP65"/>
    <mergeCell ref="AQ64:AU65"/>
    <mergeCell ref="AV64:AZ65"/>
    <mergeCell ref="BA64:BD65"/>
    <mergeCell ref="BE64:BI65"/>
    <mergeCell ref="BJ64:BM65"/>
    <mergeCell ref="BN64:BR65"/>
    <mergeCell ref="BS64:BW65"/>
    <mergeCell ref="BX64:CB65"/>
    <mergeCell ref="CC64:CG65"/>
    <mergeCell ref="CH64:CL65"/>
    <mergeCell ref="CM64:CQ65"/>
    <mergeCell ref="CR64:CV65"/>
    <mergeCell ref="CW64:DA65"/>
    <mergeCell ref="DB64:DF65"/>
    <mergeCell ref="DG64:DK65"/>
    <mergeCell ref="DL64:DP65"/>
    <mergeCell ref="DQ64:DU65"/>
    <mergeCell ref="DV64:DZ65"/>
    <mergeCell ref="EA64:EE65"/>
    <mergeCell ref="EF64:EJ65"/>
    <mergeCell ref="EK64:EO65"/>
    <mergeCell ref="EP64:ER65"/>
    <mergeCell ref="DQ57:DU57"/>
    <mergeCell ref="EK55:EO55"/>
    <mergeCell ref="AG55:AK55"/>
    <mergeCell ref="EP56:ER56"/>
    <mergeCell ref="DL56:DP56"/>
    <mergeCell ref="EP47:ER47"/>
    <mergeCell ref="DB46:DF46"/>
    <mergeCell ref="DG46:DK46"/>
    <mergeCell ref="EP54:ER54"/>
    <mergeCell ref="C45:Y45"/>
    <mergeCell ref="Z45:AC45"/>
    <mergeCell ref="C54:Y54"/>
    <mergeCell ref="Z54:AC54"/>
    <mergeCell ref="AD54:AF54"/>
    <mergeCell ref="AG54:AK54"/>
    <mergeCell ref="AL54:AP54"/>
    <mergeCell ref="AQ54:AU54"/>
    <mergeCell ref="AV54:AZ54"/>
    <mergeCell ref="BA54:BD54"/>
    <mergeCell ref="BE54:BI54"/>
    <mergeCell ref="BJ54:BM54"/>
    <mergeCell ref="BN54:BR54"/>
    <mergeCell ref="BS54:BW54"/>
    <mergeCell ref="BX54:CB54"/>
    <mergeCell ref="CC54:CG54"/>
    <mergeCell ref="CH54:CL54"/>
    <mergeCell ref="BA45:BD45"/>
    <mergeCell ref="BE45:BI45"/>
    <mergeCell ref="CR47:CV47"/>
    <mergeCell ref="BN47:BR47"/>
    <mergeCell ref="BS47:BW47"/>
    <mergeCell ref="BX47:CB47"/>
    <mergeCell ref="CC50:CG50"/>
    <mergeCell ref="CH50:CL50"/>
    <mergeCell ref="CM50:CQ50"/>
    <mergeCell ref="CR50:CV50"/>
    <mergeCell ref="EP51:ER51"/>
    <mergeCell ref="EP42:ER42"/>
    <mergeCell ref="C43:Y43"/>
    <mergeCell ref="Z43:AC43"/>
    <mergeCell ref="AD43:AF43"/>
    <mergeCell ref="AG43:AK43"/>
    <mergeCell ref="AL43:AP43"/>
    <mergeCell ref="AQ43:AU43"/>
    <mergeCell ref="AV43:AZ43"/>
    <mergeCell ref="BA43:BD43"/>
    <mergeCell ref="BE43:BI43"/>
    <mergeCell ref="BJ43:BM43"/>
    <mergeCell ref="BN43:BR43"/>
    <mergeCell ref="BS43:BW43"/>
    <mergeCell ref="BX43:CB43"/>
    <mergeCell ref="CC43:CG43"/>
    <mergeCell ref="DV43:DZ43"/>
    <mergeCell ref="EA43:EE43"/>
    <mergeCell ref="EF43:EJ43"/>
    <mergeCell ref="DG42:DK42"/>
    <mergeCell ref="DQ42:DU42"/>
    <mergeCell ref="DV42:DZ42"/>
    <mergeCell ref="EP81:ER81"/>
    <mergeCell ref="EA81:EE81"/>
    <mergeCell ref="DV78:DZ79"/>
    <mergeCell ref="EA78:EE79"/>
    <mergeCell ref="DL42:DP42"/>
    <mergeCell ref="A8:ER8"/>
    <mergeCell ref="EP52:ER52"/>
    <mergeCell ref="EK51:EO51"/>
    <mergeCell ref="BJ40:BM40"/>
    <mergeCell ref="CR41:CV41"/>
    <mergeCell ref="CW41:DA41"/>
    <mergeCell ref="DB43:DF43"/>
    <mergeCell ref="DG43:DK43"/>
    <mergeCell ref="DL43:DP43"/>
    <mergeCell ref="DQ43:DU43"/>
    <mergeCell ref="EP43:ER43"/>
    <mergeCell ref="C44:Y44"/>
    <mergeCell ref="Z44:AC44"/>
    <mergeCell ref="AD44:AF44"/>
    <mergeCell ref="AG44:AK44"/>
    <mergeCell ref="AL44:AP44"/>
    <mergeCell ref="AQ44:AU44"/>
    <mergeCell ref="EK52:EO52"/>
    <mergeCell ref="BA44:BD44"/>
    <mergeCell ref="BE44:BI44"/>
    <mergeCell ref="BJ44:BM44"/>
    <mergeCell ref="BN44:BR44"/>
    <mergeCell ref="BS44:BW44"/>
    <mergeCell ref="BX44:CB44"/>
    <mergeCell ref="CC44:CG44"/>
    <mergeCell ref="AD45:AF45"/>
    <mergeCell ref="AG45:AK45"/>
    <mergeCell ref="DL34:DP34"/>
    <mergeCell ref="DV54:DZ54"/>
    <mergeCell ref="EA54:EE54"/>
    <mergeCell ref="EF54:EJ54"/>
    <mergeCell ref="EF56:EJ56"/>
    <mergeCell ref="EA52:EE52"/>
    <mergeCell ref="EA51:EE51"/>
    <mergeCell ref="EF51:EJ51"/>
    <mergeCell ref="DL55:DP55"/>
    <mergeCell ref="DQ55:DU55"/>
    <mergeCell ref="DV55:DZ55"/>
    <mergeCell ref="EA55:EE55"/>
    <mergeCell ref="EA83:EE83"/>
    <mergeCell ref="EK72:EO73"/>
    <mergeCell ref="EK68:EO69"/>
    <mergeCell ref="DL39:DP39"/>
    <mergeCell ref="DQ39:DU39"/>
    <mergeCell ref="EA36:EE36"/>
    <mergeCell ref="EF36:EJ36"/>
    <mergeCell ref="EK36:EO36"/>
    <mergeCell ref="EA42:EE42"/>
    <mergeCell ref="EF42:EJ42"/>
    <mergeCell ref="EK42:EO42"/>
    <mergeCell ref="EK53:EO53"/>
    <mergeCell ref="EA39:EE39"/>
    <mergeCell ref="EF39:EJ39"/>
    <mergeCell ref="DQ40:DU40"/>
    <mergeCell ref="DL68:DP69"/>
    <mergeCell ref="DQ68:DU69"/>
    <mergeCell ref="DV68:DZ69"/>
    <mergeCell ref="EA68:EE69"/>
    <mergeCell ref="EF68:EJ69"/>
    <mergeCell ref="AG84:AK84"/>
    <mergeCell ref="AL84:AP84"/>
    <mergeCell ref="AQ84:AU84"/>
    <mergeCell ref="AV84:AZ84"/>
    <mergeCell ref="BA84:BD84"/>
    <mergeCell ref="BE84:BI84"/>
    <mergeCell ref="BJ84:BM84"/>
    <mergeCell ref="BN84:BR84"/>
    <mergeCell ref="BS84:BW84"/>
    <mergeCell ref="BX84:CB84"/>
    <mergeCell ref="CC84:CG84"/>
    <mergeCell ref="CH84:CL84"/>
    <mergeCell ref="CM84:CQ84"/>
    <mergeCell ref="CR84:CV84"/>
    <mergeCell ref="DQ52:DU52"/>
    <mergeCell ref="DV52:DZ52"/>
    <mergeCell ref="EK35:EO35"/>
    <mergeCell ref="EK49:EO49"/>
    <mergeCell ref="DV40:DZ40"/>
    <mergeCell ref="EA40:EE40"/>
    <mergeCell ref="EF40:EJ40"/>
    <mergeCell ref="EK37:EO37"/>
    <mergeCell ref="EK83:EO83"/>
    <mergeCell ref="EF83:EJ83"/>
    <mergeCell ref="EF81:EJ81"/>
    <mergeCell ref="EK81:EO81"/>
    <mergeCell ref="AL45:AP45"/>
    <mergeCell ref="AQ45:AU45"/>
    <mergeCell ref="AV45:AZ45"/>
    <mergeCell ref="AL51:AP51"/>
    <mergeCell ref="AQ51:AU51"/>
    <mergeCell ref="AQ52:AU52"/>
    <mergeCell ref="BE82:BI82"/>
    <mergeCell ref="BJ82:BM82"/>
    <mergeCell ref="BN82:BR82"/>
    <mergeCell ref="BS82:BW82"/>
    <mergeCell ref="BX82:CB82"/>
    <mergeCell ref="CC82:CG82"/>
    <mergeCell ref="CH82:CL82"/>
    <mergeCell ref="CM82:CQ82"/>
    <mergeCell ref="CR82:CV82"/>
    <mergeCell ref="CW84:DA84"/>
    <mergeCell ref="DB84:DF84"/>
    <mergeCell ref="DG84:DK84"/>
    <mergeCell ref="DL84:DP84"/>
    <mergeCell ref="DQ84:DU84"/>
    <mergeCell ref="EK84:EO84"/>
    <mergeCell ref="DV84:DZ84"/>
    <mergeCell ref="EA84:EE84"/>
    <mergeCell ref="EK82:EO82"/>
    <mergeCell ref="EF84:EJ84"/>
    <mergeCell ref="BE83:BI83"/>
    <mergeCell ref="BJ83:BM83"/>
    <mergeCell ref="BN83:BR83"/>
    <mergeCell ref="BS83:BW83"/>
    <mergeCell ref="BX83:CB83"/>
    <mergeCell ref="CC83:CG83"/>
    <mergeCell ref="CH83:CL83"/>
    <mergeCell ref="CM83:CQ83"/>
    <mergeCell ref="CR83:CV83"/>
    <mergeCell ref="CW83:DA83"/>
    <mergeCell ref="DB83:DF83"/>
    <mergeCell ref="DG83:DK83"/>
    <mergeCell ref="DL83:DP83"/>
    <mergeCell ref="EP82:ER82"/>
    <mergeCell ref="AG81:AK81"/>
    <mergeCell ref="AL81:AP81"/>
    <mergeCell ref="AQ81:AU81"/>
    <mergeCell ref="AV81:AZ81"/>
    <mergeCell ref="C66:Y66"/>
    <mergeCell ref="DL52:DP52"/>
    <mergeCell ref="BN45:BR45"/>
    <mergeCell ref="DB45:DF45"/>
    <mergeCell ref="BA81:BD81"/>
    <mergeCell ref="BN81:BR81"/>
    <mergeCell ref="BS81:BW81"/>
    <mergeCell ref="BX81:CB81"/>
    <mergeCell ref="CC81:CG81"/>
    <mergeCell ref="CH81:CL81"/>
    <mergeCell ref="CM81:CQ81"/>
    <mergeCell ref="CR81:CV81"/>
    <mergeCell ref="CW81:DA81"/>
    <mergeCell ref="DB81:DF81"/>
    <mergeCell ref="DG81:DK81"/>
    <mergeCell ref="DL81:DP81"/>
    <mergeCell ref="DQ81:DU81"/>
    <mergeCell ref="DV81:DZ81"/>
    <mergeCell ref="C82:Y82"/>
    <mergeCell ref="Z82:AC82"/>
    <mergeCell ref="AD82:AF82"/>
    <mergeCell ref="AG82:AK82"/>
    <mergeCell ref="AL82:AP82"/>
    <mergeCell ref="AQ82:AU82"/>
    <mergeCell ref="AV82:AZ82"/>
    <mergeCell ref="BA82:BD82"/>
    <mergeCell ref="EP48:ER48"/>
    <mergeCell ref="AG36:AK36"/>
    <mergeCell ref="BA41:BD41"/>
    <mergeCell ref="C55:Y55"/>
    <mergeCell ref="Z46:AC46"/>
    <mergeCell ref="Z49:AC49"/>
    <mergeCell ref="Z50:AC50"/>
    <mergeCell ref="C48:Y48"/>
    <mergeCell ref="BJ47:BM47"/>
    <mergeCell ref="AG41:AK41"/>
    <mergeCell ref="AL41:AP41"/>
    <mergeCell ref="AQ41:AU41"/>
    <mergeCell ref="AV41:AZ41"/>
    <mergeCell ref="C36:Y36"/>
    <mergeCell ref="BJ42:BM42"/>
    <mergeCell ref="BN42:BR42"/>
    <mergeCell ref="C40:Y40"/>
    <mergeCell ref="BJ41:BM41"/>
    <mergeCell ref="BA55:BD55"/>
    <mergeCell ref="C42:Y42"/>
    <mergeCell ref="Z42:AC42"/>
    <mergeCell ref="AG47:AK47"/>
    <mergeCell ref="AL47:AP47"/>
    <mergeCell ref="AQ47:AU47"/>
    <mergeCell ref="AV47:AZ47"/>
    <mergeCell ref="BA47:BD47"/>
    <mergeCell ref="Z52:AC52"/>
    <mergeCell ref="AD52:AF52"/>
    <mergeCell ref="C49:Y49"/>
    <mergeCell ref="C50:Y50"/>
    <mergeCell ref="AD48:AF48"/>
    <mergeCell ref="AD49:AF49"/>
    <mergeCell ref="AL49:AP49"/>
    <mergeCell ref="C79:Y79"/>
    <mergeCell ref="BE47:BI47"/>
    <mergeCell ref="CR57:CV57"/>
    <mergeCell ref="CW57:DA57"/>
    <mergeCell ref="BA57:BD57"/>
    <mergeCell ref="BE57:BI57"/>
    <mergeCell ref="BE41:BI41"/>
    <mergeCell ref="C57:Y57"/>
    <mergeCell ref="AQ55:AU55"/>
    <mergeCell ref="AV55:AZ55"/>
    <mergeCell ref="BE55:BI55"/>
    <mergeCell ref="CH44:CL44"/>
    <mergeCell ref="CC78:CG79"/>
    <mergeCell ref="DB42:DF42"/>
    <mergeCell ref="BE78:BI79"/>
    <mergeCell ref="BJ78:BM79"/>
    <mergeCell ref="BN78:BR79"/>
    <mergeCell ref="BE72:BI73"/>
    <mergeCell ref="BJ72:BM73"/>
    <mergeCell ref="BN72:BR73"/>
    <mergeCell ref="AQ49:AU49"/>
    <mergeCell ref="AD57:AF57"/>
    <mergeCell ref="AD55:AF55"/>
    <mergeCell ref="AD47:AF47"/>
    <mergeCell ref="DB52:DF52"/>
    <mergeCell ref="CR76:CV77"/>
    <mergeCell ref="CW76:DA77"/>
    <mergeCell ref="DB76:DF77"/>
    <mergeCell ref="C71:Y71"/>
    <mergeCell ref="C74:Y74"/>
    <mergeCell ref="Z74:AC75"/>
    <mergeCell ref="AD74:AF75"/>
    <mergeCell ref="AQ33:AU33"/>
    <mergeCell ref="AV33:AZ33"/>
    <mergeCell ref="BA33:BD33"/>
    <mergeCell ref="BE33:BI33"/>
    <mergeCell ref="BX32:CB32"/>
    <mergeCell ref="BJ35:BM35"/>
    <mergeCell ref="C35:Y35"/>
    <mergeCell ref="Z35:AC35"/>
    <mergeCell ref="DB29:EO29"/>
    <mergeCell ref="BJ33:BM33"/>
    <mergeCell ref="CW34:DA34"/>
    <mergeCell ref="BE35:BI35"/>
    <mergeCell ref="AD41:AF41"/>
    <mergeCell ref="AD40:AF40"/>
    <mergeCell ref="CM40:CQ40"/>
    <mergeCell ref="EP80:ER80"/>
    <mergeCell ref="BJ51:BM51"/>
    <mergeCell ref="AG52:AK52"/>
    <mergeCell ref="AD36:AF36"/>
    <mergeCell ref="Z34:AC34"/>
    <mergeCell ref="Z51:AC51"/>
    <mergeCell ref="EP35:ER35"/>
    <mergeCell ref="AL35:AP35"/>
    <mergeCell ref="AQ35:AU35"/>
    <mergeCell ref="AV35:AZ35"/>
    <mergeCell ref="BA35:BD35"/>
    <mergeCell ref="EP36:ER36"/>
    <mergeCell ref="DL41:DP41"/>
    <mergeCell ref="EP50:ER50"/>
    <mergeCell ref="EP46:ER46"/>
    <mergeCell ref="EP49:ER49"/>
    <mergeCell ref="EP41:ER41"/>
    <mergeCell ref="A25:A32"/>
    <mergeCell ref="BJ56:BM56"/>
    <mergeCell ref="C47:Y47"/>
    <mergeCell ref="BJ48:BM48"/>
    <mergeCell ref="Z48:AC48"/>
    <mergeCell ref="Z85:AC85"/>
    <mergeCell ref="Z47:AC47"/>
    <mergeCell ref="C61:Y61"/>
    <mergeCell ref="BJ46:BM46"/>
    <mergeCell ref="AG48:AK48"/>
    <mergeCell ref="AL48:AP48"/>
    <mergeCell ref="AQ48:AU48"/>
    <mergeCell ref="AV48:AZ48"/>
    <mergeCell ref="BA48:BD48"/>
    <mergeCell ref="BE48:BI48"/>
    <mergeCell ref="C64:Y64"/>
    <mergeCell ref="C65:Y65"/>
    <mergeCell ref="C81:Y81"/>
    <mergeCell ref="Z81:AC81"/>
    <mergeCell ref="AD81:AF81"/>
    <mergeCell ref="C67:Y67"/>
    <mergeCell ref="BE81:BI81"/>
    <mergeCell ref="BJ81:BM81"/>
    <mergeCell ref="AG49:AK49"/>
    <mergeCell ref="C41:Y41"/>
    <mergeCell ref="Z56:AC56"/>
    <mergeCell ref="AG33:AK33"/>
    <mergeCell ref="AG42:AK42"/>
    <mergeCell ref="AL42:AP42"/>
    <mergeCell ref="AQ42:AU42"/>
    <mergeCell ref="AV42:AZ42"/>
    <mergeCell ref="BA42:BD42"/>
    <mergeCell ref="DB54:DF54"/>
    <mergeCell ref="DG53:DK53"/>
    <mergeCell ref="DG54:DK54"/>
    <mergeCell ref="DL54:DP54"/>
    <mergeCell ref="DQ54:DU54"/>
    <mergeCell ref="EF30:EJ30"/>
    <mergeCell ref="DV32:DZ32"/>
    <mergeCell ref="EA32:EE32"/>
    <mergeCell ref="EF32:EJ32"/>
    <mergeCell ref="DB51:DF51"/>
    <mergeCell ref="DG51:DK51"/>
    <mergeCell ref="EF35:EJ35"/>
    <mergeCell ref="AD50:AF50"/>
    <mergeCell ref="CR34:CV34"/>
    <mergeCell ref="DL36:DP36"/>
    <mergeCell ref="DQ36:DU36"/>
    <mergeCell ref="DV36:DZ36"/>
    <mergeCell ref="DG45:DK45"/>
    <mergeCell ref="DL45:DP45"/>
    <mergeCell ref="DQ45:DU45"/>
    <mergeCell ref="EA37:EE37"/>
    <mergeCell ref="EF37:EJ37"/>
    <mergeCell ref="DL49:DP49"/>
    <mergeCell ref="DQ49:DU49"/>
    <mergeCell ref="DG40:DK40"/>
    <mergeCell ref="EF41:EJ41"/>
    <mergeCell ref="DB36:DF36"/>
    <mergeCell ref="DG36:DK36"/>
    <mergeCell ref="DB40:DF40"/>
    <mergeCell ref="DB44:DF44"/>
    <mergeCell ref="AD42:AF42"/>
    <mergeCell ref="AL33:AP33"/>
    <mergeCell ref="EP25:ER31"/>
    <mergeCell ref="BE42:BI42"/>
    <mergeCell ref="Z41:AC41"/>
    <mergeCell ref="BJ34:BM34"/>
    <mergeCell ref="DV41:DZ41"/>
    <mergeCell ref="EP40:ER40"/>
    <mergeCell ref="EA41:EE41"/>
    <mergeCell ref="DQ56:DU56"/>
    <mergeCell ref="DV56:DZ56"/>
    <mergeCell ref="EA56:EE56"/>
    <mergeCell ref="BA51:BD51"/>
    <mergeCell ref="Z36:AC36"/>
    <mergeCell ref="BA46:BD46"/>
    <mergeCell ref="BS42:BW42"/>
    <mergeCell ref="EA49:EE49"/>
    <mergeCell ref="EF49:EJ49"/>
    <mergeCell ref="DQ53:DU53"/>
    <mergeCell ref="DV53:DZ53"/>
    <mergeCell ref="EA53:EE53"/>
    <mergeCell ref="EF53:EJ53"/>
    <mergeCell ref="EA30:EE30"/>
    <mergeCell ref="EF52:EJ52"/>
    <mergeCell ref="DB53:DF53"/>
    <mergeCell ref="DV33:DZ33"/>
    <mergeCell ref="CW30:DA30"/>
    <mergeCell ref="CR33:CV33"/>
    <mergeCell ref="CW33:DA33"/>
    <mergeCell ref="BN31:DA31"/>
    <mergeCell ref="CH33:CL33"/>
    <mergeCell ref="CM30:CQ30"/>
    <mergeCell ref="DG30:DK30"/>
    <mergeCell ref="EP33:ER33"/>
    <mergeCell ref="EP32:ER32"/>
    <mergeCell ref="EF44:EJ44"/>
    <mergeCell ref="EK44:EO44"/>
    <mergeCell ref="EP44:ER44"/>
    <mergeCell ref="EF45:EJ45"/>
    <mergeCell ref="EK45:EO45"/>
    <mergeCell ref="EP45:ER45"/>
    <mergeCell ref="DQ41:DU41"/>
    <mergeCell ref="CR36:CV36"/>
    <mergeCell ref="CM36:CQ36"/>
    <mergeCell ref="CW36:DA36"/>
    <mergeCell ref="DB30:DF30"/>
    <mergeCell ref="CC36:CG36"/>
    <mergeCell ref="EK41:EO41"/>
    <mergeCell ref="DG44:DK44"/>
    <mergeCell ref="DL44:DP44"/>
    <mergeCell ref="DQ44:DU44"/>
    <mergeCell ref="DV44:DZ44"/>
    <mergeCell ref="EA44:EE44"/>
    <mergeCell ref="EP34:ER34"/>
    <mergeCell ref="DG34:DK34"/>
    <mergeCell ref="DB34:DF34"/>
    <mergeCell ref="CW35:DA35"/>
    <mergeCell ref="CR40:CV40"/>
    <mergeCell ref="CW40:DA40"/>
    <mergeCell ref="CM44:CQ44"/>
    <mergeCell ref="CR44:CV44"/>
    <mergeCell ref="CW44:DA44"/>
    <mergeCell ref="CC45:CG45"/>
    <mergeCell ref="CH45:CL45"/>
    <mergeCell ref="CM45:CQ45"/>
    <mergeCell ref="CR45:CV45"/>
    <mergeCell ref="C34:Y34"/>
    <mergeCell ref="C33:Y33"/>
    <mergeCell ref="AG35:AK35"/>
    <mergeCell ref="BN28:BW28"/>
    <mergeCell ref="BX28:CG28"/>
    <mergeCell ref="CH28:CQ28"/>
    <mergeCell ref="BN30:BR30"/>
    <mergeCell ref="BS30:BW30"/>
    <mergeCell ref="BX30:CB30"/>
    <mergeCell ref="CC30:CG30"/>
    <mergeCell ref="CH30:CL30"/>
    <mergeCell ref="CM34:CQ34"/>
    <mergeCell ref="BN25:DA25"/>
    <mergeCell ref="BN27:DA27"/>
    <mergeCell ref="CR35:CV35"/>
    <mergeCell ref="Z40:AC40"/>
    <mergeCell ref="AG27:AK32"/>
    <mergeCell ref="BJ26:BM32"/>
    <mergeCell ref="CH32:CL32"/>
    <mergeCell ref="CR28:DA28"/>
    <mergeCell ref="BN26:BW26"/>
    <mergeCell ref="BX26:CG26"/>
    <mergeCell ref="CH26:CQ26"/>
    <mergeCell ref="BN32:BR32"/>
    <mergeCell ref="BS32:BW32"/>
    <mergeCell ref="CC32:CG32"/>
    <mergeCell ref="BN33:BR33"/>
    <mergeCell ref="CR26:DA26"/>
    <mergeCell ref="CM32:CQ32"/>
    <mergeCell ref="CR32:CV32"/>
    <mergeCell ref="CW32:DA32"/>
    <mergeCell ref="Z33:AC33"/>
    <mergeCell ref="DB25:EO25"/>
    <mergeCell ref="DB31:EO31"/>
    <mergeCell ref="EK30:EO30"/>
    <mergeCell ref="BN29:DA29"/>
    <mergeCell ref="DB26:DK26"/>
    <mergeCell ref="DB33:DF33"/>
    <mergeCell ref="CM33:CQ33"/>
    <mergeCell ref="DL26:DU26"/>
    <mergeCell ref="DV26:EE26"/>
    <mergeCell ref="DB32:DF32"/>
    <mergeCell ref="DG32:DK32"/>
    <mergeCell ref="DL32:DP32"/>
    <mergeCell ref="DQ32:DU32"/>
    <mergeCell ref="AV27:AZ32"/>
    <mergeCell ref="BA27:BD32"/>
    <mergeCell ref="EA33:EE33"/>
    <mergeCell ref="EF33:EJ33"/>
    <mergeCell ref="DL33:DP33"/>
    <mergeCell ref="EF26:EO26"/>
    <mergeCell ref="DB28:DK28"/>
    <mergeCell ref="DL28:DU28"/>
    <mergeCell ref="DV28:EE28"/>
    <mergeCell ref="CR30:CV30"/>
    <mergeCell ref="EF28:EO28"/>
    <mergeCell ref="DG33:DK33"/>
    <mergeCell ref="EK32:EO32"/>
    <mergeCell ref="DL30:DP30"/>
    <mergeCell ref="DQ30:DU30"/>
    <mergeCell ref="DB27:EO27"/>
    <mergeCell ref="EK33:EO33"/>
    <mergeCell ref="DV30:DZ30"/>
    <mergeCell ref="DQ33:DU33"/>
    <mergeCell ref="BS33:BW33"/>
    <mergeCell ref="BX33:CB33"/>
    <mergeCell ref="CC33:CG33"/>
    <mergeCell ref="CM35:CQ35"/>
    <mergeCell ref="BS36:BW36"/>
    <mergeCell ref="BX36:CB36"/>
    <mergeCell ref="BN36:BR36"/>
    <mergeCell ref="CH41:CL41"/>
    <mergeCell ref="CM41:CQ41"/>
    <mergeCell ref="BN35:BR35"/>
    <mergeCell ref="BS35:BW35"/>
    <mergeCell ref="BX35:CB35"/>
    <mergeCell ref="CC35:CG35"/>
    <mergeCell ref="CH35:CL35"/>
    <mergeCell ref="BN34:BR34"/>
    <mergeCell ref="BS34:BW34"/>
    <mergeCell ref="BX34:CB34"/>
    <mergeCell ref="CC34:CG34"/>
    <mergeCell ref="CH34:CL34"/>
    <mergeCell ref="CH36:CL36"/>
    <mergeCell ref="BN40:BR40"/>
    <mergeCell ref="BS40:BW40"/>
    <mergeCell ref="BX40:CB40"/>
    <mergeCell ref="CC40:CG40"/>
    <mergeCell ref="CH40:CL40"/>
    <mergeCell ref="AL36:AP36"/>
    <mergeCell ref="AQ36:AU36"/>
    <mergeCell ref="AV36:AZ36"/>
    <mergeCell ref="BA36:BD36"/>
    <mergeCell ref="BJ36:BM36"/>
    <mergeCell ref="CM42:CQ42"/>
    <mergeCell ref="CR42:CV42"/>
    <mergeCell ref="CW42:DA42"/>
    <mergeCell ref="CH42:CL42"/>
    <mergeCell ref="CR43:CV43"/>
    <mergeCell ref="CW43:DA43"/>
    <mergeCell ref="CH43:CL43"/>
    <mergeCell ref="CM43:CQ43"/>
    <mergeCell ref="AV44:AZ44"/>
    <mergeCell ref="BN41:BR41"/>
    <mergeCell ref="BS41:BW41"/>
    <mergeCell ref="BX41:CB41"/>
    <mergeCell ref="CC41:CG41"/>
    <mergeCell ref="BX42:CB42"/>
    <mergeCell ref="CC42:CG42"/>
    <mergeCell ref="BE36:BI36"/>
    <mergeCell ref="BN46:BR46"/>
    <mergeCell ref="BS46:BW46"/>
    <mergeCell ref="CH51:CL51"/>
    <mergeCell ref="CM51:CQ51"/>
    <mergeCell ref="CR51:CV51"/>
    <mergeCell ref="CW51:DA51"/>
    <mergeCell ref="CR52:CV52"/>
    <mergeCell ref="CW52:DA52"/>
    <mergeCell ref="BX46:CB46"/>
    <mergeCell ref="CW56:DA56"/>
    <mergeCell ref="CW53:DA53"/>
    <mergeCell ref="CR55:CV55"/>
    <mergeCell ref="CW55:DA55"/>
    <mergeCell ref="CR53:CV53"/>
    <mergeCell ref="CM47:CQ47"/>
    <mergeCell ref="CH48:CL48"/>
    <mergeCell ref="CR56:CV56"/>
    <mergeCell ref="CR46:CV46"/>
    <mergeCell ref="CW46:DA46"/>
    <mergeCell ref="CM52:CQ52"/>
    <mergeCell ref="BX48:CB48"/>
    <mergeCell ref="CC48:CG48"/>
    <mergeCell ref="CM48:CQ48"/>
    <mergeCell ref="BN51:BR51"/>
    <mergeCell ref="CC47:CG47"/>
    <mergeCell ref="CH47:CL47"/>
    <mergeCell ref="CR48:CV48"/>
    <mergeCell ref="CW48:DA48"/>
    <mergeCell ref="BN49:BR49"/>
    <mergeCell ref="BS49:BW49"/>
    <mergeCell ref="BX49:CB49"/>
    <mergeCell ref="CC49:CG49"/>
    <mergeCell ref="B25:B32"/>
    <mergeCell ref="Z25:BM25"/>
    <mergeCell ref="AG26:BI26"/>
    <mergeCell ref="AG34:AK34"/>
    <mergeCell ref="AL34:AP34"/>
    <mergeCell ref="AQ34:AU34"/>
    <mergeCell ref="AV34:AZ34"/>
    <mergeCell ref="BA34:BD34"/>
    <mergeCell ref="BE34:BI34"/>
    <mergeCell ref="AV40:AZ40"/>
    <mergeCell ref="BA40:BD40"/>
    <mergeCell ref="BE40:BI40"/>
    <mergeCell ref="C46:Y46"/>
    <mergeCell ref="AD46:AF46"/>
    <mergeCell ref="AD56:AF56"/>
    <mergeCell ref="AL27:AP32"/>
    <mergeCell ref="AQ27:AU32"/>
    <mergeCell ref="C38:Y38"/>
    <mergeCell ref="Z38:AC38"/>
    <mergeCell ref="AD38:AF38"/>
    <mergeCell ref="AG38:AK38"/>
    <mergeCell ref="AG46:AK46"/>
    <mergeCell ref="AL46:AP46"/>
    <mergeCell ref="BE46:BI46"/>
    <mergeCell ref="C25:Y32"/>
    <mergeCell ref="AD33:AF33"/>
    <mergeCell ref="AD34:AF34"/>
    <mergeCell ref="BE27:BI32"/>
    <mergeCell ref="AD35:AF35"/>
    <mergeCell ref="BJ49:BM49"/>
    <mergeCell ref="BE49:BI49"/>
    <mergeCell ref="AL40:AP40"/>
    <mergeCell ref="CM57:CQ57"/>
    <mergeCell ref="BX53:CB53"/>
    <mergeCell ref="CC60:CG61"/>
    <mergeCell ref="C56:Y56"/>
    <mergeCell ref="AG50:AK50"/>
    <mergeCell ref="BJ55:BM55"/>
    <mergeCell ref="BN55:BR55"/>
    <mergeCell ref="BS55:BW55"/>
    <mergeCell ref="BX55:CB55"/>
    <mergeCell ref="AV52:AZ52"/>
    <mergeCell ref="BA52:BD52"/>
    <mergeCell ref="BE52:BI52"/>
    <mergeCell ref="BJ52:BM52"/>
    <mergeCell ref="BE51:BI51"/>
    <mergeCell ref="BS51:BW51"/>
    <mergeCell ref="BN52:BR52"/>
    <mergeCell ref="BS52:BW52"/>
    <mergeCell ref="BX52:CB52"/>
    <mergeCell ref="BS50:BW50"/>
    <mergeCell ref="BX50:CB50"/>
    <mergeCell ref="AV53:AZ53"/>
    <mergeCell ref="BA53:BD53"/>
    <mergeCell ref="BE53:BI53"/>
    <mergeCell ref="BJ53:BM53"/>
    <mergeCell ref="AL52:AP52"/>
    <mergeCell ref="AL55:AP55"/>
    <mergeCell ref="AG53:AK53"/>
    <mergeCell ref="AL53:AP53"/>
    <mergeCell ref="BJ50:BM50"/>
    <mergeCell ref="CC52:CG52"/>
    <mergeCell ref="CH52:CL52"/>
    <mergeCell ref="AG51:AK51"/>
    <mergeCell ref="CW54:DA54"/>
    <mergeCell ref="DB55:DF55"/>
    <mergeCell ref="CW45:DA45"/>
    <mergeCell ref="AL80:AP80"/>
    <mergeCell ref="AQ80:AU80"/>
    <mergeCell ref="AV80:AZ80"/>
    <mergeCell ref="BA80:BD80"/>
    <mergeCell ref="BE80:BI80"/>
    <mergeCell ref="AL50:AP50"/>
    <mergeCell ref="AQ50:AU50"/>
    <mergeCell ref="AL58:AP59"/>
    <mergeCell ref="AQ58:AU59"/>
    <mergeCell ref="AV58:AZ59"/>
    <mergeCell ref="AV49:AZ49"/>
    <mergeCell ref="BA49:BD49"/>
    <mergeCell ref="BJ45:BM45"/>
    <mergeCell ref="CH78:CL79"/>
    <mergeCell ref="CM78:CQ79"/>
    <mergeCell ref="CR78:CV79"/>
    <mergeCell ref="CR72:CV73"/>
    <mergeCell ref="CW72:DA73"/>
    <mergeCell ref="CC53:CG53"/>
    <mergeCell ref="BN53:BR53"/>
    <mergeCell ref="BS53:BW53"/>
    <mergeCell ref="BX51:CB51"/>
    <mergeCell ref="CC46:CG46"/>
    <mergeCell ref="CH46:CL46"/>
    <mergeCell ref="CM46:CQ46"/>
    <mergeCell ref="CW47:DA47"/>
    <mergeCell ref="BN48:BR48"/>
    <mergeCell ref="BS48:BW48"/>
    <mergeCell ref="CW58:DA59"/>
    <mergeCell ref="CH49:CL49"/>
    <mergeCell ref="CM49:CQ49"/>
    <mergeCell ref="CR49:CV49"/>
    <mergeCell ref="CW49:DA49"/>
    <mergeCell ref="EK34:EO34"/>
    <mergeCell ref="DB35:DF35"/>
    <mergeCell ref="DG35:DK35"/>
    <mergeCell ref="DL35:DP35"/>
    <mergeCell ref="DQ35:DU35"/>
    <mergeCell ref="DV35:DZ35"/>
    <mergeCell ref="EA35:EE35"/>
    <mergeCell ref="DL40:DP40"/>
    <mergeCell ref="EK43:EO43"/>
    <mergeCell ref="EA34:EE34"/>
    <mergeCell ref="EF34:EJ34"/>
    <mergeCell ref="DV38:DZ38"/>
    <mergeCell ref="EA38:EE38"/>
    <mergeCell ref="EF38:EJ38"/>
    <mergeCell ref="EK38:EO38"/>
    <mergeCell ref="DB41:DF41"/>
    <mergeCell ref="DG41:DK41"/>
    <mergeCell ref="DQ34:DU34"/>
    <mergeCell ref="DV34:DZ34"/>
    <mergeCell ref="DL38:DP38"/>
    <mergeCell ref="DQ38:DU38"/>
    <mergeCell ref="DB37:DF37"/>
    <mergeCell ref="DG37:DK37"/>
    <mergeCell ref="DL37:DP37"/>
    <mergeCell ref="DQ37:DU37"/>
    <mergeCell ref="DV37:DZ37"/>
    <mergeCell ref="EK40:EO40"/>
    <mergeCell ref="DV39:DZ39"/>
    <mergeCell ref="DG39:DK39"/>
    <mergeCell ref="DL50:DP50"/>
    <mergeCell ref="DQ50:DU50"/>
    <mergeCell ref="DV50:DZ50"/>
    <mergeCell ref="EF47:EJ47"/>
    <mergeCell ref="DQ46:DU46"/>
    <mergeCell ref="DV49:DZ49"/>
    <mergeCell ref="EK56:EO56"/>
    <mergeCell ref="DQ48:DU48"/>
    <mergeCell ref="DV48:DZ48"/>
    <mergeCell ref="EA48:EE48"/>
    <mergeCell ref="EF48:EJ48"/>
    <mergeCell ref="EK48:EO48"/>
    <mergeCell ref="DL47:DP47"/>
    <mergeCell ref="DQ47:DU47"/>
    <mergeCell ref="DV47:DZ47"/>
    <mergeCell ref="EA47:EE47"/>
    <mergeCell ref="DV46:DZ46"/>
    <mergeCell ref="EF46:EJ46"/>
    <mergeCell ref="EK46:EO46"/>
    <mergeCell ref="EA46:EE46"/>
    <mergeCell ref="DL53:DP53"/>
    <mergeCell ref="EK54:EO54"/>
    <mergeCell ref="EF55:EJ55"/>
    <mergeCell ref="EA50:EE50"/>
    <mergeCell ref="DG48:DK48"/>
    <mergeCell ref="DG52:DK52"/>
    <mergeCell ref="DL48:DP48"/>
    <mergeCell ref="DV45:DZ45"/>
    <mergeCell ref="EA45:EE45"/>
    <mergeCell ref="AG80:AK80"/>
    <mergeCell ref="AE94:AL94"/>
    <mergeCell ref="EF50:EJ50"/>
    <mergeCell ref="DL51:DP51"/>
    <mergeCell ref="DQ51:DU51"/>
    <mergeCell ref="DV51:DZ51"/>
    <mergeCell ref="EK50:EO50"/>
    <mergeCell ref="DL46:DP46"/>
    <mergeCell ref="EK47:EO47"/>
    <mergeCell ref="AM99:AT99"/>
    <mergeCell ref="AM94:AT94"/>
    <mergeCell ref="DG58:DK59"/>
    <mergeCell ref="BN62:BR63"/>
    <mergeCell ref="BS62:BW63"/>
    <mergeCell ref="BX62:CB63"/>
    <mergeCell ref="CC62:CG63"/>
    <mergeCell ref="CH62:CL63"/>
    <mergeCell ref="CM62:CQ63"/>
    <mergeCell ref="CR62:CV63"/>
    <mergeCell ref="CW62:DA63"/>
    <mergeCell ref="EA62:EE63"/>
    <mergeCell ref="B86:ER86"/>
    <mergeCell ref="C53:Y53"/>
    <mergeCell ref="Z53:AC53"/>
    <mergeCell ref="AD53:AF53"/>
    <mergeCell ref="AE96:AL96"/>
    <mergeCell ref="AM96:AT96"/>
    <mergeCell ref="AE97:AL97"/>
    <mergeCell ref="AM97:AT97"/>
    <mergeCell ref="AE98:AL98"/>
    <mergeCell ref="AM98:AT98"/>
    <mergeCell ref="AE95:AL95"/>
    <mergeCell ref="AV104:BQ104"/>
    <mergeCell ref="AV102:BQ102"/>
    <mergeCell ref="AE100:AL100"/>
    <mergeCell ref="AM100:AT100"/>
    <mergeCell ref="AU92:CG92"/>
    <mergeCell ref="AU93:CG100"/>
    <mergeCell ref="B88:ER88"/>
    <mergeCell ref="EF80:EJ80"/>
    <mergeCell ref="EK80:EO80"/>
    <mergeCell ref="DB80:DF80"/>
    <mergeCell ref="DG80:DK80"/>
    <mergeCell ref="DL80:DP80"/>
    <mergeCell ref="DQ80:DU80"/>
    <mergeCell ref="DV80:DZ80"/>
    <mergeCell ref="EA80:EE80"/>
    <mergeCell ref="DB66:DF67"/>
    <mergeCell ref="DG66:DK67"/>
    <mergeCell ref="BN80:BR80"/>
    <mergeCell ref="BS80:BW80"/>
    <mergeCell ref="BX80:CB80"/>
    <mergeCell ref="CC80:CG80"/>
    <mergeCell ref="CH80:CL80"/>
    <mergeCell ref="CM80:CQ80"/>
    <mergeCell ref="CR80:CV80"/>
    <mergeCell ref="CW80:DA80"/>
    <mergeCell ref="EF78:EJ79"/>
    <mergeCell ref="CW68:DA69"/>
    <mergeCell ref="CW78:DA79"/>
    <mergeCell ref="AG68:AK69"/>
    <mergeCell ref="AL68:AP69"/>
    <mergeCell ref="AV78:AZ79"/>
    <mergeCell ref="BA78:BD79"/>
    <mergeCell ref="C80:Y80"/>
    <mergeCell ref="Z80:AC80"/>
    <mergeCell ref="BJ80:BM80"/>
    <mergeCell ref="AD80:AF80"/>
    <mergeCell ref="CW82:DA82"/>
    <mergeCell ref="DB82:DF82"/>
    <mergeCell ref="DG82:DK82"/>
    <mergeCell ref="DL82:DP82"/>
    <mergeCell ref="DQ82:DU82"/>
    <mergeCell ref="DV82:DZ82"/>
    <mergeCell ref="EA82:EE82"/>
    <mergeCell ref="EF82:EJ82"/>
    <mergeCell ref="DV58:DZ59"/>
    <mergeCell ref="AV105:BQ105"/>
    <mergeCell ref="AV106:BQ106"/>
    <mergeCell ref="AV107:BQ107"/>
    <mergeCell ref="AV108:BQ108"/>
    <mergeCell ref="B102:X102"/>
    <mergeCell ref="B104:X104"/>
    <mergeCell ref="B106:X106"/>
    <mergeCell ref="B105:X105"/>
    <mergeCell ref="B103:X103"/>
    <mergeCell ref="B107:X107"/>
    <mergeCell ref="B108:X108"/>
    <mergeCell ref="Y102:AU102"/>
    <mergeCell ref="Y103:AU103"/>
    <mergeCell ref="Y104:AU104"/>
    <mergeCell ref="Y105:AU105"/>
    <mergeCell ref="Y106:AU106"/>
    <mergeCell ref="Y107:AU107"/>
    <mergeCell ref="Y108:AU108"/>
    <mergeCell ref="AV103:BQ103"/>
    <mergeCell ref="E92:AD92"/>
    <mergeCell ref="E93:AD93"/>
    <mergeCell ref="E94:AD94"/>
    <mergeCell ref="E95:AD95"/>
    <mergeCell ref="E96:AD96"/>
    <mergeCell ref="E97:AD97"/>
    <mergeCell ref="E98:AD98"/>
    <mergeCell ref="AE92:AL92"/>
    <mergeCell ref="AM92:AT92"/>
    <mergeCell ref="AE93:AL93"/>
    <mergeCell ref="AM93:AT93"/>
    <mergeCell ref="AE99:AL99"/>
    <mergeCell ref="E99:AD99"/>
    <mergeCell ref="C83:Y83"/>
    <mergeCell ref="Z83:AC83"/>
    <mergeCell ref="AD83:AF83"/>
    <mergeCell ref="B87:ER87"/>
    <mergeCell ref="B89:ER89"/>
    <mergeCell ref="AM95:AT95"/>
    <mergeCell ref="E91:DO91"/>
    <mergeCell ref="EP84:ER84"/>
    <mergeCell ref="AG83:AK83"/>
    <mergeCell ref="AL83:AP83"/>
    <mergeCell ref="AQ83:AU83"/>
    <mergeCell ref="BA83:BD83"/>
    <mergeCell ref="DQ83:DU83"/>
    <mergeCell ref="DV83:DZ83"/>
    <mergeCell ref="AV83:AZ83"/>
    <mergeCell ref="EP83:ER83"/>
    <mergeCell ref="C84:Y84"/>
    <mergeCell ref="Z84:AC84"/>
    <mergeCell ref="AD84:AF84"/>
    <mergeCell ref="EP53:ER53"/>
    <mergeCell ref="EA58:EE59"/>
    <mergeCell ref="EF58:EJ59"/>
    <mergeCell ref="EK58:EO59"/>
    <mergeCell ref="EP58:ER59"/>
    <mergeCell ref="C60:Y60"/>
    <mergeCell ref="Z60:AC61"/>
    <mergeCell ref="Z58:AC59"/>
    <mergeCell ref="AD58:AF59"/>
    <mergeCell ref="DQ62:DU63"/>
    <mergeCell ref="DV62:DZ63"/>
    <mergeCell ref="AG58:AK59"/>
    <mergeCell ref="BX58:CB59"/>
    <mergeCell ref="CC58:CG59"/>
    <mergeCell ref="CH58:CL59"/>
    <mergeCell ref="CM58:CQ59"/>
    <mergeCell ref="CR58:CV59"/>
    <mergeCell ref="CH57:CL57"/>
    <mergeCell ref="AV56:AZ56"/>
    <mergeCell ref="EK57:EO57"/>
    <mergeCell ref="DV57:DZ57"/>
    <mergeCell ref="EA57:EE57"/>
    <mergeCell ref="EF57:EJ57"/>
    <mergeCell ref="DB62:DF63"/>
    <mergeCell ref="DG62:DK63"/>
    <mergeCell ref="DL62:DP63"/>
    <mergeCell ref="DL58:DP59"/>
    <mergeCell ref="DQ58:DU59"/>
    <mergeCell ref="DB58:DF59"/>
    <mergeCell ref="DB56:DF56"/>
    <mergeCell ref="DG56:DK56"/>
    <mergeCell ref="DG55:DK55"/>
    <mergeCell ref="EP57:ER57"/>
    <mergeCell ref="DL57:DP57"/>
    <mergeCell ref="BJ57:BM57"/>
    <mergeCell ref="Z26:AF31"/>
    <mergeCell ref="Z32:AC32"/>
    <mergeCell ref="AD32:AF32"/>
    <mergeCell ref="BN56:BR56"/>
    <mergeCell ref="BS56:BW56"/>
    <mergeCell ref="BX56:CB56"/>
    <mergeCell ref="CC56:CG56"/>
    <mergeCell ref="CH56:CL56"/>
    <mergeCell ref="CM56:CQ56"/>
    <mergeCell ref="CC55:CG55"/>
    <mergeCell ref="CH55:CL55"/>
    <mergeCell ref="CM55:CQ55"/>
    <mergeCell ref="CM53:CQ53"/>
    <mergeCell ref="CC51:CG51"/>
    <mergeCell ref="Z39:AC39"/>
    <mergeCell ref="AD39:AF39"/>
    <mergeCell ref="AG39:AK39"/>
    <mergeCell ref="AL39:AP39"/>
    <mergeCell ref="Z57:AC57"/>
    <mergeCell ref="AL57:AP57"/>
    <mergeCell ref="AQ57:AU57"/>
    <mergeCell ref="AV57:AZ57"/>
    <mergeCell ref="AQ53:AU53"/>
    <mergeCell ref="CC57:CG57"/>
    <mergeCell ref="BX57:CB57"/>
    <mergeCell ref="EK39:EO39"/>
    <mergeCell ref="AG57:AK57"/>
    <mergeCell ref="BN57:BR57"/>
    <mergeCell ref="BA56:BD56"/>
    <mergeCell ref="CH60:CL61"/>
    <mergeCell ref="CM60:CQ61"/>
    <mergeCell ref="Z62:AC63"/>
    <mergeCell ref="AD62:AF63"/>
    <mergeCell ref="AG62:AK63"/>
    <mergeCell ref="AL62:AP63"/>
    <mergeCell ref="AQ62:AU63"/>
    <mergeCell ref="AV62:AZ63"/>
    <mergeCell ref="BA62:BD63"/>
    <mergeCell ref="BE62:BI63"/>
    <mergeCell ref="BJ62:BM63"/>
    <mergeCell ref="EP62:ER63"/>
    <mergeCell ref="DG60:DK61"/>
    <mergeCell ref="DL60:DP61"/>
    <mergeCell ref="DQ60:DU61"/>
    <mergeCell ref="DV60:DZ61"/>
    <mergeCell ref="EA60:EE61"/>
    <mergeCell ref="EF60:EJ61"/>
    <mergeCell ref="EK60:EO61"/>
    <mergeCell ref="EP60:ER61"/>
    <mergeCell ref="DB60:DF61"/>
    <mergeCell ref="EF62:EJ63"/>
    <mergeCell ref="EK62:EO63"/>
    <mergeCell ref="BN60:BR61"/>
    <mergeCell ref="BS60:BW61"/>
    <mergeCell ref="BX60:CB61"/>
    <mergeCell ref="C37:Y37"/>
    <mergeCell ref="Z37:AC37"/>
    <mergeCell ref="AD37:AF37"/>
    <mergeCell ref="AG37:AK37"/>
    <mergeCell ref="AL37:AP37"/>
    <mergeCell ref="AQ37:AU37"/>
    <mergeCell ref="AV37:AZ37"/>
    <mergeCell ref="BA37:BD37"/>
    <mergeCell ref="BE37:BI37"/>
    <mergeCell ref="BJ37:BM37"/>
    <mergeCell ref="AQ39:AU39"/>
    <mergeCell ref="AV39:AZ39"/>
    <mergeCell ref="BA39:BD39"/>
    <mergeCell ref="BE39:BI39"/>
    <mergeCell ref="BJ39:BM39"/>
    <mergeCell ref="AD60:AF61"/>
    <mergeCell ref="AG60:AK61"/>
    <mergeCell ref="AL60:AP61"/>
    <mergeCell ref="AQ60:AU61"/>
    <mergeCell ref="AV60:AZ61"/>
    <mergeCell ref="BA60:BD61"/>
    <mergeCell ref="BE60:BI61"/>
    <mergeCell ref="BJ60:BM61"/>
    <mergeCell ref="C39:Y39"/>
    <mergeCell ref="BE56:BI56"/>
    <mergeCell ref="Z55:AC55"/>
    <mergeCell ref="AD51:AF51"/>
    <mergeCell ref="C51:Y51"/>
    <mergeCell ref="AV51:AZ51"/>
    <mergeCell ref="C52:Y52"/>
    <mergeCell ref="BN58:BR59"/>
    <mergeCell ref="BS58:BW59"/>
    <mergeCell ref="BS45:BW45"/>
    <mergeCell ref="BX45:CB45"/>
    <mergeCell ref="CM37:CQ37"/>
    <mergeCell ref="CR37:CV37"/>
    <mergeCell ref="BN39:BR39"/>
    <mergeCell ref="BS39:BW39"/>
    <mergeCell ref="BX39:CB39"/>
    <mergeCell ref="CC39:CG39"/>
    <mergeCell ref="CH39:CL39"/>
    <mergeCell ref="CM39:CQ39"/>
    <mergeCell ref="CR39:CV39"/>
    <mergeCell ref="CW38:DA38"/>
    <mergeCell ref="DB38:DF38"/>
    <mergeCell ref="DG38:DK38"/>
    <mergeCell ref="CW37:DA37"/>
    <mergeCell ref="BS57:BW57"/>
    <mergeCell ref="DB57:DF57"/>
    <mergeCell ref="DG57:DK57"/>
    <mergeCell ref="DB50:DF50"/>
    <mergeCell ref="DG50:DK50"/>
    <mergeCell ref="DB49:DF49"/>
    <mergeCell ref="DG49:DK49"/>
    <mergeCell ref="DB47:DF47"/>
    <mergeCell ref="DG47:DK47"/>
    <mergeCell ref="CM54:CQ54"/>
    <mergeCell ref="CR54:CV54"/>
    <mergeCell ref="CH53:CL53"/>
    <mergeCell ref="DB48:DF48"/>
    <mergeCell ref="CW50:DA50"/>
    <mergeCell ref="BN50:BR50"/>
    <mergeCell ref="C63:Y63"/>
    <mergeCell ref="C59:Y59"/>
    <mergeCell ref="AV50:AZ50"/>
    <mergeCell ref="BA50:BD50"/>
    <mergeCell ref="BE50:BI50"/>
    <mergeCell ref="AG56:AK56"/>
    <mergeCell ref="AL56:AP56"/>
    <mergeCell ref="AQ56:AU56"/>
    <mergeCell ref="BA58:BD59"/>
    <mergeCell ref="BE58:BI59"/>
    <mergeCell ref="BJ58:BM59"/>
    <mergeCell ref="AQ46:AU46"/>
    <mergeCell ref="AV46:AZ46"/>
    <mergeCell ref="AQ40:AU40"/>
    <mergeCell ref="AG40:AK40"/>
    <mergeCell ref="C58:Y58"/>
    <mergeCell ref="C62:Y62"/>
    <mergeCell ref="A1:ER1"/>
    <mergeCell ref="CY3:ER3"/>
    <mergeCell ref="CY4:ER4"/>
    <mergeCell ref="CY5:ER5"/>
    <mergeCell ref="CY6:ER6"/>
    <mergeCell ref="E100:AD100"/>
    <mergeCell ref="CQ93:EI93"/>
    <mergeCell ref="CQ94:EI94"/>
    <mergeCell ref="CQ95:EI95"/>
    <mergeCell ref="EP39:ER39"/>
    <mergeCell ref="AL38:AP38"/>
    <mergeCell ref="AQ38:AU38"/>
    <mergeCell ref="AV38:AZ38"/>
    <mergeCell ref="BA38:BD38"/>
    <mergeCell ref="BE38:BI38"/>
    <mergeCell ref="BJ38:BM38"/>
    <mergeCell ref="BN38:BR38"/>
    <mergeCell ref="EP38:ER38"/>
    <mergeCell ref="BS38:BW38"/>
    <mergeCell ref="BX38:CB38"/>
    <mergeCell ref="CC38:CG38"/>
    <mergeCell ref="CH38:CL38"/>
    <mergeCell ref="CM38:CQ38"/>
    <mergeCell ref="CR38:CV38"/>
    <mergeCell ref="CW39:DA39"/>
    <mergeCell ref="DB39:DF39"/>
    <mergeCell ref="EP37:ER37"/>
    <mergeCell ref="BN37:BR37"/>
    <mergeCell ref="BS37:BW37"/>
    <mergeCell ref="BX37:CB37"/>
    <mergeCell ref="CC37:CG37"/>
    <mergeCell ref="CH37:CL37"/>
  </mergeCells>
  <phoneticPr fontId="1" type="noConversion"/>
  <printOptions horizontalCentered="1"/>
  <pageMargins left="0.5" right="0.5" top="0.75" bottom="0.25" header="0.39370078740157499" footer="0.511811023622047"/>
  <pageSetup paperSize="9" scale="14" fitToHeight="0" orientation="landscape" verticalDpi="200" r:id="rId1"/>
  <headerFooter alignWithMargins="0"/>
  <rowBreaks count="2" manualBreakCount="2">
    <brk id="49" max="147" man="1"/>
    <brk id="84" max="1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D112"/>
  <sheetViews>
    <sheetView view="pageBreakPreview" topLeftCell="A43" zoomScale="22" zoomScaleNormal="20" zoomScaleSheetLayoutView="22" workbookViewId="0">
      <selection activeCell="AQ43" sqref="AQ43:AU43"/>
    </sheetView>
  </sheetViews>
  <sheetFormatPr defaultRowHeight="12.75" x14ac:dyDescent="0.2"/>
  <cols>
    <col min="1" max="1" width="19" bestFit="1" customWidth="1"/>
    <col min="2" max="2" width="37.140625" customWidth="1"/>
    <col min="3" max="25" width="6.5703125" customWidth="1"/>
    <col min="26" max="29" width="7.42578125" customWidth="1"/>
    <col min="30" max="32" width="9.85546875" customWidth="1"/>
    <col min="33" max="62" width="5.28515625" customWidth="1"/>
    <col min="63" max="64" width="7.7109375" customWidth="1"/>
    <col min="65" max="66" width="9.42578125" customWidth="1"/>
    <col min="67" max="68" width="5.28515625" customWidth="1"/>
    <col min="69" max="106" width="4.5703125" customWidth="1"/>
    <col min="107" max="111" width="5.28515625" customWidth="1"/>
    <col min="112" max="136" width="4.5703125" customWidth="1"/>
    <col min="137" max="156" width="5.28515625" customWidth="1"/>
    <col min="157" max="160" width="7.5703125" customWidth="1"/>
  </cols>
  <sheetData>
    <row r="1" spans="1:159" ht="91.5" customHeight="1" x14ac:dyDescent="0.2">
      <c r="A1" s="495" t="s">
        <v>255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67.5" customHeight="1" x14ac:dyDescent="1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6"/>
      <c r="AB2" s="6"/>
      <c r="AC2" s="6"/>
      <c r="AD2" s="6"/>
      <c r="AE2" s="6"/>
      <c r="AF2" s="6"/>
      <c r="AG2" s="6"/>
      <c r="AH2" s="6"/>
      <c r="AI2" s="516" t="s">
        <v>257</v>
      </c>
      <c r="AJ2" s="516"/>
      <c r="AK2" s="516"/>
      <c r="AL2" s="516"/>
      <c r="AM2" s="516"/>
      <c r="AN2" s="516"/>
      <c r="AO2" s="516"/>
      <c r="AP2" s="516"/>
      <c r="AQ2" s="516"/>
      <c r="AR2" s="516"/>
      <c r="AS2" s="516"/>
      <c r="AT2" s="516"/>
      <c r="AU2" s="516"/>
      <c r="AV2" s="516"/>
      <c r="AW2" s="516"/>
      <c r="AX2" s="516"/>
      <c r="AY2" s="516"/>
      <c r="AZ2" s="516"/>
      <c r="BA2" s="516"/>
      <c r="BB2" s="516"/>
      <c r="BC2" s="516"/>
      <c r="BD2" s="516"/>
      <c r="BE2" s="516"/>
      <c r="BF2" s="516"/>
      <c r="BG2" s="516"/>
      <c r="BH2" s="516"/>
      <c r="BI2" s="516"/>
      <c r="BJ2" s="516"/>
      <c r="BK2" s="516"/>
      <c r="BL2" s="516"/>
      <c r="BM2" s="516"/>
      <c r="BN2" s="516"/>
      <c r="BO2" s="516"/>
      <c r="BP2" s="516"/>
      <c r="BQ2" s="516"/>
      <c r="BR2" s="516"/>
      <c r="BS2" s="516"/>
      <c r="BT2" s="516"/>
      <c r="BU2" s="516"/>
      <c r="BV2" s="516"/>
      <c r="BW2" s="516"/>
      <c r="BX2" s="516"/>
      <c r="BY2" s="516"/>
      <c r="BZ2" s="516"/>
      <c r="CA2" s="516"/>
      <c r="CB2" s="516"/>
      <c r="CC2" s="516"/>
      <c r="CD2" s="516"/>
      <c r="CE2" s="516"/>
      <c r="CF2" s="516"/>
      <c r="CG2" s="516"/>
      <c r="CH2" s="516"/>
      <c r="CI2" s="516"/>
      <c r="CJ2" s="516"/>
      <c r="CK2" s="516"/>
      <c r="CL2" s="516"/>
      <c r="CM2" s="516"/>
      <c r="CN2" s="516"/>
      <c r="CO2" s="516"/>
      <c r="CP2" s="516"/>
      <c r="CQ2" s="92"/>
      <c r="CR2" s="92"/>
      <c r="CS2" s="92"/>
      <c r="CT2" s="92"/>
      <c r="EB2" s="6"/>
      <c r="EC2" s="6"/>
      <c r="ED2" s="6"/>
      <c r="EE2" s="6"/>
      <c r="EF2" s="6"/>
      <c r="EG2" s="6"/>
      <c r="EH2" s="6"/>
      <c r="EI2" s="6"/>
      <c r="EJ2" s="6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</row>
    <row r="3" spans="1:159" ht="99.9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6"/>
      <c r="AB3" s="6"/>
      <c r="AC3" s="6"/>
      <c r="AD3" s="6"/>
      <c r="AE3" s="6"/>
      <c r="AF3" s="6"/>
      <c r="AG3" s="6"/>
      <c r="AH3" s="6"/>
      <c r="AI3" s="255" t="s">
        <v>266</v>
      </c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92"/>
      <c r="CR3" s="92"/>
      <c r="CS3" s="92"/>
      <c r="CT3" s="92"/>
      <c r="CU3" s="255" t="s">
        <v>246</v>
      </c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  <c r="ES3" s="255"/>
      <c r="ET3" s="255"/>
      <c r="EU3" s="255"/>
      <c r="EV3" s="89"/>
      <c r="EW3" s="89"/>
      <c r="EX3" s="89"/>
      <c r="EY3" s="89"/>
      <c r="EZ3" s="89"/>
      <c r="FA3" s="89"/>
      <c r="FB3" s="89"/>
      <c r="FC3" s="89"/>
    </row>
    <row r="4" spans="1:159" ht="99.95" customHeight="1" x14ac:dyDescent="0.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6"/>
      <c r="AB4" s="6"/>
      <c r="AC4" s="6"/>
      <c r="AD4" s="6"/>
      <c r="AE4" s="6"/>
      <c r="AF4" s="6"/>
      <c r="AG4" s="6"/>
      <c r="AH4" s="6"/>
      <c r="AI4" s="256" t="s">
        <v>259</v>
      </c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J4" s="256"/>
      <c r="CK4" s="256"/>
      <c r="CL4" s="256"/>
      <c r="CM4" s="256"/>
      <c r="CN4" s="256"/>
      <c r="CO4" s="256"/>
      <c r="CP4" s="256"/>
      <c r="CQ4" s="93"/>
      <c r="CR4" s="93"/>
      <c r="CS4" s="93"/>
      <c r="CT4" s="93"/>
      <c r="CU4" s="255" t="s">
        <v>258</v>
      </c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89"/>
      <c r="EW4" s="89"/>
      <c r="EX4" s="89"/>
      <c r="EY4" s="89"/>
      <c r="EZ4" s="89"/>
      <c r="FA4" s="89"/>
      <c r="FB4" s="89"/>
      <c r="FC4" s="89"/>
    </row>
    <row r="5" spans="1:159" ht="99.95" customHeight="1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11"/>
      <c r="AB5" s="11"/>
      <c r="AC5" s="11"/>
      <c r="AD5" s="11"/>
      <c r="AE5" s="11"/>
      <c r="AF5" s="11"/>
      <c r="AG5" s="11"/>
      <c r="AH5" s="11"/>
      <c r="AI5" s="256" t="s">
        <v>15</v>
      </c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93"/>
      <c r="CR5" s="93"/>
      <c r="CS5" s="93"/>
      <c r="CT5" s="93"/>
      <c r="CU5" s="256" t="s">
        <v>274</v>
      </c>
      <c r="CV5" s="256"/>
      <c r="CW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89"/>
      <c r="EW5" s="89"/>
      <c r="EX5" s="89"/>
      <c r="EY5" s="89"/>
      <c r="EZ5" s="89"/>
      <c r="FA5" s="89"/>
      <c r="FB5" s="89"/>
      <c r="FC5" s="89"/>
    </row>
    <row r="6" spans="1:159" ht="99.95" customHeight="1" x14ac:dyDescent="1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76"/>
      <c r="AA6" s="11"/>
      <c r="AB6" s="11"/>
      <c r="AC6" s="11"/>
      <c r="AD6" s="11"/>
      <c r="AE6" s="11"/>
      <c r="AF6" s="11"/>
      <c r="AG6" s="11"/>
      <c r="AH6" s="11"/>
      <c r="AI6" s="256" t="s">
        <v>272</v>
      </c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93"/>
      <c r="CR6" s="93"/>
      <c r="CS6" s="93"/>
      <c r="CT6" s="93"/>
      <c r="CU6" s="256" t="s">
        <v>247</v>
      </c>
      <c r="CV6" s="256"/>
      <c r="CW6" s="256"/>
      <c r="CX6" s="256"/>
      <c r="CY6" s="256"/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9"/>
      <c r="EW6" s="9"/>
      <c r="EX6" s="9"/>
      <c r="EY6" s="9"/>
      <c r="EZ6" s="9"/>
      <c r="FA6" s="8"/>
      <c r="FB6" s="8"/>
      <c r="FC6" s="8"/>
    </row>
    <row r="7" spans="1:159" ht="99.95" customHeight="1" x14ac:dyDescent="1.25">
      <c r="A7" s="1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/>
      <c r="U7" s="10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256" t="s">
        <v>273</v>
      </c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93"/>
      <c r="CR7" s="93"/>
      <c r="CS7" s="93"/>
      <c r="CT7" s="93"/>
      <c r="CU7" s="124"/>
      <c r="CV7" s="124"/>
      <c r="CW7" s="124"/>
      <c r="CX7" s="125"/>
      <c r="CY7" s="124"/>
      <c r="CZ7" s="124"/>
      <c r="DA7" s="124"/>
      <c r="DB7" s="124"/>
      <c r="DC7" s="124"/>
      <c r="DD7" s="124"/>
      <c r="DE7" s="124"/>
      <c r="DF7" s="126" t="s">
        <v>251</v>
      </c>
      <c r="DG7" s="124"/>
      <c r="DH7" s="124"/>
      <c r="DI7" s="127"/>
      <c r="DJ7" s="127"/>
      <c r="DK7" s="127"/>
      <c r="DL7" s="127"/>
      <c r="DM7" s="127"/>
      <c r="DN7" s="127"/>
      <c r="DO7" s="127"/>
      <c r="DP7" s="127"/>
      <c r="DQ7" s="127"/>
      <c r="DR7" s="128"/>
      <c r="DS7" s="128"/>
      <c r="DT7" s="128"/>
      <c r="DU7" s="128"/>
      <c r="DV7" s="128"/>
      <c r="DW7" s="128"/>
      <c r="DX7" s="128"/>
      <c r="DY7" s="128"/>
      <c r="DZ7" s="129"/>
      <c r="EA7" s="129"/>
      <c r="EB7" s="130"/>
      <c r="EC7" s="130"/>
      <c r="ED7" s="130"/>
      <c r="EE7" s="130"/>
      <c r="EF7" s="130"/>
      <c r="EG7" s="130"/>
      <c r="EH7" s="130"/>
      <c r="EI7" s="130"/>
      <c r="EJ7" s="130"/>
      <c r="EK7" s="130"/>
      <c r="EL7" s="130"/>
      <c r="EM7" s="130"/>
      <c r="EN7" s="130"/>
      <c r="EO7" s="130"/>
      <c r="EP7" s="130"/>
      <c r="EQ7" s="130"/>
      <c r="ER7" s="130"/>
      <c r="ES7" s="130"/>
      <c r="ET7" s="130"/>
      <c r="EU7" s="130"/>
      <c r="EV7" s="89"/>
      <c r="EW7" s="89"/>
      <c r="EX7" s="89"/>
      <c r="EY7" s="89"/>
      <c r="EZ7" s="89"/>
      <c r="FA7" s="89"/>
      <c r="FB7" s="89"/>
      <c r="FC7" s="89"/>
    </row>
    <row r="8" spans="1:159" ht="90" customHeight="1" x14ac:dyDescent="0.2">
      <c r="A8" s="689" t="s">
        <v>262</v>
      </c>
      <c r="B8" s="689"/>
      <c r="C8" s="689"/>
      <c r="D8" s="689"/>
      <c r="E8" s="689"/>
      <c r="F8" s="689"/>
      <c r="G8" s="689"/>
      <c r="H8" s="689"/>
      <c r="I8" s="689"/>
      <c r="J8" s="689"/>
      <c r="K8" s="689"/>
      <c r="L8" s="689"/>
      <c r="M8" s="689"/>
      <c r="N8" s="689"/>
      <c r="O8" s="689"/>
      <c r="P8" s="689"/>
      <c r="Q8" s="689"/>
      <c r="R8" s="689"/>
      <c r="S8" s="689"/>
      <c r="T8" s="689"/>
      <c r="U8" s="689"/>
      <c r="V8" s="689"/>
      <c r="W8" s="689"/>
      <c r="X8" s="689"/>
      <c r="Y8" s="689"/>
      <c r="Z8" s="689"/>
      <c r="AA8" s="689"/>
      <c r="AB8" s="689"/>
      <c r="AC8" s="689"/>
      <c r="AD8" s="689"/>
      <c r="AE8" s="689"/>
      <c r="AF8" s="689"/>
      <c r="AG8" s="689"/>
      <c r="AH8" s="689"/>
      <c r="AI8" s="689"/>
      <c r="AJ8" s="689"/>
      <c r="AK8" s="689"/>
      <c r="AL8" s="689"/>
      <c r="AM8" s="689"/>
      <c r="AN8" s="689"/>
      <c r="AO8" s="689"/>
      <c r="AP8" s="689"/>
      <c r="AQ8" s="689"/>
      <c r="AR8" s="689"/>
      <c r="AS8" s="689"/>
      <c r="AT8" s="689"/>
      <c r="AU8" s="689"/>
      <c r="AV8" s="689"/>
      <c r="AW8" s="689"/>
      <c r="AX8" s="689"/>
      <c r="AY8" s="689"/>
      <c r="AZ8" s="689"/>
      <c r="BA8" s="689"/>
      <c r="BB8" s="689"/>
      <c r="BC8" s="689"/>
      <c r="BD8" s="689"/>
      <c r="BE8" s="689"/>
      <c r="BF8" s="689"/>
      <c r="BG8" s="689"/>
      <c r="BH8" s="689"/>
      <c r="BI8" s="689"/>
      <c r="BJ8" s="689"/>
      <c r="BK8" s="689"/>
      <c r="BL8" s="689"/>
      <c r="BM8" s="689"/>
      <c r="BN8" s="689"/>
      <c r="BO8" s="689"/>
      <c r="BP8" s="689"/>
      <c r="BQ8" s="689"/>
      <c r="BR8" s="689"/>
      <c r="BS8" s="689"/>
      <c r="BT8" s="689"/>
      <c r="BU8" s="689"/>
      <c r="BV8" s="689"/>
      <c r="BW8" s="689"/>
      <c r="BX8" s="689"/>
      <c r="BY8" s="689"/>
      <c r="BZ8" s="689"/>
      <c r="CA8" s="689"/>
      <c r="CB8" s="689"/>
      <c r="CC8" s="689"/>
      <c r="CD8" s="689"/>
      <c r="CE8" s="689"/>
      <c r="CF8" s="689"/>
      <c r="CG8" s="689"/>
      <c r="CH8" s="689"/>
      <c r="CI8" s="689"/>
      <c r="CJ8" s="689"/>
      <c r="CK8" s="689"/>
      <c r="CL8" s="689"/>
      <c r="CM8" s="689"/>
      <c r="CN8" s="689"/>
      <c r="CO8" s="689"/>
      <c r="CP8" s="689"/>
      <c r="CQ8" s="689"/>
      <c r="CR8" s="689"/>
      <c r="CS8" s="689"/>
      <c r="CT8" s="689"/>
      <c r="CU8" s="689"/>
      <c r="CV8" s="689"/>
      <c r="CW8" s="689"/>
      <c r="CX8" s="689"/>
      <c r="CY8" s="689"/>
      <c r="CZ8" s="689"/>
      <c r="DA8" s="689"/>
      <c r="DB8" s="689"/>
      <c r="DC8" s="689"/>
      <c r="DD8" s="689"/>
      <c r="DE8" s="689"/>
      <c r="DF8" s="689"/>
      <c r="DG8" s="689"/>
      <c r="DH8" s="689"/>
      <c r="DI8" s="689"/>
      <c r="DJ8" s="689"/>
      <c r="DK8" s="689"/>
      <c r="DL8" s="689"/>
      <c r="DM8" s="689"/>
      <c r="DN8" s="689"/>
      <c r="DO8" s="689"/>
      <c r="DP8" s="689"/>
      <c r="DQ8" s="689"/>
      <c r="DR8" s="689"/>
      <c r="DS8" s="689"/>
      <c r="DT8" s="689"/>
      <c r="DU8" s="689"/>
      <c r="DV8" s="689"/>
      <c r="DW8" s="689"/>
      <c r="DX8" s="689"/>
      <c r="DY8" s="689"/>
      <c r="DZ8" s="689"/>
      <c r="EA8" s="689"/>
      <c r="EB8" s="689"/>
      <c r="EC8" s="689"/>
      <c r="ED8" s="689"/>
      <c r="EE8" s="689"/>
      <c r="EF8" s="689"/>
      <c r="EG8" s="689"/>
      <c r="EH8" s="689"/>
      <c r="EI8" s="689"/>
      <c r="EJ8" s="689"/>
      <c r="EK8" s="689"/>
      <c r="EL8" s="689"/>
      <c r="EM8" s="689"/>
      <c r="EN8" s="689"/>
      <c r="EO8" s="689"/>
      <c r="EP8" s="689"/>
      <c r="EQ8" s="689"/>
      <c r="ER8" s="689"/>
      <c r="ES8" s="689"/>
      <c r="ET8" s="5"/>
      <c r="EU8" s="5"/>
      <c r="EV8" s="5"/>
      <c r="EW8" s="5"/>
      <c r="EX8" s="5"/>
      <c r="EY8" s="5"/>
      <c r="EZ8" s="5"/>
      <c r="FA8" s="5"/>
      <c r="FB8" s="5"/>
      <c r="FC8" s="5"/>
    </row>
    <row r="9" spans="1:159" ht="30" x14ac:dyDescent="0.4">
      <c r="A9" s="1"/>
      <c r="B9" s="1"/>
      <c r="C9" s="12"/>
      <c r="D9" s="12"/>
      <c r="E9" s="13"/>
      <c r="F9" s="14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3"/>
      <c r="DY9" s="13"/>
      <c r="DZ9" s="13"/>
      <c r="EA9" s="13"/>
      <c r="EB9" s="13"/>
      <c r="EC9" s="13"/>
      <c r="ED9" s="13"/>
      <c r="EE9" s="13"/>
      <c r="EF9" s="19"/>
      <c r="EG9" s="19"/>
      <c r="EH9" s="19"/>
      <c r="EI9" s="16"/>
      <c r="EJ9" s="16"/>
      <c r="EK9" s="16"/>
      <c r="EL9" s="16"/>
      <c r="EM9" s="16"/>
      <c r="EN9" s="19"/>
      <c r="EO9" s="19"/>
      <c r="EP9" s="19"/>
      <c r="EQ9" s="7"/>
      <c r="ER9" s="7"/>
      <c r="ES9" s="7"/>
      <c r="ET9" s="19"/>
      <c r="EU9" s="19"/>
      <c r="EV9" s="19"/>
      <c r="EW9" s="19"/>
      <c r="EX9" s="19"/>
      <c r="EY9" s="19"/>
      <c r="EZ9" s="19"/>
      <c r="FA9" s="7"/>
      <c r="FB9" s="7"/>
      <c r="FC9" s="7"/>
    </row>
    <row r="10" spans="1:159" ht="47.25" customHeight="1" x14ac:dyDescent="0.4">
      <c r="A10" s="1"/>
      <c r="B10" s="1"/>
      <c r="C10" s="12"/>
      <c r="D10" s="577" t="s">
        <v>27</v>
      </c>
      <c r="E10" s="578"/>
      <c r="F10" s="578"/>
      <c r="G10" s="579"/>
      <c r="H10" s="690" t="s">
        <v>26</v>
      </c>
      <c r="I10" s="691"/>
      <c r="J10" s="691"/>
      <c r="K10" s="691"/>
      <c r="L10" s="691"/>
      <c r="M10" s="691"/>
      <c r="N10" s="691"/>
      <c r="O10" s="691"/>
      <c r="P10" s="691"/>
      <c r="Q10" s="691"/>
      <c r="R10" s="691"/>
      <c r="S10" s="691"/>
      <c r="T10" s="691"/>
      <c r="U10" s="691"/>
      <c r="V10" s="691"/>
      <c r="W10" s="691"/>
      <c r="X10" s="691"/>
      <c r="Y10" s="691"/>
      <c r="Z10" s="691"/>
      <c r="AA10" s="691"/>
      <c r="AB10" s="691"/>
      <c r="AC10" s="691"/>
      <c r="AD10" s="691"/>
      <c r="AE10" s="691"/>
      <c r="AF10" s="691"/>
      <c r="AG10" s="691"/>
      <c r="AH10" s="691"/>
      <c r="AI10" s="691"/>
      <c r="AJ10" s="691"/>
      <c r="AK10" s="691"/>
      <c r="AL10" s="691"/>
      <c r="AM10" s="691"/>
      <c r="AN10" s="691"/>
      <c r="AO10" s="691"/>
      <c r="AP10" s="691"/>
      <c r="AQ10" s="691"/>
      <c r="AR10" s="691"/>
      <c r="AS10" s="691"/>
      <c r="AT10" s="691"/>
      <c r="AU10" s="691"/>
      <c r="AV10" s="691"/>
      <c r="AW10" s="691"/>
      <c r="AX10" s="691"/>
      <c r="AY10" s="691"/>
      <c r="AZ10" s="691"/>
      <c r="BA10" s="691"/>
      <c r="BB10" s="691"/>
      <c r="BC10" s="691"/>
      <c r="BD10" s="691"/>
      <c r="BE10" s="691"/>
      <c r="BF10" s="691"/>
      <c r="BG10" s="691"/>
      <c r="BH10" s="691"/>
      <c r="BI10" s="691"/>
      <c r="BJ10" s="691"/>
      <c r="BK10" s="691"/>
      <c r="BL10" s="691"/>
      <c r="BM10" s="691"/>
      <c r="BN10" s="691"/>
      <c r="BO10" s="691"/>
      <c r="BP10" s="691"/>
      <c r="BQ10" s="691"/>
      <c r="BR10" s="691"/>
      <c r="BS10" s="691"/>
      <c r="BT10" s="691"/>
      <c r="BU10" s="691"/>
      <c r="BV10" s="691"/>
      <c r="BW10" s="691"/>
      <c r="BX10" s="691"/>
      <c r="BY10" s="691"/>
      <c r="BZ10" s="691"/>
      <c r="CA10" s="691"/>
      <c r="CB10" s="691"/>
      <c r="CC10" s="691"/>
      <c r="CD10" s="691"/>
      <c r="CE10" s="691"/>
      <c r="CF10" s="691"/>
      <c r="CG10" s="691"/>
      <c r="CH10" s="691"/>
      <c r="CI10" s="691"/>
      <c r="CJ10" s="691"/>
      <c r="CK10" s="691"/>
      <c r="CL10" s="691"/>
      <c r="CM10" s="691"/>
      <c r="CN10" s="691"/>
      <c r="CO10" s="691"/>
      <c r="CP10" s="691"/>
      <c r="CQ10" s="691"/>
      <c r="CR10" s="691"/>
      <c r="CS10" s="691"/>
      <c r="CT10" s="691"/>
      <c r="CU10" s="691"/>
      <c r="CV10" s="691"/>
      <c r="CW10" s="691"/>
      <c r="CX10" s="691"/>
      <c r="CY10" s="691"/>
      <c r="CZ10" s="691"/>
      <c r="DA10" s="691"/>
      <c r="DB10" s="691"/>
      <c r="DC10" s="691"/>
      <c r="DD10" s="691"/>
      <c r="DE10" s="691"/>
      <c r="DF10" s="691"/>
      <c r="DG10" s="691"/>
      <c r="DH10" s="691"/>
      <c r="DI10" s="691"/>
      <c r="DJ10" s="692"/>
      <c r="DK10" s="588" t="s">
        <v>21</v>
      </c>
      <c r="DL10" s="589"/>
      <c r="DM10" s="589"/>
      <c r="DN10" s="589"/>
      <c r="DO10" s="589"/>
      <c r="DP10" s="589"/>
      <c r="DQ10" s="589"/>
      <c r="DR10" s="589"/>
      <c r="DS10" s="589"/>
      <c r="DT10" s="589"/>
      <c r="DU10" s="589"/>
      <c r="DV10" s="589"/>
      <c r="DW10" s="589"/>
      <c r="DX10" s="589"/>
      <c r="DY10" s="589"/>
      <c r="DZ10" s="589"/>
      <c r="EA10" s="589"/>
      <c r="EB10" s="589"/>
      <c r="EC10" s="589"/>
      <c r="ED10" s="589"/>
      <c r="EE10" s="589"/>
      <c r="EF10" s="590"/>
      <c r="EG10" s="699" t="s">
        <v>81</v>
      </c>
      <c r="EH10" s="700"/>
      <c r="EI10" s="701"/>
      <c r="EJ10" s="699" t="s">
        <v>25</v>
      </c>
      <c r="EK10" s="700"/>
      <c r="EL10" s="700"/>
      <c r="EM10" s="701"/>
      <c r="EN10" s="19"/>
      <c r="EO10" s="19"/>
      <c r="EP10" s="19"/>
      <c r="EQ10" s="19"/>
      <c r="ER10" s="7"/>
      <c r="ES10" s="7"/>
      <c r="ET10" s="19"/>
      <c r="EU10" s="19"/>
      <c r="EV10" s="19"/>
      <c r="EW10" s="19"/>
      <c r="EX10" s="19"/>
      <c r="EY10" s="19"/>
      <c r="EZ10" s="19"/>
      <c r="FA10" s="19"/>
      <c r="FB10" s="7"/>
      <c r="FC10" s="7"/>
    </row>
    <row r="11" spans="1:159" ht="47.25" x14ac:dyDescent="0.4">
      <c r="A11" s="1"/>
      <c r="B11" s="1"/>
      <c r="C11" s="12"/>
      <c r="D11" s="580"/>
      <c r="E11" s="581"/>
      <c r="F11" s="581"/>
      <c r="G11" s="582"/>
      <c r="H11" s="693"/>
      <c r="I11" s="694"/>
      <c r="J11" s="694"/>
      <c r="K11" s="694"/>
      <c r="L11" s="694"/>
      <c r="M11" s="694"/>
      <c r="N11" s="694"/>
      <c r="O11" s="694"/>
      <c r="P11" s="694"/>
      <c r="Q11" s="694"/>
      <c r="R11" s="694"/>
      <c r="S11" s="694"/>
      <c r="T11" s="694"/>
      <c r="U11" s="694"/>
      <c r="V11" s="694"/>
      <c r="W11" s="694"/>
      <c r="X11" s="694"/>
      <c r="Y11" s="694"/>
      <c r="Z11" s="694"/>
      <c r="AA11" s="694"/>
      <c r="AB11" s="694"/>
      <c r="AC11" s="694"/>
      <c r="AD11" s="694"/>
      <c r="AE11" s="694"/>
      <c r="AF11" s="694"/>
      <c r="AG11" s="694"/>
      <c r="AH11" s="694"/>
      <c r="AI11" s="694"/>
      <c r="AJ11" s="694"/>
      <c r="AK11" s="694"/>
      <c r="AL11" s="694"/>
      <c r="AM11" s="694"/>
      <c r="AN11" s="694"/>
      <c r="AO11" s="694"/>
      <c r="AP11" s="694"/>
      <c r="AQ11" s="694"/>
      <c r="AR11" s="694"/>
      <c r="AS11" s="694"/>
      <c r="AT11" s="694"/>
      <c r="AU11" s="694"/>
      <c r="AV11" s="694"/>
      <c r="AW11" s="694"/>
      <c r="AX11" s="694"/>
      <c r="AY11" s="694"/>
      <c r="AZ11" s="694"/>
      <c r="BA11" s="694"/>
      <c r="BB11" s="694"/>
      <c r="BC11" s="694"/>
      <c r="BD11" s="694"/>
      <c r="BE11" s="694"/>
      <c r="BF11" s="694"/>
      <c r="BG11" s="694"/>
      <c r="BH11" s="694"/>
      <c r="BI11" s="694"/>
      <c r="BJ11" s="694"/>
      <c r="BK11" s="694"/>
      <c r="BL11" s="694"/>
      <c r="BM11" s="694"/>
      <c r="BN11" s="694"/>
      <c r="BO11" s="694"/>
      <c r="BP11" s="694"/>
      <c r="BQ11" s="694"/>
      <c r="BR11" s="694"/>
      <c r="BS11" s="694"/>
      <c r="BT11" s="694"/>
      <c r="BU11" s="694"/>
      <c r="BV11" s="694"/>
      <c r="BW11" s="694"/>
      <c r="BX11" s="694"/>
      <c r="BY11" s="694"/>
      <c r="BZ11" s="694"/>
      <c r="CA11" s="694"/>
      <c r="CB11" s="694"/>
      <c r="CC11" s="694"/>
      <c r="CD11" s="694"/>
      <c r="CE11" s="694"/>
      <c r="CF11" s="694"/>
      <c r="CG11" s="694"/>
      <c r="CH11" s="694"/>
      <c r="CI11" s="694"/>
      <c r="CJ11" s="694"/>
      <c r="CK11" s="694"/>
      <c r="CL11" s="694"/>
      <c r="CM11" s="694"/>
      <c r="CN11" s="694"/>
      <c r="CO11" s="694"/>
      <c r="CP11" s="694"/>
      <c r="CQ11" s="694"/>
      <c r="CR11" s="694"/>
      <c r="CS11" s="694"/>
      <c r="CT11" s="694"/>
      <c r="CU11" s="694"/>
      <c r="CV11" s="694"/>
      <c r="CW11" s="694"/>
      <c r="CX11" s="694"/>
      <c r="CY11" s="694"/>
      <c r="CZ11" s="694"/>
      <c r="DA11" s="694"/>
      <c r="DB11" s="694"/>
      <c r="DC11" s="694"/>
      <c r="DD11" s="694"/>
      <c r="DE11" s="694"/>
      <c r="DF11" s="694"/>
      <c r="DG11" s="694"/>
      <c r="DH11" s="694"/>
      <c r="DI11" s="694"/>
      <c r="DJ11" s="695"/>
      <c r="DK11" s="699" t="s">
        <v>22</v>
      </c>
      <c r="DL11" s="700"/>
      <c r="DM11" s="700"/>
      <c r="DN11" s="701"/>
      <c r="DO11" s="565" t="s">
        <v>94</v>
      </c>
      <c r="DP11" s="566"/>
      <c r="DQ11" s="566"/>
      <c r="DR11" s="566"/>
      <c r="DS11" s="566"/>
      <c r="DT11" s="566"/>
      <c r="DU11" s="566"/>
      <c r="DV11" s="566"/>
      <c r="DW11" s="566"/>
      <c r="DX11" s="566"/>
      <c r="DY11" s="566"/>
      <c r="DZ11" s="566"/>
      <c r="EA11" s="566"/>
      <c r="EB11" s="566"/>
      <c r="EC11" s="566"/>
      <c r="ED11" s="566"/>
      <c r="EE11" s="566"/>
      <c r="EF11" s="567"/>
      <c r="EG11" s="702"/>
      <c r="EH11" s="703"/>
      <c r="EI11" s="704"/>
      <c r="EJ11" s="702"/>
      <c r="EK11" s="703"/>
      <c r="EL11" s="703"/>
      <c r="EM11" s="704"/>
      <c r="EN11" s="19"/>
      <c r="EO11" s="19"/>
      <c r="EP11" s="19"/>
      <c r="EQ11" s="19"/>
      <c r="ER11" s="7"/>
      <c r="ES11" s="7"/>
      <c r="ET11" s="19"/>
      <c r="EU11" s="19"/>
      <c r="EV11" s="19"/>
      <c r="EW11" s="19"/>
      <c r="EX11" s="19"/>
      <c r="EY11" s="19"/>
      <c r="EZ11" s="19"/>
      <c r="FA11" s="19"/>
      <c r="FB11" s="7"/>
      <c r="FC11" s="7"/>
    </row>
    <row r="12" spans="1:159" ht="26.25" customHeight="1" x14ac:dyDescent="0.4">
      <c r="A12" s="1"/>
      <c r="B12" s="1"/>
      <c r="C12" s="12"/>
      <c r="D12" s="580"/>
      <c r="E12" s="581"/>
      <c r="F12" s="581"/>
      <c r="G12" s="582"/>
      <c r="H12" s="693"/>
      <c r="I12" s="694"/>
      <c r="J12" s="694"/>
      <c r="K12" s="694"/>
      <c r="L12" s="694"/>
      <c r="M12" s="694"/>
      <c r="N12" s="694"/>
      <c r="O12" s="694"/>
      <c r="P12" s="694"/>
      <c r="Q12" s="694"/>
      <c r="R12" s="694"/>
      <c r="S12" s="694"/>
      <c r="T12" s="694"/>
      <c r="U12" s="694"/>
      <c r="V12" s="694"/>
      <c r="W12" s="694"/>
      <c r="X12" s="694"/>
      <c r="Y12" s="694"/>
      <c r="Z12" s="694"/>
      <c r="AA12" s="694"/>
      <c r="AB12" s="694"/>
      <c r="AC12" s="694"/>
      <c r="AD12" s="694"/>
      <c r="AE12" s="694"/>
      <c r="AF12" s="694"/>
      <c r="AG12" s="694"/>
      <c r="AH12" s="694"/>
      <c r="AI12" s="694"/>
      <c r="AJ12" s="694"/>
      <c r="AK12" s="694"/>
      <c r="AL12" s="694"/>
      <c r="AM12" s="694"/>
      <c r="AN12" s="694"/>
      <c r="AO12" s="694"/>
      <c r="AP12" s="694"/>
      <c r="AQ12" s="694"/>
      <c r="AR12" s="694"/>
      <c r="AS12" s="694"/>
      <c r="AT12" s="694"/>
      <c r="AU12" s="694"/>
      <c r="AV12" s="694"/>
      <c r="AW12" s="694"/>
      <c r="AX12" s="694"/>
      <c r="AY12" s="694"/>
      <c r="AZ12" s="694"/>
      <c r="BA12" s="694"/>
      <c r="BB12" s="694"/>
      <c r="BC12" s="694"/>
      <c r="BD12" s="694"/>
      <c r="BE12" s="694"/>
      <c r="BF12" s="694"/>
      <c r="BG12" s="694"/>
      <c r="BH12" s="694"/>
      <c r="BI12" s="694"/>
      <c r="BJ12" s="694"/>
      <c r="BK12" s="694"/>
      <c r="BL12" s="694"/>
      <c r="BM12" s="694"/>
      <c r="BN12" s="694"/>
      <c r="BO12" s="694"/>
      <c r="BP12" s="694"/>
      <c r="BQ12" s="694"/>
      <c r="BR12" s="694"/>
      <c r="BS12" s="694"/>
      <c r="BT12" s="694"/>
      <c r="BU12" s="694"/>
      <c r="BV12" s="694"/>
      <c r="BW12" s="694"/>
      <c r="BX12" s="694"/>
      <c r="BY12" s="694"/>
      <c r="BZ12" s="694"/>
      <c r="CA12" s="694"/>
      <c r="CB12" s="694"/>
      <c r="CC12" s="694"/>
      <c r="CD12" s="694"/>
      <c r="CE12" s="694"/>
      <c r="CF12" s="694"/>
      <c r="CG12" s="694"/>
      <c r="CH12" s="694"/>
      <c r="CI12" s="694"/>
      <c r="CJ12" s="694"/>
      <c r="CK12" s="694"/>
      <c r="CL12" s="694"/>
      <c r="CM12" s="694"/>
      <c r="CN12" s="694"/>
      <c r="CO12" s="694"/>
      <c r="CP12" s="694"/>
      <c r="CQ12" s="694"/>
      <c r="CR12" s="694"/>
      <c r="CS12" s="694"/>
      <c r="CT12" s="694"/>
      <c r="CU12" s="694"/>
      <c r="CV12" s="694"/>
      <c r="CW12" s="694"/>
      <c r="CX12" s="694"/>
      <c r="CY12" s="694"/>
      <c r="CZ12" s="694"/>
      <c r="DA12" s="694"/>
      <c r="DB12" s="694"/>
      <c r="DC12" s="694"/>
      <c r="DD12" s="694"/>
      <c r="DE12" s="694"/>
      <c r="DF12" s="694"/>
      <c r="DG12" s="694"/>
      <c r="DH12" s="694"/>
      <c r="DI12" s="694"/>
      <c r="DJ12" s="695"/>
      <c r="DK12" s="702"/>
      <c r="DL12" s="703"/>
      <c r="DM12" s="703"/>
      <c r="DN12" s="704"/>
      <c r="DO12" s="568" t="s">
        <v>23</v>
      </c>
      <c r="DP12" s="569"/>
      <c r="DQ12" s="570"/>
      <c r="DR12" s="568" t="s">
        <v>24</v>
      </c>
      <c r="DS12" s="569"/>
      <c r="DT12" s="570"/>
      <c r="DU12" s="568" t="s">
        <v>17</v>
      </c>
      <c r="DV12" s="569"/>
      <c r="DW12" s="570"/>
      <c r="DX12" s="568" t="s">
        <v>16</v>
      </c>
      <c r="DY12" s="569"/>
      <c r="DZ12" s="570"/>
      <c r="EA12" s="568" t="s">
        <v>19</v>
      </c>
      <c r="EB12" s="569"/>
      <c r="EC12" s="570"/>
      <c r="ED12" s="568" t="s">
        <v>65</v>
      </c>
      <c r="EE12" s="569"/>
      <c r="EF12" s="570"/>
      <c r="EG12" s="702"/>
      <c r="EH12" s="703"/>
      <c r="EI12" s="704"/>
      <c r="EJ12" s="702"/>
      <c r="EK12" s="703"/>
      <c r="EL12" s="703"/>
      <c r="EM12" s="704"/>
      <c r="EN12" s="19"/>
      <c r="EO12" s="19"/>
      <c r="EP12" s="19"/>
      <c r="EQ12" s="19"/>
      <c r="ER12" s="7"/>
      <c r="ES12" s="7"/>
      <c r="ET12" s="19"/>
      <c r="EU12" s="19"/>
      <c r="EV12" s="19"/>
      <c r="EW12" s="19"/>
      <c r="EX12" s="19"/>
      <c r="EY12" s="19"/>
      <c r="EZ12" s="19"/>
      <c r="FA12" s="19"/>
      <c r="FB12" s="7"/>
      <c r="FC12" s="7"/>
    </row>
    <row r="13" spans="1:159" ht="26.25" customHeight="1" x14ac:dyDescent="0.4">
      <c r="A13" s="1"/>
      <c r="B13" s="1"/>
      <c r="C13" s="12"/>
      <c r="D13" s="580"/>
      <c r="E13" s="581"/>
      <c r="F13" s="581"/>
      <c r="G13" s="582"/>
      <c r="H13" s="693"/>
      <c r="I13" s="694"/>
      <c r="J13" s="694"/>
      <c r="K13" s="694"/>
      <c r="L13" s="694"/>
      <c r="M13" s="694"/>
      <c r="N13" s="694"/>
      <c r="O13" s="694"/>
      <c r="P13" s="694"/>
      <c r="Q13" s="694"/>
      <c r="R13" s="694"/>
      <c r="S13" s="694"/>
      <c r="T13" s="694"/>
      <c r="U13" s="694"/>
      <c r="V13" s="694"/>
      <c r="W13" s="694"/>
      <c r="X13" s="694"/>
      <c r="Y13" s="694"/>
      <c r="Z13" s="694"/>
      <c r="AA13" s="694"/>
      <c r="AB13" s="694"/>
      <c r="AC13" s="694"/>
      <c r="AD13" s="694"/>
      <c r="AE13" s="694"/>
      <c r="AF13" s="694"/>
      <c r="AG13" s="694"/>
      <c r="AH13" s="694"/>
      <c r="AI13" s="694"/>
      <c r="AJ13" s="694"/>
      <c r="AK13" s="694"/>
      <c r="AL13" s="694"/>
      <c r="AM13" s="694"/>
      <c r="AN13" s="694"/>
      <c r="AO13" s="694"/>
      <c r="AP13" s="694"/>
      <c r="AQ13" s="694"/>
      <c r="AR13" s="694"/>
      <c r="AS13" s="694"/>
      <c r="AT13" s="694"/>
      <c r="AU13" s="694"/>
      <c r="AV13" s="694"/>
      <c r="AW13" s="694"/>
      <c r="AX13" s="694"/>
      <c r="AY13" s="694"/>
      <c r="AZ13" s="694"/>
      <c r="BA13" s="694"/>
      <c r="BB13" s="694"/>
      <c r="BC13" s="694"/>
      <c r="BD13" s="694"/>
      <c r="BE13" s="694"/>
      <c r="BF13" s="694"/>
      <c r="BG13" s="694"/>
      <c r="BH13" s="694"/>
      <c r="BI13" s="694"/>
      <c r="BJ13" s="694"/>
      <c r="BK13" s="694"/>
      <c r="BL13" s="694"/>
      <c r="BM13" s="694"/>
      <c r="BN13" s="694"/>
      <c r="BO13" s="694"/>
      <c r="BP13" s="694"/>
      <c r="BQ13" s="694"/>
      <c r="BR13" s="694"/>
      <c r="BS13" s="694"/>
      <c r="BT13" s="694"/>
      <c r="BU13" s="694"/>
      <c r="BV13" s="694"/>
      <c r="BW13" s="694"/>
      <c r="BX13" s="694"/>
      <c r="BY13" s="694"/>
      <c r="BZ13" s="694"/>
      <c r="CA13" s="694"/>
      <c r="CB13" s="694"/>
      <c r="CC13" s="694"/>
      <c r="CD13" s="694"/>
      <c r="CE13" s="694"/>
      <c r="CF13" s="694"/>
      <c r="CG13" s="694"/>
      <c r="CH13" s="694"/>
      <c r="CI13" s="694"/>
      <c r="CJ13" s="694"/>
      <c r="CK13" s="694"/>
      <c r="CL13" s="694"/>
      <c r="CM13" s="694"/>
      <c r="CN13" s="694"/>
      <c r="CO13" s="694"/>
      <c r="CP13" s="694"/>
      <c r="CQ13" s="694"/>
      <c r="CR13" s="694"/>
      <c r="CS13" s="694"/>
      <c r="CT13" s="694"/>
      <c r="CU13" s="694"/>
      <c r="CV13" s="694"/>
      <c r="CW13" s="694"/>
      <c r="CX13" s="694"/>
      <c r="CY13" s="694"/>
      <c r="CZ13" s="694"/>
      <c r="DA13" s="694"/>
      <c r="DB13" s="694"/>
      <c r="DC13" s="694"/>
      <c r="DD13" s="694"/>
      <c r="DE13" s="694"/>
      <c r="DF13" s="694"/>
      <c r="DG13" s="694"/>
      <c r="DH13" s="694"/>
      <c r="DI13" s="694"/>
      <c r="DJ13" s="695"/>
      <c r="DK13" s="702"/>
      <c r="DL13" s="703"/>
      <c r="DM13" s="703"/>
      <c r="DN13" s="704"/>
      <c r="DO13" s="571"/>
      <c r="DP13" s="572"/>
      <c r="DQ13" s="573"/>
      <c r="DR13" s="571"/>
      <c r="DS13" s="572"/>
      <c r="DT13" s="573"/>
      <c r="DU13" s="571"/>
      <c r="DV13" s="572"/>
      <c r="DW13" s="573"/>
      <c r="DX13" s="571"/>
      <c r="DY13" s="572"/>
      <c r="DZ13" s="573"/>
      <c r="EA13" s="571"/>
      <c r="EB13" s="572"/>
      <c r="EC13" s="573"/>
      <c r="ED13" s="571"/>
      <c r="EE13" s="572"/>
      <c r="EF13" s="573"/>
      <c r="EG13" s="702"/>
      <c r="EH13" s="703"/>
      <c r="EI13" s="704"/>
      <c r="EJ13" s="702"/>
      <c r="EK13" s="703"/>
      <c r="EL13" s="703"/>
      <c r="EM13" s="704"/>
      <c r="EN13" s="19"/>
      <c r="EO13" s="19"/>
      <c r="EP13" s="19"/>
      <c r="EQ13" s="19"/>
      <c r="ER13" s="7"/>
      <c r="ES13" s="7"/>
      <c r="ET13" s="19"/>
      <c r="EU13" s="19"/>
      <c r="EV13" s="19"/>
      <c r="EW13" s="19"/>
      <c r="EX13" s="19"/>
      <c r="EY13" s="19"/>
      <c r="EZ13" s="19"/>
      <c r="FA13" s="19"/>
      <c r="FB13" s="7"/>
      <c r="FC13" s="7"/>
    </row>
    <row r="14" spans="1:159" ht="26.25" customHeight="1" x14ac:dyDescent="0.4">
      <c r="A14" s="1"/>
      <c r="B14" s="1"/>
      <c r="C14" s="12"/>
      <c r="D14" s="580"/>
      <c r="E14" s="581"/>
      <c r="F14" s="581"/>
      <c r="G14" s="582"/>
      <c r="H14" s="696"/>
      <c r="I14" s="697"/>
      <c r="J14" s="697"/>
      <c r="K14" s="697"/>
      <c r="L14" s="697"/>
      <c r="M14" s="697"/>
      <c r="N14" s="697"/>
      <c r="O14" s="697"/>
      <c r="P14" s="697"/>
      <c r="Q14" s="697"/>
      <c r="R14" s="697"/>
      <c r="S14" s="697"/>
      <c r="T14" s="697"/>
      <c r="U14" s="697"/>
      <c r="V14" s="697"/>
      <c r="W14" s="697"/>
      <c r="X14" s="697"/>
      <c r="Y14" s="697"/>
      <c r="Z14" s="697"/>
      <c r="AA14" s="697"/>
      <c r="AB14" s="697"/>
      <c r="AC14" s="697"/>
      <c r="AD14" s="697"/>
      <c r="AE14" s="697"/>
      <c r="AF14" s="697"/>
      <c r="AG14" s="697"/>
      <c r="AH14" s="697"/>
      <c r="AI14" s="697"/>
      <c r="AJ14" s="697"/>
      <c r="AK14" s="697"/>
      <c r="AL14" s="697"/>
      <c r="AM14" s="697"/>
      <c r="AN14" s="697"/>
      <c r="AO14" s="697"/>
      <c r="AP14" s="697"/>
      <c r="AQ14" s="697"/>
      <c r="AR14" s="697"/>
      <c r="AS14" s="697"/>
      <c r="AT14" s="697"/>
      <c r="AU14" s="697"/>
      <c r="AV14" s="697"/>
      <c r="AW14" s="697"/>
      <c r="AX14" s="697"/>
      <c r="AY14" s="697"/>
      <c r="AZ14" s="697"/>
      <c r="BA14" s="697"/>
      <c r="BB14" s="697"/>
      <c r="BC14" s="697"/>
      <c r="BD14" s="697"/>
      <c r="BE14" s="697"/>
      <c r="BF14" s="697"/>
      <c r="BG14" s="697"/>
      <c r="BH14" s="697"/>
      <c r="BI14" s="697"/>
      <c r="BJ14" s="697"/>
      <c r="BK14" s="697"/>
      <c r="BL14" s="697"/>
      <c r="BM14" s="697"/>
      <c r="BN14" s="697"/>
      <c r="BO14" s="697"/>
      <c r="BP14" s="697"/>
      <c r="BQ14" s="697"/>
      <c r="BR14" s="697"/>
      <c r="BS14" s="697"/>
      <c r="BT14" s="697"/>
      <c r="BU14" s="697"/>
      <c r="BV14" s="697"/>
      <c r="BW14" s="697"/>
      <c r="BX14" s="697"/>
      <c r="BY14" s="697"/>
      <c r="BZ14" s="697"/>
      <c r="CA14" s="697"/>
      <c r="CB14" s="697"/>
      <c r="CC14" s="697"/>
      <c r="CD14" s="697"/>
      <c r="CE14" s="697"/>
      <c r="CF14" s="697"/>
      <c r="CG14" s="697"/>
      <c r="CH14" s="697"/>
      <c r="CI14" s="697"/>
      <c r="CJ14" s="697"/>
      <c r="CK14" s="697"/>
      <c r="CL14" s="697"/>
      <c r="CM14" s="697"/>
      <c r="CN14" s="697"/>
      <c r="CO14" s="697"/>
      <c r="CP14" s="697"/>
      <c r="CQ14" s="697"/>
      <c r="CR14" s="697"/>
      <c r="CS14" s="697"/>
      <c r="CT14" s="697"/>
      <c r="CU14" s="697"/>
      <c r="CV14" s="697"/>
      <c r="CW14" s="697"/>
      <c r="CX14" s="697"/>
      <c r="CY14" s="697"/>
      <c r="CZ14" s="697"/>
      <c r="DA14" s="697"/>
      <c r="DB14" s="697"/>
      <c r="DC14" s="697"/>
      <c r="DD14" s="697"/>
      <c r="DE14" s="697"/>
      <c r="DF14" s="697"/>
      <c r="DG14" s="697"/>
      <c r="DH14" s="697"/>
      <c r="DI14" s="697"/>
      <c r="DJ14" s="698"/>
      <c r="DK14" s="702"/>
      <c r="DL14" s="703"/>
      <c r="DM14" s="703"/>
      <c r="DN14" s="704"/>
      <c r="DO14" s="571"/>
      <c r="DP14" s="572"/>
      <c r="DQ14" s="573"/>
      <c r="DR14" s="571"/>
      <c r="DS14" s="572"/>
      <c r="DT14" s="573"/>
      <c r="DU14" s="571"/>
      <c r="DV14" s="572"/>
      <c r="DW14" s="573"/>
      <c r="DX14" s="571"/>
      <c r="DY14" s="572"/>
      <c r="DZ14" s="573"/>
      <c r="EA14" s="571"/>
      <c r="EB14" s="572"/>
      <c r="EC14" s="573"/>
      <c r="ED14" s="571"/>
      <c r="EE14" s="572"/>
      <c r="EF14" s="573"/>
      <c r="EG14" s="702"/>
      <c r="EH14" s="703"/>
      <c r="EI14" s="704"/>
      <c r="EJ14" s="702"/>
      <c r="EK14" s="703"/>
      <c r="EL14" s="703"/>
      <c r="EM14" s="704"/>
      <c r="EN14" s="19"/>
      <c r="EO14" s="19"/>
      <c r="EP14" s="19"/>
      <c r="EQ14" s="19"/>
      <c r="ER14" s="7"/>
      <c r="ES14" s="7"/>
      <c r="ET14" s="19"/>
      <c r="EU14" s="19"/>
      <c r="EV14" s="19"/>
      <c r="EW14" s="19"/>
      <c r="EX14" s="19"/>
      <c r="EY14" s="19"/>
      <c r="EZ14" s="19"/>
      <c r="FA14" s="19"/>
      <c r="FB14" s="7"/>
      <c r="FC14" s="7"/>
    </row>
    <row r="15" spans="1:159" ht="47.25" customHeight="1" x14ac:dyDescent="0.4">
      <c r="A15" s="1"/>
      <c r="B15" s="1"/>
      <c r="C15" s="12"/>
      <c r="D15" s="580"/>
      <c r="E15" s="581"/>
      <c r="F15" s="581"/>
      <c r="G15" s="582"/>
      <c r="H15" s="588" t="s">
        <v>51</v>
      </c>
      <c r="I15" s="589"/>
      <c r="J15" s="589"/>
      <c r="K15" s="589"/>
      <c r="L15" s="589"/>
      <c r="M15" s="589"/>
      <c r="N15" s="589"/>
      <c r="O15" s="589"/>
      <c r="P15" s="589"/>
      <c r="Q15" s="590"/>
      <c r="R15" s="588" t="s">
        <v>52</v>
      </c>
      <c r="S15" s="589"/>
      <c r="T15" s="589"/>
      <c r="U15" s="589"/>
      <c r="V15" s="589"/>
      <c r="W15" s="589"/>
      <c r="X15" s="589"/>
      <c r="Y15" s="590"/>
      <c r="Z15" s="588" t="s">
        <v>53</v>
      </c>
      <c r="AA15" s="589"/>
      <c r="AB15" s="589"/>
      <c r="AC15" s="589"/>
      <c r="AD15" s="589"/>
      <c r="AE15" s="589"/>
      <c r="AF15" s="589"/>
      <c r="AG15" s="589"/>
      <c r="AH15" s="589"/>
      <c r="AI15" s="589"/>
      <c r="AJ15" s="590"/>
      <c r="AK15" s="588" t="s">
        <v>54</v>
      </c>
      <c r="AL15" s="589"/>
      <c r="AM15" s="589"/>
      <c r="AN15" s="589"/>
      <c r="AO15" s="589"/>
      <c r="AP15" s="589"/>
      <c r="AQ15" s="589"/>
      <c r="AR15" s="590"/>
      <c r="AS15" s="588" t="s">
        <v>55</v>
      </c>
      <c r="AT15" s="589"/>
      <c r="AU15" s="589"/>
      <c r="AV15" s="589"/>
      <c r="AW15" s="589"/>
      <c r="AX15" s="589"/>
      <c r="AY15" s="589"/>
      <c r="AZ15" s="589"/>
      <c r="BA15" s="589"/>
      <c r="BB15" s="589"/>
      <c r="BC15" s="589"/>
      <c r="BD15" s="590"/>
      <c r="BE15" s="588" t="s">
        <v>56</v>
      </c>
      <c r="BF15" s="589"/>
      <c r="BG15" s="589"/>
      <c r="BH15" s="589"/>
      <c r="BI15" s="589"/>
      <c r="BJ15" s="589"/>
      <c r="BK15" s="589"/>
      <c r="BL15" s="590"/>
      <c r="BM15" s="588" t="s">
        <v>57</v>
      </c>
      <c r="BN15" s="589"/>
      <c r="BO15" s="589"/>
      <c r="BP15" s="589"/>
      <c r="BQ15" s="589"/>
      <c r="BR15" s="589"/>
      <c r="BS15" s="589"/>
      <c r="BT15" s="589"/>
      <c r="BU15" s="589"/>
      <c r="BV15" s="590"/>
      <c r="BW15" s="588" t="s">
        <v>58</v>
      </c>
      <c r="BX15" s="589"/>
      <c r="BY15" s="589"/>
      <c r="BZ15" s="589"/>
      <c r="CA15" s="589"/>
      <c r="CB15" s="589"/>
      <c r="CC15" s="589"/>
      <c r="CD15" s="590"/>
      <c r="CE15" s="588" t="s">
        <v>59</v>
      </c>
      <c r="CF15" s="589"/>
      <c r="CG15" s="589"/>
      <c r="CH15" s="589"/>
      <c r="CI15" s="589"/>
      <c r="CJ15" s="589"/>
      <c r="CK15" s="589"/>
      <c r="CL15" s="590"/>
      <c r="CM15" s="588" t="s">
        <v>60</v>
      </c>
      <c r="CN15" s="589"/>
      <c r="CO15" s="589"/>
      <c r="CP15" s="589"/>
      <c r="CQ15" s="589"/>
      <c r="CR15" s="589"/>
      <c r="CS15" s="589"/>
      <c r="CT15" s="590"/>
      <c r="CU15" s="588" t="s">
        <v>61</v>
      </c>
      <c r="CV15" s="589"/>
      <c r="CW15" s="589"/>
      <c r="CX15" s="589"/>
      <c r="CY15" s="589"/>
      <c r="CZ15" s="589"/>
      <c r="DA15" s="589"/>
      <c r="DB15" s="590"/>
      <c r="DC15" s="588" t="s">
        <v>62</v>
      </c>
      <c r="DD15" s="589"/>
      <c r="DE15" s="589"/>
      <c r="DF15" s="589"/>
      <c r="DG15" s="589"/>
      <c r="DH15" s="589"/>
      <c r="DI15" s="589"/>
      <c r="DJ15" s="590"/>
      <c r="DK15" s="702"/>
      <c r="DL15" s="703"/>
      <c r="DM15" s="703"/>
      <c r="DN15" s="704"/>
      <c r="DO15" s="571"/>
      <c r="DP15" s="572"/>
      <c r="DQ15" s="573"/>
      <c r="DR15" s="571"/>
      <c r="DS15" s="572"/>
      <c r="DT15" s="573"/>
      <c r="DU15" s="571"/>
      <c r="DV15" s="572"/>
      <c r="DW15" s="573"/>
      <c r="DX15" s="571"/>
      <c r="DY15" s="572"/>
      <c r="DZ15" s="573"/>
      <c r="EA15" s="571"/>
      <c r="EB15" s="572"/>
      <c r="EC15" s="573"/>
      <c r="ED15" s="571"/>
      <c r="EE15" s="572"/>
      <c r="EF15" s="573"/>
      <c r="EG15" s="702"/>
      <c r="EH15" s="703"/>
      <c r="EI15" s="704"/>
      <c r="EJ15" s="702"/>
      <c r="EK15" s="703"/>
      <c r="EL15" s="703"/>
      <c r="EM15" s="704"/>
      <c r="EN15" s="19"/>
      <c r="EO15" s="19"/>
      <c r="EP15" s="19"/>
      <c r="EQ15" s="19"/>
      <c r="ER15" s="7"/>
      <c r="ES15" s="7"/>
      <c r="ET15" s="19"/>
      <c r="EU15" s="19"/>
      <c r="EV15" s="19"/>
      <c r="EW15" s="19"/>
      <c r="EX15" s="19"/>
      <c r="EY15" s="19"/>
      <c r="EZ15" s="19"/>
      <c r="FA15" s="19"/>
      <c r="FB15" s="7"/>
      <c r="FC15" s="7"/>
    </row>
    <row r="16" spans="1:159" ht="39.75" x14ac:dyDescent="0.4">
      <c r="A16" s="1"/>
      <c r="B16" s="1"/>
      <c r="C16" s="12"/>
      <c r="D16" s="583"/>
      <c r="E16" s="584"/>
      <c r="F16" s="584"/>
      <c r="G16" s="585"/>
      <c r="H16" s="586">
        <v>1</v>
      </c>
      <c r="I16" s="587"/>
      <c r="J16" s="586">
        <v>2</v>
      </c>
      <c r="K16" s="587"/>
      <c r="L16" s="586">
        <v>3</v>
      </c>
      <c r="M16" s="587"/>
      <c r="N16" s="586">
        <v>4</v>
      </c>
      <c r="O16" s="587"/>
      <c r="P16" s="586">
        <v>5</v>
      </c>
      <c r="Q16" s="587"/>
      <c r="R16" s="586">
        <v>6</v>
      </c>
      <c r="S16" s="587"/>
      <c r="T16" s="586">
        <v>7</v>
      </c>
      <c r="U16" s="587"/>
      <c r="V16" s="586">
        <v>8</v>
      </c>
      <c r="W16" s="587"/>
      <c r="X16" s="586">
        <v>9</v>
      </c>
      <c r="Y16" s="587"/>
      <c r="Z16" s="586">
        <v>10</v>
      </c>
      <c r="AA16" s="587"/>
      <c r="AB16" s="586">
        <v>11</v>
      </c>
      <c r="AC16" s="587"/>
      <c r="AD16" s="586">
        <v>12</v>
      </c>
      <c r="AE16" s="587"/>
      <c r="AF16" s="586">
        <v>13</v>
      </c>
      <c r="AG16" s="587"/>
      <c r="AH16" s="586">
        <v>14</v>
      </c>
      <c r="AI16" s="591"/>
      <c r="AJ16" s="587"/>
      <c r="AK16" s="586">
        <v>15</v>
      </c>
      <c r="AL16" s="587"/>
      <c r="AM16" s="586">
        <v>16</v>
      </c>
      <c r="AN16" s="587"/>
      <c r="AO16" s="586">
        <v>17</v>
      </c>
      <c r="AP16" s="587"/>
      <c r="AQ16" s="586">
        <v>18</v>
      </c>
      <c r="AR16" s="587"/>
      <c r="AS16" s="586">
        <v>19</v>
      </c>
      <c r="AT16" s="587"/>
      <c r="AU16" s="586">
        <v>20</v>
      </c>
      <c r="AV16" s="587"/>
      <c r="AW16" s="586">
        <v>21</v>
      </c>
      <c r="AX16" s="591"/>
      <c r="AY16" s="587"/>
      <c r="AZ16" s="586">
        <v>22</v>
      </c>
      <c r="BA16" s="587"/>
      <c r="BB16" s="586">
        <v>23</v>
      </c>
      <c r="BC16" s="591"/>
      <c r="BD16" s="587"/>
      <c r="BE16" s="586">
        <v>24</v>
      </c>
      <c r="BF16" s="587"/>
      <c r="BG16" s="586">
        <v>25</v>
      </c>
      <c r="BH16" s="587"/>
      <c r="BI16" s="586">
        <v>26</v>
      </c>
      <c r="BJ16" s="587"/>
      <c r="BK16" s="586">
        <v>27</v>
      </c>
      <c r="BL16" s="587"/>
      <c r="BM16" s="586">
        <v>28</v>
      </c>
      <c r="BN16" s="587"/>
      <c r="BO16" s="586">
        <v>29</v>
      </c>
      <c r="BP16" s="587"/>
      <c r="BQ16" s="586">
        <v>30</v>
      </c>
      <c r="BR16" s="587"/>
      <c r="BS16" s="586">
        <v>31</v>
      </c>
      <c r="BT16" s="587"/>
      <c r="BU16" s="586">
        <v>32</v>
      </c>
      <c r="BV16" s="587"/>
      <c r="BW16" s="586">
        <v>33</v>
      </c>
      <c r="BX16" s="587"/>
      <c r="BY16" s="586">
        <v>34</v>
      </c>
      <c r="BZ16" s="587"/>
      <c r="CA16" s="586">
        <v>35</v>
      </c>
      <c r="CB16" s="587"/>
      <c r="CC16" s="586">
        <v>36</v>
      </c>
      <c r="CD16" s="587"/>
      <c r="CE16" s="586">
        <v>37</v>
      </c>
      <c r="CF16" s="587"/>
      <c r="CG16" s="586">
        <v>38</v>
      </c>
      <c r="CH16" s="587"/>
      <c r="CI16" s="586">
        <v>39</v>
      </c>
      <c r="CJ16" s="587"/>
      <c r="CK16" s="586">
        <v>40</v>
      </c>
      <c r="CL16" s="587"/>
      <c r="CM16" s="586">
        <v>41</v>
      </c>
      <c r="CN16" s="587"/>
      <c r="CO16" s="586">
        <v>42</v>
      </c>
      <c r="CP16" s="587"/>
      <c r="CQ16" s="586">
        <v>43</v>
      </c>
      <c r="CR16" s="587"/>
      <c r="CS16" s="586">
        <v>44</v>
      </c>
      <c r="CT16" s="587"/>
      <c r="CU16" s="586">
        <v>45</v>
      </c>
      <c r="CV16" s="587"/>
      <c r="CW16" s="586">
        <v>46</v>
      </c>
      <c r="CX16" s="587"/>
      <c r="CY16" s="586">
        <v>47</v>
      </c>
      <c r="CZ16" s="587"/>
      <c r="DA16" s="586">
        <v>48</v>
      </c>
      <c r="DB16" s="587"/>
      <c r="DC16" s="586">
        <v>49</v>
      </c>
      <c r="DD16" s="587"/>
      <c r="DE16" s="586">
        <v>50</v>
      </c>
      <c r="DF16" s="587"/>
      <c r="DG16" s="586">
        <v>51</v>
      </c>
      <c r="DH16" s="587"/>
      <c r="DI16" s="586">
        <v>52</v>
      </c>
      <c r="DJ16" s="587"/>
      <c r="DK16" s="705"/>
      <c r="DL16" s="706"/>
      <c r="DM16" s="706"/>
      <c r="DN16" s="707"/>
      <c r="DO16" s="574"/>
      <c r="DP16" s="575"/>
      <c r="DQ16" s="576"/>
      <c r="DR16" s="574"/>
      <c r="DS16" s="575"/>
      <c r="DT16" s="576"/>
      <c r="DU16" s="574"/>
      <c r="DV16" s="575"/>
      <c r="DW16" s="576"/>
      <c r="DX16" s="574"/>
      <c r="DY16" s="575"/>
      <c r="DZ16" s="576"/>
      <c r="EA16" s="574"/>
      <c r="EB16" s="575"/>
      <c r="EC16" s="576"/>
      <c r="ED16" s="574"/>
      <c r="EE16" s="575"/>
      <c r="EF16" s="576"/>
      <c r="EG16" s="705"/>
      <c r="EH16" s="706"/>
      <c r="EI16" s="707"/>
      <c r="EJ16" s="705"/>
      <c r="EK16" s="706"/>
      <c r="EL16" s="706"/>
      <c r="EM16" s="707"/>
      <c r="EN16" s="19"/>
      <c r="EO16" s="19"/>
      <c r="EP16" s="19"/>
      <c r="EQ16" s="19"/>
      <c r="ER16" s="7"/>
      <c r="ES16" s="7"/>
      <c r="ET16" s="19"/>
      <c r="EU16" s="19"/>
      <c r="EV16" s="19"/>
      <c r="EW16" s="19"/>
      <c r="EX16" s="19"/>
      <c r="EY16" s="19"/>
      <c r="EZ16" s="19"/>
      <c r="FA16" s="19"/>
      <c r="FB16" s="7"/>
      <c r="FC16" s="7"/>
    </row>
    <row r="17" spans="1:159" ht="48" x14ac:dyDescent="0.4">
      <c r="A17" s="1"/>
      <c r="B17" s="1"/>
      <c r="C17" s="12"/>
      <c r="D17" s="565" t="s">
        <v>1</v>
      </c>
      <c r="E17" s="566"/>
      <c r="F17" s="566"/>
      <c r="G17" s="567"/>
      <c r="H17" s="588" t="s">
        <v>64</v>
      </c>
      <c r="I17" s="590"/>
      <c r="J17" s="588" t="s">
        <v>50</v>
      </c>
      <c r="K17" s="590"/>
      <c r="L17" s="588" t="s">
        <v>50</v>
      </c>
      <c r="M17" s="590"/>
      <c r="N17" s="588"/>
      <c r="O17" s="590"/>
      <c r="P17" s="588"/>
      <c r="Q17" s="590"/>
      <c r="R17" s="588"/>
      <c r="S17" s="590"/>
      <c r="T17" s="588"/>
      <c r="U17" s="590"/>
      <c r="V17" s="588"/>
      <c r="W17" s="590"/>
      <c r="X17" s="588"/>
      <c r="Y17" s="590"/>
      <c r="Z17" s="588"/>
      <c r="AA17" s="590"/>
      <c r="AB17" s="588"/>
      <c r="AC17" s="590"/>
      <c r="AD17" s="588"/>
      <c r="AE17" s="590"/>
      <c r="AF17" s="588"/>
      <c r="AG17" s="590"/>
      <c r="AH17" s="588"/>
      <c r="AI17" s="589"/>
      <c r="AJ17" s="590"/>
      <c r="AK17" s="588"/>
      <c r="AL17" s="590"/>
      <c r="AM17" s="588"/>
      <c r="AN17" s="590"/>
      <c r="AO17" s="588" t="s">
        <v>64</v>
      </c>
      <c r="AP17" s="590"/>
      <c r="AQ17" s="588" t="s">
        <v>64</v>
      </c>
      <c r="AR17" s="590"/>
      <c r="AS17" s="588"/>
      <c r="AT17" s="590"/>
      <c r="AU17" s="588"/>
      <c r="AV17" s="590"/>
      <c r="AW17" s="588" t="s">
        <v>66</v>
      </c>
      <c r="AX17" s="589"/>
      <c r="AY17" s="590"/>
      <c r="AZ17" s="588" t="s">
        <v>66</v>
      </c>
      <c r="BA17" s="590"/>
      <c r="BB17" s="588" t="s">
        <v>67</v>
      </c>
      <c r="BC17" s="589"/>
      <c r="BD17" s="590"/>
      <c r="BE17" s="588" t="s">
        <v>67</v>
      </c>
      <c r="BF17" s="590"/>
      <c r="BG17" s="588" t="s">
        <v>67</v>
      </c>
      <c r="BH17" s="590"/>
      <c r="BI17" s="588"/>
      <c r="BJ17" s="590"/>
      <c r="BK17" s="588"/>
      <c r="BL17" s="590"/>
      <c r="BM17" s="588"/>
      <c r="BN17" s="590"/>
      <c r="BO17" s="588"/>
      <c r="BP17" s="590"/>
      <c r="BQ17" s="588"/>
      <c r="BR17" s="590"/>
      <c r="BS17" s="588"/>
      <c r="BT17" s="590"/>
      <c r="BU17" s="588"/>
      <c r="BV17" s="590"/>
      <c r="BW17" s="588"/>
      <c r="BX17" s="590"/>
      <c r="BY17" s="588"/>
      <c r="BZ17" s="590"/>
      <c r="CA17" s="588"/>
      <c r="CB17" s="590"/>
      <c r="CC17" s="588"/>
      <c r="CD17" s="590"/>
      <c r="CE17" s="588"/>
      <c r="CF17" s="590"/>
      <c r="CG17" s="588"/>
      <c r="CH17" s="590"/>
      <c r="CI17" s="588"/>
      <c r="CJ17" s="590"/>
      <c r="CK17" s="588"/>
      <c r="CL17" s="590"/>
      <c r="CM17" s="588" t="s">
        <v>66</v>
      </c>
      <c r="CN17" s="590"/>
      <c r="CO17" s="588" t="s">
        <v>66</v>
      </c>
      <c r="CP17" s="590"/>
      <c r="CQ17" s="588" t="s">
        <v>64</v>
      </c>
      <c r="CR17" s="590"/>
      <c r="CS17" s="588" t="s">
        <v>64</v>
      </c>
      <c r="CT17" s="590"/>
      <c r="CU17" s="588" t="s">
        <v>64</v>
      </c>
      <c r="CV17" s="590"/>
      <c r="CW17" s="588" t="s">
        <v>64</v>
      </c>
      <c r="CX17" s="590"/>
      <c r="CY17" s="588" t="s">
        <v>64</v>
      </c>
      <c r="CZ17" s="590"/>
      <c r="DA17" s="588" t="s">
        <v>64</v>
      </c>
      <c r="DB17" s="590"/>
      <c r="DC17" s="588" t="s">
        <v>64</v>
      </c>
      <c r="DD17" s="590"/>
      <c r="DE17" s="588" t="s">
        <v>64</v>
      </c>
      <c r="DF17" s="590"/>
      <c r="DG17" s="588" t="s">
        <v>64</v>
      </c>
      <c r="DH17" s="590"/>
      <c r="DI17" s="588" t="s">
        <v>64</v>
      </c>
      <c r="DJ17" s="590"/>
      <c r="DK17" s="565">
        <f>DO17+DR17+DU17+DX17+EA17+ED17</f>
        <v>39</v>
      </c>
      <c r="DL17" s="566"/>
      <c r="DM17" s="566"/>
      <c r="DN17" s="567"/>
      <c r="DO17" s="595">
        <v>30</v>
      </c>
      <c r="DP17" s="596"/>
      <c r="DQ17" s="597"/>
      <c r="DR17" s="595">
        <v>4</v>
      </c>
      <c r="DS17" s="596"/>
      <c r="DT17" s="597"/>
      <c r="DU17" s="595">
        <v>2</v>
      </c>
      <c r="DV17" s="596"/>
      <c r="DW17" s="597"/>
      <c r="DX17" s="595">
        <v>3</v>
      </c>
      <c r="DY17" s="596"/>
      <c r="DZ17" s="597"/>
      <c r="EA17" s="595"/>
      <c r="EB17" s="596"/>
      <c r="EC17" s="597"/>
      <c r="ED17" s="595"/>
      <c r="EE17" s="596"/>
      <c r="EF17" s="597"/>
      <c r="EG17" s="595">
        <v>13</v>
      </c>
      <c r="EH17" s="596"/>
      <c r="EI17" s="597"/>
      <c r="EJ17" s="588">
        <f t="shared" ref="EJ17:EJ22" si="0">DK17+EG17</f>
        <v>52</v>
      </c>
      <c r="EK17" s="589"/>
      <c r="EL17" s="589"/>
      <c r="EM17" s="590"/>
      <c r="EN17" s="19"/>
      <c r="EO17" s="19"/>
      <c r="EP17" s="19"/>
      <c r="EQ17" s="19"/>
      <c r="ER17" s="7"/>
      <c r="ES17" s="7"/>
      <c r="ET17" s="19"/>
      <c r="EU17" s="19"/>
      <c r="EV17" s="19"/>
      <c r="EW17" s="19"/>
      <c r="EX17" s="19"/>
      <c r="EY17" s="19"/>
      <c r="EZ17" s="19"/>
      <c r="FA17" s="19"/>
      <c r="FB17" s="7"/>
      <c r="FC17" s="7"/>
    </row>
    <row r="18" spans="1:159" ht="48" x14ac:dyDescent="0.4">
      <c r="A18" s="1"/>
      <c r="B18" s="1"/>
      <c r="C18" s="12"/>
      <c r="D18" s="565" t="s">
        <v>2</v>
      </c>
      <c r="E18" s="566"/>
      <c r="F18" s="566"/>
      <c r="G18" s="567"/>
      <c r="H18" s="588" t="s">
        <v>50</v>
      </c>
      <c r="I18" s="590"/>
      <c r="J18" s="592"/>
      <c r="K18" s="593"/>
      <c r="L18" s="592"/>
      <c r="M18" s="593"/>
      <c r="N18" s="592"/>
      <c r="O18" s="593"/>
      <c r="P18" s="592"/>
      <c r="Q18" s="593"/>
      <c r="R18" s="592"/>
      <c r="S18" s="593"/>
      <c r="T18" s="592"/>
      <c r="U18" s="593"/>
      <c r="V18" s="592"/>
      <c r="W18" s="593"/>
      <c r="X18" s="592"/>
      <c r="Y18" s="593"/>
      <c r="Z18" s="592"/>
      <c r="AA18" s="593"/>
      <c r="AB18" s="592"/>
      <c r="AC18" s="593"/>
      <c r="AD18" s="592"/>
      <c r="AE18" s="593"/>
      <c r="AF18" s="592"/>
      <c r="AG18" s="593"/>
      <c r="AH18" s="592"/>
      <c r="AI18" s="594"/>
      <c r="AJ18" s="593"/>
      <c r="AK18" s="592"/>
      <c r="AL18" s="593"/>
      <c r="AM18" s="592"/>
      <c r="AN18" s="593"/>
      <c r="AO18" s="588" t="s">
        <v>64</v>
      </c>
      <c r="AP18" s="590"/>
      <c r="AQ18" s="588" t="s">
        <v>64</v>
      </c>
      <c r="AR18" s="590"/>
      <c r="AS18" s="588"/>
      <c r="AT18" s="590"/>
      <c r="AU18" s="588" t="s">
        <v>66</v>
      </c>
      <c r="AV18" s="590"/>
      <c r="AW18" s="588" t="s">
        <v>66</v>
      </c>
      <c r="AX18" s="589"/>
      <c r="AY18" s="590"/>
      <c r="AZ18" s="592"/>
      <c r="BA18" s="593"/>
      <c r="BB18" s="592"/>
      <c r="BC18" s="594"/>
      <c r="BD18" s="593"/>
      <c r="BE18" s="592"/>
      <c r="BF18" s="593"/>
      <c r="BG18" s="592"/>
      <c r="BH18" s="593"/>
      <c r="BI18" s="592"/>
      <c r="BJ18" s="593"/>
      <c r="BK18" s="592"/>
      <c r="BL18" s="593"/>
      <c r="BM18" s="592"/>
      <c r="BN18" s="593"/>
      <c r="BO18" s="592"/>
      <c r="BP18" s="593"/>
      <c r="BQ18" s="592"/>
      <c r="BR18" s="593"/>
      <c r="BS18" s="592"/>
      <c r="BT18" s="593"/>
      <c r="BU18" s="592"/>
      <c r="BV18" s="593"/>
      <c r="BW18" s="592"/>
      <c r="BX18" s="593"/>
      <c r="BY18" s="588"/>
      <c r="BZ18" s="590"/>
      <c r="CA18" s="588"/>
      <c r="CB18" s="590"/>
      <c r="CC18" s="588"/>
      <c r="CD18" s="590"/>
      <c r="CE18" s="588" t="s">
        <v>66</v>
      </c>
      <c r="CF18" s="590"/>
      <c r="CG18" s="588" t="s">
        <v>66</v>
      </c>
      <c r="CH18" s="590"/>
      <c r="CI18" s="588" t="s">
        <v>64</v>
      </c>
      <c r="CJ18" s="590"/>
      <c r="CK18" s="588" t="s">
        <v>64</v>
      </c>
      <c r="CL18" s="590"/>
      <c r="CM18" s="588" t="s">
        <v>64</v>
      </c>
      <c r="CN18" s="590"/>
      <c r="CO18" s="588" t="s">
        <v>64</v>
      </c>
      <c r="CP18" s="590"/>
      <c r="CQ18" s="588" t="s">
        <v>64</v>
      </c>
      <c r="CR18" s="590"/>
      <c r="CS18" s="588" t="s">
        <v>64</v>
      </c>
      <c r="CT18" s="590"/>
      <c r="CU18" s="588" t="s">
        <v>64</v>
      </c>
      <c r="CV18" s="590"/>
      <c r="CW18" s="588" t="s">
        <v>64</v>
      </c>
      <c r="CX18" s="590"/>
      <c r="CY18" s="588" t="s">
        <v>64</v>
      </c>
      <c r="CZ18" s="590"/>
      <c r="DA18" s="588" t="s">
        <v>64</v>
      </c>
      <c r="DB18" s="590"/>
      <c r="DC18" s="588" t="s">
        <v>64</v>
      </c>
      <c r="DD18" s="590"/>
      <c r="DE18" s="588" t="s">
        <v>64</v>
      </c>
      <c r="DF18" s="590"/>
      <c r="DG18" s="588" t="s">
        <v>64</v>
      </c>
      <c r="DH18" s="590"/>
      <c r="DI18" s="588" t="s">
        <v>64</v>
      </c>
      <c r="DJ18" s="590"/>
      <c r="DK18" s="565">
        <f t="shared" ref="DK18:DK20" si="1">DO18+DR18+DU18+DX18+EA18+ED18</f>
        <v>36</v>
      </c>
      <c r="DL18" s="566"/>
      <c r="DM18" s="566"/>
      <c r="DN18" s="567"/>
      <c r="DO18" s="595">
        <v>3</v>
      </c>
      <c r="DP18" s="596"/>
      <c r="DQ18" s="597"/>
      <c r="DR18" s="595">
        <v>5</v>
      </c>
      <c r="DS18" s="596"/>
      <c r="DT18" s="597"/>
      <c r="DU18" s="595">
        <v>1</v>
      </c>
      <c r="DV18" s="596"/>
      <c r="DW18" s="597"/>
      <c r="DX18" s="595"/>
      <c r="DY18" s="596"/>
      <c r="DZ18" s="597"/>
      <c r="EA18" s="595"/>
      <c r="EB18" s="596"/>
      <c r="EC18" s="597"/>
      <c r="ED18" s="595">
        <v>27</v>
      </c>
      <c r="EE18" s="596"/>
      <c r="EF18" s="597"/>
      <c r="EG18" s="595">
        <v>16</v>
      </c>
      <c r="EH18" s="596"/>
      <c r="EI18" s="597"/>
      <c r="EJ18" s="588">
        <f t="shared" si="0"/>
        <v>52</v>
      </c>
      <c r="EK18" s="589"/>
      <c r="EL18" s="589"/>
      <c r="EM18" s="590"/>
      <c r="EN18" s="19"/>
      <c r="EO18" s="19"/>
      <c r="EP18" s="19"/>
      <c r="EQ18" s="19"/>
      <c r="ER18" s="7"/>
      <c r="ES18" s="7"/>
      <c r="ET18" s="19"/>
      <c r="EU18" s="19"/>
      <c r="EV18" s="19"/>
      <c r="EW18" s="19"/>
      <c r="EX18" s="19"/>
      <c r="EY18" s="19"/>
      <c r="EZ18" s="19"/>
      <c r="FA18" s="19"/>
      <c r="FB18" s="7"/>
      <c r="FC18" s="7"/>
    </row>
    <row r="19" spans="1:159" ht="48" x14ac:dyDescent="0.4">
      <c r="A19" s="1"/>
      <c r="B19" s="1"/>
      <c r="C19" s="12"/>
      <c r="D19" s="565" t="s">
        <v>3</v>
      </c>
      <c r="E19" s="566"/>
      <c r="F19" s="566"/>
      <c r="G19" s="567"/>
      <c r="H19" s="588" t="s">
        <v>50</v>
      </c>
      <c r="I19" s="590"/>
      <c r="J19" s="592"/>
      <c r="K19" s="593"/>
      <c r="L19" s="592"/>
      <c r="M19" s="593"/>
      <c r="N19" s="592"/>
      <c r="O19" s="593"/>
      <c r="P19" s="592"/>
      <c r="Q19" s="593"/>
      <c r="R19" s="592"/>
      <c r="S19" s="593"/>
      <c r="T19" s="592"/>
      <c r="U19" s="593"/>
      <c r="V19" s="592"/>
      <c r="W19" s="593"/>
      <c r="X19" s="592"/>
      <c r="Y19" s="593"/>
      <c r="Z19" s="592"/>
      <c r="AA19" s="593"/>
      <c r="AB19" s="592"/>
      <c r="AC19" s="593"/>
      <c r="AD19" s="592"/>
      <c r="AE19" s="593"/>
      <c r="AF19" s="592"/>
      <c r="AG19" s="593"/>
      <c r="AH19" s="592"/>
      <c r="AI19" s="594"/>
      <c r="AJ19" s="593"/>
      <c r="AK19" s="592"/>
      <c r="AL19" s="593"/>
      <c r="AM19" s="592"/>
      <c r="AN19" s="593"/>
      <c r="AO19" s="588" t="s">
        <v>64</v>
      </c>
      <c r="AP19" s="590"/>
      <c r="AQ19" s="588" t="s">
        <v>64</v>
      </c>
      <c r="AR19" s="590"/>
      <c r="AS19" s="588"/>
      <c r="AT19" s="590"/>
      <c r="AU19" s="588" t="s">
        <v>66</v>
      </c>
      <c r="AV19" s="590"/>
      <c r="AW19" s="588" t="s">
        <v>66</v>
      </c>
      <c r="AX19" s="589"/>
      <c r="AY19" s="590"/>
      <c r="AZ19" s="592"/>
      <c r="BA19" s="593"/>
      <c r="BB19" s="592"/>
      <c r="BC19" s="594"/>
      <c r="BD19" s="593"/>
      <c r="BE19" s="592"/>
      <c r="BF19" s="593"/>
      <c r="BG19" s="592"/>
      <c r="BH19" s="593"/>
      <c r="BI19" s="592"/>
      <c r="BJ19" s="593"/>
      <c r="BK19" s="592"/>
      <c r="BL19" s="593"/>
      <c r="BM19" s="592"/>
      <c r="BN19" s="593"/>
      <c r="BO19" s="588"/>
      <c r="BP19" s="590"/>
      <c r="BQ19" s="588"/>
      <c r="BR19" s="590"/>
      <c r="BS19" s="588"/>
      <c r="BT19" s="590"/>
      <c r="BU19" s="588"/>
      <c r="BV19" s="590"/>
      <c r="BW19" s="588"/>
      <c r="BX19" s="590"/>
      <c r="BY19" s="588"/>
      <c r="BZ19" s="590"/>
      <c r="CA19" s="588"/>
      <c r="CB19" s="590"/>
      <c r="CC19" s="588"/>
      <c r="CD19" s="590"/>
      <c r="CE19" s="588" t="s">
        <v>66</v>
      </c>
      <c r="CF19" s="590"/>
      <c r="CG19" s="588" t="s">
        <v>66</v>
      </c>
      <c r="CH19" s="590"/>
      <c r="CI19" s="588" t="s">
        <v>64</v>
      </c>
      <c r="CJ19" s="590"/>
      <c r="CK19" s="588" t="s">
        <v>64</v>
      </c>
      <c r="CL19" s="590"/>
      <c r="CM19" s="588" t="s">
        <v>64</v>
      </c>
      <c r="CN19" s="590"/>
      <c r="CO19" s="588" t="s">
        <v>64</v>
      </c>
      <c r="CP19" s="590"/>
      <c r="CQ19" s="588" t="s">
        <v>64</v>
      </c>
      <c r="CR19" s="590"/>
      <c r="CS19" s="588" t="s">
        <v>64</v>
      </c>
      <c r="CT19" s="590"/>
      <c r="CU19" s="588" t="s">
        <v>64</v>
      </c>
      <c r="CV19" s="590"/>
      <c r="CW19" s="588" t="s">
        <v>64</v>
      </c>
      <c r="CX19" s="590"/>
      <c r="CY19" s="588" t="s">
        <v>64</v>
      </c>
      <c r="CZ19" s="590"/>
      <c r="DA19" s="588" t="s">
        <v>64</v>
      </c>
      <c r="DB19" s="590"/>
      <c r="DC19" s="588" t="s">
        <v>64</v>
      </c>
      <c r="DD19" s="590"/>
      <c r="DE19" s="588" t="s">
        <v>64</v>
      </c>
      <c r="DF19" s="590"/>
      <c r="DG19" s="588" t="s">
        <v>64</v>
      </c>
      <c r="DH19" s="590"/>
      <c r="DI19" s="588" t="s">
        <v>64</v>
      </c>
      <c r="DJ19" s="590"/>
      <c r="DK19" s="565">
        <f t="shared" si="1"/>
        <v>36</v>
      </c>
      <c r="DL19" s="566"/>
      <c r="DM19" s="566"/>
      <c r="DN19" s="567"/>
      <c r="DO19" s="595">
        <v>8</v>
      </c>
      <c r="DP19" s="596"/>
      <c r="DQ19" s="597"/>
      <c r="DR19" s="595">
        <v>5</v>
      </c>
      <c r="DS19" s="596"/>
      <c r="DT19" s="597"/>
      <c r="DU19" s="595">
        <v>1</v>
      </c>
      <c r="DV19" s="596"/>
      <c r="DW19" s="597"/>
      <c r="DX19" s="595"/>
      <c r="DY19" s="596"/>
      <c r="DZ19" s="597"/>
      <c r="EA19" s="595"/>
      <c r="EB19" s="596"/>
      <c r="EC19" s="597"/>
      <c r="ED19" s="595">
        <v>22</v>
      </c>
      <c r="EE19" s="596"/>
      <c r="EF19" s="597"/>
      <c r="EG19" s="595">
        <v>16</v>
      </c>
      <c r="EH19" s="596"/>
      <c r="EI19" s="597"/>
      <c r="EJ19" s="588">
        <f t="shared" si="0"/>
        <v>52</v>
      </c>
      <c r="EK19" s="589"/>
      <c r="EL19" s="589"/>
      <c r="EM19" s="590"/>
      <c r="EN19" s="19"/>
      <c r="EO19" s="19"/>
      <c r="EP19" s="19"/>
      <c r="EQ19" s="19"/>
      <c r="ER19" s="7"/>
      <c r="ES19" s="7"/>
      <c r="ET19" s="19"/>
      <c r="EU19" s="19"/>
      <c r="EV19" s="19"/>
      <c r="EW19" s="19"/>
      <c r="EX19" s="19"/>
      <c r="EY19" s="19"/>
      <c r="EZ19" s="19"/>
      <c r="FA19" s="19"/>
      <c r="FB19" s="7"/>
      <c r="FC19" s="7"/>
    </row>
    <row r="20" spans="1:159" ht="48" x14ac:dyDescent="0.4">
      <c r="A20" s="1"/>
      <c r="B20" s="1"/>
      <c r="C20" s="12"/>
      <c r="D20" s="565" t="s">
        <v>4</v>
      </c>
      <c r="E20" s="566"/>
      <c r="F20" s="566"/>
      <c r="G20" s="567"/>
      <c r="H20" s="588" t="s">
        <v>50</v>
      </c>
      <c r="I20" s="590"/>
      <c r="J20" s="592"/>
      <c r="K20" s="593"/>
      <c r="L20" s="592"/>
      <c r="M20" s="593"/>
      <c r="N20" s="592"/>
      <c r="O20" s="593"/>
      <c r="P20" s="592"/>
      <c r="Q20" s="593"/>
      <c r="R20" s="592"/>
      <c r="S20" s="593"/>
      <c r="T20" s="592"/>
      <c r="U20" s="593"/>
      <c r="V20" s="592"/>
      <c r="W20" s="593"/>
      <c r="X20" s="592"/>
      <c r="Y20" s="593"/>
      <c r="Z20" s="592"/>
      <c r="AA20" s="593"/>
      <c r="AB20" s="592"/>
      <c r="AC20" s="593"/>
      <c r="AD20" s="592"/>
      <c r="AE20" s="593"/>
      <c r="AF20" s="592"/>
      <c r="AG20" s="593"/>
      <c r="AH20" s="592"/>
      <c r="AI20" s="594"/>
      <c r="AJ20" s="593"/>
      <c r="AK20" s="592"/>
      <c r="AL20" s="593"/>
      <c r="AM20" s="592"/>
      <c r="AN20" s="593"/>
      <c r="AO20" s="588" t="s">
        <v>64</v>
      </c>
      <c r="AP20" s="590"/>
      <c r="AQ20" s="588" t="s">
        <v>64</v>
      </c>
      <c r="AR20" s="590"/>
      <c r="AS20" s="588"/>
      <c r="AT20" s="590"/>
      <c r="AU20" s="588" t="s">
        <v>66</v>
      </c>
      <c r="AV20" s="590"/>
      <c r="AW20" s="588" t="s">
        <v>66</v>
      </c>
      <c r="AX20" s="589"/>
      <c r="AY20" s="590"/>
      <c r="AZ20" s="592"/>
      <c r="BA20" s="593"/>
      <c r="BB20" s="592"/>
      <c r="BC20" s="594"/>
      <c r="BD20" s="593"/>
      <c r="BE20" s="592"/>
      <c r="BF20" s="593"/>
      <c r="BG20" s="592"/>
      <c r="BH20" s="593"/>
      <c r="BI20" s="592"/>
      <c r="BJ20" s="593"/>
      <c r="BK20" s="588"/>
      <c r="BL20" s="590"/>
      <c r="BM20" s="588"/>
      <c r="BN20" s="590"/>
      <c r="BO20" s="588"/>
      <c r="BP20" s="590"/>
      <c r="BQ20" s="588"/>
      <c r="BR20" s="590"/>
      <c r="BS20" s="588"/>
      <c r="BT20" s="590"/>
      <c r="BU20" s="588"/>
      <c r="BV20" s="590"/>
      <c r="BW20" s="588"/>
      <c r="BX20" s="590"/>
      <c r="BY20" s="588"/>
      <c r="BZ20" s="590"/>
      <c r="CA20" s="588"/>
      <c r="CB20" s="590"/>
      <c r="CC20" s="588"/>
      <c r="CD20" s="590"/>
      <c r="CE20" s="588" t="s">
        <v>66</v>
      </c>
      <c r="CF20" s="590"/>
      <c r="CG20" s="588" t="s">
        <v>66</v>
      </c>
      <c r="CH20" s="590"/>
      <c r="CI20" s="588" t="s">
        <v>64</v>
      </c>
      <c r="CJ20" s="590"/>
      <c r="CK20" s="588" t="s">
        <v>64</v>
      </c>
      <c r="CL20" s="590"/>
      <c r="CM20" s="588" t="s">
        <v>64</v>
      </c>
      <c r="CN20" s="590"/>
      <c r="CO20" s="588" t="s">
        <v>64</v>
      </c>
      <c r="CP20" s="590"/>
      <c r="CQ20" s="588" t="s">
        <v>64</v>
      </c>
      <c r="CR20" s="590"/>
      <c r="CS20" s="588" t="s">
        <v>64</v>
      </c>
      <c r="CT20" s="590"/>
      <c r="CU20" s="588" t="s">
        <v>64</v>
      </c>
      <c r="CV20" s="590"/>
      <c r="CW20" s="588" t="s">
        <v>64</v>
      </c>
      <c r="CX20" s="590"/>
      <c r="CY20" s="588" t="s">
        <v>64</v>
      </c>
      <c r="CZ20" s="590"/>
      <c r="DA20" s="588" t="s">
        <v>64</v>
      </c>
      <c r="DB20" s="590"/>
      <c r="DC20" s="588" t="s">
        <v>64</v>
      </c>
      <c r="DD20" s="590"/>
      <c r="DE20" s="588" t="s">
        <v>64</v>
      </c>
      <c r="DF20" s="590"/>
      <c r="DG20" s="588" t="s">
        <v>64</v>
      </c>
      <c r="DH20" s="590"/>
      <c r="DI20" s="588" t="s">
        <v>64</v>
      </c>
      <c r="DJ20" s="590"/>
      <c r="DK20" s="565">
        <f t="shared" si="1"/>
        <v>36</v>
      </c>
      <c r="DL20" s="566"/>
      <c r="DM20" s="566"/>
      <c r="DN20" s="567"/>
      <c r="DO20" s="595">
        <v>10</v>
      </c>
      <c r="DP20" s="596"/>
      <c r="DQ20" s="597"/>
      <c r="DR20" s="595">
        <v>5</v>
      </c>
      <c r="DS20" s="596"/>
      <c r="DT20" s="597"/>
      <c r="DU20" s="595">
        <v>1</v>
      </c>
      <c r="DV20" s="596"/>
      <c r="DW20" s="597"/>
      <c r="DX20" s="595"/>
      <c r="DY20" s="596"/>
      <c r="DZ20" s="597"/>
      <c r="EA20" s="595"/>
      <c r="EB20" s="596"/>
      <c r="EC20" s="597"/>
      <c r="ED20" s="595">
        <v>20</v>
      </c>
      <c r="EE20" s="596"/>
      <c r="EF20" s="597"/>
      <c r="EG20" s="595">
        <v>16</v>
      </c>
      <c r="EH20" s="596"/>
      <c r="EI20" s="597"/>
      <c r="EJ20" s="588">
        <f t="shared" si="0"/>
        <v>52</v>
      </c>
      <c r="EK20" s="589"/>
      <c r="EL20" s="589"/>
      <c r="EM20" s="590"/>
      <c r="EN20" s="19"/>
      <c r="EO20" s="19"/>
      <c r="EP20" s="19"/>
      <c r="EQ20" s="19"/>
      <c r="ER20" s="7"/>
      <c r="ES20" s="7"/>
      <c r="ET20" s="19"/>
      <c r="EU20" s="19"/>
      <c r="EV20" s="19"/>
      <c r="EW20" s="19"/>
      <c r="EX20" s="19"/>
      <c r="EY20" s="19"/>
      <c r="EZ20" s="19"/>
      <c r="FA20" s="19"/>
      <c r="FB20" s="7"/>
      <c r="FC20" s="7"/>
    </row>
    <row r="21" spans="1:159" ht="48" x14ac:dyDescent="0.4">
      <c r="A21" s="1"/>
      <c r="B21" s="1"/>
      <c r="C21" s="12"/>
      <c r="D21" s="565" t="s">
        <v>4</v>
      </c>
      <c r="E21" s="566"/>
      <c r="F21" s="566"/>
      <c r="G21" s="567"/>
      <c r="H21" s="588" t="s">
        <v>50</v>
      </c>
      <c r="I21" s="590"/>
      <c r="J21" s="588" t="s">
        <v>0</v>
      </c>
      <c r="K21" s="590"/>
      <c r="L21" s="588" t="s">
        <v>0</v>
      </c>
      <c r="M21" s="590"/>
      <c r="N21" s="588" t="s">
        <v>0</v>
      </c>
      <c r="O21" s="590"/>
      <c r="P21" s="588" t="s">
        <v>0</v>
      </c>
      <c r="Q21" s="590"/>
      <c r="R21" s="588" t="s">
        <v>0</v>
      </c>
      <c r="S21" s="590"/>
      <c r="T21" s="588" t="s">
        <v>0</v>
      </c>
      <c r="U21" s="590"/>
      <c r="V21" s="588" t="s">
        <v>0</v>
      </c>
      <c r="W21" s="590"/>
      <c r="X21" s="588" t="s">
        <v>0</v>
      </c>
      <c r="Y21" s="590"/>
      <c r="Z21" s="588" t="s">
        <v>0</v>
      </c>
      <c r="AA21" s="590"/>
      <c r="AB21" s="588" t="s">
        <v>0</v>
      </c>
      <c r="AC21" s="590"/>
      <c r="AD21" s="588" t="s">
        <v>0</v>
      </c>
      <c r="AE21" s="590"/>
      <c r="AF21" s="588" t="s">
        <v>0</v>
      </c>
      <c r="AG21" s="590"/>
      <c r="AH21" s="588" t="s">
        <v>5</v>
      </c>
      <c r="AI21" s="589"/>
      <c r="AJ21" s="590"/>
      <c r="AK21" s="588" t="s">
        <v>20</v>
      </c>
      <c r="AL21" s="590"/>
      <c r="AM21" s="588" t="s">
        <v>20</v>
      </c>
      <c r="AN21" s="590"/>
      <c r="AO21" s="588" t="s">
        <v>64</v>
      </c>
      <c r="AP21" s="590"/>
      <c r="AQ21" s="588" t="s">
        <v>64</v>
      </c>
      <c r="AR21" s="590"/>
      <c r="AS21" s="588" t="s">
        <v>20</v>
      </c>
      <c r="AT21" s="590"/>
      <c r="AU21" s="588"/>
      <c r="AV21" s="590"/>
      <c r="AW21" s="588"/>
      <c r="AX21" s="589"/>
      <c r="AY21" s="590"/>
      <c r="AZ21" s="588"/>
      <c r="BA21" s="590"/>
      <c r="BB21" s="588"/>
      <c r="BC21" s="589"/>
      <c r="BD21" s="590"/>
      <c r="BE21" s="588"/>
      <c r="BF21" s="590"/>
      <c r="BG21" s="588"/>
      <c r="BH21" s="590"/>
      <c r="BI21" s="588"/>
      <c r="BJ21" s="590"/>
      <c r="BK21" s="588"/>
      <c r="BL21" s="590"/>
      <c r="BM21" s="588"/>
      <c r="BN21" s="590"/>
      <c r="BO21" s="588"/>
      <c r="BP21" s="590"/>
      <c r="BQ21" s="588"/>
      <c r="BR21" s="590"/>
      <c r="BS21" s="588"/>
      <c r="BT21" s="590"/>
      <c r="BU21" s="588"/>
      <c r="BV21" s="590"/>
      <c r="BW21" s="588"/>
      <c r="BX21" s="590"/>
      <c r="BY21" s="588"/>
      <c r="BZ21" s="590"/>
      <c r="CA21" s="588"/>
      <c r="CB21" s="590"/>
      <c r="CC21" s="588"/>
      <c r="CD21" s="590"/>
      <c r="CE21" s="588"/>
      <c r="CF21" s="590"/>
      <c r="CG21" s="588"/>
      <c r="CH21" s="590"/>
      <c r="CI21" s="588"/>
      <c r="CJ21" s="590"/>
      <c r="CK21" s="588"/>
      <c r="CL21" s="590"/>
      <c r="CM21" s="588"/>
      <c r="CN21" s="590"/>
      <c r="CO21" s="588"/>
      <c r="CP21" s="590"/>
      <c r="CQ21" s="588"/>
      <c r="CR21" s="590"/>
      <c r="CS21" s="588"/>
      <c r="CT21" s="590"/>
      <c r="CU21" s="588"/>
      <c r="CV21" s="590"/>
      <c r="CW21" s="588"/>
      <c r="CX21" s="590"/>
      <c r="CY21" s="588"/>
      <c r="CZ21" s="590"/>
      <c r="DA21" s="588"/>
      <c r="DB21" s="590"/>
      <c r="DC21" s="588"/>
      <c r="DD21" s="590"/>
      <c r="DE21" s="588"/>
      <c r="DF21" s="590"/>
      <c r="DG21" s="588"/>
      <c r="DH21" s="590"/>
      <c r="DI21" s="588"/>
      <c r="DJ21" s="590"/>
      <c r="DK21" s="565">
        <f t="shared" ref="DK21" si="2">DO21+DR21+DU21+DX21+EA21+ED21</f>
        <v>34</v>
      </c>
      <c r="DL21" s="566"/>
      <c r="DM21" s="566"/>
      <c r="DN21" s="567"/>
      <c r="DO21" s="595">
        <v>5</v>
      </c>
      <c r="DP21" s="596"/>
      <c r="DQ21" s="597"/>
      <c r="DR21" s="595">
        <v>1</v>
      </c>
      <c r="DS21" s="596"/>
      <c r="DT21" s="597"/>
      <c r="DU21" s="595">
        <v>1</v>
      </c>
      <c r="DV21" s="596"/>
      <c r="DW21" s="597"/>
      <c r="DX21" s="595"/>
      <c r="DY21" s="596"/>
      <c r="DZ21" s="597"/>
      <c r="EA21" s="595">
        <v>2</v>
      </c>
      <c r="EB21" s="596"/>
      <c r="EC21" s="597"/>
      <c r="ED21" s="595">
        <v>25</v>
      </c>
      <c r="EE21" s="596"/>
      <c r="EF21" s="597"/>
      <c r="EG21" s="595"/>
      <c r="EH21" s="596"/>
      <c r="EI21" s="597"/>
      <c r="EJ21" s="588">
        <f t="shared" si="0"/>
        <v>34</v>
      </c>
      <c r="EK21" s="589"/>
      <c r="EL21" s="589"/>
      <c r="EM21" s="590"/>
      <c r="EN21" s="19"/>
      <c r="EO21" s="19"/>
      <c r="EP21" s="19"/>
      <c r="EQ21" s="19"/>
      <c r="ER21" s="7"/>
      <c r="ES21" s="7"/>
      <c r="ET21" s="19"/>
      <c r="EU21" s="19"/>
      <c r="EV21" s="19"/>
      <c r="EW21" s="19"/>
      <c r="EX21" s="19"/>
      <c r="EY21" s="19"/>
      <c r="EZ21" s="19"/>
      <c r="FA21" s="19"/>
      <c r="FB21" s="7"/>
      <c r="FC21" s="7"/>
    </row>
    <row r="22" spans="1:159" ht="47.25" x14ac:dyDescent="0.4">
      <c r="A22" s="1"/>
      <c r="B22" s="1"/>
      <c r="C22" s="12"/>
      <c r="D22" s="709" t="s">
        <v>28</v>
      </c>
      <c r="E22" s="710"/>
      <c r="F22" s="710"/>
      <c r="G22" s="710"/>
      <c r="H22" s="710"/>
      <c r="I22" s="710"/>
      <c r="J22" s="710"/>
      <c r="K22" s="710"/>
      <c r="L22" s="710"/>
      <c r="M22" s="710"/>
      <c r="N22" s="710"/>
      <c r="O22" s="710"/>
      <c r="P22" s="710"/>
      <c r="Q22" s="710"/>
      <c r="R22" s="710"/>
      <c r="S22" s="710"/>
      <c r="T22" s="710"/>
      <c r="U22" s="710"/>
      <c r="V22" s="710"/>
      <c r="W22" s="710"/>
      <c r="X22" s="710"/>
      <c r="Y22" s="710"/>
      <c r="Z22" s="710"/>
      <c r="AA22" s="710"/>
      <c r="AB22" s="710"/>
      <c r="AC22" s="710"/>
      <c r="AD22" s="710"/>
      <c r="AE22" s="710"/>
      <c r="AF22" s="710"/>
      <c r="AG22" s="710"/>
      <c r="AH22" s="710"/>
      <c r="AI22" s="710"/>
      <c r="AJ22" s="710"/>
      <c r="AK22" s="710"/>
      <c r="AL22" s="710"/>
      <c r="AM22" s="710"/>
      <c r="AN22" s="710"/>
      <c r="AO22" s="710"/>
      <c r="AP22" s="710"/>
      <c r="AQ22" s="710"/>
      <c r="AR22" s="710"/>
      <c r="AS22" s="710"/>
      <c r="AT22" s="710"/>
      <c r="AU22" s="710"/>
      <c r="AV22" s="710"/>
      <c r="AW22" s="710"/>
      <c r="AX22" s="710"/>
      <c r="AY22" s="710"/>
      <c r="AZ22" s="710"/>
      <c r="BA22" s="710"/>
      <c r="BB22" s="710"/>
      <c r="BC22" s="710"/>
      <c r="BD22" s="710"/>
      <c r="BE22" s="710"/>
      <c r="BF22" s="710"/>
      <c r="BG22" s="710"/>
      <c r="BH22" s="710"/>
      <c r="BI22" s="710"/>
      <c r="BJ22" s="710"/>
      <c r="BK22" s="710"/>
      <c r="BL22" s="710"/>
      <c r="BM22" s="710"/>
      <c r="BN22" s="710"/>
      <c r="BO22" s="710"/>
      <c r="BP22" s="710"/>
      <c r="BQ22" s="710"/>
      <c r="BR22" s="710"/>
      <c r="BS22" s="710"/>
      <c r="BT22" s="710"/>
      <c r="BU22" s="710"/>
      <c r="BV22" s="710"/>
      <c r="BW22" s="710"/>
      <c r="BX22" s="710"/>
      <c r="BY22" s="710"/>
      <c r="BZ22" s="710"/>
      <c r="CA22" s="710"/>
      <c r="CB22" s="710"/>
      <c r="CC22" s="710"/>
      <c r="CD22" s="710"/>
      <c r="CE22" s="710"/>
      <c r="CF22" s="710"/>
      <c r="CG22" s="710"/>
      <c r="CH22" s="710"/>
      <c r="CI22" s="710"/>
      <c r="CJ22" s="710"/>
      <c r="CK22" s="710"/>
      <c r="CL22" s="710"/>
      <c r="CM22" s="710"/>
      <c r="CN22" s="710"/>
      <c r="CO22" s="710"/>
      <c r="CP22" s="710"/>
      <c r="CQ22" s="710"/>
      <c r="CR22" s="710"/>
      <c r="CS22" s="710"/>
      <c r="CT22" s="710"/>
      <c r="CU22" s="710"/>
      <c r="CV22" s="710"/>
      <c r="CW22" s="710"/>
      <c r="CX22" s="710"/>
      <c r="CY22" s="710"/>
      <c r="CZ22" s="710"/>
      <c r="DA22" s="710"/>
      <c r="DB22" s="710"/>
      <c r="DC22" s="710"/>
      <c r="DD22" s="710"/>
      <c r="DE22" s="710"/>
      <c r="DF22" s="710"/>
      <c r="DG22" s="710"/>
      <c r="DH22" s="710"/>
      <c r="DI22" s="710"/>
      <c r="DJ22" s="711"/>
      <c r="DK22" s="565">
        <f>SUM(DK17:DN21)</f>
        <v>181</v>
      </c>
      <c r="DL22" s="566"/>
      <c r="DM22" s="566"/>
      <c r="DN22" s="567"/>
      <c r="DO22" s="565">
        <f>SUM(DO17:DQ21)</f>
        <v>56</v>
      </c>
      <c r="DP22" s="566"/>
      <c r="DQ22" s="567"/>
      <c r="DR22" s="565">
        <f t="shared" ref="DR22" si="3">SUM(DR17:DT21)</f>
        <v>20</v>
      </c>
      <c r="DS22" s="566"/>
      <c r="DT22" s="567"/>
      <c r="DU22" s="565">
        <f t="shared" ref="DU22" si="4">SUM(DU17:DW21)</f>
        <v>6</v>
      </c>
      <c r="DV22" s="566"/>
      <c r="DW22" s="567"/>
      <c r="DX22" s="565">
        <f t="shared" ref="DX22" si="5">SUM(DX17:DZ21)</f>
        <v>3</v>
      </c>
      <c r="DY22" s="566"/>
      <c r="DZ22" s="567"/>
      <c r="EA22" s="565">
        <f t="shared" ref="EA22" si="6">SUM(EA17:EC21)</f>
        <v>2</v>
      </c>
      <c r="EB22" s="566"/>
      <c r="EC22" s="567"/>
      <c r="ED22" s="565">
        <f t="shared" ref="ED22" si="7">SUM(ED17:EF21)</f>
        <v>94</v>
      </c>
      <c r="EE22" s="566"/>
      <c r="EF22" s="567"/>
      <c r="EG22" s="565">
        <f t="shared" ref="EG22" si="8">SUM(EG17:EI21)</f>
        <v>61</v>
      </c>
      <c r="EH22" s="566"/>
      <c r="EI22" s="567"/>
      <c r="EJ22" s="588">
        <f t="shared" si="0"/>
        <v>242</v>
      </c>
      <c r="EK22" s="589"/>
      <c r="EL22" s="589"/>
      <c r="EM22" s="590"/>
      <c r="EN22" s="19"/>
      <c r="EO22" s="19"/>
      <c r="EP22" s="19"/>
      <c r="EQ22" s="19"/>
      <c r="ER22" s="7"/>
      <c r="ES22" s="7"/>
      <c r="ET22" s="19"/>
      <c r="EU22" s="19"/>
      <c r="EV22" s="19"/>
      <c r="EW22" s="19"/>
      <c r="EX22" s="19"/>
      <c r="EY22" s="19"/>
      <c r="EZ22" s="19"/>
      <c r="FA22" s="19"/>
      <c r="FB22" s="7"/>
      <c r="FC22" s="7"/>
    </row>
    <row r="23" spans="1:159" ht="30.75" thickBot="1" x14ac:dyDescent="0.45">
      <c r="A23" s="1"/>
      <c r="B23" s="1"/>
      <c r="C23" s="12"/>
      <c r="D23" s="12"/>
      <c r="E23" s="13"/>
      <c r="F23" s="14"/>
      <c r="G23" s="15"/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3"/>
      <c r="DY23" s="13"/>
      <c r="DZ23" s="13"/>
      <c r="EA23" s="13"/>
      <c r="EB23" s="13"/>
      <c r="EC23" s="13"/>
      <c r="ED23" s="13"/>
      <c r="EE23" s="13"/>
      <c r="EF23" s="19"/>
      <c r="EG23" s="19"/>
      <c r="EH23" s="19"/>
      <c r="EI23" s="16"/>
      <c r="EJ23" s="16"/>
      <c r="EK23" s="16"/>
      <c r="EL23" s="16"/>
      <c r="EM23" s="16"/>
      <c r="EN23" s="19"/>
      <c r="EO23" s="19"/>
      <c r="EP23" s="19"/>
      <c r="EQ23" s="7"/>
      <c r="ER23" s="7"/>
      <c r="ES23" s="7"/>
      <c r="ET23" s="19"/>
      <c r="EU23" s="19"/>
      <c r="EV23" s="19"/>
      <c r="EW23" s="19"/>
      <c r="EX23" s="19"/>
      <c r="EY23" s="19"/>
      <c r="EZ23" s="19"/>
      <c r="FA23" s="19"/>
      <c r="FB23" s="7"/>
      <c r="FC23" s="7"/>
    </row>
    <row r="24" spans="1:159" ht="61.5" customHeight="1" x14ac:dyDescent="0.2">
      <c r="A24" s="20"/>
      <c r="B24" s="20"/>
      <c r="C24" s="715"/>
      <c r="D24" s="716"/>
      <c r="E24" s="716"/>
      <c r="F24" s="716"/>
      <c r="G24" s="717"/>
      <c r="H24" s="721" t="s">
        <v>63</v>
      </c>
      <c r="I24" s="722"/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21"/>
      <c r="V24" s="21"/>
      <c r="W24" s="21"/>
      <c r="X24" s="723"/>
      <c r="Y24" s="724"/>
      <c r="Z24" s="725"/>
      <c r="AA24" s="712" t="s">
        <v>65</v>
      </c>
      <c r="AB24" s="729"/>
      <c r="AC24" s="729"/>
      <c r="AD24" s="729"/>
      <c r="AE24" s="729"/>
      <c r="AF24" s="729"/>
      <c r="AG24" s="729"/>
      <c r="AH24" s="729"/>
      <c r="AI24" s="729"/>
      <c r="AJ24" s="729"/>
      <c r="AK24" s="729"/>
      <c r="AL24" s="729"/>
      <c r="AM24" s="729"/>
      <c r="AN24" s="729"/>
      <c r="AO24" s="729"/>
      <c r="AP24" s="729"/>
      <c r="AQ24" s="729"/>
      <c r="AR24" s="729"/>
      <c r="AS24" s="729"/>
      <c r="AT24" s="729"/>
      <c r="AU24" s="729"/>
      <c r="AV24" s="22"/>
      <c r="AW24" s="730" t="s">
        <v>0</v>
      </c>
      <c r="AX24" s="731"/>
      <c r="AY24" s="731"/>
      <c r="AZ24" s="731"/>
      <c r="BA24" s="731"/>
      <c r="BB24" s="732"/>
      <c r="BC24" s="23"/>
      <c r="BD24" s="21"/>
      <c r="BE24" s="363" t="s">
        <v>16</v>
      </c>
      <c r="BF24" s="363"/>
      <c r="BG24" s="363"/>
      <c r="BH24" s="363"/>
      <c r="BI24" s="363"/>
      <c r="BJ24" s="363"/>
      <c r="BK24" s="363"/>
      <c r="BL24" s="363"/>
      <c r="BM24" s="363"/>
      <c r="BN24" s="363"/>
      <c r="BO24" s="363"/>
      <c r="BP24" s="363"/>
      <c r="BQ24" s="363"/>
      <c r="BR24" s="363"/>
      <c r="BS24" s="736"/>
      <c r="BT24" s="730" t="s">
        <v>6</v>
      </c>
      <c r="BU24" s="731"/>
      <c r="BV24" s="731"/>
      <c r="BW24" s="731"/>
      <c r="BX24" s="732"/>
      <c r="BY24" s="714" t="s">
        <v>17</v>
      </c>
      <c r="BZ24" s="390"/>
      <c r="CA24" s="390"/>
      <c r="CB24" s="390"/>
      <c r="CC24" s="390"/>
      <c r="CD24" s="390"/>
      <c r="CE24" s="390"/>
      <c r="CF24" s="390"/>
      <c r="CG24" s="390"/>
      <c r="CH24" s="390"/>
      <c r="CI24" s="390"/>
      <c r="CJ24" s="390"/>
      <c r="CK24" s="390"/>
      <c r="CL24" s="390"/>
      <c r="CM24" s="390"/>
      <c r="CN24" s="390"/>
      <c r="CO24" s="390"/>
      <c r="CP24" s="713"/>
      <c r="CQ24" s="715" t="s">
        <v>5</v>
      </c>
      <c r="CR24" s="716"/>
      <c r="CS24" s="716"/>
      <c r="CT24" s="716"/>
      <c r="CU24" s="717"/>
      <c r="CV24" s="714" t="s">
        <v>18</v>
      </c>
      <c r="CW24" s="390"/>
      <c r="CX24" s="390"/>
      <c r="CY24" s="390"/>
      <c r="CZ24" s="390"/>
      <c r="DA24" s="390"/>
      <c r="DB24" s="390"/>
      <c r="DC24" s="390"/>
      <c r="DD24" s="390"/>
      <c r="DE24" s="390"/>
      <c r="DF24" s="390"/>
      <c r="DG24" s="390"/>
      <c r="DH24" s="713"/>
      <c r="DI24" s="715" t="s">
        <v>20</v>
      </c>
      <c r="DJ24" s="716"/>
      <c r="DK24" s="716"/>
      <c r="DL24" s="716"/>
      <c r="DM24" s="717"/>
      <c r="DN24" s="712" t="s">
        <v>19</v>
      </c>
      <c r="DO24" s="390"/>
      <c r="DP24" s="390"/>
      <c r="DQ24" s="390"/>
      <c r="DR24" s="390"/>
      <c r="DS24" s="390"/>
      <c r="DT24" s="390"/>
      <c r="DU24" s="390"/>
      <c r="DV24" s="390"/>
      <c r="DW24" s="390"/>
      <c r="DX24" s="390"/>
      <c r="DY24" s="713"/>
      <c r="DZ24" s="715" t="s">
        <v>64</v>
      </c>
      <c r="EA24" s="716"/>
      <c r="EB24" s="716"/>
      <c r="EC24" s="716"/>
      <c r="ED24" s="717"/>
      <c r="EE24" s="708" t="s">
        <v>82</v>
      </c>
      <c r="EF24" s="363"/>
      <c r="EG24" s="363"/>
      <c r="EH24" s="363"/>
      <c r="EI24" s="363"/>
      <c r="EJ24" s="363"/>
      <c r="EK24" s="363"/>
      <c r="EL24" s="363"/>
      <c r="EM24" s="363"/>
      <c r="EN24" s="363"/>
      <c r="EO24" s="363"/>
      <c r="EP24" s="363"/>
      <c r="EQ24" s="24"/>
      <c r="ER24" s="24"/>
      <c r="ES24" s="24"/>
      <c r="ET24" s="19"/>
      <c r="EU24" s="19"/>
      <c r="EV24" s="19"/>
      <c r="EW24" s="19"/>
      <c r="EX24" s="19"/>
      <c r="EY24" s="19"/>
      <c r="EZ24" s="19"/>
      <c r="FA24" s="7"/>
      <c r="FB24" s="7"/>
      <c r="FC24" s="7"/>
    </row>
    <row r="25" spans="1:159" ht="61.5" customHeight="1" thickBot="1" x14ac:dyDescent="0.25">
      <c r="A25" s="20"/>
      <c r="B25" s="20"/>
      <c r="C25" s="718"/>
      <c r="D25" s="719"/>
      <c r="E25" s="719"/>
      <c r="F25" s="719"/>
      <c r="G25" s="720"/>
      <c r="H25" s="721"/>
      <c r="I25" s="722"/>
      <c r="J25" s="722"/>
      <c r="K25" s="722"/>
      <c r="L25" s="722"/>
      <c r="M25" s="722"/>
      <c r="N25" s="722"/>
      <c r="O25" s="722"/>
      <c r="P25" s="722"/>
      <c r="Q25" s="722"/>
      <c r="R25" s="722"/>
      <c r="S25" s="722"/>
      <c r="T25" s="722"/>
      <c r="U25" s="21"/>
      <c r="V25" s="21"/>
      <c r="W25" s="21"/>
      <c r="X25" s="726"/>
      <c r="Y25" s="727"/>
      <c r="Z25" s="728"/>
      <c r="AA25" s="712"/>
      <c r="AB25" s="729"/>
      <c r="AC25" s="729"/>
      <c r="AD25" s="729"/>
      <c r="AE25" s="729"/>
      <c r="AF25" s="729"/>
      <c r="AG25" s="729"/>
      <c r="AH25" s="729"/>
      <c r="AI25" s="729"/>
      <c r="AJ25" s="729"/>
      <c r="AK25" s="729"/>
      <c r="AL25" s="729"/>
      <c r="AM25" s="729"/>
      <c r="AN25" s="729"/>
      <c r="AO25" s="729"/>
      <c r="AP25" s="729"/>
      <c r="AQ25" s="729"/>
      <c r="AR25" s="729"/>
      <c r="AS25" s="729"/>
      <c r="AT25" s="729"/>
      <c r="AU25" s="729"/>
      <c r="AV25" s="22"/>
      <c r="AW25" s="733"/>
      <c r="AX25" s="734"/>
      <c r="AY25" s="734"/>
      <c r="AZ25" s="734"/>
      <c r="BA25" s="734"/>
      <c r="BB25" s="735"/>
      <c r="BC25" s="23"/>
      <c r="BD25" s="21"/>
      <c r="BE25" s="363"/>
      <c r="BF25" s="363"/>
      <c r="BG25" s="363"/>
      <c r="BH25" s="363"/>
      <c r="BI25" s="363"/>
      <c r="BJ25" s="363"/>
      <c r="BK25" s="363"/>
      <c r="BL25" s="363"/>
      <c r="BM25" s="363"/>
      <c r="BN25" s="363"/>
      <c r="BO25" s="363"/>
      <c r="BP25" s="363"/>
      <c r="BQ25" s="363"/>
      <c r="BR25" s="363"/>
      <c r="BS25" s="736"/>
      <c r="BT25" s="733"/>
      <c r="BU25" s="734"/>
      <c r="BV25" s="734"/>
      <c r="BW25" s="734"/>
      <c r="BX25" s="735"/>
      <c r="BY25" s="714"/>
      <c r="BZ25" s="390"/>
      <c r="CA25" s="390"/>
      <c r="CB25" s="390"/>
      <c r="CC25" s="390"/>
      <c r="CD25" s="390"/>
      <c r="CE25" s="390"/>
      <c r="CF25" s="390"/>
      <c r="CG25" s="390"/>
      <c r="CH25" s="390"/>
      <c r="CI25" s="390"/>
      <c r="CJ25" s="390"/>
      <c r="CK25" s="390"/>
      <c r="CL25" s="390"/>
      <c r="CM25" s="390"/>
      <c r="CN25" s="390"/>
      <c r="CO25" s="390"/>
      <c r="CP25" s="713"/>
      <c r="CQ25" s="718"/>
      <c r="CR25" s="719"/>
      <c r="CS25" s="719"/>
      <c r="CT25" s="719"/>
      <c r="CU25" s="720"/>
      <c r="CV25" s="714"/>
      <c r="CW25" s="390"/>
      <c r="CX25" s="390"/>
      <c r="CY25" s="390"/>
      <c r="CZ25" s="390"/>
      <c r="DA25" s="390"/>
      <c r="DB25" s="390"/>
      <c r="DC25" s="390"/>
      <c r="DD25" s="390"/>
      <c r="DE25" s="390"/>
      <c r="DF25" s="390"/>
      <c r="DG25" s="390"/>
      <c r="DH25" s="713"/>
      <c r="DI25" s="718"/>
      <c r="DJ25" s="719"/>
      <c r="DK25" s="719"/>
      <c r="DL25" s="719"/>
      <c r="DM25" s="720"/>
      <c r="DN25" s="714"/>
      <c r="DO25" s="390"/>
      <c r="DP25" s="390"/>
      <c r="DQ25" s="390"/>
      <c r="DR25" s="390"/>
      <c r="DS25" s="390"/>
      <c r="DT25" s="390"/>
      <c r="DU25" s="390"/>
      <c r="DV25" s="390"/>
      <c r="DW25" s="390"/>
      <c r="DX25" s="390"/>
      <c r="DY25" s="713"/>
      <c r="DZ25" s="718"/>
      <c r="EA25" s="719"/>
      <c r="EB25" s="719"/>
      <c r="EC25" s="719"/>
      <c r="ED25" s="720"/>
      <c r="EE25" s="708"/>
      <c r="EF25" s="363"/>
      <c r="EG25" s="363"/>
      <c r="EH25" s="363"/>
      <c r="EI25" s="363"/>
      <c r="EJ25" s="363"/>
      <c r="EK25" s="363"/>
      <c r="EL25" s="363"/>
      <c r="EM25" s="363"/>
      <c r="EN25" s="363"/>
      <c r="EO25" s="363"/>
      <c r="EP25" s="363"/>
      <c r="EQ25" s="24"/>
      <c r="ER25" s="24"/>
      <c r="ES25" s="24"/>
      <c r="ET25" s="22"/>
      <c r="EU25" s="22"/>
      <c r="EV25" s="22"/>
      <c r="EW25" s="22"/>
      <c r="EX25" s="69"/>
      <c r="EY25" s="69"/>
      <c r="EZ25" s="69"/>
      <c r="FA25" s="24"/>
      <c r="FB25" s="24"/>
      <c r="FC25" s="24"/>
    </row>
    <row r="26" spans="1:159" ht="82.5" thickBot="1" x14ac:dyDescent="0.45">
      <c r="A26" s="1"/>
      <c r="B26" s="1"/>
      <c r="C26" s="12"/>
      <c r="D26" s="689" t="s">
        <v>275</v>
      </c>
      <c r="E26" s="689"/>
      <c r="F26" s="689"/>
      <c r="G26" s="689"/>
      <c r="H26" s="689"/>
      <c r="I26" s="689"/>
      <c r="J26" s="689"/>
      <c r="K26" s="689"/>
      <c r="L26" s="689"/>
      <c r="M26" s="689"/>
      <c r="N26" s="689"/>
      <c r="O26" s="689"/>
      <c r="P26" s="689"/>
      <c r="Q26" s="689"/>
      <c r="R26" s="689"/>
      <c r="S26" s="689"/>
      <c r="T26" s="689"/>
      <c r="U26" s="689"/>
      <c r="V26" s="689"/>
      <c r="W26" s="689"/>
      <c r="X26" s="689"/>
      <c r="Y26" s="689"/>
      <c r="Z26" s="689"/>
      <c r="AA26" s="689"/>
      <c r="AB26" s="689"/>
      <c r="AC26" s="689"/>
      <c r="AD26" s="689"/>
      <c r="AE26" s="689"/>
      <c r="AF26" s="689"/>
      <c r="AG26" s="689"/>
      <c r="AH26" s="689"/>
      <c r="AI26" s="689"/>
      <c r="AJ26" s="689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689"/>
      <c r="BA26" s="689"/>
      <c r="BB26" s="689"/>
      <c r="BC26" s="689"/>
      <c r="BD26" s="689"/>
      <c r="BE26" s="689"/>
      <c r="BF26" s="689"/>
      <c r="BG26" s="689"/>
      <c r="BH26" s="689"/>
      <c r="BI26" s="689"/>
      <c r="BJ26" s="689"/>
      <c r="BK26" s="689"/>
      <c r="BL26" s="689"/>
      <c r="BM26" s="689"/>
      <c r="BN26" s="689"/>
      <c r="BO26" s="689"/>
      <c r="BP26" s="689"/>
      <c r="BQ26" s="689"/>
      <c r="BR26" s="689"/>
      <c r="BS26" s="689"/>
      <c r="BT26" s="689"/>
      <c r="BU26" s="689"/>
      <c r="BV26" s="689"/>
      <c r="BW26" s="689"/>
      <c r="BX26" s="689"/>
      <c r="BY26" s="689"/>
      <c r="BZ26" s="689"/>
      <c r="CA26" s="689"/>
      <c r="CB26" s="689"/>
      <c r="CC26" s="689"/>
      <c r="CD26" s="689"/>
      <c r="CE26" s="689"/>
      <c r="CF26" s="689"/>
      <c r="CG26" s="689"/>
      <c r="CH26" s="689"/>
      <c r="CI26" s="689"/>
      <c r="CJ26" s="689"/>
      <c r="CK26" s="689"/>
      <c r="CL26" s="689"/>
      <c r="CM26" s="689"/>
      <c r="CN26" s="689"/>
      <c r="CO26" s="689"/>
      <c r="CP26" s="689"/>
      <c r="CQ26" s="689"/>
      <c r="CR26" s="689"/>
      <c r="CS26" s="689"/>
      <c r="CT26" s="689"/>
      <c r="CU26" s="689"/>
      <c r="CV26" s="689"/>
      <c r="CW26" s="689"/>
      <c r="CX26" s="689"/>
      <c r="CY26" s="689"/>
      <c r="CZ26" s="689"/>
      <c r="DA26" s="689"/>
      <c r="DB26" s="689"/>
      <c r="DC26" s="689"/>
      <c r="DD26" s="689"/>
      <c r="DE26" s="689"/>
      <c r="DF26" s="689"/>
      <c r="DG26" s="689"/>
      <c r="DH26" s="689"/>
      <c r="DI26" s="689"/>
      <c r="DJ26" s="689"/>
      <c r="DK26" s="689"/>
      <c r="DL26" s="689"/>
      <c r="DM26" s="689"/>
      <c r="DN26" s="689"/>
      <c r="DO26" s="689"/>
      <c r="DP26" s="689"/>
      <c r="DQ26" s="689"/>
      <c r="DR26" s="689"/>
      <c r="DS26" s="689"/>
      <c r="DT26" s="689"/>
      <c r="DU26" s="689"/>
      <c r="DV26" s="689"/>
      <c r="DW26" s="689"/>
      <c r="DX26" s="689"/>
      <c r="DY26" s="689"/>
      <c r="DZ26" s="689"/>
      <c r="EA26" s="689"/>
      <c r="EB26" s="689"/>
      <c r="EC26" s="689"/>
      <c r="ED26" s="689"/>
      <c r="EE26" s="689"/>
      <c r="EF26" s="689"/>
      <c r="EG26" s="689"/>
      <c r="EH26" s="689"/>
      <c r="EI26" s="689"/>
      <c r="EJ26" s="16"/>
      <c r="EK26" s="16"/>
      <c r="EL26" s="16"/>
      <c r="EM26" s="16"/>
      <c r="EN26" s="19"/>
      <c r="EO26" s="19"/>
      <c r="EP26" s="19"/>
      <c r="EQ26" s="7"/>
      <c r="ER26" s="7"/>
      <c r="ES26" s="7"/>
      <c r="ET26" s="26"/>
      <c r="EU26" s="26"/>
      <c r="EV26" s="26"/>
      <c r="EW26" s="26"/>
      <c r="EX26" s="26"/>
      <c r="EY26" s="26"/>
      <c r="EZ26" s="26"/>
      <c r="FA26" s="25"/>
      <c r="FB26" s="25"/>
      <c r="FC26" s="25"/>
    </row>
    <row r="27" spans="1:159" ht="141" customHeight="1" thickTop="1" x14ac:dyDescent="0.2">
      <c r="A27" s="600" t="s">
        <v>29</v>
      </c>
      <c r="B27" s="603" t="s">
        <v>68</v>
      </c>
      <c r="C27" s="604" t="s">
        <v>69</v>
      </c>
      <c r="D27" s="604"/>
      <c r="E27" s="604"/>
      <c r="F27" s="604"/>
      <c r="G27" s="604"/>
      <c r="H27" s="604"/>
      <c r="I27" s="604"/>
      <c r="J27" s="604"/>
      <c r="K27" s="604"/>
      <c r="L27" s="604"/>
      <c r="M27" s="604"/>
      <c r="N27" s="604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5" t="s">
        <v>70</v>
      </c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7"/>
      <c r="BL27" s="607"/>
      <c r="BM27" s="607"/>
      <c r="BN27" s="608"/>
      <c r="BO27" s="609" t="s">
        <v>34</v>
      </c>
      <c r="BP27" s="610"/>
      <c r="BQ27" s="610"/>
      <c r="BR27" s="610"/>
      <c r="BS27" s="610"/>
      <c r="BT27" s="610"/>
      <c r="BU27" s="610"/>
      <c r="BV27" s="610"/>
      <c r="BW27" s="610"/>
      <c r="BX27" s="610"/>
      <c r="BY27" s="610"/>
      <c r="BZ27" s="610"/>
      <c r="CA27" s="610"/>
      <c r="CB27" s="610"/>
      <c r="CC27" s="610"/>
      <c r="CD27" s="610"/>
      <c r="CE27" s="610"/>
      <c r="CF27" s="610"/>
      <c r="CG27" s="610"/>
      <c r="CH27" s="610"/>
      <c r="CI27" s="610"/>
      <c r="CJ27" s="610"/>
      <c r="CK27" s="610"/>
      <c r="CL27" s="610"/>
      <c r="CM27" s="610"/>
      <c r="CN27" s="610"/>
      <c r="CO27" s="610"/>
      <c r="CP27" s="610"/>
      <c r="CQ27" s="610"/>
      <c r="CR27" s="610"/>
      <c r="CS27" s="610"/>
      <c r="CT27" s="610"/>
      <c r="CU27" s="610"/>
      <c r="CV27" s="610"/>
      <c r="CW27" s="610"/>
      <c r="CX27" s="610"/>
      <c r="CY27" s="610"/>
      <c r="CZ27" s="610"/>
      <c r="DA27" s="610"/>
      <c r="DB27" s="610"/>
      <c r="DC27" s="610"/>
      <c r="DD27" s="610"/>
      <c r="DE27" s="610"/>
      <c r="DF27" s="610"/>
      <c r="DG27" s="611"/>
      <c r="DH27" s="609" t="s">
        <v>35</v>
      </c>
      <c r="DI27" s="610"/>
      <c r="DJ27" s="610"/>
      <c r="DK27" s="610"/>
      <c r="DL27" s="610"/>
      <c r="DM27" s="610"/>
      <c r="DN27" s="610"/>
      <c r="DO27" s="610"/>
      <c r="DP27" s="610"/>
      <c r="DQ27" s="610"/>
      <c r="DR27" s="610"/>
      <c r="DS27" s="610"/>
      <c r="DT27" s="610"/>
      <c r="DU27" s="610"/>
      <c r="DV27" s="610"/>
      <c r="DW27" s="610"/>
      <c r="DX27" s="610"/>
      <c r="DY27" s="610"/>
      <c r="DZ27" s="610"/>
      <c r="EA27" s="610"/>
      <c r="EB27" s="610"/>
      <c r="EC27" s="610"/>
      <c r="ED27" s="610"/>
      <c r="EE27" s="610"/>
      <c r="EF27" s="610"/>
      <c r="EG27" s="610"/>
      <c r="EH27" s="610"/>
      <c r="EI27" s="610"/>
      <c r="EJ27" s="610"/>
      <c r="EK27" s="610"/>
      <c r="EL27" s="610"/>
      <c r="EM27" s="610"/>
      <c r="EN27" s="610"/>
      <c r="EO27" s="610"/>
      <c r="EP27" s="610"/>
      <c r="EQ27" s="610"/>
      <c r="ER27" s="610"/>
      <c r="ES27" s="610"/>
      <c r="ET27" s="610"/>
      <c r="EU27" s="610"/>
      <c r="EV27" s="610"/>
      <c r="EW27" s="610"/>
      <c r="EX27" s="610"/>
      <c r="EY27" s="610"/>
      <c r="EZ27" s="611"/>
      <c r="FA27" s="618" t="s">
        <v>40</v>
      </c>
      <c r="FB27" s="619"/>
      <c r="FC27" s="620"/>
    </row>
    <row r="28" spans="1:159" ht="55.5" customHeight="1" x14ac:dyDescent="0.2">
      <c r="A28" s="601"/>
      <c r="B28" s="400"/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328" t="s">
        <v>71</v>
      </c>
      <c r="AA28" s="329"/>
      <c r="AB28" s="329"/>
      <c r="AC28" s="329"/>
      <c r="AD28" s="329"/>
      <c r="AE28" s="329"/>
      <c r="AF28" s="330"/>
      <c r="AG28" s="328" t="s">
        <v>72</v>
      </c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  <c r="BE28" s="329"/>
      <c r="BF28" s="329"/>
      <c r="BG28" s="329"/>
      <c r="BH28" s="329"/>
      <c r="BI28" s="329"/>
      <c r="BJ28" s="329"/>
      <c r="BK28" s="427" t="s">
        <v>30</v>
      </c>
      <c r="BL28" s="427"/>
      <c r="BM28" s="427"/>
      <c r="BN28" s="622"/>
      <c r="BO28" s="598" t="s">
        <v>31</v>
      </c>
      <c r="BP28" s="334"/>
      <c r="BQ28" s="334"/>
      <c r="BR28" s="334"/>
      <c r="BS28" s="334"/>
      <c r="BT28" s="334"/>
      <c r="BU28" s="334"/>
      <c r="BV28" s="334"/>
      <c r="BW28" s="334"/>
      <c r="BX28" s="334"/>
      <c r="BY28" s="334" t="s">
        <v>32</v>
      </c>
      <c r="BZ28" s="334"/>
      <c r="CA28" s="334"/>
      <c r="CB28" s="334"/>
      <c r="CC28" s="334"/>
      <c r="CD28" s="334"/>
      <c r="CE28" s="334"/>
      <c r="CF28" s="334"/>
      <c r="CG28" s="334"/>
      <c r="CH28" s="334"/>
      <c r="CI28" s="334" t="s">
        <v>33</v>
      </c>
      <c r="CJ28" s="334"/>
      <c r="CK28" s="334"/>
      <c r="CL28" s="334"/>
      <c r="CM28" s="334"/>
      <c r="CN28" s="334"/>
      <c r="CO28" s="334"/>
      <c r="CP28" s="334"/>
      <c r="CQ28" s="334"/>
      <c r="CR28" s="334"/>
      <c r="CS28" s="334" t="s">
        <v>78</v>
      </c>
      <c r="CT28" s="334"/>
      <c r="CU28" s="334"/>
      <c r="CV28" s="334"/>
      <c r="CW28" s="334"/>
      <c r="CX28" s="334"/>
      <c r="CY28" s="334"/>
      <c r="CZ28" s="334"/>
      <c r="DA28" s="334"/>
      <c r="DB28" s="334"/>
      <c r="DC28" s="334" t="s">
        <v>166</v>
      </c>
      <c r="DD28" s="334"/>
      <c r="DE28" s="334"/>
      <c r="DF28" s="334"/>
      <c r="DG28" s="599"/>
      <c r="DH28" s="598" t="s">
        <v>31</v>
      </c>
      <c r="DI28" s="334"/>
      <c r="DJ28" s="334"/>
      <c r="DK28" s="334"/>
      <c r="DL28" s="334"/>
      <c r="DM28" s="334"/>
      <c r="DN28" s="334"/>
      <c r="DO28" s="334"/>
      <c r="DP28" s="334"/>
      <c r="DQ28" s="334"/>
      <c r="DR28" s="334" t="s">
        <v>32</v>
      </c>
      <c r="DS28" s="334"/>
      <c r="DT28" s="334"/>
      <c r="DU28" s="334"/>
      <c r="DV28" s="334"/>
      <c r="DW28" s="334"/>
      <c r="DX28" s="334"/>
      <c r="DY28" s="334"/>
      <c r="DZ28" s="334"/>
      <c r="EA28" s="334"/>
      <c r="EB28" s="334" t="s">
        <v>33</v>
      </c>
      <c r="EC28" s="334"/>
      <c r="ED28" s="334"/>
      <c r="EE28" s="334"/>
      <c r="EF28" s="334"/>
      <c r="EG28" s="334"/>
      <c r="EH28" s="334"/>
      <c r="EI28" s="334"/>
      <c r="EJ28" s="334"/>
      <c r="EK28" s="334"/>
      <c r="EL28" s="334" t="s">
        <v>78</v>
      </c>
      <c r="EM28" s="334"/>
      <c r="EN28" s="334"/>
      <c r="EO28" s="334"/>
      <c r="EP28" s="334"/>
      <c r="EQ28" s="334"/>
      <c r="ER28" s="334"/>
      <c r="ES28" s="334"/>
      <c r="ET28" s="334"/>
      <c r="EU28" s="334"/>
      <c r="EV28" s="334" t="s">
        <v>166</v>
      </c>
      <c r="EW28" s="334"/>
      <c r="EX28" s="334"/>
      <c r="EY28" s="334"/>
      <c r="EZ28" s="599"/>
      <c r="FA28" s="621"/>
      <c r="FB28" s="427"/>
      <c r="FC28" s="622"/>
    </row>
    <row r="29" spans="1:159" ht="63.75" x14ac:dyDescent="0.2">
      <c r="A29" s="601"/>
      <c r="B29" s="400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331"/>
      <c r="AA29" s="332"/>
      <c r="AB29" s="332"/>
      <c r="AC29" s="332"/>
      <c r="AD29" s="332"/>
      <c r="AE29" s="332"/>
      <c r="AF29" s="333"/>
      <c r="AG29" s="405" t="s">
        <v>22</v>
      </c>
      <c r="AH29" s="406"/>
      <c r="AI29" s="406"/>
      <c r="AJ29" s="406"/>
      <c r="AK29" s="407"/>
      <c r="AL29" s="405" t="s">
        <v>73</v>
      </c>
      <c r="AM29" s="406"/>
      <c r="AN29" s="406"/>
      <c r="AO29" s="406"/>
      <c r="AP29" s="407"/>
      <c r="AQ29" s="405" t="s">
        <v>74</v>
      </c>
      <c r="AR29" s="406"/>
      <c r="AS29" s="406"/>
      <c r="AT29" s="406"/>
      <c r="AU29" s="407"/>
      <c r="AV29" s="405" t="s">
        <v>75</v>
      </c>
      <c r="AW29" s="406"/>
      <c r="AX29" s="406"/>
      <c r="AY29" s="406"/>
      <c r="AZ29" s="407"/>
      <c r="BA29" s="405" t="s">
        <v>76</v>
      </c>
      <c r="BB29" s="406"/>
      <c r="BC29" s="406"/>
      <c r="BD29" s="406"/>
      <c r="BE29" s="407"/>
      <c r="BF29" s="405" t="s">
        <v>77</v>
      </c>
      <c r="BG29" s="406"/>
      <c r="BH29" s="406"/>
      <c r="BI29" s="406"/>
      <c r="BJ29" s="406"/>
      <c r="BK29" s="427"/>
      <c r="BL29" s="427"/>
      <c r="BM29" s="427"/>
      <c r="BN29" s="622"/>
      <c r="BO29" s="598" t="s">
        <v>36</v>
      </c>
      <c r="BP29" s="334"/>
      <c r="BQ29" s="334"/>
      <c r="BR29" s="334"/>
      <c r="BS29" s="334"/>
      <c r="BT29" s="334"/>
      <c r="BU29" s="334"/>
      <c r="BV29" s="334"/>
      <c r="BW29" s="334"/>
      <c r="BX29" s="334"/>
      <c r="BY29" s="334"/>
      <c r="BZ29" s="334"/>
      <c r="CA29" s="334"/>
      <c r="CB29" s="334"/>
      <c r="CC29" s="334"/>
      <c r="CD29" s="334"/>
      <c r="CE29" s="334"/>
      <c r="CF29" s="334"/>
      <c r="CG29" s="334"/>
      <c r="CH29" s="334"/>
      <c r="CI29" s="334"/>
      <c r="CJ29" s="334"/>
      <c r="CK29" s="334"/>
      <c r="CL29" s="334"/>
      <c r="CM29" s="334"/>
      <c r="CN29" s="334"/>
      <c r="CO29" s="334"/>
      <c r="CP29" s="334"/>
      <c r="CQ29" s="334"/>
      <c r="CR29" s="334"/>
      <c r="CS29" s="334"/>
      <c r="CT29" s="334"/>
      <c r="CU29" s="334"/>
      <c r="CV29" s="334"/>
      <c r="CW29" s="334"/>
      <c r="CX29" s="334"/>
      <c r="CY29" s="334"/>
      <c r="CZ29" s="334"/>
      <c r="DA29" s="334"/>
      <c r="DB29" s="334"/>
      <c r="DC29" s="334"/>
      <c r="DD29" s="334"/>
      <c r="DE29" s="334"/>
      <c r="DF29" s="334"/>
      <c r="DG29" s="599"/>
      <c r="DH29" s="598" t="s">
        <v>36</v>
      </c>
      <c r="DI29" s="334"/>
      <c r="DJ29" s="334"/>
      <c r="DK29" s="334"/>
      <c r="DL29" s="334"/>
      <c r="DM29" s="334"/>
      <c r="DN29" s="334"/>
      <c r="DO29" s="334"/>
      <c r="DP29" s="334"/>
      <c r="DQ29" s="334"/>
      <c r="DR29" s="334"/>
      <c r="DS29" s="334"/>
      <c r="DT29" s="334"/>
      <c r="DU29" s="334"/>
      <c r="DV29" s="334"/>
      <c r="DW29" s="334"/>
      <c r="DX29" s="334"/>
      <c r="DY29" s="334"/>
      <c r="DZ29" s="334"/>
      <c r="EA29" s="334"/>
      <c r="EB29" s="334"/>
      <c r="EC29" s="334"/>
      <c r="ED29" s="334"/>
      <c r="EE29" s="334"/>
      <c r="EF29" s="334"/>
      <c r="EG29" s="334"/>
      <c r="EH29" s="334"/>
      <c r="EI29" s="334"/>
      <c r="EJ29" s="334"/>
      <c r="EK29" s="334"/>
      <c r="EL29" s="334"/>
      <c r="EM29" s="334"/>
      <c r="EN29" s="334"/>
      <c r="EO29" s="334"/>
      <c r="EP29" s="334"/>
      <c r="EQ29" s="334"/>
      <c r="ER29" s="334"/>
      <c r="ES29" s="334"/>
      <c r="ET29" s="334"/>
      <c r="EU29" s="334"/>
      <c r="EV29" s="334"/>
      <c r="EW29" s="334"/>
      <c r="EX29" s="334"/>
      <c r="EY29" s="334"/>
      <c r="EZ29" s="599"/>
      <c r="FA29" s="621"/>
      <c r="FB29" s="427"/>
      <c r="FC29" s="622"/>
    </row>
    <row r="30" spans="1:159" ht="48.75" customHeight="1" x14ac:dyDescent="0.2">
      <c r="A30" s="601"/>
      <c r="B30" s="400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331"/>
      <c r="AA30" s="332"/>
      <c r="AB30" s="332"/>
      <c r="AC30" s="332"/>
      <c r="AD30" s="332"/>
      <c r="AE30" s="332"/>
      <c r="AF30" s="333"/>
      <c r="AG30" s="408"/>
      <c r="AH30" s="409"/>
      <c r="AI30" s="409"/>
      <c r="AJ30" s="409"/>
      <c r="AK30" s="410"/>
      <c r="AL30" s="408"/>
      <c r="AM30" s="409"/>
      <c r="AN30" s="409"/>
      <c r="AO30" s="409"/>
      <c r="AP30" s="410"/>
      <c r="AQ30" s="408"/>
      <c r="AR30" s="409"/>
      <c r="AS30" s="409"/>
      <c r="AT30" s="409"/>
      <c r="AU30" s="410"/>
      <c r="AV30" s="408"/>
      <c r="AW30" s="409"/>
      <c r="AX30" s="409"/>
      <c r="AY30" s="409"/>
      <c r="AZ30" s="410"/>
      <c r="BA30" s="408"/>
      <c r="BB30" s="409"/>
      <c r="BC30" s="409"/>
      <c r="BD30" s="409"/>
      <c r="BE30" s="410"/>
      <c r="BF30" s="408"/>
      <c r="BG30" s="409"/>
      <c r="BH30" s="409"/>
      <c r="BI30" s="409"/>
      <c r="BJ30" s="409"/>
      <c r="BK30" s="427"/>
      <c r="BL30" s="427"/>
      <c r="BM30" s="427"/>
      <c r="BN30" s="622"/>
      <c r="BO30" s="598">
        <v>30</v>
      </c>
      <c r="BP30" s="334"/>
      <c r="BQ30" s="334"/>
      <c r="BR30" s="334"/>
      <c r="BS30" s="334"/>
      <c r="BT30" s="334"/>
      <c r="BU30" s="334"/>
      <c r="BV30" s="334"/>
      <c r="BW30" s="334"/>
      <c r="BX30" s="334"/>
      <c r="BY30" s="334">
        <v>30</v>
      </c>
      <c r="BZ30" s="334"/>
      <c r="CA30" s="334"/>
      <c r="CB30" s="334"/>
      <c r="CC30" s="334"/>
      <c r="CD30" s="334"/>
      <c r="CE30" s="334"/>
      <c r="CF30" s="334"/>
      <c r="CG30" s="334"/>
      <c r="CH30" s="334"/>
      <c r="CI30" s="334">
        <v>30</v>
      </c>
      <c r="CJ30" s="334"/>
      <c r="CK30" s="334"/>
      <c r="CL30" s="334"/>
      <c r="CM30" s="334"/>
      <c r="CN30" s="334"/>
      <c r="CO30" s="334"/>
      <c r="CP30" s="334"/>
      <c r="CQ30" s="334"/>
      <c r="CR30" s="334"/>
      <c r="CS30" s="334">
        <v>30</v>
      </c>
      <c r="CT30" s="334"/>
      <c r="CU30" s="334"/>
      <c r="CV30" s="334"/>
      <c r="CW30" s="334"/>
      <c r="CX30" s="334"/>
      <c r="CY30" s="334"/>
      <c r="CZ30" s="334"/>
      <c r="DA30" s="334"/>
      <c r="DB30" s="334"/>
      <c r="DC30" s="334">
        <v>15</v>
      </c>
      <c r="DD30" s="334"/>
      <c r="DE30" s="334"/>
      <c r="DF30" s="334"/>
      <c r="DG30" s="599"/>
      <c r="DH30" s="598">
        <v>30</v>
      </c>
      <c r="DI30" s="334"/>
      <c r="DJ30" s="334"/>
      <c r="DK30" s="334"/>
      <c r="DL30" s="334"/>
      <c r="DM30" s="334"/>
      <c r="DN30" s="334"/>
      <c r="DO30" s="334"/>
      <c r="DP30" s="334"/>
      <c r="DQ30" s="334"/>
      <c r="DR30" s="334">
        <v>30</v>
      </c>
      <c r="DS30" s="334"/>
      <c r="DT30" s="334"/>
      <c r="DU30" s="334"/>
      <c r="DV30" s="334"/>
      <c r="DW30" s="334"/>
      <c r="DX30" s="334"/>
      <c r="DY30" s="334"/>
      <c r="DZ30" s="334"/>
      <c r="EA30" s="334"/>
      <c r="EB30" s="334">
        <v>30</v>
      </c>
      <c r="EC30" s="334"/>
      <c r="ED30" s="334"/>
      <c r="EE30" s="334"/>
      <c r="EF30" s="334"/>
      <c r="EG30" s="334"/>
      <c r="EH30" s="334"/>
      <c r="EI30" s="334"/>
      <c r="EJ30" s="334"/>
      <c r="EK30" s="334"/>
      <c r="EL30" s="334">
        <v>30</v>
      </c>
      <c r="EM30" s="334"/>
      <c r="EN30" s="334"/>
      <c r="EO30" s="334"/>
      <c r="EP30" s="334"/>
      <c r="EQ30" s="334"/>
      <c r="ER30" s="334"/>
      <c r="ES30" s="334"/>
      <c r="ET30" s="334"/>
      <c r="EU30" s="334"/>
      <c r="EV30" s="334">
        <v>15</v>
      </c>
      <c r="EW30" s="334"/>
      <c r="EX30" s="334"/>
      <c r="EY30" s="334"/>
      <c r="EZ30" s="599"/>
      <c r="FA30" s="621"/>
      <c r="FB30" s="427"/>
      <c r="FC30" s="622"/>
    </row>
    <row r="31" spans="1:159" ht="63.75" x14ac:dyDescent="0.2">
      <c r="A31" s="601"/>
      <c r="B31" s="400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331"/>
      <c r="AA31" s="332"/>
      <c r="AB31" s="332"/>
      <c r="AC31" s="332"/>
      <c r="AD31" s="332"/>
      <c r="AE31" s="332"/>
      <c r="AF31" s="333"/>
      <c r="AG31" s="408"/>
      <c r="AH31" s="409"/>
      <c r="AI31" s="409"/>
      <c r="AJ31" s="409"/>
      <c r="AK31" s="410"/>
      <c r="AL31" s="408"/>
      <c r="AM31" s="409"/>
      <c r="AN31" s="409"/>
      <c r="AO31" s="409"/>
      <c r="AP31" s="410"/>
      <c r="AQ31" s="408"/>
      <c r="AR31" s="409"/>
      <c r="AS31" s="409"/>
      <c r="AT31" s="409"/>
      <c r="AU31" s="410"/>
      <c r="AV31" s="408"/>
      <c r="AW31" s="409"/>
      <c r="AX31" s="409"/>
      <c r="AY31" s="409"/>
      <c r="AZ31" s="410"/>
      <c r="BA31" s="408"/>
      <c r="BB31" s="409"/>
      <c r="BC31" s="409"/>
      <c r="BD31" s="409"/>
      <c r="BE31" s="410"/>
      <c r="BF31" s="408"/>
      <c r="BG31" s="409"/>
      <c r="BH31" s="409"/>
      <c r="BI31" s="409"/>
      <c r="BJ31" s="409"/>
      <c r="BK31" s="427"/>
      <c r="BL31" s="427"/>
      <c r="BM31" s="427"/>
      <c r="BN31" s="622"/>
      <c r="BO31" s="598" t="s">
        <v>37</v>
      </c>
      <c r="BP31" s="334"/>
      <c r="BQ31" s="334"/>
      <c r="BR31" s="334"/>
      <c r="BS31" s="334"/>
      <c r="BT31" s="334"/>
      <c r="BU31" s="334"/>
      <c r="BV31" s="334"/>
      <c r="BW31" s="334"/>
      <c r="BX31" s="334"/>
      <c r="BY31" s="334"/>
      <c r="BZ31" s="334"/>
      <c r="CA31" s="334"/>
      <c r="CB31" s="334"/>
      <c r="CC31" s="334"/>
      <c r="CD31" s="334"/>
      <c r="CE31" s="334"/>
      <c r="CF31" s="334"/>
      <c r="CG31" s="334"/>
      <c r="CH31" s="334"/>
      <c r="CI31" s="334"/>
      <c r="CJ31" s="334"/>
      <c r="CK31" s="334"/>
      <c r="CL31" s="334"/>
      <c r="CM31" s="334"/>
      <c r="CN31" s="334"/>
      <c r="CO31" s="334"/>
      <c r="CP31" s="334"/>
      <c r="CQ31" s="334"/>
      <c r="CR31" s="334"/>
      <c r="CS31" s="334"/>
      <c r="CT31" s="334"/>
      <c r="CU31" s="334"/>
      <c r="CV31" s="334"/>
      <c r="CW31" s="334"/>
      <c r="CX31" s="334"/>
      <c r="CY31" s="334"/>
      <c r="CZ31" s="334"/>
      <c r="DA31" s="334"/>
      <c r="DB31" s="334"/>
      <c r="DC31" s="334"/>
      <c r="DD31" s="334"/>
      <c r="DE31" s="334"/>
      <c r="DF31" s="334"/>
      <c r="DG31" s="599"/>
      <c r="DH31" s="598" t="s">
        <v>37</v>
      </c>
      <c r="DI31" s="334"/>
      <c r="DJ31" s="334"/>
      <c r="DK31" s="334"/>
      <c r="DL31" s="334"/>
      <c r="DM31" s="334"/>
      <c r="DN31" s="334"/>
      <c r="DO31" s="334"/>
      <c r="DP31" s="334"/>
      <c r="DQ31" s="334"/>
      <c r="DR31" s="334"/>
      <c r="DS31" s="334"/>
      <c r="DT31" s="334"/>
      <c r="DU31" s="334"/>
      <c r="DV31" s="334"/>
      <c r="DW31" s="334"/>
      <c r="DX31" s="334"/>
      <c r="DY31" s="334"/>
      <c r="DZ31" s="334"/>
      <c r="EA31" s="334"/>
      <c r="EB31" s="334"/>
      <c r="EC31" s="334"/>
      <c r="ED31" s="334"/>
      <c r="EE31" s="334"/>
      <c r="EF31" s="334"/>
      <c r="EG31" s="334"/>
      <c r="EH31" s="334"/>
      <c r="EI31" s="334"/>
      <c r="EJ31" s="334"/>
      <c r="EK31" s="334"/>
      <c r="EL31" s="334"/>
      <c r="EM31" s="334"/>
      <c r="EN31" s="334"/>
      <c r="EO31" s="334"/>
      <c r="EP31" s="334"/>
      <c r="EQ31" s="334"/>
      <c r="ER31" s="334"/>
      <c r="ES31" s="334"/>
      <c r="ET31" s="334"/>
      <c r="EU31" s="334"/>
      <c r="EV31" s="334"/>
      <c r="EW31" s="334"/>
      <c r="EX31" s="334"/>
      <c r="EY31" s="334"/>
      <c r="EZ31" s="599"/>
      <c r="FA31" s="621"/>
      <c r="FB31" s="427"/>
      <c r="FC31" s="622"/>
    </row>
    <row r="32" spans="1:159" ht="55.5" customHeight="1" x14ac:dyDescent="0.2">
      <c r="A32" s="601"/>
      <c r="B32" s="400"/>
      <c r="C32" s="414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331"/>
      <c r="AA32" s="332"/>
      <c r="AB32" s="332"/>
      <c r="AC32" s="332"/>
      <c r="AD32" s="332"/>
      <c r="AE32" s="332"/>
      <c r="AF32" s="333"/>
      <c r="AG32" s="408"/>
      <c r="AH32" s="409"/>
      <c r="AI32" s="409"/>
      <c r="AJ32" s="409"/>
      <c r="AK32" s="410"/>
      <c r="AL32" s="408"/>
      <c r="AM32" s="409"/>
      <c r="AN32" s="409"/>
      <c r="AO32" s="409"/>
      <c r="AP32" s="410"/>
      <c r="AQ32" s="408"/>
      <c r="AR32" s="409"/>
      <c r="AS32" s="409"/>
      <c r="AT32" s="409"/>
      <c r="AU32" s="410"/>
      <c r="AV32" s="408"/>
      <c r="AW32" s="409"/>
      <c r="AX32" s="409"/>
      <c r="AY32" s="409"/>
      <c r="AZ32" s="410"/>
      <c r="BA32" s="408"/>
      <c r="BB32" s="409"/>
      <c r="BC32" s="409"/>
      <c r="BD32" s="409"/>
      <c r="BE32" s="410"/>
      <c r="BF32" s="408"/>
      <c r="BG32" s="409"/>
      <c r="BH32" s="409"/>
      <c r="BI32" s="409"/>
      <c r="BJ32" s="409"/>
      <c r="BK32" s="427"/>
      <c r="BL32" s="427"/>
      <c r="BM32" s="427"/>
      <c r="BN32" s="622"/>
      <c r="BO32" s="598">
        <v>1</v>
      </c>
      <c r="BP32" s="334"/>
      <c r="BQ32" s="334"/>
      <c r="BR32" s="334"/>
      <c r="BS32" s="334"/>
      <c r="BT32" s="334">
        <v>2</v>
      </c>
      <c r="BU32" s="334"/>
      <c r="BV32" s="334"/>
      <c r="BW32" s="334"/>
      <c r="BX32" s="334"/>
      <c r="BY32" s="334">
        <v>3</v>
      </c>
      <c r="BZ32" s="334"/>
      <c r="CA32" s="334"/>
      <c r="CB32" s="334"/>
      <c r="CC32" s="334"/>
      <c r="CD32" s="334">
        <v>4</v>
      </c>
      <c r="CE32" s="334"/>
      <c r="CF32" s="334"/>
      <c r="CG32" s="334"/>
      <c r="CH32" s="334"/>
      <c r="CI32" s="334">
        <v>5</v>
      </c>
      <c r="CJ32" s="334"/>
      <c r="CK32" s="334"/>
      <c r="CL32" s="334"/>
      <c r="CM32" s="334"/>
      <c r="CN32" s="334">
        <v>6</v>
      </c>
      <c r="CO32" s="334"/>
      <c r="CP32" s="334"/>
      <c r="CQ32" s="334"/>
      <c r="CR32" s="334"/>
      <c r="CS32" s="334">
        <v>7</v>
      </c>
      <c r="CT32" s="334"/>
      <c r="CU32" s="334"/>
      <c r="CV32" s="334"/>
      <c r="CW32" s="334"/>
      <c r="CX32" s="334">
        <v>8</v>
      </c>
      <c r="CY32" s="334"/>
      <c r="CZ32" s="334"/>
      <c r="DA32" s="334"/>
      <c r="DB32" s="334"/>
      <c r="DC32" s="334">
        <v>9</v>
      </c>
      <c r="DD32" s="334"/>
      <c r="DE32" s="334"/>
      <c r="DF32" s="334"/>
      <c r="DG32" s="599"/>
      <c r="DH32" s="598">
        <v>1</v>
      </c>
      <c r="DI32" s="334"/>
      <c r="DJ32" s="334"/>
      <c r="DK32" s="334"/>
      <c r="DL32" s="334"/>
      <c r="DM32" s="334">
        <v>2</v>
      </c>
      <c r="DN32" s="334"/>
      <c r="DO32" s="334"/>
      <c r="DP32" s="334"/>
      <c r="DQ32" s="334"/>
      <c r="DR32" s="334">
        <v>3</v>
      </c>
      <c r="DS32" s="334"/>
      <c r="DT32" s="334"/>
      <c r="DU32" s="334"/>
      <c r="DV32" s="334"/>
      <c r="DW32" s="334">
        <v>4</v>
      </c>
      <c r="DX32" s="334"/>
      <c r="DY32" s="334"/>
      <c r="DZ32" s="334"/>
      <c r="EA32" s="334"/>
      <c r="EB32" s="334">
        <v>5</v>
      </c>
      <c r="EC32" s="334"/>
      <c r="ED32" s="334"/>
      <c r="EE32" s="334"/>
      <c r="EF32" s="334"/>
      <c r="EG32" s="334">
        <v>6</v>
      </c>
      <c r="EH32" s="334"/>
      <c r="EI32" s="334"/>
      <c r="EJ32" s="334"/>
      <c r="EK32" s="334"/>
      <c r="EL32" s="334">
        <v>7</v>
      </c>
      <c r="EM32" s="334"/>
      <c r="EN32" s="334"/>
      <c r="EO32" s="334"/>
      <c r="EP32" s="334"/>
      <c r="EQ32" s="334">
        <v>8</v>
      </c>
      <c r="ER32" s="334"/>
      <c r="ES32" s="334"/>
      <c r="ET32" s="334"/>
      <c r="EU32" s="334"/>
      <c r="EV32" s="334">
        <v>9</v>
      </c>
      <c r="EW32" s="334"/>
      <c r="EX32" s="334"/>
      <c r="EY32" s="334"/>
      <c r="EZ32" s="599"/>
      <c r="FA32" s="621"/>
      <c r="FB32" s="427"/>
      <c r="FC32" s="622"/>
    </row>
    <row r="33" spans="1:160" ht="63.75" x14ac:dyDescent="0.2">
      <c r="A33" s="601"/>
      <c r="B33" s="400"/>
      <c r="C33" s="414"/>
      <c r="D33" s="414"/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331"/>
      <c r="AA33" s="332"/>
      <c r="AB33" s="332"/>
      <c r="AC33" s="332"/>
      <c r="AD33" s="332"/>
      <c r="AE33" s="332"/>
      <c r="AF33" s="333"/>
      <c r="AG33" s="408"/>
      <c r="AH33" s="409"/>
      <c r="AI33" s="409"/>
      <c r="AJ33" s="409"/>
      <c r="AK33" s="410"/>
      <c r="AL33" s="408"/>
      <c r="AM33" s="409"/>
      <c r="AN33" s="409"/>
      <c r="AO33" s="409"/>
      <c r="AP33" s="410"/>
      <c r="AQ33" s="408"/>
      <c r="AR33" s="409"/>
      <c r="AS33" s="409"/>
      <c r="AT33" s="409"/>
      <c r="AU33" s="410"/>
      <c r="AV33" s="408"/>
      <c r="AW33" s="409"/>
      <c r="AX33" s="409"/>
      <c r="AY33" s="409"/>
      <c r="AZ33" s="410"/>
      <c r="BA33" s="408"/>
      <c r="BB33" s="409"/>
      <c r="BC33" s="409"/>
      <c r="BD33" s="409"/>
      <c r="BE33" s="410"/>
      <c r="BF33" s="408"/>
      <c r="BG33" s="409"/>
      <c r="BH33" s="409"/>
      <c r="BI33" s="409"/>
      <c r="BJ33" s="409"/>
      <c r="BK33" s="427"/>
      <c r="BL33" s="427"/>
      <c r="BM33" s="427"/>
      <c r="BN33" s="622"/>
      <c r="BO33" s="598" t="s">
        <v>38</v>
      </c>
      <c r="BP33" s="334"/>
      <c r="BQ33" s="334"/>
      <c r="BR33" s="334"/>
      <c r="BS33" s="334"/>
      <c r="BT33" s="334"/>
      <c r="BU33" s="334"/>
      <c r="BV33" s="334"/>
      <c r="BW33" s="334"/>
      <c r="BX33" s="334"/>
      <c r="BY33" s="334"/>
      <c r="BZ33" s="334"/>
      <c r="CA33" s="334"/>
      <c r="CB33" s="334"/>
      <c r="CC33" s="334"/>
      <c r="CD33" s="334"/>
      <c r="CE33" s="334"/>
      <c r="CF33" s="334"/>
      <c r="CG33" s="334"/>
      <c r="CH33" s="334"/>
      <c r="CI33" s="334"/>
      <c r="CJ33" s="334"/>
      <c r="CK33" s="334"/>
      <c r="CL33" s="334"/>
      <c r="CM33" s="334"/>
      <c r="CN33" s="334"/>
      <c r="CO33" s="334"/>
      <c r="CP33" s="334"/>
      <c r="CQ33" s="334"/>
      <c r="CR33" s="334"/>
      <c r="CS33" s="334"/>
      <c r="CT33" s="334"/>
      <c r="CU33" s="334"/>
      <c r="CV33" s="334"/>
      <c r="CW33" s="334"/>
      <c r="CX33" s="334"/>
      <c r="CY33" s="334"/>
      <c r="CZ33" s="334"/>
      <c r="DA33" s="334"/>
      <c r="DB33" s="334"/>
      <c r="DC33" s="334"/>
      <c r="DD33" s="334"/>
      <c r="DE33" s="334"/>
      <c r="DF33" s="334"/>
      <c r="DG33" s="599"/>
      <c r="DH33" s="598" t="s">
        <v>39</v>
      </c>
      <c r="DI33" s="334"/>
      <c r="DJ33" s="334"/>
      <c r="DK33" s="334"/>
      <c r="DL33" s="334"/>
      <c r="DM33" s="334"/>
      <c r="DN33" s="334"/>
      <c r="DO33" s="334"/>
      <c r="DP33" s="334"/>
      <c r="DQ33" s="334"/>
      <c r="DR33" s="334"/>
      <c r="DS33" s="334"/>
      <c r="DT33" s="334"/>
      <c r="DU33" s="334"/>
      <c r="DV33" s="334"/>
      <c r="DW33" s="334"/>
      <c r="DX33" s="334"/>
      <c r="DY33" s="334"/>
      <c r="DZ33" s="334"/>
      <c r="EA33" s="334"/>
      <c r="EB33" s="334"/>
      <c r="EC33" s="334"/>
      <c r="ED33" s="334"/>
      <c r="EE33" s="334"/>
      <c r="EF33" s="334"/>
      <c r="EG33" s="334"/>
      <c r="EH33" s="334"/>
      <c r="EI33" s="334"/>
      <c r="EJ33" s="334"/>
      <c r="EK33" s="334"/>
      <c r="EL33" s="334"/>
      <c r="EM33" s="334"/>
      <c r="EN33" s="334"/>
      <c r="EO33" s="334"/>
      <c r="EP33" s="334"/>
      <c r="EQ33" s="334"/>
      <c r="ER33" s="334"/>
      <c r="ES33" s="334"/>
      <c r="ET33" s="334"/>
      <c r="EU33" s="334"/>
      <c r="EV33" s="334"/>
      <c r="EW33" s="334"/>
      <c r="EX33" s="334"/>
      <c r="EY33" s="334"/>
      <c r="EZ33" s="599"/>
      <c r="FA33" s="621"/>
      <c r="FB33" s="427"/>
      <c r="FC33" s="622"/>
    </row>
    <row r="34" spans="1:160" ht="63.75" x14ac:dyDescent="0.2">
      <c r="A34" s="602"/>
      <c r="B34" s="401"/>
      <c r="C34" s="414"/>
      <c r="D34" s="414"/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334" t="s">
        <v>79</v>
      </c>
      <c r="AA34" s="334"/>
      <c r="AB34" s="334"/>
      <c r="AC34" s="334"/>
      <c r="AD34" s="334" t="s">
        <v>80</v>
      </c>
      <c r="AE34" s="334"/>
      <c r="AF34" s="334"/>
      <c r="AG34" s="411"/>
      <c r="AH34" s="412"/>
      <c r="AI34" s="412"/>
      <c r="AJ34" s="412"/>
      <c r="AK34" s="413"/>
      <c r="AL34" s="411"/>
      <c r="AM34" s="412"/>
      <c r="AN34" s="412"/>
      <c r="AO34" s="412"/>
      <c r="AP34" s="413"/>
      <c r="AQ34" s="411"/>
      <c r="AR34" s="412"/>
      <c r="AS34" s="412"/>
      <c r="AT34" s="412"/>
      <c r="AU34" s="413"/>
      <c r="AV34" s="411"/>
      <c r="AW34" s="412"/>
      <c r="AX34" s="412"/>
      <c r="AY34" s="412"/>
      <c r="AZ34" s="413"/>
      <c r="BA34" s="411"/>
      <c r="BB34" s="412"/>
      <c r="BC34" s="412"/>
      <c r="BD34" s="412"/>
      <c r="BE34" s="413"/>
      <c r="BF34" s="411"/>
      <c r="BG34" s="412"/>
      <c r="BH34" s="412"/>
      <c r="BI34" s="412"/>
      <c r="BJ34" s="412"/>
      <c r="BK34" s="427"/>
      <c r="BL34" s="427"/>
      <c r="BM34" s="427"/>
      <c r="BN34" s="622"/>
      <c r="BO34" s="598">
        <v>15</v>
      </c>
      <c r="BP34" s="334"/>
      <c r="BQ34" s="334"/>
      <c r="BR34" s="334"/>
      <c r="BS34" s="334"/>
      <c r="BT34" s="334">
        <v>15</v>
      </c>
      <c r="BU34" s="334"/>
      <c r="BV34" s="334"/>
      <c r="BW34" s="334"/>
      <c r="BX34" s="334"/>
      <c r="BY34" s="334">
        <v>15</v>
      </c>
      <c r="BZ34" s="334"/>
      <c r="CA34" s="334"/>
      <c r="CB34" s="334"/>
      <c r="CC34" s="334"/>
      <c r="CD34" s="334">
        <v>15</v>
      </c>
      <c r="CE34" s="334"/>
      <c r="CF34" s="334"/>
      <c r="CG34" s="334"/>
      <c r="CH34" s="334"/>
      <c r="CI34" s="334">
        <v>15</v>
      </c>
      <c r="CJ34" s="334"/>
      <c r="CK34" s="334"/>
      <c r="CL34" s="334"/>
      <c r="CM34" s="334"/>
      <c r="CN34" s="334">
        <v>15</v>
      </c>
      <c r="CO34" s="334"/>
      <c r="CP34" s="334"/>
      <c r="CQ34" s="334"/>
      <c r="CR34" s="334"/>
      <c r="CS34" s="334">
        <v>15</v>
      </c>
      <c r="CT34" s="334"/>
      <c r="CU34" s="334"/>
      <c r="CV34" s="334"/>
      <c r="CW34" s="334"/>
      <c r="CX34" s="334">
        <v>15</v>
      </c>
      <c r="CY34" s="334"/>
      <c r="CZ34" s="334"/>
      <c r="DA34" s="334"/>
      <c r="DB34" s="334"/>
      <c r="DC34" s="334">
        <v>15</v>
      </c>
      <c r="DD34" s="334"/>
      <c r="DE34" s="334"/>
      <c r="DF34" s="334"/>
      <c r="DG34" s="599"/>
      <c r="DH34" s="598">
        <f>DH86</f>
        <v>30</v>
      </c>
      <c r="DI34" s="334"/>
      <c r="DJ34" s="334"/>
      <c r="DK34" s="334"/>
      <c r="DL34" s="334"/>
      <c r="DM34" s="418">
        <f t="shared" ref="DM34" si="9">DM86</f>
        <v>30</v>
      </c>
      <c r="DN34" s="334"/>
      <c r="DO34" s="334"/>
      <c r="DP34" s="334"/>
      <c r="DQ34" s="334"/>
      <c r="DR34" s="418">
        <f t="shared" ref="DR34" si="10">DR86</f>
        <v>23</v>
      </c>
      <c r="DS34" s="334"/>
      <c r="DT34" s="334"/>
      <c r="DU34" s="334"/>
      <c r="DV34" s="334"/>
      <c r="DW34" s="418">
        <f t="shared" ref="DW34" si="11">DW86</f>
        <v>27</v>
      </c>
      <c r="DX34" s="334"/>
      <c r="DY34" s="334"/>
      <c r="DZ34" s="334"/>
      <c r="EA34" s="334"/>
      <c r="EB34" s="418">
        <f t="shared" ref="EB34" si="12">EB86</f>
        <v>27</v>
      </c>
      <c r="EC34" s="334"/>
      <c r="ED34" s="334"/>
      <c r="EE34" s="334"/>
      <c r="EF34" s="334"/>
      <c r="EG34" s="418">
        <f t="shared" ref="EG34" si="13">EG86</f>
        <v>27</v>
      </c>
      <c r="EH34" s="334"/>
      <c r="EI34" s="334"/>
      <c r="EJ34" s="334"/>
      <c r="EK34" s="334"/>
      <c r="EL34" s="418">
        <f t="shared" ref="EL34" si="14">EL86</f>
        <v>27</v>
      </c>
      <c r="EM34" s="334"/>
      <c r="EN34" s="334"/>
      <c r="EO34" s="334"/>
      <c r="EP34" s="334"/>
      <c r="EQ34" s="418">
        <f t="shared" ref="EQ34" si="15">EQ86</f>
        <v>28</v>
      </c>
      <c r="ER34" s="334"/>
      <c r="ES34" s="334"/>
      <c r="ET34" s="334"/>
      <c r="EU34" s="334"/>
      <c r="EV34" s="418">
        <f t="shared" ref="EV34" si="16">EV86</f>
        <v>21</v>
      </c>
      <c r="EW34" s="334"/>
      <c r="EX34" s="334"/>
      <c r="EY34" s="334"/>
      <c r="EZ34" s="599"/>
      <c r="FA34" s="623">
        <f>DH34+DM34+DR34+DW34+EB34+EL34+EG34+EQ34+EV34</f>
        <v>240</v>
      </c>
      <c r="FB34" s="431"/>
      <c r="FC34" s="624"/>
    </row>
    <row r="35" spans="1:160" ht="69" x14ac:dyDescent="0.2">
      <c r="A35" s="104">
        <v>1</v>
      </c>
      <c r="B35" s="103"/>
      <c r="C35" s="423">
        <v>2</v>
      </c>
      <c r="D35" s="425"/>
      <c r="E35" s="425"/>
      <c r="F35" s="425"/>
      <c r="G35" s="425"/>
      <c r="H35" s="425"/>
      <c r="I35" s="425"/>
      <c r="J35" s="425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  <c r="V35" s="425"/>
      <c r="W35" s="425"/>
      <c r="X35" s="425"/>
      <c r="Y35" s="380"/>
      <c r="Z35" s="429">
        <v>3</v>
      </c>
      <c r="AA35" s="429"/>
      <c r="AB35" s="429"/>
      <c r="AC35" s="429"/>
      <c r="AD35" s="415">
        <v>4</v>
      </c>
      <c r="AE35" s="416"/>
      <c r="AF35" s="417"/>
      <c r="AG35" s="415">
        <v>5</v>
      </c>
      <c r="AH35" s="416"/>
      <c r="AI35" s="416"/>
      <c r="AJ35" s="416"/>
      <c r="AK35" s="417"/>
      <c r="AL35" s="415">
        <v>6</v>
      </c>
      <c r="AM35" s="416"/>
      <c r="AN35" s="416"/>
      <c r="AO35" s="416"/>
      <c r="AP35" s="417"/>
      <c r="AQ35" s="415">
        <v>7</v>
      </c>
      <c r="AR35" s="416"/>
      <c r="AS35" s="416"/>
      <c r="AT35" s="416"/>
      <c r="AU35" s="417"/>
      <c r="AV35" s="415">
        <v>8</v>
      </c>
      <c r="AW35" s="416"/>
      <c r="AX35" s="416"/>
      <c r="AY35" s="416"/>
      <c r="AZ35" s="417"/>
      <c r="BA35" s="415">
        <v>9</v>
      </c>
      <c r="BB35" s="416"/>
      <c r="BC35" s="416"/>
      <c r="BD35" s="416"/>
      <c r="BE35" s="417"/>
      <c r="BF35" s="415">
        <v>10</v>
      </c>
      <c r="BG35" s="416"/>
      <c r="BH35" s="416"/>
      <c r="BI35" s="416"/>
      <c r="BJ35" s="417"/>
      <c r="BK35" s="613">
        <v>11</v>
      </c>
      <c r="BL35" s="614"/>
      <c r="BM35" s="614"/>
      <c r="BN35" s="615"/>
      <c r="BO35" s="616">
        <v>12</v>
      </c>
      <c r="BP35" s="617"/>
      <c r="BQ35" s="617"/>
      <c r="BR35" s="617"/>
      <c r="BS35" s="617"/>
      <c r="BT35" s="617">
        <v>13</v>
      </c>
      <c r="BU35" s="617"/>
      <c r="BV35" s="617"/>
      <c r="BW35" s="617"/>
      <c r="BX35" s="617"/>
      <c r="BY35" s="617">
        <v>14</v>
      </c>
      <c r="BZ35" s="617"/>
      <c r="CA35" s="617"/>
      <c r="CB35" s="617"/>
      <c r="CC35" s="617"/>
      <c r="CD35" s="617">
        <v>15</v>
      </c>
      <c r="CE35" s="617"/>
      <c r="CF35" s="617"/>
      <c r="CG35" s="617"/>
      <c r="CH35" s="617"/>
      <c r="CI35" s="617">
        <v>16</v>
      </c>
      <c r="CJ35" s="617"/>
      <c r="CK35" s="617"/>
      <c r="CL35" s="617"/>
      <c r="CM35" s="617"/>
      <c r="CN35" s="617">
        <v>17</v>
      </c>
      <c r="CO35" s="617"/>
      <c r="CP35" s="617"/>
      <c r="CQ35" s="617"/>
      <c r="CR35" s="617"/>
      <c r="CS35" s="617">
        <v>18</v>
      </c>
      <c r="CT35" s="617"/>
      <c r="CU35" s="617"/>
      <c r="CV35" s="617"/>
      <c r="CW35" s="617"/>
      <c r="CX35" s="617">
        <v>19</v>
      </c>
      <c r="CY35" s="617"/>
      <c r="CZ35" s="617"/>
      <c r="DA35" s="617"/>
      <c r="DB35" s="617"/>
      <c r="DC35" s="617">
        <v>20</v>
      </c>
      <c r="DD35" s="617"/>
      <c r="DE35" s="617"/>
      <c r="DF35" s="617"/>
      <c r="DG35" s="625"/>
      <c r="DH35" s="616">
        <v>21</v>
      </c>
      <c r="DI35" s="617"/>
      <c r="DJ35" s="617"/>
      <c r="DK35" s="617"/>
      <c r="DL35" s="617"/>
      <c r="DM35" s="617">
        <v>22</v>
      </c>
      <c r="DN35" s="617"/>
      <c r="DO35" s="617"/>
      <c r="DP35" s="617"/>
      <c r="DQ35" s="617"/>
      <c r="DR35" s="617">
        <v>23</v>
      </c>
      <c r="DS35" s="617"/>
      <c r="DT35" s="617"/>
      <c r="DU35" s="617"/>
      <c r="DV35" s="617"/>
      <c r="DW35" s="617">
        <v>24</v>
      </c>
      <c r="DX35" s="617"/>
      <c r="DY35" s="617"/>
      <c r="DZ35" s="617"/>
      <c r="EA35" s="617"/>
      <c r="EB35" s="617">
        <v>25</v>
      </c>
      <c r="EC35" s="617"/>
      <c r="ED35" s="617"/>
      <c r="EE35" s="617"/>
      <c r="EF35" s="617"/>
      <c r="EG35" s="617">
        <v>26</v>
      </c>
      <c r="EH35" s="617"/>
      <c r="EI35" s="617"/>
      <c r="EJ35" s="617"/>
      <c r="EK35" s="617"/>
      <c r="EL35" s="617">
        <v>27</v>
      </c>
      <c r="EM35" s="617"/>
      <c r="EN35" s="617"/>
      <c r="EO35" s="617"/>
      <c r="EP35" s="617"/>
      <c r="EQ35" s="617">
        <v>28</v>
      </c>
      <c r="ER35" s="617"/>
      <c r="ES35" s="617"/>
      <c r="ET35" s="617"/>
      <c r="EU35" s="617"/>
      <c r="EV35" s="617">
        <v>29</v>
      </c>
      <c r="EW35" s="617"/>
      <c r="EX35" s="617"/>
      <c r="EY35" s="617"/>
      <c r="EZ35" s="625"/>
      <c r="FA35" s="626">
        <v>30</v>
      </c>
      <c r="FB35" s="260"/>
      <c r="FC35" s="627"/>
    </row>
    <row r="36" spans="1:160" ht="60.75" x14ac:dyDescent="0.2">
      <c r="A36" s="138" t="s">
        <v>95</v>
      </c>
      <c r="B36" s="102"/>
      <c r="C36" s="424" t="s">
        <v>41</v>
      </c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326">
        <f>SUM(Z37:AC58)</f>
        <v>4500</v>
      </c>
      <c r="AA36" s="326"/>
      <c r="AB36" s="326"/>
      <c r="AC36" s="326"/>
      <c r="AD36" s="362">
        <f>Z36/$Z$86*100</f>
        <v>62.5</v>
      </c>
      <c r="AE36" s="362"/>
      <c r="AF36" s="362"/>
      <c r="AG36" s="335">
        <f>SUM(AG37:AK58)</f>
        <v>1778</v>
      </c>
      <c r="AH36" s="336"/>
      <c r="AI36" s="336"/>
      <c r="AJ36" s="336"/>
      <c r="AK36" s="337"/>
      <c r="AL36" s="335">
        <f>SUM(AL37:AP58)</f>
        <v>578</v>
      </c>
      <c r="AM36" s="336"/>
      <c r="AN36" s="336"/>
      <c r="AO36" s="336"/>
      <c r="AP36" s="337"/>
      <c r="AQ36" s="335">
        <f>SUM(AQ37:AU58)</f>
        <v>946</v>
      </c>
      <c r="AR36" s="336"/>
      <c r="AS36" s="336"/>
      <c r="AT36" s="336"/>
      <c r="AU36" s="337"/>
      <c r="AV36" s="335">
        <f>SUM(AV37:AZ58)</f>
        <v>254</v>
      </c>
      <c r="AW36" s="336"/>
      <c r="AX36" s="336"/>
      <c r="AY36" s="336"/>
      <c r="AZ36" s="337"/>
      <c r="BA36" s="335">
        <f>SUM(BA37:BE58)</f>
        <v>0</v>
      </c>
      <c r="BB36" s="336"/>
      <c r="BC36" s="336"/>
      <c r="BD36" s="336"/>
      <c r="BE36" s="337"/>
      <c r="BF36" s="335">
        <f>SUM(BF37:BJ58)</f>
        <v>0</v>
      </c>
      <c r="BG36" s="336"/>
      <c r="BH36" s="336"/>
      <c r="BI36" s="336"/>
      <c r="BJ36" s="337"/>
      <c r="BK36" s="326">
        <f>SUM(BK37:BN58)</f>
        <v>2722</v>
      </c>
      <c r="BL36" s="326"/>
      <c r="BM36" s="326"/>
      <c r="BN36" s="639"/>
      <c r="BO36" s="612">
        <f>SUM(BO37:BS58)</f>
        <v>20</v>
      </c>
      <c r="BP36" s="290"/>
      <c r="BQ36" s="290"/>
      <c r="BR36" s="290"/>
      <c r="BS36" s="290"/>
      <c r="BT36" s="290">
        <f>SUM(BT37:BX58)</f>
        <v>20</v>
      </c>
      <c r="BU36" s="290"/>
      <c r="BV36" s="290"/>
      <c r="BW36" s="290"/>
      <c r="BX36" s="290"/>
      <c r="BY36" s="290">
        <f>SUM(BY37:CC58)</f>
        <v>14</v>
      </c>
      <c r="BZ36" s="290"/>
      <c r="CA36" s="290"/>
      <c r="CB36" s="290"/>
      <c r="CC36" s="290"/>
      <c r="CD36" s="290">
        <f>SUM(CD37:CH58)</f>
        <v>20</v>
      </c>
      <c r="CE36" s="290"/>
      <c r="CF36" s="290"/>
      <c r="CG36" s="290"/>
      <c r="CH36" s="290"/>
      <c r="CI36" s="290">
        <f>SUM(CI37:CM58)</f>
        <v>13</v>
      </c>
      <c r="CJ36" s="290"/>
      <c r="CK36" s="290"/>
      <c r="CL36" s="290"/>
      <c r="CM36" s="290"/>
      <c r="CN36" s="290">
        <f>SUM(CN37:CR58)</f>
        <v>13</v>
      </c>
      <c r="CO36" s="290"/>
      <c r="CP36" s="290"/>
      <c r="CQ36" s="290"/>
      <c r="CR36" s="290"/>
      <c r="CS36" s="290">
        <f>SUM(CS37:CW58)</f>
        <v>13</v>
      </c>
      <c r="CT36" s="290"/>
      <c r="CU36" s="290"/>
      <c r="CV36" s="290"/>
      <c r="CW36" s="290"/>
      <c r="CX36" s="290">
        <f>SUM(CX37:DB58)</f>
        <v>6</v>
      </c>
      <c r="CY36" s="290"/>
      <c r="CZ36" s="290"/>
      <c r="DA36" s="290"/>
      <c r="DB36" s="290"/>
      <c r="DC36" s="290">
        <f>SUM(DC37:DG58)</f>
        <v>0</v>
      </c>
      <c r="DD36" s="290"/>
      <c r="DE36" s="290"/>
      <c r="DF36" s="290"/>
      <c r="DG36" s="535"/>
      <c r="DH36" s="612">
        <f>SUM(DH37:DL58)</f>
        <v>30</v>
      </c>
      <c r="DI36" s="290"/>
      <c r="DJ36" s="290"/>
      <c r="DK36" s="290"/>
      <c r="DL36" s="290"/>
      <c r="DM36" s="291">
        <f>SUM(DM37:DQ58)</f>
        <v>27</v>
      </c>
      <c r="DN36" s="290"/>
      <c r="DO36" s="290"/>
      <c r="DP36" s="290"/>
      <c r="DQ36" s="290"/>
      <c r="DR36" s="291">
        <f>SUM(DR37:DV58)</f>
        <v>14</v>
      </c>
      <c r="DS36" s="290"/>
      <c r="DT36" s="290"/>
      <c r="DU36" s="290"/>
      <c r="DV36" s="290"/>
      <c r="DW36" s="291">
        <f>SUM(DW37:EA58)</f>
        <v>24</v>
      </c>
      <c r="DX36" s="290"/>
      <c r="DY36" s="290"/>
      <c r="DZ36" s="290"/>
      <c r="EA36" s="290"/>
      <c r="EB36" s="291">
        <f>SUM(EB37:EF58)</f>
        <v>16</v>
      </c>
      <c r="EC36" s="290"/>
      <c r="ED36" s="290"/>
      <c r="EE36" s="290"/>
      <c r="EF36" s="290"/>
      <c r="EG36" s="291">
        <f>SUM(EG37:EK58)</f>
        <v>16</v>
      </c>
      <c r="EH36" s="290"/>
      <c r="EI36" s="290"/>
      <c r="EJ36" s="290"/>
      <c r="EK36" s="290"/>
      <c r="EL36" s="291">
        <f>SUM(EL37:EP58)</f>
        <v>16</v>
      </c>
      <c r="EM36" s="290"/>
      <c r="EN36" s="290"/>
      <c r="EO36" s="290"/>
      <c r="EP36" s="290"/>
      <c r="EQ36" s="291">
        <f>SUM(EQ37:EU58)</f>
        <v>7</v>
      </c>
      <c r="ER36" s="290"/>
      <c r="ES36" s="290"/>
      <c r="ET36" s="290"/>
      <c r="EU36" s="290"/>
      <c r="EV36" s="291">
        <f>SUM(EV37:EZ58)</f>
        <v>0</v>
      </c>
      <c r="EW36" s="290"/>
      <c r="EX36" s="290"/>
      <c r="EY36" s="290"/>
      <c r="EZ36" s="535"/>
      <c r="FA36" s="536">
        <f>SUM(FA37:FC58)</f>
        <v>150</v>
      </c>
      <c r="FB36" s="324"/>
      <c r="FC36" s="537"/>
    </row>
    <row r="37" spans="1:160" ht="90" customHeight="1" x14ac:dyDescent="0.2">
      <c r="A37" s="139" t="s">
        <v>96</v>
      </c>
      <c r="B37" s="131" t="s">
        <v>83</v>
      </c>
      <c r="C37" s="628" t="s">
        <v>86</v>
      </c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29"/>
      <c r="P37" s="629"/>
      <c r="Q37" s="629"/>
      <c r="R37" s="629"/>
      <c r="S37" s="629"/>
      <c r="T37" s="629"/>
      <c r="U37" s="629"/>
      <c r="V37" s="629"/>
      <c r="W37" s="629"/>
      <c r="X37" s="629"/>
      <c r="Y37" s="630"/>
      <c r="Z37" s="631">
        <f>FA37*30</f>
        <v>120</v>
      </c>
      <c r="AA37" s="508"/>
      <c r="AB37" s="508"/>
      <c r="AC37" s="632"/>
      <c r="AD37" s="322"/>
      <c r="AE37" s="510"/>
      <c r="AF37" s="269"/>
      <c r="AG37" s="633">
        <f>SUM(AL37:BE37)</f>
        <v>42</v>
      </c>
      <c r="AH37" s="634"/>
      <c r="AI37" s="634"/>
      <c r="AJ37" s="634"/>
      <c r="AK37" s="635"/>
      <c r="AL37" s="636">
        <v>22</v>
      </c>
      <c r="AM37" s="637"/>
      <c r="AN37" s="637"/>
      <c r="AO37" s="637"/>
      <c r="AP37" s="638"/>
      <c r="AQ37" s="636"/>
      <c r="AR37" s="637"/>
      <c r="AS37" s="637"/>
      <c r="AT37" s="637"/>
      <c r="AU37" s="638"/>
      <c r="AV37" s="636">
        <v>20</v>
      </c>
      <c r="AW37" s="637"/>
      <c r="AX37" s="637"/>
      <c r="AY37" s="637"/>
      <c r="AZ37" s="638"/>
      <c r="BA37" s="641"/>
      <c r="BB37" s="642"/>
      <c r="BC37" s="642"/>
      <c r="BD37" s="642"/>
      <c r="BE37" s="643"/>
      <c r="BF37" s="641"/>
      <c r="BG37" s="642"/>
      <c r="BH37" s="642"/>
      <c r="BI37" s="642"/>
      <c r="BJ37" s="643"/>
      <c r="BK37" s="507">
        <f>Z37-AG37</f>
        <v>78</v>
      </c>
      <c r="BL37" s="508"/>
      <c r="BM37" s="508"/>
      <c r="BN37" s="509"/>
      <c r="BO37" s="640">
        <v>2</v>
      </c>
      <c r="BP37" s="510"/>
      <c r="BQ37" s="510"/>
      <c r="BR37" s="510"/>
      <c r="BS37" s="269"/>
      <c r="BT37" s="322"/>
      <c r="BU37" s="510"/>
      <c r="BV37" s="510"/>
      <c r="BW37" s="510"/>
      <c r="BX37" s="269"/>
      <c r="BY37" s="322"/>
      <c r="BZ37" s="510"/>
      <c r="CA37" s="510"/>
      <c r="CB37" s="510"/>
      <c r="CC37" s="269"/>
      <c r="CD37" s="506"/>
      <c r="CE37" s="504"/>
      <c r="CF37" s="504"/>
      <c r="CG37" s="504"/>
      <c r="CH37" s="505"/>
      <c r="CI37" s="506"/>
      <c r="CJ37" s="504"/>
      <c r="CK37" s="504"/>
      <c r="CL37" s="504"/>
      <c r="CM37" s="505"/>
      <c r="CN37" s="506"/>
      <c r="CO37" s="504"/>
      <c r="CP37" s="504"/>
      <c r="CQ37" s="504"/>
      <c r="CR37" s="505"/>
      <c r="CS37" s="511"/>
      <c r="CT37" s="511"/>
      <c r="CU37" s="511"/>
      <c r="CV37" s="511"/>
      <c r="CW37" s="511"/>
      <c r="CX37" s="511"/>
      <c r="CY37" s="511"/>
      <c r="CZ37" s="511"/>
      <c r="DA37" s="511"/>
      <c r="DB37" s="511"/>
      <c r="DC37" s="501"/>
      <c r="DD37" s="501"/>
      <c r="DE37" s="501"/>
      <c r="DF37" s="501"/>
      <c r="DG37" s="502"/>
      <c r="DH37" s="640">
        <v>4</v>
      </c>
      <c r="DI37" s="510"/>
      <c r="DJ37" s="510"/>
      <c r="DK37" s="510"/>
      <c r="DL37" s="269"/>
      <c r="DM37" s="322"/>
      <c r="DN37" s="510"/>
      <c r="DO37" s="510"/>
      <c r="DP37" s="510"/>
      <c r="DQ37" s="269"/>
      <c r="DR37" s="506"/>
      <c r="DS37" s="504"/>
      <c r="DT37" s="504"/>
      <c r="DU37" s="504"/>
      <c r="DV37" s="505"/>
      <c r="DW37" s="506"/>
      <c r="DX37" s="504"/>
      <c r="DY37" s="504"/>
      <c r="DZ37" s="504"/>
      <c r="EA37" s="505"/>
      <c r="EB37" s="506"/>
      <c r="EC37" s="504"/>
      <c r="ED37" s="504"/>
      <c r="EE37" s="504"/>
      <c r="EF37" s="505"/>
      <c r="EG37" s="506"/>
      <c r="EH37" s="504"/>
      <c r="EI37" s="504"/>
      <c r="EJ37" s="504"/>
      <c r="EK37" s="505"/>
      <c r="EL37" s="506"/>
      <c r="EM37" s="504"/>
      <c r="EN37" s="504"/>
      <c r="EO37" s="504"/>
      <c r="EP37" s="505"/>
      <c r="EQ37" s="506"/>
      <c r="ER37" s="504"/>
      <c r="ES37" s="504"/>
      <c r="ET37" s="504"/>
      <c r="EU37" s="505"/>
      <c r="EV37" s="617"/>
      <c r="EW37" s="617"/>
      <c r="EX37" s="617"/>
      <c r="EY37" s="617"/>
      <c r="EZ37" s="625"/>
      <c r="FA37" s="626">
        <f>SUM(DH37:EZ37)</f>
        <v>4</v>
      </c>
      <c r="FB37" s="260"/>
      <c r="FC37" s="627"/>
    </row>
    <row r="38" spans="1:160" ht="120" customHeight="1" x14ac:dyDescent="0.2">
      <c r="A38" s="139" t="s">
        <v>97</v>
      </c>
      <c r="B38" s="131" t="s">
        <v>128</v>
      </c>
      <c r="C38" s="644" t="s">
        <v>42</v>
      </c>
      <c r="D38" s="645"/>
      <c r="E38" s="645"/>
      <c r="F38" s="645"/>
      <c r="G38" s="645"/>
      <c r="H38" s="645"/>
      <c r="I38" s="645"/>
      <c r="J38" s="645"/>
      <c r="K38" s="645"/>
      <c r="L38" s="645"/>
      <c r="M38" s="645"/>
      <c r="N38" s="645"/>
      <c r="O38" s="645"/>
      <c r="P38" s="645"/>
      <c r="Q38" s="645"/>
      <c r="R38" s="645"/>
      <c r="S38" s="645"/>
      <c r="T38" s="645"/>
      <c r="U38" s="645"/>
      <c r="V38" s="645"/>
      <c r="W38" s="645"/>
      <c r="X38" s="645"/>
      <c r="Y38" s="646"/>
      <c r="Z38" s="631">
        <f t="shared" ref="Z38:Z58" si="17">FA38*30</f>
        <v>120</v>
      </c>
      <c r="AA38" s="508"/>
      <c r="AB38" s="508"/>
      <c r="AC38" s="632"/>
      <c r="AD38" s="322"/>
      <c r="AE38" s="510"/>
      <c r="AF38" s="269"/>
      <c r="AG38" s="633">
        <f t="shared" ref="AG38:AG58" si="18">SUM(AL38:BE38)</f>
        <v>40</v>
      </c>
      <c r="AH38" s="634"/>
      <c r="AI38" s="634"/>
      <c r="AJ38" s="634"/>
      <c r="AK38" s="635"/>
      <c r="AL38" s="636">
        <v>20</v>
      </c>
      <c r="AM38" s="637"/>
      <c r="AN38" s="637"/>
      <c r="AO38" s="637"/>
      <c r="AP38" s="638"/>
      <c r="AQ38" s="636"/>
      <c r="AR38" s="637"/>
      <c r="AS38" s="637"/>
      <c r="AT38" s="637"/>
      <c r="AU38" s="638"/>
      <c r="AV38" s="636">
        <v>20</v>
      </c>
      <c r="AW38" s="637"/>
      <c r="AX38" s="637"/>
      <c r="AY38" s="637"/>
      <c r="AZ38" s="638"/>
      <c r="BA38" s="641"/>
      <c r="BB38" s="642"/>
      <c r="BC38" s="642"/>
      <c r="BD38" s="642"/>
      <c r="BE38" s="643"/>
      <c r="BF38" s="641"/>
      <c r="BG38" s="642"/>
      <c r="BH38" s="642"/>
      <c r="BI38" s="642"/>
      <c r="BJ38" s="643"/>
      <c r="BK38" s="507">
        <f t="shared" ref="BK38:BK58" si="19">Z38-AG38</f>
        <v>80</v>
      </c>
      <c r="BL38" s="508"/>
      <c r="BM38" s="508"/>
      <c r="BN38" s="509"/>
      <c r="BO38" s="640">
        <v>4</v>
      </c>
      <c r="BP38" s="510"/>
      <c r="BQ38" s="510"/>
      <c r="BR38" s="510"/>
      <c r="BS38" s="269"/>
      <c r="BT38" s="322"/>
      <c r="BU38" s="510"/>
      <c r="BV38" s="510"/>
      <c r="BW38" s="510"/>
      <c r="BX38" s="269"/>
      <c r="BY38" s="322"/>
      <c r="BZ38" s="510"/>
      <c r="CA38" s="510"/>
      <c r="CB38" s="510"/>
      <c r="CC38" s="269"/>
      <c r="CD38" s="506"/>
      <c r="CE38" s="504"/>
      <c r="CF38" s="504"/>
      <c r="CG38" s="504"/>
      <c r="CH38" s="505"/>
      <c r="CI38" s="506"/>
      <c r="CJ38" s="504"/>
      <c r="CK38" s="504"/>
      <c r="CL38" s="504"/>
      <c r="CM38" s="505"/>
      <c r="CN38" s="506"/>
      <c r="CO38" s="504"/>
      <c r="CP38" s="504"/>
      <c r="CQ38" s="504"/>
      <c r="CR38" s="505"/>
      <c r="CS38" s="511"/>
      <c r="CT38" s="511"/>
      <c r="CU38" s="511"/>
      <c r="CV38" s="511"/>
      <c r="CW38" s="511"/>
      <c r="CX38" s="511"/>
      <c r="CY38" s="511"/>
      <c r="CZ38" s="511"/>
      <c r="DA38" s="511"/>
      <c r="DB38" s="511"/>
      <c r="DC38" s="501"/>
      <c r="DD38" s="501"/>
      <c r="DE38" s="501"/>
      <c r="DF38" s="501"/>
      <c r="DG38" s="502"/>
      <c r="DH38" s="640">
        <v>4</v>
      </c>
      <c r="DI38" s="510"/>
      <c r="DJ38" s="510"/>
      <c r="DK38" s="510"/>
      <c r="DL38" s="269"/>
      <c r="DM38" s="322"/>
      <c r="DN38" s="510"/>
      <c r="DO38" s="510"/>
      <c r="DP38" s="510"/>
      <c r="DQ38" s="269"/>
      <c r="DR38" s="506"/>
      <c r="DS38" s="504"/>
      <c r="DT38" s="504"/>
      <c r="DU38" s="504"/>
      <c r="DV38" s="505"/>
      <c r="DW38" s="506"/>
      <c r="DX38" s="504"/>
      <c r="DY38" s="504"/>
      <c r="DZ38" s="504"/>
      <c r="EA38" s="505"/>
      <c r="EB38" s="506"/>
      <c r="EC38" s="504"/>
      <c r="ED38" s="504"/>
      <c r="EE38" s="504"/>
      <c r="EF38" s="505"/>
      <c r="EG38" s="506"/>
      <c r="EH38" s="504"/>
      <c r="EI38" s="504"/>
      <c r="EJ38" s="504"/>
      <c r="EK38" s="505"/>
      <c r="EL38" s="506"/>
      <c r="EM38" s="504"/>
      <c r="EN38" s="504"/>
      <c r="EO38" s="504"/>
      <c r="EP38" s="505"/>
      <c r="EQ38" s="506"/>
      <c r="ER38" s="504"/>
      <c r="ES38" s="504"/>
      <c r="ET38" s="504"/>
      <c r="EU38" s="505"/>
      <c r="EV38" s="617"/>
      <c r="EW38" s="617"/>
      <c r="EX38" s="617"/>
      <c r="EY38" s="617"/>
      <c r="EZ38" s="625"/>
      <c r="FA38" s="626">
        <f t="shared" ref="FA38:FA58" si="20">SUM(DH38:EZ38)</f>
        <v>4</v>
      </c>
      <c r="FB38" s="260"/>
      <c r="FC38" s="627"/>
    </row>
    <row r="39" spans="1:160" ht="90" customHeight="1" x14ac:dyDescent="0.2">
      <c r="A39" s="139" t="s">
        <v>98</v>
      </c>
      <c r="B39" s="131" t="s">
        <v>84</v>
      </c>
      <c r="C39" s="628" t="s">
        <v>87</v>
      </c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30"/>
      <c r="Z39" s="631">
        <f t="shared" si="17"/>
        <v>120</v>
      </c>
      <c r="AA39" s="508"/>
      <c r="AB39" s="508"/>
      <c r="AC39" s="632"/>
      <c r="AD39" s="322"/>
      <c r="AE39" s="510"/>
      <c r="AF39" s="269"/>
      <c r="AG39" s="633">
        <f t="shared" si="18"/>
        <v>60</v>
      </c>
      <c r="AH39" s="634"/>
      <c r="AI39" s="634"/>
      <c r="AJ39" s="634"/>
      <c r="AK39" s="635"/>
      <c r="AL39" s="636">
        <v>30</v>
      </c>
      <c r="AM39" s="637"/>
      <c r="AN39" s="637"/>
      <c r="AO39" s="637"/>
      <c r="AP39" s="638"/>
      <c r="AQ39" s="636"/>
      <c r="AR39" s="637"/>
      <c r="AS39" s="637"/>
      <c r="AT39" s="637"/>
      <c r="AU39" s="638"/>
      <c r="AV39" s="636">
        <v>30</v>
      </c>
      <c r="AW39" s="637"/>
      <c r="AX39" s="637"/>
      <c r="AY39" s="637"/>
      <c r="AZ39" s="638"/>
      <c r="BA39" s="641"/>
      <c r="BB39" s="642"/>
      <c r="BC39" s="642"/>
      <c r="BD39" s="642"/>
      <c r="BE39" s="643"/>
      <c r="BF39" s="641"/>
      <c r="BG39" s="642"/>
      <c r="BH39" s="642"/>
      <c r="BI39" s="642"/>
      <c r="BJ39" s="643"/>
      <c r="BK39" s="507">
        <f t="shared" si="19"/>
        <v>60</v>
      </c>
      <c r="BL39" s="508"/>
      <c r="BM39" s="508"/>
      <c r="BN39" s="509"/>
      <c r="BO39" s="640">
        <v>4</v>
      </c>
      <c r="BP39" s="510"/>
      <c r="BQ39" s="510"/>
      <c r="BR39" s="510"/>
      <c r="BS39" s="269"/>
      <c r="BT39" s="322"/>
      <c r="BU39" s="510"/>
      <c r="BV39" s="510"/>
      <c r="BW39" s="510"/>
      <c r="BX39" s="269"/>
      <c r="BY39" s="322"/>
      <c r="BZ39" s="510"/>
      <c r="CA39" s="510"/>
      <c r="CB39" s="510"/>
      <c r="CC39" s="269"/>
      <c r="CD39" s="506"/>
      <c r="CE39" s="504"/>
      <c r="CF39" s="504"/>
      <c r="CG39" s="504"/>
      <c r="CH39" s="505"/>
      <c r="CI39" s="506"/>
      <c r="CJ39" s="504"/>
      <c r="CK39" s="504"/>
      <c r="CL39" s="504"/>
      <c r="CM39" s="505"/>
      <c r="CN39" s="506"/>
      <c r="CO39" s="504"/>
      <c r="CP39" s="504"/>
      <c r="CQ39" s="504"/>
      <c r="CR39" s="505"/>
      <c r="CS39" s="511"/>
      <c r="CT39" s="511"/>
      <c r="CU39" s="511"/>
      <c r="CV39" s="511"/>
      <c r="CW39" s="511"/>
      <c r="CX39" s="511"/>
      <c r="CY39" s="511"/>
      <c r="CZ39" s="511"/>
      <c r="DA39" s="511"/>
      <c r="DB39" s="511"/>
      <c r="DC39" s="501"/>
      <c r="DD39" s="501"/>
      <c r="DE39" s="501"/>
      <c r="DF39" s="501"/>
      <c r="DG39" s="502"/>
      <c r="DH39" s="640">
        <v>4</v>
      </c>
      <c r="DI39" s="510"/>
      <c r="DJ39" s="510"/>
      <c r="DK39" s="510"/>
      <c r="DL39" s="269"/>
      <c r="DM39" s="322"/>
      <c r="DN39" s="510"/>
      <c r="DO39" s="510"/>
      <c r="DP39" s="510"/>
      <c r="DQ39" s="269"/>
      <c r="DR39" s="506"/>
      <c r="DS39" s="504"/>
      <c r="DT39" s="504"/>
      <c r="DU39" s="504"/>
      <c r="DV39" s="505"/>
      <c r="DW39" s="506"/>
      <c r="DX39" s="504"/>
      <c r="DY39" s="504"/>
      <c r="DZ39" s="504"/>
      <c r="EA39" s="505"/>
      <c r="EB39" s="506"/>
      <c r="EC39" s="504"/>
      <c r="ED39" s="504"/>
      <c r="EE39" s="504"/>
      <c r="EF39" s="505"/>
      <c r="EG39" s="506"/>
      <c r="EH39" s="504"/>
      <c r="EI39" s="504"/>
      <c r="EJ39" s="504"/>
      <c r="EK39" s="505"/>
      <c r="EL39" s="506"/>
      <c r="EM39" s="504"/>
      <c r="EN39" s="504"/>
      <c r="EO39" s="504"/>
      <c r="EP39" s="505"/>
      <c r="EQ39" s="506"/>
      <c r="ER39" s="504"/>
      <c r="ES39" s="504"/>
      <c r="ET39" s="504"/>
      <c r="EU39" s="505"/>
      <c r="EV39" s="617"/>
      <c r="EW39" s="617"/>
      <c r="EX39" s="617"/>
      <c r="EY39" s="617"/>
      <c r="EZ39" s="625"/>
      <c r="FA39" s="626">
        <f t="shared" si="20"/>
        <v>4</v>
      </c>
      <c r="FB39" s="260"/>
      <c r="FC39" s="627"/>
    </row>
    <row r="40" spans="1:160" ht="90" customHeight="1" x14ac:dyDescent="0.2">
      <c r="A40" s="139" t="s">
        <v>99</v>
      </c>
      <c r="B40" s="131" t="s">
        <v>145</v>
      </c>
      <c r="C40" s="628" t="s">
        <v>131</v>
      </c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30"/>
      <c r="Z40" s="631">
        <f t="shared" si="17"/>
        <v>300</v>
      </c>
      <c r="AA40" s="508"/>
      <c r="AB40" s="508"/>
      <c r="AC40" s="632"/>
      <c r="AD40" s="322"/>
      <c r="AE40" s="510"/>
      <c r="AF40" s="269"/>
      <c r="AG40" s="633">
        <f t="shared" si="18"/>
        <v>90</v>
      </c>
      <c r="AH40" s="634"/>
      <c r="AI40" s="634"/>
      <c r="AJ40" s="634"/>
      <c r="AK40" s="635"/>
      <c r="AL40" s="636">
        <v>60</v>
      </c>
      <c r="AM40" s="637"/>
      <c r="AN40" s="637"/>
      <c r="AO40" s="637"/>
      <c r="AP40" s="638"/>
      <c r="AQ40" s="636"/>
      <c r="AR40" s="637"/>
      <c r="AS40" s="637"/>
      <c r="AT40" s="637"/>
      <c r="AU40" s="638"/>
      <c r="AV40" s="636">
        <v>30</v>
      </c>
      <c r="AW40" s="637"/>
      <c r="AX40" s="637"/>
      <c r="AY40" s="637"/>
      <c r="AZ40" s="638"/>
      <c r="BA40" s="641"/>
      <c r="BB40" s="642"/>
      <c r="BC40" s="642"/>
      <c r="BD40" s="642"/>
      <c r="BE40" s="643"/>
      <c r="BF40" s="641"/>
      <c r="BG40" s="642"/>
      <c r="BH40" s="642"/>
      <c r="BI40" s="642"/>
      <c r="BJ40" s="643"/>
      <c r="BK40" s="507">
        <f t="shared" si="19"/>
        <v>210</v>
      </c>
      <c r="BL40" s="508"/>
      <c r="BM40" s="508"/>
      <c r="BN40" s="509"/>
      <c r="BO40" s="640">
        <v>4</v>
      </c>
      <c r="BP40" s="510"/>
      <c r="BQ40" s="510"/>
      <c r="BR40" s="510"/>
      <c r="BS40" s="269"/>
      <c r="BT40" s="322"/>
      <c r="BU40" s="510"/>
      <c r="BV40" s="510"/>
      <c r="BW40" s="510"/>
      <c r="BX40" s="269"/>
      <c r="BY40" s="322"/>
      <c r="BZ40" s="510"/>
      <c r="CA40" s="510"/>
      <c r="CB40" s="510"/>
      <c r="CC40" s="269"/>
      <c r="CD40" s="506"/>
      <c r="CE40" s="504"/>
      <c r="CF40" s="504"/>
      <c r="CG40" s="504"/>
      <c r="CH40" s="505"/>
      <c r="CI40" s="506"/>
      <c r="CJ40" s="504"/>
      <c r="CK40" s="504"/>
      <c r="CL40" s="504"/>
      <c r="CM40" s="505"/>
      <c r="CN40" s="506"/>
      <c r="CO40" s="504"/>
      <c r="CP40" s="504"/>
      <c r="CQ40" s="504"/>
      <c r="CR40" s="505"/>
      <c r="CS40" s="511"/>
      <c r="CT40" s="511"/>
      <c r="CU40" s="511"/>
      <c r="CV40" s="511"/>
      <c r="CW40" s="511"/>
      <c r="CX40" s="511"/>
      <c r="CY40" s="511"/>
      <c r="CZ40" s="511"/>
      <c r="DA40" s="511"/>
      <c r="DB40" s="511"/>
      <c r="DC40" s="501"/>
      <c r="DD40" s="501"/>
      <c r="DE40" s="501"/>
      <c r="DF40" s="501"/>
      <c r="DG40" s="502"/>
      <c r="DH40" s="640">
        <v>10</v>
      </c>
      <c r="DI40" s="510"/>
      <c r="DJ40" s="510"/>
      <c r="DK40" s="510"/>
      <c r="DL40" s="269"/>
      <c r="DM40" s="322"/>
      <c r="DN40" s="510"/>
      <c r="DO40" s="510"/>
      <c r="DP40" s="510"/>
      <c r="DQ40" s="269"/>
      <c r="DR40" s="506"/>
      <c r="DS40" s="504"/>
      <c r="DT40" s="504"/>
      <c r="DU40" s="504"/>
      <c r="DV40" s="505"/>
      <c r="DW40" s="506"/>
      <c r="DX40" s="504"/>
      <c r="DY40" s="504"/>
      <c r="DZ40" s="504"/>
      <c r="EA40" s="505"/>
      <c r="EB40" s="506"/>
      <c r="EC40" s="504"/>
      <c r="ED40" s="504"/>
      <c r="EE40" s="504"/>
      <c r="EF40" s="505"/>
      <c r="EG40" s="506"/>
      <c r="EH40" s="504"/>
      <c r="EI40" s="504"/>
      <c r="EJ40" s="504"/>
      <c r="EK40" s="505"/>
      <c r="EL40" s="506"/>
      <c r="EM40" s="504"/>
      <c r="EN40" s="504"/>
      <c r="EO40" s="504"/>
      <c r="EP40" s="505"/>
      <c r="EQ40" s="506"/>
      <c r="ER40" s="504"/>
      <c r="ES40" s="504"/>
      <c r="ET40" s="504"/>
      <c r="EU40" s="505"/>
      <c r="EV40" s="617"/>
      <c r="EW40" s="617"/>
      <c r="EX40" s="617"/>
      <c r="EY40" s="617"/>
      <c r="EZ40" s="625"/>
      <c r="FA40" s="626">
        <f t="shared" si="20"/>
        <v>10</v>
      </c>
      <c r="FB40" s="260"/>
      <c r="FC40" s="627"/>
    </row>
    <row r="41" spans="1:160" s="78" customFormat="1" ht="90" customHeight="1" x14ac:dyDescent="0.2">
      <c r="A41" s="140" t="s">
        <v>100</v>
      </c>
      <c r="B41" s="132" t="s">
        <v>142</v>
      </c>
      <c r="C41" s="628" t="s">
        <v>88</v>
      </c>
      <c r="D41" s="629"/>
      <c r="E41" s="629"/>
      <c r="F41" s="629"/>
      <c r="G41" s="629"/>
      <c r="H41" s="629"/>
      <c r="I41" s="629"/>
      <c r="J41" s="629"/>
      <c r="K41" s="629"/>
      <c r="L41" s="629"/>
      <c r="M41" s="629"/>
      <c r="N41" s="629"/>
      <c r="O41" s="629"/>
      <c r="P41" s="629"/>
      <c r="Q41" s="629"/>
      <c r="R41" s="629"/>
      <c r="S41" s="629"/>
      <c r="T41" s="629"/>
      <c r="U41" s="629"/>
      <c r="V41" s="629"/>
      <c r="W41" s="629"/>
      <c r="X41" s="629"/>
      <c r="Y41" s="630"/>
      <c r="Z41" s="631">
        <f t="shared" si="17"/>
        <v>120</v>
      </c>
      <c r="AA41" s="508"/>
      <c r="AB41" s="508"/>
      <c r="AC41" s="632"/>
      <c r="AD41" s="322"/>
      <c r="AE41" s="510"/>
      <c r="AF41" s="269"/>
      <c r="AG41" s="633">
        <f t="shared" si="18"/>
        <v>50</v>
      </c>
      <c r="AH41" s="634"/>
      <c r="AI41" s="634"/>
      <c r="AJ41" s="634"/>
      <c r="AK41" s="635"/>
      <c r="AL41" s="636">
        <v>30</v>
      </c>
      <c r="AM41" s="637"/>
      <c r="AN41" s="637"/>
      <c r="AO41" s="637"/>
      <c r="AP41" s="638"/>
      <c r="AQ41" s="636"/>
      <c r="AR41" s="637"/>
      <c r="AS41" s="637"/>
      <c r="AT41" s="637"/>
      <c r="AU41" s="638"/>
      <c r="AV41" s="636">
        <v>20</v>
      </c>
      <c r="AW41" s="637"/>
      <c r="AX41" s="637"/>
      <c r="AY41" s="637"/>
      <c r="AZ41" s="638"/>
      <c r="BA41" s="641"/>
      <c r="BB41" s="642"/>
      <c r="BC41" s="642"/>
      <c r="BD41" s="642"/>
      <c r="BE41" s="643"/>
      <c r="BF41" s="641"/>
      <c r="BG41" s="642"/>
      <c r="BH41" s="642"/>
      <c r="BI41" s="642"/>
      <c r="BJ41" s="643"/>
      <c r="BK41" s="507">
        <f t="shared" si="19"/>
        <v>70</v>
      </c>
      <c r="BL41" s="508"/>
      <c r="BM41" s="508"/>
      <c r="BN41" s="509"/>
      <c r="BO41" s="640"/>
      <c r="BP41" s="510"/>
      <c r="BQ41" s="510"/>
      <c r="BR41" s="510"/>
      <c r="BS41" s="269"/>
      <c r="BT41" s="322">
        <v>2</v>
      </c>
      <c r="BU41" s="510"/>
      <c r="BV41" s="510"/>
      <c r="BW41" s="510"/>
      <c r="BX41" s="269"/>
      <c r="BY41" s="322"/>
      <c r="BZ41" s="510"/>
      <c r="CA41" s="510"/>
      <c r="CB41" s="510"/>
      <c r="CC41" s="269"/>
      <c r="CD41" s="506"/>
      <c r="CE41" s="504"/>
      <c r="CF41" s="504"/>
      <c r="CG41" s="504"/>
      <c r="CH41" s="505"/>
      <c r="CI41" s="506"/>
      <c r="CJ41" s="504"/>
      <c r="CK41" s="504"/>
      <c r="CL41" s="504"/>
      <c r="CM41" s="505"/>
      <c r="CN41" s="506"/>
      <c r="CO41" s="504"/>
      <c r="CP41" s="504"/>
      <c r="CQ41" s="504"/>
      <c r="CR41" s="505"/>
      <c r="CS41" s="511"/>
      <c r="CT41" s="511"/>
      <c r="CU41" s="511"/>
      <c r="CV41" s="511"/>
      <c r="CW41" s="511"/>
      <c r="CX41" s="511"/>
      <c r="CY41" s="511"/>
      <c r="CZ41" s="511"/>
      <c r="DA41" s="511"/>
      <c r="DB41" s="511"/>
      <c r="DC41" s="501"/>
      <c r="DD41" s="501"/>
      <c r="DE41" s="501"/>
      <c r="DF41" s="501"/>
      <c r="DG41" s="502"/>
      <c r="DH41" s="640"/>
      <c r="DI41" s="510"/>
      <c r="DJ41" s="510"/>
      <c r="DK41" s="510"/>
      <c r="DL41" s="269"/>
      <c r="DM41" s="322">
        <v>4</v>
      </c>
      <c r="DN41" s="510"/>
      <c r="DO41" s="510"/>
      <c r="DP41" s="510"/>
      <c r="DQ41" s="269"/>
      <c r="DR41" s="506"/>
      <c r="DS41" s="504"/>
      <c r="DT41" s="504"/>
      <c r="DU41" s="504"/>
      <c r="DV41" s="505"/>
      <c r="DW41" s="506"/>
      <c r="DX41" s="504"/>
      <c r="DY41" s="504"/>
      <c r="DZ41" s="504"/>
      <c r="EA41" s="505"/>
      <c r="EB41" s="506"/>
      <c r="EC41" s="504"/>
      <c r="ED41" s="504"/>
      <c r="EE41" s="504"/>
      <c r="EF41" s="505"/>
      <c r="EG41" s="506"/>
      <c r="EH41" s="504"/>
      <c r="EI41" s="504"/>
      <c r="EJ41" s="504"/>
      <c r="EK41" s="505"/>
      <c r="EL41" s="506"/>
      <c r="EM41" s="504"/>
      <c r="EN41" s="504"/>
      <c r="EO41" s="504"/>
      <c r="EP41" s="505"/>
      <c r="EQ41" s="506"/>
      <c r="ER41" s="504"/>
      <c r="ES41" s="504"/>
      <c r="ET41" s="504"/>
      <c r="EU41" s="505"/>
      <c r="EV41" s="501"/>
      <c r="EW41" s="501"/>
      <c r="EX41" s="501"/>
      <c r="EY41" s="501"/>
      <c r="EZ41" s="502"/>
      <c r="FA41" s="499">
        <f t="shared" si="20"/>
        <v>4</v>
      </c>
      <c r="FB41" s="339"/>
      <c r="FC41" s="500"/>
    </row>
    <row r="42" spans="1:160" s="78" customFormat="1" ht="90" customHeight="1" x14ac:dyDescent="0.2">
      <c r="A42" s="140" t="s">
        <v>234</v>
      </c>
      <c r="B42" s="133" t="s">
        <v>141</v>
      </c>
      <c r="C42" s="737" t="s">
        <v>90</v>
      </c>
      <c r="D42" s="738"/>
      <c r="E42" s="738"/>
      <c r="F42" s="738"/>
      <c r="G42" s="738"/>
      <c r="H42" s="738"/>
      <c r="I42" s="738"/>
      <c r="J42" s="738"/>
      <c r="K42" s="738"/>
      <c r="L42" s="738"/>
      <c r="M42" s="738"/>
      <c r="N42" s="738"/>
      <c r="O42" s="738"/>
      <c r="P42" s="738"/>
      <c r="Q42" s="738"/>
      <c r="R42" s="738"/>
      <c r="S42" s="738"/>
      <c r="T42" s="738"/>
      <c r="U42" s="738"/>
      <c r="V42" s="738"/>
      <c r="W42" s="738"/>
      <c r="X42" s="738"/>
      <c r="Y42" s="739"/>
      <c r="Z42" s="631">
        <f t="shared" si="17"/>
        <v>120</v>
      </c>
      <c r="AA42" s="508"/>
      <c r="AB42" s="508"/>
      <c r="AC42" s="632"/>
      <c r="AD42" s="322"/>
      <c r="AE42" s="510"/>
      <c r="AF42" s="269"/>
      <c r="AG42" s="633">
        <f t="shared" si="18"/>
        <v>40</v>
      </c>
      <c r="AH42" s="634"/>
      <c r="AI42" s="634"/>
      <c r="AJ42" s="634"/>
      <c r="AK42" s="635"/>
      <c r="AL42" s="636"/>
      <c r="AM42" s="637"/>
      <c r="AN42" s="637"/>
      <c r="AO42" s="637"/>
      <c r="AP42" s="638"/>
      <c r="AQ42" s="636">
        <v>40</v>
      </c>
      <c r="AR42" s="637"/>
      <c r="AS42" s="637"/>
      <c r="AT42" s="637"/>
      <c r="AU42" s="638"/>
      <c r="AV42" s="636"/>
      <c r="AW42" s="637"/>
      <c r="AX42" s="637"/>
      <c r="AY42" s="637"/>
      <c r="AZ42" s="638"/>
      <c r="BA42" s="636"/>
      <c r="BB42" s="637"/>
      <c r="BC42" s="637"/>
      <c r="BD42" s="637"/>
      <c r="BE42" s="638"/>
      <c r="BF42" s="636"/>
      <c r="BG42" s="637"/>
      <c r="BH42" s="637"/>
      <c r="BI42" s="637"/>
      <c r="BJ42" s="638"/>
      <c r="BK42" s="507">
        <f t="shared" si="19"/>
        <v>80</v>
      </c>
      <c r="BL42" s="508"/>
      <c r="BM42" s="508"/>
      <c r="BN42" s="509"/>
      <c r="BO42" s="640"/>
      <c r="BP42" s="510"/>
      <c r="BQ42" s="510"/>
      <c r="BR42" s="510"/>
      <c r="BS42" s="269"/>
      <c r="BT42" s="322">
        <v>4</v>
      </c>
      <c r="BU42" s="510"/>
      <c r="BV42" s="510"/>
      <c r="BW42" s="510"/>
      <c r="BX42" s="269"/>
      <c r="BY42" s="322"/>
      <c r="BZ42" s="510"/>
      <c r="CA42" s="510"/>
      <c r="CB42" s="510"/>
      <c r="CC42" s="269"/>
      <c r="CD42" s="506"/>
      <c r="CE42" s="504"/>
      <c r="CF42" s="504"/>
      <c r="CG42" s="504"/>
      <c r="CH42" s="505"/>
      <c r="CI42" s="506"/>
      <c r="CJ42" s="504"/>
      <c r="CK42" s="504"/>
      <c r="CL42" s="504"/>
      <c r="CM42" s="505"/>
      <c r="CN42" s="506"/>
      <c r="CO42" s="504"/>
      <c r="CP42" s="504"/>
      <c r="CQ42" s="504"/>
      <c r="CR42" s="505"/>
      <c r="CS42" s="511"/>
      <c r="CT42" s="511"/>
      <c r="CU42" s="511"/>
      <c r="CV42" s="511"/>
      <c r="CW42" s="511"/>
      <c r="CX42" s="511"/>
      <c r="CY42" s="511"/>
      <c r="CZ42" s="511"/>
      <c r="DA42" s="511"/>
      <c r="DB42" s="511"/>
      <c r="DC42" s="501"/>
      <c r="DD42" s="501"/>
      <c r="DE42" s="501"/>
      <c r="DF42" s="501"/>
      <c r="DG42" s="502"/>
      <c r="DH42" s="640"/>
      <c r="DI42" s="510"/>
      <c r="DJ42" s="510"/>
      <c r="DK42" s="510"/>
      <c r="DL42" s="269"/>
      <c r="DM42" s="322">
        <v>4</v>
      </c>
      <c r="DN42" s="510"/>
      <c r="DO42" s="510"/>
      <c r="DP42" s="510"/>
      <c r="DQ42" s="269"/>
      <c r="DR42" s="506"/>
      <c r="DS42" s="504"/>
      <c r="DT42" s="504"/>
      <c r="DU42" s="504"/>
      <c r="DV42" s="505"/>
      <c r="DW42" s="506"/>
      <c r="DX42" s="504"/>
      <c r="DY42" s="504"/>
      <c r="DZ42" s="504"/>
      <c r="EA42" s="505"/>
      <c r="EB42" s="506"/>
      <c r="EC42" s="504"/>
      <c r="ED42" s="504"/>
      <c r="EE42" s="504"/>
      <c r="EF42" s="505"/>
      <c r="EG42" s="506"/>
      <c r="EH42" s="504"/>
      <c r="EI42" s="504"/>
      <c r="EJ42" s="504"/>
      <c r="EK42" s="505"/>
      <c r="EL42" s="506"/>
      <c r="EM42" s="504"/>
      <c r="EN42" s="504"/>
      <c r="EO42" s="504"/>
      <c r="EP42" s="505"/>
      <c r="EQ42" s="506"/>
      <c r="ER42" s="504"/>
      <c r="ES42" s="504"/>
      <c r="ET42" s="504"/>
      <c r="EU42" s="505"/>
      <c r="EV42" s="501"/>
      <c r="EW42" s="501"/>
      <c r="EX42" s="501"/>
      <c r="EY42" s="501"/>
      <c r="EZ42" s="502"/>
      <c r="FA42" s="499">
        <f t="shared" si="20"/>
        <v>4</v>
      </c>
      <c r="FB42" s="339"/>
      <c r="FC42" s="500"/>
    </row>
    <row r="43" spans="1:160" s="78" customFormat="1" ht="90" customHeight="1" x14ac:dyDescent="0.2">
      <c r="A43" s="140" t="s">
        <v>101</v>
      </c>
      <c r="B43" s="133" t="s">
        <v>144</v>
      </c>
      <c r="C43" s="737" t="s">
        <v>136</v>
      </c>
      <c r="D43" s="738"/>
      <c r="E43" s="738"/>
      <c r="F43" s="738"/>
      <c r="G43" s="738"/>
      <c r="H43" s="738"/>
      <c r="I43" s="738"/>
      <c r="J43" s="738"/>
      <c r="K43" s="738"/>
      <c r="L43" s="738"/>
      <c r="M43" s="738"/>
      <c r="N43" s="738"/>
      <c r="O43" s="738"/>
      <c r="P43" s="738"/>
      <c r="Q43" s="738"/>
      <c r="R43" s="738"/>
      <c r="S43" s="738"/>
      <c r="T43" s="738"/>
      <c r="U43" s="738"/>
      <c r="V43" s="738"/>
      <c r="W43" s="738"/>
      <c r="X43" s="738"/>
      <c r="Y43" s="739"/>
      <c r="Z43" s="631">
        <f t="shared" si="17"/>
        <v>120</v>
      </c>
      <c r="AA43" s="508"/>
      <c r="AB43" s="508"/>
      <c r="AC43" s="632"/>
      <c r="AD43" s="506"/>
      <c r="AE43" s="504"/>
      <c r="AF43" s="505"/>
      <c r="AG43" s="633">
        <f t="shared" si="18"/>
        <v>66</v>
      </c>
      <c r="AH43" s="634"/>
      <c r="AI43" s="634"/>
      <c r="AJ43" s="634"/>
      <c r="AK43" s="635"/>
      <c r="AL43" s="636">
        <v>32</v>
      </c>
      <c r="AM43" s="637"/>
      <c r="AN43" s="637"/>
      <c r="AO43" s="637"/>
      <c r="AP43" s="638"/>
      <c r="AQ43" s="636"/>
      <c r="AR43" s="637"/>
      <c r="AS43" s="637"/>
      <c r="AT43" s="637"/>
      <c r="AU43" s="638"/>
      <c r="AV43" s="636">
        <v>34</v>
      </c>
      <c r="AW43" s="637"/>
      <c r="AX43" s="637"/>
      <c r="AY43" s="637"/>
      <c r="AZ43" s="638"/>
      <c r="BA43" s="636"/>
      <c r="BB43" s="637"/>
      <c r="BC43" s="637"/>
      <c r="BD43" s="637"/>
      <c r="BE43" s="638"/>
      <c r="BF43" s="636"/>
      <c r="BG43" s="637"/>
      <c r="BH43" s="637"/>
      <c r="BI43" s="637"/>
      <c r="BJ43" s="638"/>
      <c r="BK43" s="507">
        <f t="shared" si="19"/>
        <v>54</v>
      </c>
      <c r="BL43" s="508"/>
      <c r="BM43" s="508"/>
      <c r="BN43" s="509"/>
      <c r="BO43" s="640"/>
      <c r="BP43" s="510"/>
      <c r="BQ43" s="510"/>
      <c r="BR43" s="510"/>
      <c r="BS43" s="269"/>
      <c r="BT43" s="322">
        <v>4</v>
      </c>
      <c r="BU43" s="510"/>
      <c r="BV43" s="510"/>
      <c r="BW43" s="510"/>
      <c r="BX43" s="269"/>
      <c r="BY43" s="322"/>
      <c r="BZ43" s="510"/>
      <c r="CA43" s="510"/>
      <c r="CB43" s="510"/>
      <c r="CC43" s="269"/>
      <c r="CD43" s="506"/>
      <c r="CE43" s="504"/>
      <c r="CF43" s="504"/>
      <c r="CG43" s="504"/>
      <c r="CH43" s="505"/>
      <c r="CI43" s="506"/>
      <c r="CJ43" s="504"/>
      <c r="CK43" s="504"/>
      <c r="CL43" s="504"/>
      <c r="CM43" s="505"/>
      <c r="CN43" s="506"/>
      <c r="CO43" s="504"/>
      <c r="CP43" s="504"/>
      <c r="CQ43" s="504"/>
      <c r="CR43" s="505"/>
      <c r="CS43" s="511"/>
      <c r="CT43" s="511"/>
      <c r="CU43" s="511"/>
      <c r="CV43" s="511"/>
      <c r="CW43" s="511"/>
      <c r="CX43" s="511"/>
      <c r="CY43" s="511"/>
      <c r="CZ43" s="511"/>
      <c r="DA43" s="511"/>
      <c r="DB43" s="511"/>
      <c r="DC43" s="270"/>
      <c r="DD43" s="270"/>
      <c r="DE43" s="270"/>
      <c r="DF43" s="270"/>
      <c r="DG43" s="533"/>
      <c r="DH43" s="640"/>
      <c r="DI43" s="510"/>
      <c r="DJ43" s="510"/>
      <c r="DK43" s="510"/>
      <c r="DL43" s="269"/>
      <c r="DM43" s="322">
        <v>4</v>
      </c>
      <c r="DN43" s="510"/>
      <c r="DO43" s="510"/>
      <c r="DP43" s="510"/>
      <c r="DQ43" s="269"/>
      <c r="DR43" s="506"/>
      <c r="DS43" s="504"/>
      <c r="DT43" s="504"/>
      <c r="DU43" s="504"/>
      <c r="DV43" s="505"/>
      <c r="DW43" s="506"/>
      <c r="DX43" s="504"/>
      <c r="DY43" s="504"/>
      <c r="DZ43" s="504"/>
      <c r="EA43" s="505"/>
      <c r="EB43" s="506"/>
      <c r="EC43" s="504"/>
      <c r="ED43" s="504"/>
      <c r="EE43" s="504"/>
      <c r="EF43" s="505"/>
      <c r="EG43" s="506"/>
      <c r="EH43" s="504"/>
      <c r="EI43" s="504"/>
      <c r="EJ43" s="504"/>
      <c r="EK43" s="505"/>
      <c r="EL43" s="506"/>
      <c r="EM43" s="504"/>
      <c r="EN43" s="504"/>
      <c r="EO43" s="504"/>
      <c r="EP43" s="505"/>
      <c r="EQ43" s="506"/>
      <c r="ER43" s="504"/>
      <c r="ES43" s="504"/>
      <c r="ET43" s="504"/>
      <c r="EU43" s="505"/>
      <c r="EV43" s="270"/>
      <c r="EW43" s="270"/>
      <c r="EX43" s="270"/>
      <c r="EY43" s="270"/>
      <c r="EZ43" s="533"/>
      <c r="FA43" s="499">
        <f t="shared" si="20"/>
        <v>4</v>
      </c>
      <c r="FB43" s="339"/>
      <c r="FC43" s="500"/>
    </row>
    <row r="44" spans="1:160" s="78" customFormat="1" ht="90" customHeight="1" x14ac:dyDescent="0.2">
      <c r="A44" s="140" t="s">
        <v>235</v>
      </c>
      <c r="B44" s="133" t="s">
        <v>89</v>
      </c>
      <c r="C44" s="737" t="s">
        <v>137</v>
      </c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8"/>
      <c r="T44" s="738"/>
      <c r="U44" s="738"/>
      <c r="V44" s="738"/>
      <c r="W44" s="738"/>
      <c r="X44" s="738"/>
      <c r="Y44" s="739"/>
      <c r="Z44" s="631">
        <f t="shared" si="17"/>
        <v>120</v>
      </c>
      <c r="AA44" s="508"/>
      <c r="AB44" s="508"/>
      <c r="AC44" s="632"/>
      <c r="AD44" s="322"/>
      <c r="AE44" s="510"/>
      <c r="AF44" s="269"/>
      <c r="AG44" s="633">
        <f t="shared" si="18"/>
        <v>40</v>
      </c>
      <c r="AH44" s="634"/>
      <c r="AI44" s="634"/>
      <c r="AJ44" s="634"/>
      <c r="AK44" s="635"/>
      <c r="AL44" s="636">
        <v>10</v>
      </c>
      <c r="AM44" s="637"/>
      <c r="AN44" s="637"/>
      <c r="AO44" s="637"/>
      <c r="AP44" s="638"/>
      <c r="AQ44" s="636"/>
      <c r="AR44" s="637"/>
      <c r="AS44" s="637"/>
      <c r="AT44" s="637"/>
      <c r="AU44" s="638"/>
      <c r="AV44" s="636">
        <v>30</v>
      </c>
      <c r="AW44" s="637"/>
      <c r="AX44" s="637"/>
      <c r="AY44" s="637"/>
      <c r="AZ44" s="638"/>
      <c r="BA44" s="636"/>
      <c r="BB44" s="637"/>
      <c r="BC44" s="637"/>
      <c r="BD44" s="637"/>
      <c r="BE44" s="638"/>
      <c r="BF44" s="636"/>
      <c r="BG44" s="637"/>
      <c r="BH44" s="637"/>
      <c r="BI44" s="637"/>
      <c r="BJ44" s="638"/>
      <c r="BK44" s="507">
        <f t="shared" si="19"/>
        <v>80</v>
      </c>
      <c r="BL44" s="508"/>
      <c r="BM44" s="508"/>
      <c r="BN44" s="509"/>
      <c r="BO44" s="640">
        <v>4</v>
      </c>
      <c r="BP44" s="510"/>
      <c r="BQ44" s="510"/>
      <c r="BR44" s="510"/>
      <c r="BS44" s="269"/>
      <c r="BT44" s="322"/>
      <c r="BU44" s="510"/>
      <c r="BV44" s="510"/>
      <c r="BW44" s="510"/>
      <c r="BX44" s="269"/>
      <c r="BY44" s="322"/>
      <c r="BZ44" s="510"/>
      <c r="CA44" s="510"/>
      <c r="CB44" s="510"/>
      <c r="CC44" s="269"/>
      <c r="CD44" s="506"/>
      <c r="CE44" s="504"/>
      <c r="CF44" s="504"/>
      <c r="CG44" s="504"/>
      <c r="CH44" s="505"/>
      <c r="CI44" s="506"/>
      <c r="CJ44" s="504"/>
      <c r="CK44" s="504"/>
      <c r="CL44" s="504"/>
      <c r="CM44" s="505"/>
      <c r="CN44" s="506"/>
      <c r="CO44" s="504"/>
      <c r="CP44" s="504"/>
      <c r="CQ44" s="504"/>
      <c r="CR44" s="505"/>
      <c r="CS44" s="511"/>
      <c r="CT44" s="511"/>
      <c r="CU44" s="511"/>
      <c r="CV44" s="511"/>
      <c r="CW44" s="511"/>
      <c r="CX44" s="511"/>
      <c r="CY44" s="511"/>
      <c r="CZ44" s="511"/>
      <c r="DA44" s="511"/>
      <c r="DB44" s="511"/>
      <c r="DC44" s="270"/>
      <c r="DD44" s="270"/>
      <c r="DE44" s="270"/>
      <c r="DF44" s="270"/>
      <c r="DG44" s="533"/>
      <c r="DH44" s="640">
        <v>4</v>
      </c>
      <c r="DI44" s="510"/>
      <c r="DJ44" s="510"/>
      <c r="DK44" s="510"/>
      <c r="DL44" s="269"/>
      <c r="DM44" s="322"/>
      <c r="DN44" s="510"/>
      <c r="DO44" s="510"/>
      <c r="DP44" s="510"/>
      <c r="DQ44" s="269"/>
      <c r="DR44" s="506"/>
      <c r="DS44" s="504"/>
      <c r="DT44" s="504"/>
      <c r="DU44" s="504"/>
      <c r="DV44" s="505"/>
      <c r="DW44" s="506"/>
      <c r="DX44" s="504"/>
      <c r="DY44" s="504"/>
      <c r="DZ44" s="504"/>
      <c r="EA44" s="505"/>
      <c r="EB44" s="506"/>
      <c r="EC44" s="504"/>
      <c r="ED44" s="504"/>
      <c r="EE44" s="504"/>
      <c r="EF44" s="505"/>
      <c r="EG44" s="506"/>
      <c r="EH44" s="504"/>
      <c r="EI44" s="504"/>
      <c r="EJ44" s="504"/>
      <c r="EK44" s="505"/>
      <c r="EL44" s="506"/>
      <c r="EM44" s="504"/>
      <c r="EN44" s="504"/>
      <c r="EO44" s="504"/>
      <c r="EP44" s="505"/>
      <c r="EQ44" s="506"/>
      <c r="ER44" s="504"/>
      <c r="ES44" s="504"/>
      <c r="ET44" s="504"/>
      <c r="EU44" s="505"/>
      <c r="EV44" s="270"/>
      <c r="EW44" s="270"/>
      <c r="EX44" s="270"/>
      <c r="EY44" s="270"/>
      <c r="EZ44" s="533"/>
      <c r="FA44" s="499">
        <f t="shared" si="20"/>
        <v>4</v>
      </c>
      <c r="FB44" s="339"/>
      <c r="FC44" s="500"/>
    </row>
    <row r="45" spans="1:160" s="78" customFormat="1" ht="90" customHeight="1" x14ac:dyDescent="0.8">
      <c r="A45" s="140" t="s">
        <v>102</v>
      </c>
      <c r="B45" s="132" t="s">
        <v>150</v>
      </c>
      <c r="C45" s="294" t="s">
        <v>188</v>
      </c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631">
        <f t="shared" si="17"/>
        <v>510</v>
      </c>
      <c r="AA45" s="508"/>
      <c r="AB45" s="508"/>
      <c r="AC45" s="632"/>
      <c r="AD45" s="270"/>
      <c r="AE45" s="270"/>
      <c r="AF45" s="270"/>
      <c r="AG45" s="633">
        <f t="shared" si="18"/>
        <v>190</v>
      </c>
      <c r="AH45" s="634"/>
      <c r="AI45" s="634"/>
      <c r="AJ45" s="634"/>
      <c r="AK45" s="635"/>
      <c r="AL45" s="273"/>
      <c r="AM45" s="273"/>
      <c r="AN45" s="273"/>
      <c r="AO45" s="273"/>
      <c r="AP45" s="273"/>
      <c r="AQ45" s="273">
        <v>190</v>
      </c>
      <c r="AR45" s="273"/>
      <c r="AS45" s="273"/>
      <c r="AT45" s="273"/>
      <c r="AU45" s="273"/>
      <c r="AV45" s="273"/>
      <c r="AW45" s="273"/>
      <c r="AX45" s="273"/>
      <c r="AY45" s="273"/>
      <c r="AZ45" s="273"/>
      <c r="BA45" s="274"/>
      <c r="BB45" s="274"/>
      <c r="BC45" s="274"/>
      <c r="BD45" s="274"/>
      <c r="BE45" s="274"/>
      <c r="BF45" s="274"/>
      <c r="BG45" s="274"/>
      <c r="BH45" s="274"/>
      <c r="BI45" s="274"/>
      <c r="BJ45" s="274"/>
      <c r="BK45" s="507">
        <f t="shared" si="19"/>
        <v>320</v>
      </c>
      <c r="BL45" s="508"/>
      <c r="BM45" s="508"/>
      <c r="BN45" s="509"/>
      <c r="BO45" s="640">
        <v>2</v>
      </c>
      <c r="BP45" s="510"/>
      <c r="BQ45" s="510"/>
      <c r="BR45" s="510"/>
      <c r="BS45" s="269"/>
      <c r="BT45" s="322">
        <v>4</v>
      </c>
      <c r="BU45" s="510"/>
      <c r="BV45" s="510"/>
      <c r="BW45" s="510"/>
      <c r="BX45" s="269"/>
      <c r="BY45" s="270">
        <v>4</v>
      </c>
      <c r="BZ45" s="270"/>
      <c r="CA45" s="270"/>
      <c r="CB45" s="270"/>
      <c r="CC45" s="270"/>
      <c r="CD45" s="270">
        <v>3</v>
      </c>
      <c r="CE45" s="270"/>
      <c r="CF45" s="270"/>
      <c r="CG45" s="270"/>
      <c r="CH45" s="270"/>
      <c r="CI45" s="506"/>
      <c r="CJ45" s="504"/>
      <c r="CK45" s="504"/>
      <c r="CL45" s="504"/>
      <c r="CM45" s="505"/>
      <c r="CN45" s="506"/>
      <c r="CO45" s="504"/>
      <c r="CP45" s="504"/>
      <c r="CQ45" s="504"/>
      <c r="CR45" s="505"/>
      <c r="CS45" s="511"/>
      <c r="CT45" s="511"/>
      <c r="CU45" s="511"/>
      <c r="CV45" s="511"/>
      <c r="CW45" s="511"/>
      <c r="CX45" s="511"/>
      <c r="CY45" s="511"/>
      <c r="CZ45" s="511"/>
      <c r="DA45" s="511"/>
      <c r="DB45" s="511"/>
      <c r="DC45" s="501"/>
      <c r="DD45" s="501"/>
      <c r="DE45" s="501"/>
      <c r="DF45" s="501"/>
      <c r="DG45" s="502"/>
      <c r="DH45" s="640">
        <v>4</v>
      </c>
      <c r="DI45" s="510"/>
      <c r="DJ45" s="510"/>
      <c r="DK45" s="510"/>
      <c r="DL45" s="269"/>
      <c r="DM45" s="322">
        <v>5</v>
      </c>
      <c r="DN45" s="510"/>
      <c r="DO45" s="510"/>
      <c r="DP45" s="510"/>
      <c r="DQ45" s="269"/>
      <c r="DR45" s="270">
        <v>4</v>
      </c>
      <c r="DS45" s="270"/>
      <c r="DT45" s="270"/>
      <c r="DU45" s="270"/>
      <c r="DV45" s="270"/>
      <c r="DW45" s="270">
        <v>4</v>
      </c>
      <c r="DX45" s="270"/>
      <c r="DY45" s="270"/>
      <c r="DZ45" s="270"/>
      <c r="EA45" s="270"/>
      <c r="EB45" s="506"/>
      <c r="EC45" s="504"/>
      <c r="ED45" s="504"/>
      <c r="EE45" s="504"/>
      <c r="EF45" s="505"/>
      <c r="EG45" s="506"/>
      <c r="EH45" s="504"/>
      <c r="EI45" s="504"/>
      <c r="EJ45" s="504"/>
      <c r="EK45" s="505"/>
      <c r="EL45" s="506"/>
      <c r="EM45" s="504"/>
      <c r="EN45" s="504"/>
      <c r="EO45" s="504"/>
      <c r="EP45" s="505"/>
      <c r="EQ45" s="506"/>
      <c r="ER45" s="504"/>
      <c r="ES45" s="504"/>
      <c r="ET45" s="504"/>
      <c r="EU45" s="505"/>
      <c r="EV45" s="501"/>
      <c r="EW45" s="501"/>
      <c r="EX45" s="501"/>
      <c r="EY45" s="501"/>
      <c r="EZ45" s="502"/>
      <c r="FA45" s="499">
        <f t="shared" si="20"/>
        <v>17</v>
      </c>
      <c r="FB45" s="339"/>
      <c r="FC45" s="500"/>
      <c r="FD45" s="79" t="s">
        <v>244</v>
      </c>
    </row>
    <row r="46" spans="1:160" s="78" customFormat="1" ht="90" customHeight="1" x14ac:dyDescent="0.8">
      <c r="A46" s="140" t="s">
        <v>7</v>
      </c>
      <c r="B46" s="132" t="s">
        <v>148</v>
      </c>
      <c r="C46" s="294" t="s">
        <v>187</v>
      </c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631">
        <f t="shared" si="17"/>
        <v>360</v>
      </c>
      <c r="AA46" s="508"/>
      <c r="AB46" s="508"/>
      <c r="AC46" s="632"/>
      <c r="AD46" s="270"/>
      <c r="AE46" s="270"/>
      <c r="AF46" s="270"/>
      <c r="AG46" s="633">
        <f t="shared" si="18"/>
        <v>156</v>
      </c>
      <c r="AH46" s="634"/>
      <c r="AI46" s="634"/>
      <c r="AJ46" s="634"/>
      <c r="AK46" s="635"/>
      <c r="AL46" s="273"/>
      <c r="AM46" s="273"/>
      <c r="AN46" s="273"/>
      <c r="AO46" s="273"/>
      <c r="AP46" s="273"/>
      <c r="AQ46" s="273">
        <v>156</v>
      </c>
      <c r="AR46" s="273"/>
      <c r="AS46" s="273"/>
      <c r="AT46" s="273"/>
      <c r="AU46" s="273"/>
      <c r="AV46" s="273"/>
      <c r="AW46" s="273"/>
      <c r="AX46" s="273"/>
      <c r="AY46" s="273"/>
      <c r="AZ46" s="273"/>
      <c r="BA46" s="274"/>
      <c r="BB46" s="274"/>
      <c r="BC46" s="274"/>
      <c r="BD46" s="274"/>
      <c r="BE46" s="274"/>
      <c r="BF46" s="274"/>
      <c r="BG46" s="274"/>
      <c r="BH46" s="274"/>
      <c r="BI46" s="274"/>
      <c r="BJ46" s="274"/>
      <c r="BK46" s="507">
        <f t="shared" si="19"/>
        <v>204</v>
      </c>
      <c r="BL46" s="508"/>
      <c r="BM46" s="508"/>
      <c r="BN46" s="509"/>
      <c r="BO46" s="640"/>
      <c r="BP46" s="510"/>
      <c r="BQ46" s="510"/>
      <c r="BR46" s="510"/>
      <c r="BS46" s="269"/>
      <c r="BT46" s="322"/>
      <c r="BU46" s="510"/>
      <c r="BV46" s="510"/>
      <c r="BW46" s="510"/>
      <c r="BX46" s="269"/>
      <c r="BY46" s="270">
        <v>4</v>
      </c>
      <c r="BZ46" s="270"/>
      <c r="CA46" s="270"/>
      <c r="CB46" s="270"/>
      <c r="CC46" s="270"/>
      <c r="CD46" s="270">
        <v>5</v>
      </c>
      <c r="CE46" s="270"/>
      <c r="CF46" s="270"/>
      <c r="CG46" s="270"/>
      <c r="CH46" s="270"/>
      <c r="CI46" s="506"/>
      <c r="CJ46" s="504"/>
      <c r="CK46" s="504"/>
      <c r="CL46" s="504"/>
      <c r="CM46" s="505"/>
      <c r="CN46" s="506"/>
      <c r="CO46" s="504"/>
      <c r="CP46" s="504"/>
      <c r="CQ46" s="504"/>
      <c r="CR46" s="505"/>
      <c r="CS46" s="511"/>
      <c r="CT46" s="511"/>
      <c r="CU46" s="511"/>
      <c r="CV46" s="511"/>
      <c r="CW46" s="511"/>
      <c r="CX46" s="511"/>
      <c r="CY46" s="511"/>
      <c r="CZ46" s="511"/>
      <c r="DA46" s="511"/>
      <c r="DB46" s="511"/>
      <c r="DC46" s="501"/>
      <c r="DD46" s="501"/>
      <c r="DE46" s="501"/>
      <c r="DF46" s="501"/>
      <c r="DG46" s="502"/>
      <c r="DH46" s="640"/>
      <c r="DI46" s="510"/>
      <c r="DJ46" s="510"/>
      <c r="DK46" s="510"/>
      <c r="DL46" s="269"/>
      <c r="DM46" s="322"/>
      <c r="DN46" s="510"/>
      <c r="DO46" s="510"/>
      <c r="DP46" s="510"/>
      <c r="DQ46" s="269"/>
      <c r="DR46" s="270">
        <v>4</v>
      </c>
      <c r="DS46" s="270"/>
      <c r="DT46" s="270"/>
      <c r="DU46" s="270"/>
      <c r="DV46" s="270"/>
      <c r="DW46" s="270">
        <v>8</v>
      </c>
      <c r="DX46" s="270"/>
      <c r="DY46" s="270"/>
      <c r="DZ46" s="270"/>
      <c r="EA46" s="270"/>
      <c r="EB46" s="506"/>
      <c r="EC46" s="504"/>
      <c r="ED46" s="504"/>
      <c r="EE46" s="504"/>
      <c r="EF46" s="505"/>
      <c r="EG46" s="506"/>
      <c r="EH46" s="504"/>
      <c r="EI46" s="504"/>
      <c r="EJ46" s="504"/>
      <c r="EK46" s="505"/>
      <c r="EL46" s="506"/>
      <c r="EM46" s="504"/>
      <c r="EN46" s="504"/>
      <c r="EO46" s="504"/>
      <c r="EP46" s="505"/>
      <c r="EQ46" s="506"/>
      <c r="ER46" s="504"/>
      <c r="ES46" s="504"/>
      <c r="ET46" s="504"/>
      <c r="EU46" s="505"/>
      <c r="EV46" s="501"/>
      <c r="EW46" s="501"/>
      <c r="EX46" s="501"/>
      <c r="EY46" s="501"/>
      <c r="EZ46" s="502"/>
      <c r="FA46" s="499">
        <f t="shared" si="20"/>
        <v>12</v>
      </c>
      <c r="FB46" s="339"/>
      <c r="FC46" s="500"/>
      <c r="FD46" s="79" t="s">
        <v>245</v>
      </c>
    </row>
    <row r="47" spans="1:160" s="78" customFormat="1" ht="90" customHeight="1" x14ac:dyDescent="0.2">
      <c r="A47" s="140" t="s">
        <v>8</v>
      </c>
      <c r="B47" s="132" t="s">
        <v>149</v>
      </c>
      <c r="C47" s="294" t="s">
        <v>147</v>
      </c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631">
        <f t="shared" si="17"/>
        <v>180</v>
      </c>
      <c r="AA47" s="508"/>
      <c r="AB47" s="508"/>
      <c r="AC47" s="632"/>
      <c r="AD47" s="270"/>
      <c r="AE47" s="270"/>
      <c r="AF47" s="270"/>
      <c r="AG47" s="633">
        <f t="shared" si="18"/>
        <v>78</v>
      </c>
      <c r="AH47" s="634"/>
      <c r="AI47" s="634"/>
      <c r="AJ47" s="634"/>
      <c r="AK47" s="635"/>
      <c r="AL47" s="273"/>
      <c r="AM47" s="273"/>
      <c r="AN47" s="273"/>
      <c r="AO47" s="273"/>
      <c r="AP47" s="273"/>
      <c r="AQ47" s="273">
        <v>78</v>
      </c>
      <c r="AR47" s="273"/>
      <c r="AS47" s="273"/>
      <c r="AT47" s="273"/>
      <c r="AU47" s="273"/>
      <c r="AV47" s="273"/>
      <c r="AW47" s="273"/>
      <c r="AX47" s="273"/>
      <c r="AY47" s="273"/>
      <c r="AZ47" s="273"/>
      <c r="BA47" s="274"/>
      <c r="BB47" s="274"/>
      <c r="BC47" s="274"/>
      <c r="BD47" s="274"/>
      <c r="BE47" s="274"/>
      <c r="BF47" s="274"/>
      <c r="BG47" s="274"/>
      <c r="BH47" s="274"/>
      <c r="BI47" s="274"/>
      <c r="BJ47" s="274"/>
      <c r="BK47" s="507">
        <f t="shared" si="19"/>
        <v>102</v>
      </c>
      <c r="BL47" s="508"/>
      <c r="BM47" s="508"/>
      <c r="BN47" s="509"/>
      <c r="BO47" s="640"/>
      <c r="BP47" s="510"/>
      <c r="BQ47" s="510"/>
      <c r="BR47" s="510"/>
      <c r="BS47" s="269"/>
      <c r="BT47" s="322"/>
      <c r="BU47" s="510"/>
      <c r="BV47" s="510"/>
      <c r="BW47" s="510"/>
      <c r="BX47" s="269"/>
      <c r="BY47" s="270">
        <v>2</v>
      </c>
      <c r="BZ47" s="270"/>
      <c r="CA47" s="270"/>
      <c r="CB47" s="270"/>
      <c r="CC47" s="270"/>
      <c r="CD47" s="270">
        <v>5</v>
      </c>
      <c r="CE47" s="270"/>
      <c r="CF47" s="270"/>
      <c r="CG47" s="270"/>
      <c r="CH47" s="270"/>
      <c r="CI47" s="506"/>
      <c r="CJ47" s="504"/>
      <c r="CK47" s="504"/>
      <c r="CL47" s="504"/>
      <c r="CM47" s="505"/>
      <c r="CN47" s="506"/>
      <c r="CO47" s="504"/>
      <c r="CP47" s="504"/>
      <c r="CQ47" s="504"/>
      <c r="CR47" s="505"/>
      <c r="CS47" s="511"/>
      <c r="CT47" s="511"/>
      <c r="CU47" s="511"/>
      <c r="CV47" s="511"/>
      <c r="CW47" s="511"/>
      <c r="CX47" s="511"/>
      <c r="CY47" s="511"/>
      <c r="CZ47" s="511"/>
      <c r="DA47" s="511"/>
      <c r="DB47" s="511"/>
      <c r="DC47" s="501"/>
      <c r="DD47" s="501"/>
      <c r="DE47" s="501"/>
      <c r="DF47" s="501"/>
      <c r="DG47" s="502"/>
      <c r="DH47" s="503"/>
      <c r="DI47" s="504"/>
      <c r="DJ47" s="504"/>
      <c r="DK47" s="504"/>
      <c r="DL47" s="505"/>
      <c r="DM47" s="506"/>
      <c r="DN47" s="504"/>
      <c r="DO47" s="504"/>
      <c r="DP47" s="504"/>
      <c r="DQ47" s="505"/>
      <c r="DR47" s="270">
        <v>2</v>
      </c>
      <c r="DS47" s="270"/>
      <c r="DT47" s="270"/>
      <c r="DU47" s="270"/>
      <c r="DV47" s="270"/>
      <c r="DW47" s="270">
        <v>4</v>
      </c>
      <c r="DX47" s="270"/>
      <c r="DY47" s="270"/>
      <c r="DZ47" s="270"/>
      <c r="EA47" s="270"/>
      <c r="EB47" s="506"/>
      <c r="EC47" s="504"/>
      <c r="ED47" s="504"/>
      <c r="EE47" s="504"/>
      <c r="EF47" s="505"/>
      <c r="EG47" s="506"/>
      <c r="EH47" s="504"/>
      <c r="EI47" s="504"/>
      <c r="EJ47" s="504"/>
      <c r="EK47" s="505"/>
      <c r="EL47" s="506"/>
      <c r="EM47" s="504"/>
      <c r="EN47" s="504"/>
      <c r="EO47" s="504"/>
      <c r="EP47" s="505"/>
      <c r="EQ47" s="506"/>
      <c r="ER47" s="504"/>
      <c r="ES47" s="504"/>
      <c r="ET47" s="504"/>
      <c r="EU47" s="505"/>
      <c r="EV47" s="501"/>
      <c r="EW47" s="501"/>
      <c r="EX47" s="501"/>
      <c r="EY47" s="501"/>
      <c r="EZ47" s="502"/>
      <c r="FA47" s="499">
        <f t="shared" si="20"/>
        <v>6</v>
      </c>
      <c r="FB47" s="339"/>
      <c r="FC47" s="500"/>
    </row>
    <row r="48" spans="1:160" s="78" customFormat="1" ht="90" customHeight="1" x14ac:dyDescent="0.2">
      <c r="A48" s="140" t="s">
        <v>9</v>
      </c>
      <c r="B48" s="132" t="s">
        <v>151</v>
      </c>
      <c r="C48" s="294" t="s">
        <v>233</v>
      </c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631">
        <f t="shared" si="17"/>
        <v>120</v>
      </c>
      <c r="AA48" s="508"/>
      <c r="AB48" s="508"/>
      <c r="AC48" s="632"/>
      <c r="AD48" s="270"/>
      <c r="AE48" s="270"/>
      <c r="AF48" s="270"/>
      <c r="AG48" s="633">
        <f t="shared" si="18"/>
        <v>48</v>
      </c>
      <c r="AH48" s="634"/>
      <c r="AI48" s="634"/>
      <c r="AJ48" s="634"/>
      <c r="AK48" s="635"/>
      <c r="AL48" s="273">
        <v>32</v>
      </c>
      <c r="AM48" s="273"/>
      <c r="AN48" s="273"/>
      <c r="AO48" s="273"/>
      <c r="AP48" s="273"/>
      <c r="AQ48" s="273">
        <v>8</v>
      </c>
      <c r="AR48" s="273"/>
      <c r="AS48" s="273"/>
      <c r="AT48" s="273"/>
      <c r="AU48" s="273"/>
      <c r="AV48" s="273">
        <v>8</v>
      </c>
      <c r="AW48" s="273"/>
      <c r="AX48" s="273"/>
      <c r="AY48" s="273"/>
      <c r="AZ48" s="273"/>
      <c r="BA48" s="274"/>
      <c r="BB48" s="274"/>
      <c r="BC48" s="274"/>
      <c r="BD48" s="274"/>
      <c r="BE48" s="274"/>
      <c r="BF48" s="274"/>
      <c r="BG48" s="274"/>
      <c r="BH48" s="274"/>
      <c r="BI48" s="274"/>
      <c r="BJ48" s="274"/>
      <c r="BK48" s="507">
        <f t="shared" si="19"/>
        <v>72</v>
      </c>
      <c r="BL48" s="508"/>
      <c r="BM48" s="508"/>
      <c r="BN48" s="509"/>
      <c r="BO48" s="640"/>
      <c r="BP48" s="510"/>
      <c r="BQ48" s="510"/>
      <c r="BR48" s="510"/>
      <c r="BS48" s="269"/>
      <c r="BT48" s="322"/>
      <c r="BU48" s="510"/>
      <c r="BV48" s="510"/>
      <c r="BW48" s="510"/>
      <c r="BX48" s="269"/>
      <c r="BY48" s="270"/>
      <c r="BZ48" s="270"/>
      <c r="CA48" s="270"/>
      <c r="CB48" s="270"/>
      <c r="CC48" s="270"/>
      <c r="CD48" s="270">
        <v>3</v>
      </c>
      <c r="CE48" s="270"/>
      <c r="CF48" s="270"/>
      <c r="CG48" s="270"/>
      <c r="CH48" s="270"/>
      <c r="CI48" s="506"/>
      <c r="CJ48" s="504"/>
      <c r="CK48" s="504"/>
      <c r="CL48" s="504"/>
      <c r="CM48" s="505"/>
      <c r="CN48" s="506"/>
      <c r="CO48" s="504"/>
      <c r="CP48" s="504"/>
      <c r="CQ48" s="504"/>
      <c r="CR48" s="505"/>
      <c r="CS48" s="511"/>
      <c r="CT48" s="511"/>
      <c r="CU48" s="511"/>
      <c r="CV48" s="511"/>
      <c r="CW48" s="511"/>
      <c r="CX48" s="511"/>
      <c r="CY48" s="511"/>
      <c r="CZ48" s="511"/>
      <c r="DA48" s="511"/>
      <c r="DB48" s="511"/>
      <c r="DC48" s="501"/>
      <c r="DD48" s="501"/>
      <c r="DE48" s="501"/>
      <c r="DF48" s="501"/>
      <c r="DG48" s="502"/>
      <c r="DH48" s="503"/>
      <c r="DI48" s="504"/>
      <c r="DJ48" s="504"/>
      <c r="DK48" s="504"/>
      <c r="DL48" s="505"/>
      <c r="DM48" s="506"/>
      <c r="DN48" s="504"/>
      <c r="DO48" s="504"/>
      <c r="DP48" s="504"/>
      <c r="DQ48" s="505"/>
      <c r="DR48" s="270"/>
      <c r="DS48" s="270"/>
      <c r="DT48" s="270"/>
      <c r="DU48" s="270"/>
      <c r="DV48" s="270"/>
      <c r="DW48" s="270">
        <v>4</v>
      </c>
      <c r="DX48" s="270"/>
      <c r="DY48" s="270"/>
      <c r="DZ48" s="270"/>
      <c r="EA48" s="270"/>
      <c r="EB48" s="506"/>
      <c r="EC48" s="504"/>
      <c r="ED48" s="504"/>
      <c r="EE48" s="504"/>
      <c r="EF48" s="505"/>
      <c r="EG48" s="506"/>
      <c r="EH48" s="504"/>
      <c r="EI48" s="504"/>
      <c r="EJ48" s="504"/>
      <c r="EK48" s="505"/>
      <c r="EL48" s="506"/>
      <c r="EM48" s="504"/>
      <c r="EN48" s="504"/>
      <c r="EO48" s="504"/>
      <c r="EP48" s="505"/>
      <c r="EQ48" s="506"/>
      <c r="ER48" s="504"/>
      <c r="ES48" s="504"/>
      <c r="ET48" s="504"/>
      <c r="EU48" s="505"/>
      <c r="EV48" s="501"/>
      <c r="EW48" s="501"/>
      <c r="EX48" s="501"/>
      <c r="EY48" s="501"/>
      <c r="EZ48" s="502"/>
      <c r="FA48" s="499">
        <f t="shared" si="20"/>
        <v>4</v>
      </c>
      <c r="FB48" s="339"/>
      <c r="FC48" s="500"/>
    </row>
    <row r="49" spans="1:160" s="78" customFormat="1" ht="90" customHeight="1" x14ac:dyDescent="0.2">
      <c r="A49" s="140" t="s">
        <v>10</v>
      </c>
      <c r="B49" s="132" t="s">
        <v>153</v>
      </c>
      <c r="C49" s="271" t="s">
        <v>189</v>
      </c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631">
        <f t="shared" si="17"/>
        <v>240</v>
      </c>
      <c r="AA49" s="508"/>
      <c r="AB49" s="508"/>
      <c r="AC49" s="632"/>
      <c r="AD49" s="270"/>
      <c r="AE49" s="270"/>
      <c r="AF49" s="270"/>
      <c r="AG49" s="633">
        <f t="shared" si="18"/>
        <v>108</v>
      </c>
      <c r="AH49" s="634"/>
      <c r="AI49" s="634"/>
      <c r="AJ49" s="634"/>
      <c r="AK49" s="635"/>
      <c r="AL49" s="273"/>
      <c r="AM49" s="273"/>
      <c r="AN49" s="273"/>
      <c r="AO49" s="273"/>
      <c r="AP49" s="273"/>
      <c r="AQ49" s="273">
        <v>108</v>
      </c>
      <c r="AR49" s="273"/>
      <c r="AS49" s="273"/>
      <c r="AT49" s="273"/>
      <c r="AU49" s="273"/>
      <c r="AV49" s="273"/>
      <c r="AW49" s="273"/>
      <c r="AX49" s="273"/>
      <c r="AY49" s="273"/>
      <c r="AZ49" s="273"/>
      <c r="BA49" s="274"/>
      <c r="BB49" s="274"/>
      <c r="BC49" s="274"/>
      <c r="BD49" s="274"/>
      <c r="BE49" s="274"/>
      <c r="BF49" s="274"/>
      <c r="BG49" s="274"/>
      <c r="BH49" s="274"/>
      <c r="BI49" s="274"/>
      <c r="BJ49" s="274"/>
      <c r="BK49" s="507">
        <f t="shared" si="19"/>
        <v>132</v>
      </c>
      <c r="BL49" s="508"/>
      <c r="BM49" s="508"/>
      <c r="BN49" s="509"/>
      <c r="BO49" s="640"/>
      <c r="BP49" s="510"/>
      <c r="BQ49" s="510"/>
      <c r="BR49" s="510"/>
      <c r="BS49" s="269"/>
      <c r="BT49" s="322"/>
      <c r="BU49" s="510"/>
      <c r="BV49" s="510"/>
      <c r="BW49" s="510"/>
      <c r="BX49" s="269"/>
      <c r="BY49" s="270">
        <v>4</v>
      </c>
      <c r="BZ49" s="270"/>
      <c r="CA49" s="270"/>
      <c r="CB49" s="270"/>
      <c r="CC49" s="270"/>
      <c r="CD49" s="270">
        <v>4</v>
      </c>
      <c r="CE49" s="270"/>
      <c r="CF49" s="270"/>
      <c r="CG49" s="270"/>
      <c r="CH49" s="270"/>
      <c r="CI49" s="506"/>
      <c r="CJ49" s="504"/>
      <c r="CK49" s="504"/>
      <c r="CL49" s="504"/>
      <c r="CM49" s="505"/>
      <c r="CN49" s="506"/>
      <c r="CO49" s="504"/>
      <c r="CP49" s="504"/>
      <c r="CQ49" s="504"/>
      <c r="CR49" s="505"/>
      <c r="CS49" s="511"/>
      <c r="CT49" s="511"/>
      <c r="CU49" s="511"/>
      <c r="CV49" s="511"/>
      <c r="CW49" s="511"/>
      <c r="CX49" s="511"/>
      <c r="CY49" s="511"/>
      <c r="CZ49" s="511"/>
      <c r="DA49" s="511"/>
      <c r="DB49" s="511"/>
      <c r="DC49" s="501"/>
      <c r="DD49" s="501"/>
      <c r="DE49" s="501"/>
      <c r="DF49" s="501"/>
      <c r="DG49" s="502"/>
      <c r="DH49" s="503"/>
      <c r="DI49" s="504"/>
      <c r="DJ49" s="504"/>
      <c r="DK49" s="504"/>
      <c r="DL49" s="505"/>
      <c r="DM49" s="506"/>
      <c r="DN49" s="504"/>
      <c r="DO49" s="504"/>
      <c r="DP49" s="504"/>
      <c r="DQ49" s="505"/>
      <c r="DR49" s="270">
        <v>4</v>
      </c>
      <c r="DS49" s="270"/>
      <c r="DT49" s="270"/>
      <c r="DU49" s="270"/>
      <c r="DV49" s="270"/>
      <c r="DW49" s="270">
        <v>4</v>
      </c>
      <c r="DX49" s="270"/>
      <c r="DY49" s="270"/>
      <c r="DZ49" s="270"/>
      <c r="EA49" s="270"/>
      <c r="EB49" s="506"/>
      <c r="EC49" s="504"/>
      <c r="ED49" s="504"/>
      <c r="EE49" s="504"/>
      <c r="EF49" s="505"/>
      <c r="EG49" s="506"/>
      <c r="EH49" s="504"/>
      <c r="EI49" s="504"/>
      <c r="EJ49" s="504"/>
      <c r="EK49" s="505"/>
      <c r="EL49" s="506"/>
      <c r="EM49" s="504"/>
      <c r="EN49" s="504"/>
      <c r="EO49" s="504"/>
      <c r="EP49" s="505"/>
      <c r="EQ49" s="506"/>
      <c r="ER49" s="504"/>
      <c r="ES49" s="504"/>
      <c r="ET49" s="504"/>
      <c r="EU49" s="505"/>
      <c r="EV49" s="501"/>
      <c r="EW49" s="501"/>
      <c r="EX49" s="501"/>
      <c r="EY49" s="501"/>
      <c r="EZ49" s="502"/>
      <c r="FA49" s="499">
        <f t="shared" si="20"/>
        <v>8</v>
      </c>
      <c r="FB49" s="339"/>
      <c r="FC49" s="500"/>
    </row>
    <row r="50" spans="1:160" s="101" customFormat="1" ht="90" customHeight="1" x14ac:dyDescent="0.2">
      <c r="A50" s="141" t="s">
        <v>154</v>
      </c>
      <c r="B50" s="134" t="s">
        <v>85</v>
      </c>
      <c r="C50" s="740" t="s">
        <v>190</v>
      </c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0"/>
      <c r="V50" s="740"/>
      <c r="W50" s="740"/>
      <c r="X50" s="740"/>
      <c r="Y50" s="740"/>
      <c r="Z50" s="741">
        <f t="shared" si="17"/>
        <v>240</v>
      </c>
      <c r="AA50" s="742"/>
      <c r="AB50" s="742"/>
      <c r="AC50" s="743"/>
      <c r="AD50" s="521"/>
      <c r="AE50" s="521"/>
      <c r="AF50" s="521"/>
      <c r="AG50" s="633">
        <f t="shared" si="18"/>
        <v>96</v>
      </c>
      <c r="AH50" s="634"/>
      <c r="AI50" s="634"/>
      <c r="AJ50" s="634"/>
      <c r="AK50" s="635"/>
      <c r="AL50" s="744">
        <v>48</v>
      </c>
      <c r="AM50" s="744"/>
      <c r="AN50" s="744"/>
      <c r="AO50" s="744"/>
      <c r="AP50" s="744"/>
      <c r="AQ50" s="744">
        <v>48</v>
      </c>
      <c r="AR50" s="744"/>
      <c r="AS50" s="744"/>
      <c r="AT50" s="744"/>
      <c r="AU50" s="744"/>
      <c r="AV50" s="744"/>
      <c r="AW50" s="744"/>
      <c r="AX50" s="744"/>
      <c r="AY50" s="744"/>
      <c r="AZ50" s="744"/>
      <c r="BA50" s="745"/>
      <c r="BB50" s="745"/>
      <c r="BC50" s="745"/>
      <c r="BD50" s="745"/>
      <c r="BE50" s="745"/>
      <c r="BF50" s="745"/>
      <c r="BG50" s="745"/>
      <c r="BH50" s="745"/>
      <c r="BI50" s="745"/>
      <c r="BJ50" s="745"/>
      <c r="BK50" s="507">
        <f t="shared" si="19"/>
        <v>144</v>
      </c>
      <c r="BL50" s="508"/>
      <c r="BM50" s="508"/>
      <c r="BN50" s="509"/>
      <c r="BO50" s="656"/>
      <c r="BP50" s="648"/>
      <c r="BQ50" s="648"/>
      <c r="BR50" s="648"/>
      <c r="BS50" s="649"/>
      <c r="BT50" s="647"/>
      <c r="BU50" s="648"/>
      <c r="BV50" s="648"/>
      <c r="BW50" s="648"/>
      <c r="BX50" s="649"/>
      <c r="BY50" s="647"/>
      <c r="BZ50" s="648"/>
      <c r="CA50" s="648"/>
      <c r="CB50" s="648"/>
      <c r="CC50" s="649"/>
      <c r="CD50" s="647"/>
      <c r="CE50" s="648"/>
      <c r="CF50" s="648"/>
      <c r="CG50" s="648"/>
      <c r="CH50" s="649"/>
      <c r="CI50" s="521">
        <v>3</v>
      </c>
      <c r="CJ50" s="521"/>
      <c r="CK50" s="521"/>
      <c r="CL50" s="521"/>
      <c r="CM50" s="521"/>
      <c r="CN50" s="521">
        <v>3</v>
      </c>
      <c r="CO50" s="521"/>
      <c r="CP50" s="521"/>
      <c r="CQ50" s="521"/>
      <c r="CR50" s="521"/>
      <c r="CS50" s="522"/>
      <c r="CT50" s="522"/>
      <c r="CU50" s="522"/>
      <c r="CV50" s="522"/>
      <c r="CW50" s="522"/>
      <c r="CX50" s="522"/>
      <c r="CY50" s="522"/>
      <c r="CZ50" s="522"/>
      <c r="DA50" s="522"/>
      <c r="DB50" s="522"/>
      <c r="DC50" s="521"/>
      <c r="DD50" s="521"/>
      <c r="DE50" s="521"/>
      <c r="DF50" s="521"/>
      <c r="DG50" s="655"/>
      <c r="DH50" s="656"/>
      <c r="DI50" s="648"/>
      <c r="DJ50" s="648"/>
      <c r="DK50" s="648"/>
      <c r="DL50" s="649"/>
      <c r="DM50" s="647"/>
      <c r="DN50" s="648"/>
      <c r="DO50" s="648"/>
      <c r="DP50" s="648"/>
      <c r="DQ50" s="649"/>
      <c r="DR50" s="647"/>
      <c r="DS50" s="648"/>
      <c r="DT50" s="648"/>
      <c r="DU50" s="648"/>
      <c r="DV50" s="649"/>
      <c r="DW50" s="647"/>
      <c r="DX50" s="648"/>
      <c r="DY50" s="648"/>
      <c r="DZ50" s="648"/>
      <c r="EA50" s="649"/>
      <c r="EB50" s="521">
        <v>4</v>
      </c>
      <c r="EC50" s="521"/>
      <c r="ED50" s="521"/>
      <c r="EE50" s="521"/>
      <c r="EF50" s="521"/>
      <c r="EG50" s="521">
        <v>4</v>
      </c>
      <c r="EH50" s="521"/>
      <c r="EI50" s="521"/>
      <c r="EJ50" s="521"/>
      <c r="EK50" s="521"/>
      <c r="EL50" s="647"/>
      <c r="EM50" s="648"/>
      <c r="EN50" s="648"/>
      <c r="EO50" s="648"/>
      <c r="EP50" s="649"/>
      <c r="EQ50" s="647"/>
      <c r="ER50" s="648"/>
      <c r="ES50" s="648"/>
      <c r="ET50" s="648"/>
      <c r="EU50" s="649"/>
      <c r="EV50" s="650"/>
      <c r="EW50" s="650"/>
      <c r="EX50" s="650"/>
      <c r="EY50" s="650"/>
      <c r="EZ50" s="651"/>
      <c r="FA50" s="652">
        <f t="shared" si="20"/>
        <v>8</v>
      </c>
      <c r="FB50" s="653"/>
      <c r="FC50" s="654"/>
    </row>
    <row r="51" spans="1:160" s="101" customFormat="1" ht="120" customHeight="1" x14ac:dyDescent="0.2">
      <c r="A51" s="141" t="s">
        <v>11</v>
      </c>
      <c r="B51" s="134" t="s">
        <v>152</v>
      </c>
      <c r="C51" s="539" t="s">
        <v>191</v>
      </c>
      <c r="D51" s="539"/>
      <c r="E51" s="539"/>
      <c r="F51" s="539"/>
      <c r="G51" s="539"/>
      <c r="H51" s="539"/>
      <c r="I51" s="539"/>
      <c r="J51" s="539"/>
      <c r="K51" s="539"/>
      <c r="L51" s="539"/>
      <c r="M51" s="539"/>
      <c r="N51" s="539"/>
      <c r="O51" s="539"/>
      <c r="P51" s="539"/>
      <c r="Q51" s="539"/>
      <c r="R51" s="539"/>
      <c r="S51" s="539"/>
      <c r="T51" s="539"/>
      <c r="U51" s="539"/>
      <c r="V51" s="539"/>
      <c r="W51" s="539"/>
      <c r="X51" s="539"/>
      <c r="Y51" s="539"/>
      <c r="Z51" s="741">
        <f t="shared" si="17"/>
        <v>240</v>
      </c>
      <c r="AA51" s="742"/>
      <c r="AB51" s="742"/>
      <c r="AC51" s="743"/>
      <c r="AD51" s="521"/>
      <c r="AE51" s="521"/>
      <c r="AF51" s="521"/>
      <c r="AG51" s="633">
        <f t="shared" si="18"/>
        <v>96</v>
      </c>
      <c r="AH51" s="634"/>
      <c r="AI51" s="634"/>
      <c r="AJ51" s="634"/>
      <c r="AK51" s="635"/>
      <c r="AL51" s="744"/>
      <c r="AM51" s="744"/>
      <c r="AN51" s="744"/>
      <c r="AO51" s="744"/>
      <c r="AP51" s="744"/>
      <c r="AQ51" s="744">
        <v>96</v>
      </c>
      <c r="AR51" s="744"/>
      <c r="AS51" s="744"/>
      <c r="AT51" s="744"/>
      <c r="AU51" s="744"/>
      <c r="AV51" s="744"/>
      <c r="AW51" s="744"/>
      <c r="AX51" s="744"/>
      <c r="AY51" s="744"/>
      <c r="AZ51" s="744"/>
      <c r="BA51" s="745"/>
      <c r="BB51" s="745"/>
      <c r="BC51" s="745"/>
      <c r="BD51" s="745"/>
      <c r="BE51" s="745"/>
      <c r="BF51" s="745"/>
      <c r="BG51" s="745"/>
      <c r="BH51" s="745"/>
      <c r="BI51" s="745"/>
      <c r="BJ51" s="745"/>
      <c r="BK51" s="507">
        <f t="shared" si="19"/>
        <v>144</v>
      </c>
      <c r="BL51" s="508"/>
      <c r="BM51" s="508"/>
      <c r="BN51" s="509"/>
      <c r="BO51" s="656"/>
      <c r="BP51" s="648"/>
      <c r="BQ51" s="648"/>
      <c r="BR51" s="648"/>
      <c r="BS51" s="649"/>
      <c r="BT51" s="647"/>
      <c r="BU51" s="648"/>
      <c r="BV51" s="648"/>
      <c r="BW51" s="648"/>
      <c r="BX51" s="649"/>
      <c r="BY51" s="647"/>
      <c r="BZ51" s="648"/>
      <c r="CA51" s="648"/>
      <c r="CB51" s="648"/>
      <c r="CC51" s="649"/>
      <c r="CD51" s="647"/>
      <c r="CE51" s="648"/>
      <c r="CF51" s="648"/>
      <c r="CG51" s="648"/>
      <c r="CH51" s="649"/>
      <c r="CI51" s="521">
        <v>3</v>
      </c>
      <c r="CJ51" s="521"/>
      <c r="CK51" s="521"/>
      <c r="CL51" s="521"/>
      <c r="CM51" s="521"/>
      <c r="CN51" s="521">
        <v>4</v>
      </c>
      <c r="CO51" s="521"/>
      <c r="CP51" s="521"/>
      <c r="CQ51" s="521"/>
      <c r="CR51" s="521"/>
      <c r="CS51" s="522"/>
      <c r="CT51" s="522"/>
      <c r="CU51" s="522"/>
      <c r="CV51" s="522"/>
      <c r="CW51" s="522"/>
      <c r="CX51" s="522"/>
      <c r="CY51" s="522"/>
      <c r="CZ51" s="522"/>
      <c r="DA51" s="522"/>
      <c r="DB51" s="522"/>
      <c r="DC51" s="521"/>
      <c r="DD51" s="521"/>
      <c r="DE51" s="521"/>
      <c r="DF51" s="521"/>
      <c r="DG51" s="655"/>
      <c r="DH51" s="656"/>
      <c r="DI51" s="648"/>
      <c r="DJ51" s="648"/>
      <c r="DK51" s="648"/>
      <c r="DL51" s="649"/>
      <c r="DM51" s="647"/>
      <c r="DN51" s="648"/>
      <c r="DO51" s="648"/>
      <c r="DP51" s="648"/>
      <c r="DQ51" s="649"/>
      <c r="DR51" s="647"/>
      <c r="DS51" s="648"/>
      <c r="DT51" s="648"/>
      <c r="DU51" s="648"/>
      <c r="DV51" s="649"/>
      <c r="DW51" s="647"/>
      <c r="DX51" s="648"/>
      <c r="DY51" s="648"/>
      <c r="DZ51" s="648"/>
      <c r="EA51" s="649"/>
      <c r="EB51" s="521">
        <v>4</v>
      </c>
      <c r="EC51" s="521"/>
      <c r="ED51" s="521"/>
      <c r="EE51" s="521"/>
      <c r="EF51" s="521"/>
      <c r="EG51" s="521">
        <v>4</v>
      </c>
      <c r="EH51" s="521"/>
      <c r="EI51" s="521"/>
      <c r="EJ51" s="521"/>
      <c r="EK51" s="521"/>
      <c r="EL51" s="647"/>
      <c r="EM51" s="648"/>
      <c r="EN51" s="648"/>
      <c r="EO51" s="648"/>
      <c r="EP51" s="649"/>
      <c r="EQ51" s="647"/>
      <c r="ER51" s="648"/>
      <c r="ES51" s="648"/>
      <c r="ET51" s="648"/>
      <c r="EU51" s="649"/>
      <c r="EV51" s="650"/>
      <c r="EW51" s="650"/>
      <c r="EX51" s="650"/>
      <c r="EY51" s="650"/>
      <c r="EZ51" s="651"/>
      <c r="FA51" s="652">
        <f t="shared" si="20"/>
        <v>8</v>
      </c>
      <c r="FB51" s="653"/>
      <c r="FC51" s="654"/>
    </row>
    <row r="52" spans="1:160" s="101" customFormat="1" ht="90" customHeight="1" x14ac:dyDescent="0.2">
      <c r="A52" s="141" t="s">
        <v>12</v>
      </c>
      <c r="B52" s="134" t="s">
        <v>138</v>
      </c>
      <c r="C52" s="740" t="s">
        <v>134</v>
      </c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40"/>
      <c r="X52" s="740"/>
      <c r="Y52" s="740"/>
      <c r="Z52" s="741">
        <f t="shared" si="17"/>
        <v>240</v>
      </c>
      <c r="AA52" s="742"/>
      <c r="AB52" s="742"/>
      <c r="AC52" s="743"/>
      <c r="AD52" s="521"/>
      <c r="AE52" s="521"/>
      <c r="AF52" s="521"/>
      <c r="AG52" s="633">
        <f t="shared" si="18"/>
        <v>96</v>
      </c>
      <c r="AH52" s="634"/>
      <c r="AI52" s="634"/>
      <c r="AJ52" s="634"/>
      <c r="AK52" s="635"/>
      <c r="AL52" s="744">
        <v>48</v>
      </c>
      <c r="AM52" s="744"/>
      <c r="AN52" s="744"/>
      <c r="AO52" s="744"/>
      <c r="AP52" s="744"/>
      <c r="AQ52" s="744">
        <v>48</v>
      </c>
      <c r="AR52" s="744"/>
      <c r="AS52" s="744"/>
      <c r="AT52" s="744"/>
      <c r="AU52" s="744"/>
      <c r="AV52" s="744"/>
      <c r="AW52" s="744"/>
      <c r="AX52" s="744"/>
      <c r="AY52" s="744"/>
      <c r="AZ52" s="744"/>
      <c r="BA52" s="745"/>
      <c r="BB52" s="745"/>
      <c r="BC52" s="745"/>
      <c r="BD52" s="745"/>
      <c r="BE52" s="745"/>
      <c r="BF52" s="745"/>
      <c r="BG52" s="745"/>
      <c r="BH52" s="745"/>
      <c r="BI52" s="745"/>
      <c r="BJ52" s="745"/>
      <c r="BK52" s="507">
        <f t="shared" si="19"/>
        <v>144</v>
      </c>
      <c r="BL52" s="508"/>
      <c r="BM52" s="508"/>
      <c r="BN52" s="509"/>
      <c r="BO52" s="656"/>
      <c r="BP52" s="648"/>
      <c r="BQ52" s="648"/>
      <c r="BR52" s="648"/>
      <c r="BS52" s="649"/>
      <c r="BT52" s="647"/>
      <c r="BU52" s="648"/>
      <c r="BV52" s="648"/>
      <c r="BW52" s="648"/>
      <c r="BX52" s="649"/>
      <c r="BY52" s="647"/>
      <c r="BZ52" s="648"/>
      <c r="CA52" s="648"/>
      <c r="CB52" s="648"/>
      <c r="CC52" s="649"/>
      <c r="CD52" s="647"/>
      <c r="CE52" s="648"/>
      <c r="CF52" s="648"/>
      <c r="CG52" s="648"/>
      <c r="CH52" s="649"/>
      <c r="CI52" s="521">
        <v>4</v>
      </c>
      <c r="CJ52" s="521"/>
      <c r="CK52" s="521"/>
      <c r="CL52" s="521"/>
      <c r="CM52" s="521"/>
      <c r="CN52" s="521">
        <v>3</v>
      </c>
      <c r="CO52" s="521"/>
      <c r="CP52" s="521"/>
      <c r="CQ52" s="521"/>
      <c r="CR52" s="521"/>
      <c r="CS52" s="522"/>
      <c r="CT52" s="522"/>
      <c r="CU52" s="522"/>
      <c r="CV52" s="522"/>
      <c r="CW52" s="522"/>
      <c r="CX52" s="522"/>
      <c r="CY52" s="522"/>
      <c r="CZ52" s="522"/>
      <c r="DA52" s="522"/>
      <c r="DB52" s="522"/>
      <c r="DC52" s="650"/>
      <c r="DD52" s="650"/>
      <c r="DE52" s="650"/>
      <c r="DF52" s="650"/>
      <c r="DG52" s="651"/>
      <c r="DH52" s="656"/>
      <c r="DI52" s="648"/>
      <c r="DJ52" s="648"/>
      <c r="DK52" s="648"/>
      <c r="DL52" s="649"/>
      <c r="DM52" s="647"/>
      <c r="DN52" s="648"/>
      <c r="DO52" s="648"/>
      <c r="DP52" s="648"/>
      <c r="DQ52" s="649"/>
      <c r="DR52" s="647"/>
      <c r="DS52" s="648"/>
      <c r="DT52" s="648"/>
      <c r="DU52" s="648"/>
      <c r="DV52" s="649"/>
      <c r="DW52" s="647"/>
      <c r="DX52" s="648"/>
      <c r="DY52" s="648"/>
      <c r="DZ52" s="648"/>
      <c r="EA52" s="649"/>
      <c r="EB52" s="521">
        <v>4</v>
      </c>
      <c r="EC52" s="521"/>
      <c r="ED52" s="521"/>
      <c r="EE52" s="521"/>
      <c r="EF52" s="521"/>
      <c r="EG52" s="521">
        <v>4</v>
      </c>
      <c r="EH52" s="521"/>
      <c r="EI52" s="521"/>
      <c r="EJ52" s="521"/>
      <c r="EK52" s="521"/>
      <c r="EL52" s="647"/>
      <c r="EM52" s="648"/>
      <c r="EN52" s="648"/>
      <c r="EO52" s="648"/>
      <c r="EP52" s="649"/>
      <c r="EQ52" s="647"/>
      <c r="ER52" s="648"/>
      <c r="ES52" s="648"/>
      <c r="ET52" s="648"/>
      <c r="EU52" s="649"/>
      <c r="EV52" s="650"/>
      <c r="EW52" s="650"/>
      <c r="EX52" s="650"/>
      <c r="EY52" s="650"/>
      <c r="EZ52" s="651"/>
      <c r="FA52" s="652">
        <f t="shared" si="20"/>
        <v>8</v>
      </c>
      <c r="FB52" s="653"/>
      <c r="FC52" s="654"/>
    </row>
    <row r="53" spans="1:160" s="101" customFormat="1" ht="90" customHeight="1" x14ac:dyDescent="0.2">
      <c r="A53" s="141" t="s">
        <v>130</v>
      </c>
      <c r="B53" s="134" t="s">
        <v>139</v>
      </c>
      <c r="C53" s="740" t="s">
        <v>135</v>
      </c>
      <c r="D53" s="740"/>
      <c r="E53" s="740"/>
      <c r="F53" s="740"/>
      <c r="G53" s="740"/>
      <c r="H53" s="740"/>
      <c r="I53" s="740"/>
      <c r="J53" s="740"/>
      <c r="K53" s="740"/>
      <c r="L53" s="740"/>
      <c r="M53" s="740"/>
      <c r="N53" s="740"/>
      <c r="O53" s="740"/>
      <c r="P53" s="740"/>
      <c r="Q53" s="740"/>
      <c r="R53" s="740"/>
      <c r="S53" s="740"/>
      <c r="T53" s="740"/>
      <c r="U53" s="740"/>
      <c r="V53" s="740"/>
      <c r="W53" s="740"/>
      <c r="X53" s="740"/>
      <c r="Y53" s="740"/>
      <c r="Z53" s="741">
        <f t="shared" si="17"/>
        <v>240</v>
      </c>
      <c r="AA53" s="742"/>
      <c r="AB53" s="742"/>
      <c r="AC53" s="743"/>
      <c r="AD53" s="521"/>
      <c r="AE53" s="521"/>
      <c r="AF53" s="521"/>
      <c r="AG53" s="633">
        <f t="shared" si="18"/>
        <v>96</v>
      </c>
      <c r="AH53" s="634"/>
      <c r="AI53" s="634"/>
      <c r="AJ53" s="634"/>
      <c r="AK53" s="635"/>
      <c r="AL53" s="744">
        <v>48</v>
      </c>
      <c r="AM53" s="744"/>
      <c r="AN53" s="744"/>
      <c r="AO53" s="744"/>
      <c r="AP53" s="744"/>
      <c r="AQ53" s="744">
        <v>48</v>
      </c>
      <c r="AR53" s="744"/>
      <c r="AS53" s="744"/>
      <c r="AT53" s="744"/>
      <c r="AU53" s="744"/>
      <c r="AV53" s="744"/>
      <c r="AW53" s="744"/>
      <c r="AX53" s="744"/>
      <c r="AY53" s="744"/>
      <c r="AZ53" s="744"/>
      <c r="BA53" s="745"/>
      <c r="BB53" s="745"/>
      <c r="BC53" s="745"/>
      <c r="BD53" s="745"/>
      <c r="BE53" s="745"/>
      <c r="BF53" s="745"/>
      <c r="BG53" s="745"/>
      <c r="BH53" s="745"/>
      <c r="BI53" s="745"/>
      <c r="BJ53" s="745"/>
      <c r="BK53" s="507">
        <f t="shared" si="19"/>
        <v>144</v>
      </c>
      <c r="BL53" s="508"/>
      <c r="BM53" s="508"/>
      <c r="BN53" s="509"/>
      <c r="BO53" s="656"/>
      <c r="BP53" s="648"/>
      <c r="BQ53" s="648"/>
      <c r="BR53" s="648"/>
      <c r="BS53" s="649"/>
      <c r="BT53" s="647"/>
      <c r="BU53" s="648"/>
      <c r="BV53" s="648"/>
      <c r="BW53" s="648"/>
      <c r="BX53" s="649"/>
      <c r="BY53" s="647"/>
      <c r="BZ53" s="648"/>
      <c r="CA53" s="648"/>
      <c r="CB53" s="648"/>
      <c r="CC53" s="649"/>
      <c r="CD53" s="647"/>
      <c r="CE53" s="648"/>
      <c r="CF53" s="648"/>
      <c r="CG53" s="648"/>
      <c r="CH53" s="649"/>
      <c r="CI53" s="521">
        <v>3</v>
      </c>
      <c r="CJ53" s="521"/>
      <c r="CK53" s="521"/>
      <c r="CL53" s="521"/>
      <c r="CM53" s="521"/>
      <c r="CN53" s="521">
        <v>3</v>
      </c>
      <c r="CO53" s="521"/>
      <c r="CP53" s="521"/>
      <c r="CQ53" s="521"/>
      <c r="CR53" s="521"/>
      <c r="CS53" s="522"/>
      <c r="CT53" s="522"/>
      <c r="CU53" s="522"/>
      <c r="CV53" s="522"/>
      <c r="CW53" s="522"/>
      <c r="CX53" s="522"/>
      <c r="CY53" s="522"/>
      <c r="CZ53" s="522"/>
      <c r="DA53" s="522"/>
      <c r="DB53" s="522"/>
      <c r="DC53" s="650"/>
      <c r="DD53" s="650"/>
      <c r="DE53" s="650"/>
      <c r="DF53" s="650"/>
      <c r="DG53" s="651"/>
      <c r="DH53" s="656"/>
      <c r="DI53" s="648"/>
      <c r="DJ53" s="648"/>
      <c r="DK53" s="648"/>
      <c r="DL53" s="649"/>
      <c r="DM53" s="647"/>
      <c r="DN53" s="648"/>
      <c r="DO53" s="648"/>
      <c r="DP53" s="648"/>
      <c r="DQ53" s="649"/>
      <c r="DR53" s="647"/>
      <c r="DS53" s="648"/>
      <c r="DT53" s="648"/>
      <c r="DU53" s="648"/>
      <c r="DV53" s="649"/>
      <c r="DW53" s="647"/>
      <c r="DX53" s="648"/>
      <c r="DY53" s="648"/>
      <c r="DZ53" s="648"/>
      <c r="EA53" s="649"/>
      <c r="EB53" s="521">
        <v>4</v>
      </c>
      <c r="EC53" s="521"/>
      <c r="ED53" s="521"/>
      <c r="EE53" s="521"/>
      <c r="EF53" s="521"/>
      <c r="EG53" s="521">
        <v>4</v>
      </c>
      <c r="EH53" s="521"/>
      <c r="EI53" s="521"/>
      <c r="EJ53" s="521"/>
      <c r="EK53" s="521"/>
      <c r="EL53" s="647"/>
      <c r="EM53" s="648"/>
      <c r="EN53" s="648"/>
      <c r="EO53" s="648"/>
      <c r="EP53" s="649"/>
      <c r="EQ53" s="647"/>
      <c r="ER53" s="648"/>
      <c r="ES53" s="648"/>
      <c r="ET53" s="648"/>
      <c r="EU53" s="649"/>
      <c r="EV53" s="650"/>
      <c r="EW53" s="650"/>
      <c r="EX53" s="650"/>
      <c r="EY53" s="650"/>
      <c r="EZ53" s="651"/>
      <c r="FA53" s="652">
        <f t="shared" si="20"/>
        <v>8</v>
      </c>
      <c r="FB53" s="653"/>
      <c r="FC53" s="654"/>
    </row>
    <row r="54" spans="1:160" s="78" customFormat="1" ht="90" customHeight="1" x14ac:dyDescent="0.2">
      <c r="A54" s="140" t="s">
        <v>155</v>
      </c>
      <c r="B54" s="132" t="s">
        <v>140</v>
      </c>
      <c r="C54" s="271" t="s">
        <v>192</v>
      </c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631">
        <f t="shared" si="17"/>
        <v>210</v>
      </c>
      <c r="AA54" s="508"/>
      <c r="AB54" s="508"/>
      <c r="AC54" s="632"/>
      <c r="AD54" s="270"/>
      <c r="AE54" s="270"/>
      <c r="AF54" s="270"/>
      <c r="AG54" s="633">
        <f t="shared" si="18"/>
        <v>84</v>
      </c>
      <c r="AH54" s="634"/>
      <c r="AI54" s="634"/>
      <c r="AJ54" s="634"/>
      <c r="AK54" s="635"/>
      <c r="AL54" s="273">
        <v>42</v>
      </c>
      <c r="AM54" s="273"/>
      <c r="AN54" s="273"/>
      <c r="AO54" s="273"/>
      <c r="AP54" s="273"/>
      <c r="AQ54" s="273">
        <v>42</v>
      </c>
      <c r="AR54" s="273"/>
      <c r="AS54" s="273"/>
      <c r="AT54" s="273"/>
      <c r="AU54" s="273"/>
      <c r="AV54" s="273"/>
      <c r="AW54" s="273"/>
      <c r="AX54" s="273"/>
      <c r="AY54" s="273"/>
      <c r="AZ54" s="273"/>
      <c r="BA54" s="274"/>
      <c r="BB54" s="274"/>
      <c r="BC54" s="274"/>
      <c r="BD54" s="274"/>
      <c r="BE54" s="274"/>
      <c r="BF54" s="274"/>
      <c r="BG54" s="274"/>
      <c r="BH54" s="274"/>
      <c r="BI54" s="274"/>
      <c r="BJ54" s="274"/>
      <c r="BK54" s="507">
        <f t="shared" si="19"/>
        <v>126</v>
      </c>
      <c r="BL54" s="508"/>
      <c r="BM54" s="508"/>
      <c r="BN54" s="509"/>
      <c r="BO54" s="503"/>
      <c r="BP54" s="504"/>
      <c r="BQ54" s="504"/>
      <c r="BR54" s="504"/>
      <c r="BS54" s="505"/>
      <c r="BT54" s="506"/>
      <c r="BU54" s="504"/>
      <c r="BV54" s="504"/>
      <c r="BW54" s="504"/>
      <c r="BX54" s="505"/>
      <c r="BY54" s="506"/>
      <c r="BZ54" s="504"/>
      <c r="CA54" s="504"/>
      <c r="CB54" s="504"/>
      <c r="CC54" s="505"/>
      <c r="CD54" s="506"/>
      <c r="CE54" s="504"/>
      <c r="CF54" s="504"/>
      <c r="CG54" s="504"/>
      <c r="CH54" s="505"/>
      <c r="CI54" s="506"/>
      <c r="CJ54" s="504"/>
      <c r="CK54" s="504"/>
      <c r="CL54" s="504"/>
      <c r="CM54" s="505"/>
      <c r="CN54" s="511"/>
      <c r="CO54" s="511"/>
      <c r="CP54" s="511"/>
      <c r="CQ54" s="511"/>
      <c r="CR54" s="511"/>
      <c r="CS54" s="270">
        <v>3</v>
      </c>
      <c r="CT54" s="270"/>
      <c r="CU54" s="270"/>
      <c r="CV54" s="270"/>
      <c r="CW54" s="270"/>
      <c r="CX54" s="270">
        <v>2</v>
      </c>
      <c r="CY54" s="270"/>
      <c r="CZ54" s="270"/>
      <c r="DA54" s="270"/>
      <c r="DB54" s="322"/>
      <c r="DC54" s="501"/>
      <c r="DD54" s="501"/>
      <c r="DE54" s="501"/>
      <c r="DF54" s="501"/>
      <c r="DG54" s="502"/>
      <c r="DH54" s="503"/>
      <c r="DI54" s="504"/>
      <c r="DJ54" s="504"/>
      <c r="DK54" s="504"/>
      <c r="DL54" s="505"/>
      <c r="DM54" s="506"/>
      <c r="DN54" s="504"/>
      <c r="DO54" s="504"/>
      <c r="DP54" s="504"/>
      <c r="DQ54" s="505"/>
      <c r="DR54" s="506"/>
      <c r="DS54" s="504"/>
      <c r="DT54" s="504"/>
      <c r="DU54" s="504"/>
      <c r="DV54" s="505"/>
      <c r="DW54" s="506"/>
      <c r="DX54" s="504"/>
      <c r="DY54" s="504"/>
      <c r="DZ54" s="504"/>
      <c r="EA54" s="505"/>
      <c r="EB54" s="506"/>
      <c r="EC54" s="504"/>
      <c r="ED54" s="504"/>
      <c r="EE54" s="504"/>
      <c r="EF54" s="505"/>
      <c r="EG54" s="506"/>
      <c r="EH54" s="504"/>
      <c r="EI54" s="504"/>
      <c r="EJ54" s="504"/>
      <c r="EK54" s="505"/>
      <c r="EL54" s="270">
        <v>4</v>
      </c>
      <c r="EM54" s="270"/>
      <c r="EN54" s="270"/>
      <c r="EO54" s="270"/>
      <c r="EP54" s="270"/>
      <c r="EQ54" s="270">
        <v>3</v>
      </c>
      <c r="ER54" s="270"/>
      <c r="ES54" s="270"/>
      <c r="ET54" s="270"/>
      <c r="EU54" s="270"/>
      <c r="EV54" s="657"/>
      <c r="EW54" s="501"/>
      <c r="EX54" s="501"/>
      <c r="EY54" s="501"/>
      <c r="EZ54" s="502"/>
      <c r="FA54" s="499">
        <f t="shared" si="20"/>
        <v>7</v>
      </c>
      <c r="FB54" s="339"/>
      <c r="FC54" s="500"/>
    </row>
    <row r="55" spans="1:160" s="78" customFormat="1" ht="90" customHeight="1" x14ac:dyDescent="0.2">
      <c r="A55" s="140" t="s">
        <v>163</v>
      </c>
      <c r="B55" s="132" t="s">
        <v>140</v>
      </c>
      <c r="C55" s="271" t="s">
        <v>193</v>
      </c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631">
        <f t="shared" si="17"/>
        <v>270</v>
      </c>
      <c r="AA55" s="508"/>
      <c r="AB55" s="508"/>
      <c r="AC55" s="632"/>
      <c r="AD55" s="270"/>
      <c r="AE55" s="270"/>
      <c r="AF55" s="270"/>
      <c r="AG55" s="633">
        <f t="shared" si="18"/>
        <v>108</v>
      </c>
      <c r="AH55" s="634"/>
      <c r="AI55" s="634"/>
      <c r="AJ55" s="634"/>
      <c r="AK55" s="635"/>
      <c r="AL55" s="273">
        <v>54</v>
      </c>
      <c r="AM55" s="273"/>
      <c r="AN55" s="273"/>
      <c r="AO55" s="273"/>
      <c r="AP55" s="273"/>
      <c r="AQ55" s="273">
        <v>54</v>
      </c>
      <c r="AR55" s="273"/>
      <c r="AS55" s="273"/>
      <c r="AT55" s="273"/>
      <c r="AU55" s="273"/>
      <c r="AV55" s="273"/>
      <c r="AW55" s="273"/>
      <c r="AX55" s="273"/>
      <c r="AY55" s="273"/>
      <c r="AZ55" s="273"/>
      <c r="BA55" s="274"/>
      <c r="BB55" s="274"/>
      <c r="BC55" s="274"/>
      <c r="BD55" s="274"/>
      <c r="BE55" s="274"/>
      <c r="BF55" s="274"/>
      <c r="BG55" s="274"/>
      <c r="BH55" s="274"/>
      <c r="BI55" s="274"/>
      <c r="BJ55" s="274"/>
      <c r="BK55" s="507">
        <f t="shared" si="19"/>
        <v>162</v>
      </c>
      <c r="BL55" s="508"/>
      <c r="BM55" s="508"/>
      <c r="BN55" s="509"/>
      <c r="BO55" s="503"/>
      <c r="BP55" s="504"/>
      <c r="BQ55" s="504"/>
      <c r="BR55" s="504"/>
      <c r="BS55" s="505"/>
      <c r="BT55" s="506"/>
      <c r="BU55" s="504"/>
      <c r="BV55" s="504"/>
      <c r="BW55" s="504"/>
      <c r="BX55" s="505"/>
      <c r="BY55" s="506"/>
      <c r="BZ55" s="504"/>
      <c r="CA55" s="504"/>
      <c r="CB55" s="504"/>
      <c r="CC55" s="505"/>
      <c r="CD55" s="506"/>
      <c r="CE55" s="504"/>
      <c r="CF55" s="504"/>
      <c r="CG55" s="504"/>
      <c r="CH55" s="505"/>
      <c r="CI55" s="506"/>
      <c r="CJ55" s="504"/>
      <c r="CK55" s="504"/>
      <c r="CL55" s="504"/>
      <c r="CM55" s="505"/>
      <c r="CN55" s="511"/>
      <c r="CO55" s="511"/>
      <c r="CP55" s="511"/>
      <c r="CQ55" s="511"/>
      <c r="CR55" s="511"/>
      <c r="CS55" s="270">
        <v>4</v>
      </c>
      <c r="CT55" s="270"/>
      <c r="CU55" s="270"/>
      <c r="CV55" s="270"/>
      <c r="CW55" s="270"/>
      <c r="CX55" s="270">
        <v>4</v>
      </c>
      <c r="CY55" s="270"/>
      <c r="CZ55" s="270"/>
      <c r="DA55" s="270"/>
      <c r="DB55" s="322"/>
      <c r="DC55" s="501"/>
      <c r="DD55" s="501"/>
      <c r="DE55" s="501"/>
      <c r="DF55" s="501"/>
      <c r="DG55" s="502"/>
      <c r="DH55" s="503"/>
      <c r="DI55" s="504"/>
      <c r="DJ55" s="504"/>
      <c r="DK55" s="504"/>
      <c r="DL55" s="505"/>
      <c r="DM55" s="506"/>
      <c r="DN55" s="504"/>
      <c r="DO55" s="504"/>
      <c r="DP55" s="504"/>
      <c r="DQ55" s="505"/>
      <c r="DR55" s="506"/>
      <c r="DS55" s="504"/>
      <c r="DT55" s="504"/>
      <c r="DU55" s="504"/>
      <c r="DV55" s="505"/>
      <c r="DW55" s="506"/>
      <c r="DX55" s="504"/>
      <c r="DY55" s="504"/>
      <c r="DZ55" s="504"/>
      <c r="EA55" s="505"/>
      <c r="EB55" s="506"/>
      <c r="EC55" s="504"/>
      <c r="ED55" s="504"/>
      <c r="EE55" s="504"/>
      <c r="EF55" s="505"/>
      <c r="EG55" s="506"/>
      <c r="EH55" s="504"/>
      <c r="EI55" s="504"/>
      <c r="EJ55" s="504"/>
      <c r="EK55" s="505"/>
      <c r="EL55" s="270">
        <v>5</v>
      </c>
      <c r="EM55" s="270"/>
      <c r="EN55" s="270"/>
      <c r="EO55" s="270"/>
      <c r="EP55" s="270"/>
      <c r="EQ55" s="270">
        <v>4</v>
      </c>
      <c r="ER55" s="270"/>
      <c r="ES55" s="270"/>
      <c r="ET55" s="270"/>
      <c r="EU55" s="270"/>
      <c r="EV55" s="657"/>
      <c r="EW55" s="501"/>
      <c r="EX55" s="501"/>
      <c r="EY55" s="501"/>
      <c r="EZ55" s="502"/>
      <c r="FA55" s="499">
        <f t="shared" si="20"/>
        <v>9</v>
      </c>
      <c r="FB55" s="339"/>
      <c r="FC55" s="500"/>
    </row>
    <row r="56" spans="1:160" s="78" customFormat="1" ht="120" customHeight="1" x14ac:dyDescent="0.2">
      <c r="A56" s="140" t="s">
        <v>164</v>
      </c>
      <c r="B56" s="132" t="s">
        <v>140</v>
      </c>
      <c r="C56" s="271" t="s">
        <v>194</v>
      </c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631">
        <f t="shared" si="17"/>
        <v>210</v>
      </c>
      <c r="AA56" s="508"/>
      <c r="AB56" s="508"/>
      <c r="AC56" s="632"/>
      <c r="AD56" s="270"/>
      <c r="AE56" s="270"/>
      <c r="AF56" s="270"/>
      <c r="AG56" s="633">
        <f t="shared" si="18"/>
        <v>84</v>
      </c>
      <c r="AH56" s="634"/>
      <c r="AI56" s="634"/>
      <c r="AJ56" s="634"/>
      <c r="AK56" s="635"/>
      <c r="AL56" s="273">
        <v>42</v>
      </c>
      <c r="AM56" s="273"/>
      <c r="AN56" s="273"/>
      <c r="AO56" s="273"/>
      <c r="AP56" s="273"/>
      <c r="AQ56" s="273"/>
      <c r="AR56" s="273"/>
      <c r="AS56" s="273"/>
      <c r="AT56" s="273"/>
      <c r="AU56" s="273"/>
      <c r="AV56" s="273">
        <v>42</v>
      </c>
      <c r="AW56" s="273"/>
      <c r="AX56" s="273"/>
      <c r="AY56" s="273"/>
      <c r="AZ56" s="273"/>
      <c r="BA56" s="274"/>
      <c r="BB56" s="274"/>
      <c r="BC56" s="274"/>
      <c r="BD56" s="274"/>
      <c r="BE56" s="274"/>
      <c r="BF56" s="274"/>
      <c r="BG56" s="274"/>
      <c r="BH56" s="274"/>
      <c r="BI56" s="274"/>
      <c r="BJ56" s="274"/>
      <c r="BK56" s="507">
        <f t="shared" si="19"/>
        <v>126</v>
      </c>
      <c r="BL56" s="508"/>
      <c r="BM56" s="508"/>
      <c r="BN56" s="509"/>
      <c r="BO56" s="503"/>
      <c r="BP56" s="504"/>
      <c r="BQ56" s="504"/>
      <c r="BR56" s="504"/>
      <c r="BS56" s="505"/>
      <c r="BT56" s="506"/>
      <c r="BU56" s="504"/>
      <c r="BV56" s="504"/>
      <c r="BW56" s="504"/>
      <c r="BX56" s="505"/>
      <c r="BY56" s="506"/>
      <c r="BZ56" s="504"/>
      <c r="CA56" s="504"/>
      <c r="CB56" s="504"/>
      <c r="CC56" s="505"/>
      <c r="CD56" s="506"/>
      <c r="CE56" s="504"/>
      <c r="CF56" s="504"/>
      <c r="CG56" s="504"/>
      <c r="CH56" s="505"/>
      <c r="CI56" s="506"/>
      <c r="CJ56" s="504"/>
      <c r="CK56" s="504"/>
      <c r="CL56" s="504"/>
      <c r="CM56" s="505"/>
      <c r="CN56" s="511"/>
      <c r="CO56" s="511"/>
      <c r="CP56" s="511"/>
      <c r="CQ56" s="511"/>
      <c r="CR56" s="511"/>
      <c r="CS56" s="270">
        <v>6</v>
      </c>
      <c r="CT56" s="270"/>
      <c r="CU56" s="270"/>
      <c r="CV56" s="270"/>
      <c r="CW56" s="270"/>
      <c r="CX56" s="270"/>
      <c r="CY56" s="270"/>
      <c r="CZ56" s="270"/>
      <c r="DA56" s="270"/>
      <c r="DB56" s="322"/>
      <c r="DC56" s="501"/>
      <c r="DD56" s="501"/>
      <c r="DE56" s="501"/>
      <c r="DF56" s="501"/>
      <c r="DG56" s="502"/>
      <c r="DH56" s="503"/>
      <c r="DI56" s="504"/>
      <c r="DJ56" s="504"/>
      <c r="DK56" s="504"/>
      <c r="DL56" s="505"/>
      <c r="DM56" s="506"/>
      <c r="DN56" s="504"/>
      <c r="DO56" s="504"/>
      <c r="DP56" s="504"/>
      <c r="DQ56" s="505"/>
      <c r="DR56" s="506"/>
      <c r="DS56" s="504"/>
      <c r="DT56" s="504"/>
      <c r="DU56" s="504"/>
      <c r="DV56" s="505"/>
      <c r="DW56" s="506"/>
      <c r="DX56" s="504"/>
      <c r="DY56" s="504"/>
      <c r="DZ56" s="504"/>
      <c r="EA56" s="505"/>
      <c r="EB56" s="506"/>
      <c r="EC56" s="504"/>
      <c r="ED56" s="504"/>
      <c r="EE56" s="504"/>
      <c r="EF56" s="505"/>
      <c r="EG56" s="506"/>
      <c r="EH56" s="504"/>
      <c r="EI56" s="504"/>
      <c r="EJ56" s="504"/>
      <c r="EK56" s="505"/>
      <c r="EL56" s="270">
        <v>7</v>
      </c>
      <c r="EM56" s="270"/>
      <c r="EN56" s="270"/>
      <c r="EO56" s="270"/>
      <c r="EP56" s="270"/>
      <c r="EQ56" s="270"/>
      <c r="ER56" s="270"/>
      <c r="ES56" s="270"/>
      <c r="ET56" s="270"/>
      <c r="EU56" s="270"/>
      <c r="EV56" s="657"/>
      <c r="EW56" s="501"/>
      <c r="EX56" s="501"/>
      <c r="EY56" s="501"/>
      <c r="EZ56" s="502"/>
      <c r="FA56" s="499">
        <f t="shared" si="20"/>
        <v>7</v>
      </c>
      <c r="FB56" s="339"/>
      <c r="FC56" s="500"/>
    </row>
    <row r="57" spans="1:160" s="78" customFormat="1" ht="120" customHeight="1" x14ac:dyDescent="0.2">
      <c r="A57" s="140" t="s">
        <v>165</v>
      </c>
      <c r="B57" s="132" t="s">
        <v>129</v>
      </c>
      <c r="C57" s="644" t="s">
        <v>267</v>
      </c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6"/>
      <c r="Z57" s="631">
        <f t="shared" si="17"/>
        <v>120</v>
      </c>
      <c r="AA57" s="508"/>
      <c r="AB57" s="508"/>
      <c r="AC57" s="632"/>
      <c r="AD57" s="270"/>
      <c r="AE57" s="270"/>
      <c r="AF57" s="270"/>
      <c r="AG57" s="633">
        <f t="shared" si="18"/>
        <v>50</v>
      </c>
      <c r="AH57" s="634"/>
      <c r="AI57" s="634"/>
      <c r="AJ57" s="634"/>
      <c r="AK57" s="635"/>
      <c r="AL57" s="273">
        <v>30</v>
      </c>
      <c r="AM57" s="273"/>
      <c r="AN57" s="273"/>
      <c r="AO57" s="273"/>
      <c r="AP57" s="273"/>
      <c r="AQ57" s="273"/>
      <c r="AR57" s="273"/>
      <c r="AS57" s="273"/>
      <c r="AT57" s="273"/>
      <c r="AU57" s="273"/>
      <c r="AV57" s="273">
        <v>20</v>
      </c>
      <c r="AW57" s="273"/>
      <c r="AX57" s="273"/>
      <c r="AY57" s="273"/>
      <c r="AZ57" s="273"/>
      <c r="BA57" s="274"/>
      <c r="BB57" s="274"/>
      <c r="BC57" s="274"/>
      <c r="BD57" s="274"/>
      <c r="BE57" s="274"/>
      <c r="BF57" s="274"/>
      <c r="BG57" s="274"/>
      <c r="BH57" s="274"/>
      <c r="BI57" s="274"/>
      <c r="BJ57" s="274"/>
      <c r="BK57" s="507">
        <f t="shared" si="19"/>
        <v>70</v>
      </c>
      <c r="BL57" s="508"/>
      <c r="BM57" s="508"/>
      <c r="BN57" s="509"/>
      <c r="BO57" s="503"/>
      <c r="BP57" s="504"/>
      <c r="BQ57" s="504"/>
      <c r="BR57" s="504"/>
      <c r="BS57" s="505"/>
      <c r="BT57" s="322">
        <v>2</v>
      </c>
      <c r="BU57" s="510"/>
      <c r="BV57" s="510"/>
      <c r="BW57" s="510"/>
      <c r="BX57" s="269"/>
      <c r="BY57" s="506"/>
      <c r="BZ57" s="504"/>
      <c r="CA57" s="504"/>
      <c r="CB57" s="504"/>
      <c r="CC57" s="505"/>
      <c r="CD57" s="506"/>
      <c r="CE57" s="504"/>
      <c r="CF57" s="504"/>
      <c r="CG57" s="504"/>
      <c r="CH57" s="505"/>
      <c r="CI57" s="506"/>
      <c r="CJ57" s="504"/>
      <c r="CK57" s="504"/>
      <c r="CL57" s="504"/>
      <c r="CM57" s="505"/>
      <c r="CN57" s="511"/>
      <c r="CO57" s="511"/>
      <c r="CP57" s="511"/>
      <c r="CQ57" s="511"/>
      <c r="CR57" s="511"/>
      <c r="CS57" s="270"/>
      <c r="CT57" s="270"/>
      <c r="CU57" s="270"/>
      <c r="CV57" s="270"/>
      <c r="CW57" s="270"/>
      <c r="CX57" s="270"/>
      <c r="CY57" s="270"/>
      <c r="CZ57" s="270"/>
      <c r="DA57" s="270"/>
      <c r="DB57" s="322"/>
      <c r="DC57" s="501"/>
      <c r="DD57" s="501"/>
      <c r="DE57" s="501"/>
      <c r="DF57" s="501"/>
      <c r="DG57" s="502"/>
      <c r="DH57" s="503"/>
      <c r="DI57" s="504"/>
      <c r="DJ57" s="504"/>
      <c r="DK57" s="504"/>
      <c r="DL57" s="505"/>
      <c r="DM57" s="322">
        <v>4</v>
      </c>
      <c r="DN57" s="510"/>
      <c r="DO57" s="510"/>
      <c r="DP57" s="510"/>
      <c r="DQ57" s="269"/>
      <c r="DR57" s="506"/>
      <c r="DS57" s="504"/>
      <c r="DT57" s="504"/>
      <c r="DU57" s="504"/>
      <c r="DV57" s="505"/>
      <c r="DW57" s="506"/>
      <c r="DX57" s="504"/>
      <c r="DY57" s="504"/>
      <c r="DZ57" s="504"/>
      <c r="EA57" s="505"/>
      <c r="EB57" s="506"/>
      <c r="EC57" s="504"/>
      <c r="ED57" s="504"/>
      <c r="EE57" s="504"/>
      <c r="EF57" s="505"/>
      <c r="EG57" s="506"/>
      <c r="EH57" s="504"/>
      <c r="EI57" s="504"/>
      <c r="EJ57" s="504"/>
      <c r="EK57" s="505"/>
      <c r="EL57" s="270"/>
      <c r="EM57" s="270"/>
      <c r="EN57" s="270"/>
      <c r="EO57" s="270"/>
      <c r="EP57" s="270"/>
      <c r="EQ57" s="270"/>
      <c r="ER57" s="270"/>
      <c r="ES57" s="270"/>
      <c r="ET57" s="270"/>
      <c r="EU57" s="270"/>
      <c r="EV57" s="657"/>
      <c r="EW57" s="501"/>
      <c r="EX57" s="501"/>
      <c r="EY57" s="501"/>
      <c r="EZ57" s="502"/>
      <c r="FA57" s="499">
        <f t="shared" si="20"/>
        <v>4</v>
      </c>
      <c r="FB57" s="339"/>
      <c r="FC57" s="500"/>
    </row>
    <row r="58" spans="1:160" ht="90" customHeight="1" x14ac:dyDescent="0.2">
      <c r="A58" s="139" t="s">
        <v>236</v>
      </c>
      <c r="B58" s="135" t="s">
        <v>143</v>
      </c>
      <c r="C58" s="685" t="s">
        <v>133</v>
      </c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7"/>
      <c r="Z58" s="383">
        <f t="shared" si="17"/>
        <v>180</v>
      </c>
      <c r="AA58" s="384"/>
      <c r="AB58" s="384"/>
      <c r="AC58" s="385"/>
      <c r="AD58" s="267"/>
      <c r="AE58" s="267"/>
      <c r="AF58" s="267"/>
      <c r="AG58" s="633">
        <f t="shared" si="18"/>
        <v>60</v>
      </c>
      <c r="AH58" s="634"/>
      <c r="AI58" s="634"/>
      <c r="AJ58" s="634"/>
      <c r="AK58" s="635"/>
      <c r="AL58" s="263">
        <v>30</v>
      </c>
      <c r="AM58" s="263"/>
      <c r="AN58" s="263"/>
      <c r="AO58" s="263"/>
      <c r="AP58" s="263"/>
      <c r="AQ58" s="263">
        <v>30</v>
      </c>
      <c r="AR58" s="263"/>
      <c r="AS58" s="263"/>
      <c r="AT58" s="263"/>
      <c r="AU58" s="263"/>
      <c r="AV58" s="263"/>
      <c r="AW58" s="263"/>
      <c r="AX58" s="263"/>
      <c r="AY58" s="263"/>
      <c r="AZ58" s="263"/>
      <c r="BA58" s="264"/>
      <c r="BB58" s="264"/>
      <c r="BC58" s="264"/>
      <c r="BD58" s="264"/>
      <c r="BE58" s="264"/>
      <c r="BF58" s="264"/>
      <c r="BG58" s="264"/>
      <c r="BH58" s="264"/>
      <c r="BI58" s="264"/>
      <c r="BJ58" s="264"/>
      <c r="BK58" s="507">
        <f t="shared" si="19"/>
        <v>120</v>
      </c>
      <c r="BL58" s="508"/>
      <c r="BM58" s="508"/>
      <c r="BN58" s="509"/>
      <c r="BO58" s="667"/>
      <c r="BP58" s="425"/>
      <c r="BQ58" s="425"/>
      <c r="BR58" s="425"/>
      <c r="BS58" s="380"/>
      <c r="BT58" s="458">
        <v>4</v>
      </c>
      <c r="BU58" s="661"/>
      <c r="BV58" s="661"/>
      <c r="BW58" s="661"/>
      <c r="BX58" s="266"/>
      <c r="BY58" s="423"/>
      <c r="BZ58" s="425"/>
      <c r="CA58" s="425"/>
      <c r="CB58" s="425"/>
      <c r="CC58" s="380"/>
      <c r="CD58" s="423"/>
      <c r="CE58" s="425"/>
      <c r="CF58" s="425"/>
      <c r="CG58" s="425"/>
      <c r="CH58" s="380"/>
      <c r="CI58" s="423"/>
      <c r="CJ58" s="425"/>
      <c r="CK58" s="425"/>
      <c r="CL58" s="425"/>
      <c r="CM58" s="380"/>
      <c r="CN58" s="378"/>
      <c r="CO58" s="378"/>
      <c r="CP58" s="378"/>
      <c r="CQ58" s="378"/>
      <c r="CR58" s="378"/>
      <c r="CS58" s="267"/>
      <c r="CT58" s="267"/>
      <c r="CU58" s="267"/>
      <c r="CV58" s="267"/>
      <c r="CW58" s="267"/>
      <c r="CX58" s="267"/>
      <c r="CY58" s="267"/>
      <c r="CZ58" s="267"/>
      <c r="DA58" s="267"/>
      <c r="DB58" s="458"/>
      <c r="DC58" s="617"/>
      <c r="DD58" s="617"/>
      <c r="DE58" s="617"/>
      <c r="DF58" s="617"/>
      <c r="DG58" s="625"/>
      <c r="DH58" s="667"/>
      <c r="DI58" s="425"/>
      <c r="DJ58" s="425"/>
      <c r="DK58" s="425"/>
      <c r="DL58" s="380"/>
      <c r="DM58" s="458">
        <v>6</v>
      </c>
      <c r="DN58" s="661"/>
      <c r="DO58" s="661"/>
      <c r="DP58" s="661"/>
      <c r="DQ58" s="266"/>
      <c r="DR58" s="423"/>
      <c r="DS58" s="425"/>
      <c r="DT58" s="425"/>
      <c r="DU58" s="425"/>
      <c r="DV58" s="380"/>
      <c r="DW58" s="423"/>
      <c r="DX58" s="425"/>
      <c r="DY58" s="425"/>
      <c r="DZ58" s="425"/>
      <c r="EA58" s="380"/>
      <c r="EB58" s="423"/>
      <c r="EC58" s="425"/>
      <c r="ED58" s="425"/>
      <c r="EE58" s="425"/>
      <c r="EF58" s="380"/>
      <c r="EG58" s="423"/>
      <c r="EH58" s="425"/>
      <c r="EI58" s="425"/>
      <c r="EJ58" s="425"/>
      <c r="EK58" s="380"/>
      <c r="EL58" s="267"/>
      <c r="EM58" s="267"/>
      <c r="EN58" s="267"/>
      <c r="EO58" s="267"/>
      <c r="EP58" s="267"/>
      <c r="EQ58" s="267"/>
      <c r="ER58" s="267"/>
      <c r="ES58" s="267"/>
      <c r="ET58" s="267"/>
      <c r="EU58" s="267"/>
      <c r="EV58" s="746"/>
      <c r="EW58" s="617"/>
      <c r="EX58" s="617"/>
      <c r="EY58" s="617"/>
      <c r="EZ58" s="625"/>
      <c r="FA58" s="626">
        <f t="shared" si="20"/>
        <v>6</v>
      </c>
      <c r="FB58" s="260"/>
      <c r="FC58" s="627"/>
    </row>
    <row r="59" spans="1:160" ht="84.75" customHeight="1" x14ac:dyDescent="0.2">
      <c r="A59" s="142" t="s">
        <v>43</v>
      </c>
      <c r="B59" s="64"/>
      <c r="C59" s="424" t="s">
        <v>91</v>
      </c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326">
        <f>SUM(Z60:AC81)</f>
        <v>1440</v>
      </c>
      <c r="AA59" s="326"/>
      <c r="AB59" s="326"/>
      <c r="AC59" s="326"/>
      <c r="AD59" s="362">
        <f>Z59/$Z$86*100</f>
        <v>20</v>
      </c>
      <c r="AE59" s="362"/>
      <c r="AF59" s="362"/>
      <c r="AG59" s="335">
        <f>SUM(AG60:AK81)</f>
        <v>594</v>
      </c>
      <c r="AH59" s="336"/>
      <c r="AI59" s="336"/>
      <c r="AJ59" s="336"/>
      <c r="AK59" s="337"/>
      <c r="AL59" s="335">
        <f>SUM(AL60:AP81)</f>
        <v>42</v>
      </c>
      <c r="AM59" s="336"/>
      <c r="AN59" s="336"/>
      <c r="AO59" s="336"/>
      <c r="AP59" s="337"/>
      <c r="AQ59" s="335">
        <f>SUM(AQ60:AU81)</f>
        <v>552</v>
      </c>
      <c r="AR59" s="336"/>
      <c r="AS59" s="336"/>
      <c r="AT59" s="336"/>
      <c r="AU59" s="337"/>
      <c r="AV59" s="335">
        <f>SUM(AV60:AZ81)</f>
        <v>0</v>
      </c>
      <c r="AW59" s="336"/>
      <c r="AX59" s="336"/>
      <c r="AY59" s="336"/>
      <c r="AZ59" s="337"/>
      <c r="BA59" s="335">
        <f>SUM(BA60:BE81)</f>
        <v>0</v>
      </c>
      <c r="BB59" s="336"/>
      <c r="BC59" s="336"/>
      <c r="BD59" s="336"/>
      <c r="BE59" s="337"/>
      <c r="BF59" s="335">
        <f>SUM(BF60:BJ81)</f>
        <v>0</v>
      </c>
      <c r="BG59" s="336"/>
      <c r="BH59" s="336"/>
      <c r="BI59" s="336"/>
      <c r="BJ59" s="337"/>
      <c r="BK59" s="326">
        <f>SUM(BK60:BN81)</f>
        <v>846</v>
      </c>
      <c r="BL59" s="326"/>
      <c r="BM59" s="326"/>
      <c r="BN59" s="639"/>
      <c r="BO59" s="612">
        <f>+SUM(BO60:BS81)</f>
        <v>0</v>
      </c>
      <c r="BP59" s="290"/>
      <c r="BQ59" s="290"/>
      <c r="BR59" s="290"/>
      <c r="BS59" s="292"/>
      <c r="BT59" s="290">
        <f t="shared" ref="BT59" si="21">+SUM(BT60:BX81)</f>
        <v>0</v>
      </c>
      <c r="BU59" s="290"/>
      <c r="BV59" s="290"/>
      <c r="BW59" s="290"/>
      <c r="BX59" s="290"/>
      <c r="BY59" s="290">
        <f t="shared" ref="BY59" si="22">+SUM(BY60:CC81)</f>
        <v>6</v>
      </c>
      <c r="BZ59" s="290"/>
      <c r="CA59" s="290"/>
      <c r="CB59" s="290"/>
      <c r="CC59" s="290"/>
      <c r="CD59" s="290">
        <f t="shared" ref="CD59" si="23">+SUM(CD60:CH81)</f>
        <v>0</v>
      </c>
      <c r="CE59" s="290"/>
      <c r="CF59" s="290"/>
      <c r="CG59" s="290"/>
      <c r="CH59" s="290"/>
      <c r="CI59" s="290">
        <f t="shared" ref="CI59" si="24">+SUM(CI60:CM81)</f>
        <v>8</v>
      </c>
      <c r="CJ59" s="290"/>
      <c r="CK59" s="290"/>
      <c r="CL59" s="290"/>
      <c r="CM59" s="290"/>
      <c r="CN59" s="290">
        <f t="shared" ref="CN59" si="25">+SUM(CN60:CR81)</f>
        <v>8</v>
      </c>
      <c r="CO59" s="290"/>
      <c r="CP59" s="290"/>
      <c r="CQ59" s="290"/>
      <c r="CR59" s="290"/>
      <c r="CS59" s="290">
        <f t="shared" ref="CS59" si="26">+SUM(CS60:CW81)</f>
        <v>8</v>
      </c>
      <c r="CT59" s="290"/>
      <c r="CU59" s="290"/>
      <c r="CV59" s="290"/>
      <c r="CW59" s="290"/>
      <c r="CX59" s="290">
        <f t="shared" ref="CX59" si="27">+SUM(CX60:DB81)</f>
        <v>14</v>
      </c>
      <c r="CY59" s="290"/>
      <c r="CZ59" s="290"/>
      <c r="DA59" s="290"/>
      <c r="DB59" s="290"/>
      <c r="DC59" s="290">
        <f t="shared" ref="DC59" si="28">+SUM(DC60:DG81)</f>
        <v>0</v>
      </c>
      <c r="DD59" s="290"/>
      <c r="DE59" s="290"/>
      <c r="DF59" s="290"/>
      <c r="DG59" s="535"/>
      <c r="DH59" s="612">
        <f t="shared" ref="DH59" si="29">+SUM(DH60:DL81)</f>
        <v>0</v>
      </c>
      <c r="DI59" s="290"/>
      <c r="DJ59" s="290"/>
      <c r="DK59" s="290"/>
      <c r="DL59" s="290"/>
      <c r="DM59" s="291">
        <f t="shared" ref="DM59" si="30">+SUM(DM60:DQ81)</f>
        <v>0</v>
      </c>
      <c r="DN59" s="290"/>
      <c r="DO59" s="290"/>
      <c r="DP59" s="290"/>
      <c r="DQ59" s="290"/>
      <c r="DR59" s="291">
        <f t="shared" ref="DR59" si="31">+SUM(DR60:DV81)</f>
        <v>6</v>
      </c>
      <c r="DS59" s="290"/>
      <c r="DT59" s="290"/>
      <c r="DU59" s="290"/>
      <c r="DV59" s="290"/>
      <c r="DW59" s="291">
        <f t="shared" ref="DW59" si="32">+SUM(DW60:EA81)</f>
        <v>0</v>
      </c>
      <c r="DX59" s="290"/>
      <c r="DY59" s="290"/>
      <c r="DZ59" s="290"/>
      <c r="EA59" s="290"/>
      <c r="EB59" s="291">
        <f t="shared" ref="EB59" si="33">+SUM(EB60:EF81)</f>
        <v>8</v>
      </c>
      <c r="EC59" s="290"/>
      <c r="ED59" s="290"/>
      <c r="EE59" s="290"/>
      <c r="EF59" s="290"/>
      <c r="EG59" s="291">
        <f t="shared" ref="EG59" si="34">+SUM(EG60:EK81)</f>
        <v>8</v>
      </c>
      <c r="EH59" s="290"/>
      <c r="EI59" s="290"/>
      <c r="EJ59" s="290"/>
      <c r="EK59" s="290"/>
      <c r="EL59" s="291">
        <f t="shared" ref="EL59" si="35">+SUM(EL60:EP81)</f>
        <v>8</v>
      </c>
      <c r="EM59" s="290"/>
      <c r="EN59" s="290"/>
      <c r="EO59" s="290"/>
      <c r="EP59" s="290"/>
      <c r="EQ59" s="291">
        <f t="shared" ref="EQ59" si="36">+SUM(EQ60:EU81)</f>
        <v>18</v>
      </c>
      <c r="ER59" s="290"/>
      <c r="ES59" s="290"/>
      <c r="ET59" s="290"/>
      <c r="EU59" s="290"/>
      <c r="EV59" s="291">
        <f t="shared" ref="EV59" si="37">+SUM(EV60:EZ81)</f>
        <v>0</v>
      </c>
      <c r="EW59" s="290"/>
      <c r="EX59" s="290"/>
      <c r="EY59" s="290"/>
      <c r="EZ59" s="535"/>
      <c r="FA59" s="536">
        <f>SUM(FA60:FC81)</f>
        <v>48</v>
      </c>
      <c r="FB59" s="324"/>
      <c r="FC59" s="537"/>
    </row>
    <row r="60" spans="1:160" s="78" customFormat="1" ht="90" customHeight="1" x14ac:dyDescent="0.2">
      <c r="A60" s="751" t="s">
        <v>13</v>
      </c>
      <c r="B60" s="133" t="s">
        <v>146</v>
      </c>
      <c r="C60" s="287" t="s">
        <v>232</v>
      </c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307">
        <f>+FA60*30</f>
        <v>120</v>
      </c>
      <c r="AA60" s="308"/>
      <c r="AB60" s="308"/>
      <c r="AC60" s="309"/>
      <c r="AD60" s="313"/>
      <c r="AE60" s="314"/>
      <c r="AF60" s="315"/>
      <c r="AG60" s="301">
        <f>SUM(AL60:BE61)</f>
        <v>60</v>
      </c>
      <c r="AH60" s="302"/>
      <c r="AI60" s="302"/>
      <c r="AJ60" s="302"/>
      <c r="AK60" s="303"/>
      <c r="AL60" s="301">
        <v>30</v>
      </c>
      <c r="AM60" s="302"/>
      <c r="AN60" s="302"/>
      <c r="AO60" s="302"/>
      <c r="AP60" s="303"/>
      <c r="AQ60" s="301">
        <v>30</v>
      </c>
      <c r="AR60" s="302"/>
      <c r="AS60" s="302"/>
      <c r="AT60" s="302"/>
      <c r="AU60" s="303"/>
      <c r="AV60" s="301"/>
      <c r="AW60" s="302"/>
      <c r="AX60" s="302"/>
      <c r="AY60" s="302"/>
      <c r="AZ60" s="303"/>
      <c r="BA60" s="301"/>
      <c r="BB60" s="302"/>
      <c r="BC60" s="302"/>
      <c r="BD60" s="302"/>
      <c r="BE60" s="303"/>
      <c r="BF60" s="301"/>
      <c r="BG60" s="302"/>
      <c r="BH60" s="302"/>
      <c r="BI60" s="302"/>
      <c r="BJ60" s="303"/>
      <c r="BK60" s="307">
        <f>Z60-AG60</f>
        <v>60</v>
      </c>
      <c r="BL60" s="308"/>
      <c r="BM60" s="308"/>
      <c r="BN60" s="517"/>
      <c r="BO60" s="531"/>
      <c r="BP60" s="447"/>
      <c r="BQ60" s="447"/>
      <c r="BR60" s="447"/>
      <c r="BS60" s="447"/>
      <c r="BT60" s="511"/>
      <c r="BU60" s="511"/>
      <c r="BV60" s="511"/>
      <c r="BW60" s="511"/>
      <c r="BX60" s="511"/>
      <c r="BY60" s="270">
        <v>4</v>
      </c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0"/>
      <c r="CV60" s="270"/>
      <c r="CW60" s="270"/>
      <c r="CX60" s="270"/>
      <c r="CY60" s="270"/>
      <c r="CZ60" s="270"/>
      <c r="DA60" s="270"/>
      <c r="DB60" s="270"/>
      <c r="DC60" s="511"/>
      <c r="DD60" s="511"/>
      <c r="DE60" s="511"/>
      <c r="DF60" s="511"/>
      <c r="DG60" s="524"/>
      <c r="DH60" s="534"/>
      <c r="DI60" s="511"/>
      <c r="DJ60" s="511"/>
      <c r="DK60" s="511"/>
      <c r="DL60" s="511"/>
      <c r="DM60" s="511"/>
      <c r="DN60" s="511"/>
      <c r="DO60" s="511"/>
      <c r="DP60" s="511"/>
      <c r="DQ60" s="511"/>
      <c r="DR60" s="270">
        <v>4</v>
      </c>
      <c r="DS60" s="270"/>
      <c r="DT60" s="270"/>
      <c r="DU60" s="270"/>
      <c r="DV60" s="270"/>
      <c r="DW60" s="270"/>
      <c r="DX60" s="270"/>
      <c r="DY60" s="270"/>
      <c r="DZ60" s="270"/>
      <c r="EA60" s="270"/>
      <c r="EB60" s="270"/>
      <c r="EC60" s="270"/>
      <c r="ED60" s="270"/>
      <c r="EE60" s="270"/>
      <c r="EF60" s="270"/>
      <c r="EG60" s="270"/>
      <c r="EH60" s="270"/>
      <c r="EI60" s="270"/>
      <c r="EJ60" s="270"/>
      <c r="EK60" s="270"/>
      <c r="EL60" s="270"/>
      <c r="EM60" s="270"/>
      <c r="EN60" s="270"/>
      <c r="EO60" s="270"/>
      <c r="EP60" s="270"/>
      <c r="EQ60" s="270"/>
      <c r="ER60" s="270"/>
      <c r="ES60" s="270"/>
      <c r="ET60" s="270"/>
      <c r="EU60" s="270"/>
      <c r="EV60" s="270"/>
      <c r="EW60" s="270"/>
      <c r="EX60" s="270"/>
      <c r="EY60" s="270"/>
      <c r="EZ60" s="533"/>
      <c r="FA60" s="534">
        <f>SUM(DH60:EZ61)</f>
        <v>4</v>
      </c>
      <c r="FB60" s="511"/>
      <c r="FC60" s="524"/>
      <c r="FD60" s="123" t="s">
        <v>268</v>
      </c>
    </row>
    <row r="61" spans="1:160" s="78" customFormat="1" ht="120" customHeight="1" x14ac:dyDescent="0.2">
      <c r="A61" s="752"/>
      <c r="B61" s="133" t="s">
        <v>185</v>
      </c>
      <c r="C61" s="659" t="s">
        <v>184</v>
      </c>
      <c r="D61" s="659"/>
      <c r="E61" s="659"/>
      <c r="F61" s="659"/>
      <c r="G61" s="659"/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  <c r="Z61" s="310"/>
      <c r="AA61" s="311"/>
      <c r="AB61" s="311"/>
      <c r="AC61" s="312"/>
      <c r="AD61" s="316"/>
      <c r="AE61" s="317"/>
      <c r="AF61" s="318"/>
      <c r="AG61" s="304"/>
      <c r="AH61" s="305"/>
      <c r="AI61" s="305"/>
      <c r="AJ61" s="305"/>
      <c r="AK61" s="306"/>
      <c r="AL61" s="304"/>
      <c r="AM61" s="305"/>
      <c r="AN61" s="305"/>
      <c r="AO61" s="305"/>
      <c r="AP61" s="306"/>
      <c r="AQ61" s="304"/>
      <c r="AR61" s="305"/>
      <c r="AS61" s="305"/>
      <c r="AT61" s="305"/>
      <c r="AU61" s="306"/>
      <c r="AV61" s="304"/>
      <c r="AW61" s="305"/>
      <c r="AX61" s="305"/>
      <c r="AY61" s="305"/>
      <c r="AZ61" s="306"/>
      <c r="BA61" s="304"/>
      <c r="BB61" s="305"/>
      <c r="BC61" s="305"/>
      <c r="BD61" s="305"/>
      <c r="BE61" s="306"/>
      <c r="BF61" s="304"/>
      <c r="BG61" s="305"/>
      <c r="BH61" s="305"/>
      <c r="BI61" s="305"/>
      <c r="BJ61" s="306"/>
      <c r="BK61" s="310"/>
      <c r="BL61" s="311"/>
      <c r="BM61" s="311"/>
      <c r="BN61" s="518"/>
      <c r="BO61" s="532"/>
      <c r="BP61" s="450"/>
      <c r="BQ61" s="450"/>
      <c r="BR61" s="450"/>
      <c r="BS61" s="450"/>
      <c r="BT61" s="511"/>
      <c r="BU61" s="511"/>
      <c r="BV61" s="511"/>
      <c r="BW61" s="511"/>
      <c r="BX61" s="511"/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  <c r="DB61" s="270"/>
      <c r="DC61" s="511"/>
      <c r="DD61" s="511"/>
      <c r="DE61" s="511"/>
      <c r="DF61" s="511"/>
      <c r="DG61" s="524"/>
      <c r="DH61" s="534"/>
      <c r="DI61" s="511"/>
      <c r="DJ61" s="511"/>
      <c r="DK61" s="511"/>
      <c r="DL61" s="511"/>
      <c r="DM61" s="511"/>
      <c r="DN61" s="511"/>
      <c r="DO61" s="511"/>
      <c r="DP61" s="511"/>
      <c r="DQ61" s="511"/>
      <c r="DR61" s="270"/>
      <c r="DS61" s="270"/>
      <c r="DT61" s="270"/>
      <c r="DU61" s="270"/>
      <c r="DV61" s="270"/>
      <c r="DW61" s="270"/>
      <c r="DX61" s="270"/>
      <c r="DY61" s="270"/>
      <c r="DZ61" s="270"/>
      <c r="EA61" s="270"/>
      <c r="EB61" s="270"/>
      <c r="EC61" s="270"/>
      <c r="ED61" s="270"/>
      <c r="EE61" s="270"/>
      <c r="EF61" s="270"/>
      <c r="EG61" s="270"/>
      <c r="EH61" s="270"/>
      <c r="EI61" s="270"/>
      <c r="EJ61" s="270"/>
      <c r="EK61" s="270"/>
      <c r="EL61" s="270"/>
      <c r="EM61" s="270"/>
      <c r="EN61" s="270"/>
      <c r="EO61" s="270"/>
      <c r="EP61" s="270"/>
      <c r="EQ61" s="270"/>
      <c r="ER61" s="270"/>
      <c r="ES61" s="270"/>
      <c r="ET61" s="270"/>
      <c r="EU61" s="270"/>
      <c r="EV61" s="270"/>
      <c r="EW61" s="270"/>
      <c r="EX61" s="270"/>
      <c r="EY61" s="270"/>
      <c r="EZ61" s="533"/>
      <c r="FA61" s="534">
        <f t="shared" ref="FA61" si="38">DH61+DM61+DR61+DW61+EB61+EL61+EG61+EQ61+EV61</f>
        <v>0</v>
      </c>
      <c r="FB61" s="511"/>
      <c r="FC61" s="524"/>
    </row>
    <row r="62" spans="1:160" s="101" customFormat="1" ht="90" customHeight="1" x14ac:dyDescent="0.2">
      <c r="A62" s="753" t="s">
        <v>14</v>
      </c>
      <c r="B62" s="136" t="s">
        <v>240</v>
      </c>
      <c r="C62" s="659" t="s">
        <v>241</v>
      </c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  <c r="Z62" s="540">
        <f t="shared" ref="Z62" si="39">+FA62*30</f>
        <v>420</v>
      </c>
      <c r="AA62" s="541"/>
      <c r="AB62" s="541"/>
      <c r="AC62" s="542"/>
      <c r="AD62" s="747"/>
      <c r="AE62" s="559"/>
      <c r="AF62" s="748"/>
      <c r="AG62" s="301">
        <f t="shared" ref="AG62" si="40">SUM(AL62:BE63)</f>
        <v>168</v>
      </c>
      <c r="AH62" s="302"/>
      <c r="AI62" s="302"/>
      <c r="AJ62" s="302"/>
      <c r="AK62" s="303"/>
      <c r="AL62" s="552"/>
      <c r="AM62" s="553"/>
      <c r="AN62" s="553"/>
      <c r="AO62" s="553"/>
      <c r="AP62" s="554"/>
      <c r="AQ62" s="552">
        <v>168</v>
      </c>
      <c r="AR62" s="553"/>
      <c r="AS62" s="553"/>
      <c r="AT62" s="553"/>
      <c r="AU62" s="554"/>
      <c r="AV62" s="552"/>
      <c r="AW62" s="553"/>
      <c r="AX62" s="553"/>
      <c r="AY62" s="553"/>
      <c r="AZ62" s="554"/>
      <c r="BA62" s="552"/>
      <c r="BB62" s="553"/>
      <c r="BC62" s="553"/>
      <c r="BD62" s="553"/>
      <c r="BE62" s="554"/>
      <c r="BF62" s="552"/>
      <c r="BG62" s="553"/>
      <c r="BH62" s="553"/>
      <c r="BI62" s="553"/>
      <c r="BJ62" s="554"/>
      <c r="BK62" s="307">
        <f t="shared" ref="BK62" si="41">Z62-AG62</f>
        <v>252</v>
      </c>
      <c r="BL62" s="308"/>
      <c r="BM62" s="308"/>
      <c r="BN62" s="517"/>
      <c r="BO62" s="558"/>
      <c r="BP62" s="559"/>
      <c r="BQ62" s="559"/>
      <c r="BR62" s="559"/>
      <c r="BS62" s="559"/>
      <c r="BT62" s="522"/>
      <c r="BU62" s="522"/>
      <c r="BV62" s="522"/>
      <c r="BW62" s="522"/>
      <c r="BX62" s="522"/>
      <c r="BY62" s="521"/>
      <c r="BZ62" s="521"/>
      <c r="CA62" s="521"/>
      <c r="CB62" s="521"/>
      <c r="CC62" s="521"/>
      <c r="CD62" s="521"/>
      <c r="CE62" s="521"/>
      <c r="CF62" s="521"/>
      <c r="CG62" s="521"/>
      <c r="CH62" s="521"/>
      <c r="CI62" s="521">
        <v>4</v>
      </c>
      <c r="CJ62" s="521"/>
      <c r="CK62" s="521"/>
      <c r="CL62" s="521"/>
      <c r="CM62" s="521"/>
      <c r="CN62" s="521">
        <v>4</v>
      </c>
      <c r="CO62" s="521"/>
      <c r="CP62" s="521"/>
      <c r="CQ62" s="521"/>
      <c r="CR62" s="521"/>
      <c r="CS62" s="521">
        <v>2</v>
      </c>
      <c r="CT62" s="521"/>
      <c r="CU62" s="521"/>
      <c r="CV62" s="521"/>
      <c r="CW62" s="521"/>
      <c r="CX62" s="521"/>
      <c r="CY62" s="521"/>
      <c r="CZ62" s="521"/>
      <c r="DA62" s="521"/>
      <c r="DB62" s="521"/>
      <c r="DC62" s="522"/>
      <c r="DD62" s="522"/>
      <c r="DE62" s="522"/>
      <c r="DF62" s="522"/>
      <c r="DG62" s="523"/>
      <c r="DH62" s="564"/>
      <c r="DI62" s="522"/>
      <c r="DJ62" s="522"/>
      <c r="DK62" s="522"/>
      <c r="DL62" s="522"/>
      <c r="DM62" s="522"/>
      <c r="DN62" s="522"/>
      <c r="DO62" s="522"/>
      <c r="DP62" s="522"/>
      <c r="DQ62" s="522"/>
      <c r="DR62" s="521"/>
      <c r="DS62" s="521"/>
      <c r="DT62" s="521"/>
      <c r="DU62" s="521"/>
      <c r="DV62" s="521"/>
      <c r="DW62" s="521"/>
      <c r="DX62" s="521"/>
      <c r="DY62" s="521"/>
      <c r="DZ62" s="521"/>
      <c r="EA62" s="521"/>
      <c r="EB62" s="521">
        <v>4</v>
      </c>
      <c r="EC62" s="521"/>
      <c r="ED62" s="521"/>
      <c r="EE62" s="521"/>
      <c r="EF62" s="521"/>
      <c r="EG62" s="521">
        <v>4</v>
      </c>
      <c r="EH62" s="521"/>
      <c r="EI62" s="521"/>
      <c r="EJ62" s="521"/>
      <c r="EK62" s="521"/>
      <c r="EL62" s="521">
        <v>2</v>
      </c>
      <c r="EM62" s="521"/>
      <c r="EN62" s="521"/>
      <c r="EO62" s="521"/>
      <c r="EP62" s="521"/>
      <c r="EQ62" s="521">
        <v>4</v>
      </c>
      <c r="ER62" s="521"/>
      <c r="ES62" s="521"/>
      <c r="ET62" s="521"/>
      <c r="EU62" s="521"/>
      <c r="EV62" s="521"/>
      <c r="EW62" s="521"/>
      <c r="EX62" s="521"/>
      <c r="EY62" s="521"/>
      <c r="EZ62" s="655"/>
      <c r="FA62" s="558">
        <f t="shared" ref="FA62" si="42">SUM(DH62:EZ63)</f>
        <v>14</v>
      </c>
      <c r="FB62" s="559"/>
      <c r="FC62" s="562"/>
    </row>
    <row r="63" spans="1:160" s="101" customFormat="1" ht="90" customHeight="1" x14ac:dyDescent="0.2">
      <c r="A63" s="754"/>
      <c r="B63" s="136" t="s">
        <v>198</v>
      </c>
      <c r="C63" s="658" t="s">
        <v>196</v>
      </c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543"/>
      <c r="AA63" s="544"/>
      <c r="AB63" s="544"/>
      <c r="AC63" s="545"/>
      <c r="AD63" s="749"/>
      <c r="AE63" s="561"/>
      <c r="AF63" s="750"/>
      <c r="AG63" s="304"/>
      <c r="AH63" s="305"/>
      <c r="AI63" s="305"/>
      <c r="AJ63" s="305"/>
      <c r="AK63" s="306"/>
      <c r="AL63" s="555"/>
      <c r="AM63" s="556"/>
      <c r="AN63" s="556"/>
      <c r="AO63" s="556"/>
      <c r="AP63" s="557"/>
      <c r="AQ63" s="555"/>
      <c r="AR63" s="556"/>
      <c r="AS63" s="556"/>
      <c r="AT63" s="556"/>
      <c r="AU63" s="557"/>
      <c r="AV63" s="555"/>
      <c r="AW63" s="556"/>
      <c r="AX63" s="556"/>
      <c r="AY63" s="556"/>
      <c r="AZ63" s="557"/>
      <c r="BA63" s="555"/>
      <c r="BB63" s="556"/>
      <c r="BC63" s="556"/>
      <c r="BD63" s="556"/>
      <c r="BE63" s="557"/>
      <c r="BF63" s="555"/>
      <c r="BG63" s="556"/>
      <c r="BH63" s="556"/>
      <c r="BI63" s="556"/>
      <c r="BJ63" s="557"/>
      <c r="BK63" s="310"/>
      <c r="BL63" s="311"/>
      <c r="BM63" s="311"/>
      <c r="BN63" s="518"/>
      <c r="BO63" s="560"/>
      <c r="BP63" s="561"/>
      <c r="BQ63" s="561"/>
      <c r="BR63" s="561"/>
      <c r="BS63" s="561"/>
      <c r="BT63" s="522"/>
      <c r="BU63" s="522"/>
      <c r="BV63" s="522"/>
      <c r="BW63" s="522"/>
      <c r="BX63" s="522"/>
      <c r="BY63" s="521"/>
      <c r="BZ63" s="521"/>
      <c r="CA63" s="521"/>
      <c r="CB63" s="521"/>
      <c r="CC63" s="521"/>
      <c r="CD63" s="521"/>
      <c r="CE63" s="521"/>
      <c r="CF63" s="521"/>
      <c r="CG63" s="521"/>
      <c r="CH63" s="521"/>
      <c r="CI63" s="521"/>
      <c r="CJ63" s="521"/>
      <c r="CK63" s="521"/>
      <c r="CL63" s="521"/>
      <c r="CM63" s="521"/>
      <c r="CN63" s="521"/>
      <c r="CO63" s="521"/>
      <c r="CP63" s="521"/>
      <c r="CQ63" s="521"/>
      <c r="CR63" s="521"/>
      <c r="CS63" s="521"/>
      <c r="CT63" s="521"/>
      <c r="CU63" s="521"/>
      <c r="CV63" s="521"/>
      <c r="CW63" s="521"/>
      <c r="CX63" s="521"/>
      <c r="CY63" s="521"/>
      <c r="CZ63" s="521"/>
      <c r="DA63" s="521"/>
      <c r="DB63" s="521"/>
      <c r="DC63" s="522"/>
      <c r="DD63" s="522"/>
      <c r="DE63" s="522"/>
      <c r="DF63" s="522"/>
      <c r="DG63" s="523"/>
      <c r="DH63" s="564"/>
      <c r="DI63" s="522"/>
      <c r="DJ63" s="522"/>
      <c r="DK63" s="522"/>
      <c r="DL63" s="522"/>
      <c r="DM63" s="522"/>
      <c r="DN63" s="522"/>
      <c r="DO63" s="522"/>
      <c r="DP63" s="522"/>
      <c r="DQ63" s="522"/>
      <c r="DR63" s="521"/>
      <c r="DS63" s="521"/>
      <c r="DT63" s="521"/>
      <c r="DU63" s="521"/>
      <c r="DV63" s="521"/>
      <c r="DW63" s="521"/>
      <c r="DX63" s="521"/>
      <c r="DY63" s="521"/>
      <c r="DZ63" s="521"/>
      <c r="EA63" s="521"/>
      <c r="EB63" s="521"/>
      <c r="EC63" s="521"/>
      <c r="ED63" s="521"/>
      <c r="EE63" s="521"/>
      <c r="EF63" s="521"/>
      <c r="EG63" s="521"/>
      <c r="EH63" s="521"/>
      <c r="EI63" s="521"/>
      <c r="EJ63" s="521"/>
      <c r="EK63" s="521"/>
      <c r="EL63" s="521"/>
      <c r="EM63" s="521"/>
      <c r="EN63" s="521"/>
      <c r="EO63" s="521"/>
      <c r="EP63" s="521"/>
      <c r="EQ63" s="521"/>
      <c r="ER63" s="521"/>
      <c r="ES63" s="521"/>
      <c r="ET63" s="521"/>
      <c r="EU63" s="521"/>
      <c r="EV63" s="521"/>
      <c r="EW63" s="521"/>
      <c r="EX63" s="521"/>
      <c r="EY63" s="521"/>
      <c r="EZ63" s="655"/>
      <c r="FA63" s="560"/>
      <c r="FB63" s="561"/>
      <c r="FC63" s="563"/>
    </row>
    <row r="64" spans="1:160" s="78" customFormat="1" ht="90" customHeight="1" x14ac:dyDescent="0.2">
      <c r="A64" s="751" t="s">
        <v>44</v>
      </c>
      <c r="B64" s="133" t="s">
        <v>243</v>
      </c>
      <c r="C64" s="659" t="s">
        <v>242</v>
      </c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  <c r="Z64" s="307">
        <f t="shared" ref="Z64" si="43">+FA64*30</f>
        <v>60</v>
      </c>
      <c r="AA64" s="308"/>
      <c r="AB64" s="308"/>
      <c r="AC64" s="309"/>
      <c r="AD64" s="313"/>
      <c r="AE64" s="314"/>
      <c r="AF64" s="315"/>
      <c r="AG64" s="301">
        <f t="shared" ref="AG64" si="44">SUM(AL64:BE65)</f>
        <v>30</v>
      </c>
      <c r="AH64" s="302"/>
      <c r="AI64" s="302"/>
      <c r="AJ64" s="302"/>
      <c r="AK64" s="303"/>
      <c r="AL64" s="301"/>
      <c r="AM64" s="302"/>
      <c r="AN64" s="302"/>
      <c r="AO64" s="302"/>
      <c r="AP64" s="303"/>
      <c r="AQ64" s="301">
        <v>30</v>
      </c>
      <c r="AR64" s="302"/>
      <c r="AS64" s="302"/>
      <c r="AT64" s="302"/>
      <c r="AU64" s="303"/>
      <c r="AV64" s="301"/>
      <c r="AW64" s="302"/>
      <c r="AX64" s="302"/>
      <c r="AY64" s="302"/>
      <c r="AZ64" s="303"/>
      <c r="BA64" s="301"/>
      <c r="BB64" s="302"/>
      <c r="BC64" s="302"/>
      <c r="BD64" s="302"/>
      <c r="BE64" s="303"/>
      <c r="BF64" s="301"/>
      <c r="BG64" s="302"/>
      <c r="BH64" s="302"/>
      <c r="BI64" s="302"/>
      <c r="BJ64" s="303"/>
      <c r="BK64" s="307">
        <f t="shared" ref="BK64" si="45">Z64-AG64</f>
        <v>30</v>
      </c>
      <c r="BL64" s="308"/>
      <c r="BM64" s="308"/>
      <c r="BN64" s="517"/>
      <c r="BO64" s="531"/>
      <c r="BP64" s="447"/>
      <c r="BQ64" s="447"/>
      <c r="BR64" s="447"/>
      <c r="BS64" s="447"/>
      <c r="BT64" s="511"/>
      <c r="BU64" s="511"/>
      <c r="BV64" s="511"/>
      <c r="BW64" s="511"/>
      <c r="BX64" s="511"/>
      <c r="BY64" s="270">
        <v>2</v>
      </c>
      <c r="BZ64" s="270"/>
      <c r="CA64" s="270"/>
      <c r="CB64" s="270"/>
      <c r="CC64" s="270"/>
      <c r="CD64" s="270"/>
      <c r="CE64" s="270"/>
      <c r="CF64" s="270"/>
      <c r="CG64" s="270"/>
      <c r="CH64" s="270"/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0"/>
      <c r="CV64" s="270"/>
      <c r="CW64" s="270"/>
      <c r="CX64" s="270"/>
      <c r="CY64" s="270"/>
      <c r="CZ64" s="270"/>
      <c r="DA64" s="270"/>
      <c r="DB64" s="270"/>
      <c r="DC64" s="511"/>
      <c r="DD64" s="511"/>
      <c r="DE64" s="511"/>
      <c r="DF64" s="511"/>
      <c r="DG64" s="524"/>
      <c r="DH64" s="534"/>
      <c r="DI64" s="511"/>
      <c r="DJ64" s="511"/>
      <c r="DK64" s="511"/>
      <c r="DL64" s="511"/>
      <c r="DM64" s="511"/>
      <c r="DN64" s="511"/>
      <c r="DO64" s="511"/>
      <c r="DP64" s="511"/>
      <c r="DQ64" s="511"/>
      <c r="DR64" s="270">
        <v>2</v>
      </c>
      <c r="DS64" s="270"/>
      <c r="DT64" s="270"/>
      <c r="DU64" s="270"/>
      <c r="DV64" s="270"/>
      <c r="DW64" s="270"/>
      <c r="DX64" s="270"/>
      <c r="DY64" s="270"/>
      <c r="DZ64" s="270"/>
      <c r="EA64" s="270"/>
      <c r="EB64" s="270"/>
      <c r="EC64" s="270"/>
      <c r="ED64" s="270"/>
      <c r="EE64" s="270"/>
      <c r="EF64" s="270"/>
      <c r="EG64" s="270"/>
      <c r="EH64" s="270"/>
      <c r="EI64" s="270"/>
      <c r="EJ64" s="270"/>
      <c r="EK64" s="270"/>
      <c r="EL64" s="270"/>
      <c r="EM64" s="270"/>
      <c r="EN64" s="270"/>
      <c r="EO64" s="270"/>
      <c r="EP64" s="270"/>
      <c r="EQ64" s="270"/>
      <c r="ER64" s="270"/>
      <c r="ES64" s="270"/>
      <c r="ET64" s="270"/>
      <c r="EU64" s="270"/>
      <c r="EV64" s="270"/>
      <c r="EW64" s="270"/>
      <c r="EX64" s="270"/>
      <c r="EY64" s="270"/>
      <c r="EZ64" s="533"/>
      <c r="FA64" s="531">
        <f t="shared" ref="FA64" si="46">SUM(DH64:EZ65)</f>
        <v>2</v>
      </c>
      <c r="FB64" s="447"/>
      <c r="FC64" s="529"/>
      <c r="FD64" s="123" t="s">
        <v>268</v>
      </c>
    </row>
    <row r="65" spans="1:159" s="78" customFormat="1" ht="90" customHeight="1" x14ac:dyDescent="0.2">
      <c r="A65" s="752"/>
      <c r="B65" s="133" t="s">
        <v>197</v>
      </c>
      <c r="C65" s="287" t="s">
        <v>195</v>
      </c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310"/>
      <c r="AA65" s="311"/>
      <c r="AB65" s="311"/>
      <c r="AC65" s="312"/>
      <c r="AD65" s="316"/>
      <c r="AE65" s="317"/>
      <c r="AF65" s="318"/>
      <c r="AG65" s="304"/>
      <c r="AH65" s="305"/>
      <c r="AI65" s="305"/>
      <c r="AJ65" s="305"/>
      <c r="AK65" s="306"/>
      <c r="AL65" s="304"/>
      <c r="AM65" s="305"/>
      <c r="AN65" s="305"/>
      <c r="AO65" s="305"/>
      <c r="AP65" s="306"/>
      <c r="AQ65" s="304"/>
      <c r="AR65" s="305"/>
      <c r="AS65" s="305"/>
      <c r="AT65" s="305"/>
      <c r="AU65" s="306"/>
      <c r="AV65" s="304"/>
      <c r="AW65" s="305"/>
      <c r="AX65" s="305"/>
      <c r="AY65" s="305"/>
      <c r="AZ65" s="306"/>
      <c r="BA65" s="304"/>
      <c r="BB65" s="305"/>
      <c r="BC65" s="305"/>
      <c r="BD65" s="305"/>
      <c r="BE65" s="306"/>
      <c r="BF65" s="304"/>
      <c r="BG65" s="305"/>
      <c r="BH65" s="305"/>
      <c r="BI65" s="305"/>
      <c r="BJ65" s="306"/>
      <c r="BK65" s="310"/>
      <c r="BL65" s="311"/>
      <c r="BM65" s="311"/>
      <c r="BN65" s="518"/>
      <c r="BO65" s="532"/>
      <c r="BP65" s="450"/>
      <c r="BQ65" s="450"/>
      <c r="BR65" s="450"/>
      <c r="BS65" s="450"/>
      <c r="BT65" s="511"/>
      <c r="BU65" s="511"/>
      <c r="BV65" s="511"/>
      <c r="BW65" s="511"/>
      <c r="BX65" s="511"/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70"/>
      <c r="DB65" s="270"/>
      <c r="DC65" s="511"/>
      <c r="DD65" s="511"/>
      <c r="DE65" s="511"/>
      <c r="DF65" s="511"/>
      <c r="DG65" s="524"/>
      <c r="DH65" s="534"/>
      <c r="DI65" s="511"/>
      <c r="DJ65" s="511"/>
      <c r="DK65" s="511"/>
      <c r="DL65" s="511"/>
      <c r="DM65" s="511"/>
      <c r="DN65" s="511"/>
      <c r="DO65" s="511"/>
      <c r="DP65" s="511"/>
      <c r="DQ65" s="511"/>
      <c r="DR65" s="270"/>
      <c r="DS65" s="270"/>
      <c r="DT65" s="270"/>
      <c r="DU65" s="270"/>
      <c r="DV65" s="270"/>
      <c r="DW65" s="270"/>
      <c r="DX65" s="270"/>
      <c r="DY65" s="270"/>
      <c r="DZ65" s="270"/>
      <c r="EA65" s="270"/>
      <c r="EB65" s="270"/>
      <c r="EC65" s="270"/>
      <c r="ED65" s="270"/>
      <c r="EE65" s="270"/>
      <c r="EF65" s="270"/>
      <c r="EG65" s="270"/>
      <c r="EH65" s="270"/>
      <c r="EI65" s="270"/>
      <c r="EJ65" s="270"/>
      <c r="EK65" s="270"/>
      <c r="EL65" s="270"/>
      <c r="EM65" s="270"/>
      <c r="EN65" s="270"/>
      <c r="EO65" s="270"/>
      <c r="EP65" s="270"/>
      <c r="EQ65" s="270"/>
      <c r="ER65" s="270"/>
      <c r="ES65" s="270"/>
      <c r="ET65" s="270"/>
      <c r="EU65" s="270"/>
      <c r="EV65" s="270"/>
      <c r="EW65" s="270"/>
      <c r="EX65" s="270"/>
      <c r="EY65" s="270"/>
      <c r="EZ65" s="533"/>
      <c r="FA65" s="532"/>
      <c r="FB65" s="450"/>
      <c r="FC65" s="530"/>
    </row>
    <row r="66" spans="1:159" s="78" customFormat="1" ht="90" customHeight="1" x14ac:dyDescent="0.2">
      <c r="A66" s="751" t="s">
        <v>45</v>
      </c>
      <c r="B66" s="133" t="s">
        <v>289</v>
      </c>
      <c r="C66" s="538" t="s">
        <v>200</v>
      </c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307">
        <f t="shared" ref="Z66" si="47">+FA66*30</f>
        <v>60</v>
      </c>
      <c r="AA66" s="308"/>
      <c r="AB66" s="308"/>
      <c r="AC66" s="309"/>
      <c r="AD66" s="313"/>
      <c r="AE66" s="314"/>
      <c r="AF66" s="315"/>
      <c r="AG66" s="301">
        <f t="shared" ref="AG66" si="48">SUM(AL66:BE67)</f>
        <v>24</v>
      </c>
      <c r="AH66" s="302"/>
      <c r="AI66" s="302"/>
      <c r="AJ66" s="302"/>
      <c r="AK66" s="303"/>
      <c r="AL66" s="301"/>
      <c r="AM66" s="302"/>
      <c r="AN66" s="302"/>
      <c r="AO66" s="302"/>
      <c r="AP66" s="303"/>
      <c r="AQ66" s="301">
        <v>24</v>
      </c>
      <c r="AR66" s="302"/>
      <c r="AS66" s="302"/>
      <c r="AT66" s="302"/>
      <c r="AU66" s="303"/>
      <c r="AV66" s="301"/>
      <c r="AW66" s="302"/>
      <c r="AX66" s="302"/>
      <c r="AY66" s="302"/>
      <c r="AZ66" s="303"/>
      <c r="BA66" s="301"/>
      <c r="BB66" s="302"/>
      <c r="BC66" s="302"/>
      <c r="BD66" s="302"/>
      <c r="BE66" s="303"/>
      <c r="BF66" s="301"/>
      <c r="BG66" s="302"/>
      <c r="BH66" s="302"/>
      <c r="BI66" s="302"/>
      <c r="BJ66" s="303"/>
      <c r="BK66" s="307">
        <f t="shared" ref="BK66" si="49">Z66-AG66</f>
        <v>36</v>
      </c>
      <c r="BL66" s="308"/>
      <c r="BM66" s="308"/>
      <c r="BN66" s="517"/>
      <c r="BO66" s="531"/>
      <c r="BP66" s="447"/>
      <c r="BQ66" s="447"/>
      <c r="BR66" s="447"/>
      <c r="BS66" s="447"/>
      <c r="BT66" s="511"/>
      <c r="BU66" s="511"/>
      <c r="BV66" s="511"/>
      <c r="BW66" s="511"/>
      <c r="BX66" s="511"/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>
        <v>2</v>
      </c>
      <c r="CJ66" s="270"/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0"/>
      <c r="CV66" s="270"/>
      <c r="CW66" s="270"/>
      <c r="CX66" s="270"/>
      <c r="CY66" s="270"/>
      <c r="CZ66" s="270"/>
      <c r="DA66" s="270"/>
      <c r="DB66" s="270"/>
      <c r="DC66" s="511"/>
      <c r="DD66" s="511"/>
      <c r="DE66" s="511"/>
      <c r="DF66" s="511"/>
      <c r="DG66" s="524"/>
      <c r="DH66" s="534"/>
      <c r="DI66" s="511"/>
      <c r="DJ66" s="511"/>
      <c r="DK66" s="511"/>
      <c r="DL66" s="511"/>
      <c r="DM66" s="511"/>
      <c r="DN66" s="511"/>
      <c r="DO66" s="511"/>
      <c r="DP66" s="511"/>
      <c r="DQ66" s="511"/>
      <c r="DR66" s="270"/>
      <c r="DS66" s="270"/>
      <c r="DT66" s="270"/>
      <c r="DU66" s="270"/>
      <c r="DV66" s="270"/>
      <c r="DW66" s="270"/>
      <c r="DX66" s="270"/>
      <c r="DY66" s="270"/>
      <c r="DZ66" s="270"/>
      <c r="EA66" s="270"/>
      <c r="EB66" s="270">
        <v>2</v>
      </c>
      <c r="EC66" s="270"/>
      <c r="ED66" s="270"/>
      <c r="EE66" s="270"/>
      <c r="EF66" s="270"/>
      <c r="EG66" s="270"/>
      <c r="EH66" s="270"/>
      <c r="EI66" s="270"/>
      <c r="EJ66" s="270"/>
      <c r="EK66" s="270"/>
      <c r="EL66" s="270"/>
      <c r="EM66" s="270"/>
      <c r="EN66" s="270"/>
      <c r="EO66" s="270"/>
      <c r="EP66" s="270"/>
      <c r="EQ66" s="270"/>
      <c r="ER66" s="270"/>
      <c r="ES66" s="270"/>
      <c r="ET66" s="270"/>
      <c r="EU66" s="270"/>
      <c r="EV66" s="511"/>
      <c r="EW66" s="511"/>
      <c r="EX66" s="511"/>
      <c r="EY66" s="511"/>
      <c r="EZ66" s="524"/>
      <c r="FA66" s="531">
        <f t="shared" ref="FA66" si="50">SUM(DH66:EZ67)</f>
        <v>2</v>
      </c>
      <c r="FB66" s="447"/>
      <c r="FC66" s="529"/>
    </row>
    <row r="67" spans="1:159" s="78" customFormat="1" ht="120" customHeight="1" x14ac:dyDescent="0.2">
      <c r="A67" s="752"/>
      <c r="B67" s="133" t="s">
        <v>290</v>
      </c>
      <c r="C67" s="271" t="s">
        <v>201</v>
      </c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310"/>
      <c r="AA67" s="311"/>
      <c r="AB67" s="311"/>
      <c r="AC67" s="312"/>
      <c r="AD67" s="316"/>
      <c r="AE67" s="317"/>
      <c r="AF67" s="318"/>
      <c r="AG67" s="304"/>
      <c r="AH67" s="305"/>
      <c r="AI67" s="305"/>
      <c r="AJ67" s="305"/>
      <c r="AK67" s="306"/>
      <c r="AL67" s="304"/>
      <c r="AM67" s="305"/>
      <c r="AN67" s="305"/>
      <c r="AO67" s="305"/>
      <c r="AP67" s="306"/>
      <c r="AQ67" s="304"/>
      <c r="AR67" s="305"/>
      <c r="AS67" s="305"/>
      <c r="AT67" s="305"/>
      <c r="AU67" s="306"/>
      <c r="AV67" s="304"/>
      <c r="AW67" s="305"/>
      <c r="AX67" s="305"/>
      <c r="AY67" s="305"/>
      <c r="AZ67" s="306"/>
      <c r="BA67" s="304"/>
      <c r="BB67" s="305"/>
      <c r="BC67" s="305"/>
      <c r="BD67" s="305"/>
      <c r="BE67" s="306"/>
      <c r="BF67" s="304"/>
      <c r="BG67" s="305"/>
      <c r="BH67" s="305"/>
      <c r="BI67" s="305"/>
      <c r="BJ67" s="306"/>
      <c r="BK67" s="310"/>
      <c r="BL67" s="311"/>
      <c r="BM67" s="311"/>
      <c r="BN67" s="518"/>
      <c r="BO67" s="532"/>
      <c r="BP67" s="450"/>
      <c r="BQ67" s="450"/>
      <c r="BR67" s="450"/>
      <c r="BS67" s="450"/>
      <c r="BT67" s="511"/>
      <c r="BU67" s="511"/>
      <c r="BV67" s="511"/>
      <c r="BW67" s="511"/>
      <c r="BX67" s="511"/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511"/>
      <c r="DD67" s="511"/>
      <c r="DE67" s="511"/>
      <c r="DF67" s="511"/>
      <c r="DG67" s="524"/>
      <c r="DH67" s="534"/>
      <c r="DI67" s="511"/>
      <c r="DJ67" s="511"/>
      <c r="DK67" s="511"/>
      <c r="DL67" s="511"/>
      <c r="DM67" s="511"/>
      <c r="DN67" s="511"/>
      <c r="DO67" s="511"/>
      <c r="DP67" s="511"/>
      <c r="DQ67" s="511"/>
      <c r="DR67" s="270"/>
      <c r="DS67" s="270"/>
      <c r="DT67" s="270"/>
      <c r="DU67" s="270"/>
      <c r="DV67" s="270"/>
      <c r="DW67" s="270"/>
      <c r="DX67" s="270"/>
      <c r="DY67" s="270"/>
      <c r="DZ67" s="270"/>
      <c r="EA67" s="270"/>
      <c r="EB67" s="270"/>
      <c r="EC67" s="270"/>
      <c r="ED67" s="270"/>
      <c r="EE67" s="270"/>
      <c r="EF67" s="270"/>
      <c r="EG67" s="270"/>
      <c r="EH67" s="270"/>
      <c r="EI67" s="270"/>
      <c r="EJ67" s="270"/>
      <c r="EK67" s="270"/>
      <c r="EL67" s="270"/>
      <c r="EM67" s="270"/>
      <c r="EN67" s="270"/>
      <c r="EO67" s="270"/>
      <c r="EP67" s="270"/>
      <c r="EQ67" s="270"/>
      <c r="ER67" s="270"/>
      <c r="ES67" s="270"/>
      <c r="ET67" s="270"/>
      <c r="EU67" s="270"/>
      <c r="EV67" s="511"/>
      <c r="EW67" s="511"/>
      <c r="EX67" s="511"/>
      <c r="EY67" s="511"/>
      <c r="EZ67" s="524"/>
      <c r="FA67" s="532"/>
      <c r="FB67" s="450"/>
      <c r="FC67" s="530"/>
    </row>
    <row r="68" spans="1:159" s="78" customFormat="1" ht="120" customHeight="1" x14ac:dyDescent="0.2">
      <c r="A68" s="751" t="s">
        <v>46</v>
      </c>
      <c r="B68" s="133" t="s">
        <v>206</v>
      </c>
      <c r="C68" s="538" t="s">
        <v>202</v>
      </c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307">
        <f t="shared" ref="Z68" si="51">+FA68*30</f>
        <v>60</v>
      </c>
      <c r="AA68" s="308"/>
      <c r="AB68" s="308"/>
      <c r="AC68" s="309"/>
      <c r="AD68" s="313"/>
      <c r="AE68" s="314"/>
      <c r="AF68" s="315"/>
      <c r="AG68" s="301">
        <f t="shared" ref="AG68" si="52">SUM(AL68:BE69)</f>
        <v>24</v>
      </c>
      <c r="AH68" s="302"/>
      <c r="AI68" s="302"/>
      <c r="AJ68" s="302"/>
      <c r="AK68" s="303"/>
      <c r="AL68" s="301"/>
      <c r="AM68" s="302"/>
      <c r="AN68" s="302"/>
      <c r="AO68" s="302"/>
      <c r="AP68" s="303"/>
      <c r="AQ68" s="301">
        <v>24</v>
      </c>
      <c r="AR68" s="302"/>
      <c r="AS68" s="302"/>
      <c r="AT68" s="302"/>
      <c r="AU68" s="303"/>
      <c r="AV68" s="301"/>
      <c r="AW68" s="302"/>
      <c r="AX68" s="302"/>
      <c r="AY68" s="302"/>
      <c r="AZ68" s="303"/>
      <c r="BA68" s="301"/>
      <c r="BB68" s="302"/>
      <c r="BC68" s="302"/>
      <c r="BD68" s="302"/>
      <c r="BE68" s="303"/>
      <c r="BF68" s="301"/>
      <c r="BG68" s="302"/>
      <c r="BH68" s="302"/>
      <c r="BI68" s="302"/>
      <c r="BJ68" s="303"/>
      <c r="BK68" s="307">
        <f t="shared" ref="BK68" si="53">Z68-AG68</f>
        <v>36</v>
      </c>
      <c r="BL68" s="308"/>
      <c r="BM68" s="308"/>
      <c r="BN68" s="517"/>
      <c r="BO68" s="531"/>
      <c r="BP68" s="447"/>
      <c r="BQ68" s="447"/>
      <c r="BR68" s="447"/>
      <c r="BS68" s="447"/>
      <c r="BT68" s="511"/>
      <c r="BU68" s="511"/>
      <c r="BV68" s="511"/>
      <c r="BW68" s="511"/>
      <c r="BX68" s="511"/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>
        <v>2</v>
      </c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511"/>
      <c r="DD68" s="511"/>
      <c r="DE68" s="511"/>
      <c r="DF68" s="511"/>
      <c r="DG68" s="524"/>
      <c r="DH68" s="534"/>
      <c r="DI68" s="511"/>
      <c r="DJ68" s="511"/>
      <c r="DK68" s="511"/>
      <c r="DL68" s="511"/>
      <c r="DM68" s="511"/>
      <c r="DN68" s="511"/>
      <c r="DO68" s="511"/>
      <c r="DP68" s="511"/>
      <c r="DQ68" s="511"/>
      <c r="DR68" s="270"/>
      <c r="DS68" s="270"/>
      <c r="DT68" s="270"/>
      <c r="DU68" s="270"/>
      <c r="DV68" s="270"/>
      <c r="DW68" s="270"/>
      <c r="DX68" s="270"/>
      <c r="DY68" s="270"/>
      <c r="DZ68" s="270"/>
      <c r="EA68" s="270"/>
      <c r="EB68" s="270">
        <v>2</v>
      </c>
      <c r="EC68" s="270"/>
      <c r="ED68" s="270"/>
      <c r="EE68" s="270"/>
      <c r="EF68" s="270"/>
      <c r="EG68" s="270"/>
      <c r="EH68" s="270"/>
      <c r="EI68" s="270"/>
      <c r="EJ68" s="270"/>
      <c r="EK68" s="270"/>
      <c r="EL68" s="270"/>
      <c r="EM68" s="270"/>
      <c r="EN68" s="270"/>
      <c r="EO68" s="270"/>
      <c r="EP68" s="270"/>
      <c r="EQ68" s="270"/>
      <c r="ER68" s="270"/>
      <c r="ES68" s="270"/>
      <c r="ET68" s="270"/>
      <c r="EU68" s="270"/>
      <c r="EV68" s="511"/>
      <c r="EW68" s="511"/>
      <c r="EX68" s="511"/>
      <c r="EY68" s="511"/>
      <c r="EZ68" s="524"/>
      <c r="FA68" s="531">
        <f t="shared" ref="FA68" si="54">SUM(DH68:EZ69)</f>
        <v>2</v>
      </c>
      <c r="FB68" s="447"/>
      <c r="FC68" s="529"/>
    </row>
    <row r="69" spans="1:159" s="78" customFormat="1" ht="120" customHeight="1" x14ac:dyDescent="0.2">
      <c r="A69" s="752"/>
      <c r="B69" s="133" t="s">
        <v>207</v>
      </c>
      <c r="C69" s="271" t="s">
        <v>203</v>
      </c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310"/>
      <c r="AA69" s="311"/>
      <c r="AB69" s="311"/>
      <c r="AC69" s="312"/>
      <c r="AD69" s="316"/>
      <c r="AE69" s="317"/>
      <c r="AF69" s="318"/>
      <c r="AG69" s="304"/>
      <c r="AH69" s="305"/>
      <c r="AI69" s="305"/>
      <c r="AJ69" s="305"/>
      <c r="AK69" s="306"/>
      <c r="AL69" s="304"/>
      <c r="AM69" s="305"/>
      <c r="AN69" s="305"/>
      <c r="AO69" s="305"/>
      <c r="AP69" s="306"/>
      <c r="AQ69" s="304"/>
      <c r="AR69" s="305"/>
      <c r="AS69" s="305"/>
      <c r="AT69" s="305"/>
      <c r="AU69" s="306"/>
      <c r="AV69" s="304"/>
      <c r="AW69" s="305"/>
      <c r="AX69" s="305"/>
      <c r="AY69" s="305"/>
      <c r="AZ69" s="306"/>
      <c r="BA69" s="304"/>
      <c r="BB69" s="305"/>
      <c r="BC69" s="305"/>
      <c r="BD69" s="305"/>
      <c r="BE69" s="306"/>
      <c r="BF69" s="304"/>
      <c r="BG69" s="305"/>
      <c r="BH69" s="305"/>
      <c r="BI69" s="305"/>
      <c r="BJ69" s="306"/>
      <c r="BK69" s="310"/>
      <c r="BL69" s="311"/>
      <c r="BM69" s="311"/>
      <c r="BN69" s="518"/>
      <c r="BO69" s="532"/>
      <c r="BP69" s="450"/>
      <c r="BQ69" s="450"/>
      <c r="BR69" s="450"/>
      <c r="BS69" s="450"/>
      <c r="BT69" s="511"/>
      <c r="BU69" s="511"/>
      <c r="BV69" s="511"/>
      <c r="BW69" s="511"/>
      <c r="BX69" s="511"/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70"/>
      <c r="DB69" s="270"/>
      <c r="DC69" s="511"/>
      <c r="DD69" s="511"/>
      <c r="DE69" s="511"/>
      <c r="DF69" s="511"/>
      <c r="DG69" s="524"/>
      <c r="DH69" s="534"/>
      <c r="DI69" s="511"/>
      <c r="DJ69" s="511"/>
      <c r="DK69" s="511"/>
      <c r="DL69" s="511"/>
      <c r="DM69" s="511"/>
      <c r="DN69" s="511"/>
      <c r="DO69" s="511"/>
      <c r="DP69" s="511"/>
      <c r="DQ69" s="511"/>
      <c r="DR69" s="270"/>
      <c r="DS69" s="270"/>
      <c r="DT69" s="270"/>
      <c r="DU69" s="270"/>
      <c r="DV69" s="270"/>
      <c r="DW69" s="270"/>
      <c r="DX69" s="270"/>
      <c r="DY69" s="270"/>
      <c r="DZ69" s="270"/>
      <c r="EA69" s="270"/>
      <c r="EB69" s="270"/>
      <c r="EC69" s="270"/>
      <c r="ED69" s="270"/>
      <c r="EE69" s="270"/>
      <c r="EF69" s="270"/>
      <c r="EG69" s="270"/>
      <c r="EH69" s="270"/>
      <c r="EI69" s="270"/>
      <c r="EJ69" s="270"/>
      <c r="EK69" s="270"/>
      <c r="EL69" s="270"/>
      <c r="EM69" s="270"/>
      <c r="EN69" s="270"/>
      <c r="EO69" s="270"/>
      <c r="EP69" s="270"/>
      <c r="EQ69" s="270"/>
      <c r="ER69" s="270"/>
      <c r="ES69" s="270"/>
      <c r="ET69" s="270"/>
      <c r="EU69" s="270"/>
      <c r="EV69" s="511"/>
      <c r="EW69" s="511"/>
      <c r="EX69" s="511"/>
      <c r="EY69" s="511"/>
      <c r="EZ69" s="524"/>
      <c r="FA69" s="532"/>
      <c r="FB69" s="450"/>
      <c r="FC69" s="530"/>
    </row>
    <row r="70" spans="1:159" s="101" customFormat="1" ht="120" customHeight="1" x14ac:dyDescent="0.2">
      <c r="A70" s="753" t="s">
        <v>47</v>
      </c>
      <c r="B70" s="136" t="s">
        <v>210</v>
      </c>
      <c r="C70" s="538" t="s">
        <v>208</v>
      </c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40">
        <f t="shared" ref="Z70" si="55">+FA70*30</f>
        <v>60</v>
      </c>
      <c r="AA70" s="541"/>
      <c r="AB70" s="541"/>
      <c r="AC70" s="542"/>
      <c r="AD70" s="546"/>
      <c r="AE70" s="547"/>
      <c r="AF70" s="548"/>
      <c r="AG70" s="301">
        <f t="shared" ref="AG70" si="56">SUM(AL70:BE71)</f>
        <v>24</v>
      </c>
      <c r="AH70" s="302"/>
      <c r="AI70" s="302"/>
      <c r="AJ70" s="302"/>
      <c r="AK70" s="303"/>
      <c r="AL70" s="552"/>
      <c r="AM70" s="553"/>
      <c r="AN70" s="553"/>
      <c r="AO70" s="553"/>
      <c r="AP70" s="554"/>
      <c r="AQ70" s="552">
        <v>24</v>
      </c>
      <c r="AR70" s="553"/>
      <c r="AS70" s="553"/>
      <c r="AT70" s="553"/>
      <c r="AU70" s="554"/>
      <c r="AV70" s="552"/>
      <c r="AW70" s="553"/>
      <c r="AX70" s="553"/>
      <c r="AY70" s="553"/>
      <c r="AZ70" s="554"/>
      <c r="BA70" s="552"/>
      <c r="BB70" s="553"/>
      <c r="BC70" s="553"/>
      <c r="BD70" s="553"/>
      <c r="BE70" s="554"/>
      <c r="BF70" s="552"/>
      <c r="BG70" s="553"/>
      <c r="BH70" s="553"/>
      <c r="BI70" s="553"/>
      <c r="BJ70" s="554"/>
      <c r="BK70" s="307">
        <f t="shared" ref="BK70" si="57">Z70-AG70</f>
        <v>36</v>
      </c>
      <c r="BL70" s="308"/>
      <c r="BM70" s="308"/>
      <c r="BN70" s="517"/>
      <c r="BO70" s="558"/>
      <c r="BP70" s="559"/>
      <c r="BQ70" s="559"/>
      <c r="BR70" s="559"/>
      <c r="BS70" s="559"/>
      <c r="BT70" s="522"/>
      <c r="BU70" s="522"/>
      <c r="BV70" s="522"/>
      <c r="BW70" s="522"/>
      <c r="BX70" s="522"/>
      <c r="BY70" s="521"/>
      <c r="BZ70" s="521"/>
      <c r="CA70" s="521"/>
      <c r="CB70" s="521"/>
      <c r="CC70" s="521"/>
      <c r="CD70" s="521"/>
      <c r="CE70" s="521"/>
      <c r="CF70" s="521"/>
      <c r="CG70" s="521"/>
      <c r="CH70" s="521"/>
      <c r="CI70" s="521"/>
      <c r="CJ70" s="521"/>
      <c r="CK70" s="521"/>
      <c r="CL70" s="521"/>
      <c r="CM70" s="521"/>
      <c r="CN70" s="521">
        <v>2</v>
      </c>
      <c r="CO70" s="521"/>
      <c r="CP70" s="521"/>
      <c r="CQ70" s="521"/>
      <c r="CR70" s="521"/>
      <c r="CS70" s="521"/>
      <c r="CT70" s="521"/>
      <c r="CU70" s="521"/>
      <c r="CV70" s="521"/>
      <c r="CW70" s="521"/>
      <c r="CX70" s="521"/>
      <c r="CY70" s="521"/>
      <c r="CZ70" s="521"/>
      <c r="DA70" s="521"/>
      <c r="DB70" s="521"/>
      <c r="DC70" s="522"/>
      <c r="DD70" s="522"/>
      <c r="DE70" s="522"/>
      <c r="DF70" s="522"/>
      <c r="DG70" s="523"/>
      <c r="DH70" s="564"/>
      <c r="DI70" s="522"/>
      <c r="DJ70" s="522"/>
      <c r="DK70" s="522"/>
      <c r="DL70" s="522"/>
      <c r="DM70" s="522"/>
      <c r="DN70" s="522"/>
      <c r="DO70" s="522"/>
      <c r="DP70" s="522"/>
      <c r="DQ70" s="522"/>
      <c r="DR70" s="521"/>
      <c r="DS70" s="521"/>
      <c r="DT70" s="521"/>
      <c r="DU70" s="521"/>
      <c r="DV70" s="521"/>
      <c r="DW70" s="521"/>
      <c r="DX70" s="521"/>
      <c r="DY70" s="521"/>
      <c r="DZ70" s="521"/>
      <c r="EA70" s="521"/>
      <c r="EB70" s="521"/>
      <c r="EC70" s="521"/>
      <c r="ED70" s="521"/>
      <c r="EE70" s="521"/>
      <c r="EF70" s="521"/>
      <c r="EG70" s="521">
        <v>2</v>
      </c>
      <c r="EH70" s="521"/>
      <c r="EI70" s="521"/>
      <c r="EJ70" s="521"/>
      <c r="EK70" s="521"/>
      <c r="EL70" s="521"/>
      <c r="EM70" s="521"/>
      <c r="EN70" s="521"/>
      <c r="EO70" s="521"/>
      <c r="EP70" s="521"/>
      <c r="EQ70" s="521"/>
      <c r="ER70" s="521"/>
      <c r="ES70" s="521"/>
      <c r="ET70" s="521"/>
      <c r="EU70" s="521"/>
      <c r="EV70" s="522"/>
      <c r="EW70" s="522"/>
      <c r="EX70" s="522"/>
      <c r="EY70" s="522"/>
      <c r="EZ70" s="523"/>
      <c r="FA70" s="558">
        <f t="shared" ref="FA70" si="58">SUM(DH70:EZ71)</f>
        <v>2</v>
      </c>
      <c r="FB70" s="559"/>
      <c r="FC70" s="562"/>
    </row>
    <row r="71" spans="1:159" s="101" customFormat="1" ht="90" customHeight="1" x14ac:dyDescent="0.2">
      <c r="A71" s="754"/>
      <c r="B71" s="136" t="s">
        <v>211</v>
      </c>
      <c r="C71" s="539" t="s">
        <v>209</v>
      </c>
      <c r="D71" s="539"/>
      <c r="E71" s="539"/>
      <c r="F71" s="539"/>
      <c r="G71" s="539"/>
      <c r="H71" s="539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43"/>
      <c r="AA71" s="544"/>
      <c r="AB71" s="544"/>
      <c r="AC71" s="545"/>
      <c r="AD71" s="549"/>
      <c r="AE71" s="550"/>
      <c r="AF71" s="551"/>
      <c r="AG71" s="304"/>
      <c r="AH71" s="305"/>
      <c r="AI71" s="305"/>
      <c r="AJ71" s="305"/>
      <c r="AK71" s="306"/>
      <c r="AL71" s="555"/>
      <c r="AM71" s="556"/>
      <c r="AN71" s="556"/>
      <c r="AO71" s="556"/>
      <c r="AP71" s="557"/>
      <c r="AQ71" s="555"/>
      <c r="AR71" s="556"/>
      <c r="AS71" s="556"/>
      <c r="AT71" s="556"/>
      <c r="AU71" s="557"/>
      <c r="AV71" s="555"/>
      <c r="AW71" s="556"/>
      <c r="AX71" s="556"/>
      <c r="AY71" s="556"/>
      <c r="AZ71" s="557"/>
      <c r="BA71" s="555"/>
      <c r="BB71" s="556"/>
      <c r="BC71" s="556"/>
      <c r="BD71" s="556"/>
      <c r="BE71" s="557"/>
      <c r="BF71" s="555"/>
      <c r="BG71" s="556"/>
      <c r="BH71" s="556"/>
      <c r="BI71" s="556"/>
      <c r="BJ71" s="557"/>
      <c r="BK71" s="310"/>
      <c r="BL71" s="311"/>
      <c r="BM71" s="311"/>
      <c r="BN71" s="518"/>
      <c r="BO71" s="560"/>
      <c r="BP71" s="561"/>
      <c r="BQ71" s="561"/>
      <c r="BR71" s="561"/>
      <c r="BS71" s="561"/>
      <c r="BT71" s="522"/>
      <c r="BU71" s="522"/>
      <c r="BV71" s="522"/>
      <c r="BW71" s="522"/>
      <c r="BX71" s="522"/>
      <c r="BY71" s="521"/>
      <c r="BZ71" s="521"/>
      <c r="CA71" s="521"/>
      <c r="CB71" s="521"/>
      <c r="CC71" s="521"/>
      <c r="CD71" s="521"/>
      <c r="CE71" s="521"/>
      <c r="CF71" s="521"/>
      <c r="CG71" s="521"/>
      <c r="CH71" s="521"/>
      <c r="CI71" s="521"/>
      <c r="CJ71" s="521"/>
      <c r="CK71" s="521"/>
      <c r="CL71" s="521"/>
      <c r="CM71" s="521"/>
      <c r="CN71" s="521"/>
      <c r="CO71" s="521"/>
      <c r="CP71" s="521"/>
      <c r="CQ71" s="521"/>
      <c r="CR71" s="521"/>
      <c r="CS71" s="521"/>
      <c r="CT71" s="521"/>
      <c r="CU71" s="521"/>
      <c r="CV71" s="521"/>
      <c r="CW71" s="521"/>
      <c r="CX71" s="521"/>
      <c r="CY71" s="521"/>
      <c r="CZ71" s="521"/>
      <c r="DA71" s="521"/>
      <c r="DB71" s="521"/>
      <c r="DC71" s="522"/>
      <c r="DD71" s="522"/>
      <c r="DE71" s="522"/>
      <c r="DF71" s="522"/>
      <c r="DG71" s="523"/>
      <c r="DH71" s="564"/>
      <c r="DI71" s="522"/>
      <c r="DJ71" s="522"/>
      <c r="DK71" s="522"/>
      <c r="DL71" s="522"/>
      <c r="DM71" s="522"/>
      <c r="DN71" s="522"/>
      <c r="DO71" s="522"/>
      <c r="DP71" s="522"/>
      <c r="DQ71" s="522"/>
      <c r="DR71" s="521"/>
      <c r="DS71" s="521"/>
      <c r="DT71" s="521"/>
      <c r="DU71" s="521"/>
      <c r="DV71" s="521"/>
      <c r="DW71" s="521"/>
      <c r="DX71" s="521"/>
      <c r="DY71" s="521"/>
      <c r="DZ71" s="521"/>
      <c r="EA71" s="521"/>
      <c r="EB71" s="521"/>
      <c r="EC71" s="521"/>
      <c r="ED71" s="521"/>
      <c r="EE71" s="521"/>
      <c r="EF71" s="521"/>
      <c r="EG71" s="521"/>
      <c r="EH71" s="521"/>
      <c r="EI71" s="521"/>
      <c r="EJ71" s="521"/>
      <c r="EK71" s="521"/>
      <c r="EL71" s="521"/>
      <c r="EM71" s="521"/>
      <c r="EN71" s="521"/>
      <c r="EO71" s="521"/>
      <c r="EP71" s="521"/>
      <c r="EQ71" s="521"/>
      <c r="ER71" s="521"/>
      <c r="ES71" s="521"/>
      <c r="ET71" s="521"/>
      <c r="EU71" s="521"/>
      <c r="EV71" s="522"/>
      <c r="EW71" s="522"/>
      <c r="EX71" s="522"/>
      <c r="EY71" s="522"/>
      <c r="EZ71" s="523"/>
      <c r="FA71" s="560"/>
      <c r="FB71" s="561"/>
      <c r="FC71" s="563"/>
    </row>
    <row r="72" spans="1:159" s="101" customFormat="1" ht="120" customHeight="1" x14ac:dyDescent="0.2">
      <c r="A72" s="753" t="s">
        <v>48</v>
      </c>
      <c r="B72" s="136" t="s">
        <v>213</v>
      </c>
      <c r="C72" s="538" t="s">
        <v>212</v>
      </c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40">
        <f t="shared" ref="Z72" si="59">+FA72*30</f>
        <v>60</v>
      </c>
      <c r="AA72" s="541"/>
      <c r="AB72" s="541"/>
      <c r="AC72" s="542"/>
      <c r="AD72" s="546"/>
      <c r="AE72" s="547"/>
      <c r="AF72" s="548"/>
      <c r="AG72" s="301">
        <f t="shared" ref="AG72" si="60">SUM(AL72:BE73)</f>
        <v>24</v>
      </c>
      <c r="AH72" s="302"/>
      <c r="AI72" s="302"/>
      <c r="AJ72" s="302"/>
      <c r="AK72" s="303"/>
      <c r="AL72" s="552">
        <v>12</v>
      </c>
      <c r="AM72" s="553"/>
      <c r="AN72" s="553"/>
      <c r="AO72" s="553"/>
      <c r="AP72" s="554"/>
      <c r="AQ72" s="552">
        <v>12</v>
      </c>
      <c r="AR72" s="553"/>
      <c r="AS72" s="553"/>
      <c r="AT72" s="553"/>
      <c r="AU72" s="554"/>
      <c r="AV72" s="552"/>
      <c r="AW72" s="553"/>
      <c r="AX72" s="553"/>
      <c r="AY72" s="553"/>
      <c r="AZ72" s="554"/>
      <c r="BA72" s="552"/>
      <c r="BB72" s="553"/>
      <c r="BC72" s="553"/>
      <c r="BD72" s="553"/>
      <c r="BE72" s="554"/>
      <c r="BF72" s="552"/>
      <c r="BG72" s="553"/>
      <c r="BH72" s="553"/>
      <c r="BI72" s="553"/>
      <c r="BJ72" s="554"/>
      <c r="BK72" s="307">
        <f t="shared" ref="BK72" si="61">Z72-AG72</f>
        <v>36</v>
      </c>
      <c r="BL72" s="308"/>
      <c r="BM72" s="308"/>
      <c r="BN72" s="517"/>
      <c r="BO72" s="558"/>
      <c r="BP72" s="559"/>
      <c r="BQ72" s="559"/>
      <c r="BR72" s="559"/>
      <c r="BS72" s="559"/>
      <c r="BT72" s="522"/>
      <c r="BU72" s="522"/>
      <c r="BV72" s="522"/>
      <c r="BW72" s="522"/>
      <c r="BX72" s="522"/>
      <c r="BY72" s="521"/>
      <c r="BZ72" s="521"/>
      <c r="CA72" s="521"/>
      <c r="CB72" s="521"/>
      <c r="CC72" s="521"/>
      <c r="CD72" s="521"/>
      <c r="CE72" s="521"/>
      <c r="CF72" s="521"/>
      <c r="CG72" s="521"/>
      <c r="CH72" s="521"/>
      <c r="CI72" s="521"/>
      <c r="CJ72" s="521"/>
      <c r="CK72" s="521"/>
      <c r="CL72" s="521"/>
      <c r="CM72" s="521"/>
      <c r="CN72" s="521">
        <v>2</v>
      </c>
      <c r="CO72" s="521"/>
      <c r="CP72" s="521"/>
      <c r="CQ72" s="521"/>
      <c r="CR72" s="521"/>
      <c r="CS72" s="521"/>
      <c r="CT72" s="521"/>
      <c r="CU72" s="521"/>
      <c r="CV72" s="521"/>
      <c r="CW72" s="521"/>
      <c r="CX72" s="521"/>
      <c r="CY72" s="521"/>
      <c r="CZ72" s="521"/>
      <c r="DA72" s="521"/>
      <c r="DB72" s="521"/>
      <c r="DC72" s="522"/>
      <c r="DD72" s="522"/>
      <c r="DE72" s="522"/>
      <c r="DF72" s="522"/>
      <c r="DG72" s="523"/>
      <c r="DH72" s="564"/>
      <c r="DI72" s="522"/>
      <c r="DJ72" s="522"/>
      <c r="DK72" s="522"/>
      <c r="DL72" s="522"/>
      <c r="DM72" s="522"/>
      <c r="DN72" s="522"/>
      <c r="DO72" s="522"/>
      <c r="DP72" s="522"/>
      <c r="DQ72" s="522"/>
      <c r="DR72" s="521"/>
      <c r="DS72" s="521"/>
      <c r="DT72" s="521"/>
      <c r="DU72" s="521"/>
      <c r="DV72" s="521"/>
      <c r="DW72" s="521"/>
      <c r="DX72" s="521"/>
      <c r="DY72" s="521"/>
      <c r="DZ72" s="521"/>
      <c r="EA72" s="521"/>
      <c r="EB72" s="521"/>
      <c r="EC72" s="521"/>
      <c r="ED72" s="521"/>
      <c r="EE72" s="521"/>
      <c r="EF72" s="521"/>
      <c r="EG72" s="521">
        <v>2</v>
      </c>
      <c r="EH72" s="521"/>
      <c r="EI72" s="521"/>
      <c r="EJ72" s="521"/>
      <c r="EK72" s="521"/>
      <c r="EL72" s="521"/>
      <c r="EM72" s="521"/>
      <c r="EN72" s="521"/>
      <c r="EO72" s="521"/>
      <c r="EP72" s="521"/>
      <c r="EQ72" s="521"/>
      <c r="ER72" s="521"/>
      <c r="ES72" s="521"/>
      <c r="ET72" s="521"/>
      <c r="EU72" s="521"/>
      <c r="EV72" s="522"/>
      <c r="EW72" s="522"/>
      <c r="EX72" s="522"/>
      <c r="EY72" s="522"/>
      <c r="EZ72" s="523"/>
      <c r="FA72" s="558">
        <f t="shared" ref="FA72" si="62">SUM(DH72:EZ73)</f>
        <v>2</v>
      </c>
      <c r="FB72" s="559"/>
      <c r="FC72" s="562"/>
    </row>
    <row r="73" spans="1:159" s="101" customFormat="1" ht="90" customHeight="1" x14ac:dyDescent="0.2">
      <c r="A73" s="754"/>
      <c r="B73" s="136" t="s">
        <v>215</v>
      </c>
      <c r="C73" s="539" t="s">
        <v>214</v>
      </c>
      <c r="D73" s="539"/>
      <c r="E73" s="539"/>
      <c r="F73" s="539"/>
      <c r="G73" s="539"/>
      <c r="H73" s="539"/>
      <c r="I73" s="539"/>
      <c r="J73" s="539"/>
      <c r="K73" s="539"/>
      <c r="L73" s="539"/>
      <c r="M73" s="539"/>
      <c r="N73" s="539"/>
      <c r="O73" s="539"/>
      <c r="P73" s="539"/>
      <c r="Q73" s="539"/>
      <c r="R73" s="539"/>
      <c r="S73" s="539"/>
      <c r="T73" s="539"/>
      <c r="U73" s="539"/>
      <c r="V73" s="539"/>
      <c r="W73" s="539"/>
      <c r="X73" s="539"/>
      <c r="Y73" s="539"/>
      <c r="Z73" s="543"/>
      <c r="AA73" s="544"/>
      <c r="AB73" s="544"/>
      <c r="AC73" s="545"/>
      <c r="AD73" s="549"/>
      <c r="AE73" s="550"/>
      <c r="AF73" s="551"/>
      <c r="AG73" s="304"/>
      <c r="AH73" s="305"/>
      <c r="AI73" s="305"/>
      <c r="AJ73" s="305"/>
      <c r="AK73" s="306"/>
      <c r="AL73" s="555"/>
      <c r="AM73" s="556"/>
      <c r="AN73" s="556"/>
      <c r="AO73" s="556"/>
      <c r="AP73" s="557"/>
      <c r="AQ73" s="555"/>
      <c r="AR73" s="556"/>
      <c r="AS73" s="556"/>
      <c r="AT73" s="556"/>
      <c r="AU73" s="557"/>
      <c r="AV73" s="555"/>
      <c r="AW73" s="556"/>
      <c r="AX73" s="556"/>
      <c r="AY73" s="556"/>
      <c r="AZ73" s="557"/>
      <c r="BA73" s="555"/>
      <c r="BB73" s="556"/>
      <c r="BC73" s="556"/>
      <c r="BD73" s="556"/>
      <c r="BE73" s="557"/>
      <c r="BF73" s="555"/>
      <c r="BG73" s="556"/>
      <c r="BH73" s="556"/>
      <c r="BI73" s="556"/>
      <c r="BJ73" s="557"/>
      <c r="BK73" s="310"/>
      <c r="BL73" s="311"/>
      <c r="BM73" s="311"/>
      <c r="BN73" s="518"/>
      <c r="BO73" s="560"/>
      <c r="BP73" s="561"/>
      <c r="BQ73" s="561"/>
      <c r="BR73" s="561"/>
      <c r="BS73" s="561"/>
      <c r="BT73" s="522"/>
      <c r="BU73" s="522"/>
      <c r="BV73" s="522"/>
      <c r="BW73" s="522"/>
      <c r="BX73" s="522"/>
      <c r="BY73" s="521"/>
      <c r="BZ73" s="521"/>
      <c r="CA73" s="521"/>
      <c r="CB73" s="521"/>
      <c r="CC73" s="521"/>
      <c r="CD73" s="521"/>
      <c r="CE73" s="521"/>
      <c r="CF73" s="521"/>
      <c r="CG73" s="521"/>
      <c r="CH73" s="521"/>
      <c r="CI73" s="521"/>
      <c r="CJ73" s="521"/>
      <c r="CK73" s="521"/>
      <c r="CL73" s="521"/>
      <c r="CM73" s="521"/>
      <c r="CN73" s="521"/>
      <c r="CO73" s="521"/>
      <c r="CP73" s="521"/>
      <c r="CQ73" s="521"/>
      <c r="CR73" s="521"/>
      <c r="CS73" s="521"/>
      <c r="CT73" s="521"/>
      <c r="CU73" s="521"/>
      <c r="CV73" s="521"/>
      <c r="CW73" s="521"/>
      <c r="CX73" s="521"/>
      <c r="CY73" s="521"/>
      <c r="CZ73" s="521"/>
      <c r="DA73" s="521"/>
      <c r="DB73" s="521"/>
      <c r="DC73" s="522"/>
      <c r="DD73" s="522"/>
      <c r="DE73" s="522"/>
      <c r="DF73" s="522"/>
      <c r="DG73" s="523"/>
      <c r="DH73" s="564"/>
      <c r="DI73" s="522"/>
      <c r="DJ73" s="522"/>
      <c r="DK73" s="522"/>
      <c r="DL73" s="522"/>
      <c r="DM73" s="522"/>
      <c r="DN73" s="522"/>
      <c r="DO73" s="522"/>
      <c r="DP73" s="522"/>
      <c r="DQ73" s="522"/>
      <c r="DR73" s="521"/>
      <c r="DS73" s="521"/>
      <c r="DT73" s="521"/>
      <c r="DU73" s="521"/>
      <c r="DV73" s="521"/>
      <c r="DW73" s="521"/>
      <c r="DX73" s="521"/>
      <c r="DY73" s="521"/>
      <c r="DZ73" s="521"/>
      <c r="EA73" s="521"/>
      <c r="EB73" s="521"/>
      <c r="EC73" s="521"/>
      <c r="ED73" s="521"/>
      <c r="EE73" s="521"/>
      <c r="EF73" s="521"/>
      <c r="EG73" s="521"/>
      <c r="EH73" s="521"/>
      <c r="EI73" s="521"/>
      <c r="EJ73" s="521"/>
      <c r="EK73" s="521"/>
      <c r="EL73" s="521"/>
      <c r="EM73" s="521"/>
      <c r="EN73" s="521"/>
      <c r="EO73" s="521"/>
      <c r="EP73" s="521"/>
      <c r="EQ73" s="521"/>
      <c r="ER73" s="521"/>
      <c r="ES73" s="521"/>
      <c r="ET73" s="521"/>
      <c r="EU73" s="521"/>
      <c r="EV73" s="522"/>
      <c r="EW73" s="522"/>
      <c r="EX73" s="522"/>
      <c r="EY73" s="522"/>
      <c r="EZ73" s="523"/>
      <c r="FA73" s="560"/>
      <c r="FB73" s="561"/>
      <c r="FC73" s="563"/>
    </row>
    <row r="74" spans="1:159" s="78" customFormat="1" ht="120" customHeight="1" x14ac:dyDescent="0.2">
      <c r="A74" s="751" t="s">
        <v>49</v>
      </c>
      <c r="B74" s="133" t="s">
        <v>217</v>
      </c>
      <c r="C74" s="271" t="s">
        <v>216</v>
      </c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307">
        <f t="shared" ref="Z74" si="63">+FA74*30</f>
        <v>120</v>
      </c>
      <c r="AA74" s="308"/>
      <c r="AB74" s="308"/>
      <c r="AC74" s="309"/>
      <c r="AD74" s="446"/>
      <c r="AE74" s="447"/>
      <c r="AF74" s="448"/>
      <c r="AG74" s="301">
        <f t="shared" ref="AG74" si="64">SUM(AL74:BE75)</f>
        <v>48</v>
      </c>
      <c r="AH74" s="302"/>
      <c r="AI74" s="302"/>
      <c r="AJ74" s="302"/>
      <c r="AK74" s="303"/>
      <c r="AL74" s="301"/>
      <c r="AM74" s="302"/>
      <c r="AN74" s="302"/>
      <c r="AO74" s="302"/>
      <c r="AP74" s="303"/>
      <c r="AQ74" s="301">
        <v>48</v>
      </c>
      <c r="AR74" s="302"/>
      <c r="AS74" s="302"/>
      <c r="AT74" s="302"/>
      <c r="AU74" s="303"/>
      <c r="AV74" s="301"/>
      <c r="AW74" s="302"/>
      <c r="AX74" s="302"/>
      <c r="AY74" s="302"/>
      <c r="AZ74" s="303"/>
      <c r="BA74" s="301"/>
      <c r="BB74" s="302"/>
      <c r="BC74" s="302"/>
      <c r="BD74" s="302"/>
      <c r="BE74" s="303"/>
      <c r="BF74" s="301"/>
      <c r="BG74" s="302"/>
      <c r="BH74" s="302"/>
      <c r="BI74" s="302"/>
      <c r="BJ74" s="303"/>
      <c r="BK74" s="307">
        <f t="shared" ref="BK74" si="65">Z74-AG74</f>
        <v>72</v>
      </c>
      <c r="BL74" s="308"/>
      <c r="BM74" s="308"/>
      <c r="BN74" s="517"/>
      <c r="BO74" s="514"/>
      <c r="BP74" s="314"/>
      <c r="BQ74" s="314"/>
      <c r="BR74" s="314"/>
      <c r="BS74" s="314"/>
      <c r="BT74" s="270"/>
      <c r="BU74" s="270"/>
      <c r="BV74" s="270"/>
      <c r="BW74" s="270"/>
      <c r="BX74" s="270"/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>
        <v>4</v>
      </c>
      <c r="CY74" s="270"/>
      <c r="CZ74" s="270"/>
      <c r="DA74" s="270"/>
      <c r="DB74" s="270"/>
      <c r="DC74" s="446"/>
      <c r="DD74" s="447"/>
      <c r="DE74" s="447"/>
      <c r="DF74" s="447"/>
      <c r="DG74" s="529"/>
      <c r="DH74" s="531"/>
      <c r="DI74" s="447"/>
      <c r="DJ74" s="447"/>
      <c r="DK74" s="447"/>
      <c r="DL74" s="448"/>
      <c r="DM74" s="446"/>
      <c r="DN74" s="447"/>
      <c r="DO74" s="447"/>
      <c r="DP74" s="447"/>
      <c r="DQ74" s="448"/>
      <c r="DR74" s="313"/>
      <c r="DS74" s="314"/>
      <c r="DT74" s="314"/>
      <c r="DU74" s="314"/>
      <c r="DV74" s="315"/>
      <c r="DW74" s="313"/>
      <c r="DX74" s="314"/>
      <c r="DY74" s="314"/>
      <c r="DZ74" s="314"/>
      <c r="EA74" s="315"/>
      <c r="EB74" s="313"/>
      <c r="EC74" s="314"/>
      <c r="ED74" s="314"/>
      <c r="EE74" s="314"/>
      <c r="EF74" s="315"/>
      <c r="EG74" s="313"/>
      <c r="EH74" s="314"/>
      <c r="EI74" s="314"/>
      <c r="EJ74" s="314"/>
      <c r="EK74" s="315"/>
      <c r="EL74" s="270"/>
      <c r="EM74" s="270"/>
      <c r="EN74" s="270"/>
      <c r="EO74" s="270"/>
      <c r="EP74" s="270"/>
      <c r="EQ74" s="270">
        <v>4</v>
      </c>
      <c r="ER74" s="270"/>
      <c r="ES74" s="270"/>
      <c r="ET74" s="270"/>
      <c r="EU74" s="270"/>
      <c r="EV74" s="511"/>
      <c r="EW74" s="511"/>
      <c r="EX74" s="511"/>
      <c r="EY74" s="511"/>
      <c r="EZ74" s="524"/>
      <c r="FA74" s="531">
        <f t="shared" ref="FA74" si="66">SUM(DH74:EZ75)</f>
        <v>4</v>
      </c>
      <c r="FB74" s="447"/>
      <c r="FC74" s="529"/>
    </row>
    <row r="75" spans="1:159" s="78" customFormat="1" ht="120" customHeight="1" x14ac:dyDescent="0.2">
      <c r="A75" s="752"/>
      <c r="B75" s="133" t="s">
        <v>219</v>
      </c>
      <c r="C75" s="271" t="s">
        <v>218</v>
      </c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310"/>
      <c r="AA75" s="311"/>
      <c r="AB75" s="311"/>
      <c r="AC75" s="312"/>
      <c r="AD75" s="449"/>
      <c r="AE75" s="450"/>
      <c r="AF75" s="451"/>
      <c r="AG75" s="304"/>
      <c r="AH75" s="305"/>
      <c r="AI75" s="305"/>
      <c r="AJ75" s="305"/>
      <c r="AK75" s="306"/>
      <c r="AL75" s="304"/>
      <c r="AM75" s="305"/>
      <c r="AN75" s="305"/>
      <c r="AO75" s="305"/>
      <c r="AP75" s="306"/>
      <c r="AQ75" s="304"/>
      <c r="AR75" s="305"/>
      <c r="AS75" s="305"/>
      <c r="AT75" s="305"/>
      <c r="AU75" s="306"/>
      <c r="AV75" s="304"/>
      <c r="AW75" s="305"/>
      <c r="AX75" s="305"/>
      <c r="AY75" s="305"/>
      <c r="AZ75" s="306"/>
      <c r="BA75" s="304"/>
      <c r="BB75" s="305"/>
      <c r="BC75" s="305"/>
      <c r="BD75" s="305"/>
      <c r="BE75" s="306"/>
      <c r="BF75" s="304"/>
      <c r="BG75" s="305"/>
      <c r="BH75" s="305"/>
      <c r="BI75" s="305"/>
      <c r="BJ75" s="306"/>
      <c r="BK75" s="310"/>
      <c r="BL75" s="311"/>
      <c r="BM75" s="311"/>
      <c r="BN75" s="518"/>
      <c r="BO75" s="515"/>
      <c r="BP75" s="317"/>
      <c r="BQ75" s="317"/>
      <c r="BR75" s="317"/>
      <c r="BS75" s="317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449"/>
      <c r="DD75" s="450"/>
      <c r="DE75" s="450"/>
      <c r="DF75" s="450"/>
      <c r="DG75" s="530"/>
      <c r="DH75" s="532"/>
      <c r="DI75" s="450"/>
      <c r="DJ75" s="450"/>
      <c r="DK75" s="450"/>
      <c r="DL75" s="451"/>
      <c r="DM75" s="449"/>
      <c r="DN75" s="450"/>
      <c r="DO75" s="450"/>
      <c r="DP75" s="450"/>
      <c r="DQ75" s="451"/>
      <c r="DR75" s="316"/>
      <c r="DS75" s="317"/>
      <c r="DT75" s="317"/>
      <c r="DU75" s="317"/>
      <c r="DV75" s="318"/>
      <c r="DW75" s="316"/>
      <c r="DX75" s="317"/>
      <c r="DY75" s="317"/>
      <c r="DZ75" s="317"/>
      <c r="EA75" s="318"/>
      <c r="EB75" s="316"/>
      <c r="EC75" s="317"/>
      <c r="ED75" s="317"/>
      <c r="EE75" s="317"/>
      <c r="EF75" s="318"/>
      <c r="EG75" s="316"/>
      <c r="EH75" s="317"/>
      <c r="EI75" s="317"/>
      <c r="EJ75" s="317"/>
      <c r="EK75" s="318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511"/>
      <c r="EW75" s="511"/>
      <c r="EX75" s="511"/>
      <c r="EY75" s="511"/>
      <c r="EZ75" s="524"/>
      <c r="FA75" s="532"/>
      <c r="FB75" s="450"/>
      <c r="FC75" s="530"/>
    </row>
    <row r="76" spans="1:159" s="78" customFormat="1" ht="90" customHeight="1" x14ac:dyDescent="0.2">
      <c r="A76" s="751" t="s">
        <v>237</v>
      </c>
      <c r="B76" s="133" t="s">
        <v>221</v>
      </c>
      <c r="C76" s="271" t="s">
        <v>220</v>
      </c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307">
        <f t="shared" ref="Z76" si="67">+FA76*30</f>
        <v>120</v>
      </c>
      <c r="AA76" s="308"/>
      <c r="AB76" s="308"/>
      <c r="AC76" s="309"/>
      <c r="AD76" s="446"/>
      <c r="AE76" s="447"/>
      <c r="AF76" s="448"/>
      <c r="AG76" s="301">
        <f t="shared" ref="AG76" si="68">SUM(AL76:BE77)</f>
        <v>48</v>
      </c>
      <c r="AH76" s="302"/>
      <c r="AI76" s="302"/>
      <c r="AJ76" s="302"/>
      <c r="AK76" s="303"/>
      <c r="AL76" s="301"/>
      <c r="AM76" s="302"/>
      <c r="AN76" s="302"/>
      <c r="AO76" s="302"/>
      <c r="AP76" s="303"/>
      <c r="AQ76" s="301">
        <v>48</v>
      </c>
      <c r="AR76" s="302"/>
      <c r="AS76" s="302"/>
      <c r="AT76" s="302"/>
      <c r="AU76" s="303"/>
      <c r="AV76" s="301"/>
      <c r="AW76" s="302"/>
      <c r="AX76" s="302"/>
      <c r="AY76" s="302"/>
      <c r="AZ76" s="303"/>
      <c r="BA76" s="301"/>
      <c r="BB76" s="302"/>
      <c r="BC76" s="302"/>
      <c r="BD76" s="302"/>
      <c r="BE76" s="303"/>
      <c r="BF76" s="301"/>
      <c r="BG76" s="302"/>
      <c r="BH76" s="302"/>
      <c r="BI76" s="302"/>
      <c r="BJ76" s="303"/>
      <c r="BK76" s="307">
        <f t="shared" ref="BK76" si="69">Z76-AG76</f>
        <v>72</v>
      </c>
      <c r="BL76" s="308"/>
      <c r="BM76" s="308"/>
      <c r="BN76" s="517"/>
      <c r="BO76" s="514"/>
      <c r="BP76" s="314"/>
      <c r="BQ76" s="314"/>
      <c r="BR76" s="314"/>
      <c r="BS76" s="314"/>
      <c r="BT76" s="270"/>
      <c r="BU76" s="270"/>
      <c r="BV76" s="270"/>
      <c r="BW76" s="270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0"/>
      <c r="CV76" s="270"/>
      <c r="CW76" s="270"/>
      <c r="CX76" s="270">
        <v>4</v>
      </c>
      <c r="CY76" s="270"/>
      <c r="CZ76" s="270"/>
      <c r="DA76" s="270"/>
      <c r="DB76" s="270"/>
      <c r="DC76" s="511"/>
      <c r="DD76" s="511"/>
      <c r="DE76" s="511"/>
      <c r="DF76" s="511"/>
      <c r="DG76" s="524"/>
      <c r="DH76" s="534"/>
      <c r="DI76" s="511"/>
      <c r="DJ76" s="511"/>
      <c r="DK76" s="511"/>
      <c r="DL76" s="511"/>
      <c r="DM76" s="511"/>
      <c r="DN76" s="511"/>
      <c r="DO76" s="511"/>
      <c r="DP76" s="511"/>
      <c r="DQ76" s="511"/>
      <c r="DR76" s="511"/>
      <c r="DS76" s="511"/>
      <c r="DT76" s="511"/>
      <c r="DU76" s="511"/>
      <c r="DV76" s="511"/>
      <c r="DW76" s="511"/>
      <c r="DX76" s="511"/>
      <c r="DY76" s="511"/>
      <c r="DZ76" s="511"/>
      <c r="EA76" s="511"/>
      <c r="EB76" s="511"/>
      <c r="EC76" s="511"/>
      <c r="ED76" s="511"/>
      <c r="EE76" s="511"/>
      <c r="EF76" s="511"/>
      <c r="EG76" s="511"/>
      <c r="EH76" s="511"/>
      <c r="EI76" s="511"/>
      <c r="EJ76" s="511"/>
      <c r="EK76" s="511"/>
      <c r="EL76" s="270"/>
      <c r="EM76" s="270"/>
      <c r="EN76" s="270"/>
      <c r="EO76" s="270"/>
      <c r="EP76" s="270"/>
      <c r="EQ76" s="270">
        <v>4</v>
      </c>
      <c r="ER76" s="270"/>
      <c r="ES76" s="270"/>
      <c r="ET76" s="270"/>
      <c r="EU76" s="270"/>
      <c r="EV76" s="511"/>
      <c r="EW76" s="511"/>
      <c r="EX76" s="511"/>
      <c r="EY76" s="511"/>
      <c r="EZ76" s="524"/>
      <c r="FA76" s="531">
        <f t="shared" ref="FA76" si="70">SUM(DH76:EZ77)</f>
        <v>4</v>
      </c>
      <c r="FB76" s="447"/>
      <c r="FC76" s="529"/>
    </row>
    <row r="77" spans="1:159" s="78" customFormat="1" ht="90" customHeight="1" x14ac:dyDescent="0.2">
      <c r="A77" s="752"/>
      <c r="B77" s="133" t="s">
        <v>223</v>
      </c>
      <c r="C77" s="271" t="s">
        <v>222</v>
      </c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310"/>
      <c r="AA77" s="311"/>
      <c r="AB77" s="311"/>
      <c r="AC77" s="312"/>
      <c r="AD77" s="449"/>
      <c r="AE77" s="450"/>
      <c r="AF77" s="451"/>
      <c r="AG77" s="304"/>
      <c r="AH77" s="305"/>
      <c r="AI77" s="305"/>
      <c r="AJ77" s="305"/>
      <c r="AK77" s="306"/>
      <c r="AL77" s="304"/>
      <c r="AM77" s="305"/>
      <c r="AN77" s="305"/>
      <c r="AO77" s="305"/>
      <c r="AP77" s="306"/>
      <c r="AQ77" s="304"/>
      <c r="AR77" s="305"/>
      <c r="AS77" s="305"/>
      <c r="AT77" s="305"/>
      <c r="AU77" s="306"/>
      <c r="AV77" s="304"/>
      <c r="AW77" s="305"/>
      <c r="AX77" s="305"/>
      <c r="AY77" s="305"/>
      <c r="AZ77" s="306"/>
      <c r="BA77" s="304"/>
      <c r="BB77" s="305"/>
      <c r="BC77" s="305"/>
      <c r="BD77" s="305"/>
      <c r="BE77" s="306"/>
      <c r="BF77" s="304"/>
      <c r="BG77" s="305"/>
      <c r="BH77" s="305"/>
      <c r="BI77" s="305"/>
      <c r="BJ77" s="306"/>
      <c r="BK77" s="310"/>
      <c r="BL77" s="311"/>
      <c r="BM77" s="311"/>
      <c r="BN77" s="518"/>
      <c r="BO77" s="515"/>
      <c r="BP77" s="317"/>
      <c r="BQ77" s="317"/>
      <c r="BR77" s="317"/>
      <c r="BS77" s="317"/>
      <c r="BT77" s="270"/>
      <c r="BU77" s="270"/>
      <c r="BV77" s="270"/>
      <c r="BW77" s="270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511"/>
      <c r="DD77" s="511"/>
      <c r="DE77" s="511"/>
      <c r="DF77" s="511"/>
      <c r="DG77" s="524"/>
      <c r="DH77" s="534"/>
      <c r="DI77" s="511"/>
      <c r="DJ77" s="511"/>
      <c r="DK77" s="511"/>
      <c r="DL77" s="511"/>
      <c r="DM77" s="511"/>
      <c r="DN77" s="511"/>
      <c r="DO77" s="511"/>
      <c r="DP77" s="511"/>
      <c r="DQ77" s="511"/>
      <c r="DR77" s="511"/>
      <c r="DS77" s="511"/>
      <c r="DT77" s="511"/>
      <c r="DU77" s="511"/>
      <c r="DV77" s="511"/>
      <c r="DW77" s="511"/>
      <c r="DX77" s="511"/>
      <c r="DY77" s="511"/>
      <c r="DZ77" s="511"/>
      <c r="EA77" s="511"/>
      <c r="EB77" s="511"/>
      <c r="EC77" s="511"/>
      <c r="ED77" s="511"/>
      <c r="EE77" s="511"/>
      <c r="EF77" s="511"/>
      <c r="EG77" s="511"/>
      <c r="EH77" s="511"/>
      <c r="EI77" s="511"/>
      <c r="EJ77" s="511"/>
      <c r="EK77" s="511"/>
      <c r="EL77" s="270"/>
      <c r="EM77" s="270"/>
      <c r="EN77" s="270"/>
      <c r="EO77" s="270"/>
      <c r="EP77" s="270"/>
      <c r="EQ77" s="270"/>
      <c r="ER77" s="270"/>
      <c r="ES77" s="270"/>
      <c r="ET77" s="270"/>
      <c r="EU77" s="270"/>
      <c r="EV77" s="511"/>
      <c r="EW77" s="511"/>
      <c r="EX77" s="511"/>
      <c r="EY77" s="511"/>
      <c r="EZ77" s="524"/>
      <c r="FA77" s="532"/>
      <c r="FB77" s="450"/>
      <c r="FC77" s="530"/>
    </row>
    <row r="78" spans="1:159" ht="90" customHeight="1" x14ac:dyDescent="0.2">
      <c r="A78" s="755" t="s">
        <v>238</v>
      </c>
      <c r="B78" s="137" t="s">
        <v>225</v>
      </c>
      <c r="C78" s="445" t="s">
        <v>224</v>
      </c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45"/>
      <c r="X78" s="445"/>
      <c r="Y78" s="445"/>
      <c r="Z78" s="281">
        <f t="shared" ref="Z78" si="71">+FA78*30</f>
        <v>180</v>
      </c>
      <c r="AA78" s="282"/>
      <c r="AB78" s="282"/>
      <c r="AC78" s="342"/>
      <c r="AD78" s="386"/>
      <c r="AE78" s="387"/>
      <c r="AF78" s="388"/>
      <c r="AG78" s="301">
        <f t="shared" ref="AG78" si="72">SUM(AL78:BE79)</f>
        <v>72</v>
      </c>
      <c r="AH78" s="302"/>
      <c r="AI78" s="302"/>
      <c r="AJ78" s="302"/>
      <c r="AK78" s="303"/>
      <c r="AL78" s="275"/>
      <c r="AM78" s="276"/>
      <c r="AN78" s="276"/>
      <c r="AO78" s="276"/>
      <c r="AP78" s="277"/>
      <c r="AQ78" s="275">
        <v>72</v>
      </c>
      <c r="AR78" s="276"/>
      <c r="AS78" s="276"/>
      <c r="AT78" s="276"/>
      <c r="AU78" s="277"/>
      <c r="AV78" s="275"/>
      <c r="AW78" s="276"/>
      <c r="AX78" s="276"/>
      <c r="AY78" s="276"/>
      <c r="AZ78" s="277"/>
      <c r="BA78" s="275"/>
      <c r="BB78" s="276"/>
      <c r="BC78" s="276"/>
      <c r="BD78" s="276"/>
      <c r="BE78" s="277"/>
      <c r="BF78" s="275"/>
      <c r="BG78" s="276"/>
      <c r="BH78" s="276"/>
      <c r="BI78" s="276"/>
      <c r="BJ78" s="277"/>
      <c r="BK78" s="307">
        <f t="shared" ref="BK78" si="73">Z78-AG78</f>
        <v>108</v>
      </c>
      <c r="BL78" s="308"/>
      <c r="BM78" s="308"/>
      <c r="BN78" s="517"/>
      <c r="BO78" s="519"/>
      <c r="BP78" s="288"/>
      <c r="BQ78" s="288"/>
      <c r="BR78" s="288"/>
      <c r="BS78" s="288"/>
      <c r="BT78" s="267"/>
      <c r="BU78" s="267"/>
      <c r="BV78" s="267"/>
      <c r="BW78" s="267"/>
      <c r="BX78" s="267"/>
      <c r="BY78" s="267"/>
      <c r="BZ78" s="267"/>
      <c r="CA78" s="267"/>
      <c r="CB78" s="267"/>
      <c r="CC78" s="267"/>
      <c r="CD78" s="267"/>
      <c r="CE78" s="267"/>
      <c r="CF78" s="267"/>
      <c r="CG78" s="267"/>
      <c r="CH78" s="267"/>
      <c r="CI78" s="267"/>
      <c r="CJ78" s="267"/>
      <c r="CK78" s="267"/>
      <c r="CL78" s="267"/>
      <c r="CM78" s="267"/>
      <c r="CN78" s="267"/>
      <c r="CO78" s="267"/>
      <c r="CP78" s="267"/>
      <c r="CQ78" s="267"/>
      <c r="CR78" s="267"/>
      <c r="CS78" s="267">
        <v>4</v>
      </c>
      <c r="CT78" s="267"/>
      <c r="CU78" s="267"/>
      <c r="CV78" s="267"/>
      <c r="CW78" s="267"/>
      <c r="CX78" s="267">
        <v>2</v>
      </c>
      <c r="CY78" s="267"/>
      <c r="CZ78" s="267"/>
      <c r="DA78" s="267"/>
      <c r="DB78" s="267"/>
      <c r="DC78" s="378"/>
      <c r="DD78" s="378"/>
      <c r="DE78" s="378"/>
      <c r="DF78" s="378"/>
      <c r="DG78" s="512"/>
      <c r="DH78" s="513"/>
      <c r="DI78" s="378"/>
      <c r="DJ78" s="378"/>
      <c r="DK78" s="378"/>
      <c r="DL78" s="378"/>
      <c r="DM78" s="511"/>
      <c r="DN78" s="511"/>
      <c r="DO78" s="511"/>
      <c r="DP78" s="511"/>
      <c r="DQ78" s="511"/>
      <c r="DR78" s="511"/>
      <c r="DS78" s="511"/>
      <c r="DT78" s="511"/>
      <c r="DU78" s="511"/>
      <c r="DV78" s="511"/>
      <c r="DW78" s="511"/>
      <c r="DX78" s="511"/>
      <c r="DY78" s="511"/>
      <c r="DZ78" s="511"/>
      <c r="EA78" s="511"/>
      <c r="EB78" s="511"/>
      <c r="EC78" s="511"/>
      <c r="ED78" s="511"/>
      <c r="EE78" s="511"/>
      <c r="EF78" s="511"/>
      <c r="EG78" s="511"/>
      <c r="EH78" s="511"/>
      <c r="EI78" s="511"/>
      <c r="EJ78" s="511"/>
      <c r="EK78" s="511"/>
      <c r="EL78" s="270">
        <v>4</v>
      </c>
      <c r="EM78" s="270"/>
      <c r="EN78" s="270"/>
      <c r="EO78" s="270"/>
      <c r="EP78" s="270"/>
      <c r="EQ78" s="270">
        <v>2</v>
      </c>
      <c r="ER78" s="270"/>
      <c r="ES78" s="270"/>
      <c r="ET78" s="270"/>
      <c r="EU78" s="270"/>
      <c r="EV78" s="511"/>
      <c r="EW78" s="511"/>
      <c r="EX78" s="511"/>
      <c r="EY78" s="511"/>
      <c r="EZ78" s="524"/>
      <c r="FA78" s="525">
        <f t="shared" ref="FA78" si="74">SUM(DH78:EZ79)</f>
        <v>6</v>
      </c>
      <c r="FB78" s="387"/>
      <c r="FC78" s="526"/>
    </row>
    <row r="79" spans="1:159" ht="90" customHeight="1" x14ac:dyDescent="0.2">
      <c r="A79" s="756"/>
      <c r="B79" s="137" t="s">
        <v>223</v>
      </c>
      <c r="C79" s="445" t="s">
        <v>226</v>
      </c>
      <c r="D79" s="445"/>
      <c r="E79" s="445"/>
      <c r="F79" s="445"/>
      <c r="G79" s="445"/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445"/>
      <c r="S79" s="445"/>
      <c r="T79" s="445"/>
      <c r="U79" s="445"/>
      <c r="V79" s="445"/>
      <c r="W79" s="445"/>
      <c r="X79" s="445"/>
      <c r="Y79" s="445"/>
      <c r="Z79" s="284"/>
      <c r="AA79" s="285"/>
      <c r="AB79" s="285"/>
      <c r="AC79" s="343"/>
      <c r="AD79" s="392"/>
      <c r="AE79" s="393"/>
      <c r="AF79" s="394"/>
      <c r="AG79" s="304"/>
      <c r="AH79" s="305"/>
      <c r="AI79" s="305"/>
      <c r="AJ79" s="305"/>
      <c r="AK79" s="306"/>
      <c r="AL79" s="278"/>
      <c r="AM79" s="279"/>
      <c r="AN79" s="279"/>
      <c r="AO79" s="279"/>
      <c r="AP79" s="280"/>
      <c r="AQ79" s="278"/>
      <c r="AR79" s="279"/>
      <c r="AS79" s="279"/>
      <c r="AT79" s="279"/>
      <c r="AU79" s="280"/>
      <c r="AV79" s="278"/>
      <c r="AW79" s="279"/>
      <c r="AX79" s="279"/>
      <c r="AY79" s="279"/>
      <c r="AZ79" s="280"/>
      <c r="BA79" s="278"/>
      <c r="BB79" s="279"/>
      <c r="BC79" s="279"/>
      <c r="BD79" s="279"/>
      <c r="BE79" s="280"/>
      <c r="BF79" s="278"/>
      <c r="BG79" s="279"/>
      <c r="BH79" s="279"/>
      <c r="BI79" s="279"/>
      <c r="BJ79" s="280"/>
      <c r="BK79" s="310"/>
      <c r="BL79" s="311"/>
      <c r="BM79" s="311"/>
      <c r="BN79" s="518"/>
      <c r="BO79" s="520"/>
      <c r="BP79" s="289"/>
      <c r="BQ79" s="289"/>
      <c r="BR79" s="289"/>
      <c r="BS79" s="289"/>
      <c r="BT79" s="267"/>
      <c r="BU79" s="267"/>
      <c r="BV79" s="267"/>
      <c r="BW79" s="267"/>
      <c r="BX79" s="267"/>
      <c r="BY79" s="267"/>
      <c r="BZ79" s="267"/>
      <c r="CA79" s="267"/>
      <c r="CB79" s="267"/>
      <c r="CC79" s="267"/>
      <c r="CD79" s="267"/>
      <c r="CE79" s="267"/>
      <c r="CF79" s="267"/>
      <c r="CG79" s="267"/>
      <c r="CH79" s="267"/>
      <c r="CI79" s="267"/>
      <c r="CJ79" s="267"/>
      <c r="CK79" s="267"/>
      <c r="CL79" s="267"/>
      <c r="CM79" s="267"/>
      <c r="CN79" s="267"/>
      <c r="CO79" s="267"/>
      <c r="CP79" s="267"/>
      <c r="CQ79" s="267"/>
      <c r="CR79" s="267"/>
      <c r="CS79" s="267"/>
      <c r="CT79" s="267"/>
      <c r="CU79" s="267"/>
      <c r="CV79" s="267"/>
      <c r="CW79" s="267"/>
      <c r="CX79" s="267"/>
      <c r="CY79" s="267"/>
      <c r="CZ79" s="267"/>
      <c r="DA79" s="267"/>
      <c r="DB79" s="267"/>
      <c r="DC79" s="378"/>
      <c r="DD79" s="378"/>
      <c r="DE79" s="378"/>
      <c r="DF79" s="378"/>
      <c r="DG79" s="512"/>
      <c r="DH79" s="513"/>
      <c r="DI79" s="378"/>
      <c r="DJ79" s="378"/>
      <c r="DK79" s="378"/>
      <c r="DL79" s="378"/>
      <c r="DM79" s="511"/>
      <c r="DN79" s="511"/>
      <c r="DO79" s="511"/>
      <c r="DP79" s="511"/>
      <c r="DQ79" s="511"/>
      <c r="DR79" s="511"/>
      <c r="DS79" s="511"/>
      <c r="DT79" s="511"/>
      <c r="DU79" s="511"/>
      <c r="DV79" s="511"/>
      <c r="DW79" s="511"/>
      <c r="DX79" s="511"/>
      <c r="DY79" s="511"/>
      <c r="DZ79" s="511"/>
      <c r="EA79" s="511"/>
      <c r="EB79" s="511"/>
      <c r="EC79" s="511"/>
      <c r="ED79" s="511"/>
      <c r="EE79" s="511"/>
      <c r="EF79" s="511"/>
      <c r="EG79" s="511"/>
      <c r="EH79" s="511"/>
      <c r="EI79" s="511"/>
      <c r="EJ79" s="511"/>
      <c r="EK79" s="511"/>
      <c r="EL79" s="270"/>
      <c r="EM79" s="270"/>
      <c r="EN79" s="270"/>
      <c r="EO79" s="270"/>
      <c r="EP79" s="270"/>
      <c r="EQ79" s="270"/>
      <c r="ER79" s="270"/>
      <c r="ES79" s="270"/>
      <c r="ET79" s="270"/>
      <c r="EU79" s="270"/>
      <c r="EV79" s="511"/>
      <c r="EW79" s="511"/>
      <c r="EX79" s="511"/>
      <c r="EY79" s="511"/>
      <c r="EZ79" s="524"/>
      <c r="FA79" s="527"/>
      <c r="FB79" s="393"/>
      <c r="FC79" s="528"/>
    </row>
    <row r="80" spans="1:159" ht="90" customHeight="1" x14ac:dyDescent="0.2">
      <c r="A80" s="755" t="s">
        <v>239</v>
      </c>
      <c r="B80" s="137" t="s">
        <v>228</v>
      </c>
      <c r="C80" s="445" t="s">
        <v>227</v>
      </c>
      <c r="D80" s="445"/>
      <c r="E80" s="445"/>
      <c r="F80" s="445"/>
      <c r="G80" s="445"/>
      <c r="H80" s="445"/>
      <c r="I80" s="445"/>
      <c r="J80" s="445"/>
      <c r="K80" s="445"/>
      <c r="L80" s="445"/>
      <c r="M80" s="445"/>
      <c r="N80" s="445"/>
      <c r="O80" s="445"/>
      <c r="P80" s="445"/>
      <c r="Q80" s="445"/>
      <c r="R80" s="445"/>
      <c r="S80" s="445"/>
      <c r="T80" s="445"/>
      <c r="U80" s="445"/>
      <c r="V80" s="445"/>
      <c r="W80" s="445"/>
      <c r="X80" s="445"/>
      <c r="Y80" s="445"/>
      <c r="Z80" s="281">
        <f t="shared" ref="Z80" si="75">+FA80*30</f>
        <v>180</v>
      </c>
      <c r="AA80" s="282"/>
      <c r="AB80" s="282"/>
      <c r="AC80" s="342"/>
      <c r="AD80" s="386"/>
      <c r="AE80" s="387"/>
      <c r="AF80" s="388"/>
      <c r="AG80" s="301">
        <f t="shared" ref="AG80" si="76">SUM(AL80:BE81)</f>
        <v>72</v>
      </c>
      <c r="AH80" s="302"/>
      <c r="AI80" s="302"/>
      <c r="AJ80" s="302"/>
      <c r="AK80" s="303"/>
      <c r="AL80" s="275"/>
      <c r="AM80" s="276"/>
      <c r="AN80" s="276"/>
      <c r="AO80" s="276"/>
      <c r="AP80" s="277"/>
      <c r="AQ80" s="275">
        <v>72</v>
      </c>
      <c r="AR80" s="276"/>
      <c r="AS80" s="276"/>
      <c r="AT80" s="276"/>
      <c r="AU80" s="277"/>
      <c r="AV80" s="275"/>
      <c r="AW80" s="276"/>
      <c r="AX80" s="276"/>
      <c r="AY80" s="276"/>
      <c r="AZ80" s="277"/>
      <c r="BA80" s="275"/>
      <c r="BB80" s="276"/>
      <c r="BC80" s="276"/>
      <c r="BD80" s="276"/>
      <c r="BE80" s="277"/>
      <c r="BF80" s="275"/>
      <c r="BG80" s="276"/>
      <c r="BH80" s="276"/>
      <c r="BI80" s="276"/>
      <c r="BJ80" s="277"/>
      <c r="BK80" s="307">
        <f t="shared" ref="BK80" si="77">Z80-AG80</f>
        <v>108</v>
      </c>
      <c r="BL80" s="308"/>
      <c r="BM80" s="308"/>
      <c r="BN80" s="517"/>
      <c r="BO80" s="519"/>
      <c r="BP80" s="288"/>
      <c r="BQ80" s="288"/>
      <c r="BR80" s="288"/>
      <c r="BS80" s="288"/>
      <c r="BT80" s="267"/>
      <c r="BU80" s="267"/>
      <c r="BV80" s="267"/>
      <c r="BW80" s="267"/>
      <c r="BX80" s="267"/>
      <c r="BY80" s="267"/>
      <c r="BZ80" s="267"/>
      <c r="CA80" s="267"/>
      <c r="CB80" s="267"/>
      <c r="CC80" s="267"/>
      <c r="CD80" s="267"/>
      <c r="CE80" s="267"/>
      <c r="CF80" s="267"/>
      <c r="CG80" s="267"/>
      <c r="CH80" s="267"/>
      <c r="CI80" s="267"/>
      <c r="CJ80" s="267"/>
      <c r="CK80" s="267"/>
      <c r="CL80" s="267"/>
      <c r="CM80" s="267"/>
      <c r="CN80" s="267"/>
      <c r="CO80" s="267"/>
      <c r="CP80" s="267"/>
      <c r="CQ80" s="267"/>
      <c r="CR80" s="267"/>
      <c r="CS80" s="267">
        <v>2</v>
      </c>
      <c r="CT80" s="267"/>
      <c r="CU80" s="267"/>
      <c r="CV80" s="267"/>
      <c r="CW80" s="267"/>
      <c r="CX80" s="267">
        <v>4</v>
      </c>
      <c r="CY80" s="267"/>
      <c r="CZ80" s="267"/>
      <c r="DA80" s="267"/>
      <c r="DB80" s="267"/>
      <c r="DC80" s="378"/>
      <c r="DD80" s="378"/>
      <c r="DE80" s="378"/>
      <c r="DF80" s="378"/>
      <c r="DG80" s="512"/>
      <c r="DH80" s="513"/>
      <c r="DI80" s="378"/>
      <c r="DJ80" s="378"/>
      <c r="DK80" s="378"/>
      <c r="DL80" s="378"/>
      <c r="DM80" s="511"/>
      <c r="DN80" s="511"/>
      <c r="DO80" s="511"/>
      <c r="DP80" s="511"/>
      <c r="DQ80" s="511"/>
      <c r="DR80" s="511"/>
      <c r="DS80" s="511"/>
      <c r="DT80" s="511"/>
      <c r="DU80" s="511"/>
      <c r="DV80" s="511"/>
      <c r="DW80" s="511"/>
      <c r="DX80" s="511"/>
      <c r="DY80" s="511"/>
      <c r="DZ80" s="511"/>
      <c r="EA80" s="511"/>
      <c r="EB80" s="511"/>
      <c r="EC80" s="511"/>
      <c r="ED80" s="511"/>
      <c r="EE80" s="511"/>
      <c r="EF80" s="511"/>
      <c r="EG80" s="511"/>
      <c r="EH80" s="511"/>
      <c r="EI80" s="511"/>
      <c r="EJ80" s="511"/>
      <c r="EK80" s="511"/>
      <c r="EL80" s="270">
        <v>2</v>
      </c>
      <c r="EM80" s="270"/>
      <c r="EN80" s="270"/>
      <c r="EO80" s="270"/>
      <c r="EP80" s="270"/>
      <c r="EQ80" s="270">
        <v>4</v>
      </c>
      <c r="ER80" s="270"/>
      <c r="ES80" s="270"/>
      <c r="ET80" s="270"/>
      <c r="EU80" s="270"/>
      <c r="EV80" s="511"/>
      <c r="EW80" s="511"/>
      <c r="EX80" s="511"/>
      <c r="EY80" s="511"/>
      <c r="EZ80" s="524"/>
      <c r="FA80" s="525">
        <f t="shared" ref="FA80" si="78">SUM(DH80:EZ81)</f>
        <v>6</v>
      </c>
      <c r="FB80" s="387"/>
      <c r="FC80" s="526"/>
    </row>
    <row r="81" spans="1:160" ht="90" customHeight="1" x14ac:dyDescent="0.2">
      <c r="A81" s="756"/>
      <c r="B81" s="137" t="s">
        <v>230</v>
      </c>
      <c r="C81" s="445" t="s">
        <v>229</v>
      </c>
      <c r="D81" s="445"/>
      <c r="E81" s="445"/>
      <c r="F81" s="445"/>
      <c r="G81" s="445"/>
      <c r="H81" s="445"/>
      <c r="I81" s="445"/>
      <c r="J81" s="445"/>
      <c r="K81" s="445"/>
      <c r="L81" s="445"/>
      <c r="M81" s="445"/>
      <c r="N81" s="445"/>
      <c r="O81" s="445"/>
      <c r="P81" s="445"/>
      <c r="Q81" s="445"/>
      <c r="R81" s="445"/>
      <c r="S81" s="445"/>
      <c r="T81" s="445"/>
      <c r="U81" s="445"/>
      <c r="V81" s="445"/>
      <c r="W81" s="445"/>
      <c r="X81" s="445"/>
      <c r="Y81" s="445"/>
      <c r="Z81" s="284"/>
      <c r="AA81" s="285"/>
      <c r="AB81" s="285"/>
      <c r="AC81" s="343"/>
      <c r="AD81" s="392"/>
      <c r="AE81" s="393"/>
      <c r="AF81" s="394"/>
      <c r="AG81" s="304"/>
      <c r="AH81" s="305"/>
      <c r="AI81" s="305"/>
      <c r="AJ81" s="305"/>
      <c r="AK81" s="306"/>
      <c r="AL81" s="278"/>
      <c r="AM81" s="279"/>
      <c r="AN81" s="279"/>
      <c r="AO81" s="279"/>
      <c r="AP81" s="280"/>
      <c r="AQ81" s="278"/>
      <c r="AR81" s="279"/>
      <c r="AS81" s="279"/>
      <c r="AT81" s="279"/>
      <c r="AU81" s="280"/>
      <c r="AV81" s="278"/>
      <c r="AW81" s="279"/>
      <c r="AX81" s="279"/>
      <c r="AY81" s="279"/>
      <c r="AZ81" s="280"/>
      <c r="BA81" s="278"/>
      <c r="BB81" s="279"/>
      <c r="BC81" s="279"/>
      <c r="BD81" s="279"/>
      <c r="BE81" s="280"/>
      <c r="BF81" s="278"/>
      <c r="BG81" s="279"/>
      <c r="BH81" s="279"/>
      <c r="BI81" s="279"/>
      <c r="BJ81" s="280"/>
      <c r="BK81" s="310"/>
      <c r="BL81" s="311"/>
      <c r="BM81" s="311"/>
      <c r="BN81" s="518"/>
      <c r="BO81" s="520"/>
      <c r="BP81" s="289"/>
      <c r="BQ81" s="289"/>
      <c r="BR81" s="289"/>
      <c r="BS81" s="289"/>
      <c r="BT81" s="267"/>
      <c r="BU81" s="267"/>
      <c r="BV81" s="267"/>
      <c r="BW81" s="267"/>
      <c r="BX81" s="267"/>
      <c r="BY81" s="267"/>
      <c r="BZ81" s="267"/>
      <c r="CA81" s="267"/>
      <c r="CB81" s="267"/>
      <c r="CC81" s="267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  <c r="CR81" s="267"/>
      <c r="CS81" s="267"/>
      <c r="CT81" s="267"/>
      <c r="CU81" s="267"/>
      <c r="CV81" s="267"/>
      <c r="CW81" s="267"/>
      <c r="CX81" s="267"/>
      <c r="CY81" s="267"/>
      <c r="CZ81" s="267"/>
      <c r="DA81" s="267"/>
      <c r="DB81" s="267"/>
      <c r="DC81" s="378"/>
      <c r="DD81" s="378"/>
      <c r="DE81" s="378"/>
      <c r="DF81" s="378"/>
      <c r="DG81" s="512"/>
      <c r="DH81" s="513"/>
      <c r="DI81" s="378"/>
      <c r="DJ81" s="378"/>
      <c r="DK81" s="378"/>
      <c r="DL81" s="378"/>
      <c r="DM81" s="511"/>
      <c r="DN81" s="511"/>
      <c r="DO81" s="511"/>
      <c r="DP81" s="511"/>
      <c r="DQ81" s="511"/>
      <c r="DR81" s="511"/>
      <c r="DS81" s="511"/>
      <c r="DT81" s="511"/>
      <c r="DU81" s="511"/>
      <c r="DV81" s="511"/>
      <c r="DW81" s="511"/>
      <c r="DX81" s="511"/>
      <c r="DY81" s="511"/>
      <c r="DZ81" s="511"/>
      <c r="EA81" s="511"/>
      <c r="EB81" s="511"/>
      <c r="EC81" s="511"/>
      <c r="ED81" s="511"/>
      <c r="EE81" s="511"/>
      <c r="EF81" s="511"/>
      <c r="EG81" s="511"/>
      <c r="EH81" s="511"/>
      <c r="EI81" s="511"/>
      <c r="EJ81" s="511"/>
      <c r="EK81" s="511"/>
      <c r="EL81" s="270"/>
      <c r="EM81" s="270"/>
      <c r="EN81" s="270"/>
      <c r="EO81" s="270"/>
      <c r="EP81" s="270"/>
      <c r="EQ81" s="270"/>
      <c r="ER81" s="270"/>
      <c r="ES81" s="270"/>
      <c r="ET81" s="270"/>
      <c r="EU81" s="270"/>
      <c r="EV81" s="511"/>
      <c r="EW81" s="511"/>
      <c r="EX81" s="511"/>
      <c r="EY81" s="511"/>
      <c r="EZ81" s="524"/>
      <c r="FA81" s="527"/>
      <c r="FB81" s="393"/>
      <c r="FC81" s="528"/>
    </row>
    <row r="82" spans="1:160" ht="81.75" customHeight="1" x14ac:dyDescent="0.2">
      <c r="A82" s="143"/>
      <c r="B82" s="33"/>
      <c r="C82" s="360" t="s">
        <v>92</v>
      </c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35">
        <f>Z59+Z36</f>
        <v>5940</v>
      </c>
      <c r="AA82" s="336"/>
      <c r="AB82" s="336"/>
      <c r="AC82" s="337"/>
      <c r="AD82" s="362">
        <f>Z82/$Z$86*100</f>
        <v>82.5</v>
      </c>
      <c r="AE82" s="362"/>
      <c r="AF82" s="362"/>
      <c r="AG82" s="324">
        <f>AG59+AG36</f>
        <v>2372</v>
      </c>
      <c r="AH82" s="361"/>
      <c r="AI82" s="361"/>
      <c r="AJ82" s="361"/>
      <c r="AK82" s="361"/>
      <c r="AL82" s="324">
        <f>AL59+AL36</f>
        <v>620</v>
      </c>
      <c r="AM82" s="361"/>
      <c r="AN82" s="361"/>
      <c r="AO82" s="361"/>
      <c r="AP82" s="361"/>
      <c r="AQ82" s="324">
        <f>AQ59+AQ36</f>
        <v>1498</v>
      </c>
      <c r="AR82" s="361"/>
      <c r="AS82" s="361"/>
      <c r="AT82" s="361"/>
      <c r="AU82" s="361"/>
      <c r="AV82" s="324">
        <f>AV59+AV36</f>
        <v>254</v>
      </c>
      <c r="AW82" s="361"/>
      <c r="AX82" s="361"/>
      <c r="AY82" s="361"/>
      <c r="AZ82" s="361"/>
      <c r="BA82" s="324">
        <f>BA59+BA36</f>
        <v>0</v>
      </c>
      <c r="BB82" s="361"/>
      <c r="BC82" s="361"/>
      <c r="BD82" s="361"/>
      <c r="BE82" s="361"/>
      <c r="BF82" s="324">
        <f>BF59+BF36</f>
        <v>0</v>
      </c>
      <c r="BG82" s="361"/>
      <c r="BH82" s="361"/>
      <c r="BI82" s="361"/>
      <c r="BJ82" s="361"/>
      <c r="BK82" s="376">
        <f>BK59+BK36</f>
        <v>3568</v>
      </c>
      <c r="BL82" s="370"/>
      <c r="BM82" s="370"/>
      <c r="BN82" s="666"/>
      <c r="BO82" s="612">
        <f>BO59+BO36</f>
        <v>20</v>
      </c>
      <c r="BP82" s="290"/>
      <c r="BQ82" s="290"/>
      <c r="BR82" s="290"/>
      <c r="BS82" s="290"/>
      <c r="BT82" s="292">
        <f>BT59+BT36</f>
        <v>20</v>
      </c>
      <c r="BU82" s="395"/>
      <c r="BV82" s="395"/>
      <c r="BW82" s="395"/>
      <c r="BX82" s="291"/>
      <c r="BY82" s="292">
        <f>BY59+BY36</f>
        <v>20</v>
      </c>
      <c r="BZ82" s="395"/>
      <c r="CA82" s="395"/>
      <c r="CB82" s="395"/>
      <c r="CC82" s="291"/>
      <c r="CD82" s="292">
        <f>CD59+CD36</f>
        <v>20</v>
      </c>
      <c r="CE82" s="395"/>
      <c r="CF82" s="395"/>
      <c r="CG82" s="395"/>
      <c r="CH82" s="291"/>
      <c r="CI82" s="292">
        <f>CI59+CI36</f>
        <v>21</v>
      </c>
      <c r="CJ82" s="395"/>
      <c r="CK82" s="395"/>
      <c r="CL82" s="395"/>
      <c r="CM82" s="291"/>
      <c r="CN82" s="292">
        <f>CN59+CN36</f>
        <v>21</v>
      </c>
      <c r="CO82" s="395"/>
      <c r="CP82" s="395"/>
      <c r="CQ82" s="395"/>
      <c r="CR82" s="291"/>
      <c r="CS82" s="292">
        <f>CS59+CS36</f>
        <v>21</v>
      </c>
      <c r="CT82" s="395"/>
      <c r="CU82" s="395"/>
      <c r="CV82" s="395"/>
      <c r="CW82" s="291"/>
      <c r="CX82" s="290">
        <f>CX59+CX36</f>
        <v>20</v>
      </c>
      <c r="CY82" s="290"/>
      <c r="CZ82" s="290"/>
      <c r="DA82" s="290"/>
      <c r="DB82" s="290"/>
      <c r="DC82" s="324">
        <f>DC59+DC36</f>
        <v>0</v>
      </c>
      <c r="DD82" s="361"/>
      <c r="DE82" s="361"/>
      <c r="DF82" s="361"/>
      <c r="DG82" s="537"/>
      <c r="DH82" s="612">
        <f>DH59+DH36</f>
        <v>30</v>
      </c>
      <c r="DI82" s="290"/>
      <c r="DJ82" s="290"/>
      <c r="DK82" s="290"/>
      <c r="DL82" s="290"/>
      <c r="DM82" s="291">
        <f t="shared" ref="DM82" si="79">DM59+DM36</f>
        <v>27</v>
      </c>
      <c r="DN82" s="290"/>
      <c r="DO82" s="290"/>
      <c r="DP82" s="290"/>
      <c r="DQ82" s="290"/>
      <c r="DR82" s="291">
        <f t="shared" ref="DR82" si="80">DR59+DR36</f>
        <v>20</v>
      </c>
      <c r="DS82" s="290"/>
      <c r="DT82" s="290"/>
      <c r="DU82" s="290"/>
      <c r="DV82" s="290"/>
      <c r="DW82" s="291">
        <f t="shared" ref="DW82" si="81">DW59+DW36</f>
        <v>24</v>
      </c>
      <c r="DX82" s="290"/>
      <c r="DY82" s="290"/>
      <c r="DZ82" s="290"/>
      <c r="EA82" s="290"/>
      <c r="EB82" s="291">
        <f t="shared" ref="EB82" si="82">EB59+EB36</f>
        <v>24</v>
      </c>
      <c r="EC82" s="290"/>
      <c r="ED82" s="290"/>
      <c r="EE82" s="290"/>
      <c r="EF82" s="290"/>
      <c r="EG82" s="291">
        <f t="shared" ref="EG82" si="83">EG59+EG36</f>
        <v>24</v>
      </c>
      <c r="EH82" s="290"/>
      <c r="EI82" s="290"/>
      <c r="EJ82" s="290"/>
      <c r="EK82" s="290"/>
      <c r="EL82" s="291">
        <f t="shared" ref="EL82" si="84">EL59+EL36</f>
        <v>24</v>
      </c>
      <c r="EM82" s="290"/>
      <c r="EN82" s="290"/>
      <c r="EO82" s="290"/>
      <c r="EP82" s="290"/>
      <c r="EQ82" s="291">
        <f t="shared" ref="EQ82" si="85">EQ59+EQ36</f>
        <v>25</v>
      </c>
      <c r="ER82" s="290"/>
      <c r="ES82" s="290"/>
      <c r="ET82" s="290"/>
      <c r="EU82" s="290"/>
      <c r="EV82" s="291">
        <f t="shared" ref="EV82" si="86">EV59+EV36</f>
        <v>0</v>
      </c>
      <c r="EW82" s="290"/>
      <c r="EX82" s="290"/>
      <c r="EY82" s="290"/>
      <c r="EZ82" s="290"/>
      <c r="FA82" s="536">
        <f>FA59+FA36</f>
        <v>198</v>
      </c>
      <c r="FB82" s="324"/>
      <c r="FC82" s="537"/>
    </row>
    <row r="83" spans="1:160" s="78" customFormat="1" ht="69" customHeight="1" x14ac:dyDescent="0.2">
      <c r="A83" s="144"/>
      <c r="B83" s="77"/>
      <c r="C83" s="664" t="s">
        <v>167</v>
      </c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  <c r="Z83" s="397">
        <f>FA83*30</f>
        <v>1170</v>
      </c>
      <c r="AA83" s="397"/>
      <c r="AB83" s="397"/>
      <c r="AC83" s="397"/>
      <c r="AD83" s="665"/>
      <c r="AE83" s="665"/>
      <c r="AF83" s="665"/>
      <c r="AG83" s="273"/>
      <c r="AH83" s="273"/>
      <c r="AI83" s="273"/>
      <c r="AJ83" s="273"/>
      <c r="AK83" s="273"/>
      <c r="AL83" s="636"/>
      <c r="AM83" s="637"/>
      <c r="AN83" s="637"/>
      <c r="AO83" s="637"/>
      <c r="AP83" s="638"/>
      <c r="AQ83" s="273"/>
      <c r="AR83" s="273"/>
      <c r="AS83" s="273"/>
      <c r="AT83" s="273"/>
      <c r="AU83" s="273"/>
      <c r="AV83" s="273"/>
      <c r="AW83" s="273"/>
      <c r="AX83" s="273"/>
      <c r="AY83" s="273"/>
      <c r="AZ83" s="273"/>
      <c r="BA83" s="273"/>
      <c r="BB83" s="273"/>
      <c r="BC83" s="273"/>
      <c r="BD83" s="273"/>
      <c r="BE83" s="273"/>
      <c r="BF83" s="273"/>
      <c r="BG83" s="273"/>
      <c r="BH83" s="273"/>
      <c r="BI83" s="273"/>
      <c r="BJ83" s="273"/>
      <c r="BK83" s="636"/>
      <c r="BL83" s="637"/>
      <c r="BM83" s="637"/>
      <c r="BN83" s="660"/>
      <c r="BO83" s="534"/>
      <c r="BP83" s="511"/>
      <c r="BQ83" s="511"/>
      <c r="BR83" s="511"/>
      <c r="BS83" s="511"/>
      <c r="BT83" s="511"/>
      <c r="BU83" s="511"/>
      <c r="BV83" s="511"/>
      <c r="BW83" s="511"/>
      <c r="BX83" s="511"/>
      <c r="BY83" s="511"/>
      <c r="BZ83" s="511"/>
      <c r="CA83" s="511"/>
      <c r="CB83" s="511"/>
      <c r="CC83" s="511"/>
      <c r="CD83" s="511"/>
      <c r="CE83" s="511"/>
      <c r="CF83" s="511"/>
      <c r="CG83" s="511"/>
      <c r="CH83" s="511"/>
      <c r="CI83" s="511"/>
      <c r="CJ83" s="511"/>
      <c r="CK83" s="511"/>
      <c r="CL83" s="511"/>
      <c r="CM83" s="511"/>
      <c r="CN83" s="511"/>
      <c r="CO83" s="511"/>
      <c r="CP83" s="511"/>
      <c r="CQ83" s="511"/>
      <c r="CR83" s="511"/>
      <c r="CS83" s="511"/>
      <c r="CT83" s="511"/>
      <c r="CU83" s="511"/>
      <c r="CV83" s="511"/>
      <c r="CW83" s="511"/>
      <c r="CX83" s="511"/>
      <c r="CY83" s="511"/>
      <c r="CZ83" s="511"/>
      <c r="DA83" s="511"/>
      <c r="DB83" s="511"/>
      <c r="DC83" s="501"/>
      <c r="DD83" s="501"/>
      <c r="DE83" s="501"/>
      <c r="DF83" s="501"/>
      <c r="DG83" s="502"/>
      <c r="DH83" s="503"/>
      <c r="DI83" s="504"/>
      <c r="DJ83" s="504"/>
      <c r="DK83" s="504"/>
      <c r="DL83" s="505"/>
      <c r="DM83" s="322">
        <v>3</v>
      </c>
      <c r="DN83" s="510"/>
      <c r="DO83" s="510"/>
      <c r="DP83" s="510"/>
      <c r="DQ83" s="269"/>
      <c r="DR83" s="322">
        <v>3</v>
      </c>
      <c r="DS83" s="510"/>
      <c r="DT83" s="510"/>
      <c r="DU83" s="510"/>
      <c r="DV83" s="269"/>
      <c r="DW83" s="322">
        <v>3</v>
      </c>
      <c r="DX83" s="510"/>
      <c r="DY83" s="510"/>
      <c r="DZ83" s="510"/>
      <c r="EA83" s="269"/>
      <c r="EB83" s="322">
        <v>3</v>
      </c>
      <c r="EC83" s="510"/>
      <c r="ED83" s="510"/>
      <c r="EE83" s="510"/>
      <c r="EF83" s="269"/>
      <c r="EG83" s="322">
        <v>3</v>
      </c>
      <c r="EH83" s="510"/>
      <c r="EI83" s="510"/>
      <c r="EJ83" s="510"/>
      <c r="EK83" s="269"/>
      <c r="EL83" s="322">
        <v>3</v>
      </c>
      <c r="EM83" s="510"/>
      <c r="EN83" s="510"/>
      <c r="EO83" s="510"/>
      <c r="EP83" s="269"/>
      <c r="EQ83" s="322">
        <v>3</v>
      </c>
      <c r="ER83" s="510"/>
      <c r="ES83" s="510"/>
      <c r="ET83" s="510"/>
      <c r="EU83" s="269"/>
      <c r="EV83" s="270">
        <v>18</v>
      </c>
      <c r="EW83" s="270"/>
      <c r="EX83" s="270"/>
      <c r="EY83" s="270"/>
      <c r="EZ83" s="533"/>
      <c r="FA83" s="499">
        <f>SUM(DH83:EZ83)</f>
        <v>39</v>
      </c>
      <c r="FB83" s="339"/>
      <c r="FC83" s="500"/>
      <c r="FD83" s="123" t="s">
        <v>269</v>
      </c>
    </row>
    <row r="84" spans="1:160" ht="75" x14ac:dyDescent="0.2">
      <c r="A84" s="145"/>
      <c r="B84" s="31"/>
      <c r="C84" s="669" t="s">
        <v>19</v>
      </c>
      <c r="D84" s="669"/>
      <c r="E84" s="669"/>
      <c r="F84" s="669"/>
      <c r="G84" s="669"/>
      <c r="H84" s="669"/>
      <c r="I84" s="669"/>
      <c r="J84" s="669"/>
      <c r="K84" s="669"/>
      <c r="L84" s="669"/>
      <c r="M84" s="669"/>
      <c r="N84" s="669"/>
      <c r="O84" s="669"/>
      <c r="P84" s="669"/>
      <c r="Q84" s="669"/>
      <c r="R84" s="669"/>
      <c r="S84" s="669"/>
      <c r="T84" s="669"/>
      <c r="U84" s="669"/>
      <c r="V84" s="669"/>
      <c r="W84" s="669"/>
      <c r="X84" s="669"/>
      <c r="Y84" s="669"/>
      <c r="Z84" s="265">
        <f>FA84*30</f>
        <v>90</v>
      </c>
      <c r="AA84" s="265"/>
      <c r="AB84" s="265"/>
      <c r="AC84" s="265"/>
      <c r="AD84" s="429"/>
      <c r="AE84" s="429"/>
      <c r="AF84" s="378"/>
      <c r="AG84" s="263"/>
      <c r="AH84" s="263"/>
      <c r="AI84" s="263"/>
      <c r="AJ84" s="263"/>
      <c r="AK84" s="263"/>
      <c r="AL84" s="452"/>
      <c r="AM84" s="453"/>
      <c r="AN84" s="453"/>
      <c r="AO84" s="453"/>
      <c r="AP84" s="454"/>
      <c r="AQ84" s="263"/>
      <c r="AR84" s="263"/>
      <c r="AS84" s="263"/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63"/>
      <c r="BJ84" s="263"/>
      <c r="BK84" s="452"/>
      <c r="BL84" s="453"/>
      <c r="BM84" s="453"/>
      <c r="BN84" s="668"/>
      <c r="BO84" s="513"/>
      <c r="BP84" s="378"/>
      <c r="BQ84" s="378"/>
      <c r="BR84" s="378"/>
      <c r="BS84" s="378"/>
      <c r="BT84" s="378"/>
      <c r="BU84" s="378"/>
      <c r="BV84" s="378"/>
      <c r="BW84" s="378"/>
      <c r="BX84" s="378"/>
      <c r="BY84" s="378"/>
      <c r="BZ84" s="378"/>
      <c r="CA84" s="378"/>
      <c r="CB84" s="378"/>
      <c r="CC84" s="378"/>
      <c r="CD84" s="378"/>
      <c r="CE84" s="378"/>
      <c r="CF84" s="378"/>
      <c r="CG84" s="378"/>
      <c r="CH84" s="378"/>
      <c r="CI84" s="378"/>
      <c r="CJ84" s="378"/>
      <c r="CK84" s="378"/>
      <c r="CL84" s="378"/>
      <c r="CM84" s="378"/>
      <c r="CN84" s="378"/>
      <c r="CO84" s="378"/>
      <c r="CP84" s="378"/>
      <c r="CQ84" s="378"/>
      <c r="CR84" s="378"/>
      <c r="CS84" s="378"/>
      <c r="CT84" s="378"/>
      <c r="CU84" s="378"/>
      <c r="CV84" s="378"/>
      <c r="CW84" s="378"/>
      <c r="CX84" s="378"/>
      <c r="CY84" s="378"/>
      <c r="CZ84" s="378"/>
      <c r="DA84" s="378"/>
      <c r="DB84" s="378"/>
      <c r="DC84" s="617"/>
      <c r="DD84" s="617"/>
      <c r="DE84" s="617"/>
      <c r="DF84" s="617"/>
      <c r="DG84" s="625"/>
      <c r="DH84" s="667"/>
      <c r="DI84" s="425"/>
      <c r="DJ84" s="425"/>
      <c r="DK84" s="425"/>
      <c r="DL84" s="380"/>
      <c r="DM84" s="458"/>
      <c r="DN84" s="661"/>
      <c r="DO84" s="661"/>
      <c r="DP84" s="661"/>
      <c r="DQ84" s="266"/>
      <c r="DR84" s="458"/>
      <c r="DS84" s="661"/>
      <c r="DT84" s="661"/>
      <c r="DU84" s="661"/>
      <c r="DV84" s="266"/>
      <c r="DW84" s="458"/>
      <c r="DX84" s="661"/>
      <c r="DY84" s="661"/>
      <c r="DZ84" s="661"/>
      <c r="EA84" s="266"/>
      <c r="EB84" s="458"/>
      <c r="EC84" s="661"/>
      <c r="ED84" s="661"/>
      <c r="EE84" s="661"/>
      <c r="EF84" s="266"/>
      <c r="EG84" s="458"/>
      <c r="EH84" s="661"/>
      <c r="EI84" s="661"/>
      <c r="EJ84" s="661"/>
      <c r="EK84" s="266"/>
      <c r="EL84" s="458"/>
      <c r="EM84" s="661"/>
      <c r="EN84" s="661"/>
      <c r="EO84" s="661"/>
      <c r="EP84" s="266"/>
      <c r="EQ84" s="458"/>
      <c r="ER84" s="661"/>
      <c r="ES84" s="661"/>
      <c r="ET84" s="661"/>
      <c r="EU84" s="266"/>
      <c r="EV84" s="662">
        <v>3</v>
      </c>
      <c r="EW84" s="662"/>
      <c r="EX84" s="662"/>
      <c r="EY84" s="662"/>
      <c r="EZ84" s="663"/>
      <c r="FA84" s="499">
        <f>SUM(DH84:EZ84)</f>
        <v>3</v>
      </c>
      <c r="FB84" s="339"/>
      <c r="FC84" s="500"/>
    </row>
    <row r="85" spans="1:160" ht="84.75" customHeight="1" x14ac:dyDescent="0.2">
      <c r="A85" s="143"/>
      <c r="B85" s="33"/>
      <c r="C85" s="360" t="s">
        <v>92</v>
      </c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1">
        <f>Z83+Z84</f>
        <v>1260</v>
      </c>
      <c r="AA85" s="361"/>
      <c r="AB85" s="361"/>
      <c r="AC85" s="361"/>
      <c r="AD85" s="362">
        <f>Z85/$Z$86*100</f>
        <v>17.5</v>
      </c>
      <c r="AE85" s="362"/>
      <c r="AF85" s="362"/>
      <c r="AG85" s="361">
        <f>AG83+AG84</f>
        <v>0</v>
      </c>
      <c r="AH85" s="361"/>
      <c r="AI85" s="361"/>
      <c r="AJ85" s="361"/>
      <c r="AK85" s="361"/>
      <c r="AL85" s="361">
        <f t="shared" ref="AL85" si="87">AL83+AL84</f>
        <v>0</v>
      </c>
      <c r="AM85" s="361"/>
      <c r="AN85" s="361"/>
      <c r="AO85" s="361"/>
      <c r="AP85" s="361"/>
      <c r="AQ85" s="361">
        <f t="shared" ref="AQ85" si="88">AQ83+AQ84</f>
        <v>0</v>
      </c>
      <c r="AR85" s="361"/>
      <c r="AS85" s="361"/>
      <c r="AT85" s="361"/>
      <c r="AU85" s="361"/>
      <c r="AV85" s="361">
        <f t="shared" ref="AV85" si="89">AV83+AV84</f>
        <v>0</v>
      </c>
      <c r="AW85" s="361"/>
      <c r="AX85" s="361"/>
      <c r="AY85" s="361"/>
      <c r="AZ85" s="361"/>
      <c r="BA85" s="361">
        <f t="shared" ref="BA85" si="90">BA83+BA84</f>
        <v>0</v>
      </c>
      <c r="BB85" s="361"/>
      <c r="BC85" s="361"/>
      <c r="BD85" s="361"/>
      <c r="BE85" s="361"/>
      <c r="BF85" s="361">
        <f t="shared" ref="BF85" si="91">BF83+BF84</f>
        <v>0</v>
      </c>
      <c r="BG85" s="361"/>
      <c r="BH85" s="361"/>
      <c r="BI85" s="361"/>
      <c r="BJ85" s="361"/>
      <c r="BK85" s="369">
        <f>BK83+BK84</f>
        <v>0</v>
      </c>
      <c r="BL85" s="370"/>
      <c r="BM85" s="370"/>
      <c r="BN85" s="666"/>
      <c r="BO85" s="612">
        <f t="shared" ref="BO85:DC85" si="92">BO83+BO84</f>
        <v>0</v>
      </c>
      <c r="BP85" s="290"/>
      <c r="BQ85" s="290"/>
      <c r="BR85" s="290"/>
      <c r="BS85" s="290"/>
      <c r="BT85" s="291">
        <f t="shared" si="92"/>
        <v>0</v>
      </c>
      <c r="BU85" s="290"/>
      <c r="BV85" s="290"/>
      <c r="BW85" s="290"/>
      <c r="BX85" s="290"/>
      <c r="BY85" s="291">
        <f t="shared" si="92"/>
        <v>0</v>
      </c>
      <c r="BZ85" s="290"/>
      <c r="CA85" s="290"/>
      <c r="CB85" s="290"/>
      <c r="CC85" s="290"/>
      <c r="CD85" s="291">
        <f t="shared" si="92"/>
        <v>0</v>
      </c>
      <c r="CE85" s="290"/>
      <c r="CF85" s="290"/>
      <c r="CG85" s="290"/>
      <c r="CH85" s="290"/>
      <c r="CI85" s="291">
        <f t="shared" si="92"/>
        <v>0</v>
      </c>
      <c r="CJ85" s="290"/>
      <c r="CK85" s="290"/>
      <c r="CL85" s="290"/>
      <c r="CM85" s="290"/>
      <c r="CN85" s="291">
        <f t="shared" si="92"/>
        <v>0</v>
      </c>
      <c r="CO85" s="290"/>
      <c r="CP85" s="290"/>
      <c r="CQ85" s="290"/>
      <c r="CR85" s="290"/>
      <c r="CS85" s="291">
        <f t="shared" si="92"/>
        <v>0</v>
      </c>
      <c r="CT85" s="290"/>
      <c r="CU85" s="290"/>
      <c r="CV85" s="290"/>
      <c r="CW85" s="290"/>
      <c r="CX85" s="291">
        <f t="shared" si="92"/>
        <v>0</v>
      </c>
      <c r="CY85" s="290"/>
      <c r="CZ85" s="290"/>
      <c r="DA85" s="290"/>
      <c r="DB85" s="290"/>
      <c r="DC85" s="291">
        <f t="shared" si="92"/>
        <v>0</v>
      </c>
      <c r="DD85" s="290"/>
      <c r="DE85" s="290"/>
      <c r="DF85" s="290"/>
      <c r="DG85" s="535"/>
      <c r="DH85" s="612">
        <f>DH83+DH84</f>
        <v>0</v>
      </c>
      <c r="DI85" s="290"/>
      <c r="DJ85" s="290"/>
      <c r="DK85" s="290"/>
      <c r="DL85" s="290"/>
      <c r="DM85" s="291">
        <f t="shared" ref="DM85" si="93">DM83+DM84</f>
        <v>3</v>
      </c>
      <c r="DN85" s="290"/>
      <c r="DO85" s="290"/>
      <c r="DP85" s="290"/>
      <c r="DQ85" s="290"/>
      <c r="DR85" s="291">
        <f t="shared" ref="DR85" si="94">DR83+DR84</f>
        <v>3</v>
      </c>
      <c r="DS85" s="290"/>
      <c r="DT85" s="290"/>
      <c r="DU85" s="290"/>
      <c r="DV85" s="290"/>
      <c r="DW85" s="291">
        <f t="shared" ref="DW85" si="95">DW83+DW84</f>
        <v>3</v>
      </c>
      <c r="DX85" s="290"/>
      <c r="DY85" s="290"/>
      <c r="DZ85" s="290"/>
      <c r="EA85" s="290"/>
      <c r="EB85" s="291">
        <f t="shared" ref="EB85" si="96">EB83+EB84</f>
        <v>3</v>
      </c>
      <c r="EC85" s="290"/>
      <c r="ED85" s="290"/>
      <c r="EE85" s="290"/>
      <c r="EF85" s="290"/>
      <c r="EG85" s="291">
        <f t="shared" ref="EG85" si="97">EG83+EG84</f>
        <v>3</v>
      </c>
      <c r="EH85" s="290"/>
      <c r="EI85" s="290"/>
      <c r="EJ85" s="290"/>
      <c r="EK85" s="290"/>
      <c r="EL85" s="291">
        <f t="shared" ref="EL85" si="98">EL83+EL84</f>
        <v>3</v>
      </c>
      <c r="EM85" s="290"/>
      <c r="EN85" s="290"/>
      <c r="EO85" s="290"/>
      <c r="EP85" s="290"/>
      <c r="EQ85" s="291">
        <f t="shared" ref="EQ85" si="99">EQ83+EQ84</f>
        <v>3</v>
      </c>
      <c r="ER85" s="290"/>
      <c r="ES85" s="290"/>
      <c r="ET85" s="290"/>
      <c r="EU85" s="290"/>
      <c r="EV85" s="291">
        <f t="shared" ref="EV85" si="100">EV83+EV84</f>
        <v>21</v>
      </c>
      <c r="EW85" s="290"/>
      <c r="EX85" s="290"/>
      <c r="EY85" s="290"/>
      <c r="EZ85" s="535"/>
      <c r="FA85" s="536">
        <f>FA83+FA84</f>
        <v>42</v>
      </c>
      <c r="FB85" s="324"/>
      <c r="FC85" s="537"/>
    </row>
    <row r="86" spans="1:160" ht="75.75" customHeight="1" thickBot="1" x14ac:dyDescent="0.25">
      <c r="A86" s="146"/>
      <c r="B86" s="147"/>
      <c r="C86" s="680" t="s">
        <v>25</v>
      </c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71">
        <f>Z85+Z82</f>
        <v>7200</v>
      </c>
      <c r="AA86" s="672"/>
      <c r="AB86" s="672"/>
      <c r="AC86" s="672"/>
      <c r="AD86" s="670">
        <f>AD82+AD85</f>
        <v>100</v>
      </c>
      <c r="AE86" s="670"/>
      <c r="AF86" s="670"/>
      <c r="AG86" s="671">
        <f>AG82+AG85</f>
        <v>2372</v>
      </c>
      <c r="AH86" s="672"/>
      <c r="AI86" s="672"/>
      <c r="AJ86" s="672"/>
      <c r="AK86" s="672"/>
      <c r="AL86" s="671">
        <f t="shared" ref="AL86" si="101">AL82+AL85</f>
        <v>620</v>
      </c>
      <c r="AM86" s="672"/>
      <c r="AN86" s="672"/>
      <c r="AO86" s="672"/>
      <c r="AP86" s="672"/>
      <c r="AQ86" s="671">
        <f t="shared" ref="AQ86" si="102">AQ82+AQ85</f>
        <v>1498</v>
      </c>
      <c r="AR86" s="672"/>
      <c r="AS86" s="672"/>
      <c r="AT86" s="672"/>
      <c r="AU86" s="672"/>
      <c r="AV86" s="671">
        <f t="shared" ref="AV86" si="103">AV82+AV85</f>
        <v>254</v>
      </c>
      <c r="AW86" s="672"/>
      <c r="AX86" s="672"/>
      <c r="AY86" s="672"/>
      <c r="AZ86" s="672"/>
      <c r="BA86" s="671">
        <f t="shared" ref="BA86" si="104">BA82+BA85</f>
        <v>0</v>
      </c>
      <c r="BB86" s="672"/>
      <c r="BC86" s="672"/>
      <c r="BD86" s="672"/>
      <c r="BE86" s="672"/>
      <c r="BF86" s="671">
        <f t="shared" ref="BF86" si="105">BF82+BF85</f>
        <v>0</v>
      </c>
      <c r="BG86" s="672"/>
      <c r="BH86" s="672"/>
      <c r="BI86" s="672"/>
      <c r="BJ86" s="672"/>
      <c r="BK86" s="673">
        <f>BK82+BK85</f>
        <v>3568</v>
      </c>
      <c r="BL86" s="674"/>
      <c r="BM86" s="674"/>
      <c r="BN86" s="675"/>
      <c r="BO86" s="676">
        <f>BO85+BO59+BO36</f>
        <v>20</v>
      </c>
      <c r="BP86" s="677"/>
      <c r="BQ86" s="677"/>
      <c r="BR86" s="677"/>
      <c r="BS86" s="678"/>
      <c r="BT86" s="677">
        <f t="shared" ref="BT86" si="106">BT85+BT59+BT36</f>
        <v>20</v>
      </c>
      <c r="BU86" s="677"/>
      <c r="BV86" s="677"/>
      <c r="BW86" s="677"/>
      <c r="BX86" s="677"/>
      <c r="BY86" s="677">
        <f t="shared" ref="BY86" si="107">BY85+BY59+BY36</f>
        <v>20</v>
      </c>
      <c r="BZ86" s="677"/>
      <c r="CA86" s="677"/>
      <c r="CB86" s="677"/>
      <c r="CC86" s="677"/>
      <c r="CD86" s="677">
        <f t="shared" ref="CD86" si="108">CD85+CD59+CD36</f>
        <v>20</v>
      </c>
      <c r="CE86" s="677"/>
      <c r="CF86" s="677"/>
      <c r="CG86" s="677"/>
      <c r="CH86" s="677"/>
      <c r="CI86" s="677">
        <f t="shared" ref="CI86" si="109">CI85+CI59+CI36</f>
        <v>21</v>
      </c>
      <c r="CJ86" s="677"/>
      <c r="CK86" s="677"/>
      <c r="CL86" s="677"/>
      <c r="CM86" s="677"/>
      <c r="CN86" s="677">
        <f t="shared" ref="CN86" si="110">CN85+CN59+CN36</f>
        <v>21</v>
      </c>
      <c r="CO86" s="677"/>
      <c r="CP86" s="677"/>
      <c r="CQ86" s="677"/>
      <c r="CR86" s="677"/>
      <c r="CS86" s="677">
        <f t="shared" ref="CS86" si="111">CS85+CS59+CS36</f>
        <v>21</v>
      </c>
      <c r="CT86" s="677"/>
      <c r="CU86" s="677"/>
      <c r="CV86" s="677"/>
      <c r="CW86" s="677"/>
      <c r="CX86" s="677">
        <f t="shared" ref="CX86" si="112">CX85+CX59+CX36</f>
        <v>20</v>
      </c>
      <c r="CY86" s="677"/>
      <c r="CZ86" s="677"/>
      <c r="DA86" s="677"/>
      <c r="DB86" s="677"/>
      <c r="DC86" s="684">
        <f t="shared" ref="DC86" si="113">DC85+DC59+DC36</f>
        <v>0</v>
      </c>
      <c r="DD86" s="677"/>
      <c r="DE86" s="677"/>
      <c r="DF86" s="677"/>
      <c r="DG86" s="679"/>
      <c r="DH86" s="676">
        <f>DH85+DH82</f>
        <v>30</v>
      </c>
      <c r="DI86" s="677"/>
      <c r="DJ86" s="677"/>
      <c r="DK86" s="677"/>
      <c r="DL86" s="677"/>
      <c r="DM86" s="677">
        <f>DM85+DM82</f>
        <v>30</v>
      </c>
      <c r="DN86" s="677"/>
      <c r="DO86" s="677"/>
      <c r="DP86" s="677"/>
      <c r="DQ86" s="677"/>
      <c r="DR86" s="677">
        <f t="shared" ref="DR86" si="114">DR85+DR82</f>
        <v>23</v>
      </c>
      <c r="DS86" s="677"/>
      <c r="DT86" s="677"/>
      <c r="DU86" s="677"/>
      <c r="DV86" s="677"/>
      <c r="DW86" s="677">
        <f t="shared" ref="DW86" si="115">DW85+DW82</f>
        <v>27</v>
      </c>
      <c r="DX86" s="677"/>
      <c r="DY86" s="677"/>
      <c r="DZ86" s="677"/>
      <c r="EA86" s="677"/>
      <c r="EB86" s="677">
        <f t="shared" ref="EB86" si="116">EB85+EB82</f>
        <v>27</v>
      </c>
      <c r="EC86" s="677"/>
      <c r="ED86" s="677"/>
      <c r="EE86" s="677"/>
      <c r="EF86" s="677"/>
      <c r="EG86" s="677">
        <f t="shared" ref="EG86" si="117">EG85+EG82</f>
        <v>27</v>
      </c>
      <c r="EH86" s="677"/>
      <c r="EI86" s="677"/>
      <c r="EJ86" s="677"/>
      <c r="EK86" s="677"/>
      <c r="EL86" s="677">
        <f t="shared" ref="EL86" si="118">EL85+EL82</f>
        <v>27</v>
      </c>
      <c r="EM86" s="677"/>
      <c r="EN86" s="677"/>
      <c r="EO86" s="677"/>
      <c r="EP86" s="677"/>
      <c r="EQ86" s="677">
        <f t="shared" ref="EQ86" si="119">EQ85+EQ82</f>
        <v>28</v>
      </c>
      <c r="ER86" s="677"/>
      <c r="ES86" s="677"/>
      <c r="ET86" s="677"/>
      <c r="EU86" s="677"/>
      <c r="EV86" s="677">
        <f t="shared" ref="EV86" si="120">EV85+EV82</f>
        <v>21</v>
      </c>
      <c r="EW86" s="677"/>
      <c r="EX86" s="677"/>
      <c r="EY86" s="677"/>
      <c r="EZ86" s="679"/>
      <c r="FA86" s="681">
        <f>FA85+FA82</f>
        <v>240</v>
      </c>
      <c r="FB86" s="671"/>
      <c r="FC86" s="682"/>
    </row>
    <row r="87" spans="1:160" s="78" customFormat="1" ht="61.5" thickTop="1" x14ac:dyDescent="0.2">
      <c r="A87" s="80"/>
      <c r="B87" s="81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3"/>
      <c r="AA87" s="84"/>
      <c r="AB87" s="84"/>
      <c r="AC87" s="84"/>
      <c r="AD87" s="85"/>
      <c r="AE87" s="85"/>
      <c r="AF87" s="85"/>
      <c r="AG87" s="83"/>
      <c r="AH87" s="84"/>
      <c r="AI87" s="84"/>
      <c r="AJ87" s="84"/>
      <c r="AK87" s="84"/>
      <c r="AL87" s="83"/>
      <c r="AM87" s="84"/>
      <c r="AN87" s="84"/>
      <c r="AO87" s="84"/>
      <c r="AP87" s="84"/>
      <c r="AQ87" s="83"/>
      <c r="AR87" s="84"/>
      <c r="AS87" s="84"/>
      <c r="AT87" s="84"/>
      <c r="AU87" s="84"/>
      <c r="AV87" s="83"/>
      <c r="AW87" s="84"/>
      <c r="AX87" s="84"/>
      <c r="AY87" s="84"/>
      <c r="AZ87" s="84"/>
      <c r="BA87" s="83"/>
      <c r="BB87" s="84"/>
      <c r="BC87" s="84"/>
      <c r="BD87" s="84"/>
      <c r="BE87" s="84"/>
      <c r="BF87" s="83"/>
      <c r="BG87" s="84"/>
      <c r="BH87" s="84"/>
      <c r="BI87" s="84"/>
      <c r="BJ87" s="84"/>
      <c r="BK87" s="83"/>
      <c r="BL87" s="84"/>
      <c r="BM87" s="84"/>
      <c r="BN87" s="84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3"/>
      <c r="FB87" s="83"/>
      <c r="FC87" s="84"/>
    </row>
    <row r="88" spans="1:160" ht="60.75" x14ac:dyDescent="0.2">
      <c r="A88" s="36"/>
      <c r="B88" s="36" t="s">
        <v>103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683"/>
      <c r="AA88" s="683"/>
      <c r="AB88" s="683"/>
      <c r="AC88" s="683"/>
      <c r="AD88" s="38"/>
      <c r="AE88" s="38"/>
      <c r="AF88" s="36"/>
      <c r="AG88" s="38"/>
      <c r="AH88" s="38"/>
      <c r="AI88" s="38"/>
      <c r="AJ88" s="36"/>
      <c r="AK88" s="38"/>
      <c r="AL88" s="38"/>
      <c r="AM88" s="38"/>
      <c r="AN88" s="36"/>
      <c r="AO88" s="38"/>
      <c r="AP88" s="38"/>
      <c r="AQ88" s="38"/>
      <c r="AR88" s="36"/>
      <c r="AS88" s="38"/>
      <c r="AT88" s="38"/>
      <c r="AU88" s="38"/>
      <c r="AV88" s="36"/>
      <c r="AW88" s="38"/>
      <c r="AX88" s="38"/>
      <c r="AY88" s="38"/>
      <c r="AZ88" s="36"/>
      <c r="BA88" s="38"/>
      <c r="BB88" s="38"/>
      <c r="BC88" s="38"/>
      <c r="BD88" s="36"/>
      <c r="BE88" s="36"/>
      <c r="BF88" s="36"/>
      <c r="BG88" s="36"/>
      <c r="BH88" s="36"/>
      <c r="BI88" s="36"/>
      <c r="BJ88" s="36"/>
      <c r="BK88" s="38"/>
      <c r="BL88" s="38"/>
      <c r="BM88" s="38"/>
      <c r="BN88" s="36"/>
      <c r="BO88" s="38"/>
      <c r="BP88" s="36"/>
      <c r="BQ88" s="36"/>
      <c r="BR88" s="36"/>
      <c r="BS88" s="38"/>
      <c r="BT88" s="36"/>
      <c r="BU88" s="36"/>
      <c r="BV88" s="36"/>
      <c r="BW88" s="38"/>
      <c r="BX88" s="36"/>
      <c r="BY88" s="36"/>
      <c r="BZ88" s="36"/>
      <c r="CA88" s="38"/>
      <c r="CB88" s="36"/>
      <c r="CC88" s="36"/>
      <c r="CD88" s="36"/>
      <c r="CE88" s="38"/>
      <c r="CF88" s="36"/>
      <c r="CG88" s="36"/>
      <c r="CH88" s="36"/>
      <c r="CI88" s="38"/>
      <c r="CJ88" s="36"/>
      <c r="CK88" s="36"/>
      <c r="CL88" s="36"/>
      <c r="CM88" s="38"/>
      <c r="CN88" s="36"/>
      <c r="CO88" s="36"/>
      <c r="CP88" s="36"/>
      <c r="CQ88" s="38"/>
      <c r="CR88" s="36"/>
      <c r="CS88" s="36"/>
      <c r="CT88" s="36"/>
      <c r="CU88" s="38"/>
      <c r="CV88" s="36"/>
      <c r="CW88" s="36"/>
      <c r="CX88" s="36"/>
      <c r="CY88" s="38"/>
      <c r="CZ88" s="36"/>
      <c r="DA88" s="36"/>
      <c r="DB88" s="36"/>
      <c r="DC88" s="38"/>
      <c r="DD88" s="36"/>
      <c r="DE88" s="36"/>
      <c r="DF88" s="36"/>
      <c r="DG88" s="38"/>
      <c r="DH88" s="36"/>
      <c r="DI88" s="36"/>
      <c r="DJ88" s="36"/>
      <c r="DK88" s="38"/>
      <c r="DL88" s="36"/>
      <c r="DM88" s="36"/>
      <c r="DN88" s="36"/>
      <c r="DO88" s="38"/>
      <c r="DP88" s="36"/>
      <c r="DQ88" s="36"/>
      <c r="DR88" s="36"/>
      <c r="DS88" s="38"/>
      <c r="DT88" s="36"/>
      <c r="DU88" s="36"/>
      <c r="DV88" s="36"/>
      <c r="DW88" s="38"/>
      <c r="DX88" s="36"/>
      <c r="DY88" s="36"/>
      <c r="DZ88" s="36"/>
      <c r="EA88" s="38"/>
      <c r="EB88" s="36"/>
      <c r="EC88" s="36"/>
      <c r="ED88" s="36"/>
      <c r="EE88" s="38"/>
      <c r="EF88" s="36"/>
      <c r="EG88" s="36"/>
      <c r="EH88" s="36"/>
      <c r="EI88" s="38"/>
      <c r="EJ88" s="36"/>
      <c r="EK88" s="36"/>
      <c r="EL88" s="36"/>
      <c r="EM88" s="38"/>
      <c r="EN88" s="36"/>
      <c r="EO88" s="36"/>
      <c r="EP88" s="36"/>
      <c r="EQ88" s="39"/>
      <c r="ER88" s="39"/>
      <c r="ES88" s="40"/>
      <c r="ET88" s="36"/>
      <c r="EU88" s="36"/>
      <c r="EV88" s="36"/>
      <c r="EW88" s="36"/>
      <c r="EX88" s="36"/>
      <c r="EY88" s="36"/>
      <c r="EZ88" s="36"/>
      <c r="FA88" s="39"/>
      <c r="FB88" s="39"/>
      <c r="FC88" s="40"/>
    </row>
    <row r="89" spans="1:160" ht="97.5" customHeight="1" x14ac:dyDescent="0.2">
      <c r="A89" s="36"/>
      <c r="B89" s="363" t="s">
        <v>159</v>
      </c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/>
      <c r="AS89" s="363"/>
      <c r="AT89" s="363"/>
      <c r="AU89" s="363"/>
      <c r="AV89" s="363"/>
      <c r="AW89" s="363"/>
      <c r="AX89" s="363"/>
      <c r="AY89" s="363"/>
      <c r="AZ89" s="363"/>
      <c r="BA89" s="363"/>
      <c r="BB89" s="363"/>
      <c r="BC89" s="363"/>
      <c r="BD89" s="363"/>
      <c r="BE89" s="363"/>
      <c r="BF89" s="363"/>
      <c r="BG89" s="363"/>
      <c r="BH89" s="363"/>
      <c r="BI89" s="363"/>
      <c r="BJ89" s="363"/>
      <c r="BK89" s="363"/>
      <c r="BL89" s="363"/>
      <c r="BM89" s="363"/>
      <c r="BN89" s="363"/>
      <c r="BO89" s="363"/>
      <c r="BP89" s="363"/>
      <c r="BQ89" s="363"/>
      <c r="BR89" s="363"/>
      <c r="BS89" s="363"/>
      <c r="BT89" s="363"/>
      <c r="BU89" s="363"/>
      <c r="BV89" s="363"/>
      <c r="BW89" s="363"/>
      <c r="BX89" s="363"/>
      <c r="BY89" s="363"/>
      <c r="BZ89" s="363"/>
      <c r="CA89" s="363"/>
      <c r="CB89" s="363"/>
      <c r="CC89" s="363"/>
      <c r="CD89" s="363"/>
      <c r="CE89" s="363"/>
      <c r="CF89" s="363"/>
      <c r="CG89" s="363"/>
      <c r="CH89" s="363"/>
      <c r="CI89" s="363"/>
      <c r="CJ89" s="363"/>
      <c r="CK89" s="363"/>
      <c r="CL89" s="363"/>
      <c r="CM89" s="363"/>
      <c r="CN89" s="363"/>
      <c r="CO89" s="363"/>
      <c r="CP89" s="363"/>
      <c r="CQ89" s="363"/>
      <c r="CR89" s="363"/>
      <c r="CS89" s="363"/>
      <c r="CT89" s="363"/>
      <c r="CU89" s="363"/>
      <c r="CV89" s="363"/>
      <c r="CW89" s="363"/>
      <c r="CX89" s="363"/>
      <c r="CY89" s="363"/>
      <c r="CZ89" s="363"/>
      <c r="DA89" s="363"/>
      <c r="DB89" s="363"/>
      <c r="DC89" s="363"/>
      <c r="DD89" s="363"/>
      <c r="DE89" s="363"/>
      <c r="DF89" s="363"/>
      <c r="DG89" s="363"/>
      <c r="DH89" s="363"/>
      <c r="DI89" s="363"/>
      <c r="DJ89" s="363"/>
      <c r="DK89" s="363"/>
      <c r="DL89" s="363"/>
      <c r="DM89" s="363"/>
      <c r="DN89" s="363"/>
      <c r="DO89" s="363"/>
      <c r="DP89" s="363"/>
      <c r="DQ89" s="363"/>
      <c r="DR89" s="363"/>
      <c r="DS89" s="363"/>
      <c r="DT89" s="363"/>
      <c r="DU89" s="363"/>
      <c r="DV89" s="363"/>
      <c r="DW89" s="363"/>
      <c r="DX89" s="363"/>
      <c r="DY89" s="363"/>
      <c r="DZ89" s="363"/>
      <c r="EA89" s="363"/>
      <c r="EB89" s="363"/>
      <c r="EC89" s="363"/>
      <c r="ED89" s="363"/>
      <c r="EE89" s="363"/>
      <c r="EF89" s="363"/>
      <c r="EG89" s="363"/>
      <c r="EH89" s="363"/>
      <c r="EI89" s="363"/>
      <c r="EJ89" s="363"/>
      <c r="EK89" s="363"/>
      <c r="EL89" s="363"/>
      <c r="EM89" s="363"/>
      <c r="EN89" s="363"/>
      <c r="EO89" s="363"/>
      <c r="EP89" s="363"/>
      <c r="EQ89" s="363"/>
      <c r="ER89" s="363"/>
      <c r="ES89" s="363"/>
      <c r="ET89" s="363"/>
      <c r="EU89" s="363"/>
      <c r="EV89" s="363"/>
      <c r="EW89" s="363"/>
      <c r="EX89" s="363"/>
      <c r="EY89" s="363"/>
      <c r="EZ89" s="363"/>
      <c r="FA89" s="363"/>
      <c r="FB89" s="363"/>
      <c r="FC89" s="363"/>
    </row>
    <row r="90" spans="1:160" ht="144" customHeight="1" x14ac:dyDescent="0.8">
      <c r="A90" s="43"/>
      <c r="B90" s="363" t="s">
        <v>160</v>
      </c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3"/>
      <c r="AR90" s="363"/>
      <c r="AS90" s="363"/>
      <c r="AT90" s="363"/>
      <c r="AU90" s="363"/>
      <c r="AV90" s="363"/>
      <c r="AW90" s="363"/>
      <c r="AX90" s="363"/>
      <c r="AY90" s="363"/>
      <c r="AZ90" s="363"/>
      <c r="BA90" s="363"/>
      <c r="BB90" s="363"/>
      <c r="BC90" s="363"/>
      <c r="BD90" s="363"/>
      <c r="BE90" s="363"/>
      <c r="BF90" s="363"/>
      <c r="BG90" s="363"/>
      <c r="BH90" s="363"/>
      <c r="BI90" s="363"/>
      <c r="BJ90" s="363"/>
      <c r="BK90" s="363"/>
      <c r="BL90" s="363"/>
      <c r="BM90" s="363"/>
      <c r="BN90" s="363"/>
      <c r="BO90" s="363"/>
      <c r="BP90" s="363"/>
      <c r="BQ90" s="363"/>
      <c r="BR90" s="363"/>
      <c r="BS90" s="363"/>
      <c r="BT90" s="363"/>
      <c r="BU90" s="363"/>
      <c r="BV90" s="363"/>
      <c r="BW90" s="363"/>
      <c r="BX90" s="363"/>
      <c r="BY90" s="363"/>
      <c r="BZ90" s="363"/>
      <c r="CA90" s="363"/>
      <c r="CB90" s="363"/>
      <c r="CC90" s="363"/>
      <c r="CD90" s="363"/>
      <c r="CE90" s="363"/>
      <c r="CF90" s="363"/>
      <c r="CG90" s="363"/>
      <c r="CH90" s="363"/>
      <c r="CI90" s="363"/>
      <c r="CJ90" s="363"/>
      <c r="CK90" s="363"/>
      <c r="CL90" s="363"/>
      <c r="CM90" s="363"/>
      <c r="CN90" s="363"/>
      <c r="CO90" s="363"/>
      <c r="CP90" s="363"/>
      <c r="CQ90" s="363"/>
      <c r="CR90" s="363"/>
      <c r="CS90" s="363"/>
      <c r="CT90" s="363"/>
      <c r="CU90" s="363"/>
      <c r="CV90" s="363"/>
      <c r="CW90" s="363"/>
      <c r="CX90" s="363"/>
      <c r="CY90" s="363"/>
      <c r="CZ90" s="363"/>
      <c r="DA90" s="363"/>
      <c r="DB90" s="363"/>
      <c r="DC90" s="363"/>
      <c r="DD90" s="363"/>
      <c r="DE90" s="363"/>
      <c r="DF90" s="363"/>
      <c r="DG90" s="363"/>
      <c r="DH90" s="363"/>
      <c r="DI90" s="363"/>
      <c r="DJ90" s="363"/>
      <c r="DK90" s="363"/>
      <c r="DL90" s="363"/>
      <c r="DM90" s="363"/>
      <c r="DN90" s="363"/>
      <c r="DO90" s="363"/>
      <c r="DP90" s="363"/>
      <c r="DQ90" s="363"/>
      <c r="DR90" s="363"/>
      <c r="DS90" s="363"/>
      <c r="DT90" s="363"/>
      <c r="DU90" s="363"/>
      <c r="DV90" s="363"/>
      <c r="DW90" s="363"/>
      <c r="DX90" s="363"/>
      <c r="DY90" s="363"/>
      <c r="DZ90" s="363"/>
      <c r="EA90" s="363"/>
      <c r="EB90" s="363"/>
      <c r="EC90" s="363"/>
      <c r="ED90" s="363"/>
      <c r="EE90" s="363"/>
      <c r="EF90" s="363"/>
      <c r="EG90" s="363"/>
      <c r="EH90" s="363"/>
      <c r="EI90" s="363"/>
      <c r="EJ90" s="363"/>
      <c r="EK90" s="363"/>
      <c r="EL90" s="363"/>
      <c r="EM90" s="363"/>
      <c r="EN90" s="363"/>
      <c r="EO90" s="363"/>
      <c r="EP90" s="363"/>
      <c r="EQ90" s="363"/>
      <c r="ER90" s="363"/>
      <c r="ES90" s="363"/>
      <c r="ET90" s="363"/>
      <c r="EU90" s="363"/>
      <c r="EV90" s="363"/>
      <c r="EW90" s="363"/>
      <c r="EX90" s="363"/>
      <c r="EY90" s="363"/>
      <c r="EZ90" s="363"/>
      <c r="FA90" s="363"/>
      <c r="FB90" s="363"/>
      <c r="FC90" s="363"/>
    </row>
    <row r="91" spans="1:160" ht="146.25" customHeight="1" x14ac:dyDescent="0.8">
      <c r="A91" s="43"/>
      <c r="B91" s="363" t="s">
        <v>161</v>
      </c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  <c r="AN91" s="363"/>
      <c r="AO91" s="363"/>
      <c r="AP91" s="363"/>
      <c r="AQ91" s="363"/>
      <c r="AR91" s="363"/>
      <c r="AS91" s="363"/>
      <c r="AT91" s="363"/>
      <c r="AU91" s="363"/>
      <c r="AV91" s="363"/>
      <c r="AW91" s="363"/>
      <c r="AX91" s="363"/>
      <c r="AY91" s="363"/>
      <c r="AZ91" s="363"/>
      <c r="BA91" s="363"/>
      <c r="BB91" s="363"/>
      <c r="BC91" s="363"/>
      <c r="BD91" s="363"/>
      <c r="BE91" s="363"/>
      <c r="BF91" s="363"/>
      <c r="BG91" s="363"/>
      <c r="BH91" s="363"/>
      <c r="BI91" s="363"/>
      <c r="BJ91" s="363"/>
      <c r="BK91" s="363"/>
      <c r="BL91" s="363"/>
      <c r="BM91" s="363"/>
      <c r="BN91" s="363"/>
      <c r="BO91" s="363"/>
      <c r="BP91" s="363"/>
      <c r="BQ91" s="363"/>
      <c r="BR91" s="363"/>
      <c r="BS91" s="363"/>
      <c r="BT91" s="363"/>
      <c r="BU91" s="363"/>
      <c r="BV91" s="363"/>
      <c r="BW91" s="363"/>
      <c r="BX91" s="363"/>
      <c r="BY91" s="363"/>
      <c r="BZ91" s="363"/>
      <c r="CA91" s="363"/>
      <c r="CB91" s="363"/>
      <c r="CC91" s="363"/>
      <c r="CD91" s="363"/>
      <c r="CE91" s="363"/>
      <c r="CF91" s="363"/>
      <c r="CG91" s="363"/>
      <c r="CH91" s="363"/>
      <c r="CI91" s="363"/>
      <c r="CJ91" s="363"/>
      <c r="CK91" s="363"/>
      <c r="CL91" s="363"/>
      <c r="CM91" s="363"/>
      <c r="CN91" s="363"/>
      <c r="CO91" s="363"/>
      <c r="CP91" s="363"/>
      <c r="CQ91" s="363"/>
      <c r="CR91" s="363"/>
      <c r="CS91" s="363"/>
      <c r="CT91" s="363"/>
      <c r="CU91" s="363"/>
      <c r="CV91" s="363"/>
      <c r="CW91" s="363"/>
      <c r="CX91" s="363"/>
      <c r="CY91" s="363"/>
      <c r="CZ91" s="363"/>
      <c r="DA91" s="363"/>
      <c r="DB91" s="363"/>
      <c r="DC91" s="363"/>
      <c r="DD91" s="363"/>
      <c r="DE91" s="363"/>
      <c r="DF91" s="363"/>
      <c r="DG91" s="363"/>
      <c r="DH91" s="363"/>
      <c r="DI91" s="363"/>
      <c r="DJ91" s="363"/>
      <c r="DK91" s="363"/>
      <c r="DL91" s="363"/>
      <c r="DM91" s="363"/>
      <c r="DN91" s="363"/>
      <c r="DO91" s="363"/>
      <c r="DP91" s="363"/>
      <c r="DQ91" s="363"/>
      <c r="DR91" s="363"/>
      <c r="DS91" s="363"/>
      <c r="DT91" s="363"/>
      <c r="DU91" s="363"/>
      <c r="DV91" s="363"/>
      <c r="DW91" s="363"/>
      <c r="DX91" s="363"/>
      <c r="DY91" s="363"/>
      <c r="DZ91" s="363"/>
      <c r="EA91" s="363"/>
      <c r="EB91" s="363"/>
      <c r="EC91" s="363"/>
      <c r="ED91" s="363"/>
      <c r="EE91" s="363"/>
      <c r="EF91" s="363"/>
      <c r="EG91" s="363"/>
      <c r="EH91" s="363"/>
      <c r="EI91" s="363"/>
      <c r="EJ91" s="363"/>
      <c r="EK91" s="363"/>
      <c r="EL91" s="363"/>
      <c r="EM91" s="363"/>
      <c r="EN91" s="363"/>
      <c r="EO91" s="363"/>
      <c r="EP91" s="363"/>
      <c r="EQ91" s="363"/>
      <c r="ER91" s="363"/>
      <c r="ES91" s="363"/>
      <c r="ET91" s="363"/>
      <c r="EU91" s="363"/>
      <c r="EV91" s="363"/>
      <c r="EW91" s="363"/>
      <c r="EX91" s="363"/>
      <c r="EY91" s="363"/>
      <c r="EZ91" s="363"/>
      <c r="FA91" s="363"/>
      <c r="FB91" s="363"/>
      <c r="FC91" s="363"/>
    </row>
    <row r="92" spans="1:160" ht="82.5" customHeight="1" x14ac:dyDescent="0.8">
      <c r="A92" s="43"/>
      <c r="B92" s="364" t="s">
        <v>162</v>
      </c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  <c r="AA92" s="364"/>
      <c r="AB92" s="364"/>
      <c r="AC92" s="364"/>
      <c r="AD92" s="364"/>
      <c r="AE92" s="364"/>
      <c r="AF92" s="364"/>
      <c r="AG92" s="364"/>
      <c r="AH92" s="364"/>
      <c r="AI92" s="364"/>
      <c r="AJ92" s="364"/>
      <c r="AK92" s="364"/>
      <c r="AL92" s="364"/>
      <c r="AM92" s="364"/>
      <c r="AN92" s="364"/>
      <c r="AO92" s="364"/>
      <c r="AP92" s="364"/>
      <c r="AQ92" s="364"/>
      <c r="AR92" s="364"/>
      <c r="AS92" s="364"/>
      <c r="AT92" s="364"/>
      <c r="AU92" s="364"/>
      <c r="AV92" s="364"/>
      <c r="AW92" s="364"/>
      <c r="AX92" s="364"/>
      <c r="AY92" s="364"/>
      <c r="AZ92" s="364"/>
      <c r="BA92" s="364"/>
      <c r="BB92" s="364"/>
      <c r="BC92" s="364"/>
      <c r="BD92" s="364"/>
      <c r="BE92" s="364"/>
      <c r="BF92" s="364"/>
      <c r="BG92" s="364"/>
      <c r="BH92" s="364"/>
      <c r="BI92" s="364"/>
      <c r="BJ92" s="364"/>
      <c r="BK92" s="364"/>
      <c r="BL92" s="364"/>
      <c r="BM92" s="364"/>
      <c r="BN92" s="364"/>
      <c r="BO92" s="364"/>
      <c r="BP92" s="364"/>
      <c r="BQ92" s="364"/>
      <c r="BR92" s="364"/>
      <c r="BS92" s="364"/>
      <c r="BT92" s="364"/>
      <c r="BU92" s="364"/>
      <c r="BV92" s="364"/>
      <c r="BW92" s="364"/>
      <c r="BX92" s="364"/>
      <c r="BY92" s="364"/>
      <c r="BZ92" s="364"/>
      <c r="CA92" s="364"/>
      <c r="CB92" s="364"/>
      <c r="CC92" s="364"/>
      <c r="CD92" s="364"/>
      <c r="CE92" s="364"/>
      <c r="CF92" s="364"/>
      <c r="CG92" s="364"/>
      <c r="CH92" s="364"/>
      <c r="CI92" s="364"/>
      <c r="CJ92" s="364"/>
      <c r="CK92" s="364"/>
      <c r="CL92" s="364"/>
      <c r="CM92" s="364"/>
      <c r="CN92" s="364"/>
      <c r="CO92" s="364"/>
      <c r="CP92" s="364"/>
      <c r="CQ92" s="364"/>
      <c r="CR92" s="364"/>
      <c r="CS92" s="364"/>
      <c r="CT92" s="364"/>
      <c r="CU92" s="364"/>
      <c r="CV92" s="364"/>
      <c r="CW92" s="364"/>
      <c r="CX92" s="364"/>
      <c r="CY92" s="364"/>
      <c r="CZ92" s="364"/>
      <c r="DA92" s="364"/>
      <c r="DB92" s="364"/>
      <c r="DC92" s="364"/>
      <c r="DD92" s="364"/>
      <c r="DE92" s="364"/>
      <c r="DF92" s="364"/>
      <c r="DG92" s="364"/>
      <c r="DH92" s="364"/>
      <c r="DI92" s="364"/>
      <c r="DJ92" s="364"/>
      <c r="DK92" s="364"/>
      <c r="DL92" s="364"/>
      <c r="DM92" s="364"/>
      <c r="DN92" s="364"/>
      <c r="DO92" s="364"/>
      <c r="DP92" s="364"/>
      <c r="DQ92" s="364"/>
      <c r="DR92" s="364"/>
      <c r="DS92" s="364"/>
      <c r="DT92" s="364"/>
      <c r="DU92" s="364"/>
      <c r="DV92" s="364"/>
      <c r="DW92" s="364"/>
      <c r="DX92" s="364"/>
      <c r="DY92" s="364"/>
      <c r="DZ92" s="364"/>
      <c r="EA92" s="364"/>
      <c r="EB92" s="364"/>
      <c r="EC92" s="364"/>
      <c r="ED92" s="364"/>
      <c r="EE92" s="364"/>
      <c r="EF92" s="364"/>
      <c r="EG92" s="364"/>
      <c r="EH92" s="364"/>
      <c r="EI92" s="364"/>
      <c r="EJ92" s="364"/>
      <c r="EK92" s="364"/>
      <c r="EL92" s="364"/>
      <c r="EM92" s="364"/>
      <c r="EN92" s="364"/>
      <c r="EO92" s="364"/>
      <c r="EP92" s="364"/>
      <c r="EQ92" s="364"/>
      <c r="ER92" s="364"/>
      <c r="ES92" s="364"/>
      <c r="ET92" s="364"/>
      <c r="EU92" s="364"/>
      <c r="EV92" s="364"/>
      <c r="EW92" s="364"/>
      <c r="EX92" s="364"/>
      <c r="EY92" s="364"/>
      <c r="EZ92" s="364"/>
      <c r="FA92" s="364"/>
      <c r="FB92" s="364"/>
      <c r="FC92" s="364"/>
    </row>
    <row r="93" spans="1:160" ht="82.5" customHeight="1" x14ac:dyDescent="0.8">
      <c r="A93" s="43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48"/>
      <c r="EU93" s="48"/>
      <c r="EV93" s="48"/>
      <c r="EW93" s="21"/>
      <c r="EX93" s="21"/>
      <c r="EY93" s="21"/>
      <c r="EZ93" s="21"/>
      <c r="FA93" s="48"/>
      <c r="FB93" s="48"/>
      <c r="FC93" s="48"/>
    </row>
    <row r="94" spans="1:160" ht="80.099999999999994" customHeight="1" x14ac:dyDescent="0.85">
      <c r="A94" s="43"/>
      <c r="B94" s="496" t="s">
        <v>276</v>
      </c>
      <c r="C94" s="496"/>
      <c r="D94" s="496"/>
      <c r="E94" s="496"/>
      <c r="F94" s="496"/>
      <c r="G94" s="496"/>
      <c r="H94" s="496"/>
      <c r="I94" s="496"/>
      <c r="J94" s="496"/>
      <c r="K94" s="496"/>
      <c r="L94" s="496"/>
      <c r="M94" s="496"/>
      <c r="N94" s="496"/>
      <c r="O94" s="496"/>
      <c r="P94" s="496"/>
      <c r="Q94" s="496"/>
      <c r="R94" s="496"/>
      <c r="S94" s="496"/>
      <c r="T94" s="496"/>
      <c r="U94" s="496"/>
      <c r="V94" s="496"/>
      <c r="W94" s="496"/>
      <c r="X94" s="496"/>
      <c r="Y94" s="496"/>
      <c r="Z94" s="496"/>
      <c r="AA94" s="496"/>
      <c r="AB94" s="496"/>
      <c r="AC94" s="496"/>
      <c r="AD94" s="496"/>
      <c r="AE94" s="496" t="s">
        <v>105</v>
      </c>
      <c r="AF94" s="496"/>
      <c r="AG94" s="496"/>
      <c r="AH94" s="496"/>
      <c r="AI94" s="496"/>
      <c r="AJ94" s="496"/>
      <c r="AK94" s="496"/>
      <c r="AL94" s="496"/>
      <c r="AM94" s="496" t="s">
        <v>106</v>
      </c>
      <c r="AN94" s="496"/>
      <c r="AO94" s="496"/>
      <c r="AP94" s="496"/>
      <c r="AQ94" s="496"/>
      <c r="AR94" s="496"/>
      <c r="AS94" s="496"/>
      <c r="AT94" s="496"/>
      <c r="AU94" s="383" t="s">
        <v>107</v>
      </c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  <c r="BU94" s="384"/>
      <c r="BV94" s="384"/>
      <c r="BW94" s="384"/>
      <c r="BX94" s="384"/>
      <c r="BY94" s="384"/>
      <c r="BZ94" s="384"/>
      <c r="CA94" s="384"/>
      <c r="CB94" s="384"/>
      <c r="CC94" s="384"/>
      <c r="CD94" s="384"/>
      <c r="CE94" s="384"/>
      <c r="CF94" s="384"/>
      <c r="CG94" s="384"/>
      <c r="CH94" s="385"/>
      <c r="CI94" s="50"/>
      <c r="CJ94" s="50"/>
      <c r="CK94" s="50"/>
      <c r="CL94" s="50"/>
      <c r="CM94" s="50"/>
      <c r="CN94" s="50"/>
      <c r="CO94" s="112"/>
      <c r="CP94" s="113"/>
      <c r="CQ94" s="113"/>
      <c r="CR94" s="113"/>
      <c r="CS94" s="113"/>
      <c r="CT94" s="113"/>
      <c r="CU94" s="113"/>
      <c r="CV94" s="113"/>
      <c r="CW94" s="113"/>
      <c r="CX94" s="113"/>
      <c r="CY94" s="113"/>
      <c r="CZ94" s="113"/>
      <c r="DA94" s="113"/>
      <c r="DB94" s="113"/>
      <c r="DC94" s="113"/>
      <c r="DD94" s="113"/>
      <c r="DE94" s="113"/>
      <c r="DF94" s="113"/>
      <c r="DG94" s="113"/>
      <c r="DH94" s="113"/>
      <c r="DI94" s="113"/>
      <c r="DJ94" s="113"/>
      <c r="DK94" s="113"/>
      <c r="DL94" s="113"/>
      <c r="DM94" s="113"/>
      <c r="DN94" s="113"/>
      <c r="DO94" s="113"/>
      <c r="DP94" s="113"/>
      <c r="DQ94" s="113"/>
      <c r="DR94" s="113"/>
      <c r="DS94" s="113"/>
      <c r="DT94" s="113"/>
      <c r="DU94" s="113"/>
      <c r="DV94" s="113"/>
      <c r="DW94" s="113"/>
      <c r="DX94" s="113"/>
      <c r="DY94" s="113"/>
      <c r="DZ94" s="113"/>
      <c r="EA94" s="113"/>
      <c r="EB94" s="113"/>
      <c r="EC94" s="113"/>
      <c r="ED94" s="113"/>
      <c r="EE94" s="113"/>
      <c r="EF94" s="113"/>
      <c r="EG94" s="113"/>
      <c r="EH94" s="113"/>
      <c r="EI94" s="113"/>
      <c r="EJ94" s="113"/>
      <c r="EK94" s="113"/>
      <c r="EL94" s="113"/>
      <c r="EM94" s="114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</row>
    <row r="95" spans="1:160" ht="80.099999999999994" customHeight="1" x14ac:dyDescent="0.85">
      <c r="A95" s="43"/>
      <c r="B95" s="497" t="s">
        <v>108</v>
      </c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  <c r="T95" s="497"/>
      <c r="U95" s="497"/>
      <c r="V95" s="497"/>
      <c r="W95" s="497"/>
      <c r="X95" s="497"/>
      <c r="Y95" s="497"/>
      <c r="Z95" s="497"/>
      <c r="AA95" s="497"/>
      <c r="AB95" s="497"/>
      <c r="AC95" s="497"/>
      <c r="AD95" s="497"/>
      <c r="AE95" s="688" t="s">
        <v>176</v>
      </c>
      <c r="AF95" s="688"/>
      <c r="AG95" s="688"/>
      <c r="AH95" s="688"/>
      <c r="AI95" s="688"/>
      <c r="AJ95" s="688"/>
      <c r="AK95" s="688"/>
      <c r="AL95" s="688"/>
      <c r="AM95" s="688" t="s">
        <v>168</v>
      </c>
      <c r="AN95" s="688"/>
      <c r="AO95" s="688"/>
      <c r="AP95" s="688"/>
      <c r="AQ95" s="688"/>
      <c r="AR95" s="688"/>
      <c r="AS95" s="688"/>
      <c r="AT95" s="688"/>
      <c r="AU95" s="386" t="s">
        <v>126</v>
      </c>
      <c r="AV95" s="387"/>
      <c r="AW95" s="387"/>
      <c r="AX95" s="387"/>
      <c r="AY95" s="387"/>
      <c r="AZ95" s="387"/>
      <c r="BA95" s="387"/>
      <c r="BB95" s="387"/>
      <c r="BC95" s="387"/>
      <c r="BD95" s="387"/>
      <c r="BE95" s="387"/>
      <c r="BF95" s="387"/>
      <c r="BG95" s="387"/>
      <c r="BH95" s="387"/>
      <c r="BI95" s="387"/>
      <c r="BJ95" s="387"/>
      <c r="BK95" s="387"/>
      <c r="BL95" s="387"/>
      <c r="BM95" s="387"/>
      <c r="BN95" s="387"/>
      <c r="BO95" s="387"/>
      <c r="BP95" s="387"/>
      <c r="BQ95" s="387"/>
      <c r="BR95" s="387"/>
      <c r="BS95" s="387"/>
      <c r="BT95" s="387"/>
      <c r="BU95" s="387"/>
      <c r="BV95" s="387"/>
      <c r="BW95" s="387"/>
      <c r="BX95" s="387"/>
      <c r="BY95" s="387"/>
      <c r="BZ95" s="387"/>
      <c r="CA95" s="387"/>
      <c r="CB95" s="387"/>
      <c r="CC95" s="387"/>
      <c r="CD95" s="387"/>
      <c r="CE95" s="387"/>
      <c r="CF95" s="387"/>
      <c r="CG95" s="71"/>
      <c r="CH95" s="72"/>
      <c r="CI95" s="50"/>
      <c r="CJ95" s="50"/>
      <c r="CK95" s="50"/>
      <c r="CL95" s="50"/>
      <c r="CM95" s="50"/>
      <c r="CN95" s="50"/>
      <c r="CO95" s="115"/>
      <c r="CP95" s="116"/>
      <c r="CQ95" s="116"/>
      <c r="CR95" s="116"/>
      <c r="CS95" s="258" t="s">
        <v>265</v>
      </c>
      <c r="CT95" s="258"/>
      <c r="CU95" s="258"/>
      <c r="CV95" s="258"/>
      <c r="CW95" s="258"/>
      <c r="CX95" s="258"/>
      <c r="CY95" s="258"/>
      <c r="CZ95" s="258"/>
      <c r="DA95" s="258"/>
      <c r="DB95" s="258"/>
      <c r="DC95" s="258"/>
      <c r="DD95" s="258"/>
      <c r="DE95" s="258"/>
      <c r="DF95" s="258"/>
      <c r="DG95" s="258"/>
      <c r="DH95" s="258"/>
      <c r="DI95" s="258"/>
      <c r="DJ95" s="258"/>
      <c r="DK95" s="258"/>
      <c r="DL95" s="258"/>
      <c r="DM95" s="258"/>
      <c r="DN95" s="258"/>
      <c r="DO95" s="258"/>
      <c r="DP95" s="258"/>
      <c r="DQ95" s="258"/>
      <c r="DR95" s="258"/>
      <c r="DS95" s="258"/>
      <c r="DT95" s="258"/>
      <c r="DU95" s="258"/>
      <c r="DV95" s="258"/>
      <c r="DW95" s="258"/>
      <c r="DX95" s="258"/>
      <c r="DY95" s="258"/>
      <c r="DZ95" s="258"/>
      <c r="EA95" s="258"/>
      <c r="EB95" s="258"/>
      <c r="EC95" s="258"/>
      <c r="ED95" s="258"/>
      <c r="EE95" s="258"/>
      <c r="EF95" s="258"/>
      <c r="EG95" s="258"/>
      <c r="EH95" s="258"/>
      <c r="EI95" s="258"/>
      <c r="EJ95" s="258"/>
      <c r="EK95" s="258"/>
      <c r="EL95" s="116"/>
      <c r="EM95" s="117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</row>
    <row r="96" spans="1:160" ht="80.099999999999994" customHeight="1" x14ac:dyDescent="0.85">
      <c r="A96" s="43"/>
      <c r="B96" s="497" t="s">
        <v>167</v>
      </c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  <c r="T96" s="497"/>
      <c r="U96" s="497"/>
      <c r="V96" s="497"/>
      <c r="W96" s="497"/>
      <c r="X96" s="497"/>
      <c r="Y96" s="497"/>
      <c r="Z96" s="497"/>
      <c r="AA96" s="497"/>
      <c r="AB96" s="497"/>
      <c r="AC96" s="497"/>
      <c r="AD96" s="497"/>
      <c r="AE96" s="688" t="s">
        <v>117</v>
      </c>
      <c r="AF96" s="688"/>
      <c r="AG96" s="688"/>
      <c r="AH96" s="688"/>
      <c r="AI96" s="688"/>
      <c r="AJ96" s="688"/>
      <c r="AK96" s="688"/>
      <c r="AL96" s="688"/>
      <c r="AM96" s="688" t="s">
        <v>182</v>
      </c>
      <c r="AN96" s="688"/>
      <c r="AO96" s="688"/>
      <c r="AP96" s="688"/>
      <c r="AQ96" s="688"/>
      <c r="AR96" s="688"/>
      <c r="AS96" s="688"/>
      <c r="AT96" s="688"/>
      <c r="AU96" s="389"/>
      <c r="AV96" s="390"/>
      <c r="AW96" s="390"/>
      <c r="AX96" s="390"/>
      <c r="AY96" s="390"/>
      <c r="AZ96" s="390"/>
      <c r="BA96" s="390"/>
      <c r="BB96" s="390"/>
      <c r="BC96" s="390"/>
      <c r="BD96" s="390"/>
      <c r="BE96" s="390"/>
      <c r="BF96" s="390"/>
      <c r="BG96" s="390"/>
      <c r="BH96" s="390"/>
      <c r="BI96" s="390"/>
      <c r="BJ96" s="390"/>
      <c r="BK96" s="390"/>
      <c r="BL96" s="390"/>
      <c r="BM96" s="390"/>
      <c r="BN96" s="390"/>
      <c r="BO96" s="390"/>
      <c r="BP96" s="390"/>
      <c r="BQ96" s="390"/>
      <c r="BR96" s="390"/>
      <c r="BS96" s="390"/>
      <c r="BT96" s="390"/>
      <c r="BU96" s="390"/>
      <c r="BV96" s="390"/>
      <c r="BW96" s="390"/>
      <c r="BX96" s="390"/>
      <c r="BY96" s="390"/>
      <c r="BZ96" s="390"/>
      <c r="CA96" s="390"/>
      <c r="CB96" s="390"/>
      <c r="CC96" s="390"/>
      <c r="CD96" s="390"/>
      <c r="CE96" s="390"/>
      <c r="CF96" s="390"/>
      <c r="CG96" s="36"/>
      <c r="CH96" s="75"/>
      <c r="CI96" s="50"/>
      <c r="CJ96" s="50"/>
      <c r="CK96" s="50"/>
      <c r="CL96" s="50"/>
      <c r="CM96" s="50"/>
      <c r="CN96" s="50"/>
      <c r="CO96" s="115"/>
      <c r="CP96" s="116"/>
      <c r="CQ96" s="116"/>
      <c r="CR96" s="116"/>
      <c r="CS96" s="258" t="s">
        <v>254</v>
      </c>
      <c r="CT96" s="258"/>
      <c r="CU96" s="258"/>
      <c r="CV96" s="258"/>
      <c r="CW96" s="258"/>
      <c r="CX96" s="258"/>
      <c r="CY96" s="258"/>
      <c r="CZ96" s="258"/>
      <c r="DA96" s="258"/>
      <c r="DB96" s="258"/>
      <c r="DC96" s="258"/>
      <c r="DD96" s="258"/>
      <c r="DE96" s="258"/>
      <c r="DF96" s="258"/>
      <c r="DG96" s="258"/>
      <c r="DH96" s="258"/>
      <c r="DI96" s="258"/>
      <c r="DJ96" s="258"/>
      <c r="DK96" s="258"/>
      <c r="DL96" s="258"/>
      <c r="DM96" s="258"/>
      <c r="DN96" s="258"/>
      <c r="DO96" s="258"/>
      <c r="DP96" s="258"/>
      <c r="DQ96" s="258"/>
      <c r="DR96" s="258"/>
      <c r="DS96" s="258"/>
      <c r="DT96" s="258"/>
      <c r="DU96" s="258"/>
      <c r="DV96" s="258"/>
      <c r="DW96" s="258"/>
      <c r="DX96" s="258"/>
      <c r="DY96" s="258"/>
      <c r="DZ96" s="258"/>
      <c r="EA96" s="258"/>
      <c r="EB96" s="258"/>
      <c r="EC96" s="258"/>
      <c r="ED96" s="258"/>
      <c r="EE96" s="258"/>
      <c r="EF96" s="258"/>
      <c r="EG96" s="258"/>
      <c r="EH96" s="258"/>
      <c r="EI96" s="258"/>
      <c r="EJ96" s="258"/>
      <c r="EK96" s="258"/>
      <c r="EL96" s="116"/>
      <c r="EM96" s="117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</row>
    <row r="97" spans="1:159" ht="80.099999999999994" customHeight="1" x14ac:dyDescent="0.85">
      <c r="A97" s="43"/>
      <c r="B97" s="497" t="s">
        <v>177</v>
      </c>
      <c r="C97" s="497"/>
      <c r="D97" s="497"/>
      <c r="E97" s="497"/>
      <c r="F97" s="497"/>
      <c r="G97" s="497"/>
      <c r="H97" s="497"/>
      <c r="I97" s="497"/>
      <c r="J97" s="497"/>
      <c r="K97" s="497"/>
      <c r="L97" s="497"/>
      <c r="M97" s="497"/>
      <c r="N97" s="497"/>
      <c r="O97" s="497"/>
      <c r="P97" s="497"/>
      <c r="Q97" s="497"/>
      <c r="R97" s="497"/>
      <c r="S97" s="497"/>
      <c r="T97" s="497"/>
      <c r="U97" s="497"/>
      <c r="V97" s="497"/>
      <c r="W97" s="497"/>
      <c r="X97" s="497"/>
      <c r="Y97" s="497"/>
      <c r="Z97" s="497"/>
      <c r="AA97" s="497"/>
      <c r="AB97" s="497"/>
      <c r="AC97" s="497"/>
      <c r="AD97" s="497"/>
      <c r="AE97" s="688" t="s">
        <v>178</v>
      </c>
      <c r="AF97" s="688"/>
      <c r="AG97" s="688"/>
      <c r="AH97" s="688"/>
      <c r="AI97" s="688"/>
      <c r="AJ97" s="688"/>
      <c r="AK97" s="688"/>
      <c r="AL97" s="688"/>
      <c r="AM97" s="688" t="s">
        <v>183</v>
      </c>
      <c r="AN97" s="688"/>
      <c r="AO97" s="688"/>
      <c r="AP97" s="688"/>
      <c r="AQ97" s="688"/>
      <c r="AR97" s="688"/>
      <c r="AS97" s="688"/>
      <c r="AT97" s="688"/>
      <c r="AU97" s="389"/>
      <c r="AV97" s="390"/>
      <c r="AW97" s="390"/>
      <c r="AX97" s="390"/>
      <c r="AY97" s="390"/>
      <c r="AZ97" s="390"/>
      <c r="BA97" s="390"/>
      <c r="BB97" s="390"/>
      <c r="BC97" s="390"/>
      <c r="BD97" s="390"/>
      <c r="BE97" s="390"/>
      <c r="BF97" s="390"/>
      <c r="BG97" s="390"/>
      <c r="BH97" s="390"/>
      <c r="BI97" s="390"/>
      <c r="BJ97" s="390"/>
      <c r="BK97" s="390"/>
      <c r="BL97" s="390"/>
      <c r="BM97" s="390"/>
      <c r="BN97" s="390"/>
      <c r="BO97" s="390"/>
      <c r="BP97" s="390"/>
      <c r="BQ97" s="390"/>
      <c r="BR97" s="390"/>
      <c r="BS97" s="390"/>
      <c r="BT97" s="390"/>
      <c r="BU97" s="390"/>
      <c r="BV97" s="390"/>
      <c r="BW97" s="390"/>
      <c r="BX97" s="390"/>
      <c r="BY97" s="390"/>
      <c r="BZ97" s="390"/>
      <c r="CA97" s="390"/>
      <c r="CB97" s="390"/>
      <c r="CC97" s="390"/>
      <c r="CD97" s="390"/>
      <c r="CE97" s="390"/>
      <c r="CF97" s="390"/>
      <c r="CG97" s="36"/>
      <c r="CH97" s="75"/>
      <c r="CI97" s="50"/>
      <c r="CJ97" s="50"/>
      <c r="CK97" s="50"/>
      <c r="CL97" s="50"/>
      <c r="CM97" s="50"/>
      <c r="CN97" s="50"/>
      <c r="CO97" s="115"/>
      <c r="CP97" s="116"/>
      <c r="CQ97" s="116"/>
      <c r="CR97" s="116"/>
      <c r="CS97" s="258" t="s">
        <v>248</v>
      </c>
      <c r="CT97" s="258"/>
      <c r="CU97" s="258"/>
      <c r="CV97" s="258"/>
      <c r="CW97" s="258"/>
      <c r="CX97" s="258"/>
      <c r="CY97" s="258"/>
      <c r="CZ97" s="258"/>
      <c r="DA97" s="258"/>
      <c r="DB97" s="258"/>
      <c r="DC97" s="258"/>
      <c r="DD97" s="258"/>
      <c r="DE97" s="258"/>
      <c r="DF97" s="258"/>
      <c r="DG97" s="258"/>
      <c r="DH97" s="258"/>
      <c r="DI97" s="258"/>
      <c r="DJ97" s="258"/>
      <c r="DK97" s="258"/>
      <c r="DL97" s="258"/>
      <c r="DM97" s="258"/>
      <c r="DN97" s="258"/>
      <c r="DO97" s="258"/>
      <c r="DP97" s="258"/>
      <c r="DQ97" s="258"/>
      <c r="DR97" s="258"/>
      <c r="DS97" s="258"/>
      <c r="DT97" s="258"/>
      <c r="DU97" s="258"/>
      <c r="DV97" s="258"/>
      <c r="DW97" s="258"/>
      <c r="DX97" s="258"/>
      <c r="DY97" s="258"/>
      <c r="DZ97" s="258"/>
      <c r="EA97" s="258"/>
      <c r="EB97" s="258"/>
      <c r="EC97" s="258"/>
      <c r="ED97" s="258"/>
      <c r="EE97" s="258"/>
      <c r="EF97" s="258"/>
      <c r="EG97" s="258"/>
      <c r="EH97" s="258"/>
      <c r="EI97" s="258"/>
      <c r="EJ97" s="258"/>
      <c r="EK97" s="258"/>
      <c r="EL97" s="116"/>
      <c r="EM97" s="117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</row>
    <row r="98" spans="1:159" ht="80.099999999999994" customHeight="1" x14ac:dyDescent="0.85">
      <c r="A98" s="43"/>
      <c r="B98" s="497" t="s">
        <v>169</v>
      </c>
      <c r="C98" s="497"/>
      <c r="D98" s="497"/>
      <c r="E98" s="497"/>
      <c r="F98" s="497"/>
      <c r="G98" s="497"/>
      <c r="H98" s="497"/>
      <c r="I98" s="497"/>
      <c r="J98" s="497"/>
      <c r="K98" s="497"/>
      <c r="L98" s="497"/>
      <c r="M98" s="497"/>
      <c r="N98" s="497"/>
      <c r="O98" s="497"/>
      <c r="P98" s="497"/>
      <c r="Q98" s="497"/>
      <c r="R98" s="497"/>
      <c r="S98" s="497"/>
      <c r="T98" s="497"/>
      <c r="U98" s="497"/>
      <c r="V98" s="497"/>
      <c r="W98" s="497"/>
      <c r="X98" s="497"/>
      <c r="Y98" s="497"/>
      <c r="Z98" s="497"/>
      <c r="AA98" s="497"/>
      <c r="AB98" s="497"/>
      <c r="AC98" s="497"/>
      <c r="AD98" s="497"/>
      <c r="AE98" s="688" t="s">
        <v>179</v>
      </c>
      <c r="AF98" s="688"/>
      <c r="AG98" s="688"/>
      <c r="AH98" s="688"/>
      <c r="AI98" s="688"/>
      <c r="AJ98" s="688"/>
      <c r="AK98" s="688"/>
      <c r="AL98" s="688"/>
      <c r="AM98" s="688" t="s">
        <v>168</v>
      </c>
      <c r="AN98" s="688"/>
      <c r="AO98" s="688"/>
      <c r="AP98" s="688"/>
      <c r="AQ98" s="688"/>
      <c r="AR98" s="688"/>
      <c r="AS98" s="688"/>
      <c r="AT98" s="688"/>
      <c r="AU98" s="389"/>
      <c r="AV98" s="390"/>
      <c r="AW98" s="390"/>
      <c r="AX98" s="390"/>
      <c r="AY98" s="390"/>
      <c r="AZ98" s="390"/>
      <c r="BA98" s="390"/>
      <c r="BB98" s="390"/>
      <c r="BC98" s="390"/>
      <c r="BD98" s="390"/>
      <c r="BE98" s="390"/>
      <c r="BF98" s="390"/>
      <c r="BG98" s="390"/>
      <c r="BH98" s="390"/>
      <c r="BI98" s="390"/>
      <c r="BJ98" s="390"/>
      <c r="BK98" s="390"/>
      <c r="BL98" s="390"/>
      <c r="BM98" s="390"/>
      <c r="BN98" s="390"/>
      <c r="BO98" s="390"/>
      <c r="BP98" s="390"/>
      <c r="BQ98" s="390"/>
      <c r="BR98" s="390"/>
      <c r="BS98" s="390"/>
      <c r="BT98" s="390"/>
      <c r="BU98" s="390"/>
      <c r="BV98" s="390"/>
      <c r="BW98" s="390"/>
      <c r="BX98" s="390"/>
      <c r="BY98" s="390"/>
      <c r="BZ98" s="390"/>
      <c r="CA98" s="390"/>
      <c r="CB98" s="390"/>
      <c r="CC98" s="390"/>
      <c r="CD98" s="390"/>
      <c r="CE98" s="390"/>
      <c r="CF98" s="390"/>
      <c r="CG98" s="36"/>
      <c r="CH98" s="75"/>
      <c r="CI98" s="50"/>
      <c r="CJ98" s="50"/>
      <c r="CK98" s="50"/>
      <c r="CL98" s="50"/>
      <c r="CM98" s="50"/>
      <c r="CN98" s="50"/>
      <c r="CO98" s="115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  <c r="DM98" s="116"/>
      <c r="DN98" s="116"/>
      <c r="DO98" s="116"/>
      <c r="DP98" s="116"/>
      <c r="DQ98" s="116"/>
      <c r="DR98" s="116"/>
      <c r="DS98" s="116"/>
      <c r="DT98" s="116"/>
      <c r="DU98" s="116"/>
      <c r="DV98" s="116"/>
      <c r="DW98" s="116"/>
      <c r="DX98" s="116"/>
      <c r="DY98" s="116"/>
      <c r="DZ98" s="116"/>
      <c r="EA98" s="116"/>
      <c r="EB98" s="116"/>
      <c r="EC98" s="116"/>
      <c r="ED98" s="116"/>
      <c r="EE98" s="116"/>
      <c r="EF98" s="116"/>
      <c r="EG98" s="116"/>
      <c r="EH98" s="116"/>
      <c r="EI98" s="116"/>
      <c r="EJ98" s="116"/>
      <c r="EK98" s="116"/>
      <c r="EL98" s="116"/>
      <c r="EM98" s="117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</row>
    <row r="99" spans="1:159" ht="80.099999999999994" customHeight="1" x14ac:dyDescent="0.85">
      <c r="A99" s="43"/>
      <c r="B99" s="497" t="s">
        <v>170</v>
      </c>
      <c r="C99" s="497"/>
      <c r="D99" s="497"/>
      <c r="E99" s="497"/>
      <c r="F99" s="497"/>
      <c r="G99" s="497"/>
      <c r="H99" s="497"/>
      <c r="I99" s="497"/>
      <c r="J99" s="497"/>
      <c r="K99" s="497"/>
      <c r="L99" s="497"/>
      <c r="M99" s="497"/>
      <c r="N99" s="497"/>
      <c r="O99" s="497"/>
      <c r="P99" s="497"/>
      <c r="Q99" s="497"/>
      <c r="R99" s="497"/>
      <c r="S99" s="497"/>
      <c r="T99" s="497"/>
      <c r="U99" s="497"/>
      <c r="V99" s="497"/>
      <c r="W99" s="497"/>
      <c r="X99" s="497"/>
      <c r="Y99" s="497"/>
      <c r="Z99" s="497"/>
      <c r="AA99" s="497"/>
      <c r="AB99" s="497"/>
      <c r="AC99" s="497"/>
      <c r="AD99" s="497"/>
      <c r="AE99" s="688" t="s">
        <v>171</v>
      </c>
      <c r="AF99" s="688"/>
      <c r="AG99" s="688"/>
      <c r="AH99" s="688"/>
      <c r="AI99" s="688"/>
      <c r="AJ99" s="688"/>
      <c r="AK99" s="688"/>
      <c r="AL99" s="688"/>
      <c r="AM99" s="688" t="s">
        <v>172</v>
      </c>
      <c r="AN99" s="688"/>
      <c r="AO99" s="688"/>
      <c r="AP99" s="688"/>
      <c r="AQ99" s="688"/>
      <c r="AR99" s="688"/>
      <c r="AS99" s="688"/>
      <c r="AT99" s="688"/>
      <c r="AU99" s="389"/>
      <c r="AV99" s="390"/>
      <c r="AW99" s="390"/>
      <c r="AX99" s="390"/>
      <c r="AY99" s="390"/>
      <c r="AZ99" s="390"/>
      <c r="BA99" s="390"/>
      <c r="BB99" s="390"/>
      <c r="BC99" s="390"/>
      <c r="BD99" s="390"/>
      <c r="BE99" s="390"/>
      <c r="BF99" s="390"/>
      <c r="BG99" s="390"/>
      <c r="BH99" s="390"/>
      <c r="BI99" s="390"/>
      <c r="BJ99" s="390"/>
      <c r="BK99" s="390"/>
      <c r="BL99" s="390"/>
      <c r="BM99" s="390"/>
      <c r="BN99" s="390"/>
      <c r="BO99" s="390"/>
      <c r="BP99" s="390"/>
      <c r="BQ99" s="390"/>
      <c r="BR99" s="390"/>
      <c r="BS99" s="390"/>
      <c r="BT99" s="390"/>
      <c r="BU99" s="390"/>
      <c r="BV99" s="390"/>
      <c r="BW99" s="390"/>
      <c r="BX99" s="390"/>
      <c r="BY99" s="390"/>
      <c r="BZ99" s="390"/>
      <c r="CA99" s="390"/>
      <c r="CB99" s="390"/>
      <c r="CC99" s="390"/>
      <c r="CD99" s="390"/>
      <c r="CE99" s="390"/>
      <c r="CF99" s="390"/>
      <c r="CG99" s="36"/>
      <c r="CH99" s="75"/>
      <c r="CI99" s="50"/>
      <c r="CJ99" s="50"/>
      <c r="CK99" s="50"/>
      <c r="CL99" s="50"/>
      <c r="CM99" s="50"/>
      <c r="CN99" s="50"/>
      <c r="CO99" s="115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7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</row>
    <row r="100" spans="1:159" ht="80.099999999999994" customHeight="1" x14ac:dyDescent="0.85">
      <c r="A100" s="43"/>
      <c r="B100" s="497" t="s">
        <v>173</v>
      </c>
      <c r="C100" s="497"/>
      <c r="D100" s="497"/>
      <c r="E100" s="497"/>
      <c r="F100" s="497"/>
      <c r="G100" s="497"/>
      <c r="H100" s="497"/>
      <c r="I100" s="497"/>
      <c r="J100" s="497"/>
      <c r="K100" s="497"/>
      <c r="L100" s="497"/>
      <c r="M100" s="497"/>
      <c r="N100" s="497"/>
      <c r="O100" s="497"/>
      <c r="P100" s="497"/>
      <c r="Q100" s="497"/>
      <c r="R100" s="497"/>
      <c r="S100" s="497"/>
      <c r="T100" s="497"/>
      <c r="U100" s="497"/>
      <c r="V100" s="497"/>
      <c r="W100" s="497"/>
      <c r="X100" s="497"/>
      <c r="Y100" s="497"/>
      <c r="Z100" s="497"/>
      <c r="AA100" s="497"/>
      <c r="AB100" s="497"/>
      <c r="AC100" s="497"/>
      <c r="AD100" s="497"/>
      <c r="AE100" s="688" t="s">
        <v>180</v>
      </c>
      <c r="AF100" s="688"/>
      <c r="AG100" s="688"/>
      <c r="AH100" s="688"/>
      <c r="AI100" s="688"/>
      <c r="AJ100" s="688"/>
      <c r="AK100" s="688"/>
      <c r="AL100" s="688"/>
      <c r="AM100" s="688" t="s">
        <v>122</v>
      </c>
      <c r="AN100" s="688"/>
      <c r="AO100" s="688"/>
      <c r="AP100" s="688"/>
      <c r="AQ100" s="688"/>
      <c r="AR100" s="688"/>
      <c r="AS100" s="688"/>
      <c r="AT100" s="688"/>
      <c r="AU100" s="389"/>
      <c r="AV100" s="390"/>
      <c r="AW100" s="390"/>
      <c r="AX100" s="390"/>
      <c r="AY100" s="390"/>
      <c r="AZ100" s="390"/>
      <c r="BA100" s="390"/>
      <c r="BB100" s="390"/>
      <c r="BC100" s="390"/>
      <c r="BD100" s="390"/>
      <c r="BE100" s="390"/>
      <c r="BF100" s="390"/>
      <c r="BG100" s="390"/>
      <c r="BH100" s="390"/>
      <c r="BI100" s="390"/>
      <c r="BJ100" s="390"/>
      <c r="BK100" s="390"/>
      <c r="BL100" s="390"/>
      <c r="BM100" s="390"/>
      <c r="BN100" s="390"/>
      <c r="BO100" s="390"/>
      <c r="BP100" s="390"/>
      <c r="BQ100" s="390"/>
      <c r="BR100" s="390"/>
      <c r="BS100" s="390"/>
      <c r="BT100" s="390"/>
      <c r="BU100" s="390"/>
      <c r="BV100" s="390"/>
      <c r="BW100" s="390"/>
      <c r="BX100" s="390"/>
      <c r="BY100" s="390"/>
      <c r="BZ100" s="390"/>
      <c r="CA100" s="390"/>
      <c r="CB100" s="390"/>
      <c r="CC100" s="390"/>
      <c r="CD100" s="390"/>
      <c r="CE100" s="390"/>
      <c r="CF100" s="390"/>
      <c r="CG100" s="36"/>
      <c r="CH100" s="75"/>
      <c r="CI100" s="50"/>
      <c r="CJ100" s="50"/>
      <c r="CK100" s="50"/>
      <c r="CL100" s="50"/>
      <c r="CM100" s="50"/>
      <c r="CN100" s="50"/>
      <c r="CO100" s="115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6"/>
      <c r="ED100" s="116"/>
      <c r="EE100" s="116"/>
      <c r="EF100" s="116"/>
      <c r="EG100" s="116"/>
      <c r="EH100" s="116"/>
      <c r="EI100" s="116"/>
      <c r="EJ100" s="116"/>
      <c r="EK100" s="116"/>
      <c r="EL100" s="116"/>
      <c r="EM100" s="117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</row>
    <row r="101" spans="1:159" ht="80.099999999999994" customHeight="1" x14ac:dyDescent="0.85">
      <c r="A101" s="43"/>
      <c r="B101" s="497" t="s">
        <v>17</v>
      </c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  <c r="P101" s="497"/>
      <c r="Q101" s="497"/>
      <c r="R101" s="497"/>
      <c r="S101" s="497"/>
      <c r="T101" s="497"/>
      <c r="U101" s="497"/>
      <c r="V101" s="497"/>
      <c r="W101" s="497"/>
      <c r="X101" s="497"/>
      <c r="Y101" s="497"/>
      <c r="Z101" s="497"/>
      <c r="AA101" s="497"/>
      <c r="AB101" s="497"/>
      <c r="AC101" s="497"/>
      <c r="AD101" s="497"/>
      <c r="AE101" s="688" t="s">
        <v>174</v>
      </c>
      <c r="AF101" s="688"/>
      <c r="AG101" s="688"/>
      <c r="AH101" s="688"/>
      <c r="AI101" s="688"/>
      <c r="AJ101" s="688"/>
      <c r="AK101" s="688"/>
      <c r="AL101" s="688"/>
      <c r="AM101" s="688" t="s">
        <v>175</v>
      </c>
      <c r="AN101" s="688"/>
      <c r="AO101" s="688"/>
      <c r="AP101" s="688"/>
      <c r="AQ101" s="688"/>
      <c r="AR101" s="688"/>
      <c r="AS101" s="688"/>
      <c r="AT101" s="688"/>
      <c r="AU101" s="389"/>
      <c r="AV101" s="390"/>
      <c r="AW101" s="390"/>
      <c r="AX101" s="390"/>
      <c r="AY101" s="390"/>
      <c r="AZ101" s="390"/>
      <c r="BA101" s="390"/>
      <c r="BB101" s="390"/>
      <c r="BC101" s="390"/>
      <c r="BD101" s="390"/>
      <c r="BE101" s="390"/>
      <c r="BF101" s="390"/>
      <c r="BG101" s="390"/>
      <c r="BH101" s="390"/>
      <c r="BI101" s="390"/>
      <c r="BJ101" s="390"/>
      <c r="BK101" s="390"/>
      <c r="BL101" s="390"/>
      <c r="BM101" s="390"/>
      <c r="BN101" s="390"/>
      <c r="BO101" s="390"/>
      <c r="BP101" s="390"/>
      <c r="BQ101" s="390"/>
      <c r="BR101" s="390"/>
      <c r="BS101" s="390"/>
      <c r="BT101" s="390"/>
      <c r="BU101" s="390"/>
      <c r="BV101" s="390"/>
      <c r="BW101" s="390"/>
      <c r="BX101" s="390"/>
      <c r="BY101" s="390"/>
      <c r="BZ101" s="390"/>
      <c r="CA101" s="390"/>
      <c r="CB101" s="390"/>
      <c r="CC101" s="390"/>
      <c r="CD101" s="390"/>
      <c r="CE101" s="390"/>
      <c r="CF101" s="390"/>
      <c r="CG101" s="36"/>
      <c r="CH101" s="75"/>
      <c r="CI101" s="50"/>
      <c r="CJ101" s="50"/>
      <c r="CK101" s="50"/>
      <c r="CL101" s="50"/>
      <c r="CM101" s="50"/>
      <c r="CN101" s="50"/>
      <c r="CO101" s="115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  <c r="DT101" s="116"/>
      <c r="DU101" s="116"/>
      <c r="DV101" s="116"/>
      <c r="DW101" s="116"/>
      <c r="DX101" s="116"/>
      <c r="DY101" s="116"/>
      <c r="DZ101" s="116"/>
      <c r="EA101" s="116"/>
      <c r="EB101" s="116"/>
      <c r="EC101" s="116"/>
      <c r="ED101" s="116"/>
      <c r="EE101" s="116"/>
      <c r="EF101" s="116"/>
      <c r="EG101" s="116"/>
      <c r="EH101" s="116"/>
      <c r="EI101" s="116"/>
      <c r="EJ101" s="116"/>
      <c r="EK101" s="116"/>
      <c r="EL101" s="116"/>
      <c r="EM101" s="117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</row>
    <row r="102" spans="1:159" ht="80.099999999999994" customHeight="1" x14ac:dyDescent="0.85">
      <c r="A102" s="43"/>
      <c r="B102" s="498" t="s">
        <v>22</v>
      </c>
      <c r="C102" s="498"/>
      <c r="D102" s="498"/>
      <c r="E102" s="498"/>
      <c r="F102" s="498"/>
      <c r="G102" s="498"/>
      <c r="H102" s="498"/>
      <c r="I102" s="498"/>
      <c r="J102" s="498"/>
      <c r="K102" s="498"/>
      <c r="L102" s="498"/>
      <c r="M102" s="498"/>
      <c r="N102" s="498"/>
      <c r="O102" s="498"/>
      <c r="P102" s="498"/>
      <c r="Q102" s="498"/>
      <c r="R102" s="498"/>
      <c r="S102" s="498"/>
      <c r="T102" s="498"/>
      <c r="U102" s="498"/>
      <c r="V102" s="498"/>
      <c r="W102" s="498"/>
      <c r="X102" s="498"/>
      <c r="Y102" s="498"/>
      <c r="Z102" s="498"/>
      <c r="AA102" s="498"/>
      <c r="AB102" s="498"/>
      <c r="AC102" s="498"/>
      <c r="AD102" s="498"/>
      <c r="AE102" s="498" t="s">
        <v>181</v>
      </c>
      <c r="AF102" s="498"/>
      <c r="AG102" s="498"/>
      <c r="AH102" s="498"/>
      <c r="AI102" s="498"/>
      <c r="AJ102" s="498"/>
      <c r="AK102" s="498"/>
      <c r="AL102" s="498"/>
      <c r="AM102" s="688"/>
      <c r="AN102" s="688"/>
      <c r="AO102" s="688"/>
      <c r="AP102" s="688"/>
      <c r="AQ102" s="688"/>
      <c r="AR102" s="688"/>
      <c r="AS102" s="688"/>
      <c r="AT102" s="688"/>
      <c r="AU102" s="392"/>
      <c r="AV102" s="393"/>
      <c r="AW102" s="393"/>
      <c r="AX102" s="393"/>
      <c r="AY102" s="393"/>
      <c r="AZ102" s="393"/>
      <c r="BA102" s="393"/>
      <c r="BB102" s="393"/>
      <c r="BC102" s="393"/>
      <c r="BD102" s="393"/>
      <c r="BE102" s="393"/>
      <c r="BF102" s="393"/>
      <c r="BG102" s="393"/>
      <c r="BH102" s="393"/>
      <c r="BI102" s="393"/>
      <c r="BJ102" s="393"/>
      <c r="BK102" s="393"/>
      <c r="BL102" s="393"/>
      <c r="BM102" s="393"/>
      <c r="BN102" s="393"/>
      <c r="BO102" s="393"/>
      <c r="BP102" s="393"/>
      <c r="BQ102" s="393"/>
      <c r="BR102" s="393"/>
      <c r="BS102" s="393"/>
      <c r="BT102" s="393"/>
      <c r="BU102" s="393"/>
      <c r="BV102" s="393"/>
      <c r="BW102" s="393"/>
      <c r="BX102" s="393"/>
      <c r="BY102" s="393"/>
      <c r="BZ102" s="393"/>
      <c r="CA102" s="393"/>
      <c r="CB102" s="393"/>
      <c r="CC102" s="393"/>
      <c r="CD102" s="393"/>
      <c r="CE102" s="393"/>
      <c r="CF102" s="393"/>
      <c r="CG102" s="73"/>
      <c r="CH102" s="74"/>
      <c r="CI102" s="50"/>
      <c r="CJ102" s="50"/>
      <c r="CK102" s="50"/>
      <c r="CL102" s="50"/>
      <c r="CM102" s="50"/>
      <c r="CN102" s="50"/>
      <c r="CO102" s="118"/>
      <c r="CP102" s="119"/>
      <c r="CQ102" s="119"/>
      <c r="CR102" s="119"/>
      <c r="CS102" s="119"/>
      <c r="CT102" s="119"/>
      <c r="CU102" s="119"/>
      <c r="CV102" s="119"/>
      <c r="CW102" s="119"/>
      <c r="CX102" s="119"/>
      <c r="CY102" s="119"/>
      <c r="CZ102" s="119"/>
      <c r="DA102" s="119"/>
      <c r="DB102" s="119"/>
      <c r="DC102" s="119"/>
      <c r="DD102" s="119"/>
      <c r="DE102" s="119"/>
      <c r="DF102" s="119"/>
      <c r="DG102" s="119"/>
      <c r="DH102" s="119"/>
      <c r="DI102" s="119"/>
      <c r="DJ102" s="119"/>
      <c r="DK102" s="119"/>
      <c r="DL102" s="119"/>
      <c r="DM102" s="119"/>
      <c r="DN102" s="119"/>
      <c r="DO102" s="119"/>
      <c r="DP102" s="119"/>
      <c r="DQ102" s="119"/>
      <c r="DR102" s="119"/>
      <c r="DS102" s="119"/>
      <c r="DT102" s="119"/>
      <c r="DU102" s="119"/>
      <c r="DV102" s="119"/>
      <c r="DW102" s="119"/>
      <c r="DX102" s="119"/>
      <c r="DY102" s="119"/>
      <c r="DZ102" s="119"/>
      <c r="EA102" s="119"/>
      <c r="EB102" s="119"/>
      <c r="EC102" s="119"/>
      <c r="ED102" s="119"/>
      <c r="EE102" s="119"/>
      <c r="EF102" s="119"/>
      <c r="EG102" s="119"/>
      <c r="EH102" s="119"/>
      <c r="EI102" s="119"/>
      <c r="EJ102" s="119"/>
      <c r="EK102" s="119"/>
      <c r="EL102" s="119"/>
      <c r="EM102" s="12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</row>
    <row r="103" spans="1:159" ht="61.5" x14ac:dyDescent="0.85">
      <c r="A103" s="43"/>
      <c r="B103" s="43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51"/>
      <c r="X103" s="51"/>
      <c r="Y103" s="51"/>
      <c r="Z103" s="52"/>
      <c r="AA103" s="52"/>
      <c r="AB103" s="52"/>
      <c r="AC103" s="52"/>
      <c r="AD103" s="50"/>
      <c r="AE103" s="50"/>
      <c r="AF103" s="50"/>
      <c r="AG103" s="50"/>
      <c r="AH103" s="50"/>
      <c r="AI103" s="50"/>
      <c r="AJ103" s="50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1"/>
      <c r="BJ103" s="51"/>
      <c r="BK103" s="51"/>
      <c r="BL103" s="51"/>
      <c r="BM103" s="51"/>
      <c r="BN103" s="51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</row>
    <row r="104" spans="1:159" ht="120" customHeight="1" x14ac:dyDescent="0.85">
      <c r="A104" s="43"/>
      <c r="B104" s="381" t="s">
        <v>263</v>
      </c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2" t="s">
        <v>127</v>
      </c>
      <c r="Z104" s="382"/>
      <c r="AA104" s="382"/>
      <c r="AB104" s="382"/>
      <c r="AC104" s="382"/>
      <c r="AD104" s="382"/>
      <c r="AE104" s="382"/>
      <c r="AF104" s="382"/>
      <c r="AG104" s="382"/>
      <c r="AH104" s="382"/>
      <c r="AI104" s="382"/>
      <c r="AJ104" s="382"/>
      <c r="AK104" s="382"/>
      <c r="AL104" s="382"/>
      <c r="AM104" s="382"/>
      <c r="AN104" s="382"/>
      <c r="AO104" s="382"/>
      <c r="AP104" s="382"/>
      <c r="AQ104" s="382"/>
      <c r="AR104" s="382"/>
      <c r="AS104" s="382"/>
      <c r="AT104" s="382"/>
      <c r="AU104" s="382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</row>
    <row r="105" spans="1:159" ht="75" x14ac:dyDescent="0.85">
      <c r="A105" s="43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64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4"/>
      <c r="AU105" s="364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</row>
    <row r="106" spans="1:159" ht="120" customHeight="1" x14ac:dyDescent="0.85">
      <c r="A106" s="43"/>
      <c r="B106" s="381" t="s">
        <v>264</v>
      </c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2" t="s">
        <v>127</v>
      </c>
      <c r="Z106" s="382"/>
      <c r="AA106" s="382"/>
      <c r="AB106" s="382"/>
      <c r="AC106" s="382"/>
      <c r="AD106" s="382"/>
      <c r="AE106" s="382"/>
      <c r="AF106" s="382"/>
      <c r="AG106" s="382"/>
      <c r="AH106" s="382"/>
      <c r="AI106" s="382"/>
      <c r="AJ106" s="382"/>
      <c r="AK106" s="382"/>
      <c r="AL106" s="382"/>
      <c r="AM106" s="382"/>
      <c r="AN106" s="382"/>
      <c r="AO106" s="382"/>
      <c r="AP106" s="382"/>
      <c r="AQ106" s="382"/>
      <c r="AR106" s="382"/>
      <c r="AS106" s="382"/>
      <c r="AT106" s="382"/>
      <c r="AU106" s="382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</row>
    <row r="107" spans="1:159" ht="75" x14ac:dyDescent="0.85">
      <c r="A107" s="43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64"/>
      <c r="Z107" s="364"/>
      <c r="AA107" s="364"/>
      <c r="AB107" s="364"/>
      <c r="AC107" s="364"/>
      <c r="AD107" s="364"/>
      <c r="AE107" s="364"/>
      <c r="AF107" s="364"/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64"/>
      <c r="AQ107" s="364"/>
      <c r="AR107" s="364"/>
      <c r="AS107" s="364"/>
      <c r="AT107" s="364"/>
      <c r="AU107" s="364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</row>
    <row r="108" spans="1:159" ht="120" customHeight="1" x14ac:dyDescent="0.85">
      <c r="A108" s="43"/>
      <c r="B108" s="381" t="s">
        <v>249</v>
      </c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2" t="s">
        <v>127</v>
      </c>
      <c r="Z108" s="382"/>
      <c r="AA108" s="382"/>
      <c r="AB108" s="382"/>
      <c r="AC108" s="382"/>
      <c r="AD108" s="382"/>
      <c r="AE108" s="382"/>
      <c r="AF108" s="382"/>
      <c r="AG108" s="382"/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2"/>
      <c r="AR108" s="382"/>
      <c r="AS108" s="382"/>
      <c r="AT108" s="382"/>
      <c r="AU108" s="382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</row>
    <row r="109" spans="1:159" ht="75" x14ac:dyDescent="0.85">
      <c r="A109" s="43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64"/>
      <c r="Z109" s="364"/>
      <c r="AA109" s="364"/>
      <c r="AB109" s="364"/>
      <c r="AC109" s="364"/>
      <c r="AD109" s="364"/>
      <c r="AE109" s="364"/>
      <c r="AF109" s="364"/>
      <c r="AG109" s="364"/>
      <c r="AH109" s="364"/>
      <c r="AI109" s="364"/>
      <c r="AJ109" s="364"/>
      <c r="AK109" s="364"/>
      <c r="AL109" s="364"/>
      <c r="AM109" s="364"/>
      <c r="AN109" s="364"/>
      <c r="AO109" s="364"/>
      <c r="AP109" s="364"/>
      <c r="AQ109" s="364"/>
      <c r="AR109" s="364"/>
      <c r="AS109" s="364"/>
      <c r="AT109" s="364"/>
      <c r="AU109" s="364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</row>
    <row r="110" spans="1:159" ht="120" customHeight="1" x14ac:dyDescent="0.85">
      <c r="A110" s="43"/>
      <c r="B110" s="381" t="s">
        <v>250</v>
      </c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2" t="s">
        <v>127</v>
      </c>
      <c r="Z110" s="382"/>
      <c r="AA110" s="382"/>
      <c r="AB110" s="382"/>
      <c r="AC110" s="382"/>
      <c r="AD110" s="382"/>
      <c r="AE110" s="382"/>
      <c r="AF110" s="382"/>
      <c r="AG110" s="382"/>
      <c r="AH110" s="382"/>
      <c r="AI110" s="382"/>
      <c r="AJ110" s="382"/>
      <c r="AK110" s="382"/>
      <c r="AL110" s="382"/>
      <c r="AM110" s="382"/>
      <c r="AN110" s="382"/>
      <c r="AO110" s="382"/>
      <c r="AP110" s="382"/>
      <c r="AQ110" s="382"/>
      <c r="AR110" s="382"/>
      <c r="AS110" s="382"/>
      <c r="AT110" s="382"/>
      <c r="AU110" s="382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50"/>
      <c r="ED110" s="50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</row>
    <row r="111" spans="1:159" ht="45.75" x14ac:dyDescent="0.6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54"/>
      <c r="BJ111" s="54"/>
      <c r="BK111" s="54"/>
      <c r="BL111" s="54"/>
      <c r="BM111" s="54"/>
      <c r="BN111" s="54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7"/>
      <c r="FB111" s="7"/>
      <c r="FC111" s="7"/>
    </row>
    <row r="112" spans="1:159" ht="45.75" x14ac:dyDescent="0.65">
      <c r="A112" s="53"/>
      <c r="B112" s="53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4"/>
      <c r="X112" s="54"/>
      <c r="Y112" s="54"/>
      <c r="Z112" s="56"/>
      <c r="AA112" s="56"/>
      <c r="AB112" s="56"/>
      <c r="AC112" s="56"/>
      <c r="AD112" s="41"/>
      <c r="AE112" s="41"/>
      <c r="AF112" s="41"/>
      <c r="AG112" s="41"/>
      <c r="AH112" s="41"/>
      <c r="AI112" s="41"/>
      <c r="AJ112" s="41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54"/>
      <c r="BJ112" s="54"/>
      <c r="BK112" s="54"/>
      <c r="BL112" s="54"/>
      <c r="BM112" s="54"/>
      <c r="BN112" s="54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7"/>
      <c r="FB112" s="7"/>
      <c r="FC112" s="7"/>
    </row>
  </sheetData>
  <mergeCells count="1767">
    <mergeCell ref="C64:Y64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U95:CF102"/>
    <mergeCell ref="AU94:CH94"/>
    <mergeCell ref="Z60:AC61"/>
    <mergeCell ref="AD60:AF61"/>
    <mergeCell ref="AG60:AK61"/>
    <mergeCell ref="AL60:AP61"/>
    <mergeCell ref="AQ60:AU61"/>
    <mergeCell ref="AV60:AZ61"/>
    <mergeCell ref="BA60:BE61"/>
    <mergeCell ref="BF60:BJ61"/>
    <mergeCell ref="BK60:BN61"/>
    <mergeCell ref="BO60:BS61"/>
    <mergeCell ref="AM95:AT95"/>
    <mergeCell ref="Z86:AC86"/>
    <mergeCell ref="AM96:AT96"/>
    <mergeCell ref="AE98:AL98"/>
    <mergeCell ref="AM98:AT98"/>
    <mergeCell ref="AE94:AL94"/>
    <mergeCell ref="AM94:AT94"/>
    <mergeCell ref="AG84:AK84"/>
    <mergeCell ref="EL60:EP61"/>
    <mergeCell ref="EQ60:EU61"/>
    <mergeCell ref="EV60:EZ61"/>
    <mergeCell ref="FA60:FC61"/>
    <mergeCell ref="Z62:AC63"/>
    <mergeCell ref="AD62:AF63"/>
    <mergeCell ref="AG62:AK63"/>
    <mergeCell ref="AL62:AP63"/>
    <mergeCell ref="AQ62:AU63"/>
    <mergeCell ref="AV62:AZ63"/>
    <mergeCell ref="BA62:BE63"/>
    <mergeCell ref="BF62:BJ63"/>
    <mergeCell ref="BK62:BN63"/>
    <mergeCell ref="BO62:BS63"/>
    <mergeCell ref="BT62:BX63"/>
    <mergeCell ref="BY62:CC63"/>
    <mergeCell ref="CD62:CH63"/>
    <mergeCell ref="CI62:CM63"/>
    <mergeCell ref="CN62:CR63"/>
    <mergeCell ref="CS62:CW63"/>
    <mergeCell ref="CX62:DB63"/>
    <mergeCell ref="DC62:DG63"/>
    <mergeCell ref="DH62:DL63"/>
    <mergeCell ref="DM62:DQ63"/>
    <mergeCell ref="DR62:DV63"/>
    <mergeCell ref="DW62:EA63"/>
    <mergeCell ref="EB62:EF63"/>
    <mergeCell ref="EG62:EK63"/>
    <mergeCell ref="EL62:EP63"/>
    <mergeCell ref="EQ62:EU63"/>
    <mergeCell ref="EV62:EZ63"/>
    <mergeCell ref="FA62:FC63"/>
    <mergeCell ref="FA55:FC55"/>
    <mergeCell ref="C54:Y54"/>
    <mergeCell ref="Z54:AC54"/>
    <mergeCell ref="AD54:AF54"/>
    <mergeCell ref="AG54:AK54"/>
    <mergeCell ref="AL54:AP54"/>
    <mergeCell ref="AQ54:AU54"/>
    <mergeCell ref="AV54:AZ54"/>
    <mergeCell ref="BA54:BE54"/>
    <mergeCell ref="BF54:BJ54"/>
    <mergeCell ref="BK54:BN54"/>
    <mergeCell ref="C55:Y55"/>
    <mergeCell ref="Z55:AC55"/>
    <mergeCell ref="AD55:AF55"/>
    <mergeCell ref="AG55:AK55"/>
    <mergeCell ref="AL55:AP55"/>
    <mergeCell ref="AQ55:AU55"/>
    <mergeCell ref="AV55:AZ55"/>
    <mergeCell ref="BA55:BE55"/>
    <mergeCell ref="BF55:BJ55"/>
    <mergeCell ref="BK55:BN55"/>
    <mergeCell ref="EL58:EP58"/>
    <mergeCell ref="EQ55:EU55"/>
    <mergeCell ref="EV55:EZ55"/>
    <mergeCell ref="CX55:DB55"/>
    <mergeCell ref="DC55:DG55"/>
    <mergeCell ref="DH55:DL55"/>
    <mergeCell ref="DM55:DQ55"/>
    <mergeCell ref="DR55:DV55"/>
    <mergeCell ref="DW55:EA55"/>
    <mergeCell ref="EB55:EF55"/>
    <mergeCell ref="EL55:EP55"/>
    <mergeCell ref="BO55:BS55"/>
    <mergeCell ref="BT55:BX55"/>
    <mergeCell ref="BY55:CC55"/>
    <mergeCell ref="CD55:CH55"/>
    <mergeCell ref="CI55:CM55"/>
    <mergeCell ref="CN55:CR55"/>
    <mergeCell ref="CS55:CW55"/>
    <mergeCell ref="EV58:EZ58"/>
    <mergeCell ref="DC58:DG58"/>
    <mergeCell ref="DH58:DL58"/>
    <mergeCell ref="DM58:DQ58"/>
    <mergeCell ref="DR58:DV58"/>
    <mergeCell ref="DW58:EA58"/>
    <mergeCell ref="EB58:EF58"/>
    <mergeCell ref="BY58:CC58"/>
    <mergeCell ref="EQ58:EU58"/>
    <mergeCell ref="EL57:EP57"/>
    <mergeCell ref="EQ57:EU57"/>
    <mergeCell ref="EV57:EZ57"/>
    <mergeCell ref="EB56:EF56"/>
    <mergeCell ref="EG56:EK56"/>
    <mergeCell ref="EL56:EP56"/>
    <mergeCell ref="EQ56:EU56"/>
    <mergeCell ref="EV56:EZ56"/>
    <mergeCell ref="BT60:BX61"/>
    <mergeCell ref="BY60:CC61"/>
    <mergeCell ref="CD60:CH61"/>
    <mergeCell ref="CI60:CM61"/>
    <mergeCell ref="CN60:CR61"/>
    <mergeCell ref="EB53:EF53"/>
    <mergeCell ref="EG53:EK53"/>
    <mergeCell ref="BO54:BS54"/>
    <mergeCell ref="BT54:BX54"/>
    <mergeCell ref="BY54:CC54"/>
    <mergeCell ref="CD54:CH54"/>
    <mergeCell ref="CI54:CM54"/>
    <mergeCell ref="CN54:CR54"/>
    <mergeCell ref="CS54:CW54"/>
    <mergeCell ref="CX54:DB54"/>
    <mergeCell ref="DC54:DG54"/>
    <mergeCell ref="DH54:DL54"/>
    <mergeCell ref="DM54:DQ54"/>
    <mergeCell ref="DR54:DV54"/>
    <mergeCell ref="DW54:EA54"/>
    <mergeCell ref="EB54:EF54"/>
    <mergeCell ref="CS60:CW61"/>
    <mergeCell ref="CX60:DB61"/>
    <mergeCell ref="DC60:DG61"/>
    <mergeCell ref="DH60:DL61"/>
    <mergeCell ref="DM60:DQ61"/>
    <mergeCell ref="EG58:EK58"/>
    <mergeCell ref="DM57:DQ57"/>
    <mergeCell ref="DR57:DV57"/>
    <mergeCell ref="DW57:EA57"/>
    <mergeCell ref="EB57:EF57"/>
    <mergeCell ref="EG57:EK57"/>
    <mergeCell ref="C56:Y56"/>
    <mergeCell ref="Z56:AC56"/>
    <mergeCell ref="AD56:AF56"/>
    <mergeCell ref="AG56:AK56"/>
    <mergeCell ref="AL56:AP56"/>
    <mergeCell ref="AQ56:AU56"/>
    <mergeCell ref="AV56:AZ56"/>
    <mergeCell ref="EB52:EF52"/>
    <mergeCell ref="EG52:EK52"/>
    <mergeCell ref="C53:Y53"/>
    <mergeCell ref="Z53:AC53"/>
    <mergeCell ref="AD53:AF53"/>
    <mergeCell ref="AG53:AK53"/>
    <mergeCell ref="AL53:AP53"/>
    <mergeCell ref="AQ53:AU53"/>
    <mergeCell ref="AV53:AZ53"/>
    <mergeCell ref="BA53:BE53"/>
    <mergeCell ref="BF53:BJ53"/>
    <mergeCell ref="BK53:BN53"/>
    <mergeCell ref="CI53:CM53"/>
    <mergeCell ref="CN53:CR53"/>
    <mergeCell ref="C52:Y52"/>
    <mergeCell ref="Z52:AC52"/>
    <mergeCell ref="AD52:AF52"/>
    <mergeCell ref="AG52:AK52"/>
    <mergeCell ref="AL52:AP52"/>
    <mergeCell ref="AQ52:AU52"/>
    <mergeCell ref="AV52:AZ52"/>
    <mergeCell ref="BA52:BE52"/>
    <mergeCell ref="BF52:BJ52"/>
    <mergeCell ref="BK52:BN52"/>
    <mergeCell ref="EG55:EK55"/>
    <mergeCell ref="C51:Y51"/>
    <mergeCell ref="Z51:AC51"/>
    <mergeCell ref="AD51:AF51"/>
    <mergeCell ref="AG51:AK51"/>
    <mergeCell ref="AL51:AP51"/>
    <mergeCell ref="AQ51:AU51"/>
    <mergeCell ref="AV51:AZ51"/>
    <mergeCell ref="BA51:BE51"/>
    <mergeCell ref="BF51:BJ51"/>
    <mergeCell ref="BK51:BN51"/>
    <mergeCell ref="CI51:CM51"/>
    <mergeCell ref="CN51:CR51"/>
    <mergeCell ref="EB51:EF51"/>
    <mergeCell ref="CD58:CH58"/>
    <mergeCell ref="CI58:CM58"/>
    <mergeCell ref="CN58:CR58"/>
    <mergeCell ref="BO58:BS58"/>
    <mergeCell ref="BT58:BX58"/>
    <mergeCell ref="BA58:BE58"/>
    <mergeCell ref="CS58:CW58"/>
    <mergeCell ref="CX58:DB58"/>
    <mergeCell ref="BF58:BJ58"/>
    <mergeCell ref="BK58:BN58"/>
    <mergeCell ref="CN56:CR56"/>
    <mergeCell ref="CS56:CW56"/>
    <mergeCell ref="C57:Y57"/>
    <mergeCell ref="Z57:AC57"/>
    <mergeCell ref="AD57:AF57"/>
    <mergeCell ref="AG57:AK57"/>
    <mergeCell ref="AL57:AP57"/>
    <mergeCell ref="AQ57:AU57"/>
    <mergeCell ref="AV57:AZ57"/>
    <mergeCell ref="AL49:AP49"/>
    <mergeCell ref="AQ49:AU49"/>
    <mergeCell ref="AV49:AZ49"/>
    <mergeCell ref="BA49:BE49"/>
    <mergeCell ref="BF49:BJ49"/>
    <mergeCell ref="BK49:BN49"/>
    <mergeCell ref="DC50:DG50"/>
    <mergeCell ref="DH50:DL50"/>
    <mergeCell ref="DM50:DQ50"/>
    <mergeCell ref="DR50:DV50"/>
    <mergeCell ref="DW50:EA50"/>
    <mergeCell ref="BY50:CC50"/>
    <mergeCell ref="CD50:CH50"/>
    <mergeCell ref="Z59:AC59"/>
    <mergeCell ref="AD59:AF59"/>
    <mergeCell ref="AG59:AK59"/>
    <mergeCell ref="AL59:AP59"/>
    <mergeCell ref="BK59:BN59"/>
    <mergeCell ref="BO59:BS59"/>
    <mergeCell ref="CS50:CW50"/>
    <mergeCell ref="CX50:DB50"/>
    <mergeCell ref="BO50:BS50"/>
    <mergeCell ref="BT50:BX50"/>
    <mergeCell ref="BO49:BS49"/>
    <mergeCell ref="BA56:BE56"/>
    <mergeCell ref="BF56:BJ56"/>
    <mergeCell ref="BK56:BN56"/>
    <mergeCell ref="BO56:BS56"/>
    <mergeCell ref="BT56:BX56"/>
    <mergeCell ref="BY56:CC56"/>
    <mergeCell ref="CD56:CH56"/>
    <mergeCell ref="CI56:CM56"/>
    <mergeCell ref="C47:Y47"/>
    <mergeCell ref="Z47:AC47"/>
    <mergeCell ref="AD47:AF47"/>
    <mergeCell ref="AG47:AK47"/>
    <mergeCell ref="AL47:AP47"/>
    <mergeCell ref="AQ47:AU47"/>
    <mergeCell ref="AV47:AZ47"/>
    <mergeCell ref="BA47:BE47"/>
    <mergeCell ref="BF47:BJ47"/>
    <mergeCell ref="BK47:BN47"/>
    <mergeCell ref="BY47:CC47"/>
    <mergeCell ref="CD47:CH47"/>
    <mergeCell ref="DR47:DV47"/>
    <mergeCell ref="EG51:EK51"/>
    <mergeCell ref="DR49:DV49"/>
    <mergeCell ref="DW49:EA49"/>
    <mergeCell ref="C50:Y50"/>
    <mergeCell ref="Z50:AC50"/>
    <mergeCell ref="AD50:AF50"/>
    <mergeCell ref="AG50:AK50"/>
    <mergeCell ref="AL50:AP50"/>
    <mergeCell ref="AQ50:AU50"/>
    <mergeCell ref="AV50:AZ50"/>
    <mergeCell ref="BA50:BE50"/>
    <mergeCell ref="BF50:BJ50"/>
    <mergeCell ref="BK50:BN50"/>
    <mergeCell ref="CI50:CM50"/>
    <mergeCell ref="CN50:CR50"/>
    <mergeCell ref="C49:Y49"/>
    <mergeCell ref="Z49:AC49"/>
    <mergeCell ref="AD49:AF49"/>
    <mergeCell ref="AG49:AK49"/>
    <mergeCell ref="C48:Y48"/>
    <mergeCell ref="Z48:AC48"/>
    <mergeCell ref="AD48:AF48"/>
    <mergeCell ref="AG48:AK48"/>
    <mergeCell ref="AL48:AP48"/>
    <mergeCell ref="AQ48:AU48"/>
    <mergeCell ref="AV48:AZ48"/>
    <mergeCell ref="BA48:BE48"/>
    <mergeCell ref="BF48:BJ48"/>
    <mergeCell ref="BK48:BN48"/>
    <mergeCell ref="BY48:CC48"/>
    <mergeCell ref="CD48:CH48"/>
    <mergeCell ref="DR48:DV48"/>
    <mergeCell ref="DW48:EA48"/>
    <mergeCell ref="DC48:DG48"/>
    <mergeCell ref="DH48:DL48"/>
    <mergeCell ref="DM48:DQ48"/>
    <mergeCell ref="C46:Y46"/>
    <mergeCell ref="Z46:AC46"/>
    <mergeCell ref="AD46:AF46"/>
    <mergeCell ref="AG46:AK46"/>
    <mergeCell ref="AL46:AP46"/>
    <mergeCell ref="AQ46:AU46"/>
    <mergeCell ref="AV46:AZ46"/>
    <mergeCell ref="BA46:BE46"/>
    <mergeCell ref="BF46:BJ46"/>
    <mergeCell ref="BK46:BN46"/>
    <mergeCell ref="DC46:DG46"/>
    <mergeCell ref="DH46:DL46"/>
    <mergeCell ref="DM46:DQ46"/>
    <mergeCell ref="C45:Y45"/>
    <mergeCell ref="Z45:AC45"/>
    <mergeCell ref="AD45:AF45"/>
    <mergeCell ref="AG45:AK45"/>
    <mergeCell ref="AL45:AP45"/>
    <mergeCell ref="AQ45:AU45"/>
    <mergeCell ref="AV45:AZ45"/>
    <mergeCell ref="BA45:BE45"/>
    <mergeCell ref="BF45:BJ45"/>
    <mergeCell ref="BK45:BN45"/>
    <mergeCell ref="BY45:CC45"/>
    <mergeCell ref="CD45:CH45"/>
    <mergeCell ref="DR45:DV45"/>
    <mergeCell ref="DC44:DG44"/>
    <mergeCell ref="DH44:DL44"/>
    <mergeCell ref="CX44:DB44"/>
    <mergeCell ref="EB44:EF44"/>
    <mergeCell ref="EG44:EK44"/>
    <mergeCell ref="EL44:EP44"/>
    <mergeCell ref="DM44:DQ44"/>
    <mergeCell ref="DR44:DV44"/>
    <mergeCell ref="DW44:EA44"/>
    <mergeCell ref="EV44:EZ44"/>
    <mergeCell ref="FA44:FC44"/>
    <mergeCell ref="DM43:DQ43"/>
    <mergeCell ref="DR43:DV43"/>
    <mergeCell ref="DW43:EA43"/>
    <mergeCell ref="EB43:EF43"/>
    <mergeCell ref="EG43:EK43"/>
    <mergeCell ref="EL43:EP43"/>
    <mergeCell ref="EQ43:EU43"/>
    <mergeCell ref="EV43:EZ43"/>
    <mergeCell ref="FA43:FC43"/>
    <mergeCell ref="CX43:DB43"/>
    <mergeCell ref="DC43:DG43"/>
    <mergeCell ref="DH43:DL43"/>
    <mergeCell ref="AL44:AP44"/>
    <mergeCell ref="AQ44:AU44"/>
    <mergeCell ref="AV44:AZ44"/>
    <mergeCell ref="BA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C43:Y43"/>
    <mergeCell ref="Z43:AC43"/>
    <mergeCell ref="AD43:AF43"/>
    <mergeCell ref="AG43:AK43"/>
    <mergeCell ref="AL43:AP43"/>
    <mergeCell ref="AQ43:AU43"/>
    <mergeCell ref="AV43:AZ43"/>
    <mergeCell ref="BA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C44:Y44"/>
    <mergeCell ref="DM42:DQ42"/>
    <mergeCell ref="DR42:DV42"/>
    <mergeCell ref="EB42:EF42"/>
    <mergeCell ref="EG42:EK42"/>
    <mergeCell ref="AG42:AK42"/>
    <mergeCell ref="AL42:AP42"/>
    <mergeCell ref="AQ42:AU42"/>
    <mergeCell ref="AV42:AZ42"/>
    <mergeCell ref="BA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CX42:DB42"/>
    <mergeCell ref="DC42:DG42"/>
    <mergeCell ref="C42:Y42"/>
    <mergeCell ref="Z42:AC42"/>
    <mergeCell ref="AD42:AF42"/>
    <mergeCell ref="Z44:AC44"/>
    <mergeCell ref="AD44:AF44"/>
    <mergeCell ref="AG44:AK44"/>
    <mergeCell ref="EL42:EP42"/>
    <mergeCell ref="EQ42:EU42"/>
    <mergeCell ref="EV42:EZ42"/>
    <mergeCell ref="EJ21:EM21"/>
    <mergeCell ref="AE97:AL97"/>
    <mergeCell ref="AM97:AT97"/>
    <mergeCell ref="DR21:DT21"/>
    <mergeCell ref="DU21:DW21"/>
    <mergeCell ref="DX21:DZ21"/>
    <mergeCell ref="EA21:EC21"/>
    <mergeCell ref="ED21:EF21"/>
    <mergeCell ref="EG21:EI21"/>
    <mergeCell ref="D26:EI26"/>
    <mergeCell ref="CU21:CV21"/>
    <mergeCell ref="CW21:CX21"/>
    <mergeCell ref="CY21:CZ21"/>
    <mergeCell ref="DA21:DB21"/>
    <mergeCell ref="DC21:DD21"/>
    <mergeCell ref="DE21:DF21"/>
    <mergeCell ref="DG21:DH21"/>
    <mergeCell ref="DI21:DJ21"/>
    <mergeCell ref="DK21:DN21"/>
    <mergeCell ref="BY24:CP25"/>
    <mergeCell ref="CQ24:CU25"/>
    <mergeCell ref="CV24:DH25"/>
    <mergeCell ref="DI24:DM25"/>
    <mergeCell ref="DN24:DY25"/>
    <mergeCell ref="DZ24:ED25"/>
    <mergeCell ref="EQ44:EU44"/>
    <mergeCell ref="ED22:EF22"/>
    <mergeCell ref="EG22:EI22"/>
    <mergeCell ref="EJ22:EM22"/>
    <mergeCell ref="C24:G25"/>
    <mergeCell ref="H24:T25"/>
    <mergeCell ref="X24:Z25"/>
    <mergeCell ref="AA24:AU25"/>
    <mergeCell ref="AW24:BB25"/>
    <mergeCell ref="BE24:BS25"/>
    <mergeCell ref="BT24:BX25"/>
    <mergeCell ref="DU20:DW20"/>
    <mergeCell ref="DX20:DZ20"/>
    <mergeCell ref="EA20:EC20"/>
    <mergeCell ref="ED20:EF20"/>
    <mergeCell ref="EG20:EI20"/>
    <mergeCell ref="EJ20:EM20"/>
    <mergeCell ref="EG41:EK41"/>
    <mergeCell ref="EL41:EP41"/>
    <mergeCell ref="EQ41:EU41"/>
    <mergeCell ref="C41:Y41"/>
    <mergeCell ref="Z41:AC41"/>
    <mergeCell ref="AD41:AF41"/>
    <mergeCell ref="AG41:AK41"/>
    <mergeCell ref="AL41:AP41"/>
    <mergeCell ref="DC40:DG40"/>
    <mergeCell ref="DH40:DL40"/>
    <mergeCell ref="DM40:DQ40"/>
    <mergeCell ref="DR40:DV40"/>
    <mergeCell ref="DW40:EA40"/>
    <mergeCell ref="EB40:EF40"/>
    <mergeCell ref="BY40:CC40"/>
    <mergeCell ref="CD40:CH40"/>
    <mergeCell ref="CI40:CM40"/>
    <mergeCell ref="CN40:CR40"/>
    <mergeCell ref="CS40:CW40"/>
    <mergeCell ref="ED19:EF19"/>
    <mergeCell ref="EG19:EI19"/>
    <mergeCell ref="EJ19:EM19"/>
    <mergeCell ref="CU20:CV20"/>
    <mergeCell ref="CW20:CX20"/>
    <mergeCell ref="CY20:CZ20"/>
    <mergeCell ref="DA20:DB20"/>
    <mergeCell ref="DC20:DD20"/>
    <mergeCell ref="DE20:DF20"/>
    <mergeCell ref="DG20:DH20"/>
    <mergeCell ref="DC19:DD19"/>
    <mergeCell ref="DE19:DF19"/>
    <mergeCell ref="DG19:DH19"/>
    <mergeCell ref="DI19:DJ19"/>
    <mergeCell ref="DK19:DN19"/>
    <mergeCell ref="DO19:DQ19"/>
    <mergeCell ref="EE24:EP25"/>
    <mergeCell ref="DR22:DT22"/>
    <mergeCell ref="DU22:DW22"/>
    <mergeCell ref="DX22:DZ22"/>
    <mergeCell ref="EA22:EC22"/>
    <mergeCell ref="D22:DJ22"/>
    <mergeCell ref="AD21:AE21"/>
    <mergeCell ref="AF21:AG21"/>
    <mergeCell ref="AH21:AJ21"/>
    <mergeCell ref="AK21:AL21"/>
    <mergeCell ref="AM21:AN21"/>
    <mergeCell ref="AO21:AP21"/>
    <mergeCell ref="R21:S21"/>
    <mergeCell ref="T21:U21"/>
    <mergeCell ref="V21:W21"/>
    <mergeCell ref="X21:Y21"/>
    <mergeCell ref="DU18:DW18"/>
    <mergeCell ref="DX18:DZ18"/>
    <mergeCell ref="EA18:EC18"/>
    <mergeCell ref="ED18:EF18"/>
    <mergeCell ref="EG18:EI18"/>
    <mergeCell ref="EJ18:EM18"/>
    <mergeCell ref="ED17:EF17"/>
    <mergeCell ref="EG17:EI17"/>
    <mergeCell ref="EJ17:EM17"/>
    <mergeCell ref="CU18:CV18"/>
    <mergeCell ref="CW18:CX18"/>
    <mergeCell ref="CY18:CZ18"/>
    <mergeCell ref="DA18:DB18"/>
    <mergeCell ref="DC18:DD18"/>
    <mergeCell ref="DE18:DF18"/>
    <mergeCell ref="DG18:DH18"/>
    <mergeCell ref="DC17:DD17"/>
    <mergeCell ref="DE17:DF17"/>
    <mergeCell ref="DG17:DH17"/>
    <mergeCell ref="DI17:DJ17"/>
    <mergeCell ref="DK17:DN17"/>
    <mergeCell ref="DO17:DQ17"/>
    <mergeCell ref="DO18:DQ18"/>
    <mergeCell ref="DR18:DT18"/>
    <mergeCell ref="DR17:DT17"/>
    <mergeCell ref="DU17:DW17"/>
    <mergeCell ref="DX17:DZ17"/>
    <mergeCell ref="EA17:EC17"/>
    <mergeCell ref="DU12:DW16"/>
    <mergeCell ref="DX12:DZ16"/>
    <mergeCell ref="EA12:EC16"/>
    <mergeCell ref="ED12:EF16"/>
    <mergeCell ref="CU15:DB15"/>
    <mergeCell ref="DC15:DJ15"/>
    <mergeCell ref="CU16:CV16"/>
    <mergeCell ref="CW16:CX16"/>
    <mergeCell ref="CY16:CZ16"/>
    <mergeCell ref="DA16:DB16"/>
    <mergeCell ref="A8:ES8"/>
    <mergeCell ref="H10:DJ14"/>
    <mergeCell ref="DK10:EF10"/>
    <mergeCell ref="EG10:EI16"/>
    <mergeCell ref="EJ10:EM16"/>
    <mergeCell ref="DK11:DN16"/>
    <mergeCell ref="CO17:CP17"/>
    <mergeCell ref="CQ17:CR17"/>
    <mergeCell ref="CS17:CT17"/>
    <mergeCell ref="CU17:CV17"/>
    <mergeCell ref="CW17:CX17"/>
    <mergeCell ref="CY17:CZ17"/>
    <mergeCell ref="DA17:DB17"/>
    <mergeCell ref="CC17:CD17"/>
    <mergeCell ref="CE17:CF17"/>
    <mergeCell ref="CG17:CH17"/>
    <mergeCell ref="CI17:CJ17"/>
    <mergeCell ref="CK17:CL17"/>
    <mergeCell ref="CM17:CN17"/>
    <mergeCell ref="BG16:BH16"/>
    <mergeCell ref="B110:X110"/>
    <mergeCell ref="Y110:AU110"/>
    <mergeCell ref="C58:Y58"/>
    <mergeCell ref="Z58:AC58"/>
    <mergeCell ref="AD58:AF58"/>
    <mergeCell ref="AG58:AK58"/>
    <mergeCell ref="AL58:AP58"/>
    <mergeCell ref="AQ58:AU58"/>
    <mergeCell ref="AV58:AZ58"/>
    <mergeCell ref="B108:X108"/>
    <mergeCell ref="Y108:AU108"/>
    <mergeCell ref="B109:X109"/>
    <mergeCell ref="Y109:AU109"/>
    <mergeCell ref="B106:X106"/>
    <mergeCell ref="Y106:AU106"/>
    <mergeCell ref="B107:X107"/>
    <mergeCell ref="Y107:AU107"/>
    <mergeCell ref="B104:X104"/>
    <mergeCell ref="Y104:AU104"/>
    <mergeCell ref="B105:X105"/>
    <mergeCell ref="Y105:AU105"/>
    <mergeCell ref="AE101:AL101"/>
    <mergeCell ref="AM101:AT101"/>
    <mergeCell ref="AE102:AL102"/>
    <mergeCell ref="AM102:AT102"/>
    <mergeCell ref="AE99:AL99"/>
    <mergeCell ref="AM99:AT99"/>
    <mergeCell ref="AE100:AL100"/>
    <mergeCell ref="AM100:AT100"/>
    <mergeCell ref="AE95:AL95"/>
    <mergeCell ref="C59:Y59"/>
    <mergeCell ref="AE96:AL96"/>
    <mergeCell ref="EL86:EP86"/>
    <mergeCell ref="EQ86:EU86"/>
    <mergeCell ref="EV86:EZ86"/>
    <mergeCell ref="B89:FC89"/>
    <mergeCell ref="B90:FC90"/>
    <mergeCell ref="B91:FC91"/>
    <mergeCell ref="B92:FC92"/>
    <mergeCell ref="C86:Y86"/>
    <mergeCell ref="FA86:FC86"/>
    <mergeCell ref="Z88:AC88"/>
    <mergeCell ref="DC86:DG86"/>
    <mergeCell ref="DH86:DL86"/>
    <mergeCell ref="DM86:DQ86"/>
    <mergeCell ref="DR86:DV86"/>
    <mergeCell ref="DW86:EA86"/>
    <mergeCell ref="EB86:EF86"/>
    <mergeCell ref="BY86:CC86"/>
    <mergeCell ref="CD86:CH86"/>
    <mergeCell ref="CI86:CM86"/>
    <mergeCell ref="CN86:CR86"/>
    <mergeCell ref="CS86:CW86"/>
    <mergeCell ref="CX86:DB86"/>
    <mergeCell ref="AV86:AZ86"/>
    <mergeCell ref="BA86:BE86"/>
    <mergeCell ref="BF86:BJ86"/>
    <mergeCell ref="AL84:AP84"/>
    <mergeCell ref="AQ84:AU84"/>
    <mergeCell ref="AD86:AF86"/>
    <mergeCell ref="AG86:AK86"/>
    <mergeCell ref="AL86:AP86"/>
    <mergeCell ref="AQ86:AU86"/>
    <mergeCell ref="EB85:EF85"/>
    <mergeCell ref="AQ85:AU85"/>
    <mergeCell ref="AV85:AZ85"/>
    <mergeCell ref="BA85:BE85"/>
    <mergeCell ref="BF85:BJ85"/>
    <mergeCell ref="BK85:BN85"/>
    <mergeCell ref="BO85:BS85"/>
    <mergeCell ref="EG85:EK85"/>
    <mergeCell ref="EL85:EP85"/>
    <mergeCell ref="EQ85:EU85"/>
    <mergeCell ref="CX85:DB85"/>
    <mergeCell ref="DC85:DG85"/>
    <mergeCell ref="DH85:DL85"/>
    <mergeCell ref="DM85:DQ85"/>
    <mergeCell ref="DR85:DV85"/>
    <mergeCell ref="DW85:EA85"/>
    <mergeCell ref="BT85:BX85"/>
    <mergeCell ref="BY85:CC85"/>
    <mergeCell ref="CD85:CH85"/>
    <mergeCell ref="CI85:CM85"/>
    <mergeCell ref="CN85:CR85"/>
    <mergeCell ref="CS85:CW85"/>
    <mergeCell ref="BK86:BN86"/>
    <mergeCell ref="BO86:BS86"/>
    <mergeCell ref="BT86:BX86"/>
    <mergeCell ref="EG86:EK86"/>
    <mergeCell ref="BT83:BX83"/>
    <mergeCell ref="BY83:CC83"/>
    <mergeCell ref="CD83:CH83"/>
    <mergeCell ref="CI83:CM83"/>
    <mergeCell ref="CN83:CR83"/>
    <mergeCell ref="CS83:CW83"/>
    <mergeCell ref="C85:Y85"/>
    <mergeCell ref="Z85:AC85"/>
    <mergeCell ref="AD85:AF85"/>
    <mergeCell ref="AG85:AK85"/>
    <mergeCell ref="AL85:AP85"/>
    <mergeCell ref="DC84:DG84"/>
    <mergeCell ref="DH84:DL84"/>
    <mergeCell ref="DM84:DQ84"/>
    <mergeCell ref="DR84:DV84"/>
    <mergeCell ref="DW84:EA84"/>
    <mergeCell ref="EB84:EF84"/>
    <mergeCell ref="BY84:CC84"/>
    <mergeCell ref="CD84:CH84"/>
    <mergeCell ref="CI84:CM84"/>
    <mergeCell ref="CN84:CR84"/>
    <mergeCell ref="CS84:CW84"/>
    <mergeCell ref="CX84:DB84"/>
    <mergeCell ref="AV84:AZ84"/>
    <mergeCell ref="BA84:BE84"/>
    <mergeCell ref="BF84:BJ84"/>
    <mergeCell ref="BK84:BN84"/>
    <mergeCell ref="BO84:BS84"/>
    <mergeCell ref="BT84:BX84"/>
    <mergeCell ref="C84:Y84"/>
    <mergeCell ref="Z84:AC84"/>
    <mergeCell ref="AD84:AF84"/>
    <mergeCell ref="AQ83:AU83"/>
    <mergeCell ref="AV83:AZ83"/>
    <mergeCell ref="BA83:BE83"/>
    <mergeCell ref="BF83:BJ83"/>
    <mergeCell ref="BK83:BN83"/>
    <mergeCell ref="BO83:BS83"/>
    <mergeCell ref="EG84:EK84"/>
    <mergeCell ref="EL84:EP84"/>
    <mergeCell ref="EQ84:EU84"/>
    <mergeCell ref="EV84:EZ84"/>
    <mergeCell ref="FA84:FC84"/>
    <mergeCell ref="C83:Y83"/>
    <mergeCell ref="Z83:AC83"/>
    <mergeCell ref="AD83:AF83"/>
    <mergeCell ref="AG83:AK83"/>
    <mergeCell ref="AL83:AP83"/>
    <mergeCell ref="DC82:DG82"/>
    <mergeCell ref="DH82:DL82"/>
    <mergeCell ref="DM82:DQ82"/>
    <mergeCell ref="DR82:DV82"/>
    <mergeCell ref="DW82:EA82"/>
    <mergeCell ref="EB82:EF82"/>
    <mergeCell ref="BY82:CC82"/>
    <mergeCell ref="CD82:CH82"/>
    <mergeCell ref="CI82:CM82"/>
    <mergeCell ref="CN82:CR82"/>
    <mergeCell ref="CS82:CW82"/>
    <mergeCell ref="CX82:DB82"/>
    <mergeCell ref="AV82:AZ82"/>
    <mergeCell ref="BA82:BE82"/>
    <mergeCell ref="BF82:BJ82"/>
    <mergeCell ref="BK82:BN82"/>
    <mergeCell ref="BO82:BS82"/>
    <mergeCell ref="BT82:BX82"/>
    <mergeCell ref="C82:Y82"/>
    <mergeCell ref="Z82:AC82"/>
    <mergeCell ref="AD82:AF82"/>
    <mergeCell ref="AG82:AK82"/>
    <mergeCell ref="AL82:AP82"/>
    <mergeCell ref="AQ82:AU82"/>
    <mergeCell ref="EV64:EZ65"/>
    <mergeCell ref="FA64:FC65"/>
    <mergeCell ref="C65:Y65"/>
    <mergeCell ref="C71:Y71"/>
    <mergeCell ref="EG82:EK82"/>
    <mergeCell ref="EL82:EP82"/>
    <mergeCell ref="EQ82:EU82"/>
    <mergeCell ref="EV82:EZ82"/>
    <mergeCell ref="FA82:FC82"/>
    <mergeCell ref="AL64:AP65"/>
    <mergeCell ref="AQ64:AU65"/>
    <mergeCell ref="AV64:AZ65"/>
    <mergeCell ref="BA64:BE65"/>
    <mergeCell ref="BF64:BJ65"/>
    <mergeCell ref="BK64:BN65"/>
    <mergeCell ref="BO64:BS65"/>
    <mergeCell ref="BT64:BX65"/>
    <mergeCell ref="BY64:CC65"/>
    <mergeCell ref="CD64:CH65"/>
    <mergeCell ref="CI64:CM65"/>
    <mergeCell ref="CN64:CR65"/>
    <mergeCell ref="CS64:CW65"/>
    <mergeCell ref="CX64:DB65"/>
    <mergeCell ref="DC64:DG65"/>
    <mergeCell ref="DH64:DL65"/>
    <mergeCell ref="DM64:DQ65"/>
    <mergeCell ref="C63:Y63"/>
    <mergeCell ref="C62:Y62"/>
    <mergeCell ref="DR60:DV61"/>
    <mergeCell ref="C61:Y61"/>
    <mergeCell ref="C60:Y60"/>
    <mergeCell ref="DW60:EA61"/>
    <mergeCell ref="EB60:EF61"/>
    <mergeCell ref="EB59:EF59"/>
    <mergeCell ref="EG59:EK59"/>
    <mergeCell ref="EL59:EP59"/>
    <mergeCell ref="EQ59:EU59"/>
    <mergeCell ref="EV59:EZ59"/>
    <mergeCell ref="FA59:FC59"/>
    <mergeCell ref="CX59:DB59"/>
    <mergeCell ref="DC59:DG59"/>
    <mergeCell ref="DH59:DL59"/>
    <mergeCell ref="DM59:DQ59"/>
    <mergeCell ref="DR59:DV59"/>
    <mergeCell ref="DW59:EA59"/>
    <mergeCell ref="BT59:BX59"/>
    <mergeCell ref="BY59:CC59"/>
    <mergeCell ref="CD59:CH59"/>
    <mergeCell ref="CI59:CM59"/>
    <mergeCell ref="CN59:CR59"/>
    <mergeCell ref="CS59:CW59"/>
    <mergeCell ref="AQ59:AU59"/>
    <mergeCell ref="AV59:AZ59"/>
    <mergeCell ref="BA59:BE59"/>
    <mergeCell ref="BF59:BJ59"/>
    <mergeCell ref="Z64:AC65"/>
    <mergeCell ref="AD64:AF65"/>
    <mergeCell ref="AG64:AK65"/>
    <mergeCell ref="EL51:EP51"/>
    <mergeCell ref="EG60:EK61"/>
    <mergeCell ref="FA58:FC58"/>
    <mergeCell ref="EL53:EP53"/>
    <mergeCell ref="EQ53:EU53"/>
    <mergeCell ref="EV53:EZ53"/>
    <mergeCell ref="FA53:FC53"/>
    <mergeCell ref="CX53:DB53"/>
    <mergeCell ref="DC53:DG53"/>
    <mergeCell ref="DH53:DL53"/>
    <mergeCell ref="DM53:DQ53"/>
    <mergeCell ref="DR53:DV53"/>
    <mergeCell ref="DW53:EA53"/>
    <mergeCell ref="BT53:BX53"/>
    <mergeCell ref="BY53:CC53"/>
    <mergeCell ref="CD53:CH53"/>
    <mergeCell ref="CS53:CW53"/>
    <mergeCell ref="BO53:BS53"/>
    <mergeCell ref="EG54:EK54"/>
    <mergeCell ref="EL54:EP54"/>
    <mergeCell ref="EQ54:EU54"/>
    <mergeCell ref="EV54:EZ54"/>
    <mergeCell ref="FA54:FC54"/>
    <mergeCell ref="DR64:DV65"/>
    <mergeCell ref="DW64:EA65"/>
    <mergeCell ref="EB64:EF65"/>
    <mergeCell ref="EG64:EK65"/>
    <mergeCell ref="EL64:EP65"/>
    <mergeCell ref="EQ64:EU65"/>
    <mergeCell ref="EQ51:EU51"/>
    <mergeCell ref="EV51:EZ51"/>
    <mergeCell ref="FA51:FC51"/>
    <mergeCell ref="CX51:DB51"/>
    <mergeCell ref="DC51:DG51"/>
    <mergeCell ref="DH51:DL51"/>
    <mergeCell ref="DM51:DQ51"/>
    <mergeCell ref="DR51:DV51"/>
    <mergeCell ref="DW51:EA51"/>
    <mergeCell ref="BT51:BX51"/>
    <mergeCell ref="BY51:CC51"/>
    <mergeCell ref="CD51:CH51"/>
    <mergeCell ref="CS51:CW51"/>
    <mergeCell ref="BO51:BS51"/>
    <mergeCell ref="EL52:EP52"/>
    <mergeCell ref="EQ52:EU52"/>
    <mergeCell ref="EV52:EZ52"/>
    <mergeCell ref="FA52:FC52"/>
    <mergeCell ref="DC52:DG52"/>
    <mergeCell ref="DH52:DL52"/>
    <mergeCell ref="DM52:DQ52"/>
    <mergeCell ref="DR52:DV52"/>
    <mergeCell ref="DW52:EA52"/>
    <mergeCell ref="BY52:CC52"/>
    <mergeCell ref="CD52:CH52"/>
    <mergeCell ref="CI52:CM52"/>
    <mergeCell ref="CN52:CR52"/>
    <mergeCell ref="CS52:CW52"/>
    <mergeCell ref="CX52:DB52"/>
    <mergeCell ref="BO52:BS52"/>
    <mergeCell ref="BT52:BX52"/>
    <mergeCell ref="EQ48:EU48"/>
    <mergeCell ref="EV48:EZ48"/>
    <mergeCell ref="FA48:FC48"/>
    <mergeCell ref="DW47:EA47"/>
    <mergeCell ref="EB49:EF49"/>
    <mergeCell ref="EG49:EK49"/>
    <mergeCell ref="EL49:EP49"/>
    <mergeCell ref="EQ49:EU49"/>
    <mergeCell ref="EB50:EF50"/>
    <mergeCell ref="EG50:EK50"/>
    <mergeCell ref="EV49:EZ49"/>
    <mergeCell ref="FA49:FC49"/>
    <mergeCell ref="CX49:DB49"/>
    <mergeCell ref="DC49:DG49"/>
    <mergeCell ref="DH49:DL49"/>
    <mergeCell ref="DM49:DQ49"/>
    <mergeCell ref="BT49:BX49"/>
    <mergeCell ref="BY49:CC49"/>
    <mergeCell ref="CD49:CH49"/>
    <mergeCell ref="CI49:CM49"/>
    <mergeCell ref="CN49:CR49"/>
    <mergeCell ref="CS49:CW49"/>
    <mergeCell ref="EL50:EP50"/>
    <mergeCell ref="EQ50:EU50"/>
    <mergeCell ref="EV50:EZ50"/>
    <mergeCell ref="FA50:FC50"/>
    <mergeCell ref="EG46:EK46"/>
    <mergeCell ref="EL46:EP46"/>
    <mergeCell ref="EQ46:EU46"/>
    <mergeCell ref="EV46:EZ46"/>
    <mergeCell ref="FA46:FC46"/>
    <mergeCell ref="DR46:DV46"/>
    <mergeCell ref="DW46:EA46"/>
    <mergeCell ref="DW45:EA45"/>
    <mergeCell ref="EB48:EF48"/>
    <mergeCell ref="CI48:CM48"/>
    <mergeCell ref="CN48:CR48"/>
    <mergeCell ref="CS48:CW48"/>
    <mergeCell ref="CX48:DB48"/>
    <mergeCell ref="BO48:BS48"/>
    <mergeCell ref="BT48:BX48"/>
    <mergeCell ref="EB47:EF47"/>
    <mergeCell ref="EG47:EK47"/>
    <mergeCell ref="EL47:EP47"/>
    <mergeCell ref="EQ47:EU47"/>
    <mergeCell ref="EV47:EZ47"/>
    <mergeCell ref="FA47:FC47"/>
    <mergeCell ref="CX47:DB47"/>
    <mergeCell ref="DC47:DG47"/>
    <mergeCell ref="DH47:DL47"/>
    <mergeCell ref="DM47:DQ47"/>
    <mergeCell ref="BT47:BX47"/>
    <mergeCell ref="CI47:CM47"/>
    <mergeCell ref="CN47:CR47"/>
    <mergeCell ref="CS47:CW47"/>
    <mergeCell ref="BO47:BS47"/>
    <mergeCell ref="EG48:EK48"/>
    <mergeCell ref="EL48:EP48"/>
    <mergeCell ref="AV41:AZ41"/>
    <mergeCell ref="BA41:BE41"/>
    <mergeCell ref="DW42:EA42"/>
    <mergeCell ref="BF41:BJ41"/>
    <mergeCell ref="BK41:BN41"/>
    <mergeCell ref="BO41:BS41"/>
    <mergeCell ref="DH42:DL42"/>
    <mergeCell ref="FA42:FC42"/>
    <mergeCell ref="EB46:EF46"/>
    <mergeCell ref="BY46:CC46"/>
    <mergeCell ref="CD46:CH46"/>
    <mergeCell ref="CI46:CM46"/>
    <mergeCell ref="CN46:CR46"/>
    <mergeCell ref="CS46:CW46"/>
    <mergeCell ref="CX46:DB46"/>
    <mergeCell ref="BO46:BS46"/>
    <mergeCell ref="BT46:BX46"/>
    <mergeCell ref="EB45:EF45"/>
    <mergeCell ref="EG45:EK45"/>
    <mergeCell ref="EL45:EP45"/>
    <mergeCell ref="EQ45:EU45"/>
    <mergeCell ref="EV45:EZ45"/>
    <mergeCell ref="FA45:FC45"/>
    <mergeCell ref="CX45:DB45"/>
    <mergeCell ref="DC45:DG45"/>
    <mergeCell ref="DH45:DL45"/>
    <mergeCell ref="DM45:DQ45"/>
    <mergeCell ref="BT45:BX45"/>
    <mergeCell ref="CI45:CM45"/>
    <mergeCell ref="CN45:CR45"/>
    <mergeCell ref="CS45:CW45"/>
    <mergeCell ref="BO45:BS45"/>
    <mergeCell ref="CX40:DB40"/>
    <mergeCell ref="AV40:AZ40"/>
    <mergeCell ref="BA40:BE40"/>
    <mergeCell ref="BF40:BJ40"/>
    <mergeCell ref="BK40:BN40"/>
    <mergeCell ref="BO40:BS40"/>
    <mergeCell ref="BT40:BX40"/>
    <mergeCell ref="EB41:EF41"/>
    <mergeCell ref="EQ40:EU40"/>
    <mergeCell ref="EV40:EZ40"/>
    <mergeCell ref="FA40:FC40"/>
    <mergeCell ref="C40:Y40"/>
    <mergeCell ref="Z40:AC40"/>
    <mergeCell ref="AD40:AF40"/>
    <mergeCell ref="AG40:AK40"/>
    <mergeCell ref="AL40:AP40"/>
    <mergeCell ref="AQ40:AU40"/>
    <mergeCell ref="EV41:EZ41"/>
    <mergeCell ref="FA41:FC41"/>
    <mergeCell ref="CX41:DB41"/>
    <mergeCell ref="DC41:DG41"/>
    <mergeCell ref="DH41:DL41"/>
    <mergeCell ref="DM41:DQ41"/>
    <mergeCell ref="DR41:DV41"/>
    <mergeCell ref="DW41:EA41"/>
    <mergeCell ref="BT41:BX41"/>
    <mergeCell ref="BY41:CC41"/>
    <mergeCell ref="CD41:CH41"/>
    <mergeCell ref="CI41:CM41"/>
    <mergeCell ref="CN41:CR41"/>
    <mergeCell ref="CS41:CW41"/>
    <mergeCell ref="AQ41:AU41"/>
    <mergeCell ref="EB39:EF39"/>
    <mergeCell ref="EG39:EK39"/>
    <mergeCell ref="EL39:EP39"/>
    <mergeCell ref="EQ39:EU39"/>
    <mergeCell ref="EV39:EZ39"/>
    <mergeCell ref="FA39:FC39"/>
    <mergeCell ref="CX39:DB39"/>
    <mergeCell ref="DC39:DG39"/>
    <mergeCell ref="DH39:DL39"/>
    <mergeCell ref="DM39:DQ39"/>
    <mergeCell ref="DR39:DV39"/>
    <mergeCell ref="DW39:EA39"/>
    <mergeCell ref="BT39:BX39"/>
    <mergeCell ref="BY39:CC39"/>
    <mergeCell ref="CD39:CH39"/>
    <mergeCell ref="CI39:CM39"/>
    <mergeCell ref="CN39:CR39"/>
    <mergeCell ref="CS39:CW39"/>
    <mergeCell ref="AQ39:AU39"/>
    <mergeCell ref="AV39:AZ39"/>
    <mergeCell ref="BA39:BE39"/>
    <mergeCell ref="BF39:BJ39"/>
    <mergeCell ref="BK39:BN39"/>
    <mergeCell ref="BO39:BS39"/>
    <mergeCell ref="EG40:EK40"/>
    <mergeCell ref="EL40:EP40"/>
    <mergeCell ref="C39:Y39"/>
    <mergeCell ref="Z39:AC39"/>
    <mergeCell ref="AD39:AF39"/>
    <mergeCell ref="AG39:AK39"/>
    <mergeCell ref="AL39:AP39"/>
    <mergeCell ref="DC38:DG38"/>
    <mergeCell ref="DH38:DL38"/>
    <mergeCell ref="DM38:DQ38"/>
    <mergeCell ref="DR38:DV38"/>
    <mergeCell ref="DW38:EA38"/>
    <mergeCell ref="EB38:EF38"/>
    <mergeCell ref="BY38:CC38"/>
    <mergeCell ref="CD38:CH38"/>
    <mergeCell ref="CI38:CM38"/>
    <mergeCell ref="CN38:CR38"/>
    <mergeCell ref="CS38:CW38"/>
    <mergeCell ref="CX38:DB38"/>
    <mergeCell ref="AV38:AZ38"/>
    <mergeCell ref="BA38:BE38"/>
    <mergeCell ref="BF38:BJ38"/>
    <mergeCell ref="BK38:BN38"/>
    <mergeCell ref="BO38:BS38"/>
    <mergeCell ref="BT38:BX38"/>
    <mergeCell ref="C38:Y38"/>
    <mergeCell ref="Z38:AC38"/>
    <mergeCell ref="AD38:AF38"/>
    <mergeCell ref="AG38:AK38"/>
    <mergeCell ref="AL38:AP38"/>
    <mergeCell ref="AQ38:AU38"/>
    <mergeCell ref="EB37:EF37"/>
    <mergeCell ref="EG37:EK37"/>
    <mergeCell ref="EL37:EP37"/>
    <mergeCell ref="EQ37:EU37"/>
    <mergeCell ref="EV37:EZ37"/>
    <mergeCell ref="FA37:FC37"/>
    <mergeCell ref="CX37:DB37"/>
    <mergeCell ref="DC37:DG37"/>
    <mergeCell ref="DH37:DL37"/>
    <mergeCell ref="DM37:DQ37"/>
    <mergeCell ref="DR37:DV37"/>
    <mergeCell ref="DW37:EA37"/>
    <mergeCell ref="BT37:BX37"/>
    <mergeCell ref="BY37:CC37"/>
    <mergeCell ref="CD37:CH37"/>
    <mergeCell ref="CI37:CM37"/>
    <mergeCell ref="CN37:CR37"/>
    <mergeCell ref="CS37:CW37"/>
    <mergeCell ref="AQ37:AU37"/>
    <mergeCell ref="AV37:AZ37"/>
    <mergeCell ref="BA37:BE37"/>
    <mergeCell ref="BF37:BJ37"/>
    <mergeCell ref="BK37:BN37"/>
    <mergeCell ref="BO37:BS37"/>
    <mergeCell ref="EG38:EK38"/>
    <mergeCell ref="EL38:EP38"/>
    <mergeCell ref="EQ38:EU38"/>
    <mergeCell ref="DW35:EA35"/>
    <mergeCell ref="BT35:BX35"/>
    <mergeCell ref="BY35:CC35"/>
    <mergeCell ref="CD35:CH35"/>
    <mergeCell ref="CI35:CM35"/>
    <mergeCell ref="CN35:CR35"/>
    <mergeCell ref="CS35:CW35"/>
    <mergeCell ref="EV38:EZ38"/>
    <mergeCell ref="FA38:FC38"/>
    <mergeCell ref="C37:Y37"/>
    <mergeCell ref="Z37:AC37"/>
    <mergeCell ref="AD37:AF37"/>
    <mergeCell ref="AG37:AK37"/>
    <mergeCell ref="AL37:AP37"/>
    <mergeCell ref="DC36:DG36"/>
    <mergeCell ref="DH36:DL36"/>
    <mergeCell ref="DM36:DQ36"/>
    <mergeCell ref="DR36:DV36"/>
    <mergeCell ref="DW36:EA36"/>
    <mergeCell ref="EB36:EF36"/>
    <mergeCell ref="BY36:CC36"/>
    <mergeCell ref="CD36:CH36"/>
    <mergeCell ref="CI36:CM36"/>
    <mergeCell ref="CN36:CR36"/>
    <mergeCell ref="CS36:CW36"/>
    <mergeCell ref="CX36:DB36"/>
    <mergeCell ref="AV36:AZ36"/>
    <mergeCell ref="BA36:BE36"/>
    <mergeCell ref="BF36:BJ36"/>
    <mergeCell ref="BK36:BN36"/>
    <mergeCell ref="AL36:AP36"/>
    <mergeCell ref="AQ36:AU36"/>
    <mergeCell ref="FA27:FC33"/>
    <mergeCell ref="Z28:AF33"/>
    <mergeCell ref="AG28:BJ28"/>
    <mergeCell ref="BK28:BN34"/>
    <mergeCell ref="BO28:BX28"/>
    <mergeCell ref="EG36:EK36"/>
    <mergeCell ref="EL36:EP36"/>
    <mergeCell ref="EQ36:EU36"/>
    <mergeCell ref="EV36:EZ36"/>
    <mergeCell ref="FA36:FC36"/>
    <mergeCell ref="FA34:FC34"/>
    <mergeCell ref="DW34:EA34"/>
    <mergeCell ref="EB34:EF34"/>
    <mergeCell ref="EG34:EK34"/>
    <mergeCell ref="EL34:EP34"/>
    <mergeCell ref="EQ34:EU34"/>
    <mergeCell ref="EV34:EZ34"/>
    <mergeCell ref="Z34:AC34"/>
    <mergeCell ref="AD34:AF34"/>
    <mergeCell ref="BO34:BS34"/>
    <mergeCell ref="BT34:BX34"/>
    <mergeCell ref="EB35:EF35"/>
    <mergeCell ref="EG35:EK35"/>
    <mergeCell ref="EL35:EP35"/>
    <mergeCell ref="EQ35:EU35"/>
    <mergeCell ref="EV35:EZ35"/>
    <mergeCell ref="FA35:FC35"/>
    <mergeCell ref="CX35:DB35"/>
    <mergeCell ref="DC35:DG35"/>
    <mergeCell ref="DH35:DL35"/>
    <mergeCell ref="DM35:DQ35"/>
    <mergeCell ref="DR35:DV35"/>
    <mergeCell ref="C35:Y35"/>
    <mergeCell ref="Z35:AC35"/>
    <mergeCell ref="AD35:AF35"/>
    <mergeCell ref="AG35:AK35"/>
    <mergeCell ref="AL35:AP35"/>
    <mergeCell ref="BO36:BS36"/>
    <mergeCell ref="BT36:BX36"/>
    <mergeCell ref="C36:Y36"/>
    <mergeCell ref="Z36:AC36"/>
    <mergeCell ref="AD36:AF36"/>
    <mergeCell ref="AG36:AK36"/>
    <mergeCell ref="AQ35:AU35"/>
    <mergeCell ref="AV35:AZ35"/>
    <mergeCell ref="BA35:BE35"/>
    <mergeCell ref="BF35:BJ35"/>
    <mergeCell ref="BK35:BN35"/>
    <mergeCell ref="BO35:BS35"/>
    <mergeCell ref="CD34:CH34"/>
    <mergeCell ref="CI34:CM34"/>
    <mergeCell ref="CN34:CR34"/>
    <mergeCell ref="AV29:AZ34"/>
    <mergeCell ref="BA29:BE34"/>
    <mergeCell ref="BF29:BJ34"/>
    <mergeCell ref="BO29:DG29"/>
    <mergeCell ref="DH29:EZ29"/>
    <mergeCell ref="CS34:CW34"/>
    <mergeCell ref="CX34:DB34"/>
    <mergeCell ref="DC34:DG34"/>
    <mergeCell ref="DM34:DQ34"/>
    <mergeCell ref="DR34:DV34"/>
    <mergeCell ref="BO33:DG33"/>
    <mergeCell ref="DH33:EZ33"/>
    <mergeCell ref="DW32:EA32"/>
    <mergeCell ref="EB32:EF32"/>
    <mergeCell ref="EG32:EK32"/>
    <mergeCell ref="EL32:EP32"/>
    <mergeCell ref="EQ32:EU32"/>
    <mergeCell ref="EV32:EZ32"/>
    <mergeCell ref="CS32:CW32"/>
    <mergeCell ref="CX32:DB32"/>
    <mergeCell ref="DC32:DG32"/>
    <mergeCell ref="DH32:DL32"/>
    <mergeCell ref="DM32:DQ32"/>
    <mergeCell ref="DR32:DV32"/>
    <mergeCell ref="BO32:BS32"/>
    <mergeCell ref="BT32:BX32"/>
    <mergeCell ref="BY32:CC32"/>
    <mergeCell ref="CD32:CH32"/>
    <mergeCell ref="BY28:CH28"/>
    <mergeCell ref="CI28:CR28"/>
    <mergeCell ref="CS28:DB28"/>
    <mergeCell ref="DC28:DG28"/>
    <mergeCell ref="DH28:DQ28"/>
    <mergeCell ref="A27:A34"/>
    <mergeCell ref="B27:B34"/>
    <mergeCell ref="C27:Y34"/>
    <mergeCell ref="Z27:BN27"/>
    <mergeCell ref="BO27:DG27"/>
    <mergeCell ref="DH27:EZ27"/>
    <mergeCell ref="DR28:EA28"/>
    <mergeCell ref="EB28:EK28"/>
    <mergeCell ref="CI32:CM32"/>
    <mergeCell ref="CN32:CR32"/>
    <mergeCell ref="DR30:EA30"/>
    <mergeCell ref="EB30:EK30"/>
    <mergeCell ref="EL30:EU30"/>
    <mergeCell ref="EV30:EZ30"/>
    <mergeCell ref="BO31:DG31"/>
    <mergeCell ref="DH31:EZ31"/>
    <mergeCell ref="BO30:BX30"/>
    <mergeCell ref="BY30:CH30"/>
    <mergeCell ref="CI30:CR30"/>
    <mergeCell ref="CS30:DB30"/>
    <mergeCell ref="DC30:DG30"/>
    <mergeCell ref="EL28:EU28"/>
    <mergeCell ref="EV28:EZ28"/>
    <mergeCell ref="AG29:AK34"/>
    <mergeCell ref="AL29:AP34"/>
    <mergeCell ref="DH34:DL34"/>
    <mergeCell ref="BY34:CC34"/>
    <mergeCell ref="AQ29:AU34"/>
    <mergeCell ref="DK22:DN22"/>
    <mergeCell ref="DO22:DQ22"/>
    <mergeCell ref="DO21:DQ21"/>
    <mergeCell ref="CO21:CP21"/>
    <mergeCell ref="CQ21:CR21"/>
    <mergeCell ref="CS21:CT21"/>
    <mergeCell ref="CC21:CD21"/>
    <mergeCell ref="CE21:CF21"/>
    <mergeCell ref="CG21:CH21"/>
    <mergeCell ref="CI21:CJ21"/>
    <mergeCell ref="CK21:CL21"/>
    <mergeCell ref="CM21:CN21"/>
    <mergeCell ref="BQ21:BR21"/>
    <mergeCell ref="BS21:BT21"/>
    <mergeCell ref="BU21:BV21"/>
    <mergeCell ref="BW21:BX21"/>
    <mergeCell ref="BY21:BZ21"/>
    <mergeCell ref="CA21:CB21"/>
    <mergeCell ref="BE21:BF21"/>
    <mergeCell ref="BG21:BH21"/>
    <mergeCell ref="BI21:BJ21"/>
    <mergeCell ref="BK21:BL21"/>
    <mergeCell ref="BM21:BN21"/>
    <mergeCell ref="BO21:BP21"/>
    <mergeCell ref="AQ21:AR21"/>
    <mergeCell ref="AS21:AT21"/>
    <mergeCell ref="AU21:AV21"/>
    <mergeCell ref="AW21:AY21"/>
    <mergeCell ref="AZ21:BA21"/>
    <mergeCell ref="BB21:BD21"/>
    <mergeCell ref="DH30:DQ30"/>
    <mergeCell ref="Z21:AA21"/>
    <mergeCell ref="AB21:AC21"/>
    <mergeCell ref="D21:G21"/>
    <mergeCell ref="H21:I21"/>
    <mergeCell ref="J21:K21"/>
    <mergeCell ref="L21:M21"/>
    <mergeCell ref="N21:O21"/>
    <mergeCell ref="P21:Q21"/>
    <mergeCell ref="DI20:DJ20"/>
    <mergeCell ref="DK20:DN20"/>
    <mergeCell ref="DO20:DQ20"/>
    <mergeCell ref="DR20:DT20"/>
    <mergeCell ref="CS20:CT20"/>
    <mergeCell ref="CG20:CH20"/>
    <mergeCell ref="CI20:CJ20"/>
    <mergeCell ref="CK20:CL20"/>
    <mergeCell ref="CM20:CN20"/>
    <mergeCell ref="CO20:CP20"/>
    <mergeCell ref="CQ20:CR20"/>
    <mergeCell ref="BU20:BV20"/>
    <mergeCell ref="BW20:BX20"/>
    <mergeCell ref="BY20:BZ20"/>
    <mergeCell ref="CA20:CB20"/>
    <mergeCell ref="CC20:CD20"/>
    <mergeCell ref="CE20:CF20"/>
    <mergeCell ref="BI20:BJ20"/>
    <mergeCell ref="BK20:BL20"/>
    <mergeCell ref="BM20:BN20"/>
    <mergeCell ref="BO20:BP20"/>
    <mergeCell ref="BQ20:BR20"/>
    <mergeCell ref="BS20:BT20"/>
    <mergeCell ref="AU20:AV20"/>
    <mergeCell ref="AW20:AY20"/>
    <mergeCell ref="AZ20:BA20"/>
    <mergeCell ref="BB20:BD20"/>
    <mergeCell ref="BE20:BF20"/>
    <mergeCell ref="BG20:BH20"/>
    <mergeCell ref="AH20:AJ20"/>
    <mergeCell ref="AK20:AL20"/>
    <mergeCell ref="AM20:AN20"/>
    <mergeCell ref="AO20:AP20"/>
    <mergeCell ref="AQ20:AR20"/>
    <mergeCell ref="AS20:AT20"/>
    <mergeCell ref="V20:W20"/>
    <mergeCell ref="X20:Y20"/>
    <mergeCell ref="Z20:AA20"/>
    <mergeCell ref="AB20:AC20"/>
    <mergeCell ref="AD20:AE20"/>
    <mergeCell ref="AF20:AG20"/>
    <mergeCell ref="D20:G20"/>
    <mergeCell ref="H20:I20"/>
    <mergeCell ref="J20:K20"/>
    <mergeCell ref="L20:M20"/>
    <mergeCell ref="N20:O20"/>
    <mergeCell ref="P20:Q20"/>
    <mergeCell ref="R20:S20"/>
    <mergeCell ref="T20:U20"/>
    <mergeCell ref="DR19:DT19"/>
    <mergeCell ref="DU19:DW19"/>
    <mergeCell ref="DX19:DZ19"/>
    <mergeCell ref="BE19:BF19"/>
    <mergeCell ref="BG19:BH19"/>
    <mergeCell ref="BI19:BJ19"/>
    <mergeCell ref="BK19:BL19"/>
    <mergeCell ref="BM19:BN19"/>
    <mergeCell ref="BO19:BP19"/>
    <mergeCell ref="AQ19:AR19"/>
    <mergeCell ref="AS19:AT19"/>
    <mergeCell ref="AU19:AV19"/>
    <mergeCell ref="AW19:AY19"/>
    <mergeCell ref="AZ19:BA19"/>
    <mergeCell ref="BB19:BD19"/>
    <mergeCell ref="AD19:AE19"/>
    <mergeCell ref="AF19:AG19"/>
    <mergeCell ref="AH19:AJ19"/>
    <mergeCell ref="AK19:AL19"/>
    <mergeCell ref="AM19:AN19"/>
    <mergeCell ref="AO19:AP19"/>
    <mergeCell ref="R19:S19"/>
    <mergeCell ref="T19:U19"/>
    <mergeCell ref="V19:W19"/>
    <mergeCell ref="EA19:EC19"/>
    <mergeCell ref="CO19:CP19"/>
    <mergeCell ref="CQ19:CR19"/>
    <mergeCell ref="CS19:CT19"/>
    <mergeCell ref="CU19:CV19"/>
    <mergeCell ref="CW19:CX19"/>
    <mergeCell ref="CY19:CZ19"/>
    <mergeCell ref="DA19:DB19"/>
    <mergeCell ref="CC19:CD19"/>
    <mergeCell ref="CE19:CF19"/>
    <mergeCell ref="CG19:CH19"/>
    <mergeCell ref="CI19:CJ19"/>
    <mergeCell ref="CK19:CL19"/>
    <mergeCell ref="CM19:CN19"/>
    <mergeCell ref="BQ19:BR19"/>
    <mergeCell ref="BS19:BT19"/>
    <mergeCell ref="BU19:BV19"/>
    <mergeCell ref="BW19:BX19"/>
    <mergeCell ref="BY19:BZ19"/>
    <mergeCell ref="CA19:CB19"/>
    <mergeCell ref="X19:Y19"/>
    <mergeCell ref="Z19:AA19"/>
    <mergeCell ref="AB19:AC19"/>
    <mergeCell ref="D19:G19"/>
    <mergeCell ref="H19:I19"/>
    <mergeCell ref="J19:K19"/>
    <mergeCell ref="L19:M19"/>
    <mergeCell ref="N19:O19"/>
    <mergeCell ref="P19:Q19"/>
    <mergeCell ref="DI18:DJ18"/>
    <mergeCell ref="DK18:DN18"/>
    <mergeCell ref="CS18:CT18"/>
    <mergeCell ref="CG18:CH18"/>
    <mergeCell ref="CI18:CJ18"/>
    <mergeCell ref="CK18:CL18"/>
    <mergeCell ref="CM18:CN18"/>
    <mergeCell ref="CO18:CP18"/>
    <mergeCell ref="CQ18:CR18"/>
    <mergeCell ref="BU18:BV18"/>
    <mergeCell ref="BW18:BX18"/>
    <mergeCell ref="BY18:BZ18"/>
    <mergeCell ref="CA18:CB18"/>
    <mergeCell ref="CC18:CD18"/>
    <mergeCell ref="CE18:CF18"/>
    <mergeCell ref="BI18:BJ18"/>
    <mergeCell ref="BK18:BL18"/>
    <mergeCell ref="BM18:BN18"/>
    <mergeCell ref="BO18:BP18"/>
    <mergeCell ref="BQ18:BR18"/>
    <mergeCell ref="BS18:BT18"/>
    <mergeCell ref="AU18:AV18"/>
    <mergeCell ref="AW18:AY18"/>
    <mergeCell ref="AZ18:BA18"/>
    <mergeCell ref="BB18:BD18"/>
    <mergeCell ref="BE18:BF18"/>
    <mergeCell ref="BG18:BH18"/>
    <mergeCell ref="AH18:AJ18"/>
    <mergeCell ref="AK18:AL18"/>
    <mergeCell ref="AM18:AN18"/>
    <mergeCell ref="AO18:AP18"/>
    <mergeCell ref="AQ18:AR18"/>
    <mergeCell ref="AS18:AT18"/>
    <mergeCell ref="V18:W18"/>
    <mergeCell ref="X18:Y18"/>
    <mergeCell ref="Z18:AA18"/>
    <mergeCell ref="AB18:AC18"/>
    <mergeCell ref="AD18:AE18"/>
    <mergeCell ref="AF18:AG18"/>
    <mergeCell ref="D18:G18"/>
    <mergeCell ref="H18:I18"/>
    <mergeCell ref="J18:K18"/>
    <mergeCell ref="L18:M18"/>
    <mergeCell ref="N18:O18"/>
    <mergeCell ref="P18:Q18"/>
    <mergeCell ref="R18:S18"/>
    <mergeCell ref="T18:U18"/>
    <mergeCell ref="BI16:BJ16"/>
    <mergeCell ref="BK16:BL16"/>
    <mergeCell ref="BW17:BX17"/>
    <mergeCell ref="BY17:BZ17"/>
    <mergeCell ref="CA17:CB17"/>
    <mergeCell ref="BE17:BF17"/>
    <mergeCell ref="BG17:BH17"/>
    <mergeCell ref="BI17:BJ17"/>
    <mergeCell ref="BK17:BL17"/>
    <mergeCell ref="BM17:BN17"/>
    <mergeCell ref="BO17:BP17"/>
    <mergeCell ref="AQ17:AR17"/>
    <mergeCell ref="AS17:AT17"/>
    <mergeCell ref="AU17:AV17"/>
    <mergeCell ref="AW17:AY17"/>
    <mergeCell ref="AZ17:BA17"/>
    <mergeCell ref="BB17:BD17"/>
    <mergeCell ref="BS17:BT17"/>
    <mergeCell ref="BU17:BV17"/>
    <mergeCell ref="BQ17:BR17"/>
    <mergeCell ref="CQ16:CR16"/>
    <mergeCell ref="CS16:CT16"/>
    <mergeCell ref="DC16:DD16"/>
    <mergeCell ref="DE16:DF16"/>
    <mergeCell ref="DG16:DH16"/>
    <mergeCell ref="CE16:CF16"/>
    <mergeCell ref="CG16:CH16"/>
    <mergeCell ref="CI16:CJ16"/>
    <mergeCell ref="CK16:CL16"/>
    <mergeCell ref="CM16:CN16"/>
    <mergeCell ref="CO16:CP16"/>
    <mergeCell ref="BS16:BT16"/>
    <mergeCell ref="BU16:BV16"/>
    <mergeCell ref="BW16:BX16"/>
    <mergeCell ref="BY16:BZ16"/>
    <mergeCell ref="CA16:CB16"/>
    <mergeCell ref="CC16:CD16"/>
    <mergeCell ref="AK16:AL16"/>
    <mergeCell ref="AM16:AN16"/>
    <mergeCell ref="AO16:AP16"/>
    <mergeCell ref="AQ16:AR16"/>
    <mergeCell ref="T16:U16"/>
    <mergeCell ref="V16:W16"/>
    <mergeCell ref="X16:Y16"/>
    <mergeCell ref="Z16:AA16"/>
    <mergeCell ref="AB16:AC16"/>
    <mergeCell ref="AD16:AE16"/>
    <mergeCell ref="R17:S17"/>
    <mergeCell ref="T17:U17"/>
    <mergeCell ref="V17:W17"/>
    <mergeCell ref="X17:Y17"/>
    <mergeCell ref="Z17:AA17"/>
    <mergeCell ref="AB17:AC17"/>
    <mergeCell ref="D17:G17"/>
    <mergeCell ref="H17:I17"/>
    <mergeCell ref="J17:K17"/>
    <mergeCell ref="L17:M17"/>
    <mergeCell ref="N17:O17"/>
    <mergeCell ref="P17:Q17"/>
    <mergeCell ref="AD17:AE17"/>
    <mergeCell ref="AF17:AG17"/>
    <mergeCell ref="AH17:AJ17"/>
    <mergeCell ref="AK17:AL17"/>
    <mergeCell ref="AM17:AN17"/>
    <mergeCell ref="AO17:AP17"/>
    <mergeCell ref="DO11:EF11"/>
    <mergeCell ref="DR12:DT16"/>
    <mergeCell ref="D10:G16"/>
    <mergeCell ref="H16:I16"/>
    <mergeCell ref="J16:K16"/>
    <mergeCell ref="L16:M16"/>
    <mergeCell ref="N16:O16"/>
    <mergeCell ref="P16:Q16"/>
    <mergeCell ref="R16:S16"/>
    <mergeCell ref="BM15:BV15"/>
    <mergeCell ref="BW15:CD15"/>
    <mergeCell ref="CE15:CL15"/>
    <mergeCell ref="CM15:CT15"/>
    <mergeCell ref="DO12:DQ16"/>
    <mergeCell ref="DI16:DJ16"/>
    <mergeCell ref="H15:Q15"/>
    <mergeCell ref="R15:Y15"/>
    <mergeCell ref="Z15:AJ15"/>
    <mergeCell ref="AK15:AR15"/>
    <mergeCell ref="AS15:BD15"/>
    <mergeCell ref="BE15:BL15"/>
    <mergeCell ref="BM16:BN16"/>
    <mergeCell ref="BO16:BP16"/>
    <mergeCell ref="BQ16:BR16"/>
    <mergeCell ref="AS16:AT16"/>
    <mergeCell ref="AU16:AV16"/>
    <mergeCell ref="AW16:AY16"/>
    <mergeCell ref="AZ16:BA16"/>
    <mergeCell ref="BB16:BD16"/>
    <mergeCell ref="BE16:BF16"/>
    <mergeCell ref="AF16:AG16"/>
    <mergeCell ref="AH16:AJ16"/>
    <mergeCell ref="C66:Y66"/>
    <mergeCell ref="Z66:AC67"/>
    <mergeCell ref="AD66:AF67"/>
    <mergeCell ref="AG66:AK67"/>
    <mergeCell ref="AL66:AP67"/>
    <mergeCell ref="AQ66:AU67"/>
    <mergeCell ref="AV66:AZ67"/>
    <mergeCell ref="BA66:BE67"/>
    <mergeCell ref="BF66:BJ67"/>
    <mergeCell ref="BK66:BN67"/>
    <mergeCell ref="BO66:BS67"/>
    <mergeCell ref="BT66:BX67"/>
    <mergeCell ref="C67:Y67"/>
    <mergeCell ref="C72:Y72"/>
    <mergeCell ref="C68:Y68"/>
    <mergeCell ref="Z68:AC69"/>
    <mergeCell ref="AD68:AF69"/>
    <mergeCell ref="AG68:AK69"/>
    <mergeCell ref="AL68:AP69"/>
    <mergeCell ref="AQ68:AU69"/>
    <mergeCell ref="AV68:AZ69"/>
    <mergeCell ref="BA68:BE69"/>
    <mergeCell ref="BF68:BJ69"/>
    <mergeCell ref="BK68:BN69"/>
    <mergeCell ref="BO68:BS69"/>
    <mergeCell ref="BT68:BX69"/>
    <mergeCell ref="C69:Y69"/>
    <mergeCell ref="BK70:BN71"/>
    <mergeCell ref="AV72:AZ73"/>
    <mergeCell ref="BA72:BE73"/>
    <mergeCell ref="BF72:BJ73"/>
    <mergeCell ref="BK72:BN73"/>
    <mergeCell ref="FA66:FC67"/>
    <mergeCell ref="FA70:FC71"/>
    <mergeCell ref="DC72:DG73"/>
    <mergeCell ref="DH72:DL73"/>
    <mergeCell ref="DM72:DQ73"/>
    <mergeCell ref="DR72:DV73"/>
    <mergeCell ref="DW72:EA73"/>
    <mergeCell ref="EB72:EF73"/>
    <mergeCell ref="EG72:EK73"/>
    <mergeCell ref="EL72:EP73"/>
    <mergeCell ref="EQ72:EU73"/>
    <mergeCell ref="EV72:EZ73"/>
    <mergeCell ref="FA72:FC73"/>
    <mergeCell ref="Z70:AC71"/>
    <mergeCell ref="AD70:AF71"/>
    <mergeCell ref="AG70:AK71"/>
    <mergeCell ref="AL70:AP71"/>
    <mergeCell ref="AQ70:AU71"/>
    <mergeCell ref="AV70:AZ71"/>
    <mergeCell ref="BA70:BE71"/>
    <mergeCell ref="BF70:BJ71"/>
    <mergeCell ref="DW70:EA71"/>
    <mergeCell ref="EB70:EF71"/>
    <mergeCell ref="EG70:EK71"/>
    <mergeCell ref="EL70:EP71"/>
    <mergeCell ref="DM70:DQ71"/>
    <mergeCell ref="DR70:DV71"/>
    <mergeCell ref="DH70:DL71"/>
    <mergeCell ref="BO70:BS71"/>
    <mergeCell ref="BT70:BX71"/>
    <mergeCell ref="FA68:FC69"/>
    <mergeCell ref="BY68:CC69"/>
    <mergeCell ref="CS66:CW67"/>
    <mergeCell ref="CX66:DB67"/>
    <mergeCell ref="DC66:DG67"/>
    <mergeCell ref="DH66:DL67"/>
    <mergeCell ref="DM66:DQ67"/>
    <mergeCell ref="DR66:DV67"/>
    <mergeCell ref="DW66:EA67"/>
    <mergeCell ref="EB66:EF67"/>
    <mergeCell ref="EG66:EK67"/>
    <mergeCell ref="EL66:EP67"/>
    <mergeCell ref="EQ66:EU67"/>
    <mergeCell ref="EV66:EZ67"/>
    <mergeCell ref="CD68:CH69"/>
    <mergeCell ref="DR68:DV69"/>
    <mergeCell ref="DW68:EA69"/>
    <mergeCell ref="EL68:EP69"/>
    <mergeCell ref="EQ68:EU69"/>
    <mergeCell ref="EV68:EZ69"/>
    <mergeCell ref="C79:Y79"/>
    <mergeCell ref="C75:Y75"/>
    <mergeCell ref="DR74:DV75"/>
    <mergeCell ref="DW74:EA75"/>
    <mergeCell ref="EG68:EK69"/>
    <mergeCell ref="C70:Y70"/>
    <mergeCell ref="C73:Y73"/>
    <mergeCell ref="CI76:CM77"/>
    <mergeCell ref="CN76:CR77"/>
    <mergeCell ref="CX74:DB75"/>
    <mergeCell ref="AV74:AZ75"/>
    <mergeCell ref="BA74:BE75"/>
    <mergeCell ref="BF74:BJ75"/>
    <mergeCell ref="C78:Y78"/>
    <mergeCell ref="Z78:AC79"/>
    <mergeCell ref="AD78:AF79"/>
    <mergeCell ref="AG78:AK79"/>
    <mergeCell ref="Z72:AC73"/>
    <mergeCell ref="AD72:AF73"/>
    <mergeCell ref="AG72:AK73"/>
    <mergeCell ref="AL72:AP73"/>
    <mergeCell ref="AQ72:AU73"/>
    <mergeCell ref="BO72:BS73"/>
    <mergeCell ref="BT72:BX73"/>
    <mergeCell ref="C77:Y77"/>
    <mergeCell ref="AL78:AP79"/>
    <mergeCell ref="CI74:CM75"/>
    <mergeCell ref="CN74:CR75"/>
    <mergeCell ref="DC68:DG69"/>
    <mergeCell ref="DH68:DL69"/>
    <mergeCell ref="DM68:DQ69"/>
    <mergeCell ref="C80:Y80"/>
    <mergeCell ref="Z80:AC81"/>
    <mergeCell ref="AD80:AF81"/>
    <mergeCell ref="AG80:AK81"/>
    <mergeCell ref="AL80:AP81"/>
    <mergeCell ref="AQ80:AU81"/>
    <mergeCell ref="AV80:AZ81"/>
    <mergeCell ref="BA80:BE81"/>
    <mergeCell ref="BF80:BJ81"/>
    <mergeCell ref="BK80:BN81"/>
    <mergeCell ref="BO80:BS81"/>
    <mergeCell ref="BT80:BX81"/>
    <mergeCell ref="BY80:CC81"/>
    <mergeCell ref="CD80:CH81"/>
    <mergeCell ref="C74:Y74"/>
    <mergeCell ref="Z74:AC75"/>
    <mergeCell ref="AD74:AF75"/>
    <mergeCell ref="AG74:AK75"/>
    <mergeCell ref="AL74:AP75"/>
    <mergeCell ref="AQ74:AU75"/>
    <mergeCell ref="C76:Y76"/>
    <mergeCell ref="Z76:AC77"/>
    <mergeCell ref="AD76:AF77"/>
    <mergeCell ref="AG76:AK77"/>
    <mergeCell ref="AL76:AP77"/>
    <mergeCell ref="AQ76:AU77"/>
    <mergeCell ref="AV76:AZ77"/>
    <mergeCell ref="BA76:BE77"/>
    <mergeCell ref="BF76:BJ77"/>
    <mergeCell ref="BK76:BN77"/>
    <mergeCell ref="BK74:BN75"/>
    <mergeCell ref="C81:Y81"/>
    <mergeCell ref="CS97:EK97"/>
    <mergeCell ref="FA74:FC75"/>
    <mergeCell ref="CS76:CW77"/>
    <mergeCell ref="CX76:DB77"/>
    <mergeCell ref="DC76:DG77"/>
    <mergeCell ref="EV76:EZ77"/>
    <mergeCell ref="FA76:FC77"/>
    <mergeCell ref="CS74:CW75"/>
    <mergeCell ref="DH76:DL77"/>
    <mergeCell ref="DM76:DQ77"/>
    <mergeCell ref="DR76:DV77"/>
    <mergeCell ref="DW76:EA77"/>
    <mergeCell ref="EB76:EF77"/>
    <mergeCell ref="EG76:EK77"/>
    <mergeCell ref="EL76:EP77"/>
    <mergeCell ref="EQ76:EU77"/>
    <mergeCell ref="DR80:DV81"/>
    <mergeCell ref="DW80:EA81"/>
    <mergeCell ref="EB80:EF81"/>
    <mergeCell ref="EG80:EK81"/>
    <mergeCell ref="EL80:EP81"/>
    <mergeCell ref="EQ80:EU81"/>
    <mergeCell ref="EV80:EZ81"/>
    <mergeCell ref="FA80:FC81"/>
    <mergeCell ref="DM78:DQ79"/>
    <mergeCell ref="DR78:DV79"/>
    <mergeCell ref="CS80:CW81"/>
    <mergeCell ref="EB83:EF83"/>
    <mergeCell ref="EV85:EZ85"/>
    <mergeCell ref="FA85:FC85"/>
    <mergeCell ref="EG83:EK83"/>
    <mergeCell ref="EL83:EP83"/>
    <mergeCell ref="FA78:FC79"/>
    <mergeCell ref="DC74:DG75"/>
    <mergeCell ref="DH74:DL75"/>
    <mergeCell ref="DM74:DQ75"/>
    <mergeCell ref="EB74:EF75"/>
    <mergeCell ref="BY76:CC77"/>
    <mergeCell ref="CD76:CH77"/>
    <mergeCell ref="BY78:CC79"/>
    <mergeCell ref="CD78:CH79"/>
    <mergeCell ref="CI78:CM79"/>
    <mergeCell ref="CN78:CR79"/>
    <mergeCell ref="EQ83:EU83"/>
    <mergeCell ref="EV83:EZ83"/>
    <mergeCell ref="FA83:FC83"/>
    <mergeCell ref="CX83:DB83"/>
    <mergeCell ref="DC83:DG83"/>
    <mergeCell ref="DH83:DL83"/>
    <mergeCell ref="DM83:DQ83"/>
    <mergeCell ref="DR83:DV83"/>
    <mergeCell ref="DW83:EA83"/>
    <mergeCell ref="CI80:CM81"/>
    <mergeCell ref="CN80:CR81"/>
    <mergeCell ref="BY74:CC75"/>
    <mergeCell ref="CD74:CH75"/>
    <mergeCell ref="EQ70:EU71"/>
    <mergeCell ref="AQ78:AU79"/>
    <mergeCell ref="AV78:AZ79"/>
    <mergeCell ref="BO74:BS75"/>
    <mergeCell ref="BY66:CC67"/>
    <mergeCell ref="CD66:CH67"/>
    <mergeCell ref="EV70:EZ71"/>
    <mergeCell ref="CD72:CH73"/>
    <mergeCell ref="CI72:CM73"/>
    <mergeCell ref="CN72:CR73"/>
    <mergeCell ref="CI68:CM69"/>
    <mergeCell ref="EL74:EP75"/>
    <mergeCell ref="EQ74:EU75"/>
    <mergeCell ref="EL78:EP79"/>
    <mergeCell ref="EQ78:EU79"/>
    <mergeCell ref="EV74:EZ75"/>
    <mergeCell ref="BY70:CC71"/>
    <mergeCell ref="CD70:CH71"/>
    <mergeCell ref="CI70:CM71"/>
    <mergeCell ref="CN70:CR71"/>
    <mergeCell ref="CS70:CW71"/>
    <mergeCell ref="CX70:DB71"/>
    <mergeCell ref="DW78:EA79"/>
    <mergeCell ref="EB78:EF79"/>
    <mergeCell ref="BY72:CC73"/>
    <mergeCell ref="DC70:DG71"/>
    <mergeCell ref="CS72:CW73"/>
    <mergeCell ref="CX72:DB73"/>
    <mergeCell ref="EB68:EF69"/>
    <mergeCell ref="EV78:EZ79"/>
    <mergeCell ref="CI66:CM67"/>
    <mergeCell ref="CN66:CR67"/>
    <mergeCell ref="CS57:CW57"/>
    <mergeCell ref="CX80:DB81"/>
    <mergeCell ref="DC80:DG81"/>
    <mergeCell ref="DH80:DL81"/>
    <mergeCell ref="DM80:DQ81"/>
    <mergeCell ref="EG74:EK75"/>
    <mergeCell ref="BO76:BS77"/>
    <mergeCell ref="BT76:BX77"/>
    <mergeCell ref="BA78:BE79"/>
    <mergeCell ref="BF78:BJ79"/>
    <mergeCell ref="CU5:EU5"/>
    <mergeCell ref="CU4:EU4"/>
    <mergeCell ref="CU3:EU3"/>
    <mergeCell ref="CU6:EU6"/>
    <mergeCell ref="AI2:CP2"/>
    <mergeCell ref="AI3:CP3"/>
    <mergeCell ref="AI4:CP4"/>
    <mergeCell ref="AI5:CP5"/>
    <mergeCell ref="AI6:CP6"/>
    <mergeCell ref="AI7:CP7"/>
    <mergeCell ref="CS78:CW79"/>
    <mergeCell ref="CX78:DB79"/>
    <mergeCell ref="DC78:DG79"/>
    <mergeCell ref="DH78:DL79"/>
    <mergeCell ref="BT74:BX75"/>
    <mergeCell ref="EG78:EK79"/>
    <mergeCell ref="BK78:BN79"/>
    <mergeCell ref="BO78:BS79"/>
    <mergeCell ref="BT78:BX79"/>
    <mergeCell ref="CN68:CR69"/>
    <mergeCell ref="CS68:CW69"/>
    <mergeCell ref="CX68:DB69"/>
    <mergeCell ref="A1:FC1"/>
    <mergeCell ref="B94:AD94"/>
    <mergeCell ref="B95:AD95"/>
    <mergeCell ref="B96:AD96"/>
    <mergeCell ref="B97:AD97"/>
    <mergeCell ref="B98:AD98"/>
    <mergeCell ref="B99:AD99"/>
    <mergeCell ref="B100:AD100"/>
    <mergeCell ref="B101:AD101"/>
    <mergeCell ref="B102:AD102"/>
    <mergeCell ref="FA57:FC57"/>
    <mergeCell ref="CX56:DB56"/>
    <mergeCell ref="DC56:DG56"/>
    <mergeCell ref="DH56:DL56"/>
    <mergeCell ref="DM56:DQ56"/>
    <mergeCell ref="DR56:DV56"/>
    <mergeCell ref="DW56:EA56"/>
    <mergeCell ref="FA56:FC56"/>
    <mergeCell ref="CX57:DB57"/>
    <mergeCell ref="DC57:DG57"/>
    <mergeCell ref="DH57:DL57"/>
    <mergeCell ref="CS95:EK95"/>
    <mergeCell ref="CS96:EK96"/>
    <mergeCell ref="BA57:BE57"/>
    <mergeCell ref="BF57:BJ57"/>
    <mergeCell ref="BK57:BN57"/>
    <mergeCell ref="BO57:BS57"/>
    <mergeCell ref="BT57:BX57"/>
    <mergeCell ref="BY57:CC57"/>
    <mergeCell ref="CD57:CH57"/>
    <mergeCell ref="CI57:CM57"/>
    <mergeCell ref="CN57:CR57"/>
  </mergeCells>
  <printOptions horizontalCentered="1"/>
  <pageMargins left="0.5" right="0.5" top="0.75" bottom="0.25" header="0.118110236220472" footer="0.118110236220472"/>
  <pageSetup paperSize="9" scale="15" fitToHeight="0" orientation="landscape" r:id="rId1"/>
  <rowBreaks count="2" manualBreakCount="2">
    <brk id="49" max="158" man="1"/>
    <brk id="86" max="15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V121"/>
  <sheetViews>
    <sheetView tabSelected="1" view="pageBreakPreview" zoomScale="20" zoomScaleNormal="25" zoomScaleSheetLayoutView="20" workbookViewId="0">
      <selection activeCell="CH49" sqref="CH49:CL49"/>
    </sheetView>
  </sheetViews>
  <sheetFormatPr defaultColWidth="9.140625" defaultRowHeight="15.75" x14ac:dyDescent="0.25"/>
  <cols>
    <col min="1" max="1" width="20.85546875" style="1" customWidth="1"/>
    <col min="2" max="2" width="48.5703125" style="1" customWidth="1"/>
    <col min="3" max="22" width="7.28515625" style="57" customWidth="1"/>
    <col min="23" max="25" width="7.28515625" style="58" customWidth="1"/>
    <col min="26" max="30" width="5.5703125" style="59" customWidth="1"/>
    <col min="31" max="39" width="5.5703125" style="14" customWidth="1"/>
    <col min="40" max="51" width="5.5703125" style="60" customWidth="1"/>
    <col min="52" max="63" width="5.5703125" style="14" customWidth="1"/>
    <col min="64" max="70" width="5.5703125" style="58" customWidth="1"/>
    <col min="71" max="150" width="5.5703125" style="14" customWidth="1"/>
    <col min="151" max="155" width="5.5703125" style="7" customWidth="1"/>
    <col min="156" max="159" width="9.140625" style="7"/>
    <col min="160" max="160" width="14.85546875" style="7" customWidth="1"/>
    <col min="161" max="16384" width="9.140625" style="7"/>
  </cols>
  <sheetData>
    <row r="1" spans="1:230" ht="90" customHeight="1" x14ac:dyDescent="0.2">
      <c r="A1" s="254" t="s">
        <v>255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DZ1" s="254"/>
      <c r="EA1" s="254"/>
      <c r="EB1" s="254"/>
      <c r="EC1" s="254"/>
      <c r="ED1" s="254"/>
      <c r="EE1" s="254"/>
      <c r="EF1" s="254"/>
      <c r="EG1" s="254"/>
      <c r="EH1" s="254"/>
      <c r="EI1" s="254"/>
      <c r="EJ1" s="254"/>
      <c r="EK1" s="254"/>
      <c r="EL1" s="254"/>
      <c r="EM1" s="254"/>
      <c r="EN1" s="254"/>
      <c r="EO1" s="254"/>
      <c r="EP1" s="254"/>
      <c r="EQ1" s="254"/>
      <c r="ER1" s="254"/>
      <c r="ES1" s="254"/>
      <c r="ET1" s="254"/>
      <c r="EU1" s="254"/>
      <c r="EV1" s="254"/>
      <c r="EW1" s="254"/>
      <c r="EX1" s="254"/>
      <c r="EY1" s="254"/>
    </row>
    <row r="2" spans="1:230" ht="80.25" customHeight="1" x14ac:dyDescent="1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6"/>
      <c r="AC2" s="6"/>
      <c r="AD2" s="6"/>
      <c r="AE2" s="6"/>
      <c r="AF2" s="6"/>
      <c r="AG2" s="6"/>
      <c r="AH2" s="6"/>
      <c r="AI2" s="6"/>
      <c r="AJ2" s="6"/>
      <c r="AK2" s="484" t="s">
        <v>270</v>
      </c>
      <c r="AL2" s="484"/>
      <c r="AM2" s="484"/>
      <c r="AN2" s="484"/>
      <c r="AO2" s="484"/>
      <c r="AP2" s="484"/>
      <c r="AQ2" s="484"/>
      <c r="AR2" s="484"/>
      <c r="AS2" s="484"/>
      <c r="AT2" s="484"/>
      <c r="AU2" s="484"/>
      <c r="AV2" s="484"/>
      <c r="AW2" s="484"/>
      <c r="AX2" s="484"/>
      <c r="AY2" s="484"/>
      <c r="AZ2" s="484"/>
      <c r="BA2" s="484"/>
      <c r="BB2" s="484"/>
      <c r="BC2" s="484"/>
      <c r="BD2" s="484"/>
      <c r="BE2" s="484"/>
      <c r="BF2" s="484"/>
      <c r="BG2" s="484"/>
      <c r="BH2" s="484"/>
      <c r="BI2" s="484"/>
      <c r="BJ2" s="484"/>
      <c r="BK2" s="484"/>
      <c r="BL2" s="484"/>
      <c r="BM2" s="484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  <c r="CJ2" s="484"/>
      <c r="CK2" s="484"/>
      <c r="CL2" s="484"/>
      <c r="CM2" s="484"/>
      <c r="CN2" s="484"/>
      <c r="CO2" s="484"/>
      <c r="CP2" s="484"/>
      <c r="CQ2" s="484"/>
      <c r="CR2" s="484"/>
      <c r="CS2" s="484"/>
      <c r="CT2" s="484"/>
      <c r="CU2" s="484"/>
      <c r="CV2" s="484"/>
      <c r="CW2" s="484"/>
      <c r="CX2" s="484"/>
      <c r="CY2" s="484"/>
      <c r="CZ2" s="92"/>
      <c r="DA2" s="92"/>
      <c r="DB2" s="92"/>
      <c r="DC2" s="9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</row>
    <row r="3" spans="1:230" ht="82.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6"/>
      <c r="AC3" s="6"/>
      <c r="AD3" s="6"/>
      <c r="AE3" s="6"/>
      <c r="AF3" s="6"/>
      <c r="AG3" s="6"/>
      <c r="AH3" s="6"/>
      <c r="AI3" s="6"/>
      <c r="AJ3" s="6"/>
      <c r="AK3" s="255" t="s">
        <v>266</v>
      </c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92"/>
      <c r="DA3" s="92"/>
      <c r="DB3" s="92"/>
      <c r="DC3" s="92"/>
      <c r="DD3" s="255" t="s">
        <v>246</v>
      </c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  <c r="ES3" s="255"/>
      <c r="ET3" s="255"/>
      <c r="EU3" s="255"/>
      <c r="EV3" s="255"/>
      <c r="EW3" s="255"/>
      <c r="EX3" s="255"/>
      <c r="EY3" s="255"/>
    </row>
    <row r="4" spans="1:230" ht="69.95" customHeight="1" x14ac:dyDescent="0.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6"/>
      <c r="AC4" s="6"/>
      <c r="AD4" s="6"/>
      <c r="AE4" s="6"/>
      <c r="AF4" s="6"/>
      <c r="AG4" s="6"/>
      <c r="AH4" s="6"/>
      <c r="AI4" s="6"/>
      <c r="AJ4" s="6"/>
      <c r="AK4" s="256" t="s">
        <v>259</v>
      </c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J4" s="256"/>
      <c r="CK4" s="256"/>
      <c r="CL4" s="256"/>
      <c r="CM4" s="256"/>
      <c r="CN4" s="256"/>
      <c r="CO4" s="256"/>
      <c r="CP4" s="256"/>
      <c r="CQ4" s="256"/>
      <c r="CR4" s="256"/>
      <c r="CS4" s="256"/>
      <c r="CT4" s="256"/>
      <c r="CU4" s="256"/>
      <c r="CV4" s="256"/>
      <c r="CW4" s="256"/>
      <c r="CX4" s="256"/>
      <c r="CY4" s="256"/>
      <c r="CZ4" s="93"/>
      <c r="DA4" s="93"/>
      <c r="DB4" s="93"/>
      <c r="DC4" s="93"/>
      <c r="DD4" s="255" t="s">
        <v>258</v>
      </c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</row>
    <row r="5" spans="1:230" ht="69.95" customHeight="1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11"/>
      <c r="AC5" s="11"/>
      <c r="AD5" s="11"/>
      <c r="AE5" s="11"/>
      <c r="AF5" s="11"/>
      <c r="AG5" s="11"/>
      <c r="AH5" s="11"/>
      <c r="AI5" s="11"/>
      <c r="AJ5" s="11"/>
      <c r="AK5" s="256" t="s">
        <v>15</v>
      </c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6"/>
      <c r="CV5" s="256"/>
      <c r="CW5" s="256"/>
      <c r="CX5" s="256"/>
      <c r="CY5" s="256"/>
      <c r="CZ5" s="93"/>
      <c r="DA5" s="93"/>
      <c r="DB5" s="93"/>
      <c r="DC5" s="93"/>
      <c r="DD5" s="256" t="s">
        <v>253</v>
      </c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</row>
    <row r="6" spans="1:230" ht="69.95" customHeight="1" x14ac:dyDescent="0.2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76"/>
      <c r="AA6" s="76"/>
      <c r="AB6" s="11"/>
      <c r="AC6" s="11"/>
      <c r="AD6" s="11"/>
      <c r="AE6" s="11"/>
      <c r="AF6" s="11"/>
      <c r="AG6" s="11"/>
      <c r="AH6" s="11"/>
      <c r="AI6" s="11"/>
      <c r="AJ6" s="11"/>
      <c r="AK6" s="256" t="s">
        <v>260</v>
      </c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W6" s="256"/>
      <c r="CX6" s="256"/>
      <c r="CY6" s="256"/>
      <c r="CZ6" s="93"/>
      <c r="DA6" s="93"/>
      <c r="DB6" s="93"/>
      <c r="DC6" s="93"/>
      <c r="DD6" s="256" t="s">
        <v>247</v>
      </c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256"/>
      <c r="EW6" s="256"/>
      <c r="EX6" s="256"/>
      <c r="EY6" s="256"/>
    </row>
    <row r="7" spans="1:230" ht="69.95" customHeight="1" x14ac:dyDescent="1.25"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/>
      <c r="U7" s="10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56" t="s">
        <v>261</v>
      </c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W7" s="256"/>
      <c r="CX7" s="256"/>
      <c r="CY7" s="256"/>
      <c r="CZ7" s="93"/>
      <c r="DA7" s="93"/>
      <c r="DB7" s="93"/>
      <c r="DC7" s="93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5"/>
      <c r="DS7" s="95"/>
      <c r="DT7" s="95"/>
      <c r="DU7" s="95"/>
      <c r="DV7" s="95"/>
      <c r="DW7" s="95"/>
      <c r="DX7" s="95"/>
      <c r="DY7" s="95"/>
      <c r="DZ7" s="95"/>
      <c r="EA7" s="96"/>
      <c r="EB7" s="96"/>
      <c r="EC7" s="96"/>
      <c r="ED7" s="96"/>
      <c r="EE7" s="96"/>
      <c r="EF7" s="96"/>
      <c r="EG7" s="96"/>
      <c r="EH7" s="96"/>
      <c r="EI7" s="97"/>
      <c r="EJ7" s="97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</row>
    <row r="8" spans="1:230" ht="57.75" customHeight="1" x14ac:dyDescent="0.2">
      <c r="A8" s="459" t="s">
        <v>262</v>
      </c>
      <c r="B8" s="459"/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59"/>
      <c r="AG8" s="459"/>
      <c r="AH8" s="459"/>
      <c r="AI8" s="459"/>
      <c r="AJ8" s="459"/>
      <c r="AK8" s="459"/>
      <c r="AL8" s="459"/>
      <c r="AM8" s="459"/>
      <c r="AN8" s="459"/>
      <c r="AO8" s="459"/>
      <c r="AP8" s="459"/>
      <c r="AQ8" s="459"/>
      <c r="AR8" s="459"/>
      <c r="AS8" s="459"/>
      <c r="AT8" s="459"/>
      <c r="AU8" s="459"/>
      <c r="AV8" s="459"/>
      <c r="AW8" s="459"/>
      <c r="AX8" s="459"/>
      <c r="AY8" s="459"/>
      <c r="AZ8" s="459"/>
      <c r="BA8" s="459"/>
      <c r="BB8" s="459"/>
      <c r="BC8" s="459"/>
      <c r="BD8" s="459"/>
      <c r="BE8" s="459"/>
      <c r="BF8" s="459"/>
      <c r="BG8" s="459"/>
      <c r="BH8" s="459"/>
      <c r="BI8" s="459"/>
      <c r="BJ8" s="459"/>
      <c r="BK8" s="459"/>
      <c r="BL8" s="459"/>
      <c r="BM8" s="459"/>
      <c r="BN8" s="459"/>
      <c r="BO8" s="459"/>
      <c r="BP8" s="459"/>
      <c r="BQ8" s="459"/>
      <c r="BR8" s="459"/>
      <c r="BS8" s="459"/>
      <c r="BT8" s="459"/>
      <c r="BU8" s="459"/>
      <c r="BV8" s="459"/>
      <c r="BW8" s="459"/>
      <c r="BX8" s="459"/>
      <c r="BY8" s="459"/>
      <c r="BZ8" s="459"/>
      <c r="CA8" s="459"/>
      <c r="CB8" s="459"/>
      <c r="CC8" s="459"/>
      <c r="CD8" s="459"/>
      <c r="CE8" s="459"/>
      <c r="CF8" s="459"/>
      <c r="CG8" s="459"/>
      <c r="CH8" s="459"/>
      <c r="CI8" s="459"/>
      <c r="CJ8" s="459"/>
      <c r="CK8" s="459"/>
      <c r="CL8" s="459"/>
      <c r="CM8" s="459"/>
      <c r="CN8" s="459"/>
      <c r="CO8" s="459"/>
      <c r="CP8" s="459"/>
      <c r="CQ8" s="459"/>
      <c r="CR8" s="459"/>
      <c r="CS8" s="459"/>
      <c r="CT8" s="459"/>
      <c r="CU8" s="459"/>
      <c r="CV8" s="459"/>
      <c r="CW8" s="459"/>
      <c r="CX8" s="459"/>
      <c r="CY8" s="459"/>
      <c r="CZ8" s="459"/>
      <c r="DA8" s="459"/>
      <c r="DB8" s="459"/>
      <c r="DC8" s="459"/>
      <c r="DD8" s="459"/>
      <c r="DE8" s="459"/>
      <c r="DF8" s="459"/>
      <c r="DG8" s="459"/>
      <c r="DH8" s="459"/>
      <c r="DI8" s="459"/>
      <c r="DJ8" s="459"/>
      <c r="DK8" s="459"/>
      <c r="DL8" s="459"/>
      <c r="DM8" s="459"/>
      <c r="DN8" s="459"/>
      <c r="DO8" s="459"/>
      <c r="DP8" s="459"/>
      <c r="DQ8" s="459"/>
      <c r="DR8" s="459"/>
      <c r="DS8" s="459"/>
      <c r="DT8" s="459"/>
      <c r="DU8" s="459"/>
      <c r="DV8" s="459"/>
      <c r="DW8" s="459"/>
      <c r="DX8" s="459"/>
      <c r="DY8" s="459"/>
      <c r="DZ8" s="459"/>
      <c r="EA8" s="459"/>
      <c r="EB8" s="459"/>
      <c r="EC8" s="459"/>
      <c r="ED8" s="459"/>
      <c r="EE8" s="459"/>
      <c r="EF8" s="459"/>
      <c r="EG8" s="459"/>
      <c r="EH8" s="459"/>
      <c r="EI8" s="459"/>
      <c r="EJ8" s="459"/>
      <c r="EK8" s="459"/>
      <c r="EL8" s="459"/>
      <c r="EM8" s="459"/>
      <c r="EN8" s="459"/>
      <c r="EO8" s="459"/>
      <c r="EP8" s="459"/>
      <c r="EQ8" s="459"/>
      <c r="ER8" s="459"/>
      <c r="ES8" s="459"/>
      <c r="ET8" s="459"/>
      <c r="EU8" s="459"/>
      <c r="EV8" s="459"/>
      <c r="EW8" s="459"/>
      <c r="EX8" s="459"/>
      <c r="EY8" s="459"/>
    </row>
    <row r="9" spans="1:230" ht="69" customHeight="1" x14ac:dyDescent="0.4">
      <c r="C9" s="150"/>
      <c r="D9" s="151"/>
      <c r="E9" s="151"/>
      <c r="F9" s="151"/>
      <c r="G9" s="151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152"/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4"/>
      <c r="EL9" s="154"/>
      <c r="EM9" s="154"/>
      <c r="EN9" s="154"/>
      <c r="EO9" s="154"/>
      <c r="EP9" s="154"/>
      <c r="EQ9" s="154"/>
      <c r="ER9" s="155"/>
      <c r="ES9" s="155"/>
      <c r="ET9" s="155"/>
      <c r="EU9" s="19"/>
      <c r="EV9" s="19"/>
      <c r="EW9" s="19"/>
      <c r="FC9" s="464" t="s">
        <v>27</v>
      </c>
      <c r="FD9" s="464"/>
      <c r="FE9" s="465" t="s">
        <v>277</v>
      </c>
      <c r="FF9" s="465"/>
      <c r="FG9" s="465"/>
      <c r="FH9" s="465"/>
      <c r="FI9" s="465"/>
      <c r="FJ9" s="465"/>
      <c r="FK9" s="465"/>
      <c r="FL9" s="465"/>
      <c r="FM9" s="465"/>
      <c r="FN9" s="465"/>
      <c r="FO9" s="465"/>
      <c r="FP9" s="465"/>
      <c r="FQ9" s="465"/>
      <c r="FR9" s="465"/>
      <c r="FS9" s="465"/>
      <c r="FT9" s="465"/>
      <c r="FU9" s="465"/>
      <c r="FV9" s="465"/>
      <c r="FW9" s="465"/>
      <c r="FX9" s="465"/>
      <c r="FY9" s="465"/>
      <c r="FZ9" s="465"/>
      <c r="GA9" s="465"/>
      <c r="GB9" s="465"/>
      <c r="GC9" s="465"/>
      <c r="GD9" s="465"/>
      <c r="GE9" s="465"/>
      <c r="GF9" s="465"/>
      <c r="GG9" s="465"/>
      <c r="GH9" s="465"/>
      <c r="GI9" s="465"/>
      <c r="GJ9" s="465"/>
      <c r="GK9" s="465"/>
      <c r="GL9" s="465"/>
      <c r="GM9" s="465"/>
      <c r="GN9" s="465"/>
      <c r="GO9" s="465"/>
      <c r="GP9" s="465"/>
      <c r="GQ9" s="465"/>
      <c r="GR9" s="465"/>
      <c r="GS9" s="465"/>
      <c r="GT9" s="465"/>
      <c r="GU9" s="465"/>
      <c r="GV9" s="465"/>
      <c r="GW9" s="465"/>
      <c r="GX9" s="465"/>
      <c r="GY9" s="465"/>
      <c r="GZ9" s="465"/>
      <c r="HA9" s="465"/>
      <c r="HB9" s="465"/>
      <c r="HC9" s="465"/>
      <c r="HD9" s="465"/>
      <c r="HE9" s="466" t="s">
        <v>21</v>
      </c>
      <c r="HF9" s="466"/>
      <c r="HG9" s="466"/>
      <c r="HH9" s="466"/>
      <c r="HI9" s="466"/>
      <c r="HJ9" s="466"/>
      <c r="HK9" s="466"/>
      <c r="HL9" s="466"/>
      <c r="HM9" s="466"/>
      <c r="HN9" s="466"/>
      <c r="HO9" s="466"/>
      <c r="HP9" s="466"/>
      <c r="HQ9" s="466"/>
      <c r="HR9" s="466"/>
      <c r="HS9" s="467" t="s">
        <v>278</v>
      </c>
      <c r="HT9" s="467"/>
      <c r="HU9" s="467" t="s">
        <v>25</v>
      </c>
      <c r="HV9" s="467"/>
    </row>
    <row r="10" spans="1:230" ht="64.5" customHeight="1" x14ac:dyDescent="0.4">
      <c r="C10" s="150"/>
      <c r="D10" s="151"/>
      <c r="E10" s="151"/>
      <c r="F10" s="151"/>
      <c r="G10" s="151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2"/>
      <c r="CY10" s="152"/>
      <c r="CZ10" s="152"/>
      <c r="DA10" s="152"/>
      <c r="DB10" s="152"/>
      <c r="DC10" s="152"/>
      <c r="DD10" s="152"/>
      <c r="DE10" s="152"/>
      <c r="DF10" s="152"/>
      <c r="DG10" s="152"/>
      <c r="DH10" s="152"/>
      <c r="DI10" s="152"/>
      <c r="DJ10" s="152"/>
      <c r="DK10" s="152"/>
      <c r="DL10" s="152"/>
      <c r="DM10" s="152"/>
      <c r="DN10" s="152"/>
      <c r="DO10" s="154"/>
      <c r="DP10" s="154"/>
      <c r="DQ10" s="154"/>
      <c r="DR10" s="154"/>
      <c r="DS10" s="156"/>
      <c r="DT10" s="156"/>
      <c r="DU10" s="156"/>
      <c r="DV10" s="156"/>
      <c r="DW10" s="156"/>
      <c r="DX10" s="156"/>
      <c r="DY10" s="156"/>
      <c r="DZ10" s="156"/>
      <c r="EA10" s="156"/>
      <c r="EB10" s="156"/>
      <c r="EC10" s="156"/>
      <c r="ED10" s="156"/>
      <c r="EE10" s="156"/>
      <c r="EF10" s="156"/>
      <c r="EG10" s="156"/>
      <c r="EH10" s="156"/>
      <c r="EI10" s="156"/>
      <c r="EJ10" s="156"/>
      <c r="EK10" s="154"/>
      <c r="EL10" s="154"/>
      <c r="EM10" s="154"/>
      <c r="EN10" s="154"/>
      <c r="EO10" s="154"/>
      <c r="EP10" s="154"/>
      <c r="EQ10" s="154"/>
      <c r="ER10" s="155"/>
      <c r="ES10" s="155"/>
      <c r="ET10" s="155"/>
      <c r="EU10" s="19"/>
      <c r="EV10" s="19"/>
      <c r="EW10" s="19"/>
      <c r="FC10" s="464"/>
      <c r="FD10" s="464"/>
      <c r="FE10" s="465"/>
      <c r="FF10" s="465"/>
      <c r="FG10" s="465"/>
      <c r="FH10" s="465"/>
      <c r="FI10" s="465"/>
      <c r="FJ10" s="465"/>
      <c r="FK10" s="465"/>
      <c r="FL10" s="465"/>
      <c r="FM10" s="465"/>
      <c r="FN10" s="465"/>
      <c r="FO10" s="465"/>
      <c r="FP10" s="465"/>
      <c r="FQ10" s="465"/>
      <c r="FR10" s="465"/>
      <c r="FS10" s="465"/>
      <c r="FT10" s="465"/>
      <c r="FU10" s="465"/>
      <c r="FV10" s="465"/>
      <c r="FW10" s="465"/>
      <c r="FX10" s="465"/>
      <c r="FY10" s="465"/>
      <c r="FZ10" s="465"/>
      <c r="GA10" s="465"/>
      <c r="GB10" s="465"/>
      <c r="GC10" s="465"/>
      <c r="GD10" s="465"/>
      <c r="GE10" s="465"/>
      <c r="GF10" s="465"/>
      <c r="GG10" s="465"/>
      <c r="GH10" s="465"/>
      <c r="GI10" s="465"/>
      <c r="GJ10" s="465"/>
      <c r="GK10" s="465"/>
      <c r="GL10" s="465"/>
      <c r="GM10" s="465"/>
      <c r="GN10" s="465"/>
      <c r="GO10" s="465"/>
      <c r="GP10" s="465"/>
      <c r="GQ10" s="465"/>
      <c r="GR10" s="465"/>
      <c r="GS10" s="465"/>
      <c r="GT10" s="465"/>
      <c r="GU10" s="465"/>
      <c r="GV10" s="465"/>
      <c r="GW10" s="465"/>
      <c r="GX10" s="465"/>
      <c r="GY10" s="465"/>
      <c r="GZ10" s="465"/>
      <c r="HA10" s="465"/>
      <c r="HB10" s="465"/>
      <c r="HC10" s="465"/>
      <c r="HD10" s="465"/>
      <c r="HE10" s="467" t="s">
        <v>22</v>
      </c>
      <c r="HF10" s="467"/>
      <c r="HG10" s="466" t="s">
        <v>94</v>
      </c>
      <c r="HH10" s="466"/>
      <c r="HI10" s="466"/>
      <c r="HJ10" s="466"/>
      <c r="HK10" s="466"/>
      <c r="HL10" s="466"/>
      <c r="HM10" s="466"/>
      <c r="HN10" s="466"/>
      <c r="HO10" s="466"/>
      <c r="HP10" s="466"/>
      <c r="HQ10" s="466"/>
      <c r="HR10" s="466"/>
      <c r="HS10" s="467"/>
      <c r="HT10" s="467"/>
      <c r="HU10" s="467"/>
      <c r="HV10" s="467"/>
    </row>
    <row r="11" spans="1:230" ht="42" customHeight="1" x14ac:dyDescent="0.4">
      <c r="C11" s="150"/>
      <c r="D11" s="151"/>
      <c r="E11" s="151"/>
      <c r="F11" s="151"/>
      <c r="G11" s="151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52"/>
      <c r="DO11" s="154"/>
      <c r="DP11" s="154"/>
      <c r="DQ11" s="154"/>
      <c r="DR11" s="154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7"/>
      <c r="EG11" s="157"/>
      <c r="EH11" s="157"/>
      <c r="EI11" s="157"/>
      <c r="EJ11" s="157"/>
      <c r="EK11" s="154"/>
      <c r="EL11" s="154"/>
      <c r="EM11" s="154"/>
      <c r="EN11" s="154"/>
      <c r="EO11" s="154"/>
      <c r="EP11" s="154"/>
      <c r="EQ11" s="154"/>
      <c r="ER11" s="155"/>
      <c r="ES11" s="155"/>
      <c r="ET11" s="155"/>
      <c r="EU11" s="19"/>
      <c r="EV11" s="19"/>
      <c r="EW11" s="19"/>
      <c r="FC11" s="464"/>
      <c r="FD11" s="464"/>
      <c r="FE11" s="465"/>
      <c r="FF11" s="465"/>
      <c r="FG11" s="465"/>
      <c r="FH11" s="465"/>
      <c r="FI11" s="465"/>
      <c r="FJ11" s="465"/>
      <c r="FK11" s="465"/>
      <c r="FL11" s="465"/>
      <c r="FM11" s="465"/>
      <c r="FN11" s="465"/>
      <c r="FO11" s="465"/>
      <c r="FP11" s="465"/>
      <c r="FQ11" s="465"/>
      <c r="FR11" s="465"/>
      <c r="FS11" s="465"/>
      <c r="FT11" s="465"/>
      <c r="FU11" s="465"/>
      <c r="FV11" s="465"/>
      <c r="FW11" s="465"/>
      <c r="FX11" s="465"/>
      <c r="FY11" s="465"/>
      <c r="FZ11" s="465"/>
      <c r="GA11" s="465"/>
      <c r="GB11" s="465"/>
      <c r="GC11" s="465"/>
      <c r="GD11" s="465"/>
      <c r="GE11" s="465"/>
      <c r="GF11" s="465"/>
      <c r="GG11" s="465"/>
      <c r="GH11" s="465"/>
      <c r="GI11" s="465"/>
      <c r="GJ11" s="465"/>
      <c r="GK11" s="465"/>
      <c r="GL11" s="465"/>
      <c r="GM11" s="465"/>
      <c r="GN11" s="465"/>
      <c r="GO11" s="465"/>
      <c r="GP11" s="465"/>
      <c r="GQ11" s="465"/>
      <c r="GR11" s="465"/>
      <c r="GS11" s="465"/>
      <c r="GT11" s="465"/>
      <c r="GU11" s="465"/>
      <c r="GV11" s="465"/>
      <c r="GW11" s="465"/>
      <c r="GX11" s="465"/>
      <c r="GY11" s="465"/>
      <c r="GZ11" s="465"/>
      <c r="HA11" s="465"/>
      <c r="HB11" s="465"/>
      <c r="HC11" s="465"/>
      <c r="HD11" s="465"/>
      <c r="HE11" s="467"/>
      <c r="HF11" s="467"/>
      <c r="HG11" s="468" t="s">
        <v>279</v>
      </c>
      <c r="HH11" s="469"/>
      <c r="HI11" s="468" t="s">
        <v>18</v>
      </c>
      <c r="HJ11" s="469"/>
      <c r="HK11" s="468" t="s">
        <v>280</v>
      </c>
      <c r="HL11" s="469"/>
      <c r="HM11" s="468" t="s">
        <v>16</v>
      </c>
      <c r="HN11" s="469"/>
      <c r="HO11" s="468" t="s">
        <v>19</v>
      </c>
      <c r="HP11" s="469"/>
      <c r="HQ11" s="474" t="s">
        <v>351</v>
      </c>
      <c r="HR11" s="475"/>
      <c r="HS11" s="467"/>
      <c r="HT11" s="467"/>
      <c r="HU11" s="467"/>
      <c r="HV11" s="467"/>
    </row>
    <row r="12" spans="1:230" ht="45" customHeight="1" x14ac:dyDescent="0.4">
      <c r="C12" s="150"/>
      <c r="D12" s="151"/>
      <c r="E12" s="151"/>
      <c r="F12" s="151"/>
      <c r="G12" s="151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4"/>
      <c r="DP12" s="154"/>
      <c r="DQ12" s="154"/>
      <c r="DR12" s="154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7"/>
      <c r="EG12" s="157"/>
      <c r="EH12" s="157"/>
      <c r="EI12" s="157"/>
      <c r="EJ12" s="157"/>
      <c r="EK12" s="154"/>
      <c r="EL12" s="154"/>
      <c r="EM12" s="154"/>
      <c r="EN12" s="154"/>
      <c r="EO12" s="154"/>
      <c r="EP12" s="154"/>
      <c r="EQ12" s="154"/>
      <c r="ER12" s="155"/>
      <c r="ES12" s="155"/>
      <c r="ET12" s="155"/>
      <c r="EU12" s="19"/>
      <c r="EV12" s="19"/>
      <c r="EW12" s="19"/>
      <c r="FC12" s="464"/>
      <c r="FD12" s="464"/>
      <c r="FE12" s="465"/>
      <c r="FF12" s="465"/>
      <c r="FG12" s="465"/>
      <c r="FH12" s="465"/>
      <c r="FI12" s="465"/>
      <c r="FJ12" s="465"/>
      <c r="FK12" s="465"/>
      <c r="FL12" s="465"/>
      <c r="FM12" s="465"/>
      <c r="FN12" s="465"/>
      <c r="FO12" s="465"/>
      <c r="FP12" s="465"/>
      <c r="FQ12" s="465"/>
      <c r="FR12" s="465"/>
      <c r="FS12" s="465"/>
      <c r="FT12" s="465"/>
      <c r="FU12" s="465"/>
      <c r="FV12" s="465"/>
      <c r="FW12" s="465"/>
      <c r="FX12" s="465"/>
      <c r="FY12" s="465"/>
      <c r="FZ12" s="465"/>
      <c r="GA12" s="465"/>
      <c r="GB12" s="465"/>
      <c r="GC12" s="465"/>
      <c r="GD12" s="465"/>
      <c r="GE12" s="465"/>
      <c r="GF12" s="465"/>
      <c r="GG12" s="465"/>
      <c r="GH12" s="465"/>
      <c r="GI12" s="465"/>
      <c r="GJ12" s="465"/>
      <c r="GK12" s="465"/>
      <c r="GL12" s="465"/>
      <c r="GM12" s="465"/>
      <c r="GN12" s="465"/>
      <c r="GO12" s="465"/>
      <c r="GP12" s="465"/>
      <c r="GQ12" s="465"/>
      <c r="GR12" s="465"/>
      <c r="GS12" s="465"/>
      <c r="GT12" s="465"/>
      <c r="GU12" s="465"/>
      <c r="GV12" s="465"/>
      <c r="GW12" s="465"/>
      <c r="GX12" s="465"/>
      <c r="GY12" s="465"/>
      <c r="GZ12" s="465"/>
      <c r="HA12" s="465"/>
      <c r="HB12" s="465"/>
      <c r="HC12" s="465"/>
      <c r="HD12" s="465"/>
      <c r="HE12" s="467"/>
      <c r="HF12" s="467"/>
      <c r="HG12" s="470"/>
      <c r="HH12" s="471"/>
      <c r="HI12" s="470"/>
      <c r="HJ12" s="471"/>
      <c r="HK12" s="470"/>
      <c r="HL12" s="471"/>
      <c r="HM12" s="470"/>
      <c r="HN12" s="471"/>
      <c r="HO12" s="470"/>
      <c r="HP12" s="471"/>
      <c r="HQ12" s="476"/>
      <c r="HR12" s="477"/>
      <c r="HS12" s="467"/>
      <c r="HT12" s="467"/>
      <c r="HU12" s="467"/>
      <c r="HV12" s="467"/>
    </row>
    <row r="13" spans="1:230" ht="78" customHeight="1" x14ac:dyDescent="0.4">
      <c r="C13" s="150"/>
      <c r="D13" s="151"/>
      <c r="E13" s="151"/>
      <c r="F13" s="151"/>
      <c r="G13" s="151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2"/>
      <c r="DC13" s="152"/>
      <c r="DD13" s="152"/>
      <c r="DE13" s="152"/>
      <c r="DF13" s="152"/>
      <c r="DG13" s="152"/>
      <c r="DH13" s="152"/>
      <c r="DI13" s="152"/>
      <c r="DJ13" s="152"/>
      <c r="DK13" s="152"/>
      <c r="DL13" s="152"/>
      <c r="DM13" s="152"/>
      <c r="DN13" s="152"/>
      <c r="DO13" s="154"/>
      <c r="DP13" s="154"/>
      <c r="DQ13" s="154"/>
      <c r="DR13" s="154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7"/>
      <c r="EG13" s="157"/>
      <c r="EH13" s="157"/>
      <c r="EI13" s="157"/>
      <c r="EJ13" s="157"/>
      <c r="EK13" s="154"/>
      <c r="EL13" s="154"/>
      <c r="EM13" s="154"/>
      <c r="EN13" s="154"/>
      <c r="EO13" s="154"/>
      <c r="EP13" s="154"/>
      <c r="EQ13" s="154"/>
      <c r="ER13" s="155"/>
      <c r="ES13" s="155"/>
      <c r="ET13" s="155"/>
      <c r="EU13" s="19"/>
      <c r="EV13" s="19"/>
      <c r="EW13" s="19"/>
      <c r="FC13" s="464"/>
      <c r="FD13" s="464"/>
      <c r="FE13" s="480" t="s">
        <v>282</v>
      </c>
      <c r="FF13" s="481"/>
      <c r="FG13" s="481"/>
      <c r="FH13" s="481"/>
      <c r="FI13" s="482"/>
      <c r="FJ13" s="480" t="s">
        <v>283</v>
      </c>
      <c r="FK13" s="481"/>
      <c r="FL13" s="481"/>
      <c r="FM13" s="482"/>
      <c r="FN13" s="480" t="s">
        <v>53</v>
      </c>
      <c r="FO13" s="481"/>
      <c r="FP13" s="481"/>
      <c r="FQ13" s="481"/>
      <c r="FR13" s="482"/>
      <c r="FS13" s="480" t="s">
        <v>54</v>
      </c>
      <c r="FT13" s="481"/>
      <c r="FU13" s="481"/>
      <c r="FV13" s="482"/>
      <c r="FW13" s="480" t="s">
        <v>55</v>
      </c>
      <c r="FX13" s="481"/>
      <c r="FY13" s="481"/>
      <c r="FZ13" s="481"/>
      <c r="GA13" s="482"/>
      <c r="GB13" s="480" t="s">
        <v>56</v>
      </c>
      <c r="GC13" s="481"/>
      <c r="GD13" s="481"/>
      <c r="GE13" s="482"/>
      <c r="GF13" s="480" t="s">
        <v>57</v>
      </c>
      <c r="GG13" s="481"/>
      <c r="GH13" s="481"/>
      <c r="GI13" s="481"/>
      <c r="GJ13" s="482"/>
      <c r="GK13" s="480" t="s">
        <v>58</v>
      </c>
      <c r="GL13" s="481"/>
      <c r="GM13" s="481"/>
      <c r="GN13" s="482"/>
      <c r="GO13" s="480" t="s">
        <v>59</v>
      </c>
      <c r="GP13" s="481"/>
      <c r="GQ13" s="481"/>
      <c r="GR13" s="482"/>
      <c r="GS13" s="480" t="s">
        <v>60</v>
      </c>
      <c r="GT13" s="481"/>
      <c r="GU13" s="481"/>
      <c r="GV13" s="482"/>
      <c r="GW13" s="480" t="s">
        <v>284</v>
      </c>
      <c r="GX13" s="481"/>
      <c r="GY13" s="481"/>
      <c r="GZ13" s="482"/>
      <c r="HA13" s="480" t="s">
        <v>62</v>
      </c>
      <c r="HB13" s="481"/>
      <c r="HC13" s="481"/>
      <c r="HD13" s="482"/>
      <c r="HE13" s="467"/>
      <c r="HF13" s="467"/>
      <c r="HG13" s="470"/>
      <c r="HH13" s="471"/>
      <c r="HI13" s="470"/>
      <c r="HJ13" s="471"/>
      <c r="HK13" s="470"/>
      <c r="HL13" s="471"/>
      <c r="HM13" s="470"/>
      <c r="HN13" s="471"/>
      <c r="HO13" s="470"/>
      <c r="HP13" s="471"/>
      <c r="HQ13" s="476"/>
      <c r="HR13" s="477"/>
      <c r="HS13" s="467"/>
      <c r="HT13" s="467"/>
      <c r="HU13" s="467"/>
      <c r="HV13" s="467"/>
    </row>
    <row r="14" spans="1:230" ht="84" customHeight="1" x14ac:dyDescent="0.4">
      <c r="C14" s="150"/>
      <c r="D14" s="151"/>
      <c r="E14" s="151"/>
      <c r="F14" s="151"/>
      <c r="G14" s="151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4"/>
      <c r="DP14" s="154"/>
      <c r="DQ14" s="154"/>
      <c r="DR14" s="154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7"/>
      <c r="EG14" s="157"/>
      <c r="EH14" s="157"/>
      <c r="EI14" s="157"/>
      <c r="EJ14" s="157"/>
      <c r="EK14" s="154"/>
      <c r="EL14" s="154"/>
      <c r="EM14" s="154"/>
      <c r="EN14" s="154"/>
      <c r="EO14" s="154"/>
      <c r="EP14" s="154"/>
      <c r="EQ14" s="154"/>
      <c r="ER14" s="155"/>
      <c r="ES14" s="155"/>
      <c r="ET14" s="155"/>
      <c r="EU14" s="19"/>
      <c r="EV14" s="19"/>
      <c r="EW14" s="19"/>
      <c r="FC14" s="464"/>
      <c r="FD14" s="464"/>
      <c r="FE14" s="174">
        <v>1</v>
      </c>
      <c r="FF14" s="174">
        <v>2</v>
      </c>
      <c r="FG14" s="174">
        <v>3</v>
      </c>
      <c r="FH14" s="174">
        <v>4</v>
      </c>
      <c r="FI14" s="174">
        <v>5</v>
      </c>
      <c r="FJ14" s="174">
        <v>6</v>
      </c>
      <c r="FK14" s="174">
        <v>7</v>
      </c>
      <c r="FL14" s="174">
        <v>8</v>
      </c>
      <c r="FM14" s="174">
        <v>9</v>
      </c>
      <c r="FN14" s="174">
        <v>10</v>
      </c>
      <c r="FO14" s="174">
        <v>11</v>
      </c>
      <c r="FP14" s="174">
        <v>12</v>
      </c>
      <c r="FQ14" s="174">
        <v>13</v>
      </c>
      <c r="FR14" s="174">
        <v>14</v>
      </c>
      <c r="FS14" s="174">
        <v>15</v>
      </c>
      <c r="FT14" s="174">
        <v>16</v>
      </c>
      <c r="FU14" s="174">
        <v>17</v>
      </c>
      <c r="FV14" s="174">
        <v>18</v>
      </c>
      <c r="FW14" s="174">
        <v>19</v>
      </c>
      <c r="FX14" s="174">
        <v>20</v>
      </c>
      <c r="FY14" s="174">
        <v>21</v>
      </c>
      <c r="FZ14" s="174">
        <v>22</v>
      </c>
      <c r="GA14" s="174">
        <v>23</v>
      </c>
      <c r="GB14" s="174">
        <v>24</v>
      </c>
      <c r="GC14" s="174">
        <v>25</v>
      </c>
      <c r="GD14" s="174">
        <v>26</v>
      </c>
      <c r="GE14" s="174">
        <v>27</v>
      </c>
      <c r="GF14" s="174">
        <v>28</v>
      </c>
      <c r="GG14" s="174">
        <v>29</v>
      </c>
      <c r="GH14" s="174">
        <v>30</v>
      </c>
      <c r="GI14" s="174">
        <v>31</v>
      </c>
      <c r="GJ14" s="174">
        <v>32</v>
      </c>
      <c r="GK14" s="174">
        <v>33</v>
      </c>
      <c r="GL14" s="174">
        <v>34</v>
      </c>
      <c r="GM14" s="174">
        <v>35</v>
      </c>
      <c r="GN14" s="174">
        <v>36</v>
      </c>
      <c r="GO14" s="174">
        <v>37</v>
      </c>
      <c r="GP14" s="174">
        <v>38</v>
      </c>
      <c r="GQ14" s="174">
        <v>39</v>
      </c>
      <c r="GR14" s="174">
        <v>40</v>
      </c>
      <c r="GS14" s="174">
        <v>41</v>
      </c>
      <c r="GT14" s="174">
        <v>42</v>
      </c>
      <c r="GU14" s="174">
        <v>43</v>
      </c>
      <c r="GV14" s="174">
        <v>44</v>
      </c>
      <c r="GW14" s="174">
        <v>45</v>
      </c>
      <c r="GX14" s="174">
        <v>46</v>
      </c>
      <c r="GY14" s="174">
        <v>47</v>
      </c>
      <c r="GZ14" s="174">
        <v>48</v>
      </c>
      <c r="HA14" s="174">
        <v>49</v>
      </c>
      <c r="HB14" s="174">
        <v>50</v>
      </c>
      <c r="HC14" s="174">
        <v>51</v>
      </c>
      <c r="HD14" s="174">
        <v>52</v>
      </c>
      <c r="HE14" s="467"/>
      <c r="HF14" s="467"/>
      <c r="HG14" s="472"/>
      <c r="HH14" s="473"/>
      <c r="HI14" s="472"/>
      <c r="HJ14" s="473"/>
      <c r="HK14" s="472"/>
      <c r="HL14" s="473"/>
      <c r="HM14" s="472"/>
      <c r="HN14" s="473"/>
      <c r="HO14" s="472"/>
      <c r="HP14" s="473"/>
      <c r="HQ14" s="478"/>
      <c r="HR14" s="479"/>
      <c r="HS14" s="467"/>
      <c r="HT14" s="467"/>
      <c r="HU14" s="467"/>
      <c r="HV14" s="467"/>
    </row>
    <row r="15" spans="1:230" ht="60" customHeight="1" x14ac:dyDescent="0.4">
      <c r="C15" s="150"/>
      <c r="D15" s="151"/>
      <c r="E15" s="151"/>
      <c r="F15" s="151"/>
      <c r="G15" s="151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4"/>
      <c r="DP15" s="154"/>
      <c r="DQ15" s="154"/>
      <c r="DR15" s="154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7"/>
      <c r="EG15" s="157"/>
      <c r="EH15" s="157"/>
      <c r="EI15" s="157"/>
      <c r="EJ15" s="157"/>
      <c r="EK15" s="154"/>
      <c r="EL15" s="154"/>
      <c r="EM15" s="154"/>
      <c r="EN15" s="154"/>
      <c r="EO15" s="154"/>
      <c r="EP15" s="154"/>
      <c r="EQ15" s="154"/>
      <c r="ER15" s="155"/>
      <c r="ES15" s="155"/>
      <c r="ET15" s="155"/>
      <c r="EU15" s="19"/>
      <c r="EV15" s="19"/>
      <c r="EW15" s="19"/>
      <c r="FC15" s="483" t="s">
        <v>1</v>
      </c>
      <c r="FD15" s="483"/>
      <c r="FE15" s="174" t="s">
        <v>64</v>
      </c>
      <c r="FF15" s="174" t="s">
        <v>50</v>
      </c>
      <c r="FG15" s="174" t="s">
        <v>50</v>
      </c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 t="s">
        <v>64</v>
      </c>
      <c r="FX15" s="174" t="s">
        <v>64</v>
      </c>
      <c r="FY15" s="174" t="s">
        <v>66</v>
      </c>
      <c r="FZ15" s="174" t="s">
        <v>66</v>
      </c>
      <c r="GA15" s="174" t="s">
        <v>64</v>
      </c>
      <c r="GB15" s="174" t="s">
        <v>64</v>
      </c>
      <c r="GC15" s="174"/>
      <c r="GD15" s="174"/>
      <c r="GE15" s="174"/>
      <c r="GF15" s="174"/>
      <c r="GG15" s="174"/>
      <c r="GH15" s="174"/>
      <c r="GI15" s="238" t="s">
        <v>67</v>
      </c>
      <c r="GJ15" s="238" t="s">
        <v>67</v>
      </c>
      <c r="GK15" s="174" t="s">
        <v>67</v>
      </c>
      <c r="GL15" s="238"/>
      <c r="GM15" s="238"/>
      <c r="GN15" s="174"/>
      <c r="GO15" s="174"/>
      <c r="GP15" s="174"/>
      <c r="GQ15" s="174"/>
      <c r="GR15" s="174"/>
      <c r="GS15" s="174"/>
      <c r="GT15" s="174"/>
      <c r="GU15" s="174" t="s">
        <v>66</v>
      </c>
      <c r="GV15" s="174" t="s">
        <v>66</v>
      </c>
      <c r="GW15" s="174" t="s">
        <v>64</v>
      </c>
      <c r="GX15" s="174" t="s">
        <v>64</v>
      </c>
      <c r="GY15" s="174" t="s">
        <v>64</v>
      </c>
      <c r="GZ15" s="174" t="s">
        <v>64</v>
      </c>
      <c r="HA15" s="174" t="s">
        <v>64</v>
      </c>
      <c r="HB15" s="174" t="s">
        <v>64</v>
      </c>
      <c r="HC15" s="174" t="s">
        <v>64</v>
      </c>
      <c r="HD15" s="174" t="s">
        <v>64</v>
      </c>
      <c r="HE15" s="480">
        <f>SUM(HG15:HR15)</f>
        <v>39</v>
      </c>
      <c r="HF15" s="482"/>
      <c r="HG15" s="480">
        <v>30</v>
      </c>
      <c r="HH15" s="482"/>
      <c r="HI15" s="480">
        <v>4</v>
      </c>
      <c r="HJ15" s="482"/>
      <c r="HK15" s="480">
        <v>2</v>
      </c>
      <c r="HL15" s="482"/>
      <c r="HM15" s="480">
        <v>3</v>
      </c>
      <c r="HN15" s="482"/>
      <c r="HO15" s="480">
        <v>0</v>
      </c>
      <c r="HP15" s="482"/>
      <c r="HQ15" s="480">
        <v>0</v>
      </c>
      <c r="HR15" s="482"/>
      <c r="HS15" s="480">
        <v>13</v>
      </c>
      <c r="HT15" s="482"/>
      <c r="HU15" s="466">
        <f>HE15+HS15</f>
        <v>52</v>
      </c>
      <c r="HV15" s="466"/>
    </row>
    <row r="16" spans="1:230" ht="54" customHeight="1" x14ac:dyDescent="0.4">
      <c r="C16" s="150"/>
      <c r="D16" s="156"/>
      <c r="E16" s="156"/>
      <c r="F16" s="156"/>
      <c r="G16" s="156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6"/>
      <c r="DP16" s="156"/>
      <c r="DQ16" s="156"/>
      <c r="DR16" s="156"/>
      <c r="DS16" s="158"/>
      <c r="DT16" s="158"/>
      <c r="DU16" s="158"/>
      <c r="DV16" s="158"/>
      <c r="DW16" s="158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8"/>
      <c r="EJ16" s="158"/>
      <c r="EK16" s="158"/>
      <c r="EL16" s="158"/>
      <c r="EM16" s="158"/>
      <c r="EN16" s="153"/>
      <c r="EO16" s="153"/>
      <c r="EP16" s="153"/>
      <c r="EQ16" s="153"/>
      <c r="ER16" s="155"/>
      <c r="ES16" s="155"/>
      <c r="ET16" s="155"/>
      <c r="EU16" s="19"/>
      <c r="EV16" s="19"/>
      <c r="EW16" s="19"/>
      <c r="FC16" s="483" t="s">
        <v>2</v>
      </c>
      <c r="FD16" s="483"/>
      <c r="FE16" s="174" t="s">
        <v>64</v>
      </c>
      <c r="FF16" s="174" t="s">
        <v>50</v>
      </c>
      <c r="FG16" s="238" t="s">
        <v>67</v>
      </c>
      <c r="FH16" s="238" t="s">
        <v>67</v>
      </c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74" t="s">
        <v>64</v>
      </c>
      <c r="FW16" s="174" t="s">
        <v>64</v>
      </c>
      <c r="FX16" s="149"/>
      <c r="FY16" s="149"/>
      <c r="FZ16" s="238" t="s">
        <v>66</v>
      </c>
      <c r="GA16" s="238" t="s">
        <v>66</v>
      </c>
      <c r="GB16" s="149"/>
      <c r="GC16" s="149"/>
      <c r="GD16" s="149"/>
      <c r="GE16" s="149"/>
      <c r="GF16" s="149"/>
      <c r="GG16" s="149"/>
      <c r="GH16" s="149"/>
      <c r="GI16" s="238" t="s">
        <v>67</v>
      </c>
      <c r="GJ16" s="238" t="s">
        <v>67</v>
      </c>
      <c r="GK16" s="149"/>
      <c r="GL16" s="149"/>
      <c r="GM16" s="149"/>
      <c r="GN16" s="149"/>
      <c r="GO16" s="149"/>
      <c r="GP16" s="149"/>
      <c r="GQ16" s="149"/>
      <c r="GR16" s="149"/>
      <c r="GS16" s="238" t="s">
        <v>66</v>
      </c>
      <c r="GT16" s="238" t="s">
        <v>66</v>
      </c>
      <c r="GU16" s="174" t="s">
        <v>64</v>
      </c>
      <c r="GV16" s="174" t="s">
        <v>64</v>
      </c>
      <c r="GW16" s="174" t="s">
        <v>64</v>
      </c>
      <c r="GX16" s="174" t="s">
        <v>64</v>
      </c>
      <c r="GY16" s="174" t="s">
        <v>64</v>
      </c>
      <c r="GZ16" s="174" t="s">
        <v>64</v>
      </c>
      <c r="HA16" s="174" t="s">
        <v>64</v>
      </c>
      <c r="HB16" s="174" t="s">
        <v>64</v>
      </c>
      <c r="HC16" s="174" t="s">
        <v>64</v>
      </c>
      <c r="HD16" s="174" t="s">
        <v>64</v>
      </c>
      <c r="HE16" s="480">
        <f>SUM(HG16:HR16)</f>
        <v>39</v>
      </c>
      <c r="HF16" s="482"/>
      <c r="HG16" s="480">
        <v>0</v>
      </c>
      <c r="HH16" s="482"/>
      <c r="HI16" s="480">
        <v>4</v>
      </c>
      <c r="HJ16" s="482"/>
      <c r="HK16" s="480">
        <v>1</v>
      </c>
      <c r="HL16" s="482"/>
      <c r="HM16" s="480">
        <v>4</v>
      </c>
      <c r="HN16" s="482"/>
      <c r="HO16" s="480">
        <v>0</v>
      </c>
      <c r="HP16" s="482"/>
      <c r="HQ16" s="480">
        <v>30</v>
      </c>
      <c r="HR16" s="482"/>
      <c r="HS16" s="480">
        <v>13</v>
      </c>
      <c r="HT16" s="482"/>
      <c r="HU16" s="466">
        <f>HE16+HS16</f>
        <v>52</v>
      </c>
      <c r="HV16" s="466"/>
    </row>
    <row r="17" spans="1:230" ht="54" customHeight="1" x14ac:dyDescent="0.4">
      <c r="C17" s="150"/>
      <c r="D17" s="156"/>
      <c r="E17" s="156"/>
      <c r="F17" s="156"/>
      <c r="G17" s="156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6"/>
      <c r="DP17" s="156"/>
      <c r="DQ17" s="156"/>
      <c r="DR17" s="156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8"/>
      <c r="EJ17" s="158"/>
      <c r="EK17" s="158"/>
      <c r="EL17" s="158"/>
      <c r="EM17" s="158"/>
      <c r="EN17" s="153"/>
      <c r="EO17" s="153"/>
      <c r="EP17" s="153"/>
      <c r="EQ17" s="153"/>
      <c r="ER17" s="155"/>
      <c r="ES17" s="155"/>
      <c r="ET17" s="155"/>
      <c r="EU17" s="19"/>
      <c r="EV17" s="19"/>
      <c r="EW17" s="19"/>
      <c r="FC17" s="483" t="s">
        <v>3</v>
      </c>
      <c r="FD17" s="483"/>
      <c r="FE17" s="174" t="s">
        <v>64</v>
      </c>
      <c r="FF17" s="174" t="s">
        <v>50</v>
      </c>
      <c r="FG17" s="238" t="s">
        <v>67</v>
      </c>
      <c r="FH17" s="238" t="s">
        <v>67</v>
      </c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74" t="s">
        <v>64</v>
      </c>
      <c r="FW17" s="174" t="s">
        <v>64</v>
      </c>
      <c r="FX17" s="149"/>
      <c r="FY17" s="149"/>
      <c r="FZ17" s="238" t="s">
        <v>66</v>
      </c>
      <c r="GA17" s="238" t="s">
        <v>66</v>
      </c>
      <c r="GB17" s="149"/>
      <c r="GC17" s="149"/>
      <c r="GD17" s="149"/>
      <c r="GE17" s="149"/>
      <c r="GF17" s="149"/>
      <c r="GG17" s="149"/>
      <c r="GH17" s="149"/>
      <c r="GI17" s="238" t="s">
        <v>67</v>
      </c>
      <c r="GJ17" s="238" t="s">
        <v>67</v>
      </c>
      <c r="GK17" s="149"/>
      <c r="GL17" s="149"/>
      <c r="GM17" s="149"/>
      <c r="GN17" s="149"/>
      <c r="GO17" s="149"/>
      <c r="GP17" s="149"/>
      <c r="GQ17" s="149"/>
      <c r="GR17" s="149"/>
      <c r="GS17" s="238" t="s">
        <v>66</v>
      </c>
      <c r="GT17" s="238" t="s">
        <v>66</v>
      </c>
      <c r="GU17" s="174" t="s">
        <v>64</v>
      </c>
      <c r="GV17" s="174" t="s">
        <v>64</v>
      </c>
      <c r="GW17" s="174" t="s">
        <v>64</v>
      </c>
      <c r="GX17" s="174" t="s">
        <v>64</v>
      </c>
      <c r="GY17" s="174" t="s">
        <v>64</v>
      </c>
      <c r="GZ17" s="174" t="s">
        <v>64</v>
      </c>
      <c r="HA17" s="174" t="s">
        <v>64</v>
      </c>
      <c r="HB17" s="174" t="s">
        <v>64</v>
      </c>
      <c r="HC17" s="174" t="s">
        <v>64</v>
      </c>
      <c r="HD17" s="174" t="s">
        <v>64</v>
      </c>
      <c r="HE17" s="480">
        <f>SUM(HG17:HR17)</f>
        <v>39</v>
      </c>
      <c r="HF17" s="482"/>
      <c r="HG17" s="480">
        <v>0</v>
      </c>
      <c r="HH17" s="482"/>
      <c r="HI17" s="480">
        <v>4</v>
      </c>
      <c r="HJ17" s="482"/>
      <c r="HK17" s="480">
        <v>1</v>
      </c>
      <c r="HL17" s="482"/>
      <c r="HM17" s="480">
        <v>4</v>
      </c>
      <c r="HN17" s="482"/>
      <c r="HO17" s="480">
        <v>0</v>
      </c>
      <c r="HP17" s="482"/>
      <c r="HQ17" s="480">
        <v>30</v>
      </c>
      <c r="HR17" s="482"/>
      <c r="HS17" s="480">
        <v>13</v>
      </c>
      <c r="HT17" s="482"/>
      <c r="HU17" s="466">
        <f>HE17+HS17</f>
        <v>52</v>
      </c>
      <c r="HV17" s="466"/>
    </row>
    <row r="18" spans="1:230" ht="54" customHeight="1" x14ac:dyDescent="0.4">
      <c r="C18" s="150"/>
      <c r="D18" s="156"/>
      <c r="E18" s="156"/>
      <c r="F18" s="156"/>
      <c r="G18" s="156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6"/>
      <c r="DP18" s="156"/>
      <c r="DQ18" s="156"/>
      <c r="DR18" s="156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8"/>
      <c r="EJ18" s="158"/>
      <c r="EK18" s="158"/>
      <c r="EL18" s="158"/>
      <c r="EM18" s="158"/>
      <c r="EN18" s="153"/>
      <c r="EO18" s="153"/>
      <c r="EP18" s="153"/>
      <c r="EQ18" s="153"/>
      <c r="ER18" s="155"/>
      <c r="ES18" s="155"/>
      <c r="ET18" s="155"/>
      <c r="EU18" s="19"/>
      <c r="EV18" s="19"/>
      <c r="EW18" s="19"/>
      <c r="FC18" s="483" t="s">
        <v>4</v>
      </c>
      <c r="FD18" s="483"/>
      <c r="FE18" s="174" t="s">
        <v>64</v>
      </c>
      <c r="FF18" s="174" t="s">
        <v>50</v>
      </c>
      <c r="FG18" s="238" t="s">
        <v>67</v>
      </c>
      <c r="FH18" s="238" t="s">
        <v>67</v>
      </c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74" t="s">
        <v>64</v>
      </c>
      <c r="FW18" s="174" t="s">
        <v>64</v>
      </c>
      <c r="FX18" s="149"/>
      <c r="FY18" s="149"/>
      <c r="FZ18" s="238" t="s">
        <v>66</v>
      </c>
      <c r="GA18" s="238" t="s">
        <v>66</v>
      </c>
      <c r="GB18" s="149"/>
      <c r="GC18" s="149"/>
      <c r="GD18" s="149"/>
      <c r="GE18" s="149"/>
      <c r="GF18" s="149"/>
      <c r="GG18" s="149"/>
      <c r="GH18" s="149"/>
      <c r="GI18" s="238" t="s">
        <v>67</v>
      </c>
      <c r="GJ18" s="238" t="s">
        <v>67</v>
      </c>
      <c r="GK18" s="149"/>
      <c r="GL18" s="149"/>
      <c r="GM18" s="149"/>
      <c r="GN18" s="149"/>
      <c r="GO18" s="149"/>
      <c r="GP18" s="149"/>
      <c r="GQ18" s="149"/>
      <c r="GR18" s="149"/>
      <c r="GS18" s="238" t="s">
        <v>66</v>
      </c>
      <c r="GT18" s="238" t="s">
        <v>66</v>
      </c>
      <c r="GU18" s="174" t="s">
        <v>20</v>
      </c>
      <c r="GV18" s="174" t="s">
        <v>20</v>
      </c>
      <c r="GW18" s="174" t="s">
        <v>64</v>
      </c>
      <c r="GX18" s="174" t="s">
        <v>64</v>
      </c>
      <c r="GY18" s="174" t="s">
        <v>64</v>
      </c>
      <c r="GZ18" s="174" t="s">
        <v>64</v>
      </c>
      <c r="HA18" s="174"/>
      <c r="HB18" s="174"/>
      <c r="HC18" s="174"/>
      <c r="HD18" s="174"/>
      <c r="HE18" s="480">
        <f>SUM(HG18:HR18)</f>
        <v>41</v>
      </c>
      <c r="HF18" s="482"/>
      <c r="HG18" s="480">
        <v>0</v>
      </c>
      <c r="HH18" s="482"/>
      <c r="HI18" s="480">
        <v>4</v>
      </c>
      <c r="HJ18" s="482"/>
      <c r="HK18" s="480">
        <v>1</v>
      </c>
      <c r="HL18" s="482"/>
      <c r="HM18" s="480">
        <v>4</v>
      </c>
      <c r="HN18" s="482"/>
      <c r="HO18" s="480">
        <v>2</v>
      </c>
      <c r="HP18" s="482"/>
      <c r="HQ18" s="480">
        <v>30</v>
      </c>
      <c r="HR18" s="482"/>
      <c r="HS18" s="480">
        <v>7</v>
      </c>
      <c r="HT18" s="482"/>
      <c r="HU18" s="466">
        <f>HE18+HS18</f>
        <v>48</v>
      </c>
      <c r="HV18" s="466"/>
    </row>
    <row r="19" spans="1:230" ht="54" customHeight="1" x14ac:dyDescent="0.6">
      <c r="C19" s="150"/>
      <c r="D19" s="156"/>
      <c r="E19" s="156"/>
      <c r="F19" s="156"/>
      <c r="G19" s="156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6"/>
      <c r="DP19" s="156"/>
      <c r="DQ19" s="156"/>
      <c r="DR19" s="156"/>
      <c r="DS19" s="158"/>
      <c r="DT19" s="158"/>
      <c r="DU19" s="158"/>
      <c r="DV19" s="158"/>
      <c r="DW19" s="158"/>
      <c r="DX19" s="158"/>
      <c r="DY19" s="158"/>
      <c r="DZ19" s="158"/>
      <c r="EA19" s="158"/>
      <c r="EB19" s="158"/>
      <c r="EC19" s="158"/>
      <c r="ED19" s="158"/>
      <c r="EE19" s="158"/>
      <c r="EF19" s="158"/>
      <c r="EG19" s="158"/>
      <c r="EH19" s="158"/>
      <c r="EI19" s="158"/>
      <c r="EJ19" s="158"/>
      <c r="EK19" s="158"/>
      <c r="EL19" s="158"/>
      <c r="EM19" s="158"/>
      <c r="EN19" s="153"/>
      <c r="EO19" s="153"/>
      <c r="EP19" s="153"/>
      <c r="EQ19" s="153"/>
      <c r="ER19" s="155"/>
      <c r="ES19" s="155"/>
      <c r="ET19" s="155"/>
      <c r="EU19" s="19"/>
      <c r="EV19" s="19"/>
      <c r="EW19" s="19"/>
      <c r="FC19" s="485" t="s">
        <v>28</v>
      </c>
      <c r="FD19" s="485"/>
      <c r="FE19" s="485"/>
      <c r="FF19" s="485"/>
      <c r="FG19" s="485"/>
      <c r="FH19" s="485"/>
      <c r="FI19" s="485"/>
      <c r="FJ19" s="485"/>
      <c r="FK19" s="485"/>
      <c r="FL19" s="485"/>
      <c r="FM19" s="485"/>
      <c r="FN19" s="485"/>
      <c r="FO19" s="485"/>
      <c r="FP19" s="485"/>
      <c r="FQ19" s="485"/>
      <c r="FR19" s="485"/>
      <c r="FS19" s="485"/>
      <c r="FT19" s="485"/>
      <c r="FU19" s="485"/>
      <c r="FV19" s="485"/>
      <c r="FW19" s="485"/>
      <c r="FX19" s="485"/>
      <c r="FY19" s="485"/>
      <c r="FZ19" s="485"/>
      <c r="GA19" s="485"/>
      <c r="GB19" s="485"/>
      <c r="GC19" s="485"/>
      <c r="GD19" s="485"/>
      <c r="GE19" s="485"/>
      <c r="GF19" s="485"/>
      <c r="GG19" s="485"/>
      <c r="GH19" s="485"/>
      <c r="GI19" s="485"/>
      <c r="GJ19" s="485"/>
      <c r="GK19" s="485"/>
      <c r="GL19" s="485"/>
      <c r="GM19" s="485"/>
      <c r="GN19" s="485"/>
      <c r="GO19" s="485"/>
      <c r="GP19" s="485"/>
      <c r="GQ19" s="485"/>
      <c r="GR19" s="485"/>
      <c r="GS19" s="485"/>
      <c r="GT19" s="485"/>
      <c r="GU19" s="485"/>
      <c r="GV19" s="485"/>
      <c r="GW19" s="485"/>
      <c r="GX19" s="485"/>
      <c r="GY19" s="485"/>
      <c r="GZ19" s="485"/>
      <c r="HA19" s="485"/>
      <c r="HB19" s="485"/>
      <c r="HC19" s="485"/>
      <c r="HD19" s="485"/>
      <c r="HE19" s="480">
        <f>SUM(HE15:HF18)</f>
        <v>158</v>
      </c>
      <c r="HF19" s="482"/>
      <c r="HG19" s="480">
        <f>SUM(HG15:HH18)</f>
        <v>30</v>
      </c>
      <c r="HH19" s="482"/>
      <c r="HI19" s="480">
        <f>SUM(HI15:HJ18)</f>
        <v>16</v>
      </c>
      <c r="HJ19" s="482"/>
      <c r="HK19" s="480">
        <f>SUM(HK15:HL18)</f>
        <v>5</v>
      </c>
      <c r="HL19" s="482"/>
      <c r="HM19" s="480">
        <f>SUM(HM15:HN18)</f>
        <v>15</v>
      </c>
      <c r="HN19" s="482"/>
      <c r="HO19" s="480">
        <f>SUM(HO15:HP18)</f>
        <v>2</v>
      </c>
      <c r="HP19" s="482"/>
      <c r="HQ19" s="480">
        <f>SUM(HQ15:HR18)</f>
        <v>90</v>
      </c>
      <c r="HR19" s="482"/>
      <c r="HS19" s="480">
        <f>SUM(HS15:HT18)</f>
        <v>46</v>
      </c>
      <c r="HT19" s="482"/>
      <c r="HU19" s="480">
        <f>SUM(HU15:HV18)</f>
        <v>204</v>
      </c>
      <c r="HV19" s="482"/>
    </row>
    <row r="20" spans="1:230" ht="57" customHeight="1" thickBot="1" x14ac:dyDescent="0.45">
      <c r="C20" s="150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G20" s="156"/>
      <c r="DH20" s="156"/>
      <c r="DI20" s="156"/>
      <c r="DJ20" s="156"/>
      <c r="DK20" s="156"/>
      <c r="DL20" s="156"/>
      <c r="DM20" s="156"/>
      <c r="DN20" s="156"/>
      <c r="DO20" s="156"/>
      <c r="DP20" s="156"/>
      <c r="DQ20" s="156"/>
      <c r="DR20" s="156"/>
      <c r="DS20" s="156"/>
      <c r="DT20" s="156"/>
      <c r="DU20" s="156"/>
      <c r="DV20" s="156"/>
      <c r="DW20" s="156"/>
      <c r="DX20" s="156"/>
      <c r="DY20" s="156"/>
      <c r="DZ20" s="156"/>
      <c r="EA20" s="156"/>
      <c r="EB20" s="156"/>
      <c r="EC20" s="156"/>
      <c r="ED20" s="156"/>
      <c r="EE20" s="156"/>
      <c r="EF20" s="156"/>
      <c r="EG20" s="156"/>
      <c r="EH20" s="156"/>
      <c r="EI20" s="156"/>
      <c r="EJ20" s="156"/>
      <c r="EK20" s="156"/>
      <c r="EL20" s="156"/>
      <c r="EM20" s="156"/>
      <c r="EN20" s="153"/>
      <c r="EO20" s="153"/>
      <c r="EP20" s="153"/>
      <c r="EQ20" s="153"/>
      <c r="ER20" s="155"/>
      <c r="ES20" s="155"/>
      <c r="ET20" s="155"/>
      <c r="EU20" s="19"/>
      <c r="EV20" s="19"/>
      <c r="EW20" s="19"/>
    </row>
    <row r="21" spans="1:230" ht="120" customHeight="1" thickBot="1" x14ac:dyDescent="0.45">
      <c r="C21" s="150"/>
      <c r="D21" s="150"/>
      <c r="E21" s="159"/>
      <c r="F21" s="160"/>
      <c r="G21" s="161"/>
      <c r="H21" s="161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0"/>
      <c r="CZ21" s="160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0"/>
      <c r="DL21" s="160"/>
      <c r="DM21" s="160"/>
      <c r="DN21" s="160"/>
      <c r="DO21" s="160"/>
      <c r="DP21" s="160"/>
      <c r="DQ21" s="160"/>
      <c r="DR21" s="160"/>
      <c r="DS21" s="160"/>
      <c r="DT21" s="160"/>
      <c r="DU21" s="160"/>
      <c r="DV21" s="160"/>
      <c r="DW21" s="160"/>
      <c r="DX21" s="160"/>
      <c r="DY21" s="160"/>
      <c r="DZ21" s="160"/>
      <c r="EA21" s="160"/>
      <c r="EB21" s="159"/>
      <c r="EC21" s="159"/>
      <c r="ED21" s="159"/>
      <c r="EE21" s="159"/>
      <c r="EF21" s="159"/>
      <c r="EG21" s="159"/>
      <c r="EH21" s="159"/>
      <c r="EI21" s="159"/>
      <c r="EJ21" s="155"/>
      <c r="EK21" s="155"/>
      <c r="EL21" s="155"/>
      <c r="EM21" s="162"/>
      <c r="EN21" s="162"/>
      <c r="EO21" s="162"/>
      <c r="EP21" s="162"/>
      <c r="EQ21" s="162"/>
      <c r="ER21" s="155"/>
      <c r="ES21" s="155"/>
      <c r="ET21" s="155"/>
      <c r="FC21" s="24"/>
      <c r="FD21" s="801"/>
      <c r="FE21" s="802"/>
      <c r="FF21" s="803"/>
      <c r="FG21" s="798" t="s">
        <v>279</v>
      </c>
      <c r="FH21" s="799"/>
      <c r="FI21" s="799"/>
      <c r="FJ21" s="799"/>
      <c r="FK21" s="799"/>
      <c r="FL21" s="800"/>
      <c r="FM21" s="239"/>
      <c r="FN21" s="806"/>
      <c r="FO21" s="807"/>
      <c r="FP21" s="808"/>
      <c r="FQ21" s="798" t="s">
        <v>285</v>
      </c>
      <c r="FR21" s="799"/>
      <c r="FS21" s="799"/>
      <c r="FT21" s="799"/>
      <c r="FU21" s="799"/>
      <c r="FV21" s="800"/>
      <c r="FW21" s="239"/>
      <c r="FX21" s="801" t="s">
        <v>67</v>
      </c>
      <c r="FY21" s="802"/>
      <c r="FZ21" s="803"/>
      <c r="GA21" s="798" t="s">
        <v>16</v>
      </c>
      <c r="GB21" s="799"/>
      <c r="GC21" s="799"/>
      <c r="GD21" s="799"/>
      <c r="GE21" s="799"/>
      <c r="GF21" s="800"/>
      <c r="GG21" s="239"/>
      <c r="GH21" s="801" t="s">
        <v>50</v>
      </c>
      <c r="GI21" s="802"/>
      <c r="GJ21" s="803"/>
      <c r="GK21" s="798" t="s">
        <v>17</v>
      </c>
      <c r="GL21" s="799"/>
      <c r="GM21" s="799"/>
      <c r="GN21" s="799"/>
      <c r="GO21" s="799"/>
      <c r="GP21" s="800"/>
      <c r="GQ21" s="239"/>
      <c r="GR21" s="801" t="s">
        <v>66</v>
      </c>
      <c r="GS21" s="802"/>
      <c r="GT21" s="803"/>
      <c r="GU21" s="798" t="s">
        <v>18</v>
      </c>
      <c r="GV21" s="799"/>
      <c r="GW21" s="799"/>
      <c r="GX21" s="799"/>
      <c r="GY21" s="799"/>
      <c r="GZ21" s="800"/>
      <c r="HA21" s="239"/>
      <c r="HB21" s="801" t="s">
        <v>20</v>
      </c>
      <c r="HC21" s="802"/>
      <c r="HD21" s="803"/>
      <c r="HE21" s="798" t="s">
        <v>19</v>
      </c>
      <c r="HF21" s="799"/>
      <c r="HG21" s="799"/>
      <c r="HH21" s="799"/>
      <c r="HI21" s="799"/>
      <c r="HJ21" s="800"/>
      <c r="HK21" s="239"/>
      <c r="HL21" s="801" t="s">
        <v>64</v>
      </c>
      <c r="HM21" s="802"/>
      <c r="HN21" s="803"/>
      <c r="HO21" s="798" t="s">
        <v>286</v>
      </c>
      <c r="HP21" s="799"/>
      <c r="HQ21" s="799"/>
      <c r="HR21" s="799"/>
      <c r="HS21" s="799"/>
      <c r="HT21" s="800"/>
      <c r="HU21" s="24"/>
      <c r="HV21" s="24"/>
    </row>
    <row r="22" spans="1:230" s="24" customFormat="1" ht="78" customHeight="1" x14ac:dyDescent="0.2">
      <c r="A22" s="20"/>
      <c r="B22" s="20"/>
      <c r="C22" s="165"/>
      <c r="D22" s="165"/>
      <c r="E22" s="165"/>
      <c r="F22" s="165"/>
      <c r="G22" s="165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66"/>
      <c r="V22" s="166"/>
      <c r="W22" s="166"/>
      <c r="X22" s="165"/>
      <c r="Y22" s="165"/>
      <c r="Z22" s="165"/>
      <c r="AA22" s="165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8"/>
      <c r="BA22" s="168"/>
      <c r="BB22" s="168"/>
      <c r="BC22" s="168"/>
      <c r="BD22" s="168"/>
      <c r="BE22" s="168"/>
      <c r="BF22" s="168"/>
      <c r="BG22" s="169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8"/>
      <c r="BY22" s="168"/>
      <c r="BZ22" s="168"/>
      <c r="CA22" s="168"/>
      <c r="CB22" s="168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5"/>
      <c r="CV22" s="165"/>
      <c r="CW22" s="165"/>
      <c r="CX22" s="165"/>
      <c r="CY22" s="165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5"/>
      <c r="DN22" s="165"/>
      <c r="DO22" s="165"/>
      <c r="DP22" s="165"/>
      <c r="DQ22" s="165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C22" s="167"/>
      <c r="ED22" s="165"/>
      <c r="EE22" s="165"/>
      <c r="EF22" s="165"/>
      <c r="EG22" s="165"/>
      <c r="EH22" s="165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</row>
    <row r="23" spans="1:230" ht="100.5" customHeight="1" thickBot="1" x14ac:dyDescent="0.25">
      <c r="A23" s="459" t="s">
        <v>271</v>
      </c>
      <c r="B23" s="459"/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  <c r="N23" s="459"/>
      <c r="O23" s="459"/>
      <c r="P23" s="459"/>
      <c r="Q23" s="459"/>
      <c r="R23" s="459"/>
      <c r="S23" s="459"/>
      <c r="T23" s="459"/>
      <c r="U23" s="459"/>
      <c r="V23" s="459"/>
      <c r="W23" s="459"/>
      <c r="X23" s="459"/>
      <c r="Y23" s="459"/>
      <c r="Z23" s="459"/>
      <c r="AA23" s="459"/>
      <c r="AB23" s="459"/>
      <c r="AC23" s="459"/>
      <c r="AD23" s="459"/>
      <c r="AE23" s="459"/>
      <c r="AF23" s="459"/>
      <c r="AG23" s="459"/>
      <c r="AH23" s="459"/>
      <c r="AI23" s="459"/>
      <c r="AJ23" s="459"/>
      <c r="AK23" s="459"/>
      <c r="AL23" s="459"/>
      <c r="AM23" s="459"/>
      <c r="AN23" s="459"/>
      <c r="AO23" s="459"/>
      <c r="AP23" s="459"/>
      <c r="AQ23" s="459"/>
      <c r="AR23" s="459"/>
      <c r="AS23" s="459"/>
      <c r="AT23" s="459"/>
      <c r="AU23" s="459"/>
      <c r="AV23" s="459"/>
      <c r="AW23" s="459"/>
      <c r="AX23" s="459"/>
      <c r="AY23" s="459"/>
      <c r="AZ23" s="459"/>
      <c r="BA23" s="459"/>
      <c r="BB23" s="459"/>
      <c r="BC23" s="459"/>
      <c r="BD23" s="459"/>
      <c r="BE23" s="459"/>
      <c r="BF23" s="459"/>
      <c r="BG23" s="459"/>
      <c r="BH23" s="459"/>
      <c r="BI23" s="459"/>
      <c r="BJ23" s="459"/>
      <c r="BK23" s="459"/>
      <c r="BL23" s="459"/>
      <c r="BM23" s="459"/>
      <c r="BN23" s="459"/>
      <c r="BO23" s="459"/>
      <c r="BP23" s="459"/>
      <c r="BQ23" s="459"/>
      <c r="BR23" s="459"/>
      <c r="BS23" s="459"/>
      <c r="BT23" s="459"/>
      <c r="BU23" s="459"/>
      <c r="BV23" s="459"/>
      <c r="BW23" s="459"/>
      <c r="BX23" s="459"/>
      <c r="BY23" s="459"/>
      <c r="BZ23" s="459"/>
      <c r="CA23" s="459"/>
      <c r="CB23" s="459"/>
      <c r="CC23" s="459"/>
      <c r="CD23" s="459"/>
      <c r="CE23" s="459"/>
      <c r="CF23" s="459"/>
      <c r="CG23" s="459"/>
      <c r="CH23" s="459"/>
      <c r="CI23" s="459"/>
      <c r="CJ23" s="459"/>
      <c r="CK23" s="459"/>
      <c r="CL23" s="459"/>
      <c r="CM23" s="459"/>
      <c r="CN23" s="459"/>
      <c r="CO23" s="459"/>
      <c r="CP23" s="459"/>
      <c r="CQ23" s="459"/>
      <c r="CR23" s="459"/>
      <c r="CS23" s="459"/>
      <c r="CT23" s="459"/>
      <c r="CU23" s="459"/>
      <c r="CV23" s="459"/>
      <c r="CW23" s="459"/>
      <c r="CX23" s="459"/>
      <c r="CY23" s="459"/>
      <c r="CZ23" s="459"/>
      <c r="DA23" s="459"/>
      <c r="DB23" s="459"/>
      <c r="DC23" s="459"/>
      <c r="DD23" s="459"/>
      <c r="DE23" s="459"/>
      <c r="DF23" s="459"/>
      <c r="DG23" s="459"/>
      <c r="DH23" s="459"/>
      <c r="DI23" s="459"/>
      <c r="DJ23" s="459"/>
      <c r="DK23" s="459"/>
      <c r="DL23" s="459"/>
      <c r="DM23" s="459"/>
      <c r="DN23" s="459"/>
      <c r="DO23" s="459"/>
      <c r="DP23" s="459"/>
      <c r="DQ23" s="459"/>
      <c r="DR23" s="459"/>
      <c r="DS23" s="459"/>
      <c r="DT23" s="459"/>
      <c r="DU23" s="459"/>
      <c r="DV23" s="459"/>
      <c r="DW23" s="459"/>
      <c r="DX23" s="459"/>
      <c r="DY23" s="459"/>
      <c r="DZ23" s="459"/>
      <c r="EA23" s="459"/>
      <c r="EB23" s="459"/>
      <c r="EC23" s="459"/>
      <c r="ED23" s="459"/>
      <c r="EE23" s="459"/>
      <c r="EF23" s="459"/>
      <c r="EG23" s="459"/>
      <c r="EH23" s="459"/>
      <c r="EI23" s="459"/>
      <c r="EJ23" s="459"/>
      <c r="EK23" s="459"/>
      <c r="EL23" s="459"/>
      <c r="EM23" s="459"/>
      <c r="EN23" s="459"/>
      <c r="EO23" s="459"/>
      <c r="EP23" s="459"/>
      <c r="EQ23" s="459"/>
      <c r="ER23" s="459"/>
      <c r="ES23" s="459"/>
      <c r="ET23" s="459"/>
      <c r="EU23" s="459"/>
      <c r="EV23" s="459"/>
      <c r="EW23" s="459"/>
      <c r="EX23" s="459"/>
      <c r="EY23" s="459"/>
    </row>
    <row r="24" spans="1:230" s="61" customFormat="1" ht="124.5" customHeight="1" thickTop="1" x14ac:dyDescent="0.45">
      <c r="A24" s="600" t="s">
        <v>29</v>
      </c>
      <c r="B24" s="603" t="s">
        <v>68</v>
      </c>
      <c r="C24" s="604" t="s">
        <v>69</v>
      </c>
      <c r="D24" s="604"/>
      <c r="E24" s="604"/>
      <c r="F24" s="604"/>
      <c r="G24" s="604"/>
      <c r="H24" s="604"/>
      <c r="I24" s="604"/>
      <c r="J24" s="604"/>
      <c r="K24" s="604"/>
      <c r="L24" s="604"/>
      <c r="M24" s="604"/>
      <c r="N24" s="604"/>
      <c r="O24" s="604"/>
      <c r="P24" s="604"/>
      <c r="Q24" s="604"/>
      <c r="R24" s="604"/>
      <c r="S24" s="604"/>
      <c r="T24" s="604"/>
      <c r="U24" s="604"/>
      <c r="V24" s="604"/>
      <c r="W24" s="604"/>
      <c r="X24" s="604"/>
      <c r="Y24" s="604"/>
      <c r="Z24" s="605" t="s">
        <v>70</v>
      </c>
      <c r="AA24" s="606"/>
      <c r="AB24" s="606"/>
      <c r="AC24" s="606"/>
      <c r="AD24" s="606"/>
      <c r="AE24" s="606"/>
      <c r="AF24" s="606"/>
      <c r="AG24" s="606"/>
      <c r="AH24" s="606"/>
      <c r="AI24" s="606"/>
      <c r="AJ24" s="606"/>
      <c r="AK24" s="606"/>
      <c r="AL24" s="606"/>
      <c r="AM24" s="606"/>
      <c r="AN24" s="606"/>
      <c r="AO24" s="606"/>
      <c r="AP24" s="606"/>
      <c r="AQ24" s="606"/>
      <c r="AR24" s="606"/>
      <c r="AS24" s="606"/>
      <c r="AT24" s="606"/>
      <c r="AU24" s="606"/>
      <c r="AV24" s="606"/>
      <c r="AW24" s="606"/>
      <c r="AX24" s="606"/>
      <c r="AY24" s="606"/>
      <c r="AZ24" s="606"/>
      <c r="BA24" s="606"/>
      <c r="BB24" s="606"/>
      <c r="BC24" s="606"/>
      <c r="BD24" s="606"/>
      <c r="BE24" s="606"/>
      <c r="BF24" s="606"/>
      <c r="BG24" s="606"/>
      <c r="BH24" s="606"/>
      <c r="BI24" s="606"/>
      <c r="BJ24" s="606"/>
      <c r="BK24" s="606"/>
      <c r="BL24" s="606"/>
      <c r="BM24" s="606"/>
      <c r="BN24" s="607"/>
      <c r="BO24" s="607"/>
      <c r="BP24" s="607"/>
      <c r="BQ24" s="607"/>
      <c r="BR24" s="608"/>
      <c r="BS24" s="609" t="s">
        <v>34</v>
      </c>
      <c r="BT24" s="610"/>
      <c r="BU24" s="610"/>
      <c r="BV24" s="610"/>
      <c r="BW24" s="610"/>
      <c r="BX24" s="610"/>
      <c r="BY24" s="610"/>
      <c r="BZ24" s="610"/>
      <c r="CA24" s="610"/>
      <c r="CB24" s="610"/>
      <c r="CC24" s="610"/>
      <c r="CD24" s="610"/>
      <c r="CE24" s="610"/>
      <c r="CF24" s="610"/>
      <c r="CG24" s="610"/>
      <c r="CH24" s="610"/>
      <c r="CI24" s="610"/>
      <c r="CJ24" s="610"/>
      <c r="CK24" s="610"/>
      <c r="CL24" s="610"/>
      <c r="CM24" s="610"/>
      <c r="CN24" s="610"/>
      <c r="CO24" s="610"/>
      <c r="CP24" s="610"/>
      <c r="CQ24" s="610"/>
      <c r="CR24" s="610"/>
      <c r="CS24" s="610"/>
      <c r="CT24" s="610"/>
      <c r="CU24" s="610"/>
      <c r="CV24" s="610"/>
      <c r="CW24" s="610"/>
      <c r="CX24" s="610"/>
      <c r="CY24" s="610"/>
      <c r="CZ24" s="610"/>
      <c r="DA24" s="610"/>
      <c r="DB24" s="610"/>
      <c r="DC24" s="610"/>
      <c r="DD24" s="610"/>
      <c r="DE24" s="610"/>
      <c r="DF24" s="611"/>
      <c r="DG24" s="609" t="s">
        <v>287</v>
      </c>
      <c r="DH24" s="610"/>
      <c r="DI24" s="610"/>
      <c r="DJ24" s="610"/>
      <c r="DK24" s="610"/>
      <c r="DL24" s="610"/>
      <c r="DM24" s="610"/>
      <c r="DN24" s="610"/>
      <c r="DO24" s="610"/>
      <c r="DP24" s="610"/>
      <c r="DQ24" s="610"/>
      <c r="DR24" s="610"/>
      <c r="DS24" s="610"/>
      <c r="DT24" s="610"/>
      <c r="DU24" s="610"/>
      <c r="DV24" s="610"/>
      <c r="DW24" s="610"/>
      <c r="DX24" s="610"/>
      <c r="DY24" s="610"/>
      <c r="DZ24" s="610"/>
      <c r="EA24" s="610"/>
      <c r="EB24" s="610"/>
      <c r="EC24" s="610"/>
      <c r="ED24" s="610"/>
      <c r="EE24" s="610"/>
      <c r="EF24" s="610"/>
      <c r="EG24" s="610"/>
      <c r="EH24" s="610"/>
      <c r="EI24" s="610"/>
      <c r="EJ24" s="610"/>
      <c r="EK24" s="610"/>
      <c r="EL24" s="610"/>
      <c r="EM24" s="610"/>
      <c r="EN24" s="610"/>
      <c r="EO24" s="610"/>
      <c r="EP24" s="610"/>
      <c r="EQ24" s="610"/>
      <c r="ER24" s="610"/>
      <c r="ES24" s="610"/>
      <c r="ET24" s="611"/>
      <c r="EU24" s="790" t="s">
        <v>40</v>
      </c>
      <c r="EV24" s="791"/>
      <c r="EW24" s="791"/>
      <c r="EX24" s="792"/>
      <c r="EY24" s="793"/>
    </row>
    <row r="25" spans="1:230" s="62" customFormat="1" ht="68.25" customHeight="1" x14ac:dyDescent="0.45">
      <c r="A25" s="601"/>
      <c r="B25" s="400"/>
      <c r="C25" s="414"/>
      <c r="D25" s="414"/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328" t="s">
        <v>71</v>
      </c>
      <c r="AA25" s="329"/>
      <c r="AB25" s="329"/>
      <c r="AC25" s="329"/>
      <c r="AD25" s="329"/>
      <c r="AE25" s="329"/>
      <c r="AF25" s="329"/>
      <c r="AG25" s="329"/>
      <c r="AH25" s="329"/>
      <c r="AI25" s="330"/>
      <c r="AJ25" s="804" t="s">
        <v>72</v>
      </c>
      <c r="AK25" s="805"/>
      <c r="AL25" s="805"/>
      <c r="AM25" s="805"/>
      <c r="AN25" s="805"/>
      <c r="AO25" s="805"/>
      <c r="AP25" s="805"/>
      <c r="AQ25" s="805"/>
      <c r="AR25" s="805"/>
      <c r="AS25" s="805"/>
      <c r="AT25" s="805"/>
      <c r="AU25" s="805"/>
      <c r="AV25" s="805"/>
      <c r="AW25" s="805"/>
      <c r="AX25" s="805"/>
      <c r="AY25" s="805"/>
      <c r="AZ25" s="805"/>
      <c r="BA25" s="805"/>
      <c r="BB25" s="805"/>
      <c r="BC25" s="805"/>
      <c r="BD25" s="805"/>
      <c r="BE25" s="805"/>
      <c r="BF25" s="805"/>
      <c r="BG25" s="805"/>
      <c r="BH25" s="805"/>
      <c r="BI25" s="805"/>
      <c r="BJ25" s="805"/>
      <c r="BK25" s="805"/>
      <c r="BL25" s="805"/>
      <c r="BM25" s="805"/>
      <c r="BN25" s="427" t="s">
        <v>319</v>
      </c>
      <c r="BO25" s="427"/>
      <c r="BP25" s="427"/>
      <c r="BQ25" s="427"/>
      <c r="BR25" s="622"/>
      <c r="BS25" s="788" t="s">
        <v>31</v>
      </c>
      <c r="BT25" s="420"/>
      <c r="BU25" s="420"/>
      <c r="BV25" s="420"/>
      <c r="BW25" s="420"/>
      <c r="BX25" s="420"/>
      <c r="BY25" s="420"/>
      <c r="BZ25" s="420"/>
      <c r="CA25" s="420"/>
      <c r="CB25" s="420"/>
      <c r="CC25" s="420" t="s">
        <v>32</v>
      </c>
      <c r="CD25" s="420"/>
      <c r="CE25" s="420"/>
      <c r="CF25" s="420"/>
      <c r="CG25" s="420"/>
      <c r="CH25" s="420"/>
      <c r="CI25" s="420"/>
      <c r="CJ25" s="420"/>
      <c r="CK25" s="420"/>
      <c r="CL25" s="420"/>
      <c r="CM25" s="420" t="s">
        <v>33</v>
      </c>
      <c r="CN25" s="420"/>
      <c r="CO25" s="420"/>
      <c r="CP25" s="420"/>
      <c r="CQ25" s="420"/>
      <c r="CR25" s="420"/>
      <c r="CS25" s="420"/>
      <c r="CT25" s="420"/>
      <c r="CU25" s="420"/>
      <c r="CV25" s="420"/>
      <c r="CW25" s="420" t="s">
        <v>78</v>
      </c>
      <c r="CX25" s="420"/>
      <c r="CY25" s="420"/>
      <c r="CZ25" s="420"/>
      <c r="DA25" s="420"/>
      <c r="DB25" s="420"/>
      <c r="DC25" s="420"/>
      <c r="DD25" s="420"/>
      <c r="DE25" s="420"/>
      <c r="DF25" s="624"/>
      <c r="DG25" s="788" t="s">
        <v>31</v>
      </c>
      <c r="DH25" s="420"/>
      <c r="DI25" s="420"/>
      <c r="DJ25" s="420"/>
      <c r="DK25" s="420"/>
      <c r="DL25" s="420"/>
      <c r="DM25" s="420"/>
      <c r="DN25" s="420"/>
      <c r="DO25" s="420"/>
      <c r="DP25" s="420"/>
      <c r="DQ25" s="420" t="s">
        <v>32</v>
      </c>
      <c r="DR25" s="420"/>
      <c r="DS25" s="420"/>
      <c r="DT25" s="420"/>
      <c r="DU25" s="420"/>
      <c r="DV25" s="420"/>
      <c r="DW25" s="420"/>
      <c r="DX25" s="420"/>
      <c r="DY25" s="420"/>
      <c r="DZ25" s="420"/>
      <c r="EA25" s="420" t="s">
        <v>33</v>
      </c>
      <c r="EB25" s="420"/>
      <c r="EC25" s="420"/>
      <c r="ED25" s="420"/>
      <c r="EE25" s="420"/>
      <c r="EF25" s="420"/>
      <c r="EG25" s="420"/>
      <c r="EH25" s="420"/>
      <c r="EI25" s="420"/>
      <c r="EJ25" s="420"/>
      <c r="EK25" s="420" t="s">
        <v>78</v>
      </c>
      <c r="EL25" s="420"/>
      <c r="EM25" s="420"/>
      <c r="EN25" s="420"/>
      <c r="EO25" s="420"/>
      <c r="EP25" s="420"/>
      <c r="EQ25" s="420"/>
      <c r="ER25" s="420"/>
      <c r="ES25" s="420"/>
      <c r="ET25" s="624"/>
      <c r="EU25" s="794"/>
      <c r="EV25" s="795"/>
      <c r="EW25" s="795"/>
      <c r="EX25" s="796"/>
      <c r="EY25" s="797"/>
    </row>
    <row r="26" spans="1:230" s="62" customFormat="1" ht="68.25" customHeight="1" x14ac:dyDescent="0.45">
      <c r="A26" s="601"/>
      <c r="B26" s="400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331"/>
      <c r="AA26" s="332"/>
      <c r="AB26" s="332"/>
      <c r="AC26" s="332"/>
      <c r="AD26" s="332"/>
      <c r="AE26" s="332"/>
      <c r="AF26" s="332"/>
      <c r="AG26" s="332"/>
      <c r="AH26" s="332"/>
      <c r="AI26" s="333"/>
      <c r="AJ26" s="405" t="s">
        <v>22</v>
      </c>
      <c r="AK26" s="406"/>
      <c r="AL26" s="406"/>
      <c r="AM26" s="406"/>
      <c r="AN26" s="407"/>
      <c r="AO26" s="405" t="s">
        <v>73</v>
      </c>
      <c r="AP26" s="406"/>
      <c r="AQ26" s="406"/>
      <c r="AR26" s="406"/>
      <c r="AS26" s="407"/>
      <c r="AT26" s="405" t="s">
        <v>74</v>
      </c>
      <c r="AU26" s="406"/>
      <c r="AV26" s="406"/>
      <c r="AW26" s="406"/>
      <c r="AX26" s="407"/>
      <c r="AY26" s="405" t="s">
        <v>75</v>
      </c>
      <c r="AZ26" s="406"/>
      <c r="BA26" s="406"/>
      <c r="BB26" s="406"/>
      <c r="BC26" s="407"/>
      <c r="BD26" s="405" t="s">
        <v>76</v>
      </c>
      <c r="BE26" s="406"/>
      <c r="BF26" s="406"/>
      <c r="BG26" s="406"/>
      <c r="BH26" s="407"/>
      <c r="BI26" s="405" t="s">
        <v>77</v>
      </c>
      <c r="BJ26" s="406"/>
      <c r="BK26" s="406"/>
      <c r="BL26" s="406"/>
      <c r="BM26" s="406"/>
      <c r="BN26" s="427"/>
      <c r="BO26" s="427"/>
      <c r="BP26" s="427"/>
      <c r="BQ26" s="427"/>
      <c r="BR26" s="622"/>
      <c r="BS26" s="788" t="s">
        <v>36</v>
      </c>
      <c r="BT26" s="420"/>
      <c r="BU26" s="420"/>
      <c r="BV26" s="420"/>
      <c r="BW26" s="420"/>
      <c r="BX26" s="420"/>
      <c r="BY26" s="420"/>
      <c r="BZ26" s="420"/>
      <c r="CA26" s="420"/>
      <c r="CB26" s="420"/>
      <c r="CC26" s="420"/>
      <c r="CD26" s="420"/>
      <c r="CE26" s="420"/>
      <c r="CF26" s="420"/>
      <c r="CG26" s="420"/>
      <c r="CH26" s="420"/>
      <c r="CI26" s="420"/>
      <c r="CJ26" s="420"/>
      <c r="CK26" s="420"/>
      <c r="CL26" s="420"/>
      <c r="CM26" s="420"/>
      <c r="CN26" s="420"/>
      <c r="CO26" s="420"/>
      <c r="CP26" s="420"/>
      <c r="CQ26" s="420"/>
      <c r="CR26" s="420"/>
      <c r="CS26" s="420"/>
      <c r="CT26" s="420"/>
      <c r="CU26" s="420"/>
      <c r="CV26" s="420"/>
      <c r="CW26" s="420"/>
      <c r="CX26" s="420"/>
      <c r="CY26" s="420"/>
      <c r="CZ26" s="420"/>
      <c r="DA26" s="420"/>
      <c r="DB26" s="420"/>
      <c r="DC26" s="420"/>
      <c r="DD26" s="420"/>
      <c r="DE26" s="420"/>
      <c r="DF26" s="624"/>
      <c r="DG26" s="788" t="s">
        <v>288</v>
      </c>
      <c r="DH26" s="420"/>
      <c r="DI26" s="420"/>
      <c r="DJ26" s="420"/>
      <c r="DK26" s="420"/>
      <c r="DL26" s="420"/>
      <c r="DM26" s="420"/>
      <c r="DN26" s="420"/>
      <c r="DO26" s="420"/>
      <c r="DP26" s="420"/>
      <c r="DQ26" s="420"/>
      <c r="DR26" s="420"/>
      <c r="DS26" s="420"/>
      <c r="DT26" s="420"/>
      <c r="DU26" s="420"/>
      <c r="DV26" s="420"/>
      <c r="DW26" s="420"/>
      <c r="DX26" s="420"/>
      <c r="DY26" s="420"/>
      <c r="DZ26" s="420"/>
      <c r="EA26" s="420"/>
      <c r="EB26" s="420"/>
      <c r="EC26" s="420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624"/>
      <c r="EU26" s="794"/>
      <c r="EV26" s="795"/>
      <c r="EW26" s="795"/>
      <c r="EX26" s="796"/>
      <c r="EY26" s="797"/>
    </row>
    <row r="27" spans="1:230" s="62" customFormat="1" ht="50.1" customHeight="1" x14ac:dyDescent="0.45">
      <c r="A27" s="601"/>
      <c r="B27" s="400"/>
      <c r="C27" s="414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331"/>
      <c r="AA27" s="332"/>
      <c r="AB27" s="332"/>
      <c r="AC27" s="332"/>
      <c r="AD27" s="332"/>
      <c r="AE27" s="332"/>
      <c r="AF27" s="332"/>
      <c r="AG27" s="332"/>
      <c r="AH27" s="332"/>
      <c r="AI27" s="333"/>
      <c r="AJ27" s="408"/>
      <c r="AK27" s="409"/>
      <c r="AL27" s="409"/>
      <c r="AM27" s="409"/>
      <c r="AN27" s="410"/>
      <c r="AO27" s="408"/>
      <c r="AP27" s="409"/>
      <c r="AQ27" s="409"/>
      <c r="AR27" s="409"/>
      <c r="AS27" s="410"/>
      <c r="AT27" s="408"/>
      <c r="AU27" s="409"/>
      <c r="AV27" s="409"/>
      <c r="AW27" s="409"/>
      <c r="AX27" s="410"/>
      <c r="AY27" s="408"/>
      <c r="AZ27" s="409"/>
      <c r="BA27" s="409"/>
      <c r="BB27" s="409"/>
      <c r="BC27" s="410"/>
      <c r="BD27" s="408"/>
      <c r="BE27" s="409"/>
      <c r="BF27" s="409"/>
      <c r="BG27" s="409"/>
      <c r="BH27" s="410"/>
      <c r="BI27" s="408"/>
      <c r="BJ27" s="409"/>
      <c r="BK27" s="409"/>
      <c r="BL27" s="409"/>
      <c r="BM27" s="409"/>
      <c r="BN27" s="427"/>
      <c r="BO27" s="427"/>
      <c r="BP27" s="427"/>
      <c r="BQ27" s="427"/>
      <c r="BR27" s="622"/>
      <c r="BS27" s="788">
        <v>30</v>
      </c>
      <c r="BT27" s="420"/>
      <c r="BU27" s="420"/>
      <c r="BV27" s="420"/>
      <c r="BW27" s="420"/>
      <c r="BX27" s="420"/>
      <c r="BY27" s="420"/>
      <c r="BZ27" s="420"/>
      <c r="CA27" s="420"/>
      <c r="CB27" s="420"/>
      <c r="CC27" s="420">
        <v>30</v>
      </c>
      <c r="CD27" s="420"/>
      <c r="CE27" s="420"/>
      <c r="CF27" s="420"/>
      <c r="CG27" s="420"/>
      <c r="CH27" s="420"/>
      <c r="CI27" s="420"/>
      <c r="CJ27" s="420"/>
      <c r="CK27" s="420"/>
      <c r="CL27" s="420"/>
      <c r="CM27" s="420">
        <v>30</v>
      </c>
      <c r="CN27" s="420"/>
      <c r="CO27" s="420"/>
      <c r="CP27" s="420"/>
      <c r="CQ27" s="420"/>
      <c r="CR27" s="420"/>
      <c r="CS27" s="420"/>
      <c r="CT27" s="420"/>
      <c r="CU27" s="420"/>
      <c r="CV27" s="420"/>
      <c r="CW27" s="420">
        <v>30</v>
      </c>
      <c r="CX27" s="420"/>
      <c r="CY27" s="420"/>
      <c r="CZ27" s="420"/>
      <c r="DA27" s="420"/>
      <c r="DB27" s="420"/>
      <c r="DC27" s="420"/>
      <c r="DD27" s="420"/>
      <c r="DE27" s="420"/>
      <c r="DF27" s="624"/>
      <c r="DG27" s="788">
        <v>60</v>
      </c>
      <c r="DH27" s="420"/>
      <c r="DI27" s="420"/>
      <c r="DJ27" s="420"/>
      <c r="DK27" s="420"/>
      <c r="DL27" s="420"/>
      <c r="DM27" s="420"/>
      <c r="DN27" s="420"/>
      <c r="DO27" s="420"/>
      <c r="DP27" s="420"/>
      <c r="DQ27" s="420">
        <v>60</v>
      </c>
      <c r="DR27" s="420"/>
      <c r="DS27" s="420"/>
      <c r="DT27" s="420"/>
      <c r="DU27" s="420"/>
      <c r="DV27" s="420"/>
      <c r="DW27" s="420"/>
      <c r="DX27" s="420"/>
      <c r="DY27" s="420"/>
      <c r="DZ27" s="420"/>
      <c r="EA27" s="420">
        <v>60</v>
      </c>
      <c r="EB27" s="420"/>
      <c r="EC27" s="420"/>
      <c r="ED27" s="420"/>
      <c r="EE27" s="420"/>
      <c r="EF27" s="420"/>
      <c r="EG27" s="420"/>
      <c r="EH27" s="420"/>
      <c r="EI27" s="420"/>
      <c r="EJ27" s="420"/>
      <c r="EK27" s="420">
        <v>60</v>
      </c>
      <c r="EL27" s="420"/>
      <c r="EM27" s="420"/>
      <c r="EN27" s="420"/>
      <c r="EO27" s="420"/>
      <c r="EP27" s="420"/>
      <c r="EQ27" s="420"/>
      <c r="ER27" s="420"/>
      <c r="ES27" s="420"/>
      <c r="ET27" s="624"/>
      <c r="EU27" s="794"/>
      <c r="EV27" s="795"/>
      <c r="EW27" s="795"/>
      <c r="EX27" s="796"/>
      <c r="EY27" s="797"/>
    </row>
    <row r="28" spans="1:230" s="62" customFormat="1" ht="50.1" customHeight="1" x14ac:dyDescent="0.45">
      <c r="A28" s="601"/>
      <c r="B28" s="400"/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331"/>
      <c r="AA28" s="332"/>
      <c r="AB28" s="332"/>
      <c r="AC28" s="332"/>
      <c r="AD28" s="332"/>
      <c r="AE28" s="332"/>
      <c r="AF28" s="332"/>
      <c r="AG28" s="332"/>
      <c r="AH28" s="332"/>
      <c r="AI28" s="333"/>
      <c r="AJ28" s="408"/>
      <c r="AK28" s="409"/>
      <c r="AL28" s="409"/>
      <c r="AM28" s="409"/>
      <c r="AN28" s="410"/>
      <c r="AO28" s="408"/>
      <c r="AP28" s="409"/>
      <c r="AQ28" s="409"/>
      <c r="AR28" s="409"/>
      <c r="AS28" s="410"/>
      <c r="AT28" s="408"/>
      <c r="AU28" s="409"/>
      <c r="AV28" s="409"/>
      <c r="AW28" s="409"/>
      <c r="AX28" s="410"/>
      <c r="AY28" s="408"/>
      <c r="AZ28" s="409"/>
      <c r="BA28" s="409"/>
      <c r="BB28" s="409"/>
      <c r="BC28" s="410"/>
      <c r="BD28" s="408"/>
      <c r="BE28" s="409"/>
      <c r="BF28" s="409"/>
      <c r="BG28" s="409"/>
      <c r="BH28" s="410"/>
      <c r="BI28" s="408"/>
      <c r="BJ28" s="409"/>
      <c r="BK28" s="409"/>
      <c r="BL28" s="409"/>
      <c r="BM28" s="409"/>
      <c r="BN28" s="427"/>
      <c r="BO28" s="427"/>
      <c r="BP28" s="427"/>
      <c r="BQ28" s="427"/>
      <c r="BR28" s="622"/>
      <c r="BS28" s="788" t="s">
        <v>37</v>
      </c>
      <c r="BT28" s="420"/>
      <c r="BU28" s="420"/>
      <c r="BV28" s="420"/>
      <c r="BW28" s="420"/>
      <c r="BX28" s="420"/>
      <c r="BY28" s="420"/>
      <c r="BZ28" s="420"/>
      <c r="CA28" s="420"/>
      <c r="CB28" s="420"/>
      <c r="CC28" s="420"/>
      <c r="CD28" s="420"/>
      <c r="CE28" s="420"/>
      <c r="CF28" s="420"/>
      <c r="CG28" s="420"/>
      <c r="CH28" s="420"/>
      <c r="CI28" s="420"/>
      <c r="CJ28" s="420"/>
      <c r="CK28" s="420"/>
      <c r="CL28" s="420"/>
      <c r="CM28" s="420"/>
      <c r="CN28" s="420"/>
      <c r="CO28" s="420"/>
      <c r="CP28" s="420"/>
      <c r="CQ28" s="420"/>
      <c r="CR28" s="420"/>
      <c r="CS28" s="420"/>
      <c r="CT28" s="420"/>
      <c r="CU28" s="420"/>
      <c r="CV28" s="420"/>
      <c r="CW28" s="420"/>
      <c r="CX28" s="420"/>
      <c r="CY28" s="420"/>
      <c r="CZ28" s="420"/>
      <c r="DA28" s="420"/>
      <c r="DB28" s="420"/>
      <c r="DC28" s="420"/>
      <c r="DD28" s="420"/>
      <c r="DE28" s="420"/>
      <c r="DF28" s="624"/>
      <c r="DG28" s="788" t="s">
        <v>37</v>
      </c>
      <c r="DH28" s="420"/>
      <c r="DI28" s="420"/>
      <c r="DJ28" s="420"/>
      <c r="DK28" s="420"/>
      <c r="DL28" s="420"/>
      <c r="DM28" s="420"/>
      <c r="DN28" s="420"/>
      <c r="DO28" s="420"/>
      <c r="DP28" s="420"/>
      <c r="DQ28" s="420"/>
      <c r="DR28" s="420"/>
      <c r="DS28" s="420"/>
      <c r="DT28" s="420"/>
      <c r="DU28" s="420"/>
      <c r="DV28" s="420"/>
      <c r="DW28" s="420"/>
      <c r="DX28" s="420"/>
      <c r="DY28" s="420"/>
      <c r="DZ28" s="420"/>
      <c r="EA28" s="420"/>
      <c r="EB28" s="420"/>
      <c r="EC28" s="420"/>
      <c r="ED28" s="420"/>
      <c r="EE28" s="420"/>
      <c r="EF28" s="420"/>
      <c r="EG28" s="420"/>
      <c r="EH28" s="420"/>
      <c r="EI28" s="420"/>
      <c r="EJ28" s="420"/>
      <c r="EK28" s="420"/>
      <c r="EL28" s="420"/>
      <c r="EM28" s="420"/>
      <c r="EN28" s="420"/>
      <c r="EO28" s="420"/>
      <c r="EP28" s="420"/>
      <c r="EQ28" s="420"/>
      <c r="ER28" s="420"/>
      <c r="ES28" s="420"/>
      <c r="ET28" s="624"/>
      <c r="EU28" s="794"/>
      <c r="EV28" s="795"/>
      <c r="EW28" s="795"/>
      <c r="EX28" s="796"/>
      <c r="EY28" s="797"/>
    </row>
    <row r="29" spans="1:230" s="62" customFormat="1" ht="50.1" customHeight="1" x14ac:dyDescent="0.45">
      <c r="A29" s="601"/>
      <c r="B29" s="400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331"/>
      <c r="AA29" s="332"/>
      <c r="AB29" s="332"/>
      <c r="AC29" s="332"/>
      <c r="AD29" s="332"/>
      <c r="AE29" s="332"/>
      <c r="AF29" s="332"/>
      <c r="AG29" s="332"/>
      <c r="AH29" s="332"/>
      <c r="AI29" s="333"/>
      <c r="AJ29" s="408"/>
      <c r="AK29" s="409"/>
      <c r="AL29" s="409"/>
      <c r="AM29" s="409"/>
      <c r="AN29" s="410"/>
      <c r="AO29" s="408"/>
      <c r="AP29" s="409"/>
      <c r="AQ29" s="409"/>
      <c r="AR29" s="409"/>
      <c r="AS29" s="410"/>
      <c r="AT29" s="408"/>
      <c r="AU29" s="409"/>
      <c r="AV29" s="409"/>
      <c r="AW29" s="409"/>
      <c r="AX29" s="410"/>
      <c r="AY29" s="408"/>
      <c r="AZ29" s="409"/>
      <c r="BA29" s="409"/>
      <c r="BB29" s="409"/>
      <c r="BC29" s="410"/>
      <c r="BD29" s="408"/>
      <c r="BE29" s="409"/>
      <c r="BF29" s="409"/>
      <c r="BG29" s="409"/>
      <c r="BH29" s="410"/>
      <c r="BI29" s="408"/>
      <c r="BJ29" s="409"/>
      <c r="BK29" s="409"/>
      <c r="BL29" s="409"/>
      <c r="BM29" s="409"/>
      <c r="BN29" s="427"/>
      <c r="BO29" s="427"/>
      <c r="BP29" s="427"/>
      <c r="BQ29" s="427"/>
      <c r="BR29" s="622"/>
      <c r="BS29" s="788">
        <v>1</v>
      </c>
      <c r="BT29" s="420"/>
      <c r="BU29" s="420"/>
      <c r="BV29" s="420"/>
      <c r="BW29" s="420"/>
      <c r="BX29" s="420">
        <v>2</v>
      </c>
      <c r="BY29" s="420"/>
      <c r="BZ29" s="420"/>
      <c r="CA29" s="420"/>
      <c r="CB29" s="420"/>
      <c r="CC29" s="420">
        <v>3</v>
      </c>
      <c r="CD29" s="420"/>
      <c r="CE29" s="420"/>
      <c r="CF29" s="420"/>
      <c r="CG29" s="420"/>
      <c r="CH29" s="420">
        <v>4</v>
      </c>
      <c r="CI29" s="420"/>
      <c r="CJ29" s="420"/>
      <c r="CK29" s="420"/>
      <c r="CL29" s="420"/>
      <c r="CM29" s="420">
        <v>5</v>
      </c>
      <c r="CN29" s="420"/>
      <c r="CO29" s="420"/>
      <c r="CP29" s="420"/>
      <c r="CQ29" s="420"/>
      <c r="CR29" s="420">
        <v>6</v>
      </c>
      <c r="CS29" s="420"/>
      <c r="CT29" s="420"/>
      <c r="CU29" s="420"/>
      <c r="CV29" s="420"/>
      <c r="CW29" s="420">
        <v>7</v>
      </c>
      <c r="CX29" s="420"/>
      <c r="CY29" s="420"/>
      <c r="CZ29" s="420"/>
      <c r="DA29" s="420"/>
      <c r="DB29" s="420">
        <v>8</v>
      </c>
      <c r="DC29" s="420"/>
      <c r="DD29" s="420"/>
      <c r="DE29" s="420"/>
      <c r="DF29" s="624"/>
      <c r="DG29" s="788">
        <v>1</v>
      </c>
      <c r="DH29" s="420"/>
      <c r="DI29" s="420"/>
      <c r="DJ29" s="420"/>
      <c r="DK29" s="420"/>
      <c r="DL29" s="420">
        <v>2</v>
      </c>
      <c r="DM29" s="420"/>
      <c r="DN29" s="420"/>
      <c r="DO29" s="420"/>
      <c r="DP29" s="420"/>
      <c r="DQ29" s="420">
        <v>3</v>
      </c>
      <c r="DR29" s="420"/>
      <c r="DS29" s="420"/>
      <c r="DT29" s="420"/>
      <c r="DU29" s="420"/>
      <c r="DV29" s="420">
        <v>4</v>
      </c>
      <c r="DW29" s="420"/>
      <c r="DX29" s="420"/>
      <c r="DY29" s="420"/>
      <c r="DZ29" s="420"/>
      <c r="EA29" s="420">
        <v>5</v>
      </c>
      <c r="EB29" s="420"/>
      <c r="EC29" s="420"/>
      <c r="ED29" s="420"/>
      <c r="EE29" s="420"/>
      <c r="EF29" s="420">
        <v>6</v>
      </c>
      <c r="EG29" s="420"/>
      <c r="EH29" s="420"/>
      <c r="EI29" s="420"/>
      <c r="EJ29" s="420"/>
      <c r="EK29" s="420">
        <v>7</v>
      </c>
      <c r="EL29" s="420"/>
      <c r="EM29" s="420"/>
      <c r="EN29" s="420"/>
      <c r="EO29" s="420"/>
      <c r="EP29" s="420">
        <v>8</v>
      </c>
      <c r="EQ29" s="420"/>
      <c r="ER29" s="420"/>
      <c r="ES29" s="420"/>
      <c r="ET29" s="624"/>
      <c r="EU29" s="794"/>
      <c r="EV29" s="795"/>
      <c r="EW29" s="795"/>
      <c r="EX29" s="796"/>
      <c r="EY29" s="797"/>
    </row>
    <row r="30" spans="1:230" s="62" customFormat="1" ht="68.25" customHeight="1" x14ac:dyDescent="0.45">
      <c r="A30" s="601"/>
      <c r="B30" s="400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331"/>
      <c r="AA30" s="332"/>
      <c r="AB30" s="332"/>
      <c r="AC30" s="332"/>
      <c r="AD30" s="332"/>
      <c r="AE30" s="332"/>
      <c r="AF30" s="332"/>
      <c r="AG30" s="332"/>
      <c r="AH30" s="332"/>
      <c r="AI30" s="333"/>
      <c r="AJ30" s="408"/>
      <c r="AK30" s="409"/>
      <c r="AL30" s="409"/>
      <c r="AM30" s="409"/>
      <c r="AN30" s="410"/>
      <c r="AO30" s="408"/>
      <c r="AP30" s="409"/>
      <c r="AQ30" s="409"/>
      <c r="AR30" s="409"/>
      <c r="AS30" s="410"/>
      <c r="AT30" s="408"/>
      <c r="AU30" s="409"/>
      <c r="AV30" s="409"/>
      <c r="AW30" s="409"/>
      <c r="AX30" s="410"/>
      <c r="AY30" s="408"/>
      <c r="AZ30" s="409"/>
      <c r="BA30" s="409"/>
      <c r="BB30" s="409"/>
      <c r="BC30" s="410"/>
      <c r="BD30" s="408"/>
      <c r="BE30" s="409"/>
      <c r="BF30" s="409"/>
      <c r="BG30" s="409"/>
      <c r="BH30" s="410"/>
      <c r="BI30" s="408"/>
      <c r="BJ30" s="409"/>
      <c r="BK30" s="409"/>
      <c r="BL30" s="409"/>
      <c r="BM30" s="409"/>
      <c r="BN30" s="427"/>
      <c r="BO30" s="427"/>
      <c r="BP30" s="427"/>
      <c r="BQ30" s="427"/>
      <c r="BR30" s="622"/>
      <c r="BS30" s="788" t="s">
        <v>362</v>
      </c>
      <c r="BT30" s="420"/>
      <c r="BU30" s="420"/>
      <c r="BV30" s="420"/>
      <c r="BW30" s="420"/>
      <c r="BX30" s="420"/>
      <c r="BY30" s="420"/>
      <c r="BZ30" s="420"/>
      <c r="CA30" s="420"/>
      <c r="CB30" s="420"/>
      <c r="CC30" s="420"/>
      <c r="CD30" s="420"/>
      <c r="CE30" s="420"/>
      <c r="CF30" s="420"/>
      <c r="CG30" s="420"/>
      <c r="CH30" s="420"/>
      <c r="CI30" s="420"/>
      <c r="CJ30" s="420"/>
      <c r="CK30" s="420"/>
      <c r="CL30" s="420"/>
      <c r="CM30" s="420"/>
      <c r="CN30" s="420"/>
      <c r="CO30" s="420"/>
      <c r="CP30" s="420"/>
      <c r="CQ30" s="420"/>
      <c r="CR30" s="420"/>
      <c r="CS30" s="420"/>
      <c r="CT30" s="420"/>
      <c r="CU30" s="420"/>
      <c r="CV30" s="420"/>
      <c r="CW30" s="420"/>
      <c r="CX30" s="420"/>
      <c r="CY30" s="420"/>
      <c r="CZ30" s="420"/>
      <c r="DA30" s="420"/>
      <c r="DB30" s="420"/>
      <c r="DC30" s="420"/>
      <c r="DD30" s="420"/>
      <c r="DE30" s="420"/>
      <c r="DF30" s="624"/>
      <c r="DG30" s="788" t="s">
        <v>39</v>
      </c>
      <c r="DH30" s="420"/>
      <c r="DI30" s="420"/>
      <c r="DJ30" s="420"/>
      <c r="DK30" s="420"/>
      <c r="DL30" s="420"/>
      <c r="DM30" s="420"/>
      <c r="DN30" s="420"/>
      <c r="DO30" s="420"/>
      <c r="DP30" s="420"/>
      <c r="DQ30" s="420"/>
      <c r="DR30" s="420"/>
      <c r="DS30" s="420"/>
      <c r="DT30" s="420"/>
      <c r="DU30" s="420"/>
      <c r="DV30" s="420"/>
      <c r="DW30" s="420"/>
      <c r="DX30" s="420"/>
      <c r="DY30" s="420"/>
      <c r="DZ30" s="420"/>
      <c r="EA30" s="420"/>
      <c r="EB30" s="420"/>
      <c r="EC30" s="420"/>
      <c r="ED30" s="420"/>
      <c r="EE30" s="420"/>
      <c r="EF30" s="420"/>
      <c r="EG30" s="420"/>
      <c r="EH30" s="420"/>
      <c r="EI30" s="420"/>
      <c r="EJ30" s="420"/>
      <c r="EK30" s="420"/>
      <c r="EL30" s="420"/>
      <c r="EM30" s="420"/>
      <c r="EN30" s="420"/>
      <c r="EO30" s="420"/>
      <c r="EP30" s="420"/>
      <c r="EQ30" s="420"/>
      <c r="ER30" s="420"/>
      <c r="ES30" s="420"/>
      <c r="ET30" s="624"/>
      <c r="EU30" s="794"/>
      <c r="EV30" s="795"/>
      <c r="EW30" s="795"/>
      <c r="EX30" s="796"/>
      <c r="EY30" s="797"/>
    </row>
    <row r="31" spans="1:230" s="62" customFormat="1" ht="50.1" customHeight="1" x14ac:dyDescent="0.45">
      <c r="A31" s="602"/>
      <c r="B31" s="401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20" t="s">
        <v>79</v>
      </c>
      <c r="AA31" s="420"/>
      <c r="AB31" s="420"/>
      <c r="AC31" s="420"/>
      <c r="AD31" s="420"/>
      <c r="AE31" s="420" t="s">
        <v>80</v>
      </c>
      <c r="AF31" s="420"/>
      <c r="AG31" s="420"/>
      <c r="AH31" s="420"/>
      <c r="AI31" s="420"/>
      <c r="AJ31" s="411"/>
      <c r="AK31" s="412"/>
      <c r="AL31" s="412"/>
      <c r="AM31" s="412"/>
      <c r="AN31" s="413"/>
      <c r="AO31" s="411"/>
      <c r="AP31" s="412"/>
      <c r="AQ31" s="412"/>
      <c r="AR31" s="412"/>
      <c r="AS31" s="413"/>
      <c r="AT31" s="411"/>
      <c r="AU31" s="412"/>
      <c r="AV31" s="412"/>
      <c r="AW31" s="412"/>
      <c r="AX31" s="413"/>
      <c r="AY31" s="411"/>
      <c r="AZ31" s="412"/>
      <c r="BA31" s="412"/>
      <c r="BB31" s="412"/>
      <c r="BC31" s="413"/>
      <c r="BD31" s="411"/>
      <c r="BE31" s="412"/>
      <c r="BF31" s="412"/>
      <c r="BG31" s="412"/>
      <c r="BH31" s="413"/>
      <c r="BI31" s="411"/>
      <c r="BJ31" s="412"/>
      <c r="BK31" s="412"/>
      <c r="BL31" s="412"/>
      <c r="BM31" s="412"/>
      <c r="BN31" s="427"/>
      <c r="BO31" s="427"/>
      <c r="BP31" s="427"/>
      <c r="BQ31" s="427"/>
      <c r="BR31" s="622"/>
      <c r="BS31" s="788">
        <v>15</v>
      </c>
      <c r="BT31" s="420"/>
      <c r="BU31" s="420"/>
      <c r="BV31" s="420"/>
      <c r="BW31" s="420"/>
      <c r="BX31" s="420">
        <v>15</v>
      </c>
      <c r="BY31" s="420"/>
      <c r="BZ31" s="420"/>
      <c r="CA31" s="420"/>
      <c r="CB31" s="420"/>
      <c r="CC31" s="420">
        <v>15</v>
      </c>
      <c r="CD31" s="420"/>
      <c r="CE31" s="420"/>
      <c r="CF31" s="420"/>
      <c r="CG31" s="420"/>
      <c r="CH31" s="420">
        <v>15</v>
      </c>
      <c r="CI31" s="420"/>
      <c r="CJ31" s="420"/>
      <c r="CK31" s="420"/>
      <c r="CL31" s="420"/>
      <c r="CM31" s="420">
        <v>15</v>
      </c>
      <c r="CN31" s="420"/>
      <c r="CO31" s="420"/>
      <c r="CP31" s="420"/>
      <c r="CQ31" s="420"/>
      <c r="CR31" s="420">
        <v>15</v>
      </c>
      <c r="CS31" s="420"/>
      <c r="CT31" s="420"/>
      <c r="CU31" s="420"/>
      <c r="CV31" s="420"/>
      <c r="CW31" s="420">
        <v>15</v>
      </c>
      <c r="CX31" s="420"/>
      <c r="CY31" s="420"/>
      <c r="CZ31" s="420"/>
      <c r="DA31" s="420"/>
      <c r="DB31" s="420">
        <v>15</v>
      </c>
      <c r="DC31" s="420"/>
      <c r="DD31" s="420"/>
      <c r="DE31" s="420"/>
      <c r="DF31" s="624"/>
      <c r="DG31" s="788">
        <f>DG90</f>
        <v>30</v>
      </c>
      <c r="DH31" s="420"/>
      <c r="DI31" s="420"/>
      <c r="DJ31" s="420"/>
      <c r="DK31" s="420"/>
      <c r="DL31" s="419">
        <f t="shared" ref="DL31" si="0">DL90</f>
        <v>27</v>
      </c>
      <c r="DM31" s="420"/>
      <c r="DN31" s="420"/>
      <c r="DO31" s="420"/>
      <c r="DP31" s="420"/>
      <c r="DQ31" s="419">
        <f t="shared" ref="DQ31" si="1">DQ90</f>
        <v>24</v>
      </c>
      <c r="DR31" s="420"/>
      <c r="DS31" s="420"/>
      <c r="DT31" s="420"/>
      <c r="DU31" s="420"/>
      <c r="DV31" s="419">
        <f t="shared" ref="DV31" si="2">DV90</f>
        <v>24</v>
      </c>
      <c r="DW31" s="420"/>
      <c r="DX31" s="420"/>
      <c r="DY31" s="420"/>
      <c r="DZ31" s="420"/>
      <c r="EA31" s="419">
        <f t="shared" ref="EA31" si="3">EA90</f>
        <v>24</v>
      </c>
      <c r="EB31" s="420"/>
      <c r="EC31" s="420"/>
      <c r="ED31" s="420"/>
      <c r="EE31" s="420"/>
      <c r="EF31" s="419">
        <f t="shared" ref="EF31" si="4">EF90</f>
        <v>24</v>
      </c>
      <c r="EG31" s="420"/>
      <c r="EH31" s="420"/>
      <c r="EI31" s="420"/>
      <c r="EJ31" s="420"/>
      <c r="EK31" s="419">
        <f t="shared" ref="EK31" si="5">EK90</f>
        <v>24</v>
      </c>
      <c r="EL31" s="420"/>
      <c r="EM31" s="420"/>
      <c r="EN31" s="420"/>
      <c r="EO31" s="420"/>
      <c r="EP31" s="419">
        <f t="shared" ref="EP31" si="6">EP90</f>
        <v>22</v>
      </c>
      <c r="EQ31" s="420"/>
      <c r="ER31" s="420"/>
      <c r="ES31" s="420"/>
      <c r="ET31" s="624"/>
      <c r="EU31" s="623">
        <f>EU90+EU93</f>
        <v>240</v>
      </c>
      <c r="EV31" s="783"/>
      <c r="EW31" s="783"/>
      <c r="EX31" s="431"/>
      <c r="EY31" s="624"/>
    </row>
    <row r="32" spans="1:230" s="175" customFormat="1" ht="50.1" customHeight="1" thickBot="1" x14ac:dyDescent="0.25">
      <c r="A32" s="245">
        <v>1</v>
      </c>
      <c r="B32" s="246"/>
      <c r="C32" s="784">
        <v>2</v>
      </c>
      <c r="D32" s="785"/>
      <c r="E32" s="785"/>
      <c r="F32" s="785"/>
      <c r="G32" s="785"/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6"/>
      <c r="Z32" s="787">
        <v>3</v>
      </c>
      <c r="AA32" s="787"/>
      <c r="AB32" s="787"/>
      <c r="AC32" s="787"/>
      <c r="AD32" s="787"/>
      <c r="AE32" s="779">
        <v>4</v>
      </c>
      <c r="AF32" s="780"/>
      <c r="AG32" s="780"/>
      <c r="AH32" s="780"/>
      <c r="AI32" s="781"/>
      <c r="AJ32" s="779">
        <v>5</v>
      </c>
      <c r="AK32" s="780"/>
      <c r="AL32" s="780"/>
      <c r="AM32" s="780"/>
      <c r="AN32" s="781"/>
      <c r="AO32" s="779">
        <v>6</v>
      </c>
      <c r="AP32" s="780"/>
      <c r="AQ32" s="780"/>
      <c r="AR32" s="780"/>
      <c r="AS32" s="781"/>
      <c r="AT32" s="779">
        <v>7</v>
      </c>
      <c r="AU32" s="780"/>
      <c r="AV32" s="780"/>
      <c r="AW32" s="780"/>
      <c r="AX32" s="781"/>
      <c r="AY32" s="779">
        <v>8</v>
      </c>
      <c r="AZ32" s="780"/>
      <c r="BA32" s="780"/>
      <c r="BB32" s="780"/>
      <c r="BC32" s="781"/>
      <c r="BD32" s="779">
        <v>9</v>
      </c>
      <c r="BE32" s="780"/>
      <c r="BF32" s="780"/>
      <c r="BG32" s="780"/>
      <c r="BH32" s="781"/>
      <c r="BI32" s="779">
        <v>10</v>
      </c>
      <c r="BJ32" s="780"/>
      <c r="BK32" s="780"/>
      <c r="BL32" s="780"/>
      <c r="BM32" s="781"/>
      <c r="BN32" s="779">
        <v>11</v>
      </c>
      <c r="BO32" s="780"/>
      <c r="BP32" s="780"/>
      <c r="BQ32" s="780"/>
      <c r="BR32" s="782"/>
      <c r="BS32" s="777">
        <v>12</v>
      </c>
      <c r="BT32" s="465"/>
      <c r="BU32" s="465"/>
      <c r="BV32" s="465"/>
      <c r="BW32" s="465"/>
      <c r="BX32" s="465">
        <v>13</v>
      </c>
      <c r="BY32" s="465"/>
      <c r="BZ32" s="465"/>
      <c r="CA32" s="465"/>
      <c r="CB32" s="465"/>
      <c r="CC32" s="465">
        <v>14</v>
      </c>
      <c r="CD32" s="465"/>
      <c r="CE32" s="465"/>
      <c r="CF32" s="465"/>
      <c r="CG32" s="465"/>
      <c r="CH32" s="465">
        <v>15</v>
      </c>
      <c r="CI32" s="465"/>
      <c r="CJ32" s="465"/>
      <c r="CK32" s="465"/>
      <c r="CL32" s="465"/>
      <c r="CM32" s="465">
        <v>16</v>
      </c>
      <c r="CN32" s="465"/>
      <c r="CO32" s="465"/>
      <c r="CP32" s="465"/>
      <c r="CQ32" s="465"/>
      <c r="CR32" s="465">
        <v>17</v>
      </c>
      <c r="CS32" s="465"/>
      <c r="CT32" s="465"/>
      <c r="CU32" s="465"/>
      <c r="CV32" s="465"/>
      <c r="CW32" s="465">
        <v>18</v>
      </c>
      <c r="CX32" s="465"/>
      <c r="CY32" s="465"/>
      <c r="CZ32" s="465"/>
      <c r="DA32" s="465"/>
      <c r="DB32" s="465">
        <v>19</v>
      </c>
      <c r="DC32" s="465"/>
      <c r="DD32" s="465"/>
      <c r="DE32" s="465"/>
      <c r="DF32" s="778"/>
      <c r="DG32" s="777">
        <v>20</v>
      </c>
      <c r="DH32" s="465"/>
      <c r="DI32" s="465"/>
      <c r="DJ32" s="465"/>
      <c r="DK32" s="465"/>
      <c r="DL32" s="465">
        <v>21</v>
      </c>
      <c r="DM32" s="465"/>
      <c r="DN32" s="465"/>
      <c r="DO32" s="465"/>
      <c r="DP32" s="465"/>
      <c r="DQ32" s="465">
        <v>22</v>
      </c>
      <c r="DR32" s="465"/>
      <c r="DS32" s="465"/>
      <c r="DT32" s="465"/>
      <c r="DU32" s="465"/>
      <c r="DV32" s="465">
        <v>23</v>
      </c>
      <c r="DW32" s="465"/>
      <c r="DX32" s="465"/>
      <c r="DY32" s="465"/>
      <c r="DZ32" s="465"/>
      <c r="EA32" s="465">
        <v>24</v>
      </c>
      <c r="EB32" s="465"/>
      <c r="EC32" s="465"/>
      <c r="ED32" s="465"/>
      <c r="EE32" s="465"/>
      <c r="EF32" s="465">
        <v>25</v>
      </c>
      <c r="EG32" s="465"/>
      <c r="EH32" s="465"/>
      <c r="EI32" s="465"/>
      <c r="EJ32" s="465"/>
      <c r="EK32" s="465">
        <v>26</v>
      </c>
      <c r="EL32" s="465"/>
      <c r="EM32" s="465"/>
      <c r="EN32" s="465"/>
      <c r="EO32" s="465"/>
      <c r="EP32" s="465">
        <v>27</v>
      </c>
      <c r="EQ32" s="465"/>
      <c r="ER32" s="465"/>
      <c r="ES32" s="465"/>
      <c r="ET32" s="778"/>
      <c r="EU32" s="789">
        <v>28</v>
      </c>
      <c r="EV32" s="781"/>
      <c r="EW32" s="781"/>
      <c r="EX32" s="787"/>
      <c r="EY32" s="778"/>
    </row>
    <row r="33" spans="1:171" s="65" customFormat="1" ht="80.099999999999994" customHeight="1" x14ac:dyDescent="0.2">
      <c r="A33" s="142" t="s">
        <v>95</v>
      </c>
      <c r="B33" s="233"/>
      <c r="C33" s="424" t="s">
        <v>41</v>
      </c>
      <c r="D33" s="424"/>
      <c r="E33" s="424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326">
        <f>SUM(Z34:AD50)</f>
        <v>3690</v>
      </c>
      <c r="AA33" s="326"/>
      <c r="AB33" s="326"/>
      <c r="AC33" s="326"/>
      <c r="AD33" s="326"/>
      <c r="AE33" s="362">
        <f>Z33/$Z$94*100</f>
        <v>51.249999999999993</v>
      </c>
      <c r="AF33" s="362"/>
      <c r="AG33" s="362"/>
      <c r="AH33" s="362"/>
      <c r="AI33" s="362"/>
      <c r="AJ33" s="335">
        <f>SUM(AJ34:AN50)</f>
        <v>1578</v>
      </c>
      <c r="AK33" s="336"/>
      <c r="AL33" s="336"/>
      <c r="AM33" s="336"/>
      <c r="AN33" s="337"/>
      <c r="AO33" s="335">
        <f>SUM(AO34:AS50)</f>
        <v>464</v>
      </c>
      <c r="AP33" s="336"/>
      <c r="AQ33" s="336"/>
      <c r="AR33" s="336"/>
      <c r="AS33" s="337"/>
      <c r="AT33" s="335">
        <f>SUM(AT34:AX50)</f>
        <v>986</v>
      </c>
      <c r="AU33" s="336"/>
      <c r="AV33" s="336"/>
      <c r="AW33" s="336"/>
      <c r="AX33" s="337"/>
      <c r="AY33" s="335">
        <f>SUM(AY34:BC50)</f>
        <v>128</v>
      </c>
      <c r="AZ33" s="336"/>
      <c r="BA33" s="336"/>
      <c r="BB33" s="336"/>
      <c r="BC33" s="337"/>
      <c r="BD33" s="335">
        <f>SUM(BD34:BH50)</f>
        <v>0</v>
      </c>
      <c r="BE33" s="336"/>
      <c r="BF33" s="336"/>
      <c r="BG33" s="336"/>
      <c r="BH33" s="337"/>
      <c r="BI33" s="335">
        <f>SUM(BI34:BM50)</f>
        <v>0</v>
      </c>
      <c r="BJ33" s="336"/>
      <c r="BK33" s="336"/>
      <c r="BL33" s="336"/>
      <c r="BM33" s="337"/>
      <c r="BN33" s="326">
        <f>SUM(BN34:BR50)</f>
        <v>2112</v>
      </c>
      <c r="BO33" s="326"/>
      <c r="BP33" s="326"/>
      <c r="BQ33" s="326"/>
      <c r="BR33" s="639"/>
      <c r="BS33" s="776">
        <f>SUM(BS34:BW50)</f>
        <v>21</v>
      </c>
      <c r="BT33" s="361"/>
      <c r="BU33" s="361"/>
      <c r="BV33" s="361"/>
      <c r="BW33" s="361"/>
      <c r="BX33" s="361">
        <f>SUM(BX34:CB50)</f>
        <v>8</v>
      </c>
      <c r="BY33" s="361"/>
      <c r="BZ33" s="361"/>
      <c r="CA33" s="361"/>
      <c r="CB33" s="361"/>
      <c r="CC33" s="361">
        <f>SUM(CC34:CG50)</f>
        <v>16</v>
      </c>
      <c r="CD33" s="361"/>
      <c r="CE33" s="361"/>
      <c r="CF33" s="361"/>
      <c r="CG33" s="361"/>
      <c r="CH33" s="361">
        <f>SUM(CH34:CL50)</f>
        <v>20</v>
      </c>
      <c r="CI33" s="361"/>
      <c r="CJ33" s="361"/>
      <c r="CK33" s="361"/>
      <c r="CL33" s="361"/>
      <c r="CM33" s="361">
        <f>SUM(CM34:CQ50)</f>
        <v>12</v>
      </c>
      <c r="CN33" s="361"/>
      <c r="CO33" s="361"/>
      <c r="CP33" s="361"/>
      <c r="CQ33" s="361"/>
      <c r="CR33" s="361">
        <f>SUM(CR34:CV50)</f>
        <v>12</v>
      </c>
      <c r="CS33" s="361"/>
      <c r="CT33" s="361"/>
      <c r="CU33" s="361"/>
      <c r="CV33" s="361"/>
      <c r="CW33" s="361">
        <f>SUM(CW34:DA50)</f>
        <v>8</v>
      </c>
      <c r="CX33" s="361"/>
      <c r="CY33" s="361"/>
      <c r="CZ33" s="361"/>
      <c r="DA33" s="361"/>
      <c r="DB33" s="361">
        <f>SUM(DB34:DF50)</f>
        <v>7</v>
      </c>
      <c r="DC33" s="361"/>
      <c r="DD33" s="361"/>
      <c r="DE33" s="361"/>
      <c r="DF33" s="537"/>
      <c r="DG33" s="776">
        <f>SUM(DG34:DK50)</f>
        <v>26</v>
      </c>
      <c r="DH33" s="361"/>
      <c r="DI33" s="361"/>
      <c r="DJ33" s="361"/>
      <c r="DK33" s="361"/>
      <c r="DL33" s="361">
        <f>SUM(DL34:DP50)</f>
        <v>9</v>
      </c>
      <c r="DM33" s="361"/>
      <c r="DN33" s="361"/>
      <c r="DO33" s="361"/>
      <c r="DP33" s="361"/>
      <c r="DQ33" s="361">
        <f>SUM(DQ34:DU50)</f>
        <v>16</v>
      </c>
      <c r="DR33" s="361"/>
      <c r="DS33" s="361"/>
      <c r="DT33" s="361"/>
      <c r="DU33" s="361"/>
      <c r="DV33" s="361">
        <f>SUM(DV34:DZ50)</f>
        <v>22</v>
      </c>
      <c r="DW33" s="361"/>
      <c r="DX33" s="361"/>
      <c r="DY33" s="361"/>
      <c r="DZ33" s="361"/>
      <c r="EA33" s="361">
        <f>SUM(EA34:EE50)</f>
        <v>16</v>
      </c>
      <c r="EB33" s="361"/>
      <c r="EC33" s="361"/>
      <c r="ED33" s="361"/>
      <c r="EE33" s="361"/>
      <c r="EF33" s="361">
        <f>SUM(EF34:EJ50)</f>
        <v>16</v>
      </c>
      <c r="EG33" s="361"/>
      <c r="EH33" s="361"/>
      <c r="EI33" s="361"/>
      <c r="EJ33" s="361"/>
      <c r="EK33" s="361">
        <f>SUM(EK34:EO50)</f>
        <v>10</v>
      </c>
      <c r="EL33" s="361"/>
      <c r="EM33" s="361"/>
      <c r="EN33" s="361"/>
      <c r="EO33" s="361"/>
      <c r="EP33" s="361">
        <f>SUM(EP34:ET50)</f>
        <v>8</v>
      </c>
      <c r="EQ33" s="361"/>
      <c r="ER33" s="361"/>
      <c r="ES33" s="361"/>
      <c r="ET33" s="537"/>
      <c r="EU33" s="536">
        <f>SUM(EU34:EY50)</f>
        <v>123</v>
      </c>
      <c r="EV33" s="772"/>
      <c r="EW33" s="772"/>
      <c r="EX33" s="324"/>
      <c r="EY33" s="537"/>
      <c r="FD33" s="758" t="s">
        <v>291</v>
      </c>
      <c r="FE33" s="759"/>
      <c r="FF33" s="760"/>
    </row>
    <row r="34" spans="1:171" s="100" customFormat="1" ht="90" customHeight="1" x14ac:dyDescent="0.2">
      <c r="A34" s="140" t="s">
        <v>96</v>
      </c>
      <c r="B34" s="108" t="s">
        <v>83</v>
      </c>
      <c r="C34" s="294" t="s">
        <v>86</v>
      </c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397">
        <f>(DG34+DL34+DQ34+DV34+EA34+EF34+EK34+EP34)*30</f>
        <v>120</v>
      </c>
      <c r="AA34" s="397"/>
      <c r="AB34" s="397"/>
      <c r="AC34" s="397"/>
      <c r="AD34" s="397"/>
      <c r="AE34" s="270"/>
      <c r="AF34" s="270"/>
      <c r="AG34" s="270"/>
      <c r="AH34" s="270"/>
      <c r="AI34" s="270"/>
      <c r="AJ34" s="273">
        <f>SUM(AO34:BH34)</f>
        <v>60</v>
      </c>
      <c r="AK34" s="273"/>
      <c r="AL34" s="273"/>
      <c r="AM34" s="273"/>
      <c r="AN34" s="273"/>
      <c r="AO34" s="273">
        <v>30</v>
      </c>
      <c r="AP34" s="273"/>
      <c r="AQ34" s="273"/>
      <c r="AR34" s="273"/>
      <c r="AS34" s="273"/>
      <c r="AT34" s="273"/>
      <c r="AU34" s="273"/>
      <c r="AV34" s="273"/>
      <c r="AW34" s="273"/>
      <c r="AX34" s="273"/>
      <c r="AY34" s="273">
        <v>30</v>
      </c>
      <c r="AZ34" s="273"/>
      <c r="BA34" s="273"/>
      <c r="BB34" s="273"/>
      <c r="BC34" s="273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397">
        <f t="shared" ref="BN34:BN50" si="7">Z34-AJ34</f>
        <v>60</v>
      </c>
      <c r="BO34" s="397"/>
      <c r="BP34" s="397"/>
      <c r="BQ34" s="397"/>
      <c r="BR34" s="500"/>
      <c r="BS34" s="757">
        <v>4</v>
      </c>
      <c r="BT34" s="270"/>
      <c r="BU34" s="270"/>
      <c r="BV34" s="270"/>
      <c r="BW34" s="270"/>
      <c r="BX34" s="270"/>
      <c r="BY34" s="270"/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0"/>
      <c r="CS34" s="270"/>
      <c r="CT34" s="270"/>
      <c r="CU34" s="270"/>
      <c r="CV34" s="270"/>
      <c r="CW34" s="270"/>
      <c r="CX34" s="270"/>
      <c r="CY34" s="270"/>
      <c r="CZ34" s="270"/>
      <c r="DA34" s="270"/>
      <c r="DB34" s="270"/>
      <c r="DC34" s="270"/>
      <c r="DD34" s="270"/>
      <c r="DE34" s="270"/>
      <c r="DF34" s="533"/>
      <c r="DG34" s="757">
        <v>4</v>
      </c>
      <c r="DH34" s="270"/>
      <c r="DI34" s="270"/>
      <c r="DJ34" s="270"/>
      <c r="DK34" s="270"/>
      <c r="DL34" s="270"/>
      <c r="DM34" s="270"/>
      <c r="DN34" s="270"/>
      <c r="DO34" s="270"/>
      <c r="DP34" s="270"/>
      <c r="DQ34" s="270"/>
      <c r="DR34" s="270"/>
      <c r="DS34" s="270"/>
      <c r="DT34" s="270"/>
      <c r="DU34" s="270"/>
      <c r="DV34" s="270"/>
      <c r="DW34" s="270"/>
      <c r="DX34" s="270"/>
      <c r="DY34" s="270"/>
      <c r="DZ34" s="270"/>
      <c r="EA34" s="270"/>
      <c r="EB34" s="270"/>
      <c r="EC34" s="270"/>
      <c r="ED34" s="270"/>
      <c r="EE34" s="270"/>
      <c r="EF34" s="270"/>
      <c r="EG34" s="270"/>
      <c r="EH34" s="270"/>
      <c r="EI34" s="270"/>
      <c r="EJ34" s="270"/>
      <c r="EK34" s="270"/>
      <c r="EL34" s="270"/>
      <c r="EM34" s="270"/>
      <c r="EN34" s="270"/>
      <c r="EO34" s="270"/>
      <c r="EP34" s="270"/>
      <c r="EQ34" s="270"/>
      <c r="ER34" s="270"/>
      <c r="ES34" s="270"/>
      <c r="ET34" s="533"/>
      <c r="EU34" s="499">
        <f>SUM(DG34:ET34)</f>
        <v>4</v>
      </c>
      <c r="EV34" s="765"/>
      <c r="EW34" s="765"/>
      <c r="EX34" s="339"/>
      <c r="EY34" s="500"/>
      <c r="FD34" s="191">
        <v>4</v>
      </c>
      <c r="FE34" s="192"/>
      <c r="FF34" s="193"/>
      <c r="FK34" s="200" t="s">
        <v>292</v>
      </c>
      <c r="FO34" s="200">
        <v>4</v>
      </c>
    </row>
    <row r="35" spans="1:171" s="100" customFormat="1" ht="90" customHeight="1" x14ac:dyDescent="0.2">
      <c r="A35" s="140" t="s">
        <v>97</v>
      </c>
      <c r="B35" s="108" t="s">
        <v>128</v>
      </c>
      <c r="C35" s="271" t="s">
        <v>42</v>
      </c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397">
        <f t="shared" ref="Z35:Z60" si="8">(DG35+DL35+DQ35+DV35+EA35+EF35+EK35+EP35)*30</f>
        <v>120</v>
      </c>
      <c r="AA35" s="397"/>
      <c r="AB35" s="397"/>
      <c r="AC35" s="397"/>
      <c r="AD35" s="397"/>
      <c r="AE35" s="270"/>
      <c r="AF35" s="270"/>
      <c r="AG35" s="270"/>
      <c r="AH35" s="270"/>
      <c r="AI35" s="270"/>
      <c r="AJ35" s="273">
        <f t="shared" ref="AJ35:AJ49" si="9">SUM(AO35:BH35)</f>
        <v>48</v>
      </c>
      <c r="AK35" s="273"/>
      <c r="AL35" s="273"/>
      <c r="AM35" s="273"/>
      <c r="AN35" s="273"/>
      <c r="AO35" s="273">
        <v>30</v>
      </c>
      <c r="AP35" s="273"/>
      <c r="AQ35" s="273"/>
      <c r="AR35" s="273"/>
      <c r="AS35" s="273"/>
      <c r="AT35" s="273"/>
      <c r="AU35" s="273"/>
      <c r="AV35" s="273"/>
      <c r="AW35" s="273"/>
      <c r="AX35" s="273"/>
      <c r="AY35" s="273">
        <v>18</v>
      </c>
      <c r="AZ35" s="273"/>
      <c r="BA35" s="273"/>
      <c r="BB35" s="273"/>
      <c r="BC35" s="273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397">
        <f t="shared" si="7"/>
        <v>72</v>
      </c>
      <c r="BO35" s="397"/>
      <c r="BP35" s="397"/>
      <c r="BQ35" s="397"/>
      <c r="BR35" s="500"/>
      <c r="BS35" s="757">
        <v>3</v>
      </c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0"/>
      <c r="DD35" s="270"/>
      <c r="DE35" s="270"/>
      <c r="DF35" s="533"/>
      <c r="DG35" s="757">
        <v>4</v>
      </c>
      <c r="DH35" s="270"/>
      <c r="DI35" s="270"/>
      <c r="DJ35" s="270"/>
      <c r="DK35" s="270"/>
      <c r="DL35" s="270"/>
      <c r="DM35" s="270"/>
      <c r="DN35" s="270"/>
      <c r="DO35" s="270"/>
      <c r="DP35" s="270"/>
      <c r="DQ35" s="270"/>
      <c r="DR35" s="270"/>
      <c r="DS35" s="270"/>
      <c r="DT35" s="270"/>
      <c r="DU35" s="270"/>
      <c r="DV35" s="270"/>
      <c r="DW35" s="270"/>
      <c r="DX35" s="270"/>
      <c r="DY35" s="270"/>
      <c r="DZ35" s="270"/>
      <c r="EA35" s="270"/>
      <c r="EB35" s="270"/>
      <c r="EC35" s="270"/>
      <c r="ED35" s="270"/>
      <c r="EE35" s="270"/>
      <c r="EF35" s="270"/>
      <c r="EG35" s="270"/>
      <c r="EH35" s="270"/>
      <c r="EI35" s="270"/>
      <c r="EJ35" s="270"/>
      <c r="EK35" s="270"/>
      <c r="EL35" s="270"/>
      <c r="EM35" s="270"/>
      <c r="EN35" s="270"/>
      <c r="EO35" s="270"/>
      <c r="EP35" s="270"/>
      <c r="EQ35" s="270"/>
      <c r="ER35" s="270"/>
      <c r="ES35" s="270"/>
      <c r="ET35" s="533"/>
      <c r="EU35" s="499">
        <f t="shared" ref="EU35:EU49" si="10">SUM(DG35:ET35)</f>
        <v>4</v>
      </c>
      <c r="EV35" s="765"/>
      <c r="EW35" s="765"/>
      <c r="EX35" s="339"/>
      <c r="EY35" s="500"/>
      <c r="FD35" s="191">
        <v>4</v>
      </c>
      <c r="FE35" s="192"/>
      <c r="FF35" s="193"/>
      <c r="FK35" s="200" t="s">
        <v>293</v>
      </c>
      <c r="FO35" s="200">
        <v>6</v>
      </c>
    </row>
    <row r="36" spans="1:171" s="100" customFormat="1" ht="90" customHeight="1" x14ac:dyDescent="0.2">
      <c r="A36" s="140" t="s">
        <v>98</v>
      </c>
      <c r="B36" s="108" t="s">
        <v>231</v>
      </c>
      <c r="C36" s="294" t="s">
        <v>329</v>
      </c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397">
        <f t="shared" si="8"/>
        <v>300</v>
      </c>
      <c r="AA36" s="397"/>
      <c r="AB36" s="397"/>
      <c r="AC36" s="397"/>
      <c r="AD36" s="397"/>
      <c r="AE36" s="270"/>
      <c r="AF36" s="270"/>
      <c r="AG36" s="270"/>
      <c r="AH36" s="270"/>
      <c r="AI36" s="270"/>
      <c r="AJ36" s="273">
        <f t="shared" si="9"/>
        <v>90</v>
      </c>
      <c r="AK36" s="273"/>
      <c r="AL36" s="273"/>
      <c r="AM36" s="273"/>
      <c r="AN36" s="273"/>
      <c r="AO36" s="273">
        <v>60</v>
      </c>
      <c r="AP36" s="273"/>
      <c r="AQ36" s="273"/>
      <c r="AR36" s="273"/>
      <c r="AS36" s="273"/>
      <c r="AT36" s="273">
        <v>30</v>
      </c>
      <c r="AU36" s="273"/>
      <c r="AV36" s="273"/>
      <c r="AW36" s="273"/>
      <c r="AX36" s="273"/>
      <c r="AY36" s="273"/>
      <c r="AZ36" s="273"/>
      <c r="BA36" s="273"/>
      <c r="BB36" s="273"/>
      <c r="BC36" s="273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397">
        <f t="shared" si="7"/>
        <v>210</v>
      </c>
      <c r="BO36" s="397"/>
      <c r="BP36" s="397"/>
      <c r="BQ36" s="397"/>
      <c r="BR36" s="500"/>
      <c r="BS36" s="757">
        <v>6</v>
      </c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533"/>
      <c r="DG36" s="757">
        <v>10</v>
      </c>
      <c r="DH36" s="270"/>
      <c r="DI36" s="270"/>
      <c r="DJ36" s="270"/>
      <c r="DK36" s="270"/>
      <c r="DL36" s="270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533"/>
      <c r="EU36" s="499">
        <f t="shared" si="10"/>
        <v>10</v>
      </c>
      <c r="EV36" s="765"/>
      <c r="EW36" s="765"/>
      <c r="EX36" s="339"/>
      <c r="EY36" s="500"/>
      <c r="FD36" s="191">
        <v>14</v>
      </c>
      <c r="FE36" s="192"/>
      <c r="FF36" s="193"/>
      <c r="FK36" s="200"/>
      <c r="FO36" s="200"/>
    </row>
    <row r="37" spans="1:171" s="100" customFormat="1" ht="90" customHeight="1" x14ac:dyDescent="0.2">
      <c r="A37" s="140" t="s">
        <v>99</v>
      </c>
      <c r="B37" s="108" t="s">
        <v>84</v>
      </c>
      <c r="C37" s="294" t="s">
        <v>87</v>
      </c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397">
        <f t="shared" si="8"/>
        <v>120</v>
      </c>
      <c r="AA37" s="397"/>
      <c r="AB37" s="397"/>
      <c r="AC37" s="397"/>
      <c r="AD37" s="397"/>
      <c r="AE37" s="270"/>
      <c r="AF37" s="270"/>
      <c r="AG37" s="270"/>
      <c r="AH37" s="270"/>
      <c r="AI37" s="270"/>
      <c r="AJ37" s="273">
        <f t="shared" si="9"/>
        <v>60</v>
      </c>
      <c r="AK37" s="273"/>
      <c r="AL37" s="273"/>
      <c r="AM37" s="273"/>
      <c r="AN37" s="273"/>
      <c r="AO37" s="273">
        <v>30</v>
      </c>
      <c r="AP37" s="273"/>
      <c r="AQ37" s="273"/>
      <c r="AR37" s="273"/>
      <c r="AS37" s="273"/>
      <c r="AT37" s="273"/>
      <c r="AU37" s="273"/>
      <c r="AV37" s="273"/>
      <c r="AW37" s="273"/>
      <c r="AX37" s="273"/>
      <c r="AY37" s="273">
        <v>30</v>
      </c>
      <c r="AZ37" s="273"/>
      <c r="BA37" s="273"/>
      <c r="BB37" s="273"/>
      <c r="BC37" s="273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397">
        <f t="shared" si="7"/>
        <v>60</v>
      </c>
      <c r="BO37" s="397"/>
      <c r="BP37" s="397"/>
      <c r="BQ37" s="397"/>
      <c r="BR37" s="500"/>
      <c r="BS37" s="757">
        <v>4</v>
      </c>
      <c r="BT37" s="270"/>
      <c r="BU37" s="270"/>
      <c r="BV37" s="270"/>
      <c r="BW37" s="270"/>
      <c r="BX37" s="270"/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0"/>
      <c r="CV37" s="270"/>
      <c r="CW37" s="270"/>
      <c r="CX37" s="270"/>
      <c r="CY37" s="270"/>
      <c r="CZ37" s="270"/>
      <c r="DA37" s="270"/>
      <c r="DB37" s="270"/>
      <c r="DC37" s="270"/>
      <c r="DD37" s="270"/>
      <c r="DE37" s="270"/>
      <c r="DF37" s="533"/>
      <c r="DG37" s="757">
        <v>4</v>
      </c>
      <c r="DH37" s="270"/>
      <c r="DI37" s="270"/>
      <c r="DJ37" s="270"/>
      <c r="DK37" s="270"/>
      <c r="DL37" s="270"/>
      <c r="DM37" s="270"/>
      <c r="DN37" s="270"/>
      <c r="DO37" s="270"/>
      <c r="DP37" s="270"/>
      <c r="DQ37" s="270"/>
      <c r="DR37" s="270"/>
      <c r="DS37" s="270"/>
      <c r="DT37" s="270"/>
      <c r="DU37" s="270"/>
      <c r="DV37" s="270"/>
      <c r="DW37" s="270"/>
      <c r="DX37" s="270"/>
      <c r="DY37" s="270"/>
      <c r="DZ37" s="270"/>
      <c r="EA37" s="270"/>
      <c r="EB37" s="270"/>
      <c r="EC37" s="270"/>
      <c r="ED37" s="270"/>
      <c r="EE37" s="270"/>
      <c r="EF37" s="270"/>
      <c r="EG37" s="270"/>
      <c r="EH37" s="270"/>
      <c r="EI37" s="270"/>
      <c r="EJ37" s="270"/>
      <c r="EK37" s="270"/>
      <c r="EL37" s="270"/>
      <c r="EM37" s="270"/>
      <c r="EN37" s="270"/>
      <c r="EO37" s="270"/>
      <c r="EP37" s="270"/>
      <c r="EQ37" s="270"/>
      <c r="ER37" s="270"/>
      <c r="ES37" s="270"/>
      <c r="ET37" s="533"/>
      <c r="EU37" s="499">
        <f t="shared" si="10"/>
        <v>4</v>
      </c>
      <c r="EV37" s="765"/>
      <c r="EW37" s="765"/>
      <c r="EX37" s="339"/>
      <c r="EY37" s="500"/>
      <c r="FD37" s="191">
        <v>8</v>
      </c>
      <c r="FE37" s="192"/>
      <c r="FF37" s="193"/>
      <c r="FK37" s="200"/>
      <c r="FO37" s="200"/>
    </row>
    <row r="38" spans="1:171" s="100" customFormat="1" ht="90" customHeight="1" x14ac:dyDescent="0.2">
      <c r="A38" s="140" t="s">
        <v>100</v>
      </c>
      <c r="B38" s="108" t="s">
        <v>142</v>
      </c>
      <c r="C38" s="294" t="s">
        <v>88</v>
      </c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397">
        <f t="shared" si="8"/>
        <v>120</v>
      </c>
      <c r="AA38" s="397"/>
      <c r="AB38" s="397"/>
      <c r="AC38" s="397"/>
      <c r="AD38" s="397"/>
      <c r="AE38" s="270"/>
      <c r="AF38" s="270"/>
      <c r="AG38" s="270"/>
      <c r="AH38" s="270"/>
      <c r="AI38" s="270"/>
      <c r="AJ38" s="273">
        <f t="shared" si="9"/>
        <v>60</v>
      </c>
      <c r="AK38" s="273"/>
      <c r="AL38" s="273"/>
      <c r="AM38" s="273"/>
      <c r="AN38" s="273"/>
      <c r="AO38" s="273">
        <v>30</v>
      </c>
      <c r="AP38" s="273"/>
      <c r="AQ38" s="273"/>
      <c r="AR38" s="273"/>
      <c r="AS38" s="273"/>
      <c r="AT38" s="273"/>
      <c r="AU38" s="273"/>
      <c r="AV38" s="273"/>
      <c r="AW38" s="273"/>
      <c r="AX38" s="273"/>
      <c r="AY38" s="273">
        <v>30</v>
      </c>
      <c r="AZ38" s="273"/>
      <c r="BA38" s="273"/>
      <c r="BB38" s="273"/>
      <c r="BC38" s="273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397">
        <f t="shared" si="7"/>
        <v>60</v>
      </c>
      <c r="BO38" s="397"/>
      <c r="BP38" s="397"/>
      <c r="BQ38" s="397"/>
      <c r="BR38" s="500"/>
      <c r="BS38" s="757"/>
      <c r="BT38" s="270"/>
      <c r="BU38" s="270"/>
      <c r="BV38" s="270"/>
      <c r="BW38" s="270"/>
      <c r="BX38" s="270">
        <v>4</v>
      </c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  <c r="DB38" s="270"/>
      <c r="DC38" s="270"/>
      <c r="DD38" s="270"/>
      <c r="DE38" s="270"/>
      <c r="DF38" s="533"/>
      <c r="DG38" s="757"/>
      <c r="DH38" s="270"/>
      <c r="DI38" s="270"/>
      <c r="DJ38" s="270"/>
      <c r="DK38" s="270"/>
      <c r="DL38" s="270">
        <v>4</v>
      </c>
      <c r="DM38" s="270"/>
      <c r="DN38" s="270"/>
      <c r="DO38" s="270"/>
      <c r="DP38" s="270"/>
      <c r="DQ38" s="270"/>
      <c r="DR38" s="270"/>
      <c r="DS38" s="270"/>
      <c r="DT38" s="270"/>
      <c r="DU38" s="270"/>
      <c r="DV38" s="270"/>
      <c r="DW38" s="270"/>
      <c r="DX38" s="270"/>
      <c r="DY38" s="270"/>
      <c r="DZ38" s="270"/>
      <c r="EA38" s="270"/>
      <c r="EB38" s="270"/>
      <c r="EC38" s="270"/>
      <c r="ED38" s="270"/>
      <c r="EE38" s="270"/>
      <c r="EF38" s="270"/>
      <c r="EG38" s="270"/>
      <c r="EH38" s="270"/>
      <c r="EI38" s="270"/>
      <c r="EJ38" s="270"/>
      <c r="EK38" s="270"/>
      <c r="EL38" s="270"/>
      <c r="EM38" s="270"/>
      <c r="EN38" s="270"/>
      <c r="EO38" s="270"/>
      <c r="EP38" s="270"/>
      <c r="EQ38" s="270"/>
      <c r="ER38" s="270"/>
      <c r="ES38" s="270"/>
      <c r="ET38" s="533"/>
      <c r="EU38" s="499">
        <f t="shared" si="10"/>
        <v>4</v>
      </c>
      <c r="EV38" s="765"/>
      <c r="EW38" s="765"/>
      <c r="EX38" s="339"/>
      <c r="EY38" s="500"/>
      <c r="FD38" s="191">
        <v>8</v>
      </c>
      <c r="FE38" s="192"/>
      <c r="FF38" s="193"/>
      <c r="FK38" s="200"/>
      <c r="FO38" s="200"/>
    </row>
    <row r="39" spans="1:171" s="100" customFormat="1" ht="90" customHeight="1" x14ac:dyDescent="0.2">
      <c r="A39" s="140" t="s">
        <v>234</v>
      </c>
      <c r="B39" s="108" t="s">
        <v>150</v>
      </c>
      <c r="C39" s="294" t="s">
        <v>354</v>
      </c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397">
        <f t="shared" si="8"/>
        <v>510</v>
      </c>
      <c r="AA39" s="397"/>
      <c r="AB39" s="397"/>
      <c r="AC39" s="397"/>
      <c r="AD39" s="397"/>
      <c r="AE39" s="270"/>
      <c r="AF39" s="270"/>
      <c r="AG39" s="270"/>
      <c r="AH39" s="270"/>
      <c r="AI39" s="270"/>
      <c r="AJ39" s="273">
        <f t="shared" si="9"/>
        <v>240</v>
      </c>
      <c r="AK39" s="273"/>
      <c r="AL39" s="273"/>
      <c r="AM39" s="273"/>
      <c r="AN39" s="273"/>
      <c r="AO39" s="273"/>
      <c r="AP39" s="273"/>
      <c r="AQ39" s="273"/>
      <c r="AR39" s="273"/>
      <c r="AS39" s="273"/>
      <c r="AT39" s="273">
        <v>240</v>
      </c>
      <c r="AU39" s="273"/>
      <c r="AV39" s="273"/>
      <c r="AW39" s="273"/>
      <c r="AX39" s="273"/>
      <c r="AY39" s="273"/>
      <c r="AZ39" s="273"/>
      <c r="BA39" s="273"/>
      <c r="BB39" s="273"/>
      <c r="BC39" s="273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397">
        <f t="shared" si="7"/>
        <v>270</v>
      </c>
      <c r="BO39" s="397"/>
      <c r="BP39" s="397"/>
      <c r="BQ39" s="397"/>
      <c r="BR39" s="500"/>
      <c r="BS39" s="757">
        <v>4</v>
      </c>
      <c r="BT39" s="270"/>
      <c r="BU39" s="270"/>
      <c r="BV39" s="270"/>
      <c r="BW39" s="270"/>
      <c r="BX39" s="270">
        <v>4</v>
      </c>
      <c r="BY39" s="270"/>
      <c r="BZ39" s="270"/>
      <c r="CA39" s="270"/>
      <c r="CB39" s="270"/>
      <c r="CC39" s="270">
        <v>4</v>
      </c>
      <c r="CD39" s="270"/>
      <c r="CE39" s="270"/>
      <c r="CF39" s="270"/>
      <c r="CG39" s="270"/>
      <c r="CH39" s="270">
        <v>4</v>
      </c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  <c r="DB39" s="270"/>
      <c r="DC39" s="270"/>
      <c r="DD39" s="270"/>
      <c r="DE39" s="270"/>
      <c r="DF39" s="533"/>
      <c r="DG39" s="757">
        <v>4</v>
      </c>
      <c r="DH39" s="270"/>
      <c r="DI39" s="270"/>
      <c r="DJ39" s="270"/>
      <c r="DK39" s="270"/>
      <c r="DL39" s="270">
        <v>5</v>
      </c>
      <c r="DM39" s="270"/>
      <c r="DN39" s="270"/>
      <c r="DO39" s="270"/>
      <c r="DP39" s="270"/>
      <c r="DQ39" s="270">
        <v>4</v>
      </c>
      <c r="DR39" s="270"/>
      <c r="DS39" s="270"/>
      <c r="DT39" s="270"/>
      <c r="DU39" s="270"/>
      <c r="DV39" s="270">
        <v>4</v>
      </c>
      <c r="DW39" s="270"/>
      <c r="DX39" s="270"/>
      <c r="DY39" s="270"/>
      <c r="DZ39" s="270"/>
      <c r="EA39" s="270"/>
      <c r="EB39" s="270"/>
      <c r="EC39" s="270"/>
      <c r="ED39" s="270"/>
      <c r="EE39" s="270"/>
      <c r="EF39" s="270"/>
      <c r="EG39" s="270"/>
      <c r="EH39" s="270"/>
      <c r="EI39" s="270"/>
      <c r="EJ39" s="270"/>
      <c r="EK39" s="270"/>
      <c r="EL39" s="270"/>
      <c r="EM39" s="270"/>
      <c r="EN39" s="270"/>
      <c r="EO39" s="270"/>
      <c r="EP39" s="270"/>
      <c r="EQ39" s="270"/>
      <c r="ER39" s="270"/>
      <c r="ES39" s="270"/>
      <c r="ET39" s="533"/>
      <c r="EU39" s="499">
        <f t="shared" si="10"/>
        <v>17</v>
      </c>
      <c r="EV39" s="765"/>
      <c r="EW39" s="765"/>
      <c r="EX39" s="339"/>
      <c r="EY39" s="500"/>
      <c r="EZ39" s="253" t="s">
        <v>358</v>
      </c>
      <c r="FD39" s="191">
        <v>14</v>
      </c>
      <c r="FE39" s="192"/>
      <c r="FF39" s="193"/>
      <c r="FK39" s="200"/>
      <c r="FO39" s="200"/>
    </row>
    <row r="40" spans="1:171" s="98" customFormat="1" ht="90" customHeight="1" x14ac:dyDescent="0.2">
      <c r="A40" s="140" t="s">
        <v>101</v>
      </c>
      <c r="B40" s="108" t="s">
        <v>148</v>
      </c>
      <c r="C40" s="294" t="s">
        <v>187</v>
      </c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397">
        <f t="shared" si="8"/>
        <v>360</v>
      </c>
      <c r="AA40" s="397"/>
      <c r="AB40" s="397"/>
      <c r="AC40" s="397"/>
      <c r="AD40" s="397"/>
      <c r="AE40" s="270"/>
      <c r="AF40" s="270"/>
      <c r="AG40" s="270"/>
      <c r="AH40" s="270"/>
      <c r="AI40" s="270"/>
      <c r="AJ40" s="273">
        <f t="shared" si="9"/>
        <v>180</v>
      </c>
      <c r="AK40" s="273"/>
      <c r="AL40" s="273"/>
      <c r="AM40" s="273"/>
      <c r="AN40" s="273"/>
      <c r="AO40" s="273"/>
      <c r="AP40" s="273"/>
      <c r="AQ40" s="273"/>
      <c r="AR40" s="273"/>
      <c r="AS40" s="273"/>
      <c r="AT40" s="273">
        <v>180</v>
      </c>
      <c r="AU40" s="273"/>
      <c r="AV40" s="273"/>
      <c r="AW40" s="273"/>
      <c r="AX40" s="273"/>
      <c r="AY40" s="273"/>
      <c r="AZ40" s="273"/>
      <c r="BA40" s="273"/>
      <c r="BB40" s="273"/>
      <c r="BC40" s="273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397">
        <f t="shared" si="7"/>
        <v>180</v>
      </c>
      <c r="BO40" s="397"/>
      <c r="BP40" s="397"/>
      <c r="BQ40" s="397"/>
      <c r="BR40" s="500"/>
      <c r="BS40" s="757"/>
      <c r="BT40" s="270"/>
      <c r="BU40" s="270"/>
      <c r="BV40" s="270"/>
      <c r="BW40" s="270"/>
      <c r="BX40" s="270"/>
      <c r="BY40" s="270"/>
      <c r="BZ40" s="270"/>
      <c r="CA40" s="270"/>
      <c r="CB40" s="270"/>
      <c r="CC40" s="270">
        <v>6</v>
      </c>
      <c r="CD40" s="270"/>
      <c r="CE40" s="270"/>
      <c r="CF40" s="270"/>
      <c r="CG40" s="270"/>
      <c r="CH40" s="270">
        <v>6</v>
      </c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/>
      <c r="CU40" s="270"/>
      <c r="CV40" s="270"/>
      <c r="CW40" s="270"/>
      <c r="CX40" s="270"/>
      <c r="CY40" s="270"/>
      <c r="CZ40" s="270"/>
      <c r="DA40" s="270"/>
      <c r="DB40" s="270"/>
      <c r="DC40" s="270"/>
      <c r="DD40" s="270"/>
      <c r="DE40" s="270"/>
      <c r="DF40" s="533"/>
      <c r="DG40" s="757"/>
      <c r="DH40" s="270"/>
      <c r="DI40" s="270"/>
      <c r="DJ40" s="270"/>
      <c r="DK40" s="270"/>
      <c r="DL40" s="270"/>
      <c r="DM40" s="270"/>
      <c r="DN40" s="270"/>
      <c r="DO40" s="270"/>
      <c r="DP40" s="270"/>
      <c r="DQ40" s="270">
        <v>6</v>
      </c>
      <c r="DR40" s="270"/>
      <c r="DS40" s="270"/>
      <c r="DT40" s="270"/>
      <c r="DU40" s="270"/>
      <c r="DV40" s="270">
        <v>6</v>
      </c>
      <c r="DW40" s="270"/>
      <c r="DX40" s="270"/>
      <c r="DY40" s="270"/>
      <c r="DZ40" s="270"/>
      <c r="EA40" s="270"/>
      <c r="EB40" s="270"/>
      <c r="EC40" s="270"/>
      <c r="ED40" s="270"/>
      <c r="EE40" s="270"/>
      <c r="EF40" s="270"/>
      <c r="EG40" s="270"/>
      <c r="EH40" s="270"/>
      <c r="EI40" s="270"/>
      <c r="EJ40" s="270"/>
      <c r="EK40" s="270"/>
      <c r="EL40" s="270"/>
      <c r="EM40" s="270"/>
      <c r="EN40" s="270"/>
      <c r="EO40" s="270"/>
      <c r="EP40" s="270"/>
      <c r="EQ40" s="270"/>
      <c r="ER40" s="270"/>
      <c r="ES40" s="270"/>
      <c r="ET40" s="533"/>
      <c r="EU40" s="499">
        <f t="shared" si="10"/>
        <v>12</v>
      </c>
      <c r="EV40" s="765"/>
      <c r="EW40" s="765"/>
      <c r="EX40" s="339"/>
      <c r="EY40" s="500"/>
      <c r="FD40" s="197">
        <v>12</v>
      </c>
      <c r="FE40" s="198"/>
      <c r="FF40" s="199"/>
      <c r="FK40" s="200"/>
      <c r="FO40" s="200"/>
    </row>
    <row r="41" spans="1:171" s="100" customFormat="1" ht="90" customHeight="1" x14ac:dyDescent="0.2">
      <c r="A41" s="140" t="s">
        <v>235</v>
      </c>
      <c r="B41" s="108" t="s">
        <v>149</v>
      </c>
      <c r="C41" s="294" t="s">
        <v>147</v>
      </c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397">
        <f t="shared" si="8"/>
        <v>180</v>
      </c>
      <c r="AA41" s="397"/>
      <c r="AB41" s="397"/>
      <c r="AC41" s="397"/>
      <c r="AD41" s="397"/>
      <c r="AE41" s="270"/>
      <c r="AF41" s="270"/>
      <c r="AG41" s="270"/>
      <c r="AH41" s="270"/>
      <c r="AI41" s="270"/>
      <c r="AJ41" s="273">
        <f t="shared" si="9"/>
        <v>72</v>
      </c>
      <c r="AK41" s="273"/>
      <c r="AL41" s="273"/>
      <c r="AM41" s="273"/>
      <c r="AN41" s="273"/>
      <c r="AO41" s="273"/>
      <c r="AP41" s="273"/>
      <c r="AQ41" s="273"/>
      <c r="AR41" s="273"/>
      <c r="AS41" s="273"/>
      <c r="AT41" s="273">
        <v>72</v>
      </c>
      <c r="AU41" s="273"/>
      <c r="AV41" s="273"/>
      <c r="AW41" s="273"/>
      <c r="AX41" s="273"/>
      <c r="AY41" s="273"/>
      <c r="AZ41" s="273"/>
      <c r="BA41" s="273"/>
      <c r="BB41" s="273"/>
      <c r="BC41" s="273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397">
        <f t="shared" si="7"/>
        <v>108</v>
      </c>
      <c r="BO41" s="397"/>
      <c r="BP41" s="397"/>
      <c r="BQ41" s="397"/>
      <c r="BR41" s="500"/>
      <c r="BS41" s="757"/>
      <c r="BT41" s="270"/>
      <c r="BU41" s="270"/>
      <c r="BV41" s="270"/>
      <c r="BW41" s="270"/>
      <c r="BX41" s="270"/>
      <c r="BY41" s="270"/>
      <c r="BZ41" s="270"/>
      <c r="CA41" s="270"/>
      <c r="CB41" s="270"/>
      <c r="CC41" s="270">
        <v>2</v>
      </c>
      <c r="CD41" s="270"/>
      <c r="CE41" s="270"/>
      <c r="CF41" s="270"/>
      <c r="CG41" s="270"/>
      <c r="CH41" s="270">
        <v>3</v>
      </c>
      <c r="CI41" s="270"/>
      <c r="CJ41" s="270"/>
      <c r="CK41" s="270"/>
      <c r="CL41" s="270"/>
      <c r="CM41" s="270"/>
      <c r="CN41" s="270"/>
      <c r="CO41" s="270"/>
      <c r="CP41" s="270"/>
      <c r="CQ41" s="270"/>
      <c r="CR41" s="270"/>
      <c r="CS41" s="270"/>
      <c r="CT41" s="270"/>
      <c r="CU41" s="270"/>
      <c r="CV41" s="270"/>
      <c r="CW41" s="270"/>
      <c r="CX41" s="270"/>
      <c r="CY41" s="270"/>
      <c r="CZ41" s="270"/>
      <c r="DA41" s="270"/>
      <c r="DB41" s="270"/>
      <c r="DC41" s="270"/>
      <c r="DD41" s="270"/>
      <c r="DE41" s="270"/>
      <c r="DF41" s="533"/>
      <c r="DG41" s="757"/>
      <c r="DH41" s="270"/>
      <c r="DI41" s="270"/>
      <c r="DJ41" s="270"/>
      <c r="DK41" s="270"/>
      <c r="DL41" s="270"/>
      <c r="DM41" s="270"/>
      <c r="DN41" s="270"/>
      <c r="DO41" s="270"/>
      <c r="DP41" s="270"/>
      <c r="DQ41" s="270">
        <v>2</v>
      </c>
      <c r="DR41" s="270"/>
      <c r="DS41" s="270"/>
      <c r="DT41" s="270"/>
      <c r="DU41" s="270"/>
      <c r="DV41" s="270">
        <v>4</v>
      </c>
      <c r="DW41" s="270"/>
      <c r="DX41" s="270"/>
      <c r="DY41" s="270"/>
      <c r="DZ41" s="270"/>
      <c r="EA41" s="270"/>
      <c r="EB41" s="270"/>
      <c r="EC41" s="270"/>
      <c r="ED41" s="270"/>
      <c r="EE41" s="270"/>
      <c r="EF41" s="270"/>
      <c r="EG41" s="270"/>
      <c r="EH41" s="270"/>
      <c r="EI41" s="270"/>
      <c r="EJ41" s="270"/>
      <c r="EK41" s="270"/>
      <c r="EL41" s="270"/>
      <c r="EM41" s="270"/>
      <c r="EN41" s="270"/>
      <c r="EO41" s="270"/>
      <c r="EP41" s="270"/>
      <c r="EQ41" s="270"/>
      <c r="ER41" s="270"/>
      <c r="ES41" s="270"/>
      <c r="ET41" s="533"/>
      <c r="EU41" s="499">
        <f t="shared" si="10"/>
        <v>6</v>
      </c>
      <c r="EV41" s="765"/>
      <c r="EW41" s="765"/>
      <c r="EX41" s="339"/>
      <c r="EY41" s="500"/>
      <c r="EZ41" s="252" t="s">
        <v>357</v>
      </c>
      <c r="FD41" s="191">
        <v>6</v>
      </c>
      <c r="FE41" s="192"/>
      <c r="FF41" s="193"/>
      <c r="FK41" s="200"/>
    </row>
    <row r="42" spans="1:171" s="100" customFormat="1" ht="90" customHeight="1" x14ac:dyDescent="0.2">
      <c r="A42" s="140" t="s">
        <v>102</v>
      </c>
      <c r="B42" s="108" t="s">
        <v>350</v>
      </c>
      <c r="C42" s="294" t="s">
        <v>359</v>
      </c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397">
        <f t="shared" si="8"/>
        <v>120</v>
      </c>
      <c r="AA42" s="397"/>
      <c r="AB42" s="397"/>
      <c r="AC42" s="397"/>
      <c r="AD42" s="397"/>
      <c r="AE42" s="270"/>
      <c r="AF42" s="270"/>
      <c r="AG42" s="270"/>
      <c r="AH42" s="270"/>
      <c r="AI42" s="270"/>
      <c r="AJ42" s="273">
        <f t="shared" si="9"/>
        <v>48</v>
      </c>
      <c r="AK42" s="273"/>
      <c r="AL42" s="273"/>
      <c r="AM42" s="273"/>
      <c r="AN42" s="273"/>
      <c r="AO42" s="273">
        <v>32</v>
      </c>
      <c r="AP42" s="273"/>
      <c r="AQ42" s="273"/>
      <c r="AR42" s="273"/>
      <c r="AS42" s="273"/>
      <c r="AT42" s="273">
        <v>8</v>
      </c>
      <c r="AU42" s="273"/>
      <c r="AV42" s="273"/>
      <c r="AW42" s="273"/>
      <c r="AX42" s="273"/>
      <c r="AY42" s="273">
        <v>8</v>
      </c>
      <c r="AZ42" s="273"/>
      <c r="BA42" s="273"/>
      <c r="BB42" s="273"/>
      <c r="BC42" s="273"/>
      <c r="BD42" s="274"/>
      <c r="BE42" s="274"/>
      <c r="BF42" s="274"/>
      <c r="BG42" s="274"/>
      <c r="BH42" s="274"/>
      <c r="BI42" s="274"/>
      <c r="BJ42" s="274"/>
      <c r="BK42" s="274"/>
      <c r="BL42" s="274"/>
      <c r="BM42" s="274"/>
      <c r="BN42" s="397">
        <f t="shared" si="7"/>
        <v>72</v>
      </c>
      <c r="BO42" s="397"/>
      <c r="BP42" s="397"/>
      <c r="BQ42" s="397"/>
      <c r="BR42" s="500"/>
      <c r="BS42" s="757"/>
      <c r="BT42" s="270"/>
      <c r="BU42" s="270"/>
      <c r="BV42" s="270"/>
      <c r="BW42" s="270"/>
      <c r="BX42" s="270"/>
      <c r="BY42" s="270"/>
      <c r="BZ42" s="270"/>
      <c r="CA42" s="270"/>
      <c r="CB42" s="270"/>
      <c r="CC42" s="270"/>
      <c r="CD42" s="270"/>
      <c r="CE42" s="270"/>
      <c r="CF42" s="270"/>
      <c r="CG42" s="270"/>
      <c r="CH42" s="270">
        <v>3</v>
      </c>
      <c r="CI42" s="270"/>
      <c r="CJ42" s="270"/>
      <c r="CK42" s="270"/>
      <c r="CL42" s="270"/>
      <c r="CM42" s="270"/>
      <c r="CN42" s="270"/>
      <c r="CO42" s="270"/>
      <c r="CP42" s="270"/>
      <c r="CQ42" s="270"/>
      <c r="CR42" s="270"/>
      <c r="CS42" s="270"/>
      <c r="CT42" s="270"/>
      <c r="CU42" s="270"/>
      <c r="CV42" s="270"/>
      <c r="CW42" s="270"/>
      <c r="CX42" s="270"/>
      <c r="CY42" s="270"/>
      <c r="CZ42" s="270"/>
      <c r="DA42" s="270"/>
      <c r="DB42" s="270"/>
      <c r="DC42" s="270"/>
      <c r="DD42" s="270"/>
      <c r="DE42" s="270"/>
      <c r="DF42" s="533"/>
      <c r="DG42" s="757"/>
      <c r="DH42" s="270"/>
      <c r="DI42" s="270"/>
      <c r="DJ42" s="270"/>
      <c r="DK42" s="270"/>
      <c r="DL42" s="270"/>
      <c r="DM42" s="270"/>
      <c r="DN42" s="270"/>
      <c r="DO42" s="270"/>
      <c r="DP42" s="270"/>
      <c r="DQ42" s="270"/>
      <c r="DR42" s="270"/>
      <c r="DS42" s="270"/>
      <c r="DT42" s="270"/>
      <c r="DU42" s="270"/>
      <c r="DV42" s="270">
        <v>4</v>
      </c>
      <c r="DW42" s="270"/>
      <c r="DX42" s="270"/>
      <c r="DY42" s="270"/>
      <c r="DZ42" s="270"/>
      <c r="EA42" s="270"/>
      <c r="EB42" s="270"/>
      <c r="EC42" s="270"/>
      <c r="ED42" s="270"/>
      <c r="EE42" s="270"/>
      <c r="EF42" s="270"/>
      <c r="EG42" s="270"/>
      <c r="EH42" s="270"/>
      <c r="EI42" s="270"/>
      <c r="EJ42" s="270"/>
      <c r="EK42" s="270"/>
      <c r="EL42" s="270"/>
      <c r="EM42" s="270"/>
      <c r="EN42" s="270"/>
      <c r="EO42" s="270"/>
      <c r="EP42" s="270"/>
      <c r="EQ42" s="270"/>
      <c r="ER42" s="270"/>
      <c r="ES42" s="270"/>
      <c r="ET42" s="533"/>
      <c r="EU42" s="499">
        <f t="shared" si="10"/>
        <v>4</v>
      </c>
      <c r="EV42" s="765"/>
      <c r="EW42" s="765"/>
      <c r="EX42" s="339"/>
      <c r="EY42" s="500"/>
      <c r="FD42" s="191">
        <v>4</v>
      </c>
      <c r="FE42" s="192"/>
      <c r="FF42" s="193"/>
      <c r="FK42" s="200"/>
    </row>
    <row r="43" spans="1:171" s="100" customFormat="1" ht="90" customHeight="1" x14ac:dyDescent="0.2">
      <c r="A43" s="140" t="s">
        <v>7</v>
      </c>
      <c r="B43" s="108" t="s">
        <v>153</v>
      </c>
      <c r="C43" s="271" t="s">
        <v>189</v>
      </c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397">
        <f t="shared" si="8"/>
        <v>240</v>
      </c>
      <c r="AA43" s="397"/>
      <c r="AB43" s="397"/>
      <c r="AC43" s="397"/>
      <c r="AD43" s="397"/>
      <c r="AE43" s="270"/>
      <c r="AF43" s="270"/>
      <c r="AG43" s="270"/>
      <c r="AH43" s="270"/>
      <c r="AI43" s="270"/>
      <c r="AJ43" s="273">
        <f t="shared" si="9"/>
        <v>120</v>
      </c>
      <c r="AK43" s="273"/>
      <c r="AL43" s="273"/>
      <c r="AM43" s="273"/>
      <c r="AN43" s="273"/>
      <c r="AO43" s="273"/>
      <c r="AP43" s="273"/>
      <c r="AQ43" s="273"/>
      <c r="AR43" s="273"/>
      <c r="AS43" s="273"/>
      <c r="AT43" s="273">
        <v>120</v>
      </c>
      <c r="AU43" s="273"/>
      <c r="AV43" s="273"/>
      <c r="AW43" s="273"/>
      <c r="AX43" s="273"/>
      <c r="AY43" s="273"/>
      <c r="AZ43" s="273"/>
      <c r="BA43" s="273"/>
      <c r="BB43" s="273"/>
      <c r="BC43" s="273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397">
        <f t="shared" si="7"/>
        <v>120</v>
      </c>
      <c r="BO43" s="397"/>
      <c r="BP43" s="397"/>
      <c r="BQ43" s="397"/>
      <c r="BR43" s="500"/>
      <c r="BS43" s="757"/>
      <c r="BT43" s="270"/>
      <c r="BU43" s="270"/>
      <c r="BV43" s="270"/>
      <c r="BW43" s="270"/>
      <c r="BX43" s="270"/>
      <c r="BY43" s="270"/>
      <c r="BZ43" s="270"/>
      <c r="CA43" s="270"/>
      <c r="CB43" s="270"/>
      <c r="CC43" s="270">
        <v>4</v>
      </c>
      <c r="CD43" s="270"/>
      <c r="CE43" s="270"/>
      <c r="CF43" s="270"/>
      <c r="CG43" s="270"/>
      <c r="CH43" s="270">
        <v>4</v>
      </c>
      <c r="CI43" s="270"/>
      <c r="CJ43" s="270"/>
      <c r="CK43" s="270"/>
      <c r="CL43" s="270"/>
      <c r="CM43" s="270"/>
      <c r="CN43" s="270"/>
      <c r="CO43" s="270"/>
      <c r="CP43" s="270"/>
      <c r="CQ43" s="270"/>
      <c r="CR43" s="270"/>
      <c r="CS43" s="270"/>
      <c r="CT43" s="270"/>
      <c r="CU43" s="270"/>
      <c r="CV43" s="270"/>
      <c r="CW43" s="270"/>
      <c r="CX43" s="270"/>
      <c r="CY43" s="270"/>
      <c r="CZ43" s="270"/>
      <c r="DA43" s="270"/>
      <c r="DB43" s="270"/>
      <c r="DC43" s="270"/>
      <c r="DD43" s="270"/>
      <c r="DE43" s="270"/>
      <c r="DF43" s="533"/>
      <c r="DG43" s="757"/>
      <c r="DH43" s="270"/>
      <c r="DI43" s="270"/>
      <c r="DJ43" s="270"/>
      <c r="DK43" s="270"/>
      <c r="DL43" s="270"/>
      <c r="DM43" s="270"/>
      <c r="DN43" s="270"/>
      <c r="DO43" s="270"/>
      <c r="DP43" s="270"/>
      <c r="DQ43" s="270">
        <v>4</v>
      </c>
      <c r="DR43" s="270"/>
      <c r="DS43" s="270"/>
      <c r="DT43" s="270"/>
      <c r="DU43" s="270"/>
      <c r="DV43" s="270">
        <v>4</v>
      </c>
      <c r="DW43" s="270"/>
      <c r="DX43" s="270"/>
      <c r="DY43" s="270"/>
      <c r="DZ43" s="270"/>
      <c r="EA43" s="270"/>
      <c r="EB43" s="270"/>
      <c r="EC43" s="270"/>
      <c r="ED43" s="270"/>
      <c r="EE43" s="270"/>
      <c r="EF43" s="270"/>
      <c r="EG43" s="270"/>
      <c r="EH43" s="270"/>
      <c r="EI43" s="270"/>
      <c r="EJ43" s="270"/>
      <c r="EK43" s="270"/>
      <c r="EL43" s="270"/>
      <c r="EM43" s="270"/>
      <c r="EN43" s="270"/>
      <c r="EO43" s="270"/>
      <c r="EP43" s="270"/>
      <c r="EQ43" s="270"/>
      <c r="ER43" s="270"/>
      <c r="ES43" s="270"/>
      <c r="ET43" s="533"/>
      <c r="EU43" s="499">
        <f t="shared" si="10"/>
        <v>8</v>
      </c>
      <c r="EV43" s="765"/>
      <c r="EW43" s="765"/>
      <c r="EX43" s="339"/>
      <c r="EY43" s="500"/>
      <c r="FD43" s="191">
        <v>15</v>
      </c>
      <c r="FE43" s="192"/>
      <c r="FF43" s="193"/>
      <c r="FK43" s="200"/>
    </row>
    <row r="44" spans="1:171" s="99" customFormat="1" ht="90" customHeight="1" x14ac:dyDescent="0.2">
      <c r="A44" s="140" t="s">
        <v>8</v>
      </c>
      <c r="B44" s="108" t="s">
        <v>252</v>
      </c>
      <c r="C44" s="294" t="s">
        <v>190</v>
      </c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397">
        <f t="shared" si="8"/>
        <v>240</v>
      </c>
      <c r="AA44" s="397"/>
      <c r="AB44" s="397"/>
      <c r="AC44" s="397"/>
      <c r="AD44" s="397"/>
      <c r="AE44" s="270"/>
      <c r="AF44" s="270"/>
      <c r="AG44" s="270"/>
      <c r="AH44" s="270"/>
      <c r="AI44" s="270"/>
      <c r="AJ44" s="273">
        <f t="shared" si="9"/>
        <v>96</v>
      </c>
      <c r="AK44" s="273"/>
      <c r="AL44" s="273"/>
      <c r="AM44" s="273"/>
      <c r="AN44" s="273"/>
      <c r="AO44" s="273">
        <v>48</v>
      </c>
      <c r="AP44" s="273"/>
      <c r="AQ44" s="273"/>
      <c r="AR44" s="273"/>
      <c r="AS44" s="273"/>
      <c r="AT44" s="273">
        <v>48</v>
      </c>
      <c r="AU44" s="273"/>
      <c r="AV44" s="273"/>
      <c r="AW44" s="273"/>
      <c r="AX44" s="273"/>
      <c r="AY44" s="273"/>
      <c r="AZ44" s="273"/>
      <c r="BA44" s="273"/>
      <c r="BB44" s="273"/>
      <c r="BC44" s="273"/>
      <c r="BD44" s="274"/>
      <c r="BE44" s="274"/>
      <c r="BF44" s="274"/>
      <c r="BG44" s="274"/>
      <c r="BH44" s="274"/>
      <c r="BI44" s="274"/>
      <c r="BJ44" s="274"/>
      <c r="BK44" s="274"/>
      <c r="BL44" s="274"/>
      <c r="BM44" s="274"/>
      <c r="BN44" s="397">
        <f t="shared" si="7"/>
        <v>144</v>
      </c>
      <c r="BO44" s="397"/>
      <c r="BP44" s="397"/>
      <c r="BQ44" s="397"/>
      <c r="BR44" s="500"/>
      <c r="BS44" s="757"/>
      <c r="BT44" s="270"/>
      <c r="BU44" s="270"/>
      <c r="BV44" s="270"/>
      <c r="BW44" s="270"/>
      <c r="BX44" s="270"/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>
        <v>3</v>
      </c>
      <c r="CN44" s="270"/>
      <c r="CO44" s="270"/>
      <c r="CP44" s="270"/>
      <c r="CQ44" s="270"/>
      <c r="CR44" s="270">
        <v>3</v>
      </c>
      <c r="CS44" s="270"/>
      <c r="CT44" s="270"/>
      <c r="CU44" s="270"/>
      <c r="CV44" s="270"/>
      <c r="CW44" s="270"/>
      <c r="CX44" s="270"/>
      <c r="CY44" s="270"/>
      <c r="CZ44" s="270"/>
      <c r="DA44" s="270"/>
      <c r="DB44" s="270"/>
      <c r="DC44" s="270"/>
      <c r="DD44" s="270"/>
      <c r="DE44" s="270"/>
      <c r="DF44" s="533"/>
      <c r="DG44" s="757"/>
      <c r="DH44" s="270"/>
      <c r="DI44" s="270"/>
      <c r="DJ44" s="270"/>
      <c r="DK44" s="270"/>
      <c r="DL44" s="270"/>
      <c r="DM44" s="270"/>
      <c r="DN44" s="270"/>
      <c r="DO44" s="270"/>
      <c r="DP44" s="270"/>
      <c r="DQ44" s="270"/>
      <c r="DR44" s="270"/>
      <c r="DS44" s="270"/>
      <c r="DT44" s="270"/>
      <c r="DU44" s="270"/>
      <c r="DV44" s="270"/>
      <c r="DW44" s="270"/>
      <c r="DX44" s="270"/>
      <c r="DY44" s="270"/>
      <c r="DZ44" s="270"/>
      <c r="EA44" s="270">
        <v>4</v>
      </c>
      <c r="EB44" s="270"/>
      <c r="EC44" s="270"/>
      <c r="ED44" s="270"/>
      <c r="EE44" s="270"/>
      <c r="EF44" s="270">
        <v>4</v>
      </c>
      <c r="EG44" s="270"/>
      <c r="EH44" s="270"/>
      <c r="EI44" s="270"/>
      <c r="EJ44" s="270"/>
      <c r="EK44" s="270"/>
      <c r="EL44" s="270"/>
      <c r="EM44" s="270"/>
      <c r="EN44" s="270"/>
      <c r="EO44" s="270"/>
      <c r="EP44" s="270"/>
      <c r="EQ44" s="270"/>
      <c r="ER44" s="270"/>
      <c r="ES44" s="270"/>
      <c r="ET44" s="533"/>
      <c r="EU44" s="499">
        <f t="shared" si="10"/>
        <v>8</v>
      </c>
      <c r="EV44" s="765"/>
      <c r="EW44" s="765"/>
      <c r="EX44" s="339"/>
      <c r="EY44" s="500"/>
      <c r="EZ44" s="100"/>
      <c r="FD44" s="194">
        <v>8</v>
      </c>
      <c r="FE44" s="195"/>
      <c r="FF44" s="196"/>
      <c r="FK44" s="201"/>
    </row>
    <row r="45" spans="1:171" s="99" customFormat="1" ht="120" customHeight="1" x14ac:dyDescent="0.2">
      <c r="A45" s="140" t="s">
        <v>9</v>
      </c>
      <c r="B45" s="108" t="s">
        <v>302</v>
      </c>
      <c r="C45" s="271" t="s">
        <v>191</v>
      </c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397">
        <f t="shared" si="8"/>
        <v>240</v>
      </c>
      <c r="AA45" s="397"/>
      <c r="AB45" s="397"/>
      <c r="AC45" s="397"/>
      <c r="AD45" s="397"/>
      <c r="AE45" s="270"/>
      <c r="AF45" s="270"/>
      <c r="AG45" s="270"/>
      <c r="AH45" s="270"/>
      <c r="AI45" s="270"/>
      <c r="AJ45" s="273">
        <f t="shared" si="9"/>
        <v>96</v>
      </c>
      <c r="AK45" s="273"/>
      <c r="AL45" s="273"/>
      <c r="AM45" s="273"/>
      <c r="AN45" s="273"/>
      <c r="AO45" s="273"/>
      <c r="AP45" s="273"/>
      <c r="AQ45" s="273"/>
      <c r="AR45" s="273"/>
      <c r="AS45" s="273"/>
      <c r="AT45" s="273">
        <v>96</v>
      </c>
      <c r="AU45" s="273"/>
      <c r="AV45" s="273"/>
      <c r="AW45" s="273"/>
      <c r="AX45" s="273"/>
      <c r="AY45" s="273"/>
      <c r="AZ45" s="273"/>
      <c r="BA45" s="273"/>
      <c r="BB45" s="273"/>
      <c r="BC45" s="273"/>
      <c r="BD45" s="436"/>
      <c r="BE45" s="436"/>
      <c r="BF45" s="436"/>
      <c r="BG45" s="436"/>
      <c r="BH45" s="436"/>
      <c r="BI45" s="274"/>
      <c r="BJ45" s="274"/>
      <c r="BK45" s="274"/>
      <c r="BL45" s="274"/>
      <c r="BM45" s="274"/>
      <c r="BN45" s="397">
        <f t="shared" si="7"/>
        <v>144</v>
      </c>
      <c r="BO45" s="397"/>
      <c r="BP45" s="397"/>
      <c r="BQ45" s="397"/>
      <c r="BR45" s="500"/>
      <c r="BS45" s="757"/>
      <c r="BT45" s="270"/>
      <c r="BU45" s="270"/>
      <c r="BV45" s="270"/>
      <c r="BW45" s="270"/>
      <c r="BX45" s="270"/>
      <c r="BY45" s="270"/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0"/>
      <c r="CL45" s="270"/>
      <c r="CM45" s="270">
        <v>3</v>
      </c>
      <c r="CN45" s="270"/>
      <c r="CO45" s="270"/>
      <c r="CP45" s="270"/>
      <c r="CQ45" s="270"/>
      <c r="CR45" s="270">
        <v>3</v>
      </c>
      <c r="CS45" s="270"/>
      <c r="CT45" s="270"/>
      <c r="CU45" s="270"/>
      <c r="CV45" s="270"/>
      <c r="CW45" s="270"/>
      <c r="CX45" s="270"/>
      <c r="CY45" s="270"/>
      <c r="CZ45" s="270"/>
      <c r="DA45" s="270"/>
      <c r="DB45" s="270"/>
      <c r="DC45" s="270"/>
      <c r="DD45" s="270"/>
      <c r="DE45" s="270"/>
      <c r="DF45" s="533"/>
      <c r="DG45" s="757"/>
      <c r="DH45" s="270"/>
      <c r="DI45" s="270"/>
      <c r="DJ45" s="270"/>
      <c r="DK45" s="270"/>
      <c r="DL45" s="270"/>
      <c r="DM45" s="270"/>
      <c r="DN45" s="270"/>
      <c r="DO45" s="270"/>
      <c r="DP45" s="270"/>
      <c r="DQ45" s="270"/>
      <c r="DR45" s="270"/>
      <c r="DS45" s="270"/>
      <c r="DT45" s="270"/>
      <c r="DU45" s="270"/>
      <c r="DV45" s="270"/>
      <c r="DW45" s="270"/>
      <c r="DX45" s="270"/>
      <c r="DY45" s="270"/>
      <c r="DZ45" s="270"/>
      <c r="EA45" s="270">
        <v>4</v>
      </c>
      <c r="EB45" s="270"/>
      <c r="EC45" s="270"/>
      <c r="ED45" s="270"/>
      <c r="EE45" s="270"/>
      <c r="EF45" s="270">
        <v>4</v>
      </c>
      <c r="EG45" s="270"/>
      <c r="EH45" s="270"/>
      <c r="EI45" s="270"/>
      <c r="EJ45" s="270"/>
      <c r="EK45" s="270"/>
      <c r="EL45" s="270"/>
      <c r="EM45" s="270"/>
      <c r="EN45" s="270"/>
      <c r="EO45" s="270"/>
      <c r="EP45" s="270"/>
      <c r="EQ45" s="270"/>
      <c r="ER45" s="270"/>
      <c r="ES45" s="270"/>
      <c r="ET45" s="533"/>
      <c r="EU45" s="499">
        <f t="shared" si="10"/>
        <v>8</v>
      </c>
      <c r="EV45" s="765"/>
      <c r="EW45" s="765"/>
      <c r="EX45" s="339"/>
      <c r="EY45" s="500"/>
      <c r="EZ45" s="100"/>
      <c r="FD45" s="194">
        <v>8</v>
      </c>
      <c r="FE45" s="195"/>
      <c r="FF45" s="196"/>
      <c r="FK45" s="201"/>
    </row>
    <row r="46" spans="1:171" s="99" customFormat="1" ht="90" customHeight="1" x14ac:dyDescent="0.2">
      <c r="A46" s="140" t="s">
        <v>10</v>
      </c>
      <c r="B46" s="108" t="s">
        <v>301</v>
      </c>
      <c r="C46" s="294" t="s">
        <v>134</v>
      </c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397">
        <f t="shared" si="8"/>
        <v>240</v>
      </c>
      <c r="AA46" s="397"/>
      <c r="AB46" s="397"/>
      <c r="AC46" s="397"/>
      <c r="AD46" s="397"/>
      <c r="AE46" s="270"/>
      <c r="AF46" s="270"/>
      <c r="AG46" s="270"/>
      <c r="AH46" s="270"/>
      <c r="AI46" s="270"/>
      <c r="AJ46" s="273">
        <f t="shared" si="9"/>
        <v>96</v>
      </c>
      <c r="AK46" s="273"/>
      <c r="AL46" s="273"/>
      <c r="AM46" s="273"/>
      <c r="AN46" s="273"/>
      <c r="AO46" s="273">
        <v>48</v>
      </c>
      <c r="AP46" s="273"/>
      <c r="AQ46" s="273"/>
      <c r="AR46" s="273"/>
      <c r="AS46" s="273"/>
      <c r="AT46" s="273">
        <v>48</v>
      </c>
      <c r="AU46" s="273"/>
      <c r="AV46" s="273"/>
      <c r="AW46" s="273"/>
      <c r="AX46" s="273"/>
      <c r="AY46" s="273"/>
      <c r="AZ46" s="273"/>
      <c r="BA46" s="273"/>
      <c r="BB46" s="273"/>
      <c r="BC46" s="273"/>
      <c r="BD46" s="274"/>
      <c r="BE46" s="274"/>
      <c r="BF46" s="274"/>
      <c r="BG46" s="274"/>
      <c r="BH46" s="274"/>
      <c r="BI46" s="274"/>
      <c r="BJ46" s="274"/>
      <c r="BK46" s="274"/>
      <c r="BL46" s="274"/>
      <c r="BM46" s="274"/>
      <c r="BN46" s="397">
        <f t="shared" si="7"/>
        <v>144</v>
      </c>
      <c r="BO46" s="397"/>
      <c r="BP46" s="397"/>
      <c r="BQ46" s="397"/>
      <c r="BR46" s="500"/>
      <c r="BS46" s="757"/>
      <c r="BT46" s="270"/>
      <c r="BU46" s="270"/>
      <c r="BV46" s="270"/>
      <c r="BW46" s="270"/>
      <c r="BX46" s="270"/>
      <c r="BY46" s="270"/>
      <c r="BZ46" s="270"/>
      <c r="CA46" s="270"/>
      <c r="CB46" s="270"/>
      <c r="CC46" s="270"/>
      <c r="CD46" s="270"/>
      <c r="CE46" s="270"/>
      <c r="CF46" s="270"/>
      <c r="CG46" s="270"/>
      <c r="CH46" s="270"/>
      <c r="CI46" s="270"/>
      <c r="CJ46" s="270"/>
      <c r="CK46" s="270"/>
      <c r="CL46" s="270"/>
      <c r="CM46" s="270">
        <v>3</v>
      </c>
      <c r="CN46" s="270"/>
      <c r="CO46" s="270"/>
      <c r="CP46" s="270"/>
      <c r="CQ46" s="270"/>
      <c r="CR46" s="270">
        <v>3</v>
      </c>
      <c r="CS46" s="270"/>
      <c r="CT46" s="270"/>
      <c r="CU46" s="270"/>
      <c r="CV46" s="270"/>
      <c r="CW46" s="270"/>
      <c r="CX46" s="270"/>
      <c r="CY46" s="270"/>
      <c r="CZ46" s="270"/>
      <c r="DA46" s="270"/>
      <c r="DB46" s="270"/>
      <c r="DC46" s="270"/>
      <c r="DD46" s="270"/>
      <c r="DE46" s="270"/>
      <c r="DF46" s="533"/>
      <c r="DG46" s="757"/>
      <c r="DH46" s="270"/>
      <c r="DI46" s="270"/>
      <c r="DJ46" s="270"/>
      <c r="DK46" s="270"/>
      <c r="DL46" s="270"/>
      <c r="DM46" s="270"/>
      <c r="DN46" s="270"/>
      <c r="DO46" s="270"/>
      <c r="DP46" s="270"/>
      <c r="DQ46" s="270"/>
      <c r="DR46" s="270"/>
      <c r="DS46" s="270"/>
      <c r="DT46" s="270"/>
      <c r="DU46" s="270"/>
      <c r="DV46" s="270"/>
      <c r="DW46" s="270"/>
      <c r="DX46" s="270"/>
      <c r="DY46" s="270"/>
      <c r="DZ46" s="270"/>
      <c r="EA46" s="270">
        <v>4</v>
      </c>
      <c r="EB46" s="270"/>
      <c r="EC46" s="270"/>
      <c r="ED46" s="270"/>
      <c r="EE46" s="270"/>
      <c r="EF46" s="270">
        <v>4</v>
      </c>
      <c r="EG46" s="270"/>
      <c r="EH46" s="270"/>
      <c r="EI46" s="270"/>
      <c r="EJ46" s="270"/>
      <c r="EK46" s="270"/>
      <c r="EL46" s="270"/>
      <c r="EM46" s="270"/>
      <c r="EN46" s="270"/>
      <c r="EO46" s="270"/>
      <c r="EP46" s="270"/>
      <c r="EQ46" s="270"/>
      <c r="ER46" s="270"/>
      <c r="ES46" s="270"/>
      <c r="ET46" s="533"/>
      <c r="EU46" s="499">
        <f t="shared" si="10"/>
        <v>8</v>
      </c>
      <c r="EV46" s="765"/>
      <c r="EW46" s="765"/>
      <c r="EX46" s="339"/>
      <c r="EY46" s="500"/>
      <c r="EZ46" s="100"/>
      <c r="FD46" s="194">
        <v>6</v>
      </c>
      <c r="FE46" s="195"/>
      <c r="FF46" s="196"/>
    </row>
    <row r="47" spans="1:171" s="99" customFormat="1" ht="90" customHeight="1" x14ac:dyDescent="0.2">
      <c r="A47" s="140" t="s">
        <v>154</v>
      </c>
      <c r="B47" s="108" t="s">
        <v>300</v>
      </c>
      <c r="C47" s="294" t="s">
        <v>135</v>
      </c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397">
        <f t="shared" si="8"/>
        <v>240</v>
      </c>
      <c r="AA47" s="397"/>
      <c r="AB47" s="397"/>
      <c r="AC47" s="397"/>
      <c r="AD47" s="397"/>
      <c r="AE47" s="270"/>
      <c r="AF47" s="270"/>
      <c r="AG47" s="270"/>
      <c r="AH47" s="270"/>
      <c r="AI47" s="270"/>
      <c r="AJ47" s="273">
        <f t="shared" si="9"/>
        <v>96</v>
      </c>
      <c r="AK47" s="273"/>
      <c r="AL47" s="273"/>
      <c r="AM47" s="273"/>
      <c r="AN47" s="273"/>
      <c r="AO47" s="273">
        <v>48</v>
      </c>
      <c r="AP47" s="273"/>
      <c r="AQ47" s="273"/>
      <c r="AR47" s="273"/>
      <c r="AS47" s="273"/>
      <c r="AT47" s="273">
        <v>48</v>
      </c>
      <c r="AU47" s="273"/>
      <c r="AV47" s="273"/>
      <c r="AW47" s="273"/>
      <c r="AX47" s="273"/>
      <c r="AY47" s="273"/>
      <c r="AZ47" s="273"/>
      <c r="BA47" s="273"/>
      <c r="BB47" s="273"/>
      <c r="BC47" s="273"/>
      <c r="BD47" s="274"/>
      <c r="BE47" s="274"/>
      <c r="BF47" s="274"/>
      <c r="BG47" s="274"/>
      <c r="BH47" s="274"/>
      <c r="BI47" s="274"/>
      <c r="BJ47" s="274"/>
      <c r="BK47" s="274"/>
      <c r="BL47" s="274"/>
      <c r="BM47" s="274"/>
      <c r="BN47" s="397">
        <f t="shared" si="7"/>
        <v>144</v>
      </c>
      <c r="BO47" s="397"/>
      <c r="BP47" s="397"/>
      <c r="BQ47" s="397"/>
      <c r="BR47" s="500"/>
      <c r="BS47" s="757"/>
      <c r="BT47" s="270"/>
      <c r="BU47" s="270"/>
      <c r="BV47" s="270"/>
      <c r="BW47" s="270"/>
      <c r="BX47" s="270"/>
      <c r="BY47" s="270"/>
      <c r="BZ47" s="270"/>
      <c r="CA47" s="270"/>
      <c r="CB47" s="270"/>
      <c r="CC47" s="270"/>
      <c r="CD47" s="270"/>
      <c r="CE47" s="270"/>
      <c r="CF47" s="270"/>
      <c r="CG47" s="270"/>
      <c r="CH47" s="270"/>
      <c r="CI47" s="270"/>
      <c r="CJ47" s="270"/>
      <c r="CK47" s="270"/>
      <c r="CL47" s="270"/>
      <c r="CM47" s="270">
        <v>3</v>
      </c>
      <c r="CN47" s="270"/>
      <c r="CO47" s="270"/>
      <c r="CP47" s="270"/>
      <c r="CQ47" s="270"/>
      <c r="CR47" s="270">
        <v>3</v>
      </c>
      <c r="CS47" s="270"/>
      <c r="CT47" s="270"/>
      <c r="CU47" s="270"/>
      <c r="CV47" s="270"/>
      <c r="CW47" s="270"/>
      <c r="CX47" s="270"/>
      <c r="CY47" s="270"/>
      <c r="CZ47" s="270"/>
      <c r="DA47" s="270"/>
      <c r="DB47" s="270"/>
      <c r="DC47" s="270"/>
      <c r="DD47" s="270"/>
      <c r="DE47" s="270"/>
      <c r="DF47" s="533"/>
      <c r="DG47" s="757"/>
      <c r="DH47" s="270"/>
      <c r="DI47" s="270"/>
      <c r="DJ47" s="270"/>
      <c r="DK47" s="270"/>
      <c r="DL47" s="270"/>
      <c r="DM47" s="270"/>
      <c r="DN47" s="270"/>
      <c r="DO47" s="270"/>
      <c r="DP47" s="270"/>
      <c r="DQ47" s="270"/>
      <c r="DR47" s="270"/>
      <c r="DS47" s="270"/>
      <c r="DT47" s="270"/>
      <c r="DU47" s="270"/>
      <c r="DV47" s="270"/>
      <c r="DW47" s="270"/>
      <c r="DX47" s="270"/>
      <c r="DY47" s="270"/>
      <c r="DZ47" s="270"/>
      <c r="EA47" s="270">
        <v>4</v>
      </c>
      <c r="EB47" s="270"/>
      <c r="EC47" s="270"/>
      <c r="ED47" s="270"/>
      <c r="EE47" s="270"/>
      <c r="EF47" s="270">
        <v>4</v>
      </c>
      <c r="EG47" s="270"/>
      <c r="EH47" s="270"/>
      <c r="EI47" s="270"/>
      <c r="EJ47" s="270"/>
      <c r="EK47" s="270"/>
      <c r="EL47" s="270"/>
      <c r="EM47" s="270"/>
      <c r="EN47" s="270"/>
      <c r="EO47" s="270"/>
      <c r="EP47" s="270"/>
      <c r="EQ47" s="270"/>
      <c r="ER47" s="270"/>
      <c r="ES47" s="270"/>
      <c r="ET47" s="533"/>
      <c r="EU47" s="499">
        <f t="shared" si="10"/>
        <v>8</v>
      </c>
      <c r="EV47" s="765"/>
      <c r="EW47" s="765"/>
      <c r="EX47" s="339"/>
      <c r="EY47" s="500"/>
      <c r="EZ47" s="100"/>
      <c r="FD47" s="194">
        <v>6</v>
      </c>
      <c r="FE47" s="195"/>
      <c r="FF47" s="196"/>
    </row>
    <row r="48" spans="1:171" s="100" customFormat="1" ht="90" customHeight="1" x14ac:dyDescent="0.2">
      <c r="A48" s="140" t="s">
        <v>11</v>
      </c>
      <c r="B48" s="108" t="s">
        <v>299</v>
      </c>
      <c r="C48" s="271" t="s">
        <v>192</v>
      </c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397">
        <f t="shared" si="8"/>
        <v>120</v>
      </c>
      <c r="AA48" s="397"/>
      <c r="AB48" s="397"/>
      <c r="AC48" s="397"/>
      <c r="AD48" s="397"/>
      <c r="AE48" s="270"/>
      <c r="AF48" s="270"/>
      <c r="AG48" s="270"/>
      <c r="AH48" s="270"/>
      <c r="AI48" s="270"/>
      <c r="AJ48" s="273">
        <f t="shared" si="9"/>
        <v>48</v>
      </c>
      <c r="AK48" s="273"/>
      <c r="AL48" s="273"/>
      <c r="AM48" s="273"/>
      <c r="AN48" s="273"/>
      <c r="AO48" s="273">
        <v>24</v>
      </c>
      <c r="AP48" s="273"/>
      <c r="AQ48" s="273"/>
      <c r="AR48" s="273"/>
      <c r="AS48" s="273"/>
      <c r="AT48" s="273">
        <v>24</v>
      </c>
      <c r="AU48" s="273"/>
      <c r="AV48" s="273"/>
      <c r="AW48" s="273"/>
      <c r="AX48" s="273"/>
      <c r="AY48" s="273"/>
      <c r="AZ48" s="273"/>
      <c r="BA48" s="273"/>
      <c r="BB48" s="273"/>
      <c r="BC48" s="273"/>
      <c r="BD48" s="274"/>
      <c r="BE48" s="274"/>
      <c r="BF48" s="274"/>
      <c r="BG48" s="274"/>
      <c r="BH48" s="274"/>
      <c r="BI48" s="274"/>
      <c r="BJ48" s="274"/>
      <c r="BK48" s="274"/>
      <c r="BL48" s="274"/>
      <c r="BM48" s="274"/>
      <c r="BN48" s="397">
        <f t="shared" si="7"/>
        <v>72</v>
      </c>
      <c r="BO48" s="397"/>
      <c r="BP48" s="397"/>
      <c r="BQ48" s="397"/>
      <c r="BR48" s="500"/>
      <c r="BS48" s="757"/>
      <c r="BT48" s="270"/>
      <c r="BU48" s="270"/>
      <c r="BV48" s="270"/>
      <c r="BW48" s="270"/>
      <c r="BX48" s="270"/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/>
      <c r="CU48" s="270"/>
      <c r="CV48" s="270"/>
      <c r="CW48" s="270">
        <v>3</v>
      </c>
      <c r="CX48" s="270"/>
      <c r="CY48" s="270"/>
      <c r="CZ48" s="270"/>
      <c r="DA48" s="270"/>
      <c r="DB48" s="270"/>
      <c r="DC48" s="270"/>
      <c r="DD48" s="270"/>
      <c r="DE48" s="270"/>
      <c r="DF48" s="533"/>
      <c r="DG48" s="757"/>
      <c r="DH48" s="270"/>
      <c r="DI48" s="270"/>
      <c r="DJ48" s="270"/>
      <c r="DK48" s="270"/>
      <c r="DL48" s="270"/>
      <c r="DM48" s="270"/>
      <c r="DN48" s="270"/>
      <c r="DO48" s="270"/>
      <c r="DP48" s="270"/>
      <c r="DQ48" s="270"/>
      <c r="DR48" s="270"/>
      <c r="DS48" s="270"/>
      <c r="DT48" s="270"/>
      <c r="DU48" s="270"/>
      <c r="DV48" s="270"/>
      <c r="DW48" s="270"/>
      <c r="DX48" s="270"/>
      <c r="DY48" s="270"/>
      <c r="DZ48" s="270"/>
      <c r="EA48" s="270"/>
      <c r="EB48" s="270"/>
      <c r="EC48" s="270"/>
      <c r="ED48" s="270"/>
      <c r="EE48" s="270"/>
      <c r="EF48" s="270"/>
      <c r="EG48" s="270"/>
      <c r="EH48" s="270"/>
      <c r="EI48" s="270"/>
      <c r="EJ48" s="270"/>
      <c r="EK48" s="270">
        <v>4</v>
      </c>
      <c r="EL48" s="270"/>
      <c r="EM48" s="270"/>
      <c r="EN48" s="270"/>
      <c r="EO48" s="270"/>
      <c r="EP48" s="270"/>
      <c r="EQ48" s="270"/>
      <c r="ER48" s="270"/>
      <c r="ES48" s="270"/>
      <c r="ET48" s="533"/>
      <c r="EU48" s="499">
        <f t="shared" si="10"/>
        <v>4</v>
      </c>
      <c r="EV48" s="765"/>
      <c r="EW48" s="765"/>
      <c r="EX48" s="339"/>
      <c r="EY48" s="500"/>
      <c r="EZ48" s="99"/>
      <c r="FD48" s="191">
        <v>4</v>
      </c>
      <c r="FE48" s="192"/>
      <c r="FF48" s="193"/>
    </row>
    <row r="49" spans="1:162" s="100" customFormat="1" ht="90" customHeight="1" x14ac:dyDescent="0.2">
      <c r="A49" s="140" t="s">
        <v>12</v>
      </c>
      <c r="B49" s="108" t="s">
        <v>298</v>
      </c>
      <c r="C49" s="271" t="s">
        <v>193</v>
      </c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397">
        <f t="shared" si="8"/>
        <v>360</v>
      </c>
      <c r="AA49" s="397"/>
      <c r="AB49" s="397"/>
      <c r="AC49" s="397"/>
      <c r="AD49" s="397"/>
      <c r="AE49" s="270"/>
      <c r="AF49" s="270"/>
      <c r="AG49" s="270"/>
      <c r="AH49" s="270"/>
      <c r="AI49" s="270"/>
      <c r="AJ49" s="273">
        <f t="shared" si="9"/>
        <v>144</v>
      </c>
      <c r="AK49" s="273"/>
      <c r="AL49" s="273"/>
      <c r="AM49" s="273"/>
      <c r="AN49" s="273"/>
      <c r="AO49" s="273">
        <v>72</v>
      </c>
      <c r="AP49" s="273"/>
      <c r="AQ49" s="273"/>
      <c r="AR49" s="273"/>
      <c r="AS49" s="273"/>
      <c r="AT49" s="273">
        <v>72</v>
      </c>
      <c r="AU49" s="273"/>
      <c r="AV49" s="273"/>
      <c r="AW49" s="273"/>
      <c r="AX49" s="273"/>
      <c r="AY49" s="273"/>
      <c r="AZ49" s="273"/>
      <c r="BA49" s="273"/>
      <c r="BB49" s="273"/>
      <c r="BC49" s="273"/>
      <c r="BD49" s="274"/>
      <c r="BE49" s="274"/>
      <c r="BF49" s="274"/>
      <c r="BG49" s="274"/>
      <c r="BH49" s="274"/>
      <c r="BI49" s="274"/>
      <c r="BJ49" s="274"/>
      <c r="BK49" s="274"/>
      <c r="BL49" s="274"/>
      <c r="BM49" s="274"/>
      <c r="BN49" s="397">
        <f t="shared" si="7"/>
        <v>216</v>
      </c>
      <c r="BO49" s="397"/>
      <c r="BP49" s="397"/>
      <c r="BQ49" s="397"/>
      <c r="BR49" s="500"/>
      <c r="BS49" s="757"/>
      <c r="BT49" s="270"/>
      <c r="BU49" s="270"/>
      <c r="BV49" s="270"/>
      <c r="BW49" s="270"/>
      <c r="BX49" s="270"/>
      <c r="BY49" s="270"/>
      <c r="BZ49" s="270"/>
      <c r="CA49" s="270"/>
      <c r="CB49" s="270"/>
      <c r="CC49" s="270"/>
      <c r="CD49" s="270"/>
      <c r="CE49" s="270"/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>
        <v>5</v>
      </c>
      <c r="CX49" s="270"/>
      <c r="CY49" s="270"/>
      <c r="CZ49" s="270"/>
      <c r="DA49" s="270"/>
      <c r="DB49" s="270">
        <v>5</v>
      </c>
      <c r="DC49" s="270"/>
      <c r="DD49" s="270"/>
      <c r="DE49" s="270"/>
      <c r="DF49" s="533"/>
      <c r="DG49" s="757"/>
      <c r="DH49" s="270"/>
      <c r="DI49" s="270"/>
      <c r="DJ49" s="270"/>
      <c r="DK49" s="270"/>
      <c r="DL49" s="270"/>
      <c r="DM49" s="270"/>
      <c r="DN49" s="270"/>
      <c r="DO49" s="270"/>
      <c r="DP49" s="270"/>
      <c r="DQ49" s="270"/>
      <c r="DR49" s="270"/>
      <c r="DS49" s="270"/>
      <c r="DT49" s="270"/>
      <c r="DU49" s="270"/>
      <c r="DV49" s="270"/>
      <c r="DW49" s="270"/>
      <c r="DX49" s="270"/>
      <c r="DY49" s="270"/>
      <c r="DZ49" s="270"/>
      <c r="EA49" s="270"/>
      <c r="EB49" s="270"/>
      <c r="EC49" s="270"/>
      <c r="ED49" s="270"/>
      <c r="EE49" s="270"/>
      <c r="EF49" s="270"/>
      <c r="EG49" s="270"/>
      <c r="EH49" s="270"/>
      <c r="EI49" s="270"/>
      <c r="EJ49" s="270"/>
      <c r="EK49" s="270">
        <v>6</v>
      </c>
      <c r="EL49" s="270"/>
      <c r="EM49" s="270"/>
      <c r="EN49" s="270"/>
      <c r="EO49" s="270"/>
      <c r="EP49" s="270">
        <v>6</v>
      </c>
      <c r="EQ49" s="270"/>
      <c r="ER49" s="270"/>
      <c r="ES49" s="270"/>
      <c r="ET49" s="533"/>
      <c r="EU49" s="499">
        <f t="shared" si="10"/>
        <v>12</v>
      </c>
      <c r="EV49" s="765"/>
      <c r="EW49" s="765"/>
      <c r="EX49" s="339"/>
      <c r="EY49" s="500"/>
      <c r="EZ49" s="99"/>
      <c r="FD49" s="191">
        <v>12</v>
      </c>
      <c r="FE49" s="192"/>
      <c r="FF49" s="193"/>
    </row>
    <row r="50" spans="1:162" s="100" customFormat="1" ht="120" customHeight="1" x14ac:dyDescent="0.2">
      <c r="A50" s="140" t="s">
        <v>130</v>
      </c>
      <c r="B50" s="108" t="s">
        <v>297</v>
      </c>
      <c r="C50" s="271" t="s">
        <v>361</v>
      </c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397">
        <f t="shared" ref="Z50" si="11">(DG50+DL50+DQ50+DV50+EA50+EF50+EK50+EP50)*30</f>
        <v>60</v>
      </c>
      <c r="AA50" s="397"/>
      <c r="AB50" s="397"/>
      <c r="AC50" s="397"/>
      <c r="AD50" s="397"/>
      <c r="AE50" s="270"/>
      <c r="AF50" s="270"/>
      <c r="AG50" s="270"/>
      <c r="AH50" s="270"/>
      <c r="AI50" s="270"/>
      <c r="AJ50" s="273">
        <v>24</v>
      </c>
      <c r="AK50" s="273"/>
      <c r="AL50" s="273"/>
      <c r="AM50" s="273"/>
      <c r="AN50" s="273"/>
      <c r="AO50" s="273">
        <v>12</v>
      </c>
      <c r="AP50" s="273"/>
      <c r="AQ50" s="273"/>
      <c r="AR50" s="273"/>
      <c r="AS50" s="273"/>
      <c r="AT50" s="273"/>
      <c r="AU50" s="273"/>
      <c r="AV50" s="273"/>
      <c r="AW50" s="273"/>
      <c r="AX50" s="273"/>
      <c r="AY50" s="273">
        <v>12</v>
      </c>
      <c r="AZ50" s="273"/>
      <c r="BA50" s="273"/>
      <c r="BB50" s="273"/>
      <c r="BC50" s="273"/>
      <c r="BD50" s="274"/>
      <c r="BE50" s="274"/>
      <c r="BF50" s="274"/>
      <c r="BG50" s="274"/>
      <c r="BH50" s="274"/>
      <c r="BI50" s="274"/>
      <c r="BJ50" s="274"/>
      <c r="BK50" s="274"/>
      <c r="BL50" s="274"/>
      <c r="BM50" s="274"/>
      <c r="BN50" s="397">
        <f t="shared" si="7"/>
        <v>36</v>
      </c>
      <c r="BO50" s="397"/>
      <c r="BP50" s="397"/>
      <c r="BQ50" s="397"/>
      <c r="BR50" s="500"/>
      <c r="BS50" s="757"/>
      <c r="BT50" s="270"/>
      <c r="BU50" s="270"/>
      <c r="BV50" s="270"/>
      <c r="BW50" s="270"/>
      <c r="BX50" s="270"/>
      <c r="BY50" s="270"/>
      <c r="BZ50" s="270"/>
      <c r="CA50" s="270"/>
      <c r="CB50" s="270"/>
      <c r="CC50" s="270"/>
      <c r="CD50" s="270"/>
      <c r="CE50" s="270"/>
      <c r="CF50" s="270"/>
      <c r="CG50" s="270"/>
      <c r="CH50" s="270"/>
      <c r="CI50" s="270"/>
      <c r="CJ50" s="270"/>
      <c r="CK50" s="270"/>
      <c r="CL50" s="270"/>
      <c r="CM50" s="270"/>
      <c r="CN50" s="270"/>
      <c r="CO50" s="270"/>
      <c r="CP50" s="270"/>
      <c r="CQ50" s="270"/>
      <c r="CR50" s="270"/>
      <c r="CS50" s="270"/>
      <c r="CT50" s="270"/>
      <c r="CU50" s="270"/>
      <c r="CV50" s="270"/>
      <c r="CW50" s="270"/>
      <c r="CX50" s="270"/>
      <c r="CY50" s="270"/>
      <c r="CZ50" s="270"/>
      <c r="DA50" s="270"/>
      <c r="DB50" s="270">
        <v>2</v>
      </c>
      <c r="DC50" s="270"/>
      <c r="DD50" s="270"/>
      <c r="DE50" s="270"/>
      <c r="DF50" s="533"/>
      <c r="DG50" s="757"/>
      <c r="DH50" s="270"/>
      <c r="DI50" s="270"/>
      <c r="DJ50" s="270"/>
      <c r="DK50" s="270"/>
      <c r="DL50" s="270"/>
      <c r="DM50" s="270"/>
      <c r="DN50" s="270"/>
      <c r="DO50" s="270"/>
      <c r="DP50" s="270"/>
      <c r="DQ50" s="270"/>
      <c r="DR50" s="270"/>
      <c r="DS50" s="270"/>
      <c r="DT50" s="270"/>
      <c r="DU50" s="270"/>
      <c r="DV50" s="270"/>
      <c r="DW50" s="270"/>
      <c r="DX50" s="270"/>
      <c r="DY50" s="270"/>
      <c r="DZ50" s="270"/>
      <c r="EA50" s="270"/>
      <c r="EB50" s="270"/>
      <c r="EC50" s="270"/>
      <c r="ED50" s="270"/>
      <c r="EE50" s="270"/>
      <c r="EF50" s="270"/>
      <c r="EG50" s="270"/>
      <c r="EH50" s="270"/>
      <c r="EI50" s="270"/>
      <c r="EJ50" s="270"/>
      <c r="EK50" s="270"/>
      <c r="EL50" s="270"/>
      <c r="EM50" s="270"/>
      <c r="EN50" s="270"/>
      <c r="EO50" s="270"/>
      <c r="EP50" s="270">
        <v>2</v>
      </c>
      <c r="EQ50" s="270"/>
      <c r="ER50" s="270"/>
      <c r="ES50" s="270"/>
      <c r="ET50" s="533"/>
      <c r="EU50" s="499">
        <f t="shared" ref="EU50" si="12">SUM(DG50:ET50)</f>
        <v>2</v>
      </c>
      <c r="EV50" s="765"/>
      <c r="EW50" s="765"/>
      <c r="EX50" s="339"/>
      <c r="EY50" s="500"/>
      <c r="EZ50" s="99"/>
      <c r="FD50" s="191">
        <v>2</v>
      </c>
      <c r="FE50" s="192"/>
      <c r="FF50" s="193"/>
    </row>
    <row r="51" spans="1:162" s="66" customFormat="1" ht="90" customHeight="1" x14ac:dyDescent="0.2">
      <c r="A51" s="142" t="s">
        <v>43</v>
      </c>
      <c r="B51" s="109"/>
      <c r="C51" s="424" t="s">
        <v>91</v>
      </c>
      <c r="D51" s="424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326">
        <f>SUM(DG51:ET51)*30</f>
        <v>2280</v>
      </c>
      <c r="AA51" s="326"/>
      <c r="AB51" s="326"/>
      <c r="AC51" s="326"/>
      <c r="AD51" s="326"/>
      <c r="AE51" s="362">
        <f>Z51/$Z$94*100</f>
        <v>31.666666666666664</v>
      </c>
      <c r="AF51" s="362"/>
      <c r="AG51" s="362"/>
      <c r="AH51" s="362"/>
      <c r="AI51" s="362"/>
      <c r="AJ51" s="335">
        <f>SUM(AJ52:AN89)</f>
        <v>948</v>
      </c>
      <c r="AK51" s="336"/>
      <c r="AL51" s="336"/>
      <c r="AM51" s="336"/>
      <c r="AN51" s="337"/>
      <c r="AO51" s="335">
        <f>SUM(AO52:AS89)</f>
        <v>218</v>
      </c>
      <c r="AP51" s="336"/>
      <c r="AQ51" s="336"/>
      <c r="AR51" s="336"/>
      <c r="AS51" s="337"/>
      <c r="AT51" s="335">
        <f>SUM(AT52:AX89)</f>
        <v>614</v>
      </c>
      <c r="AU51" s="336"/>
      <c r="AV51" s="336"/>
      <c r="AW51" s="336"/>
      <c r="AX51" s="337"/>
      <c r="AY51" s="335">
        <f>SUM(AY52:BC89)</f>
        <v>116</v>
      </c>
      <c r="AZ51" s="336"/>
      <c r="BA51" s="336"/>
      <c r="BB51" s="336"/>
      <c r="BC51" s="337"/>
      <c r="BD51" s="335">
        <f>SUM(BD53:BH89)</f>
        <v>0</v>
      </c>
      <c r="BE51" s="336"/>
      <c r="BF51" s="336"/>
      <c r="BG51" s="336"/>
      <c r="BH51" s="337"/>
      <c r="BI51" s="335">
        <f>SUM(BI53:BM89)</f>
        <v>0</v>
      </c>
      <c r="BJ51" s="336"/>
      <c r="BK51" s="336"/>
      <c r="BL51" s="336"/>
      <c r="BM51" s="337"/>
      <c r="BN51" s="326">
        <f>SUM(BN52:BR89)</f>
        <v>1332</v>
      </c>
      <c r="BO51" s="326"/>
      <c r="BP51" s="326"/>
      <c r="BQ51" s="326"/>
      <c r="BR51" s="639"/>
      <c r="BS51" s="612">
        <f>+SUM(BS52:BW89)</f>
        <v>4</v>
      </c>
      <c r="BT51" s="290"/>
      <c r="BU51" s="290"/>
      <c r="BV51" s="290"/>
      <c r="BW51" s="292"/>
      <c r="BX51" s="290">
        <f t="shared" ref="BX51" si="13">+SUM(BX52:CB89)</f>
        <v>16</v>
      </c>
      <c r="BY51" s="290"/>
      <c r="BZ51" s="290"/>
      <c r="CA51" s="290"/>
      <c r="CB51" s="290"/>
      <c r="CC51" s="290">
        <f t="shared" ref="CC51" si="14">+SUM(CC52:CG89)</f>
        <v>8</v>
      </c>
      <c r="CD51" s="290"/>
      <c r="CE51" s="290"/>
      <c r="CF51" s="290"/>
      <c r="CG51" s="290"/>
      <c r="CH51" s="290">
        <f t="shared" ref="CH51" si="15">+SUM(CH52:CL89)</f>
        <v>2</v>
      </c>
      <c r="CI51" s="290"/>
      <c r="CJ51" s="290"/>
      <c r="CK51" s="290"/>
      <c r="CL51" s="290"/>
      <c r="CM51" s="290">
        <f t="shared" ref="CM51" si="16">+SUM(CM52:CQ89)</f>
        <v>8</v>
      </c>
      <c r="CN51" s="290"/>
      <c r="CO51" s="290"/>
      <c r="CP51" s="290"/>
      <c r="CQ51" s="290"/>
      <c r="CR51" s="290">
        <f t="shared" ref="CR51" si="17">+SUM(CR52:CV89)</f>
        <v>7</v>
      </c>
      <c r="CS51" s="290"/>
      <c r="CT51" s="290"/>
      <c r="CU51" s="290"/>
      <c r="CV51" s="290"/>
      <c r="CW51" s="290">
        <f t="shared" ref="CW51" si="18">+SUM(CW52:DA89)</f>
        <v>12</v>
      </c>
      <c r="CX51" s="290"/>
      <c r="CY51" s="290"/>
      <c r="CZ51" s="290"/>
      <c r="DA51" s="290"/>
      <c r="DB51" s="290">
        <f t="shared" ref="DB51" si="19">+SUM(DB52:DF89)</f>
        <v>11</v>
      </c>
      <c r="DC51" s="290"/>
      <c r="DD51" s="290"/>
      <c r="DE51" s="290"/>
      <c r="DF51" s="535"/>
      <c r="DG51" s="612">
        <f>+SUM(DG52:DK89)</f>
        <v>4</v>
      </c>
      <c r="DH51" s="290"/>
      <c r="DI51" s="290"/>
      <c r="DJ51" s="290"/>
      <c r="DK51" s="292"/>
      <c r="DL51" s="290">
        <f t="shared" ref="DL51" si="20">+SUM(DL52:DP89)</f>
        <v>18</v>
      </c>
      <c r="DM51" s="290"/>
      <c r="DN51" s="290"/>
      <c r="DO51" s="290"/>
      <c r="DP51" s="290"/>
      <c r="DQ51" s="290">
        <f t="shared" ref="DQ51" si="21">+SUM(DQ52:DU89)</f>
        <v>8</v>
      </c>
      <c r="DR51" s="290"/>
      <c r="DS51" s="290"/>
      <c r="DT51" s="290"/>
      <c r="DU51" s="290"/>
      <c r="DV51" s="290">
        <f t="shared" ref="DV51" si="22">+SUM(DV52:DZ89)</f>
        <v>2</v>
      </c>
      <c r="DW51" s="290"/>
      <c r="DX51" s="290"/>
      <c r="DY51" s="290"/>
      <c r="DZ51" s="290"/>
      <c r="EA51" s="290">
        <f t="shared" ref="EA51" si="23">+SUM(EA52:EE89)</f>
        <v>8</v>
      </c>
      <c r="EB51" s="290"/>
      <c r="EC51" s="290"/>
      <c r="ED51" s="290"/>
      <c r="EE51" s="290"/>
      <c r="EF51" s="290">
        <f t="shared" ref="EF51" si="24">+SUM(EF52:EJ89)</f>
        <v>8</v>
      </c>
      <c r="EG51" s="290"/>
      <c r="EH51" s="290"/>
      <c r="EI51" s="290"/>
      <c r="EJ51" s="290"/>
      <c r="EK51" s="290">
        <f t="shared" ref="EK51" si="25">+SUM(EK52:EO89)</f>
        <v>14</v>
      </c>
      <c r="EL51" s="290"/>
      <c r="EM51" s="290"/>
      <c r="EN51" s="290"/>
      <c r="EO51" s="290"/>
      <c r="EP51" s="291">
        <f t="shared" ref="EP51" si="26">+SUM(EP52:ET89)</f>
        <v>14</v>
      </c>
      <c r="EQ51" s="290"/>
      <c r="ER51" s="290"/>
      <c r="ES51" s="290"/>
      <c r="ET51" s="535"/>
      <c r="EU51" s="536">
        <f t="shared" ref="EU51" si="27">DG51+DL51+DQ51+DV51+EA51+EK51+EF51+EP51</f>
        <v>76</v>
      </c>
      <c r="EV51" s="772"/>
      <c r="EW51" s="772"/>
      <c r="EX51" s="324"/>
      <c r="EY51" s="537"/>
      <c r="EZ51" s="68"/>
      <c r="FD51" s="182"/>
      <c r="FE51" s="183"/>
      <c r="FF51" s="184"/>
    </row>
    <row r="52" spans="1:162" s="98" customFormat="1" ht="75" customHeight="1" x14ac:dyDescent="0.2">
      <c r="A52" s="751" t="s">
        <v>13</v>
      </c>
      <c r="B52" s="110" t="s">
        <v>146</v>
      </c>
      <c r="C52" s="287" t="s">
        <v>232</v>
      </c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307">
        <f t="shared" ref="Z52" si="28">(DG52+DL52+DQ52+DV52+EA52+EF52+EK52+EP52)*30</f>
        <v>120</v>
      </c>
      <c r="AA52" s="308"/>
      <c r="AB52" s="308"/>
      <c r="AC52" s="308"/>
      <c r="AD52" s="309"/>
      <c r="AE52" s="313"/>
      <c r="AF52" s="314"/>
      <c r="AG52" s="314"/>
      <c r="AH52" s="314"/>
      <c r="AI52" s="315"/>
      <c r="AJ52" s="301">
        <f>SUM(AO52:BH53)</f>
        <v>48</v>
      </c>
      <c r="AK52" s="302"/>
      <c r="AL52" s="302"/>
      <c r="AM52" s="302"/>
      <c r="AN52" s="303"/>
      <c r="AO52" s="301">
        <v>20</v>
      </c>
      <c r="AP52" s="302"/>
      <c r="AQ52" s="302"/>
      <c r="AR52" s="302"/>
      <c r="AS52" s="303"/>
      <c r="AT52" s="301">
        <v>20</v>
      </c>
      <c r="AU52" s="302"/>
      <c r="AV52" s="302"/>
      <c r="AW52" s="302"/>
      <c r="AX52" s="303"/>
      <c r="AY52" s="301">
        <v>8</v>
      </c>
      <c r="AZ52" s="302"/>
      <c r="BA52" s="302"/>
      <c r="BB52" s="302"/>
      <c r="BC52" s="303"/>
      <c r="BD52" s="301"/>
      <c r="BE52" s="302"/>
      <c r="BF52" s="302"/>
      <c r="BG52" s="302"/>
      <c r="BH52" s="303"/>
      <c r="BI52" s="301"/>
      <c r="BJ52" s="302"/>
      <c r="BK52" s="302"/>
      <c r="BL52" s="302"/>
      <c r="BM52" s="303"/>
      <c r="BN52" s="307">
        <f>Z52-AJ52</f>
        <v>72</v>
      </c>
      <c r="BO52" s="308"/>
      <c r="BP52" s="308"/>
      <c r="BQ52" s="308"/>
      <c r="BR52" s="517"/>
      <c r="BS52" s="514"/>
      <c r="BT52" s="314"/>
      <c r="BU52" s="314"/>
      <c r="BV52" s="314"/>
      <c r="BW52" s="314"/>
      <c r="BX52" s="270"/>
      <c r="BY52" s="270"/>
      <c r="BZ52" s="270"/>
      <c r="CA52" s="270"/>
      <c r="CB52" s="270"/>
      <c r="CC52" s="270">
        <v>4</v>
      </c>
      <c r="CD52" s="270"/>
      <c r="CE52" s="270"/>
      <c r="CF52" s="270"/>
      <c r="CG52" s="270"/>
      <c r="CH52" s="270"/>
      <c r="CI52" s="270"/>
      <c r="CJ52" s="270"/>
      <c r="CK52" s="270"/>
      <c r="CL52" s="270"/>
      <c r="CM52" s="270"/>
      <c r="CN52" s="270"/>
      <c r="CO52" s="270"/>
      <c r="CP52" s="270"/>
      <c r="CQ52" s="270"/>
      <c r="CR52" s="270"/>
      <c r="CS52" s="270"/>
      <c r="CT52" s="270"/>
      <c r="CU52" s="270"/>
      <c r="CV52" s="270"/>
      <c r="CW52" s="270"/>
      <c r="CX52" s="270"/>
      <c r="CY52" s="270"/>
      <c r="CZ52" s="270"/>
      <c r="DA52" s="270"/>
      <c r="DB52" s="270"/>
      <c r="DC52" s="270"/>
      <c r="DD52" s="270"/>
      <c r="DE52" s="270"/>
      <c r="DF52" s="533"/>
      <c r="DG52" s="757"/>
      <c r="DH52" s="270"/>
      <c r="DI52" s="270"/>
      <c r="DJ52" s="270"/>
      <c r="DK52" s="270"/>
      <c r="DL52" s="270"/>
      <c r="DM52" s="270"/>
      <c r="DN52" s="270"/>
      <c r="DO52" s="270"/>
      <c r="DP52" s="270"/>
      <c r="DQ52" s="270">
        <v>4</v>
      </c>
      <c r="DR52" s="270"/>
      <c r="DS52" s="270"/>
      <c r="DT52" s="270"/>
      <c r="DU52" s="270"/>
      <c r="DV52" s="270"/>
      <c r="DW52" s="270"/>
      <c r="DX52" s="270"/>
      <c r="DY52" s="270"/>
      <c r="DZ52" s="270"/>
      <c r="EA52" s="270"/>
      <c r="EB52" s="270"/>
      <c r="EC52" s="270"/>
      <c r="ED52" s="270"/>
      <c r="EE52" s="270"/>
      <c r="EF52" s="270"/>
      <c r="EG52" s="270"/>
      <c r="EH52" s="270"/>
      <c r="EI52" s="270"/>
      <c r="EJ52" s="270"/>
      <c r="EK52" s="270"/>
      <c r="EL52" s="270"/>
      <c r="EM52" s="270"/>
      <c r="EN52" s="270"/>
      <c r="EO52" s="270"/>
      <c r="EP52" s="270"/>
      <c r="EQ52" s="270"/>
      <c r="ER52" s="270"/>
      <c r="ES52" s="270"/>
      <c r="ET52" s="533"/>
      <c r="EU52" s="757">
        <f>SUM(DG52:ET53)</f>
        <v>4</v>
      </c>
      <c r="EV52" s="269"/>
      <c r="EW52" s="269"/>
      <c r="EX52" s="270"/>
      <c r="EY52" s="533"/>
      <c r="EZ52" s="249" t="s">
        <v>256</v>
      </c>
      <c r="FD52" s="197"/>
      <c r="FE52" s="198"/>
      <c r="FF52" s="199"/>
    </row>
    <row r="53" spans="1:162" s="98" customFormat="1" ht="120" customHeight="1" x14ac:dyDescent="0.2">
      <c r="A53" s="752"/>
      <c r="B53" s="110" t="s">
        <v>185</v>
      </c>
      <c r="C53" s="287" t="s">
        <v>184</v>
      </c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310"/>
      <c r="AA53" s="311"/>
      <c r="AB53" s="311"/>
      <c r="AC53" s="311"/>
      <c r="AD53" s="312"/>
      <c r="AE53" s="316"/>
      <c r="AF53" s="317"/>
      <c r="AG53" s="317"/>
      <c r="AH53" s="317"/>
      <c r="AI53" s="318"/>
      <c r="AJ53" s="304"/>
      <c r="AK53" s="305"/>
      <c r="AL53" s="305"/>
      <c r="AM53" s="305"/>
      <c r="AN53" s="306"/>
      <c r="AO53" s="304"/>
      <c r="AP53" s="305"/>
      <c r="AQ53" s="305"/>
      <c r="AR53" s="305"/>
      <c r="AS53" s="306"/>
      <c r="AT53" s="304"/>
      <c r="AU53" s="305"/>
      <c r="AV53" s="305"/>
      <c r="AW53" s="305"/>
      <c r="AX53" s="306"/>
      <c r="AY53" s="304"/>
      <c r="AZ53" s="305"/>
      <c r="BA53" s="305"/>
      <c r="BB53" s="305"/>
      <c r="BC53" s="306"/>
      <c r="BD53" s="304"/>
      <c r="BE53" s="305"/>
      <c r="BF53" s="305"/>
      <c r="BG53" s="305"/>
      <c r="BH53" s="306"/>
      <c r="BI53" s="304"/>
      <c r="BJ53" s="305"/>
      <c r="BK53" s="305"/>
      <c r="BL53" s="305"/>
      <c r="BM53" s="306"/>
      <c r="BN53" s="310"/>
      <c r="BO53" s="311"/>
      <c r="BP53" s="311"/>
      <c r="BQ53" s="311"/>
      <c r="BR53" s="518"/>
      <c r="BS53" s="515"/>
      <c r="BT53" s="317"/>
      <c r="BU53" s="317"/>
      <c r="BV53" s="317"/>
      <c r="BW53" s="317"/>
      <c r="BX53" s="270"/>
      <c r="BY53" s="270"/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70"/>
      <c r="DB53" s="270"/>
      <c r="DC53" s="270"/>
      <c r="DD53" s="270"/>
      <c r="DE53" s="270"/>
      <c r="DF53" s="533"/>
      <c r="DG53" s="757"/>
      <c r="DH53" s="270"/>
      <c r="DI53" s="270"/>
      <c r="DJ53" s="270"/>
      <c r="DK53" s="270"/>
      <c r="DL53" s="270"/>
      <c r="DM53" s="270"/>
      <c r="DN53" s="270"/>
      <c r="DO53" s="270"/>
      <c r="DP53" s="270"/>
      <c r="DQ53" s="270"/>
      <c r="DR53" s="270"/>
      <c r="DS53" s="270"/>
      <c r="DT53" s="270"/>
      <c r="DU53" s="270"/>
      <c r="DV53" s="270"/>
      <c r="DW53" s="270"/>
      <c r="DX53" s="270"/>
      <c r="DY53" s="270"/>
      <c r="DZ53" s="270"/>
      <c r="EA53" s="270"/>
      <c r="EB53" s="270"/>
      <c r="EC53" s="270"/>
      <c r="ED53" s="270"/>
      <c r="EE53" s="270"/>
      <c r="EF53" s="270"/>
      <c r="EG53" s="270"/>
      <c r="EH53" s="270"/>
      <c r="EI53" s="270"/>
      <c r="EJ53" s="270"/>
      <c r="EK53" s="270"/>
      <c r="EL53" s="270"/>
      <c r="EM53" s="270"/>
      <c r="EN53" s="270"/>
      <c r="EO53" s="270"/>
      <c r="EP53" s="270"/>
      <c r="EQ53" s="270"/>
      <c r="ER53" s="270"/>
      <c r="ES53" s="270"/>
      <c r="ET53" s="533"/>
      <c r="EU53" s="757">
        <f t="shared" ref="EU53" si="29">DG53+DL53+DQ53+DV53+EA53+EK53+EF53+EP53</f>
        <v>0</v>
      </c>
      <c r="EV53" s="269"/>
      <c r="EW53" s="269"/>
      <c r="EX53" s="270"/>
      <c r="EY53" s="533"/>
      <c r="FD53" s="197"/>
      <c r="FE53" s="198"/>
      <c r="FF53" s="199"/>
    </row>
    <row r="54" spans="1:162" s="98" customFormat="1" ht="75" customHeight="1" x14ac:dyDescent="0.2">
      <c r="A54" s="751" t="s">
        <v>14</v>
      </c>
      <c r="B54" s="110" t="s">
        <v>197</v>
      </c>
      <c r="C54" s="287" t="s">
        <v>195</v>
      </c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307">
        <f t="shared" ref="Z54" si="30">(DG54+DL54+DQ54+DV54+EA54+EF54+EK54+EP54)*30</f>
        <v>120</v>
      </c>
      <c r="AA54" s="308"/>
      <c r="AB54" s="308"/>
      <c r="AC54" s="308"/>
      <c r="AD54" s="309"/>
      <c r="AE54" s="295"/>
      <c r="AF54" s="296"/>
      <c r="AG54" s="296"/>
      <c r="AH54" s="296"/>
      <c r="AI54" s="297"/>
      <c r="AJ54" s="301">
        <f t="shared" ref="AJ54" si="31">SUM(AO54:BH55)</f>
        <v>60</v>
      </c>
      <c r="AK54" s="302"/>
      <c r="AL54" s="302"/>
      <c r="AM54" s="302"/>
      <c r="AN54" s="303"/>
      <c r="AO54" s="301"/>
      <c r="AP54" s="302"/>
      <c r="AQ54" s="302"/>
      <c r="AR54" s="302"/>
      <c r="AS54" s="303"/>
      <c r="AT54" s="301">
        <v>60</v>
      </c>
      <c r="AU54" s="302"/>
      <c r="AV54" s="302"/>
      <c r="AW54" s="302"/>
      <c r="AX54" s="303"/>
      <c r="AY54" s="301"/>
      <c r="AZ54" s="302"/>
      <c r="BA54" s="302"/>
      <c r="BB54" s="302"/>
      <c r="BC54" s="303"/>
      <c r="BD54" s="301"/>
      <c r="BE54" s="302"/>
      <c r="BF54" s="302"/>
      <c r="BG54" s="302"/>
      <c r="BH54" s="303"/>
      <c r="BI54" s="301"/>
      <c r="BJ54" s="302"/>
      <c r="BK54" s="302"/>
      <c r="BL54" s="302"/>
      <c r="BM54" s="303"/>
      <c r="BN54" s="307">
        <f>Z54-AJ54</f>
        <v>60</v>
      </c>
      <c r="BO54" s="308"/>
      <c r="BP54" s="308"/>
      <c r="BQ54" s="308"/>
      <c r="BR54" s="517"/>
      <c r="BS54" s="514"/>
      <c r="BT54" s="314"/>
      <c r="BU54" s="314"/>
      <c r="BV54" s="314"/>
      <c r="BW54" s="314"/>
      <c r="BX54" s="270"/>
      <c r="BY54" s="270"/>
      <c r="BZ54" s="270"/>
      <c r="CA54" s="270"/>
      <c r="CB54" s="270"/>
      <c r="CC54" s="270">
        <v>4</v>
      </c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/>
      <c r="CS54" s="270"/>
      <c r="CT54" s="270"/>
      <c r="CU54" s="270"/>
      <c r="CV54" s="270"/>
      <c r="CW54" s="270"/>
      <c r="CX54" s="270"/>
      <c r="CY54" s="270"/>
      <c r="CZ54" s="270"/>
      <c r="DA54" s="270"/>
      <c r="DB54" s="270"/>
      <c r="DC54" s="270"/>
      <c r="DD54" s="270"/>
      <c r="DE54" s="270"/>
      <c r="DF54" s="533"/>
      <c r="DG54" s="757"/>
      <c r="DH54" s="270"/>
      <c r="DI54" s="270"/>
      <c r="DJ54" s="270"/>
      <c r="DK54" s="270"/>
      <c r="DL54" s="270"/>
      <c r="DM54" s="270"/>
      <c r="DN54" s="270"/>
      <c r="DO54" s="270"/>
      <c r="DP54" s="270"/>
      <c r="DQ54" s="270">
        <v>4</v>
      </c>
      <c r="DR54" s="270"/>
      <c r="DS54" s="270"/>
      <c r="DT54" s="270"/>
      <c r="DU54" s="270"/>
      <c r="DV54" s="270"/>
      <c r="DW54" s="270"/>
      <c r="DX54" s="270"/>
      <c r="DY54" s="270"/>
      <c r="DZ54" s="270"/>
      <c r="EA54" s="270"/>
      <c r="EB54" s="270"/>
      <c r="EC54" s="270"/>
      <c r="ED54" s="270"/>
      <c r="EE54" s="270"/>
      <c r="EF54" s="270"/>
      <c r="EG54" s="270"/>
      <c r="EH54" s="270"/>
      <c r="EI54" s="270"/>
      <c r="EJ54" s="270"/>
      <c r="EK54" s="270"/>
      <c r="EL54" s="270"/>
      <c r="EM54" s="270"/>
      <c r="EN54" s="270"/>
      <c r="EO54" s="270"/>
      <c r="EP54" s="270"/>
      <c r="EQ54" s="270"/>
      <c r="ER54" s="270"/>
      <c r="ES54" s="270"/>
      <c r="ET54" s="533"/>
      <c r="EU54" s="757">
        <f t="shared" ref="EU54" si="32">SUM(DG54:ET55)</f>
        <v>4</v>
      </c>
      <c r="EV54" s="269"/>
      <c r="EW54" s="269"/>
      <c r="EX54" s="270"/>
      <c r="EY54" s="533"/>
      <c r="EZ54" s="249" t="s">
        <v>256</v>
      </c>
      <c r="FD54" s="197"/>
      <c r="FE54" s="198"/>
      <c r="FF54" s="199"/>
    </row>
    <row r="55" spans="1:162" s="98" customFormat="1" ht="75" customHeight="1" x14ac:dyDescent="0.2">
      <c r="A55" s="752"/>
      <c r="B55" s="110" t="s">
        <v>198</v>
      </c>
      <c r="C55" s="287" t="s">
        <v>196</v>
      </c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310"/>
      <c r="AA55" s="311"/>
      <c r="AB55" s="311"/>
      <c r="AC55" s="311"/>
      <c r="AD55" s="312"/>
      <c r="AE55" s="298"/>
      <c r="AF55" s="299"/>
      <c r="AG55" s="299"/>
      <c r="AH55" s="299"/>
      <c r="AI55" s="300"/>
      <c r="AJ55" s="304"/>
      <c r="AK55" s="305"/>
      <c r="AL55" s="305"/>
      <c r="AM55" s="305"/>
      <c r="AN55" s="306"/>
      <c r="AO55" s="304"/>
      <c r="AP55" s="305"/>
      <c r="AQ55" s="305"/>
      <c r="AR55" s="305"/>
      <c r="AS55" s="306"/>
      <c r="AT55" s="304"/>
      <c r="AU55" s="305"/>
      <c r="AV55" s="305"/>
      <c r="AW55" s="305"/>
      <c r="AX55" s="306"/>
      <c r="AY55" s="304"/>
      <c r="AZ55" s="305"/>
      <c r="BA55" s="305"/>
      <c r="BB55" s="305"/>
      <c r="BC55" s="306"/>
      <c r="BD55" s="304"/>
      <c r="BE55" s="305"/>
      <c r="BF55" s="305"/>
      <c r="BG55" s="305"/>
      <c r="BH55" s="306"/>
      <c r="BI55" s="304"/>
      <c r="BJ55" s="305"/>
      <c r="BK55" s="305"/>
      <c r="BL55" s="305"/>
      <c r="BM55" s="306"/>
      <c r="BN55" s="310"/>
      <c r="BO55" s="311"/>
      <c r="BP55" s="311"/>
      <c r="BQ55" s="311"/>
      <c r="BR55" s="518"/>
      <c r="BS55" s="515"/>
      <c r="BT55" s="317"/>
      <c r="BU55" s="317"/>
      <c r="BV55" s="317"/>
      <c r="BW55" s="317"/>
      <c r="BX55" s="270"/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  <c r="DB55" s="270"/>
      <c r="DC55" s="270"/>
      <c r="DD55" s="270"/>
      <c r="DE55" s="270"/>
      <c r="DF55" s="533"/>
      <c r="DG55" s="757"/>
      <c r="DH55" s="270"/>
      <c r="DI55" s="270"/>
      <c r="DJ55" s="270"/>
      <c r="DK55" s="270"/>
      <c r="DL55" s="270"/>
      <c r="DM55" s="270"/>
      <c r="DN55" s="270"/>
      <c r="DO55" s="270"/>
      <c r="DP55" s="270"/>
      <c r="DQ55" s="270"/>
      <c r="DR55" s="270"/>
      <c r="DS55" s="270"/>
      <c r="DT55" s="270"/>
      <c r="DU55" s="270"/>
      <c r="DV55" s="270"/>
      <c r="DW55" s="270"/>
      <c r="DX55" s="270"/>
      <c r="DY55" s="270"/>
      <c r="DZ55" s="270"/>
      <c r="EA55" s="270"/>
      <c r="EB55" s="270"/>
      <c r="EC55" s="270"/>
      <c r="ED55" s="270"/>
      <c r="EE55" s="270"/>
      <c r="EF55" s="270"/>
      <c r="EG55" s="270"/>
      <c r="EH55" s="270"/>
      <c r="EI55" s="270"/>
      <c r="EJ55" s="270"/>
      <c r="EK55" s="270"/>
      <c r="EL55" s="270"/>
      <c r="EM55" s="270"/>
      <c r="EN55" s="270"/>
      <c r="EO55" s="270"/>
      <c r="EP55" s="270"/>
      <c r="EQ55" s="270"/>
      <c r="ER55" s="270"/>
      <c r="ES55" s="270"/>
      <c r="ET55" s="533"/>
      <c r="EU55" s="757">
        <f t="shared" ref="EU55" si="33">DG55+DL55+DQ55+DV55+EA55+EK55+EF55+EP55</f>
        <v>0</v>
      </c>
      <c r="EV55" s="269"/>
      <c r="EW55" s="269"/>
      <c r="EX55" s="270"/>
      <c r="EY55" s="533"/>
      <c r="FD55" s="197"/>
      <c r="FE55" s="198"/>
      <c r="FF55" s="199"/>
    </row>
    <row r="56" spans="1:162" s="98" customFormat="1" ht="75" customHeight="1" x14ac:dyDescent="0.2">
      <c r="A56" s="751" t="s">
        <v>44</v>
      </c>
      <c r="B56" s="110" t="s">
        <v>240</v>
      </c>
      <c r="C56" s="287" t="s">
        <v>355</v>
      </c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307">
        <f t="shared" ref="Z56" si="34">(DG56+DL56+DQ56+DV56+EA56+EF56+EK56+EP56)*30</f>
        <v>300</v>
      </c>
      <c r="AA56" s="308"/>
      <c r="AB56" s="308"/>
      <c r="AC56" s="308"/>
      <c r="AD56" s="309"/>
      <c r="AE56" s="313"/>
      <c r="AF56" s="314"/>
      <c r="AG56" s="314"/>
      <c r="AH56" s="314"/>
      <c r="AI56" s="315"/>
      <c r="AJ56" s="301">
        <f t="shared" ref="AJ56" si="35">SUM(AO56:BH57)</f>
        <v>120</v>
      </c>
      <c r="AK56" s="302"/>
      <c r="AL56" s="302"/>
      <c r="AM56" s="302"/>
      <c r="AN56" s="303"/>
      <c r="AO56" s="301"/>
      <c r="AP56" s="302"/>
      <c r="AQ56" s="302"/>
      <c r="AR56" s="302"/>
      <c r="AS56" s="303"/>
      <c r="AT56" s="301">
        <v>120</v>
      </c>
      <c r="AU56" s="302"/>
      <c r="AV56" s="302"/>
      <c r="AW56" s="302"/>
      <c r="AX56" s="303"/>
      <c r="AY56" s="301"/>
      <c r="AZ56" s="302"/>
      <c r="BA56" s="302"/>
      <c r="BB56" s="302"/>
      <c r="BC56" s="303"/>
      <c r="BD56" s="301"/>
      <c r="BE56" s="302"/>
      <c r="BF56" s="302"/>
      <c r="BG56" s="302"/>
      <c r="BH56" s="303"/>
      <c r="BI56" s="301"/>
      <c r="BJ56" s="302"/>
      <c r="BK56" s="302"/>
      <c r="BL56" s="302"/>
      <c r="BM56" s="303"/>
      <c r="BN56" s="307">
        <f>Z56-AJ56</f>
        <v>180</v>
      </c>
      <c r="BO56" s="308"/>
      <c r="BP56" s="308"/>
      <c r="BQ56" s="308"/>
      <c r="BR56" s="517"/>
      <c r="BS56" s="514"/>
      <c r="BT56" s="314"/>
      <c r="BU56" s="314"/>
      <c r="BV56" s="314"/>
      <c r="BW56" s="314"/>
      <c r="BX56" s="270"/>
      <c r="BY56" s="270"/>
      <c r="BZ56" s="270"/>
      <c r="CA56" s="270"/>
      <c r="CB56" s="270"/>
      <c r="CC56" s="270"/>
      <c r="CD56" s="270"/>
      <c r="CE56" s="270"/>
      <c r="CF56" s="270"/>
      <c r="CG56" s="270"/>
      <c r="CH56" s="270">
        <v>2</v>
      </c>
      <c r="CI56" s="270"/>
      <c r="CJ56" s="270"/>
      <c r="CK56" s="270"/>
      <c r="CL56" s="270"/>
      <c r="CM56" s="270">
        <v>4</v>
      </c>
      <c r="CN56" s="270"/>
      <c r="CO56" s="270"/>
      <c r="CP56" s="270"/>
      <c r="CQ56" s="270"/>
      <c r="CR56" s="270">
        <v>2</v>
      </c>
      <c r="CS56" s="270"/>
      <c r="CT56" s="270"/>
      <c r="CU56" s="270"/>
      <c r="CV56" s="270"/>
      <c r="CW56" s="270">
        <v>2</v>
      </c>
      <c r="CX56" s="270"/>
      <c r="CY56" s="270"/>
      <c r="CZ56" s="270"/>
      <c r="DA56" s="270"/>
      <c r="DB56" s="270"/>
      <c r="DC56" s="270"/>
      <c r="DD56" s="270"/>
      <c r="DE56" s="270"/>
      <c r="DF56" s="533"/>
      <c r="DG56" s="757"/>
      <c r="DH56" s="270"/>
      <c r="DI56" s="270"/>
      <c r="DJ56" s="270"/>
      <c r="DK56" s="270"/>
      <c r="DL56" s="270"/>
      <c r="DM56" s="270"/>
      <c r="DN56" s="270"/>
      <c r="DO56" s="270"/>
      <c r="DP56" s="270"/>
      <c r="DQ56" s="270"/>
      <c r="DR56" s="270"/>
      <c r="DS56" s="270"/>
      <c r="DT56" s="270"/>
      <c r="DU56" s="270"/>
      <c r="DV56" s="270">
        <v>2</v>
      </c>
      <c r="DW56" s="270"/>
      <c r="DX56" s="270"/>
      <c r="DY56" s="270"/>
      <c r="DZ56" s="270"/>
      <c r="EA56" s="270">
        <v>4</v>
      </c>
      <c r="EB56" s="270"/>
      <c r="EC56" s="270"/>
      <c r="ED56" s="270"/>
      <c r="EE56" s="270"/>
      <c r="EF56" s="270">
        <v>2</v>
      </c>
      <c r="EG56" s="270"/>
      <c r="EH56" s="270"/>
      <c r="EI56" s="270"/>
      <c r="EJ56" s="270"/>
      <c r="EK56" s="270">
        <v>2</v>
      </c>
      <c r="EL56" s="270"/>
      <c r="EM56" s="270"/>
      <c r="EN56" s="270"/>
      <c r="EO56" s="270"/>
      <c r="EP56" s="270"/>
      <c r="EQ56" s="270"/>
      <c r="ER56" s="270"/>
      <c r="ES56" s="270"/>
      <c r="ET56" s="533"/>
      <c r="EU56" s="757">
        <f t="shared" ref="EU56" si="36">SUM(DG56:ET57)</f>
        <v>10</v>
      </c>
      <c r="EV56" s="269"/>
      <c r="EW56" s="269"/>
      <c r="EX56" s="270"/>
      <c r="EY56" s="533"/>
      <c r="EZ56" s="250" t="s">
        <v>360</v>
      </c>
      <c r="FD56" s="197"/>
      <c r="FE56" s="198"/>
      <c r="FF56" s="199"/>
    </row>
    <row r="57" spans="1:162" s="98" customFormat="1" ht="120" customHeight="1" x14ac:dyDescent="0.2">
      <c r="A57" s="752"/>
      <c r="B57" s="110" t="s">
        <v>199</v>
      </c>
      <c r="C57" s="271" t="s">
        <v>186</v>
      </c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310"/>
      <c r="AA57" s="311"/>
      <c r="AB57" s="311"/>
      <c r="AC57" s="311"/>
      <c r="AD57" s="312"/>
      <c r="AE57" s="316"/>
      <c r="AF57" s="317"/>
      <c r="AG57" s="317"/>
      <c r="AH57" s="317"/>
      <c r="AI57" s="318"/>
      <c r="AJ57" s="304"/>
      <c r="AK57" s="305"/>
      <c r="AL57" s="305"/>
      <c r="AM57" s="305"/>
      <c r="AN57" s="306"/>
      <c r="AO57" s="304"/>
      <c r="AP57" s="305"/>
      <c r="AQ57" s="305"/>
      <c r="AR57" s="305"/>
      <c r="AS57" s="306"/>
      <c r="AT57" s="304"/>
      <c r="AU57" s="305"/>
      <c r="AV57" s="305"/>
      <c r="AW57" s="305"/>
      <c r="AX57" s="306"/>
      <c r="AY57" s="304"/>
      <c r="AZ57" s="305"/>
      <c r="BA57" s="305"/>
      <c r="BB57" s="305"/>
      <c r="BC57" s="306"/>
      <c r="BD57" s="304"/>
      <c r="BE57" s="305"/>
      <c r="BF57" s="305"/>
      <c r="BG57" s="305"/>
      <c r="BH57" s="306"/>
      <c r="BI57" s="304"/>
      <c r="BJ57" s="305"/>
      <c r="BK57" s="305"/>
      <c r="BL57" s="305"/>
      <c r="BM57" s="306"/>
      <c r="BN57" s="310"/>
      <c r="BO57" s="311"/>
      <c r="BP57" s="311"/>
      <c r="BQ57" s="311"/>
      <c r="BR57" s="518"/>
      <c r="BS57" s="515"/>
      <c r="BT57" s="317"/>
      <c r="BU57" s="317"/>
      <c r="BV57" s="317"/>
      <c r="BW57" s="317"/>
      <c r="BX57" s="270"/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  <c r="DB57" s="270"/>
      <c r="DC57" s="270"/>
      <c r="DD57" s="270"/>
      <c r="DE57" s="270"/>
      <c r="DF57" s="533"/>
      <c r="DG57" s="757"/>
      <c r="DH57" s="270"/>
      <c r="DI57" s="270"/>
      <c r="DJ57" s="270"/>
      <c r="DK57" s="270"/>
      <c r="DL57" s="270"/>
      <c r="DM57" s="270"/>
      <c r="DN57" s="270"/>
      <c r="DO57" s="270"/>
      <c r="DP57" s="270"/>
      <c r="DQ57" s="270"/>
      <c r="DR57" s="270"/>
      <c r="DS57" s="270"/>
      <c r="DT57" s="270"/>
      <c r="DU57" s="270"/>
      <c r="DV57" s="270"/>
      <c r="DW57" s="270"/>
      <c r="DX57" s="270"/>
      <c r="DY57" s="270"/>
      <c r="DZ57" s="270"/>
      <c r="EA57" s="270"/>
      <c r="EB57" s="270"/>
      <c r="EC57" s="270"/>
      <c r="ED57" s="270"/>
      <c r="EE57" s="270"/>
      <c r="EF57" s="270"/>
      <c r="EG57" s="270"/>
      <c r="EH57" s="270"/>
      <c r="EI57" s="270"/>
      <c r="EJ57" s="270"/>
      <c r="EK57" s="270"/>
      <c r="EL57" s="270"/>
      <c r="EM57" s="270"/>
      <c r="EN57" s="270"/>
      <c r="EO57" s="270"/>
      <c r="EP57" s="270"/>
      <c r="EQ57" s="270"/>
      <c r="ER57" s="270"/>
      <c r="ES57" s="270"/>
      <c r="ET57" s="533"/>
      <c r="EU57" s="757">
        <f t="shared" ref="EU57" si="37">DG57+DL57+DQ57+DV57+EA57+EK57+EF57+EP57</f>
        <v>0</v>
      </c>
      <c r="EV57" s="269"/>
      <c r="EW57" s="269"/>
      <c r="EX57" s="270"/>
      <c r="EY57" s="533"/>
      <c r="FD57" s="197"/>
      <c r="FE57" s="198"/>
      <c r="FF57" s="199"/>
    </row>
    <row r="58" spans="1:162" s="98" customFormat="1" ht="75" customHeight="1" x14ac:dyDescent="0.2">
      <c r="A58" s="751" t="s">
        <v>45</v>
      </c>
      <c r="B58" s="110" t="s">
        <v>204</v>
      </c>
      <c r="C58" s="271" t="s">
        <v>200</v>
      </c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307">
        <f t="shared" si="8"/>
        <v>60</v>
      </c>
      <c r="AA58" s="308"/>
      <c r="AB58" s="308"/>
      <c r="AC58" s="308"/>
      <c r="AD58" s="309"/>
      <c r="AE58" s="313"/>
      <c r="AF58" s="314"/>
      <c r="AG58" s="314"/>
      <c r="AH58" s="314"/>
      <c r="AI58" s="315"/>
      <c r="AJ58" s="301">
        <f t="shared" ref="AJ58" si="38">SUM(AO58:BH59)</f>
        <v>24</v>
      </c>
      <c r="AK58" s="302"/>
      <c r="AL58" s="302"/>
      <c r="AM58" s="302"/>
      <c r="AN58" s="303"/>
      <c r="AO58" s="301"/>
      <c r="AP58" s="302"/>
      <c r="AQ58" s="302"/>
      <c r="AR58" s="302"/>
      <c r="AS58" s="303"/>
      <c r="AT58" s="301">
        <v>24</v>
      </c>
      <c r="AU58" s="302"/>
      <c r="AV58" s="302"/>
      <c r="AW58" s="302"/>
      <c r="AX58" s="303"/>
      <c r="AY58" s="301"/>
      <c r="AZ58" s="302"/>
      <c r="BA58" s="302"/>
      <c r="BB58" s="302"/>
      <c r="BC58" s="303"/>
      <c r="BD58" s="301"/>
      <c r="BE58" s="302"/>
      <c r="BF58" s="302"/>
      <c r="BG58" s="302"/>
      <c r="BH58" s="303"/>
      <c r="BI58" s="301"/>
      <c r="BJ58" s="302"/>
      <c r="BK58" s="302"/>
      <c r="BL58" s="302"/>
      <c r="BM58" s="303"/>
      <c r="BN58" s="307">
        <f>Z58-AJ58</f>
        <v>36</v>
      </c>
      <c r="BO58" s="308"/>
      <c r="BP58" s="308"/>
      <c r="BQ58" s="308"/>
      <c r="BR58" s="517"/>
      <c r="BS58" s="514"/>
      <c r="BT58" s="314"/>
      <c r="BU58" s="314"/>
      <c r="BV58" s="314"/>
      <c r="BW58" s="314"/>
      <c r="BX58" s="270"/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>
        <v>2</v>
      </c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70"/>
      <c r="DB58" s="270"/>
      <c r="DC58" s="270"/>
      <c r="DD58" s="270"/>
      <c r="DE58" s="270"/>
      <c r="DF58" s="533"/>
      <c r="DG58" s="757"/>
      <c r="DH58" s="270"/>
      <c r="DI58" s="270"/>
      <c r="DJ58" s="270"/>
      <c r="DK58" s="270"/>
      <c r="DL58" s="270"/>
      <c r="DM58" s="270"/>
      <c r="DN58" s="270"/>
      <c r="DO58" s="270"/>
      <c r="DP58" s="270"/>
      <c r="DQ58" s="270"/>
      <c r="DR58" s="270"/>
      <c r="DS58" s="270"/>
      <c r="DT58" s="270"/>
      <c r="DU58" s="270"/>
      <c r="DV58" s="270"/>
      <c r="DW58" s="270"/>
      <c r="DX58" s="270"/>
      <c r="DY58" s="270"/>
      <c r="DZ58" s="270"/>
      <c r="EA58" s="270">
        <v>2</v>
      </c>
      <c r="EB58" s="270"/>
      <c r="EC58" s="270"/>
      <c r="ED58" s="270"/>
      <c r="EE58" s="270"/>
      <c r="EF58" s="270"/>
      <c r="EG58" s="270"/>
      <c r="EH58" s="270"/>
      <c r="EI58" s="270"/>
      <c r="EJ58" s="270"/>
      <c r="EK58" s="270"/>
      <c r="EL58" s="270"/>
      <c r="EM58" s="270"/>
      <c r="EN58" s="270"/>
      <c r="EO58" s="270"/>
      <c r="EP58" s="270"/>
      <c r="EQ58" s="270"/>
      <c r="ER58" s="270"/>
      <c r="ES58" s="270"/>
      <c r="ET58" s="533"/>
      <c r="EU58" s="757">
        <f t="shared" ref="EU58" si="39">SUM(DG58:ET59)</f>
        <v>2</v>
      </c>
      <c r="EV58" s="269"/>
      <c r="EW58" s="269"/>
      <c r="EX58" s="270"/>
      <c r="EY58" s="533"/>
      <c r="FD58" s="197"/>
      <c r="FE58" s="198"/>
      <c r="FF58" s="199"/>
    </row>
    <row r="59" spans="1:162" s="99" customFormat="1" ht="120" customHeight="1" x14ac:dyDescent="0.2">
      <c r="A59" s="752"/>
      <c r="B59" s="110" t="s">
        <v>205</v>
      </c>
      <c r="C59" s="271" t="s">
        <v>201</v>
      </c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310"/>
      <c r="AA59" s="311"/>
      <c r="AB59" s="311"/>
      <c r="AC59" s="311"/>
      <c r="AD59" s="312"/>
      <c r="AE59" s="316"/>
      <c r="AF59" s="317"/>
      <c r="AG59" s="317"/>
      <c r="AH59" s="317"/>
      <c r="AI59" s="318"/>
      <c r="AJ59" s="304"/>
      <c r="AK59" s="305"/>
      <c r="AL59" s="305"/>
      <c r="AM59" s="305"/>
      <c r="AN59" s="306"/>
      <c r="AO59" s="304"/>
      <c r="AP59" s="305"/>
      <c r="AQ59" s="305"/>
      <c r="AR59" s="305"/>
      <c r="AS59" s="306"/>
      <c r="AT59" s="304"/>
      <c r="AU59" s="305"/>
      <c r="AV59" s="305"/>
      <c r="AW59" s="305"/>
      <c r="AX59" s="306"/>
      <c r="AY59" s="304"/>
      <c r="AZ59" s="305"/>
      <c r="BA59" s="305"/>
      <c r="BB59" s="305"/>
      <c r="BC59" s="306"/>
      <c r="BD59" s="304"/>
      <c r="BE59" s="305"/>
      <c r="BF59" s="305"/>
      <c r="BG59" s="305"/>
      <c r="BH59" s="306"/>
      <c r="BI59" s="304"/>
      <c r="BJ59" s="305"/>
      <c r="BK59" s="305"/>
      <c r="BL59" s="305"/>
      <c r="BM59" s="306"/>
      <c r="BN59" s="310"/>
      <c r="BO59" s="311"/>
      <c r="BP59" s="311"/>
      <c r="BQ59" s="311"/>
      <c r="BR59" s="518"/>
      <c r="BS59" s="515"/>
      <c r="BT59" s="317"/>
      <c r="BU59" s="317"/>
      <c r="BV59" s="317"/>
      <c r="BW59" s="317"/>
      <c r="BX59" s="270"/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  <c r="DB59" s="270"/>
      <c r="DC59" s="270"/>
      <c r="DD59" s="270"/>
      <c r="DE59" s="270"/>
      <c r="DF59" s="533"/>
      <c r="DG59" s="757"/>
      <c r="DH59" s="270"/>
      <c r="DI59" s="270"/>
      <c r="DJ59" s="270"/>
      <c r="DK59" s="270"/>
      <c r="DL59" s="270"/>
      <c r="DM59" s="270"/>
      <c r="DN59" s="270"/>
      <c r="DO59" s="270"/>
      <c r="DP59" s="270"/>
      <c r="DQ59" s="270"/>
      <c r="DR59" s="270"/>
      <c r="DS59" s="270"/>
      <c r="DT59" s="270"/>
      <c r="DU59" s="270"/>
      <c r="DV59" s="270"/>
      <c r="DW59" s="270"/>
      <c r="DX59" s="270"/>
      <c r="DY59" s="270"/>
      <c r="DZ59" s="270"/>
      <c r="EA59" s="270"/>
      <c r="EB59" s="270"/>
      <c r="EC59" s="270"/>
      <c r="ED59" s="270"/>
      <c r="EE59" s="270"/>
      <c r="EF59" s="270"/>
      <c r="EG59" s="270"/>
      <c r="EH59" s="270"/>
      <c r="EI59" s="270"/>
      <c r="EJ59" s="270"/>
      <c r="EK59" s="270"/>
      <c r="EL59" s="270"/>
      <c r="EM59" s="270"/>
      <c r="EN59" s="270"/>
      <c r="EO59" s="270"/>
      <c r="EP59" s="270"/>
      <c r="EQ59" s="270"/>
      <c r="ER59" s="270"/>
      <c r="ES59" s="270"/>
      <c r="ET59" s="533"/>
      <c r="EU59" s="757">
        <f t="shared" ref="EU59" si="40">DG59+DL59+DQ59+DV59+EA59+EK59+EF59+EP59</f>
        <v>0</v>
      </c>
      <c r="EV59" s="269"/>
      <c r="EW59" s="269"/>
      <c r="EX59" s="270"/>
      <c r="EY59" s="533"/>
      <c r="FD59" s="194"/>
      <c r="FE59" s="195"/>
      <c r="FF59" s="196"/>
    </row>
    <row r="60" spans="1:162" s="99" customFormat="1" ht="120" customHeight="1" x14ac:dyDescent="0.2">
      <c r="A60" s="751" t="s">
        <v>46</v>
      </c>
      <c r="B60" s="110" t="s">
        <v>206</v>
      </c>
      <c r="C60" s="271" t="s">
        <v>202</v>
      </c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307">
        <f t="shared" si="8"/>
        <v>60</v>
      </c>
      <c r="AA60" s="308"/>
      <c r="AB60" s="308"/>
      <c r="AC60" s="308"/>
      <c r="AD60" s="309"/>
      <c r="AE60" s="446"/>
      <c r="AF60" s="447"/>
      <c r="AG60" s="447"/>
      <c r="AH60" s="447"/>
      <c r="AI60" s="448"/>
      <c r="AJ60" s="301">
        <f t="shared" ref="AJ60" si="41">SUM(AO60:BH61)</f>
        <v>24</v>
      </c>
      <c r="AK60" s="302"/>
      <c r="AL60" s="302"/>
      <c r="AM60" s="302"/>
      <c r="AN60" s="303"/>
      <c r="AO60" s="301"/>
      <c r="AP60" s="302"/>
      <c r="AQ60" s="302"/>
      <c r="AR60" s="302"/>
      <c r="AS60" s="303"/>
      <c r="AT60" s="301">
        <v>24</v>
      </c>
      <c r="AU60" s="302"/>
      <c r="AV60" s="302"/>
      <c r="AW60" s="302"/>
      <c r="AX60" s="303"/>
      <c r="AY60" s="301"/>
      <c r="AZ60" s="302"/>
      <c r="BA60" s="302"/>
      <c r="BB60" s="302"/>
      <c r="BC60" s="303"/>
      <c r="BD60" s="301"/>
      <c r="BE60" s="302"/>
      <c r="BF60" s="302"/>
      <c r="BG60" s="302"/>
      <c r="BH60" s="303"/>
      <c r="BI60" s="301"/>
      <c r="BJ60" s="302"/>
      <c r="BK60" s="302"/>
      <c r="BL60" s="302"/>
      <c r="BM60" s="303"/>
      <c r="BN60" s="307">
        <f>Z60-AJ60</f>
        <v>36</v>
      </c>
      <c r="BO60" s="308"/>
      <c r="BP60" s="308"/>
      <c r="BQ60" s="308"/>
      <c r="BR60" s="517"/>
      <c r="BS60" s="514"/>
      <c r="BT60" s="314"/>
      <c r="BU60" s="314"/>
      <c r="BV60" s="314"/>
      <c r="BW60" s="314"/>
      <c r="BX60" s="270"/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>
        <v>2</v>
      </c>
      <c r="CN60" s="270"/>
      <c r="CO60" s="270"/>
      <c r="CP60" s="270"/>
      <c r="CQ60" s="270"/>
      <c r="CR60" s="270"/>
      <c r="CS60" s="270"/>
      <c r="CT60" s="270"/>
      <c r="CU60" s="270"/>
      <c r="CV60" s="270"/>
      <c r="CW60" s="270"/>
      <c r="CX60" s="270"/>
      <c r="CY60" s="270"/>
      <c r="CZ60" s="270"/>
      <c r="DA60" s="270"/>
      <c r="DB60" s="270"/>
      <c r="DC60" s="270"/>
      <c r="DD60" s="270"/>
      <c r="DE60" s="270"/>
      <c r="DF60" s="533"/>
      <c r="DG60" s="757"/>
      <c r="DH60" s="270"/>
      <c r="DI60" s="270"/>
      <c r="DJ60" s="270"/>
      <c r="DK60" s="270"/>
      <c r="DL60" s="270"/>
      <c r="DM60" s="270"/>
      <c r="DN60" s="270"/>
      <c r="DO60" s="270"/>
      <c r="DP60" s="270"/>
      <c r="DQ60" s="270"/>
      <c r="DR60" s="270"/>
      <c r="DS60" s="270"/>
      <c r="DT60" s="270"/>
      <c r="DU60" s="270"/>
      <c r="DV60" s="270"/>
      <c r="DW60" s="270"/>
      <c r="DX60" s="270"/>
      <c r="DY60" s="270"/>
      <c r="DZ60" s="270"/>
      <c r="EA60" s="270">
        <v>2</v>
      </c>
      <c r="EB60" s="270"/>
      <c r="EC60" s="270"/>
      <c r="ED60" s="270"/>
      <c r="EE60" s="270"/>
      <c r="EF60" s="270"/>
      <c r="EG60" s="270"/>
      <c r="EH60" s="270"/>
      <c r="EI60" s="270"/>
      <c r="EJ60" s="270"/>
      <c r="EK60" s="270"/>
      <c r="EL60" s="270"/>
      <c r="EM60" s="270"/>
      <c r="EN60" s="270"/>
      <c r="EO60" s="270"/>
      <c r="EP60" s="270"/>
      <c r="EQ60" s="270"/>
      <c r="ER60" s="270"/>
      <c r="ES60" s="270"/>
      <c r="ET60" s="533"/>
      <c r="EU60" s="757">
        <f t="shared" ref="EU60" si="42">SUM(DG60:ET61)</f>
        <v>2</v>
      </c>
      <c r="EV60" s="269"/>
      <c r="EW60" s="269"/>
      <c r="EX60" s="270"/>
      <c r="EY60" s="533"/>
      <c r="FD60" s="194"/>
      <c r="FE60" s="195"/>
      <c r="FF60" s="196"/>
    </row>
    <row r="61" spans="1:162" s="99" customFormat="1" ht="120" customHeight="1" x14ac:dyDescent="0.2">
      <c r="A61" s="752"/>
      <c r="B61" s="110" t="s">
        <v>207</v>
      </c>
      <c r="C61" s="271" t="s">
        <v>203</v>
      </c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310"/>
      <c r="AA61" s="311"/>
      <c r="AB61" s="311"/>
      <c r="AC61" s="311"/>
      <c r="AD61" s="312"/>
      <c r="AE61" s="449"/>
      <c r="AF61" s="450"/>
      <c r="AG61" s="450"/>
      <c r="AH61" s="450"/>
      <c r="AI61" s="451"/>
      <c r="AJ61" s="304"/>
      <c r="AK61" s="305"/>
      <c r="AL61" s="305"/>
      <c r="AM61" s="305"/>
      <c r="AN61" s="306"/>
      <c r="AO61" s="304"/>
      <c r="AP61" s="305"/>
      <c r="AQ61" s="305"/>
      <c r="AR61" s="305"/>
      <c r="AS61" s="306"/>
      <c r="AT61" s="304"/>
      <c r="AU61" s="305"/>
      <c r="AV61" s="305"/>
      <c r="AW61" s="305"/>
      <c r="AX61" s="306"/>
      <c r="AY61" s="304"/>
      <c r="AZ61" s="305"/>
      <c r="BA61" s="305"/>
      <c r="BB61" s="305"/>
      <c r="BC61" s="306"/>
      <c r="BD61" s="304"/>
      <c r="BE61" s="305"/>
      <c r="BF61" s="305"/>
      <c r="BG61" s="305"/>
      <c r="BH61" s="306"/>
      <c r="BI61" s="304"/>
      <c r="BJ61" s="305"/>
      <c r="BK61" s="305"/>
      <c r="BL61" s="305"/>
      <c r="BM61" s="306"/>
      <c r="BN61" s="310"/>
      <c r="BO61" s="311"/>
      <c r="BP61" s="311"/>
      <c r="BQ61" s="311"/>
      <c r="BR61" s="518"/>
      <c r="BS61" s="515"/>
      <c r="BT61" s="317"/>
      <c r="BU61" s="317"/>
      <c r="BV61" s="317"/>
      <c r="BW61" s="317"/>
      <c r="BX61" s="270"/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  <c r="DB61" s="270"/>
      <c r="DC61" s="270"/>
      <c r="DD61" s="270"/>
      <c r="DE61" s="270"/>
      <c r="DF61" s="533"/>
      <c r="DG61" s="757"/>
      <c r="DH61" s="270"/>
      <c r="DI61" s="270"/>
      <c r="DJ61" s="270"/>
      <c r="DK61" s="270"/>
      <c r="DL61" s="270"/>
      <c r="DM61" s="270"/>
      <c r="DN61" s="270"/>
      <c r="DO61" s="270"/>
      <c r="DP61" s="270"/>
      <c r="DQ61" s="270"/>
      <c r="DR61" s="270"/>
      <c r="DS61" s="270"/>
      <c r="DT61" s="270"/>
      <c r="DU61" s="270"/>
      <c r="DV61" s="270"/>
      <c r="DW61" s="270"/>
      <c r="DX61" s="270"/>
      <c r="DY61" s="270"/>
      <c r="DZ61" s="270"/>
      <c r="EA61" s="270"/>
      <c r="EB61" s="270"/>
      <c r="EC61" s="270"/>
      <c r="ED61" s="270"/>
      <c r="EE61" s="270"/>
      <c r="EF61" s="270"/>
      <c r="EG61" s="270"/>
      <c r="EH61" s="270"/>
      <c r="EI61" s="270"/>
      <c r="EJ61" s="270"/>
      <c r="EK61" s="270"/>
      <c r="EL61" s="270"/>
      <c r="EM61" s="270"/>
      <c r="EN61" s="270"/>
      <c r="EO61" s="270"/>
      <c r="EP61" s="270"/>
      <c r="EQ61" s="270"/>
      <c r="ER61" s="270"/>
      <c r="ES61" s="270"/>
      <c r="ET61" s="533"/>
      <c r="EU61" s="757">
        <f t="shared" ref="EU61" si="43">DG61+DL61+DQ61+DV61+EA61+EK61+EF61+EP61</f>
        <v>0</v>
      </c>
      <c r="EV61" s="269"/>
      <c r="EW61" s="269"/>
      <c r="EX61" s="270"/>
      <c r="EY61" s="533"/>
      <c r="FD61" s="194"/>
      <c r="FE61" s="195"/>
      <c r="FF61" s="196"/>
    </row>
    <row r="62" spans="1:162" s="99" customFormat="1" ht="120" customHeight="1" x14ac:dyDescent="0.2">
      <c r="A62" s="751" t="s">
        <v>47</v>
      </c>
      <c r="B62" s="110" t="s">
        <v>327</v>
      </c>
      <c r="C62" s="271" t="s">
        <v>208</v>
      </c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307">
        <f t="shared" ref="Z62" si="44">(DG62+DL62+DQ62+DV62+EA62+EF62+EK62+EP62)*30</f>
        <v>60</v>
      </c>
      <c r="AA62" s="308"/>
      <c r="AB62" s="308"/>
      <c r="AC62" s="308"/>
      <c r="AD62" s="309"/>
      <c r="AE62" s="446"/>
      <c r="AF62" s="447"/>
      <c r="AG62" s="447"/>
      <c r="AH62" s="447"/>
      <c r="AI62" s="448"/>
      <c r="AJ62" s="301">
        <f t="shared" ref="AJ62" si="45">SUM(AO62:BH63)</f>
        <v>24</v>
      </c>
      <c r="AK62" s="302"/>
      <c r="AL62" s="302"/>
      <c r="AM62" s="302"/>
      <c r="AN62" s="303"/>
      <c r="AO62" s="301"/>
      <c r="AP62" s="302"/>
      <c r="AQ62" s="302"/>
      <c r="AR62" s="302"/>
      <c r="AS62" s="303"/>
      <c r="AT62" s="301">
        <v>24</v>
      </c>
      <c r="AU62" s="302"/>
      <c r="AV62" s="302"/>
      <c r="AW62" s="302"/>
      <c r="AX62" s="303"/>
      <c r="AY62" s="301"/>
      <c r="AZ62" s="302"/>
      <c r="BA62" s="302"/>
      <c r="BB62" s="302"/>
      <c r="BC62" s="303"/>
      <c r="BD62" s="301"/>
      <c r="BE62" s="302"/>
      <c r="BF62" s="302"/>
      <c r="BG62" s="302"/>
      <c r="BH62" s="303"/>
      <c r="BI62" s="301"/>
      <c r="BJ62" s="302"/>
      <c r="BK62" s="302"/>
      <c r="BL62" s="302"/>
      <c r="BM62" s="303"/>
      <c r="BN62" s="307">
        <f>Z62-AJ62</f>
        <v>36</v>
      </c>
      <c r="BO62" s="308"/>
      <c r="BP62" s="308"/>
      <c r="BQ62" s="308"/>
      <c r="BR62" s="517"/>
      <c r="BS62" s="514"/>
      <c r="BT62" s="314"/>
      <c r="BU62" s="314"/>
      <c r="BV62" s="314"/>
      <c r="BW62" s="314"/>
      <c r="BX62" s="270"/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>
        <v>2</v>
      </c>
      <c r="CS62" s="270"/>
      <c r="CT62" s="270"/>
      <c r="CU62" s="270"/>
      <c r="CV62" s="270"/>
      <c r="CW62" s="270"/>
      <c r="CX62" s="270"/>
      <c r="CY62" s="270"/>
      <c r="CZ62" s="270"/>
      <c r="DA62" s="270"/>
      <c r="DB62" s="270"/>
      <c r="DC62" s="270"/>
      <c r="DD62" s="270"/>
      <c r="DE62" s="270"/>
      <c r="DF62" s="533"/>
      <c r="DG62" s="757"/>
      <c r="DH62" s="270"/>
      <c r="DI62" s="270"/>
      <c r="DJ62" s="270"/>
      <c r="DK62" s="270"/>
      <c r="DL62" s="270"/>
      <c r="DM62" s="270"/>
      <c r="DN62" s="270"/>
      <c r="DO62" s="270"/>
      <c r="DP62" s="270"/>
      <c r="DQ62" s="270"/>
      <c r="DR62" s="270"/>
      <c r="DS62" s="270"/>
      <c r="DT62" s="270"/>
      <c r="DU62" s="270"/>
      <c r="DV62" s="270"/>
      <c r="DW62" s="270"/>
      <c r="DX62" s="270"/>
      <c r="DY62" s="270"/>
      <c r="DZ62" s="270"/>
      <c r="EA62" s="270"/>
      <c r="EB62" s="270"/>
      <c r="EC62" s="270"/>
      <c r="ED62" s="270"/>
      <c r="EE62" s="270"/>
      <c r="EF62" s="270">
        <v>2</v>
      </c>
      <c r="EG62" s="270"/>
      <c r="EH62" s="270"/>
      <c r="EI62" s="270"/>
      <c r="EJ62" s="270"/>
      <c r="EK62" s="270"/>
      <c r="EL62" s="270"/>
      <c r="EM62" s="270"/>
      <c r="EN62" s="270"/>
      <c r="EO62" s="270"/>
      <c r="EP62" s="270"/>
      <c r="EQ62" s="270"/>
      <c r="ER62" s="270"/>
      <c r="ES62" s="270"/>
      <c r="ET62" s="533"/>
      <c r="EU62" s="757">
        <f t="shared" ref="EU62" si="46">SUM(DG62:ET63)</f>
        <v>2</v>
      </c>
      <c r="EV62" s="269"/>
      <c r="EW62" s="269"/>
      <c r="EX62" s="270"/>
      <c r="EY62" s="533"/>
      <c r="FD62" s="194"/>
      <c r="FE62" s="195"/>
      <c r="FF62" s="196"/>
    </row>
    <row r="63" spans="1:162" s="99" customFormat="1" ht="75" customHeight="1" x14ac:dyDescent="0.2">
      <c r="A63" s="752"/>
      <c r="B63" s="110" t="s">
        <v>211</v>
      </c>
      <c r="C63" s="271" t="s">
        <v>209</v>
      </c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310"/>
      <c r="AA63" s="311"/>
      <c r="AB63" s="311"/>
      <c r="AC63" s="311"/>
      <c r="AD63" s="312"/>
      <c r="AE63" s="449"/>
      <c r="AF63" s="450"/>
      <c r="AG63" s="450"/>
      <c r="AH63" s="450"/>
      <c r="AI63" s="451"/>
      <c r="AJ63" s="304"/>
      <c r="AK63" s="305"/>
      <c r="AL63" s="305"/>
      <c r="AM63" s="305"/>
      <c r="AN63" s="306"/>
      <c r="AO63" s="304"/>
      <c r="AP63" s="305"/>
      <c r="AQ63" s="305"/>
      <c r="AR63" s="305"/>
      <c r="AS63" s="306"/>
      <c r="AT63" s="304"/>
      <c r="AU63" s="305"/>
      <c r="AV63" s="305"/>
      <c r="AW63" s="305"/>
      <c r="AX63" s="306"/>
      <c r="AY63" s="304"/>
      <c r="AZ63" s="305"/>
      <c r="BA63" s="305"/>
      <c r="BB63" s="305"/>
      <c r="BC63" s="306"/>
      <c r="BD63" s="304"/>
      <c r="BE63" s="305"/>
      <c r="BF63" s="305"/>
      <c r="BG63" s="305"/>
      <c r="BH63" s="306"/>
      <c r="BI63" s="304"/>
      <c r="BJ63" s="305"/>
      <c r="BK63" s="305"/>
      <c r="BL63" s="305"/>
      <c r="BM63" s="306"/>
      <c r="BN63" s="310"/>
      <c r="BO63" s="311"/>
      <c r="BP63" s="311"/>
      <c r="BQ63" s="311"/>
      <c r="BR63" s="518"/>
      <c r="BS63" s="515"/>
      <c r="BT63" s="317"/>
      <c r="BU63" s="317"/>
      <c r="BV63" s="317"/>
      <c r="BW63" s="317"/>
      <c r="BX63" s="270"/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  <c r="DB63" s="270"/>
      <c r="DC63" s="270"/>
      <c r="DD63" s="270"/>
      <c r="DE63" s="270"/>
      <c r="DF63" s="533"/>
      <c r="DG63" s="757"/>
      <c r="DH63" s="270"/>
      <c r="DI63" s="270"/>
      <c r="DJ63" s="270"/>
      <c r="DK63" s="270"/>
      <c r="DL63" s="270"/>
      <c r="DM63" s="270"/>
      <c r="DN63" s="270"/>
      <c r="DO63" s="270"/>
      <c r="DP63" s="270"/>
      <c r="DQ63" s="270"/>
      <c r="DR63" s="270"/>
      <c r="DS63" s="270"/>
      <c r="DT63" s="270"/>
      <c r="DU63" s="270"/>
      <c r="DV63" s="270"/>
      <c r="DW63" s="270"/>
      <c r="DX63" s="270"/>
      <c r="DY63" s="270"/>
      <c r="DZ63" s="270"/>
      <c r="EA63" s="270"/>
      <c r="EB63" s="270"/>
      <c r="EC63" s="270"/>
      <c r="ED63" s="270"/>
      <c r="EE63" s="270"/>
      <c r="EF63" s="270"/>
      <c r="EG63" s="270"/>
      <c r="EH63" s="270"/>
      <c r="EI63" s="270"/>
      <c r="EJ63" s="270"/>
      <c r="EK63" s="270"/>
      <c r="EL63" s="270"/>
      <c r="EM63" s="270"/>
      <c r="EN63" s="270"/>
      <c r="EO63" s="270"/>
      <c r="EP63" s="270"/>
      <c r="EQ63" s="270"/>
      <c r="ER63" s="270"/>
      <c r="ES63" s="270"/>
      <c r="ET63" s="533"/>
      <c r="EU63" s="757">
        <f t="shared" ref="EU63" si="47">DG63+DL63+DQ63+DV63+EA63+EK63+EF63+EP63</f>
        <v>0</v>
      </c>
      <c r="EV63" s="269"/>
      <c r="EW63" s="269"/>
      <c r="EX63" s="270"/>
      <c r="EY63" s="533"/>
      <c r="FD63" s="194"/>
      <c r="FE63" s="195"/>
      <c r="FF63" s="196"/>
    </row>
    <row r="64" spans="1:162" s="99" customFormat="1" ht="120" customHeight="1" x14ac:dyDescent="0.2">
      <c r="A64" s="751" t="s">
        <v>48</v>
      </c>
      <c r="B64" s="110" t="s">
        <v>326</v>
      </c>
      <c r="C64" s="271" t="s">
        <v>212</v>
      </c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307">
        <f t="shared" ref="Z64" si="48">(DG64+DL64+DQ64+DV64+EA64+EF64+EK64+EP64)*30</f>
        <v>60</v>
      </c>
      <c r="AA64" s="308"/>
      <c r="AB64" s="308"/>
      <c r="AC64" s="308"/>
      <c r="AD64" s="309"/>
      <c r="AE64" s="446"/>
      <c r="AF64" s="447"/>
      <c r="AG64" s="447"/>
      <c r="AH64" s="447"/>
      <c r="AI64" s="448"/>
      <c r="AJ64" s="301">
        <f t="shared" ref="AJ64" si="49">SUM(AO64:BH65)</f>
        <v>24</v>
      </c>
      <c r="AK64" s="302"/>
      <c r="AL64" s="302"/>
      <c r="AM64" s="302"/>
      <c r="AN64" s="303"/>
      <c r="AO64" s="301">
        <v>12</v>
      </c>
      <c r="AP64" s="302"/>
      <c r="AQ64" s="302"/>
      <c r="AR64" s="302"/>
      <c r="AS64" s="303"/>
      <c r="AT64" s="301">
        <v>12</v>
      </c>
      <c r="AU64" s="302"/>
      <c r="AV64" s="302"/>
      <c r="AW64" s="302"/>
      <c r="AX64" s="303"/>
      <c r="AY64" s="301"/>
      <c r="AZ64" s="302"/>
      <c r="BA64" s="302"/>
      <c r="BB64" s="302"/>
      <c r="BC64" s="303"/>
      <c r="BD64" s="301"/>
      <c r="BE64" s="302"/>
      <c r="BF64" s="302"/>
      <c r="BG64" s="302"/>
      <c r="BH64" s="303"/>
      <c r="BI64" s="301"/>
      <c r="BJ64" s="302"/>
      <c r="BK64" s="302"/>
      <c r="BL64" s="302"/>
      <c r="BM64" s="303"/>
      <c r="BN64" s="307">
        <f>Z64-AJ64</f>
        <v>36</v>
      </c>
      <c r="BO64" s="308"/>
      <c r="BP64" s="308"/>
      <c r="BQ64" s="308"/>
      <c r="BR64" s="517"/>
      <c r="BS64" s="514"/>
      <c r="BT64" s="314"/>
      <c r="BU64" s="314"/>
      <c r="BV64" s="314"/>
      <c r="BW64" s="314"/>
      <c r="BX64" s="270"/>
      <c r="BY64" s="270"/>
      <c r="BZ64" s="270"/>
      <c r="CA64" s="270"/>
      <c r="CB64" s="270"/>
      <c r="CC64" s="270"/>
      <c r="CD64" s="270"/>
      <c r="CE64" s="270"/>
      <c r="CF64" s="270"/>
      <c r="CG64" s="270"/>
      <c r="CH64" s="270"/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0"/>
      <c r="CV64" s="270"/>
      <c r="CW64" s="270">
        <v>2</v>
      </c>
      <c r="CX64" s="270"/>
      <c r="CY64" s="270"/>
      <c r="CZ64" s="270"/>
      <c r="DA64" s="270"/>
      <c r="DB64" s="270"/>
      <c r="DC64" s="270"/>
      <c r="DD64" s="270"/>
      <c r="DE64" s="270"/>
      <c r="DF64" s="533"/>
      <c r="DG64" s="757"/>
      <c r="DH64" s="270"/>
      <c r="DI64" s="270"/>
      <c r="DJ64" s="270"/>
      <c r="DK64" s="270"/>
      <c r="DL64" s="270"/>
      <c r="DM64" s="270"/>
      <c r="DN64" s="270"/>
      <c r="DO64" s="270"/>
      <c r="DP64" s="270"/>
      <c r="DQ64" s="270"/>
      <c r="DR64" s="270"/>
      <c r="DS64" s="270"/>
      <c r="DT64" s="270"/>
      <c r="DU64" s="270"/>
      <c r="DV64" s="270"/>
      <c r="DW64" s="270"/>
      <c r="DX64" s="270"/>
      <c r="DY64" s="270"/>
      <c r="DZ64" s="270"/>
      <c r="EA64" s="270"/>
      <c r="EB64" s="270"/>
      <c r="EC64" s="270"/>
      <c r="ED64" s="270"/>
      <c r="EE64" s="270"/>
      <c r="EF64" s="270"/>
      <c r="EG64" s="270"/>
      <c r="EH64" s="270"/>
      <c r="EI64" s="270"/>
      <c r="EJ64" s="270"/>
      <c r="EK64" s="270">
        <v>2</v>
      </c>
      <c r="EL64" s="270"/>
      <c r="EM64" s="270"/>
      <c r="EN64" s="270"/>
      <c r="EO64" s="270"/>
      <c r="EP64" s="270"/>
      <c r="EQ64" s="270"/>
      <c r="ER64" s="270"/>
      <c r="ES64" s="270"/>
      <c r="ET64" s="533"/>
      <c r="EU64" s="757">
        <f t="shared" ref="EU64" si="50">SUM(DG64:ET65)</f>
        <v>2</v>
      </c>
      <c r="EV64" s="269"/>
      <c r="EW64" s="269"/>
      <c r="EX64" s="270"/>
      <c r="EY64" s="533"/>
      <c r="FD64" s="194"/>
      <c r="FE64" s="195"/>
      <c r="FF64" s="196"/>
    </row>
    <row r="65" spans="1:162" s="99" customFormat="1" ht="75" customHeight="1" x14ac:dyDescent="0.2">
      <c r="A65" s="752"/>
      <c r="B65" s="110" t="s">
        <v>215</v>
      </c>
      <c r="C65" s="271" t="s">
        <v>214</v>
      </c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310"/>
      <c r="AA65" s="311"/>
      <c r="AB65" s="311"/>
      <c r="AC65" s="311"/>
      <c r="AD65" s="312"/>
      <c r="AE65" s="449"/>
      <c r="AF65" s="450"/>
      <c r="AG65" s="450"/>
      <c r="AH65" s="450"/>
      <c r="AI65" s="451"/>
      <c r="AJ65" s="304"/>
      <c r="AK65" s="305"/>
      <c r="AL65" s="305"/>
      <c r="AM65" s="305"/>
      <c r="AN65" s="306"/>
      <c r="AO65" s="304"/>
      <c r="AP65" s="305"/>
      <c r="AQ65" s="305"/>
      <c r="AR65" s="305"/>
      <c r="AS65" s="306"/>
      <c r="AT65" s="304"/>
      <c r="AU65" s="305"/>
      <c r="AV65" s="305"/>
      <c r="AW65" s="305"/>
      <c r="AX65" s="306"/>
      <c r="AY65" s="304"/>
      <c r="AZ65" s="305"/>
      <c r="BA65" s="305"/>
      <c r="BB65" s="305"/>
      <c r="BC65" s="306"/>
      <c r="BD65" s="304"/>
      <c r="BE65" s="305"/>
      <c r="BF65" s="305"/>
      <c r="BG65" s="305"/>
      <c r="BH65" s="306"/>
      <c r="BI65" s="304"/>
      <c r="BJ65" s="305"/>
      <c r="BK65" s="305"/>
      <c r="BL65" s="305"/>
      <c r="BM65" s="306"/>
      <c r="BN65" s="310"/>
      <c r="BO65" s="311"/>
      <c r="BP65" s="311"/>
      <c r="BQ65" s="311"/>
      <c r="BR65" s="518"/>
      <c r="BS65" s="515"/>
      <c r="BT65" s="317"/>
      <c r="BU65" s="317"/>
      <c r="BV65" s="317"/>
      <c r="BW65" s="317"/>
      <c r="BX65" s="270"/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70"/>
      <c r="DB65" s="270"/>
      <c r="DC65" s="270"/>
      <c r="DD65" s="270"/>
      <c r="DE65" s="270"/>
      <c r="DF65" s="533"/>
      <c r="DG65" s="757"/>
      <c r="DH65" s="270"/>
      <c r="DI65" s="270"/>
      <c r="DJ65" s="270"/>
      <c r="DK65" s="270"/>
      <c r="DL65" s="270"/>
      <c r="DM65" s="270"/>
      <c r="DN65" s="270"/>
      <c r="DO65" s="270"/>
      <c r="DP65" s="270"/>
      <c r="DQ65" s="270"/>
      <c r="DR65" s="270"/>
      <c r="DS65" s="270"/>
      <c r="DT65" s="270"/>
      <c r="DU65" s="270"/>
      <c r="DV65" s="270"/>
      <c r="DW65" s="270"/>
      <c r="DX65" s="270"/>
      <c r="DY65" s="270"/>
      <c r="DZ65" s="270"/>
      <c r="EA65" s="270"/>
      <c r="EB65" s="270"/>
      <c r="EC65" s="270"/>
      <c r="ED65" s="270"/>
      <c r="EE65" s="270"/>
      <c r="EF65" s="270"/>
      <c r="EG65" s="270"/>
      <c r="EH65" s="270"/>
      <c r="EI65" s="270"/>
      <c r="EJ65" s="270"/>
      <c r="EK65" s="270"/>
      <c r="EL65" s="270"/>
      <c r="EM65" s="270"/>
      <c r="EN65" s="270"/>
      <c r="EO65" s="270"/>
      <c r="EP65" s="270"/>
      <c r="EQ65" s="270"/>
      <c r="ER65" s="270"/>
      <c r="ES65" s="270"/>
      <c r="ET65" s="533"/>
      <c r="EU65" s="757">
        <f t="shared" ref="EU65" si="51">DG65+DL65+DQ65+DV65+EA65+EK65+EF65+EP65</f>
        <v>0</v>
      </c>
      <c r="EV65" s="269"/>
      <c r="EW65" s="269"/>
      <c r="EX65" s="270"/>
      <c r="EY65" s="533"/>
      <c r="FD65" s="194"/>
      <c r="FE65" s="195"/>
      <c r="FF65" s="196"/>
    </row>
    <row r="66" spans="1:162" s="99" customFormat="1" ht="120" customHeight="1" x14ac:dyDescent="0.2">
      <c r="A66" s="751" t="s">
        <v>49</v>
      </c>
      <c r="B66" s="110" t="s">
        <v>217</v>
      </c>
      <c r="C66" s="271" t="s">
        <v>216</v>
      </c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307">
        <f t="shared" ref="Z66" si="52">(DG66+DL66+DQ66+DV66+EA66+EF66+EK66+EP66)*30</f>
        <v>120</v>
      </c>
      <c r="AA66" s="308"/>
      <c r="AB66" s="308"/>
      <c r="AC66" s="308"/>
      <c r="AD66" s="309"/>
      <c r="AE66" s="446"/>
      <c r="AF66" s="447"/>
      <c r="AG66" s="447"/>
      <c r="AH66" s="447"/>
      <c r="AI66" s="448"/>
      <c r="AJ66" s="301">
        <f t="shared" ref="AJ66" si="53">SUM(AO66:BH67)</f>
        <v>48</v>
      </c>
      <c r="AK66" s="302"/>
      <c r="AL66" s="302"/>
      <c r="AM66" s="302"/>
      <c r="AN66" s="303"/>
      <c r="AO66" s="301"/>
      <c r="AP66" s="302"/>
      <c r="AQ66" s="302"/>
      <c r="AR66" s="302"/>
      <c r="AS66" s="303"/>
      <c r="AT66" s="301">
        <v>48</v>
      </c>
      <c r="AU66" s="302"/>
      <c r="AV66" s="302"/>
      <c r="AW66" s="302"/>
      <c r="AX66" s="303"/>
      <c r="AY66" s="301"/>
      <c r="AZ66" s="302"/>
      <c r="BA66" s="302"/>
      <c r="BB66" s="302"/>
      <c r="BC66" s="303"/>
      <c r="BD66" s="301"/>
      <c r="BE66" s="302"/>
      <c r="BF66" s="302"/>
      <c r="BG66" s="302"/>
      <c r="BH66" s="303"/>
      <c r="BI66" s="301"/>
      <c r="BJ66" s="302"/>
      <c r="BK66" s="302"/>
      <c r="BL66" s="302"/>
      <c r="BM66" s="303"/>
      <c r="BN66" s="307">
        <f>Z66-AJ66</f>
        <v>72</v>
      </c>
      <c r="BO66" s="308"/>
      <c r="BP66" s="308"/>
      <c r="BQ66" s="308"/>
      <c r="BR66" s="517"/>
      <c r="BS66" s="514"/>
      <c r="BT66" s="314"/>
      <c r="BU66" s="314"/>
      <c r="BV66" s="314"/>
      <c r="BW66" s="314"/>
      <c r="BX66" s="270"/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/>
      <c r="CJ66" s="270"/>
      <c r="CK66" s="270"/>
      <c r="CL66" s="270"/>
      <c r="CM66" s="270"/>
      <c r="CN66" s="270"/>
      <c r="CO66" s="270"/>
      <c r="CP66" s="270"/>
      <c r="CQ66" s="270"/>
      <c r="CR66" s="270">
        <v>3</v>
      </c>
      <c r="CS66" s="270"/>
      <c r="CT66" s="270"/>
      <c r="CU66" s="270"/>
      <c r="CV66" s="270"/>
      <c r="CW66" s="270"/>
      <c r="CX66" s="270"/>
      <c r="CY66" s="270"/>
      <c r="CZ66" s="270"/>
      <c r="DA66" s="270"/>
      <c r="DB66" s="270"/>
      <c r="DC66" s="270"/>
      <c r="DD66" s="270"/>
      <c r="DE66" s="270"/>
      <c r="DF66" s="533"/>
      <c r="DG66" s="757"/>
      <c r="DH66" s="270"/>
      <c r="DI66" s="270"/>
      <c r="DJ66" s="270"/>
      <c r="DK66" s="270"/>
      <c r="DL66" s="270"/>
      <c r="DM66" s="270"/>
      <c r="DN66" s="270"/>
      <c r="DO66" s="270"/>
      <c r="DP66" s="270"/>
      <c r="DQ66" s="270"/>
      <c r="DR66" s="270"/>
      <c r="DS66" s="270"/>
      <c r="DT66" s="270"/>
      <c r="DU66" s="270"/>
      <c r="DV66" s="270"/>
      <c r="DW66" s="270"/>
      <c r="DX66" s="270"/>
      <c r="DY66" s="270"/>
      <c r="DZ66" s="270"/>
      <c r="EA66" s="270"/>
      <c r="EB66" s="270"/>
      <c r="EC66" s="270"/>
      <c r="ED66" s="270"/>
      <c r="EE66" s="270"/>
      <c r="EF66" s="270">
        <v>4</v>
      </c>
      <c r="EG66" s="270"/>
      <c r="EH66" s="270"/>
      <c r="EI66" s="270"/>
      <c r="EJ66" s="270"/>
      <c r="EK66" s="270"/>
      <c r="EL66" s="270"/>
      <c r="EM66" s="270"/>
      <c r="EN66" s="270"/>
      <c r="EO66" s="270"/>
      <c r="EP66" s="270"/>
      <c r="EQ66" s="270"/>
      <c r="ER66" s="270"/>
      <c r="ES66" s="270"/>
      <c r="ET66" s="533"/>
      <c r="EU66" s="757">
        <f t="shared" ref="EU66" si="54">SUM(DG66:ET67)</f>
        <v>4</v>
      </c>
      <c r="EV66" s="269"/>
      <c r="EW66" s="269"/>
      <c r="EX66" s="270"/>
      <c r="EY66" s="533"/>
      <c r="FD66" s="194"/>
      <c r="FE66" s="195"/>
      <c r="FF66" s="196"/>
    </row>
    <row r="67" spans="1:162" s="99" customFormat="1" ht="120" customHeight="1" x14ac:dyDescent="0.2">
      <c r="A67" s="752"/>
      <c r="B67" s="110" t="s">
        <v>219</v>
      </c>
      <c r="C67" s="271" t="s">
        <v>218</v>
      </c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310"/>
      <c r="AA67" s="311"/>
      <c r="AB67" s="311"/>
      <c r="AC67" s="311"/>
      <c r="AD67" s="312"/>
      <c r="AE67" s="449"/>
      <c r="AF67" s="450"/>
      <c r="AG67" s="450"/>
      <c r="AH67" s="450"/>
      <c r="AI67" s="451"/>
      <c r="AJ67" s="304"/>
      <c r="AK67" s="305"/>
      <c r="AL67" s="305"/>
      <c r="AM67" s="305"/>
      <c r="AN67" s="306"/>
      <c r="AO67" s="304"/>
      <c r="AP67" s="305"/>
      <c r="AQ67" s="305"/>
      <c r="AR67" s="305"/>
      <c r="AS67" s="306"/>
      <c r="AT67" s="304"/>
      <c r="AU67" s="305"/>
      <c r="AV67" s="305"/>
      <c r="AW67" s="305"/>
      <c r="AX67" s="306"/>
      <c r="AY67" s="304"/>
      <c r="AZ67" s="305"/>
      <c r="BA67" s="305"/>
      <c r="BB67" s="305"/>
      <c r="BC67" s="306"/>
      <c r="BD67" s="304"/>
      <c r="BE67" s="305"/>
      <c r="BF67" s="305"/>
      <c r="BG67" s="305"/>
      <c r="BH67" s="306"/>
      <c r="BI67" s="304"/>
      <c r="BJ67" s="305"/>
      <c r="BK67" s="305"/>
      <c r="BL67" s="305"/>
      <c r="BM67" s="306"/>
      <c r="BN67" s="310"/>
      <c r="BO67" s="311"/>
      <c r="BP67" s="311"/>
      <c r="BQ67" s="311"/>
      <c r="BR67" s="518"/>
      <c r="BS67" s="515"/>
      <c r="BT67" s="317"/>
      <c r="BU67" s="317"/>
      <c r="BV67" s="317"/>
      <c r="BW67" s="317"/>
      <c r="BX67" s="270"/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270"/>
      <c r="DD67" s="270"/>
      <c r="DE67" s="270"/>
      <c r="DF67" s="533"/>
      <c r="DG67" s="757"/>
      <c r="DH67" s="270"/>
      <c r="DI67" s="270"/>
      <c r="DJ67" s="270"/>
      <c r="DK67" s="270"/>
      <c r="DL67" s="270"/>
      <c r="DM67" s="270"/>
      <c r="DN67" s="270"/>
      <c r="DO67" s="270"/>
      <c r="DP67" s="270"/>
      <c r="DQ67" s="270"/>
      <c r="DR67" s="270"/>
      <c r="DS67" s="270"/>
      <c r="DT67" s="270"/>
      <c r="DU67" s="270"/>
      <c r="DV67" s="270"/>
      <c r="DW67" s="270"/>
      <c r="DX67" s="270"/>
      <c r="DY67" s="270"/>
      <c r="DZ67" s="270"/>
      <c r="EA67" s="270"/>
      <c r="EB67" s="270"/>
      <c r="EC67" s="270"/>
      <c r="ED67" s="270"/>
      <c r="EE67" s="270"/>
      <c r="EF67" s="270"/>
      <c r="EG67" s="270"/>
      <c r="EH67" s="270"/>
      <c r="EI67" s="270"/>
      <c r="EJ67" s="270"/>
      <c r="EK67" s="270"/>
      <c r="EL67" s="270"/>
      <c r="EM67" s="270"/>
      <c r="EN67" s="270"/>
      <c r="EO67" s="270"/>
      <c r="EP67" s="270"/>
      <c r="EQ67" s="270"/>
      <c r="ER67" s="270"/>
      <c r="ES67" s="270"/>
      <c r="ET67" s="533"/>
      <c r="EU67" s="757">
        <f t="shared" ref="EU67" si="55">DG67+DL67+DQ67+DV67+EA67+EK67+EF67+EP67</f>
        <v>0</v>
      </c>
      <c r="EV67" s="269"/>
      <c r="EW67" s="269"/>
      <c r="EX67" s="270"/>
      <c r="EY67" s="533"/>
      <c r="FD67" s="194"/>
      <c r="FE67" s="195"/>
      <c r="FF67" s="196"/>
    </row>
    <row r="68" spans="1:162" s="99" customFormat="1" ht="75" customHeight="1" x14ac:dyDescent="0.2">
      <c r="A68" s="751" t="s">
        <v>237</v>
      </c>
      <c r="B68" s="110" t="s">
        <v>141</v>
      </c>
      <c r="C68" s="287" t="s">
        <v>294</v>
      </c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307">
        <f t="shared" ref="Z68" si="56">(DG68+DL68+DQ68+DV68+EA68+EF68+EK68+EP68)*30</f>
        <v>120</v>
      </c>
      <c r="AA68" s="308"/>
      <c r="AB68" s="308"/>
      <c r="AC68" s="308"/>
      <c r="AD68" s="309"/>
      <c r="AE68" s="446"/>
      <c r="AF68" s="447"/>
      <c r="AG68" s="447"/>
      <c r="AH68" s="447"/>
      <c r="AI68" s="448"/>
      <c r="AJ68" s="301">
        <f t="shared" ref="AJ68" si="57">SUM(AO68:BH69)</f>
        <v>60</v>
      </c>
      <c r="AK68" s="302"/>
      <c r="AL68" s="302"/>
      <c r="AM68" s="302"/>
      <c r="AN68" s="303"/>
      <c r="AO68" s="301"/>
      <c r="AP68" s="302"/>
      <c r="AQ68" s="302"/>
      <c r="AR68" s="302"/>
      <c r="AS68" s="303"/>
      <c r="AT68" s="301">
        <v>60</v>
      </c>
      <c r="AU68" s="302"/>
      <c r="AV68" s="302"/>
      <c r="AW68" s="302"/>
      <c r="AX68" s="303"/>
      <c r="AY68" s="301"/>
      <c r="AZ68" s="302"/>
      <c r="BA68" s="302"/>
      <c r="BB68" s="302"/>
      <c r="BC68" s="303"/>
      <c r="BD68" s="301"/>
      <c r="BE68" s="302"/>
      <c r="BF68" s="302"/>
      <c r="BG68" s="302"/>
      <c r="BH68" s="303"/>
      <c r="BI68" s="301"/>
      <c r="BJ68" s="302"/>
      <c r="BK68" s="302"/>
      <c r="BL68" s="302"/>
      <c r="BM68" s="303"/>
      <c r="BN68" s="307">
        <f>Z68-AJ68</f>
        <v>60</v>
      </c>
      <c r="BO68" s="308"/>
      <c r="BP68" s="308"/>
      <c r="BQ68" s="308"/>
      <c r="BR68" s="517"/>
      <c r="BS68" s="514"/>
      <c r="BT68" s="314"/>
      <c r="BU68" s="314"/>
      <c r="BV68" s="314"/>
      <c r="BW68" s="314"/>
      <c r="BX68" s="270">
        <v>4</v>
      </c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/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270"/>
      <c r="DD68" s="270"/>
      <c r="DE68" s="270"/>
      <c r="DF68" s="533"/>
      <c r="DG68" s="757"/>
      <c r="DH68" s="270"/>
      <c r="DI68" s="270"/>
      <c r="DJ68" s="270"/>
      <c r="DK68" s="270"/>
      <c r="DL68" s="270">
        <v>4</v>
      </c>
      <c r="DM68" s="270"/>
      <c r="DN68" s="270"/>
      <c r="DO68" s="270"/>
      <c r="DP68" s="270"/>
      <c r="DQ68" s="270"/>
      <c r="DR68" s="270"/>
      <c r="DS68" s="270"/>
      <c r="DT68" s="270"/>
      <c r="DU68" s="270"/>
      <c r="DV68" s="270"/>
      <c r="DW68" s="270"/>
      <c r="DX68" s="270"/>
      <c r="DY68" s="270"/>
      <c r="DZ68" s="270"/>
      <c r="EA68" s="270"/>
      <c r="EB68" s="270"/>
      <c r="EC68" s="270"/>
      <c r="ED68" s="270"/>
      <c r="EE68" s="270"/>
      <c r="EF68" s="270"/>
      <c r="EG68" s="270"/>
      <c r="EH68" s="270"/>
      <c r="EI68" s="270"/>
      <c r="EJ68" s="270"/>
      <c r="EK68" s="270"/>
      <c r="EL68" s="270"/>
      <c r="EM68" s="270"/>
      <c r="EN68" s="270"/>
      <c r="EO68" s="270"/>
      <c r="EP68" s="270"/>
      <c r="EQ68" s="270"/>
      <c r="ER68" s="270"/>
      <c r="ES68" s="270"/>
      <c r="ET68" s="533"/>
      <c r="EU68" s="757">
        <f t="shared" ref="EU68" si="58">SUM(DG68:ET69)</f>
        <v>4</v>
      </c>
      <c r="EV68" s="269"/>
      <c r="EW68" s="269"/>
      <c r="EX68" s="270"/>
      <c r="EY68" s="533"/>
      <c r="EZ68" s="201" t="s">
        <v>256</v>
      </c>
      <c r="FD68" s="194"/>
      <c r="FE68" s="195"/>
      <c r="FF68" s="196"/>
    </row>
    <row r="69" spans="1:162" s="99" customFormat="1" ht="75" customHeight="1" x14ac:dyDescent="0.2">
      <c r="A69" s="752"/>
      <c r="B69" s="110" t="s">
        <v>310</v>
      </c>
      <c r="C69" s="287" t="s">
        <v>309</v>
      </c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310"/>
      <c r="AA69" s="311"/>
      <c r="AB69" s="311"/>
      <c r="AC69" s="311"/>
      <c r="AD69" s="312"/>
      <c r="AE69" s="449"/>
      <c r="AF69" s="450"/>
      <c r="AG69" s="450"/>
      <c r="AH69" s="450"/>
      <c r="AI69" s="451"/>
      <c r="AJ69" s="304"/>
      <c r="AK69" s="305"/>
      <c r="AL69" s="305"/>
      <c r="AM69" s="305"/>
      <c r="AN69" s="306"/>
      <c r="AO69" s="304"/>
      <c r="AP69" s="305"/>
      <c r="AQ69" s="305"/>
      <c r="AR69" s="305"/>
      <c r="AS69" s="306"/>
      <c r="AT69" s="304"/>
      <c r="AU69" s="305"/>
      <c r="AV69" s="305"/>
      <c r="AW69" s="305"/>
      <c r="AX69" s="306"/>
      <c r="AY69" s="304"/>
      <c r="AZ69" s="305"/>
      <c r="BA69" s="305"/>
      <c r="BB69" s="305"/>
      <c r="BC69" s="306"/>
      <c r="BD69" s="304"/>
      <c r="BE69" s="305"/>
      <c r="BF69" s="305"/>
      <c r="BG69" s="305"/>
      <c r="BH69" s="306"/>
      <c r="BI69" s="304"/>
      <c r="BJ69" s="305"/>
      <c r="BK69" s="305"/>
      <c r="BL69" s="305"/>
      <c r="BM69" s="306"/>
      <c r="BN69" s="310"/>
      <c r="BO69" s="311"/>
      <c r="BP69" s="311"/>
      <c r="BQ69" s="311"/>
      <c r="BR69" s="518"/>
      <c r="BS69" s="515"/>
      <c r="BT69" s="317"/>
      <c r="BU69" s="317"/>
      <c r="BV69" s="317"/>
      <c r="BW69" s="317"/>
      <c r="BX69" s="270"/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70"/>
      <c r="DB69" s="270"/>
      <c r="DC69" s="270"/>
      <c r="DD69" s="270"/>
      <c r="DE69" s="270"/>
      <c r="DF69" s="533"/>
      <c r="DG69" s="757"/>
      <c r="DH69" s="270"/>
      <c r="DI69" s="270"/>
      <c r="DJ69" s="270"/>
      <c r="DK69" s="270"/>
      <c r="DL69" s="270"/>
      <c r="DM69" s="270"/>
      <c r="DN69" s="270"/>
      <c r="DO69" s="270"/>
      <c r="DP69" s="270"/>
      <c r="DQ69" s="270"/>
      <c r="DR69" s="270"/>
      <c r="DS69" s="270"/>
      <c r="DT69" s="270"/>
      <c r="DU69" s="270"/>
      <c r="DV69" s="270"/>
      <c r="DW69" s="270"/>
      <c r="DX69" s="270"/>
      <c r="DY69" s="270"/>
      <c r="DZ69" s="270"/>
      <c r="EA69" s="270"/>
      <c r="EB69" s="270"/>
      <c r="EC69" s="270"/>
      <c r="ED69" s="270"/>
      <c r="EE69" s="270"/>
      <c r="EF69" s="270"/>
      <c r="EG69" s="270"/>
      <c r="EH69" s="270"/>
      <c r="EI69" s="270"/>
      <c r="EJ69" s="270"/>
      <c r="EK69" s="270"/>
      <c r="EL69" s="270"/>
      <c r="EM69" s="270"/>
      <c r="EN69" s="270"/>
      <c r="EO69" s="270"/>
      <c r="EP69" s="270"/>
      <c r="EQ69" s="270"/>
      <c r="ER69" s="270"/>
      <c r="ES69" s="270"/>
      <c r="ET69" s="533"/>
      <c r="EU69" s="757">
        <f t="shared" ref="EU69" si="59">DG69+DL69+DQ69+DV69+EA69+EK69+EF69+EP69</f>
        <v>0</v>
      </c>
      <c r="EV69" s="269"/>
      <c r="EW69" s="269"/>
      <c r="EX69" s="270"/>
      <c r="EY69" s="533"/>
      <c r="FD69" s="194"/>
      <c r="FE69" s="195"/>
      <c r="FF69" s="196"/>
    </row>
    <row r="70" spans="1:162" s="99" customFormat="1" ht="120" customHeight="1" x14ac:dyDescent="0.2">
      <c r="A70" s="751" t="s">
        <v>238</v>
      </c>
      <c r="B70" s="108" t="s">
        <v>129</v>
      </c>
      <c r="C70" s="271" t="s">
        <v>267</v>
      </c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307">
        <f t="shared" ref="Z70" si="60">(DG70+DL70+DQ70+DV70+EA70+EF70+EK70+EP70)*30</f>
        <v>120</v>
      </c>
      <c r="AA70" s="308"/>
      <c r="AB70" s="308"/>
      <c r="AC70" s="308"/>
      <c r="AD70" s="309"/>
      <c r="AE70" s="446"/>
      <c r="AF70" s="447"/>
      <c r="AG70" s="447"/>
      <c r="AH70" s="447"/>
      <c r="AI70" s="448"/>
      <c r="AJ70" s="301">
        <f t="shared" ref="AJ70" si="61">SUM(AO70:BH71)</f>
        <v>60</v>
      </c>
      <c r="AK70" s="302"/>
      <c r="AL70" s="302"/>
      <c r="AM70" s="302"/>
      <c r="AN70" s="303"/>
      <c r="AO70" s="301">
        <v>30</v>
      </c>
      <c r="AP70" s="302"/>
      <c r="AQ70" s="302"/>
      <c r="AR70" s="302"/>
      <c r="AS70" s="303"/>
      <c r="AT70" s="301"/>
      <c r="AU70" s="302"/>
      <c r="AV70" s="302"/>
      <c r="AW70" s="302"/>
      <c r="AX70" s="303"/>
      <c r="AY70" s="301">
        <v>30</v>
      </c>
      <c r="AZ70" s="302"/>
      <c r="BA70" s="302"/>
      <c r="BB70" s="302"/>
      <c r="BC70" s="303"/>
      <c r="BD70" s="301"/>
      <c r="BE70" s="302"/>
      <c r="BF70" s="302"/>
      <c r="BG70" s="302"/>
      <c r="BH70" s="303"/>
      <c r="BI70" s="301"/>
      <c r="BJ70" s="302"/>
      <c r="BK70" s="302"/>
      <c r="BL70" s="302"/>
      <c r="BM70" s="303"/>
      <c r="BN70" s="307">
        <f>Z70-AJ70</f>
        <v>60</v>
      </c>
      <c r="BO70" s="308"/>
      <c r="BP70" s="308"/>
      <c r="BQ70" s="308"/>
      <c r="BR70" s="517"/>
      <c r="BS70" s="514"/>
      <c r="BT70" s="314"/>
      <c r="BU70" s="314"/>
      <c r="BV70" s="314"/>
      <c r="BW70" s="314"/>
      <c r="BX70" s="270">
        <v>4</v>
      </c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/>
      <c r="CU70" s="270"/>
      <c r="CV70" s="270"/>
      <c r="CW70" s="270"/>
      <c r="CX70" s="270"/>
      <c r="CY70" s="270"/>
      <c r="CZ70" s="270"/>
      <c r="DA70" s="270"/>
      <c r="DB70" s="270"/>
      <c r="DC70" s="270"/>
      <c r="DD70" s="270"/>
      <c r="DE70" s="270"/>
      <c r="DF70" s="533"/>
      <c r="DG70" s="757"/>
      <c r="DH70" s="270"/>
      <c r="DI70" s="270"/>
      <c r="DJ70" s="270"/>
      <c r="DK70" s="270"/>
      <c r="DL70" s="270">
        <v>4</v>
      </c>
      <c r="DM70" s="270"/>
      <c r="DN70" s="270"/>
      <c r="DO70" s="270"/>
      <c r="DP70" s="270"/>
      <c r="DQ70" s="270"/>
      <c r="DR70" s="270"/>
      <c r="DS70" s="270"/>
      <c r="DT70" s="270"/>
      <c r="DU70" s="270"/>
      <c r="DV70" s="270"/>
      <c r="DW70" s="270"/>
      <c r="DX70" s="270"/>
      <c r="DY70" s="270"/>
      <c r="DZ70" s="270"/>
      <c r="EA70" s="270"/>
      <c r="EB70" s="270"/>
      <c r="EC70" s="270"/>
      <c r="ED70" s="270"/>
      <c r="EE70" s="270"/>
      <c r="EF70" s="270"/>
      <c r="EG70" s="270"/>
      <c r="EH70" s="270"/>
      <c r="EI70" s="270"/>
      <c r="EJ70" s="270"/>
      <c r="EK70" s="270"/>
      <c r="EL70" s="270"/>
      <c r="EM70" s="270"/>
      <c r="EN70" s="270"/>
      <c r="EO70" s="270"/>
      <c r="EP70" s="270"/>
      <c r="EQ70" s="270"/>
      <c r="ER70" s="270"/>
      <c r="ES70" s="270"/>
      <c r="ET70" s="533"/>
      <c r="EU70" s="757">
        <f t="shared" ref="EU70" si="62">SUM(DG70:ET71)</f>
        <v>4</v>
      </c>
      <c r="EV70" s="269"/>
      <c r="EW70" s="269"/>
      <c r="EX70" s="270"/>
      <c r="EY70" s="533"/>
      <c r="EZ70" s="201" t="s">
        <v>256</v>
      </c>
      <c r="FD70" s="194"/>
      <c r="FE70" s="195"/>
      <c r="FF70" s="196"/>
    </row>
    <row r="71" spans="1:162" s="99" customFormat="1" ht="75" customHeight="1" x14ac:dyDescent="0.2">
      <c r="A71" s="752"/>
      <c r="B71" s="110" t="s">
        <v>305</v>
      </c>
      <c r="C71" s="271" t="s">
        <v>304</v>
      </c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310"/>
      <c r="AA71" s="311"/>
      <c r="AB71" s="311"/>
      <c r="AC71" s="311"/>
      <c r="AD71" s="312"/>
      <c r="AE71" s="449"/>
      <c r="AF71" s="450"/>
      <c r="AG71" s="450"/>
      <c r="AH71" s="450"/>
      <c r="AI71" s="451"/>
      <c r="AJ71" s="304"/>
      <c r="AK71" s="305"/>
      <c r="AL71" s="305"/>
      <c r="AM71" s="305"/>
      <c r="AN71" s="306"/>
      <c r="AO71" s="304"/>
      <c r="AP71" s="305"/>
      <c r="AQ71" s="305"/>
      <c r="AR71" s="305"/>
      <c r="AS71" s="306"/>
      <c r="AT71" s="304"/>
      <c r="AU71" s="305"/>
      <c r="AV71" s="305"/>
      <c r="AW71" s="305"/>
      <c r="AX71" s="306"/>
      <c r="AY71" s="304"/>
      <c r="AZ71" s="305"/>
      <c r="BA71" s="305"/>
      <c r="BB71" s="305"/>
      <c r="BC71" s="306"/>
      <c r="BD71" s="304"/>
      <c r="BE71" s="305"/>
      <c r="BF71" s="305"/>
      <c r="BG71" s="305"/>
      <c r="BH71" s="306"/>
      <c r="BI71" s="304"/>
      <c r="BJ71" s="305"/>
      <c r="BK71" s="305"/>
      <c r="BL71" s="305"/>
      <c r="BM71" s="306"/>
      <c r="BN71" s="310"/>
      <c r="BO71" s="311"/>
      <c r="BP71" s="311"/>
      <c r="BQ71" s="311"/>
      <c r="BR71" s="518"/>
      <c r="BS71" s="515"/>
      <c r="BT71" s="317"/>
      <c r="BU71" s="317"/>
      <c r="BV71" s="317"/>
      <c r="BW71" s="317"/>
      <c r="BX71" s="270"/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/>
      <c r="CO71" s="270"/>
      <c r="CP71" s="270"/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70"/>
      <c r="DB71" s="270"/>
      <c r="DC71" s="270"/>
      <c r="DD71" s="270"/>
      <c r="DE71" s="270"/>
      <c r="DF71" s="533"/>
      <c r="DG71" s="757"/>
      <c r="DH71" s="270"/>
      <c r="DI71" s="270"/>
      <c r="DJ71" s="270"/>
      <c r="DK71" s="270"/>
      <c r="DL71" s="270"/>
      <c r="DM71" s="270"/>
      <c r="DN71" s="270"/>
      <c r="DO71" s="270"/>
      <c r="DP71" s="270"/>
      <c r="DQ71" s="270"/>
      <c r="DR71" s="270"/>
      <c r="DS71" s="270"/>
      <c r="DT71" s="270"/>
      <c r="DU71" s="270"/>
      <c r="DV71" s="270"/>
      <c r="DW71" s="270"/>
      <c r="DX71" s="270"/>
      <c r="DY71" s="270"/>
      <c r="DZ71" s="270"/>
      <c r="EA71" s="270"/>
      <c r="EB71" s="270"/>
      <c r="EC71" s="270"/>
      <c r="ED71" s="270"/>
      <c r="EE71" s="270"/>
      <c r="EF71" s="270"/>
      <c r="EG71" s="270"/>
      <c r="EH71" s="270"/>
      <c r="EI71" s="270"/>
      <c r="EJ71" s="270"/>
      <c r="EK71" s="270"/>
      <c r="EL71" s="270"/>
      <c r="EM71" s="270"/>
      <c r="EN71" s="270"/>
      <c r="EO71" s="270"/>
      <c r="EP71" s="270"/>
      <c r="EQ71" s="270"/>
      <c r="ER71" s="270"/>
      <c r="ES71" s="270"/>
      <c r="ET71" s="533"/>
      <c r="EU71" s="757">
        <f t="shared" ref="EU71" si="63">DG71+DL71+DQ71+DV71+EA71+EK71+EF71+EP71</f>
        <v>0</v>
      </c>
      <c r="EV71" s="269"/>
      <c r="EW71" s="269"/>
      <c r="EX71" s="270"/>
      <c r="EY71" s="533"/>
      <c r="FD71" s="194"/>
      <c r="FE71" s="195"/>
      <c r="FF71" s="196"/>
    </row>
    <row r="72" spans="1:162" s="99" customFormat="1" ht="120" customHeight="1" x14ac:dyDescent="0.2">
      <c r="A72" s="751" t="s">
        <v>239</v>
      </c>
      <c r="B72" s="251" t="s">
        <v>143</v>
      </c>
      <c r="C72" s="271" t="s">
        <v>356</v>
      </c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307">
        <f t="shared" ref="Z72" si="64">(DG72+DL72+DQ72+DV72+EA72+EF72+EK72+EP72)*30</f>
        <v>180</v>
      </c>
      <c r="AA72" s="308"/>
      <c r="AB72" s="308"/>
      <c r="AC72" s="308"/>
      <c r="AD72" s="309"/>
      <c r="AE72" s="446"/>
      <c r="AF72" s="447"/>
      <c r="AG72" s="447"/>
      <c r="AH72" s="447"/>
      <c r="AI72" s="448"/>
      <c r="AJ72" s="301">
        <f t="shared" ref="AJ72" si="65">SUM(AO72:BH73)</f>
        <v>60</v>
      </c>
      <c r="AK72" s="302"/>
      <c r="AL72" s="302"/>
      <c r="AM72" s="302"/>
      <c r="AN72" s="303"/>
      <c r="AO72" s="301">
        <v>30</v>
      </c>
      <c r="AP72" s="302"/>
      <c r="AQ72" s="302"/>
      <c r="AR72" s="302"/>
      <c r="AS72" s="303"/>
      <c r="AT72" s="301">
        <v>30</v>
      </c>
      <c r="AU72" s="302"/>
      <c r="AV72" s="302"/>
      <c r="AW72" s="302"/>
      <c r="AX72" s="303"/>
      <c r="AY72" s="301"/>
      <c r="AZ72" s="302"/>
      <c r="BA72" s="302"/>
      <c r="BB72" s="302"/>
      <c r="BC72" s="303"/>
      <c r="BD72" s="301"/>
      <c r="BE72" s="302"/>
      <c r="BF72" s="302"/>
      <c r="BG72" s="302"/>
      <c r="BH72" s="303"/>
      <c r="BI72" s="301"/>
      <c r="BJ72" s="302"/>
      <c r="BK72" s="302"/>
      <c r="BL72" s="302"/>
      <c r="BM72" s="303"/>
      <c r="BN72" s="307">
        <f>Z72-AJ72</f>
        <v>120</v>
      </c>
      <c r="BO72" s="308"/>
      <c r="BP72" s="308"/>
      <c r="BQ72" s="308"/>
      <c r="BR72" s="517"/>
      <c r="BS72" s="514"/>
      <c r="BT72" s="314"/>
      <c r="BU72" s="314"/>
      <c r="BV72" s="314"/>
      <c r="BW72" s="314"/>
      <c r="BX72" s="270">
        <v>4</v>
      </c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/>
      <c r="CN72" s="270"/>
      <c r="CO72" s="270"/>
      <c r="CP72" s="270"/>
      <c r="CQ72" s="270"/>
      <c r="CR72" s="270"/>
      <c r="CS72" s="270"/>
      <c r="CT72" s="270"/>
      <c r="CU72" s="270"/>
      <c r="CV72" s="270"/>
      <c r="CW72" s="270"/>
      <c r="CX72" s="270"/>
      <c r="CY72" s="270"/>
      <c r="CZ72" s="270"/>
      <c r="DA72" s="270"/>
      <c r="DB72" s="270"/>
      <c r="DC72" s="270"/>
      <c r="DD72" s="270"/>
      <c r="DE72" s="270"/>
      <c r="DF72" s="533"/>
      <c r="DG72" s="757"/>
      <c r="DH72" s="270"/>
      <c r="DI72" s="270"/>
      <c r="DJ72" s="270"/>
      <c r="DK72" s="270"/>
      <c r="DL72" s="270">
        <v>6</v>
      </c>
      <c r="DM72" s="270"/>
      <c r="DN72" s="270"/>
      <c r="DO72" s="270"/>
      <c r="DP72" s="270"/>
      <c r="DQ72" s="270"/>
      <c r="DR72" s="270"/>
      <c r="DS72" s="270"/>
      <c r="DT72" s="270"/>
      <c r="DU72" s="270"/>
      <c r="DV72" s="270"/>
      <c r="DW72" s="270"/>
      <c r="DX72" s="270"/>
      <c r="DY72" s="270"/>
      <c r="DZ72" s="270"/>
      <c r="EA72" s="270"/>
      <c r="EB72" s="270"/>
      <c r="EC72" s="270"/>
      <c r="ED72" s="270"/>
      <c r="EE72" s="270"/>
      <c r="EF72" s="270"/>
      <c r="EG72" s="270"/>
      <c r="EH72" s="270"/>
      <c r="EI72" s="270"/>
      <c r="EJ72" s="270"/>
      <c r="EK72" s="270"/>
      <c r="EL72" s="270"/>
      <c r="EM72" s="270"/>
      <c r="EN72" s="270"/>
      <c r="EO72" s="270"/>
      <c r="EP72" s="270"/>
      <c r="EQ72" s="270"/>
      <c r="ER72" s="270"/>
      <c r="ES72" s="270"/>
      <c r="ET72" s="533"/>
      <c r="EU72" s="757">
        <f t="shared" ref="EU72" si="66">SUM(DG72:ET73)</f>
        <v>6</v>
      </c>
      <c r="EV72" s="269"/>
      <c r="EW72" s="269"/>
      <c r="EX72" s="270"/>
      <c r="EY72" s="533"/>
      <c r="EZ72" s="201" t="s">
        <v>256</v>
      </c>
      <c r="FD72" s="194"/>
      <c r="FE72" s="195"/>
      <c r="FF72" s="196"/>
    </row>
    <row r="73" spans="1:162" s="99" customFormat="1" ht="75" customHeight="1" x14ac:dyDescent="0.2">
      <c r="A73" s="752"/>
      <c r="B73" s="110" t="s">
        <v>316</v>
      </c>
      <c r="C73" s="271" t="s">
        <v>308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310"/>
      <c r="AA73" s="311"/>
      <c r="AB73" s="311"/>
      <c r="AC73" s="311"/>
      <c r="AD73" s="312"/>
      <c r="AE73" s="449"/>
      <c r="AF73" s="450"/>
      <c r="AG73" s="450"/>
      <c r="AH73" s="450"/>
      <c r="AI73" s="451"/>
      <c r="AJ73" s="304"/>
      <c r="AK73" s="305"/>
      <c r="AL73" s="305"/>
      <c r="AM73" s="305"/>
      <c r="AN73" s="306"/>
      <c r="AO73" s="304"/>
      <c r="AP73" s="305"/>
      <c r="AQ73" s="305"/>
      <c r="AR73" s="305"/>
      <c r="AS73" s="306"/>
      <c r="AT73" s="304"/>
      <c r="AU73" s="305"/>
      <c r="AV73" s="305"/>
      <c r="AW73" s="305"/>
      <c r="AX73" s="306"/>
      <c r="AY73" s="304"/>
      <c r="AZ73" s="305"/>
      <c r="BA73" s="305"/>
      <c r="BB73" s="305"/>
      <c r="BC73" s="306"/>
      <c r="BD73" s="304"/>
      <c r="BE73" s="305"/>
      <c r="BF73" s="305"/>
      <c r="BG73" s="305"/>
      <c r="BH73" s="306"/>
      <c r="BI73" s="304"/>
      <c r="BJ73" s="305"/>
      <c r="BK73" s="305"/>
      <c r="BL73" s="305"/>
      <c r="BM73" s="306"/>
      <c r="BN73" s="310"/>
      <c r="BO73" s="311"/>
      <c r="BP73" s="311"/>
      <c r="BQ73" s="311"/>
      <c r="BR73" s="518"/>
      <c r="BS73" s="515"/>
      <c r="BT73" s="317"/>
      <c r="BU73" s="317"/>
      <c r="BV73" s="317"/>
      <c r="BW73" s="317"/>
      <c r="BX73" s="270"/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70"/>
      <c r="DB73" s="270"/>
      <c r="DC73" s="270"/>
      <c r="DD73" s="270"/>
      <c r="DE73" s="270"/>
      <c r="DF73" s="533"/>
      <c r="DG73" s="757"/>
      <c r="DH73" s="270"/>
      <c r="DI73" s="270"/>
      <c r="DJ73" s="270"/>
      <c r="DK73" s="270"/>
      <c r="DL73" s="270"/>
      <c r="DM73" s="270"/>
      <c r="DN73" s="270"/>
      <c r="DO73" s="270"/>
      <c r="DP73" s="270"/>
      <c r="DQ73" s="270"/>
      <c r="DR73" s="270"/>
      <c r="DS73" s="270"/>
      <c r="DT73" s="270"/>
      <c r="DU73" s="270"/>
      <c r="DV73" s="270"/>
      <c r="DW73" s="270"/>
      <c r="DX73" s="270"/>
      <c r="DY73" s="270"/>
      <c r="DZ73" s="270"/>
      <c r="EA73" s="270"/>
      <c r="EB73" s="270"/>
      <c r="EC73" s="270"/>
      <c r="ED73" s="270"/>
      <c r="EE73" s="270"/>
      <c r="EF73" s="270"/>
      <c r="EG73" s="270"/>
      <c r="EH73" s="270"/>
      <c r="EI73" s="270"/>
      <c r="EJ73" s="270"/>
      <c r="EK73" s="270"/>
      <c r="EL73" s="270"/>
      <c r="EM73" s="270"/>
      <c r="EN73" s="270"/>
      <c r="EO73" s="270"/>
      <c r="EP73" s="270"/>
      <c r="EQ73" s="270"/>
      <c r="ER73" s="270"/>
      <c r="ES73" s="270"/>
      <c r="ET73" s="533"/>
      <c r="EU73" s="757">
        <f t="shared" ref="EU73" si="67">DG73+DL73+DQ73+DV73+EA73+EK73+EF73+EP73</f>
        <v>0</v>
      </c>
      <c r="EV73" s="269"/>
      <c r="EW73" s="269"/>
      <c r="EX73" s="270"/>
      <c r="EY73" s="533"/>
      <c r="FD73" s="194"/>
      <c r="FE73" s="195"/>
      <c r="FF73" s="196"/>
    </row>
    <row r="74" spans="1:162" s="99" customFormat="1" ht="75" customHeight="1" x14ac:dyDescent="0.2">
      <c r="A74" s="751" t="s">
        <v>311</v>
      </c>
      <c r="B74" s="110" t="s">
        <v>144</v>
      </c>
      <c r="C74" s="287" t="s">
        <v>136</v>
      </c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307">
        <f t="shared" ref="Z74" si="68">(DG74+DL74+DQ74+DV74+EA74+EF74+EK74+EP74)*30</f>
        <v>120</v>
      </c>
      <c r="AA74" s="308"/>
      <c r="AB74" s="308"/>
      <c r="AC74" s="308"/>
      <c r="AD74" s="309"/>
      <c r="AE74" s="446"/>
      <c r="AF74" s="447"/>
      <c r="AG74" s="447"/>
      <c r="AH74" s="447"/>
      <c r="AI74" s="448"/>
      <c r="AJ74" s="301">
        <f t="shared" ref="AJ74" si="69">SUM(AO74:BH75)</f>
        <v>60</v>
      </c>
      <c r="AK74" s="302"/>
      <c r="AL74" s="302"/>
      <c r="AM74" s="302"/>
      <c r="AN74" s="303"/>
      <c r="AO74" s="301">
        <v>30</v>
      </c>
      <c r="AP74" s="302"/>
      <c r="AQ74" s="302"/>
      <c r="AR74" s="302"/>
      <c r="AS74" s="303"/>
      <c r="AT74" s="301"/>
      <c r="AU74" s="302"/>
      <c r="AV74" s="302"/>
      <c r="AW74" s="302"/>
      <c r="AX74" s="303"/>
      <c r="AY74" s="301">
        <v>30</v>
      </c>
      <c r="AZ74" s="302"/>
      <c r="BA74" s="302"/>
      <c r="BB74" s="302"/>
      <c r="BC74" s="303"/>
      <c r="BD74" s="301"/>
      <c r="BE74" s="302"/>
      <c r="BF74" s="302"/>
      <c r="BG74" s="302"/>
      <c r="BH74" s="303"/>
      <c r="BI74" s="301"/>
      <c r="BJ74" s="302"/>
      <c r="BK74" s="302"/>
      <c r="BL74" s="302"/>
      <c r="BM74" s="303"/>
      <c r="BN74" s="307">
        <f>Z74-AJ74</f>
        <v>60</v>
      </c>
      <c r="BO74" s="308"/>
      <c r="BP74" s="308"/>
      <c r="BQ74" s="308"/>
      <c r="BR74" s="517"/>
      <c r="BS74" s="514"/>
      <c r="BT74" s="314"/>
      <c r="BU74" s="314"/>
      <c r="BV74" s="314"/>
      <c r="BW74" s="314"/>
      <c r="BX74" s="270">
        <v>4</v>
      </c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/>
      <c r="CY74" s="270"/>
      <c r="CZ74" s="270"/>
      <c r="DA74" s="270"/>
      <c r="DB74" s="270"/>
      <c r="DC74" s="270"/>
      <c r="DD74" s="270"/>
      <c r="DE74" s="270"/>
      <c r="DF74" s="533"/>
      <c r="DG74" s="757"/>
      <c r="DH74" s="270"/>
      <c r="DI74" s="270"/>
      <c r="DJ74" s="270"/>
      <c r="DK74" s="270"/>
      <c r="DL74" s="270">
        <v>4</v>
      </c>
      <c r="DM74" s="270"/>
      <c r="DN74" s="270"/>
      <c r="DO74" s="270"/>
      <c r="DP74" s="270"/>
      <c r="DQ74" s="270"/>
      <c r="DR74" s="270"/>
      <c r="DS74" s="270"/>
      <c r="DT74" s="270"/>
      <c r="DU74" s="270"/>
      <c r="DV74" s="270"/>
      <c r="DW74" s="270"/>
      <c r="DX74" s="270"/>
      <c r="DY74" s="270"/>
      <c r="DZ74" s="270"/>
      <c r="EA74" s="270"/>
      <c r="EB74" s="270"/>
      <c r="EC74" s="270"/>
      <c r="ED74" s="270"/>
      <c r="EE74" s="270"/>
      <c r="EF74" s="270"/>
      <c r="EG74" s="270"/>
      <c r="EH74" s="270"/>
      <c r="EI74" s="270"/>
      <c r="EJ74" s="270"/>
      <c r="EK74" s="270"/>
      <c r="EL74" s="270"/>
      <c r="EM74" s="270"/>
      <c r="EN74" s="270"/>
      <c r="EO74" s="270"/>
      <c r="EP74" s="270"/>
      <c r="EQ74" s="270"/>
      <c r="ER74" s="270"/>
      <c r="ES74" s="270"/>
      <c r="ET74" s="533"/>
      <c r="EU74" s="757">
        <f t="shared" ref="EU74" si="70">SUM(DG74:ET75)</f>
        <v>4</v>
      </c>
      <c r="EV74" s="269"/>
      <c r="EW74" s="269"/>
      <c r="EX74" s="270"/>
      <c r="EY74" s="533"/>
      <c r="EZ74" s="201" t="s">
        <v>256</v>
      </c>
      <c r="FD74" s="194"/>
      <c r="FE74" s="195"/>
      <c r="FF74" s="196"/>
    </row>
    <row r="75" spans="1:162" s="99" customFormat="1" ht="75" customHeight="1" x14ac:dyDescent="0.2">
      <c r="A75" s="752"/>
      <c r="B75" s="110" t="s">
        <v>317</v>
      </c>
      <c r="C75" s="271" t="s">
        <v>307</v>
      </c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310"/>
      <c r="AA75" s="311"/>
      <c r="AB75" s="311"/>
      <c r="AC75" s="311"/>
      <c r="AD75" s="312"/>
      <c r="AE75" s="449"/>
      <c r="AF75" s="450"/>
      <c r="AG75" s="450"/>
      <c r="AH75" s="450"/>
      <c r="AI75" s="451"/>
      <c r="AJ75" s="304"/>
      <c r="AK75" s="305"/>
      <c r="AL75" s="305"/>
      <c r="AM75" s="305"/>
      <c r="AN75" s="306"/>
      <c r="AO75" s="304"/>
      <c r="AP75" s="305"/>
      <c r="AQ75" s="305"/>
      <c r="AR75" s="305"/>
      <c r="AS75" s="306"/>
      <c r="AT75" s="304"/>
      <c r="AU75" s="305"/>
      <c r="AV75" s="305"/>
      <c r="AW75" s="305"/>
      <c r="AX75" s="306"/>
      <c r="AY75" s="304"/>
      <c r="AZ75" s="305"/>
      <c r="BA75" s="305"/>
      <c r="BB75" s="305"/>
      <c r="BC75" s="306"/>
      <c r="BD75" s="304"/>
      <c r="BE75" s="305"/>
      <c r="BF75" s="305"/>
      <c r="BG75" s="305"/>
      <c r="BH75" s="306"/>
      <c r="BI75" s="304"/>
      <c r="BJ75" s="305"/>
      <c r="BK75" s="305"/>
      <c r="BL75" s="305"/>
      <c r="BM75" s="306"/>
      <c r="BN75" s="310"/>
      <c r="BO75" s="311"/>
      <c r="BP75" s="311"/>
      <c r="BQ75" s="311"/>
      <c r="BR75" s="518"/>
      <c r="BS75" s="515"/>
      <c r="BT75" s="317"/>
      <c r="BU75" s="317"/>
      <c r="BV75" s="317"/>
      <c r="BW75" s="317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533"/>
      <c r="DG75" s="757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270"/>
      <c r="EB75" s="27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533"/>
      <c r="EU75" s="757">
        <f t="shared" ref="EU75" si="71">DG75+DL75+DQ75+DV75+EA75+EK75+EF75+EP75</f>
        <v>0</v>
      </c>
      <c r="EV75" s="269"/>
      <c r="EW75" s="269"/>
      <c r="EX75" s="270"/>
      <c r="EY75" s="533"/>
      <c r="FD75" s="194"/>
      <c r="FE75" s="195"/>
      <c r="FF75" s="196"/>
    </row>
    <row r="76" spans="1:162" s="99" customFormat="1" ht="75" customHeight="1" x14ac:dyDescent="0.2">
      <c r="A76" s="751" t="s">
        <v>312</v>
      </c>
      <c r="B76" s="110" t="s">
        <v>89</v>
      </c>
      <c r="C76" s="287" t="s">
        <v>137</v>
      </c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307">
        <f t="shared" ref="Z76" si="72">(DG76+DL76+DQ76+DV76+EA76+EF76+EK76+EP76)*30</f>
        <v>120</v>
      </c>
      <c r="AA76" s="308"/>
      <c r="AB76" s="308"/>
      <c r="AC76" s="308"/>
      <c r="AD76" s="309"/>
      <c r="AE76" s="446"/>
      <c r="AF76" s="447"/>
      <c r="AG76" s="447"/>
      <c r="AH76" s="447"/>
      <c r="AI76" s="448"/>
      <c r="AJ76" s="301">
        <f t="shared" ref="AJ76" si="73">SUM(AO76:BH77)</f>
        <v>48</v>
      </c>
      <c r="AK76" s="302"/>
      <c r="AL76" s="302"/>
      <c r="AM76" s="302"/>
      <c r="AN76" s="303"/>
      <c r="AO76" s="301">
        <v>16</v>
      </c>
      <c r="AP76" s="302"/>
      <c r="AQ76" s="302"/>
      <c r="AR76" s="302"/>
      <c r="AS76" s="303"/>
      <c r="AT76" s="301"/>
      <c r="AU76" s="302"/>
      <c r="AV76" s="302"/>
      <c r="AW76" s="302"/>
      <c r="AX76" s="303"/>
      <c r="AY76" s="301">
        <v>32</v>
      </c>
      <c r="AZ76" s="302"/>
      <c r="BA76" s="302"/>
      <c r="BB76" s="302"/>
      <c r="BC76" s="303"/>
      <c r="BD76" s="301"/>
      <c r="BE76" s="302"/>
      <c r="BF76" s="302"/>
      <c r="BG76" s="302"/>
      <c r="BH76" s="303"/>
      <c r="BI76" s="301"/>
      <c r="BJ76" s="302"/>
      <c r="BK76" s="302"/>
      <c r="BL76" s="302"/>
      <c r="BM76" s="303"/>
      <c r="BN76" s="307">
        <f>Z76-AJ76</f>
        <v>72</v>
      </c>
      <c r="BO76" s="308"/>
      <c r="BP76" s="308"/>
      <c r="BQ76" s="308"/>
      <c r="BR76" s="517"/>
      <c r="BS76" s="514">
        <v>4</v>
      </c>
      <c r="BT76" s="314"/>
      <c r="BU76" s="314"/>
      <c r="BV76" s="314"/>
      <c r="BW76" s="314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0"/>
      <c r="CV76" s="270"/>
      <c r="CW76" s="270"/>
      <c r="CX76" s="270"/>
      <c r="CY76" s="270"/>
      <c r="CZ76" s="270"/>
      <c r="DA76" s="270"/>
      <c r="DB76" s="270"/>
      <c r="DC76" s="270"/>
      <c r="DD76" s="270"/>
      <c r="DE76" s="270"/>
      <c r="DF76" s="533"/>
      <c r="DG76" s="757">
        <v>4</v>
      </c>
      <c r="DH76" s="270"/>
      <c r="DI76" s="270"/>
      <c r="DJ76" s="270"/>
      <c r="DK76" s="270"/>
      <c r="DL76" s="270"/>
      <c r="DM76" s="270"/>
      <c r="DN76" s="270"/>
      <c r="DO76" s="270"/>
      <c r="DP76" s="270"/>
      <c r="DQ76" s="270"/>
      <c r="DR76" s="270"/>
      <c r="DS76" s="270"/>
      <c r="DT76" s="270"/>
      <c r="DU76" s="270"/>
      <c r="DV76" s="270"/>
      <c r="DW76" s="270"/>
      <c r="DX76" s="270"/>
      <c r="DY76" s="270"/>
      <c r="DZ76" s="270"/>
      <c r="EA76" s="270"/>
      <c r="EB76" s="270"/>
      <c r="EC76" s="270"/>
      <c r="ED76" s="270"/>
      <c r="EE76" s="270"/>
      <c r="EF76" s="270"/>
      <c r="EG76" s="270"/>
      <c r="EH76" s="270"/>
      <c r="EI76" s="270"/>
      <c r="EJ76" s="270"/>
      <c r="EK76" s="270"/>
      <c r="EL76" s="270"/>
      <c r="EM76" s="270"/>
      <c r="EN76" s="270"/>
      <c r="EO76" s="270"/>
      <c r="EP76" s="270"/>
      <c r="EQ76" s="270"/>
      <c r="ER76" s="270"/>
      <c r="ES76" s="270"/>
      <c r="ET76" s="533"/>
      <c r="EU76" s="757">
        <f t="shared" ref="EU76" si="74">SUM(DG76:ET77)</f>
        <v>4</v>
      </c>
      <c r="EV76" s="269"/>
      <c r="EW76" s="269"/>
      <c r="EX76" s="270"/>
      <c r="EY76" s="533"/>
      <c r="EZ76" s="201" t="s">
        <v>256</v>
      </c>
      <c r="FD76" s="194"/>
      <c r="FE76" s="195"/>
      <c r="FF76" s="196"/>
    </row>
    <row r="77" spans="1:162" s="99" customFormat="1" ht="75" customHeight="1" x14ac:dyDescent="0.2">
      <c r="A77" s="752"/>
      <c r="B77" s="110" t="s">
        <v>334</v>
      </c>
      <c r="C77" s="271" t="s">
        <v>333</v>
      </c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310"/>
      <c r="AA77" s="311"/>
      <c r="AB77" s="311"/>
      <c r="AC77" s="311"/>
      <c r="AD77" s="312"/>
      <c r="AE77" s="449"/>
      <c r="AF77" s="450"/>
      <c r="AG77" s="450"/>
      <c r="AH77" s="450"/>
      <c r="AI77" s="451"/>
      <c r="AJ77" s="304"/>
      <c r="AK77" s="305"/>
      <c r="AL77" s="305"/>
      <c r="AM77" s="305"/>
      <c r="AN77" s="306"/>
      <c r="AO77" s="304"/>
      <c r="AP77" s="305"/>
      <c r="AQ77" s="305"/>
      <c r="AR77" s="305"/>
      <c r="AS77" s="306"/>
      <c r="AT77" s="304"/>
      <c r="AU77" s="305"/>
      <c r="AV77" s="305"/>
      <c r="AW77" s="305"/>
      <c r="AX77" s="306"/>
      <c r="AY77" s="304"/>
      <c r="AZ77" s="305"/>
      <c r="BA77" s="305"/>
      <c r="BB77" s="305"/>
      <c r="BC77" s="306"/>
      <c r="BD77" s="304"/>
      <c r="BE77" s="305"/>
      <c r="BF77" s="305"/>
      <c r="BG77" s="305"/>
      <c r="BH77" s="306"/>
      <c r="BI77" s="304"/>
      <c r="BJ77" s="305"/>
      <c r="BK77" s="305"/>
      <c r="BL77" s="305"/>
      <c r="BM77" s="306"/>
      <c r="BN77" s="310"/>
      <c r="BO77" s="311"/>
      <c r="BP77" s="311"/>
      <c r="BQ77" s="311"/>
      <c r="BR77" s="518"/>
      <c r="BS77" s="515"/>
      <c r="BT77" s="317"/>
      <c r="BU77" s="317"/>
      <c r="BV77" s="317"/>
      <c r="BW77" s="317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533"/>
      <c r="DG77" s="757"/>
      <c r="DH77" s="270"/>
      <c r="DI77" s="270"/>
      <c r="DJ77" s="270"/>
      <c r="DK77" s="270"/>
      <c r="DL77" s="270"/>
      <c r="DM77" s="270"/>
      <c r="DN77" s="270"/>
      <c r="DO77" s="270"/>
      <c r="DP77" s="270"/>
      <c r="DQ77" s="270"/>
      <c r="DR77" s="270"/>
      <c r="DS77" s="270"/>
      <c r="DT77" s="270"/>
      <c r="DU77" s="270"/>
      <c r="DV77" s="270"/>
      <c r="DW77" s="270"/>
      <c r="DX77" s="270"/>
      <c r="DY77" s="270"/>
      <c r="DZ77" s="270"/>
      <c r="EA77" s="270"/>
      <c r="EB77" s="270"/>
      <c r="EC77" s="270"/>
      <c r="ED77" s="270"/>
      <c r="EE77" s="270"/>
      <c r="EF77" s="270"/>
      <c r="EG77" s="270"/>
      <c r="EH77" s="270"/>
      <c r="EI77" s="270"/>
      <c r="EJ77" s="270"/>
      <c r="EK77" s="270"/>
      <c r="EL77" s="270"/>
      <c r="EM77" s="270"/>
      <c r="EN77" s="270"/>
      <c r="EO77" s="270"/>
      <c r="EP77" s="270"/>
      <c r="EQ77" s="270"/>
      <c r="ER77" s="270"/>
      <c r="ES77" s="270"/>
      <c r="ET77" s="533"/>
      <c r="EU77" s="757">
        <f t="shared" ref="EU77" si="75">DG77+DL77+DQ77+DV77+EA77+EK77+EF77+EP77</f>
        <v>0</v>
      </c>
      <c r="EV77" s="269"/>
      <c r="EW77" s="269"/>
      <c r="EX77" s="270"/>
      <c r="EY77" s="533"/>
      <c r="FD77" s="194"/>
      <c r="FE77" s="195"/>
      <c r="FF77" s="196"/>
    </row>
    <row r="78" spans="1:162" s="99" customFormat="1" ht="75" customHeight="1" x14ac:dyDescent="0.2">
      <c r="A78" s="751" t="s">
        <v>313</v>
      </c>
      <c r="B78" s="110" t="s">
        <v>318</v>
      </c>
      <c r="C78" s="271" t="s">
        <v>306</v>
      </c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307">
        <f t="shared" ref="Z78" si="76">(DG78+DL78+DQ78+DV78+EA78+EF78+EK78+EP78)*30</f>
        <v>60</v>
      </c>
      <c r="AA78" s="308"/>
      <c r="AB78" s="308"/>
      <c r="AC78" s="308"/>
      <c r="AD78" s="309"/>
      <c r="AE78" s="446"/>
      <c r="AF78" s="447"/>
      <c r="AG78" s="447"/>
      <c r="AH78" s="447"/>
      <c r="AI78" s="448"/>
      <c r="AJ78" s="301">
        <f t="shared" ref="AJ78" si="77">SUM(AO78:BH79)</f>
        <v>24</v>
      </c>
      <c r="AK78" s="302"/>
      <c r="AL78" s="302"/>
      <c r="AM78" s="302"/>
      <c r="AN78" s="303"/>
      <c r="AO78" s="301"/>
      <c r="AP78" s="302"/>
      <c r="AQ78" s="302"/>
      <c r="AR78" s="302"/>
      <c r="AS78" s="303"/>
      <c r="AT78" s="301">
        <v>24</v>
      </c>
      <c r="AU78" s="302"/>
      <c r="AV78" s="302"/>
      <c r="AW78" s="302"/>
      <c r="AX78" s="303"/>
      <c r="AY78" s="301"/>
      <c r="AZ78" s="302"/>
      <c r="BA78" s="302"/>
      <c r="BB78" s="302"/>
      <c r="BC78" s="303"/>
      <c r="BD78" s="301"/>
      <c r="BE78" s="302"/>
      <c r="BF78" s="302"/>
      <c r="BG78" s="302"/>
      <c r="BH78" s="303"/>
      <c r="BI78" s="301"/>
      <c r="BJ78" s="302"/>
      <c r="BK78" s="302"/>
      <c r="BL78" s="302"/>
      <c r="BM78" s="303"/>
      <c r="BN78" s="307">
        <f>Z78-AJ78</f>
        <v>36</v>
      </c>
      <c r="BO78" s="308"/>
      <c r="BP78" s="308"/>
      <c r="BQ78" s="308"/>
      <c r="BR78" s="517"/>
      <c r="BS78" s="514"/>
      <c r="BT78" s="314"/>
      <c r="BU78" s="314"/>
      <c r="BV78" s="314"/>
      <c r="BW78" s="314"/>
      <c r="BX78" s="270"/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0"/>
      <c r="CO78" s="270"/>
      <c r="CP78" s="270"/>
      <c r="CQ78" s="270"/>
      <c r="CR78" s="270"/>
      <c r="CS78" s="270"/>
      <c r="CT78" s="270"/>
      <c r="CU78" s="270"/>
      <c r="CV78" s="270"/>
      <c r="CW78" s="270">
        <v>2</v>
      </c>
      <c r="CX78" s="270"/>
      <c r="CY78" s="270"/>
      <c r="CZ78" s="270"/>
      <c r="DA78" s="270"/>
      <c r="DB78" s="270"/>
      <c r="DC78" s="270"/>
      <c r="DD78" s="270"/>
      <c r="DE78" s="270"/>
      <c r="DF78" s="533"/>
      <c r="DG78" s="757"/>
      <c r="DH78" s="270"/>
      <c r="DI78" s="270"/>
      <c r="DJ78" s="270"/>
      <c r="DK78" s="270"/>
      <c r="DL78" s="270"/>
      <c r="DM78" s="270"/>
      <c r="DN78" s="270"/>
      <c r="DO78" s="270"/>
      <c r="DP78" s="270"/>
      <c r="DQ78" s="270"/>
      <c r="DR78" s="270"/>
      <c r="DS78" s="270"/>
      <c r="DT78" s="270"/>
      <c r="DU78" s="270"/>
      <c r="DV78" s="270"/>
      <c r="DW78" s="270"/>
      <c r="DX78" s="270"/>
      <c r="DY78" s="270"/>
      <c r="DZ78" s="270"/>
      <c r="EA78" s="270"/>
      <c r="EB78" s="270"/>
      <c r="EC78" s="270"/>
      <c r="ED78" s="270"/>
      <c r="EE78" s="270"/>
      <c r="EF78" s="270"/>
      <c r="EG78" s="270"/>
      <c r="EH78" s="270"/>
      <c r="EI78" s="270"/>
      <c r="EJ78" s="270"/>
      <c r="EK78" s="270">
        <v>2</v>
      </c>
      <c r="EL78" s="270"/>
      <c r="EM78" s="270"/>
      <c r="EN78" s="270"/>
      <c r="EO78" s="270"/>
      <c r="EP78" s="270"/>
      <c r="EQ78" s="270"/>
      <c r="ER78" s="270"/>
      <c r="ES78" s="270"/>
      <c r="ET78" s="533"/>
      <c r="EU78" s="757">
        <f t="shared" ref="EU78" si="78">SUM(DG78:ET79)</f>
        <v>2</v>
      </c>
      <c r="EV78" s="269"/>
      <c r="EW78" s="269"/>
      <c r="EX78" s="270"/>
      <c r="EY78" s="533"/>
      <c r="FD78" s="194"/>
      <c r="FE78" s="195"/>
      <c r="FF78" s="196"/>
    </row>
    <row r="79" spans="1:162" s="99" customFormat="1" ht="75" customHeight="1" x14ac:dyDescent="0.2">
      <c r="A79" s="752"/>
      <c r="B79" s="110" t="s">
        <v>332</v>
      </c>
      <c r="C79" s="644" t="s">
        <v>331</v>
      </c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5"/>
      <c r="P79" s="645"/>
      <c r="Q79" s="645"/>
      <c r="R79" s="645"/>
      <c r="S79" s="645"/>
      <c r="T79" s="645"/>
      <c r="U79" s="645"/>
      <c r="V79" s="645"/>
      <c r="W79" s="645"/>
      <c r="X79" s="645"/>
      <c r="Y79" s="646"/>
      <c r="Z79" s="310"/>
      <c r="AA79" s="311"/>
      <c r="AB79" s="311"/>
      <c r="AC79" s="311"/>
      <c r="AD79" s="312"/>
      <c r="AE79" s="449"/>
      <c r="AF79" s="450"/>
      <c r="AG79" s="450"/>
      <c r="AH79" s="450"/>
      <c r="AI79" s="451"/>
      <c r="AJ79" s="304"/>
      <c r="AK79" s="305"/>
      <c r="AL79" s="305"/>
      <c r="AM79" s="305"/>
      <c r="AN79" s="306"/>
      <c r="AO79" s="304"/>
      <c r="AP79" s="305"/>
      <c r="AQ79" s="305"/>
      <c r="AR79" s="305"/>
      <c r="AS79" s="306"/>
      <c r="AT79" s="304"/>
      <c r="AU79" s="305"/>
      <c r="AV79" s="305"/>
      <c r="AW79" s="305"/>
      <c r="AX79" s="306"/>
      <c r="AY79" s="304"/>
      <c r="AZ79" s="305"/>
      <c r="BA79" s="305"/>
      <c r="BB79" s="305"/>
      <c r="BC79" s="306"/>
      <c r="BD79" s="304"/>
      <c r="BE79" s="305"/>
      <c r="BF79" s="305"/>
      <c r="BG79" s="305"/>
      <c r="BH79" s="306"/>
      <c r="BI79" s="304"/>
      <c r="BJ79" s="305"/>
      <c r="BK79" s="305"/>
      <c r="BL79" s="305"/>
      <c r="BM79" s="306"/>
      <c r="BN79" s="310"/>
      <c r="BO79" s="311"/>
      <c r="BP79" s="311"/>
      <c r="BQ79" s="311"/>
      <c r="BR79" s="518"/>
      <c r="BS79" s="515"/>
      <c r="BT79" s="317"/>
      <c r="BU79" s="317"/>
      <c r="BV79" s="317"/>
      <c r="BW79" s="317"/>
      <c r="BX79" s="270"/>
      <c r="BY79" s="270"/>
      <c r="BZ79" s="270"/>
      <c r="CA79" s="270"/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0"/>
      <c r="CV79" s="270"/>
      <c r="CW79" s="270"/>
      <c r="CX79" s="270"/>
      <c r="CY79" s="270"/>
      <c r="CZ79" s="270"/>
      <c r="DA79" s="270"/>
      <c r="DB79" s="270"/>
      <c r="DC79" s="270"/>
      <c r="DD79" s="270"/>
      <c r="DE79" s="270"/>
      <c r="DF79" s="533"/>
      <c r="DG79" s="757"/>
      <c r="DH79" s="270"/>
      <c r="DI79" s="270"/>
      <c r="DJ79" s="270"/>
      <c r="DK79" s="270"/>
      <c r="DL79" s="270"/>
      <c r="DM79" s="270"/>
      <c r="DN79" s="270"/>
      <c r="DO79" s="270"/>
      <c r="DP79" s="270"/>
      <c r="DQ79" s="270"/>
      <c r="DR79" s="270"/>
      <c r="DS79" s="270"/>
      <c r="DT79" s="270"/>
      <c r="DU79" s="270"/>
      <c r="DV79" s="270"/>
      <c r="DW79" s="270"/>
      <c r="DX79" s="270"/>
      <c r="DY79" s="270"/>
      <c r="DZ79" s="270"/>
      <c r="EA79" s="270"/>
      <c r="EB79" s="270"/>
      <c r="EC79" s="270"/>
      <c r="ED79" s="270"/>
      <c r="EE79" s="270"/>
      <c r="EF79" s="270"/>
      <c r="EG79" s="270"/>
      <c r="EH79" s="270"/>
      <c r="EI79" s="270"/>
      <c r="EJ79" s="270"/>
      <c r="EK79" s="270"/>
      <c r="EL79" s="270"/>
      <c r="EM79" s="270"/>
      <c r="EN79" s="270"/>
      <c r="EO79" s="270"/>
      <c r="EP79" s="270"/>
      <c r="EQ79" s="270"/>
      <c r="ER79" s="270"/>
      <c r="ES79" s="270"/>
      <c r="ET79" s="533"/>
      <c r="EU79" s="757">
        <f t="shared" ref="EU79" si="79">DG79+DL79+DQ79+DV79+EA79+EK79+EF79+EP79</f>
        <v>0</v>
      </c>
      <c r="EV79" s="269"/>
      <c r="EW79" s="269"/>
      <c r="EX79" s="270"/>
      <c r="EY79" s="533"/>
      <c r="FD79" s="194"/>
      <c r="FE79" s="195"/>
      <c r="FF79" s="196"/>
    </row>
    <row r="80" spans="1:162" s="99" customFormat="1" ht="75" customHeight="1" x14ac:dyDescent="0.2">
      <c r="A80" s="755" t="s">
        <v>314</v>
      </c>
      <c r="B80" s="106" t="s">
        <v>295</v>
      </c>
      <c r="C80" s="271" t="s">
        <v>292</v>
      </c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307">
        <f t="shared" ref="Z80" si="80">(DG80+DL80+DQ80+DV80+EA80+EF80+EK80+EP80)*30</f>
        <v>120</v>
      </c>
      <c r="AA80" s="308"/>
      <c r="AB80" s="308"/>
      <c r="AC80" s="308"/>
      <c r="AD80" s="309"/>
      <c r="AE80" s="446"/>
      <c r="AF80" s="447"/>
      <c r="AG80" s="447"/>
      <c r="AH80" s="447"/>
      <c r="AI80" s="448"/>
      <c r="AJ80" s="275">
        <f t="shared" ref="AJ80" si="81">SUM(AO80:BH81)</f>
        <v>48</v>
      </c>
      <c r="AK80" s="276"/>
      <c r="AL80" s="276"/>
      <c r="AM80" s="276"/>
      <c r="AN80" s="277"/>
      <c r="AO80" s="301">
        <v>32</v>
      </c>
      <c r="AP80" s="302"/>
      <c r="AQ80" s="302"/>
      <c r="AR80" s="302"/>
      <c r="AS80" s="303"/>
      <c r="AT80" s="301"/>
      <c r="AU80" s="302"/>
      <c r="AV80" s="302"/>
      <c r="AW80" s="302"/>
      <c r="AX80" s="303"/>
      <c r="AY80" s="301">
        <v>16</v>
      </c>
      <c r="AZ80" s="302"/>
      <c r="BA80" s="302"/>
      <c r="BB80" s="302"/>
      <c r="BC80" s="303"/>
      <c r="BD80" s="301"/>
      <c r="BE80" s="302"/>
      <c r="BF80" s="302"/>
      <c r="BG80" s="302"/>
      <c r="BH80" s="303"/>
      <c r="BI80" s="301"/>
      <c r="BJ80" s="302"/>
      <c r="BK80" s="302"/>
      <c r="BL80" s="302"/>
      <c r="BM80" s="303"/>
      <c r="BN80" s="281">
        <f>Z80-AJ80</f>
        <v>72</v>
      </c>
      <c r="BO80" s="282"/>
      <c r="BP80" s="282"/>
      <c r="BQ80" s="282"/>
      <c r="BR80" s="811"/>
      <c r="BS80" s="514"/>
      <c r="BT80" s="314"/>
      <c r="BU80" s="314"/>
      <c r="BV80" s="314"/>
      <c r="BW80" s="314"/>
      <c r="BX80" s="270"/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/>
      <c r="CO80" s="270"/>
      <c r="CP80" s="270"/>
      <c r="CQ80" s="270"/>
      <c r="CR80" s="270"/>
      <c r="CS80" s="270"/>
      <c r="CT80" s="270"/>
      <c r="CU80" s="270"/>
      <c r="CV80" s="270"/>
      <c r="CW80" s="270">
        <v>3</v>
      </c>
      <c r="CX80" s="270"/>
      <c r="CY80" s="270"/>
      <c r="CZ80" s="270"/>
      <c r="DA80" s="270"/>
      <c r="DB80" s="270"/>
      <c r="DC80" s="270"/>
      <c r="DD80" s="270"/>
      <c r="DE80" s="270"/>
      <c r="DF80" s="533"/>
      <c r="DG80" s="757"/>
      <c r="DH80" s="270"/>
      <c r="DI80" s="270"/>
      <c r="DJ80" s="270"/>
      <c r="DK80" s="270"/>
      <c r="DL80" s="270"/>
      <c r="DM80" s="270"/>
      <c r="DN80" s="270"/>
      <c r="DO80" s="270"/>
      <c r="DP80" s="270"/>
      <c r="DQ80" s="270"/>
      <c r="DR80" s="270"/>
      <c r="DS80" s="270"/>
      <c r="DT80" s="270"/>
      <c r="DU80" s="270"/>
      <c r="DV80" s="270"/>
      <c r="DW80" s="270"/>
      <c r="DX80" s="270"/>
      <c r="DY80" s="270"/>
      <c r="DZ80" s="270"/>
      <c r="EA80" s="270"/>
      <c r="EB80" s="270"/>
      <c r="EC80" s="270"/>
      <c r="ED80" s="270"/>
      <c r="EE80" s="270"/>
      <c r="EF80" s="270"/>
      <c r="EG80" s="270"/>
      <c r="EH80" s="270"/>
      <c r="EI80" s="270"/>
      <c r="EJ80" s="270"/>
      <c r="EK80" s="270">
        <v>4</v>
      </c>
      <c r="EL80" s="270"/>
      <c r="EM80" s="270"/>
      <c r="EN80" s="270"/>
      <c r="EO80" s="270"/>
      <c r="EP80" s="270"/>
      <c r="EQ80" s="270"/>
      <c r="ER80" s="270"/>
      <c r="ES80" s="270"/>
      <c r="ET80" s="533"/>
      <c r="EU80" s="757">
        <f t="shared" ref="EU80" si="82">SUM(DG80:ET81)</f>
        <v>4</v>
      </c>
      <c r="EV80" s="269"/>
      <c r="EW80" s="269"/>
      <c r="EX80" s="270"/>
      <c r="EY80" s="533"/>
      <c r="FD80" s="194"/>
      <c r="FE80" s="195"/>
      <c r="FF80" s="196"/>
    </row>
    <row r="81" spans="1:168" s="99" customFormat="1" ht="75" customHeight="1" x14ac:dyDescent="0.2">
      <c r="A81" s="756"/>
      <c r="B81" s="110" t="s">
        <v>325</v>
      </c>
      <c r="C81" s="271" t="s">
        <v>324</v>
      </c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310"/>
      <c r="AA81" s="311"/>
      <c r="AB81" s="311"/>
      <c r="AC81" s="311"/>
      <c r="AD81" s="312"/>
      <c r="AE81" s="449"/>
      <c r="AF81" s="450"/>
      <c r="AG81" s="450"/>
      <c r="AH81" s="450"/>
      <c r="AI81" s="451"/>
      <c r="AJ81" s="278"/>
      <c r="AK81" s="279"/>
      <c r="AL81" s="279"/>
      <c r="AM81" s="279"/>
      <c r="AN81" s="280"/>
      <c r="AO81" s="304"/>
      <c r="AP81" s="305"/>
      <c r="AQ81" s="305"/>
      <c r="AR81" s="305"/>
      <c r="AS81" s="306"/>
      <c r="AT81" s="304"/>
      <c r="AU81" s="305"/>
      <c r="AV81" s="305"/>
      <c r="AW81" s="305"/>
      <c r="AX81" s="306"/>
      <c r="AY81" s="304"/>
      <c r="AZ81" s="305"/>
      <c r="BA81" s="305"/>
      <c r="BB81" s="305"/>
      <c r="BC81" s="306"/>
      <c r="BD81" s="304"/>
      <c r="BE81" s="305"/>
      <c r="BF81" s="305"/>
      <c r="BG81" s="305"/>
      <c r="BH81" s="306"/>
      <c r="BI81" s="304"/>
      <c r="BJ81" s="305"/>
      <c r="BK81" s="305"/>
      <c r="BL81" s="305"/>
      <c r="BM81" s="306"/>
      <c r="BN81" s="284"/>
      <c r="BO81" s="285"/>
      <c r="BP81" s="285"/>
      <c r="BQ81" s="285"/>
      <c r="BR81" s="812"/>
      <c r="BS81" s="515"/>
      <c r="BT81" s="317"/>
      <c r="BU81" s="317"/>
      <c r="BV81" s="317"/>
      <c r="BW81" s="317"/>
      <c r="BX81" s="270"/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  <c r="DB81" s="270"/>
      <c r="DC81" s="270"/>
      <c r="DD81" s="270"/>
      <c r="DE81" s="270"/>
      <c r="DF81" s="533"/>
      <c r="DG81" s="757"/>
      <c r="DH81" s="270"/>
      <c r="DI81" s="270"/>
      <c r="DJ81" s="270"/>
      <c r="DK81" s="270"/>
      <c r="DL81" s="270"/>
      <c r="DM81" s="270"/>
      <c r="DN81" s="270"/>
      <c r="DO81" s="270"/>
      <c r="DP81" s="270"/>
      <c r="DQ81" s="270"/>
      <c r="DR81" s="270"/>
      <c r="DS81" s="270"/>
      <c r="DT81" s="270"/>
      <c r="DU81" s="270"/>
      <c r="DV81" s="270"/>
      <c r="DW81" s="270"/>
      <c r="DX81" s="270"/>
      <c r="DY81" s="270"/>
      <c r="DZ81" s="270"/>
      <c r="EA81" s="270"/>
      <c r="EB81" s="270"/>
      <c r="EC81" s="270"/>
      <c r="ED81" s="270"/>
      <c r="EE81" s="270"/>
      <c r="EF81" s="270"/>
      <c r="EG81" s="270"/>
      <c r="EH81" s="270"/>
      <c r="EI81" s="270"/>
      <c r="EJ81" s="270"/>
      <c r="EK81" s="270"/>
      <c r="EL81" s="270"/>
      <c r="EM81" s="270"/>
      <c r="EN81" s="270"/>
      <c r="EO81" s="270"/>
      <c r="EP81" s="270"/>
      <c r="EQ81" s="270"/>
      <c r="ER81" s="270"/>
      <c r="ES81" s="270"/>
      <c r="ET81" s="533"/>
      <c r="EU81" s="757">
        <f t="shared" ref="EU81" si="83">DG81+DL81+DQ81+DV81+EA81+EK81+EF81+EP81</f>
        <v>0</v>
      </c>
      <c r="EV81" s="269"/>
      <c r="EW81" s="269"/>
      <c r="EX81" s="270"/>
      <c r="EY81" s="533"/>
      <c r="FD81" s="194"/>
      <c r="FE81" s="195"/>
      <c r="FF81" s="196"/>
    </row>
    <row r="82" spans="1:168" s="99" customFormat="1" ht="120" customHeight="1" x14ac:dyDescent="0.2">
      <c r="A82" s="751" t="s">
        <v>315</v>
      </c>
      <c r="B82" s="108" t="s">
        <v>296</v>
      </c>
      <c r="C82" s="271" t="s">
        <v>321</v>
      </c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307">
        <f t="shared" ref="Z82" si="84">(DG82+DL82+DQ82+DV82+EA82+EF82+EK82+EP82)*30</f>
        <v>180</v>
      </c>
      <c r="AA82" s="308"/>
      <c r="AB82" s="308"/>
      <c r="AC82" s="308"/>
      <c r="AD82" s="309"/>
      <c r="AE82" s="446"/>
      <c r="AF82" s="447"/>
      <c r="AG82" s="447"/>
      <c r="AH82" s="447"/>
      <c r="AI82" s="448"/>
      <c r="AJ82" s="301">
        <f t="shared" ref="AJ82" si="85">SUM(AO82:BH83)</f>
        <v>72</v>
      </c>
      <c r="AK82" s="302"/>
      <c r="AL82" s="302"/>
      <c r="AM82" s="302"/>
      <c r="AN82" s="303"/>
      <c r="AO82" s="301"/>
      <c r="AP82" s="302"/>
      <c r="AQ82" s="302"/>
      <c r="AR82" s="302"/>
      <c r="AS82" s="303"/>
      <c r="AT82" s="301">
        <v>72</v>
      </c>
      <c r="AU82" s="302"/>
      <c r="AV82" s="302"/>
      <c r="AW82" s="302"/>
      <c r="AX82" s="303"/>
      <c r="AY82" s="301"/>
      <c r="AZ82" s="302"/>
      <c r="BA82" s="302"/>
      <c r="BB82" s="302"/>
      <c r="BC82" s="303"/>
      <c r="BD82" s="301"/>
      <c r="BE82" s="302"/>
      <c r="BF82" s="302"/>
      <c r="BG82" s="302"/>
      <c r="BH82" s="303"/>
      <c r="BI82" s="301"/>
      <c r="BJ82" s="302"/>
      <c r="BK82" s="302"/>
      <c r="BL82" s="302"/>
      <c r="BM82" s="303"/>
      <c r="BN82" s="307">
        <f>Z82-AJ82</f>
        <v>108</v>
      </c>
      <c r="BO82" s="308"/>
      <c r="BP82" s="308"/>
      <c r="BQ82" s="308"/>
      <c r="BR82" s="517"/>
      <c r="BS82" s="514"/>
      <c r="BT82" s="314"/>
      <c r="BU82" s="314"/>
      <c r="BV82" s="314"/>
      <c r="BW82" s="314"/>
      <c r="BX82" s="270"/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/>
      <c r="CU82" s="270"/>
      <c r="CV82" s="270"/>
      <c r="CW82" s="270"/>
      <c r="CX82" s="270"/>
      <c r="CY82" s="270"/>
      <c r="CZ82" s="270"/>
      <c r="DA82" s="270"/>
      <c r="DB82" s="270">
        <v>5</v>
      </c>
      <c r="DC82" s="270"/>
      <c r="DD82" s="270"/>
      <c r="DE82" s="270"/>
      <c r="DF82" s="533"/>
      <c r="DG82" s="757"/>
      <c r="DH82" s="270"/>
      <c r="DI82" s="270"/>
      <c r="DJ82" s="270"/>
      <c r="DK82" s="270"/>
      <c r="DL82" s="270"/>
      <c r="DM82" s="270"/>
      <c r="DN82" s="270"/>
      <c r="DO82" s="270"/>
      <c r="DP82" s="270"/>
      <c r="DQ82" s="270"/>
      <c r="DR82" s="270"/>
      <c r="DS82" s="270"/>
      <c r="DT82" s="270"/>
      <c r="DU82" s="270"/>
      <c r="DV82" s="270"/>
      <c r="DW82" s="270"/>
      <c r="DX82" s="270"/>
      <c r="DY82" s="270"/>
      <c r="DZ82" s="270"/>
      <c r="EA82" s="270"/>
      <c r="EB82" s="270"/>
      <c r="EC82" s="270"/>
      <c r="ED82" s="270"/>
      <c r="EE82" s="270"/>
      <c r="EF82" s="270"/>
      <c r="EG82" s="270"/>
      <c r="EH82" s="270"/>
      <c r="EI82" s="270"/>
      <c r="EJ82" s="270"/>
      <c r="EK82" s="270"/>
      <c r="EL82" s="270"/>
      <c r="EM82" s="270"/>
      <c r="EN82" s="270"/>
      <c r="EO82" s="270"/>
      <c r="EP82" s="270">
        <v>6</v>
      </c>
      <c r="EQ82" s="270"/>
      <c r="ER82" s="270"/>
      <c r="ES82" s="270"/>
      <c r="ET82" s="533"/>
      <c r="EU82" s="757">
        <f t="shared" ref="EU82" si="86">SUM(DG82:ET83)</f>
        <v>6</v>
      </c>
      <c r="EV82" s="269"/>
      <c r="EW82" s="269"/>
      <c r="EX82" s="270"/>
      <c r="EY82" s="533"/>
      <c r="FD82" s="194"/>
      <c r="FE82" s="195"/>
      <c r="FF82" s="196"/>
    </row>
    <row r="83" spans="1:168" s="99" customFormat="1" ht="75" customHeight="1" x14ac:dyDescent="0.2">
      <c r="A83" s="752"/>
      <c r="B83" s="110" t="s">
        <v>323</v>
      </c>
      <c r="C83" s="271" t="s">
        <v>322</v>
      </c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310"/>
      <c r="AA83" s="311"/>
      <c r="AB83" s="311"/>
      <c r="AC83" s="311"/>
      <c r="AD83" s="312"/>
      <c r="AE83" s="449"/>
      <c r="AF83" s="450"/>
      <c r="AG83" s="450"/>
      <c r="AH83" s="450"/>
      <c r="AI83" s="451"/>
      <c r="AJ83" s="304"/>
      <c r="AK83" s="305"/>
      <c r="AL83" s="305"/>
      <c r="AM83" s="305"/>
      <c r="AN83" s="306"/>
      <c r="AO83" s="304"/>
      <c r="AP83" s="305"/>
      <c r="AQ83" s="305"/>
      <c r="AR83" s="305"/>
      <c r="AS83" s="306"/>
      <c r="AT83" s="304"/>
      <c r="AU83" s="305"/>
      <c r="AV83" s="305"/>
      <c r="AW83" s="305"/>
      <c r="AX83" s="306"/>
      <c r="AY83" s="304"/>
      <c r="AZ83" s="305"/>
      <c r="BA83" s="305"/>
      <c r="BB83" s="305"/>
      <c r="BC83" s="306"/>
      <c r="BD83" s="304"/>
      <c r="BE83" s="305"/>
      <c r="BF83" s="305"/>
      <c r="BG83" s="305"/>
      <c r="BH83" s="306"/>
      <c r="BI83" s="304"/>
      <c r="BJ83" s="305"/>
      <c r="BK83" s="305"/>
      <c r="BL83" s="305"/>
      <c r="BM83" s="306"/>
      <c r="BN83" s="310"/>
      <c r="BO83" s="311"/>
      <c r="BP83" s="311"/>
      <c r="BQ83" s="311"/>
      <c r="BR83" s="518"/>
      <c r="BS83" s="515"/>
      <c r="BT83" s="317"/>
      <c r="BU83" s="317"/>
      <c r="BV83" s="317"/>
      <c r="BW83" s="317"/>
      <c r="BX83" s="270"/>
      <c r="BY83" s="270"/>
      <c r="BZ83" s="270"/>
      <c r="CA83" s="270"/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/>
      <c r="CX83" s="270"/>
      <c r="CY83" s="270"/>
      <c r="CZ83" s="270"/>
      <c r="DA83" s="270"/>
      <c r="DB83" s="270"/>
      <c r="DC83" s="270"/>
      <c r="DD83" s="270"/>
      <c r="DE83" s="270"/>
      <c r="DF83" s="533"/>
      <c r="DG83" s="757"/>
      <c r="DH83" s="270"/>
      <c r="DI83" s="270"/>
      <c r="DJ83" s="270"/>
      <c r="DK83" s="270"/>
      <c r="DL83" s="270"/>
      <c r="DM83" s="270"/>
      <c r="DN83" s="270"/>
      <c r="DO83" s="270"/>
      <c r="DP83" s="270"/>
      <c r="DQ83" s="270"/>
      <c r="DR83" s="270"/>
      <c r="DS83" s="270"/>
      <c r="DT83" s="270"/>
      <c r="DU83" s="270"/>
      <c r="DV83" s="270"/>
      <c r="DW83" s="270"/>
      <c r="DX83" s="270"/>
      <c r="DY83" s="270"/>
      <c r="DZ83" s="270"/>
      <c r="EA83" s="270"/>
      <c r="EB83" s="270"/>
      <c r="EC83" s="270"/>
      <c r="ED83" s="270"/>
      <c r="EE83" s="270"/>
      <c r="EF83" s="270"/>
      <c r="EG83" s="270"/>
      <c r="EH83" s="270"/>
      <c r="EI83" s="270"/>
      <c r="EJ83" s="270"/>
      <c r="EK83" s="270"/>
      <c r="EL83" s="270"/>
      <c r="EM83" s="270"/>
      <c r="EN83" s="270"/>
      <c r="EO83" s="270"/>
      <c r="EP83" s="270"/>
      <c r="EQ83" s="270"/>
      <c r="ER83" s="270"/>
      <c r="ES83" s="270"/>
      <c r="ET83" s="533"/>
      <c r="EU83" s="757">
        <f t="shared" ref="EU83" si="87">DG83+DL83+DQ83+DV83+EA83+EK83+EF83+EP83</f>
        <v>0</v>
      </c>
      <c r="EV83" s="269"/>
      <c r="EW83" s="269"/>
      <c r="EX83" s="270"/>
      <c r="EY83" s="533"/>
      <c r="FD83" s="194"/>
      <c r="FE83" s="195"/>
      <c r="FF83" s="196"/>
    </row>
    <row r="84" spans="1:168" s="99" customFormat="1" ht="75" customHeight="1" x14ac:dyDescent="0.2">
      <c r="A84" s="751" t="s">
        <v>335</v>
      </c>
      <c r="B84" s="110" t="s">
        <v>221</v>
      </c>
      <c r="C84" s="271" t="s">
        <v>220</v>
      </c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307">
        <f t="shared" ref="Z84" si="88">(DG84+DL84+DQ84+DV84+EA84+EF84+EK84+EP84)*30</f>
        <v>120</v>
      </c>
      <c r="AA84" s="308"/>
      <c r="AB84" s="308"/>
      <c r="AC84" s="308"/>
      <c r="AD84" s="309"/>
      <c r="AE84" s="446"/>
      <c r="AF84" s="447"/>
      <c r="AG84" s="447"/>
      <c r="AH84" s="447"/>
      <c r="AI84" s="448"/>
      <c r="AJ84" s="301">
        <f t="shared" ref="AJ84" si="89">SUM(AO84:BH85)</f>
        <v>48</v>
      </c>
      <c r="AK84" s="302"/>
      <c r="AL84" s="302"/>
      <c r="AM84" s="302"/>
      <c r="AN84" s="303"/>
      <c r="AO84" s="301"/>
      <c r="AP84" s="302"/>
      <c r="AQ84" s="302"/>
      <c r="AR84" s="302"/>
      <c r="AS84" s="303"/>
      <c r="AT84" s="301">
        <v>48</v>
      </c>
      <c r="AU84" s="302"/>
      <c r="AV84" s="302"/>
      <c r="AW84" s="302"/>
      <c r="AX84" s="303"/>
      <c r="AY84" s="301"/>
      <c r="AZ84" s="302"/>
      <c r="BA84" s="302"/>
      <c r="BB84" s="302"/>
      <c r="BC84" s="303"/>
      <c r="BD84" s="301"/>
      <c r="BE84" s="302"/>
      <c r="BF84" s="302"/>
      <c r="BG84" s="302"/>
      <c r="BH84" s="303"/>
      <c r="BI84" s="301"/>
      <c r="BJ84" s="302"/>
      <c r="BK84" s="302"/>
      <c r="BL84" s="302"/>
      <c r="BM84" s="303"/>
      <c r="BN84" s="307">
        <f>Z84-AJ84</f>
        <v>72</v>
      </c>
      <c r="BO84" s="308"/>
      <c r="BP84" s="308"/>
      <c r="BQ84" s="308"/>
      <c r="BR84" s="517"/>
      <c r="BS84" s="514"/>
      <c r="BT84" s="314"/>
      <c r="BU84" s="314"/>
      <c r="BV84" s="314"/>
      <c r="BW84" s="314"/>
      <c r="BX84" s="270"/>
      <c r="BY84" s="270"/>
      <c r="BZ84" s="270"/>
      <c r="CA84" s="270"/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0"/>
      <c r="CV84" s="270"/>
      <c r="CW84" s="270"/>
      <c r="CX84" s="270"/>
      <c r="CY84" s="270"/>
      <c r="CZ84" s="270"/>
      <c r="DA84" s="270"/>
      <c r="DB84" s="270">
        <v>3</v>
      </c>
      <c r="DC84" s="270"/>
      <c r="DD84" s="270"/>
      <c r="DE84" s="270"/>
      <c r="DF84" s="533"/>
      <c r="DG84" s="757"/>
      <c r="DH84" s="270"/>
      <c r="DI84" s="270"/>
      <c r="DJ84" s="270"/>
      <c r="DK84" s="270"/>
      <c r="DL84" s="270"/>
      <c r="DM84" s="270"/>
      <c r="DN84" s="270"/>
      <c r="DO84" s="270"/>
      <c r="DP84" s="270"/>
      <c r="DQ84" s="270"/>
      <c r="DR84" s="270"/>
      <c r="DS84" s="270"/>
      <c r="DT84" s="270"/>
      <c r="DU84" s="270"/>
      <c r="DV84" s="270"/>
      <c r="DW84" s="270"/>
      <c r="DX84" s="270"/>
      <c r="DY84" s="270"/>
      <c r="DZ84" s="270"/>
      <c r="EA84" s="270"/>
      <c r="EB84" s="270"/>
      <c r="EC84" s="270"/>
      <c r="ED84" s="270"/>
      <c r="EE84" s="270"/>
      <c r="EF84" s="270"/>
      <c r="EG84" s="270"/>
      <c r="EH84" s="270"/>
      <c r="EI84" s="270"/>
      <c r="EJ84" s="270"/>
      <c r="EK84" s="270"/>
      <c r="EL84" s="270"/>
      <c r="EM84" s="270"/>
      <c r="EN84" s="270"/>
      <c r="EO84" s="270"/>
      <c r="EP84" s="270">
        <v>4</v>
      </c>
      <c r="EQ84" s="270"/>
      <c r="ER84" s="270"/>
      <c r="ES84" s="270"/>
      <c r="ET84" s="533"/>
      <c r="EU84" s="757">
        <f t="shared" ref="EU84" si="90">SUM(DG84:ET85)</f>
        <v>4</v>
      </c>
      <c r="EV84" s="269"/>
      <c r="EW84" s="269"/>
      <c r="EX84" s="270"/>
      <c r="EY84" s="533"/>
      <c r="FD84" s="194"/>
      <c r="FE84" s="195"/>
      <c r="FF84" s="196"/>
    </row>
    <row r="85" spans="1:168" s="99" customFormat="1" ht="75" customHeight="1" x14ac:dyDescent="0.2">
      <c r="A85" s="752"/>
      <c r="B85" s="110" t="s">
        <v>223</v>
      </c>
      <c r="C85" s="271" t="s">
        <v>222</v>
      </c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310"/>
      <c r="AA85" s="311"/>
      <c r="AB85" s="311"/>
      <c r="AC85" s="311"/>
      <c r="AD85" s="312"/>
      <c r="AE85" s="449"/>
      <c r="AF85" s="450"/>
      <c r="AG85" s="450"/>
      <c r="AH85" s="450"/>
      <c r="AI85" s="451"/>
      <c r="AJ85" s="304"/>
      <c r="AK85" s="305"/>
      <c r="AL85" s="305"/>
      <c r="AM85" s="305"/>
      <c r="AN85" s="306"/>
      <c r="AO85" s="304"/>
      <c r="AP85" s="305"/>
      <c r="AQ85" s="305"/>
      <c r="AR85" s="305"/>
      <c r="AS85" s="306"/>
      <c r="AT85" s="304"/>
      <c r="AU85" s="305"/>
      <c r="AV85" s="305"/>
      <c r="AW85" s="305"/>
      <c r="AX85" s="306"/>
      <c r="AY85" s="304"/>
      <c r="AZ85" s="305"/>
      <c r="BA85" s="305"/>
      <c r="BB85" s="305"/>
      <c r="BC85" s="306"/>
      <c r="BD85" s="304"/>
      <c r="BE85" s="305"/>
      <c r="BF85" s="305"/>
      <c r="BG85" s="305"/>
      <c r="BH85" s="306"/>
      <c r="BI85" s="304"/>
      <c r="BJ85" s="305"/>
      <c r="BK85" s="305"/>
      <c r="BL85" s="305"/>
      <c r="BM85" s="306"/>
      <c r="BN85" s="310"/>
      <c r="BO85" s="311"/>
      <c r="BP85" s="311"/>
      <c r="BQ85" s="311"/>
      <c r="BR85" s="518"/>
      <c r="BS85" s="515"/>
      <c r="BT85" s="317"/>
      <c r="BU85" s="317"/>
      <c r="BV85" s="317"/>
      <c r="BW85" s="317"/>
      <c r="BX85" s="270"/>
      <c r="BY85" s="270"/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/>
      <c r="CR85" s="270"/>
      <c r="CS85" s="270"/>
      <c r="CT85" s="270"/>
      <c r="CU85" s="270"/>
      <c r="CV85" s="270"/>
      <c r="CW85" s="270"/>
      <c r="CX85" s="270"/>
      <c r="CY85" s="270"/>
      <c r="CZ85" s="270"/>
      <c r="DA85" s="270"/>
      <c r="DB85" s="270"/>
      <c r="DC85" s="270"/>
      <c r="DD85" s="270"/>
      <c r="DE85" s="270"/>
      <c r="DF85" s="533"/>
      <c r="DG85" s="757"/>
      <c r="DH85" s="270"/>
      <c r="DI85" s="270"/>
      <c r="DJ85" s="270"/>
      <c r="DK85" s="270"/>
      <c r="DL85" s="270"/>
      <c r="DM85" s="270"/>
      <c r="DN85" s="270"/>
      <c r="DO85" s="270"/>
      <c r="DP85" s="270"/>
      <c r="DQ85" s="270"/>
      <c r="DR85" s="270"/>
      <c r="DS85" s="270"/>
      <c r="DT85" s="270"/>
      <c r="DU85" s="270"/>
      <c r="DV85" s="270"/>
      <c r="DW85" s="270"/>
      <c r="DX85" s="270"/>
      <c r="DY85" s="270"/>
      <c r="DZ85" s="270"/>
      <c r="EA85" s="270"/>
      <c r="EB85" s="270"/>
      <c r="EC85" s="270"/>
      <c r="ED85" s="270"/>
      <c r="EE85" s="270"/>
      <c r="EF85" s="270"/>
      <c r="EG85" s="270"/>
      <c r="EH85" s="270"/>
      <c r="EI85" s="270"/>
      <c r="EJ85" s="270"/>
      <c r="EK85" s="270"/>
      <c r="EL85" s="270"/>
      <c r="EM85" s="270"/>
      <c r="EN85" s="270"/>
      <c r="EO85" s="270"/>
      <c r="EP85" s="270"/>
      <c r="EQ85" s="270"/>
      <c r="ER85" s="270"/>
      <c r="ES85" s="270"/>
      <c r="ET85" s="533"/>
      <c r="EU85" s="757">
        <f t="shared" ref="EU85" si="91">DG85+DL85+DQ85+DV85+EA85+EK85+EF85+EP85</f>
        <v>0</v>
      </c>
      <c r="EV85" s="269"/>
      <c r="EW85" s="269"/>
      <c r="EX85" s="270"/>
      <c r="EY85" s="533"/>
      <c r="FD85" s="194"/>
      <c r="FE85" s="195"/>
      <c r="FF85" s="196"/>
    </row>
    <row r="86" spans="1:168" s="99" customFormat="1" ht="75" customHeight="1" x14ac:dyDescent="0.2">
      <c r="A86" s="751" t="s">
        <v>336</v>
      </c>
      <c r="B86" s="110" t="s">
        <v>225</v>
      </c>
      <c r="C86" s="271" t="s">
        <v>224</v>
      </c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307">
        <f t="shared" ref="Z86" si="92">(DG86+DL86+DQ86+DV86+EA86+EF86+EK86+EP86)*30</f>
        <v>120</v>
      </c>
      <c r="AA86" s="308"/>
      <c r="AB86" s="308"/>
      <c r="AC86" s="308"/>
      <c r="AD86" s="309"/>
      <c r="AE86" s="446"/>
      <c r="AF86" s="447"/>
      <c r="AG86" s="447"/>
      <c r="AH86" s="447"/>
      <c r="AI86" s="448"/>
      <c r="AJ86" s="301">
        <f t="shared" ref="AJ86" si="93">SUM(AO86:BH87)</f>
        <v>48</v>
      </c>
      <c r="AK86" s="302"/>
      <c r="AL86" s="302"/>
      <c r="AM86" s="302"/>
      <c r="AN86" s="303"/>
      <c r="AO86" s="301">
        <v>24</v>
      </c>
      <c r="AP86" s="302"/>
      <c r="AQ86" s="302"/>
      <c r="AR86" s="302"/>
      <c r="AS86" s="303"/>
      <c r="AT86" s="301">
        <v>24</v>
      </c>
      <c r="AU86" s="302"/>
      <c r="AV86" s="302"/>
      <c r="AW86" s="302"/>
      <c r="AX86" s="303"/>
      <c r="AY86" s="301"/>
      <c r="AZ86" s="302"/>
      <c r="BA86" s="302"/>
      <c r="BB86" s="302"/>
      <c r="BC86" s="303"/>
      <c r="BD86" s="301"/>
      <c r="BE86" s="302"/>
      <c r="BF86" s="302"/>
      <c r="BG86" s="302"/>
      <c r="BH86" s="303"/>
      <c r="BI86" s="301"/>
      <c r="BJ86" s="302"/>
      <c r="BK86" s="302"/>
      <c r="BL86" s="302"/>
      <c r="BM86" s="303"/>
      <c r="BN86" s="307">
        <f>Z86-AJ86</f>
        <v>72</v>
      </c>
      <c r="BO86" s="308"/>
      <c r="BP86" s="308"/>
      <c r="BQ86" s="308"/>
      <c r="BR86" s="517"/>
      <c r="BS86" s="514"/>
      <c r="BT86" s="314"/>
      <c r="BU86" s="314"/>
      <c r="BV86" s="314"/>
      <c r="BW86" s="314"/>
      <c r="BX86" s="270"/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/>
      <c r="CO86" s="270"/>
      <c r="CP86" s="270"/>
      <c r="CQ86" s="270"/>
      <c r="CR86" s="270"/>
      <c r="CS86" s="270"/>
      <c r="CT86" s="270"/>
      <c r="CU86" s="270"/>
      <c r="CV86" s="270"/>
      <c r="CW86" s="270">
        <v>3</v>
      </c>
      <c r="CX86" s="270"/>
      <c r="CY86" s="270"/>
      <c r="CZ86" s="270"/>
      <c r="DA86" s="270"/>
      <c r="DB86" s="270"/>
      <c r="DC86" s="270"/>
      <c r="DD86" s="270"/>
      <c r="DE86" s="270"/>
      <c r="DF86" s="533"/>
      <c r="DG86" s="757"/>
      <c r="DH86" s="270"/>
      <c r="DI86" s="270"/>
      <c r="DJ86" s="270"/>
      <c r="DK86" s="270"/>
      <c r="DL86" s="270"/>
      <c r="DM86" s="270"/>
      <c r="DN86" s="270"/>
      <c r="DO86" s="270"/>
      <c r="DP86" s="270"/>
      <c r="DQ86" s="270"/>
      <c r="DR86" s="270"/>
      <c r="DS86" s="270"/>
      <c r="DT86" s="270"/>
      <c r="DU86" s="270"/>
      <c r="DV86" s="270"/>
      <c r="DW86" s="270"/>
      <c r="DX86" s="270"/>
      <c r="DY86" s="270"/>
      <c r="DZ86" s="270"/>
      <c r="EA86" s="270"/>
      <c r="EB86" s="270"/>
      <c r="EC86" s="270"/>
      <c r="ED86" s="270"/>
      <c r="EE86" s="270"/>
      <c r="EF86" s="270"/>
      <c r="EG86" s="270"/>
      <c r="EH86" s="270"/>
      <c r="EI86" s="270"/>
      <c r="EJ86" s="270"/>
      <c r="EK86" s="270">
        <v>4</v>
      </c>
      <c r="EL86" s="270"/>
      <c r="EM86" s="270"/>
      <c r="EN86" s="270"/>
      <c r="EO86" s="270"/>
      <c r="EP86" s="270"/>
      <c r="EQ86" s="270"/>
      <c r="ER86" s="270"/>
      <c r="ES86" s="270"/>
      <c r="ET86" s="533"/>
      <c r="EU86" s="757">
        <f t="shared" ref="EU86" si="94">SUM(DG86:ET87)</f>
        <v>4</v>
      </c>
      <c r="EV86" s="269"/>
      <c r="EW86" s="269"/>
      <c r="EX86" s="270"/>
      <c r="EY86" s="533"/>
      <c r="FD86" s="194"/>
      <c r="FE86" s="195"/>
      <c r="FF86" s="196"/>
    </row>
    <row r="87" spans="1:168" s="99" customFormat="1" ht="75" customHeight="1" x14ac:dyDescent="0.2">
      <c r="A87" s="752"/>
      <c r="B87" s="110" t="s">
        <v>223</v>
      </c>
      <c r="C87" s="271" t="s">
        <v>226</v>
      </c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310"/>
      <c r="AA87" s="311"/>
      <c r="AB87" s="311"/>
      <c r="AC87" s="311"/>
      <c r="AD87" s="312"/>
      <c r="AE87" s="449"/>
      <c r="AF87" s="450"/>
      <c r="AG87" s="450"/>
      <c r="AH87" s="450"/>
      <c r="AI87" s="451"/>
      <c r="AJ87" s="304"/>
      <c r="AK87" s="305"/>
      <c r="AL87" s="305"/>
      <c r="AM87" s="305"/>
      <c r="AN87" s="306"/>
      <c r="AO87" s="304"/>
      <c r="AP87" s="305"/>
      <c r="AQ87" s="305"/>
      <c r="AR87" s="305"/>
      <c r="AS87" s="306"/>
      <c r="AT87" s="304"/>
      <c r="AU87" s="305"/>
      <c r="AV87" s="305"/>
      <c r="AW87" s="305"/>
      <c r="AX87" s="306"/>
      <c r="AY87" s="304"/>
      <c r="AZ87" s="305"/>
      <c r="BA87" s="305"/>
      <c r="BB87" s="305"/>
      <c r="BC87" s="306"/>
      <c r="BD87" s="304"/>
      <c r="BE87" s="305"/>
      <c r="BF87" s="305"/>
      <c r="BG87" s="305"/>
      <c r="BH87" s="306"/>
      <c r="BI87" s="304"/>
      <c r="BJ87" s="305"/>
      <c r="BK87" s="305"/>
      <c r="BL87" s="305"/>
      <c r="BM87" s="306"/>
      <c r="BN87" s="310"/>
      <c r="BO87" s="311"/>
      <c r="BP87" s="311"/>
      <c r="BQ87" s="311"/>
      <c r="BR87" s="518"/>
      <c r="BS87" s="515"/>
      <c r="BT87" s="317"/>
      <c r="BU87" s="317"/>
      <c r="BV87" s="317"/>
      <c r="BW87" s="317"/>
      <c r="BX87" s="270"/>
      <c r="BY87" s="270"/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  <c r="DB87" s="270"/>
      <c r="DC87" s="270"/>
      <c r="DD87" s="270"/>
      <c r="DE87" s="270"/>
      <c r="DF87" s="533"/>
      <c r="DG87" s="757"/>
      <c r="DH87" s="270"/>
      <c r="DI87" s="270"/>
      <c r="DJ87" s="270"/>
      <c r="DK87" s="270"/>
      <c r="DL87" s="270"/>
      <c r="DM87" s="270"/>
      <c r="DN87" s="270"/>
      <c r="DO87" s="270"/>
      <c r="DP87" s="270"/>
      <c r="DQ87" s="270"/>
      <c r="DR87" s="270"/>
      <c r="DS87" s="270"/>
      <c r="DT87" s="270"/>
      <c r="DU87" s="270"/>
      <c r="DV87" s="270"/>
      <c r="DW87" s="270"/>
      <c r="DX87" s="270"/>
      <c r="DY87" s="270"/>
      <c r="DZ87" s="270"/>
      <c r="EA87" s="270"/>
      <c r="EB87" s="270"/>
      <c r="EC87" s="270"/>
      <c r="ED87" s="270"/>
      <c r="EE87" s="270"/>
      <c r="EF87" s="270"/>
      <c r="EG87" s="270"/>
      <c r="EH87" s="270"/>
      <c r="EI87" s="270"/>
      <c r="EJ87" s="270"/>
      <c r="EK87" s="270"/>
      <c r="EL87" s="270"/>
      <c r="EM87" s="270"/>
      <c r="EN87" s="270"/>
      <c r="EO87" s="270"/>
      <c r="EP87" s="270"/>
      <c r="EQ87" s="270"/>
      <c r="ER87" s="270"/>
      <c r="ES87" s="270"/>
      <c r="ET87" s="533"/>
      <c r="EU87" s="757">
        <f t="shared" ref="EU87" si="95">DG87+DL87+DQ87+DV87+EA87+EK87+EF87+EP87</f>
        <v>0</v>
      </c>
      <c r="EV87" s="269"/>
      <c r="EW87" s="269"/>
      <c r="EX87" s="270"/>
      <c r="EY87" s="533"/>
      <c r="FD87" s="194"/>
      <c r="FE87" s="195"/>
      <c r="FF87" s="196"/>
    </row>
    <row r="88" spans="1:168" s="99" customFormat="1" ht="75" customHeight="1" x14ac:dyDescent="0.2">
      <c r="A88" s="751" t="s">
        <v>337</v>
      </c>
      <c r="B88" s="110" t="s">
        <v>228</v>
      </c>
      <c r="C88" s="271" t="s">
        <v>227</v>
      </c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307">
        <f t="shared" ref="Z88" si="96">(DG88+DL88+DQ88+DV88+EA88+EF88+EK88+EP88)*30</f>
        <v>120</v>
      </c>
      <c r="AA88" s="308"/>
      <c r="AB88" s="308"/>
      <c r="AC88" s="308"/>
      <c r="AD88" s="309"/>
      <c r="AE88" s="446"/>
      <c r="AF88" s="447"/>
      <c r="AG88" s="447"/>
      <c r="AH88" s="447"/>
      <c r="AI88" s="448"/>
      <c r="AJ88" s="301">
        <f t="shared" ref="AJ88" si="97">SUM(AO88:BH89)</f>
        <v>48</v>
      </c>
      <c r="AK88" s="302"/>
      <c r="AL88" s="302"/>
      <c r="AM88" s="302"/>
      <c r="AN88" s="303"/>
      <c r="AO88" s="301">
        <v>24</v>
      </c>
      <c r="AP88" s="302"/>
      <c r="AQ88" s="302"/>
      <c r="AR88" s="302"/>
      <c r="AS88" s="303"/>
      <c r="AT88" s="301">
        <v>24</v>
      </c>
      <c r="AU88" s="302"/>
      <c r="AV88" s="302"/>
      <c r="AW88" s="302"/>
      <c r="AX88" s="303"/>
      <c r="AY88" s="301"/>
      <c r="AZ88" s="302"/>
      <c r="BA88" s="302"/>
      <c r="BB88" s="302"/>
      <c r="BC88" s="303"/>
      <c r="BD88" s="301"/>
      <c r="BE88" s="302"/>
      <c r="BF88" s="302"/>
      <c r="BG88" s="302"/>
      <c r="BH88" s="303"/>
      <c r="BI88" s="301"/>
      <c r="BJ88" s="302"/>
      <c r="BK88" s="302"/>
      <c r="BL88" s="302"/>
      <c r="BM88" s="303"/>
      <c r="BN88" s="307">
        <f>Z88-AJ88</f>
        <v>72</v>
      </c>
      <c r="BO88" s="308"/>
      <c r="BP88" s="308"/>
      <c r="BQ88" s="308"/>
      <c r="BR88" s="517"/>
      <c r="BS88" s="514"/>
      <c r="BT88" s="314"/>
      <c r="BU88" s="314"/>
      <c r="BV88" s="314"/>
      <c r="BW88" s="314"/>
      <c r="BX88" s="270"/>
      <c r="BY88" s="270"/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0"/>
      <c r="CL88" s="270"/>
      <c r="CM88" s="270"/>
      <c r="CN88" s="270"/>
      <c r="CO88" s="270"/>
      <c r="CP88" s="270"/>
      <c r="CQ88" s="270"/>
      <c r="CR88" s="270"/>
      <c r="CS88" s="270"/>
      <c r="CT88" s="270"/>
      <c r="CU88" s="270"/>
      <c r="CV88" s="270"/>
      <c r="CW88" s="270"/>
      <c r="CX88" s="270"/>
      <c r="CY88" s="270"/>
      <c r="CZ88" s="270"/>
      <c r="DA88" s="270"/>
      <c r="DB88" s="270">
        <v>3</v>
      </c>
      <c r="DC88" s="270"/>
      <c r="DD88" s="270"/>
      <c r="DE88" s="270"/>
      <c r="DF88" s="533"/>
      <c r="DG88" s="757"/>
      <c r="DH88" s="270"/>
      <c r="DI88" s="270"/>
      <c r="DJ88" s="270"/>
      <c r="DK88" s="270"/>
      <c r="DL88" s="270"/>
      <c r="DM88" s="270"/>
      <c r="DN88" s="270"/>
      <c r="DO88" s="270"/>
      <c r="DP88" s="270"/>
      <c r="DQ88" s="270"/>
      <c r="DR88" s="270"/>
      <c r="DS88" s="270"/>
      <c r="DT88" s="270"/>
      <c r="DU88" s="270"/>
      <c r="DV88" s="270"/>
      <c r="DW88" s="270"/>
      <c r="DX88" s="270"/>
      <c r="DY88" s="270"/>
      <c r="DZ88" s="270"/>
      <c r="EA88" s="270"/>
      <c r="EB88" s="270"/>
      <c r="EC88" s="270"/>
      <c r="ED88" s="270"/>
      <c r="EE88" s="270"/>
      <c r="EF88" s="270"/>
      <c r="EG88" s="270"/>
      <c r="EH88" s="270"/>
      <c r="EI88" s="270"/>
      <c r="EJ88" s="270"/>
      <c r="EK88" s="270"/>
      <c r="EL88" s="270"/>
      <c r="EM88" s="270"/>
      <c r="EN88" s="270"/>
      <c r="EO88" s="270"/>
      <c r="EP88" s="270">
        <v>4</v>
      </c>
      <c r="EQ88" s="270"/>
      <c r="ER88" s="270"/>
      <c r="ES88" s="270"/>
      <c r="ET88" s="533"/>
      <c r="EU88" s="757">
        <f t="shared" ref="EU88" si="98">SUM(DG88:ET89)</f>
        <v>4</v>
      </c>
      <c r="EV88" s="269"/>
      <c r="EW88" s="269"/>
      <c r="EX88" s="270"/>
      <c r="EY88" s="533"/>
      <c r="FD88" s="194"/>
      <c r="FE88" s="195"/>
      <c r="FF88" s="196"/>
    </row>
    <row r="89" spans="1:168" s="99" customFormat="1" ht="75" customHeight="1" x14ac:dyDescent="0.2">
      <c r="A89" s="752"/>
      <c r="B89" s="110" t="s">
        <v>230</v>
      </c>
      <c r="C89" s="271" t="s">
        <v>229</v>
      </c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310"/>
      <c r="AA89" s="311"/>
      <c r="AB89" s="311"/>
      <c r="AC89" s="311"/>
      <c r="AD89" s="312"/>
      <c r="AE89" s="449"/>
      <c r="AF89" s="450"/>
      <c r="AG89" s="450"/>
      <c r="AH89" s="450"/>
      <c r="AI89" s="451"/>
      <c r="AJ89" s="304"/>
      <c r="AK89" s="305"/>
      <c r="AL89" s="305"/>
      <c r="AM89" s="305"/>
      <c r="AN89" s="306"/>
      <c r="AO89" s="304"/>
      <c r="AP89" s="305"/>
      <c r="AQ89" s="305"/>
      <c r="AR89" s="305"/>
      <c r="AS89" s="306"/>
      <c r="AT89" s="304"/>
      <c r="AU89" s="305"/>
      <c r="AV89" s="305"/>
      <c r="AW89" s="305"/>
      <c r="AX89" s="306"/>
      <c r="AY89" s="304"/>
      <c r="AZ89" s="305"/>
      <c r="BA89" s="305"/>
      <c r="BB89" s="305"/>
      <c r="BC89" s="306"/>
      <c r="BD89" s="304"/>
      <c r="BE89" s="305"/>
      <c r="BF89" s="305"/>
      <c r="BG89" s="305"/>
      <c r="BH89" s="306"/>
      <c r="BI89" s="304"/>
      <c r="BJ89" s="305"/>
      <c r="BK89" s="305"/>
      <c r="BL89" s="305"/>
      <c r="BM89" s="306"/>
      <c r="BN89" s="310"/>
      <c r="BO89" s="311"/>
      <c r="BP89" s="311"/>
      <c r="BQ89" s="311"/>
      <c r="BR89" s="518"/>
      <c r="BS89" s="515"/>
      <c r="BT89" s="317"/>
      <c r="BU89" s="317"/>
      <c r="BV89" s="317"/>
      <c r="BW89" s="317"/>
      <c r="BX89" s="270"/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  <c r="CU89" s="270"/>
      <c r="CV89" s="270"/>
      <c r="CW89" s="270"/>
      <c r="CX89" s="270"/>
      <c r="CY89" s="270"/>
      <c r="CZ89" s="270"/>
      <c r="DA89" s="270"/>
      <c r="DB89" s="270"/>
      <c r="DC89" s="270"/>
      <c r="DD89" s="270"/>
      <c r="DE89" s="270"/>
      <c r="DF89" s="533"/>
      <c r="DG89" s="757"/>
      <c r="DH89" s="270"/>
      <c r="DI89" s="270"/>
      <c r="DJ89" s="270"/>
      <c r="DK89" s="270"/>
      <c r="DL89" s="270"/>
      <c r="DM89" s="270"/>
      <c r="DN89" s="270"/>
      <c r="DO89" s="270"/>
      <c r="DP89" s="270"/>
      <c r="DQ89" s="270"/>
      <c r="DR89" s="270"/>
      <c r="DS89" s="270"/>
      <c r="DT89" s="270"/>
      <c r="DU89" s="270"/>
      <c r="DV89" s="270"/>
      <c r="DW89" s="270"/>
      <c r="DX89" s="270"/>
      <c r="DY89" s="270"/>
      <c r="DZ89" s="270"/>
      <c r="EA89" s="270"/>
      <c r="EB89" s="270"/>
      <c r="EC89" s="270"/>
      <c r="ED89" s="270"/>
      <c r="EE89" s="270"/>
      <c r="EF89" s="270"/>
      <c r="EG89" s="270"/>
      <c r="EH89" s="270"/>
      <c r="EI89" s="270"/>
      <c r="EJ89" s="270"/>
      <c r="EK89" s="270"/>
      <c r="EL89" s="270"/>
      <c r="EM89" s="270"/>
      <c r="EN89" s="270"/>
      <c r="EO89" s="270"/>
      <c r="EP89" s="270"/>
      <c r="EQ89" s="270"/>
      <c r="ER89" s="270"/>
      <c r="ES89" s="270"/>
      <c r="ET89" s="533"/>
      <c r="EU89" s="757">
        <f t="shared" ref="EU89" si="99">DG89+DL89+DQ89+DV89+EA89+EK89+EF89+EP89</f>
        <v>0</v>
      </c>
      <c r="EV89" s="269"/>
      <c r="EW89" s="269"/>
      <c r="EX89" s="270"/>
      <c r="EY89" s="533"/>
      <c r="FD89" s="194"/>
      <c r="FE89" s="195"/>
      <c r="FF89" s="196"/>
    </row>
    <row r="90" spans="1:168" s="67" customFormat="1" ht="75" customHeight="1" x14ac:dyDescent="0.45">
      <c r="A90" s="143"/>
      <c r="B90" s="33"/>
      <c r="C90" s="360" t="s">
        <v>92</v>
      </c>
      <c r="D90" s="360"/>
      <c r="E90" s="360"/>
      <c r="F90" s="360"/>
      <c r="G90" s="360"/>
      <c r="H90" s="360"/>
      <c r="I90" s="360"/>
      <c r="J90" s="360"/>
      <c r="K90" s="360"/>
      <c r="L90" s="360"/>
      <c r="M90" s="360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35">
        <f>Z51+Z33</f>
        <v>5970</v>
      </c>
      <c r="AA90" s="336"/>
      <c r="AB90" s="336"/>
      <c r="AC90" s="336"/>
      <c r="AD90" s="337"/>
      <c r="AE90" s="362">
        <f>Z90/$Z$94*100</f>
        <v>82.916666666666671</v>
      </c>
      <c r="AF90" s="362"/>
      <c r="AG90" s="362"/>
      <c r="AH90" s="362"/>
      <c r="AI90" s="362"/>
      <c r="AJ90" s="324">
        <f>AJ51+AJ33</f>
        <v>2526</v>
      </c>
      <c r="AK90" s="361"/>
      <c r="AL90" s="361"/>
      <c r="AM90" s="361"/>
      <c r="AN90" s="361"/>
      <c r="AO90" s="324">
        <f>AO51+AO33</f>
        <v>682</v>
      </c>
      <c r="AP90" s="361"/>
      <c r="AQ90" s="361"/>
      <c r="AR90" s="361"/>
      <c r="AS90" s="361"/>
      <c r="AT90" s="324">
        <f>AT51+AT33</f>
        <v>1600</v>
      </c>
      <c r="AU90" s="361"/>
      <c r="AV90" s="361"/>
      <c r="AW90" s="361"/>
      <c r="AX90" s="361"/>
      <c r="AY90" s="324">
        <f>AY51+AY33</f>
        <v>244</v>
      </c>
      <c r="AZ90" s="361"/>
      <c r="BA90" s="361"/>
      <c r="BB90" s="361"/>
      <c r="BC90" s="361"/>
      <c r="BD90" s="324">
        <f>BD51+BD33</f>
        <v>0</v>
      </c>
      <c r="BE90" s="324"/>
      <c r="BF90" s="361"/>
      <c r="BG90" s="361"/>
      <c r="BH90" s="361"/>
      <c r="BI90" s="324">
        <f>BI51+BI33</f>
        <v>0</v>
      </c>
      <c r="BJ90" s="361"/>
      <c r="BK90" s="361"/>
      <c r="BL90" s="361"/>
      <c r="BM90" s="361"/>
      <c r="BN90" s="376">
        <f>BN51+BN33</f>
        <v>3444</v>
      </c>
      <c r="BO90" s="370"/>
      <c r="BP90" s="370"/>
      <c r="BQ90" s="370"/>
      <c r="BR90" s="666"/>
      <c r="BS90" s="612">
        <f>BS51+BS33</f>
        <v>25</v>
      </c>
      <c r="BT90" s="290"/>
      <c r="BU90" s="290"/>
      <c r="BV90" s="290"/>
      <c r="BW90" s="290"/>
      <c r="BX90" s="292">
        <f>BX51+BX33</f>
        <v>24</v>
      </c>
      <c r="BY90" s="395"/>
      <c r="BZ90" s="395"/>
      <c r="CA90" s="395"/>
      <c r="CB90" s="291"/>
      <c r="CC90" s="292">
        <f>CC51+CC33</f>
        <v>24</v>
      </c>
      <c r="CD90" s="395"/>
      <c r="CE90" s="395"/>
      <c r="CF90" s="395"/>
      <c r="CG90" s="291"/>
      <c r="CH90" s="292">
        <f>CH51+CH33</f>
        <v>22</v>
      </c>
      <c r="CI90" s="395"/>
      <c r="CJ90" s="395"/>
      <c r="CK90" s="395"/>
      <c r="CL90" s="291"/>
      <c r="CM90" s="292">
        <f>CM51+CM33</f>
        <v>20</v>
      </c>
      <c r="CN90" s="395"/>
      <c r="CO90" s="395"/>
      <c r="CP90" s="395"/>
      <c r="CQ90" s="291"/>
      <c r="CR90" s="292">
        <f>CR51+CR33</f>
        <v>19</v>
      </c>
      <c r="CS90" s="395"/>
      <c r="CT90" s="395"/>
      <c r="CU90" s="395"/>
      <c r="CV90" s="291"/>
      <c r="CW90" s="292">
        <f>CW51+CW33</f>
        <v>20</v>
      </c>
      <c r="CX90" s="395"/>
      <c r="CY90" s="395"/>
      <c r="CZ90" s="395"/>
      <c r="DA90" s="291"/>
      <c r="DB90" s="292">
        <f>DB51+DB33</f>
        <v>18</v>
      </c>
      <c r="DC90" s="395"/>
      <c r="DD90" s="395"/>
      <c r="DE90" s="395"/>
      <c r="DF90" s="775"/>
      <c r="DG90" s="612">
        <f>DG51+DG33</f>
        <v>30</v>
      </c>
      <c r="DH90" s="290"/>
      <c r="DI90" s="290"/>
      <c r="DJ90" s="290"/>
      <c r="DK90" s="290"/>
      <c r="DL90" s="291">
        <f>DL51+DL33</f>
        <v>27</v>
      </c>
      <c r="DM90" s="290"/>
      <c r="DN90" s="290"/>
      <c r="DO90" s="290"/>
      <c r="DP90" s="290"/>
      <c r="DQ90" s="291">
        <f>DQ51+DQ33</f>
        <v>24</v>
      </c>
      <c r="DR90" s="290"/>
      <c r="DS90" s="290"/>
      <c r="DT90" s="290"/>
      <c r="DU90" s="290"/>
      <c r="DV90" s="291">
        <f>DV51+DV33</f>
        <v>24</v>
      </c>
      <c r="DW90" s="290"/>
      <c r="DX90" s="290"/>
      <c r="DY90" s="290"/>
      <c r="DZ90" s="290"/>
      <c r="EA90" s="291">
        <f>EA51+EA33</f>
        <v>24</v>
      </c>
      <c r="EB90" s="290"/>
      <c r="EC90" s="290"/>
      <c r="ED90" s="290"/>
      <c r="EE90" s="290"/>
      <c r="EF90" s="291">
        <f>EF51+EF33</f>
        <v>24</v>
      </c>
      <c r="EG90" s="290"/>
      <c r="EH90" s="290"/>
      <c r="EI90" s="290"/>
      <c r="EJ90" s="290"/>
      <c r="EK90" s="291">
        <f>EK51+EK33</f>
        <v>24</v>
      </c>
      <c r="EL90" s="290"/>
      <c r="EM90" s="290"/>
      <c r="EN90" s="290"/>
      <c r="EO90" s="290"/>
      <c r="EP90" s="291">
        <f>EP51+EP33</f>
        <v>22</v>
      </c>
      <c r="EQ90" s="290"/>
      <c r="ER90" s="290"/>
      <c r="ES90" s="290"/>
      <c r="ET90" s="535"/>
      <c r="EU90" s="536">
        <f>EU51+EU33</f>
        <v>199</v>
      </c>
      <c r="EV90" s="772"/>
      <c r="EW90" s="772"/>
      <c r="EX90" s="324"/>
      <c r="EY90" s="537"/>
      <c r="EZ90" s="42"/>
      <c r="FD90" s="188"/>
      <c r="FE90" s="189"/>
      <c r="FF90" s="190"/>
    </row>
    <row r="91" spans="1:168" s="68" customFormat="1" ht="75" customHeight="1" x14ac:dyDescent="0.2">
      <c r="A91" s="145"/>
      <c r="B91" s="31"/>
      <c r="C91" s="272" t="s">
        <v>93</v>
      </c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65">
        <f t="shared" ref="Z91:Z92" si="100">(DG91+DL91+DQ91+DV91+EA91+EF91+EK91+EP91)*30</f>
        <v>1230</v>
      </c>
      <c r="AA91" s="265"/>
      <c r="AB91" s="265"/>
      <c r="AC91" s="265"/>
      <c r="AD91" s="265"/>
      <c r="AE91" s="442"/>
      <c r="AF91" s="442"/>
      <c r="AG91" s="442"/>
      <c r="AH91" s="442"/>
      <c r="AI91" s="442"/>
      <c r="AJ91" s="263"/>
      <c r="AK91" s="263"/>
      <c r="AL91" s="263"/>
      <c r="AM91" s="263"/>
      <c r="AN91" s="263"/>
      <c r="AO91" s="452"/>
      <c r="AP91" s="453"/>
      <c r="AQ91" s="453"/>
      <c r="AR91" s="453"/>
      <c r="AS91" s="454"/>
      <c r="AT91" s="263"/>
      <c r="AU91" s="263"/>
      <c r="AV91" s="263"/>
      <c r="AW91" s="263"/>
      <c r="AX91" s="263"/>
      <c r="AY91" s="263"/>
      <c r="AZ91" s="263"/>
      <c r="BA91" s="263"/>
      <c r="BB91" s="263"/>
      <c r="BC91" s="263"/>
      <c r="BD91" s="263"/>
      <c r="BE91" s="263"/>
      <c r="BF91" s="263"/>
      <c r="BG91" s="263"/>
      <c r="BH91" s="263"/>
      <c r="BI91" s="263"/>
      <c r="BJ91" s="263"/>
      <c r="BK91" s="263"/>
      <c r="BL91" s="263"/>
      <c r="BM91" s="263"/>
      <c r="BN91" s="265">
        <f>Z91-AJ91</f>
        <v>1230</v>
      </c>
      <c r="BO91" s="265"/>
      <c r="BP91" s="265"/>
      <c r="BQ91" s="265"/>
      <c r="BR91" s="627"/>
      <c r="BS91" s="513"/>
      <c r="BT91" s="378"/>
      <c r="BU91" s="378"/>
      <c r="BV91" s="378"/>
      <c r="BW91" s="378"/>
      <c r="BX91" s="378"/>
      <c r="BY91" s="378"/>
      <c r="BZ91" s="378"/>
      <c r="CA91" s="378"/>
      <c r="CB91" s="378"/>
      <c r="CC91" s="378"/>
      <c r="CD91" s="378"/>
      <c r="CE91" s="378"/>
      <c r="CF91" s="378"/>
      <c r="CG91" s="378"/>
      <c r="CH91" s="378"/>
      <c r="CI91" s="378"/>
      <c r="CJ91" s="378"/>
      <c r="CK91" s="378"/>
      <c r="CL91" s="378"/>
      <c r="CM91" s="378"/>
      <c r="CN91" s="378"/>
      <c r="CO91" s="378"/>
      <c r="CP91" s="378"/>
      <c r="CQ91" s="378"/>
      <c r="CR91" s="378"/>
      <c r="CS91" s="378"/>
      <c r="CT91" s="378"/>
      <c r="CU91" s="378"/>
      <c r="CV91" s="378"/>
      <c r="CW91" s="378"/>
      <c r="CX91" s="378"/>
      <c r="CY91" s="378"/>
      <c r="CZ91" s="378"/>
      <c r="DA91" s="378"/>
      <c r="DB91" s="378"/>
      <c r="DC91" s="378"/>
      <c r="DD91" s="378"/>
      <c r="DE91" s="378"/>
      <c r="DF91" s="512"/>
      <c r="DG91" s="513"/>
      <c r="DH91" s="378"/>
      <c r="DI91" s="378"/>
      <c r="DJ91" s="378"/>
      <c r="DK91" s="378"/>
      <c r="DL91" s="270">
        <v>3</v>
      </c>
      <c r="DM91" s="270"/>
      <c r="DN91" s="270"/>
      <c r="DO91" s="270"/>
      <c r="DP91" s="270"/>
      <c r="DQ91" s="270">
        <v>6</v>
      </c>
      <c r="DR91" s="270"/>
      <c r="DS91" s="270"/>
      <c r="DT91" s="270"/>
      <c r="DU91" s="270"/>
      <c r="DV91" s="270">
        <v>6</v>
      </c>
      <c r="DW91" s="270"/>
      <c r="DX91" s="270"/>
      <c r="DY91" s="270"/>
      <c r="DZ91" s="270"/>
      <c r="EA91" s="270">
        <v>6</v>
      </c>
      <c r="EB91" s="270"/>
      <c r="EC91" s="270"/>
      <c r="ED91" s="270"/>
      <c r="EE91" s="270"/>
      <c r="EF91" s="270">
        <v>6</v>
      </c>
      <c r="EG91" s="270"/>
      <c r="EH91" s="270"/>
      <c r="EI91" s="270"/>
      <c r="EJ91" s="270"/>
      <c r="EK91" s="267">
        <v>6</v>
      </c>
      <c r="EL91" s="267"/>
      <c r="EM91" s="267"/>
      <c r="EN91" s="267"/>
      <c r="EO91" s="267"/>
      <c r="EP91" s="267">
        <v>8</v>
      </c>
      <c r="EQ91" s="267"/>
      <c r="ER91" s="267"/>
      <c r="ES91" s="267"/>
      <c r="ET91" s="773"/>
      <c r="EU91" s="626">
        <f t="shared" ref="EU91:EU92" si="101">DG91+DL91+DQ91+DV91+EA91+EK91+EF91+EP91</f>
        <v>41</v>
      </c>
      <c r="EV91" s="774"/>
      <c r="EW91" s="774"/>
      <c r="EX91" s="260"/>
      <c r="EY91" s="627"/>
      <c r="EZ91" s="67"/>
      <c r="FD91" s="185"/>
      <c r="FE91" s="186"/>
      <c r="FF91" s="187"/>
    </row>
    <row r="92" spans="1:168" s="67" customFormat="1" ht="75" customHeight="1" x14ac:dyDescent="0.45">
      <c r="A92" s="145"/>
      <c r="B92" s="31"/>
      <c r="C92" s="272" t="s">
        <v>19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65">
        <f t="shared" si="100"/>
        <v>0</v>
      </c>
      <c r="AA92" s="265"/>
      <c r="AB92" s="265"/>
      <c r="AC92" s="265"/>
      <c r="AD92" s="265"/>
      <c r="AE92" s="429"/>
      <c r="AF92" s="429"/>
      <c r="AG92" s="429"/>
      <c r="AH92" s="429"/>
      <c r="AI92" s="378"/>
      <c r="AJ92" s="263"/>
      <c r="AK92" s="263"/>
      <c r="AL92" s="263"/>
      <c r="AM92" s="263"/>
      <c r="AN92" s="263"/>
      <c r="AO92" s="452"/>
      <c r="AP92" s="453"/>
      <c r="AQ92" s="453"/>
      <c r="AR92" s="453"/>
      <c r="AS92" s="454"/>
      <c r="AT92" s="263"/>
      <c r="AU92" s="263"/>
      <c r="AV92" s="263"/>
      <c r="AW92" s="263"/>
      <c r="AX92" s="263"/>
      <c r="AY92" s="263"/>
      <c r="AZ92" s="263"/>
      <c r="BA92" s="263"/>
      <c r="BB92" s="263"/>
      <c r="BC92" s="263"/>
      <c r="BD92" s="263"/>
      <c r="BE92" s="263"/>
      <c r="BF92" s="263"/>
      <c r="BG92" s="263"/>
      <c r="BH92" s="263"/>
      <c r="BI92" s="263"/>
      <c r="BJ92" s="263"/>
      <c r="BK92" s="263"/>
      <c r="BL92" s="263"/>
      <c r="BM92" s="263"/>
      <c r="BN92" s="265">
        <f>Z92-AJ92</f>
        <v>0</v>
      </c>
      <c r="BO92" s="265"/>
      <c r="BP92" s="265"/>
      <c r="BQ92" s="265"/>
      <c r="BR92" s="627"/>
      <c r="BS92" s="513"/>
      <c r="BT92" s="378"/>
      <c r="BU92" s="378"/>
      <c r="BV92" s="378"/>
      <c r="BW92" s="378"/>
      <c r="BX92" s="378"/>
      <c r="BY92" s="378"/>
      <c r="BZ92" s="378"/>
      <c r="CA92" s="378"/>
      <c r="CB92" s="378"/>
      <c r="CC92" s="378"/>
      <c r="CD92" s="378"/>
      <c r="CE92" s="378"/>
      <c r="CF92" s="378"/>
      <c r="CG92" s="378"/>
      <c r="CH92" s="378"/>
      <c r="CI92" s="378"/>
      <c r="CJ92" s="378"/>
      <c r="CK92" s="378"/>
      <c r="CL92" s="378"/>
      <c r="CM92" s="378"/>
      <c r="CN92" s="378"/>
      <c r="CO92" s="378"/>
      <c r="CP92" s="378"/>
      <c r="CQ92" s="378"/>
      <c r="CR92" s="378"/>
      <c r="CS92" s="378"/>
      <c r="CT92" s="378"/>
      <c r="CU92" s="378"/>
      <c r="CV92" s="378"/>
      <c r="CW92" s="378"/>
      <c r="CX92" s="378"/>
      <c r="CY92" s="378"/>
      <c r="CZ92" s="378"/>
      <c r="DA92" s="378"/>
      <c r="DB92" s="378"/>
      <c r="DC92" s="378"/>
      <c r="DD92" s="378"/>
      <c r="DE92" s="378"/>
      <c r="DF92" s="512"/>
      <c r="DG92" s="513"/>
      <c r="DH92" s="378"/>
      <c r="DI92" s="378"/>
      <c r="DJ92" s="378"/>
      <c r="DK92" s="378"/>
      <c r="DL92" s="267"/>
      <c r="DM92" s="267"/>
      <c r="DN92" s="267"/>
      <c r="DO92" s="267"/>
      <c r="DP92" s="267"/>
      <c r="DQ92" s="267"/>
      <c r="DR92" s="267"/>
      <c r="DS92" s="267"/>
      <c r="DT92" s="267"/>
      <c r="DU92" s="267"/>
      <c r="DV92" s="267"/>
      <c r="DW92" s="267"/>
      <c r="DX92" s="267"/>
      <c r="DY92" s="267"/>
      <c r="DZ92" s="267"/>
      <c r="EA92" s="267"/>
      <c r="EB92" s="267"/>
      <c r="EC92" s="267"/>
      <c r="ED92" s="267"/>
      <c r="EE92" s="267"/>
      <c r="EF92" s="267"/>
      <c r="EG92" s="267"/>
      <c r="EH92" s="267"/>
      <c r="EI92" s="267"/>
      <c r="EJ92" s="267"/>
      <c r="EK92" s="267"/>
      <c r="EL92" s="267"/>
      <c r="EM92" s="267"/>
      <c r="EN92" s="267"/>
      <c r="EO92" s="267"/>
      <c r="EP92" s="267"/>
      <c r="EQ92" s="267"/>
      <c r="ER92" s="267"/>
      <c r="ES92" s="267"/>
      <c r="ET92" s="773"/>
      <c r="EU92" s="626">
        <f t="shared" si="101"/>
        <v>0</v>
      </c>
      <c r="EV92" s="774"/>
      <c r="EW92" s="774"/>
      <c r="EX92" s="260"/>
      <c r="EY92" s="627"/>
      <c r="EZ92" s="42"/>
      <c r="FD92" s="188"/>
      <c r="FE92" s="189"/>
      <c r="FF92" s="190"/>
    </row>
    <row r="93" spans="1:168" s="67" customFormat="1" ht="75" customHeight="1" x14ac:dyDescent="0.45">
      <c r="A93" s="143"/>
      <c r="B93" s="33"/>
      <c r="C93" s="360" t="s">
        <v>92</v>
      </c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1">
        <f>Z91+Z92</f>
        <v>1230</v>
      </c>
      <c r="AA93" s="361"/>
      <c r="AB93" s="361"/>
      <c r="AC93" s="361"/>
      <c r="AD93" s="361"/>
      <c r="AE93" s="362">
        <f>Z93/$Z$94*100</f>
        <v>17.083333333333332</v>
      </c>
      <c r="AF93" s="362"/>
      <c r="AG93" s="362"/>
      <c r="AH93" s="362"/>
      <c r="AI93" s="362"/>
      <c r="AJ93" s="361">
        <f>AJ91+AJ92</f>
        <v>0</v>
      </c>
      <c r="AK93" s="361"/>
      <c r="AL93" s="361"/>
      <c r="AM93" s="361"/>
      <c r="AN93" s="361"/>
      <c r="AO93" s="369"/>
      <c r="AP93" s="370"/>
      <c r="AQ93" s="370"/>
      <c r="AR93" s="370"/>
      <c r="AS93" s="371"/>
      <c r="AT93" s="361"/>
      <c r="AU93" s="361"/>
      <c r="AV93" s="361"/>
      <c r="AW93" s="361"/>
      <c r="AX93" s="361"/>
      <c r="AY93" s="361"/>
      <c r="AZ93" s="361"/>
      <c r="BA93" s="361"/>
      <c r="BB93" s="361"/>
      <c r="BC93" s="361"/>
      <c r="BD93" s="361"/>
      <c r="BE93" s="361"/>
      <c r="BF93" s="361"/>
      <c r="BG93" s="361"/>
      <c r="BH93" s="361"/>
      <c r="BI93" s="361"/>
      <c r="BJ93" s="361"/>
      <c r="BK93" s="361"/>
      <c r="BL93" s="361"/>
      <c r="BM93" s="361"/>
      <c r="BN93" s="369">
        <f>BN91+BN92</f>
        <v>1230</v>
      </c>
      <c r="BO93" s="370"/>
      <c r="BP93" s="370"/>
      <c r="BQ93" s="370"/>
      <c r="BR93" s="666"/>
      <c r="BS93" s="612">
        <f t="shared" ref="BS93:DB93" si="102">BS91+BS92</f>
        <v>0</v>
      </c>
      <c r="BT93" s="290"/>
      <c r="BU93" s="290"/>
      <c r="BV93" s="290"/>
      <c r="BW93" s="290"/>
      <c r="BX93" s="291">
        <f t="shared" si="102"/>
        <v>0</v>
      </c>
      <c r="BY93" s="290"/>
      <c r="BZ93" s="290"/>
      <c r="CA93" s="290"/>
      <c r="CB93" s="290"/>
      <c r="CC93" s="291">
        <f t="shared" si="102"/>
        <v>0</v>
      </c>
      <c r="CD93" s="290"/>
      <c r="CE93" s="290"/>
      <c r="CF93" s="290"/>
      <c r="CG93" s="290"/>
      <c r="CH93" s="291">
        <f t="shared" si="102"/>
        <v>0</v>
      </c>
      <c r="CI93" s="290"/>
      <c r="CJ93" s="290"/>
      <c r="CK93" s="290"/>
      <c r="CL93" s="290"/>
      <c r="CM93" s="291">
        <f t="shared" si="102"/>
        <v>0</v>
      </c>
      <c r="CN93" s="290"/>
      <c r="CO93" s="290"/>
      <c r="CP93" s="290"/>
      <c r="CQ93" s="290"/>
      <c r="CR93" s="291">
        <f t="shared" si="102"/>
        <v>0</v>
      </c>
      <c r="CS93" s="290"/>
      <c r="CT93" s="290"/>
      <c r="CU93" s="290"/>
      <c r="CV93" s="290"/>
      <c r="CW93" s="291">
        <f t="shared" si="102"/>
        <v>0</v>
      </c>
      <c r="CX93" s="290"/>
      <c r="CY93" s="290"/>
      <c r="CZ93" s="290"/>
      <c r="DA93" s="290"/>
      <c r="DB93" s="291">
        <f t="shared" si="102"/>
        <v>0</v>
      </c>
      <c r="DC93" s="290"/>
      <c r="DD93" s="290"/>
      <c r="DE93" s="290"/>
      <c r="DF93" s="535"/>
      <c r="DG93" s="612">
        <f>DG91+DG92</f>
        <v>0</v>
      </c>
      <c r="DH93" s="290"/>
      <c r="DI93" s="290"/>
      <c r="DJ93" s="290"/>
      <c r="DK93" s="290"/>
      <c r="DL93" s="291">
        <f t="shared" ref="DL93" si="103">DL91+DL92</f>
        <v>3</v>
      </c>
      <c r="DM93" s="290"/>
      <c r="DN93" s="290"/>
      <c r="DO93" s="290"/>
      <c r="DP93" s="290"/>
      <c r="DQ93" s="291">
        <f t="shared" ref="DQ93" si="104">DQ91+DQ92</f>
        <v>6</v>
      </c>
      <c r="DR93" s="290"/>
      <c r="DS93" s="290"/>
      <c r="DT93" s="290"/>
      <c r="DU93" s="290"/>
      <c r="DV93" s="291">
        <f t="shared" ref="DV93" si="105">DV91+DV92</f>
        <v>6</v>
      </c>
      <c r="DW93" s="290"/>
      <c r="DX93" s="290"/>
      <c r="DY93" s="290"/>
      <c r="DZ93" s="290"/>
      <c r="EA93" s="291">
        <f t="shared" ref="EA93" si="106">EA91+EA92</f>
        <v>6</v>
      </c>
      <c r="EB93" s="290"/>
      <c r="EC93" s="290"/>
      <c r="ED93" s="290"/>
      <c r="EE93" s="290"/>
      <c r="EF93" s="291">
        <f t="shared" ref="EF93" si="107">EF91+EF92</f>
        <v>6</v>
      </c>
      <c r="EG93" s="290"/>
      <c r="EH93" s="290"/>
      <c r="EI93" s="290"/>
      <c r="EJ93" s="290"/>
      <c r="EK93" s="291">
        <f t="shared" ref="EK93" si="108">EK91+EK92</f>
        <v>6</v>
      </c>
      <c r="EL93" s="290"/>
      <c r="EM93" s="290"/>
      <c r="EN93" s="290"/>
      <c r="EO93" s="290"/>
      <c r="EP93" s="291">
        <f t="shared" ref="EP93" si="109">EP91+EP92</f>
        <v>8</v>
      </c>
      <c r="EQ93" s="290"/>
      <c r="ER93" s="290"/>
      <c r="ES93" s="290"/>
      <c r="ET93" s="535"/>
      <c r="EU93" s="536">
        <f>EU91+EU92</f>
        <v>41</v>
      </c>
      <c r="EV93" s="772"/>
      <c r="EW93" s="772"/>
      <c r="EX93" s="324"/>
      <c r="EY93" s="537"/>
      <c r="EZ93" s="42"/>
      <c r="FD93" s="176"/>
      <c r="FE93" s="177"/>
      <c r="FF93" s="178"/>
    </row>
    <row r="94" spans="1:168" s="68" customFormat="1" ht="75" customHeight="1" thickBot="1" x14ac:dyDescent="0.25">
      <c r="A94" s="146"/>
      <c r="B94" s="147"/>
      <c r="C94" s="680" t="s">
        <v>25</v>
      </c>
      <c r="D94" s="680"/>
      <c r="E94" s="680"/>
      <c r="F94" s="680"/>
      <c r="G94" s="680"/>
      <c r="H94" s="680"/>
      <c r="I94" s="680"/>
      <c r="J94" s="680"/>
      <c r="K94" s="680"/>
      <c r="L94" s="680"/>
      <c r="M94" s="680"/>
      <c r="N94" s="680"/>
      <c r="O94" s="680"/>
      <c r="P94" s="680"/>
      <c r="Q94" s="680"/>
      <c r="R94" s="680"/>
      <c r="S94" s="680"/>
      <c r="T94" s="680"/>
      <c r="U94" s="680"/>
      <c r="V94" s="680"/>
      <c r="W94" s="680"/>
      <c r="X94" s="680"/>
      <c r="Y94" s="680"/>
      <c r="Z94" s="671">
        <f>Z93+Z90</f>
        <v>7200</v>
      </c>
      <c r="AA94" s="671"/>
      <c r="AB94" s="672"/>
      <c r="AC94" s="672"/>
      <c r="AD94" s="672"/>
      <c r="AE94" s="771">
        <f>AE90+AE93</f>
        <v>100</v>
      </c>
      <c r="AF94" s="771"/>
      <c r="AG94" s="771"/>
      <c r="AH94" s="771"/>
      <c r="AI94" s="771"/>
      <c r="AJ94" s="677">
        <f t="shared" ref="AJ94" si="110">AJ93+AJ90</f>
        <v>2526</v>
      </c>
      <c r="AK94" s="677"/>
      <c r="AL94" s="677"/>
      <c r="AM94" s="677"/>
      <c r="AN94" s="677"/>
      <c r="AO94" s="677">
        <f t="shared" ref="AO94" si="111">AO93+AO90</f>
        <v>682</v>
      </c>
      <c r="AP94" s="677"/>
      <c r="AQ94" s="677"/>
      <c r="AR94" s="677"/>
      <c r="AS94" s="677"/>
      <c r="AT94" s="677">
        <f t="shared" ref="AT94" si="112">AT93+AT90</f>
        <v>1600</v>
      </c>
      <c r="AU94" s="677"/>
      <c r="AV94" s="677"/>
      <c r="AW94" s="677"/>
      <c r="AX94" s="677"/>
      <c r="AY94" s="677">
        <f t="shared" ref="AY94" si="113">AY93+AY90</f>
        <v>244</v>
      </c>
      <c r="AZ94" s="677"/>
      <c r="BA94" s="677"/>
      <c r="BB94" s="677"/>
      <c r="BC94" s="677"/>
      <c r="BD94" s="671">
        <f>BD90+BD93</f>
        <v>0</v>
      </c>
      <c r="BE94" s="671"/>
      <c r="BF94" s="672"/>
      <c r="BG94" s="672"/>
      <c r="BH94" s="672"/>
      <c r="BI94" s="671">
        <f>BI90+BI93</f>
        <v>0</v>
      </c>
      <c r="BJ94" s="672"/>
      <c r="BK94" s="672"/>
      <c r="BL94" s="672"/>
      <c r="BM94" s="672"/>
      <c r="BN94" s="671">
        <f>BN90+BN93</f>
        <v>4674</v>
      </c>
      <c r="BO94" s="672"/>
      <c r="BP94" s="672"/>
      <c r="BQ94" s="672"/>
      <c r="BR94" s="682"/>
      <c r="BS94" s="676">
        <f t="shared" ref="BS94" si="114">BS93+BS90</f>
        <v>25</v>
      </c>
      <c r="BT94" s="677"/>
      <c r="BU94" s="677"/>
      <c r="BV94" s="677"/>
      <c r="BW94" s="677"/>
      <c r="BX94" s="677">
        <f t="shared" ref="BX94" si="115">BX93+BX90</f>
        <v>24</v>
      </c>
      <c r="BY94" s="677"/>
      <c r="BZ94" s="677"/>
      <c r="CA94" s="677"/>
      <c r="CB94" s="677"/>
      <c r="CC94" s="677">
        <f t="shared" ref="CC94" si="116">CC93+CC90</f>
        <v>24</v>
      </c>
      <c r="CD94" s="677"/>
      <c r="CE94" s="677"/>
      <c r="CF94" s="677"/>
      <c r="CG94" s="677"/>
      <c r="CH94" s="677">
        <f t="shared" ref="CH94" si="117">CH93+CH90</f>
        <v>22</v>
      </c>
      <c r="CI94" s="677"/>
      <c r="CJ94" s="677"/>
      <c r="CK94" s="677"/>
      <c r="CL94" s="677"/>
      <c r="CM94" s="677">
        <f t="shared" ref="CM94" si="118">CM93+CM90</f>
        <v>20</v>
      </c>
      <c r="CN94" s="677"/>
      <c r="CO94" s="677"/>
      <c r="CP94" s="677"/>
      <c r="CQ94" s="677"/>
      <c r="CR94" s="677">
        <f t="shared" ref="CR94" si="119">CR93+CR90</f>
        <v>19</v>
      </c>
      <c r="CS94" s="677"/>
      <c r="CT94" s="677"/>
      <c r="CU94" s="677"/>
      <c r="CV94" s="677"/>
      <c r="CW94" s="677">
        <f t="shared" ref="CW94" si="120">CW93+CW90</f>
        <v>20</v>
      </c>
      <c r="CX94" s="677"/>
      <c r="CY94" s="677"/>
      <c r="CZ94" s="677"/>
      <c r="DA94" s="677"/>
      <c r="DB94" s="677">
        <f t="shared" ref="DB94" si="121">DB93+DB90</f>
        <v>18</v>
      </c>
      <c r="DC94" s="677"/>
      <c r="DD94" s="677"/>
      <c r="DE94" s="677"/>
      <c r="DF94" s="679"/>
      <c r="DG94" s="676">
        <f>DG93+DG90</f>
        <v>30</v>
      </c>
      <c r="DH94" s="677"/>
      <c r="DI94" s="677"/>
      <c r="DJ94" s="677"/>
      <c r="DK94" s="677"/>
      <c r="DL94" s="677">
        <f>DL93+DL90</f>
        <v>30</v>
      </c>
      <c r="DM94" s="677"/>
      <c r="DN94" s="677"/>
      <c r="DO94" s="677"/>
      <c r="DP94" s="677"/>
      <c r="DQ94" s="677">
        <f t="shared" ref="DQ94" si="122">DQ93+DQ90</f>
        <v>30</v>
      </c>
      <c r="DR94" s="677"/>
      <c r="DS94" s="677"/>
      <c r="DT94" s="677"/>
      <c r="DU94" s="677"/>
      <c r="DV94" s="677">
        <f t="shared" ref="DV94" si="123">DV93+DV90</f>
        <v>30</v>
      </c>
      <c r="DW94" s="677"/>
      <c r="DX94" s="677"/>
      <c r="DY94" s="677"/>
      <c r="DZ94" s="677"/>
      <c r="EA94" s="677">
        <f t="shared" ref="EA94" si="124">EA93+EA90</f>
        <v>30</v>
      </c>
      <c r="EB94" s="677"/>
      <c r="EC94" s="677"/>
      <c r="ED94" s="677"/>
      <c r="EE94" s="677"/>
      <c r="EF94" s="677">
        <f t="shared" ref="EF94" si="125">EF93+EF90</f>
        <v>30</v>
      </c>
      <c r="EG94" s="677"/>
      <c r="EH94" s="677"/>
      <c r="EI94" s="677"/>
      <c r="EJ94" s="677"/>
      <c r="EK94" s="677">
        <f t="shared" ref="EK94" si="126">EK93+EK90</f>
        <v>30</v>
      </c>
      <c r="EL94" s="677"/>
      <c r="EM94" s="677"/>
      <c r="EN94" s="677"/>
      <c r="EO94" s="677"/>
      <c r="EP94" s="677">
        <f t="shared" ref="EP94" si="127">EP93+EP90</f>
        <v>30</v>
      </c>
      <c r="EQ94" s="677"/>
      <c r="ER94" s="677"/>
      <c r="ES94" s="677"/>
      <c r="ET94" s="679"/>
      <c r="EU94" s="681">
        <f>EU93+EU90</f>
        <v>240</v>
      </c>
      <c r="EV94" s="770"/>
      <c r="EW94" s="770"/>
      <c r="EX94" s="671"/>
      <c r="EY94" s="682"/>
      <c r="EZ94" s="67"/>
      <c r="FD94" s="179"/>
      <c r="FE94" s="180"/>
      <c r="FF94" s="181"/>
    </row>
    <row r="95" spans="1:168" s="42" customFormat="1" ht="140.1" customHeight="1" thickTop="1" x14ac:dyDescent="0.65">
      <c r="A95" s="172"/>
      <c r="B95" s="202" t="s">
        <v>103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441"/>
      <c r="AA95" s="441"/>
      <c r="AB95" s="441"/>
      <c r="AC95" s="441"/>
      <c r="AD95" s="390"/>
      <c r="AE95" s="173"/>
      <c r="AF95" s="173"/>
      <c r="AG95" s="248"/>
      <c r="AH95" s="248"/>
      <c r="AI95" s="172"/>
      <c r="AJ95" s="173"/>
      <c r="AK95" s="173"/>
      <c r="AL95" s="173"/>
      <c r="AM95" s="172"/>
      <c r="AN95" s="173"/>
      <c r="AO95" s="173"/>
      <c r="AP95" s="173"/>
      <c r="AQ95" s="172"/>
      <c r="AR95" s="173"/>
      <c r="AS95" s="173"/>
      <c r="AT95" s="173"/>
      <c r="AU95" s="172"/>
      <c r="AV95" s="173"/>
      <c r="AW95" s="173"/>
      <c r="AX95" s="173"/>
      <c r="AY95" s="172"/>
      <c r="AZ95" s="173"/>
      <c r="BA95" s="173"/>
      <c r="BB95" s="173"/>
      <c r="BC95" s="172"/>
      <c r="BD95" s="173"/>
      <c r="BE95" s="235"/>
      <c r="BF95" s="173"/>
      <c r="BG95" s="173"/>
      <c r="BH95" s="172"/>
      <c r="BI95" s="172"/>
      <c r="BJ95" s="172"/>
      <c r="BK95" s="172"/>
      <c r="BL95" s="172"/>
      <c r="BM95" s="172"/>
      <c r="BN95" s="173"/>
      <c r="BO95" s="173"/>
      <c r="BP95" s="235"/>
      <c r="BQ95" s="173"/>
      <c r="BR95" s="172"/>
      <c r="BS95" s="173"/>
      <c r="BT95" s="172"/>
      <c r="BU95" s="172"/>
      <c r="BV95" s="172"/>
      <c r="BW95" s="173"/>
      <c r="BX95" s="172"/>
      <c r="BY95" s="172"/>
      <c r="BZ95" s="172"/>
      <c r="CA95" s="173"/>
      <c r="CB95" s="172"/>
      <c r="CC95" s="172"/>
      <c r="CD95" s="172"/>
      <c r="CE95" s="173"/>
      <c r="CF95" s="172"/>
      <c r="CG95" s="172"/>
      <c r="CH95" s="172"/>
      <c r="CI95" s="173"/>
      <c r="CJ95" s="172"/>
      <c r="CK95" s="172"/>
      <c r="CL95" s="172"/>
      <c r="CM95" s="173"/>
      <c r="CN95" s="172"/>
      <c r="CO95" s="172"/>
      <c r="CP95" s="172"/>
      <c r="CQ95" s="173"/>
      <c r="CR95" s="172"/>
      <c r="CS95" s="172"/>
      <c r="CT95" s="172"/>
      <c r="CU95" s="173"/>
      <c r="CV95" s="172"/>
      <c r="CW95" s="172"/>
      <c r="CX95" s="172"/>
      <c r="CY95" s="173"/>
      <c r="CZ95" s="172"/>
      <c r="DA95" s="172"/>
      <c r="DB95" s="172"/>
      <c r="DC95" s="173"/>
      <c r="DD95" s="172"/>
      <c r="DE95" s="172"/>
      <c r="DF95" s="172"/>
      <c r="DG95" s="173"/>
      <c r="DH95" s="172"/>
      <c r="DI95" s="172"/>
      <c r="DJ95" s="172"/>
      <c r="DK95" s="173"/>
      <c r="DL95" s="172"/>
      <c r="DM95" s="172"/>
      <c r="DN95" s="172"/>
      <c r="DO95" s="173"/>
      <c r="DP95" s="172"/>
      <c r="DQ95" s="172"/>
      <c r="DR95" s="172"/>
      <c r="DS95" s="173"/>
      <c r="DT95" s="172"/>
      <c r="DU95" s="172"/>
      <c r="DV95" s="172"/>
      <c r="DW95" s="173"/>
      <c r="DX95" s="172"/>
      <c r="DY95" s="172"/>
      <c r="DZ95" s="172"/>
      <c r="EA95" s="173"/>
      <c r="EB95" s="172"/>
      <c r="EC95" s="172"/>
      <c r="ED95" s="172"/>
      <c r="EE95" s="173"/>
      <c r="EF95" s="172"/>
      <c r="EG95" s="172"/>
      <c r="EH95" s="172"/>
      <c r="EI95" s="173"/>
      <c r="EJ95" s="172"/>
      <c r="EK95" s="172"/>
      <c r="EL95" s="172"/>
      <c r="EM95" s="173"/>
      <c r="EN95" s="172"/>
      <c r="EO95" s="172"/>
      <c r="EP95" s="172"/>
      <c r="EQ95" s="173"/>
      <c r="ER95" s="172"/>
      <c r="ES95" s="172"/>
      <c r="ET95" s="172"/>
      <c r="EU95" s="39"/>
      <c r="EV95" s="39"/>
      <c r="EW95" s="39"/>
      <c r="EX95" s="39"/>
      <c r="EY95" s="17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</row>
    <row r="96" spans="1:168" s="42" customFormat="1" ht="140.1" customHeight="1" x14ac:dyDescent="0.65">
      <c r="A96" s="172"/>
      <c r="B96" s="363" t="s">
        <v>159</v>
      </c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  <c r="AN96" s="363"/>
      <c r="AO96" s="363"/>
      <c r="AP96" s="363"/>
      <c r="AQ96" s="363"/>
      <c r="AR96" s="363"/>
      <c r="AS96" s="363"/>
      <c r="AT96" s="363"/>
      <c r="AU96" s="363"/>
      <c r="AV96" s="363"/>
      <c r="AW96" s="363"/>
      <c r="AX96" s="363"/>
      <c r="AY96" s="363"/>
      <c r="AZ96" s="363"/>
      <c r="BA96" s="363"/>
      <c r="BB96" s="363"/>
      <c r="BC96" s="363"/>
      <c r="BD96" s="363"/>
      <c r="BE96" s="363"/>
      <c r="BF96" s="363"/>
      <c r="BG96" s="363"/>
      <c r="BH96" s="363"/>
      <c r="BI96" s="363"/>
      <c r="BJ96" s="363"/>
      <c r="BK96" s="363"/>
      <c r="BL96" s="363"/>
      <c r="BM96" s="363"/>
      <c r="BN96" s="363"/>
      <c r="BO96" s="363"/>
      <c r="BP96" s="363"/>
      <c r="BQ96" s="363"/>
      <c r="BR96" s="363"/>
      <c r="BS96" s="363"/>
      <c r="BT96" s="363"/>
      <c r="BU96" s="363"/>
      <c r="BV96" s="363"/>
      <c r="BW96" s="363"/>
      <c r="BX96" s="363"/>
      <c r="BY96" s="363"/>
      <c r="BZ96" s="363"/>
      <c r="CA96" s="363"/>
      <c r="CB96" s="363"/>
      <c r="CC96" s="363"/>
      <c r="CD96" s="363"/>
      <c r="CE96" s="363"/>
      <c r="CF96" s="363"/>
      <c r="CG96" s="363"/>
      <c r="CH96" s="363"/>
      <c r="CI96" s="363"/>
      <c r="CJ96" s="363"/>
      <c r="CK96" s="363"/>
      <c r="CL96" s="363"/>
      <c r="CM96" s="363"/>
      <c r="CN96" s="363"/>
      <c r="CO96" s="363"/>
      <c r="CP96" s="363"/>
      <c r="CQ96" s="363"/>
      <c r="CR96" s="363"/>
      <c r="CS96" s="363"/>
      <c r="CT96" s="363"/>
      <c r="CU96" s="363"/>
      <c r="CV96" s="363"/>
      <c r="CW96" s="363"/>
      <c r="CX96" s="363"/>
      <c r="CY96" s="363"/>
      <c r="CZ96" s="363"/>
      <c r="DA96" s="363"/>
      <c r="DB96" s="363"/>
      <c r="DC96" s="363"/>
      <c r="DD96" s="363"/>
      <c r="DE96" s="363"/>
      <c r="DF96" s="363"/>
      <c r="DG96" s="363"/>
      <c r="DH96" s="363"/>
      <c r="DI96" s="363"/>
      <c r="DJ96" s="363"/>
      <c r="DK96" s="363"/>
      <c r="DL96" s="363"/>
      <c r="DM96" s="363"/>
      <c r="DN96" s="363"/>
      <c r="DO96" s="363"/>
      <c r="DP96" s="363"/>
      <c r="DQ96" s="363"/>
      <c r="DR96" s="363"/>
      <c r="DS96" s="363"/>
      <c r="DT96" s="363"/>
      <c r="DU96" s="363"/>
      <c r="DV96" s="363"/>
      <c r="DW96" s="363"/>
      <c r="DX96" s="363"/>
      <c r="DY96" s="363"/>
      <c r="DZ96" s="363"/>
      <c r="EA96" s="363"/>
      <c r="EB96" s="363"/>
      <c r="EC96" s="363"/>
      <c r="ED96" s="363"/>
      <c r="EE96" s="363"/>
      <c r="EF96" s="363"/>
      <c r="EG96" s="363"/>
      <c r="EH96" s="363"/>
      <c r="EI96" s="363"/>
      <c r="EJ96" s="363"/>
      <c r="EK96" s="363"/>
      <c r="EL96" s="363"/>
      <c r="EM96" s="363"/>
      <c r="EN96" s="363"/>
      <c r="EO96" s="363"/>
      <c r="EP96" s="363"/>
      <c r="EQ96" s="363"/>
      <c r="ER96" s="363"/>
      <c r="ES96" s="363"/>
      <c r="ET96" s="363"/>
      <c r="EU96" s="363"/>
      <c r="EV96" s="363"/>
      <c r="EW96" s="363"/>
      <c r="EX96" s="363"/>
      <c r="EY96" s="363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</row>
    <row r="97" spans="1:168" s="42" customFormat="1" ht="140.1" customHeight="1" x14ac:dyDescent="0.8">
      <c r="A97" s="43"/>
      <c r="B97" s="363" t="s">
        <v>160</v>
      </c>
      <c r="C97" s="363"/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  <c r="AN97" s="363"/>
      <c r="AO97" s="363"/>
      <c r="AP97" s="363"/>
      <c r="AQ97" s="363"/>
      <c r="AR97" s="363"/>
      <c r="AS97" s="363"/>
      <c r="AT97" s="363"/>
      <c r="AU97" s="363"/>
      <c r="AV97" s="363"/>
      <c r="AW97" s="363"/>
      <c r="AX97" s="363"/>
      <c r="AY97" s="363"/>
      <c r="AZ97" s="363"/>
      <c r="BA97" s="363"/>
      <c r="BB97" s="363"/>
      <c r="BC97" s="363"/>
      <c r="BD97" s="363"/>
      <c r="BE97" s="363"/>
      <c r="BF97" s="363"/>
      <c r="BG97" s="363"/>
      <c r="BH97" s="363"/>
      <c r="BI97" s="363"/>
      <c r="BJ97" s="363"/>
      <c r="BK97" s="363"/>
      <c r="BL97" s="363"/>
      <c r="BM97" s="363"/>
      <c r="BN97" s="363"/>
      <c r="BO97" s="363"/>
      <c r="BP97" s="363"/>
      <c r="BQ97" s="363"/>
      <c r="BR97" s="363"/>
      <c r="BS97" s="363"/>
      <c r="BT97" s="363"/>
      <c r="BU97" s="363"/>
      <c r="BV97" s="363"/>
      <c r="BW97" s="363"/>
      <c r="BX97" s="363"/>
      <c r="BY97" s="363"/>
      <c r="BZ97" s="363"/>
      <c r="CA97" s="363"/>
      <c r="CB97" s="363"/>
      <c r="CC97" s="363"/>
      <c r="CD97" s="363"/>
      <c r="CE97" s="363"/>
      <c r="CF97" s="363"/>
      <c r="CG97" s="363"/>
      <c r="CH97" s="363"/>
      <c r="CI97" s="363"/>
      <c r="CJ97" s="363"/>
      <c r="CK97" s="363"/>
      <c r="CL97" s="363"/>
      <c r="CM97" s="363"/>
      <c r="CN97" s="363"/>
      <c r="CO97" s="363"/>
      <c r="CP97" s="363"/>
      <c r="CQ97" s="363"/>
      <c r="CR97" s="363"/>
      <c r="CS97" s="363"/>
      <c r="CT97" s="363"/>
      <c r="CU97" s="363"/>
      <c r="CV97" s="363"/>
      <c r="CW97" s="363"/>
      <c r="CX97" s="363"/>
      <c r="CY97" s="363"/>
      <c r="CZ97" s="363"/>
      <c r="DA97" s="363"/>
      <c r="DB97" s="363"/>
      <c r="DC97" s="363"/>
      <c r="DD97" s="363"/>
      <c r="DE97" s="363"/>
      <c r="DF97" s="363"/>
      <c r="DG97" s="363"/>
      <c r="DH97" s="363"/>
      <c r="DI97" s="363"/>
      <c r="DJ97" s="363"/>
      <c r="DK97" s="363"/>
      <c r="DL97" s="363"/>
      <c r="DM97" s="363"/>
      <c r="DN97" s="363"/>
      <c r="DO97" s="363"/>
      <c r="DP97" s="363"/>
      <c r="DQ97" s="363"/>
      <c r="DR97" s="363"/>
      <c r="DS97" s="363"/>
      <c r="DT97" s="363"/>
      <c r="DU97" s="363"/>
      <c r="DV97" s="363"/>
      <c r="DW97" s="363"/>
      <c r="DX97" s="363"/>
      <c r="DY97" s="363"/>
      <c r="DZ97" s="363"/>
      <c r="EA97" s="363"/>
      <c r="EB97" s="363"/>
      <c r="EC97" s="363"/>
      <c r="ED97" s="363"/>
      <c r="EE97" s="363"/>
      <c r="EF97" s="363"/>
      <c r="EG97" s="363"/>
      <c r="EH97" s="363"/>
      <c r="EI97" s="363"/>
      <c r="EJ97" s="363"/>
      <c r="EK97" s="363"/>
      <c r="EL97" s="363"/>
      <c r="EM97" s="363"/>
      <c r="EN97" s="363"/>
      <c r="EO97" s="363"/>
      <c r="EP97" s="363"/>
      <c r="EQ97" s="363"/>
      <c r="ER97" s="363"/>
      <c r="ES97" s="363"/>
      <c r="ET97" s="363"/>
      <c r="EU97" s="363"/>
      <c r="EV97" s="363"/>
      <c r="EW97" s="363"/>
      <c r="EX97" s="363"/>
      <c r="EY97" s="363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</row>
    <row r="98" spans="1:168" s="42" customFormat="1" ht="140.1" customHeight="1" x14ac:dyDescent="0.8">
      <c r="A98" s="43"/>
      <c r="B98" s="363" t="s">
        <v>161</v>
      </c>
      <c r="C98" s="363"/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  <c r="AN98" s="363"/>
      <c r="AO98" s="363"/>
      <c r="AP98" s="363"/>
      <c r="AQ98" s="363"/>
      <c r="AR98" s="363"/>
      <c r="AS98" s="363"/>
      <c r="AT98" s="363"/>
      <c r="AU98" s="363"/>
      <c r="AV98" s="363"/>
      <c r="AW98" s="363"/>
      <c r="AX98" s="363"/>
      <c r="AY98" s="363"/>
      <c r="AZ98" s="363"/>
      <c r="BA98" s="363"/>
      <c r="BB98" s="363"/>
      <c r="BC98" s="363"/>
      <c r="BD98" s="363"/>
      <c r="BE98" s="363"/>
      <c r="BF98" s="363"/>
      <c r="BG98" s="363"/>
      <c r="BH98" s="363"/>
      <c r="BI98" s="363"/>
      <c r="BJ98" s="363"/>
      <c r="BK98" s="363"/>
      <c r="BL98" s="363"/>
      <c r="BM98" s="363"/>
      <c r="BN98" s="363"/>
      <c r="BO98" s="363"/>
      <c r="BP98" s="363"/>
      <c r="BQ98" s="363"/>
      <c r="BR98" s="363"/>
      <c r="BS98" s="363"/>
      <c r="BT98" s="363"/>
      <c r="BU98" s="363"/>
      <c r="BV98" s="363"/>
      <c r="BW98" s="363"/>
      <c r="BX98" s="363"/>
      <c r="BY98" s="363"/>
      <c r="BZ98" s="363"/>
      <c r="CA98" s="363"/>
      <c r="CB98" s="363"/>
      <c r="CC98" s="363"/>
      <c r="CD98" s="363"/>
      <c r="CE98" s="363"/>
      <c r="CF98" s="363"/>
      <c r="CG98" s="363"/>
      <c r="CH98" s="363"/>
      <c r="CI98" s="363"/>
      <c r="CJ98" s="363"/>
      <c r="CK98" s="363"/>
      <c r="CL98" s="363"/>
      <c r="CM98" s="363"/>
      <c r="CN98" s="363"/>
      <c r="CO98" s="363"/>
      <c r="CP98" s="363"/>
      <c r="CQ98" s="363"/>
      <c r="CR98" s="363"/>
      <c r="CS98" s="363"/>
      <c r="CT98" s="363"/>
      <c r="CU98" s="363"/>
      <c r="CV98" s="363"/>
      <c r="CW98" s="363"/>
      <c r="CX98" s="363"/>
      <c r="CY98" s="363"/>
      <c r="CZ98" s="363"/>
      <c r="DA98" s="363"/>
      <c r="DB98" s="363"/>
      <c r="DC98" s="363"/>
      <c r="DD98" s="363"/>
      <c r="DE98" s="363"/>
      <c r="DF98" s="363"/>
      <c r="DG98" s="363"/>
      <c r="DH98" s="363"/>
      <c r="DI98" s="363"/>
      <c r="DJ98" s="363"/>
      <c r="DK98" s="363"/>
      <c r="DL98" s="363"/>
      <c r="DM98" s="363"/>
      <c r="DN98" s="363"/>
      <c r="DO98" s="363"/>
      <c r="DP98" s="363"/>
      <c r="DQ98" s="363"/>
      <c r="DR98" s="363"/>
      <c r="DS98" s="363"/>
      <c r="DT98" s="363"/>
      <c r="DU98" s="363"/>
      <c r="DV98" s="363"/>
      <c r="DW98" s="363"/>
      <c r="DX98" s="363"/>
      <c r="DY98" s="363"/>
      <c r="DZ98" s="363"/>
      <c r="EA98" s="363"/>
      <c r="EB98" s="363"/>
      <c r="EC98" s="363"/>
      <c r="ED98" s="363"/>
      <c r="EE98" s="363"/>
      <c r="EF98" s="363"/>
      <c r="EG98" s="363"/>
      <c r="EH98" s="363"/>
      <c r="EI98" s="363"/>
      <c r="EJ98" s="363"/>
      <c r="EK98" s="363"/>
      <c r="EL98" s="363"/>
      <c r="EM98" s="363"/>
      <c r="EN98" s="363"/>
      <c r="EO98" s="363"/>
      <c r="EP98" s="363"/>
      <c r="EQ98" s="363"/>
      <c r="ER98" s="363"/>
      <c r="ES98" s="363"/>
      <c r="ET98" s="363"/>
      <c r="EU98" s="363"/>
      <c r="EV98" s="363"/>
      <c r="EW98" s="363"/>
      <c r="EX98" s="363"/>
      <c r="EY98" s="363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</row>
    <row r="99" spans="1:168" s="42" customFormat="1" ht="140.1" customHeight="1" x14ac:dyDescent="0.8">
      <c r="A99" s="43"/>
      <c r="B99" s="364" t="s">
        <v>162</v>
      </c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  <c r="AA99" s="364"/>
      <c r="AB99" s="364"/>
      <c r="AC99" s="364"/>
      <c r="AD99" s="364"/>
      <c r="AE99" s="364"/>
      <c r="AF99" s="364"/>
      <c r="AG99" s="364"/>
      <c r="AH99" s="364"/>
      <c r="AI99" s="364"/>
      <c r="AJ99" s="364"/>
      <c r="AK99" s="364"/>
      <c r="AL99" s="364"/>
      <c r="AM99" s="364"/>
      <c r="AN99" s="364"/>
      <c r="AO99" s="364"/>
      <c r="AP99" s="364"/>
      <c r="AQ99" s="364"/>
      <c r="AR99" s="364"/>
      <c r="AS99" s="364"/>
      <c r="AT99" s="364"/>
      <c r="AU99" s="364"/>
      <c r="AV99" s="364"/>
      <c r="AW99" s="364"/>
      <c r="AX99" s="364"/>
      <c r="AY99" s="364"/>
      <c r="AZ99" s="364"/>
      <c r="BA99" s="364"/>
      <c r="BB99" s="364"/>
      <c r="BC99" s="364"/>
      <c r="BD99" s="364"/>
      <c r="BE99" s="364"/>
      <c r="BF99" s="364"/>
      <c r="BG99" s="364"/>
      <c r="BH99" s="364"/>
      <c r="BI99" s="364"/>
      <c r="BJ99" s="364"/>
      <c r="BK99" s="364"/>
      <c r="BL99" s="364"/>
      <c r="BM99" s="364"/>
      <c r="BN99" s="364"/>
      <c r="BO99" s="364"/>
      <c r="BP99" s="364"/>
      <c r="BQ99" s="364"/>
      <c r="BR99" s="364"/>
      <c r="BS99" s="364"/>
      <c r="BT99" s="364"/>
      <c r="BU99" s="364"/>
      <c r="BV99" s="364"/>
      <c r="BW99" s="364"/>
      <c r="BX99" s="364"/>
      <c r="BY99" s="364"/>
      <c r="BZ99" s="364"/>
      <c r="CA99" s="364"/>
      <c r="CB99" s="364"/>
      <c r="CC99" s="364"/>
      <c r="CD99" s="364"/>
      <c r="CE99" s="364"/>
      <c r="CF99" s="364"/>
      <c r="CG99" s="364"/>
      <c r="CH99" s="364"/>
      <c r="CI99" s="364"/>
      <c r="CJ99" s="364"/>
      <c r="CK99" s="364"/>
      <c r="CL99" s="364"/>
      <c r="CM99" s="364"/>
      <c r="CN99" s="364"/>
      <c r="CO99" s="364"/>
      <c r="CP99" s="364"/>
      <c r="CQ99" s="364"/>
      <c r="CR99" s="364"/>
      <c r="CS99" s="364"/>
      <c r="CT99" s="364"/>
      <c r="CU99" s="364"/>
      <c r="CV99" s="364"/>
      <c r="CW99" s="364"/>
      <c r="CX99" s="364"/>
      <c r="CY99" s="364"/>
      <c r="CZ99" s="364"/>
      <c r="DA99" s="364"/>
      <c r="DB99" s="364"/>
      <c r="DC99" s="364"/>
      <c r="DD99" s="364"/>
      <c r="DE99" s="364"/>
      <c r="DF99" s="364"/>
      <c r="DG99" s="364"/>
      <c r="DH99" s="364"/>
      <c r="DI99" s="364"/>
      <c r="DJ99" s="364"/>
      <c r="DK99" s="364"/>
      <c r="DL99" s="364"/>
      <c r="DM99" s="364"/>
      <c r="DN99" s="364"/>
      <c r="DO99" s="364"/>
      <c r="DP99" s="364"/>
      <c r="DQ99" s="364"/>
      <c r="DR99" s="364"/>
      <c r="DS99" s="364"/>
      <c r="DT99" s="364"/>
      <c r="DU99" s="364"/>
      <c r="DV99" s="364"/>
      <c r="DW99" s="364"/>
      <c r="DX99" s="364"/>
      <c r="DY99" s="364"/>
      <c r="DZ99" s="364"/>
      <c r="EA99" s="364"/>
      <c r="EB99" s="364"/>
      <c r="EC99" s="364"/>
      <c r="ED99" s="364"/>
      <c r="EE99" s="364"/>
      <c r="EF99" s="364"/>
      <c r="EG99" s="364"/>
      <c r="EH99" s="364"/>
      <c r="EI99" s="364"/>
      <c r="EJ99" s="364"/>
      <c r="EK99" s="364"/>
      <c r="EL99" s="364"/>
      <c r="EM99" s="364"/>
      <c r="EN99" s="364"/>
      <c r="EO99" s="364"/>
      <c r="EP99" s="364"/>
      <c r="EQ99" s="364"/>
      <c r="ER99" s="364"/>
      <c r="ES99" s="364"/>
      <c r="ET99" s="364"/>
      <c r="EU99" s="364"/>
      <c r="EV99" s="364"/>
      <c r="EW99" s="364"/>
      <c r="EX99" s="364"/>
      <c r="EY99" s="364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</row>
    <row r="100" spans="1:168" s="42" customFormat="1" ht="140.1" customHeight="1" x14ac:dyDescent="0.8">
      <c r="A100" s="43"/>
      <c r="B100" s="364" t="s">
        <v>303</v>
      </c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  <c r="AA100" s="364"/>
      <c r="AB100" s="364"/>
      <c r="AC100" s="364"/>
      <c r="AD100" s="364"/>
      <c r="AE100" s="364"/>
      <c r="AF100" s="364"/>
      <c r="AG100" s="364"/>
      <c r="AH100" s="364"/>
      <c r="AI100" s="364"/>
      <c r="AJ100" s="364"/>
      <c r="AK100" s="364"/>
      <c r="AL100" s="364"/>
      <c r="AM100" s="364"/>
      <c r="AN100" s="364"/>
      <c r="AO100" s="364"/>
      <c r="AP100" s="364"/>
      <c r="AQ100" s="364"/>
      <c r="AR100" s="364"/>
      <c r="AS100" s="364"/>
      <c r="AT100" s="364"/>
      <c r="AU100" s="364"/>
      <c r="AV100" s="364"/>
      <c r="AW100" s="364"/>
      <c r="AX100" s="364"/>
      <c r="AY100" s="364"/>
      <c r="AZ100" s="364"/>
      <c r="BA100" s="364"/>
      <c r="BB100" s="364"/>
      <c r="BC100" s="364"/>
      <c r="BD100" s="364"/>
      <c r="BE100" s="364"/>
      <c r="BF100" s="364"/>
      <c r="BG100" s="364"/>
      <c r="BH100" s="364"/>
      <c r="BI100" s="364"/>
      <c r="BJ100" s="364"/>
      <c r="BK100" s="364"/>
      <c r="BL100" s="364"/>
      <c r="BM100" s="364"/>
      <c r="BN100" s="364"/>
      <c r="BO100" s="364"/>
      <c r="BP100" s="364"/>
      <c r="BQ100" s="364"/>
      <c r="BR100" s="364"/>
      <c r="BS100" s="364"/>
      <c r="BT100" s="364"/>
      <c r="BU100" s="364"/>
      <c r="BV100" s="364"/>
      <c r="BW100" s="364"/>
      <c r="BX100" s="364"/>
      <c r="BY100" s="364"/>
      <c r="BZ100" s="364"/>
      <c r="CA100" s="364"/>
      <c r="CB100" s="364"/>
      <c r="CC100" s="364"/>
      <c r="CD100" s="364"/>
      <c r="CE100" s="364"/>
      <c r="CF100" s="364"/>
      <c r="CG100" s="364"/>
      <c r="CH100" s="364"/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364"/>
      <c r="CT100" s="364"/>
      <c r="CU100" s="364"/>
      <c r="CV100" s="364"/>
      <c r="CW100" s="364"/>
      <c r="CX100" s="364"/>
      <c r="CY100" s="364"/>
      <c r="CZ100" s="364"/>
      <c r="DA100" s="364"/>
      <c r="DB100" s="364"/>
      <c r="DC100" s="364"/>
      <c r="DD100" s="364"/>
      <c r="DE100" s="364"/>
      <c r="DF100" s="364"/>
      <c r="DG100" s="364"/>
      <c r="DH100" s="364"/>
      <c r="DI100" s="364"/>
      <c r="DJ100" s="364"/>
      <c r="DK100" s="364"/>
      <c r="DL100" s="364"/>
      <c r="DM100" s="364"/>
      <c r="DN100" s="364"/>
      <c r="DO100" s="364"/>
      <c r="DP100" s="364"/>
      <c r="DQ100" s="364"/>
      <c r="DR100" s="364"/>
      <c r="DS100" s="364"/>
      <c r="DT100" s="364"/>
      <c r="DU100" s="364"/>
      <c r="DV100" s="364"/>
      <c r="DW100" s="364"/>
      <c r="DX100" s="364"/>
      <c r="DY100" s="364"/>
      <c r="DZ100" s="364"/>
      <c r="EA100" s="364"/>
      <c r="EB100" s="364"/>
      <c r="EC100" s="364"/>
      <c r="ED100" s="364"/>
      <c r="EE100" s="364"/>
      <c r="EF100" s="364"/>
      <c r="EG100" s="364"/>
      <c r="EH100" s="364"/>
      <c r="EI100" s="364"/>
      <c r="EJ100" s="364"/>
      <c r="EK100" s="364"/>
      <c r="EL100" s="364"/>
      <c r="EM100" s="364"/>
      <c r="EN100" s="364"/>
      <c r="EO100" s="364"/>
      <c r="EP100" s="364"/>
      <c r="EQ100" s="364"/>
      <c r="ER100" s="364"/>
      <c r="ES100" s="364"/>
      <c r="ET100" s="364"/>
      <c r="EU100" s="364"/>
      <c r="EV100" s="364"/>
      <c r="EW100" s="364"/>
      <c r="EX100" s="364"/>
      <c r="EY100" s="364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</row>
    <row r="101" spans="1:168" s="14" customFormat="1" ht="27" customHeight="1" x14ac:dyDescent="0.8">
      <c r="A101" s="44"/>
      <c r="B101" s="44"/>
      <c r="C101" s="45"/>
      <c r="D101" s="45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247"/>
      <c r="AB101" s="170"/>
      <c r="AC101" s="170"/>
      <c r="AD101" s="170"/>
      <c r="AE101" s="170"/>
      <c r="AF101" s="170"/>
      <c r="AG101" s="247"/>
      <c r="AH101" s="247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234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234"/>
      <c r="BQ101" s="170"/>
      <c r="BR101" s="170"/>
      <c r="BS101" s="170"/>
      <c r="BT101" s="170"/>
      <c r="BU101" s="170"/>
      <c r="BV101" s="170"/>
      <c r="BW101" s="170"/>
      <c r="BX101" s="170"/>
      <c r="BY101" s="170"/>
      <c r="BZ101" s="170"/>
      <c r="CA101" s="170"/>
      <c r="CB101" s="170"/>
      <c r="CC101" s="170"/>
      <c r="CD101" s="170"/>
      <c r="CE101" s="170"/>
      <c r="CF101" s="170"/>
      <c r="CG101" s="170"/>
      <c r="CH101" s="170"/>
      <c r="CI101" s="170"/>
      <c r="CJ101" s="170"/>
      <c r="CK101" s="170"/>
      <c r="CL101" s="170"/>
      <c r="CM101" s="170"/>
      <c r="CN101" s="170"/>
      <c r="CO101" s="170"/>
      <c r="CP101" s="170"/>
      <c r="CQ101" s="170"/>
      <c r="CR101" s="170"/>
      <c r="CS101" s="170"/>
      <c r="CT101" s="170"/>
      <c r="CU101" s="170"/>
      <c r="CV101" s="170"/>
      <c r="CW101" s="170"/>
      <c r="CX101" s="170"/>
      <c r="CY101" s="170"/>
      <c r="CZ101" s="170"/>
      <c r="DA101" s="170"/>
      <c r="DB101" s="170"/>
      <c r="DC101" s="170"/>
      <c r="DD101" s="170"/>
      <c r="DE101" s="170"/>
      <c r="DF101" s="170"/>
      <c r="DG101" s="170"/>
      <c r="DH101" s="170"/>
      <c r="DI101" s="170"/>
      <c r="DJ101" s="170"/>
      <c r="DK101" s="170"/>
      <c r="DL101" s="170"/>
      <c r="DM101" s="170"/>
      <c r="DN101" s="170"/>
      <c r="DO101" s="170"/>
      <c r="DP101" s="170"/>
      <c r="DQ101" s="170"/>
      <c r="DR101" s="170"/>
      <c r="DS101" s="170"/>
      <c r="DT101" s="170"/>
      <c r="DU101" s="170"/>
      <c r="DV101" s="47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21"/>
      <c r="EM101" s="48"/>
      <c r="EN101" s="48"/>
      <c r="EO101" s="48"/>
      <c r="EP101" s="48"/>
      <c r="EQ101" s="48"/>
      <c r="ER101" s="48"/>
      <c r="ES101" s="48"/>
      <c r="ET101" s="21"/>
      <c r="EU101" s="48"/>
      <c r="EV101" s="48"/>
      <c r="EW101" s="48"/>
      <c r="EX101" s="48"/>
      <c r="EY101" s="48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</row>
    <row r="102" spans="1:168" s="14" customFormat="1" ht="32.25" customHeight="1" x14ac:dyDescent="0.8">
      <c r="A102" s="44"/>
      <c r="B102" s="44"/>
      <c r="C102" s="45"/>
      <c r="D102" s="4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65"/>
      <c r="AY102" s="365"/>
      <c r="AZ102" s="365"/>
      <c r="BA102" s="365"/>
      <c r="BB102" s="365"/>
      <c r="BC102" s="365"/>
      <c r="BD102" s="365"/>
      <c r="BE102" s="365"/>
      <c r="BF102" s="365"/>
      <c r="BG102" s="365"/>
      <c r="BH102" s="365"/>
      <c r="BI102" s="365"/>
      <c r="BJ102" s="365"/>
      <c r="BK102" s="365"/>
      <c r="BL102" s="365"/>
      <c r="BM102" s="365"/>
      <c r="BN102" s="365"/>
      <c r="BO102" s="365"/>
      <c r="BP102" s="365"/>
      <c r="BQ102" s="365"/>
      <c r="BR102" s="365"/>
      <c r="BS102" s="365"/>
      <c r="BT102" s="365"/>
      <c r="BU102" s="365"/>
      <c r="BV102" s="365"/>
      <c r="BW102" s="365"/>
      <c r="BX102" s="365"/>
      <c r="BY102" s="365"/>
      <c r="BZ102" s="365"/>
      <c r="CA102" s="365"/>
      <c r="CB102" s="365"/>
      <c r="CC102" s="365"/>
      <c r="CD102" s="365"/>
      <c r="CE102" s="365"/>
      <c r="CF102" s="365"/>
      <c r="CG102" s="365"/>
      <c r="CH102" s="365"/>
      <c r="CI102" s="365"/>
      <c r="CJ102" s="365"/>
      <c r="CK102" s="365"/>
      <c r="CL102" s="365"/>
      <c r="CM102" s="365"/>
      <c r="CN102" s="365"/>
      <c r="CO102" s="365"/>
      <c r="CP102" s="365"/>
      <c r="CQ102" s="365"/>
      <c r="CR102" s="365"/>
      <c r="CS102" s="365"/>
      <c r="CT102" s="365"/>
      <c r="CU102" s="365"/>
      <c r="CV102" s="365"/>
      <c r="CW102" s="365"/>
      <c r="CX102" s="365"/>
      <c r="CY102" s="365"/>
      <c r="CZ102" s="365"/>
      <c r="DA102" s="365"/>
      <c r="DB102" s="365"/>
      <c r="DC102" s="365"/>
      <c r="DD102" s="365"/>
      <c r="DE102" s="365"/>
      <c r="DF102" s="365"/>
      <c r="DG102" s="365"/>
      <c r="DH102" s="365"/>
      <c r="DI102" s="365"/>
      <c r="DJ102" s="365"/>
      <c r="DK102" s="365"/>
      <c r="DL102" s="365"/>
      <c r="DM102" s="365"/>
      <c r="DN102" s="365"/>
      <c r="DO102" s="365"/>
      <c r="DP102" s="365"/>
      <c r="DQ102" s="365"/>
      <c r="DR102" s="365"/>
      <c r="DS102" s="365"/>
      <c r="DT102" s="365"/>
      <c r="DU102" s="170"/>
      <c r="DV102" s="47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21"/>
      <c r="EM102" s="48"/>
      <c r="EN102" s="48"/>
      <c r="EO102" s="48"/>
      <c r="EP102" s="48"/>
      <c r="EQ102" s="48"/>
      <c r="ER102" s="48"/>
      <c r="ES102" s="48"/>
      <c r="ET102" s="21"/>
      <c r="EU102" s="48"/>
      <c r="EV102" s="48"/>
      <c r="EW102" s="48"/>
      <c r="EX102" s="48"/>
      <c r="EY102" s="48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</row>
    <row r="103" spans="1:168" ht="120" customHeight="1" x14ac:dyDescent="0.85">
      <c r="A103" s="43"/>
      <c r="B103" s="43"/>
      <c r="C103" s="49"/>
      <c r="D103" s="49"/>
      <c r="E103" s="348" t="s">
        <v>104</v>
      </c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51" t="s">
        <v>105</v>
      </c>
      <c r="AG103" s="352"/>
      <c r="AH103" s="352"/>
      <c r="AI103" s="352"/>
      <c r="AJ103" s="352"/>
      <c r="AK103" s="352"/>
      <c r="AL103" s="352"/>
      <c r="AM103" s="352"/>
      <c r="AN103" s="352"/>
      <c r="AO103" s="353"/>
      <c r="AP103" s="354" t="s">
        <v>106</v>
      </c>
      <c r="AQ103" s="355"/>
      <c r="AR103" s="355"/>
      <c r="AS103" s="355"/>
      <c r="AT103" s="355"/>
      <c r="AU103" s="355"/>
      <c r="AV103" s="355"/>
      <c r="AW103" s="356"/>
      <c r="AX103" s="383" t="s">
        <v>107</v>
      </c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  <c r="BU103" s="384"/>
      <c r="BV103" s="384"/>
      <c r="BW103" s="384"/>
      <c r="BX103" s="384"/>
      <c r="BY103" s="384"/>
      <c r="BZ103" s="384"/>
      <c r="CA103" s="384"/>
      <c r="CB103" s="384"/>
      <c r="CC103" s="384"/>
      <c r="CD103" s="384"/>
      <c r="CE103" s="384"/>
      <c r="CF103" s="384"/>
      <c r="CG103" s="384"/>
      <c r="CH103" s="384"/>
      <c r="CI103" s="384"/>
      <c r="CJ103" s="384"/>
      <c r="CK103" s="384"/>
      <c r="CL103" s="385"/>
      <c r="CM103" s="50"/>
      <c r="CN103" s="50"/>
      <c r="CO103" s="50"/>
      <c r="CP103" s="50"/>
      <c r="CQ103" s="50"/>
      <c r="CR103" s="50"/>
      <c r="CS103" s="50"/>
      <c r="CT103" s="116"/>
      <c r="CU103" s="116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16"/>
      <c r="EP103" s="116"/>
      <c r="EQ103" s="50"/>
      <c r="ER103" s="50"/>
      <c r="ES103" s="50"/>
      <c r="ET103" s="50"/>
      <c r="EU103" s="50"/>
      <c r="EV103" s="50"/>
      <c r="EW103" s="50"/>
      <c r="EX103" s="50"/>
      <c r="EY103" s="50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</row>
    <row r="104" spans="1:168" ht="120" customHeight="1" x14ac:dyDescent="0.85">
      <c r="A104" s="43"/>
      <c r="B104" s="43"/>
      <c r="C104" s="49"/>
      <c r="D104" s="49"/>
      <c r="E104" s="769" t="s">
        <v>108</v>
      </c>
      <c r="F104" s="769"/>
      <c r="G104" s="769"/>
      <c r="H104" s="769"/>
      <c r="I104" s="769"/>
      <c r="J104" s="769"/>
      <c r="K104" s="769"/>
      <c r="L104" s="769"/>
      <c r="M104" s="769"/>
      <c r="N104" s="769"/>
      <c r="O104" s="769"/>
      <c r="P104" s="769"/>
      <c r="Q104" s="769"/>
      <c r="R104" s="769"/>
      <c r="S104" s="769"/>
      <c r="T104" s="769"/>
      <c r="U104" s="769"/>
      <c r="V104" s="769"/>
      <c r="W104" s="769"/>
      <c r="X104" s="769"/>
      <c r="Y104" s="769"/>
      <c r="Z104" s="769"/>
      <c r="AA104" s="769"/>
      <c r="AB104" s="769"/>
      <c r="AC104" s="769"/>
      <c r="AD104" s="769"/>
      <c r="AE104" s="769"/>
      <c r="AF104" s="761">
        <f>HG19</f>
        <v>30</v>
      </c>
      <c r="AG104" s="762"/>
      <c r="AH104" s="762"/>
      <c r="AI104" s="762"/>
      <c r="AJ104" s="762"/>
      <c r="AK104" s="762"/>
      <c r="AL104" s="762"/>
      <c r="AM104" s="762"/>
      <c r="AN104" s="762"/>
      <c r="AO104" s="763"/>
      <c r="AP104" s="357" t="s">
        <v>348</v>
      </c>
      <c r="AQ104" s="358"/>
      <c r="AR104" s="358"/>
      <c r="AS104" s="358"/>
      <c r="AT104" s="358"/>
      <c r="AU104" s="358"/>
      <c r="AV104" s="358"/>
      <c r="AW104" s="359"/>
      <c r="AX104" s="386" t="s">
        <v>126</v>
      </c>
      <c r="AY104" s="387"/>
      <c r="AZ104" s="387"/>
      <c r="BA104" s="387"/>
      <c r="BB104" s="387"/>
      <c r="BC104" s="387"/>
      <c r="BD104" s="387"/>
      <c r="BE104" s="387"/>
      <c r="BF104" s="387"/>
      <c r="BG104" s="387"/>
      <c r="BH104" s="387"/>
      <c r="BI104" s="387"/>
      <c r="BJ104" s="387"/>
      <c r="BK104" s="387"/>
      <c r="BL104" s="387"/>
      <c r="BM104" s="387"/>
      <c r="BN104" s="387"/>
      <c r="BO104" s="387"/>
      <c r="BP104" s="387"/>
      <c r="BQ104" s="387"/>
      <c r="BR104" s="387"/>
      <c r="BS104" s="387"/>
      <c r="BT104" s="387"/>
      <c r="BU104" s="387"/>
      <c r="BV104" s="387"/>
      <c r="BW104" s="387"/>
      <c r="BX104" s="387"/>
      <c r="BY104" s="387"/>
      <c r="BZ104" s="387"/>
      <c r="CA104" s="387"/>
      <c r="CB104" s="387"/>
      <c r="CC104" s="387"/>
      <c r="CD104" s="387"/>
      <c r="CE104" s="387"/>
      <c r="CF104" s="387"/>
      <c r="CG104" s="387"/>
      <c r="CH104" s="387"/>
      <c r="CI104" s="387"/>
      <c r="CJ104" s="387"/>
      <c r="CK104" s="387"/>
      <c r="CL104" s="388"/>
      <c r="CM104" s="50"/>
      <c r="CN104" s="50"/>
      <c r="CO104" s="50"/>
      <c r="CP104" s="50"/>
      <c r="CQ104" s="810" t="s">
        <v>343</v>
      </c>
      <c r="CR104" s="810"/>
      <c r="CS104" s="810"/>
      <c r="CT104" s="810"/>
      <c r="CU104" s="810"/>
      <c r="CV104" s="810"/>
      <c r="CW104" s="810"/>
      <c r="CX104" s="810"/>
      <c r="CY104" s="810"/>
      <c r="CZ104" s="810"/>
      <c r="DA104" s="810"/>
      <c r="DB104" s="810"/>
      <c r="DC104" s="810"/>
      <c r="DD104" s="810"/>
      <c r="DE104" s="810"/>
      <c r="DF104" s="810"/>
      <c r="DG104" s="810"/>
      <c r="DH104" s="810"/>
      <c r="DI104" s="810"/>
      <c r="DJ104" s="810"/>
      <c r="DK104" s="810"/>
      <c r="DL104" s="810"/>
      <c r="DM104" s="810"/>
      <c r="DN104" s="810"/>
      <c r="DO104" s="810"/>
      <c r="DP104" s="810"/>
      <c r="DQ104" s="810"/>
      <c r="DR104" s="810"/>
      <c r="DS104" s="810"/>
      <c r="DT104" s="810"/>
      <c r="DU104" s="810"/>
      <c r="DV104" s="810"/>
      <c r="DW104" s="810"/>
      <c r="DX104" s="810"/>
      <c r="DY104" s="810"/>
      <c r="DZ104" s="810"/>
      <c r="EA104" s="810"/>
      <c r="EB104" s="810"/>
      <c r="EC104" s="810"/>
      <c r="ED104" s="810"/>
      <c r="EE104" s="810"/>
      <c r="EF104" s="810"/>
      <c r="EG104" s="810"/>
      <c r="EH104" s="810"/>
      <c r="EI104" s="810"/>
      <c r="EJ104" s="810"/>
      <c r="EK104" s="810"/>
      <c r="EL104" s="810"/>
      <c r="EM104" s="810"/>
      <c r="EN104" s="810"/>
      <c r="EO104" s="116"/>
      <c r="EP104" s="116"/>
      <c r="EQ104" s="50"/>
      <c r="ER104" s="50"/>
      <c r="ES104" s="50"/>
      <c r="ET104" s="50"/>
      <c r="EU104" s="50"/>
      <c r="EV104" s="50"/>
      <c r="EW104" s="50"/>
      <c r="EX104" s="50"/>
      <c r="EY104" s="50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</row>
    <row r="105" spans="1:168" ht="120" customHeight="1" x14ac:dyDescent="0.85">
      <c r="A105" s="43"/>
      <c r="B105" s="43"/>
      <c r="C105" s="49"/>
      <c r="D105" s="49"/>
      <c r="E105" s="272" t="s">
        <v>345</v>
      </c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761">
        <f>HQ19</f>
        <v>90</v>
      </c>
      <c r="AG105" s="762"/>
      <c r="AH105" s="762"/>
      <c r="AI105" s="762"/>
      <c r="AJ105" s="762"/>
      <c r="AK105" s="762"/>
      <c r="AL105" s="762"/>
      <c r="AM105" s="762"/>
      <c r="AN105" s="762"/>
      <c r="AO105" s="763"/>
      <c r="AP105" s="357" t="s">
        <v>121</v>
      </c>
      <c r="AQ105" s="358"/>
      <c r="AR105" s="358"/>
      <c r="AS105" s="358"/>
      <c r="AT105" s="358"/>
      <c r="AU105" s="358"/>
      <c r="AV105" s="358"/>
      <c r="AW105" s="359"/>
      <c r="AX105" s="389"/>
      <c r="AY105" s="390"/>
      <c r="AZ105" s="390"/>
      <c r="BA105" s="390"/>
      <c r="BB105" s="390"/>
      <c r="BC105" s="390"/>
      <c r="BD105" s="390"/>
      <c r="BE105" s="390"/>
      <c r="BF105" s="390"/>
      <c r="BG105" s="390"/>
      <c r="BH105" s="390"/>
      <c r="BI105" s="390"/>
      <c r="BJ105" s="390"/>
      <c r="BK105" s="390"/>
      <c r="BL105" s="390"/>
      <c r="BM105" s="390"/>
      <c r="BN105" s="390"/>
      <c r="BO105" s="390"/>
      <c r="BP105" s="390"/>
      <c r="BQ105" s="390"/>
      <c r="BR105" s="390"/>
      <c r="BS105" s="390"/>
      <c r="BT105" s="390"/>
      <c r="BU105" s="390"/>
      <c r="BV105" s="390"/>
      <c r="BW105" s="390"/>
      <c r="BX105" s="390"/>
      <c r="BY105" s="390"/>
      <c r="BZ105" s="390"/>
      <c r="CA105" s="390"/>
      <c r="CB105" s="390"/>
      <c r="CC105" s="390"/>
      <c r="CD105" s="390"/>
      <c r="CE105" s="390"/>
      <c r="CF105" s="390"/>
      <c r="CG105" s="390"/>
      <c r="CH105" s="390"/>
      <c r="CI105" s="390"/>
      <c r="CJ105" s="390"/>
      <c r="CK105" s="390"/>
      <c r="CL105" s="391"/>
      <c r="CM105" s="50"/>
      <c r="CN105" s="50"/>
      <c r="CO105" s="50"/>
      <c r="CP105" s="50"/>
      <c r="CQ105" s="810"/>
      <c r="CR105" s="810"/>
      <c r="CS105" s="810"/>
      <c r="CT105" s="810"/>
      <c r="CU105" s="810"/>
      <c r="CV105" s="810"/>
      <c r="CW105" s="810"/>
      <c r="CX105" s="810"/>
      <c r="CY105" s="810"/>
      <c r="CZ105" s="810"/>
      <c r="DA105" s="810"/>
      <c r="DB105" s="810"/>
      <c r="DC105" s="810"/>
      <c r="DD105" s="810"/>
      <c r="DE105" s="810"/>
      <c r="DF105" s="810"/>
      <c r="DG105" s="810"/>
      <c r="DH105" s="810"/>
      <c r="DI105" s="810"/>
      <c r="DJ105" s="810"/>
      <c r="DK105" s="810"/>
      <c r="DL105" s="810"/>
      <c r="DM105" s="810"/>
      <c r="DN105" s="810"/>
      <c r="DO105" s="810"/>
      <c r="DP105" s="810"/>
      <c r="DQ105" s="810"/>
      <c r="DR105" s="810"/>
      <c r="DS105" s="810"/>
      <c r="DT105" s="810"/>
      <c r="DU105" s="810"/>
      <c r="DV105" s="810"/>
      <c r="DW105" s="810"/>
      <c r="DX105" s="810"/>
      <c r="DY105" s="810"/>
      <c r="DZ105" s="810"/>
      <c r="EA105" s="810"/>
      <c r="EB105" s="810"/>
      <c r="EC105" s="810"/>
      <c r="ED105" s="810"/>
      <c r="EE105" s="810"/>
      <c r="EF105" s="810"/>
      <c r="EG105" s="810"/>
      <c r="EH105" s="810"/>
      <c r="EI105" s="810"/>
      <c r="EJ105" s="810"/>
      <c r="EK105" s="810"/>
      <c r="EL105" s="810"/>
      <c r="EM105" s="810"/>
      <c r="EN105" s="810"/>
      <c r="EO105" s="116"/>
      <c r="EP105" s="116"/>
      <c r="EQ105" s="50"/>
      <c r="ER105" s="50"/>
      <c r="ES105" s="50"/>
      <c r="ET105" s="50"/>
      <c r="EU105" s="50"/>
      <c r="EV105" s="50"/>
      <c r="EW105" s="50"/>
      <c r="EX105" s="50"/>
      <c r="EY105" s="50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</row>
    <row r="106" spans="1:168" ht="120" customHeight="1" x14ac:dyDescent="0.85">
      <c r="A106" s="43"/>
      <c r="B106" s="43"/>
      <c r="C106" s="49"/>
      <c r="D106" s="49"/>
      <c r="E106" s="272" t="s">
        <v>158</v>
      </c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761">
        <f>HM19</f>
        <v>15</v>
      </c>
      <c r="AG106" s="762"/>
      <c r="AH106" s="762"/>
      <c r="AI106" s="762"/>
      <c r="AJ106" s="762"/>
      <c r="AK106" s="762"/>
      <c r="AL106" s="762"/>
      <c r="AM106" s="762"/>
      <c r="AN106" s="762"/>
      <c r="AO106" s="763"/>
      <c r="AP106" s="357" t="s">
        <v>171</v>
      </c>
      <c r="AQ106" s="358"/>
      <c r="AR106" s="358"/>
      <c r="AS106" s="358"/>
      <c r="AT106" s="358"/>
      <c r="AU106" s="358"/>
      <c r="AV106" s="358"/>
      <c r="AW106" s="359"/>
      <c r="AX106" s="389"/>
      <c r="AY106" s="390"/>
      <c r="AZ106" s="390"/>
      <c r="BA106" s="390"/>
      <c r="BB106" s="390"/>
      <c r="BC106" s="390"/>
      <c r="BD106" s="390"/>
      <c r="BE106" s="390"/>
      <c r="BF106" s="390"/>
      <c r="BG106" s="390"/>
      <c r="BH106" s="390"/>
      <c r="BI106" s="390"/>
      <c r="BJ106" s="390"/>
      <c r="BK106" s="390"/>
      <c r="BL106" s="390"/>
      <c r="BM106" s="390"/>
      <c r="BN106" s="390"/>
      <c r="BO106" s="390"/>
      <c r="BP106" s="390"/>
      <c r="BQ106" s="390"/>
      <c r="BR106" s="390"/>
      <c r="BS106" s="390"/>
      <c r="BT106" s="390"/>
      <c r="BU106" s="390"/>
      <c r="BV106" s="390"/>
      <c r="BW106" s="390"/>
      <c r="BX106" s="390"/>
      <c r="BY106" s="390"/>
      <c r="BZ106" s="390"/>
      <c r="CA106" s="390"/>
      <c r="CB106" s="390"/>
      <c r="CC106" s="390"/>
      <c r="CD106" s="390"/>
      <c r="CE106" s="390"/>
      <c r="CF106" s="390"/>
      <c r="CG106" s="390"/>
      <c r="CH106" s="390"/>
      <c r="CI106" s="390"/>
      <c r="CJ106" s="390"/>
      <c r="CK106" s="390"/>
      <c r="CL106" s="391"/>
      <c r="CM106" s="50"/>
      <c r="CN106" s="50"/>
      <c r="CO106" s="50"/>
      <c r="CP106" s="50"/>
      <c r="CQ106" s="810"/>
      <c r="CR106" s="810"/>
      <c r="CS106" s="810"/>
      <c r="CT106" s="810"/>
      <c r="CU106" s="810"/>
      <c r="CV106" s="810"/>
      <c r="CW106" s="810"/>
      <c r="CX106" s="810"/>
      <c r="CY106" s="810"/>
      <c r="CZ106" s="810"/>
      <c r="DA106" s="810"/>
      <c r="DB106" s="810"/>
      <c r="DC106" s="810"/>
      <c r="DD106" s="810"/>
      <c r="DE106" s="810"/>
      <c r="DF106" s="810"/>
      <c r="DG106" s="810"/>
      <c r="DH106" s="810"/>
      <c r="DI106" s="810"/>
      <c r="DJ106" s="810"/>
      <c r="DK106" s="810"/>
      <c r="DL106" s="810"/>
      <c r="DM106" s="810"/>
      <c r="DN106" s="810"/>
      <c r="DO106" s="810"/>
      <c r="DP106" s="810"/>
      <c r="DQ106" s="810"/>
      <c r="DR106" s="810"/>
      <c r="DS106" s="810"/>
      <c r="DT106" s="810"/>
      <c r="DU106" s="810"/>
      <c r="DV106" s="810"/>
      <c r="DW106" s="810"/>
      <c r="DX106" s="810"/>
      <c r="DY106" s="810"/>
      <c r="DZ106" s="810"/>
      <c r="EA106" s="810"/>
      <c r="EB106" s="810"/>
      <c r="EC106" s="810"/>
      <c r="ED106" s="810"/>
      <c r="EE106" s="810"/>
      <c r="EF106" s="810"/>
      <c r="EG106" s="810"/>
      <c r="EH106" s="810"/>
      <c r="EI106" s="810"/>
      <c r="EJ106" s="810"/>
      <c r="EK106" s="810"/>
      <c r="EL106" s="810"/>
      <c r="EM106" s="810"/>
      <c r="EN106" s="810"/>
      <c r="EO106" s="116"/>
      <c r="EP106" s="116"/>
      <c r="EQ106" s="50"/>
      <c r="ER106" s="50"/>
      <c r="ES106" s="50"/>
      <c r="ET106" s="50"/>
      <c r="EU106" s="50"/>
      <c r="EV106" s="50"/>
      <c r="EW106" s="50"/>
      <c r="EX106" s="50"/>
      <c r="EY106" s="50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</row>
    <row r="107" spans="1:168" ht="120" customHeight="1" x14ac:dyDescent="0.85">
      <c r="A107" s="43"/>
      <c r="B107" s="43"/>
      <c r="C107" s="49"/>
      <c r="D107" s="49"/>
      <c r="E107" s="272" t="s">
        <v>110</v>
      </c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761">
        <f>HI19</f>
        <v>16</v>
      </c>
      <c r="AG107" s="762"/>
      <c r="AH107" s="762"/>
      <c r="AI107" s="762"/>
      <c r="AJ107" s="762"/>
      <c r="AK107" s="762"/>
      <c r="AL107" s="762"/>
      <c r="AM107" s="762"/>
      <c r="AN107" s="762"/>
      <c r="AO107" s="763"/>
      <c r="AP107" s="357" t="s">
        <v>122</v>
      </c>
      <c r="AQ107" s="358"/>
      <c r="AR107" s="358"/>
      <c r="AS107" s="358"/>
      <c r="AT107" s="358"/>
      <c r="AU107" s="358"/>
      <c r="AV107" s="358"/>
      <c r="AW107" s="359"/>
      <c r="AX107" s="389"/>
      <c r="AY107" s="390"/>
      <c r="AZ107" s="390"/>
      <c r="BA107" s="390"/>
      <c r="BB107" s="390"/>
      <c r="BC107" s="390"/>
      <c r="BD107" s="390"/>
      <c r="BE107" s="390"/>
      <c r="BF107" s="390"/>
      <c r="BG107" s="390"/>
      <c r="BH107" s="390"/>
      <c r="BI107" s="390"/>
      <c r="BJ107" s="390"/>
      <c r="BK107" s="390"/>
      <c r="BL107" s="390"/>
      <c r="BM107" s="390"/>
      <c r="BN107" s="390"/>
      <c r="BO107" s="390"/>
      <c r="BP107" s="390"/>
      <c r="BQ107" s="390"/>
      <c r="BR107" s="390"/>
      <c r="BS107" s="390"/>
      <c r="BT107" s="390"/>
      <c r="BU107" s="390"/>
      <c r="BV107" s="390"/>
      <c r="BW107" s="390"/>
      <c r="BX107" s="390"/>
      <c r="BY107" s="390"/>
      <c r="BZ107" s="390"/>
      <c r="CA107" s="390"/>
      <c r="CB107" s="390"/>
      <c r="CC107" s="390"/>
      <c r="CD107" s="390"/>
      <c r="CE107" s="390"/>
      <c r="CF107" s="390"/>
      <c r="CG107" s="390"/>
      <c r="CH107" s="390"/>
      <c r="CI107" s="390"/>
      <c r="CJ107" s="390"/>
      <c r="CK107" s="390"/>
      <c r="CL107" s="391"/>
      <c r="CM107" s="50"/>
      <c r="CN107" s="50"/>
      <c r="CO107" s="50"/>
      <c r="CP107" s="50"/>
      <c r="CQ107" s="810"/>
      <c r="CR107" s="810"/>
      <c r="CS107" s="810"/>
      <c r="CT107" s="810"/>
      <c r="CU107" s="810"/>
      <c r="CV107" s="810"/>
      <c r="CW107" s="810"/>
      <c r="CX107" s="810"/>
      <c r="CY107" s="810"/>
      <c r="CZ107" s="810"/>
      <c r="DA107" s="810"/>
      <c r="DB107" s="810"/>
      <c r="DC107" s="810"/>
      <c r="DD107" s="810"/>
      <c r="DE107" s="810"/>
      <c r="DF107" s="810"/>
      <c r="DG107" s="810"/>
      <c r="DH107" s="810"/>
      <c r="DI107" s="810"/>
      <c r="DJ107" s="810"/>
      <c r="DK107" s="810"/>
      <c r="DL107" s="810"/>
      <c r="DM107" s="810"/>
      <c r="DN107" s="810"/>
      <c r="DO107" s="810"/>
      <c r="DP107" s="810"/>
      <c r="DQ107" s="810"/>
      <c r="DR107" s="810"/>
      <c r="DS107" s="810"/>
      <c r="DT107" s="810"/>
      <c r="DU107" s="810"/>
      <c r="DV107" s="810"/>
      <c r="DW107" s="810"/>
      <c r="DX107" s="810"/>
      <c r="DY107" s="810"/>
      <c r="DZ107" s="810"/>
      <c r="EA107" s="810"/>
      <c r="EB107" s="810"/>
      <c r="EC107" s="810"/>
      <c r="ED107" s="810"/>
      <c r="EE107" s="810"/>
      <c r="EF107" s="810"/>
      <c r="EG107" s="810"/>
      <c r="EH107" s="810"/>
      <c r="EI107" s="810"/>
      <c r="EJ107" s="810"/>
      <c r="EK107" s="810"/>
      <c r="EL107" s="810"/>
      <c r="EM107" s="810"/>
      <c r="EN107" s="810"/>
      <c r="EO107" s="116"/>
      <c r="EP107" s="116"/>
      <c r="EQ107" s="50"/>
      <c r="ER107" s="50"/>
      <c r="ES107" s="50"/>
      <c r="ET107" s="50"/>
      <c r="EU107" s="50"/>
      <c r="EV107" s="50"/>
      <c r="EW107" s="50"/>
      <c r="EX107" s="50"/>
      <c r="EY107" s="50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</row>
    <row r="108" spans="1:168" ht="120" customHeight="1" x14ac:dyDescent="0.85">
      <c r="A108" s="43"/>
      <c r="B108" s="43"/>
      <c r="C108" s="49"/>
      <c r="D108" s="49"/>
      <c r="E108" s="272" t="s">
        <v>111</v>
      </c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  <c r="AB108" s="272"/>
      <c r="AC108" s="272"/>
      <c r="AD108" s="272"/>
      <c r="AE108" s="272"/>
      <c r="AF108" s="761">
        <f>HO19</f>
        <v>2</v>
      </c>
      <c r="AG108" s="762"/>
      <c r="AH108" s="762"/>
      <c r="AI108" s="762"/>
      <c r="AJ108" s="762"/>
      <c r="AK108" s="762"/>
      <c r="AL108" s="762"/>
      <c r="AM108" s="762"/>
      <c r="AN108" s="762"/>
      <c r="AO108" s="763"/>
      <c r="AP108" s="357" t="s">
        <v>123</v>
      </c>
      <c r="AQ108" s="358"/>
      <c r="AR108" s="358"/>
      <c r="AS108" s="358"/>
      <c r="AT108" s="358"/>
      <c r="AU108" s="358"/>
      <c r="AV108" s="358"/>
      <c r="AW108" s="359"/>
      <c r="AX108" s="389"/>
      <c r="AY108" s="390"/>
      <c r="AZ108" s="390"/>
      <c r="BA108" s="390"/>
      <c r="BB108" s="390"/>
      <c r="BC108" s="390"/>
      <c r="BD108" s="390"/>
      <c r="BE108" s="390"/>
      <c r="BF108" s="390"/>
      <c r="BG108" s="390"/>
      <c r="BH108" s="390"/>
      <c r="BI108" s="390"/>
      <c r="BJ108" s="390"/>
      <c r="BK108" s="390"/>
      <c r="BL108" s="390"/>
      <c r="BM108" s="390"/>
      <c r="BN108" s="390"/>
      <c r="BO108" s="390"/>
      <c r="BP108" s="390"/>
      <c r="BQ108" s="390"/>
      <c r="BR108" s="390"/>
      <c r="BS108" s="390"/>
      <c r="BT108" s="390"/>
      <c r="BU108" s="390"/>
      <c r="BV108" s="390"/>
      <c r="BW108" s="390"/>
      <c r="BX108" s="390"/>
      <c r="BY108" s="390"/>
      <c r="BZ108" s="390"/>
      <c r="CA108" s="390"/>
      <c r="CB108" s="390"/>
      <c r="CC108" s="390"/>
      <c r="CD108" s="390"/>
      <c r="CE108" s="390"/>
      <c r="CF108" s="390"/>
      <c r="CG108" s="390"/>
      <c r="CH108" s="390"/>
      <c r="CI108" s="390"/>
      <c r="CJ108" s="390"/>
      <c r="CK108" s="390"/>
      <c r="CL108" s="391"/>
      <c r="CM108" s="50"/>
      <c r="CN108" s="50"/>
      <c r="CO108" s="50"/>
      <c r="CP108" s="50"/>
      <c r="CQ108" s="810"/>
      <c r="CR108" s="810"/>
      <c r="CS108" s="810"/>
      <c r="CT108" s="810"/>
      <c r="CU108" s="810"/>
      <c r="CV108" s="810"/>
      <c r="CW108" s="810"/>
      <c r="CX108" s="810"/>
      <c r="CY108" s="810"/>
      <c r="CZ108" s="810"/>
      <c r="DA108" s="810"/>
      <c r="DB108" s="810"/>
      <c r="DC108" s="810"/>
      <c r="DD108" s="810"/>
      <c r="DE108" s="810"/>
      <c r="DF108" s="810"/>
      <c r="DG108" s="810"/>
      <c r="DH108" s="810"/>
      <c r="DI108" s="810"/>
      <c r="DJ108" s="810"/>
      <c r="DK108" s="810"/>
      <c r="DL108" s="810"/>
      <c r="DM108" s="810"/>
      <c r="DN108" s="810"/>
      <c r="DO108" s="810"/>
      <c r="DP108" s="810"/>
      <c r="DQ108" s="810"/>
      <c r="DR108" s="810"/>
      <c r="DS108" s="810"/>
      <c r="DT108" s="810"/>
      <c r="DU108" s="810"/>
      <c r="DV108" s="810"/>
      <c r="DW108" s="810"/>
      <c r="DX108" s="810"/>
      <c r="DY108" s="810"/>
      <c r="DZ108" s="810"/>
      <c r="EA108" s="810"/>
      <c r="EB108" s="810"/>
      <c r="EC108" s="810"/>
      <c r="ED108" s="810"/>
      <c r="EE108" s="810"/>
      <c r="EF108" s="810"/>
      <c r="EG108" s="810"/>
      <c r="EH108" s="810"/>
      <c r="EI108" s="810"/>
      <c r="EJ108" s="810"/>
      <c r="EK108" s="810"/>
      <c r="EL108" s="810"/>
      <c r="EM108" s="810"/>
      <c r="EN108" s="810"/>
      <c r="EO108" s="116"/>
      <c r="EP108" s="116"/>
      <c r="EQ108" s="50"/>
      <c r="ER108" s="50"/>
      <c r="ES108" s="50"/>
      <c r="ET108" s="50"/>
      <c r="EU108" s="50"/>
      <c r="EV108" s="50"/>
      <c r="EW108" s="50"/>
      <c r="EX108" s="50"/>
      <c r="EY108" s="50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</row>
    <row r="109" spans="1:168" ht="120" customHeight="1" x14ac:dyDescent="0.85">
      <c r="A109" s="43"/>
      <c r="B109" s="43"/>
      <c r="C109" s="49"/>
      <c r="D109" s="49"/>
      <c r="E109" s="769" t="s">
        <v>112</v>
      </c>
      <c r="F109" s="769"/>
      <c r="G109" s="769"/>
      <c r="H109" s="769"/>
      <c r="I109" s="769"/>
      <c r="J109" s="769"/>
      <c r="K109" s="769"/>
      <c r="L109" s="769"/>
      <c r="M109" s="769"/>
      <c r="N109" s="769"/>
      <c r="O109" s="769"/>
      <c r="P109" s="769"/>
      <c r="Q109" s="769"/>
      <c r="R109" s="769"/>
      <c r="S109" s="769"/>
      <c r="T109" s="769"/>
      <c r="U109" s="769"/>
      <c r="V109" s="769"/>
      <c r="W109" s="769"/>
      <c r="X109" s="769"/>
      <c r="Y109" s="769"/>
      <c r="Z109" s="769"/>
      <c r="AA109" s="769"/>
      <c r="AB109" s="769"/>
      <c r="AC109" s="769"/>
      <c r="AD109" s="769"/>
      <c r="AE109" s="769"/>
      <c r="AF109" s="761">
        <f>HS19</f>
        <v>46</v>
      </c>
      <c r="AG109" s="762"/>
      <c r="AH109" s="762"/>
      <c r="AI109" s="762"/>
      <c r="AJ109" s="762"/>
      <c r="AK109" s="762"/>
      <c r="AL109" s="762"/>
      <c r="AM109" s="762"/>
      <c r="AN109" s="762"/>
      <c r="AO109" s="763"/>
      <c r="AP109" s="357" t="s">
        <v>122</v>
      </c>
      <c r="AQ109" s="358"/>
      <c r="AR109" s="358"/>
      <c r="AS109" s="358"/>
      <c r="AT109" s="358"/>
      <c r="AU109" s="358"/>
      <c r="AV109" s="358"/>
      <c r="AW109" s="359"/>
      <c r="AX109" s="389"/>
      <c r="AY109" s="390"/>
      <c r="AZ109" s="390"/>
      <c r="BA109" s="390"/>
      <c r="BB109" s="390"/>
      <c r="BC109" s="390"/>
      <c r="BD109" s="390"/>
      <c r="BE109" s="390"/>
      <c r="BF109" s="390"/>
      <c r="BG109" s="390"/>
      <c r="BH109" s="390"/>
      <c r="BI109" s="390"/>
      <c r="BJ109" s="390"/>
      <c r="BK109" s="390"/>
      <c r="BL109" s="390"/>
      <c r="BM109" s="390"/>
      <c r="BN109" s="390"/>
      <c r="BO109" s="390"/>
      <c r="BP109" s="390"/>
      <c r="BQ109" s="390"/>
      <c r="BR109" s="390"/>
      <c r="BS109" s="390"/>
      <c r="BT109" s="390"/>
      <c r="BU109" s="390"/>
      <c r="BV109" s="390"/>
      <c r="BW109" s="390"/>
      <c r="BX109" s="390"/>
      <c r="BY109" s="390"/>
      <c r="BZ109" s="390"/>
      <c r="CA109" s="390"/>
      <c r="CB109" s="390"/>
      <c r="CC109" s="390"/>
      <c r="CD109" s="390"/>
      <c r="CE109" s="390"/>
      <c r="CF109" s="390"/>
      <c r="CG109" s="390"/>
      <c r="CH109" s="390"/>
      <c r="CI109" s="390"/>
      <c r="CJ109" s="390"/>
      <c r="CK109" s="390"/>
      <c r="CL109" s="391"/>
      <c r="CM109" s="50"/>
      <c r="CN109" s="50"/>
      <c r="CO109" s="50"/>
      <c r="CP109" s="50"/>
      <c r="CQ109" s="810"/>
      <c r="CR109" s="810"/>
      <c r="CS109" s="810"/>
      <c r="CT109" s="810"/>
      <c r="CU109" s="810"/>
      <c r="CV109" s="810"/>
      <c r="CW109" s="810"/>
      <c r="CX109" s="810"/>
      <c r="CY109" s="810"/>
      <c r="CZ109" s="810"/>
      <c r="DA109" s="810"/>
      <c r="DB109" s="810"/>
      <c r="DC109" s="810"/>
      <c r="DD109" s="810"/>
      <c r="DE109" s="810"/>
      <c r="DF109" s="810"/>
      <c r="DG109" s="810"/>
      <c r="DH109" s="810"/>
      <c r="DI109" s="810"/>
      <c r="DJ109" s="810"/>
      <c r="DK109" s="810"/>
      <c r="DL109" s="810"/>
      <c r="DM109" s="810"/>
      <c r="DN109" s="810"/>
      <c r="DO109" s="810"/>
      <c r="DP109" s="810"/>
      <c r="DQ109" s="810"/>
      <c r="DR109" s="810"/>
      <c r="DS109" s="810"/>
      <c r="DT109" s="810"/>
      <c r="DU109" s="810"/>
      <c r="DV109" s="810"/>
      <c r="DW109" s="810"/>
      <c r="DX109" s="810"/>
      <c r="DY109" s="810"/>
      <c r="DZ109" s="810"/>
      <c r="EA109" s="810"/>
      <c r="EB109" s="810"/>
      <c r="EC109" s="810"/>
      <c r="ED109" s="810"/>
      <c r="EE109" s="810"/>
      <c r="EF109" s="810"/>
      <c r="EG109" s="810"/>
      <c r="EH109" s="810"/>
      <c r="EI109" s="810"/>
      <c r="EJ109" s="810"/>
      <c r="EK109" s="810"/>
      <c r="EL109" s="810"/>
      <c r="EM109" s="810"/>
      <c r="EN109" s="810"/>
      <c r="EO109" s="116"/>
      <c r="EP109" s="116"/>
      <c r="EQ109" s="50"/>
      <c r="ER109" s="50"/>
      <c r="ES109" s="50"/>
      <c r="ET109" s="50"/>
      <c r="EU109" s="50"/>
      <c r="EV109" s="50"/>
      <c r="EW109" s="50"/>
      <c r="EX109" s="50"/>
      <c r="EY109" s="50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</row>
    <row r="110" spans="1:168" ht="120" customHeight="1" x14ac:dyDescent="0.85">
      <c r="A110" s="43"/>
      <c r="B110" s="43"/>
      <c r="C110" s="49"/>
      <c r="D110" s="49"/>
      <c r="E110" s="272" t="s">
        <v>113</v>
      </c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761">
        <f>HK19</f>
        <v>5</v>
      </c>
      <c r="AG110" s="762"/>
      <c r="AH110" s="762"/>
      <c r="AI110" s="762"/>
      <c r="AJ110" s="762"/>
      <c r="AK110" s="762"/>
      <c r="AL110" s="762"/>
      <c r="AM110" s="762"/>
      <c r="AN110" s="762"/>
      <c r="AO110" s="763"/>
      <c r="AP110" s="357" t="s">
        <v>349</v>
      </c>
      <c r="AQ110" s="358"/>
      <c r="AR110" s="358"/>
      <c r="AS110" s="358"/>
      <c r="AT110" s="358"/>
      <c r="AU110" s="358"/>
      <c r="AV110" s="358"/>
      <c r="AW110" s="359"/>
      <c r="AX110" s="389"/>
      <c r="AY110" s="390"/>
      <c r="AZ110" s="390"/>
      <c r="BA110" s="390"/>
      <c r="BB110" s="390"/>
      <c r="BC110" s="390"/>
      <c r="BD110" s="390"/>
      <c r="BE110" s="390"/>
      <c r="BF110" s="390"/>
      <c r="BG110" s="390"/>
      <c r="BH110" s="390"/>
      <c r="BI110" s="390"/>
      <c r="BJ110" s="390"/>
      <c r="BK110" s="390"/>
      <c r="BL110" s="390"/>
      <c r="BM110" s="390"/>
      <c r="BN110" s="390"/>
      <c r="BO110" s="390"/>
      <c r="BP110" s="390"/>
      <c r="BQ110" s="390"/>
      <c r="BR110" s="390"/>
      <c r="BS110" s="390"/>
      <c r="BT110" s="390"/>
      <c r="BU110" s="390"/>
      <c r="BV110" s="390"/>
      <c r="BW110" s="390"/>
      <c r="BX110" s="390"/>
      <c r="BY110" s="390"/>
      <c r="BZ110" s="390"/>
      <c r="CA110" s="390"/>
      <c r="CB110" s="390"/>
      <c r="CC110" s="390"/>
      <c r="CD110" s="390"/>
      <c r="CE110" s="390"/>
      <c r="CF110" s="390"/>
      <c r="CG110" s="390"/>
      <c r="CH110" s="390"/>
      <c r="CI110" s="390"/>
      <c r="CJ110" s="390"/>
      <c r="CK110" s="390"/>
      <c r="CL110" s="391"/>
      <c r="CM110" s="50"/>
      <c r="CN110" s="50"/>
      <c r="CO110" s="50"/>
      <c r="CP110" s="50"/>
      <c r="CQ110" s="810"/>
      <c r="CR110" s="810"/>
      <c r="CS110" s="810"/>
      <c r="CT110" s="810"/>
      <c r="CU110" s="810"/>
      <c r="CV110" s="810"/>
      <c r="CW110" s="810"/>
      <c r="CX110" s="810"/>
      <c r="CY110" s="810"/>
      <c r="CZ110" s="810"/>
      <c r="DA110" s="810"/>
      <c r="DB110" s="810"/>
      <c r="DC110" s="810"/>
      <c r="DD110" s="810"/>
      <c r="DE110" s="810"/>
      <c r="DF110" s="810"/>
      <c r="DG110" s="810"/>
      <c r="DH110" s="810"/>
      <c r="DI110" s="810"/>
      <c r="DJ110" s="810"/>
      <c r="DK110" s="810"/>
      <c r="DL110" s="810"/>
      <c r="DM110" s="810"/>
      <c r="DN110" s="810"/>
      <c r="DO110" s="810"/>
      <c r="DP110" s="810"/>
      <c r="DQ110" s="810"/>
      <c r="DR110" s="810"/>
      <c r="DS110" s="810"/>
      <c r="DT110" s="810"/>
      <c r="DU110" s="810"/>
      <c r="DV110" s="810"/>
      <c r="DW110" s="810"/>
      <c r="DX110" s="810"/>
      <c r="DY110" s="810"/>
      <c r="DZ110" s="810"/>
      <c r="EA110" s="810"/>
      <c r="EB110" s="810"/>
      <c r="EC110" s="810"/>
      <c r="ED110" s="810"/>
      <c r="EE110" s="810"/>
      <c r="EF110" s="810"/>
      <c r="EG110" s="810"/>
      <c r="EH110" s="810"/>
      <c r="EI110" s="810"/>
      <c r="EJ110" s="810"/>
      <c r="EK110" s="810"/>
      <c r="EL110" s="810"/>
      <c r="EM110" s="810"/>
      <c r="EN110" s="810"/>
      <c r="EO110" s="116"/>
      <c r="EP110" s="116"/>
      <c r="EQ110" s="50"/>
      <c r="ER110" s="50"/>
      <c r="ES110" s="50"/>
      <c r="ET110" s="50"/>
      <c r="EU110" s="50"/>
      <c r="EV110" s="50"/>
      <c r="EW110" s="50"/>
      <c r="EX110" s="50"/>
      <c r="EY110" s="50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</row>
    <row r="111" spans="1:168" ht="120" customHeight="1" x14ac:dyDescent="0.85">
      <c r="A111" s="43"/>
      <c r="B111" s="43"/>
      <c r="C111" s="49"/>
      <c r="D111" s="49"/>
      <c r="E111" s="764" t="s">
        <v>22</v>
      </c>
      <c r="F111" s="764"/>
      <c r="G111" s="764"/>
      <c r="H111" s="764"/>
      <c r="I111" s="764"/>
      <c r="J111" s="764"/>
      <c r="K111" s="764"/>
      <c r="L111" s="764"/>
      <c r="M111" s="764"/>
      <c r="N111" s="764"/>
      <c r="O111" s="764"/>
      <c r="P111" s="764"/>
      <c r="Q111" s="764"/>
      <c r="R111" s="764"/>
      <c r="S111" s="764"/>
      <c r="T111" s="764"/>
      <c r="U111" s="764"/>
      <c r="V111" s="764"/>
      <c r="W111" s="764"/>
      <c r="X111" s="764"/>
      <c r="Y111" s="764"/>
      <c r="Z111" s="764"/>
      <c r="AA111" s="764"/>
      <c r="AB111" s="764"/>
      <c r="AC111" s="764"/>
      <c r="AD111" s="764"/>
      <c r="AE111" s="764"/>
      <c r="AF111" s="766" t="s">
        <v>125</v>
      </c>
      <c r="AG111" s="767"/>
      <c r="AH111" s="767"/>
      <c r="AI111" s="767"/>
      <c r="AJ111" s="767"/>
      <c r="AK111" s="767"/>
      <c r="AL111" s="767"/>
      <c r="AM111" s="767"/>
      <c r="AN111" s="767"/>
      <c r="AO111" s="768"/>
      <c r="AP111" s="357"/>
      <c r="AQ111" s="358"/>
      <c r="AR111" s="358"/>
      <c r="AS111" s="358"/>
      <c r="AT111" s="358"/>
      <c r="AU111" s="358"/>
      <c r="AV111" s="358"/>
      <c r="AW111" s="359"/>
      <c r="AX111" s="392"/>
      <c r="AY111" s="393"/>
      <c r="AZ111" s="393"/>
      <c r="BA111" s="393"/>
      <c r="BB111" s="393"/>
      <c r="BC111" s="393"/>
      <c r="BD111" s="393"/>
      <c r="BE111" s="393"/>
      <c r="BF111" s="393"/>
      <c r="BG111" s="393"/>
      <c r="BH111" s="393"/>
      <c r="BI111" s="393"/>
      <c r="BJ111" s="393"/>
      <c r="BK111" s="393"/>
      <c r="BL111" s="393"/>
      <c r="BM111" s="393"/>
      <c r="BN111" s="393"/>
      <c r="BO111" s="393"/>
      <c r="BP111" s="393"/>
      <c r="BQ111" s="393"/>
      <c r="BR111" s="393"/>
      <c r="BS111" s="393"/>
      <c r="BT111" s="393"/>
      <c r="BU111" s="393"/>
      <c r="BV111" s="393"/>
      <c r="BW111" s="393"/>
      <c r="BX111" s="393"/>
      <c r="BY111" s="393"/>
      <c r="BZ111" s="393"/>
      <c r="CA111" s="393"/>
      <c r="CB111" s="393"/>
      <c r="CC111" s="393"/>
      <c r="CD111" s="393"/>
      <c r="CE111" s="393"/>
      <c r="CF111" s="393"/>
      <c r="CG111" s="393"/>
      <c r="CH111" s="393"/>
      <c r="CI111" s="393"/>
      <c r="CJ111" s="393"/>
      <c r="CK111" s="393"/>
      <c r="CL111" s="394"/>
      <c r="CM111" s="50"/>
      <c r="CN111" s="50"/>
      <c r="CO111" s="50"/>
      <c r="CP111" s="50"/>
      <c r="CQ111" s="810"/>
      <c r="CR111" s="810"/>
      <c r="CS111" s="810"/>
      <c r="CT111" s="810"/>
      <c r="CU111" s="810"/>
      <c r="CV111" s="810"/>
      <c r="CW111" s="810"/>
      <c r="CX111" s="810"/>
      <c r="CY111" s="810"/>
      <c r="CZ111" s="810"/>
      <c r="DA111" s="810"/>
      <c r="DB111" s="810"/>
      <c r="DC111" s="810"/>
      <c r="DD111" s="810"/>
      <c r="DE111" s="810"/>
      <c r="DF111" s="810"/>
      <c r="DG111" s="810"/>
      <c r="DH111" s="810"/>
      <c r="DI111" s="810"/>
      <c r="DJ111" s="810"/>
      <c r="DK111" s="810"/>
      <c r="DL111" s="810"/>
      <c r="DM111" s="810"/>
      <c r="DN111" s="810"/>
      <c r="DO111" s="810"/>
      <c r="DP111" s="810"/>
      <c r="DQ111" s="810"/>
      <c r="DR111" s="810"/>
      <c r="DS111" s="810"/>
      <c r="DT111" s="810"/>
      <c r="DU111" s="810"/>
      <c r="DV111" s="810"/>
      <c r="DW111" s="810"/>
      <c r="DX111" s="810"/>
      <c r="DY111" s="810"/>
      <c r="DZ111" s="810"/>
      <c r="EA111" s="810"/>
      <c r="EB111" s="810"/>
      <c r="EC111" s="810"/>
      <c r="ED111" s="810"/>
      <c r="EE111" s="810"/>
      <c r="EF111" s="810"/>
      <c r="EG111" s="810"/>
      <c r="EH111" s="810"/>
      <c r="EI111" s="810"/>
      <c r="EJ111" s="810"/>
      <c r="EK111" s="810"/>
      <c r="EL111" s="810"/>
      <c r="EM111" s="810"/>
      <c r="EN111" s="810"/>
      <c r="EO111" s="116"/>
      <c r="EP111" s="116"/>
      <c r="EQ111" s="50"/>
      <c r="ER111" s="50"/>
      <c r="ES111" s="50"/>
      <c r="ET111" s="50"/>
      <c r="EU111" s="50"/>
      <c r="EV111" s="50"/>
      <c r="EW111" s="50"/>
      <c r="EX111" s="50"/>
      <c r="EY111" s="50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</row>
    <row r="112" spans="1:168" ht="99.95" customHeight="1" x14ac:dyDescent="0.85">
      <c r="A112" s="43"/>
      <c r="B112" s="43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51"/>
      <c r="X112" s="51"/>
      <c r="Y112" s="51"/>
      <c r="Z112" s="52"/>
      <c r="AA112" s="52"/>
      <c r="AB112" s="52"/>
      <c r="AC112" s="52"/>
      <c r="AD112" s="52"/>
      <c r="AE112" s="50"/>
      <c r="AF112" s="50"/>
      <c r="AG112" s="50"/>
      <c r="AH112" s="50"/>
      <c r="AI112" s="50"/>
      <c r="AJ112" s="50"/>
      <c r="AK112" s="50"/>
      <c r="AL112" s="50"/>
      <c r="AM112" s="50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1"/>
      <c r="BM112" s="51"/>
      <c r="BN112" s="51"/>
      <c r="BO112" s="51"/>
      <c r="BP112" s="51"/>
      <c r="BQ112" s="51"/>
      <c r="BR112" s="51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50"/>
      <c r="ED112" s="50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50"/>
      <c r="ER112" s="50"/>
      <c r="ES112" s="50"/>
      <c r="ET112" s="50"/>
      <c r="EU112" s="50"/>
      <c r="EV112" s="50"/>
      <c r="EW112" s="50"/>
      <c r="EX112" s="50"/>
      <c r="EY112" s="50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</row>
    <row r="113" spans="1:169" ht="99.95" customHeight="1" x14ac:dyDescent="0.65">
      <c r="A113" s="53"/>
      <c r="B113" s="381" t="s">
        <v>263</v>
      </c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809" t="s">
        <v>346</v>
      </c>
      <c r="Z113" s="809"/>
      <c r="AA113" s="809"/>
      <c r="AB113" s="809"/>
      <c r="AC113" s="809"/>
      <c r="AD113" s="809"/>
      <c r="AE113" s="809"/>
      <c r="AF113" s="809"/>
      <c r="AG113" s="809"/>
      <c r="AH113" s="809"/>
      <c r="AI113" s="809"/>
      <c r="AJ113" s="809"/>
      <c r="AK113" s="809"/>
      <c r="AL113" s="236"/>
      <c r="AM113" s="236"/>
      <c r="AN113" s="809" t="s">
        <v>347</v>
      </c>
      <c r="AO113" s="809"/>
      <c r="AP113" s="809"/>
      <c r="AQ113" s="809"/>
      <c r="AR113" s="809"/>
      <c r="AS113" s="809"/>
      <c r="AT113" s="809"/>
      <c r="AU113" s="809"/>
      <c r="AV113" s="809"/>
      <c r="AW113" s="809"/>
      <c r="AX113" s="809"/>
      <c r="AY113" s="809"/>
      <c r="AZ113" s="809"/>
      <c r="BA113" s="809"/>
      <c r="BB113" s="809"/>
      <c r="BC113" s="809"/>
      <c r="BD113" s="809"/>
      <c r="BE113" s="809"/>
      <c r="BF113" s="809"/>
      <c r="BG113" s="809"/>
      <c r="BH113" s="809"/>
      <c r="BI113" s="809"/>
      <c r="BJ113" s="809"/>
      <c r="BK113" s="809"/>
      <c r="BL113" s="809"/>
      <c r="BM113" s="809"/>
      <c r="BN113" s="809"/>
      <c r="BO113" s="809"/>
      <c r="BP113" s="809"/>
      <c r="BQ113" s="809"/>
      <c r="BR113" s="809"/>
      <c r="BS113" s="809"/>
      <c r="BT113" s="809"/>
      <c r="BU113" s="809"/>
      <c r="BV113" s="809"/>
      <c r="BW113" s="809"/>
      <c r="BX113" s="809"/>
      <c r="BY113" s="809"/>
      <c r="BZ113" s="809"/>
      <c r="CA113" s="809"/>
      <c r="CB113" s="809"/>
      <c r="CC113" s="809"/>
      <c r="CD113" s="809"/>
      <c r="CE113" s="809"/>
      <c r="CF113" s="809"/>
      <c r="CG113" s="809"/>
      <c r="CH113" s="809"/>
      <c r="CI113" s="809"/>
      <c r="CJ113" s="809"/>
      <c r="CK113" s="809"/>
      <c r="CL113" s="809"/>
      <c r="CM113" s="809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</row>
    <row r="114" spans="1:169" ht="99.95" customHeight="1" x14ac:dyDescent="0.65">
      <c r="A114" s="53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  <c r="BC114" s="236"/>
      <c r="BD114" s="236"/>
      <c r="BE114" s="236"/>
      <c r="BF114" s="236"/>
      <c r="BG114" s="236"/>
      <c r="BH114" s="236"/>
      <c r="BI114" s="236"/>
      <c r="BJ114" s="236"/>
      <c r="BK114" s="236"/>
      <c r="BL114" s="236"/>
      <c r="BM114" s="236"/>
      <c r="BN114" s="236"/>
      <c r="BO114" s="236"/>
      <c r="BP114" s="236"/>
      <c r="BQ114" s="236"/>
      <c r="BR114" s="236"/>
      <c r="BS114" s="236"/>
      <c r="BT114" s="236"/>
      <c r="BU114" s="236"/>
      <c r="BV114" s="236"/>
      <c r="BW114" s="236"/>
      <c r="BX114" s="237"/>
      <c r="BY114" s="237"/>
      <c r="BZ114" s="237"/>
      <c r="CA114" s="237"/>
      <c r="CB114" s="237"/>
      <c r="CC114" s="237"/>
      <c r="CD114" s="237"/>
      <c r="CE114" s="237"/>
      <c r="CF114" s="237"/>
      <c r="CG114" s="237"/>
      <c r="CH114" s="237"/>
      <c r="CI114" s="237"/>
      <c r="CJ114" s="237"/>
      <c r="CK114" s="237"/>
      <c r="CL114" s="237"/>
      <c r="CM114" s="237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</row>
    <row r="115" spans="1:169" ht="99.95" customHeight="1" x14ac:dyDescent="0.65">
      <c r="A115" s="53"/>
      <c r="B115" s="381" t="s">
        <v>264</v>
      </c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809" t="s">
        <v>346</v>
      </c>
      <c r="Z115" s="809"/>
      <c r="AA115" s="809"/>
      <c r="AB115" s="809"/>
      <c r="AC115" s="809"/>
      <c r="AD115" s="809"/>
      <c r="AE115" s="809"/>
      <c r="AF115" s="809"/>
      <c r="AG115" s="809"/>
      <c r="AH115" s="809"/>
      <c r="AI115" s="809"/>
      <c r="AJ115" s="809"/>
      <c r="AK115" s="809"/>
      <c r="AL115" s="236"/>
      <c r="AM115" s="236"/>
      <c r="AN115" s="809" t="s">
        <v>347</v>
      </c>
      <c r="AO115" s="809"/>
      <c r="AP115" s="809"/>
      <c r="AQ115" s="809"/>
      <c r="AR115" s="809"/>
      <c r="AS115" s="809"/>
      <c r="AT115" s="809"/>
      <c r="AU115" s="809"/>
      <c r="AV115" s="809"/>
      <c r="AW115" s="809"/>
      <c r="AX115" s="809"/>
      <c r="AY115" s="809"/>
      <c r="AZ115" s="809"/>
      <c r="BA115" s="809"/>
      <c r="BB115" s="809"/>
      <c r="BC115" s="809"/>
      <c r="BD115" s="809"/>
      <c r="BE115" s="809"/>
      <c r="BF115" s="809"/>
      <c r="BG115" s="809"/>
      <c r="BH115" s="809"/>
      <c r="BI115" s="809"/>
      <c r="BJ115" s="809"/>
      <c r="BK115" s="809"/>
      <c r="BL115" s="809"/>
      <c r="BM115" s="809"/>
      <c r="BN115" s="809"/>
      <c r="BO115" s="809"/>
      <c r="BP115" s="809"/>
      <c r="BQ115" s="809"/>
      <c r="BR115" s="809"/>
      <c r="BS115" s="809"/>
      <c r="BT115" s="809"/>
      <c r="BU115" s="809"/>
      <c r="BV115" s="809"/>
      <c r="BW115" s="809"/>
      <c r="BX115" s="809"/>
      <c r="BY115" s="809"/>
      <c r="BZ115" s="809"/>
      <c r="CA115" s="809"/>
      <c r="CB115" s="809"/>
      <c r="CC115" s="809"/>
      <c r="CD115" s="809"/>
      <c r="CE115" s="809"/>
      <c r="CF115" s="809"/>
      <c r="CG115" s="809"/>
      <c r="CH115" s="809"/>
      <c r="CI115" s="809"/>
      <c r="CJ115" s="809"/>
      <c r="CK115" s="809"/>
      <c r="CL115" s="809"/>
      <c r="CM115" s="809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EU115" s="14"/>
      <c r="EV115" s="14"/>
      <c r="EW115" s="14"/>
    </row>
    <row r="116" spans="1:169" ht="99.95" customHeight="1" x14ac:dyDescent="0.65">
      <c r="A116" s="53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  <c r="BC116" s="236"/>
      <c r="BD116" s="236"/>
      <c r="BE116" s="236"/>
      <c r="BF116" s="236"/>
      <c r="BG116" s="236"/>
      <c r="BH116" s="236"/>
      <c r="BI116" s="236"/>
      <c r="BJ116" s="236"/>
      <c r="BK116" s="236"/>
      <c r="BL116" s="236"/>
      <c r="BM116" s="236"/>
      <c r="BN116" s="236"/>
      <c r="BO116" s="236"/>
      <c r="BP116" s="236"/>
      <c r="BQ116" s="236"/>
      <c r="BR116" s="236"/>
      <c r="BS116" s="236"/>
      <c r="BT116" s="236"/>
      <c r="BU116" s="236"/>
      <c r="BV116" s="236"/>
      <c r="BW116" s="236"/>
      <c r="BX116" s="237"/>
      <c r="BY116" s="237"/>
      <c r="BZ116" s="237"/>
      <c r="CA116" s="237"/>
      <c r="CB116" s="237"/>
      <c r="CC116" s="237"/>
      <c r="CD116" s="237"/>
      <c r="CE116" s="237"/>
      <c r="CF116" s="237"/>
      <c r="CG116" s="237"/>
      <c r="CH116" s="237"/>
      <c r="CI116" s="237"/>
      <c r="CJ116" s="237"/>
      <c r="CK116" s="237"/>
      <c r="CL116" s="237"/>
      <c r="CM116" s="237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EU116" s="14"/>
      <c r="EV116" s="14"/>
      <c r="EW116" s="14"/>
    </row>
    <row r="117" spans="1:169" ht="99.95" customHeight="1" x14ac:dyDescent="0.65">
      <c r="A117" s="53"/>
      <c r="B117" s="381" t="s">
        <v>249</v>
      </c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809" t="s">
        <v>346</v>
      </c>
      <c r="Z117" s="809"/>
      <c r="AA117" s="809"/>
      <c r="AB117" s="809"/>
      <c r="AC117" s="809"/>
      <c r="AD117" s="809"/>
      <c r="AE117" s="809"/>
      <c r="AF117" s="809"/>
      <c r="AG117" s="809"/>
      <c r="AH117" s="809"/>
      <c r="AI117" s="809"/>
      <c r="AJ117" s="809"/>
      <c r="AK117" s="809"/>
      <c r="AL117" s="236"/>
      <c r="AM117" s="236"/>
      <c r="AN117" s="809" t="s">
        <v>347</v>
      </c>
      <c r="AO117" s="809"/>
      <c r="AP117" s="809"/>
      <c r="AQ117" s="809"/>
      <c r="AR117" s="809"/>
      <c r="AS117" s="809"/>
      <c r="AT117" s="809"/>
      <c r="AU117" s="809"/>
      <c r="AV117" s="809"/>
      <c r="AW117" s="809"/>
      <c r="AX117" s="809"/>
      <c r="AY117" s="809"/>
      <c r="AZ117" s="809"/>
      <c r="BA117" s="809"/>
      <c r="BB117" s="809"/>
      <c r="BC117" s="809"/>
      <c r="BD117" s="809"/>
      <c r="BE117" s="809"/>
      <c r="BF117" s="809"/>
      <c r="BG117" s="809"/>
      <c r="BH117" s="809"/>
      <c r="BI117" s="809"/>
      <c r="BJ117" s="809"/>
      <c r="BK117" s="809"/>
      <c r="BL117" s="809"/>
      <c r="BM117" s="809"/>
      <c r="BN117" s="809"/>
      <c r="BO117" s="809"/>
      <c r="BP117" s="809"/>
      <c r="BQ117" s="809"/>
      <c r="BR117" s="809"/>
      <c r="BS117" s="809"/>
      <c r="BT117" s="809"/>
      <c r="BU117" s="809"/>
      <c r="BV117" s="809"/>
      <c r="BW117" s="809"/>
      <c r="BX117" s="809"/>
      <c r="BY117" s="809"/>
      <c r="BZ117" s="809"/>
      <c r="CA117" s="809"/>
      <c r="CB117" s="809"/>
      <c r="CC117" s="809"/>
      <c r="CD117" s="809"/>
      <c r="CE117" s="809"/>
      <c r="CF117" s="809"/>
      <c r="CG117" s="809"/>
      <c r="CH117" s="809"/>
      <c r="CI117" s="809"/>
      <c r="CJ117" s="809"/>
      <c r="CK117" s="809"/>
      <c r="CL117" s="809"/>
      <c r="CM117" s="809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EU117" s="14"/>
      <c r="EV117" s="14"/>
      <c r="EW117" s="14"/>
    </row>
    <row r="118" spans="1:169" ht="99.95" customHeight="1" x14ac:dyDescent="0.65">
      <c r="A118" s="53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  <c r="BC118" s="236"/>
      <c r="BD118" s="236"/>
      <c r="BE118" s="236"/>
      <c r="BF118" s="236"/>
      <c r="BG118" s="236"/>
      <c r="BH118" s="236"/>
      <c r="BI118" s="236"/>
      <c r="BJ118" s="236"/>
      <c r="BK118" s="236"/>
      <c r="BL118" s="236"/>
      <c r="BM118" s="236"/>
      <c r="BN118" s="236"/>
      <c r="BO118" s="236"/>
      <c r="BP118" s="236"/>
      <c r="BQ118" s="236"/>
      <c r="BR118" s="236"/>
      <c r="BS118" s="236"/>
      <c r="BT118" s="236"/>
      <c r="BU118" s="236"/>
      <c r="BV118" s="236"/>
      <c r="BW118" s="236"/>
      <c r="BX118" s="237"/>
      <c r="BY118" s="237"/>
      <c r="BZ118" s="237"/>
      <c r="CA118" s="237"/>
      <c r="CB118" s="237"/>
      <c r="CC118" s="237"/>
      <c r="CD118" s="237"/>
      <c r="CE118" s="237"/>
      <c r="CF118" s="237"/>
      <c r="CG118" s="237"/>
      <c r="CH118" s="237"/>
      <c r="CI118" s="237"/>
      <c r="CJ118" s="237"/>
      <c r="CK118" s="237"/>
      <c r="CL118" s="237"/>
      <c r="CM118" s="237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EU118" s="14"/>
      <c r="EV118" s="14"/>
      <c r="EW118" s="14"/>
    </row>
    <row r="119" spans="1:169" ht="99.95" customHeight="1" x14ac:dyDescent="0.65">
      <c r="A119" s="53"/>
      <c r="B119" s="381" t="s">
        <v>250</v>
      </c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809" t="s">
        <v>346</v>
      </c>
      <c r="Z119" s="809"/>
      <c r="AA119" s="809"/>
      <c r="AB119" s="809"/>
      <c r="AC119" s="809"/>
      <c r="AD119" s="809"/>
      <c r="AE119" s="809"/>
      <c r="AF119" s="809"/>
      <c r="AG119" s="809"/>
      <c r="AH119" s="809"/>
      <c r="AI119" s="809"/>
      <c r="AJ119" s="809"/>
      <c r="AK119" s="809"/>
      <c r="AL119" s="236"/>
      <c r="AM119" s="236"/>
      <c r="AN119" s="809" t="s">
        <v>347</v>
      </c>
      <c r="AO119" s="809"/>
      <c r="AP119" s="809"/>
      <c r="AQ119" s="809"/>
      <c r="AR119" s="809"/>
      <c r="AS119" s="809"/>
      <c r="AT119" s="809"/>
      <c r="AU119" s="809"/>
      <c r="AV119" s="809"/>
      <c r="AW119" s="809"/>
      <c r="AX119" s="809"/>
      <c r="AY119" s="809"/>
      <c r="AZ119" s="809"/>
      <c r="BA119" s="809"/>
      <c r="BB119" s="809"/>
      <c r="BC119" s="809"/>
      <c r="BD119" s="809"/>
      <c r="BE119" s="809"/>
      <c r="BF119" s="809"/>
      <c r="BG119" s="809"/>
      <c r="BH119" s="809"/>
      <c r="BI119" s="809"/>
      <c r="BJ119" s="809"/>
      <c r="BK119" s="809"/>
      <c r="BL119" s="809"/>
      <c r="BM119" s="809"/>
      <c r="BN119" s="809"/>
      <c r="BO119" s="809"/>
      <c r="BP119" s="809"/>
      <c r="BQ119" s="809"/>
      <c r="BR119" s="809"/>
      <c r="BS119" s="809"/>
      <c r="BT119" s="809"/>
      <c r="BU119" s="809"/>
      <c r="BV119" s="809"/>
      <c r="BW119" s="809"/>
      <c r="BX119" s="809"/>
      <c r="BY119" s="809"/>
      <c r="BZ119" s="809"/>
      <c r="CA119" s="809"/>
      <c r="CB119" s="809"/>
      <c r="CC119" s="809"/>
      <c r="CD119" s="809"/>
      <c r="CE119" s="809"/>
      <c r="CF119" s="809"/>
      <c r="CG119" s="809"/>
      <c r="CH119" s="809"/>
      <c r="CI119" s="809"/>
      <c r="CJ119" s="809"/>
      <c r="CK119" s="809"/>
      <c r="CL119" s="809"/>
      <c r="CM119" s="809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EU119" s="14"/>
      <c r="EV119" s="14"/>
      <c r="EW119" s="14"/>
    </row>
    <row r="120" spans="1:169" ht="45.75" x14ac:dyDescent="0.6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54"/>
      <c r="BM120" s="54"/>
      <c r="BN120" s="54"/>
      <c r="BO120" s="54"/>
      <c r="BP120" s="54"/>
      <c r="BQ120" s="54"/>
      <c r="BR120" s="54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</row>
    <row r="121" spans="1:169" ht="45.75" x14ac:dyDescent="0.65">
      <c r="A121" s="53"/>
      <c r="B121" s="53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4"/>
      <c r="X121" s="54"/>
      <c r="Y121" s="54"/>
      <c r="Z121" s="56"/>
      <c r="AA121" s="56"/>
      <c r="AB121" s="56"/>
      <c r="AC121" s="56"/>
      <c r="AD121" s="56"/>
      <c r="AE121" s="41"/>
      <c r="AF121" s="41"/>
      <c r="AG121" s="41"/>
      <c r="AH121" s="41"/>
      <c r="AI121" s="41"/>
      <c r="AJ121" s="41"/>
      <c r="AK121" s="41"/>
      <c r="AL121" s="41"/>
      <c r="AM121" s="41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54"/>
      <c r="BM121" s="54"/>
      <c r="BN121" s="54"/>
      <c r="BO121" s="54"/>
      <c r="BP121" s="54"/>
      <c r="BQ121" s="54"/>
      <c r="BR121" s="54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</row>
  </sheetData>
  <mergeCells count="1454">
    <mergeCell ref="Y113:AK113"/>
    <mergeCell ref="AN113:CM113"/>
    <mergeCell ref="Y115:AK115"/>
    <mergeCell ref="AN115:CM115"/>
    <mergeCell ref="Y117:AK117"/>
    <mergeCell ref="AN117:CM117"/>
    <mergeCell ref="Y119:AK119"/>
    <mergeCell ref="AN119:CM119"/>
    <mergeCell ref="CQ104:EN111"/>
    <mergeCell ref="EK78:EO79"/>
    <mergeCell ref="EP78:ET79"/>
    <mergeCell ref="EU78:EY79"/>
    <mergeCell ref="C79:Y79"/>
    <mergeCell ref="CW82:DA83"/>
    <mergeCell ref="DB82:DF83"/>
    <mergeCell ref="DG82:DK83"/>
    <mergeCell ref="DL82:DP83"/>
    <mergeCell ref="DQ82:DU83"/>
    <mergeCell ref="Z80:AD81"/>
    <mergeCell ref="AE80:AI81"/>
    <mergeCell ref="AJ80:AN81"/>
    <mergeCell ref="AO80:AS81"/>
    <mergeCell ref="AT80:AX81"/>
    <mergeCell ref="AY80:BC81"/>
    <mergeCell ref="BD80:BH81"/>
    <mergeCell ref="BI80:BM81"/>
    <mergeCell ref="BN80:BR81"/>
    <mergeCell ref="BS80:BW81"/>
    <mergeCell ref="BX80:CB81"/>
    <mergeCell ref="CC80:CG81"/>
    <mergeCell ref="CH80:CL81"/>
    <mergeCell ref="CM80:CQ81"/>
    <mergeCell ref="CR80:CV81"/>
    <mergeCell ref="CW80:DA81"/>
    <mergeCell ref="DB80:DF81"/>
    <mergeCell ref="DV80:DZ81"/>
    <mergeCell ref="EA80:EE81"/>
    <mergeCell ref="EF80:EJ81"/>
    <mergeCell ref="A78:A79"/>
    <mergeCell ref="C78:Y78"/>
    <mergeCell ref="Z78:AD79"/>
    <mergeCell ref="AE78:AI79"/>
    <mergeCell ref="AJ78:AN79"/>
    <mergeCell ref="AO78:AS79"/>
    <mergeCell ref="AT78:AX79"/>
    <mergeCell ref="AY78:BC79"/>
    <mergeCell ref="BD78:BH79"/>
    <mergeCell ref="BI78:BM79"/>
    <mergeCell ref="BN78:BR79"/>
    <mergeCell ref="BS78:BW79"/>
    <mergeCell ref="BX78:CB79"/>
    <mergeCell ref="CC78:CG79"/>
    <mergeCell ref="CH78:CL79"/>
    <mergeCell ref="CM78:CQ79"/>
    <mergeCell ref="CR78:CV79"/>
    <mergeCell ref="FC9:FD14"/>
    <mergeCell ref="FE9:HD12"/>
    <mergeCell ref="HE9:HR9"/>
    <mergeCell ref="HS17:HT17"/>
    <mergeCell ref="HU17:HV17"/>
    <mergeCell ref="A82:A83"/>
    <mergeCell ref="C82:Y82"/>
    <mergeCell ref="Z82:AD83"/>
    <mergeCell ref="AE82:AI83"/>
    <mergeCell ref="AJ82:AN83"/>
    <mergeCell ref="AO82:AS83"/>
    <mergeCell ref="AT82:AX83"/>
    <mergeCell ref="AY82:BC83"/>
    <mergeCell ref="BD82:BH83"/>
    <mergeCell ref="BI82:BM83"/>
    <mergeCell ref="BN82:BR83"/>
    <mergeCell ref="BS82:BW83"/>
    <mergeCell ref="BX82:CB83"/>
    <mergeCell ref="CC82:CG83"/>
    <mergeCell ref="CH82:CL83"/>
    <mergeCell ref="CM82:CQ83"/>
    <mergeCell ref="CR82:CV83"/>
    <mergeCell ref="DV82:DZ83"/>
    <mergeCell ref="EA82:EE83"/>
    <mergeCell ref="EF82:EJ83"/>
    <mergeCell ref="EK82:EO83"/>
    <mergeCell ref="EP82:ET83"/>
    <mergeCell ref="EU82:EY83"/>
    <mergeCell ref="C83:Y83"/>
    <mergeCell ref="DG80:DK81"/>
    <mergeCell ref="DL80:DP81"/>
    <mergeCell ref="DQ80:DU81"/>
    <mergeCell ref="HO11:HP14"/>
    <mergeCell ref="HQ11:HR14"/>
    <mergeCell ref="FE13:FI13"/>
    <mergeCell ref="FJ13:FM13"/>
    <mergeCell ref="FN13:FR13"/>
    <mergeCell ref="FS13:FV13"/>
    <mergeCell ref="FW13:GA13"/>
    <mergeCell ref="GB13:GE13"/>
    <mergeCell ref="GF13:GJ13"/>
    <mergeCell ref="HE15:HF15"/>
    <mergeCell ref="HG15:HH15"/>
    <mergeCell ref="HI15:HJ15"/>
    <mergeCell ref="HK15:HL15"/>
    <mergeCell ref="HM15:HN15"/>
    <mergeCell ref="HO15:HP15"/>
    <mergeCell ref="GK13:GN13"/>
    <mergeCell ref="GO13:GR13"/>
    <mergeCell ref="GS13:GV13"/>
    <mergeCell ref="GW13:GZ13"/>
    <mergeCell ref="HQ17:HR17"/>
    <mergeCell ref="EK80:EO81"/>
    <mergeCell ref="EP80:ET81"/>
    <mergeCell ref="EU80:EY81"/>
    <mergeCell ref="CW78:DA79"/>
    <mergeCell ref="DB78:DF79"/>
    <mergeCell ref="DG78:DK79"/>
    <mergeCell ref="DL78:DP79"/>
    <mergeCell ref="DQ78:DU79"/>
    <mergeCell ref="DV78:DZ79"/>
    <mergeCell ref="EA78:EE79"/>
    <mergeCell ref="EF78:EJ79"/>
    <mergeCell ref="HQ16:HR16"/>
    <mergeCell ref="HS16:HT16"/>
    <mergeCell ref="HU16:HV16"/>
    <mergeCell ref="FC17:FD17"/>
    <mergeCell ref="HE17:HF17"/>
    <mergeCell ref="HG17:HH17"/>
    <mergeCell ref="HI17:HJ17"/>
    <mergeCell ref="HK17:HL17"/>
    <mergeCell ref="HM17:HN17"/>
    <mergeCell ref="HO17:HP17"/>
    <mergeCell ref="HU19:HV19"/>
    <mergeCell ref="FD21:FF21"/>
    <mergeCell ref="FG21:FL21"/>
    <mergeCell ref="FN21:FP21"/>
    <mergeCell ref="FQ21:FV21"/>
    <mergeCell ref="FX21:FZ21"/>
    <mergeCell ref="GA21:GF21"/>
    <mergeCell ref="GH21:GJ21"/>
    <mergeCell ref="HQ18:HR18"/>
    <mergeCell ref="HS18:HT18"/>
    <mergeCell ref="AK5:CY5"/>
    <mergeCell ref="DD5:EY5"/>
    <mergeCell ref="AK6:CY6"/>
    <mergeCell ref="DD6:EY6"/>
    <mergeCell ref="AK7:CY7"/>
    <mergeCell ref="A8:EY8"/>
    <mergeCell ref="A1:EY1"/>
    <mergeCell ref="AK2:CY2"/>
    <mergeCell ref="AK3:CY3"/>
    <mergeCell ref="DD3:EY3"/>
    <mergeCell ref="AK4:CY4"/>
    <mergeCell ref="DD4:EY4"/>
    <mergeCell ref="HQ15:HR15"/>
    <mergeCell ref="HS15:HT15"/>
    <mergeCell ref="HU15:HV15"/>
    <mergeCell ref="FC16:FD16"/>
    <mergeCell ref="HE16:HF16"/>
    <mergeCell ref="HG16:HH16"/>
    <mergeCell ref="HI16:HJ16"/>
    <mergeCell ref="HK16:HL16"/>
    <mergeCell ref="HM16:HN16"/>
    <mergeCell ref="HO16:HP16"/>
    <mergeCell ref="HS9:HT14"/>
    <mergeCell ref="HU9:HV14"/>
    <mergeCell ref="HE10:HF14"/>
    <mergeCell ref="HG10:HR10"/>
    <mergeCell ref="HG11:HH14"/>
    <mergeCell ref="HI11:HJ14"/>
    <mergeCell ref="HK11:HL14"/>
    <mergeCell ref="HA13:HD13"/>
    <mergeCell ref="FC15:FD15"/>
    <mergeCell ref="HM11:HN14"/>
    <mergeCell ref="HU18:HV18"/>
    <mergeCell ref="FC19:HD19"/>
    <mergeCell ref="HE19:HF19"/>
    <mergeCell ref="HG19:HH19"/>
    <mergeCell ref="HI19:HJ19"/>
    <mergeCell ref="HK19:HL19"/>
    <mergeCell ref="HM19:HN19"/>
    <mergeCell ref="HO19:HP19"/>
    <mergeCell ref="HO21:HT21"/>
    <mergeCell ref="FC18:FD18"/>
    <mergeCell ref="HE18:HF18"/>
    <mergeCell ref="HG18:HH18"/>
    <mergeCell ref="HI18:HJ18"/>
    <mergeCell ref="HK18:HL18"/>
    <mergeCell ref="HM18:HN18"/>
    <mergeCell ref="HO18:HP18"/>
    <mergeCell ref="A23:EY23"/>
    <mergeCell ref="A24:A31"/>
    <mergeCell ref="B24:B31"/>
    <mergeCell ref="C24:Y31"/>
    <mergeCell ref="Z24:BR24"/>
    <mergeCell ref="BS24:DF24"/>
    <mergeCell ref="DG24:ET24"/>
    <mergeCell ref="EU24:EY30"/>
    <mergeCell ref="Z25:AI30"/>
    <mergeCell ref="GK21:GP21"/>
    <mergeCell ref="GR21:GT21"/>
    <mergeCell ref="GU21:GZ21"/>
    <mergeCell ref="HB21:HD21"/>
    <mergeCell ref="HE21:HJ21"/>
    <mergeCell ref="HL21:HN21"/>
    <mergeCell ref="HQ19:HR19"/>
    <mergeCell ref="HS19:HT19"/>
    <mergeCell ref="DG25:DP25"/>
    <mergeCell ref="DQ25:DZ25"/>
    <mergeCell ref="EA25:EJ25"/>
    <mergeCell ref="EK25:ET25"/>
    <mergeCell ref="AJ26:AN31"/>
    <mergeCell ref="AO26:AS31"/>
    <mergeCell ref="AT26:AX31"/>
    <mergeCell ref="AY26:BC31"/>
    <mergeCell ref="BD26:BH31"/>
    <mergeCell ref="BI26:BM31"/>
    <mergeCell ref="AJ25:BM25"/>
    <mergeCell ref="BN25:BR31"/>
    <mergeCell ref="BS25:CB25"/>
    <mergeCell ref="CC25:CL25"/>
    <mergeCell ref="CM25:CV25"/>
    <mergeCell ref="CW25:DF25"/>
    <mergeCell ref="BS26:DF26"/>
    <mergeCell ref="BS28:DF28"/>
    <mergeCell ref="CR31:CV31"/>
    <mergeCell ref="CW31:DA31"/>
    <mergeCell ref="DG28:ET28"/>
    <mergeCell ref="BS29:BW29"/>
    <mergeCell ref="BX29:CB29"/>
    <mergeCell ref="CC29:CG29"/>
    <mergeCell ref="CH29:CL29"/>
    <mergeCell ref="CM29:CQ29"/>
    <mergeCell ref="CR29:CV29"/>
    <mergeCell ref="CW29:DA29"/>
    <mergeCell ref="DB29:DF29"/>
    <mergeCell ref="DG29:DK29"/>
    <mergeCell ref="DG26:ET26"/>
    <mergeCell ref="BS27:CB27"/>
    <mergeCell ref="CC27:CL27"/>
    <mergeCell ref="CM27:CV27"/>
    <mergeCell ref="CW27:DF27"/>
    <mergeCell ref="DG27:DP27"/>
    <mergeCell ref="DQ27:DZ27"/>
    <mergeCell ref="EA27:EJ27"/>
    <mergeCell ref="EK27:ET27"/>
    <mergeCell ref="EF31:EJ31"/>
    <mergeCell ref="EK31:EO31"/>
    <mergeCell ref="EP31:ET31"/>
    <mergeCell ref="EU31:EY31"/>
    <mergeCell ref="C32:Y32"/>
    <mergeCell ref="Z32:AD32"/>
    <mergeCell ref="AE32:AI32"/>
    <mergeCell ref="AJ32:AN32"/>
    <mergeCell ref="AO32:AS32"/>
    <mergeCell ref="AT32:AX32"/>
    <mergeCell ref="DB31:DF31"/>
    <mergeCell ref="DG31:DK31"/>
    <mergeCell ref="DL31:DP31"/>
    <mergeCell ref="DQ31:DU31"/>
    <mergeCell ref="DV31:DZ31"/>
    <mergeCell ref="EA31:EE31"/>
    <mergeCell ref="EP29:ET29"/>
    <mergeCell ref="BS30:DF30"/>
    <mergeCell ref="DG30:ET30"/>
    <mergeCell ref="Z31:AD31"/>
    <mergeCell ref="AE31:AI31"/>
    <mergeCell ref="BS31:BW31"/>
    <mergeCell ref="BX31:CB31"/>
    <mergeCell ref="CC31:CG31"/>
    <mergeCell ref="CH31:CL31"/>
    <mergeCell ref="CM31:CQ31"/>
    <mergeCell ref="DL29:DP29"/>
    <mergeCell ref="DQ29:DU29"/>
    <mergeCell ref="DV29:DZ29"/>
    <mergeCell ref="EA29:EE29"/>
    <mergeCell ref="EF29:EJ29"/>
    <mergeCell ref="EK29:EO29"/>
    <mergeCell ref="EK32:EO32"/>
    <mergeCell ref="EP32:ET32"/>
    <mergeCell ref="EU32:EY32"/>
    <mergeCell ref="AJ33:AN33"/>
    <mergeCell ref="AO33:AS33"/>
    <mergeCell ref="AT33:AX33"/>
    <mergeCell ref="AY33:BC33"/>
    <mergeCell ref="DG32:DK32"/>
    <mergeCell ref="DL32:DP32"/>
    <mergeCell ref="DQ32:DU32"/>
    <mergeCell ref="DV32:DZ32"/>
    <mergeCell ref="EA32:EE32"/>
    <mergeCell ref="EF32:EJ32"/>
    <mergeCell ref="CC32:CG32"/>
    <mergeCell ref="CH32:CL32"/>
    <mergeCell ref="CM32:CQ32"/>
    <mergeCell ref="CR32:CV32"/>
    <mergeCell ref="CW32:DA32"/>
    <mergeCell ref="DB32:DF32"/>
    <mergeCell ref="AY32:BC32"/>
    <mergeCell ref="BD32:BH32"/>
    <mergeCell ref="BI32:BM32"/>
    <mergeCell ref="BN32:BR32"/>
    <mergeCell ref="BS32:BW32"/>
    <mergeCell ref="BX32:CB32"/>
    <mergeCell ref="EP33:ET33"/>
    <mergeCell ref="EU33:EY33"/>
    <mergeCell ref="C34:Y34"/>
    <mergeCell ref="Z34:AD34"/>
    <mergeCell ref="AE34:AI34"/>
    <mergeCell ref="AJ34:AN34"/>
    <mergeCell ref="AO34:AS34"/>
    <mergeCell ref="AT34:AX34"/>
    <mergeCell ref="AY34:BC34"/>
    <mergeCell ref="BD34:BH34"/>
    <mergeCell ref="DL33:DP33"/>
    <mergeCell ref="DQ33:DU33"/>
    <mergeCell ref="DV33:DZ33"/>
    <mergeCell ref="EA33:EE33"/>
    <mergeCell ref="EF33:EJ33"/>
    <mergeCell ref="EK33:EO33"/>
    <mergeCell ref="CH33:CL33"/>
    <mergeCell ref="CM33:CQ33"/>
    <mergeCell ref="CR33:CV33"/>
    <mergeCell ref="CW33:DA33"/>
    <mergeCell ref="DB33:DF33"/>
    <mergeCell ref="DG33:DK33"/>
    <mergeCell ref="BD33:BH33"/>
    <mergeCell ref="BI33:BM33"/>
    <mergeCell ref="BN33:BR33"/>
    <mergeCell ref="BS33:BW33"/>
    <mergeCell ref="BX33:CB33"/>
    <mergeCell ref="CC33:CG33"/>
    <mergeCell ref="EU34:EY34"/>
    <mergeCell ref="C33:Y33"/>
    <mergeCell ref="Z33:AD33"/>
    <mergeCell ref="AE33:AI33"/>
    <mergeCell ref="C35:Y35"/>
    <mergeCell ref="Z35:AD35"/>
    <mergeCell ref="AE35:AI35"/>
    <mergeCell ref="AJ35:AN35"/>
    <mergeCell ref="AO35:AS35"/>
    <mergeCell ref="AT35:AX35"/>
    <mergeCell ref="AY35:BC35"/>
    <mergeCell ref="BD35:BH35"/>
    <mergeCell ref="BI35:BM35"/>
    <mergeCell ref="DQ34:DU34"/>
    <mergeCell ref="DV34:DZ34"/>
    <mergeCell ref="EA34:EE34"/>
    <mergeCell ref="EF34:EJ34"/>
    <mergeCell ref="EK34:EO34"/>
    <mergeCell ref="EP34:ET34"/>
    <mergeCell ref="CM34:CQ34"/>
    <mergeCell ref="CR34:CV34"/>
    <mergeCell ref="CW34:DA34"/>
    <mergeCell ref="DB34:DF34"/>
    <mergeCell ref="DG34:DK34"/>
    <mergeCell ref="DL34:DP34"/>
    <mergeCell ref="BI34:BM34"/>
    <mergeCell ref="BN34:BR34"/>
    <mergeCell ref="BS34:BW34"/>
    <mergeCell ref="BX34:CB34"/>
    <mergeCell ref="CC34:CG34"/>
    <mergeCell ref="CH34:CL34"/>
    <mergeCell ref="AE36:AI36"/>
    <mergeCell ref="AJ36:AN36"/>
    <mergeCell ref="AO36:AS36"/>
    <mergeCell ref="AT36:AX36"/>
    <mergeCell ref="DV35:DZ35"/>
    <mergeCell ref="EA35:EE35"/>
    <mergeCell ref="EF35:EJ35"/>
    <mergeCell ref="EK35:EO35"/>
    <mergeCell ref="EP35:ET35"/>
    <mergeCell ref="EU35:EY35"/>
    <mergeCell ref="CR35:CV35"/>
    <mergeCell ref="CW35:DA35"/>
    <mergeCell ref="DB35:DF35"/>
    <mergeCell ref="DG35:DK35"/>
    <mergeCell ref="DL35:DP35"/>
    <mergeCell ref="DQ35:DU35"/>
    <mergeCell ref="BN35:BR35"/>
    <mergeCell ref="BS35:BW35"/>
    <mergeCell ref="BX35:CB35"/>
    <mergeCell ref="CC35:CG35"/>
    <mergeCell ref="CH35:CL35"/>
    <mergeCell ref="CM35:CQ35"/>
    <mergeCell ref="C37:Y37"/>
    <mergeCell ref="Z37:AD37"/>
    <mergeCell ref="AE37:AI37"/>
    <mergeCell ref="AJ37:AN37"/>
    <mergeCell ref="AO37:AS37"/>
    <mergeCell ref="AT37:AX37"/>
    <mergeCell ref="AY37:BC37"/>
    <mergeCell ref="BD37:BH37"/>
    <mergeCell ref="BI37:BM37"/>
    <mergeCell ref="EK36:EO36"/>
    <mergeCell ref="EP36:ET36"/>
    <mergeCell ref="EU36:EY36"/>
    <mergeCell ref="DG36:DK36"/>
    <mergeCell ref="DL36:DP36"/>
    <mergeCell ref="DQ36:DU36"/>
    <mergeCell ref="DV36:DZ36"/>
    <mergeCell ref="EA36:EE36"/>
    <mergeCell ref="EF36:EJ36"/>
    <mergeCell ref="CC36:CG36"/>
    <mergeCell ref="CH36:CL36"/>
    <mergeCell ref="CM36:CQ36"/>
    <mergeCell ref="CR36:CV36"/>
    <mergeCell ref="CW36:DA36"/>
    <mergeCell ref="DB36:DF36"/>
    <mergeCell ref="AY36:BC36"/>
    <mergeCell ref="BD36:BH36"/>
    <mergeCell ref="BI36:BM36"/>
    <mergeCell ref="BN36:BR36"/>
    <mergeCell ref="BS36:BW36"/>
    <mergeCell ref="BX36:CB36"/>
    <mergeCell ref="C36:Y36"/>
    <mergeCell ref="Z36:AD36"/>
    <mergeCell ref="AE38:AI38"/>
    <mergeCell ref="AJ38:AN38"/>
    <mergeCell ref="AO38:AS38"/>
    <mergeCell ref="AT38:AX38"/>
    <mergeCell ref="DV37:DZ37"/>
    <mergeCell ref="EA37:EE37"/>
    <mergeCell ref="EF37:EJ37"/>
    <mergeCell ref="EK37:EO37"/>
    <mergeCell ref="EP37:ET37"/>
    <mergeCell ref="EU37:EY37"/>
    <mergeCell ref="CR37:CV37"/>
    <mergeCell ref="CW37:DA37"/>
    <mergeCell ref="DB37:DF37"/>
    <mergeCell ref="DG37:DK37"/>
    <mergeCell ref="DL37:DP37"/>
    <mergeCell ref="DQ37:DU37"/>
    <mergeCell ref="BN37:BR37"/>
    <mergeCell ref="BS37:BW37"/>
    <mergeCell ref="BX37:CB37"/>
    <mergeCell ref="CC37:CG37"/>
    <mergeCell ref="CH37:CL37"/>
    <mergeCell ref="CM37:CQ37"/>
    <mergeCell ref="C39:Y39"/>
    <mergeCell ref="Z39:AD39"/>
    <mergeCell ref="AE39:AI39"/>
    <mergeCell ref="AJ39:AN39"/>
    <mergeCell ref="AO39:AS39"/>
    <mergeCell ref="AT39:AX39"/>
    <mergeCell ref="EK38:EO38"/>
    <mergeCell ref="EP38:ET38"/>
    <mergeCell ref="EU38:EY38"/>
    <mergeCell ref="DG38:DK38"/>
    <mergeCell ref="DL38:DP38"/>
    <mergeCell ref="DQ38:DU38"/>
    <mergeCell ref="DV38:DZ38"/>
    <mergeCell ref="EA38:EE38"/>
    <mergeCell ref="EF38:EJ38"/>
    <mergeCell ref="CC38:CG38"/>
    <mergeCell ref="CH38:CL38"/>
    <mergeCell ref="CM38:CQ38"/>
    <mergeCell ref="CR38:CV38"/>
    <mergeCell ref="CW38:DA38"/>
    <mergeCell ref="DB38:DF38"/>
    <mergeCell ref="AY38:BC38"/>
    <mergeCell ref="BD38:BH38"/>
    <mergeCell ref="BI38:BM38"/>
    <mergeCell ref="BN38:BR38"/>
    <mergeCell ref="BS38:BW38"/>
    <mergeCell ref="BX38:CB38"/>
    <mergeCell ref="EK39:EO39"/>
    <mergeCell ref="EP39:ET39"/>
    <mergeCell ref="EU39:EY39"/>
    <mergeCell ref="C38:Y38"/>
    <mergeCell ref="Z38:AD38"/>
    <mergeCell ref="AJ40:AN40"/>
    <mergeCell ref="AO40:AS40"/>
    <mergeCell ref="AT40:AX40"/>
    <mergeCell ref="AY40:BC40"/>
    <mergeCell ref="DG39:DK39"/>
    <mergeCell ref="DL39:DP39"/>
    <mergeCell ref="DQ39:DU39"/>
    <mergeCell ref="DV39:DZ39"/>
    <mergeCell ref="EA39:EE39"/>
    <mergeCell ref="EF39:EJ39"/>
    <mergeCell ref="CC39:CG39"/>
    <mergeCell ref="CH39:CL39"/>
    <mergeCell ref="CM39:CQ39"/>
    <mergeCell ref="CR39:CV39"/>
    <mergeCell ref="CW39:DA39"/>
    <mergeCell ref="DB39:DF39"/>
    <mergeCell ref="AY39:BC39"/>
    <mergeCell ref="BD39:BH39"/>
    <mergeCell ref="BI39:BM39"/>
    <mergeCell ref="BN39:BR39"/>
    <mergeCell ref="BS39:BW39"/>
    <mergeCell ref="BX39:CB39"/>
    <mergeCell ref="EP40:ET40"/>
    <mergeCell ref="EU40:EY40"/>
    <mergeCell ref="C41:Y41"/>
    <mergeCell ref="Z41:AD41"/>
    <mergeCell ref="AE41:AI41"/>
    <mergeCell ref="AJ41:AN41"/>
    <mergeCell ref="AO41:AS41"/>
    <mergeCell ref="AT41:AX41"/>
    <mergeCell ref="AY41:BC41"/>
    <mergeCell ref="BD41:BH41"/>
    <mergeCell ref="DL40:DP40"/>
    <mergeCell ref="DQ40:DU40"/>
    <mergeCell ref="DV40:DZ40"/>
    <mergeCell ref="EA40:EE40"/>
    <mergeCell ref="EF40:EJ40"/>
    <mergeCell ref="EK40:EO40"/>
    <mergeCell ref="CH40:CL40"/>
    <mergeCell ref="CM40:CQ40"/>
    <mergeCell ref="CR40:CV40"/>
    <mergeCell ref="CW40:DA40"/>
    <mergeCell ref="DB40:DF40"/>
    <mergeCell ref="DG40:DK40"/>
    <mergeCell ref="BD40:BH40"/>
    <mergeCell ref="BI40:BM40"/>
    <mergeCell ref="BN40:BR40"/>
    <mergeCell ref="BS40:BW40"/>
    <mergeCell ref="BX40:CB40"/>
    <mergeCell ref="CC40:CG40"/>
    <mergeCell ref="EU41:EY41"/>
    <mergeCell ref="C40:Y40"/>
    <mergeCell ref="Z40:AD40"/>
    <mergeCell ref="AE40:AI40"/>
    <mergeCell ref="AT42:AX42"/>
    <mergeCell ref="AY42:BC42"/>
    <mergeCell ref="BD42:BH42"/>
    <mergeCell ref="BI42:BM42"/>
    <mergeCell ref="DQ41:DU41"/>
    <mergeCell ref="DV41:DZ41"/>
    <mergeCell ref="EA41:EE41"/>
    <mergeCell ref="EF41:EJ41"/>
    <mergeCell ref="EK41:EO41"/>
    <mergeCell ref="EP41:ET41"/>
    <mergeCell ref="CM41:CQ41"/>
    <mergeCell ref="CR41:CV41"/>
    <mergeCell ref="CW41:DA41"/>
    <mergeCell ref="DB41:DF41"/>
    <mergeCell ref="DG41:DK41"/>
    <mergeCell ref="DL41:DP41"/>
    <mergeCell ref="BI41:BM41"/>
    <mergeCell ref="BN41:BR41"/>
    <mergeCell ref="BS41:BW41"/>
    <mergeCell ref="BX41:CB41"/>
    <mergeCell ref="CC41:CG41"/>
    <mergeCell ref="CH41:CL41"/>
    <mergeCell ref="C43:Y43"/>
    <mergeCell ref="Z43:AD43"/>
    <mergeCell ref="AE43:AI43"/>
    <mergeCell ref="AJ43:AN43"/>
    <mergeCell ref="AO43:AS43"/>
    <mergeCell ref="AT43:AX43"/>
    <mergeCell ref="DV42:DZ42"/>
    <mergeCell ref="EA42:EE42"/>
    <mergeCell ref="EF42:EJ42"/>
    <mergeCell ref="EK42:EO42"/>
    <mergeCell ref="EP42:ET42"/>
    <mergeCell ref="EU42:EY42"/>
    <mergeCell ref="CR42:CV42"/>
    <mergeCell ref="CW42:DA42"/>
    <mergeCell ref="DB42:DF42"/>
    <mergeCell ref="DG42:DK42"/>
    <mergeCell ref="DL42:DP42"/>
    <mergeCell ref="DQ42:DU42"/>
    <mergeCell ref="BN42:BR42"/>
    <mergeCell ref="BS42:BW42"/>
    <mergeCell ref="BX42:CB42"/>
    <mergeCell ref="CC42:CG42"/>
    <mergeCell ref="CH42:CL42"/>
    <mergeCell ref="CM42:CQ42"/>
    <mergeCell ref="EK43:EO43"/>
    <mergeCell ref="EP43:ET43"/>
    <mergeCell ref="EU43:EY43"/>
    <mergeCell ref="C42:Y42"/>
    <mergeCell ref="Z42:AD42"/>
    <mergeCell ref="AE42:AI42"/>
    <mergeCell ref="AJ42:AN42"/>
    <mergeCell ref="AO42:AS42"/>
    <mergeCell ref="AJ44:AN44"/>
    <mergeCell ref="AO44:AS44"/>
    <mergeCell ref="AT44:AX44"/>
    <mergeCell ref="AY44:BC44"/>
    <mergeCell ref="DG43:DK43"/>
    <mergeCell ref="DL43:DP43"/>
    <mergeCell ref="DQ43:DU43"/>
    <mergeCell ref="DV43:DZ43"/>
    <mergeCell ref="EA43:EE43"/>
    <mergeCell ref="EF43:EJ43"/>
    <mergeCell ref="CC43:CG43"/>
    <mergeCell ref="CH43:CL43"/>
    <mergeCell ref="CM43:CQ43"/>
    <mergeCell ref="CR43:CV43"/>
    <mergeCell ref="CW43:DA43"/>
    <mergeCell ref="DB43:DF43"/>
    <mergeCell ref="AY43:BC43"/>
    <mergeCell ref="BD43:BH43"/>
    <mergeCell ref="BI43:BM43"/>
    <mergeCell ref="BN43:BR43"/>
    <mergeCell ref="BS43:BW43"/>
    <mergeCell ref="BX43:CB43"/>
    <mergeCell ref="EP44:ET44"/>
    <mergeCell ref="EU44:EY44"/>
    <mergeCell ref="C45:Y45"/>
    <mergeCell ref="Z45:AD45"/>
    <mergeCell ref="AE45:AI45"/>
    <mergeCell ref="AJ45:AN45"/>
    <mergeCell ref="AO45:AS45"/>
    <mergeCell ref="AT45:AX45"/>
    <mergeCell ref="AY45:BC45"/>
    <mergeCell ref="BD45:BH45"/>
    <mergeCell ref="DL44:DP44"/>
    <mergeCell ref="DQ44:DU44"/>
    <mergeCell ref="DV44:DZ44"/>
    <mergeCell ref="EA44:EE44"/>
    <mergeCell ref="EF44:EJ44"/>
    <mergeCell ref="EK44:EO44"/>
    <mergeCell ref="CH44:CL44"/>
    <mergeCell ref="CM44:CQ44"/>
    <mergeCell ref="CR44:CV44"/>
    <mergeCell ref="CW44:DA44"/>
    <mergeCell ref="DB44:DF44"/>
    <mergeCell ref="DG44:DK44"/>
    <mergeCell ref="BD44:BH44"/>
    <mergeCell ref="BI44:BM44"/>
    <mergeCell ref="BN44:BR44"/>
    <mergeCell ref="BS44:BW44"/>
    <mergeCell ref="BX44:CB44"/>
    <mergeCell ref="CC44:CG44"/>
    <mergeCell ref="EU45:EY45"/>
    <mergeCell ref="C44:Y44"/>
    <mergeCell ref="Z44:AD44"/>
    <mergeCell ref="AE44:AI44"/>
    <mergeCell ref="C46:Y46"/>
    <mergeCell ref="Z46:AD46"/>
    <mergeCell ref="AE46:AI46"/>
    <mergeCell ref="AJ46:AN46"/>
    <mergeCell ref="AO46:AS46"/>
    <mergeCell ref="AT46:AX46"/>
    <mergeCell ref="AY46:BC46"/>
    <mergeCell ref="BD46:BH46"/>
    <mergeCell ref="BI46:BM46"/>
    <mergeCell ref="DQ45:DU45"/>
    <mergeCell ref="DV45:DZ45"/>
    <mergeCell ref="EA45:EE45"/>
    <mergeCell ref="EF45:EJ45"/>
    <mergeCell ref="EK45:EO45"/>
    <mergeCell ref="EP45:ET45"/>
    <mergeCell ref="CM45:CQ45"/>
    <mergeCell ref="CR45:CV45"/>
    <mergeCell ref="CW45:DA45"/>
    <mergeCell ref="DB45:DF45"/>
    <mergeCell ref="DG45:DK45"/>
    <mergeCell ref="DL45:DP45"/>
    <mergeCell ref="BI45:BM45"/>
    <mergeCell ref="BN45:BR45"/>
    <mergeCell ref="BS45:BW45"/>
    <mergeCell ref="BX45:CB45"/>
    <mergeCell ref="CC45:CG45"/>
    <mergeCell ref="CH45:CL45"/>
    <mergeCell ref="DV46:DZ46"/>
    <mergeCell ref="EA46:EE46"/>
    <mergeCell ref="EF46:EJ46"/>
    <mergeCell ref="EK46:EO46"/>
    <mergeCell ref="EP46:ET46"/>
    <mergeCell ref="EU46:EY46"/>
    <mergeCell ref="CR46:CV46"/>
    <mergeCell ref="CW46:DA46"/>
    <mergeCell ref="DB46:DF46"/>
    <mergeCell ref="DG46:DK46"/>
    <mergeCell ref="DL46:DP46"/>
    <mergeCell ref="DQ46:DU46"/>
    <mergeCell ref="BN46:BR46"/>
    <mergeCell ref="BS46:BW46"/>
    <mergeCell ref="BX46:CB46"/>
    <mergeCell ref="CC46:CG46"/>
    <mergeCell ref="CH46:CL46"/>
    <mergeCell ref="CM46:CQ46"/>
    <mergeCell ref="C48:Y48"/>
    <mergeCell ref="Z48:AD48"/>
    <mergeCell ref="AE48:AI48"/>
    <mergeCell ref="AJ48:AN48"/>
    <mergeCell ref="AO48:AS48"/>
    <mergeCell ref="AT48:AX48"/>
    <mergeCell ref="AY48:BC48"/>
    <mergeCell ref="DG47:DK47"/>
    <mergeCell ref="DL47:DP47"/>
    <mergeCell ref="DQ47:DU47"/>
    <mergeCell ref="DV47:DZ47"/>
    <mergeCell ref="EA47:EE47"/>
    <mergeCell ref="EF47:EJ47"/>
    <mergeCell ref="CC47:CG47"/>
    <mergeCell ref="CH47:CL47"/>
    <mergeCell ref="CM47:CQ47"/>
    <mergeCell ref="CR47:CV47"/>
    <mergeCell ref="CW47:DA47"/>
    <mergeCell ref="DB47:DF47"/>
    <mergeCell ref="AY47:BC47"/>
    <mergeCell ref="BD47:BH47"/>
    <mergeCell ref="BI47:BM47"/>
    <mergeCell ref="BN47:BR47"/>
    <mergeCell ref="BS47:BW47"/>
    <mergeCell ref="BX47:CB47"/>
    <mergeCell ref="C47:Y47"/>
    <mergeCell ref="Z47:AD47"/>
    <mergeCell ref="AE47:AI47"/>
    <mergeCell ref="AJ47:AN47"/>
    <mergeCell ref="AO47:AS47"/>
    <mergeCell ref="AT47:AX47"/>
    <mergeCell ref="EP48:ET48"/>
    <mergeCell ref="EU48:EY48"/>
    <mergeCell ref="EK47:EO47"/>
    <mergeCell ref="EP47:ET47"/>
    <mergeCell ref="EU47:EY47"/>
    <mergeCell ref="C49:Y49"/>
    <mergeCell ref="Z49:AD49"/>
    <mergeCell ref="AE49:AI49"/>
    <mergeCell ref="AJ49:AN49"/>
    <mergeCell ref="AO49:AS49"/>
    <mergeCell ref="AT49:AX49"/>
    <mergeCell ref="AY49:BC49"/>
    <mergeCell ref="BD49:BH49"/>
    <mergeCell ref="DL48:DP48"/>
    <mergeCell ref="DQ48:DU48"/>
    <mergeCell ref="DV48:DZ48"/>
    <mergeCell ref="EA48:EE48"/>
    <mergeCell ref="EF48:EJ48"/>
    <mergeCell ref="EK48:EO48"/>
    <mergeCell ref="CH48:CL48"/>
    <mergeCell ref="CM48:CQ48"/>
    <mergeCell ref="CR48:CV48"/>
    <mergeCell ref="CW48:DA48"/>
    <mergeCell ref="DB48:DF48"/>
    <mergeCell ref="DG48:DK48"/>
    <mergeCell ref="BD48:BH48"/>
    <mergeCell ref="BI48:BM48"/>
    <mergeCell ref="BN48:BR48"/>
    <mergeCell ref="BS48:BW48"/>
    <mergeCell ref="BX48:CB48"/>
    <mergeCell ref="CC48:CG48"/>
    <mergeCell ref="EU49:EY49"/>
    <mergeCell ref="DQ49:DU49"/>
    <mergeCell ref="DV49:DZ49"/>
    <mergeCell ref="EA49:EE49"/>
    <mergeCell ref="EF49:EJ49"/>
    <mergeCell ref="EK49:EO49"/>
    <mergeCell ref="EP49:ET49"/>
    <mergeCell ref="CM49:CQ49"/>
    <mergeCell ref="CR49:CV49"/>
    <mergeCell ref="CW49:DA49"/>
    <mergeCell ref="DB49:DF49"/>
    <mergeCell ref="DG49:DK49"/>
    <mergeCell ref="DL49:DP49"/>
    <mergeCell ref="BI49:BM49"/>
    <mergeCell ref="BN49:BR49"/>
    <mergeCell ref="BS49:BW49"/>
    <mergeCell ref="BX49:CB49"/>
    <mergeCell ref="CC49:CG49"/>
    <mergeCell ref="CH49:CL49"/>
    <mergeCell ref="AO51:AS51"/>
    <mergeCell ref="AT51:AX51"/>
    <mergeCell ref="EK51:EO51"/>
    <mergeCell ref="EP51:ET51"/>
    <mergeCell ref="EK50:EO50"/>
    <mergeCell ref="EP50:ET50"/>
    <mergeCell ref="EU51:EY51"/>
    <mergeCell ref="A52:A53"/>
    <mergeCell ref="C52:Y52"/>
    <mergeCell ref="Z52:AD53"/>
    <mergeCell ref="AE52:AI53"/>
    <mergeCell ref="AJ52:AN53"/>
    <mergeCell ref="AO52:AS53"/>
    <mergeCell ref="AT52:AX53"/>
    <mergeCell ref="DG51:DK51"/>
    <mergeCell ref="DL51:DP51"/>
    <mergeCell ref="DQ51:DU51"/>
    <mergeCell ref="DV51:DZ51"/>
    <mergeCell ref="EA51:EE51"/>
    <mergeCell ref="EF51:EJ51"/>
    <mergeCell ref="CC51:CG51"/>
    <mergeCell ref="CH51:CL51"/>
    <mergeCell ref="CM51:CQ51"/>
    <mergeCell ref="CR51:CV51"/>
    <mergeCell ref="CW51:DA51"/>
    <mergeCell ref="DB51:DF51"/>
    <mergeCell ref="AY51:BC51"/>
    <mergeCell ref="BD51:BH51"/>
    <mergeCell ref="BI51:BM51"/>
    <mergeCell ref="BN51:BR51"/>
    <mergeCell ref="BS51:BW51"/>
    <mergeCell ref="BX51:CB51"/>
    <mergeCell ref="C51:Y51"/>
    <mergeCell ref="Z51:AD51"/>
    <mergeCell ref="AE51:AI51"/>
    <mergeCell ref="AJ51:AN51"/>
    <mergeCell ref="EK52:EO53"/>
    <mergeCell ref="EP52:ET53"/>
    <mergeCell ref="EU52:EY53"/>
    <mergeCell ref="C53:Y53"/>
    <mergeCell ref="A54:A55"/>
    <mergeCell ref="C54:Y54"/>
    <mergeCell ref="Z54:AD55"/>
    <mergeCell ref="AE54:AI55"/>
    <mergeCell ref="AJ54:AN55"/>
    <mergeCell ref="AO54:AS55"/>
    <mergeCell ref="DG52:DK53"/>
    <mergeCell ref="DL52:DP53"/>
    <mergeCell ref="DQ52:DU53"/>
    <mergeCell ref="DV52:DZ53"/>
    <mergeCell ref="EA52:EE53"/>
    <mergeCell ref="EF52:EJ53"/>
    <mergeCell ref="CC52:CG53"/>
    <mergeCell ref="CH52:CL53"/>
    <mergeCell ref="CM52:CQ53"/>
    <mergeCell ref="CR52:CV53"/>
    <mergeCell ref="CW52:DA53"/>
    <mergeCell ref="DB52:DF53"/>
    <mergeCell ref="AY52:BC53"/>
    <mergeCell ref="BD52:BH53"/>
    <mergeCell ref="BI52:BM53"/>
    <mergeCell ref="BN52:BR53"/>
    <mergeCell ref="BS52:BW53"/>
    <mergeCell ref="BX52:CB53"/>
    <mergeCell ref="EF54:EJ55"/>
    <mergeCell ref="EK54:EO55"/>
    <mergeCell ref="EP54:ET55"/>
    <mergeCell ref="EU54:EY55"/>
    <mergeCell ref="C55:Y55"/>
    <mergeCell ref="A56:A57"/>
    <mergeCell ref="C56:Y56"/>
    <mergeCell ref="Z56:AD57"/>
    <mergeCell ref="AE56:AI57"/>
    <mergeCell ref="AJ56:AN57"/>
    <mergeCell ref="DB54:DF55"/>
    <mergeCell ref="DG54:DK55"/>
    <mergeCell ref="DL54:DP55"/>
    <mergeCell ref="DQ54:DU55"/>
    <mergeCell ref="DV54:DZ55"/>
    <mergeCell ref="EA54:EE55"/>
    <mergeCell ref="BX54:CB55"/>
    <mergeCell ref="CC54:CG55"/>
    <mergeCell ref="CH54:CL55"/>
    <mergeCell ref="CM54:CQ55"/>
    <mergeCell ref="CR54:CV55"/>
    <mergeCell ref="CW54:DA55"/>
    <mergeCell ref="AT54:AX55"/>
    <mergeCell ref="AY54:BC55"/>
    <mergeCell ref="BD54:BH55"/>
    <mergeCell ref="BI54:BM55"/>
    <mergeCell ref="BN54:BR55"/>
    <mergeCell ref="BS54:BW55"/>
    <mergeCell ref="AO58:AS59"/>
    <mergeCell ref="EA56:EE57"/>
    <mergeCell ref="EF56:EJ57"/>
    <mergeCell ref="EK56:EO57"/>
    <mergeCell ref="EP56:ET57"/>
    <mergeCell ref="EU56:EY57"/>
    <mergeCell ref="C57:Y57"/>
    <mergeCell ref="CW56:DA57"/>
    <mergeCell ref="DB56:DF57"/>
    <mergeCell ref="DG56:DK57"/>
    <mergeCell ref="DL56:DP57"/>
    <mergeCell ref="DQ56:DU57"/>
    <mergeCell ref="DV56:DZ57"/>
    <mergeCell ref="BS56:BW57"/>
    <mergeCell ref="BX56:CB57"/>
    <mergeCell ref="CC56:CG57"/>
    <mergeCell ref="CH56:CL57"/>
    <mergeCell ref="CM56:CQ57"/>
    <mergeCell ref="CR56:CV57"/>
    <mergeCell ref="AO56:AS57"/>
    <mergeCell ref="AT56:AX57"/>
    <mergeCell ref="AY56:BC57"/>
    <mergeCell ref="BD56:BH57"/>
    <mergeCell ref="BI56:BM57"/>
    <mergeCell ref="BN56:BR57"/>
    <mergeCell ref="EF58:EJ59"/>
    <mergeCell ref="EK58:EO59"/>
    <mergeCell ref="EP58:ET59"/>
    <mergeCell ref="EU58:EY59"/>
    <mergeCell ref="C59:Y59"/>
    <mergeCell ref="EK62:EO63"/>
    <mergeCell ref="EP62:ET63"/>
    <mergeCell ref="EU62:EY63"/>
    <mergeCell ref="C63:Y63"/>
    <mergeCell ref="A60:A61"/>
    <mergeCell ref="C60:Y60"/>
    <mergeCell ref="Z60:AD61"/>
    <mergeCell ref="AE60:AI61"/>
    <mergeCell ref="AJ60:AN61"/>
    <mergeCell ref="DB58:DF59"/>
    <mergeCell ref="DG58:DK59"/>
    <mergeCell ref="DL58:DP59"/>
    <mergeCell ref="DQ58:DU59"/>
    <mergeCell ref="DV58:DZ59"/>
    <mergeCell ref="EA58:EE59"/>
    <mergeCell ref="BX58:CB59"/>
    <mergeCell ref="CC58:CG59"/>
    <mergeCell ref="CH58:CL59"/>
    <mergeCell ref="CM58:CQ59"/>
    <mergeCell ref="CR58:CV59"/>
    <mergeCell ref="CW58:DA59"/>
    <mergeCell ref="AT58:AX59"/>
    <mergeCell ref="AY58:BC59"/>
    <mergeCell ref="BD58:BH59"/>
    <mergeCell ref="BI58:BM59"/>
    <mergeCell ref="BN58:BR59"/>
    <mergeCell ref="BS58:BW59"/>
    <mergeCell ref="A58:A59"/>
    <mergeCell ref="C58:Y58"/>
    <mergeCell ref="Z58:AD59"/>
    <mergeCell ref="AE58:AI59"/>
    <mergeCell ref="AJ58:AN59"/>
    <mergeCell ref="A62:A63"/>
    <mergeCell ref="C62:Y62"/>
    <mergeCell ref="Z62:AD63"/>
    <mergeCell ref="AE62:AI63"/>
    <mergeCell ref="EA64:EE65"/>
    <mergeCell ref="AJ62:AN63"/>
    <mergeCell ref="AO62:AS63"/>
    <mergeCell ref="EA60:EE61"/>
    <mergeCell ref="EF60:EJ61"/>
    <mergeCell ref="EK60:EO61"/>
    <mergeCell ref="EP60:ET61"/>
    <mergeCell ref="EU60:EY61"/>
    <mergeCell ref="C61:Y61"/>
    <mergeCell ref="CW60:DA61"/>
    <mergeCell ref="DB60:DF61"/>
    <mergeCell ref="DG60:DK61"/>
    <mergeCell ref="DL60:DP61"/>
    <mergeCell ref="DQ60:DU61"/>
    <mergeCell ref="DV60:DZ61"/>
    <mergeCell ref="BS60:BW61"/>
    <mergeCell ref="BX60:CB61"/>
    <mergeCell ref="CC60:CG61"/>
    <mergeCell ref="CH60:CL61"/>
    <mergeCell ref="CM60:CQ61"/>
    <mergeCell ref="CR60:CV61"/>
    <mergeCell ref="AO60:AS61"/>
    <mergeCell ref="AT60:AX61"/>
    <mergeCell ref="AY60:BC61"/>
    <mergeCell ref="BD60:BH61"/>
    <mergeCell ref="BI60:BM61"/>
    <mergeCell ref="BN60:BR61"/>
    <mergeCell ref="EF62:EJ63"/>
    <mergeCell ref="DB62:DF63"/>
    <mergeCell ref="DG62:DK63"/>
    <mergeCell ref="DL62:DP63"/>
    <mergeCell ref="DQ62:DU63"/>
    <mergeCell ref="DV62:DZ63"/>
    <mergeCell ref="EA62:EE63"/>
    <mergeCell ref="BX62:CB63"/>
    <mergeCell ref="CC62:CG63"/>
    <mergeCell ref="CH62:CL63"/>
    <mergeCell ref="CM62:CQ63"/>
    <mergeCell ref="CR62:CV63"/>
    <mergeCell ref="CW62:DA63"/>
    <mergeCell ref="AT62:AX63"/>
    <mergeCell ref="AY62:BC63"/>
    <mergeCell ref="BD62:BH63"/>
    <mergeCell ref="BI62:BM63"/>
    <mergeCell ref="BN62:BR63"/>
    <mergeCell ref="BS62:BW63"/>
    <mergeCell ref="AO66:AS67"/>
    <mergeCell ref="A80:A81"/>
    <mergeCell ref="C80:Y80"/>
    <mergeCell ref="EF64:EJ65"/>
    <mergeCell ref="EK64:EO65"/>
    <mergeCell ref="EP64:ET65"/>
    <mergeCell ref="EU64:EY65"/>
    <mergeCell ref="C65:Y65"/>
    <mergeCell ref="CW64:DA65"/>
    <mergeCell ref="DB64:DF65"/>
    <mergeCell ref="DG64:DK65"/>
    <mergeCell ref="DL64:DP65"/>
    <mergeCell ref="DQ64:DU65"/>
    <mergeCell ref="DV64:DZ65"/>
    <mergeCell ref="BS64:BW65"/>
    <mergeCell ref="BX64:CB65"/>
    <mergeCell ref="CC64:CG65"/>
    <mergeCell ref="CH64:CL65"/>
    <mergeCell ref="CM64:CQ65"/>
    <mergeCell ref="CR64:CV65"/>
    <mergeCell ref="AO64:AS65"/>
    <mergeCell ref="AT64:AX65"/>
    <mergeCell ref="AY64:BC65"/>
    <mergeCell ref="BD64:BH65"/>
    <mergeCell ref="BI64:BM65"/>
    <mergeCell ref="BN64:BR65"/>
    <mergeCell ref="A64:A65"/>
    <mergeCell ref="C64:Y64"/>
    <mergeCell ref="Z64:AD65"/>
    <mergeCell ref="AE64:AI65"/>
    <mergeCell ref="AJ64:AN65"/>
    <mergeCell ref="C81:Y81"/>
    <mergeCell ref="EP86:ET87"/>
    <mergeCell ref="EU86:EY87"/>
    <mergeCell ref="C87:Y87"/>
    <mergeCell ref="C67:Y67"/>
    <mergeCell ref="A84:A85"/>
    <mergeCell ref="C84:Y84"/>
    <mergeCell ref="Z84:AD85"/>
    <mergeCell ref="AE84:AI85"/>
    <mergeCell ref="AJ84:AN85"/>
    <mergeCell ref="DB66:DF67"/>
    <mergeCell ref="DG66:DK67"/>
    <mergeCell ref="DL66:DP67"/>
    <mergeCell ref="DQ66:DU67"/>
    <mergeCell ref="DV66:DZ67"/>
    <mergeCell ref="EA66:EE67"/>
    <mergeCell ref="BX66:CB67"/>
    <mergeCell ref="CC66:CG67"/>
    <mergeCell ref="CH66:CL67"/>
    <mergeCell ref="CM66:CQ67"/>
    <mergeCell ref="CR66:CV67"/>
    <mergeCell ref="CW66:DA67"/>
    <mergeCell ref="AT66:AX67"/>
    <mergeCell ref="AY66:BC67"/>
    <mergeCell ref="BD66:BH67"/>
    <mergeCell ref="BI66:BM67"/>
    <mergeCell ref="BN66:BR67"/>
    <mergeCell ref="BS66:BW67"/>
    <mergeCell ref="A66:A67"/>
    <mergeCell ref="C66:Y66"/>
    <mergeCell ref="Z66:AD67"/>
    <mergeCell ref="AE66:AI67"/>
    <mergeCell ref="AJ66:AN67"/>
    <mergeCell ref="EA84:EE85"/>
    <mergeCell ref="EF84:EJ85"/>
    <mergeCell ref="EK84:EO85"/>
    <mergeCell ref="EP84:ET85"/>
    <mergeCell ref="EU84:EY85"/>
    <mergeCell ref="C85:Y85"/>
    <mergeCell ref="CW84:DA85"/>
    <mergeCell ref="DB84:DF85"/>
    <mergeCell ref="DG84:DK85"/>
    <mergeCell ref="DL84:DP85"/>
    <mergeCell ref="DQ84:DU85"/>
    <mergeCell ref="DV84:DZ85"/>
    <mergeCell ref="BS84:BW85"/>
    <mergeCell ref="BX84:CB85"/>
    <mergeCell ref="CC84:CG85"/>
    <mergeCell ref="CH84:CL85"/>
    <mergeCell ref="CM84:CQ85"/>
    <mergeCell ref="CR84:CV85"/>
    <mergeCell ref="AO84:AS85"/>
    <mergeCell ref="AT84:AX85"/>
    <mergeCell ref="AY84:BC85"/>
    <mergeCell ref="BD84:BH85"/>
    <mergeCell ref="BI84:BM85"/>
    <mergeCell ref="BN84:BR85"/>
    <mergeCell ref="EU90:EY90"/>
    <mergeCell ref="A88:A89"/>
    <mergeCell ref="C88:Y88"/>
    <mergeCell ref="Z88:AD89"/>
    <mergeCell ref="AE88:AI89"/>
    <mergeCell ref="AJ88:AN89"/>
    <mergeCell ref="DB86:DF87"/>
    <mergeCell ref="DG86:DK87"/>
    <mergeCell ref="DL86:DP87"/>
    <mergeCell ref="DQ86:DU87"/>
    <mergeCell ref="DV86:DZ87"/>
    <mergeCell ref="EA86:EE87"/>
    <mergeCell ref="BX86:CB87"/>
    <mergeCell ref="CC86:CG87"/>
    <mergeCell ref="CH86:CL87"/>
    <mergeCell ref="CM86:CQ87"/>
    <mergeCell ref="CR86:CV87"/>
    <mergeCell ref="CW86:DA87"/>
    <mergeCell ref="AT86:AX87"/>
    <mergeCell ref="AY86:BC87"/>
    <mergeCell ref="BD86:BH87"/>
    <mergeCell ref="BI86:BM87"/>
    <mergeCell ref="BN86:BR87"/>
    <mergeCell ref="BS86:BW87"/>
    <mergeCell ref="A86:A87"/>
    <mergeCell ref="C86:Y86"/>
    <mergeCell ref="Z86:AD87"/>
    <mergeCell ref="AE86:AI87"/>
    <mergeCell ref="AJ86:AN87"/>
    <mergeCell ref="AO86:AS87"/>
    <mergeCell ref="EF86:EJ87"/>
    <mergeCell ref="EK86:EO87"/>
    <mergeCell ref="C90:Y90"/>
    <mergeCell ref="Z90:AD90"/>
    <mergeCell ref="AE90:AI90"/>
    <mergeCell ref="AJ90:AN90"/>
    <mergeCell ref="AO90:AS90"/>
    <mergeCell ref="AT90:AX90"/>
    <mergeCell ref="EA88:EE89"/>
    <mergeCell ref="EF88:EJ89"/>
    <mergeCell ref="EK88:EO89"/>
    <mergeCell ref="EP88:ET89"/>
    <mergeCell ref="EU88:EY89"/>
    <mergeCell ref="C89:Y89"/>
    <mergeCell ref="CW88:DA89"/>
    <mergeCell ref="DB88:DF89"/>
    <mergeCell ref="DG88:DK89"/>
    <mergeCell ref="DL88:DP89"/>
    <mergeCell ref="DQ88:DU89"/>
    <mergeCell ref="DV88:DZ89"/>
    <mergeCell ref="BS88:BW89"/>
    <mergeCell ref="BX88:CB89"/>
    <mergeCell ref="CC88:CG89"/>
    <mergeCell ref="CH88:CL89"/>
    <mergeCell ref="CM88:CQ89"/>
    <mergeCell ref="CR88:CV89"/>
    <mergeCell ref="AO88:AS89"/>
    <mergeCell ref="AT88:AX89"/>
    <mergeCell ref="AY88:BC89"/>
    <mergeCell ref="BD88:BH89"/>
    <mergeCell ref="BI88:BM89"/>
    <mergeCell ref="BN88:BR89"/>
    <mergeCell ref="EK90:EO90"/>
    <mergeCell ref="EP90:ET90"/>
    <mergeCell ref="AJ91:AN91"/>
    <mergeCell ref="AO91:AS91"/>
    <mergeCell ref="AT91:AX91"/>
    <mergeCell ref="AY91:BC91"/>
    <mergeCell ref="DG90:DK90"/>
    <mergeCell ref="DL90:DP90"/>
    <mergeCell ref="DQ90:DU90"/>
    <mergeCell ref="DV90:DZ90"/>
    <mergeCell ref="EA90:EE90"/>
    <mergeCell ref="EF90:EJ90"/>
    <mergeCell ref="CC90:CG90"/>
    <mergeCell ref="CH90:CL90"/>
    <mergeCell ref="CM90:CQ90"/>
    <mergeCell ref="CR90:CV90"/>
    <mergeCell ref="CW90:DA90"/>
    <mergeCell ref="DB90:DF90"/>
    <mergeCell ref="AY90:BC90"/>
    <mergeCell ref="BD90:BH90"/>
    <mergeCell ref="BI90:BM90"/>
    <mergeCell ref="BN90:BR90"/>
    <mergeCell ref="BS90:BW90"/>
    <mergeCell ref="BX90:CB90"/>
    <mergeCell ref="EP91:ET91"/>
    <mergeCell ref="EU91:EY91"/>
    <mergeCell ref="C92:Y92"/>
    <mergeCell ref="Z92:AD92"/>
    <mergeCell ref="AE92:AI92"/>
    <mergeCell ref="AJ92:AN92"/>
    <mergeCell ref="AO92:AS92"/>
    <mergeCell ref="AT92:AX92"/>
    <mergeCell ref="AY92:BC92"/>
    <mergeCell ref="BD92:BH92"/>
    <mergeCell ref="DL91:DP91"/>
    <mergeCell ref="DQ91:DU91"/>
    <mergeCell ref="DV91:DZ91"/>
    <mergeCell ref="EA91:EE91"/>
    <mergeCell ref="EF91:EJ91"/>
    <mergeCell ref="EK91:EO91"/>
    <mergeCell ref="CH91:CL91"/>
    <mergeCell ref="CM91:CQ91"/>
    <mergeCell ref="CR91:CV91"/>
    <mergeCell ref="CW91:DA91"/>
    <mergeCell ref="DB91:DF91"/>
    <mergeCell ref="DG91:DK91"/>
    <mergeCell ref="BD91:BH91"/>
    <mergeCell ref="BI91:BM91"/>
    <mergeCell ref="BN91:BR91"/>
    <mergeCell ref="BS91:BW91"/>
    <mergeCell ref="BX91:CB91"/>
    <mergeCell ref="CC91:CG91"/>
    <mergeCell ref="EU92:EY92"/>
    <mergeCell ref="C91:Y91"/>
    <mergeCell ref="Z91:AD91"/>
    <mergeCell ref="AE91:AI91"/>
    <mergeCell ref="BI93:BM93"/>
    <mergeCell ref="DQ92:DU92"/>
    <mergeCell ref="DV92:DZ92"/>
    <mergeCell ref="EA92:EE92"/>
    <mergeCell ref="EF92:EJ92"/>
    <mergeCell ref="EK92:EO92"/>
    <mergeCell ref="EP92:ET92"/>
    <mergeCell ref="CM92:CQ92"/>
    <mergeCell ref="CR92:CV92"/>
    <mergeCell ref="CW92:DA92"/>
    <mergeCell ref="DB92:DF92"/>
    <mergeCell ref="DG92:DK92"/>
    <mergeCell ref="DL92:DP92"/>
    <mergeCell ref="BI92:BM92"/>
    <mergeCell ref="BN92:BR92"/>
    <mergeCell ref="BS92:BW92"/>
    <mergeCell ref="BX92:CB92"/>
    <mergeCell ref="CC92:CG92"/>
    <mergeCell ref="CH92:CL92"/>
    <mergeCell ref="C94:Y94"/>
    <mergeCell ref="Z94:AD94"/>
    <mergeCell ref="AE94:AI94"/>
    <mergeCell ref="AJ94:AN94"/>
    <mergeCell ref="AO94:AS94"/>
    <mergeCell ref="AT94:AX94"/>
    <mergeCell ref="DV93:DZ93"/>
    <mergeCell ref="EA93:EE93"/>
    <mergeCell ref="EF93:EJ93"/>
    <mergeCell ref="EK93:EO93"/>
    <mergeCell ref="EP93:ET93"/>
    <mergeCell ref="EU93:EY93"/>
    <mergeCell ref="CR93:CV93"/>
    <mergeCell ref="CW93:DA93"/>
    <mergeCell ref="DB93:DF93"/>
    <mergeCell ref="DG93:DK93"/>
    <mergeCell ref="DL93:DP93"/>
    <mergeCell ref="DQ93:DU93"/>
    <mergeCell ref="BN93:BR93"/>
    <mergeCell ref="BS93:BW93"/>
    <mergeCell ref="BX93:CB93"/>
    <mergeCell ref="CC93:CG93"/>
    <mergeCell ref="CH93:CL93"/>
    <mergeCell ref="CM93:CQ93"/>
    <mergeCell ref="C93:Y93"/>
    <mergeCell ref="Z93:AD93"/>
    <mergeCell ref="AE93:AI93"/>
    <mergeCell ref="AJ93:AN93"/>
    <mergeCell ref="AO93:AS93"/>
    <mergeCell ref="AT93:AX93"/>
    <mergeCell ref="AY93:BC93"/>
    <mergeCell ref="BD93:BH93"/>
    <mergeCell ref="B98:EY98"/>
    <mergeCell ref="B100:EY100"/>
    <mergeCell ref="E102:DT102"/>
    <mergeCell ref="E103:AE103"/>
    <mergeCell ref="AF103:AO103"/>
    <mergeCell ref="AP103:AW103"/>
    <mergeCell ref="AX103:CL103"/>
    <mergeCell ref="B99:EY99"/>
    <mergeCell ref="EK94:EO94"/>
    <mergeCell ref="EP94:ET94"/>
    <mergeCell ref="EU94:EY94"/>
    <mergeCell ref="Z95:AD95"/>
    <mergeCell ref="B96:EY96"/>
    <mergeCell ref="B97:EY97"/>
    <mergeCell ref="DG94:DK94"/>
    <mergeCell ref="DL94:DP94"/>
    <mergeCell ref="DQ94:DU94"/>
    <mergeCell ref="DV94:DZ94"/>
    <mergeCell ref="EA94:EE94"/>
    <mergeCell ref="EF94:EJ94"/>
    <mergeCell ref="CC94:CG94"/>
    <mergeCell ref="CH94:CL94"/>
    <mergeCell ref="CM94:CQ94"/>
    <mergeCell ref="CR94:CV94"/>
    <mergeCell ref="CW94:DA94"/>
    <mergeCell ref="DB94:DF94"/>
    <mergeCell ref="AY94:BC94"/>
    <mergeCell ref="BD94:BH94"/>
    <mergeCell ref="BI94:BM94"/>
    <mergeCell ref="BN94:BR94"/>
    <mergeCell ref="BS94:BW94"/>
    <mergeCell ref="BX94:CB94"/>
    <mergeCell ref="AF111:AO111"/>
    <mergeCell ref="AP111:AW111"/>
    <mergeCell ref="E108:AE108"/>
    <mergeCell ref="AF108:AO108"/>
    <mergeCell ref="AP108:AW108"/>
    <mergeCell ref="E109:AE109"/>
    <mergeCell ref="AF109:AO109"/>
    <mergeCell ref="AP109:AW109"/>
    <mergeCell ref="AF106:AO106"/>
    <mergeCell ref="AP106:AW106"/>
    <mergeCell ref="E107:AE107"/>
    <mergeCell ref="AF107:AO107"/>
    <mergeCell ref="AP107:AW107"/>
    <mergeCell ref="E104:AE104"/>
    <mergeCell ref="AF104:AO104"/>
    <mergeCell ref="AP104:AW104"/>
    <mergeCell ref="AX104:CL111"/>
    <mergeCell ref="E105:AE105"/>
    <mergeCell ref="AF105:AO105"/>
    <mergeCell ref="AP105:AW105"/>
    <mergeCell ref="E106:AE106"/>
    <mergeCell ref="B119:X119"/>
    <mergeCell ref="FD33:FF33"/>
    <mergeCell ref="C50:Y50"/>
    <mergeCell ref="Z50:AD50"/>
    <mergeCell ref="AE50:AI50"/>
    <mergeCell ref="AJ50:AN50"/>
    <mergeCell ref="AO50:AS50"/>
    <mergeCell ref="AT50:AX50"/>
    <mergeCell ref="B117:X117"/>
    <mergeCell ref="B118:X118"/>
    <mergeCell ref="B115:X115"/>
    <mergeCell ref="B116:X116"/>
    <mergeCell ref="B113:X113"/>
    <mergeCell ref="B114:X114"/>
    <mergeCell ref="E110:AE110"/>
    <mergeCell ref="AF110:AO110"/>
    <mergeCell ref="AP110:AW110"/>
    <mergeCell ref="E111:AE111"/>
    <mergeCell ref="EU50:EY50"/>
    <mergeCell ref="DG50:DK50"/>
    <mergeCell ref="DL50:DP50"/>
    <mergeCell ref="DQ50:DU50"/>
    <mergeCell ref="DV50:DZ50"/>
    <mergeCell ref="EA50:EE50"/>
    <mergeCell ref="EF50:EJ50"/>
    <mergeCell ref="CC50:CG50"/>
    <mergeCell ref="CH50:CL50"/>
    <mergeCell ref="CM50:CQ50"/>
    <mergeCell ref="CR50:CV50"/>
    <mergeCell ref="CW50:DA50"/>
    <mergeCell ref="DB50:DF50"/>
    <mergeCell ref="AY50:BC50"/>
    <mergeCell ref="BD50:BH50"/>
    <mergeCell ref="BI50:BM50"/>
    <mergeCell ref="BN50:BR50"/>
    <mergeCell ref="BS50:BW50"/>
    <mergeCell ref="BX50:CB50"/>
    <mergeCell ref="A70:A71"/>
    <mergeCell ref="C70:Y70"/>
    <mergeCell ref="Z70:AD71"/>
    <mergeCell ref="AE70:AI71"/>
    <mergeCell ref="AJ70:AN71"/>
    <mergeCell ref="AO70:AS71"/>
    <mergeCell ref="AT70:AX71"/>
    <mergeCell ref="AY70:BC71"/>
    <mergeCell ref="EF66:EJ67"/>
    <mergeCell ref="EK66:EO67"/>
    <mergeCell ref="EP66:ET67"/>
    <mergeCell ref="EU66:EY67"/>
    <mergeCell ref="EP70:ET71"/>
    <mergeCell ref="EU70:EY71"/>
    <mergeCell ref="C71:Y71"/>
    <mergeCell ref="EK68:EO69"/>
    <mergeCell ref="EP68:ET69"/>
    <mergeCell ref="EU68:EY69"/>
    <mergeCell ref="C69:Y69"/>
    <mergeCell ref="A68:A69"/>
    <mergeCell ref="DG68:DK69"/>
    <mergeCell ref="DL68:DP69"/>
    <mergeCell ref="DQ68:DU69"/>
    <mergeCell ref="DV68:DZ69"/>
    <mergeCell ref="EA68:EE69"/>
    <mergeCell ref="EF68:EJ69"/>
    <mergeCell ref="CC68:CG69"/>
    <mergeCell ref="A72:A73"/>
    <mergeCell ref="C72:Y72"/>
    <mergeCell ref="Z72:AD73"/>
    <mergeCell ref="AE72:AI73"/>
    <mergeCell ref="AJ72:AN73"/>
    <mergeCell ref="AO72:AS73"/>
    <mergeCell ref="AT72:AX73"/>
    <mergeCell ref="DL70:DP71"/>
    <mergeCell ref="DQ70:DU71"/>
    <mergeCell ref="DV70:DZ71"/>
    <mergeCell ref="EA70:EE71"/>
    <mergeCell ref="EF70:EJ71"/>
    <mergeCell ref="EK70:EO71"/>
    <mergeCell ref="CH70:CL71"/>
    <mergeCell ref="CM70:CQ71"/>
    <mergeCell ref="CR70:CV71"/>
    <mergeCell ref="CW70:DA71"/>
    <mergeCell ref="DB70:DF71"/>
    <mergeCell ref="DG70:DK71"/>
    <mergeCell ref="BD70:BH71"/>
    <mergeCell ref="BI70:BM71"/>
    <mergeCell ref="BN70:BR71"/>
    <mergeCell ref="BS70:BW71"/>
    <mergeCell ref="BX70:CB71"/>
    <mergeCell ref="CC70:CG71"/>
    <mergeCell ref="EK72:EO73"/>
    <mergeCell ref="EP72:ET73"/>
    <mergeCell ref="EU72:EY73"/>
    <mergeCell ref="C73:Y73"/>
    <mergeCell ref="A74:A75"/>
    <mergeCell ref="C74:Y74"/>
    <mergeCell ref="Z74:AD75"/>
    <mergeCell ref="AE74:AI75"/>
    <mergeCell ref="AJ74:AN75"/>
    <mergeCell ref="AO74:AS75"/>
    <mergeCell ref="DG72:DK73"/>
    <mergeCell ref="DL72:DP73"/>
    <mergeCell ref="DQ72:DU73"/>
    <mergeCell ref="DV72:DZ73"/>
    <mergeCell ref="EA72:EE73"/>
    <mergeCell ref="EF72:EJ73"/>
    <mergeCell ref="CC72:CG73"/>
    <mergeCell ref="CH72:CL73"/>
    <mergeCell ref="CM72:CQ73"/>
    <mergeCell ref="CR72:CV73"/>
    <mergeCell ref="CW72:DA73"/>
    <mergeCell ref="DB72:DF73"/>
    <mergeCell ref="AY72:BC73"/>
    <mergeCell ref="BD72:BH73"/>
    <mergeCell ref="BI72:BM73"/>
    <mergeCell ref="BN72:BR73"/>
    <mergeCell ref="BS72:BW73"/>
    <mergeCell ref="BX72:CB73"/>
    <mergeCell ref="EF74:EJ75"/>
    <mergeCell ref="EK74:EO75"/>
    <mergeCell ref="EP74:ET75"/>
    <mergeCell ref="EU74:EY75"/>
    <mergeCell ref="C75:Y75"/>
    <mergeCell ref="A76:A77"/>
    <mergeCell ref="C76:Y76"/>
    <mergeCell ref="Z76:AD77"/>
    <mergeCell ref="AE76:AI77"/>
    <mergeCell ref="AJ76:AN77"/>
    <mergeCell ref="DB74:DF75"/>
    <mergeCell ref="DG74:DK75"/>
    <mergeCell ref="DL74:DP75"/>
    <mergeCell ref="DQ74:DU75"/>
    <mergeCell ref="DV74:DZ75"/>
    <mergeCell ref="EA74:EE75"/>
    <mergeCell ref="BX74:CB75"/>
    <mergeCell ref="CC74:CG75"/>
    <mergeCell ref="CH74:CL75"/>
    <mergeCell ref="CM74:CQ75"/>
    <mergeCell ref="CR74:CV75"/>
    <mergeCell ref="CW74:DA75"/>
    <mergeCell ref="AT74:AX75"/>
    <mergeCell ref="AY74:BC75"/>
    <mergeCell ref="BD74:BH75"/>
    <mergeCell ref="BI74:BM75"/>
    <mergeCell ref="BN74:BR75"/>
    <mergeCell ref="BS74:BW75"/>
    <mergeCell ref="EA76:EE77"/>
    <mergeCell ref="EF76:EJ77"/>
    <mergeCell ref="EK76:EO77"/>
    <mergeCell ref="EP76:ET77"/>
    <mergeCell ref="EU76:EY77"/>
    <mergeCell ref="C77:Y77"/>
    <mergeCell ref="CW76:DA77"/>
    <mergeCell ref="DB76:DF77"/>
    <mergeCell ref="DG76:DK77"/>
    <mergeCell ref="DL76:DP77"/>
    <mergeCell ref="DQ76:DU77"/>
    <mergeCell ref="DV76:DZ77"/>
    <mergeCell ref="BS76:BW77"/>
    <mergeCell ref="BX76:CB77"/>
    <mergeCell ref="CC76:CG77"/>
    <mergeCell ref="CH76:CL77"/>
    <mergeCell ref="CM76:CQ77"/>
    <mergeCell ref="CR76:CV77"/>
    <mergeCell ref="AO76:AS77"/>
    <mergeCell ref="AT76:AX77"/>
    <mergeCell ref="AY76:BC77"/>
    <mergeCell ref="BD76:BH77"/>
    <mergeCell ref="BI76:BM77"/>
    <mergeCell ref="BN76:BR77"/>
    <mergeCell ref="CH68:CL69"/>
    <mergeCell ref="CM68:CQ69"/>
    <mergeCell ref="CR68:CV69"/>
    <mergeCell ref="CW68:DA69"/>
    <mergeCell ref="DB68:DF69"/>
    <mergeCell ref="AY68:BC69"/>
    <mergeCell ref="BD68:BH69"/>
    <mergeCell ref="BI68:BM69"/>
    <mergeCell ref="BN68:BR69"/>
    <mergeCell ref="BS68:BW69"/>
    <mergeCell ref="BX68:CB69"/>
    <mergeCell ref="C68:Y68"/>
    <mergeCell ref="Z68:AD69"/>
    <mergeCell ref="AE68:AI69"/>
    <mergeCell ref="AJ68:AN69"/>
    <mergeCell ref="AO68:AS69"/>
    <mergeCell ref="AT68:AX69"/>
  </mergeCells>
  <printOptions horizontalCentered="1"/>
  <pageMargins left="0.5" right="0" top="0.7" bottom="0" header="0" footer="0"/>
  <pageSetup paperSize="9" scale="14" fitToHeight="0" orientation="landscape" verticalDpi="200" r:id="rId1"/>
  <headerFooter alignWithMargins="0"/>
  <rowBreaks count="2" manualBreakCount="2">
    <brk id="50" max="154" man="1"/>
    <brk id="94" max="1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H121"/>
  <sheetViews>
    <sheetView view="pageBreakPreview" topLeftCell="A48" zoomScale="20" zoomScaleNormal="20" zoomScaleSheetLayoutView="20" workbookViewId="0">
      <selection activeCell="AT66" sqref="AT66:AX67"/>
    </sheetView>
  </sheetViews>
  <sheetFormatPr defaultRowHeight="12.75" x14ac:dyDescent="0.2"/>
  <cols>
    <col min="1" max="1" width="19" bestFit="1" customWidth="1"/>
    <col min="2" max="2" width="45" customWidth="1"/>
    <col min="3" max="25" width="6.5703125" customWidth="1"/>
    <col min="26" max="165" width="5.5703125" customWidth="1"/>
    <col min="166" max="166" width="7.5703125" customWidth="1"/>
    <col min="173" max="242" width="8.28515625" customWidth="1"/>
  </cols>
  <sheetData>
    <row r="1" spans="1:242" ht="91.5" customHeight="1" x14ac:dyDescent="0.2">
      <c r="A1" s="495" t="s">
        <v>255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  <c r="FD1" s="495"/>
      <c r="FE1" s="495"/>
      <c r="FF1" s="495"/>
      <c r="FG1" s="495"/>
      <c r="FH1" s="495"/>
      <c r="FI1" s="495"/>
    </row>
    <row r="2" spans="1:242" ht="67.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M2" s="226"/>
      <c r="AN2" s="226"/>
      <c r="AO2" s="226"/>
      <c r="AP2" s="226"/>
      <c r="AQ2" s="813" t="s">
        <v>257</v>
      </c>
      <c r="AR2" s="813"/>
      <c r="AS2" s="813"/>
      <c r="AT2" s="813"/>
      <c r="AU2" s="813"/>
      <c r="AV2" s="813"/>
      <c r="AW2" s="813"/>
      <c r="AX2" s="813"/>
      <c r="AY2" s="813"/>
      <c r="AZ2" s="813"/>
      <c r="BA2" s="813"/>
      <c r="BB2" s="813"/>
      <c r="BC2" s="813"/>
      <c r="BD2" s="813"/>
      <c r="BE2" s="813"/>
      <c r="BF2" s="813"/>
      <c r="BG2" s="813"/>
      <c r="BH2" s="813"/>
      <c r="BI2" s="813"/>
      <c r="BJ2" s="813"/>
      <c r="BK2" s="813"/>
      <c r="BL2" s="813"/>
      <c r="BM2" s="813"/>
      <c r="BN2" s="813"/>
      <c r="BO2" s="813"/>
      <c r="BP2" s="813"/>
      <c r="BQ2" s="813"/>
      <c r="BR2" s="813"/>
      <c r="BS2" s="813"/>
      <c r="BT2" s="813"/>
      <c r="BU2" s="813"/>
      <c r="BV2" s="813"/>
      <c r="BW2" s="813"/>
      <c r="BX2" s="813"/>
      <c r="BY2" s="813"/>
      <c r="BZ2" s="813"/>
      <c r="CA2" s="813"/>
      <c r="CB2" s="813"/>
      <c r="CC2" s="813"/>
      <c r="CD2" s="813"/>
      <c r="CE2" s="813"/>
      <c r="CF2" s="813"/>
      <c r="CG2" s="813"/>
      <c r="CH2" s="813"/>
      <c r="CI2" s="813"/>
      <c r="CJ2" s="813"/>
      <c r="CK2" s="813"/>
      <c r="CL2" s="813"/>
      <c r="CM2" s="813"/>
      <c r="CN2" s="813"/>
      <c r="CO2" s="813"/>
      <c r="CP2" s="813"/>
      <c r="CQ2" s="813"/>
      <c r="CR2" s="813"/>
      <c r="CS2" s="813"/>
      <c r="CT2" s="813"/>
      <c r="CU2" s="813"/>
      <c r="CV2" s="813"/>
      <c r="CW2" s="813"/>
      <c r="CX2" s="813"/>
      <c r="CY2" s="813"/>
      <c r="CZ2" s="813"/>
      <c r="DA2" s="813"/>
      <c r="DB2" s="813"/>
      <c r="DC2" s="813"/>
      <c r="DD2" s="813"/>
      <c r="DE2" s="813"/>
      <c r="DF2" s="813"/>
      <c r="DG2" s="255" t="s">
        <v>246</v>
      </c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</row>
    <row r="3" spans="1:242" ht="69.9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M3" s="230"/>
      <c r="AN3" s="230"/>
      <c r="AO3" s="230"/>
      <c r="AP3" s="230"/>
      <c r="AQ3" s="255" t="s">
        <v>266</v>
      </c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 t="s">
        <v>258</v>
      </c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  <c r="ES3" s="255"/>
      <c r="ET3" s="255"/>
      <c r="EU3" s="255"/>
      <c r="EV3" s="255"/>
      <c r="EW3" s="255"/>
      <c r="EX3" s="255"/>
      <c r="EY3" s="255"/>
      <c r="EZ3" s="255"/>
      <c r="FA3" s="255"/>
      <c r="FB3" s="255"/>
      <c r="FC3" s="255"/>
      <c r="FD3" s="255"/>
      <c r="FE3" s="255"/>
      <c r="FF3" s="255"/>
      <c r="FG3" s="255"/>
      <c r="FH3" s="255"/>
      <c r="FI3" s="255"/>
    </row>
    <row r="4" spans="1:242" ht="69.95" customHeight="1" x14ac:dyDescent="0.2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M4" s="124"/>
      <c r="AN4" s="124"/>
      <c r="AO4" s="124"/>
      <c r="AP4" s="124"/>
      <c r="AQ4" s="256" t="s">
        <v>259</v>
      </c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J4" s="256"/>
      <c r="CK4" s="256"/>
      <c r="CL4" s="256"/>
      <c r="CM4" s="256"/>
      <c r="CN4" s="256"/>
      <c r="CO4" s="256"/>
      <c r="CP4" s="256"/>
      <c r="CQ4" s="256"/>
      <c r="CR4" s="256"/>
      <c r="CS4" s="256"/>
      <c r="CT4" s="256"/>
      <c r="CU4" s="256"/>
      <c r="CV4" s="256"/>
      <c r="CW4" s="256"/>
      <c r="CX4" s="256"/>
      <c r="CY4" s="256"/>
      <c r="CZ4" s="256"/>
      <c r="DA4" s="256"/>
      <c r="DB4" s="256"/>
      <c r="DC4" s="256"/>
      <c r="DD4" s="256"/>
      <c r="DE4" s="256"/>
      <c r="DF4" s="256"/>
      <c r="DG4" s="256" t="s">
        <v>274</v>
      </c>
      <c r="DH4" s="256"/>
      <c r="DI4" s="256"/>
      <c r="DJ4" s="256"/>
      <c r="DK4" s="256"/>
      <c r="DL4" s="256"/>
      <c r="DM4" s="256"/>
      <c r="DN4" s="256"/>
      <c r="DO4" s="256"/>
      <c r="DP4" s="256"/>
      <c r="DQ4" s="256"/>
      <c r="DR4" s="256"/>
      <c r="DS4" s="256"/>
      <c r="DT4" s="256"/>
      <c r="DU4" s="256"/>
      <c r="DV4" s="256"/>
      <c r="DW4" s="256"/>
      <c r="DX4" s="256"/>
      <c r="DY4" s="256"/>
      <c r="DZ4" s="256"/>
      <c r="EA4" s="256"/>
      <c r="EB4" s="256"/>
      <c r="EC4" s="256"/>
      <c r="ED4" s="256"/>
      <c r="EE4" s="256"/>
      <c r="EF4" s="256"/>
      <c r="EG4" s="256"/>
      <c r="EH4" s="256"/>
      <c r="EI4" s="256"/>
      <c r="EJ4" s="256"/>
      <c r="EK4" s="256"/>
      <c r="EL4" s="256"/>
      <c r="EM4" s="256"/>
      <c r="EN4" s="256"/>
      <c r="EO4" s="256"/>
      <c r="EP4" s="256"/>
      <c r="EQ4" s="256"/>
      <c r="ER4" s="256"/>
      <c r="ES4" s="256"/>
      <c r="ET4" s="256"/>
      <c r="EU4" s="256"/>
      <c r="EV4" s="256"/>
      <c r="EW4" s="256"/>
      <c r="EX4" s="256"/>
      <c r="EY4" s="256"/>
      <c r="EZ4" s="256"/>
      <c r="FA4" s="256"/>
      <c r="FB4" s="256"/>
      <c r="FC4" s="256"/>
      <c r="FD4" s="256"/>
      <c r="FE4" s="256"/>
      <c r="FF4" s="256"/>
      <c r="FG4" s="256"/>
      <c r="FH4" s="256"/>
      <c r="FI4" s="256"/>
    </row>
    <row r="5" spans="1:242" ht="69.95" customHeight="1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M5" s="124"/>
      <c r="AN5" s="124"/>
      <c r="AO5" s="124"/>
      <c r="AP5" s="124"/>
      <c r="AQ5" s="256" t="s">
        <v>15</v>
      </c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 t="s">
        <v>247</v>
      </c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</row>
    <row r="6" spans="1:242" ht="69.95" customHeight="1" x14ac:dyDescent="0.8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76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M6" s="124"/>
      <c r="AN6" s="124"/>
      <c r="AO6" s="124"/>
      <c r="AP6" s="124"/>
      <c r="AQ6" s="256" t="s">
        <v>272</v>
      </c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W6" s="256"/>
      <c r="CX6" s="256"/>
      <c r="CY6" s="256"/>
      <c r="CZ6" s="256"/>
      <c r="DA6" s="256"/>
      <c r="DB6" s="256"/>
      <c r="DC6" s="256"/>
      <c r="DD6" s="256"/>
      <c r="DE6" s="256"/>
      <c r="DF6" s="256"/>
      <c r="DG6" s="124"/>
      <c r="DH6" s="124"/>
      <c r="DI6" s="124"/>
      <c r="DJ6" s="125"/>
      <c r="DK6" s="124"/>
      <c r="DL6" s="124"/>
      <c r="DM6" s="124"/>
      <c r="DN6" s="124"/>
      <c r="DO6" s="124"/>
      <c r="DP6" s="124"/>
      <c r="DQ6" s="124"/>
      <c r="DR6" s="126" t="s">
        <v>251</v>
      </c>
      <c r="DS6" s="124"/>
      <c r="DT6" s="124"/>
      <c r="DU6" s="127"/>
      <c r="DV6" s="127"/>
      <c r="DW6" s="127"/>
      <c r="DX6" s="127"/>
      <c r="DY6" s="127"/>
      <c r="DZ6" s="127"/>
      <c r="EA6" s="127"/>
      <c r="EB6" s="127"/>
      <c r="EC6" s="127"/>
      <c r="ED6" s="128"/>
      <c r="EE6" s="128"/>
      <c r="EF6" s="128"/>
      <c r="EG6" s="128"/>
      <c r="EH6" s="128"/>
      <c r="EI6" s="128"/>
      <c r="EJ6" s="128"/>
      <c r="EK6" s="128"/>
      <c r="EL6" s="129"/>
      <c r="EM6" s="129"/>
      <c r="EN6" s="130"/>
      <c r="EO6" s="130"/>
      <c r="EP6" s="130"/>
      <c r="EQ6" s="130"/>
      <c r="ER6" s="130"/>
      <c r="ES6" s="130"/>
      <c r="ET6" s="130"/>
      <c r="EU6" s="130"/>
      <c r="EV6" s="130"/>
      <c r="EW6" s="130"/>
      <c r="EX6" s="130"/>
      <c r="EY6" s="130"/>
      <c r="EZ6" s="130"/>
      <c r="FA6" s="130"/>
      <c r="FB6" s="130"/>
      <c r="FC6" s="130"/>
      <c r="FD6" s="130"/>
      <c r="FE6" s="130"/>
      <c r="FF6" s="130"/>
      <c r="FG6" s="130"/>
      <c r="FH6" s="130"/>
      <c r="FI6" s="130"/>
    </row>
    <row r="7" spans="1:242" ht="69.95" customHeight="1" x14ac:dyDescent="1.25">
      <c r="A7" s="1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/>
      <c r="U7" s="10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M7" s="124"/>
      <c r="AN7" s="124"/>
      <c r="AO7" s="124"/>
      <c r="AP7" s="124"/>
      <c r="AQ7" s="256" t="s">
        <v>273</v>
      </c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EZ7" s="89"/>
      <c r="FA7" s="89"/>
      <c r="FB7" s="89"/>
      <c r="FC7" s="89"/>
      <c r="FD7" s="89"/>
      <c r="FE7" s="89"/>
      <c r="FF7" s="89"/>
      <c r="FG7" s="89"/>
      <c r="FH7" s="89"/>
      <c r="FI7" s="89"/>
    </row>
    <row r="8" spans="1:242" ht="83.25" customHeight="1" x14ac:dyDescent="0.2">
      <c r="A8" s="689" t="s">
        <v>262</v>
      </c>
      <c r="B8" s="689"/>
      <c r="C8" s="689"/>
      <c r="D8" s="689"/>
      <c r="E8" s="689"/>
      <c r="F8" s="689"/>
      <c r="G8" s="689"/>
      <c r="H8" s="689"/>
      <c r="I8" s="689"/>
      <c r="J8" s="689"/>
      <c r="K8" s="689"/>
      <c r="L8" s="689"/>
      <c r="M8" s="689"/>
      <c r="N8" s="689"/>
      <c r="O8" s="689"/>
      <c r="P8" s="689"/>
      <c r="Q8" s="689"/>
      <c r="R8" s="689"/>
      <c r="S8" s="689"/>
      <c r="T8" s="689"/>
      <c r="U8" s="689"/>
      <c r="V8" s="689"/>
      <c r="W8" s="689"/>
      <c r="X8" s="689"/>
      <c r="Y8" s="689"/>
      <c r="Z8" s="689"/>
      <c r="AA8" s="689"/>
      <c r="AB8" s="689"/>
      <c r="AC8" s="689"/>
      <c r="AD8" s="689"/>
      <c r="AE8" s="689"/>
      <c r="AF8" s="689"/>
      <c r="AG8" s="689"/>
      <c r="AH8" s="689"/>
      <c r="AI8" s="689"/>
      <c r="AJ8" s="689"/>
      <c r="AK8" s="689"/>
      <c r="AL8" s="689"/>
      <c r="AM8" s="689"/>
      <c r="AN8" s="689"/>
      <c r="AO8" s="689"/>
      <c r="AP8" s="689"/>
      <c r="AQ8" s="689"/>
      <c r="AR8" s="689"/>
      <c r="AS8" s="689"/>
      <c r="AT8" s="689"/>
      <c r="AU8" s="689"/>
      <c r="AV8" s="689"/>
      <c r="AW8" s="689"/>
      <c r="AX8" s="689"/>
      <c r="AY8" s="689"/>
      <c r="AZ8" s="689"/>
      <c r="BA8" s="689"/>
      <c r="BB8" s="689"/>
      <c r="BC8" s="689"/>
      <c r="BD8" s="689"/>
      <c r="BE8" s="689"/>
      <c r="BF8" s="689"/>
      <c r="BG8" s="689"/>
      <c r="BH8" s="689"/>
      <c r="BI8" s="689"/>
      <c r="BJ8" s="689"/>
      <c r="BK8" s="689"/>
      <c r="BL8" s="689"/>
      <c r="BM8" s="689"/>
      <c r="BN8" s="689"/>
      <c r="BO8" s="689"/>
      <c r="BP8" s="689"/>
      <c r="BQ8" s="689"/>
      <c r="BR8" s="689"/>
      <c r="BS8" s="689"/>
      <c r="BT8" s="689"/>
      <c r="BU8" s="689"/>
      <c r="BV8" s="689"/>
      <c r="BW8" s="689"/>
      <c r="BX8" s="689"/>
      <c r="BY8" s="689"/>
      <c r="BZ8" s="689"/>
      <c r="CA8" s="689"/>
      <c r="CB8" s="689"/>
      <c r="CC8" s="689"/>
      <c r="CD8" s="689"/>
      <c r="CE8" s="689"/>
      <c r="CF8" s="689"/>
      <c r="CG8" s="689"/>
      <c r="CH8" s="689"/>
      <c r="CI8" s="689"/>
      <c r="CJ8" s="689"/>
      <c r="CK8" s="689"/>
      <c r="CL8" s="689"/>
      <c r="CM8" s="689"/>
      <c r="CN8" s="689"/>
      <c r="CO8" s="689"/>
      <c r="CP8" s="689"/>
      <c r="CQ8" s="689"/>
      <c r="CR8" s="689"/>
      <c r="CS8" s="689"/>
      <c r="CT8" s="689"/>
      <c r="CU8" s="689"/>
      <c r="CV8" s="689"/>
      <c r="CW8" s="689"/>
      <c r="CX8" s="689"/>
      <c r="CY8" s="689"/>
      <c r="CZ8" s="689"/>
      <c r="DA8" s="689"/>
      <c r="DB8" s="689"/>
      <c r="DC8" s="689"/>
      <c r="DD8" s="689"/>
      <c r="DE8" s="689"/>
      <c r="DF8" s="689"/>
      <c r="DG8" s="689"/>
      <c r="DH8" s="689"/>
      <c r="DI8" s="689"/>
      <c r="DJ8" s="689"/>
      <c r="DK8" s="689"/>
      <c r="DL8" s="689"/>
      <c r="DM8" s="689"/>
      <c r="DN8" s="689"/>
      <c r="DO8" s="689"/>
      <c r="DP8" s="689"/>
      <c r="DQ8" s="689"/>
      <c r="DR8" s="689"/>
      <c r="DS8" s="689"/>
      <c r="DT8" s="689"/>
      <c r="DU8" s="689"/>
      <c r="DV8" s="689"/>
      <c r="DW8" s="689"/>
      <c r="DX8" s="689"/>
      <c r="DY8" s="689"/>
      <c r="DZ8" s="689"/>
      <c r="EA8" s="689"/>
      <c r="EB8" s="689"/>
      <c r="EC8" s="689"/>
      <c r="ED8" s="689"/>
      <c r="EE8" s="689"/>
      <c r="EF8" s="689"/>
      <c r="EG8" s="689"/>
      <c r="EH8" s="689"/>
      <c r="EI8" s="689"/>
      <c r="EJ8" s="689"/>
      <c r="EK8" s="689"/>
      <c r="EL8" s="689"/>
      <c r="EM8" s="689"/>
      <c r="EN8" s="689"/>
      <c r="EO8" s="689"/>
      <c r="EP8" s="689"/>
      <c r="EQ8" s="689"/>
      <c r="ER8" s="689"/>
      <c r="ES8" s="689"/>
      <c r="ET8" s="689"/>
      <c r="EU8" s="689"/>
      <c r="EV8" s="689"/>
      <c r="EW8" s="689"/>
      <c r="EX8" s="689"/>
      <c r="EY8" s="689"/>
      <c r="EZ8" s="689"/>
      <c r="FA8" s="689"/>
      <c r="FB8" s="689"/>
      <c r="FC8" s="689"/>
      <c r="FD8" s="689"/>
      <c r="FE8" s="689"/>
      <c r="FF8" s="689"/>
      <c r="FG8" s="689"/>
      <c r="FH8" s="689"/>
      <c r="FI8" s="689"/>
    </row>
    <row r="9" spans="1:242" ht="22.5" customHeight="1" x14ac:dyDescent="0.4">
      <c r="A9" s="1"/>
      <c r="B9" s="1"/>
      <c r="C9" s="12"/>
      <c r="D9" s="12"/>
      <c r="E9" s="13"/>
      <c r="F9" s="14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3"/>
      <c r="EC9" s="13"/>
      <c r="ED9" s="13"/>
      <c r="EE9" s="13"/>
      <c r="EF9" s="13"/>
      <c r="EG9" s="13"/>
      <c r="EH9" s="13"/>
      <c r="EI9" s="13"/>
      <c r="EJ9" s="19"/>
      <c r="EK9" s="19"/>
      <c r="EL9" s="19"/>
      <c r="EM9" s="16"/>
      <c r="EN9" s="16"/>
      <c r="EO9" s="16"/>
      <c r="EP9" s="16"/>
      <c r="EQ9" s="16"/>
      <c r="ER9" s="19"/>
      <c r="ES9" s="19"/>
      <c r="ET9" s="19"/>
      <c r="EU9" s="7"/>
      <c r="EV9" s="7"/>
      <c r="EW9" s="7"/>
      <c r="EX9" s="19"/>
      <c r="EY9" s="19"/>
      <c r="EZ9" s="19"/>
      <c r="FA9" s="19"/>
      <c r="FB9" s="19"/>
      <c r="FC9" s="19"/>
      <c r="FD9" s="19"/>
      <c r="FE9" s="7"/>
      <c r="FF9" s="7"/>
      <c r="FG9" s="7"/>
      <c r="FH9" s="7"/>
      <c r="FI9" s="7"/>
    </row>
    <row r="10" spans="1:242" ht="60" customHeight="1" x14ac:dyDescent="0.4">
      <c r="A10" s="1"/>
      <c r="B10" s="222"/>
      <c r="C10" s="150"/>
      <c r="D10" s="151"/>
      <c r="E10" s="151"/>
      <c r="F10" s="151"/>
      <c r="G10" s="151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4"/>
      <c r="EL10" s="154"/>
      <c r="EM10" s="154"/>
      <c r="EN10" s="154"/>
      <c r="EO10" s="154"/>
      <c r="EP10" s="154"/>
      <c r="EQ10" s="154"/>
      <c r="ER10" s="155"/>
      <c r="ES10" s="155"/>
      <c r="ET10" s="155"/>
      <c r="EU10" s="155"/>
      <c r="EV10" s="223"/>
      <c r="EW10" s="223"/>
      <c r="EX10" s="155"/>
      <c r="EY10" s="19"/>
      <c r="EZ10" s="19"/>
      <c r="FA10" s="19"/>
      <c r="FB10" s="19"/>
      <c r="FC10" s="19"/>
      <c r="FD10" s="19"/>
      <c r="FE10" s="19"/>
      <c r="FF10" s="19"/>
      <c r="FG10" s="19"/>
      <c r="FH10" s="7"/>
      <c r="FI10" s="7"/>
      <c r="FQ10" s="817" t="s">
        <v>27</v>
      </c>
      <c r="FR10" s="817"/>
      <c r="FS10" s="483" t="s">
        <v>277</v>
      </c>
      <c r="FT10" s="483"/>
      <c r="FU10" s="483"/>
      <c r="FV10" s="483"/>
      <c r="FW10" s="483"/>
      <c r="FX10" s="483"/>
      <c r="FY10" s="483"/>
      <c r="FZ10" s="483"/>
      <c r="GA10" s="483"/>
      <c r="GB10" s="483"/>
      <c r="GC10" s="483"/>
      <c r="GD10" s="483"/>
      <c r="GE10" s="483"/>
      <c r="GF10" s="483"/>
      <c r="GG10" s="483"/>
      <c r="GH10" s="483"/>
      <c r="GI10" s="483"/>
      <c r="GJ10" s="483"/>
      <c r="GK10" s="483"/>
      <c r="GL10" s="483"/>
      <c r="GM10" s="483"/>
      <c r="GN10" s="483"/>
      <c r="GO10" s="483"/>
      <c r="GP10" s="483"/>
      <c r="GQ10" s="483"/>
      <c r="GR10" s="483"/>
      <c r="GS10" s="483"/>
      <c r="GT10" s="483"/>
      <c r="GU10" s="483"/>
      <c r="GV10" s="483"/>
      <c r="GW10" s="483"/>
      <c r="GX10" s="483"/>
      <c r="GY10" s="483"/>
      <c r="GZ10" s="483"/>
      <c r="HA10" s="483"/>
      <c r="HB10" s="483"/>
      <c r="HC10" s="483"/>
      <c r="HD10" s="483"/>
      <c r="HE10" s="483"/>
      <c r="HF10" s="483"/>
      <c r="HG10" s="483"/>
      <c r="HH10" s="483"/>
      <c r="HI10" s="483"/>
      <c r="HJ10" s="483"/>
      <c r="HK10" s="483"/>
      <c r="HL10" s="483"/>
      <c r="HM10" s="483"/>
      <c r="HN10" s="483"/>
      <c r="HO10" s="483"/>
      <c r="HP10" s="483"/>
      <c r="HQ10" s="483"/>
      <c r="HR10" s="483"/>
      <c r="HS10" s="483" t="s">
        <v>21</v>
      </c>
      <c r="HT10" s="483"/>
      <c r="HU10" s="483"/>
      <c r="HV10" s="483"/>
      <c r="HW10" s="483"/>
      <c r="HX10" s="483"/>
      <c r="HY10" s="483"/>
      <c r="HZ10" s="483"/>
      <c r="IA10" s="483"/>
      <c r="IB10" s="483"/>
      <c r="IC10" s="483"/>
      <c r="ID10" s="483"/>
      <c r="IE10" s="817" t="s">
        <v>278</v>
      </c>
      <c r="IF10" s="817"/>
      <c r="IG10" s="817" t="s">
        <v>25</v>
      </c>
      <c r="IH10" s="817"/>
    </row>
    <row r="11" spans="1:242" ht="60" customHeight="1" x14ac:dyDescent="0.4">
      <c r="A11" s="1"/>
      <c r="B11" s="222"/>
      <c r="C11" s="150"/>
      <c r="D11" s="151"/>
      <c r="E11" s="151"/>
      <c r="F11" s="151"/>
      <c r="G11" s="151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3"/>
      <c r="DO11" s="154"/>
      <c r="DP11" s="154"/>
      <c r="DQ11" s="154"/>
      <c r="DR11" s="154"/>
      <c r="DS11" s="156"/>
      <c r="DT11" s="156"/>
      <c r="DU11" s="156"/>
      <c r="DV11" s="156"/>
      <c r="DW11" s="156"/>
      <c r="DX11" s="156"/>
      <c r="DY11" s="156"/>
      <c r="DZ11" s="156"/>
      <c r="EA11" s="156"/>
      <c r="EB11" s="156"/>
      <c r="EC11" s="156"/>
      <c r="ED11" s="156"/>
      <c r="EE11" s="156"/>
      <c r="EF11" s="156"/>
      <c r="EG11" s="156"/>
      <c r="EH11" s="156"/>
      <c r="EI11" s="156"/>
      <c r="EJ11" s="156"/>
      <c r="EK11" s="154"/>
      <c r="EL11" s="154"/>
      <c r="EM11" s="154"/>
      <c r="EN11" s="154"/>
      <c r="EO11" s="154"/>
      <c r="EP11" s="154"/>
      <c r="EQ11" s="154"/>
      <c r="ER11" s="155"/>
      <c r="ES11" s="155"/>
      <c r="ET11" s="155"/>
      <c r="EU11" s="155"/>
      <c r="EV11" s="223"/>
      <c r="EW11" s="223"/>
      <c r="EX11" s="155"/>
      <c r="EY11" s="19"/>
      <c r="EZ11" s="19"/>
      <c r="FA11" s="19"/>
      <c r="FB11" s="19"/>
      <c r="FC11" s="19"/>
      <c r="FD11" s="19"/>
      <c r="FE11" s="19"/>
      <c r="FF11" s="19"/>
      <c r="FG11" s="19"/>
      <c r="FH11" s="7"/>
      <c r="FI11" s="7"/>
      <c r="FQ11" s="817"/>
      <c r="FR11" s="817"/>
      <c r="FS11" s="483"/>
      <c r="FT11" s="483"/>
      <c r="FU11" s="483"/>
      <c r="FV11" s="483"/>
      <c r="FW11" s="483"/>
      <c r="FX11" s="483"/>
      <c r="FY11" s="483"/>
      <c r="FZ11" s="483"/>
      <c r="GA11" s="483"/>
      <c r="GB11" s="483"/>
      <c r="GC11" s="483"/>
      <c r="GD11" s="483"/>
      <c r="GE11" s="483"/>
      <c r="GF11" s="483"/>
      <c r="GG11" s="483"/>
      <c r="GH11" s="483"/>
      <c r="GI11" s="483"/>
      <c r="GJ11" s="483"/>
      <c r="GK11" s="483"/>
      <c r="GL11" s="483"/>
      <c r="GM11" s="483"/>
      <c r="GN11" s="483"/>
      <c r="GO11" s="483"/>
      <c r="GP11" s="483"/>
      <c r="GQ11" s="483"/>
      <c r="GR11" s="483"/>
      <c r="GS11" s="483"/>
      <c r="GT11" s="483"/>
      <c r="GU11" s="483"/>
      <c r="GV11" s="483"/>
      <c r="GW11" s="483"/>
      <c r="GX11" s="483"/>
      <c r="GY11" s="483"/>
      <c r="GZ11" s="483"/>
      <c r="HA11" s="483"/>
      <c r="HB11" s="483"/>
      <c r="HC11" s="483"/>
      <c r="HD11" s="483"/>
      <c r="HE11" s="483"/>
      <c r="HF11" s="483"/>
      <c r="HG11" s="483"/>
      <c r="HH11" s="483"/>
      <c r="HI11" s="483"/>
      <c r="HJ11" s="483"/>
      <c r="HK11" s="483"/>
      <c r="HL11" s="483"/>
      <c r="HM11" s="483"/>
      <c r="HN11" s="483"/>
      <c r="HO11" s="483"/>
      <c r="HP11" s="483"/>
      <c r="HQ11" s="483"/>
      <c r="HR11" s="483"/>
      <c r="HS11" s="817" t="s">
        <v>22</v>
      </c>
      <c r="HT11" s="817"/>
      <c r="HU11" s="483" t="s">
        <v>94</v>
      </c>
      <c r="HV11" s="483"/>
      <c r="HW11" s="483"/>
      <c r="HX11" s="483"/>
      <c r="HY11" s="483"/>
      <c r="HZ11" s="483"/>
      <c r="IA11" s="483"/>
      <c r="IB11" s="483"/>
      <c r="IC11" s="483"/>
      <c r="ID11" s="483"/>
      <c r="IE11" s="817"/>
      <c r="IF11" s="817"/>
      <c r="IG11" s="817"/>
      <c r="IH11" s="817"/>
    </row>
    <row r="12" spans="1:242" ht="60" customHeight="1" x14ac:dyDescent="0.4">
      <c r="A12" s="1"/>
      <c r="B12" s="222"/>
      <c r="C12" s="150"/>
      <c r="D12" s="151"/>
      <c r="E12" s="151"/>
      <c r="F12" s="151"/>
      <c r="G12" s="151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4"/>
      <c r="DP12" s="154"/>
      <c r="DQ12" s="154"/>
      <c r="DR12" s="154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7"/>
      <c r="EG12" s="157"/>
      <c r="EH12" s="157"/>
      <c r="EI12" s="157"/>
      <c r="EJ12" s="157"/>
      <c r="EK12" s="154"/>
      <c r="EL12" s="154"/>
      <c r="EM12" s="154"/>
      <c r="EN12" s="154"/>
      <c r="EO12" s="154"/>
      <c r="EP12" s="154"/>
      <c r="EQ12" s="154"/>
      <c r="ER12" s="155"/>
      <c r="ES12" s="155"/>
      <c r="ET12" s="155"/>
      <c r="EU12" s="155"/>
      <c r="EV12" s="223"/>
      <c r="EW12" s="223"/>
      <c r="EX12" s="155"/>
      <c r="EY12" s="19"/>
      <c r="EZ12" s="19"/>
      <c r="FA12" s="19"/>
      <c r="FB12" s="19"/>
      <c r="FC12" s="19"/>
      <c r="FD12" s="19"/>
      <c r="FE12" s="19"/>
      <c r="FF12" s="19"/>
      <c r="FG12" s="19"/>
      <c r="FH12" s="7"/>
      <c r="FI12" s="7"/>
      <c r="FQ12" s="817"/>
      <c r="FR12" s="817"/>
      <c r="FS12" s="483"/>
      <c r="FT12" s="483"/>
      <c r="FU12" s="483"/>
      <c r="FV12" s="483"/>
      <c r="FW12" s="483"/>
      <c r="FX12" s="483"/>
      <c r="FY12" s="483"/>
      <c r="FZ12" s="483"/>
      <c r="GA12" s="483"/>
      <c r="GB12" s="483"/>
      <c r="GC12" s="483"/>
      <c r="GD12" s="483"/>
      <c r="GE12" s="483"/>
      <c r="GF12" s="483"/>
      <c r="GG12" s="483"/>
      <c r="GH12" s="483"/>
      <c r="GI12" s="483"/>
      <c r="GJ12" s="483"/>
      <c r="GK12" s="483"/>
      <c r="GL12" s="483"/>
      <c r="GM12" s="483"/>
      <c r="GN12" s="483"/>
      <c r="GO12" s="483"/>
      <c r="GP12" s="483"/>
      <c r="GQ12" s="483"/>
      <c r="GR12" s="483"/>
      <c r="GS12" s="483"/>
      <c r="GT12" s="483"/>
      <c r="GU12" s="483"/>
      <c r="GV12" s="483"/>
      <c r="GW12" s="483"/>
      <c r="GX12" s="483"/>
      <c r="GY12" s="483"/>
      <c r="GZ12" s="483"/>
      <c r="HA12" s="483"/>
      <c r="HB12" s="483"/>
      <c r="HC12" s="483"/>
      <c r="HD12" s="483"/>
      <c r="HE12" s="483"/>
      <c r="HF12" s="483"/>
      <c r="HG12" s="483"/>
      <c r="HH12" s="483"/>
      <c r="HI12" s="483"/>
      <c r="HJ12" s="483"/>
      <c r="HK12" s="483"/>
      <c r="HL12" s="483"/>
      <c r="HM12" s="483"/>
      <c r="HN12" s="483"/>
      <c r="HO12" s="483"/>
      <c r="HP12" s="483"/>
      <c r="HQ12" s="483"/>
      <c r="HR12" s="483"/>
      <c r="HS12" s="817"/>
      <c r="HT12" s="817"/>
      <c r="HU12" s="818" t="s">
        <v>279</v>
      </c>
      <c r="HV12" s="819"/>
      <c r="HW12" s="818" t="s">
        <v>18</v>
      </c>
      <c r="HX12" s="819"/>
      <c r="HY12" s="818" t="s">
        <v>280</v>
      </c>
      <c r="HZ12" s="819"/>
      <c r="IA12" s="818" t="s">
        <v>16</v>
      </c>
      <c r="IB12" s="819"/>
      <c r="IC12" s="818" t="s">
        <v>19</v>
      </c>
      <c r="ID12" s="819"/>
      <c r="IE12" s="817"/>
      <c r="IF12" s="817"/>
      <c r="IG12" s="817"/>
      <c r="IH12" s="817"/>
    </row>
    <row r="13" spans="1:242" ht="60" customHeight="1" x14ac:dyDescent="0.4">
      <c r="A13" s="1"/>
      <c r="B13" s="222"/>
      <c r="C13" s="150"/>
      <c r="D13" s="151"/>
      <c r="E13" s="151"/>
      <c r="F13" s="151"/>
      <c r="G13" s="151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3"/>
      <c r="DO13" s="154"/>
      <c r="DP13" s="154"/>
      <c r="DQ13" s="154"/>
      <c r="DR13" s="154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7"/>
      <c r="EG13" s="157"/>
      <c r="EH13" s="157"/>
      <c r="EI13" s="157"/>
      <c r="EJ13" s="157"/>
      <c r="EK13" s="154"/>
      <c r="EL13" s="154"/>
      <c r="EM13" s="154"/>
      <c r="EN13" s="154"/>
      <c r="EO13" s="154"/>
      <c r="EP13" s="154"/>
      <c r="EQ13" s="154"/>
      <c r="ER13" s="155"/>
      <c r="ES13" s="155"/>
      <c r="ET13" s="155"/>
      <c r="EU13" s="155"/>
      <c r="EV13" s="223"/>
      <c r="EW13" s="223"/>
      <c r="EX13" s="155"/>
      <c r="EY13" s="19"/>
      <c r="EZ13" s="19"/>
      <c r="FA13" s="19"/>
      <c r="FB13" s="19"/>
      <c r="FC13" s="19"/>
      <c r="FD13" s="19"/>
      <c r="FE13" s="19"/>
      <c r="FF13" s="19"/>
      <c r="FG13" s="19"/>
      <c r="FH13" s="7"/>
      <c r="FI13" s="7"/>
      <c r="FQ13" s="817"/>
      <c r="FR13" s="817"/>
      <c r="FS13" s="483"/>
      <c r="FT13" s="483"/>
      <c r="FU13" s="483"/>
      <c r="FV13" s="483"/>
      <c r="FW13" s="483"/>
      <c r="FX13" s="483"/>
      <c r="FY13" s="483"/>
      <c r="FZ13" s="483"/>
      <c r="GA13" s="483"/>
      <c r="GB13" s="483"/>
      <c r="GC13" s="483"/>
      <c r="GD13" s="483"/>
      <c r="GE13" s="483"/>
      <c r="GF13" s="483"/>
      <c r="GG13" s="483"/>
      <c r="GH13" s="483"/>
      <c r="GI13" s="483"/>
      <c r="GJ13" s="483"/>
      <c r="GK13" s="483"/>
      <c r="GL13" s="483"/>
      <c r="GM13" s="483"/>
      <c r="GN13" s="483"/>
      <c r="GO13" s="483"/>
      <c r="GP13" s="483"/>
      <c r="GQ13" s="483"/>
      <c r="GR13" s="483"/>
      <c r="GS13" s="483"/>
      <c r="GT13" s="483"/>
      <c r="GU13" s="483"/>
      <c r="GV13" s="483"/>
      <c r="GW13" s="483"/>
      <c r="GX13" s="483"/>
      <c r="GY13" s="483"/>
      <c r="GZ13" s="483"/>
      <c r="HA13" s="483"/>
      <c r="HB13" s="483"/>
      <c r="HC13" s="483"/>
      <c r="HD13" s="483"/>
      <c r="HE13" s="483"/>
      <c r="HF13" s="483"/>
      <c r="HG13" s="483"/>
      <c r="HH13" s="483"/>
      <c r="HI13" s="483"/>
      <c r="HJ13" s="483"/>
      <c r="HK13" s="483"/>
      <c r="HL13" s="483"/>
      <c r="HM13" s="483"/>
      <c r="HN13" s="483"/>
      <c r="HO13" s="483"/>
      <c r="HP13" s="483"/>
      <c r="HQ13" s="483"/>
      <c r="HR13" s="483"/>
      <c r="HS13" s="817"/>
      <c r="HT13" s="817"/>
      <c r="HU13" s="820"/>
      <c r="HV13" s="821"/>
      <c r="HW13" s="820"/>
      <c r="HX13" s="821"/>
      <c r="HY13" s="820"/>
      <c r="HZ13" s="821"/>
      <c r="IA13" s="820"/>
      <c r="IB13" s="821"/>
      <c r="IC13" s="820"/>
      <c r="ID13" s="821"/>
      <c r="IE13" s="817"/>
      <c r="IF13" s="817"/>
      <c r="IG13" s="817"/>
      <c r="IH13" s="817"/>
    </row>
    <row r="14" spans="1:242" ht="60" customHeight="1" x14ac:dyDescent="0.4">
      <c r="A14" s="1"/>
      <c r="B14" s="222"/>
      <c r="C14" s="150"/>
      <c r="D14" s="151"/>
      <c r="E14" s="151"/>
      <c r="F14" s="151"/>
      <c r="G14" s="151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4"/>
      <c r="DP14" s="154"/>
      <c r="DQ14" s="154"/>
      <c r="DR14" s="154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7"/>
      <c r="EG14" s="157"/>
      <c r="EH14" s="157"/>
      <c r="EI14" s="157"/>
      <c r="EJ14" s="157"/>
      <c r="EK14" s="154"/>
      <c r="EL14" s="154"/>
      <c r="EM14" s="154"/>
      <c r="EN14" s="154"/>
      <c r="EO14" s="154"/>
      <c r="EP14" s="154"/>
      <c r="EQ14" s="154"/>
      <c r="ER14" s="155"/>
      <c r="ES14" s="155"/>
      <c r="ET14" s="155"/>
      <c r="EU14" s="155"/>
      <c r="EV14" s="223"/>
      <c r="EW14" s="223"/>
      <c r="EX14" s="155"/>
      <c r="EY14" s="19"/>
      <c r="EZ14" s="19"/>
      <c r="FA14" s="19"/>
      <c r="FB14" s="19"/>
      <c r="FC14" s="19"/>
      <c r="FD14" s="19"/>
      <c r="FE14" s="19"/>
      <c r="FF14" s="19"/>
      <c r="FG14" s="19"/>
      <c r="FH14" s="7"/>
      <c r="FI14" s="7"/>
      <c r="FQ14" s="817"/>
      <c r="FR14" s="817"/>
      <c r="FS14" s="814" t="s">
        <v>282</v>
      </c>
      <c r="FT14" s="815"/>
      <c r="FU14" s="815"/>
      <c r="FV14" s="815"/>
      <c r="FW14" s="816"/>
      <c r="FX14" s="814" t="s">
        <v>283</v>
      </c>
      <c r="FY14" s="815"/>
      <c r="FZ14" s="815"/>
      <c r="GA14" s="816"/>
      <c r="GB14" s="814" t="s">
        <v>53</v>
      </c>
      <c r="GC14" s="815"/>
      <c r="GD14" s="815"/>
      <c r="GE14" s="815"/>
      <c r="GF14" s="816"/>
      <c r="GG14" s="814" t="s">
        <v>54</v>
      </c>
      <c r="GH14" s="815"/>
      <c r="GI14" s="815"/>
      <c r="GJ14" s="816"/>
      <c r="GK14" s="814" t="s">
        <v>55</v>
      </c>
      <c r="GL14" s="815"/>
      <c r="GM14" s="815"/>
      <c r="GN14" s="815"/>
      <c r="GO14" s="816"/>
      <c r="GP14" s="814" t="s">
        <v>56</v>
      </c>
      <c r="GQ14" s="815"/>
      <c r="GR14" s="815"/>
      <c r="GS14" s="816"/>
      <c r="GT14" s="814" t="s">
        <v>57</v>
      </c>
      <c r="GU14" s="815"/>
      <c r="GV14" s="815"/>
      <c r="GW14" s="815"/>
      <c r="GX14" s="816"/>
      <c r="GY14" s="814" t="s">
        <v>58</v>
      </c>
      <c r="GZ14" s="815"/>
      <c r="HA14" s="815"/>
      <c r="HB14" s="816"/>
      <c r="HC14" s="814" t="s">
        <v>59</v>
      </c>
      <c r="HD14" s="815"/>
      <c r="HE14" s="815"/>
      <c r="HF14" s="816"/>
      <c r="HG14" s="814" t="s">
        <v>60</v>
      </c>
      <c r="HH14" s="815"/>
      <c r="HI14" s="815"/>
      <c r="HJ14" s="816"/>
      <c r="HK14" s="814" t="s">
        <v>284</v>
      </c>
      <c r="HL14" s="815"/>
      <c r="HM14" s="815"/>
      <c r="HN14" s="816"/>
      <c r="HO14" s="814" t="s">
        <v>62</v>
      </c>
      <c r="HP14" s="815"/>
      <c r="HQ14" s="815"/>
      <c r="HR14" s="816"/>
      <c r="HS14" s="817"/>
      <c r="HT14" s="817"/>
      <c r="HU14" s="820"/>
      <c r="HV14" s="821"/>
      <c r="HW14" s="820"/>
      <c r="HX14" s="821"/>
      <c r="HY14" s="820"/>
      <c r="HZ14" s="821"/>
      <c r="IA14" s="820"/>
      <c r="IB14" s="821"/>
      <c r="IC14" s="820"/>
      <c r="ID14" s="821"/>
      <c r="IE14" s="817"/>
      <c r="IF14" s="817"/>
      <c r="IG14" s="817"/>
      <c r="IH14" s="817"/>
    </row>
    <row r="15" spans="1:242" ht="60" customHeight="1" x14ac:dyDescent="0.4">
      <c r="A15" s="1"/>
      <c r="B15" s="222"/>
      <c r="C15" s="150"/>
      <c r="D15" s="151"/>
      <c r="E15" s="151"/>
      <c r="F15" s="151"/>
      <c r="G15" s="151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4"/>
      <c r="DP15" s="154"/>
      <c r="DQ15" s="154"/>
      <c r="DR15" s="154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7"/>
      <c r="EG15" s="157"/>
      <c r="EH15" s="157"/>
      <c r="EI15" s="157"/>
      <c r="EJ15" s="157"/>
      <c r="EK15" s="154"/>
      <c r="EL15" s="154"/>
      <c r="EM15" s="154"/>
      <c r="EN15" s="154"/>
      <c r="EO15" s="154"/>
      <c r="EP15" s="154"/>
      <c r="EQ15" s="154"/>
      <c r="ER15" s="155"/>
      <c r="ES15" s="155"/>
      <c r="ET15" s="155"/>
      <c r="EU15" s="155"/>
      <c r="EV15" s="223"/>
      <c r="EW15" s="223"/>
      <c r="EX15" s="155"/>
      <c r="EY15" s="19"/>
      <c r="EZ15" s="19"/>
      <c r="FA15" s="19"/>
      <c r="FB15" s="19"/>
      <c r="FC15" s="19"/>
      <c r="FD15" s="19"/>
      <c r="FE15" s="19"/>
      <c r="FF15" s="19"/>
      <c r="FG15" s="19"/>
      <c r="FH15" s="7"/>
      <c r="FI15" s="7"/>
      <c r="FQ15" s="817"/>
      <c r="FR15" s="817"/>
      <c r="FS15" s="225">
        <v>1</v>
      </c>
      <c r="FT15" s="225">
        <v>2</v>
      </c>
      <c r="FU15" s="225">
        <v>3</v>
      </c>
      <c r="FV15" s="225">
        <v>4</v>
      </c>
      <c r="FW15" s="225">
        <v>5</v>
      </c>
      <c r="FX15" s="225">
        <v>6</v>
      </c>
      <c r="FY15" s="225">
        <v>7</v>
      </c>
      <c r="FZ15" s="225">
        <v>8</v>
      </c>
      <c r="GA15" s="225">
        <v>9</v>
      </c>
      <c r="GB15" s="225">
        <v>10</v>
      </c>
      <c r="GC15" s="225">
        <v>11</v>
      </c>
      <c r="GD15" s="225">
        <v>12</v>
      </c>
      <c r="GE15" s="225">
        <v>13</v>
      </c>
      <c r="GF15" s="225">
        <v>14</v>
      </c>
      <c r="GG15" s="225">
        <v>15</v>
      </c>
      <c r="GH15" s="225">
        <v>16</v>
      </c>
      <c r="GI15" s="225">
        <v>17</v>
      </c>
      <c r="GJ15" s="225">
        <v>18</v>
      </c>
      <c r="GK15" s="225">
        <v>19</v>
      </c>
      <c r="GL15" s="225">
        <v>20</v>
      </c>
      <c r="GM15" s="225">
        <v>21</v>
      </c>
      <c r="GN15" s="225">
        <v>22</v>
      </c>
      <c r="GO15" s="225">
        <v>23</v>
      </c>
      <c r="GP15" s="225">
        <v>24</v>
      </c>
      <c r="GQ15" s="225">
        <v>25</v>
      </c>
      <c r="GR15" s="225">
        <v>26</v>
      </c>
      <c r="GS15" s="225">
        <v>27</v>
      </c>
      <c r="GT15" s="225">
        <v>28</v>
      </c>
      <c r="GU15" s="225">
        <v>29</v>
      </c>
      <c r="GV15" s="225">
        <v>30</v>
      </c>
      <c r="GW15" s="225">
        <v>31</v>
      </c>
      <c r="GX15" s="225">
        <v>32</v>
      </c>
      <c r="GY15" s="225">
        <v>33</v>
      </c>
      <c r="GZ15" s="225">
        <v>34</v>
      </c>
      <c r="HA15" s="225">
        <v>35</v>
      </c>
      <c r="HB15" s="225">
        <v>36</v>
      </c>
      <c r="HC15" s="225">
        <v>37</v>
      </c>
      <c r="HD15" s="225">
        <v>38</v>
      </c>
      <c r="HE15" s="225">
        <v>39</v>
      </c>
      <c r="HF15" s="225">
        <v>40</v>
      </c>
      <c r="HG15" s="225">
        <v>41</v>
      </c>
      <c r="HH15" s="225">
        <v>42</v>
      </c>
      <c r="HI15" s="225">
        <v>43</v>
      </c>
      <c r="HJ15" s="225">
        <v>44</v>
      </c>
      <c r="HK15" s="225">
        <v>45</v>
      </c>
      <c r="HL15" s="225">
        <v>46</v>
      </c>
      <c r="HM15" s="225">
        <v>47</v>
      </c>
      <c r="HN15" s="225">
        <v>48</v>
      </c>
      <c r="HO15" s="225">
        <v>49</v>
      </c>
      <c r="HP15" s="225">
        <v>50</v>
      </c>
      <c r="HQ15" s="225">
        <v>51</v>
      </c>
      <c r="HR15" s="225">
        <v>52</v>
      </c>
      <c r="HS15" s="817"/>
      <c r="HT15" s="817"/>
      <c r="HU15" s="822"/>
      <c r="HV15" s="823"/>
      <c r="HW15" s="822"/>
      <c r="HX15" s="823"/>
      <c r="HY15" s="822"/>
      <c r="HZ15" s="823"/>
      <c r="IA15" s="822"/>
      <c r="IB15" s="823"/>
      <c r="IC15" s="822"/>
      <c r="ID15" s="823"/>
      <c r="IE15" s="817"/>
      <c r="IF15" s="817"/>
      <c r="IG15" s="817"/>
      <c r="IH15" s="817"/>
    </row>
    <row r="16" spans="1:242" ht="45" x14ac:dyDescent="0.4">
      <c r="A16" s="1"/>
      <c r="B16" s="222"/>
      <c r="C16" s="150"/>
      <c r="D16" s="151"/>
      <c r="E16" s="151"/>
      <c r="F16" s="151"/>
      <c r="G16" s="151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4"/>
      <c r="BT16" s="224"/>
      <c r="BU16" s="224"/>
      <c r="BV16" s="224"/>
      <c r="BW16" s="224"/>
      <c r="BX16" s="224"/>
      <c r="BY16" s="224"/>
      <c r="BZ16" s="224"/>
      <c r="CA16" s="224"/>
      <c r="CB16" s="224"/>
      <c r="CC16" s="224"/>
      <c r="CD16" s="224"/>
      <c r="CE16" s="224"/>
      <c r="CF16" s="224"/>
      <c r="CG16" s="224"/>
      <c r="CH16" s="224"/>
      <c r="CI16" s="224"/>
      <c r="CJ16" s="224"/>
      <c r="CK16" s="224"/>
      <c r="CL16" s="224"/>
      <c r="CM16" s="224"/>
      <c r="CN16" s="224"/>
      <c r="CO16" s="224"/>
      <c r="CP16" s="224"/>
      <c r="CQ16" s="224"/>
      <c r="CR16" s="224"/>
      <c r="CS16" s="224"/>
      <c r="CT16" s="224"/>
      <c r="CU16" s="224"/>
      <c r="CV16" s="224"/>
      <c r="CW16" s="224"/>
      <c r="CX16" s="224"/>
      <c r="CY16" s="224"/>
      <c r="CZ16" s="224"/>
      <c r="DA16" s="224"/>
      <c r="DB16" s="224"/>
      <c r="DC16" s="224"/>
      <c r="DD16" s="224"/>
      <c r="DE16" s="224"/>
      <c r="DF16" s="224"/>
      <c r="DG16" s="224"/>
      <c r="DH16" s="224"/>
      <c r="DI16" s="224"/>
      <c r="DJ16" s="224"/>
      <c r="DK16" s="224"/>
      <c r="DL16" s="224"/>
      <c r="DM16" s="224"/>
      <c r="DN16" s="224"/>
      <c r="DO16" s="154"/>
      <c r="DP16" s="154"/>
      <c r="DQ16" s="154"/>
      <c r="DR16" s="154"/>
      <c r="DS16" s="157"/>
      <c r="DT16" s="157"/>
      <c r="DU16" s="157"/>
      <c r="DV16" s="157"/>
      <c r="DW16" s="157"/>
      <c r="DX16" s="157"/>
      <c r="DY16" s="157"/>
      <c r="DZ16" s="157"/>
      <c r="EA16" s="157"/>
      <c r="EB16" s="157"/>
      <c r="EC16" s="157"/>
      <c r="ED16" s="157"/>
      <c r="EE16" s="157"/>
      <c r="EF16" s="157"/>
      <c r="EG16" s="157"/>
      <c r="EH16" s="157"/>
      <c r="EI16" s="157"/>
      <c r="EJ16" s="157"/>
      <c r="EK16" s="154"/>
      <c r="EL16" s="154"/>
      <c r="EM16" s="154"/>
      <c r="EN16" s="154"/>
      <c r="EO16" s="154"/>
      <c r="EP16" s="154"/>
      <c r="EQ16" s="154"/>
      <c r="ER16" s="155"/>
      <c r="ES16" s="155"/>
      <c r="ET16" s="155"/>
      <c r="EU16" s="155"/>
      <c r="EV16" s="223"/>
      <c r="EW16" s="223"/>
      <c r="EX16" s="155"/>
      <c r="EY16" s="19"/>
      <c r="EZ16" s="19"/>
      <c r="FA16" s="19"/>
      <c r="FB16" s="19"/>
      <c r="FC16" s="19"/>
      <c r="FD16" s="19"/>
      <c r="FE16" s="19"/>
      <c r="FF16" s="19"/>
      <c r="FG16" s="19"/>
      <c r="FH16" s="7"/>
      <c r="FI16" s="7"/>
      <c r="FQ16" s="483" t="s">
        <v>1</v>
      </c>
      <c r="FR16" s="483"/>
      <c r="FS16" s="225" t="s">
        <v>64</v>
      </c>
      <c r="FT16" s="225" t="s">
        <v>50</v>
      </c>
      <c r="FU16" s="225" t="s">
        <v>50</v>
      </c>
      <c r="FV16" s="225"/>
      <c r="FW16" s="225"/>
      <c r="FX16" s="225"/>
      <c r="FY16" s="225"/>
      <c r="FZ16" s="225"/>
      <c r="GA16" s="225"/>
      <c r="GB16" s="225"/>
      <c r="GC16" s="225"/>
      <c r="GD16" s="225"/>
      <c r="GE16" s="225"/>
      <c r="GF16" s="225"/>
      <c r="GG16" s="225"/>
      <c r="GH16" s="225"/>
      <c r="GI16" s="225"/>
      <c r="GJ16" s="225"/>
      <c r="GK16" s="225" t="s">
        <v>64</v>
      </c>
      <c r="GL16" s="225" t="s">
        <v>64</v>
      </c>
      <c r="GM16" s="225" t="s">
        <v>66</v>
      </c>
      <c r="GN16" s="225" t="s">
        <v>66</v>
      </c>
      <c r="GO16" s="225" t="s">
        <v>64</v>
      </c>
      <c r="GP16" s="225" t="s">
        <v>64</v>
      </c>
      <c r="GQ16" s="225"/>
      <c r="GR16" s="225"/>
      <c r="GS16" s="225"/>
      <c r="GT16" s="225"/>
      <c r="GU16" s="225"/>
      <c r="GV16" s="225"/>
      <c r="GW16" s="225"/>
      <c r="GX16" s="225"/>
      <c r="GY16" s="225"/>
      <c r="GZ16" s="225" t="s">
        <v>67</v>
      </c>
      <c r="HA16" s="225" t="s">
        <v>67</v>
      </c>
      <c r="HB16" s="225" t="s">
        <v>67</v>
      </c>
      <c r="HC16" s="225"/>
      <c r="HD16" s="225"/>
      <c r="HE16" s="225"/>
      <c r="HF16" s="225"/>
      <c r="HG16" s="225"/>
      <c r="HH16" s="225"/>
      <c r="HI16" s="225" t="s">
        <v>66</v>
      </c>
      <c r="HJ16" s="225" t="s">
        <v>66</v>
      </c>
      <c r="HK16" s="225" t="s">
        <v>64</v>
      </c>
      <c r="HL16" s="225" t="s">
        <v>64</v>
      </c>
      <c r="HM16" s="225" t="s">
        <v>64</v>
      </c>
      <c r="HN16" s="225" t="s">
        <v>64</v>
      </c>
      <c r="HO16" s="225" t="s">
        <v>64</v>
      </c>
      <c r="HP16" s="225" t="s">
        <v>64</v>
      </c>
      <c r="HQ16" s="225" t="s">
        <v>64</v>
      </c>
      <c r="HR16" s="225" t="s">
        <v>64</v>
      </c>
      <c r="HS16" s="814">
        <f>SUM(HU16:ID16)</f>
        <v>39</v>
      </c>
      <c r="HT16" s="816"/>
      <c r="HU16" s="814">
        <v>30</v>
      </c>
      <c r="HV16" s="816"/>
      <c r="HW16" s="814">
        <v>4</v>
      </c>
      <c r="HX16" s="816"/>
      <c r="HY16" s="814">
        <v>2</v>
      </c>
      <c r="HZ16" s="816"/>
      <c r="IA16" s="814">
        <v>3</v>
      </c>
      <c r="IB16" s="816"/>
      <c r="IC16" s="814">
        <v>0</v>
      </c>
      <c r="ID16" s="816"/>
      <c r="IE16" s="814">
        <v>13</v>
      </c>
      <c r="IF16" s="816"/>
      <c r="IG16" s="483">
        <f>HS16+IE16</f>
        <v>52</v>
      </c>
      <c r="IH16" s="483"/>
    </row>
    <row r="17" spans="1:242" ht="48" x14ac:dyDescent="0.4">
      <c r="A17" s="1"/>
      <c r="B17" s="222"/>
      <c r="C17" s="150"/>
      <c r="D17" s="156"/>
      <c r="E17" s="156"/>
      <c r="F17" s="156"/>
      <c r="G17" s="156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6"/>
      <c r="DP17" s="156"/>
      <c r="DQ17" s="156"/>
      <c r="DR17" s="156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8"/>
      <c r="EJ17" s="158"/>
      <c r="EK17" s="158"/>
      <c r="EL17" s="158"/>
      <c r="EM17" s="158"/>
      <c r="EN17" s="153"/>
      <c r="EO17" s="153"/>
      <c r="EP17" s="153"/>
      <c r="EQ17" s="153"/>
      <c r="ER17" s="155"/>
      <c r="ES17" s="155"/>
      <c r="ET17" s="155"/>
      <c r="EU17" s="155"/>
      <c r="EV17" s="223"/>
      <c r="EW17" s="223"/>
      <c r="EX17" s="155"/>
      <c r="EY17" s="19"/>
      <c r="EZ17" s="19"/>
      <c r="FA17" s="19"/>
      <c r="FB17" s="19"/>
      <c r="FC17" s="19"/>
      <c r="FD17" s="19"/>
      <c r="FE17" s="19"/>
      <c r="FF17" s="19"/>
      <c r="FG17" s="19"/>
      <c r="FH17" s="7"/>
      <c r="FI17" s="7"/>
      <c r="FQ17" s="483" t="s">
        <v>2</v>
      </c>
      <c r="FR17" s="483"/>
      <c r="FS17" s="225" t="s">
        <v>64</v>
      </c>
      <c r="FT17" s="225" t="s">
        <v>50</v>
      </c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242"/>
      <c r="GG17" s="242"/>
      <c r="GH17" s="242"/>
      <c r="GI17" s="242"/>
      <c r="GJ17" s="225" t="s">
        <v>64</v>
      </c>
      <c r="GK17" s="225" t="s">
        <v>64</v>
      </c>
      <c r="GL17" s="225" t="s">
        <v>66</v>
      </c>
      <c r="GM17" s="225" t="s">
        <v>66</v>
      </c>
      <c r="GN17" s="231" t="s">
        <v>64</v>
      </c>
      <c r="GO17" s="231" t="s">
        <v>64</v>
      </c>
      <c r="GP17" s="242"/>
      <c r="GQ17" s="242"/>
      <c r="GR17" s="242"/>
      <c r="GS17" s="242"/>
      <c r="GT17" s="242"/>
      <c r="GU17" s="242"/>
      <c r="GV17" s="242"/>
      <c r="GW17" s="242"/>
      <c r="GX17" s="242"/>
      <c r="GY17" s="242"/>
      <c r="GZ17" s="242"/>
      <c r="HA17" s="242"/>
      <c r="HB17" s="242"/>
      <c r="HC17" s="242"/>
      <c r="HD17" s="242"/>
      <c r="HE17" s="225" t="s">
        <v>66</v>
      </c>
      <c r="HF17" s="225" t="s">
        <v>66</v>
      </c>
      <c r="HG17" s="225" t="s">
        <v>64</v>
      </c>
      <c r="HH17" s="225" t="s">
        <v>64</v>
      </c>
      <c r="HI17" s="225" t="s">
        <v>64</v>
      </c>
      <c r="HJ17" s="225" t="s">
        <v>64</v>
      </c>
      <c r="HK17" s="225" t="s">
        <v>64</v>
      </c>
      <c r="HL17" s="225" t="s">
        <v>64</v>
      </c>
      <c r="HM17" s="225" t="s">
        <v>64</v>
      </c>
      <c r="HN17" s="225" t="s">
        <v>64</v>
      </c>
      <c r="HO17" s="225" t="s">
        <v>64</v>
      </c>
      <c r="HP17" s="225" t="s">
        <v>64</v>
      </c>
      <c r="HQ17" s="225" t="s">
        <v>64</v>
      </c>
      <c r="HR17" s="225" t="s">
        <v>64</v>
      </c>
      <c r="HS17" s="814">
        <f>SUM(HU17:ID17)</f>
        <v>35</v>
      </c>
      <c r="HT17" s="816"/>
      <c r="HU17" s="814">
        <v>30</v>
      </c>
      <c r="HV17" s="816"/>
      <c r="HW17" s="814">
        <v>4</v>
      </c>
      <c r="HX17" s="816"/>
      <c r="HY17" s="814">
        <v>1</v>
      </c>
      <c r="HZ17" s="816"/>
      <c r="IA17" s="814">
        <v>0</v>
      </c>
      <c r="IB17" s="816"/>
      <c r="IC17" s="814">
        <v>0</v>
      </c>
      <c r="ID17" s="816"/>
      <c r="IE17" s="814">
        <v>17</v>
      </c>
      <c r="IF17" s="816"/>
      <c r="IG17" s="483">
        <f>HS17+IE17</f>
        <v>52</v>
      </c>
      <c r="IH17" s="483"/>
    </row>
    <row r="18" spans="1:242" ht="48" x14ac:dyDescent="0.4">
      <c r="A18" s="1"/>
      <c r="B18" s="222"/>
      <c r="C18" s="150"/>
      <c r="D18" s="156"/>
      <c r="E18" s="156"/>
      <c r="F18" s="156"/>
      <c r="G18" s="156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6"/>
      <c r="DP18" s="156"/>
      <c r="DQ18" s="156"/>
      <c r="DR18" s="156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8"/>
      <c r="EJ18" s="158"/>
      <c r="EK18" s="158"/>
      <c r="EL18" s="158"/>
      <c r="EM18" s="158"/>
      <c r="EN18" s="153"/>
      <c r="EO18" s="153"/>
      <c r="EP18" s="153"/>
      <c r="EQ18" s="153"/>
      <c r="ER18" s="155"/>
      <c r="ES18" s="155"/>
      <c r="ET18" s="155"/>
      <c r="EU18" s="155"/>
      <c r="EV18" s="223"/>
      <c r="EW18" s="223"/>
      <c r="EX18" s="155"/>
      <c r="EY18" s="19"/>
      <c r="EZ18" s="19"/>
      <c r="FA18" s="19"/>
      <c r="FB18" s="19"/>
      <c r="FC18" s="19"/>
      <c r="FD18" s="19"/>
      <c r="FE18" s="19"/>
      <c r="FF18" s="19"/>
      <c r="FG18" s="19"/>
      <c r="FH18" s="7"/>
      <c r="FI18" s="7"/>
      <c r="FQ18" s="483" t="s">
        <v>3</v>
      </c>
      <c r="FR18" s="483"/>
      <c r="FS18" s="225" t="s">
        <v>64</v>
      </c>
      <c r="FT18" s="225" t="s">
        <v>50</v>
      </c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242"/>
      <c r="GG18" s="242"/>
      <c r="GH18" s="242"/>
      <c r="GI18" s="242"/>
      <c r="GJ18" s="225" t="s">
        <v>64</v>
      </c>
      <c r="GK18" s="225" t="s">
        <v>64</v>
      </c>
      <c r="GL18" s="225" t="s">
        <v>66</v>
      </c>
      <c r="GM18" s="225" t="s">
        <v>66</v>
      </c>
      <c r="GN18" s="231" t="s">
        <v>64</v>
      </c>
      <c r="GO18" s="231" t="s">
        <v>64</v>
      </c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25" t="s">
        <v>66</v>
      </c>
      <c r="HF18" s="225" t="s">
        <v>66</v>
      </c>
      <c r="HG18" s="225" t="s">
        <v>64</v>
      </c>
      <c r="HH18" s="225" t="s">
        <v>64</v>
      </c>
      <c r="HI18" s="225" t="s">
        <v>64</v>
      </c>
      <c r="HJ18" s="225" t="s">
        <v>64</v>
      </c>
      <c r="HK18" s="225" t="s">
        <v>64</v>
      </c>
      <c r="HL18" s="225" t="s">
        <v>64</v>
      </c>
      <c r="HM18" s="225" t="s">
        <v>64</v>
      </c>
      <c r="HN18" s="225" t="s">
        <v>64</v>
      </c>
      <c r="HO18" s="225" t="s">
        <v>64</v>
      </c>
      <c r="HP18" s="225" t="s">
        <v>64</v>
      </c>
      <c r="HQ18" s="225" t="s">
        <v>64</v>
      </c>
      <c r="HR18" s="225" t="s">
        <v>64</v>
      </c>
      <c r="HS18" s="814">
        <f>SUM(HU18:ID18)</f>
        <v>35</v>
      </c>
      <c r="HT18" s="816"/>
      <c r="HU18" s="814">
        <v>30</v>
      </c>
      <c r="HV18" s="816"/>
      <c r="HW18" s="814">
        <v>4</v>
      </c>
      <c r="HX18" s="816"/>
      <c r="HY18" s="814">
        <v>1</v>
      </c>
      <c r="HZ18" s="816"/>
      <c r="IA18" s="814">
        <v>0</v>
      </c>
      <c r="IB18" s="816"/>
      <c r="IC18" s="814">
        <v>0</v>
      </c>
      <c r="ID18" s="816"/>
      <c r="IE18" s="814">
        <v>17</v>
      </c>
      <c r="IF18" s="816"/>
      <c r="IG18" s="483">
        <f>HS18+IE18</f>
        <v>52</v>
      </c>
      <c r="IH18" s="483"/>
    </row>
    <row r="19" spans="1:242" ht="48" x14ac:dyDescent="0.4">
      <c r="A19" s="1"/>
      <c r="B19" s="222"/>
      <c r="C19" s="150"/>
      <c r="D19" s="156"/>
      <c r="E19" s="156"/>
      <c r="F19" s="156"/>
      <c r="G19" s="156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6"/>
      <c r="DP19" s="156"/>
      <c r="DQ19" s="156"/>
      <c r="DR19" s="156"/>
      <c r="DS19" s="158"/>
      <c r="DT19" s="158"/>
      <c r="DU19" s="158"/>
      <c r="DV19" s="158"/>
      <c r="DW19" s="158"/>
      <c r="DX19" s="158"/>
      <c r="DY19" s="158"/>
      <c r="DZ19" s="158"/>
      <c r="EA19" s="158"/>
      <c r="EB19" s="158"/>
      <c r="EC19" s="158"/>
      <c r="ED19" s="158"/>
      <c r="EE19" s="158"/>
      <c r="EF19" s="158"/>
      <c r="EG19" s="158"/>
      <c r="EH19" s="158"/>
      <c r="EI19" s="158"/>
      <c r="EJ19" s="158"/>
      <c r="EK19" s="158"/>
      <c r="EL19" s="158"/>
      <c r="EM19" s="158"/>
      <c r="EN19" s="153"/>
      <c r="EO19" s="153"/>
      <c r="EP19" s="153"/>
      <c r="EQ19" s="153"/>
      <c r="ER19" s="155"/>
      <c r="ES19" s="155"/>
      <c r="ET19" s="155"/>
      <c r="EU19" s="155"/>
      <c r="EV19" s="223"/>
      <c r="EW19" s="223"/>
      <c r="EX19" s="155"/>
      <c r="EY19" s="19"/>
      <c r="EZ19" s="19"/>
      <c r="FA19" s="19"/>
      <c r="FB19" s="19"/>
      <c r="FC19" s="19"/>
      <c r="FD19" s="19"/>
      <c r="FE19" s="19"/>
      <c r="FF19" s="19"/>
      <c r="FG19" s="19"/>
      <c r="FH19" s="7"/>
      <c r="FI19" s="7"/>
      <c r="FQ19" s="483" t="s">
        <v>4</v>
      </c>
      <c r="FR19" s="483"/>
      <c r="FS19" s="225" t="s">
        <v>64</v>
      </c>
      <c r="FT19" s="225" t="s">
        <v>50</v>
      </c>
      <c r="FU19" s="225" t="s">
        <v>67</v>
      </c>
      <c r="FV19" s="225" t="s">
        <v>67</v>
      </c>
      <c r="FW19" s="242"/>
      <c r="FX19" s="242"/>
      <c r="FY19" s="242"/>
      <c r="FZ19" s="242"/>
      <c r="GA19" s="242"/>
      <c r="GB19" s="242"/>
      <c r="GC19" s="242"/>
      <c r="GD19" s="242"/>
      <c r="GE19" s="242"/>
      <c r="GF19" s="242"/>
      <c r="GG19" s="242"/>
      <c r="GH19" s="242"/>
      <c r="GI19" s="242"/>
      <c r="GJ19" s="225" t="s">
        <v>64</v>
      </c>
      <c r="GK19" s="225" t="s">
        <v>64</v>
      </c>
      <c r="GL19" s="242"/>
      <c r="GM19" s="242"/>
      <c r="GN19" s="231" t="s">
        <v>66</v>
      </c>
      <c r="GO19" s="231" t="s">
        <v>66</v>
      </c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25" t="s">
        <v>66</v>
      </c>
      <c r="HF19" s="225" t="s">
        <v>66</v>
      </c>
      <c r="HG19" s="225" t="s">
        <v>64</v>
      </c>
      <c r="HH19" s="225" t="s">
        <v>64</v>
      </c>
      <c r="HI19" s="225" t="s">
        <v>64</v>
      </c>
      <c r="HJ19" s="225" t="s">
        <v>64</v>
      </c>
      <c r="HK19" s="225" t="s">
        <v>64</v>
      </c>
      <c r="HL19" s="225" t="s">
        <v>64</v>
      </c>
      <c r="HM19" s="225" t="s">
        <v>64</v>
      </c>
      <c r="HN19" s="225" t="s">
        <v>64</v>
      </c>
      <c r="HO19" s="225" t="s">
        <v>64</v>
      </c>
      <c r="HP19" s="225" t="s">
        <v>64</v>
      </c>
      <c r="HQ19" s="225" t="s">
        <v>64</v>
      </c>
      <c r="HR19" s="225" t="s">
        <v>64</v>
      </c>
      <c r="HS19" s="483">
        <f>SUM(HU19:ID19)</f>
        <v>37</v>
      </c>
      <c r="HT19" s="483"/>
      <c r="HU19" s="814">
        <v>30</v>
      </c>
      <c r="HV19" s="816"/>
      <c r="HW19" s="814">
        <v>4</v>
      </c>
      <c r="HX19" s="816"/>
      <c r="HY19" s="814">
        <v>1</v>
      </c>
      <c r="HZ19" s="816"/>
      <c r="IA19" s="814">
        <v>2</v>
      </c>
      <c r="IB19" s="816"/>
      <c r="IC19" s="814">
        <v>0</v>
      </c>
      <c r="ID19" s="816"/>
      <c r="IE19" s="814">
        <v>15</v>
      </c>
      <c r="IF19" s="816"/>
      <c r="IG19" s="483">
        <f>HS19+IE19</f>
        <v>52</v>
      </c>
      <c r="IH19" s="483"/>
    </row>
    <row r="20" spans="1:242" ht="48" x14ac:dyDescent="0.4">
      <c r="A20" s="1"/>
      <c r="B20" s="222"/>
      <c r="C20" s="150"/>
      <c r="D20" s="156"/>
      <c r="E20" s="156"/>
      <c r="F20" s="156"/>
      <c r="G20" s="156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6"/>
      <c r="DP20" s="156"/>
      <c r="DQ20" s="156"/>
      <c r="DR20" s="156"/>
      <c r="DS20" s="158"/>
      <c r="DT20" s="158"/>
      <c r="DU20" s="158"/>
      <c r="DV20" s="158"/>
      <c r="DW20" s="158"/>
      <c r="DX20" s="158"/>
      <c r="DY20" s="158"/>
      <c r="DZ20" s="158"/>
      <c r="EA20" s="158"/>
      <c r="EB20" s="158"/>
      <c r="EC20" s="158"/>
      <c r="ED20" s="158"/>
      <c r="EE20" s="158"/>
      <c r="EF20" s="158"/>
      <c r="EG20" s="158"/>
      <c r="EH20" s="158"/>
      <c r="EI20" s="158"/>
      <c r="EJ20" s="158"/>
      <c r="EK20" s="158"/>
      <c r="EL20" s="158"/>
      <c r="EM20" s="158"/>
      <c r="EN20" s="153"/>
      <c r="EO20" s="153"/>
      <c r="EP20" s="153"/>
      <c r="EQ20" s="153"/>
      <c r="ER20" s="155"/>
      <c r="ES20" s="155"/>
      <c r="ET20" s="155"/>
      <c r="EU20" s="155"/>
      <c r="EV20" s="223"/>
      <c r="EW20" s="223"/>
      <c r="EX20" s="155"/>
      <c r="EY20" s="19"/>
      <c r="EZ20" s="19"/>
      <c r="FA20" s="19"/>
      <c r="FB20" s="19"/>
      <c r="FC20" s="19"/>
      <c r="FD20" s="19"/>
      <c r="FE20" s="19"/>
      <c r="FF20" s="19"/>
      <c r="FG20" s="19"/>
      <c r="FH20" s="7"/>
      <c r="FI20" s="7"/>
      <c r="FQ20" s="831" t="s">
        <v>344</v>
      </c>
      <c r="FR20" s="831"/>
      <c r="FS20" s="231" t="s">
        <v>64</v>
      </c>
      <c r="FT20" s="231" t="s">
        <v>50</v>
      </c>
      <c r="FU20" s="231" t="s">
        <v>67</v>
      </c>
      <c r="FV20" s="231" t="s">
        <v>67</v>
      </c>
      <c r="FW20" s="231" t="s">
        <v>67</v>
      </c>
      <c r="FX20" s="231" t="s">
        <v>67</v>
      </c>
      <c r="FY20" s="231" t="s">
        <v>67</v>
      </c>
      <c r="FZ20" s="231" t="s">
        <v>67</v>
      </c>
      <c r="GA20" s="242"/>
      <c r="GB20" s="242"/>
      <c r="GC20" s="242"/>
      <c r="GD20" s="242"/>
      <c r="GE20" s="242"/>
      <c r="GF20" s="242"/>
      <c r="GG20" s="231" t="s">
        <v>66</v>
      </c>
      <c r="GH20" s="231" t="s">
        <v>20</v>
      </c>
      <c r="GI20" s="231" t="s">
        <v>20</v>
      </c>
      <c r="GJ20" s="231" t="s">
        <v>64</v>
      </c>
      <c r="GK20" s="231" t="s">
        <v>64</v>
      </c>
      <c r="GL20" s="231" t="s">
        <v>64</v>
      </c>
      <c r="GM20" s="231" t="s">
        <v>64</v>
      </c>
      <c r="GN20" s="231" t="s">
        <v>64</v>
      </c>
      <c r="GO20" s="231" t="s">
        <v>64</v>
      </c>
      <c r="GP20" s="231" t="s">
        <v>64</v>
      </c>
      <c r="GQ20" s="231" t="s">
        <v>64</v>
      </c>
      <c r="GR20" s="231" t="s">
        <v>64</v>
      </c>
      <c r="GS20" s="232"/>
      <c r="GT20" s="232"/>
      <c r="GU20" s="232"/>
      <c r="GV20" s="232"/>
      <c r="GW20" s="232"/>
      <c r="GX20" s="232"/>
      <c r="GY20" s="232"/>
      <c r="GZ20" s="232"/>
      <c r="HA20" s="232"/>
      <c r="HB20" s="232"/>
      <c r="HC20" s="232"/>
      <c r="HD20" s="232"/>
      <c r="HE20" s="232"/>
      <c r="HF20" s="232"/>
      <c r="HG20" s="232"/>
      <c r="HH20" s="232"/>
      <c r="HI20" s="232"/>
      <c r="HJ20" s="232"/>
      <c r="HK20" s="232"/>
      <c r="HL20" s="232"/>
      <c r="HM20" s="232"/>
      <c r="HN20" s="232"/>
      <c r="HO20" s="232"/>
      <c r="HP20" s="232"/>
      <c r="HQ20" s="232"/>
      <c r="HR20" s="232"/>
      <c r="HS20" s="483">
        <f>SUM(HU20:ID20)</f>
        <v>16</v>
      </c>
      <c r="HT20" s="483"/>
      <c r="HU20" s="814">
        <v>6</v>
      </c>
      <c r="HV20" s="816"/>
      <c r="HW20" s="814">
        <v>1</v>
      </c>
      <c r="HX20" s="816"/>
      <c r="HY20" s="814">
        <v>1</v>
      </c>
      <c r="HZ20" s="816"/>
      <c r="IA20" s="814">
        <v>6</v>
      </c>
      <c r="IB20" s="816"/>
      <c r="IC20" s="814">
        <v>2</v>
      </c>
      <c r="ID20" s="816"/>
      <c r="IE20" s="814">
        <v>10</v>
      </c>
      <c r="IF20" s="816"/>
      <c r="IG20" s="483">
        <f>HS20+IE20</f>
        <v>26</v>
      </c>
      <c r="IH20" s="483"/>
    </row>
    <row r="21" spans="1:242" ht="48" x14ac:dyDescent="0.4">
      <c r="A21" s="1"/>
      <c r="B21" s="222"/>
      <c r="C21" s="150"/>
      <c r="D21" s="156"/>
      <c r="E21" s="156"/>
      <c r="F21" s="156"/>
      <c r="G21" s="156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6"/>
      <c r="DP21" s="156"/>
      <c r="DQ21" s="156"/>
      <c r="DR21" s="156"/>
      <c r="DS21" s="158"/>
      <c r="DT21" s="158"/>
      <c r="DU21" s="158"/>
      <c r="DV21" s="158"/>
      <c r="DW21" s="158"/>
      <c r="DX21" s="158"/>
      <c r="DY21" s="158"/>
      <c r="DZ21" s="158"/>
      <c r="EA21" s="158"/>
      <c r="EB21" s="158"/>
      <c r="EC21" s="158"/>
      <c r="ED21" s="158"/>
      <c r="EE21" s="158"/>
      <c r="EF21" s="158"/>
      <c r="EG21" s="158"/>
      <c r="EH21" s="158"/>
      <c r="EI21" s="158"/>
      <c r="EJ21" s="158"/>
      <c r="EK21" s="158"/>
      <c r="EL21" s="158"/>
      <c r="EM21" s="158"/>
      <c r="EN21" s="153"/>
      <c r="EO21" s="153"/>
      <c r="EP21" s="153"/>
      <c r="EQ21" s="153"/>
      <c r="ER21" s="155"/>
      <c r="ES21" s="155"/>
      <c r="ET21" s="155"/>
      <c r="EU21" s="155"/>
      <c r="EV21" s="223"/>
      <c r="EW21" s="223"/>
      <c r="EX21" s="155"/>
      <c r="EY21" s="19"/>
      <c r="EZ21" s="19"/>
      <c r="FA21" s="19"/>
      <c r="FB21" s="19"/>
      <c r="FC21" s="19"/>
      <c r="FD21" s="19"/>
      <c r="FE21" s="19"/>
      <c r="FF21" s="19"/>
      <c r="FG21" s="19"/>
      <c r="FH21" s="7"/>
      <c r="FI21" s="7"/>
      <c r="FQ21" s="824" t="s">
        <v>28</v>
      </c>
      <c r="FR21" s="824"/>
      <c r="FS21" s="824"/>
      <c r="FT21" s="824"/>
      <c r="FU21" s="824"/>
      <c r="FV21" s="824"/>
      <c r="FW21" s="824"/>
      <c r="FX21" s="824"/>
      <c r="FY21" s="824"/>
      <c r="FZ21" s="824"/>
      <c r="GA21" s="824"/>
      <c r="GB21" s="824"/>
      <c r="GC21" s="824"/>
      <c r="GD21" s="824"/>
      <c r="GE21" s="824"/>
      <c r="GF21" s="824"/>
      <c r="GG21" s="824"/>
      <c r="GH21" s="824"/>
      <c r="GI21" s="824"/>
      <c r="GJ21" s="824"/>
      <c r="GK21" s="824"/>
      <c r="GL21" s="824"/>
      <c r="GM21" s="824"/>
      <c r="GN21" s="824"/>
      <c r="GO21" s="824"/>
      <c r="GP21" s="824"/>
      <c r="GQ21" s="824"/>
      <c r="GR21" s="824"/>
      <c r="GS21" s="824"/>
      <c r="GT21" s="824"/>
      <c r="GU21" s="824"/>
      <c r="GV21" s="824"/>
      <c r="GW21" s="824"/>
      <c r="GX21" s="824"/>
      <c r="GY21" s="824"/>
      <c r="GZ21" s="824"/>
      <c r="HA21" s="824"/>
      <c r="HB21" s="824"/>
      <c r="HC21" s="824"/>
      <c r="HD21" s="824"/>
      <c r="HE21" s="824"/>
      <c r="HF21" s="824"/>
      <c r="HG21" s="824"/>
      <c r="HH21" s="824"/>
      <c r="HI21" s="824"/>
      <c r="HJ21" s="824"/>
      <c r="HK21" s="824"/>
      <c r="HL21" s="824"/>
      <c r="HM21" s="824"/>
      <c r="HN21" s="824"/>
      <c r="HO21" s="824"/>
      <c r="HP21" s="824"/>
      <c r="HQ21" s="824"/>
      <c r="HR21" s="824"/>
      <c r="HS21" s="814">
        <f t="shared" ref="HS21" si="0">SUM(HS16:HT20)</f>
        <v>162</v>
      </c>
      <c r="HT21" s="816"/>
      <c r="HU21" s="814">
        <f t="shared" ref="HU21" si="1">SUM(HU16:HV20)</f>
        <v>126</v>
      </c>
      <c r="HV21" s="816"/>
      <c r="HW21" s="814">
        <f t="shared" ref="HW21" si="2">SUM(HW16:HX20)</f>
        <v>17</v>
      </c>
      <c r="HX21" s="816"/>
      <c r="HY21" s="814">
        <f t="shared" ref="HY21" si="3">SUM(HY16:HZ20)</f>
        <v>6</v>
      </c>
      <c r="HZ21" s="816"/>
      <c r="IA21" s="814">
        <f t="shared" ref="IA21" si="4">SUM(IA16:IB20)</f>
        <v>11</v>
      </c>
      <c r="IB21" s="816"/>
      <c r="IC21" s="814">
        <f t="shared" ref="IC21" si="5">SUM(IC16:ID20)</f>
        <v>2</v>
      </c>
      <c r="ID21" s="816"/>
      <c r="IE21" s="814">
        <f>SUM(IE16:IF20)</f>
        <v>72</v>
      </c>
      <c r="IF21" s="816"/>
      <c r="IG21" s="814">
        <f>SUM(IG16:IH20)</f>
        <v>234</v>
      </c>
      <c r="IH21" s="816"/>
    </row>
    <row r="22" spans="1:242" ht="30" customHeight="1" thickBot="1" x14ac:dyDescent="0.75">
      <c r="A22" s="1"/>
      <c r="B22" s="222"/>
      <c r="C22" s="150"/>
      <c r="D22" s="156"/>
      <c r="E22" s="156"/>
      <c r="F22" s="156"/>
      <c r="G22" s="156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6"/>
      <c r="DP22" s="156"/>
      <c r="DQ22" s="156"/>
      <c r="DR22" s="156"/>
      <c r="DS22" s="158"/>
      <c r="DT22" s="158"/>
      <c r="DU22" s="158"/>
      <c r="DV22" s="158"/>
      <c r="DW22" s="158"/>
      <c r="DX22" s="158"/>
      <c r="DY22" s="158"/>
      <c r="DZ22" s="158"/>
      <c r="EA22" s="158"/>
      <c r="EB22" s="158"/>
      <c r="EC22" s="158"/>
      <c r="ED22" s="158"/>
      <c r="EE22" s="158"/>
      <c r="EF22" s="158"/>
      <c r="EG22" s="158"/>
      <c r="EH22" s="158"/>
      <c r="EI22" s="158"/>
      <c r="EJ22" s="158"/>
      <c r="EK22" s="158"/>
      <c r="EL22" s="158"/>
      <c r="EM22" s="158"/>
      <c r="EN22" s="153"/>
      <c r="EO22" s="153"/>
      <c r="EP22" s="153"/>
      <c r="EQ22" s="153"/>
      <c r="ER22" s="155"/>
      <c r="ES22" s="155"/>
      <c r="ET22" s="155"/>
      <c r="EU22" s="155"/>
      <c r="EV22" s="223"/>
      <c r="EW22" s="223"/>
      <c r="EX22" s="155"/>
      <c r="EY22" s="19"/>
      <c r="EZ22" s="19"/>
      <c r="FA22" s="19"/>
      <c r="FB22" s="19"/>
      <c r="FC22" s="19"/>
      <c r="FD22" s="19"/>
      <c r="FE22" s="19"/>
      <c r="FF22" s="19"/>
      <c r="FG22" s="19"/>
      <c r="FH22" s="7"/>
      <c r="FI22" s="7"/>
      <c r="FQ22" s="220"/>
      <c r="FR22" s="220"/>
      <c r="FS22" s="220"/>
      <c r="FT22" s="220"/>
      <c r="FU22" s="220"/>
      <c r="FV22" s="220"/>
      <c r="FW22" s="220"/>
      <c r="FX22" s="220"/>
      <c r="FY22" s="220"/>
      <c r="FZ22" s="220"/>
      <c r="GA22" s="220"/>
      <c r="GB22" s="220"/>
      <c r="GC22" s="220"/>
      <c r="GD22" s="220"/>
      <c r="GE22" s="220"/>
      <c r="GF22" s="220"/>
      <c r="GG22" s="220"/>
      <c r="GH22" s="220"/>
      <c r="GI22" s="220"/>
      <c r="GJ22" s="220"/>
      <c r="GK22" s="220"/>
      <c r="GL22" s="220"/>
      <c r="GM22" s="220"/>
      <c r="GN22" s="220"/>
      <c r="GO22" s="220"/>
      <c r="GP22" s="220"/>
      <c r="GQ22" s="220"/>
      <c r="GR22" s="220"/>
      <c r="GS22" s="220"/>
      <c r="GT22" s="220"/>
      <c r="GU22" s="220"/>
      <c r="GV22" s="220"/>
      <c r="GW22" s="220"/>
      <c r="GX22" s="220"/>
      <c r="GY22" s="220"/>
      <c r="GZ22" s="220"/>
      <c r="HA22" s="220"/>
      <c r="HB22" s="220"/>
      <c r="HC22" s="220"/>
      <c r="HD22" s="220"/>
      <c r="HE22" s="220"/>
      <c r="HF22" s="220"/>
      <c r="HG22" s="220"/>
      <c r="HH22" s="220"/>
      <c r="HI22" s="220"/>
      <c r="HJ22" s="220"/>
      <c r="HK22" s="220"/>
      <c r="HL22" s="220"/>
      <c r="HM22" s="220"/>
      <c r="HN22" s="220"/>
      <c r="HO22" s="220"/>
      <c r="HP22" s="220"/>
      <c r="HQ22" s="220"/>
      <c r="HR22" s="220"/>
      <c r="HS22" s="220"/>
      <c r="HT22" s="220"/>
      <c r="HU22" s="220"/>
      <c r="HV22" s="220"/>
      <c r="HW22" s="220"/>
      <c r="HX22" s="220"/>
      <c r="HY22" s="220"/>
      <c r="HZ22" s="220"/>
      <c r="IA22" s="220"/>
      <c r="IB22" s="220"/>
      <c r="IC22" s="220"/>
      <c r="ID22" s="220"/>
      <c r="IE22" s="220"/>
      <c r="IF22" s="220"/>
      <c r="IG22" s="220"/>
      <c r="IH22" s="220"/>
    </row>
    <row r="23" spans="1:242" ht="99.95" customHeight="1" thickBot="1" x14ac:dyDescent="0.45">
      <c r="A23" s="1"/>
      <c r="B23" s="222"/>
      <c r="C23" s="150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6"/>
      <c r="DO23" s="156"/>
      <c r="DP23" s="156"/>
      <c r="DQ23" s="156"/>
      <c r="DR23" s="156"/>
      <c r="DS23" s="156"/>
      <c r="DT23" s="156"/>
      <c r="DU23" s="156"/>
      <c r="DV23" s="156"/>
      <c r="DW23" s="156"/>
      <c r="DX23" s="156"/>
      <c r="DY23" s="156"/>
      <c r="DZ23" s="156"/>
      <c r="EA23" s="156"/>
      <c r="EB23" s="156"/>
      <c r="EC23" s="156"/>
      <c r="ED23" s="156"/>
      <c r="EE23" s="156"/>
      <c r="EF23" s="156"/>
      <c r="EG23" s="156"/>
      <c r="EH23" s="156"/>
      <c r="EI23" s="156"/>
      <c r="EJ23" s="156"/>
      <c r="EK23" s="156"/>
      <c r="EL23" s="156"/>
      <c r="EM23" s="156"/>
      <c r="EN23" s="153"/>
      <c r="EO23" s="153"/>
      <c r="EP23" s="153"/>
      <c r="EQ23" s="153"/>
      <c r="ER23" s="155"/>
      <c r="ES23" s="155"/>
      <c r="ET23" s="155"/>
      <c r="EU23" s="155"/>
      <c r="EV23" s="223"/>
      <c r="EW23" s="223"/>
      <c r="EX23" s="155"/>
      <c r="EY23" s="19"/>
      <c r="EZ23" s="19"/>
      <c r="FA23" s="19"/>
      <c r="FB23" s="19"/>
      <c r="FC23" s="19"/>
      <c r="FD23" s="19"/>
      <c r="FE23" s="19"/>
      <c r="FF23" s="19"/>
      <c r="FG23" s="19"/>
      <c r="FH23" s="7"/>
      <c r="FI23" s="7"/>
      <c r="FQ23" s="221"/>
      <c r="FR23" s="7"/>
      <c r="FS23" s="7"/>
      <c r="FT23" s="825"/>
      <c r="FU23" s="826"/>
      <c r="FV23" s="827"/>
      <c r="FW23" s="828" t="s">
        <v>279</v>
      </c>
      <c r="FX23" s="829"/>
      <c r="FY23" s="829"/>
      <c r="FZ23" s="829"/>
      <c r="GA23" s="829"/>
      <c r="GB23" s="830"/>
      <c r="GC23" s="7"/>
      <c r="GD23" s="7"/>
      <c r="GE23" s="825" t="s">
        <v>67</v>
      </c>
      <c r="GF23" s="826"/>
      <c r="GG23" s="827"/>
      <c r="GH23" s="828" t="s">
        <v>16</v>
      </c>
      <c r="GI23" s="829"/>
      <c r="GJ23" s="829"/>
      <c r="GK23" s="829"/>
      <c r="GL23" s="829"/>
      <c r="GM23" s="830"/>
      <c r="GN23" s="7"/>
      <c r="GO23" s="7"/>
      <c r="GP23" s="825" t="s">
        <v>50</v>
      </c>
      <c r="GQ23" s="826"/>
      <c r="GR23" s="827"/>
      <c r="GS23" s="828" t="s">
        <v>17</v>
      </c>
      <c r="GT23" s="829"/>
      <c r="GU23" s="829"/>
      <c r="GV23" s="829"/>
      <c r="GW23" s="829"/>
      <c r="GX23" s="830"/>
      <c r="GY23" s="7"/>
      <c r="GZ23" s="7"/>
      <c r="HA23" s="825" t="s">
        <v>66</v>
      </c>
      <c r="HB23" s="826"/>
      <c r="HC23" s="827"/>
      <c r="HD23" s="828" t="s">
        <v>18</v>
      </c>
      <c r="HE23" s="829"/>
      <c r="HF23" s="829"/>
      <c r="HG23" s="829"/>
      <c r="HH23" s="829"/>
      <c r="HI23" s="830"/>
      <c r="HJ23" s="7"/>
      <c r="HK23" s="7"/>
      <c r="HL23" s="825" t="s">
        <v>20</v>
      </c>
      <c r="HM23" s="826"/>
      <c r="HN23" s="827"/>
      <c r="HO23" s="832" t="s">
        <v>19</v>
      </c>
      <c r="HP23" s="833"/>
      <c r="HQ23" s="833"/>
      <c r="HR23" s="833"/>
      <c r="HS23" s="833"/>
      <c r="HT23" s="834"/>
      <c r="HU23" s="7"/>
      <c r="HV23" s="7"/>
      <c r="HW23" s="825" t="s">
        <v>64</v>
      </c>
      <c r="HX23" s="826"/>
      <c r="HY23" s="827"/>
      <c r="HZ23" s="828" t="s">
        <v>286</v>
      </c>
      <c r="IA23" s="829"/>
      <c r="IB23" s="829"/>
      <c r="IC23" s="829"/>
      <c r="ID23" s="829"/>
      <c r="IE23" s="830"/>
      <c r="IF23" s="7"/>
      <c r="IG23" s="221"/>
      <c r="IH23" s="221"/>
    </row>
    <row r="24" spans="1:242" ht="30" x14ac:dyDescent="0.4">
      <c r="A24" s="1"/>
      <c r="B24" s="1"/>
      <c r="C24" s="12"/>
      <c r="D24" s="12"/>
      <c r="E24" s="13"/>
      <c r="F24" s="14"/>
      <c r="G24" s="15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3"/>
      <c r="EC24" s="13"/>
      <c r="ED24" s="13"/>
      <c r="EE24" s="13"/>
      <c r="EF24" s="13"/>
      <c r="EG24" s="13"/>
      <c r="EH24" s="13"/>
      <c r="EI24" s="13"/>
      <c r="EJ24" s="19"/>
      <c r="EK24" s="19"/>
      <c r="EL24" s="19"/>
      <c r="EM24" s="16"/>
      <c r="EN24" s="16"/>
      <c r="EO24" s="16"/>
      <c r="EP24" s="16"/>
      <c r="EQ24" s="16"/>
      <c r="ER24" s="19"/>
      <c r="ES24" s="19"/>
      <c r="ET24" s="19"/>
      <c r="EU24" s="7"/>
      <c r="EV24" s="7"/>
      <c r="EW24" s="7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7"/>
      <c r="FI24" s="7"/>
    </row>
    <row r="25" spans="1:242" ht="82.5" thickBot="1" x14ac:dyDescent="0.45">
      <c r="A25" s="1"/>
      <c r="B25" s="1"/>
      <c r="C25" s="12"/>
      <c r="D25" s="689" t="s">
        <v>275</v>
      </c>
      <c r="E25" s="689"/>
      <c r="F25" s="689"/>
      <c r="G25" s="689"/>
      <c r="H25" s="689"/>
      <c r="I25" s="689"/>
      <c r="J25" s="689"/>
      <c r="K25" s="689"/>
      <c r="L25" s="689"/>
      <c r="M25" s="689"/>
      <c r="N25" s="689"/>
      <c r="O25" s="689"/>
      <c r="P25" s="689"/>
      <c r="Q25" s="689"/>
      <c r="R25" s="689"/>
      <c r="S25" s="689"/>
      <c r="T25" s="689"/>
      <c r="U25" s="689"/>
      <c r="V25" s="689"/>
      <c r="W25" s="689"/>
      <c r="X25" s="689"/>
      <c r="Y25" s="689"/>
      <c r="Z25" s="689"/>
      <c r="AA25" s="689"/>
      <c r="AB25" s="689"/>
      <c r="AC25" s="689"/>
      <c r="AD25" s="689"/>
      <c r="AE25" s="689"/>
      <c r="AF25" s="689"/>
      <c r="AG25" s="689"/>
      <c r="AH25" s="689"/>
      <c r="AI25" s="689"/>
      <c r="AJ25" s="689"/>
      <c r="AK25" s="689"/>
      <c r="AL25" s="689"/>
      <c r="AM25" s="689"/>
      <c r="AN25" s="689"/>
      <c r="AO25" s="689"/>
      <c r="AP25" s="689"/>
      <c r="AQ25" s="689"/>
      <c r="AR25" s="689"/>
      <c r="AS25" s="689"/>
      <c r="AT25" s="689"/>
      <c r="AU25" s="689"/>
      <c r="AV25" s="689"/>
      <c r="AW25" s="689"/>
      <c r="AX25" s="689"/>
      <c r="AY25" s="689"/>
      <c r="AZ25" s="689"/>
      <c r="BA25" s="689"/>
      <c r="BB25" s="689"/>
      <c r="BC25" s="689"/>
      <c r="BD25" s="689"/>
      <c r="BE25" s="689"/>
      <c r="BF25" s="689"/>
      <c r="BG25" s="689"/>
      <c r="BH25" s="689"/>
      <c r="BI25" s="689"/>
      <c r="BJ25" s="689"/>
      <c r="BK25" s="689"/>
      <c r="BL25" s="689"/>
      <c r="BM25" s="689"/>
      <c r="BN25" s="689"/>
      <c r="BO25" s="689"/>
      <c r="BP25" s="689"/>
      <c r="BQ25" s="689"/>
      <c r="BR25" s="689"/>
      <c r="BS25" s="689"/>
      <c r="BT25" s="689"/>
      <c r="BU25" s="689"/>
      <c r="BV25" s="689"/>
      <c r="BW25" s="689"/>
      <c r="BX25" s="689"/>
      <c r="BY25" s="689"/>
      <c r="BZ25" s="689"/>
      <c r="CA25" s="689"/>
      <c r="CB25" s="689"/>
      <c r="CC25" s="689"/>
      <c r="CD25" s="689"/>
      <c r="CE25" s="689"/>
      <c r="CF25" s="689"/>
      <c r="CG25" s="689"/>
      <c r="CH25" s="689"/>
      <c r="CI25" s="689"/>
      <c r="CJ25" s="689"/>
      <c r="CK25" s="689"/>
      <c r="CL25" s="689"/>
      <c r="CM25" s="689"/>
      <c r="CN25" s="689"/>
      <c r="CO25" s="689"/>
      <c r="CP25" s="689"/>
      <c r="CQ25" s="689"/>
      <c r="CR25" s="689"/>
      <c r="CS25" s="689"/>
      <c r="CT25" s="689"/>
      <c r="CU25" s="689"/>
      <c r="CV25" s="689"/>
      <c r="CW25" s="689"/>
      <c r="CX25" s="689"/>
      <c r="CY25" s="689"/>
      <c r="CZ25" s="689"/>
      <c r="DA25" s="689"/>
      <c r="DB25" s="689"/>
      <c r="DC25" s="689"/>
      <c r="DD25" s="689"/>
      <c r="DE25" s="689"/>
      <c r="DF25" s="689"/>
      <c r="DG25" s="689"/>
      <c r="DH25" s="689"/>
      <c r="DI25" s="689"/>
      <c r="DJ25" s="689"/>
      <c r="DK25" s="689"/>
      <c r="DL25" s="689"/>
      <c r="DM25" s="689"/>
      <c r="DN25" s="689"/>
      <c r="DO25" s="689"/>
      <c r="DP25" s="689"/>
      <c r="DQ25" s="689"/>
      <c r="DR25" s="689"/>
      <c r="DS25" s="689"/>
      <c r="DT25" s="689"/>
      <c r="DU25" s="689"/>
      <c r="DV25" s="689"/>
      <c r="DW25" s="689"/>
      <c r="DX25" s="689"/>
      <c r="DY25" s="689"/>
      <c r="DZ25" s="689"/>
      <c r="EA25" s="689"/>
      <c r="EB25" s="689"/>
      <c r="EC25" s="689"/>
      <c r="ED25" s="689"/>
      <c r="EE25" s="689"/>
      <c r="EF25" s="689"/>
      <c r="EG25" s="689"/>
      <c r="EH25" s="689"/>
      <c r="EI25" s="689"/>
      <c r="EJ25" s="689"/>
      <c r="EK25" s="689"/>
      <c r="EL25" s="689"/>
      <c r="EM25" s="689"/>
      <c r="EN25" s="16"/>
      <c r="EO25" s="16"/>
      <c r="EP25" s="16"/>
      <c r="EQ25" s="16"/>
      <c r="ER25" s="19"/>
      <c r="ES25" s="19"/>
      <c r="ET25" s="19"/>
      <c r="EU25" s="7"/>
      <c r="EV25" s="7"/>
      <c r="EW25" s="7"/>
      <c r="EX25" s="26"/>
      <c r="EY25" s="26"/>
      <c r="EZ25" s="26"/>
      <c r="FA25" s="26"/>
      <c r="FB25" s="26"/>
      <c r="FC25" s="26"/>
      <c r="FD25" s="26"/>
      <c r="FE25" s="25"/>
      <c r="FF25" s="25"/>
      <c r="FG25" s="25"/>
      <c r="FH25" s="25"/>
      <c r="FI25" s="25"/>
    </row>
    <row r="26" spans="1:242" s="227" customFormat="1" ht="50.1" customHeight="1" thickTop="1" x14ac:dyDescent="0.7">
      <c r="A26" s="907" t="s">
        <v>29</v>
      </c>
      <c r="B26" s="910" t="s">
        <v>68</v>
      </c>
      <c r="C26" s="913" t="s">
        <v>69</v>
      </c>
      <c r="D26" s="913"/>
      <c r="E26" s="913"/>
      <c r="F26" s="913"/>
      <c r="G26" s="913"/>
      <c r="H26" s="913"/>
      <c r="I26" s="913"/>
      <c r="J26" s="913"/>
      <c r="K26" s="913"/>
      <c r="L26" s="913"/>
      <c r="M26" s="913"/>
      <c r="N26" s="913"/>
      <c r="O26" s="913"/>
      <c r="P26" s="913"/>
      <c r="Q26" s="913"/>
      <c r="R26" s="913"/>
      <c r="S26" s="913"/>
      <c r="T26" s="913"/>
      <c r="U26" s="913"/>
      <c r="V26" s="913"/>
      <c r="W26" s="913"/>
      <c r="X26" s="913"/>
      <c r="Y26" s="913"/>
      <c r="Z26" s="915" t="s">
        <v>70</v>
      </c>
      <c r="AA26" s="916"/>
      <c r="AB26" s="916"/>
      <c r="AC26" s="916"/>
      <c r="AD26" s="916"/>
      <c r="AE26" s="916"/>
      <c r="AF26" s="916"/>
      <c r="AG26" s="916"/>
      <c r="AH26" s="916"/>
      <c r="AI26" s="916"/>
      <c r="AJ26" s="916"/>
      <c r="AK26" s="916"/>
      <c r="AL26" s="916"/>
      <c r="AM26" s="916"/>
      <c r="AN26" s="916"/>
      <c r="AO26" s="916"/>
      <c r="AP26" s="916"/>
      <c r="AQ26" s="916"/>
      <c r="AR26" s="916"/>
      <c r="AS26" s="916"/>
      <c r="AT26" s="916"/>
      <c r="AU26" s="916"/>
      <c r="AV26" s="916"/>
      <c r="AW26" s="916"/>
      <c r="AX26" s="916"/>
      <c r="AY26" s="916"/>
      <c r="AZ26" s="916"/>
      <c r="BA26" s="916"/>
      <c r="BB26" s="916"/>
      <c r="BC26" s="916"/>
      <c r="BD26" s="916"/>
      <c r="BE26" s="916"/>
      <c r="BF26" s="916"/>
      <c r="BG26" s="916"/>
      <c r="BH26" s="916"/>
      <c r="BI26" s="916"/>
      <c r="BJ26" s="916"/>
      <c r="BK26" s="916"/>
      <c r="BL26" s="916"/>
      <c r="BM26" s="916"/>
      <c r="BN26" s="917"/>
      <c r="BO26" s="917"/>
      <c r="BP26" s="917"/>
      <c r="BQ26" s="917"/>
      <c r="BR26" s="918"/>
      <c r="BS26" s="919" t="s">
        <v>34</v>
      </c>
      <c r="BT26" s="920"/>
      <c r="BU26" s="920"/>
      <c r="BV26" s="920"/>
      <c r="BW26" s="920"/>
      <c r="BX26" s="920"/>
      <c r="BY26" s="920"/>
      <c r="BZ26" s="920"/>
      <c r="CA26" s="920"/>
      <c r="CB26" s="920"/>
      <c r="CC26" s="920"/>
      <c r="CD26" s="920"/>
      <c r="CE26" s="920"/>
      <c r="CF26" s="920"/>
      <c r="CG26" s="920"/>
      <c r="CH26" s="920"/>
      <c r="CI26" s="920"/>
      <c r="CJ26" s="920"/>
      <c r="CK26" s="920"/>
      <c r="CL26" s="920"/>
      <c r="CM26" s="920"/>
      <c r="CN26" s="920"/>
      <c r="CO26" s="920"/>
      <c r="CP26" s="920"/>
      <c r="CQ26" s="920"/>
      <c r="CR26" s="920"/>
      <c r="CS26" s="920"/>
      <c r="CT26" s="920"/>
      <c r="CU26" s="920"/>
      <c r="CV26" s="920"/>
      <c r="CW26" s="920"/>
      <c r="CX26" s="920"/>
      <c r="CY26" s="920"/>
      <c r="CZ26" s="920"/>
      <c r="DA26" s="920"/>
      <c r="DB26" s="920"/>
      <c r="DC26" s="920"/>
      <c r="DD26" s="920"/>
      <c r="DE26" s="920"/>
      <c r="DF26" s="920"/>
      <c r="DG26" s="920"/>
      <c r="DH26" s="920"/>
      <c r="DI26" s="920"/>
      <c r="DJ26" s="920"/>
      <c r="DK26" s="921"/>
      <c r="DL26" s="919" t="s">
        <v>35</v>
      </c>
      <c r="DM26" s="920"/>
      <c r="DN26" s="920"/>
      <c r="DO26" s="920"/>
      <c r="DP26" s="920"/>
      <c r="DQ26" s="920"/>
      <c r="DR26" s="920"/>
      <c r="DS26" s="920"/>
      <c r="DT26" s="920"/>
      <c r="DU26" s="920"/>
      <c r="DV26" s="920"/>
      <c r="DW26" s="920"/>
      <c r="DX26" s="920"/>
      <c r="DY26" s="920"/>
      <c r="DZ26" s="920"/>
      <c r="EA26" s="920"/>
      <c r="EB26" s="920"/>
      <c r="EC26" s="920"/>
      <c r="ED26" s="920"/>
      <c r="EE26" s="920"/>
      <c r="EF26" s="920"/>
      <c r="EG26" s="920"/>
      <c r="EH26" s="920"/>
      <c r="EI26" s="920"/>
      <c r="EJ26" s="920"/>
      <c r="EK26" s="920"/>
      <c r="EL26" s="920"/>
      <c r="EM26" s="920"/>
      <c r="EN26" s="920"/>
      <c r="EO26" s="920"/>
      <c r="EP26" s="920"/>
      <c r="EQ26" s="920"/>
      <c r="ER26" s="920"/>
      <c r="ES26" s="920"/>
      <c r="ET26" s="920"/>
      <c r="EU26" s="920"/>
      <c r="EV26" s="920"/>
      <c r="EW26" s="920"/>
      <c r="EX26" s="920"/>
      <c r="EY26" s="920"/>
      <c r="EZ26" s="920"/>
      <c r="FA26" s="920"/>
      <c r="FB26" s="920"/>
      <c r="FC26" s="920"/>
      <c r="FD26" s="921"/>
      <c r="FE26" s="922" t="s">
        <v>40</v>
      </c>
      <c r="FF26" s="923"/>
      <c r="FG26" s="923"/>
      <c r="FH26" s="924"/>
      <c r="FI26" s="925"/>
    </row>
    <row r="27" spans="1:242" s="227" customFormat="1" ht="50.1" customHeight="1" x14ac:dyDescent="0.7">
      <c r="A27" s="908"/>
      <c r="B27" s="911"/>
      <c r="C27" s="914"/>
      <c r="D27" s="914"/>
      <c r="E27" s="914"/>
      <c r="F27" s="914"/>
      <c r="G27" s="914"/>
      <c r="H27" s="914"/>
      <c r="I27" s="914"/>
      <c r="J27" s="914"/>
      <c r="K27" s="914"/>
      <c r="L27" s="914"/>
      <c r="M27" s="914"/>
      <c r="N27" s="914"/>
      <c r="O27" s="914"/>
      <c r="P27" s="914"/>
      <c r="Q27" s="914"/>
      <c r="R27" s="914"/>
      <c r="S27" s="914"/>
      <c r="T27" s="914"/>
      <c r="U27" s="914"/>
      <c r="V27" s="914"/>
      <c r="W27" s="914"/>
      <c r="X27" s="914"/>
      <c r="Y27" s="914"/>
      <c r="Z27" s="930" t="s">
        <v>71</v>
      </c>
      <c r="AA27" s="931"/>
      <c r="AB27" s="931"/>
      <c r="AC27" s="931"/>
      <c r="AD27" s="931"/>
      <c r="AE27" s="931"/>
      <c r="AF27" s="931"/>
      <c r="AG27" s="931"/>
      <c r="AH27" s="931"/>
      <c r="AI27" s="932"/>
      <c r="AJ27" s="930" t="s">
        <v>72</v>
      </c>
      <c r="AK27" s="931"/>
      <c r="AL27" s="931"/>
      <c r="AM27" s="931"/>
      <c r="AN27" s="931"/>
      <c r="AO27" s="931"/>
      <c r="AP27" s="931"/>
      <c r="AQ27" s="931"/>
      <c r="AR27" s="931"/>
      <c r="AS27" s="931"/>
      <c r="AT27" s="931"/>
      <c r="AU27" s="931"/>
      <c r="AV27" s="931"/>
      <c r="AW27" s="931"/>
      <c r="AX27" s="931"/>
      <c r="AY27" s="931"/>
      <c r="AZ27" s="931"/>
      <c r="BA27" s="931"/>
      <c r="BB27" s="931"/>
      <c r="BC27" s="931"/>
      <c r="BD27" s="931"/>
      <c r="BE27" s="931"/>
      <c r="BF27" s="931"/>
      <c r="BG27" s="931"/>
      <c r="BH27" s="931"/>
      <c r="BI27" s="931"/>
      <c r="BJ27" s="931"/>
      <c r="BK27" s="931"/>
      <c r="BL27" s="931"/>
      <c r="BM27" s="931"/>
      <c r="BN27" s="928" t="s">
        <v>30</v>
      </c>
      <c r="BO27" s="928"/>
      <c r="BP27" s="928"/>
      <c r="BQ27" s="928"/>
      <c r="BR27" s="929"/>
      <c r="BS27" s="880" t="s">
        <v>31</v>
      </c>
      <c r="BT27" s="878"/>
      <c r="BU27" s="878"/>
      <c r="BV27" s="878"/>
      <c r="BW27" s="878"/>
      <c r="BX27" s="878"/>
      <c r="BY27" s="878"/>
      <c r="BZ27" s="878"/>
      <c r="CA27" s="878"/>
      <c r="CB27" s="878"/>
      <c r="CC27" s="878" t="s">
        <v>32</v>
      </c>
      <c r="CD27" s="878"/>
      <c r="CE27" s="878"/>
      <c r="CF27" s="878"/>
      <c r="CG27" s="878"/>
      <c r="CH27" s="878"/>
      <c r="CI27" s="878"/>
      <c r="CJ27" s="878"/>
      <c r="CK27" s="878"/>
      <c r="CL27" s="878"/>
      <c r="CM27" s="878" t="s">
        <v>33</v>
      </c>
      <c r="CN27" s="878"/>
      <c r="CO27" s="878"/>
      <c r="CP27" s="878"/>
      <c r="CQ27" s="878"/>
      <c r="CR27" s="878"/>
      <c r="CS27" s="878"/>
      <c r="CT27" s="878"/>
      <c r="CU27" s="878"/>
      <c r="CV27" s="878"/>
      <c r="CW27" s="878" t="s">
        <v>78</v>
      </c>
      <c r="CX27" s="878"/>
      <c r="CY27" s="878"/>
      <c r="CZ27" s="878"/>
      <c r="DA27" s="878"/>
      <c r="DB27" s="878"/>
      <c r="DC27" s="878"/>
      <c r="DD27" s="878"/>
      <c r="DE27" s="878"/>
      <c r="DF27" s="878"/>
      <c r="DG27" s="878" t="s">
        <v>166</v>
      </c>
      <c r="DH27" s="878"/>
      <c r="DI27" s="878"/>
      <c r="DJ27" s="878"/>
      <c r="DK27" s="879"/>
      <c r="DL27" s="880" t="s">
        <v>31</v>
      </c>
      <c r="DM27" s="878"/>
      <c r="DN27" s="878"/>
      <c r="DO27" s="878"/>
      <c r="DP27" s="878"/>
      <c r="DQ27" s="878"/>
      <c r="DR27" s="878"/>
      <c r="DS27" s="878"/>
      <c r="DT27" s="878"/>
      <c r="DU27" s="878"/>
      <c r="DV27" s="878" t="s">
        <v>32</v>
      </c>
      <c r="DW27" s="878"/>
      <c r="DX27" s="878"/>
      <c r="DY27" s="878"/>
      <c r="DZ27" s="878"/>
      <c r="EA27" s="878"/>
      <c r="EB27" s="878"/>
      <c r="EC27" s="878"/>
      <c r="ED27" s="878"/>
      <c r="EE27" s="878"/>
      <c r="EF27" s="878" t="s">
        <v>33</v>
      </c>
      <c r="EG27" s="878"/>
      <c r="EH27" s="878"/>
      <c r="EI27" s="878"/>
      <c r="EJ27" s="878"/>
      <c r="EK27" s="878"/>
      <c r="EL27" s="878"/>
      <c r="EM27" s="878"/>
      <c r="EN27" s="878"/>
      <c r="EO27" s="878"/>
      <c r="EP27" s="878" t="s">
        <v>78</v>
      </c>
      <c r="EQ27" s="878"/>
      <c r="ER27" s="878"/>
      <c r="ES27" s="878"/>
      <c r="ET27" s="878"/>
      <c r="EU27" s="878"/>
      <c r="EV27" s="878"/>
      <c r="EW27" s="878"/>
      <c r="EX27" s="878"/>
      <c r="EY27" s="878"/>
      <c r="EZ27" s="878" t="s">
        <v>166</v>
      </c>
      <c r="FA27" s="878"/>
      <c r="FB27" s="878"/>
      <c r="FC27" s="878"/>
      <c r="FD27" s="879"/>
      <c r="FE27" s="926"/>
      <c r="FF27" s="927"/>
      <c r="FG27" s="927"/>
      <c r="FH27" s="928"/>
      <c r="FI27" s="929"/>
    </row>
    <row r="28" spans="1:242" s="227" customFormat="1" ht="50.1" customHeight="1" x14ac:dyDescent="0.7">
      <c r="A28" s="908"/>
      <c r="B28" s="911"/>
      <c r="C28" s="914"/>
      <c r="D28" s="914"/>
      <c r="E28" s="914"/>
      <c r="F28" s="914"/>
      <c r="G28" s="914"/>
      <c r="H28" s="914"/>
      <c r="I28" s="914"/>
      <c r="J28" s="914"/>
      <c r="K28" s="914"/>
      <c r="L28" s="914"/>
      <c r="M28" s="914"/>
      <c r="N28" s="914"/>
      <c r="O28" s="914"/>
      <c r="P28" s="914"/>
      <c r="Q28" s="914"/>
      <c r="R28" s="914"/>
      <c r="S28" s="914"/>
      <c r="T28" s="914"/>
      <c r="U28" s="914"/>
      <c r="V28" s="914"/>
      <c r="W28" s="914"/>
      <c r="X28" s="914"/>
      <c r="Y28" s="914"/>
      <c r="Z28" s="933"/>
      <c r="AA28" s="934"/>
      <c r="AB28" s="934"/>
      <c r="AC28" s="934"/>
      <c r="AD28" s="934"/>
      <c r="AE28" s="934"/>
      <c r="AF28" s="934"/>
      <c r="AG28" s="934"/>
      <c r="AH28" s="934"/>
      <c r="AI28" s="935"/>
      <c r="AJ28" s="884" t="s">
        <v>22</v>
      </c>
      <c r="AK28" s="885"/>
      <c r="AL28" s="885"/>
      <c r="AM28" s="885"/>
      <c r="AN28" s="886"/>
      <c r="AO28" s="884" t="s">
        <v>73</v>
      </c>
      <c r="AP28" s="885"/>
      <c r="AQ28" s="885"/>
      <c r="AR28" s="885"/>
      <c r="AS28" s="886"/>
      <c r="AT28" s="884" t="s">
        <v>74</v>
      </c>
      <c r="AU28" s="885"/>
      <c r="AV28" s="885"/>
      <c r="AW28" s="885"/>
      <c r="AX28" s="886"/>
      <c r="AY28" s="884" t="s">
        <v>75</v>
      </c>
      <c r="AZ28" s="885"/>
      <c r="BA28" s="885"/>
      <c r="BB28" s="885"/>
      <c r="BC28" s="886"/>
      <c r="BD28" s="884" t="s">
        <v>76</v>
      </c>
      <c r="BE28" s="885"/>
      <c r="BF28" s="885"/>
      <c r="BG28" s="885"/>
      <c r="BH28" s="886"/>
      <c r="BI28" s="884" t="s">
        <v>77</v>
      </c>
      <c r="BJ28" s="885"/>
      <c r="BK28" s="885"/>
      <c r="BL28" s="885"/>
      <c r="BM28" s="885"/>
      <c r="BN28" s="928"/>
      <c r="BO28" s="928"/>
      <c r="BP28" s="928"/>
      <c r="BQ28" s="928"/>
      <c r="BR28" s="929"/>
      <c r="BS28" s="880" t="s">
        <v>36</v>
      </c>
      <c r="BT28" s="878"/>
      <c r="BU28" s="878"/>
      <c r="BV28" s="878"/>
      <c r="BW28" s="878"/>
      <c r="BX28" s="878"/>
      <c r="BY28" s="878"/>
      <c r="BZ28" s="878"/>
      <c r="CA28" s="878"/>
      <c r="CB28" s="878"/>
      <c r="CC28" s="878"/>
      <c r="CD28" s="878"/>
      <c r="CE28" s="878"/>
      <c r="CF28" s="878"/>
      <c r="CG28" s="878"/>
      <c r="CH28" s="878"/>
      <c r="CI28" s="878"/>
      <c r="CJ28" s="878"/>
      <c r="CK28" s="878"/>
      <c r="CL28" s="878"/>
      <c r="CM28" s="878"/>
      <c r="CN28" s="878"/>
      <c r="CO28" s="878"/>
      <c r="CP28" s="878"/>
      <c r="CQ28" s="878"/>
      <c r="CR28" s="878"/>
      <c r="CS28" s="878"/>
      <c r="CT28" s="878"/>
      <c r="CU28" s="878"/>
      <c r="CV28" s="878"/>
      <c r="CW28" s="878"/>
      <c r="CX28" s="878"/>
      <c r="CY28" s="878"/>
      <c r="CZ28" s="878"/>
      <c r="DA28" s="878"/>
      <c r="DB28" s="878"/>
      <c r="DC28" s="878"/>
      <c r="DD28" s="878"/>
      <c r="DE28" s="878"/>
      <c r="DF28" s="878"/>
      <c r="DG28" s="878"/>
      <c r="DH28" s="878"/>
      <c r="DI28" s="878"/>
      <c r="DJ28" s="878"/>
      <c r="DK28" s="879"/>
      <c r="DL28" s="880" t="s">
        <v>36</v>
      </c>
      <c r="DM28" s="878"/>
      <c r="DN28" s="878"/>
      <c r="DO28" s="878"/>
      <c r="DP28" s="878"/>
      <c r="DQ28" s="878"/>
      <c r="DR28" s="878"/>
      <c r="DS28" s="878"/>
      <c r="DT28" s="878"/>
      <c r="DU28" s="878"/>
      <c r="DV28" s="878"/>
      <c r="DW28" s="878"/>
      <c r="DX28" s="878"/>
      <c r="DY28" s="878"/>
      <c r="DZ28" s="878"/>
      <c r="EA28" s="878"/>
      <c r="EB28" s="878"/>
      <c r="EC28" s="878"/>
      <c r="ED28" s="878"/>
      <c r="EE28" s="878"/>
      <c r="EF28" s="878"/>
      <c r="EG28" s="878"/>
      <c r="EH28" s="878"/>
      <c r="EI28" s="878"/>
      <c r="EJ28" s="878"/>
      <c r="EK28" s="878"/>
      <c r="EL28" s="878"/>
      <c r="EM28" s="878"/>
      <c r="EN28" s="878"/>
      <c r="EO28" s="878"/>
      <c r="EP28" s="878"/>
      <c r="EQ28" s="878"/>
      <c r="ER28" s="878"/>
      <c r="ES28" s="878"/>
      <c r="ET28" s="878"/>
      <c r="EU28" s="878"/>
      <c r="EV28" s="878"/>
      <c r="EW28" s="878"/>
      <c r="EX28" s="878"/>
      <c r="EY28" s="878"/>
      <c r="EZ28" s="878"/>
      <c r="FA28" s="878"/>
      <c r="FB28" s="878"/>
      <c r="FC28" s="878"/>
      <c r="FD28" s="879"/>
      <c r="FE28" s="926"/>
      <c r="FF28" s="927"/>
      <c r="FG28" s="927"/>
      <c r="FH28" s="928"/>
      <c r="FI28" s="929"/>
    </row>
    <row r="29" spans="1:242" s="227" customFormat="1" ht="50.1" customHeight="1" x14ac:dyDescent="0.7">
      <c r="A29" s="908"/>
      <c r="B29" s="911"/>
      <c r="C29" s="914"/>
      <c r="D29" s="914"/>
      <c r="E29" s="914"/>
      <c r="F29" s="914"/>
      <c r="G29" s="914"/>
      <c r="H29" s="914"/>
      <c r="I29" s="914"/>
      <c r="J29" s="914"/>
      <c r="K29" s="914"/>
      <c r="L29" s="914"/>
      <c r="M29" s="914"/>
      <c r="N29" s="914"/>
      <c r="O29" s="914"/>
      <c r="P29" s="914"/>
      <c r="Q29" s="914"/>
      <c r="R29" s="914"/>
      <c r="S29" s="914"/>
      <c r="T29" s="914"/>
      <c r="U29" s="914"/>
      <c r="V29" s="914"/>
      <c r="W29" s="914"/>
      <c r="X29" s="914"/>
      <c r="Y29" s="914"/>
      <c r="Z29" s="933"/>
      <c r="AA29" s="934"/>
      <c r="AB29" s="934"/>
      <c r="AC29" s="934"/>
      <c r="AD29" s="934"/>
      <c r="AE29" s="934"/>
      <c r="AF29" s="934"/>
      <c r="AG29" s="934"/>
      <c r="AH29" s="934"/>
      <c r="AI29" s="935"/>
      <c r="AJ29" s="887"/>
      <c r="AK29" s="888"/>
      <c r="AL29" s="888"/>
      <c r="AM29" s="888"/>
      <c r="AN29" s="889"/>
      <c r="AO29" s="887"/>
      <c r="AP29" s="888"/>
      <c r="AQ29" s="888"/>
      <c r="AR29" s="888"/>
      <c r="AS29" s="889"/>
      <c r="AT29" s="887"/>
      <c r="AU29" s="888"/>
      <c r="AV29" s="888"/>
      <c r="AW29" s="888"/>
      <c r="AX29" s="889"/>
      <c r="AY29" s="887"/>
      <c r="AZ29" s="888"/>
      <c r="BA29" s="888"/>
      <c r="BB29" s="888"/>
      <c r="BC29" s="889"/>
      <c r="BD29" s="887"/>
      <c r="BE29" s="888"/>
      <c r="BF29" s="888"/>
      <c r="BG29" s="888"/>
      <c r="BH29" s="889"/>
      <c r="BI29" s="887"/>
      <c r="BJ29" s="888"/>
      <c r="BK29" s="888"/>
      <c r="BL29" s="888"/>
      <c r="BM29" s="888"/>
      <c r="BN29" s="928"/>
      <c r="BO29" s="928"/>
      <c r="BP29" s="928"/>
      <c r="BQ29" s="928"/>
      <c r="BR29" s="929"/>
      <c r="BS29" s="880">
        <v>30</v>
      </c>
      <c r="BT29" s="878"/>
      <c r="BU29" s="878"/>
      <c r="BV29" s="878"/>
      <c r="BW29" s="878"/>
      <c r="BX29" s="878"/>
      <c r="BY29" s="878"/>
      <c r="BZ29" s="878"/>
      <c r="CA29" s="878"/>
      <c r="CB29" s="878"/>
      <c r="CC29" s="878">
        <v>30</v>
      </c>
      <c r="CD29" s="878"/>
      <c r="CE29" s="878"/>
      <c r="CF29" s="878"/>
      <c r="CG29" s="878"/>
      <c r="CH29" s="878"/>
      <c r="CI29" s="878"/>
      <c r="CJ29" s="878"/>
      <c r="CK29" s="878"/>
      <c r="CL29" s="878"/>
      <c r="CM29" s="878">
        <v>30</v>
      </c>
      <c r="CN29" s="878"/>
      <c r="CO29" s="878"/>
      <c r="CP29" s="878"/>
      <c r="CQ29" s="878"/>
      <c r="CR29" s="878"/>
      <c r="CS29" s="878"/>
      <c r="CT29" s="878"/>
      <c r="CU29" s="878"/>
      <c r="CV29" s="878"/>
      <c r="CW29" s="878">
        <v>30</v>
      </c>
      <c r="CX29" s="878"/>
      <c r="CY29" s="878"/>
      <c r="CZ29" s="878"/>
      <c r="DA29" s="878"/>
      <c r="DB29" s="878"/>
      <c r="DC29" s="878"/>
      <c r="DD29" s="878"/>
      <c r="DE29" s="878"/>
      <c r="DF29" s="878"/>
      <c r="DG29" s="878">
        <v>15</v>
      </c>
      <c r="DH29" s="878"/>
      <c r="DI29" s="878"/>
      <c r="DJ29" s="878"/>
      <c r="DK29" s="879"/>
      <c r="DL29" s="906">
        <f>DL33+DQ33</f>
        <v>60</v>
      </c>
      <c r="DM29" s="905"/>
      <c r="DN29" s="905"/>
      <c r="DO29" s="905"/>
      <c r="DP29" s="905"/>
      <c r="DQ29" s="905"/>
      <c r="DR29" s="905"/>
      <c r="DS29" s="905"/>
      <c r="DT29" s="905"/>
      <c r="DU29" s="905"/>
      <c r="DV29" s="905">
        <f>DV33+EA33</f>
        <v>54</v>
      </c>
      <c r="DW29" s="905"/>
      <c r="DX29" s="905"/>
      <c r="DY29" s="905"/>
      <c r="DZ29" s="905"/>
      <c r="EA29" s="905"/>
      <c r="EB29" s="905"/>
      <c r="EC29" s="905"/>
      <c r="ED29" s="905"/>
      <c r="EE29" s="905"/>
      <c r="EF29" s="905">
        <f>EF33+EK33</f>
        <v>58</v>
      </c>
      <c r="EG29" s="905"/>
      <c r="EH29" s="905"/>
      <c r="EI29" s="905"/>
      <c r="EJ29" s="905"/>
      <c r="EK29" s="905"/>
      <c r="EL29" s="905"/>
      <c r="EM29" s="905"/>
      <c r="EN29" s="905"/>
      <c r="EO29" s="905"/>
      <c r="EP29" s="905">
        <f>EP33+EU33</f>
        <v>49</v>
      </c>
      <c r="EQ29" s="905"/>
      <c r="ER29" s="905"/>
      <c r="ES29" s="905"/>
      <c r="ET29" s="905"/>
      <c r="EU29" s="905"/>
      <c r="EV29" s="905"/>
      <c r="EW29" s="905"/>
      <c r="EX29" s="905"/>
      <c r="EY29" s="905"/>
      <c r="EZ29" s="905">
        <f>EZ33</f>
        <v>19</v>
      </c>
      <c r="FA29" s="905"/>
      <c r="FB29" s="905"/>
      <c r="FC29" s="905"/>
      <c r="FD29" s="896"/>
      <c r="FE29" s="926"/>
      <c r="FF29" s="927"/>
      <c r="FG29" s="927"/>
      <c r="FH29" s="928"/>
      <c r="FI29" s="929"/>
    </row>
    <row r="30" spans="1:242" s="227" customFormat="1" ht="50.1" customHeight="1" x14ac:dyDescent="0.7">
      <c r="A30" s="908"/>
      <c r="B30" s="911"/>
      <c r="C30" s="914"/>
      <c r="D30" s="914"/>
      <c r="E30" s="914"/>
      <c r="F30" s="914"/>
      <c r="G30" s="914"/>
      <c r="H30" s="914"/>
      <c r="I30" s="914"/>
      <c r="J30" s="914"/>
      <c r="K30" s="914"/>
      <c r="L30" s="914"/>
      <c r="M30" s="914"/>
      <c r="N30" s="914"/>
      <c r="O30" s="914"/>
      <c r="P30" s="914"/>
      <c r="Q30" s="914"/>
      <c r="R30" s="914"/>
      <c r="S30" s="914"/>
      <c r="T30" s="914"/>
      <c r="U30" s="914"/>
      <c r="V30" s="914"/>
      <c r="W30" s="914"/>
      <c r="X30" s="914"/>
      <c r="Y30" s="914"/>
      <c r="Z30" s="933"/>
      <c r="AA30" s="934"/>
      <c r="AB30" s="934"/>
      <c r="AC30" s="934"/>
      <c r="AD30" s="934"/>
      <c r="AE30" s="934"/>
      <c r="AF30" s="934"/>
      <c r="AG30" s="934"/>
      <c r="AH30" s="934"/>
      <c r="AI30" s="935"/>
      <c r="AJ30" s="887"/>
      <c r="AK30" s="888"/>
      <c r="AL30" s="888"/>
      <c r="AM30" s="888"/>
      <c r="AN30" s="889"/>
      <c r="AO30" s="887"/>
      <c r="AP30" s="888"/>
      <c r="AQ30" s="888"/>
      <c r="AR30" s="888"/>
      <c r="AS30" s="889"/>
      <c r="AT30" s="887"/>
      <c r="AU30" s="888"/>
      <c r="AV30" s="888"/>
      <c r="AW30" s="888"/>
      <c r="AX30" s="889"/>
      <c r="AY30" s="887"/>
      <c r="AZ30" s="888"/>
      <c r="BA30" s="888"/>
      <c r="BB30" s="888"/>
      <c r="BC30" s="889"/>
      <c r="BD30" s="887"/>
      <c r="BE30" s="888"/>
      <c r="BF30" s="888"/>
      <c r="BG30" s="888"/>
      <c r="BH30" s="889"/>
      <c r="BI30" s="887"/>
      <c r="BJ30" s="888"/>
      <c r="BK30" s="888"/>
      <c r="BL30" s="888"/>
      <c r="BM30" s="888"/>
      <c r="BN30" s="928"/>
      <c r="BO30" s="928"/>
      <c r="BP30" s="928"/>
      <c r="BQ30" s="928"/>
      <c r="BR30" s="929"/>
      <c r="BS30" s="880" t="s">
        <v>37</v>
      </c>
      <c r="BT30" s="878"/>
      <c r="BU30" s="878"/>
      <c r="BV30" s="878"/>
      <c r="BW30" s="878"/>
      <c r="BX30" s="878"/>
      <c r="BY30" s="878"/>
      <c r="BZ30" s="878"/>
      <c r="CA30" s="878"/>
      <c r="CB30" s="878"/>
      <c r="CC30" s="878"/>
      <c r="CD30" s="878"/>
      <c r="CE30" s="878"/>
      <c r="CF30" s="878"/>
      <c r="CG30" s="878"/>
      <c r="CH30" s="878"/>
      <c r="CI30" s="878"/>
      <c r="CJ30" s="878"/>
      <c r="CK30" s="878"/>
      <c r="CL30" s="878"/>
      <c r="CM30" s="878"/>
      <c r="CN30" s="878"/>
      <c r="CO30" s="878"/>
      <c r="CP30" s="878"/>
      <c r="CQ30" s="878"/>
      <c r="CR30" s="878"/>
      <c r="CS30" s="878"/>
      <c r="CT30" s="878"/>
      <c r="CU30" s="878"/>
      <c r="CV30" s="878"/>
      <c r="CW30" s="878"/>
      <c r="CX30" s="878"/>
      <c r="CY30" s="878"/>
      <c r="CZ30" s="878"/>
      <c r="DA30" s="878"/>
      <c r="DB30" s="878"/>
      <c r="DC30" s="878"/>
      <c r="DD30" s="878"/>
      <c r="DE30" s="878"/>
      <c r="DF30" s="878"/>
      <c r="DG30" s="878"/>
      <c r="DH30" s="878"/>
      <c r="DI30" s="878"/>
      <c r="DJ30" s="878"/>
      <c r="DK30" s="879"/>
      <c r="DL30" s="880" t="s">
        <v>37</v>
      </c>
      <c r="DM30" s="878"/>
      <c r="DN30" s="878"/>
      <c r="DO30" s="878"/>
      <c r="DP30" s="878"/>
      <c r="DQ30" s="878"/>
      <c r="DR30" s="878"/>
      <c r="DS30" s="878"/>
      <c r="DT30" s="878"/>
      <c r="DU30" s="878"/>
      <c r="DV30" s="878"/>
      <c r="DW30" s="878"/>
      <c r="DX30" s="878"/>
      <c r="DY30" s="878"/>
      <c r="DZ30" s="878"/>
      <c r="EA30" s="878"/>
      <c r="EB30" s="878"/>
      <c r="EC30" s="878"/>
      <c r="ED30" s="878"/>
      <c r="EE30" s="878"/>
      <c r="EF30" s="878"/>
      <c r="EG30" s="878"/>
      <c r="EH30" s="878"/>
      <c r="EI30" s="878"/>
      <c r="EJ30" s="878"/>
      <c r="EK30" s="878"/>
      <c r="EL30" s="878"/>
      <c r="EM30" s="878"/>
      <c r="EN30" s="878"/>
      <c r="EO30" s="878"/>
      <c r="EP30" s="878"/>
      <c r="EQ30" s="878"/>
      <c r="ER30" s="878"/>
      <c r="ES30" s="878"/>
      <c r="ET30" s="878"/>
      <c r="EU30" s="878"/>
      <c r="EV30" s="878"/>
      <c r="EW30" s="878"/>
      <c r="EX30" s="878"/>
      <c r="EY30" s="878"/>
      <c r="EZ30" s="878"/>
      <c r="FA30" s="878"/>
      <c r="FB30" s="878"/>
      <c r="FC30" s="878"/>
      <c r="FD30" s="879"/>
      <c r="FE30" s="926"/>
      <c r="FF30" s="927"/>
      <c r="FG30" s="927"/>
      <c r="FH30" s="928"/>
      <c r="FI30" s="929"/>
    </row>
    <row r="31" spans="1:242" s="227" customFormat="1" ht="50.1" customHeight="1" x14ac:dyDescent="0.7">
      <c r="A31" s="908"/>
      <c r="B31" s="911"/>
      <c r="C31" s="914"/>
      <c r="D31" s="914"/>
      <c r="E31" s="914"/>
      <c r="F31" s="914"/>
      <c r="G31" s="914"/>
      <c r="H31" s="914"/>
      <c r="I31" s="914"/>
      <c r="J31" s="914"/>
      <c r="K31" s="914"/>
      <c r="L31" s="914"/>
      <c r="M31" s="914"/>
      <c r="N31" s="914"/>
      <c r="O31" s="914"/>
      <c r="P31" s="914"/>
      <c r="Q31" s="914"/>
      <c r="R31" s="914"/>
      <c r="S31" s="914"/>
      <c r="T31" s="914"/>
      <c r="U31" s="914"/>
      <c r="V31" s="914"/>
      <c r="W31" s="914"/>
      <c r="X31" s="914"/>
      <c r="Y31" s="914"/>
      <c r="Z31" s="933"/>
      <c r="AA31" s="934"/>
      <c r="AB31" s="934"/>
      <c r="AC31" s="934"/>
      <c r="AD31" s="934"/>
      <c r="AE31" s="934"/>
      <c r="AF31" s="934"/>
      <c r="AG31" s="934"/>
      <c r="AH31" s="934"/>
      <c r="AI31" s="935"/>
      <c r="AJ31" s="887"/>
      <c r="AK31" s="888"/>
      <c r="AL31" s="888"/>
      <c r="AM31" s="888"/>
      <c r="AN31" s="889"/>
      <c r="AO31" s="887"/>
      <c r="AP31" s="888"/>
      <c r="AQ31" s="888"/>
      <c r="AR31" s="888"/>
      <c r="AS31" s="889"/>
      <c r="AT31" s="887"/>
      <c r="AU31" s="888"/>
      <c r="AV31" s="888"/>
      <c r="AW31" s="888"/>
      <c r="AX31" s="889"/>
      <c r="AY31" s="887"/>
      <c r="AZ31" s="888"/>
      <c r="BA31" s="888"/>
      <c r="BB31" s="888"/>
      <c r="BC31" s="889"/>
      <c r="BD31" s="887"/>
      <c r="BE31" s="888"/>
      <c r="BF31" s="888"/>
      <c r="BG31" s="888"/>
      <c r="BH31" s="889"/>
      <c r="BI31" s="887"/>
      <c r="BJ31" s="888"/>
      <c r="BK31" s="888"/>
      <c r="BL31" s="888"/>
      <c r="BM31" s="888"/>
      <c r="BN31" s="928"/>
      <c r="BO31" s="928"/>
      <c r="BP31" s="928"/>
      <c r="BQ31" s="928"/>
      <c r="BR31" s="929"/>
      <c r="BS31" s="880">
        <v>1</v>
      </c>
      <c r="BT31" s="878"/>
      <c r="BU31" s="878"/>
      <c r="BV31" s="878"/>
      <c r="BW31" s="878"/>
      <c r="BX31" s="878">
        <v>2</v>
      </c>
      <c r="BY31" s="878"/>
      <c r="BZ31" s="878"/>
      <c r="CA31" s="878"/>
      <c r="CB31" s="878"/>
      <c r="CC31" s="878">
        <v>3</v>
      </c>
      <c r="CD31" s="878"/>
      <c r="CE31" s="878"/>
      <c r="CF31" s="878"/>
      <c r="CG31" s="878"/>
      <c r="CH31" s="878">
        <v>4</v>
      </c>
      <c r="CI31" s="878"/>
      <c r="CJ31" s="878"/>
      <c r="CK31" s="878"/>
      <c r="CL31" s="878"/>
      <c r="CM31" s="878">
        <v>5</v>
      </c>
      <c r="CN31" s="878"/>
      <c r="CO31" s="878"/>
      <c r="CP31" s="878"/>
      <c r="CQ31" s="878"/>
      <c r="CR31" s="878">
        <v>6</v>
      </c>
      <c r="CS31" s="878"/>
      <c r="CT31" s="878"/>
      <c r="CU31" s="878"/>
      <c r="CV31" s="878"/>
      <c r="CW31" s="878">
        <v>7</v>
      </c>
      <c r="CX31" s="878"/>
      <c r="CY31" s="878"/>
      <c r="CZ31" s="878"/>
      <c r="DA31" s="878"/>
      <c r="DB31" s="878">
        <v>8</v>
      </c>
      <c r="DC31" s="878"/>
      <c r="DD31" s="878"/>
      <c r="DE31" s="878"/>
      <c r="DF31" s="878"/>
      <c r="DG31" s="878">
        <v>9</v>
      </c>
      <c r="DH31" s="878"/>
      <c r="DI31" s="878"/>
      <c r="DJ31" s="878"/>
      <c r="DK31" s="879"/>
      <c r="DL31" s="880">
        <v>1</v>
      </c>
      <c r="DM31" s="878"/>
      <c r="DN31" s="878"/>
      <c r="DO31" s="878"/>
      <c r="DP31" s="878"/>
      <c r="DQ31" s="878">
        <v>2</v>
      </c>
      <c r="DR31" s="878"/>
      <c r="DS31" s="878"/>
      <c r="DT31" s="878"/>
      <c r="DU31" s="878"/>
      <c r="DV31" s="878">
        <v>3</v>
      </c>
      <c r="DW31" s="878"/>
      <c r="DX31" s="878"/>
      <c r="DY31" s="878"/>
      <c r="DZ31" s="878"/>
      <c r="EA31" s="878">
        <v>4</v>
      </c>
      <c r="EB31" s="878"/>
      <c r="EC31" s="878"/>
      <c r="ED31" s="878"/>
      <c r="EE31" s="878"/>
      <c r="EF31" s="878">
        <v>5</v>
      </c>
      <c r="EG31" s="878"/>
      <c r="EH31" s="878"/>
      <c r="EI31" s="878"/>
      <c r="EJ31" s="878"/>
      <c r="EK31" s="878">
        <v>6</v>
      </c>
      <c r="EL31" s="878"/>
      <c r="EM31" s="878"/>
      <c r="EN31" s="878"/>
      <c r="EO31" s="878"/>
      <c r="EP31" s="878">
        <v>7</v>
      </c>
      <c r="EQ31" s="878"/>
      <c r="ER31" s="878"/>
      <c r="ES31" s="878"/>
      <c r="ET31" s="878"/>
      <c r="EU31" s="878">
        <v>8</v>
      </c>
      <c r="EV31" s="878"/>
      <c r="EW31" s="878"/>
      <c r="EX31" s="878"/>
      <c r="EY31" s="878"/>
      <c r="EZ31" s="878">
        <v>9</v>
      </c>
      <c r="FA31" s="878"/>
      <c r="FB31" s="878"/>
      <c r="FC31" s="878"/>
      <c r="FD31" s="879"/>
      <c r="FE31" s="926"/>
      <c r="FF31" s="927"/>
      <c r="FG31" s="927"/>
      <c r="FH31" s="928"/>
      <c r="FI31" s="929"/>
    </row>
    <row r="32" spans="1:242" s="227" customFormat="1" ht="50.1" customHeight="1" x14ac:dyDescent="0.7">
      <c r="A32" s="908"/>
      <c r="B32" s="911"/>
      <c r="C32" s="914"/>
      <c r="D32" s="914"/>
      <c r="E32" s="914"/>
      <c r="F32" s="914"/>
      <c r="G32" s="914"/>
      <c r="H32" s="914"/>
      <c r="I32" s="914"/>
      <c r="J32" s="914"/>
      <c r="K32" s="914"/>
      <c r="L32" s="914"/>
      <c r="M32" s="914"/>
      <c r="N32" s="914"/>
      <c r="O32" s="914"/>
      <c r="P32" s="914"/>
      <c r="Q32" s="914"/>
      <c r="R32" s="914"/>
      <c r="S32" s="914"/>
      <c r="T32" s="914"/>
      <c r="U32" s="914"/>
      <c r="V32" s="914"/>
      <c r="W32" s="914"/>
      <c r="X32" s="914"/>
      <c r="Y32" s="914"/>
      <c r="Z32" s="933"/>
      <c r="AA32" s="934"/>
      <c r="AB32" s="934"/>
      <c r="AC32" s="934"/>
      <c r="AD32" s="934"/>
      <c r="AE32" s="934"/>
      <c r="AF32" s="934"/>
      <c r="AG32" s="934"/>
      <c r="AH32" s="934"/>
      <c r="AI32" s="935"/>
      <c r="AJ32" s="887"/>
      <c r="AK32" s="888"/>
      <c r="AL32" s="888"/>
      <c r="AM32" s="888"/>
      <c r="AN32" s="889"/>
      <c r="AO32" s="887"/>
      <c r="AP32" s="888"/>
      <c r="AQ32" s="888"/>
      <c r="AR32" s="888"/>
      <c r="AS32" s="889"/>
      <c r="AT32" s="887"/>
      <c r="AU32" s="888"/>
      <c r="AV32" s="888"/>
      <c r="AW32" s="888"/>
      <c r="AX32" s="889"/>
      <c r="AY32" s="887"/>
      <c r="AZ32" s="888"/>
      <c r="BA32" s="888"/>
      <c r="BB32" s="888"/>
      <c r="BC32" s="889"/>
      <c r="BD32" s="887"/>
      <c r="BE32" s="888"/>
      <c r="BF32" s="888"/>
      <c r="BG32" s="888"/>
      <c r="BH32" s="889"/>
      <c r="BI32" s="887"/>
      <c r="BJ32" s="888"/>
      <c r="BK32" s="888"/>
      <c r="BL32" s="888"/>
      <c r="BM32" s="888"/>
      <c r="BN32" s="928"/>
      <c r="BO32" s="928"/>
      <c r="BP32" s="928"/>
      <c r="BQ32" s="928"/>
      <c r="BR32" s="929"/>
      <c r="BS32" s="880" t="s">
        <v>38</v>
      </c>
      <c r="BT32" s="878"/>
      <c r="BU32" s="878"/>
      <c r="BV32" s="878"/>
      <c r="BW32" s="878"/>
      <c r="BX32" s="878"/>
      <c r="BY32" s="878"/>
      <c r="BZ32" s="878"/>
      <c r="CA32" s="878"/>
      <c r="CB32" s="878"/>
      <c r="CC32" s="878"/>
      <c r="CD32" s="878"/>
      <c r="CE32" s="878"/>
      <c r="CF32" s="878"/>
      <c r="CG32" s="878"/>
      <c r="CH32" s="878"/>
      <c r="CI32" s="878"/>
      <c r="CJ32" s="878"/>
      <c r="CK32" s="878"/>
      <c r="CL32" s="878"/>
      <c r="CM32" s="878"/>
      <c r="CN32" s="878"/>
      <c r="CO32" s="878"/>
      <c r="CP32" s="878"/>
      <c r="CQ32" s="878"/>
      <c r="CR32" s="878"/>
      <c r="CS32" s="878"/>
      <c r="CT32" s="878"/>
      <c r="CU32" s="878"/>
      <c r="CV32" s="878"/>
      <c r="CW32" s="878"/>
      <c r="CX32" s="878"/>
      <c r="CY32" s="878"/>
      <c r="CZ32" s="878"/>
      <c r="DA32" s="878"/>
      <c r="DB32" s="878"/>
      <c r="DC32" s="878"/>
      <c r="DD32" s="878"/>
      <c r="DE32" s="878"/>
      <c r="DF32" s="878"/>
      <c r="DG32" s="878"/>
      <c r="DH32" s="878"/>
      <c r="DI32" s="878"/>
      <c r="DJ32" s="878"/>
      <c r="DK32" s="879"/>
      <c r="DL32" s="880" t="s">
        <v>39</v>
      </c>
      <c r="DM32" s="878"/>
      <c r="DN32" s="878"/>
      <c r="DO32" s="878"/>
      <c r="DP32" s="878"/>
      <c r="DQ32" s="878"/>
      <c r="DR32" s="878"/>
      <c r="DS32" s="878"/>
      <c r="DT32" s="878"/>
      <c r="DU32" s="878"/>
      <c r="DV32" s="878"/>
      <c r="DW32" s="878"/>
      <c r="DX32" s="878"/>
      <c r="DY32" s="878"/>
      <c r="DZ32" s="878"/>
      <c r="EA32" s="878"/>
      <c r="EB32" s="878"/>
      <c r="EC32" s="878"/>
      <c r="ED32" s="878"/>
      <c r="EE32" s="878"/>
      <c r="EF32" s="878"/>
      <c r="EG32" s="878"/>
      <c r="EH32" s="878"/>
      <c r="EI32" s="878"/>
      <c r="EJ32" s="878"/>
      <c r="EK32" s="878"/>
      <c r="EL32" s="878"/>
      <c r="EM32" s="878"/>
      <c r="EN32" s="878"/>
      <c r="EO32" s="878"/>
      <c r="EP32" s="878"/>
      <c r="EQ32" s="878"/>
      <c r="ER32" s="878"/>
      <c r="ES32" s="878"/>
      <c r="ET32" s="878"/>
      <c r="EU32" s="878"/>
      <c r="EV32" s="878"/>
      <c r="EW32" s="878"/>
      <c r="EX32" s="878"/>
      <c r="EY32" s="878"/>
      <c r="EZ32" s="878"/>
      <c r="FA32" s="878"/>
      <c r="FB32" s="878"/>
      <c r="FC32" s="878"/>
      <c r="FD32" s="879"/>
      <c r="FE32" s="926"/>
      <c r="FF32" s="927"/>
      <c r="FG32" s="927"/>
      <c r="FH32" s="928"/>
      <c r="FI32" s="929"/>
    </row>
    <row r="33" spans="1:166" s="227" customFormat="1" ht="50.1" customHeight="1" x14ac:dyDescent="0.7">
      <c r="A33" s="909"/>
      <c r="B33" s="912"/>
      <c r="C33" s="914"/>
      <c r="D33" s="914"/>
      <c r="E33" s="914"/>
      <c r="F33" s="914"/>
      <c r="G33" s="914"/>
      <c r="H33" s="914"/>
      <c r="I33" s="914"/>
      <c r="J33" s="914"/>
      <c r="K33" s="914"/>
      <c r="L33" s="914"/>
      <c r="M33" s="914"/>
      <c r="N33" s="914"/>
      <c r="O33" s="914"/>
      <c r="P33" s="914"/>
      <c r="Q33" s="914"/>
      <c r="R33" s="914"/>
      <c r="S33" s="914"/>
      <c r="T33" s="914"/>
      <c r="U33" s="914"/>
      <c r="V33" s="914"/>
      <c r="W33" s="914"/>
      <c r="X33" s="914"/>
      <c r="Y33" s="914"/>
      <c r="Z33" s="878" t="s">
        <v>79</v>
      </c>
      <c r="AA33" s="878"/>
      <c r="AB33" s="878"/>
      <c r="AC33" s="878"/>
      <c r="AD33" s="878"/>
      <c r="AE33" s="878" t="s">
        <v>80</v>
      </c>
      <c r="AF33" s="878"/>
      <c r="AG33" s="878"/>
      <c r="AH33" s="878"/>
      <c r="AI33" s="878"/>
      <c r="AJ33" s="890"/>
      <c r="AK33" s="891"/>
      <c r="AL33" s="891"/>
      <c r="AM33" s="891"/>
      <c r="AN33" s="892"/>
      <c r="AO33" s="890"/>
      <c r="AP33" s="891"/>
      <c r="AQ33" s="891"/>
      <c r="AR33" s="891"/>
      <c r="AS33" s="892"/>
      <c r="AT33" s="890"/>
      <c r="AU33" s="891"/>
      <c r="AV33" s="891"/>
      <c r="AW33" s="891"/>
      <c r="AX33" s="892"/>
      <c r="AY33" s="890"/>
      <c r="AZ33" s="891"/>
      <c r="BA33" s="891"/>
      <c r="BB33" s="891"/>
      <c r="BC33" s="892"/>
      <c r="BD33" s="890"/>
      <c r="BE33" s="891"/>
      <c r="BF33" s="891"/>
      <c r="BG33" s="891"/>
      <c r="BH33" s="892"/>
      <c r="BI33" s="890"/>
      <c r="BJ33" s="891"/>
      <c r="BK33" s="891"/>
      <c r="BL33" s="891"/>
      <c r="BM33" s="891"/>
      <c r="BN33" s="928"/>
      <c r="BO33" s="928"/>
      <c r="BP33" s="928"/>
      <c r="BQ33" s="928"/>
      <c r="BR33" s="929"/>
      <c r="BS33" s="906">
        <v>15</v>
      </c>
      <c r="BT33" s="905"/>
      <c r="BU33" s="905"/>
      <c r="BV33" s="905"/>
      <c r="BW33" s="905"/>
      <c r="BX33" s="905">
        <v>15</v>
      </c>
      <c r="BY33" s="905"/>
      <c r="BZ33" s="905"/>
      <c r="CA33" s="905"/>
      <c r="CB33" s="905"/>
      <c r="CC33" s="905">
        <v>15</v>
      </c>
      <c r="CD33" s="905"/>
      <c r="CE33" s="905"/>
      <c r="CF33" s="905"/>
      <c r="CG33" s="905"/>
      <c r="CH33" s="905">
        <v>15</v>
      </c>
      <c r="CI33" s="905"/>
      <c r="CJ33" s="905"/>
      <c r="CK33" s="905"/>
      <c r="CL33" s="905"/>
      <c r="CM33" s="905">
        <v>15</v>
      </c>
      <c r="CN33" s="905"/>
      <c r="CO33" s="905"/>
      <c r="CP33" s="905"/>
      <c r="CQ33" s="905"/>
      <c r="CR33" s="905">
        <v>15</v>
      </c>
      <c r="CS33" s="905"/>
      <c r="CT33" s="905"/>
      <c r="CU33" s="905"/>
      <c r="CV33" s="905"/>
      <c r="CW33" s="905">
        <v>15</v>
      </c>
      <c r="CX33" s="905"/>
      <c r="CY33" s="905"/>
      <c r="CZ33" s="905"/>
      <c r="DA33" s="905"/>
      <c r="DB33" s="905">
        <v>15</v>
      </c>
      <c r="DC33" s="905"/>
      <c r="DD33" s="905"/>
      <c r="DE33" s="905"/>
      <c r="DF33" s="905"/>
      <c r="DG33" s="905">
        <v>6</v>
      </c>
      <c r="DH33" s="905"/>
      <c r="DI33" s="905"/>
      <c r="DJ33" s="905"/>
      <c r="DK33" s="896"/>
      <c r="DL33" s="906">
        <f>DL96</f>
        <v>30</v>
      </c>
      <c r="DM33" s="905"/>
      <c r="DN33" s="905"/>
      <c r="DO33" s="905"/>
      <c r="DP33" s="905"/>
      <c r="DQ33" s="904">
        <f t="shared" ref="DQ33" si="6">DQ96</f>
        <v>30</v>
      </c>
      <c r="DR33" s="905"/>
      <c r="DS33" s="905"/>
      <c r="DT33" s="905"/>
      <c r="DU33" s="905"/>
      <c r="DV33" s="904">
        <f t="shared" ref="DV33" si="7">DV96</f>
        <v>25</v>
      </c>
      <c r="DW33" s="905"/>
      <c r="DX33" s="905"/>
      <c r="DY33" s="905"/>
      <c r="DZ33" s="905"/>
      <c r="EA33" s="904">
        <f t="shared" ref="EA33" si="8">EA96</f>
        <v>29</v>
      </c>
      <c r="EB33" s="905"/>
      <c r="EC33" s="905"/>
      <c r="ED33" s="905"/>
      <c r="EE33" s="905"/>
      <c r="EF33" s="904">
        <f t="shared" ref="EF33" si="9">EF96</f>
        <v>29</v>
      </c>
      <c r="EG33" s="905"/>
      <c r="EH33" s="905"/>
      <c r="EI33" s="905"/>
      <c r="EJ33" s="905"/>
      <c r="EK33" s="904">
        <f t="shared" ref="EK33" si="10">EK96</f>
        <v>29</v>
      </c>
      <c r="EL33" s="905"/>
      <c r="EM33" s="905"/>
      <c r="EN33" s="905"/>
      <c r="EO33" s="905"/>
      <c r="EP33" s="904">
        <f t="shared" ref="EP33" si="11">EP96</f>
        <v>26</v>
      </c>
      <c r="EQ33" s="905"/>
      <c r="ER33" s="905"/>
      <c r="ES33" s="905"/>
      <c r="ET33" s="905"/>
      <c r="EU33" s="904">
        <f t="shared" ref="EU33" si="12">EU96</f>
        <v>23</v>
      </c>
      <c r="EV33" s="905"/>
      <c r="EW33" s="905"/>
      <c r="EX33" s="905"/>
      <c r="EY33" s="905"/>
      <c r="EZ33" s="904">
        <f t="shared" ref="EZ33" si="13">EZ96</f>
        <v>19</v>
      </c>
      <c r="FA33" s="905"/>
      <c r="FB33" s="905"/>
      <c r="FC33" s="905"/>
      <c r="FD33" s="896"/>
      <c r="FE33" s="893">
        <f>DL33+DQ33+DV33+EA33+EF33+EP33+EK33+EU33+EZ33</f>
        <v>240</v>
      </c>
      <c r="FF33" s="894"/>
      <c r="FG33" s="894"/>
      <c r="FH33" s="895"/>
      <c r="FI33" s="896"/>
    </row>
    <row r="34" spans="1:166" s="227" customFormat="1" ht="50.1" customHeight="1" x14ac:dyDescent="0.7">
      <c r="A34" s="228">
        <v>1</v>
      </c>
      <c r="B34" s="229"/>
      <c r="C34" s="897">
        <v>2</v>
      </c>
      <c r="D34" s="898"/>
      <c r="E34" s="898"/>
      <c r="F34" s="898"/>
      <c r="G34" s="898"/>
      <c r="H34" s="898"/>
      <c r="I34" s="898"/>
      <c r="J34" s="898"/>
      <c r="K34" s="898"/>
      <c r="L34" s="898"/>
      <c r="M34" s="898"/>
      <c r="N34" s="898"/>
      <c r="O34" s="898"/>
      <c r="P34" s="898"/>
      <c r="Q34" s="898"/>
      <c r="R34" s="898"/>
      <c r="S34" s="898"/>
      <c r="T34" s="898"/>
      <c r="U34" s="898"/>
      <c r="V34" s="898"/>
      <c r="W34" s="898"/>
      <c r="X34" s="898"/>
      <c r="Y34" s="899"/>
      <c r="Z34" s="900">
        <v>3</v>
      </c>
      <c r="AA34" s="900"/>
      <c r="AB34" s="900"/>
      <c r="AC34" s="900"/>
      <c r="AD34" s="900"/>
      <c r="AE34" s="901">
        <v>4</v>
      </c>
      <c r="AF34" s="902"/>
      <c r="AG34" s="902"/>
      <c r="AH34" s="902"/>
      <c r="AI34" s="903"/>
      <c r="AJ34" s="901">
        <v>5</v>
      </c>
      <c r="AK34" s="902"/>
      <c r="AL34" s="902"/>
      <c r="AM34" s="902"/>
      <c r="AN34" s="903"/>
      <c r="AO34" s="901">
        <v>6</v>
      </c>
      <c r="AP34" s="902"/>
      <c r="AQ34" s="902"/>
      <c r="AR34" s="902"/>
      <c r="AS34" s="903"/>
      <c r="AT34" s="901">
        <v>7</v>
      </c>
      <c r="AU34" s="902"/>
      <c r="AV34" s="902"/>
      <c r="AW34" s="902"/>
      <c r="AX34" s="903"/>
      <c r="AY34" s="901">
        <v>8</v>
      </c>
      <c r="AZ34" s="902"/>
      <c r="BA34" s="902"/>
      <c r="BB34" s="902"/>
      <c r="BC34" s="903"/>
      <c r="BD34" s="901">
        <v>9</v>
      </c>
      <c r="BE34" s="902"/>
      <c r="BF34" s="902"/>
      <c r="BG34" s="902"/>
      <c r="BH34" s="903"/>
      <c r="BI34" s="901">
        <v>10</v>
      </c>
      <c r="BJ34" s="902"/>
      <c r="BK34" s="902"/>
      <c r="BL34" s="902"/>
      <c r="BM34" s="903"/>
      <c r="BN34" s="881">
        <v>11</v>
      </c>
      <c r="BO34" s="882"/>
      <c r="BP34" s="882"/>
      <c r="BQ34" s="882"/>
      <c r="BR34" s="883"/>
      <c r="BS34" s="880">
        <v>12</v>
      </c>
      <c r="BT34" s="878"/>
      <c r="BU34" s="878"/>
      <c r="BV34" s="878"/>
      <c r="BW34" s="878"/>
      <c r="BX34" s="878">
        <v>13</v>
      </c>
      <c r="BY34" s="878"/>
      <c r="BZ34" s="878"/>
      <c r="CA34" s="878"/>
      <c r="CB34" s="878"/>
      <c r="CC34" s="878">
        <v>14</v>
      </c>
      <c r="CD34" s="878"/>
      <c r="CE34" s="878"/>
      <c r="CF34" s="878"/>
      <c r="CG34" s="878"/>
      <c r="CH34" s="878">
        <v>15</v>
      </c>
      <c r="CI34" s="878"/>
      <c r="CJ34" s="878"/>
      <c r="CK34" s="878"/>
      <c r="CL34" s="878"/>
      <c r="CM34" s="878">
        <v>16</v>
      </c>
      <c r="CN34" s="878"/>
      <c r="CO34" s="878"/>
      <c r="CP34" s="878"/>
      <c r="CQ34" s="878"/>
      <c r="CR34" s="878">
        <v>17</v>
      </c>
      <c r="CS34" s="878"/>
      <c r="CT34" s="878"/>
      <c r="CU34" s="878"/>
      <c r="CV34" s="878"/>
      <c r="CW34" s="878">
        <v>18</v>
      </c>
      <c r="CX34" s="878"/>
      <c r="CY34" s="878"/>
      <c r="CZ34" s="878"/>
      <c r="DA34" s="878"/>
      <c r="DB34" s="878">
        <v>19</v>
      </c>
      <c r="DC34" s="878"/>
      <c r="DD34" s="878"/>
      <c r="DE34" s="878"/>
      <c r="DF34" s="878"/>
      <c r="DG34" s="878">
        <v>20</v>
      </c>
      <c r="DH34" s="878"/>
      <c r="DI34" s="878"/>
      <c r="DJ34" s="878"/>
      <c r="DK34" s="879"/>
      <c r="DL34" s="880">
        <v>21</v>
      </c>
      <c r="DM34" s="878"/>
      <c r="DN34" s="878"/>
      <c r="DO34" s="878"/>
      <c r="DP34" s="878"/>
      <c r="DQ34" s="878">
        <v>22</v>
      </c>
      <c r="DR34" s="878"/>
      <c r="DS34" s="878"/>
      <c r="DT34" s="878"/>
      <c r="DU34" s="878"/>
      <c r="DV34" s="878">
        <v>23</v>
      </c>
      <c r="DW34" s="878"/>
      <c r="DX34" s="878"/>
      <c r="DY34" s="878"/>
      <c r="DZ34" s="878"/>
      <c r="EA34" s="878">
        <v>24</v>
      </c>
      <c r="EB34" s="878"/>
      <c r="EC34" s="878"/>
      <c r="ED34" s="878"/>
      <c r="EE34" s="878"/>
      <c r="EF34" s="878">
        <v>25</v>
      </c>
      <c r="EG34" s="878"/>
      <c r="EH34" s="878"/>
      <c r="EI34" s="878"/>
      <c r="EJ34" s="878"/>
      <c r="EK34" s="878">
        <v>26</v>
      </c>
      <c r="EL34" s="878"/>
      <c r="EM34" s="878"/>
      <c r="EN34" s="878"/>
      <c r="EO34" s="878"/>
      <c r="EP34" s="878">
        <v>27</v>
      </c>
      <c r="EQ34" s="878"/>
      <c r="ER34" s="878"/>
      <c r="ES34" s="878"/>
      <c r="ET34" s="878"/>
      <c r="EU34" s="878">
        <v>28</v>
      </c>
      <c r="EV34" s="878"/>
      <c r="EW34" s="878"/>
      <c r="EX34" s="878"/>
      <c r="EY34" s="878"/>
      <c r="EZ34" s="878">
        <v>29</v>
      </c>
      <c r="FA34" s="878"/>
      <c r="FB34" s="878"/>
      <c r="FC34" s="878"/>
      <c r="FD34" s="879"/>
      <c r="FE34" s="893">
        <v>30</v>
      </c>
      <c r="FF34" s="894"/>
      <c r="FG34" s="894"/>
      <c r="FH34" s="895"/>
      <c r="FI34" s="896"/>
    </row>
    <row r="35" spans="1:166" ht="60.75" x14ac:dyDescent="0.2">
      <c r="A35" s="138" t="s">
        <v>95</v>
      </c>
      <c r="B35" s="203"/>
      <c r="C35" s="424" t="s">
        <v>41</v>
      </c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326">
        <f>SUM(Z36:AD52)</f>
        <v>3690</v>
      </c>
      <c r="AA35" s="326"/>
      <c r="AB35" s="326"/>
      <c r="AC35" s="326"/>
      <c r="AD35" s="326"/>
      <c r="AE35" s="362">
        <f>Z35/$Z$96*100</f>
        <v>51.249999999999993</v>
      </c>
      <c r="AF35" s="362"/>
      <c r="AG35" s="362"/>
      <c r="AH35" s="362"/>
      <c r="AI35" s="362"/>
      <c r="AJ35" s="335">
        <f>SUM(AJ36:AN52)</f>
        <v>1462</v>
      </c>
      <c r="AK35" s="336"/>
      <c r="AL35" s="336"/>
      <c r="AM35" s="336"/>
      <c r="AN35" s="337"/>
      <c r="AO35" s="335">
        <f>SUM(AO36:AS52)</f>
        <v>446</v>
      </c>
      <c r="AP35" s="336"/>
      <c r="AQ35" s="336"/>
      <c r="AR35" s="336"/>
      <c r="AS35" s="337"/>
      <c r="AT35" s="335">
        <f>SUM(AT36:AX52)</f>
        <v>876</v>
      </c>
      <c r="AU35" s="336"/>
      <c r="AV35" s="336"/>
      <c r="AW35" s="336"/>
      <c r="AX35" s="337"/>
      <c r="AY35" s="335">
        <f>SUM(AY36:BC52)</f>
        <v>140</v>
      </c>
      <c r="AZ35" s="336"/>
      <c r="BA35" s="336"/>
      <c r="BB35" s="336"/>
      <c r="BC35" s="337"/>
      <c r="BD35" s="335">
        <f>SUM(BD36:BH52)</f>
        <v>0</v>
      </c>
      <c r="BE35" s="336"/>
      <c r="BF35" s="336"/>
      <c r="BG35" s="336"/>
      <c r="BH35" s="337"/>
      <c r="BI35" s="335">
        <f>SUM(BI36:BM52)</f>
        <v>0</v>
      </c>
      <c r="BJ35" s="336"/>
      <c r="BK35" s="336"/>
      <c r="BL35" s="336"/>
      <c r="BM35" s="337"/>
      <c r="BN35" s="326">
        <f>SUM(BN36:BR52)</f>
        <v>2228</v>
      </c>
      <c r="BO35" s="326"/>
      <c r="BP35" s="326"/>
      <c r="BQ35" s="326"/>
      <c r="BR35" s="639"/>
      <c r="BS35" s="612">
        <f>SUM(BS36:BW52)</f>
        <v>18</v>
      </c>
      <c r="BT35" s="290"/>
      <c r="BU35" s="290"/>
      <c r="BV35" s="290"/>
      <c r="BW35" s="290"/>
      <c r="BX35" s="290">
        <f>SUM(BX36:CB52)</f>
        <v>6</v>
      </c>
      <c r="BY35" s="290"/>
      <c r="BZ35" s="290"/>
      <c r="CA35" s="290"/>
      <c r="CB35" s="290"/>
      <c r="CC35" s="290">
        <f>SUM(CC36:CG52)</f>
        <v>14</v>
      </c>
      <c r="CD35" s="290"/>
      <c r="CE35" s="290"/>
      <c r="CF35" s="290"/>
      <c r="CG35" s="290"/>
      <c r="CH35" s="290">
        <f>SUM(CH36:CL52)</f>
        <v>18</v>
      </c>
      <c r="CI35" s="290"/>
      <c r="CJ35" s="290"/>
      <c r="CK35" s="290"/>
      <c r="CL35" s="290"/>
      <c r="CM35" s="290">
        <f>SUM(CM36:CQ52)</f>
        <v>13</v>
      </c>
      <c r="CN35" s="290"/>
      <c r="CO35" s="290"/>
      <c r="CP35" s="290"/>
      <c r="CQ35" s="290"/>
      <c r="CR35" s="290">
        <f>SUM(CR36:CV52)</f>
        <v>13</v>
      </c>
      <c r="CS35" s="290"/>
      <c r="CT35" s="290"/>
      <c r="CU35" s="290"/>
      <c r="CV35" s="290"/>
      <c r="CW35" s="290">
        <f>SUM(CW36:DA52)</f>
        <v>7</v>
      </c>
      <c r="CX35" s="290"/>
      <c r="CY35" s="290"/>
      <c r="CZ35" s="290"/>
      <c r="DA35" s="290"/>
      <c r="DB35" s="290">
        <f>SUM(DB36:DF52)</f>
        <v>6</v>
      </c>
      <c r="DC35" s="290"/>
      <c r="DD35" s="290"/>
      <c r="DE35" s="290"/>
      <c r="DF35" s="290"/>
      <c r="DG35" s="290">
        <f>SUM(DG36:DK52)</f>
        <v>0</v>
      </c>
      <c r="DH35" s="290"/>
      <c r="DI35" s="290"/>
      <c r="DJ35" s="290"/>
      <c r="DK35" s="535"/>
      <c r="DL35" s="612">
        <f>SUM(DL36:DP52)</f>
        <v>26</v>
      </c>
      <c r="DM35" s="290"/>
      <c r="DN35" s="290"/>
      <c r="DO35" s="290"/>
      <c r="DP35" s="290"/>
      <c r="DQ35" s="291">
        <f>SUM(DQ36:DU52)</f>
        <v>9</v>
      </c>
      <c r="DR35" s="290"/>
      <c r="DS35" s="290"/>
      <c r="DT35" s="290"/>
      <c r="DU35" s="290"/>
      <c r="DV35" s="291">
        <f>SUM(DV36:DZ52)</f>
        <v>14</v>
      </c>
      <c r="DW35" s="290"/>
      <c r="DX35" s="290"/>
      <c r="DY35" s="290"/>
      <c r="DZ35" s="290"/>
      <c r="EA35" s="291">
        <f>SUM(EA36:EE52)</f>
        <v>24</v>
      </c>
      <c r="EB35" s="290"/>
      <c r="EC35" s="290"/>
      <c r="ED35" s="290"/>
      <c r="EE35" s="290"/>
      <c r="EF35" s="291">
        <f>SUM(EF36:EJ52)</f>
        <v>16</v>
      </c>
      <c r="EG35" s="290"/>
      <c r="EH35" s="290"/>
      <c r="EI35" s="290"/>
      <c r="EJ35" s="290"/>
      <c r="EK35" s="291">
        <f>SUM(EK36:EO52)</f>
        <v>16</v>
      </c>
      <c r="EL35" s="290"/>
      <c r="EM35" s="290"/>
      <c r="EN35" s="290"/>
      <c r="EO35" s="290"/>
      <c r="EP35" s="291">
        <f>SUM(EP36:ET52)</f>
        <v>10</v>
      </c>
      <c r="EQ35" s="290"/>
      <c r="ER35" s="290"/>
      <c r="ES35" s="290"/>
      <c r="ET35" s="290"/>
      <c r="EU35" s="291">
        <f>SUM(EU36:EY52)</f>
        <v>8</v>
      </c>
      <c r="EV35" s="290"/>
      <c r="EW35" s="290"/>
      <c r="EX35" s="290"/>
      <c r="EY35" s="290"/>
      <c r="EZ35" s="291">
        <f>SUM(EZ36:FD52)</f>
        <v>0</v>
      </c>
      <c r="FA35" s="290"/>
      <c r="FB35" s="290"/>
      <c r="FC35" s="290"/>
      <c r="FD35" s="535"/>
      <c r="FE35" s="536">
        <f>SUM(FE36:FI52)</f>
        <v>123</v>
      </c>
      <c r="FF35" s="772"/>
      <c r="FG35" s="772"/>
      <c r="FH35" s="324"/>
      <c r="FI35" s="537"/>
    </row>
    <row r="36" spans="1:166" ht="80.099999999999994" customHeight="1" x14ac:dyDescent="0.2">
      <c r="A36" s="139" t="s">
        <v>96</v>
      </c>
      <c r="B36" s="131" t="s">
        <v>83</v>
      </c>
      <c r="C36" s="875" t="s">
        <v>86</v>
      </c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O36" s="876"/>
      <c r="P36" s="876"/>
      <c r="Q36" s="876"/>
      <c r="R36" s="876"/>
      <c r="S36" s="876"/>
      <c r="T36" s="876"/>
      <c r="U36" s="876"/>
      <c r="V36" s="876"/>
      <c r="W36" s="876"/>
      <c r="X36" s="876"/>
      <c r="Y36" s="877"/>
      <c r="Z36" s="631">
        <f>FE36*30</f>
        <v>120</v>
      </c>
      <c r="AA36" s="508"/>
      <c r="AB36" s="508"/>
      <c r="AC36" s="508"/>
      <c r="AD36" s="632"/>
      <c r="AE36" s="322"/>
      <c r="AF36" s="510"/>
      <c r="AG36" s="510"/>
      <c r="AH36" s="510"/>
      <c r="AI36" s="269"/>
      <c r="AJ36" s="633">
        <f>SUM(AO36:BH36)</f>
        <v>42</v>
      </c>
      <c r="AK36" s="634"/>
      <c r="AL36" s="634"/>
      <c r="AM36" s="634"/>
      <c r="AN36" s="635"/>
      <c r="AO36" s="636">
        <v>22</v>
      </c>
      <c r="AP36" s="637"/>
      <c r="AQ36" s="637"/>
      <c r="AR36" s="637"/>
      <c r="AS36" s="638"/>
      <c r="AT36" s="636"/>
      <c r="AU36" s="637"/>
      <c r="AV36" s="637"/>
      <c r="AW36" s="637"/>
      <c r="AX36" s="638"/>
      <c r="AY36" s="636">
        <v>20</v>
      </c>
      <c r="AZ36" s="637"/>
      <c r="BA36" s="637"/>
      <c r="BB36" s="637"/>
      <c r="BC36" s="638"/>
      <c r="BD36" s="641"/>
      <c r="BE36" s="642"/>
      <c r="BF36" s="642"/>
      <c r="BG36" s="642"/>
      <c r="BH36" s="643"/>
      <c r="BI36" s="641"/>
      <c r="BJ36" s="642"/>
      <c r="BK36" s="642"/>
      <c r="BL36" s="642"/>
      <c r="BM36" s="643"/>
      <c r="BN36" s="507">
        <f>Z36-AJ36</f>
        <v>78</v>
      </c>
      <c r="BO36" s="508"/>
      <c r="BP36" s="508"/>
      <c r="BQ36" s="508"/>
      <c r="BR36" s="509"/>
      <c r="BS36" s="640">
        <v>3</v>
      </c>
      <c r="BT36" s="510"/>
      <c r="BU36" s="510"/>
      <c r="BV36" s="510"/>
      <c r="BW36" s="269"/>
      <c r="BX36" s="322"/>
      <c r="BY36" s="510"/>
      <c r="BZ36" s="510"/>
      <c r="CA36" s="510"/>
      <c r="CB36" s="269"/>
      <c r="CC36" s="322"/>
      <c r="CD36" s="510"/>
      <c r="CE36" s="510"/>
      <c r="CF36" s="510"/>
      <c r="CG36" s="269"/>
      <c r="CH36" s="506"/>
      <c r="CI36" s="504"/>
      <c r="CJ36" s="504"/>
      <c r="CK36" s="504"/>
      <c r="CL36" s="505"/>
      <c r="CM36" s="506"/>
      <c r="CN36" s="504"/>
      <c r="CO36" s="504"/>
      <c r="CP36" s="504"/>
      <c r="CQ36" s="505"/>
      <c r="CR36" s="506"/>
      <c r="CS36" s="504"/>
      <c r="CT36" s="504"/>
      <c r="CU36" s="504"/>
      <c r="CV36" s="505"/>
      <c r="CW36" s="511"/>
      <c r="CX36" s="511"/>
      <c r="CY36" s="511"/>
      <c r="CZ36" s="511"/>
      <c r="DA36" s="511"/>
      <c r="DB36" s="511"/>
      <c r="DC36" s="511"/>
      <c r="DD36" s="511"/>
      <c r="DE36" s="511"/>
      <c r="DF36" s="511"/>
      <c r="DG36" s="501"/>
      <c r="DH36" s="501"/>
      <c r="DI36" s="501"/>
      <c r="DJ36" s="501"/>
      <c r="DK36" s="502"/>
      <c r="DL36" s="640">
        <v>4</v>
      </c>
      <c r="DM36" s="510"/>
      <c r="DN36" s="510"/>
      <c r="DO36" s="510"/>
      <c r="DP36" s="269"/>
      <c r="DQ36" s="322"/>
      <c r="DR36" s="510"/>
      <c r="DS36" s="510"/>
      <c r="DT36" s="510"/>
      <c r="DU36" s="269"/>
      <c r="DV36" s="506"/>
      <c r="DW36" s="504"/>
      <c r="DX36" s="504"/>
      <c r="DY36" s="504"/>
      <c r="DZ36" s="505"/>
      <c r="EA36" s="506"/>
      <c r="EB36" s="504"/>
      <c r="EC36" s="504"/>
      <c r="ED36" s="504"/>
      <c r="EE36" s="505"/>
      <c r="EF36" s="506"/>
      <c r="EG36" s="504"/>
      <c r="EH36" s="504"/>
      <c r="EI36" s="504"/>
      <c r="EJ36" s="505"/>
      <c r="EK36" s="506"/>
      <c r="EL36" s="504"/>
      <c r="EM36" s="504"/>
      <c r="EN36" s="504"/>
      <c r="EO36" s="505"/>
      <c r="EP36" s="506"/>
      <c r="EQ36" s="504"/>
      <c r="ER36" s="504"/>
      <c r="ES36" s="504"/>
      <c r="ET36" s="505"/>
      <c r="EU36" s="506"/>
      <c r="EV36" s="504"/>
      <c r="EW36" s="504"/>
      <c r="EX36" s="504"/>
      <c r="EY36" s="505"/>
      <c r="EZ36" s="617"/>
      <c r="FA36" s="617"/>
      <c r="FB36" s="617"/>
      <c r="FC36" s="617"/>
      <c r="FD36" s="625"/>
      <c r="FE36" s="626">
        <f>SUM(DL36:FD36)</f>
        <v>4</v>
      </c>
      <c r="FF36" s="774"/>
      <c r="FG36" s="774"/>
      <c r="FH36" s="260"/>
      <c r="FI36" s="627"/>
    </row>
    <row r="37" spans="1:166" ht="80.099999999999994" customHeight="1" x14ac:dyDescent="0.2">
      <c r="A37" s="139" t="s">
        <v>97</v>
      </c>
      <c r="B37" s="131" t="s">
        <v>128</v>
      </c>
      <c r="C37" s="836" t="s">
        <v>42</v>
      </c>
      <c r="D37" s="837"/>
      <c r="E37" s="837"/>
      <c r="F37" s="837"/>
      <c r="G37" s="837"/>
      <c r="H37" s="837"/>
      <c r="I37" s="837"/>
      <c r="J37" s="837"/>
      <c r="K37" s="837"/>
      <c r="L37" s="837"/>
      <c r="M37" s="837"/>
      <c r="N37" s="837"/>
      <c r="O37" s="837"/>
      <c r="P37" s="837"/>
      <c r="Q37" s="837"/>
      <c r="R37" s="837"/>
      <c r="S37" s="837"/>
      <c r="T37" s="837"/>
      <c r="U37" s="837"/>
      <c r="V37" s="837"/>
      <c r="W37" s="837"/>
      <c r="X37" s="837"/>
      <c r="Y37" s="838"/>
      <c r="Z37" s="631">
        <f t="shared" ref="Z37:Z52" si="14">FE37*30</f>
        <v>120</v>
      </c>
      <c r="AA37" s="508"/>
      <c r="AB37" s="508"/>
      <c r="AC37" s="508"/>
      <c r="AD37" s="632"/>
      <c r="AE37" s="322"/>
      <c r="AF37" s="510"/>
      <c r="AG37" s="510"/>
      <c r="AH37" s="510"/>
      <c r="AI37" s="269"/>
      <c r="AJ37" s="633">
        <f t="shared" ref="AJ37:AJ52" si="15">SUM(AO37:BH37)</f>
        <v>40</v>
      </c>
      <c r="AK37" s="634"/>
      <c r="AL37" s="634"/>
      <c r="AM37" s="634"/>
      <c r="AN37" s="635"/>
      <c r="AO37" s="636">
        <v>20</v>
      </c>
      <c r="AP37" s="637"/>
      <c r="AQ37" s="637"/>
      <c r="AR37" s="637"/>
      <c r="AS37" s="638"/>
      <c r="AT37" s="636"/>
      <c r="AU37" s="637"/>
      <c r="AV37" s="637"/>
      <c r="AW37" s="637"/>
      <c r="AX37" s="638"/>
      <c r="AY37" s="636">
        <v>20</v>
      </c>
      <c r="AZ37" s="637"/>
      <c r="BA37" s="637"/>
      <c r="BB37" s="637"/>
      <c r="BC37" s="638"/>
      <c r="BD37" s="641"/>
      <c r="BE37" s="642"/>
      <c r="BF37" s="642"/>
      <c r="BG37" s="642"/>
      <c r="BH37" s="643"/>
      <c r="BI37" s="641"/>
      <c r="BJ37" s="642"/>
      <c r="BK37" s="642"/>
      <c r="BL37" s="642"/>
      <c r="BM37" s="643"/>
      <c r="BN37" s="507">
        <f t="shared" ref="BN37:BN52" si="16">Z37-AJ37</f>
        <v>80</v>
      </c>
      <c r="BO37" s="508"/>
      <c r="BP37" s="508"/>
      <c r="BQ37" s="508"/>
      <c r="BR37" s="509"/>
      <c r="BS37" s="640">
        <v>4</v>
      </c>
      <c r="BT37" s="510"/>
      <c r="BU37" s="510"/>
      <c r="BV37" s="510"/>
      <c r="BW37" s="269"/>
      <c r="BX37" s="322"/>
      <c r="BY37" s="510"/>
      <c r="BZ37" s="510"/>
      <c r="CA37" s="510"/>
      <c r="CB37" s="269"/>
      <c r="CC37" s="322"/>
      <c r="CD37" s="510"/>
      <c r="CE37" s="510"/>
      <c r="CF37" s="510"/>
      <c r="CG37" s="269"/>
      <c r="CH37" s="506"/>
      <c r="CI37" s="504"/>
      <c r="CJ37" s="504"/>
      <c r="CK37" s="504"/>
      <c r="CL37" s="505"/>
      <c r="CM37" s="506"/>
      <c r="CN37" s="504"/>
      <c r="CO37" s="504"/>
      <c r="CP37" s="504"/>
      <c r="CQ37" s="505"/>
      <c r="CR37" s="506"/>
      <c r="CS37" s="504"/>
      <c r="CT37" s="504"/>
      <c r="CU37" s="504"/>
      <c r="CV37" s="505"/>
      <c r="CW37" s="511"/>
      <c r="CX37" s="511"/>
      <c r="CY37" s="511"/>
      <c r="CZ37" s="511"/>
      <c r="DA37" s="511"/>
      <c r="DB37" s="511"/>
      <c r="DC37" s="511"/>
      <c r="DD37" s="511"/>
      <c r="DE37" s="511"/>
      <c r="DF37" s="511"/>
      <c r="DG37" s="501"/>
      <c r="DH37" s="501"/>
      <c r="DI37" s="501"/>
      <c r="DJ37" s="501"/>
      <c r="DK37" s="502"/>
      <c r="DL37" s="640">
        <v>4</v>
      </c>
      <c r="DM37" s="510"/>
      <c r="DN37" s="510"/>
      <c r="DO37" s="510"/>
      <c r="DP37" s="269"/>
      <c r="DQ37" s="322"/>
      <c r="DR37" s="510"/>
      <c r="DS37" s="510"/>
      <c r="DT37" s="510"/>
      <c r="DU37" s="269"/>
      <c r="DV37" s="506"/>
      <c r="DW37" s="504"/>
      <c r="DX37" s="504"/>
      <c r="DY37" s="504"/>
      <c r="DZ37" s="505"/>
      <c r="EA37" s="506"/>
      <c r="EB37" s="504"/>
      <c r="EC37" s="504"/>
      <c r="ED37" s="504"/>
      <c r="EE37" s="505"/>
      <c r="EF37" s="506"/>
      <c r="EG37" s="504"/>
      <c r="EH37" s="504"/>
      <c r="EI37" s="504"/>
      <c r="EJ37" s="505"/>
      <c r="EK37" s="506"/>
      <c r="EL37" s="504"/>
      <c r="EM37" s="504"/>
      <c r="EN37" s="504"/>
      <c r="EO37" s="505"/>
      <c r="EP37" s="506"/>
      <c r="EQ37" s="504"/>
      <c r="ER37" s="504"/>
      <c r="ES37" s="504"/>
      <c r="ET37" s="505"/>
      <c r="EU37" s="506"/>
      <c r="EV37" s="504"/>
      <c r="EW37" s="504"/>
      <c r="EX37" s="504"/>
      <c r="EY37" s="505"/>
      <c r="EZ37" s="617"/>
      <c r="FA37" s="617"/>
      <c r="FB37" s="617"/>
      <c r="FC37" s="617"/>
      <c r="FD37" s="625"/>
      <c r="FE37" s="626">
        <f t="shared" ref="FE37:FE52" si="17">SUM(DL37:FD37)</f>
        <v>4</v>
      </c>
      <c r="FF37" s="774"/>
      <c r="FG37" s="774"/>
      <c r="FH37" s="260"/>
      <c r="FI37" s="627"/>
    </row>
    <row r="38" spans="1:166" ht="80.099999999999994" customHeight="1" x14ac:dyDescent="0.2">
      <c r="A38" s="139" t="s">
        <v>98</v>
      </c>
      <c r="B38" s="131" t="s">
        <v>84</v>
      </c>
      <c r="C38" s="875" t="s">
        <v>87</v>
      </c>
      <c r="D38" s="876"/>
      <c r="E38" s="876"/>
      <c r="F38" s="876"/>
      <c r="G38" s="876"/>
      <c r="H38" s="876"/>
      <c r="I38" s="876"/>
      <c r="J38" s="876"/>
      <c r="K38" s="876"/>
      <c r="L38" s="876"/>
      <c r="M38" s="876"/>
      <c r="N38" s="876"/>
      <c r="O38" s="876"/>
      <c r="P38" s="876"/>
      <c r="Q38" s="876"/>
      <c r="R38" s="876"/>
      <c r="S38" s="876"/>
      <c r="T38" s="876"/>
      <c r="U38" s="876"/>
      <c r="V38" s="876"/>
      <c r="W38" s="876"/>
      <c r="X38" s="876"/>
      <c r="Y38" s="877"/>
      <c r="Z38" s="631">
        <f t="shared" si="14"/>
        <v>120</v>
      </c>
      <c r="AA38" s="508"/>
      <c r="AB38" s="508"/>
      <c r="AC38" s="508"/>
      <c r="AD38" s="632"/>
      <c r="AE38" s="322"/>
      <c r="AF38" s="510"/>
      <c r="AG38" s="510"/>
      <c r="AH38" s="510"/>
      <c r="AI38" s="269"/>
      <c r="AJ38" s="633">
        <f t="shared" si="15"/>
        <v>60</v>
      </c>
      <c r="AK38" s="634"/>
      <c r="AL38" s="634"/>
      <c r="AM38" s="634"/>
      <c r="AN38" s="635"/>
      <c r="AO38" s="636">
        <v>30</v>
      </c>
      <c r="AP38" s="637"/>
      <c r="AQ38" s="637"/>
      <c r="AR38" s="637"/>
      <c r="AS38" s="638"/>
      <c r="AT38" s="636"/>
      <c r="AU38" s="637"/>
      <c r="AV38" s="637"/>
      <c r="AW38" s="637"/>
      <c r="AX38" s="638"/>
      <c r="AY38" s="636">
        <v>30</v>
      </c>
      <c r="AZ38" s="637"/>
      <c r="BA38" s="637"/>
      <c r="BB38" s="637"/>
      <c r="BC38" s="638"/>
      <c r="BD38" s="641"/>
      <c r="BE38" s="642"/>
      <c r="BF38" s="642"/>
      <c r="BG38" s="642"/>
      <c r="BH38" s="643"/>
      <c r="BI38" s="641"/>
      <c r="BJ38" s="642"/>
      <c r="BK38" s="642"/>
      <c r="BL38" s="642"/>
      <c r="BM38" s="643"/>
      <c r="BN38" s="507">
        <f t="shared" si="16"/>
        <v>60</v>
      </c>
      <c r="BO38" s="508"/>
      <c r="BP38" s="508"/>
      <c r="BQ38" s="508"/>
      <c r="BR38" s="509"/>
      <c r="BS38" s="640">
        <v>4</v>
      </c>
      <c r="BT38" s="510"/>
      <c r="BU38" s="510"/>
      <c r="BV38" s="510"/>
      <c r="BW38" s="269"/>
      <c r="BX38" s="322"/>
      <c r="BY38" s="510"/>
      <c r="BZ38" s="510"/>
      <c r="CA38" s="510"/>
      <c r="CB38" s="269"/>
      <c r="CC38" s="322"/>
      <c r="CD38" s="510"/>
      <c r="CE38" s="510"/>
      <c r="CF38" s="510"/>
      <c r="CG38" s="269"/>
      <c r="CH38" s="506"/>
      <c r="CI38" s="504"/>
      <c r="CJ38" s="504"/>
      <c r="CK38" s="504"/>
      <c r="CL38" s="505"/>
      <c r="CM38" s="506"/>
      <c r="CN38" s="504"/>
      <c r="CO38" s="504"/>
      <c r="CP38" s="504"/>
      <c r="CQ38" s="505"/>
      <c r="CR38" s="506"/>
      <c r="CS38" s="504"/>
      <c r="CT38" s="504"/>
      <c r="CU38" s="504"/>
      <c r="CV38" s="505"/>
      <c r="CW38" s="511"/>
      <c r="CX38" s="511"/>
      <c r="CY38" s="511"/>
      <c r="CZ38" s="511"/>
      <c r="DA38" s="511"/>
      <c r="DB38" s="511"/>
      <c r="DC38" s="511"/>
      <c r="DD38" s="511"/>
      <c r="DE38" s="511"/>
      <c r="DF38" s="511"/>
      <c r="DG38" s="501"/>
      <c r="DH38" s="501"/>
      <c r="DI38" s="501"/>
      <c r="DJ38" s="501"/>
      <c r="DK38" s="502"/>
      <c r="DL38" s="640">
        <v>4</v>
      </c>
      <c r="DM38" s="510"/>
      <c r="DN38" s="510"/>
      <c r="DO38" s="510"/>
      <c r="DP38" s="269"/>
      <c r="DQ38" s="322"/>
      <c r="DR38" s="510"/>
      <c r="DS38" s="510"/>
      <c r="DT38" s="510"/>
      <c r="DU38" s="269"/>
      <c r="DV38" s="506"/>
      <c r="DW38" s="504"/>
      <c r="DX38" s="504"/>
      <c r="DY38" s="504"/>
      <c r="DZ38" s="505"/>
      <c r="EA38" s="506"/>
      <c r="EB38" s="504"/>
      <c r="EC38" s="504"/>
      <c r="ED38" s="504"/>
      <c r="EE38" s="505"/>
      <c r="EF38" s="506"/>
      <c r="EG38" s="504"/>
      <c r="EH38" s="504"/>
      <c r="EI38" s="504"/>
      <c r="EJ38" s="505"/>
      <c r="EK38" s="506"/>
      <c r="EL38" s="504"/>
      <c r="EM38" s="504"/>
      <c r="EN38" s="504"/>
      <c r="EO38" s="505"/>
      <c r="EP38" s="506"/>
      <c r="EQ38" s="504"/>
      <c r="ER38" s="504"/>
      <c r="ES38" s="504"/>
      <c r="ET38" s="505"/>
      <c r="EU38" s="506"/>
      <c r="EV38" s="504"/>
      <c r="EW38" s="504"/>
      <c r="EX38" s="504"/>
      <c r="EY38" s="505"/>
      <c r="EZ38" s="617"/>
      <c r="FA38" s="617"/>
      <c r="FB38" s="617"/>
      <c r="FC38" s="617"/>
      <c r="FD38" s="625"/>
      <c r="FE38" s="626">
        <f t="shared" si="17"/>
        <v>4</v>
      </c>
      <c r="FF38" s="774"/>
      <c r="FG38" s="774"/>
      <c r="FH38" s="260"/>
      <c r="FI38" s="627"/>
    </row>
    <row r="39" spans="1:166" ht="80.099999999999994" customHeight="1" x14ac:dyDescent="0.2">
      <c r="A39" s="139" t="s">
        <v>99</v>
      </c>
      <c r="B39" s="131" t="s">
        <v>145</v>
      </c>
      <c r="C39" s="875" t="s">
        <v>131</v>
      </c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O39" s="876"/>
      <c r="P39" s="876"/>
      <c r="Q39" s="876"/>
      <c r="R39" s="876"/>
      <c r="S39" s="876"/>
      <c r="T39" s="876"/>
      <c r="U39" s="876"/>
      <c r="V39" s="876"/>
      <c r="W39" s="876"/>
      <c r="X39" s="876"/>
      <c r="Y39" s="877"/>
      <c r="Z39" s="631">
        <f t="shared" si="14"/>
        <v>300</v>
      </c>
      <c r="AA39" s="508"/>
      <c r="AB39" s="508"/>
      <c r="AC39" s="508"/>
      <c r="AD39" s="632"/>
      <c r="AE39" s="322"/>
      <c r="AF39" s="510"/>
      <c r="AG39" s="510"/>
      <c r="AH39" s="510"/>
      <c r="AI39" s="269"/>
      <c r="AJ39" s="633">
        <f t="shared" si="15"/>
        <v>90</v>
      </c>
      <c r="AK39" s="634"/>
      <c r="AL39" s="634"/>
      <c r="AM39" s="634"/>
      <c r="AN39" s="635"/>
      <c r="AO39" s="636">
        <v>60</v>
      </c>
      <c r="AP39" s="637"/>
      <c r="AQ39" s="637"/>
      <c r="AR39" s="637"/>
      <c r="AS39" s="638"/>
      <c r="AT39" s="636"/>
      <c r="AU39" s="637"/>
      <c r="AV39" s="637"/>
      <c r="AW39" s="637"/>
      <c r="AX39" s="638"/>
      <c r="AY39" s="636">
        <v>30</v>
      </c>
      <c r="AZ39" s="637"/>
      <c r="BA39" s="637"/>
      <c r="BB39" s="637"/>
      <c r="BC39" s="638"/>
      <c r="BD39" s="641"/>
      <c r="BE39" s="642"/>
      <c r="BF39" s="642"/>
      <c r="BG39" s="642"/>
      <c r="BH39" s="643"/>
      <c r="BI39" s="641"/>
      <c r="BJ39" s="642"/>
      <c r="BK39" s="642"/>
      <c r="BL39" s="642"/>
      <c r="BM39" s="643"/>
      <c r="BN39" s="507">
        <f t="shared" si="16"/>
        <v>210</v>
      </c>
      <c r="BO39" s="508"/>
      <c r="BP39" s="508"/>
      <c r="BQ39" s="508"/>
      <c r="BR39" s="509"/>
      <c r="BS39" s="640">
        <v>4</v>
      </c>
      <c r="BT39" s="510"/>
      <c r="BU39" s="510"/>
      <c r="BV39" s="510"/>
      <c r="BW39" s="269"/>
      <c r="BX39" s="322"/>
      <c r="BY39" s="510"/>
      <c r="BZ39" s="510"/>
      <c r="CA39" s="510"/>
      <c r="CB39" s="269"/>
      <c r="CC39" s="322"/>
      <c r="CD39" s="510"/>
      <c r="CE39" s="510"/>
      <c r="CF39" s="510"/>
      <c r="CG39" s="269"/>
      <c r="CH39" s="506"/>
      <c r="CI39" s="504"/>
      <c r="CJ39" s="504"/>
      <c r="CK39" s="504"/>
      <c r="CL39" s="505"/>
      <c r="CM39" s="506"/>
      <c r="CN39" s="504"/>
      <c r="CO39" s="504"/>
      <c r="CP39" s="504"/>
      <c r="CQ39" s="505"/>
      <c r="CR39" s="506"/>
      <c r="CS39" s="504"/>
      <c r="CT39" s="504"/>
      <c r="CU39" s="504"/>
      <c r="CV39" s="505"/>
      <c r="CW39" s="511"/>
      <c r="CX39" s="511"/>
      <c r="CY39" s="511"/>
      <c r="CZ39" s="511"/>
      <c r="DA39" s="511"/>
      <c r="DB39" s="511"/>
      <c r="DC39" s="511"/>
      <c r="DD39" s="511"/>
      <c r="DE39" s="511"/>
      <c r="DF39" s="511"/>
      <c r="DG39" s="501"/>
      <c r="DH39" s="501"/>
      <c r="DI39" s="501"/>
      <c r="DJ39" s="501"/>
      <c r="DK39" s="502"/>
      <c r="DL39" s="640">
        <v>10</v>
      </c>
      <c r="DM39" s="510"/>
      <c r="DN39" s="510"/>
      <c r="DO39" s="510"/>
      <c r="DP39" s="269"/>
      <c r="DQ39" s="322"/>
      <c r="DR39" s="510"/>
      <c r="DS39" s="510"/>
      <c r="DT39" s="510"/>
      <c r="DU39" s="269"/>
      <c r="DV39" s="506"/>
      <c r="DW39" s="504"/>
      <c r="DX39" s="504"/>
      <c r="DY39" s="504"/>
      <c r="DZ39" s="505"/>
      <c r="EA39" s="506"/>
      <c r="EB39" s="504"/>
      <c r="EC39" s="504"/>
      <c r="ED39" s="504"/>
      <c r="EE39" s="505"/>
      <c r="EF39" s="506"/>
      <c r="EG39" s="504"/>
      <c r="EH39" s="504"/>
      <c r="EI39" s="504"/>
      <c r="EJ39" s="505"/>
      <c r="EK39" s="506"/>
      <c r="EL39" s="504"/>
      <c r="EM39" s="504"/>
      <c r="EN39" s="504"/>
      <c r="EO39" s="505"/>
      <c r="EP39" s="506"/>
      <c r="EQ39" s="504"/>
      <c r="ER39" s="504"/>
      <c r="ES39" s="504"/>
      <c r="ET39" s="505"/>
      <c r="EU39" s="506"/>
      <c r="EV39" s="504"/>
      <c r="EW39" s="504"/>
      <c r="EX39" s="504"/>
      <c r="EY39" s="505"/>
      <c r="EZ39" s="617"/>
      <c r="FA39" s="617"/>
      <c r="FB39" s="617"/>
      <c r="FC39" s="617"/>
      <c r="FD39" s="625"/>
      <c r="FE39" s="626">
        <f t="shared" si="17"/>
        <v>10</v>
      </c>
      <c r="FF39" s="774"/>
      <c r="FG39" s="774"/>
      <c r="FH39" s="260"/>
      <c r="FI39" s="627"/>
    </row>
    <row r="40" spans="1:166" s="78" customFormat="1" ht="80.099999999999994" customHeight="1" x14ac:dyDescent="0.2">
      <c r="A40" s="139" t="s">
        <v>100</v>
      </c>
      <c r="B40" s="132" t="s">
        <v>142</v>
      </c>
      <c r="C40" s="875" t="s">
        <v>88</v>
      </c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O40" s="876"/>
      <c r="P40" s="876"/>
      <c r="Q40" s="876"/>
      <c r="R40" s="876"/>
      <c r="S40" s="876"/>
      <c r="T40" s="876"/>
      <c r="U40" s="876"/>
      <c r="V40" s="876"/>
      <c r="W40" s="876"/>
      <c r="X40" s="876"/>
      <c r="Y40" s="877"/>
      <c r="Z40" s="631">
        <f t="shared" si="14"/>
        <v>120</v>
      </c>
      <c r="AA40" s="508"/>
      <c r="AB40" s="508"/>
      <c r="AC40" s="508"/>
      <c r="AD40" s="632"/>
      <c r="AE40" s="322"/>
      <c r="AF40" s="510"/>
      <c r="AG40" s="510"/>
      <c r="AH40" s="510"/>
      <c r="AI40" s="269"/>
      <c r="AJ40" s="633">
        <f t="shared" si="15"/>
        <v>50</v>
      </c>
      <c r="AK40" s="634"/>
      <c r="AL40" s="634"/>
      <c r="AM40" s="634"/>
      <c r="AN40" s="635"/>
      <c r="AO40" s="636">
        <v>30</v>
      </c>
      <c r="AP40" s="637"/>
      <c r="AQ40" s="637"/>
      <c r="AR40" s="637"/>
      <c r="AS40" s="638"/>
      <c r="AT40" s="636"/>
      <c r="AU40" s="637"/>
      <c r="AV40" s="637"/>
      <c r="AW40" s="637"/>
      <c r="AX40" s="638"/>
      <c r="AY40" s="636">
        <v>20</v>
      </c>
      <c r="AZ40" s="637"/>
      <c r="BA40" s="637"/>
      <c r="BB40" s="637"/>
      <c r="BC40" s="638"/>
      <c r="BD40" s="641"/>
      <c r="BE40" s="642"/>
      <c r="BF40" s="642"/>
      <c r="BG40" s="642"/>
      <c r="BH40" s="643"/>
      <c r="BI40" s="641"/>
      <c r="BJ40" s="642"/>
      <c r="BK40" s="642"/>
      <c r="BL40" s="642"/>
      <c r="BM40" s="643"/>
      <c r="BN40" s="507">
        <f t="shared" si="16"/>
        <v>70</v>
      </c>
      <c r="BO40" s="508"/>
      <c r="BP40" s="508"/>
      <c r="BQ40" s="508"/>
      <c r="BR40" s="509"/>
      <c r="BS40" s="640"/>
      <c r="BT40" s="510"/>
      <c r="BU40" s="510"/>
      <c r="BV40" s="510"/>
      <c r="BW40" s="269"/>
      <c r="BX40" s="322">
        <v>3</v>
      </c>
      <c r="BY40" s="510"/>
      <c r="BZ40" s="510"/>
      <c r="CA40" s="510"/>
      <c r="CB40" s="269"/>
      <c r="CC40" s="322"/>
      <c r="CD40" s="510"/>
      <c r="CE40" s="510"/>
      <c r="CF40" s="510"/>
      <c r="CG40" s="269"/>
      <c r="CH40" s="506"/>
      <c r="CI40" s="504"/>
      <c r="CJ40" s="504"/>
      <c r="CK40" s="504"/>
      <c r="CL40" s="505"/>
      <c r="CM40" s="506"/>
      <c r="CN40" s="504"/>
      <c r="CO40" s="504"/>
      <c r="CP40" s="504"/>
      <c r="CQ40" s="505"/>
      <c r="CR40" s="506"/>
      <c r="CS40" s="504"/>
      <c r="CT40" s="504"/>
      <c r="CU40" s="504"/>
      <c r="CV40" s="505"/>
      <c r="CW40" s="511"/>
      <c r="CX40" s="511"/>
      <c r="CY40" s="511"/>
      <c r="CZ40" s="511"/>
      <c r="DA40" s="511"/>
      <c r="DB40" s="511"/>
      <c r="DC40" s="511"/>
      <c r="DD40" s="511"/>
      <c r="DE40" s="511"/>
      <c r="DF40" s="511"/>
      <c r="DG40" s="501"/>
      <c r="DH40" s="501"/>
      <c r="DI40" s="501"/>
      <c r="DJ40" s="501"/>
      <c r="DK40" s="502"/>
      <c r="DL40" s="640"/>
      <c r="DM40" s="510"/>
      <c r="DN40" s="510"/>
      <c r="DO40" s="510"/>
      <c r="DP40" s="269"/>
      <c r="DQ40" s="322">
        <v>4</v>
      </c>
      <c r="DR40" s="510"/>
      <c r="DS40" s="510"/>
      <c r="DT40" s="510"/>
      <c r="DU40" s="269"/>
      <c r="DV40" s="506"/>
      <c r="DW40" s="504"/>
      <c r="DX40" s="504"/>
      <c r="DY40" s="504"/>
      <c r="DZ40" s="505"/>
      <c r="EA40" s="506"/>
      <c r="EB40" s="504"/>
      <c r="EC40" s="504"/>
      <c r="ED40" s="504"/>
      <c r="EE40" s="505"/>
      <c r="EF40" s="506"/>
      <c r="EG40" s="504"/>
      <c r="EH40" s="504"/>
      <c r="EI40" s="504"/>
      <c r="EJ40" s="505"/>
      <c r="EK40" s="506"/>
      <c r="EL40" s="504"/>
      <c r="EM40" s="504"/>
      <c r="EN40" s="504"/>
      <c r="EO40" s="505"/>
      <c r="EP40" s="506"/>
      <c r="EQ40" s="504"/>
      <c r="ER40" s="504"/>
      <c r="ES40" s="504"/>
      <c r="ET40" s="505"/>
      <c r="EU40" s="506"/>
      <c r="EV40" s="504"/>
      <c r="EW40" s="504"/>
      <c r="EX40" s="504"/>
      <c r="EY40" s="505"/>
      <c r="EZ40" s="501"/>
      <c r="FA40" s="501"/>
      <c r="FB40" s="501"/>
      <c r="FC40" s="501"/>
      <c r="FD40" s="502"/>
      <c r="FE40" s="499">
        <f t="shared" si="17"/>
        <v>4</v>
      </c>
      <c r="FF40" s="765"/>
      <c r="FG40" s="765"/>
      <c r="FH40" s="339"/>
      <c r="FI40" s="500"/>
    </row>
    <row r="41" spans="1:166" s="78" customFormat="1" ht="80.099999999999994" customHeight="1" x14ac:dyDescent="0.8">
      <c r="A41" s="139" t="s">
        <v>234</v>
      </c>
      <c r="B41" s="132" t="s">
        <v>150</v>
      </c>
      <c r="C41" s="874" t="s">
        <v>188</v>
      </c>
      <c r="D41" s="874"/>
      <c r="E41" s="874"/>
      <c r="F41" s="874"/>
      <c r="G41" s="874"/>
      <c r="H41" s="874"/>
      <c r="I41" s="874"/>
      <c r="J41" s="874"/>
      <c r="K41" s="874"/>
      <c r="L41" s="874"/>
      <c r="M41" s="874"/>
      <c r="N41" s="874"/>
      <c r="O41" s="874"/>
      <c r="P41" s="874"/>
      <c r="Q41" s="874"/>
      <c r="R41" s="874"/>
      <c r="S41" s="874"/>
      <c r="T41" s="874"/>
      <c r="U41" s="874"/>
      <c r="V41" s="874"/>
      <c r="W41" s="874"/>
      <c r="X41" s="874"/>
      <c r="Y41" s="874"/>
      <c r="Z41" s="631">
        <f t="shared" si="14"/>
        <v>510</v>
      </c>
      <c r="AA41" s="508"/>
      <c r="AB41" s="508"/>
      <c r="AC41" s="508"/>
      <c r="AD41" s="632"/>
      <c r="AE41" s="270"/>
      <c r="AF41" s="270"/>
      <c r="AG41" s="270"/>
      <c r="AH41" s="270"/>
      <c r="AI41" s="270"/>
      <c r="AJ41" s="633">
        <f t="shared" si="15"/>
        <v>190</v>
      </c>
      <c r="AK41" s="634"/>
      <c r="AL41" s="634"/>
      <c r="AM41" s="634"/>
      <c r="AN41" s="635"/>
      <c r="AO41" s="273"/>
      <c r="AP41" s="273"/>
      <c r="AQ41" s="273"/>
      <c r="AR41" s="273"/>
      <c r="AS41" s="273"/>
      <c r="AT41" s="273">
        <v>190</v>
      </c>
      <c r="AU41" s="273"/>
      <c r="AV41" s="273"/>
      <c r="AW41" s="273"/>
      <c r="AX41" s="273"/>
      <c r="AY41" s="273"/>
      <c r="AZ41" s="273"/>
      <c r="BA41" s="273"/>
      <c r="BB41" s="273"/>
      <c r="BC41" s="273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507">
        <f t="shared" si="16"/>
        <v>320</v>
      </c>
      <c r="BO41" s="508"/>
      <c r="BP41" s="508"/>
      <c r="BQ41" s="508"/>
      <c r="BR41" s="509"/>
      <c r="BS41" s="640">
        <v>3</v>
      </c>
      <c r="BT41" s="510"/>
      <c r="BU41" s="510"/>
      <c r="BV41" s="510"/>
      <c r="BW41" s="269"/>
      <c r="BX41" s="322">
        <v>3</v>
      </c>
      <c r="BY41" s="510"/>
      <c r="BZ41" s="510"/>
      <c r="CA41" s="510"/>
      <c r="CB41" s="269"/>
      <c r="CC41" s="270">
        <v>4</v>
      </c>
      <c r="CD41" s="270"/>
      <c r="CE41" s="270"/>
      <c r="CF41" s="270"/>
      <c r="CG41" s="270"/>
      <c r="CH41" s="270">
        <v>3</v>
      </c>
      <c r="CI41" s="270"/>
      <c r="CJ41" s="270"/>
      <c r="CK41" s="270"/>
      <c r="CL41" s="270"/>
      <c r="CM41" s="506"/>
      <c r="CN41" s="504"/>
      <c r="CO41" s="504"/>
      <c r="CP41" s="504"/>
      <c r="CQ41" s="505"/>
      <c r="CR41" s="506"/>
      <c r="CS41" s="504"/>
      <c r="CT41" s="504"/>
      <c r="CU41" s="504"/>
      <c r="CV41" s="505"/>
      <c r="CW41" s="511"/>
      <c r="CX41" s="511"/>
      <c r="CY41" s="511"/>
      <c r="CZ41" s="511"/>
      <c r="DA41" s="511"/>
      <c r="DB41" s="511"/>
      <c r="DC41" s="511"/>
      <c r="DD41" s="511"/>
      <c r="DE41" s="511"/>
      <c r="DF41" s="511"/>
      <c r="DG41" s="501"/>
      <c r="DH41" s="501"/>
      <c r="DI41" s="501"/>
      <c r="DJ41" s="501"/>
      <c r="DK41" s="502"/>
      <c r="DL41" s="640">
        <v>4</v>
      </c>
      <c r="DM41" s="510"/>
      <c r="DN41" s="510"/>
      <c r="DO41" s="510"/>
      <c r="DP41" s="269"/>
      <c r="DQ41" s="322">
        <v>5</v>
      </c>
      <c r="DR41" s="510"/>
      <c r="DS41" s="510"/>
      <c r="DT41" s="510"/>
      <c r="DU41" s="269"/>
      <c r="DV41" s="270">
        <v>4</v>
      </c>
      <c r="DW41" s="270"/>
      <c r="DX41" s="270"/>
      <c r="DY41" s="270"/>
      <c r="DZ41" s="270"/>
      <c r="EA41" s="270">
        <v>4</v>
      </c>
      <c r="EB41" s="270"/>
      <c r="EC41" s="270"/>
      <c r="ED41" s="270"/>
      <c r="EE41" s="270"/>
      <c r="EF41" s="506"/>
      <c r="EG41" s="504"/>
      <c r="EH41" s="504"/>
      <c r="EI41" s="504"/>
      <c r="EJ41" s="505"/>
      <c r="EK41" s="506"/>
      <c r="EL41" s="504"/>
      <c r="EM41" s="504"/>
      <c r="EN41" s="504"/>
      <c r="EO41" s="505"/>
      <c r="EP41" s="506"/>
      <c r="EQ41" s="504"/>
      <c r="ER41" s="504"/>
      <c r="ES41" s="504"/>
      <c r="ET41" s="505"/>
      <c r="EU41" s="506"/>
      <c r="EV41" s="504"/>
      <c r="EW41" s="504"/>
      <c r="EX41" s="504"/>
      <c r="EY41" s="505"/>
      <c r="EZ41" s="501"/>
      <c r="FA41" s="501"/>
      <c r="FB41" s="501"/>
      <c r="FC41" s="501"/>
      <c r="FD41" s="502"/>
      <c r="FE41" s="499">
        <f t="shared" si="17"/>
        <v>17</v>
      </c>
      <c r="FF41" s="765"/>
      <c r="FG41" s="765"/>
      <c r="FH41" s="339"/>
      <c r="FI41" s="500"/>
      <c r="FJ41" s="79" t="s">
        <v>244</v>
      </c>
    </row>
    <row r="42" spans="1:166" s="78" customFormat="1" ht="80.099999999999994" customHeight="1" x14ac:dyDescent="0.8">
      <c r="A42" s="139" t="s">
        <v>101</v>
      </c>
      <c r="B42" s="132" t="s">
        <v>148</v>
      </c>
      <c r="C42" s="874" t="s">
        <v>187</v>
      </c>
      <c r="D42" s="874"/>
      <c r="E42" s="874"/>
      <c r="F42" s="874"/>
      <c r="G42" s="87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4"/>
      <c r="T42" s="874"/>
      <c r="U42" s="874"/>
      <c r="V42" s="874"/>
      <c r="W42" s="874"/>
      <c r="X42" s="874"/>
      <c r="Y42" s="874"/>
      <c r="Z42" s="631">
        <f t="shared" si="14"/>
        <v>360</v>
      </c>
      <c r="AA42" s="508"/>
      <c r="AB42" s="508"/>
      <c r="AC42" s="508"/>
      <c r="AD42" s="632"/>
      <c r="AE42" s="270"/>
      <c r="AF42" s="270"/>
      <c r="AG42" s="270"/>
      <c r="AH42" s="270"/>
      <c r="AI42" s="270"/>
      <c r="AJ42" s="633">
        <f t="shared" si="15"/>
        <v>156</v>
      </c>
      <c r="AK42" s="634"/>
      <c r="AL42" s="634"/>
      <c r="AM42" s="634"/>
      <c r="AN42" s="635"/>
      <c r="AO42" s="273"/>
      <c r="AP42" s="273"/>
      <c r="AQ42" s="273"/>
      <c r="AR42" s="273"/>
      <c r="AS42" s="273"/>
      <c r="AT42" s="273">
        <v>156</v>
      </c>
      <c r="AU42" s="273"/>
      <c r="AV42" s="273"/>
      <c r="AW42" s="273"/>
      <c r="AX42" s="273"/>
      <c r="AY42" s="273"/>
      <c r="AZ42" s="273"/>
      <c r="BA42" s="273"/>
      <c r="BB42" s="273"/>
      <c r="BC42" s="273"/>
      <c r="BD42" s="274"/>
      <c r="BE42" s="274"/>
      <c r="BF42" s="274"/>
      <c r="BG42" s="274"/>
      <c r="BH42" s="274"/>
      <c r="BI42" s="274"/>
      <c r="BJ42" s="274"/>
      <c r="BK42" s="274"/>
      <c r="BL42" s="274"/>
      <c r="BM42" s="274"/>
      <c r="BN42" s="507">
        <f t="shared" si="16"/>
        <v>204</v>
      </c>
      <c r="BO42" s="508"/>
      <c r="BP42" s="508"/>
      <c r="BQ42" s="508"/>
      <c r="BR42" s="509"/>
      <c r="BS42" s="640"/>
      <c r="BT42" s="510"/>
      <c r="BU42" s="510"/>
      <c r="BV42" s="510"/>
      <c r="BW42" s="269"/>
      <c r="BX42" s="322"/>
      <c r="BY42" s="510"/>
      <c r="BZ42" s="510"/>
      <c r="CA42" s="510"/>
      <c r="CB42" s="269"/>
      <c r="CC42" s="270">
        <v>4</v>
      </c>
      <c r="CD42" s="270"/>
      <c r="CE42" s="270"/>
      <c r="CF42" s="270"/>
      <c r="CG42" s="270"/>
      <c r="CH42" s="270">
        <v>5</v>
      </c>
      <c r="CI42" s="270"/>
      <c r="CJ42" s="270"/>
      <c r="CK42" s="270"/>
      <c r="CL42" s="270"/>
      <c r="CM42" s="506"/>
      <c r="CN42" s="504"/>
      <c r="CO42" s="504"/>
      <c r="CP42" s="504"/>
      <c r="CQ42" s="505"/>
      <c r="CR42" s="506"/>
      <c r="CS42" s="504"/>
      <c r="CT42" s="504"/>
      <c r="CU42" s="504"/>
      <c r="CV42" s="505"/>
      <c r="CW42" s="511"/>
      <c r="CX42" s="511"/>
      <c r="CY42" s="511"/>
      <c r="CZ42" s="511"/>
      <c r="DA42" s="511"/>
      <c r="DB42" s="511"/>
      <c r="DC42" s="511"/>
      <c r="DD42" s="511"/>
      <c r="DE42" s="511"/>
      <c r="DF42" s="511"/>
      <c r="DG42" s="501"/>
      <c r="DH42" s="501"/>
      <c r="DI42" s="501"/>
      <c r="DJ42" s="501"/>
      <c r="DK42" s="502"/>
      <c r="DL42" s="640"/>
      <c r="DM42" s="510"/>
      <c r="DN42" s="510"/>
      <c r="DO42" s="510"/>
      <c r="DP42" s="269"/>
      <c r="DQ42" s="322"/>
      <c r="DR42" s="510"/>
      <c r="DS42" s="510"/>
      <c r="DT42" s="510"/>
      <c r="DU42" s="269"/>
      <c r="DV42" s="270">
        <v>4</v>
      </c>
      <c r="DW42" s="270"/>
      <c r="DX42" s="270"/>
      <c r="DY42" s="270"/>
      <c r="DZ42" s="270"/>
      <c r="EA42" s="270">
        <v>8</v>
      </c>
      <c r="EB42" s="270"/>
      <c r="EC42" s="270"/>
      <c r="ED42" s="270"/>
      <c r="EE42" s="270"/>
      <c r="EF42" s="506"/>
      <c r="EG42" s="504"/>
      <c r="EH42" s="504"/>
      <c r="EI42" s="504"/>
      <c r="EJ42" s="505"/>
      <c r="EK42" s="506"/>
      <c r="EL42" s="504"/>
      <c r="EM42" s="504"/>
      <c r="EN42" s="504"/>
      <c r="EO42" s="505"/>
      <c r="EP42" s="506"/>
      <c r="EQ42" s="504"/>
      <c r="ER42" s="504"/>
      <c r="ES42" s="504"/>
      <c r="ET42" s="505"/>
      <c r="EU42" s="506"/>
      <c r="EV42" s="504"/>
      <c r="EW42" s="504"/>
      <c r="EX42" s="504"/>
      <c r="EY42" s="505"/>
      <c r="EZ42" s="501"/>
      <c r="FA42" s="501"/>
      <c r="FB42" s="501"/>
      <c r="FC42" s="501"/>
      <c r="FD42" s="502"/>
      <c r="FE42" s="499">
        <f t="shared" si="17"/>
        <v>12</v>
      </c>
      <c r="FF42" s="765"/>
      <c r="FG42" s="765"/>
      <c r="FH42" s="339"/>
      <c r="FI42" s="500"/>
      <c r="FJ42" s="79" t="s">
        <v>245</v>
      </c>
    </row>
    <row r="43" spans="1:166" s="78" customFormat="1" ht="80.099999999999994" customHeight="1" x14ac:dyDescent="0.2">
      <c r="A43" s="139" t="s">
        <v>235</v>
      </c>
      <c r="B43" s="132" t="s">
        <v>149</v>
      </c>
      <c r="C43" s="874" t="s">
        <v>147</v>
      </c>
      <c r="D43" s="874"/>
      <c r="E43" s="874"/>
      <c r="F43" s="874"/>
      <c r="G43" s="874"/>
      <c r="H43" s="874"/>
      <c r="I43" s="874"/>
      <c r="J43" s="874"/>
      <c r="K43" s="874"/>
      <c r="L43" s="874"/>
      <c r="M43" s="874"/>
      <c r="N43" s="874"/>
      <c r="O43" s="874"/>
      <c r="P43" s="874"/>
      <c r="Q43" s="874"/>
      <c r="R43" s="874"/>
      <c r="S43" s="874"/>
      <c r="T43" s="874"/>
      <c r="U43" s="874"/>
      <c r="V43" s="874"/>
      <c r="W43" s="874"/>
      <c r="X43" s="874"/>
      <c r="Y43" s="874"/>
      <c r="Z43" s="631">
        <f t="shared" si="14"/>
        <v>180</v>
      </c>
      <c r="AA43" s="508"/>
      <c r="AB43" s="508"/>
      <c r="AC43" s="508"/>
      <c r="AD43" s="632"/>
      <c r="AE43" s="270"/>
      <c r="AF43" s="270"/>
      <c r="AG43" s="270"/>
      <c r="AH43" s="270"/>
      <c r="AI43" s="270"/>
      <c r="AJ43" s="633">
        <f t="shared" si="15"/>
        <v>78</v>
      </c>
      <c r="AK43" s="634"/>
      <c r="AL43" s="634"/>
      <c r="AM43" s="634"/>
      <c r="AN43" s="635"/>
      <c r="AO43" s="273"/>
      <c r="AP43" s="273"/>
      <c r="AQ43" s="273"/>
      <c r="AR43" s="273"/>
      <c r="AS43" s="273"/>
      <c r="AT43" s="273">
        <v>78</v>
      </c>
      <c r="AU43" s="273"/>
      <c r="AV43" s="273"/>
      <c r="AW43" s="273"/>
      <c r="AX43" s="273"/>
      <c r="AY43" s="273"/>
      <c r="AZ43" s="273"/>
      <c r="BA43" s="273"/>
      <c r="BB43" s="273"/>
      <c r="BC43" s="273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507">
        <f t="shared" si="16"/>
        <v>102</v>
      </c>
      <c r="BO43" s="508"/>
      <c r="BP43" s="508"/>
      <c r="BQ43" s="508"/>
      <c r="BR43" s="509"/>
      <c r="BS43" s="640"/>
      <c r="BT43" s="510"/>
      <c r="BU43" s="510"/>
      <c r="BV43" s="510"/>
      <c r="BW43" s="269"/>
      <c r="BX43" s="322"/>
      <c r="BY43" s="510"/>
      <c r="BZ43" s="510"/>
      <c r="CA43" s="510"/>
      <c r="CB43" s="269"/>
      <c r="CC43" s="270">
        <v>2</v>
      </c>
      <c r="CD43" s="270"/>
      <c r="CE43" s="270"/>
      <c r="CF43" s="270"/>
      <c r="CG43" s="270"/>
      <c r="CH43" s="270">
        <v>3</v>
      </c>
      <c r="CI43" s="270"/>
      <c r="CJ43" s="270"/>
      <c r="CK43" s="270"/>
      <c r="CL43" s="270"/>
      <c r="CM43" s="506"/>
      <c r="CN43" s="504"/>
      <c r="CO43" s="504"/>
      <c r="CP43" s="504"/>
      <c r="CQ43" s="505"/>
      <c r="CR43" s="506"/>
      <c r="CS43" s="504"/>
      <c r="CT43" s="504"/>
      <c r="CU43" s="504"/>
      <c r="CV43" s="505"/>
      <c r="CW43" s="511"/>
      <c r="CX43" s="511"/>
      <c r="CY43" s="511"/>
      <c r="CZ43" s="511"/>
      <c r="DA43" s="511"/>
      <c r="DB43" s="511"/>
      <c r="DC43" s="511"/>
      <c r="DD43" s="511"/>
      <c r="DE43" s="511"/>
      <c r="DF43" s="511"/>
      <c r="DG43" s="501"/>
      <c r="DH43" s="501"/>
      <c r="DI43" s="501"/>
      <c r="DJ43" s="501"/>
      <c r="DK43" s="502"/>
      <c r="DL43" s="503"/>
      <c r="DM43" s="504"/>
      <c r="DN43" s="504"/>
      <c r="DO43" s="504"/>
      <c r="DP43" s="505"/>
      <c r="DQ43" s="506"/>
      <c r="DR43" s="504"/>
      <c r="DS43" s="504"/>
      <c r="DT43" s="504"/>
      <c r="DU43" s="505"/>
      <c r="DV43" s="270">
        <v>2</v>
      </c>
      <c r="DW43" s="270"/>
      <c r="DX43" s="270"/>
      <c r="DY43" s="270"/>
      <c r="DZ43" s="270"/>
      <c r="EA43" s="270">
        <v>4</v>
      </c>
      <c r="EB43" s="270"/>
      <c r="EC43" s="270"/>
      <c r="ED43" s="270"/>
      <c r="EE43" s="270"/>
      <c r="EF43" s="506"/>
      <c r="EG43" s="504"/>
      <c r="EH43" s="504"/>
      <c r="EI43" s="504"/>
      <c r="EJ43" s="505"/>
      <c r="EK43" s="506"/>
      <c r="EL43" s="504"/>
      <c r="EM43" s="504"/>
      <c r="EN43" s="504"/>
      <c r="EO43" s="505"/>
      <c r="EP43" s="506"/>
      <c r="EQ43" s="504"/>
      <c r="ER43" s="504"/>
      <c r="ES43" s="504"/>
      <c r="ET43" s="505"/>
      <c r="EU43" s="506"/>
      <c r="EV43" s="504"/>
      <c r="EW43" s="504"/>
      <c r="EX43" s="504"/>
      <c r="EY43" s="505"/>
      <c r="EZ43" s="501"/>
      <c r="FA43" s="501"/>
      <c r="FB43" s="501"/>
      <c r="FC43" s="501"/>
      <c r="FD43" s="502"/>
      <c r="FE43" s="499">
        <f t="shared" si="17"/>
        <v>6</v>
      </c>
      <c r="FF43" s="765"/>
      <c r="FG43" s="765"/>
      <c r="FH43" s="339"/>
      <c r="FI43" s="500"/>
    </row>
    <row r="44" spans="1:166" s="78" customFormat="1" ht="80.099999999999994" customHeight="1" x14ac:dyDescent="0.2">
      <c r="A44" s="139" t="s">
        <v>102</v>
      </c>
      <c r="B44" s="132" t="s">
        <v>350</v>
      </c>
      <c r="C44" s="874" t="s">
        <v>233</v>
      </c>
      <c r="D44" s="874"/>
      <c r="E44" s="874"/>
      <c r="F44" s="874"/>
      <c r="G44" s="874"/>
      <c r="H44" s="874"/>
      <c r="I44" s="874"/>
      <c r="J44" s="874"/>
      <c r="K44" s="874"/>
      <c r="L44" s="874"/>
      <c r="M44" s="874"/>
      <c r="N44" s="874"/>
      <c r="O44" s="874"/>
      <c r="P44" s="874"/>
      <c r="Q44" s="874"/>
      <c r="R44" s="874"/>
      <c r="S44" s="874"/>
      <c r="T44" s="874"/>
      <c r="U44" s="874"/>
      <c r="V44" s="874"/>
      <c r="W44" s="874"/>
      <c r="X44" s="874"/>
      <c r="Y44" s="874"/>
      <c r="Z44" s="631">
        <f t="shared" si="14"/>
        <v>120</v>
      </c>
      <c r="AA44" s="508"/>
      <c r="AB44" s="508"/>
      <c r="AC44" s="508"/>
      <c r="AD44" s="632"/>
      <c r="AE44" s="270"/>
      <c r="AF44" s="270"/>
      <c r="AG44" s="270"/>
      <c r="AH44" s="270"/>
      <c r="AI44" s="270"/>
      <c r="AJ44" s="633">
        <f t="shared" si="15"/>
        <v>48</v>
      </c>
      <c r="AK44" s="634"/>
      <c r="AL44" s="634"/>
      <c r="AM44" s="634"/>
      <c r="AN44" s="635"/>
      <c r="AO44" s="273">
        <v>32</v>
      </c>
      <c r="AP44" s="273"/>
      <c r="AQ44" s="273"/>
      <c r="AR44" s="273"/>
      <c r="AS44" s="273"/>
      <c r="AT44" s="273">
        <v>8</v>
      </c>
      <c r="AU44" s="273"/>
      <c r="AV44" s="273"/>
      <c r="AW44" s="273"/>
      <c r="AX44" s="273"/>
      <c r="AY44" s="273">
        <v>8</v>
      </c>
      <c r="AZ44" s="273"/>
      <c r="BA44" s="273"/>
      <c r="BB44" s="273"/>
      <c r="BC44" s="273"/>
      <c r="BD44" s="274"/>
      <c r="BE44" s="274"/>
      <c r="BF44" s="274"/>
      <c r="BG44" s="274"/>
      <c r="BH44" s="274"/>
      <c r="BI44" s="274"/>
      <c r="BJ44" s="274"/>
      <c r="BK44" s="274"/>
      <c r="BL44" s="274"/>
      <c r="BM44" s="274"/>
      <c r="BN44" s="507">
        <f t="shared" si="16"/>
        <v>72</v>
      </c>
      <c r="BO44" s="508"/>
      <c r="BP44" s="508"/>
      <c r="BQ44" s="508"/>
      <c r="BR44" s="509"/>
      <c r="BS44" s="640"/>
      <c r="BT44" s="510"/>
      <c r="BU44" s="510"/>
      <c r="BV44" s="510"/>
      <c r="BW44" s="269"/>
      <c r="BX44" s="322"/>
      <c r="BY44" s="510"/>
      <c r="BZ44" s="510"/>
      <c r="CA44" s="510"/>
      <c r="CB44" s="269"/>
      <c r="CC44" s="270"/>
      <c r="CD44" s="270"/>
      <c r="CE44" s="270"/>
      <c r="CF44" s="270"/>
      <c r="CG44" s="270"/>
      <c r="CH44" s="270">
        <v>3</v>
      </c>
      <c r="CI44" s="270"/>
      <c r="CJ44" s="270"/>
      <c r="CK44" s="270"/>
      <c r="CL44" s="270"/>
      <c r="CM44" s="506"/>
      <c r="CN44" s="504"/>
      <c r="CO44" s="504"/>
      <c r="CP44" s="504"/>
      <c r="CQ44" s="505"/>
      <c r="CR44" s="506"/>
      <c r="CS44" s="504"/>
      <c r="CT44" s="504"/>
      <c r="CU44" s="504"/>
      <c r="CV44" s="505"/>
      <c r="CW44" s="511"/>
      <c r="CX44" s="511"/>
      <c r="CY44" s="511"/>
      <c r="CZ44" s="511"/>
      <c r="DA44" s="511"/>
      <c r="DB44" s="511"/>
      <c r="DC44" s="511"/>
      <c r="DD44" s="511"/>
      <c r="DE44" s="511"/>
      <c r="DF44" s="511"/>
      <c r="DG44" s="501"/>
      <c r="DH44" s="501"/>
      <c r="DI44" s="501"/>
      <c r="DJ44" s="501"/>
      <c r="DK44" s="502"/>
      <c r="DL44" s="503"/>
      <c r="DM44" s="504"/>
      <c r="DN44" s="504"/>
      <c r="DO44" s="504"/>
      <c r="DP44" s="505"/>
      <c r="DQ44" s="506"/>
      <c r="DR44" s="504"/>
      <c r="DS44" s="504"/>
      <c r="DT44" s="504"/>
      <c r="DU44" s="505"/>
      <c r="DV44" s="270"/>
      <c r="DW44" s="270"/>
      <c r="DX44" s="270"/>
      <c r="DY44" s="270"/>
      <c r="DZ44" s="270"/>
      <c r="EA44" s="270">
        <v>4</v>
      </c>
      <c r="EB44" s="270"/>
      <c r="EC44" s="270"/>
      <c r="ED44" s="270"/>
      <c r="EE44" s="270"/>
      <c r="EF44" s="506"/>
      <c r="EG44" s="504"/>
      <c r="EH44" s="504"/>
      <c r="EI44" s="504"/>
      <c r="EJ44" s="505"/>
      <c r="EK44" s="506"/>
      <c r="EL44" s="504"/>
      <c r="EM44" s="504"/>
      <c r="EN44" s="504"/>
      <c r="EO44" s="505"/>
      <c r="EP44" s="506"/>
      <c r="EQ44" s="504"/>
      <c r="ER44" s="504"/>
      <c r="ES44" s="504"/>
      <c r="ET44" s="505"/>
      <c r="EU44" s="506"/>
      <c r="EV44" s="504"/>
      <c r="EW44" s="504"/>
      <c r="EX44" s="504"/>
      <c r="EY44" s="505"/>
      <c r="EZ44" s="501"/>
      <c r="FA44" s="501"/>
      <c r="FB44" s="501"/>
      <c r="FC44" s="501"/>
      <c r="FD44" s="502"/>
      <c r="FE44" s="499">
        <f t="shared" si="17"/>
        <v>4</v>
      </c>
      <c r="FF44" s="765"/>
      <c r="FG44" s="765"/>
      <c r="FH44" s="339"/>
      <c r="FI44" s="500"/>
    </row>
    <row r="45" spans="1:166" s="78" customFormat="1" ht="80.099999999999994" customHeight="1" x14ac:dyDescent="0.2">
      <c r="A45" s="139" t="s">
        <v>7</v>
      </c>
      <c r="B45" s="132" t="s">
        <v>153</v>
      </c>
      <c r="C45" s="835" t="s">
        <v>189</v>
      </c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P45" s="835"/>
      <c r="Q45" s="835"/>
      <c r="R45" s="835"/>
      <c r="S45" s="835"/>
      <c r="T45" s="835"/>
      <c r="U45" s="835"/>
      <c r="V45" s="835"/>
      <c r="W45" s="835"/>
      <c r="X45" s="835"/>
      <c r="Y45" s="835"/>
      <c r="Z45" s="631">
        <f t="shared" si="14"/>
        <v>240</v>
      </c>
      <c r="AA45" s="508"/>
      <c r="AB45" s="508"/>
      <c r="AC45" s="508"/>
      <c r="AD45" s="632"/>
      <c r="AE45" s="270"/>
      <c r="AF45" s="270"/>
      <c r="AG45" s="270"/>
      <c r="AH45" s="270"/>
      <c r="AI45" s="270"/>
      <c r="AJ45" s="633">
        <f t="shared" si="15"/>
        <v>108</v>
      </c>
      <c r="AK45" s="634"/>
      <c r="AL45" s="634"/>
      <c r="AM45" s="634"/>
      <c r="AN45" s="635"/>
      <c r="AO45" s="273"/>
      <c r="AP45" s="273"/>
      <c r="AQ45" s="273"/>
      <c r="AR45" s="273"/>
      <c r="AS45" s="273"/>
      <c r="AT45" s="273">
        <v>108</v>
      </c>
      <c r="AU45" s="273"/>
      <c r="AV45" s="273"/>
      <c r="AW45" s="273"/>
      <c r="AX45" s="273"/>
      <c r="AY45" s="273"/>
      <c r="AZ45" s="273"/>
      <c r="BA45" s="273"/>
      <c r="BB45" s="273"/>
      <c r="BC45" s="273"/>
      <c r="BD45" s="274"/>
      <c r="BE45" s="274"/>
      <c r="BF45" s="274"/>
      <c r="BG45" s="274"/>
      <c r="BH45" s="274"/>
      <c r="BI45" s="274"/>
      <c r="BJ45" s="274"/>
      <c r="BK45" s="274"/>
      <c r="BL45" s="274"/>
      <c r="BM45" s="274"/>
      <c r="BN45" s="507">
        <f t="shared" si="16"/>
        <v>132</v>
      </c>
      <c r="BO45" s="508"/>
      <c r="BP45" s="508"/>
      <c r="BQ45" s="508"/>
      <c r="BR45" s="509"/>
      <c r="BS45" s="640"/>
      <c r="BT45" s="510"/>
      <c r="BU45" s="510"/>
      <c r="BV45" s="510"/>
      <c r="BW45" s="269"/>
      <c r="BX45" s="322"/>
      <c r="BY45" s="510"/>
      <c r="BZ45" s="510"/>
      <c r="CA45" s="510"/>
      <c r="CB45" s="269"/>
      <c r="CC45" s="270">
        <v>4</v>
      </c>
      <c r="CD45" s="270"/>
      <c r="CE45" s="270"/>
      <c r="CF45" s="270"/>
      <c r="CG45" s="270"/>
      <c r="CH45" s="270">
        <v>4</v>
      </c>
      <c r="CI45" s="270"/>
      <c r="CJ45" s="270"/>
      <c r="CK45" s="270"/>
      <c r="CL45" s="270"/>
      <c r="CM45" s="506"/>
      <c r="CN45" s="504"/>
      <c r="CO45" s="504"/>
      <c r="CP45" s="504"/>
      <c r="CQ45" s="505"/>
      <c r="CR45" s="506"/>
      <c r="CS45" s="504"/>
      <c r="CT45" s="504"/>
      <c r="CU45" s="504"/>
      <c r="CV45" s="505"/>
      <c r="CW45" s="511"/>
      <c r="CX45" s="511"/>
      <c r="CY45" s="511"/>
      <c r="CZ45" s="511"/>
      <c r="DA45" s="511"/>
      <c r="DB45" s="511"/>
      <c r="DC45" s="511"/>
      <c r="DD45" s="511"/>
      <c r="DE45" s="511"/>
      <c r="DF45" s="511"/>
      <c r="DG45" s="501"/>
      <c r="DH45" s="501"/>
      <c r="DI45" s="501"/>
      <c r="DJ45" s="501"/>
      <c r="DK45" s="502"/>
      <c r="DL45" s="503"/>
      <c r="DM45" s="504"/>
      <c r="DN45" s="504"/>
      <c r="DO45" s="504"/>
      <c r="DP45" s="505"/>
      <c r="DQ45" s="506"/>
      <c r="DR45" s="504"/>
      <c r="DS45" s="504"/>
      <c r="DT45" s="504"/>
      <c r="DU45" s="505"/>
      <c r="DV45" s="270">
        <v>4</v>
      </c>
      <c r="DW45" s="270"/>
      <c r="DX45" s="270"/>
      <c r="DY45" s="270"/>
      <c r="DZ45" s="270"/>
      <c r="EA45" s="270">
        <v>4</v>
      </c>
      <c r="EB45" s="270"/>
      <c r="EC45" s="270"/>
      <c r="ED45" s="270"/>
      <c r="EE45" s="270"/>
      <c r="EF45" s="506"/>
      <c r="EG45" s="504"/>
      <c r="EH45" s="504"/>
      <c r="EI45" s="504"/>
      <c r="EJ45" s="505"/>
      <c r="EK45" s="506"/>
      <c r="EL45" s="504"/>
      <c r="EM45" s="504"/>
      <c r="EN45" s="504"/>
      <c r="EO45" s="505"/>
      <c r="EP45" s="506"/>
      <c r="EQ45" s="504"/>
      <c r="ER45" s="504"/>
      <c r="ES45" s="504"/>
      <c r="ET45" s="505"/>
      <c r="EU45" s="506"/>
      <c r="EV45" s="504"/>
      <c r="EW45" s="504"/>
      <c r="EX45" s="504"/>
      <c r="EY45" s="505"/>
      <c r="EZ45" s="501"/>
      <c r="FA45" s="501"/>
      <c r="FB45" s="501"/>
      <c r="FC45" s="501"/>
      <c r="FD45" s="502"/>
      <c r="FE45" s="499">
        <f t="shared" si="17"/>
        <v>8</v>
      </c>
      <c r="FF45" s="765"/>
      <c r="FG45" s="765"/>
      <c r="FH45" s="339"/>
      <c r="FI45" s="500"/>
    </row>
    <row r="46" spans="1:166" s="78" customFormat="1" ht="80.099999999999994" customHeight="1" x14ac:dyDescent="0.2">
      <c r="A46" s="139" t="s">
        <v>8</v>
      </c>
      <c r="B46" s="132" t="s">
        <v>85</v>
      </c>
      <c r="C46" s="874" t="s">
        <v>190</v>
      </c>
      <c r="D46" s="874"/>
      <c r="E46" s="874"/>
      <c r="F46" s="874"/>
      <c r="G46" s="874"/>
      <c r="H46" s="874"/>
      <c r="I46" s="874"/>
      <c r="J46" s="874"/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631">
        <f t="shared" si="14"/>
        <v>240</v>
      </c>
      <c r="AA46" s="508"/>
      <c r="AB46" s="508"/>
      <c r="AC46" s="508"/>
      <c r="AD46" s="632"/>
      <c r="AE46" s="270"/>
      <c r="AF46" s="270"/>
      <c r="AG46" s="270"/>
      <c r="AH46" s="270"/>
      <c r="AI46" s="270"/>
      <c r="AJ46" s="633">
        <f t="shared" si="15"/>
        <v>96</v>
      </c>
      <c r="AK46" s="634"/>
      <c r="AL46" s="634"/>
      <c r="AM46" s="634"/>
      <c r="AN46" s="635"/>
      <c r="AO46" s="273">
        <v>48</v>
      </c>
      <c r="AP46" s="273"/>
      <c r="AQ46" s="273"/>
      <c r="AR46" s="273"/>
      <c r="AS46" s="273"/>
      <c r="AT46" s="273">
        <v>48</v>
      </c>
      <c r="AU46" s="273"/>
      <c r="AV46" s="273"/>
      <c r="AW46" s="273"/>
      <c r="AX46" s="273"/>
      <c r="AY46" s="273"/>
      <c r="AZ46" s="273"/>
      <c r="BA46" s="273"/>
      <c r="BB46" s="273"/>
      <c r="BC46" s="273"/>
      <c r="BD46" s="274"/>
      <c r="BE46" s="274"/>
      <c r="BF46" s="274"/>
      <c r="BG46" s="274"/>
      <c r="BH46" s="274"/>
      <c r="BI46" s="274"/>
      <c r="BJ46" s="274"/>
      <c r="BK46" s="274"/>
      <c r="BL46" s="274"/>
      <c r="BM46" s="274"/>
      <c r="BN46" s="507">
        <f t="shared" si="16"/>
        <v>144</v>
      </c>
      <c r="BO46" s="508"/>
      <c r="BP46" s="508"/>
      <c r="BQ46" s="508"/>
      <c r="BR46" s="509"/>
      <c r="BS46" s="503"/>
      <c r="BT46" s="504"/>
      <c r="BU46" s="504"/>
      <c r="BV46" s="504"/>
      <c r="BW46" s="505"/>
      <c r="BX46" s="506"/>
      <c r="BY46" s="504"/>
      <c r="BZ46" s="504"/>
      <c r="CA46" s="504"/>
      <c r="CB46" s="505"/>
      <c r="CC46" s="506"/>
      <c r="CD46" s="504"/>
      <c r="CE46" s="504"/>
      <c r="CF46" s="504"/>
      <c r="CG46" s="505"/>
      <c r="CH46" s="506"/>
      <c r="CI46" s="504"/>
      <c r="CJ46" s="504"/>
      <c r="CK46" s="504"/>
      <c r="CL46" s="505"/>
      <c r="CM46" s="270">
        <v>3</v>
      </c>
      <c r="CN46" s="270"/>
      <c r="CO46" s="270"/>
      <c r="CP46" s="270"/>
      <c r="CQ46" s="270"/>
      <c r="CR46" s="270">
        <v>3</v>
      </c>
      <c r="CS46" s="270"/>
      <c r="CT46" s="270"/>
      <c r="CU46" s="270"/>
      <c r="CV46" s="270"/>
      <c r="CW46" s="511"/>
      <c r="CX46" s="511"/>
      <c r="CY46" s="511"/>
      <c r="CZ46" s="511"/>
      <c r="DA46" s="511"/>
      <c r="DB46" s="511"/>
      <c r="DC46" s="511"/>
      <c r="DD46" s="511"/>
      <c r="DE46" s="511"/>
      <c r="DF46" s="511"/>
      <c r="DG46" s="270"/>
      <c r="DH46" s="270"/>
      <c r="DI46" s="270"/>
      <c r="DJ46" s="270"/>
      <c r="DK46" s="533"/>
      <c r="DL46" s="503"/>
      <c r="DM46" s="504"/>
      <c r="DN46" s="504"/>
      <c r="DO46" s="504"/>
      <c r="DP46" s="505"/>
      <c r="DQ46" s="506"/>
      <c r="DR46" s="504"/>
      <c r="DS46" s="504"/>
      <c r="DT46" s="504"/>
      <c r="DU46" s="505"/>
      <c r="DV46" s="506"/>
      <c r="DW46" s="504"/>
      <c r="DX46" s="504"/>
      <c r="DY46" s="504"/>
      <c r="DZ46" s="505"/>
      <c r="EA46" s="506"/>
      <c r="EB46" s="504"/>
      <c r="EC46" s="504"/>
      <c r="ED46" s="504"/>
      <c r="EE46" s="505"/>
      <c r="EF46" s="270">
        <v>4</v>
      </c>
      <c r="EG46" s="270"/>
      <c r="EH46" s="270"/>
      <c r="EI46" s="270"/>
      <c r="EJ46" s="270"/>
      <c r="EK46" s="270">
        <v>4</v>
      </c>
      <c r="EL46" s="270"/>
      <c r="EM46" s="270"/>
      <c r="EN46" s="270"/>
      <c r="EO46" s="270"/>
      <c r="EP46" s="506"/>
      <c r="EQ46" s="504"/>
      <c r="ER46" s="504"/>
      <c r="ES46" s="504"/>
      <c r="ET46" s="505"/>
      <c r="EU46" s="506"/>
      <c r="EV46" s="504"/>
      <c r="EW46" s="504"/>
      <c r="EX46" s="504"/>
      <c r="EY46" s="505"/>
      <c r="EZ46" s="501"/>
      <c r="FA46" s="501"/>
      <c r="FB46" s="501"/>
      <c r="FC46" s="501"/>
      <c r="FD46" s="502"/>
      <c r="FE46" s="499">
        <f t="shared" si="17"/>
        <v>8</v>
      </c>
      <c r="FF46" s="765"/>
      <c r="FG46" s="765"/>
      <c r="FH46" s="339"/>
      <c r="FI46" s="500"/>
    </row>
    <row r="47" spans="1:166" s="78" customFormat="1" ht="110.1" customHeight="1" x14ac:dyDescent="0.2">
      <c r="A47" s="139" t="s">
        <v>9</v>
      </c>
      <c r="B47" s="132" t="s">
        <v>152</v>
      </c>
      <c r="C47" s="835" t="s">
        <v>191</v>
      </c>
      <c r="D47" s="835"/>
      <c r="E47" s="835"/>
      <c r="F47" s="835"/>
      <c r="G47" s="835"/>
      <c r="H47" s="835"/>
      <c r="I47" s="835"/>
      <c r="J47" s="835"/>
      <c r="K47" s="835"/>
      <c r="L47" s="835"/>
      <c r="M47" s="835"/>
      <c r="N47" s="835"/>
      <c r="O47" s="835"/>
      <c r="P47" s="835"/>
      <c r="Q47" s="835"/>
      <c r="R47" s="835"/>
      <c r="S47" s="835"/>
      <c r="T47" s="835"/>
      <c r="U47" s="835"/>
      <c r="V47" s="835"/>
      <c r="W47" s="835"/>
      <c r="X47" s="835"/>
      <c r="Y47" s="835"/>
      <c r="Z47" s="631">
        <f t="shared" si="14"/>
        <v>240</v>
      </c>
      <c r="AA47" s="508"/>
      <c r="AB47" s="508"/>
      <c r="AC47" s="508"/>
      <c r="AD47" s="632"/>
      <c r="AE47" s="270"/>
      <c r="AF47" s="270"/>
      <c r="AG47" s="270"/>
      <c r="AH47" s="270"/>
      <c r="AI47" s="270"/>
      <c r="AJ47" s="633">
        <f t="shared" si="15"/>
        <v>96</v>
      </c>
      <c r="AK47" s="634"/>
      <c r="AL47" s="634"/>
      <c r="AM47" s="634"/>
      <c r="AN47" s="635"/>
      <c r="AO47" s="273"/>
      <c r="AP47" s="273"/>
      <c r="AQ47" s="273"/>
      <c r="AR47" s="273"/>
      <c r="AS47" s="273"/>
      <c r="AT47" s="273">
        <v>96</v>
      </c>
      <c r="AU47" s="273"/>
      <c r="AV47" s="273"/>
      <c r="AW47" s="273"/>
      <c r="AX47" s="273"/>
      <c r="AY47" s="273"/>
      <c r="AZ47" s="273"/>
      <c r="BA47" s="273"/>
      <c r="BB47" s="273"/>
      <c r="BC47" s="273"/>
      <c r="BD47" s="274"/>
      <c r="BE47" s="274"/>
      <c r="BF47" s="274"/>
      <c r="BG47" s="274"/>
      <c r="BH47" s="274"/>
      <c r="BI47" s="274"/>
      <c r="BJ47" s="274"/>
      <c r="BK47" s="274"/>
      <c r="BL47" s="274"/>
      <c r="BM47" s="274"/>
      <c r="BN47" s="507">
        <f t="shared" si="16"/>
        <v>144</v>
      </c>
      <c r="BO47" s="508"/>
      <c r="BP47" s="508"/>
      <c r="BQ47" s="508"/>
      <c r="BR47" s="509"/>
      <c r="BS47" s="503"/>
      <c r="BT47" s="504"/>
      <c r="BU47" s="504"/>
      <c r="BV47" s="504"/>
      <c r="BW47" s="505"/>
      <c r="BX47" s="506"/>
      <c r="BY47" s="504"/>
      <c r="BZ47" s="504"/>
      <c r="CA47" s="504"/>
      <c r="CB47" s="505"/>
      <c r="CC47" s="506"/>
      <c r="CD47" s="504"/>
      <c r="CE47" s="504"/>
      <c r="CF47" s="504"/>
      <c r="CG47" s="505"/>
      <c r="CH47" s="506"/>
      <c r="CI47" s="504"/>
      <c r="CJ47" s="504"/>
      <c r="CK47" s="504"/>
      <c r="CL47" s="505"/>
      <c r="CM47" s="270">
        <v>3</v>
      </c>
      <c r="CN47" s="270"/>
      <c r="CO47" s="270"/>
      <c r="CP47" s="270"/>
      <c r="CQ47" s="270"/>
      <c r="CR47" s="270">
        <v>4</v>
      </c>
      <c r="CS47" s="270"/>
      <c r="CT47" s="270"/>
      <c r="CU47" s="270"/>
      <c r="CV47" s="270"/>
      <c r="CW47" s="511"/>
      <c r="CX47" s="511"/>
      <c r="CY47" s="511"/>
      <c r="CZ47" s="511"/>
      <c r="DA47" s="511"/>
      <c r="DB47" s="511"/>
      <c r="DC47" s="511"/>
      <c r="DD47" s="511"/>
      <c r="DE47" s="511"/>
      <c r="DF47" s="511"/>
      <c r="DG47" s="270"/>
      <c r="DH47" s="270"/>
      <c r="DI47" s="270"/>
      <c r="DJ47" s="270"/>
      <c r="DK47" s="533"/>
      <c r="DL47" s="503"/>
      <c r="DM47" s="504"/>
      <c r="DN47" s="504"/>
      <c r="DO47" s="504"/>
      <c r="DP47" s="505"/>
      <c r="DQ47" s="506"/>
      <c r="DR47" s="504"/>
      <c r="DS47" s="504"/>
      <c r="DT47" s="504"/>
      <c r="DU47" s="505"/>
      <c r="DV47" s="506"/>
      <c r="DW47" s="504"/>
      <c r="DX47" s="504"/>
      <c r="DY47" s="504"/>
      <c r="DZ47" s="505"/>
      <c r="EA47" s="506"/>
      <c r="EB47" s="504"/>
      <c r="EC47" s="504"/>
      <c r="ED47" s="504"/>
      <c r="EE47" s="505"/>
      <c r="EF47" s="270">
        <v>4</v>
      </c>
      <c r="EG47" s="270"/>
      <c r="EH47" s="270"/>
      <c r="EI47" s="270"/>
      <c r="EJ47" s="270"/>
      <c r="EK47" s="270">
        <v>4</v>
      </c>
      <c r="EL47" s="270"/>
      <c r="EM47" s="270"/>
      <c r="EN47" s="270"/>
      <c r="EO47" s="270"/>
      <c r="EP47" s="506"/>
      <c r="EQ47" s="504"/>
      <c r="ER47" s="504"/>
      <c r="ES47" s="504"/>
      <c r="ET47" s="505"/>
      <c r="EU47" s="506"/>
      <c r="EV47" s="504"/>
      <c r="EW47" s="504"/>
      <c r="EX47" s="504"/>
      <c r="EY47" s="505"/>
      <c r="EZ47" s="501"/>
      <c r="FA47" s="501"/>
      <c r="FB47" s="501"/>
      <c r="FC47" s="501"/>
      <c r="FD47" s="502"/>
      <c r="FE47" s="499">
        <f t="shared" si="17"/>
        <v>8</v>
      </c>
      <c r="FF47" s="765"/>
      <c r="FG47" s="765"/>
      <c r="FH47" s="339"/>
      <c r="FI47" s="500"/>
    </row>
    <row r="48" spans="1:166" s="78" customFormat="1" ht="80.099999999999994" customHeight="1" x14ac:dyDescent="0.2">
      <c r="A48" s="139" t="s">
        <v>10</v>
      </c>
      <c r="B48" s="132" t="s">
        <v>138</v>
      </c>
      <c r="C48" s="874" t="s">
        <v>134</v>
      </c>
      <c r="D48" s="874"/>
      <c r="E48" s="874"/>
      <c r="F48" s="874"/>
      <c r="G48" s="874"/>
      <c r="H48" s="874"/>
      <c r="I48" s="874"/>
      <c r="J48" s="874"/>
      <c r="K48" s="874"/>
      <c r="L48" s="874"/>
      <c r="M48" s="874"/>
      <c r="N48" s="874"/>
      <c r="O48" s="874"/>
      <c r="P48" s="874"/>
      <c r="Q48" s="874"/>
      <c r="R48" s="874"/>
      <c r="S48" s="874"/>
      <c r="T48" s="874"/>
      <c r="U48" s="874"/>
      <c r="V48" s="874"/>
      <c r="W48" s="874"/>
      <c r="X48" s="874"/>
      <c r="Y48" s="874"/>
      <c r="Z48" s="631">
        <f t="shared" si="14"/>
        <v>240</v>
      </c>
      <c r="AA48" s="508"/>
      <c r="AB48" s="508"/>
      <c r="AC48" s="508"/>
      <c r="AD48" s="632"/>
      <c r="AE48" s="270"/>
      <c r="AF48" s="270"/>
      <c r="AG48" s="270"/>
      <c r="AH48" s="270"/>
      <c r="AI48" s="270"/>
      <c r="AJ48" s="633">
        <f t="shared" si="15"/>
        <v>96</v>
      </c>
      <c r="AK48" s="634"/>
      <c r="AL48" s="634"/>
      <c r="AM48" s="634"/>
      <c r="AN48" s="635"/>
      <c r="AO48" s="273">
        <v>48</v>
      </c>
      <c r="AP48" s="273"/>
      <c r="AQ48" s="273"/>
      <c r="AR48" s="273"/>
      <c r="AS48" s="273"/>
      <c r="AT48" s="273">
        <v>48</v>
      </c>
      <c r="AU48" s="273"/>
      <c r="AV48" s="273"/>
      <c r="AW48" s="273"/>
      <c r="AX48" s="273"/>
      <c r="AY48" s="273"/>
      <c r="AZ48" s="273"/>
      <c r="BA48" s="273"/>
      <c r="BB48" s="273"/>
      <c r="BC48" s="273"/>
      <c r="BD48" s="274"/>
      <c r="BE48" s="274"/>
      <c r="BF48" s="274"/>
      <c r="BG48" s="274"/>
      <c r="BH48" s="274"/>
      <c r="BI48" s="274"/>
      <c r="BJ48" s="274"/>
      <c r="BK48" s="274"/>
      <c r="BL48" s="274"/>
      <c r="BM48" s="274"/>
      <c r="BN48" s="507">
        <f t="shared" si="16"/>
        <v>144</v>
      </c>
      <c r="BO48" s="508"/>
      <c r="BP48" s="508"/>
      <c r="BQ48" s="508"/>
      <c r="BR48" s="509"/>
      <c r="BS48" s="503"/>
      <c r="BT48" s="504"/>
      <c r="BU48" s="504"/>
      <c r="BV48" s="504"/>
      <c r="BW48" s="505"/>
      <c r="BX48" s="506"/>
      <c r="BY48" s="504"/>
      <c r="BZ48" s="504"/>
      <c r="CA48" s="504"/>
      <c r="CB48" s="505"/>
      <c r="CC48" s="506"/>
      <c r="CD48" s="504"/>
      <c r="CE48" s="504"/>
      <c r="CF48" s="504"/>
      <c r="CG48" s="505"/>
      <c r="CH48" s="506"/>
      <c r="CI48" s="504"/>
      <c r="CJ48" s="504"/>
      <c r="CK48" s="504"/>
      <c r="CL48" s="505"/>
      <c r="CM48" s="270">
        <v>4</v>
      </c>
      <c r="CN48" s="270"/>
      <c r="CO48" s="270"/>
      <c r="CP48" s="270"/>
      <c r="CQ48" s="270"/>
      <c r="CR48" s="270">
        <v>3</v>
      </c>
      <c r="CS48" s="270"/>
      <c r="CT48" s="270"/>
      <c r="CU48" s="270"/>
      <c r="CV48" s="270"/>
      <c r="CW48" s="511"/>
      <c r="CX48" s="511"/>
      <c r="CY48" s="511"/>
      <c r="CZ48" s="511"/>
      <c r="DA48" s="511"/>
      <c r="DB48" s="511"/>
      <c r="DC48" s="511"/>
      <c r="DD48" s="511"/>
      <c r="DE48" s="511"/>
      <c r="DF48" s="511"/>
      <c r="DG48" s="501"/>
      <c r="DH48" s="501"/>
      <c r="DI48" s="501"/>
      <c r="DJ48" s="501"/>
      <c r="DK48" s="502"/>
      <c r="DL48" s="503"/>
      <c r="DM48" s="504"/>
      <c r="DN48" s="504"/>
      <c r="DO48" s="504"/>
      <c r="DP48" s="505"/>
      <c r="DQ48" s="506"/>
      <c r="DR48" s="504"/>
      <c r="DS48" s="504"/>
      <c r="DT48" s="504"/>
      <c r="DU48" s="505"/>
      <c r="DV48" s="506"/>
      <c r="DW48" s="504"/>
      <c r="DX48" s="504"/>
      <c r="DY48" s="504"/>
      <c r="DZ48" s="505"/>
      <c r="EA48" s="506"/>
      <c r="EB48" s="504"/>
      <c r="EC48" s="504"/>
      <c r="ED48" s="504"/>
      <c r="EE48" s="505"/>
      <c r="EF48" s="270">
        <v>4</v>
      </c>
      <c r="EG48" s="270"/>
      <c r="EH48" s="270"/>
      <c r="EI48" s="270"/>
      <c r="EJ48" s="270"/>
      <c r="EK48" s="270">
        <v>4</v>
      </c>
      <c r="EL48" s="270"/>
      <c r="EM48" s="270"/>
      <c r="EN48" s="270"/>
      <c r="EO48" s="270"/>
      <c r="EP48" s="506"/>
      <c r="EQ48" s="504"/>
      <c r="ER48" s="504"/>
      <c r="ES48" s="504"/>
      <c r="ET48" s="505"/>
      <c r="EU48" s="506"/>
      <c r="EV48" s="504"/>
      <c r="EW48" s="504"/>
      <c r="EX48" s="504"/>
      <c r="EY48" s="505"/>
      <c r="EZ48" s="501"/>
      <c r="FA48" s="501"/>
      <c r="FB48" s="501"/>
      <c r="FC48" s="501"/>
      <c r="FD48" s="502"/>
      <c r="FE48" s="499">
        <f t="shared" si="17"/>
        <v>8</v>
      </c>
      <c r="FF48" s="765"/>
      <c r="FG48" s="765"/>
      <c r="FH48" s="339"/>
      <c r="FI48" s="500"/>
    </row>
    <row r="49" spans="1:166" s="78" customFormat="1" ht="80.099999999999994" customHeight="1" x14ac:dyDescent="0.2">
      <c r="A49" s="139" t="s">
        <v>154</v>
      </c>
      <c r="B49" s="132" t="s">
        <v>139</v>
      </c>
      <c r="C49" s="874" t="s">
        <v>135</v>
      </c>
      <c r="D49" s="874"/>
      <c r="E49" s="874"/>
      <c r="F49" s="874"/>
      <c r="G49" s="874"/>
      <c r="H49" s="874"/>
      <c r="I49" s="874"/>
      <c r="J49" s="874"/>
      <c r="K49" s="874"/>
      <c r="L49" s="874"/>
      <c r="M49" s="874"/>
      <c r="N49" s="874"/>
      <c r="O49" s="874"/>
      <c r="P49" s="874"/>
      <c r="Q49" s="874"/>
      <c r="R49" s="874"/>
      <c r="S49" s="874"/>
      <c r="T49" s="874"/>
      <c r="U49" s="874"/>
      <c r="V49" s="874"/>
      <c r="W49" s="874"/>
      <c r="X49" s="874"/>
      <c r="Y49" s="874"/>
      <c r="Z49" s="631">
        <f t="shared" si="14"/>
        <v>240</v>
      </c>
      <c r="AA49" s="508"/>
      <c r="AB49" s="508"/>
      <c r="AC49" s="508"/>
      <c r="AD49" s="632"/>
      <c r="AE49" s="270"/>
      <c r="AF49" s="270"/>
      <c r="AG49" s="270"/>
      <c r="AH49" s="270"/>
      <c r="AI49" s="270"/>
      <c r="AJ49" s="633">
        <f t="shared" si="15"/>
        <v>96</v>
      </c>
      <c r="AK49" s="634"/>
      <c r="AL49" s="634"/>
      <c r="AM49" s="634"/>
      <c r="AN49" s="635"/>
      <c r="AO49" s="273">
        <v>48</v>
      </c>
      <c r="AP49" s="273"/>
      <c r="AQ49" s="273"/>
      <c r="AR49" s="273"/>
      <c r="AS49" s="273"/>
      <c r="AT49" s="273">
        <v>48</v>
      </c>
      <c r="AU49" s="273"/>
      <c r="AV49" s="273"/>
      <c r="AW49" s="273"/>
      <c r="AX49" s="273"/>
      <c r="AY49" s="273"/>
      <c r="AZ49" s="273"/>
      <c r="BA49" s="273"/>
      <c r="BB49" s="273"/>
      <c r="BC49" s="273"/>
      <c r="BD49" s="274"/>
      <c r="BE49" s="274"/>
      <c r="BF49" s="274"/>
      <c r="BG49" s="274"/>
      <c r="BH49" s="274"/>
      <c r="BI49" s="274"/>
      <c r="BJ49" s="274"/>
      <c r="BK49" s="274"/>
      <c r="BL49" s="274"/>
      <c r="BM49" s="274"/>
      <c r="BN49" s="507">
        <f t="shared" si="16"/>
        <v>144</v>
      </c>
      <c r="BO49" s="508"/>
      <c r="BP49" s="508"/>
      <c r="BQ49" s="508"/>
      <c r="BR49" s="509"/>
      <c r="BS49" s="503"/>
      <c r="BT49" s="504"/>
      <c r="BU49" s="504"/>
      <c r="BV49" s="504"/>
      <c r="BW49" s="505"/>
      <c r="BX49" s="506"/>
      <c r="BY49" s="504"/>
      <c r="BZ49" s="504"/>
      <c r="CA49" s="504"/>
      <c r="CB49" s="505"/>
      <c r="CC49" s="506"/>
      <c r="CD49" s="504"/>
      <c r="CE49" s="504"/>
      <c r="CF49" s="504"/>
      <c r="CG49" s="505"/>
      <c r="CH49" s="506"/>
      <c r="CI49" s="504"/>
      <c r="CJ49" s="504"/>
      <c r="CK49" s="504"/>
      <c r="CL49" s="505"/>
      <c r="CM49" s="270">
        <v>3</v>
      </c>
      <c r="CN49" s="270"/>
      <c r="CO49" s="270"/>
      <c r="CP49" s="270"/>
      <c r="CQ49" s="270"/>
      <c r="CR49" s="270">
        <v>3</v>
      </c>
      <c r="CS49" s="270"/>
      <c r="CT49" s="270"/>
      <c r="CU49" s="270"/>
      <c r="CV49" s="270"/>
      <c r="CW49" s="511"/>
      <c r="CX49" s="511"/>
      <c r="CY49" s="511"/>
      <c r="CZ49" s="511"/>
      <c r="DA49" s="511"/>
      <c r="DB49" s="511"/>
      <c r="DC49" s="511"/>
      <c r="DD49" s="511"/>
      <c r="DE49" s="511"/>
      <c r="DF49" s="511"/>
      <c r="DG49" s="501"/>
      <c r="DH49" s="501"/>
      <c r="DI49" s="501"/>
      <c r="DJ49" s="501"/>
      <c r="DK49" s="502"/>
      <c r="DL49" s="503"/>
      <c r="DM49" s="504"/>
      <c r="DN49" s="504"/>
      <c r="DO49" s="504"/>
      <c r="DP49" s="505"/>
      <c r="DQ49" s="506"/>
      <c r="DR49" s="504"/>
      <c r="DS49" s="504"/>
      <c r="DT49" s="504"/>
      <c r="DU49" s="505"/>
      <c r="DV49" s="506"/>
      <c r="DW49" s="504"/>
      <c r="DX49" s="504"/>
      <c r="DY49" s="504"/>
      <c r="DZ49" s="505"/>
      <c r="EA49" s="506"/>
      <c r="EB49" s="504"/>
      <c r="EC49" s="504"/>
      <c r="ED49" s="504"/>
      <c r="EE49" s="505"/>
      <c r="EF49" s="270">
        <v>4</v>
      </c>
      <c r="EG49" s="270"/>
      <c r="EH49" s="270"/>
      <c r="EI49" s="270"/>
      <c r="EJ49" s="270"/>
      <c r="EK49" s="270">
        <v>4</v>
      </c>
      <c r="EL49" s="270"/>
      <c r="EM49" s="270"/>
      <c r="EN49" s="270"/>
      <c r="EO49" s="270"/>
      <c r="EP49" s="506"/>
      <c r="EQ49" s="504"/>
      <c r="ER49" s="504"/>
      <c r="ES49" s="504"/>
      <c r="ET49" s="505"/>
      <c r="EU49" s="506"/>
      <c r="EV49" s="504"/>
      <c r="EW49" s="504"/>
      <c r="EX49" s="504"/>
      <c r="EY49" s="505"/>
      <c r="EZ49" s="501"/>
      <c r="FA49" s="501"/>
      <c r="FB49" s="501"/>
      <c r="FC49" s="501"/>
      <c r="FD49" s="502"/>
      <c r="FE49" s="499">
        <f t="shared" si="17"/>
        <v>8</v>
      </c>
      <c r="FF49" s="765"/>
      <c r="FG49" s="765"/>
      <c r="FH49" s="339"/>
      <c r="FI49" s="500"/>
    </row>
    <row r="50" spans="1:166" s="78" customFormat="1" ht="80.099999999999994" customHeight="1" x14ac:dyDescent="0.2">
      <c r="A50" s="139" t="s">
        <v>11</v>
      </c>
      <c r="B50" s="132" t="s">
        <v>140</v>
      </c>
      <c r="C50" s="835" t="s">
        <v>192</v>
      </c>
      <c r="D50" s="835"/>
      <c r="E50" s="835"/>
      <c r="F50" s="835"/>
      <c r="G50" s="835"/>
      <c r="H50" s="835"/>
      <c r="I50" s="835"/>
      <c r="J50" s="835"/>
      <c r="K50" s="835"/>
      <c r="L50" s="835"/>
      <c r="M50" s="835"/>
      <c r="N50" s="835"/>
      <c r="O50" s="835"/>
      <c r="P50" s="835"/>
      <c r="Q50" s="835"/>
      <c r="R50" s="835"/>
      <c r="S50" s="835"/>
      <c r="T50" s="835"/>
      <c r="U50" s="835"/>
      <c r="V50" s="835"/>
      <c r="W50" s="835"/>
      <c r="X50" s="835"/>
      <c r="Y50" s="835"/>
      <c r="Z50" s="631">
        <f t="shared" si="14"/>
        <v>120</v>
      </c>
      <c r="AA50" s="508"/>
      <c r="AB50" s="508"/>
      <c r="AC50" s="508"/>
      <c r="AD50" s="632"/>
      <c r="AE50" s="270"/>
      <c r="AF50" s="270"/>
      <c r="AG50" s="270"/>
      <c r="AH50" s="270"/>
      <c r="AI50" s="270"/>
      <c r="AJ50" s="633">
        <f t="shared" si="15"/>
        <v>48</v>
      </c>
      <c r="AK50" s="634"/>
      <c r="AL50" s="634"/>
      <c r="AM50" s="634"/>
      <c r="AN50" s="635"/>
      <c r="AO50" s="273">
        <v>24</v>
      </c>
      <c r="AP50" s="273"/>
      <c r="AQ50" s="273"/>
      <c r="AR50" s="273"/>
      <c r="AS50" s="273"/>
      <c r="AT50" s="273">
        <v>24</v>
      </c>
      <c r="AU50" s="273"/>
      <c r="AV50" s="273"/>
      <c r="AW50" s="273"/>
      <c r="AX50" s="273"/>
      <c r="AY50" s="273"/>
      <c r="AZ50" s="273"/>
      <c r="BA50" s="273"/>
      <c r="BB50" s="273"/>
      <c r="BC50" s="273"/>
      <c r="BD50" s="274"/>
      <c r="BE50" s="274"/>
      <c r="BF50" s="274"/>
      <c r="BG50" s="274"/>
      <c r="BH50" s="274"/>
      <c r="BI50" s="274"/>
      <c r="BJ50" s="274"/>
      <c r="BK50" s="274"/>
      <c r="BL50" s="274"/>
      <c r="BM50" s="274"/>
      <c r="BN50" s="507">
        <f t="shared" si="16"/>
        <v>72</v>
      </c>
      <c r="BO50" s="508"/>
      <c r="BP50" s="508"/>
      <c r="BQ50" s="508"/>
      <c r="BR50" s="509"/>
      <c r="BS50" s="503"/>
      <c r="BT50" s="504"/>
      <c r="BU50" s="504"/>
      <c r="BV50" s="504"/>
      <c r="BW50" s="505"/>
      <c r="BX50" s="506"/>
      <c r="BY50" s="504"/>
      <c r="BZ50" s="504"/>
      <c r="CA50" s="504"/>
      <c r="CB50" s="505"/>
      <c r="CC50" s="506"/>
      <c r="CD50" s="504"/>
      <c r="CE50" s="504"/>
      <c r="CF50" s="504"/>
      <c r="CG50" s="505"/>
      <c r="CH50" s="506"/>
      <c r="CI50" s="504"/>
      <c r="CJ50" s="504"/>
      <c r="CK50" s="504"/>
      <c r="CL50" s="505"/>
      <c r="CM50" s="506"/>
      <c r="CN50" s="504"/>
      <c r="CO50" s="504"/>
      <c r="CP50" s="504"/>
      <c r="CQ50" s="505"/>
      <c r="CR50" s="511"/>
      <c r="CS50" s="511"/>
      <c r="CT50" s="511"/>
      <c r="CU50" s="511"/>
      <c r="CV50" s="511"/>
      <c r="CW50" s="270">
        <v>3</v>
      </c>
      <c r="CX50" s="270"/>
      <c r="CY50" s="270"/>
      <c r="CZ50" s="270"/>
      <c r="DA50" s="270"/>
      <c r="DB50" s="270"/>
      <c r="DC50" s="270"/>
      <c r="DD50" s="270"/>
      <c r="DE50" s="270"/>
      <c r="DF50" s="322"/>
      <c r="DG50" s="501"/>
      <c r="DH50" s="501"/>
      <c r="DI50" s="501"/>
      <c r="DJ50" s="501"/>
      <c r="DK50" s="502"/>
      <c r="DL50" s="503"/>
      <c r="DM50" s="504"/>
      <c r="DN50" s="504"/>
      <c r="DO50" s="504"/>
      <c r="DP50" s="505"/>
      <c r="DQ50" s="506"/>
      <c r="DR50" s="504"/>
      <c r="DS50" s="504"/>
      <c r="DT50" s="504"/>
      <c r="DU50" s="505"/>
      <c r="DV50" s="506"/>
      <c r="DW50" s="504"/>
      <c r="DX50" s="504"/>
      <c r="DY50" s="504"/>
      <c r="DZ50" s="505"/>
      <c r="EA50" s="506"/>
      <c r="EB50" s="504"/>
      <c r="EC50" s="504"/>
      <c r="ED50" s="504"/>
      <c r="EE50" s="505"/>
      <c r="EF50" s="506"/>
      <c r="EG50" s="504"/>
      <c r="EH50" s="504"/>
      <c r="EI50" s="504"/>
      <c r="EJ50" s="505"/>
      <c r="EK50" s="506"/>
      <c r="EL50" s="504"/>
      <c r="EM50" s="504"/>
      <c r="EN50" s="504"/>
      <c r="EO50" s="505"/>
      <c r="EP50" s="270">
        <v>4</v>
      </c>
      <c r="EQ50" s="270"/>
      <c r="ER50" s="270"/>
      <c r="ES50" s="270"/>
      <c r="ET50" s="270"/>
      <c r="EU50" s="270"/>
      <c r="EV50" s="270"/>
      <c r="EW50" s="270"/>
      <c r="EX50" s="270"/>
      <c r="EY50" s="270"/>
      <c r="EZ50" s="657"/>
      <c r="FA50" s="501"/>
      <c r="FB50" s="501"/>
      <c r="FC50" s="501"/>
      <c r="FD50" s="502"/>
      <c r="FE50" s="499">
        <f t="shared" si="17"/>
        <v>4</v>
      </c>
      <c r="FF50" s="765"/>
      <c r="FG50" s="765"/>
      <c r="FH50" s="339"/>
      <c r="FI50" s="500"/>
    </row>
    <row r="51" spans="1:166" s="101" customFormat="1" ht="80.099999999999994" customHeight="1" x14ac:dyDescent="0.2">
      <c r="A51" s="141" t="s">
        <v>12</v>
      </c>
      <c r="B51" s="134" t="s">
        <v>140</v>
      </c>
      <c r="C51" s="865" t="s">
        <v>193</v>
      </c>
      <c r="D51" s="865"/>
      <c r="E51" s="865"/>
      <c r="F51" s="865"/>
      <c r="G51" s="865"/>
      <c r="H51" s="865"/>
      <c r="I51" s="865"/>
      <c r="J51" s="865"/>
      <c r="K51" s="865"/>
      <c r="L51" s="865"/>
      <c r="M51" s="865"/>
      <c r="N51" s="865"/>
      <c r="O51" s="865"/>
      <c r="P51" s="865"/>
      <c r="Q51" s="865"/>
      <c r="R51" s="865"/>
      <c r="S51" s="865"/>
      <c r="T51" s="865"/>
      <c r="U51" s="865"/>
      <c r="V51" s="865"/>
      <c r="W51" s="865"/>
      <c r="X51" s="865"/>
      <c r="Y51" s="865"/>
      <c r="Z51" s="741">
        <f t="shared" si="14"/>
        <v>360</v>
      </c>
      <c r="AA51" s="742"/>
      <c r="AB51" s="742"/>
      <c r="AC51" s="742"/>
      <c r="AD51" s="743"/>
      <c r="AE51" s="521"/>
      <c r="AF51" s="521"/>
      <c r="AG51" s="521"/>
      <c r="AH51" s="521"/>
      <c r="AI51" s="521"/>
      <c r="AJ51" s="866">
        <f t="shared" si="15"/>
        <v>144</v>
      </c>
      <c r="AK51" s="867"/>
      <c r="AL51" s="867"/>
      <c r="AM51" s="867"/>
      <c r="AN51" s="868"/>
      <c r="AO51" s="744">
        <v>72</v>
      </c>
      <c r="AP51" s="744"/>
      <c r="AQ51" s="744"/>
      <c r="AR51" s="744"/>
      <c r="AS51" s="744"/>
      <c r="AT51" s="744">
        <v>72</v>
      </c>
      <c r="AU51" s="744"/>
      <c r="AV51" s="744"/>
      <c r="AW51" s="744"/>
      <c r="AX51" s="744"/>
      <c r="AY51" s="744"/>
      <c r="AZ51" s="744"/>
      <c r="BA51" s="744"/>
      <c r="BB51" s="744"/>
      <c r="BC51" s="744"/>
      <c r="BD51" s="745"/>
      <c r="BE51" s="745"/>
      <c r="BF51" s="745"/>
      <c r="BG51" s="745"/>
      <c r="BH51" s="745"/>
      <c r="BI51" s="745"/>
      <c r="BJ51" s="745"/>
      <c r="BK51" s="745"/>
      <c r="BL51" s="745"/>
      <c r="BM51" s="745"/>
      <c r="BN51" s="870">
        <f t="shared" si="16"/>
        <v>216</v>
      </c>
      <c r="BO51" s="742"/>
      <c r="BP51" s="742"/>
      <c r="BQ51" s="742"/>
      <c r="BR51" s="871"/>
      <c r="BS51" s="656"/>
      <c r="BT51" s="648"/>
      <c r="BU51" s="648"/>
      <c r="BV51" s="648"/>
      <c r="BW51" s="649"/>
      <c r="BX51" s="647"/>
      <c r="BY51" s="648"/>
      <c r="BZ51" s="648"/>
      <c r="CA51" s="648"/>
      <c r="CB51" s="649"/>
      <c r="CC51" s="647"/>
      <c r="CD51" s="648"/>
      <c r="CE51" s="648"/>
      <c r="CF51" s="648"/>
      <c r="CG51" s="649"/>
      <c r="CH51" s="647"/>
      <c r="CI51" s="648"/>
      <c r="CJ51" s="648"/>
      <c r="CK51" s="648"/>
      <c r="CL51" s="649"/>
      <c r="CM51" s="647"/>
      <c r="CN51" s="648"/>
      <c r="CO51" s="648"/>
      <c r="CP51" s="648"/>
      <c r="CQ51" s="649"/>
      <c r="CR51" s="522"/>
      <c r="CS51" s="522"/>
      <c r="CT51" s="522"/>
      <c r="CU51" s="522"/>
      <c r="CV51" s="522"/>
      <c r="CW51" s="521">
        <v>4</v>
      </c>
      <c r="CX51" s="521"/>
      <c r="CY51" s="521"/>
      <c r="CZ51" s="521"/>
      <c r="DA51" s="521"/>
      <c r="DB51" s="521">
        <v>4</v>
      </c>
      <c r="DC51" s="521"/>
      <c r="DD51" s="521"/>
      <c r="DE51" s="521"/>
      <c r="DF51" s="869"/>
      <c r="DG51" s="650"/>
      <c r="DH51" s="650"/>
      <c r="DI51" s="650"/>
      <c r="DJ51" s="650"/>
      <c r="DK51" s="651"/>
      <c r="DL51" s="656"/>
      <c r="DM51" s="648"/>
      <c r="DN51" s="648"/>
      <c r="DO51" s="648"/>
      <c r="DP51" s="649"/>
      <c r="DQ51" s="647"/>
      <c r="DR51" s="648"/>
      <c r="DS51" s="648"/>
      <c r="DT51" s="648"/>
      <c r="DU51" s="649"/>
      <c r="DV51" s="647"/>
      <c r="DW51" s="648"/>
      <c r="DX51" s="648"/>
      <c r="DY51" s="648"/>
      <c r="DZ51" s="649"/>
      <c r="EA51" s="647"/>
      <c r="EB51" s="648"/>
      <c r="EC51" s="648"/>
      <c r="ED51" s="648"/>
      <c r="EE51" s="649"/>
      <c r="EF51" s="647"/>
      <c r="EG51" s="648"/>
      <c r="EH51" s="648"/>
      <c r="EI51" s="648"/>
      <c r="EJ51" s="649"/>
      <c r="EK51" s="647"/>
      <c r="EL51" s="648"/>
      <c r="EM51" s="648"/>
      <c r="EN51" s="648"/>
      <c r="EO51" s="649"/>
      <c r="EP51" s="521">
        <v>6</v>
      </c>
      <c r="EQ51" s="521"/>
      <c r="ER51" s="521"/>
      <c r="ES51" s="521"/>
      <c r="ET51" s="521"/>
      <c r="EU51" s="521">
        <v>6</v>
      </c>
      <c r="EV51" s="521"/>
      <c r="EW51" s="521"/>
      <c r="EX51" s="521"/>
      <c r="EY51" s="521"/>
      <c r="EZ51" s="872"/>
      <c r="FA51" s="650"/>
      <c r="FB51" s="650"/>
      <c r="FC51" s="650"/>
      <c r="FD51" s="651"/>
      <c r="FE51" s="652">
        <f t="shared" si="17"/>
        <v>12</v>
      </c>
      <c r="FF51" s="873"/>
      <c r="FG51" s="873"/>
      <c r="FH51" s="653"/>
      <c r="FI51" s="654"/>
    </row>
    <row r="52" spans="1:166" s="101" customFormat="1" ht="110.1" customHeight="1" x14ac:dyDescent="0.2">
      <c r="A52" s="141" t="s">
        <v>130</v>
      </c>
      <c r="B52" s="134" t="s">
        <v>140</v>
      </c>
      <c r="C52" s="865" t="s">
        <v>194</v>
      </c>
      <c r="D52" s="865"/>
      <c r="E52" s="865"/>
      <c r="F52" s="865"/>
      <c r="G52" s="865"/>
      <c r="H52" s="865"/>
      <c r="I52" s="865"/>
      <c r="J52" s="865"/>
      <c r="K52" s="865"/>
      <c r="L52" s="865"/>
      <c r="M52" s="865"/>
      <c r="N52" s="865"/>
      <c r="O52" s="865"/>
      <c r="P52" s="865"/>
      <c r="Q52" s="865"/>
      <c r="R52" s="865"/>
      <c r="S52" s="865"/>
      <c r="T52" s="865"/>
      <c r="U52" s="865"/>
      <c r="V52" s="865"/>
      <c r="W52" s="865"/>
      <c r="X52" s="865"/>
      <c r="Y52" s="865"/>
      <c r="Z52" s="741">
        <f t="shared" si="14"/>
        <v>60</v>
      </c>
      <c r="AA52" s="742"/>
      <c r="AB52" s="742"/>
      <c r="AC52" s="742"/>
      <c r="AD52" s="743"/>
      <c r="AE52" s="521"/>
      <c r="AF52" s="521"/>
      <c r="AG52" s="521"/>
      <c r="AH52" s="521"/>
      <c r="AI52" s="521"/>
      <c r="AJ52" s="866">
        <f t="shared" si="15"/>
        <v>24</v>
      </c>
      <c r="AK52" s="867"/>
      <c r="AL52" s="867"/>
      <c r="AM52" s="867"/>
      <c r="AN52" s="868"/>
      <c r="AO52" s="744">
        <v>12</v>
      </c>
      <c r="AP52" s="744"/>
      <c r="AQ52" s="744"/>
      <c r="AR52" s="744"/>
      <c r="AS52" s="744"/>
      <c r="AT52" s="744"/>
      <c r="AU52" s="744"/>
      <c r="AV52" s="744"/>
      <c r="AW52" s="744"/>
      <c r="AX52" s="744"/>
      <c r="AY52" s="744">
        <v>12</v>
      </c>
      <c r="AZ52" s="744"/>
      <c r="BA52" s="744"/>
      <c r="BB52" s="744"/>
      <c r="BC52" s="744"/>
      <c r="BD52" s="745"/>
      <c r="BE52" s="745"/>
      <c r="BF52" s="745"/>
      <c r="BG52" s="745"/>
      <c r="BH52" s="745"/>
      <c r="BI52" s="745"/>
      <c r="BJ52" s="745"/>
      <c r="BK52" s="745"/>
      <c r="BL52" s="745"/>
      <c r="BM52" s="745"/>
      <c r="BN52" s="870">
        <f t="shared" si="16"/>
        <v>36</v>
      </c>
      <c r="BO52" s="742"/>
      <c r="BP52" s="742"/>
      <c r="BQ52" s="742"/>
      <c r="BR52" s="871"/>
      <c r="BS52" s="656"/>
      <c r="BT52" s="648"/>
      <c r="BU52" s="648"/>
      <c r="BV52" s="648"/>
      <c r="BW52" s="649"/>
      <c r="BX52" s="647"/>
      <c r="BY52" s="648"/>
      <c r="BZ52" s="648"/>
      <c r="CA52" s="648"/>
      <c r="CB52" s="649"/>
      <c r="CC52" s="647"/>
      <c r="CD52" s="648"/>
      <c r="CE52" s="648"/>
      <c r="CF52" s="648"/>
      <c r="CG52" s="649"/>
      <c r="CH52" s="647"/>
      <c r="CI52" s="648"/>
      <c r="CJ52" s="648"/>
      <c r="CK52" s="648"/>
      <c r="CL52" s="649"/>
      <c r="CM52" s="647"/>
      <c r="CN52" s="648"/>
      <c r="CO52" s="648"/>
      <c r="CP52" s="648"/>
      <c r="CQ52" s="649"/>
      <c r="CR52" s="522"/>
      <c r="CS52" s="522"/>
      <c r="CT52" s="522"/>
      <c r="CU52" s="522"/>
      <c r="CV52" s="522"/>
      <c r="CW52" s="521"/>
      <c r="CX52" s="521"/>
      <c r="CY52" s="521"/>
      <c r="CZ52" s="521"/>
      <c r="DA52" s="521"/>
      <c r="DB52" s="521">
        <v>2</v>
      </c>
      <c r="DC52" s="521"/>
      <c r="DD52" s="521"/>
      <c r="DE52" s="521"/>
      <c r="DF52" s="869"/>
      <c r="DG52" s="650"/>
      <c r="DH52" s="650"/>
      <c r="DI52" s="650"/>
      <c r="DJ52" s="650"/>
      <c r="DK52" s="651"/>
      <c r="DL52" s="656"/>
      <c r="DM52" s="648"/>
      <c r="DN52" s="648"/>
      <c r="DO52" s="648"/>
      <c r="DP52" s="649"/>
      <c r="DQ52" s="647"/>
      <c r="DR52" s="648"/>
      <c r="DS52" s="648"/>
      <c r="DT52" s="648"/>
      <c r="DU52" s="649"/>
      <c r="DV52" s="647"/>
      <c r="DW52" s="648"/>
      <c r="DX52" s="648"/>
      <c r="DY52" s="648"/>
      <c r="DZ52" s="649"/>
      <c r="EA52" s="647"/>
      <c r="EB52" s="648"/>
      <c r="EC52" s="648"/>
      <c r="ED52" s="648"/>
      <c r="EE52" s="649"/>
      <c r="EF52" s="647"/>
      <c r="EG52" s="648"/>
      <c r="EH52" s="648"/>
      <c r="EI52" s="648"/>
      <c r="EJ52" s="649"/>
      <c r="EK52" s="647"/>
      <c r="EL52" s="648"/>
      <c r="EM52" s="648"/>
      <c r="EN52" s="648"/>
      <c r="EO52" s="649"/>
      <c r="EP52" s="521"/>
      <c r="EQ52" s="521"/>
      <c r="ER52" s="521"/>
      <c r="ES52" s="521"/>
      <c r="ET52" s="521"/>
      <c r="EU52" s="521">
        <v>2</v>
      </c>
      <c r="EV52" s="521"/>
      <c r="EW52" s="521"/>
      <c r="EX52" s="521"/>
      <c r="EY52" s="521"/>
      <c r="EZ52" s="872"/>
      <c r="FA52" s="650"/>
      <c r="FB52" s="650"/>
      <c r="FC52" s="650"/>
      <c r="FD52" s="651"/>
      <c r="FE52" s="652">
        <f t="shared" si="17"/>
        <v>2</v>
      </c>
      <c r="FF52" s="873"/>
      <c r="FG52" s="873"/>
      <c r="FH52" s="653"/>
      <c r="FI52" s="654"/>
    </row>
    <row r="53" spans="1:166" ht="69.95" customHeight="1" x14ac:dyDescent="0.2">
      <c r="A53" s="142" t="s">
        <v>43</v>
      </c>
      <c r="B53" s="64"/>
      <c r="C53" s="424" t="s">
        <v>91</v>
      </c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326">
        <f>SUM(Z54:AD91)</f>
        <v>2280</v>
      </c>
      <c r="AA53" s="326"/>
      <c r="AB53" s="326"/>
      <c r="AC53" s="326"/>
      <c r="AD53" s="326"/>
      <c r="AE53" s="362">
        <f>Z53/$Z$96*100</f>
        <v>31.666666666666664</v>
      </c>
      <c r="AF53" s="362"/>
      <c r="AG53" s="362"/>
      <c r="AH53" s="362"/>
      <c r="AI53" s="362"/>
      <c r="AJ53" s="335">
        <f>SUM(AJ54:AN91)</f>
        <v>922</v>
      </c>
      <c r="AK53" s="336"/>
      <c r="AL53" s="336"/>
      <c r="AM53" s="336"/>
      <c r="AN53" s="337"/>
      <c r="AO53" s="335">
        <f>SUM(AO54:AS91)</f>
        <v>200</v>
      </c>
      <c r="AP53" s="336"/>
      <c r="AQ53" s="336"/>
      <c r="AR53" s="336"/>
      <c r="AS53" s="337"/>
      <c r="AT53" s="335">
        <f>SUM(AT54:AX91)</f>
        <v>656</v>
      </c>
      <c r="AU53" s="336"/>
      <c r="AV53" s="336"/>
      <c r="AW53" s="336"/>
      <c r="AX53" s="337"/>
      <c r="AY53" s="335">
        <f>SUM(AY54:BC91)</f>
        <v>66</v>
      </c>
      <c r="AZ53" s="336"/>
      <c r="BA53" s="336"/>
      <c r="BB53" s="336"/>
      <c r="BC53" s="337"/>
      <c r="BD53" s="335">
        <f>SUM(BD54:BH91)</f>
        <v>0</v>
      </c>
      <c r="BE53" s="336"/>
      <c r="BF53" s="336"/>
      <c r="BG53" s="336"/>
      <c r="BH53" s="337"/>
      <c r="BI53" s="335">
        <f>SUM(BI54:BM91)</f>
        <v>0</v>
      </c>
      <c r="BJ53" s="336"/>
      <c r="BK53" s="336"/>
      <c r="BL53" s="336"/>
      <c r="BM53" s="337"/>
      <c r="BN53" s="326">
        <f>SUM(BN54:BR91)</f>
        <v>1358</v>
      </c>
      <c r="BO53" s="326"/>
      <c r="BP53" s="326"/>
      <c r="BQ53" s="326"/>
      <c r="BR53" s="639"/>
      <c r="BS53" s="612">
        <f>+SUM(BS54:BW91)</f>
        <v>3</v>
      </c>
      <c r="BT53" s="290"/>
      <c r="BU53" s="290"/>
      <c r="BV53" s="290"/>
      <c r="BW53" s="292"/>
      <c r="BX53" s="290">
        <f>+SUM(BX54:CB91)</f>
        <v>18</v>
      </c>
      <c r="BY53" s="290"/>
      <c r="BZ53" s="290"/>
      <c r="CA53" s="290"/>
      <c r="CB53" s="290"/>
      <c r="CC53" s="290">
        <f>+SUM(CC54:CG91)</f>
        <v>6</v>
      </c>
      <c r="CD53" s="290"/>
      <c r="CE53" s="290"/>
      <c r="CF53" s="290"/>
      <c r="CG53" s="290"/>
      <c r="CH53" s="290">
        <f>+SUM(CH54:CL91)</f>
        <v>0</v>
      </c>
      <c r="CI53" s="290"/>
      <c r="CJ53" s="290"/>
      <c r="CK53" s="290"/>
      <c r="CL53" s="290"/>
      <c r="CM53" s="290">
        <f>+SUM(CM54:CQ91)</f>
        <v>7</v>
      </c>
      <c r="CN53" s="290"/>
      <c r="CO53" s="290"/>
      <c r="CP53" s="290"/>
      <c r="CQ53" s="290"/>
      <c r="CR53" s="290">
        <f>+SUM(CR54:CV91)</f>
        <v>7</v>
      </c>
      <c r="CS53" s="290"/>
      <c r="CT53" s="290"/>
      <c r="CU53" s="290"/>
      <c r="CV53" s="290"/>
      <c r="CW53" s="290">
        <f>+SUM(CW54:DA91)</f>
        <v>8</v>
      </c>
      <c r="CX53" s="290"/>
      <c r="CY53" s="290"/>
      <c r="CZ53" s="290"/>
      <c r="DA53" s="290"/>
      <c r="DB53" s="290">
        <f>+SUM(DB54:DF91)</f>
        <v>8</v>
      </c>
      <c r="DC53" s="290"/>
      <c r="DD53" s="290"/>
      <c r="DE53" s="290"/>
      <c r="DF53" s="290"/>
      <c r="DG53" s="290">
        <f>+SUM(DG54:DK91)</f>
        <v>24</v>
      </c>
      <c r="DH53" s="290"/>
      <c r="DI53" s="290"/>
      <c r="DJ53" s="290"/>
      <c r="DK53" s="535"/>
      <c r="DL53" s="612">
        <f>+SUM(DL54:DP91)</f>
        <v>4</v>
      </c>
      <c r="DM53" s="290"/>
      <c r="DN53" s="290"/>
      <c r="DO53" s="290"/>
      <c r="DP53" s="290"/>
      <c r="DQ53" s="291">
        <f>+SUM(DQ54:DU91)</f>
        <v>18</v>
      </c>
      <c r="DR53" s="290"/>
      <c r="DS53" s="290"/>
      <c r="DT53" s="290"/>
      <c r="DU53" s="290"/>
      <c r="DV53" s="291">
        <f>+SUM(DV54:DZ91)</f>
        <v>6</v>
      </c>
      <c r="DW53" s="290"/>
      <c r="DX53" s="290"/>
      <c r="DY53" s="290"/>
      <c r="DZ53" s="290"/>
      <c r="EA53" s="291">
        <f>+SUM(EA54:EE91)</f>
        <v>0</v>
      </c>
      <c r="EB53" s="290"/>
      <c r="EC53" s="290"/>
      <c r="ED53" s="290"/>
      <c r="EE53" s="290"/>
      <c r="EF53" s="291">
        <f>+SUM(EF54:EJ91)</f>
        <v>8</v>
      </c>
      <c r="EG53" s="290"/>
      <c r="EH53" s="290"/>
      <c r="EI53" s="290"/>
      <c r="EJ53" s="290"/>
      <c r="EK53" s="291">
        <f>+SUM(EK54:EO91)</f>
        <v>8</v>
      </c>
      <c r="EL53" s="290"/>
      <c r="EM53" s="290"/>
      <c r="EN53" s="290"/>
      <c r="EO53" s="290"/>
      <c r="EP53" s="291">
        <f>+SUM(EP54:ET91)</f>
        <v>10</v>
      </c>
      <c r="EQ53" s="290"/>
      <c r="ER53" s="290"/>
      <c r="ES53" s="290"/>
      <c r="ET53" s="290"/>
      <c r="EU53" s="291">
        <f>+SUM(EU54:EY91)</f>
        <v>10</v>
      </c>
      <c r="EV53" s="290"/>
      <c r="EW53" s="290"/>
      <c r="EX53" s="290"/>
      <c r="EY53" s="290"/>
      <c r="EZ53" s="291">
        <f>+SUM(EZ54:FD91)</f>
        <v>12</v>
      </c>
      <c r="FA53" s="290"/>
      <c r="FB53" s="290"/>
      <c r="FC53" s="290"/>
      <c r="FD53" s="535"/>
      <c r="FE53" s="536">
        <f>SUM(FE54:FI91)</f>
        <v>76</v>
      </c>
      <c r="FF53" s="772"/>
      <c r="FG53" s="772"/>
      <c r="FH53" s="324"/>
      <c r="FI53" s="537"/>
    </row>
    <row r="54" spans="1:166" s="78" customFormat="1" ht="84.95" customHeight="1" x14ac:dyDescent="0.2">
      <c r="A54" s="751" t="s">
        <v>13</v>
      </c>
      <c r="B54" s="133" t="s">
        <v>146</v>
      </c>
      <c r="C54" s="848" t="s">
        <v>232</v>
      </c>
      <c r="D54" s="848"/>
      <c r="E54" s="848"/>
      <c r="F54" s="848"/>
      <c r="G54" s="848"/>
      <c r="H54" s="848"/>
      <c r="I54" s="848"/>
      <c r="J54" s="848"/>
      <c r="K54" s="848"/>
      <c r="L54" s="848"/>
      <c r="M54" s="848"/>
      <c r="N54" s="848"/>
      <c r="O54" s="848"/>
      <c r="P54" s="848"/>
      <c r="Q54" s="848"/>
      <c r="R54" s="848"/>
      <c r="S54" s="848"/>
      <c r="T54" s="848"/>
      <c r="U54" s="848"/>
      <c r="V54" s="848"/>
      <c r="W54" s="848"/>
      <c r="X54" s="848"/>
      <c r="Y54" s="848"/>
      <c r="Z54" s="307">
        <f>+FE54*30</f>
        <v>120</v>
      </c>
      <c r="AA54" s="308"/>
      <c r="AB54" s="308"/>
      <c r="AC54" s="308"/>
      <c r="AD54" s="309"/>
      <c r="AE54" s="313"/>
      <c r="AF54" s="314"/>
      <c r="AG54" s="314"/>
      <c r="AH54" s="314"/>
      <c r="AI54" s="315"/>
      <c r="AJ54" s="301">
        <f>SUM(AO54:BH55)</f>
        <v>60</v>
      </c>
      <c r="AK54" s="302"/>
      <c r="AL54" s="302"/>
      <c r="AM54" s="302"/>
      <c r="AN54" s="303"/>
      <c r="AO54" s="301">
        <v>30</v>
      </c>
      <c r="AP54" s="302"/>
      <c r="AQ54" s="302"/>
      <c r="AR54" s="302"/>
      <c r="AS54" s="303"/>
      <c r="AT54" s="301">
        <v>30</v>
      </c>
      <c r="AU54" s="302"/>
      <c r="AV54" s="302"/>
      <c r="AW54" s="302"/>
      <c r="AX54" s="303"/>
      <c r="AY54" s="301"/>
      <c r="AZ54" s="302"/>
      <c r="BA54" s="302"/>
      <c r="BB54" s="302"/>
      <c r="BC54" s="303"/>
      <c r="BD54" s="301"/>
      <c r="BE54" s="302"/>
      <c r="BF54" s="302"/>
      <c r="BG54" s="302"/>
      <c r="BH54" s="303"/>
      <c r="BI54" s="301"/>
      <c r="BJ54" s="302"/>
      <c r="BK54" s="302"/>
      <c r="BL54" s="302"/>
      <c r="BM54" s="303"/>
      <c r="BN54" s="307">
        <f>Z54-AJ54</f>
        <v>60</v>
      </c>
      <c r="BO54" s="308"/>
      <c r="BP54" s="308"/>
      <c r="BQ54" s="308"/>
      <c r="BR54" s="517"/>
      <c r="BS54" s="514"/>
      <c r="BT54" s="314"/>
      <c r="BU54" s="314"/>
      <c r="BV54" s="314"/>
      <c r="BW54" s="314"/>
      <c r="BX54" s="270"/>
      <c r="BY54" s="270"/>
      <c r="BZ54" s="270"/>
      <c r="CA54" s="270"/>
      <c r="CB54" s="270"/>
      <c r="CC54" s="270">
        <v>4</v>
      </c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/>
      <c r="CS54" s="270"/>
      <c r="CT54" s="270"/>
      <c r="CU54" s="270"/>
      <c r="CV54" s="270"/>
      <c r="CW54" s="270"/>
      <c r="CX54" s="270"/>
      <c r="CY54" s="270"/>
      <c r="CZ54" s="270"/>
      <c r="DA54" s="270"/>
      <c r="DB54" s="270"/>
      <c r="DC54" s="270"/>
      <c r="DD54" s="270"/>
      <c r="DE54" s="270"/>
      <c r="DF54" s="270"/>
      <c r="DG54" s="270"/>
      <c r="DH54" s="270"/>
      <c r="DI54" s="270"/>
      <c r="DJ54" s="270"/>
      <c r="DK54" s="533"/>
      <c r="DL54" s="757"/>
      <c r="DM54" s="270"/>
      <c r="DN54" s="270"/>
      <c r="DO54" s="270"/>
      <c r="DP54" s="270"/>
      <c r="DQ54" s="270"/>
      <c r="DR54" s="270"/>
      <c r="DS54" s="270"/>
      <c r="DT54" s="270"/>
      <c r="DU54" s="270"/>
      <c r="DV54" s="270">
        <v>4</v>
      </c>
      <c r="DW54" s="270"/>
      <c r="DX54" s="270"/>
      <c r="DY54" s="270"/>
      <c r="DZ54" s="270"/>
      <c r="EA54" s="270"/>
      <c r="EB54" s="270"/>
      <c r="EC54" s="270"/>
      <c r="ED54" s="270"/>
      <c r="EE54" s="270"/>
      <c r="EF54" s="270"/>
      <c r="EG54" s="270"/>
      <c r="EH54" s="270"/>
      <c r="EI54" s="270"/>
      <c r="EJ54" s="270"/>
      <c r="EK54" s="270"/>
      <c r="EL54" s="270"/>
      <c r="EM54" s="270"/>
      <c r="EN54" s="270"/>
      <c r="EO54" s="270"/>
      <c r="EP54" s="270"/>
      <c r="EQ54" s="270"/>
      <c r="ER54" s="270"/>
      <c r="ES54" s="270"/>
      <c r="ET54" s="270"/>
      <c r="EU54" s="270"/>
      <c r="EV54" s="270"/>
      <c r="EW54" s="270"/>
      <c r="EX54" s="270"/>
      <c r="EY54" s="270"/>
      <c r="EZ54" s="270"/>
      <c r="FA54" s="270"/>
      <c r="FB54" s="270"/>
      <c r="FC54" s="270"/>
      <c r="FD54" s="533"/>
      <c r="FE54" s="534">
        <f>SUM(DL54:FD55)</f>
        <v>4</v>
      </c>
      <c r="FF54" s="505"/>
      <c r="FG54" s="505"/>
      <c r="FH54" s="511"/>
      <c r="FI54" s="524"/>
      <c r="FJ54" s="123" t="s">
        <v>268</v>
      </c>
    </row>
    <row r="55" spans="1:166" s="78" customFormat="1" ht="110.1" customHeight="1" x14ac:dyDescent="0.2">
      <c r="A55" s="752"/>
      <c r="B55" s="133" t="s">
        <v>185</v>
      </c>
      <c r="C55" s="848" t="s">
        <v>184</v>
      </c>
      <c r="D55" s="848"/>
      <c r="E55" s="848"/>
      <c r="F55" s="848"/>
      <c r="G55" s="848"/>
      <c r="H55" s="848"/>
      <c r="I55" s="848"/>
      <c r="J55" s="848"/>
      <c r="K55" s="848"/>
      <c r="L55" s="848"/>
      <c r="M55" s="848"/>
      <c r="N55" s="848"/>
      <c r="O55" s="848"/>
      <c r="P55" s="848"/>
      <c r="Q55" s="848"/>
      <c r="R55" s="848"/>
      <c r="S55" s="848"/>
      <c r="T55" s="848"/>
      <c r="U55" s="848"/>
      <c r="V55" s="848"/>
      <c r="W55" s="848"/>
      <c r="X55" s="848"/>
      <c r="Y55" s="848"/>
      <c r="Z55" s="310"/>
      <c r="AA55" s="311"/>
      <c r="AB55" s="311"/>
      <c r="AC55" s="311"/>
      <c r="AD55" s="312"/>
      <c r="AE55" s="316"/>
      <c r="AF55" s="317"/>
      <c r="AG55" s="317"/>
      <c r="AH55" s="317"/>
      <c r="AI55" s="318"/>
      <c r="AJ55" s="304"/>
      <c r="AK55" s="305"/>
      <c r="AL55" s="305"/>
      <c r="AM55" s="305"/>
      <c r="AN55" s="306"/>
      <c r="AO55" s="304"/>
      <c r="AP55" s="305"/>
      <c r="AQ55" s="305"/>
      <c r="AR55" s="305"/>
      <c r="AS55" s="306"/>
      <c r="AT55" s="304"/>
      <c r="AU55" s="305"/>
      <c r="AV55" s="305"/>
      <c r="AW55" s="305"/>
      <c r="AX55" s="306"/>
      <c r="AY55" s="304"/>
      <c r="AZ55" s="305"/>
      <c r="BA55" s="305"/>
      <c r="BB55" s="305"/>
      <c r="BC55" s="306"/>
      <c r="BD55" s="304"/>
      <c r="BE55" s="305"/>
      <c r="BF55" s="305"/>
      <c r="BG55" s="305"/>
      <c r="BH55" s="306"/>
      <c r="BI55" s="304"/>
      <c r="BJ55" s="305"/>
      <c r="BK55" s="305"/>
      <c r="BL55" s="305"/>
      <c r="BM55" s="306"/>
      <c r="BN55" s="310"/>
      <c r="BO55" s="311"/>
      <c r="BP55" s="311"/>
      <c r="BQ55" s="311"/>
      <c r="BR55" s="518"/>
      <c r="BS55" s="515"/>
      <c r="BT55" s="317"/>
      <c r="BU55" s="317"/>
      <c r="BV55" s="317"/>
      <c r="BW55" s="317"/>
      <c r="BX55" s="270"/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  <c r="DB55" s="270"/>
      <c r="DC55" s="270"/>
      <c r="DD55" s="270"/>
      <c r="DE55" s="270"/>
      <c r="DF55" s="270"/>
      <c r="DG55" s="270"/>
      <c r="DH55" s="270"/>
      <c r="DI55" s="270"/>
      <c r="DJ55" s="270"/>
      <c r="DK55" s="533"/>
      <c r="DL55" s="757"/>
      <c r="DM55" s="270"/>
      <c r="DN55" s="270"/>
      <c r="DO55" s="270"/>
      <c r="DP55" s="270"/>
      <c r="DQ55" s="270"/>
      <c r="DR55" s="270"/>
      <c r="DS55" s="270"/>
      <c r="DT55" s="270"/>
      <c r="DU55" s="270"/>
      <c r="DV55" s="270"/>
      <c r="DW55" s="270"/>
      <c r="DX55" s="270"/>
      <c r="DY55" s="270"/>
      <c r="DZ55" s="270"/>
      <c r="EA55" s="270"/>
      <c r="EB55" s="270"/>
      <c r="EC55" s="270"/>
      <c r="ED55" s="270"/>
      <c r="EE55" s="270"/>
      <c r="EF55" s="270"/>
      <c r="EG55" s="270"/>
      <c r="EH55" s="270"/>
      <c r="EI55" s="270"/>
      <c r="EJ55" s="270"/>
      <c r="EK55" s="270"/>
      <c r="EL55" s="270"/>
      <c r="EM55" s="270"/>
      <c r="EN55" s="270"/>
      <c r="EO55" s="270"/>
      <c r="EP55" s="270"/>
      <c r="EQ55" s="270"/>
      <c r="ER55" s="270"/>
      <c r="ES55" s="270"/>
      <c r="ET55" s="270"/>
      <c r="EU55" s="270"/>
      <c r="EV55" s="270"/>
      <c r="EW55" s="270"/>
      <c r="EX55" s="270"/>
      <c r="EY55" s="270"/>
      <c r="EZ55" s="270"/>
      <c r="FA55" s="270"/>
      <c r="FB55" s="270"/>
      <c r="FC55" s="270"/>
      <c r="FD55" s="533"/>
      <c r="FE55" s="534">
        <f t="shared" ref="FE55" si="18">DL55+DQ55+DV55+EA55+EF55+EP55+EK55+EU55+EZ55</f>
        <v>0</v>
      </c>
      <c r="FF55" s="505"/>
      <c r="FG55" s="505"/>
      <c r="FH55" s="511"/>
      <c r="FI55" s="524"/>
    </row>
    <row r="56" spans="1:166" s="78" customFormat="1" ht="84.95" customHeight="1" x14ac:dyDescent="0.2">
      <c r="A56" s="751" t="s">
        <v>14</v>
      </c>
      <c r="B56" s="133" t="s">
        <v>240</v>
      </c>
      <c r="C56" s="848" t="s">
        <v>241</v>
      </c>
      <c r="D56" s="848"/>
      <c r="E56" s="848"/>
      <c r="F56" s="848"/>
      <c r="G56" s="848"/>
      <c r="H56" s="848"/>
      <c r="I56" s="848"/>
      <c r="J56" s="848"/>
      <c r="K56" s="848"/>
      <c r="L56" s="848"/>
      <c r="M56" s="848"/>
      <c r="N56" s="848"/>
      <c r="O56" s="848"/>
      <c r="P56" s="848"/>
      <c r="Q56" s="848"/>
      <c r="R56" s="848"/>
      <c r="S56" s="848"/>
      <c r="T56" s="848"/>
      <c r="U56" s="848"/>
      <c r="V56" s="848"/>
      <c r="W56" s="848"/>
      <c r="X56" s="848"/>
      <c r="Y56" s="848"/>
      <c r="Z56" s="307">
        <f t="shared" ref="Z56" si="19">+FE56*30</f>
        <v>300</v>
      </c>
      <c r="AA56" s="308"/>
      <c r="AB56" s="308"/>
      <c r="AC56" s="308"/>
      <c r="AD56" s="309"/>
      <c r="AE56" s="446"/>
      <c r="AF56" s="447"/>
      <c r="AG56" s="447"/>
      <c r="AH56" s="447"/>
      <c r="AI56" s="448"/>
      <c r="AJ56" s="301">
        <f t="shared" ref="AJ56" si="20">SUM(AO56:BH57)</f>
        <v>120</v>
      </c>
      <c r="AK56" s="302"/>
      <c r="AL56" s="302"/>
      <c r="AM56" s="302"/>
      <c r="AN56" s="303"/>
      <c r="AO56" s="301"/>
      <c r="AP56" s="302"/>
      <c r="AQ56" s="302"/>
      <c r="AR56" s="302"/>
      <c r="AS56" s="303"/>
      <c r="AT56" s="301">
        <v>120</v>
      </c>
      <c r="AU56" s="302"/>
      <c r="AV56" s="302"/>
      <c r="AW56" s="302"/>
      <c r="AX56" s="303"/>
      <c r="AY56" s="301"/>
      <c r="AZ56" s="302"/>
      <c r="BA56" s="302"/>
      <c r="BB56" s="302"/>
      <c r="BC56" s="303"/>
      <c r="BD56" s="301"/>
      <c r="BE56" s="302"/>
      <c r="BF56" s="302"/>
      <c r="BG56" s="302"/>
      <c r="BH56" s="303"/>
      <c r="BI56" s="301"/>
      <c r="BJ56" s="302"/>
      <c r="BK56" s="302"/>
      <c r="BL56" s="302"/>
      <c r="BM56" s="303"/>
      <c r="BN56" s="307">
        <f t="shared" ref="BN56" si="21">Z56-AJ56</f>
        <v>180</v>
      </c>
      <c r="BO56" s="308"/>
      <c r="BP56" s="308"/>
      <c r="BQ56" s="308"/>
      <c r="BR56" s="517"/>
      <c r="BS56" s="514"/>
      <c r="BT56" s="314"/>
      <c r="BU56" s="314"/>
      <c r="BV56" s="314"/>
      <c r="BW56" s="314"/>
      <c r="BX56" s="270"/>
      <c r="BY56" s="270"/>
      <c r="BZ56" s="270"/>
      <c r="CA56" s="270"/>
      <c r="CB56" s="270"/>
      <c r="CC56" s="270"/>
      <c r="CD56" s="270"/>
      <c r="CE56" s="270"/>
      <c r="CF56" s="270"/>
      <c r="CG56" s="270"/>
      <c r="CH56" s="270"/>
      <c r="CI56" s="270"/>
      <c r="CJ56" s="270"/>
      <c r="CK56" s="270"/>
      <c r="CL56" s="270"/>
      <c r="CM56" s="270">
        <v>3</v>
      </c>
      <c r="CN56" s="270"/>
      <c r="CO56" s="270"/>
      <c r="CP56" s="270"/>
      <c r="CQ56" s="270"/>
      <c r="CR56" s="270">
        <v>3</v>
      </c>
      <c r="CS56" s="270"/>
      <c r="CT56" s="270"/>
      <c r="CU56" s="270"/>
      <c r="CV56" s="270"/>
      <c r="CW56" s="270">
        <v>2</v>
      </c>
      <c r="CX56" s="270"/>
      <c r="CY56" s="270"/>
      <c r="CZ56" s="270"/>
      <c r="DA56" s="270"/>
      <c r="DB56" s="270"/>
      <c r="DC56" s="270"/>
      <c r="DD56" s="270"/>
      <c r="DE56" s="270"/>
      <c r="DF56" s="270"/>
      <c r="DG56" s="270"/>
      <c r="DH56" s="270"/>
      <c r="DI56" s="270"/>
      <c r="DJ56" s="270"/>
      <c r="DK56" s="533"/>
      <c r="DL56" s="757"/>
      <c r="DM56" s="270"/>
      <c r="DN56" s="270"/>
      <c r="DO56" s="270"/>
      <c r="DP56" s="270"/>
      <c r="DQ56" s="270"/>
      <c r="DR56" s="270"/>
      <c r="DS56" s="270"/>
      <c r="DT56" s="270"/>
      <c r="DU56" s="270"/>
      <c r="DV56" s="270"/>
      <c r="DW56" s="270"/>
      <c r="DX56" s="270"/>
      <c r="DY56" s="270"/>
      <c r="DZ56" s="270"/>
      <c r="EA56" s="270"/>
      <c r="EB56" s="270"/>
      <c r="EC56" s="270"/>
      <c r="ED56" s="270"/>
      <c r="EE56" s="270"/>
      <c r="EF56" s="270">
        <v>4</v>
      </c>
      <c r="EG56" s="270"/>
      <c r="EH56" s="270"/>
      <c r="EI56" s="270"/>
      <c r="EJ56" s="270"/>
      <c r="EK56" s="270">
        <v>4</v>
      </c>
      <c r="EL56" s="270"/>
      <c r="EM56" s="270"/>
      <c r="EN56" s="270"/>
      <c r="EO56" s="270"/>
      <c r="EP56" s="270">
        <v>2</v>
      </c>
      <c r="EQ56" s="270"/>
      <c r="ER56" s="270"/>
      <c r="ES56" s="270"/>
      <c r="ET56" s="270"/>
      <c r="EU56" s="270"/>
      <c r="EV56" s="270"/>
      <c r="EW56" s="270"/>
      <c r="EX56" s="270"/>
      <c r="EY56" s="270"/>
      <c r="EZ56" s="270"/>
      <c r="FA56" s="270"/>
      <c r="FB56" s="270"/>
      <c r="FC56" s="270"/>
      <c r="FD56" s="533"/>
      <c r="FE56" s="531">
        <f t="shared" ref="FE56" si="22">SUM(DL56:FD57)</f>
        <v>10</v>
      </c>
      <c r="FF56" s="447"/>
      <c r="FG56" s="447"/>
      <c r="FH56" s="447"/>
      <c r="FI56" s="529"/>
    </row>
    <row r="57" spans="1:166" s="78" customFormat="1" ht="110.1" customHeight="1" x14ac:dyDescent="0.2">
      <c r="A57" s="752"/>
      <c r="B57" s="110" t="s">
        <v>199</v>
      </c>
      <c r="C57" s="835" t="s">
        <v>186</v>
      </c>
      <c r="D57" s="835"/>
      <c r="E57" s="835"/>
      <c r="F57" s="835"/>
      <c r="G57" s="835"/>
      <c r="H57" s="835"/>
      <c r="I57" s="835"/>
      <c r="J57" s="835"/>
      <c r="K57" s="835"/>
      <c r="L57" s="835"/>
      <c r="M57" s="835"/>
      <c r="N57" s="835"/>
      <c r="O57" s="835"/>
      <c r="P57" s="835"/>
      <c r="Q57" s="835"/>
      <c r="R57" s="835"/>
      <c r="S57" s="835"/>
      <c r="T57" s="835"/>
      <c r="U57" s="835"/>
      <c r="V57" s="835"/>
      <c r="W57" s="835"/>
      <c r="X57" s="835"/>
      <c r="Y57" s="835"/>
      <c r="Z57" s="310"/>
      <c r="AA57" s="311"/>
      <c r="AB57" s="311"/>
      <c r="AC57" s="311"/>
      <c r="AD57" s="312"/>
      <c r="AE57" s="449"/>
      <c r="AF57" s="450"/>
      <c r="AG57" s="450"/>
      <c r="AH57" s="450"/>
      <c r="AI57" s="451"/>
      <c r="AJ57" s="304"/>
      <c r="AK57" s="305"/>
      <c r="AL57" s="305"/>
      <c r="AM57" s="305"/>
      <c r="AN57" s="306"/>
      <c r="AO57" s="304"/>
      <c r="AP57" s="305"/>
      <c r="AQ57" s="305"/>
      <c r="AR57" s="305"/>
      <c r="AS57" s="306"/>
      <c r="AT57" s="304"/>
      <c r="AU57" s="305"/>
      <c r="AV57" s="305"/>
      <c r="AW57" s="305"/>
      <c r="AX57" s="306"/>
      <c r="AY57" s="304"/>
      <c r="AZ57" s="305"/>
      <c r="BA57" s="305"/>
      <c r="BB57" s="305"/>
      <c r="BC57" s="306"/>
      <c r="BD57" s="304"/>
      <c r="BE57" s="305"/>
      <c r="BF57" s="305"/>
      <c r="BG57" s="305"/>
      <c r="BH57" s="306"/>
      <c r="BI57" s="304"/>
      <c r="BJ57" s="305"/>
      <c r="BK57" s="305"/>
      <c r="BL57" s="305"/>
      <c r="BM57" s="306"/>
      <c r="BN57" s="310"/>
      <c r="BO57" s="311"/>
      <c r="BP57" s="311"/>
      <c r="BQ57" s="311"/>
      <c r="BR57" s="518"/>
      <c r="BS57" s="515"/>
      <c r="BT57" s="317"/>
      <c r="BU57" s="317"/>
      <c r="BV57" s="317"/>
      <c r="BW57" s="317"/>
      <c r="BX57" s="270"/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  <c r="DB57" s="270"/>
      <c r="DC57" s="270"/>
      <c r="DD57" s="270"/>
      <c r="DE57" s="270"/>
      <c r="DF57" s="270"/>
      <c r="DG57" s="270"/>
      <c r="DH57" s="270"/>
      <c r="DI57" s="270"/>
      <c r="DJ57" s="270"/>
      <c r="DK57" s="533"/>
      <c r="DL57" s="757"/>
      <c r="DM57" s="270"/>
      <c r="DN57" s="270"/>
      <c r="DO57" s="270"/>
      <c r="DP57" s="270"/>
      <c r="DQ57" s="270"/>
      <c r="DR57" s="270"/>
      <c r="DS57" s="270"/>
      <c r="DT57" s="270"/>
      <c r="DU57" s="270"/>
      <c r="DV57" s="270"/>
      <c r="DW57" s="270"/>
      <c r="DX57" s="270"/>
      <c r="DY57" s="270"/>
      <c r="DZ57" s="270"/>
      <c r="EA57" s="270"/>
      <c r="EB57" s="270"/>
      <c r="EC57" s="270"/>
      <c r="ED57" s="270"/>
      <c r="EE57" s="270"/>
      <c r="EF57" s="270"/>
      <c r="EG57" s="270"/>
      <c r="EH57" s="270"/>
      <c r="EI57" s="270"/>
      <c r="EJ57" s="270"/>
      <c r="EK57" s="270"/>
      <c r="EL57" s="270"/>
      <c r="EM57" s="270"/>
      <c r="EN57" s="270"/>
      <c r="EO57" s="270"/>
      <c r="EP57" s="270"/>
      <c r="EQ57" s="270"/>
      <c r="ER57" s="270"/>
      <c r="ES57" s="270"/>
      <c r="ET57" s="270"/>
      <c r="EU57" s="270"/>
      <c r="EV57" s="270"/>
      <c r="EW57" s="270"/>
      <c r="EX57" s="270"/>
      <c r="EY57" s="270"/>
      <c r="EZ57" s="270"/>
      <c r="FA57" s="270"/>
      <c r="FB57" s="270"/>
      <c r="FC57" s="270"/>
      <c r="FD57" s="533"/>
      <c r="FE57" s="532"/>
      <c r="FF57" s="450"/>
      <c r="FG57" s="450"/>
      <c r="FH57" s="450"/>
      <c r="FI57" s="530"/>
    </row>
    <row r="58" spans="1:166" s="78" customFormat="1" ht="84.95" customHeight="1" x14ac:dyDescent="0.2">
      <c r="A58" s="751" t="s">
        <v>44</v>
      </c>
      <c r="B58" s="133" t="s">
        <v>243</v>
      </c>
      <c r="C58" s="845" t="s">
        <v>242</v>
      </c>
      <c r="D58" s="846"/>
      <c r="E58" s="846"/>
      <c r="F58" s="846"/>
      <c r="G58" s="846"/>
      <c r="H58" s="846"/>
      <c r="I58" s="846"/>
      <c r="J58" s="846"/>
      <c r="K58" s="846"/>
      <c r="L58" s="846"/>
      <c r="M58" s="846"/>
      <c r="N58" s="846"/>
      <c r="O58" s="846"/>
      <c r="P58" s="846"/>
      <c r="Q58" s="846"/>
      <c r="R58" s="846"/>
      <c r="S58" s="846"/>
      <c r="T58" s="846"/>
      <c r="U58" s="846"/>
      <c r="V58" s="846"/>
      <c r="W58" s="846"/>
      <c r="X58" s="846"/>
      <c r="Y58" s="847"/>
      <c r="Z58" s="307">
        <f t="shared" ref="Z58" si="23">+FE58*30</f>
        <v>60</v>
      </c>
      <c r="AA58" s="308"/>
      <c r="AB58" s="308"/>
      <c r="AC58" s="308"/>
      <c r="AD58" s="309"/>
      <c r="AE58" s="313"/>
      <c r="AF58" s="314"/>
      <c r="AG58" s="314"/>
      <c r="AH58" s="314"/>
      <c r="AI58" s="315"/>
      <c r="AJ58" s="301">
        <f t="shared" ref="AJ58" si="24">SUM(AO58:BH59)</f>
        <v>30</v>
      </c>
      <c r="AK58" s="302"/>
      <c r="AL58" s="302"/>
      <c r="AM58" s="302"/>
      <c r="AN58" s="303"/>
      <c r="AO58" s="301"/>
      <c r="AP58" s="302"/>
      <c r="AQ58" s="302"/>
      <c r="AR58" s="302"/>
      <c r="AS58" s="303"/>
      <c r="AT58" s="301">
        <v>30</v>
      </c>
      <c r="AU58" s="302"/>
      <c r="AV58" s="302"/>
      <c r="AW58" s="302"/>
      <c r="AX58" s="303"/>
      <c r="AY58" s="301"/>
      <c r="AZ58" s="302"/>
      <c r="BA58" s="302"/>
      <c r="BB58" s="302"/>
      <c r="BC58" s="303"/>
      <c r="BD58" s="301"/>
      <c r="BE58" s="302"/>
      <c r="BF58" s="302"/>
      <c r="BG58" s="302"/>
      <c r="BH58" s="303"/>
      <c r="BI58" s="301"/>
      <c r="BJ58" s="302"/>
      <c r="BK58" s="302"/>
      <c r="BL58" s="302"/>
      <c r="BM58" s="303"/>
      <c r="BN58" s="307">
        <f t="shared" ref="BN58" si="25">Z58-AJ58</f>
        <v>30</v>
      </c>
      <c r="BO58" s="308"/>
      <c r="BP58" s="308"/>
      <c r="BQ58" s="308"/>
      <c r="BR58" s="517"/>
      <c r="BS58" s="514"/>
      <c r="BT58" s="314"/>
      <c r="BU58" s="314"/>
      <c r="BV58" s="314"/>
      <c r="BW58" s="314"/>
      <c r="BX58" s="270"/>
      <c r="BY58" s="270"/>
      <c r="BZ58" s="270"/>
      <c r="CA58" s="270"/>
      <c r="CB58" s="270"/>
      <c r="CC58" s="270">
        <v>2</v>
      </c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70"/>
      <c r="DB58" s="270"/>
      <c r="DC58" s="270"/>
      <c r="DD58" s="270"/>
      <c r="DE58" s="270"/>
      <c r="DF58" s="270"/>
      <c r="DG58" s="270"/>
      <c r="DH58" s="270"/>
      <c r="DI58" s="270"/>
      <c r="DJ58" s="270"/>
      <c r="DK58" s="533"/>
      <c r="DL58" s="757"/>
      <c r="DM58" s="270"/>
      <c r="DN58" s="270"/>
      <c r="DO58" s="270"/>
      <c r="DP58" s="270"/>
      <c r="DQ58" s="270"/>
      <c r="DR58" s="270"/>
      <c r="DS58" s="270"/>
      <c r="DT58" s="270"/>
      <c r="DU58" s="270"/>
      <c r="DV58" s="270">
        <v>2</v>
      </c>
      <c r="DW58" s="270"/>
      <c r="DX58" s="270"/>
      <c r="DY58" s="270"/>
      <c r="DZ58" s="270"/>
      <c r="EA58" s="270"/>
      <c r="EB58" s="270"/>
      <c r="EC58" s="270"/>
      <c r="ED58" s="270"/>
      <c r="EE58" s="270"/>
      <c r="EF58" s="270"/>
      <c r="EG58" s="270"/>
      <c r="EH58" s="270"/>
      <c r="EI58" s="270"/>
      <c r="EJ58" s="270"/>
      <c r="EK58" s="270"/>
      <c r="EL58" s="270"/>
      <c r="EM58" s="270"/>
      <c r="EN58" s="270"/>
      <c r="EO58" s="270"/>
      <c r="EP58" s="270"/>
      <c r="EQ58" s="270"/>
      <c r="ER58" s="270"/>
      <c r="ES58" s="270"/>
      <c r="ET58" s="270"/>
      <c r="EU58" s="270"/>
      <c r="EV58" s="270"/>
      <c r="EW58" s="270"/>
      <c r="EX58" s="270"/>
      <c r="EY58" s="270"/>
      <c r="EZ58" s="270"/>
      <c r="FA58" s="270"/>
      <c r="FB58" s="270"/>
      <c r="FC58" s="270"/>
      <c r="FD58" s="533"/>
      <c r="FE58" s="531">
        <f t="shared" ref="FE58" si="26">SUM(DL58:FD59)</f>
        <v>2</v>
      </c>
      <c r="FF58" s="447"/>
      <c r="FG58" s="447"/>
      <c r="FH58" s="447"/>
      <c r="FI58" s="529"/>
      <c r="FJ58" s="123" t="s">
        <v>268</v>
      </c>
    </row>
    <row r="59" spans="1:166" s="78" customFormat="1" ht="84.95" customHeight="1" x14ac:dyDescent="0.2">
      <c r="A59" s="752"/>
      <c r="B59" s="110" t="s">
        <v>332</v>
      </c>
      <c r="C59" s="836" t="s">
        <v>331</v>
      </c>
      <c r="D59" s="837"/>
      <c r="E59" s="837"/>
      <c r="F59" s="837"/>
      <c r="G59" s="837"/>
      <c r="H59" s="837"/>
      <c r="I59" s="837"/>
      <c r="J59" s="837"/>
      <c r="K59" s="837"/>
      <c r="L59" s="837"/>
      <c r="M59" s="837"/>
      <c r="N59" s="837"/>
      <c r="O59" s="837"/>
      <c r="P59" s="837"/>
      <c r="Q59" s="837"/>
      <c r="R59" s="837"/>
      <c r="S59" s="837"/>
      <c r="T59" s="837"/>
      <c r="U59" s="837"/>
      <c r="V59" s="837"/>
      <c r="W59" s="837"/>
      <c r="X59" s="837"/>
      <c r="Y59" s="838"/>
      <c r="Z59" s="310"/>
      <c r="AA59" s="311"/>
      <c r="AB59" s="311"/>
      <c r="AC59" s="311"/>
      <c r="AD59" s="312"/>
      <c r="AE59" s="316"/>
      <c r="AF59" s="317"/>
      <c r="AG59" s="317"/>
      <c r="AH59" s="317"/>
      <c r="AI59" s="318"/>
      <c r="AJ59" s="304"/>
      <c r="AK59" s="305"/>
      <c r="AL59" s="305"/>
      <c r="AM59" s="305"/>
      <c r="AN59" s="306"/>
      <c r="AO59" s="304"/>
      <c r="AP59" s="305"/>
      <c r="AQ59" s="305"/>
      <c r="AR59" s="305"/>
      <c r="AS59" s="306"/>
      <c r="AT59" s="304"/>
      <c r="AU59" s="305"/>
      <c r="AV59" s="305"/>
      <c r="AW59" s="305"/>
      <c r="AX59" s="306"/>
      <c r="AY59" s="304"/>
      <c r="AZ59" s="305"/>
      <c r="BA59" s="305"/>
      <c r="BB59" s="305"/>
      <c r="BC59" s="306"/>
      <c r="BD59" s="304"/>
      <c r="BE59" s="305"/>
      <c r="BF59" s="305"/>
      <c r="BG59" s="305"/>
      <c r="BH59" s="306"/>
      <c r="BI59" s="304"/>
      <c r="BJ59" s="305"/>
      <c r="BK59" s="305"/>
      <c r="BL59" s="305"/>
      <c r="BM59" s="306"/>
      <c r="BN59" s="310"/>
      <c r="BO59" s="311"/>
      <c r="BP59" s="311"/>
      <c r="BQ59" s="311"/>
      <c r="BR59" s="518"/>
      <c r="BS59" s="515"/>
      <c r="BT59" s="317"/>
      <c r="BU59" s="317"/>
      <c r="BV59" s="317"/>
      <c r="BW59" s="317"/>
      <c r="BX59" s="270"/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  <c r="DB59" s="270"/>
      <c r="DC59" s="270"/>
      <c r="DD59" s="270"/>
      <c r="DE59" s="270"/>
      <c r="DF59" s="270"/>
      <c r="DG59" s="270"/>
      <c r="DH59" s="270"/>
      <c r="DI59" s="270"/>
      <c r="DJ59" s="270"/>
      <c r="DK59" s="533"/>
      <c r="DL59" s="757"/>
      <c r="DM59" s="270"/>
      <c r="DN59" s="270"/>
      <c r="DO59" s="270"/>
      <c r="DP59" s="270"/>
      <c r="DQ59" s="270"/>
      <c r="DR59" s="270"/>
      <c r="DS59" s="270"/>
      <c r="DT59" s="270"/>
      <c r="DU59" s="270"/>
      <c r="DV59" s="270"/>
      <c r="DW59" s="270"/>
      <c r="DX59" s="270"/>
      <c r="DY59" s="270"/>
      <c r="DZ59" s="270"/>
      <c r="EA59" s="270"/>
      <c r="EB59" s="270"/>
      <c r="EC59" s="270"/>
      <c r="ED59" s="270"/>
      <c r="EE59" s="270"/>
      <c r="EF59" s="270"/>
      <c r="EG59" s="270"/>
      <c r="EH59" s="270"/>
      <c r="EI59" s="270"/>
      <c r="EJ59" s="270"/>
      <c r="EK59" s="270"/>
      <c r="EL59" s="270"/>
      <c r="EM59" s="270"/>
      <c r="EN59" s="270"/>
      <c r="EO59" s="270"/>
      <c r="EP59" s="270"/>
      <c r="EQ59" s="270"/>
      <c r="ER59" s="270"/>
      <c r="ES59" s="270"/>
      <c r="ET59" s="270"/>
      <c r="EU59" s="270"/>
      <c r="EV59" s="270"/>
      <c r="EW59" s="270"/>
      <c r="EX59" s="270"/>
      <c r="EY59" s="270"/>
      <c r="EZ59" s="270"/>
      <c r="FA59" s="270"/>
      <c r="FB59" s="270"/>
      <c r="FC59" s="270"/>
      <c r="FD59" s="533"/>
      <c r="FE59" s="532"/>
      <c r="FF59" s="450"/>
      <c r="FG59" s="450"/>
      <c r="FH59" s="450"/>
      <c r="FI59" s="530"/>
    </row>
    <row r="60" spans="1:166" s="101" customFormat="1" ht="84.95" customHeight="1" x14ac:dyDescent="0.2">
      <c r="A60" s="753" t="s">
        <v>45</v>
      </c>
      <c r="B60" s="136" t="s">
        <v>197</v>
      </c>
      <c r="C60" s="844" t="s">
        <v>195</v>
      </c>
      <c r="D60" s="844"/>
      <c r="E60" s="844"/>
      <c r="F60" s="844"/>
      <c r="G60" s="844"/>
      <c r="H60" s="844"/>
      <c r="I60" s="844"/>
      <c r="J60" s="844"/>
      <c r="K60" s="844"/>
      <c r="L60" s="844"/>
      <c r="M60" s="844"/>
      <c r="N60" s="844"/>
      <c r="O60" s="844"/>
      <c r="P60" s="844"/>
      <c r="Q60" s="844"/>
      <c r="R60" s="844"/>
      <c r="S60" s="844"/>
      <c r="T60" s="844"/>
      <c r="U60" s="844"/>
      <c r="V60" s="844"/>
      <c r="W60" s="844"/>
      <c r="X60" s="844"/>
      <c r="Y60" s="844"/>
      <c r="Z60" s="540">
        <f t="shared" ref="Z60" si="27">+FE60*30</f>
        <v>120</v>
      </c>
      <c r="AA60" s="541"/>
      <c r="AB60" s="541"/>
      <c r="AC60" s="541"/>
      <c r="AD60" s="542"/>
      <c r="AE60" s="546"/>
      <c r="AF60" s="547"/>
      <c r="AG60" s="547"/>
      <c r="AH60" s="547"/>
      <c r="AI60" s="548"/>
      <c r="AJ60" s="552">
        <f t="shared" ref="AJ60" si="28">SUM(AO60:BH61)</f>
        <v>48</v>
      </c>
      <c r="AK60" s="553"/>
      <c r="AL60" s="553"/>
      <c r="AM60" s="553"/>
      <c r="AN60" s="554"/>
      <c r="AO60" s="552"/>
      <c r="AP60" s="553"/>
      <c r="AQ60" s="553"/>
      <c r="AR60" s="553"/>
      <c r="AS60" s="554"/>
      <c r="AT60" s="552">
        <v>48</v>
      </c>
      <c r="AU60" s="553"/>
      <c r="AV60" s="553"/>
      <c r="AW60" s="553"/>
      <c r="AX60" s="554"/>
      <c r="AY60" s="552"/>
      <c r="AZ60" s="553"/>
      <c r="BA60" s="553"/>
      <c r="BB60" s="553"/>
      <c r="BC60" s="554"/>
      <c r="BD60" s="552"/>
      <c r="BE60" s="553"/>
      <c r="BF60" s="553"/>
      <c r="BG60" s="553"/>
      <c r="BH60" s="554"/>
      <c r="BI60" s="552"/>
      <c r="BJ60" s="553"/>
      <c r="BK60" s="553"/>
      <c r="BL60" s="553"/>
      <c r="BM60" s="554"/>
      <c r="BN60" s="540">
        <f t="shared" ref="BN60" si="29">Z60-AJ60</f>
        <v>72</v>
      </c>
      <c r="BO60" s="541"/>
      <c r="BP60" s="541"/>
      <c r="BQ60" s="541"/>
      <c r="BR60" s="840"/>
      <c r="BS60" s="842"/>
      <c r="BT60" s="547"/>
      <c r="BU60" s="547"/>
      <c r="BV60" s="547"/>
      <c r="BW60" s="547"/>
      <c r="BX60" s="521"/>
      <c r="BY60" s="521"/>
      <c r="BZ60" s="521"/>
      <c r="CA60" s="521"/>
      <c r="CB60" s="521"/>
      <c r="CC60" s="521"/>
      <c r="CD60" s="521"/>
      <c r="CE60" s="521"/>
      <c r="CF60" s="521"/>
      <c r="CG60" s="521"/>
      <c r="CH60" s="521"/>
      <c r="CI60" s="521"/>
      <c r="CJ60" s="521"/>
      <c r="CK60" s="521"/>
      <c r="CL60" s="521"/>
      <c r="CM60" s="521"/>
      <c r="CN60" s="521"/>
      <c r="CO60" s="521"/>
      <c r="CP60" s="521"/>
      <c r="CQ60" s="521"/>
      <c r="CR60" s="521"/>
      <c r="CS60" s="521"/>
      <c r="CT60" s="521"/>
      <c r="CU60" s="521"/>
      <c r="CV60" s="521"/>
      <c r="CW60" s="521"/>
      <c r="CX60" s="521"/>
      <c r="CY60" s="521"/>
      <c r="CZ60" s="521"/>
      <c r="DA60" s="521"/>
      <c r="DB60" s="521">
        <v>3</v>
      </c>
      <c r="DC60" s="521"/>
      <c r="DD60" s="521"/>
      <c r="DE60" s="521"/>
      <c r="DF60" s="521"/>
      <c r="DG60" s="521"/>
      <c r="DH60" s="521"/>
      <c r="DI60" s="521"/>
      <c r="DJ60" s="521"/>
      <c r="DK60" s="655"/>
      <c r="DL60" s="839"/>
      <c r="DM60" s="521"/>
      <c r="DN60" s="521"/>
      <c r="DO60" s="521"/>
      <c r="DP60" s="521"/>
      <c r="DQ60" s="521"/>
      <c r="DR60" s="521"/>
      <c r="DS60" s="521"/>
      <c r="DT60" s="521"/>
      <c r="DU60" s="521"/>
      <c r="DV60" s="521"/>
      <c r="DW60" s="521"/>
      <c r="DX60" s="521"/>
      <c r="DY60" s="521"/>
      <c r="DZ60" s="521"/>
      <c r="EA60" s="521"/>
      <c r="EB60" s="521"/>
      <c r="EC60" s="521"/>
      <c r="ED60" s="521"/>
      <c r="EE60" s="521"/>
      <c r="EF60" s="521"/>
      <c r="EG60" s="521"/>
      <c r="EH60" s="521"/>
      <c r="EI60" s="521"/>
      <c r="EJ60" s="521"/>
      <c r="EK60" s="521"/>
      <c r="EL60" s="521"/>
      <c r="EM60" s="521"/>
      <c r="EN60" s="521"/>
      <c r="EO60" s="521"/>
      <c r="EP60" s="521"/>
      <c r="EQ60" s="521"/>
      <c r="ER60" s="521"/>
      <c r="ES60" s="521"/>
      <c r="ET60" s="521"/>
      <c r="EU60" s="521">
        <v>4</v>
      </c>
      <c r="EV60" s="521"/>
      <c r="EW60" s="521"/>
      <c r="EX60" s="521"/>
      <c r="EY60" s="521"/>
      <c r="EZ60" s="521"/>
      <c r="FA60" s="521"/>
      <c r="FB60" s="521"/>
      <c r="FC60" s="521"/>
      <c r="FD60" s="655"/>
      <c r="FE60" s="558">
        <f t="shared" ref="FE60" si="30">SUM(DL60:FD61)</f>
        <v>4</v>
      </c>
      <c r="FF60" s="559"/>
      <c r="FG60" s="559"/>
      <c r="FH60" s="559"/>
      <c r="FI60" s="562"/>
    </row>
    <row r="61" spans="1:166" s="101" customFormat="1" ht="84.95" customHeight="1" x14ac:dyDescent="0.2">
      <c r="A61" s="754"/>
      <c r="B61" s="243" t="s">
        <v>198</v>
      </c>
      <c r="C61" s="844" t="s">
        <v>196</v>
      </c>
      <c r="D61" s="844"/>
      <c r="E61" s="844"/>
      <c r="F61" s="844"/>
      <c r="G61" s="844"/>
      <c r="H61" s="844"/>
      <c r="I61" s="844"/>
      <c r="J61" s="844"/>
      <c r="K61" s="844"/>
      <c r="L61" s="844"/>
      <c r="M61" s="844"/>
      <c r="N61" s="844"/>
      <c r="O61" s="844"/>
      <c r="P61" s="844"/>
      <c r="Q61" s="844"/>
      <c r="R61" s="844"/>
      <c r="S61" s="844"/>
      <c r="T61" s="844"/>
      <c r="U61" s="844"/>
      <c r="V61" s="844"/>
      <c r="W61" s="844"/>
      <c r="X61" s="844"/>
      <c r="Y61" s="844"/>
      <c r="Z61" s="543"/>
      <c r="AA61" s="544"/>
      <c r="AB61" s="544"/>
      <c r="AC61" s="544"/>
      <c r="AD61" s="545"/>
      <c r="AE61" s="549"/>
      <c r="AF61" s="550"/>
      <c r="AG61" s="550"/>
      <c r="AH61" s="550"/>
      <c r="AI61" s="551"/>
      <c r="AJ61" s="555"/>
      <c r="AK61" s="556"/>
      <c r="AL61" s="556"/>
      <c r="AM61" s="556"/>
      <c r="AN61" s="557"/>
      <c r="AO61" s="555"/>
      <c r="AP61" s="556"/>
      <c r="AQ61" s="556"/>
      <c r="AR61" s="556"/>
      <c r="AS61" s="557"/>
      <c r="AT61" s="555"/>
      <c r="AU61" s="556"/>
      <c r="AV61" s="556"/>
      <c r="AW61" s="556"/>
      <c r="AX61" s="557"/>
      <c r="AY61" s="555"/>
      <c r="AZ61" s="556"/>
      <c r="BA61" s="556"/>
      <c r="BB61" s="556"/>
      <c r="BC61" s="557"/>
      <c r="BD61" s="555"/>
      <c r="BE61" s="556"/>
      <c r="BF61" s="556"/>
      <c r="BG61" s="556"/>
      <c r="BH61" s="557"/>
      <c r="BI61" s="555"/>
      <c r="BJ61" s="556"/>
      <c r="BK61" s="556"/>
      <c r="BL61" s="556"/>
      <c r="BM61" s="557"/>
      <c r="BN61" s="543"/>
      <c r="BO61" s="544"/>
      <c r="BP61" s="544"/>
      <c r="BQ61" s="544"/>
      <c r="BR61" s="841"/>
      <c r="BS61" s="843"/>
      <c r="BT61" s="550"/>
      <c r="BU61" s="550"/>
      <c r="BV61" s="550"/>
      <c r="BW61" s="550"/>
      <c r="BX61" s="521"/>
      <c r="BY61" s="521"/>
      <c r="BZ61" s="521"/>
      <c r="CA61" s="521"/>
      <c r="CB61" s="521"/>
      <c r="CC61" s="521"/>
      <c r="CD61" s="521"/>
      <c r="CE61" s="521"/>
      <c r="CF61" s="521"/>
      <c r="CG61" s="521"/>
      <c r="CH61" s="521"/>
      <c r="CI61" s="521"/>
      <c r="CJ61" s="521"/>
      <c r="CK61" s="521"/>
      <c r="CL61" s="521"/>
      <c r="CM61" s="521"/>
      <c r="CN61" s="521"/>
      <c r="CO61" s="521"/>
      <c r="CP61" s="521"/>
      <c r="CQ61" s="521"/>
      <c r="CR61" s="521"/>
      <c r="CS61" s="521"/>
      <c r="CT61" s="521"/>
      <c r="CU61" s="521"/>
      <c r="CV61" s="521"/>
      <c r="CW61" s="521"/>
      <c r="CX61" s="521"/>
      <c r="CY61" s="521"/>
      <c r="CZ61" s="521"/>
      <c r="DA61" s="521"/>
      <c r="DB61" s="521"/>
      <c r="DC61" s="521"/>
      <c r="DD61" s="521"/>
      <c r="DE61" s="521"/>
      <c r="DF61" s="521"/>
      <c r="DG61" s="521"/>
      <c r="DH61" s="521"/>
      <c r="DI61" s="521"/>
      <c r="DJ61" s="521"/>
      <c r="DK61" s="655"/>
      <c r="DL61" s="839"/>
      <c r="DM61" s="521"/>
      <c r="DN61" s="521"/>
      <c r="DO61" s="521"/>
      <c r="DP61" s="521"/>
      <c r="DQ61" s="521"/>
      <c r="DR61" s="521"/>
      <c r="DS61" s="521"/>
      <c r="DT61" s="521"/>
      <c r="DU61" s="521"/>
      <c r="DV61" s="521"/>
      <c r="DW61" s="521"/>
      <c r="DX61" s="521"/>
      <c r="DY61" s="521"/>
      <c r="DZ61" s="521"/>
      <c r="EA61" s="521"/>
      <c r="EB61" s="521"/>
      <c r="EC61" s="521"/>
      <c r="ED61" s="521"/>
      <c r="EE61" s="521"/>
      <c r="EF61" s="521"/>
      <c r="EG61" s="521"/>
      <c r="EH61" s="521"/>
      <c r="EI61" s="521"/>
      <c r="EJ61" s="521"/>
      <c r="EK61" s="521"/>
      <c r="EL61" s="521"/>
      <c r="EM61" s="521"/>
      <c r="EN61" s="521"/>
      <c r="EO61" s="521"/>
      <c r="EP61" s="521"/>
      <c r="EQ61" s="521"/>
      <c r="ER61" s="521"/>
      <c r="ES61" s="521"/>
      <c r="ET61" s="521"/>
      <c r="EU61" s="521"/>
      <c r="EV61" s="521"/>
      <c r="EW61" s="521"/>
      <c r="EX61" s="521"/>
      <c r="EY61" s="521"/>
      <c r="EZ61" s="521"/>
      <c r="FA61" s="521"/>
      <c r="FB61" s="521"/>
      <c r="FC61" s="521"/>
      <c r="FD61" s="655"/>
      <c r="FE61" s="560"/>
      <c r="FF61" s="561"/>
      <c r="FG61" s="561"/>
      <c r="FH61" s="561"/>
      <c r="FI61" s="563"/>
    </row>
    <row r="62" spans="1:166" s="78" customFormat="1" ht="84.95" customHeight="1" x14ac:dyDescent="0.2">
      <c r="A62" s="751" t="s">
        <v>46</v>
      </c>
      <c r="B62" s="133" t="s">
        <v>89</v>
      </c>
      <c r="C62" s="845" t="s">
        <v>137</v>
      </c>
      <c r="D62" s="846"/>
      <c r="E62" s="846"/>
      <c r="F62" s="846"/>
      <c r="G62" s="846"/>
      <c r="H62" s="846"/>
      <c r="I62" s="846"/>
      <c r="J62" s="846"/>
      <c r="K62" s="846"/>
      <c r="L62" s="846"/>
      <c r="M62" s="846"/>
      <c r="N62" s="846"/>
      <c r="O62" s="846"/>
      <c r="P62" s="846"/>
      <c r="Q62" s="846"/>
      <c r="R62" s="846"/>
      <c r="S62" s="846"/>
      <c r="T62" s="846"/>
      <c r="U62" s="846"/>
      <c r="V62" s="846"/>
      <c r="W62" s="846"/>
      <c r="X62" s="846"/>
      <c r="Y62" s="847"/>
      <c r="Z62" s="307">
        <f t="shared" ref="Z62" si="31">+FE62*30</f>
        <v>120</v>
      </c>
      <c r="AA62" s="308"/>
      <c r="AB62" s="308"/>
      <c r="AC62" s="308"/>
      <c r="AD62" s="309"/>
      <c r="AE62" s="313"/>
      <c r="AF62" s="314"/>
      <c r="AG62" s="314"/>
      <c r="AH62" s="314"/>
      <c r="AI62" s="315"/>
      <c r="AJ62" s="301">
        <f t="shared" ref="AJ62" si="32">SUM(AO62:BH63)</f>
        <v>40</v>
      </c>
      <c r="AK62" s="302"/>
      <c r="AL62" s="302"/>
      <c r="AM62" s="302"/>
      <c r="AN62" s="303"/>
      <c r="AO62" s="301">
        <v>10</v>
      </c>
      <c r="AP62" s="302"/>
      <c r="AQ62" s="302"/>
      <c r="AR62" s="302"/>
      <c r="AS62" s="303"/>
      <c r="AT62" s="301"/>
      <c r="AU62" s="302"/>
      <c r="AV62" s="302"/>
      <c r="AW62" s="302"/>
      <c r="AX62" s="303"/>
      <c r="AY62" s="301">
        <v>30</v>
      </c>
      <c r="AZ62" s="302"/>
      <c r="BA62" s="302"/>
      <c r="BB62" s="302"/>
      <c r="BC62" s="303"/>
      <c r="BD62" s="301"/>
      <c r="BE62" s="302"/>
      <c r="BF62" s="302"/>
      <c r="BG62" s="302"/>
      <c r="BH62" s="303"/>
      <c r="BI62" s="301"/>
      <c r="BJ62" s="302"/>
      <c r="BK62" s="302"/>
      <c r="BL62" s="302"/>
      <c r="BM62" s="303"/>
      <c r="BN62" s="307">
        <f t="shared" ref="BN62" si="33">Z62-AJ62</f>
        <v>80</v>
      </c>
      <c r="BO62" s="308"/>
      <c r="BP62" s="308"/>
      <c r="BQ62" s="308"/>
      <c r="BR62" s="517"/>
      <c r="BS62" s="514">
        <v>3</v>
      </c>
      <c r="BT62" s="314"/>
      <c r="BU62" s="314"/>
      <c r="BV62" s="314"/>
      <c r="BW62" s="314"/>
      <c r="BX62" s="270"/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70"/>
      <c r="DA62" s="270"/>
      <c r="DB62" s="270"/>
      <c r="DC62" s="270"/>
      <c r="DD62" s="270"/>
      <c r="DE62" s="270"/>
      <c r="DF62" s="270"/>
      <c r="DG62" s="270"/>
      <c r="DH62" s="270"/>
      <c r="DI62" s="270"/>
      <c r="DJ62" s="270"/>
      <c r="DK62" s="533"/>
      <c r="DL62" s="757">
        <v>4</v>
      </c>
      <c r="DM62" s="270"/>
      <c r="DN62" s="270"/>
      <c r="DO62" s="270"/>
      <c r="DP62" s="270"/>
      <c r="DQ62" s="270"/>
      <c r="DR62" s="270"/>
      <c r="DS62" s="270"/>
      <c r="DT62" s="270"/>
      <c r="DU62" s="270"/>
      <c r="DV62" s="270"/>
      <c r="DW62" s="270"/>
      <c r="DX62" s="270"/>
      <c r="DY62" s="270"/>
      <c r="DZ62" s="270"/>
      <c r="EA62" s="270"/>
      <c r="EB62" s="270"/>
      <c r="EC62" s="270"/>
      <c r="ED62" s="270"/>
      <c r="EE62" s="270"/>
      <c r="EF62" s="270"/>
      <c r="EG62" s="270"/>
      <c r="EH62" s="270"/>
      <c r="EI62" s="270"/>
      <c r="EJ62" s="270"/>
      <c r="EK62" s="270"/>
      <c r="EL62" s="270"/>
      <c r="EM62" s="270"/>
      <c r="EN62" s="270"/>
      <c r="EO62" s="270"/>
      <c r="EP62" s="270"/>
      <c r="EQ62" s="270"/>
      <c r="ER62" s="270"/>
      <c r="ES62" s="270"/>
      <c r="ET62" s="270"/>
      <c r="EU62" s="270"/>
      <c r="EV62" s="270"/>
      <c r="EW62" s="270"/>
      <c r="EX62" s="270"/>
      <c r="EY62" s="270"/>
      <c r="EZ62" s="270"/>
      <c r="FA62" s="270"/>
      <c r="FB62" s="270"/>
      <c r="FC62" s="270"/>
      <c r="FD62" s="533"/>
      <c r="FE62" s="531">
        <f t="shared" ref="FE62" si="34">SUM(DL62:FD63)</f>
        <v>4</v>
      </c>
      <c r="FF62" s="447"/>
      <c r="FG62" s="447"/>
      <c r="FH62" s="447"/>
      <c r="FI62" s="529"/>
    </row>
    <row r="63" spans="1:166" s="78" customFormat="1" ht="84.95" customHeight="1" x14ac:dyDescent="0.2">
      <c r="A63" s="752"/>
      <c r="B63" s="110" t="s">
        <v>334</v>
      </c>
      <c r="C63" s="835" t="s">
        <v>333</v>
      </c>
      <c r="D63" s="835"/>
      <c r="E63" s="835"/>
      <c r="F63" s="835"/>
      <c r="G63" s="835"/>
      <c r="H63" s="835"/>
      <c r="I63" s="835"/>
      <c r="J63" s="835"/>
      <c r="K63" s="835"/>
      <c r="L63" s="835"/>
      <c r="M63" s="835"/>
      <c r="N63" s="835"/>
      <c r="O63" s="835"/>
      <c r="P63" s="835"/>
      <c r="Q63" s="835"/>
      <c r="R63" s="835"/>
      <c r="S63" s="835"/>
      <c r="T63" s="835"/>
      <c r="U63" s="835"/>
      <c r="V63" s="835"/>
      <c r="W63" s="835"/>
      <c r="X63" s="835"/>
      <c r="Y63" s="835"/>
      <c r="Z63" s="310"/>
      <c r="AA63" s="311"/>
      <c r="AB63" s="311"/>
      <c r="AC63" s="311"/>
      <c r="AD63" s="312"/>
      <c r="AE63" s="316"/>
      <c r="AF63" s="317"/>
      <c r="AG63" s="317"/>
      <c r="AH63" s="317"/>
      <c r="AI63" s="318"/>
      <c r="AJ63" s="304"/>
      <c r="AK63" s="305"/>
      <c r="AL63" s="305"/>
      <c r="AM63" s="305"/>
      <c r="AN63" s="306"/>
      <c r="AO63" s="304"/>
      <c r="AP63" s="305"/>
      <c r="AQ63" s="305"/>
      <c r="AR63" s="305"/>
      <c r="AS63" s="306"/>
      <c r="AT63" s="304"/>
      <c r="AU63" s="305"/>
      <c r="AV63" s="305"/>
      <c r="AW63" s="305"/>
      <c r="AX63" s="306"/>
      <c r="AY63" s="304"/>
      <c r="AZ63" s="305"/>
      <c r="BA63" s="305"/>
      <c r="BB63" s="305"/>
      <c r="BC63" s="306"/>
      <c r="BD63" s="304"/>
      <c r="BE63" s="305"/>
      <c r="BF63" s="305"/>
      <c r="BG63" s="305"/>
      <c r="BH63" s="306"/>
      <c r="BI63" s="304"/>
      <c r="BJ63" s="305"/>
      <c r="BK63" s="305"/>
      <c r="BL63" s="305"/>
      <c r="BM63" s="306"/>
      <c r="BN63" s="310"/>
      <c r="BO63" s="311"/>
      <c r="BP63" s="311"/>
      <c r="BQ63" s="311"/>
      <c r="BR63" s="518"/>
      <c r="BS63" s="515"/>
      <c r="BT63" s="317"/>
      <c r="BU63" s="317"/>
      <c r="BV63" s="317"/>
      <c r="BW63" s="317"/>
      <c r="BX63" s="270"/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  <c r="DB63" s="270"/>
      <c r="DC63" s="270"/>
      <c r="DD63" s="270"/>
      <c r="DE63" s="270"/>
      <c r="DF63" s="270"/>
      <c r="DG63" s="270"/>
      <c r="DH63" s="270"/>
      <c r="DI63" s="270"/>
      <c r="DJ63" s="270"/>
      <c r="DK63" s="533"/>
      <c r="DL63" s="757"/>
      <c r="DM63" s="270"/>
      <c r="DN63" s="270"/>
      <c r="DO63" s="270"/>
      <c r="DP63" s="270"/>
      <c r="DQ63" s="270"/>
      <c r="DR63" s="270"/>
      <c r="DS63" s="270"/>
      <c r="DT63" s="270"/>
      <c r="DU63" s="270"/>
      <c r="DV63" s="270"/>
      <c r="DW63" s="270"/>
      <c r="DX63" s="270"/>
      <c r="DY63" s="270"/>
      <c r="DZ63" s="270"/>
      <c r="EA63" s="270"/>
      <c r="EB63" s="270"/>
      <c r="EC63" s="270"/>
      <c r="ED63" s="270"/>
      <c r="EE63" s="270"/>
      <c r="EF63" s="270"/>
      <c r="EG63" s="270"/>
      <c r="EH63" s="270"/>
      <c r="EI63" s="270"/>
      <c r="EJ63" s="270"/>
      <c r="EK63" s="270"/>
      <c r="EL63" s="270"/>
      <c r="EM63" s="270"/>
      <c r="EN63" s="270"/>
      <c r="EO63" s="270"/>
      <c r="EP63" s="270"/>
      <c r="EQ63" s="270"/>
      <c r="ER63" s="270"/>
      <c r="ES63" s="270"/>
      <c r="ET63" s="270"/>
      <c r="EU63" s="270"/>
      <c r="EV63" s="270"/>
      <c r="EW63" s="270"/>
      <c r="EX63" s="270"/>
      <c r="EY63" s="270"/>
      <c r="EZ63" s="270"/>
      <c r="FA63" s="270"/>
      <c r="FB63" s="270"/>
      <c r="FC63" s="270"/>
      <c r="FD63" s="533"/>
      <c r="FE63" s="532"/>
      <c r="FF63" s="450"/>
      <c r="FG63" s="450"/>
      <c r="FH63" s="450"/>
      <c r="FI63" s="530"/>
    </row>
    <row r="64" spans="1:166" s="78" customFormat="1" ht="84.95" customHeight="1" x14ac:dyDescent="0.2">
      <c r="A64" s="751" t="s">
        <v>47</v>
      </c>
      <c r="B64" s="133" t="s">
        <v>141</v>
      </c>
      <c r="C64" s="845" t="s">
        <v>90</v>
      </c>
      <c r="D64" s="846"/>
      <c r="E64" s="846"/>
      <c r="F64" s="846"/>
      <c r="G64" s="846"/>
      <c r="H64" s="846"/>
      <c r="I64" s="846"/>
      <c r="J64" s="846"/>
      <c r="K64" s="846"/>
      <c r="L64" s="846"/>
      <c r="M64" s="846"/>
      <c r="N64" s="846"/>
      <c r="O64" s="846"/>
      <c r="P64" s="846"/>
      <c r="Q64" s="846"/>
      <c r="R64" s="846"/>
      <c r="S64" s="846"/>
      <c r="T64" s="846"/>
      <c r="U64" s="846"/>
      <c r="V64" s="846"/>
      <c r="W64" s="846"/>
      <c r="X64" s="846"/>
      <c r="Y64" s="847"/>
      <c r="Z64" s="307">
        <f t="shared" ref="Z64" si="35">+FE64*30</f>
        <v>120</v>
      </c>
      <c r="AA64" s="308"/>
      <c r="AB64" s="308"/>
      <c r="AC64" s="308"/>
      <c r="AD64" s="309"/>
      <c r="AE64" s="313"/>
      <c r="AF64" s="314"/>
      <c r="AG64" s="314"/>
      <c r="AH64" s="314"/>
      <c r="AI64" s="315"/>
      <c r="AJ64" s="301">
        <f t="shared" ref="AJ64" si="36">SUM(AO64:BH65)</f>
        <v>40</v>
      </c>
      <c r="AK64" s="302"/>
      <c r="AL64" s="302"/>
      <c r="AM64" s="302"/>
      <c r="AN64" s="303"/>
      <c r="AO64" s="301"/>
      <c r="AP64" s="302"/>
      <c r="AQ64" s="302"/>
      <c r="AR64" s="302"/>
      <c r="AS64" s="303"/>
      <c r="AT64" s="301">
        <v>40</v>
      </c>
      <c r="AU64" s="302"/>
      <c r="AV64" s="302"/>
      <c r="AW64" s="302"/>
      <c r="AX64" s="303"/>
      <c r="AY64" s="301"/>
      <c r="AZ64" s="302"/>
      <c r="BA64" s="302"/>
      <c r="BB64" s="302"/>
      <c r="BC64" s="303"/>
      <c r="BD64" s="301"/>
      <c r="BE64" s="302"/>
      <c r="BF64" s="302"/>
      <c r="BG64" s="302"/>
      <c r="BH64" s="303"/>
      <c r="BI64" s="301"/>
      <c r="BJ64" s="302"/>
      <c r="BK64" s="302"/>
      <c r="BL64" s="302"/>
      <c r="BM64" s="303"/>
      <c r="BN64" s="307">
        <f t="shared" ref="BN64" si="37">Z64-AJ64</f>
        <v>80</v>
      </c>
      <c r="BO64" s="308"/>
      <c r="BP64" s="308"/>
      <c r="BQ64" s="308"/>
      <c r="BR64" s="517"/>
      <c r="BS64" s="514"/>
      <c r="BT64" s="314"/>
      <c r="BU64" s="314"/>
      <c r="BV64" s="314"/>
      <c r="BW64" s="314"/>
      <c r="BX64" s="270">
        <v>3</v>
      </c>
      <c r="BY64" s="270"/>
      <c r="BZ64" s="270"/>
      <c r="CA64" s="270"/>
      <c r="CB64" s="270"/>
      <c r="CC64" s="270"/>
      <c r="CD64" s="270"/>
      <c r="CE64" s="270"/>
      <c r="CF64" s="270"/>
      <c r="CG64" s="270"/>
      <c r="CH64" s="270"/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0"/>
      <c r="CV64" s="270"/>
      <c r="CW64" s="270"/>
      <c r="CX64" s="270"/>
      <c r="CY64" s="270"/>
      <c r="CZ64" s="270"/>
      <c r="DA64" s="270"/>
      <c r="DB64" s="270"/>
      <c r="DC64" s="270"/>
      <c r="DD64" s="270"/>
      <c r="DE64" s="270"/>
      <c r="DF64" s="270"/>
      <c r="DG64" s="270"/>
      <c r="DH64" s="270"/>
      <c r="DI64" s="270"/>
      <c r="DJ64" s="270"/>
      <c r="DK64" s="533"/>
      <c r="DL64" s="757"/>
      <c r="DM64" s="270"/>
      <c r="DN64" s="270"/>
      <c r="DO64" s="270"/>
      <c r="DP64" s="270"/>
      <c r="DQ64" s="270">
        <v>4</v>
      </c>
      <c r="DR64" s="270"/>
      <c r="DS64" s="270"/>
      <c r="DT64" s="270"/>
      <c r="DU64" s="270"/>
      <c r="DV64" s="270"/>
      <c r="DW64" s="270"/>
      <c r="DX64" s="270"/>
      <c r="DY64" s="270"/>
      <c r="DZ64" s="270"/>
      <c r="EA64" s="270"/>
      <c r="EB64" s="270"/>
      <c r="EC64" s="270"/>
      <c r="ED64" s="270"/>
      <c r="EE64" s="270"/>
      <c r="EF64" s="270"/>
      <c r="EG64" s="270"/>
      <c r="EH64" s="270"/>
      <c r="EI64" s="270"/>
      <c r="EJ64" s="270"/>
      <c r="EK64" s="270"/>
      <c r="EL64" s="270"/>
      <c r="EM64" s="270"/>
      <c r="EN64" s="270"/>
      <c r="EO64" s="270"/>
      <c r="EP64" s="270"/>
      <c r="EQ64" s="270"/>
      <c r="ER64" s="270"/>
      <c r="ES64" s="270"/>
      <c r="ET64" s="270"/>
      <c r="EU64" s="270"/>
      <c r="EV64" s="270"/>
      <c r="EW64" s="270"/>
      <c r="EX64" s="270"/>
      <c r="EY64" s="270"/>
      <c r="EZ64" s="270"/>
      <c r="FA64" s="270"/>
      <c r="FB64" s="270"/>
      <c r="FC64" s="270"/>
      <c r="FD64" s="533"/>
      <c r="FE64" s="531">
        <f t="shared" ref="FE64" si="38">SUM(DL64:FD65)</f>
        <v>4</v>
      </c>
      <c r="FF64" s="447"/>
      <c r="FG64" s="447"/>
      <c r="FH64" s="447"/>
      <c r="FI64" s="529"/>
    </row>
    <row r="65" spans="1:165" s="78" customFormat="1" ht="84.95" customHeight="1" x14ac:dyDescent="0.2">
      <c r="A65" s="752"/>
      <c r="B65" s="107" t="s">
        <v>310</v>
      </c>
      <c r="C65" s="848" t="s">
        <v>309</v>
      </c>
      <c r="D65" s="848"/>
      <c r="E65" s="848"/>
      <c r="F65" s="848"/>
      <c r="G65" s="848"/>
      <c r="H65" s="848"/>
      <c r="I65" s="848"/>
      <c r="J65" s="848"/>
      <c r="K65" s="848"/>
      <c r="L65" s="848"/>
      <c r="M65" s="848"/>
      <c r="N65" s="848"/>
      <c r="O65" s="848"/>
      <c r="P65" s="848"/>
      <c r="Q65" s="848"/>
      <c r="R65" s="848"/>
      <c r="S65" s="848"/>
      <c r="T65" s="848"/>
      <c r="U65" s="848"/>
      <c r="V65" s="848"/>
      <c r="W65" s="848"/>
      <c r="X65" s="848"/>
      <c r="Y65" s="848"/>
      <c r="Z65" s="310"/>
      <c r="AA65" s="311"/>
      <c r="AB65" s="311"/>
      <c r="AC65" s="311"/>
      <c r="AD65" s="312"/>
      <c r="AE65" s="316"/>
      <c r="AF65" s="317"/>
      <c r="AG65" s="317"/>
      <c r="AH65" s="317"/>
      <c r="AI65" s="318"/>
      <c r="AJ65" s="304"/>
      <c r="AK65" s="305"/>
      <c r="AL65" s="305"/>
      <c r="AM65" s="305"/>
      <c r="AN65" s="306"/>
      <c r="AO65" s="304"/>
      <c r="AP65" s="305"/>
      <c r="AQ65" s="305"/>
      <c r="AR65" s="305"/>
      <c r="AS65" s="306"/>
      <c r="AT65" s="304"/>
      <c r="AU65" s="305"/>
      <c r="AV65" s="305"/>
      <c r="AW65" s="305"/>
      <c r="AX65" s="306"/>
      <c r="AY65" s="304"/>
      <c r="AZ65" s="305"/>
      <c r="BA65" s="305"/>
      <c r="BB65" s="305"/>
      <c r="BC65" s="306"/>
      <c r="BD65" s="304"/>
      <c r="BE65" s="305"/>
      <c r="BF65" s="305"/>
      <c r="BG65" s="305"/>
      <c r="BH65" s="306"/>
      <c r="BI65" s="304"/>
      <c r="BJ65" s="305"/>
      <c r="BK65" s="305"/>
      <c r="BL65" s="305"/>
      <c r="BM65" s="306"/>
      <c r="BN65" s="310"/>
      <c r="BO65" s="311"/>
      <c r="BP65" s="311"/>
      <c r="BQ65" s="311"/>
      <c r="BR65" s="518"/>
      <c r="BS65" s="515"/>
      <c r="BT65" s="317"/>
      <c r="BU65" s="317"/>
      <c r="BV65" s="317"/>
      <c r="BW65" s="317"/>
      <c r="BX65" s="270"/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70"/>
      <c r="DB65" s="270"/>
      <c r="DC65" s="270"/>
      <c r="DD65" s="270"/>
      <c r="DE65" s="270"/>
      <c r="DF65" s="270"/>
      <c r="DG65" s="270"/>
      <c r="DH65" s="270"/>
      <c r="DI65" s="270"/>
      <c r="DJ65" s="270"/>
      <c r="DK65" s="533"/>
      <c r="DL65" s="757"/>
      <c r="DM65" s="270"/>
      <c r="DN65" s="270"/>
      <c r="DO65" s="270"/>
      <c r="DP65" s="270"/>
      <c r="DQ65" s="270"/>
      <c r="DR65" s="270"/>
      <c r="DS65" s="270"/>
      <c r="DT65" s="270"/>
      <c r="DU65" s="270"/>
      <c r="DV65" s="270"/>
      <c r="DW65" s="270"/>
      <c r="DX65" s="270"/>
      <c r="DY65" s="270"/>
      <c r="DZ65" s="270"/>
      <c r="EA65" s="270"/>
      <c r="EB65" s="270"/>
      <c r="EC65" s="270"/>
      <c r="ED65" s="270"/>
      <c r="EE65" s="270"/>
      <c r="EF65" s="270"/>
      <c r="EG65" s="270"/>
      <c r="EH65" s="270"/>
      <c r="EI65" s="270"/>
      <c r="EJ65" s="270"/>
      <c r="EK65" s="270"/>
      <c r="EL65" s="270"/>
      <c r="EM65" s="270"/>
      <c r="EN65" s="270"/>
      <c r="EO65" s="270"/>
      <c r="EP65" s="270"/>
      <c r="EQ65" s="270"/>
      <c r="ER65" s="270"/>
      <c r="ES65" s="270"/>
      <c r="ET65" s="270"/>
      <c r="EU65" s="270"/>
      <c r="EV65" s="270"/>
      <c r="EW65" s="270"/>
      <c r="EX65" s="270"/>
      <c r="EY65" s="270"/>
      <c r="EZ65" s="270"/>
      <c r="FA65" s="270"/>
      <c r="FB65" s="270"/>
      <c r="FC65" s="270"/>
      <c r="FD65" s="533"/>
      <c r="FE65" s="532"/>
      <c r="FF65" s="450"/>
      <c r="FG65" s="450"/>
      <c r="FH65" s="450"/>
      <c r="FI65" s="530"/>
    </row>
    <row r="66" spans="1:165" s="78" customFormat="1" ht="84.95" customHeight="1" x14ac:dyDescent="0.2">
      <c r="A66" s="751" t="s">
        <v>48</v>
      </c>
      <c r="B66" s="133" t="s">
        <v>144</v>
      </c>
      <c r="C66" s="845" t="s">
        <v>136</v>
      </c>
      <c r="D66" s="846"/>
      <c r="E66" s="846"/>
      <c r="F66" s="846"/>
      <c r="G66" s="846"/>
      <c r="H66" s="846"/>
      <c r="I66" s="846"/>
      <c r="J66" s="846"/>
      <c r="K66" s="846"/>
      <c r="L66" s="846"/>
      <c r="M66" s="846"/>
      <c r="N66" s="846"/>
      <c r="O66" s="846"/>
      <c r="P66" s="846"/>
      <c r="Q66" s="846"/>
      <c r="R66" s="846"/>
      <c r="S66" s="846"/>
      <c r="T66" s="846"/>
      <c r="U66" s="846"/>
      <c r="V66" s="846"/>
      <c r="W66" s="846"/>
      <c r="X66" s="846"/>
      <c r="Y66" s="847"/>
      <c r="Z66" s="307">
        <f t="shared" ref="Z66" si="39">+FE66*30</f>
        <v>120</v>
      </c>
      <c r="AA66" s="308"/>
      <c r="AB66" s="308"/>
      <c r="AC66" s="308"/>
      <c r="AD66" s="309"/>
      <c r="AE66" s="313"/>
      <c r="AF66" s="314"/>
      <c r="AG66" s="314"/>
      <c r="AH66" s="314"/>
      <c r="AI66" s="315"/>
      <c r="AJ66" s="301">
        <f t="shared" ref="AJ66" si="40">SUM(AO66:BH67)</f>
        <v>66</v>
      </c>
      <c r="AK66" s="302"/>
      <c r="AL66" s="302"/>
      <c r="AM66" s="302"/>
      <c r="AN66" s="303"/>
      <c r="AO66" s="301">
        <v>32</v>
      </c>
      <c r="AP66" s="302"/>
      <c r="AQ66" s="302"/>
      <c r="AR66" s="302"/>
      <c r="AS66" s="303"/>
      <c r="AT66" s="301">
        <v>34</v>
      </c>
      <c r="AU66" s="302"/>
      <c r="AV66" s="302"/>
      <c r="AW66" s="302"/>
      <c r="AX66" s="303"/>
      <c r="AY66" s="301"/>
      <c r="AZ66" s="302"/>
      <c r="BA66" s="302"/>
      <c r="BB66" s="302"/>
      <c r="BC66" s="303"/>
      <c r="BD66" s="301"/>
      <c r="BE66" s="302"/>
      <c r="BF66" s="302"/>
      <c r="BG66" s="302"/>
      <c r="BH66" s="303"/>
      <c r="BI66" s="301"/>
      <c r="BJ66" s="302"/>
      <c r="BK66" s="302"/>
      <c r="BL66" s="302"/>
      <c r="BM66" s="303"/>
      <c r="BN66" s="307">
        <f t="shared" ref="BN66" si="41">Z66-AJ66</f>
        <v>54</v>
      </c>
      <c r="BO66" s="308"/>
      <c r="BP66" s="308"/>
      <c r="BQ66" s="308"/>
      <c r="BR66" s="517"/>
      <c r="BS66" s="514"/>
      <c r="BT66" s="314"/>
      <c r="BU66" s="314"/>
      <c r="BV66" s="314"/>
      <c r="BW66" s="314"/>
      <c r="BX66" s="270">
        <v>6</v>
      </c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/>
      <c r="CJ66" s="270"/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0"/>
      <c r="CV66" s="270"/>
      <c r="CW66" s="270"/>
      <c r="CX66" s="270"/>
      <c r="CY66" s="270"/>
      <c r="CZ66" s="270"/>
      <c r="DA66" s="270"/>
      <c r="DB66" s="270"/>
      <c r="DC66" s="270"/>
      <c r="DD66" s="270"/>
      <c r="DE66" s="270"/>
      <c r="DF66" s="270"/>
      <c r="DG66" s="270"/>
      <c r="DH66" s="270"/>
      <c r="DI66" s="270"/>
      <c r="DJ66" s="270"/>
      <c r="DK66" s="533"/>
      <c r="DL66" s="757"/>
      <c r="DM66" s="270"/>
      <c r="DN66" s="270"/>
      <c r="DO66" s="270"/>
      <c r="DP66" s="270"/>
      <c r="DQ66" s="270">
        <v>4</v>
      </c>
      <c r="DR66" s="270"/>
      <c r="DS66" s="270"/>
      <c r="DT66" s="270"/>
      <c r="DU66" s="270"/>
      <c r="DV66" s="270"/>
      <c r="DW66" s="270"/>
      <c r="DX66" s="270"/>
      <c r="DY66" s="270"/>
      <c r="DZ66" s="270"/>
      <c r="EA66" s="270"/>
      <c r="EB66" s="270"/>
      <c r="EC66" s="270"/>
      <c r="ED66" s="270"/>
      <c r="EE66" s="270"/>
      <c r="EF66" s="270"/>
      <c r="EG66" s="270"/>
      <c r="EH66" s="270"/>
      <c r="EI66" s="270"/>
      <c r="EJ66" s="270"/>
      <c r="EK66" s="270"/>
      <c r="EL66" s="270"/>
      <c r="EM66" s="270"/>
      <c r="EN66" s="270"/>
      <c r="EO66" s="270"/>
      <c r="EP66" s="270"/>
      <c r="EQ66" s="270"/>
      <c r="ER66" s="270"/>
      <c r="ES66" s="270"/>
      <c r="ET66" s="270"/>
      <c r="EU66" s="270"/>
      <c r="EV66" s="270"/>
      <c r="EW66" s="270"/>
      <c r="EX66" s="270"/>
      <c r="EY66" s="270"/>
      <c r="EZ66" s="270"/>
      <c r="FA66" s="270"/>
      <c r="FB66" s="270"/>
      <c r="FC66" s="270"/>
      <c r="FD66" s="533"/>
      <c r="FE66" s="531">
        <f t="shared" ref="FE66" si="42">SUM(DL66:FD67)</f>
        <v>4</v>
      </c>
      <c r="FF66" s="447"/>
      <c r="FG66" s="447"/>
      <c r="FH66" s="447"/>
      <c r="FI66" s="529"/>
    </row>
    <row r="67" spans="1:165" s="78" customFormat="1" ht="84.95" customHeight="1" x14ac:dyDescent="0.2">
      <c r="A67" s="752"/>
      <c r="B67" s="110" t="s">
        <v>317</v>
      </c>
      <c r="C67" s="835" t="s">
        <v>307</v>
      </c>
      <c r="D67" s="835"/>
      <c r="E67" s="835"/>
      <c r="F67" s="835"/>
      <c r="G67" s="835"/>
      <c r="H67" s="835"/>
      <c r="I67" s="835"/>
      <c r="J67" s="835"/>
      <c r="K67" s="835"/>
      <c r="L67" s="835"/>
      <c r="M67" s="835"/>
      <c r="N67" s="835"/>
      <c r="O67" s="835"/>
      <c r="P67" s="835"/>
      <c r="Q67" s="835"/>
      <c r="R67" s="835"/>
      <c r="S67" s="835"/>
      <c r="T67" s="835"/>
      <c r="U67" s="835"/>
      <c r="V67" s="835"/>
      <c r="W67" s="835"/>
      <c r="X67" s="835"/>
      <c r="Y67" s="835"/>
      <c r="Z67" s="310"/>
      <c r="AA67" s="311"/>
      <c r="AB67" s="311"/>
      <c r="AC67" s="311"/>
      <c r="AD67" s="312"/>
      <c r="AE67" s="316"/>
      <c r="AF67" s="317"/>
      <c r="AG67" s="317"/>
      <c r="AH67" s="317"/>
      <c r="AI67" s="318"/>
      <c r="AJ67" s="304"/>
      <c r="AK67" s="305"/>
      <c r="AL67" s="305"/>
      <c r="AM67" s="305"/>
      <c r="AN67" s="306"/>
      <c r="AO67" s="304"/>
      <c r="AP67" s="305"/>
      <c r="AQ67" s="305"/>
      <c r="AR67" s="305"/>
      <c r="AS67" s="306"/>
      <c r="AT67" s="304"/>
      <c r="AU67" s="305"/>
      <c r="AV67" s="305"/>
      <c r="AW67" s="305"/>
      <c r="AX67" s="306"/>
      <c r="AY67" s="304"/>
      <c r="AZ67" s="305"/>
      <c r="BA67" s="305"/>
      <c r="BB67" s="305"/>
      <c r="BC67" s="306"/>
      <c r="BD67" s="304"/>
      <c r="BE67" s="305"/>
      <c r="BF67" s="305"/>
      <c r="BG67" s="305"/>
      <c r="BH67" s="306"/>
      <c r="BI67" s="304"/>
      <c r="BJ67" s="305"/>
      <c r="BK67" s="305"/>
      <c r="BL67" s="305"/>
      <c r="BM67" s="306"/>
      <c r="BN67" s="310"/>
      <c r="BO67" s="311"/>
      <c r="BP67" s="311"/>
      <c r="BQ67" s="311"/>
      <c r="BR67" s="518"/>
      <c r="BS67" s="515"/>
      <c r="BT67" s="317"/>
      <c r="BU67" s="317"/>
      <c r="BV67" s="317"/>
      <c r="BW67" s="317"/>
      <c r="BX67" s="270"/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270"/>
      <c r="DD67" s="270"/>
      <c r="DE67" s="270"/>
      <c r="DF67" s="270"/>
      <c r="DG67" s="270"/>
      <c r="DH67" s="270"/>
      <c r="DI67" s="270"/>
      <c r="DJ67" s="270"/>
      <c r="DK67" s="533"/>
      <c r="DL67" s="757"/>
      <c r="DM67" s="270"/>
      <c r="DN67" s="270"/>
      <c r="DO67" s="270"/>
      <c r="DP67" s="270"/>
      <c r="DQ67" s="270"/>
      <c r="DR67" s="270"/>
      <c r="DS67" s="270"/>
      <c r="DT67" s="270"/>
      <c r="DU67" s="270"/>
      <c r="DV67" s="270"/>
      <c r="DW67" s="270"/>
      <c r="DX67" s="270"/>
      <c r="DY67" s="270"/>
      <c r="DZ67" s="270"/>
      <c r="EA67" s="270"/>
      <c r="EB67" s="270"/>
      <c r="EC67" s="270"/>
      <c r="ED67" s="270"/>
      <c r="EE67" s="270"/>
      <c r="EF67" s="270"/>
      <c r="EG67" s="270"/>
      <c r="EH67" s="270"/>
      <c r="EI67" s="270"/>
      <c r="EJ67" s="270"/>
      <c r="EK67" s="270"/>
      <c r="EL67" s="270"/>
      <c r="EM67" s="270"/>
      <c r="EN67" s="270"/>
      <c r="EO67" s="270"/>
      <c r="EP67" s="270"/>
      <c r="EQ67" s="270"/>
      <c r="ER67" s="270"/>
      <c r="ES67" s="270"/>
      <c r="ET67" s="270"/>
      <c r="EU67" s="270"/>
      <c r="EV67" s="270"/>
      <c r="EW67" s="270"/>
      <c r="EX67" s="270"/>
      <c r="EY67" s="270"/>
      <c r="EZ67" s="270"/>
      <c r="FA67" s="270"/>
      <c r="FB67" s="270"/>
      <c r="FC67" s="270"/>
      <c r="FD67" s="533"/>
      <c r="FE67" s="532"/>
      <c r="FF67" s="450"/>
      <c r="FG67" s="450"/>
      <c r="FH67" s="450"/>
      <c r="FI67" s="530"/>
    </row>
    <row r="68" spans="1:165" s="78" customFormat="1" ht="110.1" customHeight="1" x14ac:dyDescent="0.2">
      <c r="A68" s="751" t="s">
        <v>49</v>
      </c>
      <c r="B68" s="132" t="s">
        <v>129</v>
      </c>
      <c r="C68" s="836" t="s">
        <v>267</v>
      </c>
      <c r="D68" s="837"/>
      <c r="E68" s="837"/>
      <c r="F68" s="837"/>
      <c r="G68" s="837"/>
      <c r="H68" s="837"/>
      <c r="I68" s="837"/>
      <c r="J68" s="837"/>
      <c r="K68" s="837"/>
      <c r="L68" s="837"/>
      <c r="M68" s="837"/>
      <c r="N68" s="837"/>
      <c r="O68" s="837"/>
      <c r="P68" s="837"/>
      <c r="Q68" s="837"/>
      <c r="R68" s="837"/>
      <c r="S68" s="837"/>
      <c r="T68" s="837"/>
      <c r="U68" s="837"/>
      <c r="V68" s="837"/>
      <c r="W68" s="837"/>
      <c r="X68" s="837"/>
      <c r="Y68" s="838"/>
      <c r="Z68" s="307">
        <f t="shared" ref="Z68" si="43">+FE68*30</f>
        <v>120</v>
      </c>
      <c r="AA68" s="308"/>
      <c r="AB68" s="308"/>
      <c r="AC68" s="308"/>
      <c r="AD68" s="309"/>
      <c r="AE68" s="313"/>
      <c r="AF68" s="314"/>
      <c r="AG68" s="314"/>
      <c r="AH68" s="314"/>
      <c r="AI68" s="315"/>
      <c r="AJ68" s="301">
        <f t="shared" ref="AJ68" si="44">SUM(AO68:BH69)</f>
        <v>50</v>
      </c>
      <c r="AK68" s="302"/>
      <c r="AL68" s="302"/>
      <c r="AM68" s="302"/>
      <c r="AN68" s="303"/>
      <c r="AO68" s="301">
        <v>30</v>
      </c>
      <c r="AP68" s="302"/>
      <c r="AQ68" s="302"/>
      <c r="AR68" s="302"/>
      <c r="AS68" s="303"/>
      <c r="AT68" s="301"/>
      <c r="AU68" s="302"/>
      <c r="AV68" s="302"/>
      <c r="AW68" s="302"/>
      <c r="AX68" s="303"/>
      <c r="AY68" s="301">
        <v>20</v>
      </c>
      <c r="AZ68" s="302"/>
      <c r="BA68" s="302"/>
      <c r="BB68" s="302"/>
      <c r="BC68" s="303"/>
      <c r="BD68" s="301"/>
      <c r="BE68" s="302"/>
      <c r="BF68" s="302"/>
      <c r="BG68" s="302"/>
      <c r="BH68" s="303"/>
      <c r="BI68" s="301"/>
      <c r="BJ68" s="302"/>
      <c r="BK68" s="302"/>
      <c r="BL68" s="302"/>
      <c r="BM68" s="303"/>
      <c r="BN68" s="307">
        <f t="shared" ref="BN68" si="45">Z68-AJ68</f>
        <v>70</v>
      </c>
      <c r="BO68" s="308"/>
      <c r="BP68" s="308"/>
      <c r="BQ68" s="308"/>
      <c r="BR68" s="517"/>
      <c r="BS68" s="514"/>
      <c r="BT68" s="314"/>
      <c r="BU68" s="314"/>
      <c r="BV68" s="314"/>
      <c r="BW68" s="314"/>
      <c r="BX68" s="270">
        <v>5</v>
      </c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/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270"/>
      <c r="DD68" s="270"/>
      <c r="DE68" s="270"/>
      <c r="DF68" s="270"/>
      <c r="DG68" s="270"/>
      <c r="DH68" s="270"/>
      <c r="DI68" s="270"/>
      <c r="DJ68" s="270"/>
      <c r="DK68" s="533"/>
      <c r="DL68" s="757"/>
      <c r="DM68" s="270"/>
      <c r="DN68" s="270"/>
      <c r="DO68" s="270"/>
      <c r="DP68" s="270"/>
      <c r="DQ68" s="270">
        <v>4</v>
      </c>
      <c r="DR68" s="270"/>
      <c r="DS68" s="270"/>
      <c r="DT68" s="270"/>
      <c r="DU68" s="270"/>
      <c r="DV68" s="270"/>
      <c r="DW68" s="270"/>
      <c r="DX68" s="270"/>
      <c r="DY68" s="270"/>
      <c r="DZ68" s="270"/>
      <c r="EA68" s="270"/>
      <c r="EB68" s="270"/>
      <c r="EC68" s="270"/>
      <c r="ED68" s="270"/>
      <c r="EE68" s="270"/>
      <c r="EF68" s="270"/>
      <c r="EG68" s="270"/>
      <c r="EH68" s="270"/>
      <c r="EI68" s="270"/>
      <c r="EJ68" s="270"/>
      <c r="EK68" s="270"/>
      <c r="EL68" s="270"/>
      <c r="EM68" s="270"/>
      <c r="EN68" s="270"/>
      <c r="EO68" s="270"/>
      <c r="EP68" s="270"/>
      <c r="EQ68" s="270"/>
      <c r="ER68" s="270"/>
      <c r="ES68" s="270"/>
      <c r="ET68" s="270"/>
      <c r="EU68" s="270"/>
      <c r="EV68" s="270"/>
      <c r="EW68" s="270"/>
      <c r="EX68" s="270"/>
      <c r="EY68" s="270"/>
      <c r="EZ68" s="270"/>
      <c r="FA68" s="270"/>
      <c r="FB68" s="270"/>
      <c r="FC68" s="270"/>
      <c r="FD68" s="533"/>
      <c r="FE68" s="531">
        <f t="shared" ref="FE68" si="46">SUM(DL68:FD69)</f>
        <v>4</v>
      </c>
      <c r="FF68" s="447"/>
      <c r="FG68" s="447"/>
      <c r="FH68" s="447"/>
      <c r="FI68" s="529"/>
    </row>
    <row r="69" spans="1:165" s="78" customFormat="1" ht="84.95" customHeight="1" x14ac:dyDescent="0.2">
      <c r="A69" s="752"/>
      <c r="B69" s="110" t="s">
        <v>305</v>
      </c>
      <c r="C69" s="835" t="s">
        <v>304</v>
      </c>
      <c r="D69" s="835"/>
      <c r="E69" s="835"/>
      <c r="F69" s="835"/>
      <c r="G69" s="835"/>
      <c r="H69" s="835"/>
      <c r="I69" s="835"/>
      <c r="J69" s="835"/>
      <c r="K69" s="835"/>
      <c r="L69" s="835"/>
      <c r="M69" s="835"/>
      <c r="N69" s="835"/>
      <c r="O69" s="835"/>
      <c r="P69" s="835"/>
      <c r="Q69" s="835"/>
      <c r="R69" s="835"/>
      <c r="S69" s="835"/>
      <c r="T69" s="835"/>
      <c r="U69" s="835"/>
      <c r="V69" s="835"/>
      <c r="W69" s="835"/>
      <c r="X69" s="835"/>
      <c r="Y69" s="835"/>
      <c r="Z69" s="310"/>
      <c r="AA69" s="311"/>
      <c r="AB69" s="311"/>
      <c r="AC69" s="311"/>
      <c r="AD69" s="312"/>
      <c r="AE69" s="316"/>
      <c r="AF69" s="317"/>
      <c r="AG69" s="317"/>
      <c r="AH69" s="317"/>
      <c r="AI69" s="318"/>
      <c r="AJ69" s="304"/>
      <c r="AK69" s="305"/>
      <c r="AL69" s="305"/>
      <c r="AM69" s="305"/>
      <c r="AN69" s="306"/>
      <c r="AO69" s="304"/>
      <c r="AP69" s="305"/>
      <c r="AQ69" s="305"/>
      <c r="AR69" s="305"/>
      <c r="AS69" s="306"/>
      <c r="AT69" s="304"/>
      <c r="AU69" s="305"/>
      <c r="AV69" s="305"/>
      <c r="AW69" s="305"/>
      <c r="AX69" s="306"/>
      <c r="AY69" s="304"/>
      <c r="AZ69" s="305"/>
      <c r="BA69" s="305"/>
      <c r="BB69" s="305"/>
      <c r="BC69" s="306"/>
      <c r="BD69" s="304"/>
      <c r="BE69" s="305"/>
      <c r="BF69" s="305"/>
      <c r="BG69" s="305"/>
      <c r="BH69" s="306"/>
      <c r="BI69" s="304"/>
      <c r="BJ69" s="305"/>
      <c r="BK69" s="305"/>
      <c r="BL69" s="305"/>
      <c r="BM69" s="306"/>
      <c r="BN69" s="310"/>
      <c r="BO69" s="311"/>
      <c r="BP69" s="311"/>
      <c r="BQ69" s="311"/>
      <c r="BR69" s="518"/>
      <c r="BS69" s="515"/>
      <c r="BT69" s="317"/>
      <c r="BU69" s="317"/>
      <c r="BV69" s="317"/>
      <c r="BW69" s="317"/>
      <c r="BX69" s="270"/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70"/>
      <c r="DB69" s="270"/>
      <c r="DC69" s="270"/>
      <c r="DD69" s="270"/>
      <c r="DE69" s="270"/>
      <c r="DF69" s="270"/>
      <c r="DG69" s="270"/>
      <c r="DH69" s="270"/>
      <c r="DI69" s="270"/>
      <c r="DJ69" s="270"/>
      <c r="DK69" s="533"/>
      <c r="DL69" s="757"/>
      <c r="DM69" s="270"/>
      <c r="DN69" s="270"/>
      <c r="DO69" s="270"/>
      <c r="DP69" s="270"/>
      <c r="DQ69" s="270"/>
      <c r="DR69" s="270"/>
      <c r="DS69" s="270"/>
      <c r="DT69" s="270"/>
      <c r="DU69" s="270"/>
      <c r="DV69" s="270"/>
      <c r="DW69" s="270"/>
      <c r="DX69" s="270"/>
      <c r="DY69" s="270"/>
      <c r="DZ69" s="270"/>
      <c r="EA69" s="270"/>
      <c r="EB69" s="270"/>
      <c r="EC69" s="270"/>
      <c r="ED69" s="270"/>
      <c r="EE69" s="270"/>
      <c r="EF69" s="270"/>
      <c r="EG69" s="270"/>
      <c r="EH69" s="270"/>
      <c r="EI69" s="270"/>
      <c r="EJ69" s="270"/>
      <c r="EK69" s="270"/>
      <c r="EL69" s="270"/>
      <c r="EM69" s="270"/>
      <c r="EN69" s="270"/>
      <c r="EO69" s="270"/>
      <c r="EP69" s="270"/>
      <c r="EQ69" s="270"/>
      <c r="ER69" s="270"/>
      <c r="ES69" s="270"/>
      <c r="ET69" s="270"/>
      <c r="EU69" s="270"/>
      <c r="EV69" s="270"/>
      <c r="EW69" s="270"/>
      <c r="EX69" s="270"/>
      <c r="EY69" s="270"/>
      <c r="EZ69" s="270"/>
      <c r="FA69" s="270"/>
      <c r="FB69" s="270"/>
      <c r="FC69" s="270"/>
      <c r="FD69" s="533"/>
      <c r="FE69" s="532"/>
      <c r="FF69" s="450"/>
      <c r="FG69" s="450"/>
      <c r="FH69" s="450"/>
      <c r="FI69" s="530"/>
    </row>
    <row r="70" spans="1:165" s="78" customFormat="1" ht="110.1" customHeight="1" x14ac:dyDescent="0.2">
      <c r="A70" s="751" t="s">
        <v>237</v>
      </c>
      <c r="B70" s="135" t="s">
        <v>328</v>
      </c>
      <c r="C70" s="836" t="s">
        <v>356</v>
      </c>
      <c r="D70" s="837"/>
      <c r="E70" s="837"/>
      <c r="F70" s="837"/>
      <c r="G70" s="837"/>
      <c r="H70" s="837"/>
      <c r="I70" s="837"/>
      <c r="J70" s="837"/>
      <c r="K70" s="837"/>
      <c r="L70" s="837"/>
      <c r="M70" s="837"/>
      <c r="N70" s="837"/>
      <c r="O70" s="837"/>
      <c r="P70" s="837"/>
      <c r="Q70" s="837"/>
      <c r="R70" s="837"/>
      <c r="S70" s="837"/>
      <c r="T70" s="837"/>
      <c r="U70" s="837"/>
      <c r="V70" s="837"/>
      <c r="W70" s="837"/>
      <c r="X70" s="837"/>
      <c r="Y70" s="838"/>
      <c r="Z70" s="307">
        <f t="shared" ref="Z70" si="47">+FE70*30</f>
        <v>180</v>
      </c>
      <c r="AA70" s="308"/>
      <c r="AB70" s="308"/>
      <c r="AC70" s="308"/>
      <c r="AD70" s="309"/>
      <c r="AE70" s="313"/>
      <c r="AF70" s="314"/>
      <c r="AG70" s="314"/>
      <c r="AH70" s="314"/>
      <c r="AI70" s="315"/>
      <c r="AJ70" s="301">
        <f t="shared" ref="AJ70" si="48">SUM(AO70:BH71)</f>
        <v>60</v>
      </c>
      <c r="AK70" s="302"/>
      <c r="AL70" s="302"/>
      <c r="AM70" s="302"/>
      <c r="AN70" s="303"/>
      <c r="AO70" s="301">
        <v>30</v>
      </c>
      <c r="AP70" s="302"/>
      <c r="AQ70" s="302"/>
      <c r="AR70" s="302"/>
      <c r="AS70" s="303"/>
      <c r="AT70" s="301">
        <v>30</v>
      </c>
      <c r="AU70" s="302"/>
      <c r="AV70" s="302"/>
      <c r="AW70" s="302"/>
      <c r="AX70" s="303"/>
      <c r="AY70" s="301"/>
      <c r="AZ70" s="302"/>
      <c r="BA70" s="302"/>
      <c r="BB70" s="302"/>
      <c r="BC70" s="303"/>
      <c r="BD70" s="301"/>
      <c r="BE70" s="302"/>
      <c r="BF70" s="302"/>
      <c r="BG70" s="302"/>
      <c r="BH70" s="303"/>
      <c r="BI70" s="301"/>
      <c r="BJ70" s="302"/>
      <c r="BK70" s="302"/>
      <c r="BL70" s="302"/>
      <c r="BM70" s="303"/>
      <c r="BN70" s="307">
        <f t="shared" ref="BN70" si="49">Z70-AJ70</f>
        <v>120</v>
      </c>
      <c r="BO70" s="308"/>
      <c r="BP70" s="308"/>
      <c r="BQ70" s="308"/>
      <c r="BR70" s="517"/>
      <c r="BS70" s="514"/>
      <c r="BT70" s="314"/>
      <c r="BU70" s="314"/>
      <c r="BV70" s="314"/>
      <c r="BW70" s="314"/>
      <c r="BX70" s="270">
        <v>4</v>
      </c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/>
      <c r="CU70" s="270"/>
      <c r="CV70" s="270"/>
      <c r="CW70" s="270"/>
      <c r="CX70" s="270"/>
      <c r="CY70" s="270"/>
      <c r="CZ70" s="270"/>
      <c r="DA70" s="270"/>
      <c r="DB70" s="270"/>
      <c r="DC70" s="270"/>
      <c r="DD70" s="270"/>
      <c r="DE70" s="270"/>
      <c r="DF70" s="270"/>
      <c r="DG70" s="270"/>
      <c r="DH70" s="270"/>
      <c r="DI70" s="270"/>
      <c r="DJ70" s="270"/>
      <c r="DK70" s="533"/>
      <c r="DL70" s="757"/>
      <c r="DM70" s="270"/>
      <c r="DN70" s="270"/>
      <c r="DO70" s="270"/>
      <c r="DP70" s="270"/>
      <c r="DQ70" s="270">
        <v>6</v>
      </c>
      <c r="DR70" s="270"/>
      <c r="DS70" s="270"/>
      <c r="DT70" s="270"/>
      <c r="DU70" s="270"/>
      <c r="DV70" s="270"/>
      <c r="DW70" s="270"/>
      <c r="DX70" s="270"/>
      <c r="DY70" s="270"/>
      <c r="DZ70" s="270"/>
      <c r="EA70" s="270"/>
      <c r="EB70" s="270"/>
      <c r="EC70" s="270"/>
      <c r="ED70" s="270"/>
      <c r="EE70" s="270"/>
      <c r="EF70" s="270"/>
      <c r="EG70" s="270"/>
      <c r="EH70" s="270"/>
      <c r="EI70" s="270"/>
      <c r="EJ70" s="270"/>
      <c r="EK70" s="270"/>
      <c r="EL70" s="270"/>
      <c r="EM70" s="270"/>
      <c r="EN70" s="270"/>
      <c r="EO70" s="270"/>
      <c r="EP70" s="270"/>
      <c r="EQ70" s="270"/>
      <c r="ER70" s="270"/>
      <c r="ES70" s="270"/>
      <c r="ET70" s="270"/>
      <c r="EU70" s="270"/>
      <c r="EV70" s="270"/>
      <c r="EW70" s="270"/>
      <c r="EX70" s="270"/>
      <c r="EY70" s="270"/>
      <c r="EZ70" s="270"/>
      <c r="FA70" s="270"/>
      <c r="FB70" s="270"/>
      <c r="FC70" s="270"/>
      <c r="FD70" s="533"/>
      <c r="FE70" s="531">
        <f t="shared" ref="FE70" si="50">SUM(DL70:FD71)</f>
        <v>6</v>
      </c>
      <c r="FF70" s="447"/>
      <c r="FG70" s="447"/>
      <c r="FH70" s="447"/>
      <c r="FI70" s="529"/>
    </row>
    <row r="71" spans="1:165" s="78" customFormat="1" ht="84.95" customHeight="1" x14ac:dyDescent="0.2">
      <c r="A71" s="752"/>
      <c r="B71" s="110" t="s">
        <v>316</v>
      </c>
      <c r="C71" s="835" t="s">
        <v>308</v>
      </c>
      <c r="D71" s="835"/>
      <c r="E71" s="835"/>
      <c r="F71" s="835"/>
      <c r="G71" s="835"/>
      <c r="H71" s="835"/>
      <c r="I71" s="835"/>
      <c r="J71" s="835"/>
      <c r="K71" s="835"/>
      <c r="L71" s="835"/>
      <c r="M71" s="835"/>
      <c r="N71" s="835"/>
      <c r="O71" s="835"/>
      <c r="P71" s="835"/>
      <c r="Q71" s="835"/>
      <c r="R71" s="835"/>
      <c r="S71" s="835"/>
      <c r="T71" s="835"/>
      <c r="U71" s="835"/>
      <c r="V71" s="835"/>
      <c r="W71" s="835"/>
      <c r="X71" s="835"/>
      <c r="Y71" s="835"/>
      <c r="Z71" s="310"/>
      <c r="AA71" s="311"/>
      <c r="AB71" s="311"/>
      <c r="AC71" s="311"/>
      <c r="AD71" s="312"/>
      <c r="AE71" s="316"/>
      <c r="AF71" s="317"/>
      <c r="AG71" s="317"/>
      <c r="AH71" s="317"/>
      <c r="AI71" s="318"/>
      <c r="AJ71" s="304"/>
      <c r="AK71" s="305"/>
      <c r="AL71" s="305"/>
      <c r="AM71" s="305"/>
      <c r="AN71" s="306"/>
      <c r="AO71" s="304"/>
      <c r="AP71" s="305"/>
      <c r="AQ71" s="305"/>
      <c r="AR71" s="305"/>
      <c r="AS71" s="306"/>
      <c r="AT71" s="304"/>
      <c r="AU71" s="305"/>
      <c r="AV71" s="305"/>
      <c r="AW71" s="305"/>
      <c r="AX71" s="306"/>
      <c r="AY71" s="304"/>
      <c r="AZ71" s="305"/>
      <c r="BA71" s="305"/>
      <c r="BB71" s="305"/>
      <c r="BC71" s="306"/>
      <c r="BD71" s="304"/>
      <c r="BE71" s="305"/>
      <c r="BF71" s="305"/>
      <c r="BG71" s="305"/>
      <c r="BH71" s="306"/>
      <c r="BI71" s="304"/>
      <c r="BJ71" s="305"/>
      <c r="BK71" s="305"/>
      <c r="BL71" s="305"/>
      <c r="BM71" s="306"/>
      <c r="BN71" s="310"/>
      <c r="BO71" s="311"/>
      <c r="BP71" s="311"/>
      <c r="BQ71" s="311"/>
      <c r="BR71" s="518"/>
      <c r="BS71" s="515"/>
      <c r="BT71" s="317"/>
      <c r="BU71" s="317"/>
      <c r="BV71" s="317"/>
      <c r="BW71" s="317"/>
      <c r="BX71" s="270"/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/>
      <c r="CO71" s="270"/>
      <c r="CP71" s="270"/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70"/>
      <c r="DB71" s="270"/>
      <c r="DC71" s="270"/>
      <c r="DD71" s="270"/>
      <c r="DE71" s="270"/>
      <c r="DF71" s="270"/>
      <c r="DG71" s="270"/>
      <c r="DH71" s="270"/>
      <c r="DI71" s="270"/>
      <c r="DJ71" s="270"/>
      <c r="DK71" s="533"/>
      <c r="DL71" s="757"/>
      <c r="DM71" s="270"/>
      <c r="DN71" s="270"/>
      <c r="DO71" s="270"/>
      <c r="DP71" s="270"/>
      <c r="DQ71" s="270"/>
      <c r="DR71" s="270"/>
      <c r="DS71" s="270"/>
      <c r="DT71" s="270"/>
      <c r="DU71" s="270"/>
      <c r="DV71" s="270"/>
      <c r="DW71" s="270"/>
      <c r="DX71" s="270"/>
      <c r="DY71" s="270"/>
      <c r="DZ71" s="270"/>
      <c r="EA71" s="270"/>
      <c r="EB71" s="270"/>
      <c r="EC71" s="270"/>
      <c r="ED71" s="270"/>
      <c r="EE71" s="270"/>
      <c r="EF71" s="270"/>
      <c r="EG71" s="270"/>
      <c r="EH71" s="270"/>
      <c r="EI71" s="270"/>
      <c r="EJ71" s="270"/>
      <c r="EK71" s="270"/>
      <c r="EL71" s="270"/>
      <c r="EM71" s="270"/>
      <c r="EN71" s="270"/>
      <c r="EO71" s="270"/>
      <c r="EP71" s="270"/>
      <c r="EQ71" s="270"/>
      <c r="ER71" s="270"/>
      <c r="ES71" s="270"/>
      <c r="ET71" s="270"/>
      <c r="EU71" s="270"/>
      <c r="EV71" s="270"/>
      <c r="EW71" s="270"/>
      <c r="EX71" s="270"/>
      <c r="EY71" s="270"/>
      <c r="EZ71" s="270"/>
      <c r="FA71" s="270"/>
      <c r="FB71" s="270"/>
      <c r="FC71" s="270"/>
      <c r="FD71" s="533"/>
      <c r="FE71" s="532"/>
      <c r="FF71" s="450"/>
      <c r="FG71" s="450"/>
      <c r="FH71" s="450"/>
      <c r="FI71" s="530"/>
    </row>
    <row r="72" spans="1:165" s="78" customFormat="1" ht="90" customHeight="1" x14ac:dyDescent="0.2">
      <c r="A72" s="751" t="s">
        <v>238</v>
      </c>
      <c r="B72" s="133" t="s">
        <v>338</v>
      </c>
      <c r="C72" s="835" t="s">
        <v>200</v>
      </c>
      <c r="D72" s="835"/>
      <c r="E72" s="835"/>
      <c r="F72" s="835"/>
      <c r="G72" s="835"/>
      <c r="H72" s="835"/>
      <c r="I72" s="835"/>
      <c r="J72" s="835"/>
      <c r="K72" s="835"/>
      <c r="L72" s="835"/>
      <c r="M72" s="835"/>
      <c r="N72" s="835"/>
      <c r="O72" s="835"/>
      <c r="P72" s="835"/>
      <c r="Q72" s="835"/>
      <c r="R72" s="835"/>
      <c r="S72" s="835"/>
      <c r="T72" s="835"/>
      <c r="U72" s="835"/>
      <c r="V72" s="835"/>
      <c r="W72" s="835"/>
      <c r="X72" s="835"/>
      <c r="Y72" s="835"/>
      <c r="Z72" s="307">
        <f t="shared" ref="Z72" si="51">+FE72*30</f>
        <v>60</v>
      </c>
      <c r="AA72" s="308"/>
      <c r="AB72" s="308"/>
      <c r="AC72" s="308"/>
      <c r="AD72" s="309"/>
      <c r="AE72" s="313"/>
      <c r="AF72" s="314"/>
      <c r="AG72" s="314"/>
      <c r="AH72" s="314"/>
      <c r="AI72" s="315"/>
      <c r="AJ72" s="301">
        <f t="shared" ref="AJ72" si="52">SUM(AO72:BH73)</f>
        <v>24</v>
      </c>
      <c r="AK72" s="302"/>
      <c r="AL72" s="302"/>
      <c r="AM72" s="302"/>
      <c r="AN72" s="303"/>
      <c r="AO72" s="301"/>
      <c r="AP72" s="302"/>
      <c r="AQ72" s="302"/>
      <c r="AR72" s="302"/>
      <c r="AS72" s="303"/>
      <c r="AT72" s="301">
        <v>24</v>
      </c>
      <c r="AU72" s="302"/>
      <c r="AV72" s="302"/>
      <c r="AW72" s="302"/>
      <c r="AX72" s="303"/>
      <c r="AY72" s="301"/>
      <c r="AZ72" s="302"/>
      <c r="BA72" s="302"/>
      <c r="BB72" s="302"/>
      <c r="BC72" s="303"/>
      <c r="BD72" s="301"/>
      <c r="BE72" s="302"/>
      <c r="BF72" s="302"/>
      <c r="BG72" s="302"/>
      <c r="BH72" s="303"/>
      <c r="BI72" s="301"/>
      <c r="BJ72" s="302"/>
      <c r="BK72" s="302"/>
      <c r="BL72" s="302"/>
      <c r="BM72" s="303"/>
      <c r="BN72" s="307">
        <f t="shared" ref="BN72" si="53">Z72-AJ72</f>
        <v>36</v>
      </c>
      <c r="BO72" s="308"/>
      <c r="BP72" s="308"/>
      <c r="BQ72" s="308"/>
      <c r="BR72" s="517"/>
      <c r="BS72" s="514"/>
      <c r="BT72" s="314"/>
      <c r="BU72" s="314"/>
      <c r="BV72" s="314"/>
      <c r="BW72" s="314"/>
      <c r="BX72" s="270"/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>
        <v>2</v>
      </c>
      <c r="CN72" s="270"/>
      <c r="CO72" s="270"/>
      <c r="CP72" s="270"/>
      <c r="CQ72" s="270"/>
      <c r="CR72" s="270"/>
      <c r="CS72" s="270"/>
      <c r="CT72" s="270"/>
      <c r="CU72" s="270"/>
      <c r="CV72" s="270"/>
      <c r="CW72" s="270"/>
      <c r="CX72" s="270"/>
      <c r="CY72" s="270"/>
      <c r="CZ72" s="270"/>
      <c r="DA72" s="270"/>
      <c r="DB72" s="270"/>
      <c r="DC72" s="270"/>
      <c r="DD72" s="270"/>
      <c r="DE72" s="270"/>
      <c r="DF72" s="270"/>
      <c r="DG72" s="270"/>
      <c r="DH72" s="270"/>
      <c r="DI72" s="270"/>
      <c r="DJ72" s="270"/>
      <c r="DK72" s="533"/>
      <c r="DL72" s="757"/>
      <c r="DM72" s="270"/>
      <c r="DN72" s="270"/>
      <c r="DO72" s="270"/>
      <c r="DP72" s="270"/>
      <c r="DQ72" s="270"/>
      <c r="DR72" s="270"/>
      <c r="DS72" s="270"/>
      <c r="DT72" s="270"/>
      <c r="DU72" s="270"/>
      <c r="DV72" s="270"/>
      <c r="DW72" s="270"/>
      <c r="DX72" s="270"/>
      <c r="DY72" s="270"/>
      <c r="DZ72" s="270"/>
      <c r="EA72" s="270"/>
      <c r="EB72" s="270"/>
      <c r="EC72" s="270"/>
      <c r="ED72" s="270"/>
      <c r="EE72" s="270"/>
      <c r="EF72" s="270">
        <v>2</v>
      </c>
      <c r="EG72" s="270"/>
      <c r="EH72" s="270"/>
      <c r="EI72" s="270"/>
      <c r="EJ72" s="270"/>
      <c r="EK72" s="270"/>
      <c r="EL72" s="270"/>
      <c r="EM72" s="270"/>
      <c r="EN72" s="270"/>
      <c r="EO72" s="270"/>
      <c r="EP72" s="270"/>
      <c r="EQ72" s="270"/>
      <c r="ER72" s="270"/>
      <c r="ES72" s="270"/>
      <c r="ET72" s="270"/>
      <c r="EU72" s="270"/>
      <c r="EV72" s="270"/>
      <c r="EW72" s="270"/>
      <c r="EX72" s="270"/>
      <c r="EY72" s="270"/>
      <c r="EZ72" s="270"/>
      <c r="FA72" s="270"/>
      <c r="FB72" s="270"/>
      <c r="FC72" s="270"/>
      <c r="FD72" s="533"/>
      <c r="FE72" s="531">
        <f t="shared" ref="FE72" si="54">SUM(DL72:FD73)</f>
        <v>2</v>
      </c>
      <c r="FF72" s="447"/>
      <c r="FG72" s="447"/>
      <c r="FH72" s="447"/>
      <c r="FI72" s="529"/>
    </row>
    <row r="73" spans="1:165" s="78" customFormat="1" ht="110.1" customHeight="1" x14ac:dyDescent="0.2">
      <c r="A73" s="752"/>
      <c r="B73" s="133" t="s">
        <v>290</v>
      </c>
      <c r="C73" s="835" t="s">
        <v>201</v>
      </c>
      <c r="D73" s="835"/>
      <c r="E73" s="835"/>
      <c r="F73" s="835"/>
      <c r="G73" s="835"/>
      <c r="H73" s="835"/>
      <c r="I73" s="835"/>
      <c r="J73" s="835"/>
      <c r="K73" s="835"/>
      <c r="L73" s="835"/>
      <c r="M73" s="835"/>
      <c r="N73" s="835"/>
      <c r="O73" s="835"/>
      <c r="P73" s="835"/>
      <c r="Q73" s="835"/>
      <c r="R73" s="835"/>
      <c r="S73" s="835"/>
      <c r="T73" s="835"/>
      <c r="U73" s="835"/>
      <c r="V73" s="835"/>
      <c r="W73" s="835"/>
      <c r="X73" s="835"/>
      <c r="Y73" s="835"/>
      <c r="Z73" s="310"/>
      <c r="AA73" s="311"/>
      <c r="AB73" s="311"/>
      <c r="AC73" s="311"/>
      <c r="AD73" s="312"/>
      <c r="AE73" s="316"/>
      <c r="AF73" s="317"/>
      <c r="AG73" s="317"/>
      <c r="AH73" s="317"/>
      <c r="AI73" s="318"/>
      <c r="AJ73" s="304"/>
      <c r="AK73" s="305"/>
      <c r="AL73" s="305"/>
      <c r="AM73" s="305"/>
      <c r="AN73" s="306"/>
      <c r="AO73" s="304"/>
      <c r="AP73" s="305"/>
      <c r="AQ73" s="305"/>
      <c r="AR73" s="305"/>
      <c r="AS73" s="306"/>
      <c r="AT73" s="304"/>
      <c r="AU73" s="305"/>
      <c r="AV73" s="305"/>
      <c r="AW73" s="305"/>
      <c r="AX73" s="306"/>
      <c r="AY73" s="304"/>
      <c r="AZ73" s="305"/>
      <c r="BA73" s="305"/>
      <c r="BB73" s="305"/>
      <c r="BC73" s="306"/>
      <c r="BD73" s="304"/>
      <c r="BE73" s="305"/>
      <c r="BF73" s="305"/>
      <c r="BG73" s="305"/>
      <c r="BH73" s="306"/>
      <c r="BI73" s="304"/>
      <c r="BJ73" s="305"/>
      <c r="BK73" s="305"/>
      <c r="BL73" s="305"/>
      <c r="BM73" s="306"/>
      <c r="BN73" s="310"/>
      <c r="BO73" s="311"/>
      <c r="BP73" s="311"/>
      <c r="BQ73" s="311"/>
      <c r="BR73" s="518"/>
      <c r="BS73" s="515"/>
      <c r="BT73" s="317"/>
      <c r="BU73" s="317"/>
      <c r="BV73" s="317"/>
      <c r="BW73" s="317"/>
      <c r="BX73" s="270"/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70"/>
      <c r="DB73" s="270"/>
      <c r="DC73" s="270"/>
      <c r="DD73" s="270"/>
      <c r="DE73" s="270"/>
      <c r="DF73" s="270"/>
      <c r="DG73" s="270"/>
      <c r="DH73" s="270"/>
      <c r="DI73" s="270"/>
      <c r="DJ73" s="270"/>
      <c r="DK73" s="533"/>
      <c r="DL73" s="757"/>
      <c r="DM73" s="270"/>
      <c r="DN73" s="270"/>
      <c r="DO73" s="270"/>
      <c r="DP73" s="270"/>
      <c r="DQ73" s="270"/>
      <c r="DR73" s="270"/>
      <c r="DS73" s="270"/>
      <c r="DT73" s="270"/>
      <c r="DU73" s="270"/>
      <c r="DV73" s="270"/>
      <c r="DW73" s="270"/>
      <c r="DX73" s="270"/>
      <c r="DY73" s="270"/>
      <c r="DZ73" s="270"/>
      <c r="EA73" s="270"/>
      <c r="EB73" s="270"/>
      <c r="EC73" s="270"/>
      <c r="ED73" s="270"/>
      <c r="EE73" s="270"/>
      <c r="EF73" s="270"/>
      <c r="EG73" s="270"/>
      <c r="EH73" s="270"/>
      <c r="EI73" s="270"/>
      <c r="EJ73" s="270"/>
      <c r="EK73" s="270"/>
      <c r="EL73" s="270"/>
      <c r="EM73" s="270"/>
      <c r="EN73" s="270"/>
      <c r="EO73" s="270"/>
      <c r="EP73" s="270"/>
      <c r="EQ73" s="270"/>
      <c r="ER73" s="270"/>
      <c r="ES73" s="270"/>
      <c r="ET73" s="270"/>
      <c r="EU73" s="270"/>
      <c r="EV73" s="270"/>
      <c r="EW73" s="270"/>
      <c r="EX73" s="270"/>
      <c r="EY73" s="270"/>
      <c r="EZ73" s="270"/>
      <c r="FA73" s="270"/>
      <c r="FB73" s="270"/>
      <c r="FC73" s="270"/>
      <c r="FD73" s="533"/>
      <c r="FE73" s="532"/>
      <c r="FF73" s="450"/>
      <c r="FG73" s="450"/>
      <c r="FH73" s="450"/>
      <c r="FI73" s="530"/>
    </row>
    <row r="74" spans="1:165" s="78" customFormat="1" ht="110.1" customHeight="1" x14ac:dyDescent="0.2">
      <c r="A74" s="751" t="s">
        <v>239</v>
      </c>
      <c r="B74" s="133" t="s">
        <v>339</v>
      </c>
      <c r="C74" s="835" t="s">
        <v>202</v>
      </c>
      <c r="D74" s="835"/>
      <c r="E74" s="835"/>
      <c r="F74" s="835"/>
      <c r="G74" s="835"/>
      <c r="H74" s="835"/>
      <c r="I74" s="835"/>
      <c r="J74" s="835"/>
      <c r="K74" s="835"/>
      <c r="L74" s="835"/>
      <c r="M74" s="835"/>
      <c r="N74" s="835"/>
      <c r="O74" s="835"/>
      <c r="P74" s="835"/>
      <c r="Q74" s="835"/>
      <c r="R74" s="835"/>
      <c r="S74" s="835"/>
      <c r="T74" s="835"/>
      <c r="U74" s="835"/>
      <c r="V74" s="835"/>
      <c r="W74" s="835"/>
      <c r="X74" s="835"/>
      <c r="Y74" s="835"/>
      <c r="Z74" s="307">
        <f t="shared" ref="Z74" si="55">+FE74*30</f>
        <v>60</v>
      </c>
      <c r="AA74" s="308"/>
      <c r="AB74" s="308"/>
      <c r="AC74" s="308"/>
      <c r="AD74" s="309"/>
      <c r="AE74" s="313"/>
      <c r="AF74" s="314"/>
      <c r="AG74" s="314"/>
      <c r="AH74" s="314"/>
      <c r="AI74" s="315"/>
      <c r="AJ74" s="301">
        <f t="shared" ref="AJ74" si="56">SUM(AO74:BH75)</f>
        <v>24</v>
      </c>
      <c r="AK74" s="302"/>
      <c r="AL74" s="302"/>
      <c r="AM74" s="302"/>
      <c r="AN74" s="303"/>
      <c r="AO74" s="301"/>
      <c r="AP74" s="302"/>
      <c r="AQ74" s="302"/>
      <c r="AR74" s="302"/>
      <c r="AS74" s="303"/>
      <c r="AT74" s="301">
        <v>24</v>
      </c>
      <c r="AU74" s="302"/>
      <c r="AV74" s="302"/>
      <c r="AW74" s="302"/>
      <c r="AX74" s="303"/>
      <c r="AY74" s="301"/>
      <c r="AZ74" s="302"/>
      <c r="BA74" s="302"/>
      <c r="BB74" s="302"/>
      <c r="BC74" s="303"/>
      <c r="BD74" s="301"/>
      <c r="BE74" s="302"/>
      <c r="BF74" s="302"/>
      <c r="BG74" s="302"/>
      <c r="BH74" s="303"/>
      <c r="BI74" s="301"/>
      <c r="BJ74" s="302"/>
      <c r="BK74" s="302"/>
      <c r="BL74" s="302"/>
      <c r="BM74" s="303"/>
      <c r="BN74" s="307">
        <f t="shared" ref="BN74" si="57">Z74-AJ74</f>
        <v>36</v>
      </c>
      <c r="BO74" s="308"/>
      <c r="BP74" s="308"/>
      <c r="BQ74" s="308"/>
      <c r="BR74" s="517"/>
      <c r="BS74" s="514"/>
      <c r="BT74" s="314"/>
      <c r="BU74" s="314"/>
      <c r="BV74" s="314"/>
      <c r="BW74" s="314"/>
      <c r="BX74" s="270"/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>
        <v>2</v>
      </c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/>
      <c r="CY74" s="270"/>
      <c r="CZ74" s="270"/>
      <c r="DA74" s="270"/>
      <c r="DB74" s="270"/>
      <c r="DC74" s="270"/>
      <c r="DD74" s="270"/>
      <c r="DE74" s="270"/>
      <c r="DF74" s="270"/>
      <c r="DG74" s="270"/>
      <c r="DH74" s="270"/>
      <c r="DI74" s="270"/>
      <c r="DJ74" s="270"/>
      <c r="DK74" s="533"/>
      <c r="DL74" s="757"/>
      <c r="DM74" s="270"/>
      <c r="DN74" s="270"/>
      <c r="DO74" s="270"/>
      <c r="DP74" s="270"/>
      <c r="DQ74" s="270"/>
      <c r="DR74" s="270"/>
      <c r="DS74" s="270"/>
      <c r="DT74" s="270"/>
      <c r="DU74" s="270"/>
      <c r="DV74" s="270"/>
      <c r="DW74" s="270"/>
      <c r="DX74" s="270"/>
      <c r="DY74" s="270"/>
      <c r="DZ74" s="270"/>
      <c r="EA74" s="270"/>
      <c r="EB74" s="270"/>
      <c r="EC74" s="270"/>
      <c r="ED74" s="270"/>
      <c r="EE74" s="270"/>
      <c r="EF74" s="270">
        <v>2</v>
      </c>
      <c r="EG74" s="270"/>
      <c r="EH74" s="270"/>
      <c r="EI74" s="270"/>
      <c r="EJ74" s="270"/>
      <c r="EK74" s="270"/>
      <c r="EL74" s="270"/>
      <c r="EM74" s="270"/>
      <c r="EN74" s="270"/>
      <c r="EO74" s="270"/>
      <c r="EP74" s="270"/>
      <c r="EQ74" s="270"/>
      <c r="ER74" s="270"/>
      <c r="ES74" s="270"/>
      <c r="ET74" s="270"/>
      <c r="EU74" s="270"/>
      <c r="EV74" s="270"/>
      <c r="EW74" s="270"/>
      <c r="EX74" s="270"/>
      <c r="EY74" s="270"/>
      <c r="EZ74" s="270"/>
      <c r="FA74" s="270"/>
      <c r="FB74" s="270"/>
      <c r="FC74" s="270"/>
      <c r="FD74" s="533"/>
      <c r="FE74" s="531">
        <f t="shared" ref="FE74" si="58">SUM(DL74:FD75)</f>
        <v>2</v>
      </c>
      <c r="FF74" s="447"/>
      <c r="FG74" s="447"/>
      <c r="FH74" s="447"/>
      <c r="FI74" s="529"/>
    </row>
    <row r="75" spans="1:165" s="78" customFormat="1" ht="110.1" customHeight="1" x14ac:dyDescent="0.2">
      <c r="A75" s="752"/>
      <c r="B75" s="133" t="s">
        <v>207</v>
      </c>
      <c r="C75" s="835" t="s">
        <v>203</v>
      </c>
      <c r="D75" s="835"/>
      <c r="E75" s="835"/>
      <c r="F75" s="835"/>
      <c r="G75" s="835"/>
      <c r="H75" s="835"/>
      <c r="I75" s="835"/>
      <c r="J75" s="835"/>
      <c r="K75" s="835"/>
      <c r="L75" s="835"/>
      <c r="M75" s="835"/>
      <c r="N75" s="835"/>
      <c r="O75" s="835"/>
      <c r="P75" s="835"/>
      <c r="Q75" s="835"/>
      <c r="R75" s="835"/>
      <c r="S75" s="835"/>
      <c r="T75" s="835"/>
      <c r="U75" s="835"/>
      <c r="V75" s="835"/>
      <c r="W75" s="835"/>
      <c r="X75" s="835"/>
      <c r="Y75" s="835"/>
      <c r="Z75" s="310"/>
      <c r="AA75" s="311"/>
      <c r="AB75" s="311"/>
      <c r="AC75" s="311"/>
      <c r="AD75" s="312"/>
      <c r="AE75" s="316"/>
      <c r="AF75" s="317"/>
      <c r="AG75" s="317"/>
      <c r="AH75" s="317"/>
      <c r="AI75" s="318"/>
      <c r="AJ75" s="304"/>
      <c r="AK75" s="305"/>
      <c r="AL75" s="305"/>
      <c r="AM75" s="305"/>
      <c r="AN75" s="306"/>
      <c r="AO75" s="304"/>
      <c r="AP75" s="305"/>
      <c r="AQ75" s="305"/>
      <c r="AR75" s="305"/>
      <c r="AS75" s="306"/>
      <c r="AT75" s="304"/>
      <c r="AU75" s="305"/>
      <c r="AV75" s="305"/>
      <c r="AW75" s="305"/>
      <c r="AX75" s="306"/>
      <c r="AY75" s="304"/>
      <c r="AZ75" s="305"/>
      <c r="BA75" s="305"/>
      <c r="BB75" s="305"/>
      <c r="BC75" s="306"/>
      <c r="BD75" s="304"/>
      <c r="BE75" s="305"/>
      <c r="BF75" s="305"/>
      <c r="BG75" s="305"/>
      <c r="BH75" s="306"/>
      <c r="BI75" s="304"/>
      <c r="BJ75" s="305"/>
      <c r="BK75" s="305"/>
      <c r="BL75" s="305"/>
      <c r="BM75" s="306"/>
      <c r="BN75" s="310"/>
      <c r="BO75" s="311"/>
      <c r="BP75" s="311"/>
      <c r="BQ75" s="311"/>
      <c r="BR75" s="518"/>
      <c r="BS75" s="515"/>
      <c r="BT75" s="317"/>
      <c r="BU75" s="317"/>
      <c r="BV75" s="317"/>
      <c r="BW75" s="317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0"/>
      <c r="DG75" s="270"/>
      <c r="DH75" s="270"/>
      <c r="DI75" s="270"/>
      <c r="DJ75" s="270"/>
      <c r="DK75" s="533"/>
      <c r="DL75" s="757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270"/>
      <c r="EB75" s="27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533"/>
      <c r="FE75" s="532"/>
      <c r="FF75" s="450"/>
      <c r="FG75" s="450"/>
      <c r="FH75" s="450"/>
      <c r="FI75" s="530"/>
    </row>
    <row r="76" spans="1:165" s="78" customFormat="1" ht="110.1" customHeight="1" x14ac:dyDescent="0.2">
      <c r="A76" s="751" t="s">
        <v>311</v>
      </c>
      <c r="B76" s="133" t="s">
        <v>340</v>
      </c>
      <c r="C76" s="835" t="s">
        <v>208</v>
      </c>
      <c r="D76" s="835"/>
      <c r="E76" s="835"/>
      <c r="F76" s="835"/>
      <c r="G76" s="835"/>
      <c r="H76" s="835"/>
      <c r="I76" s="835"/>
      <c r="J76" s="835"/>
      <c r="K76" s="835"/>
      <c r="L76" s="835"/>
      <c r="M76" s="835"/>
      <c r="N76" s="835"/>
      <c r="O76" s="835"/>
      <c r="P76" s="835"/>
      <c r="Q76" s="835"/>
      <c r="R76" s="835"/>
      <c r="S76" s="835"/>
      <c r="T76" s="835"/>
      <c r="U76" s="835"/>
      <c r="V76" s="835"/>
      <c r="W76" s="835"/>
      <c r="X76" s="835"/>
      <c r="Y76" s="835"/>
      <c r="Z76" s="307">
        <f t="shared" ref="Z76" si="59">+FE76*30</f>
        <v>60</v>
      </c>
      <c r="AA76" s="308"/>
      <c r="AB76" s="308"/>
      <c r="AC76" s="308"/>
      <c r="AD76" s="309"/>
      <c r="AE76" s="313"/>
      <c r="AF76" s="314"/>
      <c r="AG76" s="314"/>
      <c r="AH76" s="314"/>
      <c r="AI76" s="315"/>
      <c r="AJ76" s="301">
        <f t="shared" ref="AJ76" si="60">SUM(AO76:BH77)</f>
        <v>24</v>
      </c>
      <c r="AK76" s="302"/>
      <c r="AL76" s="302"/>
      <c r="AM76" s="302"/>
      <c r="AN76" s="303"/>
      <c r="AO76" s="301"/>
      <c r="AP76" s="302"/>
      <c r="AQ76" s="302"/>
      <c r="AR76" s="302"/>
      <c r="AS76" s="303"/>
      <c r="AT76" s="301">
        <v>24</v>
      </c>
      <c r="AU76" s="302"/>
      <c r="AV76" s="302"/>
      <c r="AW76" s="302"/>
      <c r="AX76" s="303"/>
      <c r="AY76" s="301"/>
      <c r="AZ76" s="302"/>
      <c r="BA76" s="302"/>
      <c r="BB76" s="302"/>
      <c r="BC76" s="303"/>
      <c r="BD76" s="301"/>
      <c r="BE76" s="302"/>
      <c r="BF76" s="302"/>
      <c r="BG76" s="302"/>
      <c r="BH76" s="303"/>
      <c r="BI76" s="301"/>
      <c r="BJ76" s="302"/>
      <c r="BK76" s="302"/>
      <c r="BL76" s="302"/>
      <c r="BM76" s="303"/>
      <c r="BN76" s="307">
        <f t="shared" ref="BN76" si="61">Z76-AJ76</f>
        <v>36</v>
      </c>
      <c r="BO76" s="308"/>
      <c r="BP76" s="308"/>
      <c r="BQ76" s="308"/>
      <c r="BR76" s="517"/>
      <c r="BS76" s="514"/>
      <c r="BT76" s="314"/>
      <c r="BU76" s="314"/>
      <c r="BV76" s="314"/>
      <c r="BW76" s="314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>
        <v>2</v>
      </c>
      <c r="CS76" s="270"/>
      <c r="CT76" s="270"/>
      <c r="CU76" s="270"/>
      <c r="CV76" s="270"/>
      <c r="CW76" s="270"/>
      <c r="CX76" s="270"/>
      <c r="CY76" s="270"/>
      <c r="CZ76" s="270"/>
      <c r="DA76" s="270"/>
      <c r="DB76" s="270"/>
      <c r="DC76" s="270"/>
      <c r="DD76" s="270"/>
      <c r="DE76" s="270"/>
      <c r="DF76" s="270"/>
      <c r="DG76" s="270"/>
      <c r="DH76" s="270"/>
      <c r="DI76" s="270"/>
      <c r="DJ76" s="270"/>
      <c r="DK76" s="533"/>
      <c r="DL76" s="757"/>
      <c r="DM76" s="270"/>
      <c r="DN76" s="270"/>
      <c r="DO76" s="270"/>
      <c r="DP76" s="270"/>
      <c r="DQ76" s="270"/>
      <c r="DR76" s="270"/>
      <c r="DS76" s="270"/>
      <c r="DT76" s="270"/>
      <c r="DU76" s="270"/>
      <c r="DV76" s="270"/>
      <c r="DW76" s="270"/>
      <c r="DX76" s="270"/>
      <c r="DY76" s="270"/>
      <c r="DZ76" s="270"/>
      <c r="EA76" s="270"/>
      <c r="EB76" s="270"/>
      <c r="EC76" s="270"/>
      <c r="ED76" s="270"/>
      <c r="EE76" s="270"/>
      <c r="EF76" s="270"/>
      <c r="EG76" s="270"/>
      <c r="EH76" s="270"/>
      <c r="EI76" s="270"/>
      <c r="EJ76" s="270"/>
      <c r="EK76" s="270">
        <v>2</v>
      </c>
      <c r="EL76" s="270"/>
      <c r="EM76" s="270"/>
      <c r="EN76" s="270"/>
      <c r="EO76" s="270"/>
      <c r="EP76" s="270"/>
      <c r="EQ76" s="270"/>
      <c r="ER76" s="270"/>
      <c r="ES76" s="270"/>
      <c r="ET76" s="270"/>
      <c r="EU76" s="270"/>
      <c r="EV76" s="270"/>
      <c r="EW76" s="270"/>
      <c r="EX76" s="270"/>
      <c r="EY76" s="270"/>
      <c r="EZ76" s="270"/>
      <c r="FA76" s="270"/>
      <c r="FB76" s="270"/>
      <c r="FC76" s="270"/>
      <c r="FD76" s="533"/>
      <c r="FE76" s="531">
        <f t="shared" ref="FE76" si="62">SUM(DL76:FD77)</f>
        <v>2</v>
      </c>
      <c r="FF76" s="447"/>
      <c r="FG76" s="447"/>
      <c r="FH76" s="447"/>
      <c r="FI76" s="529"/>
    </row>
    <row r="77" spans="1:165" s="78" customFormat="1" ht="84.95" customHeight="1" x14ac:dyDescent="0.2">
      <c r="A77" s="752"/>
      <c r="B77" s="133" t="s">
        <v>211</v>
      </c>
      <c r="C77" s="835" t="s">
        <v>209</v>
      </c>
      <c r="D77" s="835"/>
      <c r="E77" s="835"/>
      <c r="F77" s="835"/>
      <c r="G77" s="835"/>
      <c r="H77" s="835"/>
      <c r="I77" s="835"/>
      <c r="J77" s="835"/>
      <c r="K77" s="835"/>
      <c r="L77" s="835"/>
      <c r="M77" s="835"/>
      <c r="N77" s="835"/>
      <c r="O77" s="835"/>
      <c r="P77" s="835"/>
      <c r="Q77" s="835"/>
      <c r="R77" s="835"/>
      <c r="S77" s="835"/>
      <c r="T77" s="835"/>
      <c r="U77" s="835"/>
      <c r="V77" s="835"/>
      <c r="W77" s="835"/>
      <c r="X77" s="835"/>
      <c r="Y77" s="835"/>
      <c r="Z77" s="310"/>
      <c r="AA77" s="311"/>
      <c r="AB77" s="311"/>
      <c r="AC77" s="311"/>
      <c r="AD77" s="312"/>
      <c r="AE77" s="316"/>
      <c r="AF77" s="317"/>
      <c r="AG77" s="317"/>
      <c r="AH77" s="317"/>
      <c r="AI77" s="318"/>
      <c r="AJ77" s="304"/>
      <c r="AK77" s="305"/>
      <c r="AL77" s="305"/>
      <c r="AM77" s="305"/>
      <c r="AN77" s="306"/>
      <c r="AO77" s="304"/>
      <c r="AP77" s="305"/>
      <c r="AQ77" s="305"/>
      <c r="AR77" s="305"/>
      <c r="AS77" s="306"/>
      <c r="AT77" s="304"/>
      <c r="AU77" s="305"/>
      <c r="AV77" s="305"/>
      <c r="AW77" s="305"/>
      <c r="AX77" s="306"/>
      <c r="AY77" s="304"/>
      <c r="AZ77" s="305"/>
      <c r="BA77" s="305"/>
      <c r="BB77" s="305"/>
      <c r="BC77" s="306"/>
      <c r="BD77" s="304"/>
      <c r="BE77" s="305"/>
      <c r="BF77" s="305"/>
      <c r="BG77" s="305"/>
      <c r="BH77" s="306"/>
      <c r="BI77" s="304"/>
      <c r="BJ77" s="305"/>
      <c r="BK77" s="305"/>
      <c r="BL77" s="305"/>
      <c r="BM77" s="306"/>
      <c r="BN77" s="310"/>
      <c r="BO77" s="311"/>
      <c r="BP77" s="311"/>
      <c r="BQ77" s="311"/>
      <c r="BR77" s="518"/>
      <c r="BS77" s="515"/>
      <c r="BT77" s="317"/>
      <c r="BU77" s="317"/>
      <c r="BV77" s="317"/>
      <c r="BW77" s="317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270"/>
      <c r="DG77" s="270"/>
      <c r="DH77" s="270"/>
      <c r="DI77" s="270"/>
      <c r="DJ77" s="270"/>
      <c r="DK77" s="533"/>
      <c r="DL77" s="757"/>
      <c r="DM77" s="270"/>
      <c r="DN77" s="270"/>
      <c r="DO77" s="270"/>
      <c r="DP77" s="270"/>
      <c r="DQ77" s="270"/>
      <c r="DR77" s="270"/>
      <c r="DS77" s="270"/>
      <c r="DT77" s="270"/>
      <c r="DU77" s="270"/>
      <c r="DV77" s="270"/>
      <c r="DW77" s="270"/>
      <c r="DX77" s="270"/>
      <c r="DY77" s="270"/>
      <c r="DZ77" s="270"/>
      <c r="EA77" s="270"/>
      <c r="EB77" s="270"/>
      <c r="EC77" s="270"/>
      <c r="ED77" s="270"/>
      <c r="EE77" s="270"/>
      <c r="EF77" s="270"/>
      <c r="EG77" s="270"/>
      <c r="EH77" s="270"/>
      <c r="EI77" s="270"/>
      <c r="EJ77" s="270"/>
      <c r="EK77" s="270"/>
      <c r="EL77" s="270"/>
      <c r="EM77" s="270"/>
      <c r="EN77" s="270"/>
      <c r="EO77" s="270"/>
      <c r="EP77" s="270"/>
      <c r="EQ77" s="270"/>
      <c r="ER77" s="270"/>
      <c r="ES77" s="270"/>
      <c r="ET77" s="270"/>
      <c r="EU77" s="270"/>
      <c r="EV77" s="270"/>
      <c r="EW77" s="270"/>
      <c r="EX77" s="270"/>
      <c r="EY77" s="270"/>
      <c r="EZ77" s="270"/>
      <c r="FA77" s="270"/>
      <c r="FB77" s="270"/>
      <c r="FC77" s="270"/>
      <c r="FD77" s="533"/>
      <c r="FE77" s="532"/>
      <c r="FF77" s="450"/>
      <c r="FG77" s="450"/>
      <c r="FH77" s="450"/>
      <c r="FI77" s="530"/>
    </row>
    <row r="78" spans="1:165" s="78" customFormat="1" ht="110.1" customHeight="1" x14ac:dyDescent="0.2">
      <c r="A78" s="751" t="s">
        <v>312</v>
      </c>
      <c r="B78" s="133" t="s">
        <v>341</v>
      </c>
      <c r="C78" s="835" t="s">
        <v>212</v>
      </c>
      <c r="D78" s="835"/>
      <c r="E78" s="835"/>
      <c r="F78" s="835"/>
      <c r="G78" s="835"/>
      <c r="H78" s="835"/>
      <c r="I78" s="835"/>
      <c r="J78" s="835"/>
      <c r="K78" s="835"/>
      <c r="L78" s="835"/>
      <c r="M78" s="835"/>
      <c r="N78" s="835"/>
      <c r="O78" s="835"/>
      <c r="P78" s="835"/>
      <c r="Q78" s="835"/>
      <c r="R78" s="835"/>
      <c r="S78" s="835"/>
      <c r="T78" s="835"/>
      <c r="U78" s="835"/>
      <c r="V78" s="835"/>
      <c r="W78" s="835"/>
      <c r="X78" s="835"/>
      <c r="Y78" s="835"/>
      <c r="Z78" s="307">
        <f t="shared" ref="Z78" si="63">+FE78*30</f>
        <v>60</v>
      </c>
      <c r="AA78" s="308"/>
      <c r="AB78" s="308"/>
      <c r="AC78" s="308"/>
      <c r="AD78" s="309"/>
      <c r="AE78" s="313"/>
      <c r="AF78" s="314"/>
      <c r="AG78" s="314"/>
      <c r="AH78" s="314"/>
      <c r="AI78" s="315"/>
      <c r="AJ78" s="301">
        <f t="shared" ref="AJ78" si="64">SUM(AO78:BH79)</f>
        <v>24</v>
      </c>
      <c r="AK78" s="302"/>
      <c r="AL78" s="302"/>
      <c r="AM78" s="302"/>
      <c r="AN78" s="303"/>
      <c r="AO78" s="301">
        <v>12</v>
      </c>
      <c r="AP78" s="302"/>
      <c r="AQ78" s="302"/>
      <c r="AR78" s="302"/>
      <c r="AS78" s="303"/>
      <c r="AT78" s="301">
        <v>12</v>
      </c>
      <c r="AU78" s="302"/>
      <c r="AV78" s="302"/>
      <c r="AW78" s="302"/>
      <c r="AX78" s="303"/>
      <c r="AY78" s="301"/>
      <c r="AZ78" s="302"/>
      <c r="BA78" s="302"/>
      <c r="BB78" s="302"/>
      <c r="BC78" s="303"/>
      <c r="BD78" s="301"/>
      <c r="BE78" s="302"/>
      <c r="BF78" s="302"/>
      <c r="BG78" s="302"/>
      <c r="BH78" s="303"/>
      <c r="BI78" s="301"/>
      <c r="BJ78" s="302"/>
      <c r="BK78" s="302"/>
      <c r="BL78" s="302"/>
      <c r="BM78" s="303"/>
      <c r="BN78" s="307">
        <f t="shared" ref="BN78" si="65">Z78-AJ78</f>
        <v>36</v>
      </c>
      <c r="BO78" s="308"/>
      <c r="BP78" s="308"/>
      <c r="BQ78" s="308"/>
      <c r="BR78" s="517"/>
      <c r="BS78" s="514"/>
      <c r="BT78" s="314"/>
      <c r="BU78" s="314"/>
      <c r="BV78" s="314"/>
      <c r="BW78" s="314"/>
      <c r="BX78" s="270"/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0"/>
      <c r="CO78" s="270"/>
      <c r="CP78" s="270"/>
      <c r="CQ78" s="270"/>
      <c r="CR78" s="270">
        <v>2</v>
      </c>
      <c r="CS78" s="270"/>
      <c r="CT78" s="270"/>
      <c r="CU78" s="270"/>
      <c r="CV78" s="270"/>
      <c r="CW78" s="270"/>
      <c r="CX78" s="270"/>
      <c r="CY78" s="270"/>
      <c r="CZ78" s="270"/>
      <c r="DA78" s="270"/>
      <c r="DB78" s="270"/>
      <c r="DC78" s="270"/>
      <c r="DD78" s="270"/>
      <c r="DE78" s="270"/>
      <c r="DF78" s="270"/>
      <c r="DG78" s="270"/>
      <c r="DH78" s="270"/>
      <c r="DI78" s="270"/>
      <c r="DJ78" s="270"/>
      <c r="DK78" s="533"/>
      <c r="DL78" s="757"/>
      <c r="DM78" s="270"/>
      <c r="DN78" s="270"/>
      <c r="DO78" s="270"/>
      <c r="DP78" s="270"/>
      <c r="DQ78" s="270"/>
      <c r="DR78" s="270"/>
      <c r="DS78" s="270"/>
      <c r="DT78" s="270"/>
      <c r="DU78" s="270"/>
      <c r="DV78" s="270"/>
      <c r="DW78" s="270"/>
      <c r="DX78" s="270"/>
      <c r="DY78" s="270"/>
      <c r="DZ78" s="270"/>
      <c r="EA78" s="270"/>
      <c r="EB78" s="270"/>
      <c r="EC78" s="270"/>
      <c r="ED78" s="270"/>
      <c r="EE78" s="270"/>
      <c r="EF78" s="270"/>
      <c r="EG78" s="270"/>
      <c r="EH78" s="270"/>
      <c r="EI78" s="270"/>
      <c r="EJ78" s="270"/>
      <c r="EK78" s="270">
        <v>2</v>
      </c>
      <c r="EL78" s="270"/>
      <c r="EM78" s="270"/>
      <c r="EN78" s="270"/>
      <c r="EO78" s="270"/>
      <c r="EP78" s="270"/>
      <c r="EQ78" s="270"/>
      <c r="ER78" s="270"/>
      <c r="ES78" s="270"/>
      <c r="ET78" s="270"/>
      <c r="EU78" s="270"/>
      <c r="EV78" s="270"/>
      <c r="EW78" s="270"/>
      <c r="EX78" s="270"/>
      <c r="EY78" s="270"/>
      <c r="EZ78" s="270"/>
      <c r="FA78" s="270"/>
      <c r="FB78" s="270"/>
      <c r="FC78" s="270"/>
      <c r="FD78" s="533"/>
      <c r="FE78" s="531">
        <f t="shared" ref="FE78" si="66">SUM(DL78:FD79)</f>
        <v>2</v>
      </c>
      <c r="FF78" s="447"/>
      <c r="FG78" s="447"/>
      <c r="FH78" s="447"/>
      <c r="FI78" s="529"/>
    </row>
    <row r="79" spans="1:165" s="78" customFormat="1" ht="90" customHeight="1" x14ac:dyDescent="0.2">
      <c r="A79" s="752"/>
      <c r="B79" s="133" t="s">
        <v>215</v>
      </c>
      <c r="C79" s="835" t="s">
        <v>214</v>
      </c>
      <c r="D79" s="835"/>
      <c r="E79" s="835"/>
      <c r="F79" s="835"/>
      <c r="G79" s="835"/>
      <c r="H79" s="835"/>
      <c r="I79" s="835"/>
      <c r="J79" s="835"/>
      <c r="K79" s="835"/>
      <c r="L79" s="835"/>
      <c r="M79" s="835"/>
      <c r="N79" s="835"/>
      <c r="O79" s="835"/>
      <c r="P79" s="835"/>
      <c r="Q79" s="835"/>
      <c r="R79" s="835"/>
      <c r="S79" s="835"/>
      <c r="T79" s="835"/>
      <c r="U79" s="835"/>
      <c r="V79" s="835"/>
      <c r="W79" s="835"/>
      <c r="X79" s="835"/>
      <c r="Y79" s="835"/>
      <c r="Z79" s="310"/>
      <c r="AA79" s="311"/>
      <c r="AB79" s="311"/>
      <c r="AC79" s="311"/>
      <c r="AD79" s="312"/>
      <c r="AE79" s="316"/>
      <c r="AF79" s="317"/>
      <c r="AG79" s="317"/>
      <c r="AH79" s="317"/>
      <c r="AI79" s="318"/>
      <c r="AJ79" s="304"/>
      <c r="AK79" s="305"/>
      <c r="AL79" s="305"/>
      <c r="AM79" s="305"/>
      <c r="AN79" s="306"/>
      <c r="AO79" s="304"/>
      <c r="AP79" s="305"/>
      <c r="AQ79" s="305"/>
      <c r="AR79" s="305"/>
      <c r="AS79" s="306"/>
      <c r="AT79" s="304"/>
      <c r="AU79" s="305"/>
      <c r="AV79" s="305"/>
      <c r="AW79" s="305"/>
      <c r="AX79" s="306"/>
      <c r="AY79" s="304"/>
      <c r="AZ79" s="305"/>
      <c r="BA79" s="305"/>
      <c r="BB79" s="305"/>
      <c r="BC79" s="306"/>
      <c r="BD79" s="304"/>
      <c r="BE79" s="305"/>
      <c r="BF79" s="305"/>
      <c r="BG79" s="305"/>
      <c r="BH79" s="306"/>
      <c r="BI79" s="304"/>
      <c r="BJ79" s="305"/>
      <c r="BK79" s="305"/>
      <c r="BL79" s="305"/>
      <c r="BM79" s="306"/>
      <c r="BN79" s="310"/>
      <c r="BO79" s="311"/>
      <c r="BP79" s="311"/>
      <c r="BQ79" s="311"/>
      <c r="BR79" s="518"/>
      <c r="BS79" s="515"/>
      <c r="BT79" s="317"/>
      <c r="BU79" s="317"/>
      <c r="BV79" s="317"/>
      <c r="BW79" s="317"/>
      <c r="BX79" s="270"/>
      <c r="BY79" s="270"/>
      <c r="BZ79" s="270"/>
      <c r="CA79" s="270"/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0"/>
      <c r="CV79" s="270"/>
      <c r="CW79" s="270"/>
      <c r="CX79" s="270"/>
      <c r="CY79" s="270"/>
      <c r="CZ79" s="270"/>
      <c r="DA79" s="270"/>
      <c r="DB79" s="270"/>
      <c r="DC79" s="270"/>
      <c r="DD79" s="270"/>
      <c r="DE79" s="270"/>
      <c r="DF79" s="270"/>
      <c r="DG79" s="270"/>
      <c r="DH79" s="270"/>
      <c r="DI79" s="270"/>
      <c r="DJ79" s="270"/>
      <c r="DK79" s="533"/>
      <c r="DL79" s="757"/>
      <c r="DM79" s="270"/>
      <c r="DN79" s="270"/>
      <c r="DO79" s="270"/>
      <c r="DP79" s="270"/>
      <c r="DQ79" s="270"/>
      <c r="DR79" s="270"/>
      <c r="DS79" s="270"/>
      <c r="DT79" s="270"/>
      <c r="DU79" s="270"/>
      <c r="DV79" s="270"/>
      <c r="DW79" s="270"/>
      <c r="DX79" s="270"/>
      <c r="DY79" s="270"/>
      <c r="DZ79" s="270"/>
      <c r="EA79" s="270"/>
      <c r="EB79" s="270"/>
      <c r="EC79" s="270"/>
      <c r="ED79" s="270"/>
      <c r="EE79" s="270"/>
      <c r="EF79" s="270"/>
      <c r="EG79" s="270"/>
      <c r="EH79" s="270"/>
      <c r="EI79" s="270"/>
      <c r="EJ79" s="270"/>
      <c r="EK79" s="270"/>
      <c r="EL79" s="270"/>
      <c r="EM79" s="270"/>
      <c r="EN79" s="270"/>
      <c r="EO79" s="270"/>
      <c r="EP79" s="270"/>
      <c r="EQ79" s="270"/>
      <c r="ER79" s="270"/>
      <c r="ES79" s="270"/>
      <c r="ET79" s="270"/>
      <c r="EU79" s="270"/>
      <c r="EV79" s="270"/>
      <c r="EW79" s="270"/>
      <c r="EX79" s="270"/>
      <c r="EY79" s="270"/>
      <c r="EZ79" s="270"/>
      <c r="FA79" s="270"/>
      <c r="FB79" s="270"/>
      <c r="FC79" s="270"/>
      <c r="FD79" s="533"/>
      <c r="FE79" s="532"/>
      <c r="FF79" s="450"/>
      <c r="FG79" s="450"/>
      <c r="FH79" s="450"/>
      <c r="FI79" s="530"/>
    </row>
    <row r="80" spans="1:165" s="78" customFormat="1" ht="110.1" customHeight="1" x14ac:dyDescent="0.2">
      <c r="A80" s="751" t="s">
        <v>313</v>
      </c>
      <c r="B80" s="133" t="s">
        <v>342</v>
      </c>
      <c r="C80" s="835" t="s">
        <v>216</v>
      </c>
      <c r="D80" s="835"/>
      <c r="E80" s="835"/>
      <c r="F80" s="835"/>
      <c r="G80" s="835"/>
      <c r="H80" s="835"/>
      <c r="I80" s="835"/>
      <c r="J80" s="835"/>
      <c r="K80" s="835"/>
      <c r="L80" s="835"/>
      <c r="M80" s="835"/>
      <c r="N80" s="835"/>
      <c r="O80" s="835"/>
      <c r="P80" s="835"/>
      <c r="Q80" s="835"/>
      <c r="R80" s="835"/>
      <c r="S80" s="835"/>
      <c r="T80" s="835"/>
      <c r="U80" s="835"/>
      <c r="V80" s="835"/>
      <c r="W80" s="835"/>
      <c r="X80" s="835"/>
      <c r="Y80" s="835"/>
      <c r="Z80" s="307">
        <f t="shared" ref="Z80" si="67">+FE80*30</f>
        <v>120</v>
      </c>
      <c r="AA80" s="308"/>
      <c r="AB80" s="308"/>
      <c r="AC80" s="308"/>
      <c r="AD80" s="309"/>
      <c r="AE80" s="446"/>
      <c r="AF80" s="447"/>
      <c r="AG80" s="447"/>
      <c r="AH80" s="447"/>
      <c r="AI80" s="448"/>
      <c r="AJ80" s="301">
        <f t="shared" ref="AJ80" si="68">SUM(AO80:BH81)</f>
        <v>48</v>
      </c>
      <c r="AK80" s="302"/>
      <c r="AL80" s="302"/>
      <c r="AM80" s="302"/>
      <c r="AN80" s="303"/>
      <c r="AO80" s="301"/>
      <c r="AP80" s="302"/>
      <c r="AQ80" s="302"/>
      <c r="AR80" s="302"/>
      <c r="AS80" s="303"/>
      <c r="AT80" s="301">
        <v>48</v>
      </c>
      <c r="AU80" s="302"/>
      <c r="AV80" s="302"/>
      <c r="AW80" s="302"/>
      <c r="AX80" s="303"/>
      <c r="AY80" s="301"/>
      <c r="AZ80" s="302"/>
      <c r="BA80" s="302"/>
      <c r="BB80" s="302"/>
      <c r="BC80" s="303"/>
      <c r="BD80" s="301"/>
      <c r="BE80" s="302"/>
      <c r="BF80" s="302"/>
      <c r="BG80" s="302"/>
      <c r="BH80" s="303"/>
      <c r="BI80" s="301"/>
      <c r="BJ80" s="302"/>
      <c r="BK80" s="302"/>
      <c r="BL80" s="302"/>
      <c r="BM80" s="303"/>
      <c r="BN80" s="307">
        <f t="shared" ref="BN80" si="69">Z80-AJ80</f>
        <v>72</v>
      </c>
      <c r="BO80" s="308"/>
      <c r="BP80" s="308"/>
      <c r="BQ80" s="308"/>
      <c r="BR80" s="517"/>
      <c r="BS80" s="514"/>
      <c r="BT80" s="314"/>
      <c r="BU80" s="314"/>
      <c r="BV80" s="314"/>
      <c r="BW80" s="314"/>
      <c r="BX80" s="270"/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/>
      <c r="CO80" s="270"/>
      <c r="CP80" s="270"/>
      <c r="CQ80" s="270"/>
      <c r="CR80" s="270"/>
      <c r="CS80" s="270"/>
      <c r="CT80" s="270"/>
      <c r="CU80" s="270"/>
      <c r="CV80" s="270"/>
      <c r="CW80" s="270">
        <v>3</v>
      </c>
      <c r="CX80" s="270"/>
      <c r="CY80" s="270"/>
      <c r="CZ80" s="270"/>
      <c r="DA80" s="270"/>
      <c r="DB80" s="270"/>
      <c r="DC80" s="270"/>
      <c r="DD80" s="270"/>
      <c r="DE80" s="270"/>
      <c r="DF80" s="270"/>
      <c r="DG80" s="313"/>
      <c r="DH80" s="314"/>
      <c r="DI80" s="314"/>
      <c r="DJ80" s="314"/>
      <c r="DK80" s="863"/>
      <c r="DL80" s="514"/>
      <c r="DM80" s="314"/>
      <c r="DN80" s="314"/>
      <c r="DO80" s="314"/>
      <c r="DP80" s="315"/>
      <c r="DQ80" s="313"/>
      <c r="DR80" s="314"/>
      <c r="DS80" s="314"/>
      <c r="DT80" s="314"/>
      <c r="DU80" s="315"/>
      <c r="DV80" s="313"/>
      <c r="DW80" s="314"/>
      <c r="DX80" s="314"/>
      <c r="DY80" s="314"/>
      <c r="DZ80" s="315"/>
      <c r="EA80" s="313"/>
      <c r="EB80" s="314"/>
      <c r="EC80" s="314"/>
      <c r="ED80" s="314"/>
      <c r="EE80" s="315"/>
      <c r="EF80" s="313"/>
      <c r="EG80" s="314"/>
      <c r="EH80" s="314"/>
      <c r="EI80" s="314"/>
      <c r="EJ80" s="315"/>
      <c r="EK80" s="313"/>
      <c r="EL80" s="314"/>
      <c r="EM80" s="314"/>
      <c r="EN80" s="314"/>
      <c r="EO80" s="315"/>
      <c r="EP80" s="270">
        <v>4</v>
      </c>
      <c r="EQ80" s="270"/>
      <c r="ER80" s="270"/>
      <c r="ES80" s="270"/>
      <c r="ET80" s="270"/>
      <c r="EU80" s="270"/>
      <c r="EV80" s="270"/>
      <c r="EW80" s="270"/>
      <c r="EX80" s="270"/>
      <c r="EY80" s="270"/>
      <c r="EZ80" s="270"/>
      <c r="FA80" s="270"/>
      <c r="FB80" s="270"/>
      <c r="FC80" s="270"/>
      <c r="FD80" s="533"/>
      <c r="FE80" s="531">
        <f t="shared" ref="FE80" si="70">SUM(DL80:FD81)</f>
        <v>4</v>
      </c>
      <c r="FF80" s="447"/>
      <c r="FG80" s="447"/>
      <c r="FH80" s="447"/>
      <c r="FI80" s="529"/>
    </row>
    <row r="81" spans="1:166" s="78" customFormat="1" ht="110.1" customHeight="1" x14ac:dyDescent="0.2">
      <c r="A81" s="752"/>
      <c r="B81" s="133" t="s">
        <v>219</v>
      </c>
      <c r="C81" s="835" t="s">
        <v>218</v>
      </c>
      <c r="D81" s="835"/>
      <c r="E81" s="835"/>
      <c r="F81" s="835"/>
      <c r="G81" s="835"/>
      <c r="H81" s="835"/>
      <c r="I81" s="835"/>
      <c r="J81" s="835"/>
      <c r="K81" s="835"/>
      <c r="L81" s="835"/>
      <c r="M81" s="835"/>
      <c r="N81" s="835"/>
      <c r="O81" s="835"/>
      <c r="P81" s="835"/>
      <c r="Q81" s="835"/>
      <c r="R81" s="835"/>
      <c r="S81" s="835"/>
      <c r="T81" s="835"/>
      <c r="U81" s="835"/>
      <c r="V81" s="835"/>
      <c r="W81" s="835"/>
      <c r="X81" s="835"/>
      <c r="Y81" s="835"/>
      <c r="Z81" s="310"/>
      <c r="AA81" s="311"/>
      <c r="AB81" s="311"/>
      <c r="AC81" s="311"/>
      <c r="AD81" s="312"/>
      <c r="AE81" s="449"/>
      <c r="AF81" s="450"/>
      <c r="AG81" s="450"/>
      <c r="AH81" s="450"/>
      <c r="AI81" s="451"/>
      <c r="AJ81" s="304"/>
      <c r="AK81" s="305"/>
      <c r="AL81" s="305"/>
      <c r="AM81" s="305"/>
      <c r="AN81" s="306"/>
      <c r="AO81" s="304"/>
      <c r="AP81" s="305"/>
      <c r="AQ81" s="305"/>
      <c r="AR81" s="305"/>
      <c r="AS81" s="306"/>
      <c r="AT81" s="304"/>
      <c r="AU81" s="305"/>
      <c r="AV81" s="305"/>
      <c r="AW81" s="305"/>
      <c r="AX81" s="306"/>
      <c r="AY81" s="304"/>
      <c r="AZ81" s="305"/>
      <c r="BA81" s="305"/>
      <c r="BB81" s="305"/>
      <c r="BC81" s="306"/>
      <c r="BD81" s="304"/>
      <c r="BE81" s="305"/>
      <c r="BF81" s="305"/>
      <c r="BG81" s="305"/>
      <c r="BH81" s="306"/>
      <c r="BI81" s="304"/>
      <c r="BJ81" s="305"/>
      <c r="BK81" s="305"/>
      <c r="BL81" s="305"/>
      <c r="BM81" s="306"/>
      <c r="BN81" s="310"/>
      <c r="BO81" s="311"/>
      <c r="BP81" s="311"/>
      <c r="BQ81" s="311"/>
      <c r="BR81" s="518"/>
      <c r="BS81" s="515"/>
      <c r="BT81" s="317"/>
      <c r="BU81" s="317"/>
      <c r="BV81" s="317"/>
      <c r="BW81" s="317"/>
      <c r="BX81" s="270"/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  <c r="DB81" s="270"/>
      <c r="DC81" s="270"/>
      <c r="DD81" s="270"/>
      <c r="DE81" s="270"/>
      <c r="DF81" s="270"/>
      <c r="DG81" s="316"/>
      <c r="DH81" s="317"/>
      <c r="DI81" s="317"/>
      <c r="DJ81" s="317"/>
      <c r="DK81" s="864"/>
      <c r="DL81" s="515"/>
      <c r="DM81" s="317"/>
      <c r="DN81" s="317"/>
      <c r="DO81" s="317"/>
      <c r="DP81" s="318"/>
      <c r="DQ81" s="316"/>
      <c r="DR81" s="317"/>
      <c r="DS81" s="317"/>
      <c r="DT81" s="317"/>
      <c r="DU81" s="318"/>
      <c r="DV81" s="316"/>
      <c r="DW81" s="317"/>
      <c r="DX81" s="317"/>
      <c r="DY81" s="317"/>
      <c r="DZ81" s="318"/>
      <c r="EA81" s="316"/>
      <c r="EB81" s="317"/>
      <c r="EC81" s="317"/>
      <c r="ED81" s="317"/>
      <c r="EE81" s="318"/>
      <c r="EF81" s="316"/>
      <c r="EG81" s="317"/>
      <c r="EH81" s="317"/>
      <c r="EI81" s="317"/>
      <c r="EJ81" s="318"/>
      <c r="EK81" s="316"/>
      <c r="EL81" s="317"/>
      <c r="EM81" s="317"/>
      <c r="EN81" s="317"/>
      <c r="EO81" s="318"/>
      <c r="EP81" s="270"/>
      <c r="EQ81" s="270"/>
      <c r="ER81" s="270"/>
      <c r="ES81" s="270"/>
      <c r="ET81" s="270"/>
      <c r="EU81" s="270"/>
      <c r="EV81" s="270"/>
      <c r="EW81" s="270"/>
      <c r="EX81" s="270"/>
      <c r="EY81" s="270"/>
      <c r="EZ81" s="270"/>
      <c r="FA81" s="270"/>
      <c r="FB81" s="270"/>
      <c r="FC81" s="270"/>
      <c r="FD81" s="533"/>
      <c r="FE81" s="532"/>
      <c r="FF81" s="450"/>
      <c r="FG81" s="450"/>
      <c r="FH81" s="450"/>
      <c r="FI81" s="530"/>
    </row>
    <row r="82" spans="1:166" s="78" customFormat="1" ht="84.95" customHeight="1" x14ac:dyDescent="0.2">
      <c r="A82" s="751" t="s">
        <v>314</v>
      </c>
      <c r="B82" s="106" t="s">
        <v>295</v>
      </c>
      <c r="C82" s="835" t="s">
        <v>292</v>
      </c>
      <c r="D82" s="835"/>
      <c r="E82" s="835"/>
      <c r="F82" s="835"/>
      <c r="G82" s="835"/>
      <c r="H82" s="835"/>
      <c r="I82" s="835"/>
      <c r="J82" s="835"/>
      <c r="K82" s="835"/>
      <c r="L82" s="835"/>
      <c r="M82" s="835"/>
      <c r="N82" s="835"/>
      <c r="O82" s="835"/>
      <c r="P82" s="835"/>
      <c r="Q82" s="835"/>
      <c r="R82" s="835"/>
      <c r="S82" s="835"/>
      <c r="T82" s="835"/>
      <c r="U82" s="835"/>
      <c r="V82" s="835"/>
      <c r="W82" s="835"/>
      <c r="X82" s="835"/>
      <c r="Y82" s="835"/>
      <c r="Z82" s="307">
        <f t="shared" ref="Z82" si="71">+FE82*30</f>
        <v>120</v>
      </c>
      <c r="AA82" s="308"/>
      <c r="AB82" s="308"/>
      <c r="AC82" s="308"/>
      <c r="AD82" s="309"/>
      <c r="AE82" s="446"/>
      <c r="AF82" s="447"/>
      <c r="AG82" s="447"/>
      <c r="AH82" s="447"/>
      <c r="AI82" s="448"/>
      <c r="AJ82" s="301">
        <f t="shared" ref="AJ82" si="72">SUM(AO82:BH83)</f>
        <v>48</v>
      </c>
      <c r="AK82" s="302"/>
      <c r="AL82" s="302"/>
      <c r="AM82" s="302"/>
      <c r="AN82" s="303"/>
      <c r="AO82" s="301">
        <v>32</v>
      </c>
      <c r="AP82" s="302"/>
      <c r="AQ82" s="302"/>
      <c r="AR82" s="302"/>
      <c r="AS82" s="303"/>
      <c r="AT82" s="301"/>
      <c r="AU82" s="302"/>
      <c r="AV82" s="302"/>
      <c r="AW82" s="302"/>
      <c r="AX82" s="303"/>
      <c r="AY82" s="301">
        <v>16</v>
      </c>
      <c r="AZ82" s="302"/>
      <c r="BA82" s="302"/>
      <c r="BB82" s="302"/>
      <c r="BC82" s="303"/>
      <c r="BD82" s="301"/>
      <c r="BE82" s="302"/>
      <c r="BF82" s="302"/>
      <c r="BG82" s="302"/>
      <c r="BH82" s="303"/>
      <c r="BI82" s="301"/>
      <c r="BJ82" s="302"/>
      <c r="BK82" s="302"/>
      <c r="BL82" s="302"/>
      <c r="BM82" s="303"/>
      <c r="BN82" s="307">
        <f t="shared" ref="BN82" si="73">Z82-AJ82</f>
        <v>72</v>
      </c>
      <c r="BO82" s="308"/>
      <c r="BP82" s="308"/>
      <c r="BQ82" s="308"/>
      <c r="BR82" s="517"/>
      <c r="BS82" s="514"/>
      <c r="BT82" s="314"/>
      <c r="BU82" s="314"/>
      <c r="BV82" s="314"/>
      <c r="BW82" s="314"/>
      <c r="BX82" s="270"/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/>
      <c r="CU82" s="270"/>
      <c r="CV82" s="270"/>
      <c r="CW82" s="270">
        <v>3</v>
      </c>
      <c r="CX82" s="270"/>
      <c r="CY82" s="270"/>
      <c r="CZ82" s="270"/>
      <c r="DA82" s="270"/>
      <c r="DB82" s="270"/>
      <c r="DC82" s="270"/>
      <c r="DD82" s="270"/>
      <c r="DE82" s="270"/>
      <c r="DF82" s="270"/>
      <c r="DG82" s="270"/>
      <c r="DH82" s="270"/>
      <c r="DI82" s="270"/>
      <c r="DJ82" s="270"/>
      <c r="DK82" s="533"/>
      <c r="DL82" s="757"/>
      <c r="DM82" s="270"/>
      <c r="DN82" s="270"/>
      <c r="DO82" s="270"/>
      <c r="DP82" s="270"/>
      <c r="DQ82" s="270"/>
      <c r="DR82" s="270"/>
      <c r="DS82" s="270"/>
      <c r="DT82" s="270"/>
      <c r="DU82" s="270"/>
      <c r="DV82" s="270"/>
      <c r="DW82" s="270"/>
      <c r="DX82" s="270"/>
      <c r="DY82" s="270"/>
      <c r="DZ82" s="270"/>
      <c r="EA82" s="270"/>
      <c r="EB82" s="270"/>
      <c r="EC82" s="270"/>
      <c r="ED82" s="270"/>
      <c r="EE82" s="270"/>
      <c r="EF82" s="270"/>
      <c r="EG82" s="270"/>
      <c r="EH82" s="270"/>
      <c r="EI82" s="270"/>
      <c r="EJ82" s="270"/>
      <c r="EK82" s="270"/>
      <c r="EL82" s="270"/>
      <c r="EM82" s="270"/>
      <c r="EN82" s="270"/>
      <c r="EO82" s="270"/>
      <c r="EP82" s="270">
        <v>4</v>
      </c>
      <c r="EQ82" s="270"/>
      <c r="ER82" s="270"/>
      <c r="ES82" s="270"/>
      <c r="ET82" s="270"/>
      <c r="EU82" s="270"/>
      <c r="EV82" s="270"/>
      <c r="EW82" s="270"/>
      <c r="EX82" s="270"/>
      <c r="EY82" s="270"/>
      <c r="EZ82" s="270"/>
      <c r="FA82" s="270"/>
      <c r="FB82" s="270"/>
      <c r="FC82" s="270"/>
      <c r="FD82" s="533"/>
      <c r="FE82" s="531">
        <f t="shared" ref="FE82" si="74">SUM(DL82:FD83)</f>
        <v>4</v>
      </c>
      <c r="FF82" s="447"/>
      <c r="FG82" s="447"/>
      <c r="FH82" s="447"/>
      <c r="FI82" s="529"/>
    </row>
    <row r="83" spans="1:166" s="78" customFormat="1" ht="84.95" customHeight="1" x14ac:dyDescent="0.2">
      <c r="A83" s="752"/>
      <c r="B83" s="110" t="s">
        <v>325</v>
      </c>
      <c r="C83" s="835" t="s">
        <v>324</v>
      </c>
      <c r="D83" s="835"/>
      <c r="E83" s="835"/>
      <c r="F83" s="835"/>
      <c r="G83" s="835"/>
      <c r="H83" s="835"/>
      <c r="I83" s="835"/>
      <c r="J83" s="835"/>
      <c r="K83" s="835"/>
      <c r="L83" s="835"/>
      <c r="M83" s="835"/>
      <c r="N83" s="835"/>
      <c r="O83" s="835"/>
      <c r="P83" s="835"/>
      <c r="Q83" s="835"/>
      <c r="R83" s="835"/>
      <c r="S83" s="835"/>
      <c r="T83" s="835"/>
      <c r="U83" s="835"/>
      <c r="V83" s="835"/>
      <c r="W83" s="835"/>
      <c r="X83" s="835"/>
      <c r="Y83" s="835"/>
      <c r="Z83" s="310"/>
      <c r="AA83" s="311"/>
      <c r="AB83" s="311"/>
      <c r="AC83" s="311"/>
      <c r="AD83" s="312"/>
      <c r="AE83" s="449"/>
      <c r="AF83" s="450"/>
      <c r="AG83" s="450"/>
      <c r="AH83" s="450"/>
      <c r="AI83" s="451"/>
      <c r="AJ83" s="304"/>
      <c r="AK83" s="305"/>
      <c r="AL83" s="305"/>
      <c r="AM83" s="305"/>
      <c r="AN83" s="306"/>
      <c r="AO83" s="304"/>
      <c r="AP83" s="305"/>
      <c r="AQ83" s="305"/>
      <c r="AR83" s="305"/>
      <c r="AS83" s="306"/>
      <c r="AT83" s="304"/>
      <c r="AU83" s="305"/>
      <c r="AV83" s="305"/>
      <c r="AW83" s="305"/>
      <c r="AX83" s="306"/>
      <c r="AY83" s="304"/>
      <c r="AZ83" s="305"/>
      <c r="BA83" s="305"/>
      <c r="BB83" s="305"/>
      <c r="BC83" s="306"/>
      <c r="BD83" s="304"/>
      <c r="BE83" s="305"/>
      <c r="BF83" s="305"/>
      <c r="BG83" s="305"/>
      <c r="BH83" s="306"/>
      <c r="BI83" s="304"/>
      <c r="BJ83" s="305"/>
      <c r="BK83" s="305"/>
      <c r="BL83" s="305"/>
      <c r="BM83" s="306"/>
      <c r="BN83" s="310"/>
      <c r="BO83" s="311"/>
      <c r="BP83" s="311"/>
      <c r="BQ83" s="311"/>
      <c r="BR83" s="518"/>
      <c r="BS83" s="515"/>
      <c r="BT83" s="317"/>
      <c r="BU83" s="317"/>
      <c r="BV83" s="317"/>
      <c r="BW83" s="317"/>
      <c r="BX83" s="270"/>
      <c r="BY83" s="270"/>
      <c r="BZ83" s="270"/>
      <c r="CA83" s="270"/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/>
      <c r="CX83" s="270"/>
      <c r="CY83" s="270"/>
      <c r="CZ83" s="270"/>
      <c r="DA83" s="270"/>
      <c r="DB83" s="270"/>
      <c r="DC83" s="270"/>
      <c r="DD83" s="270"/>
      <c r="DE83" s="270"/>
      <c r="DF83" s="270"/>
      <c r="DG83" s="270"/>
      <c r="DH83" s="270"/>
      <c r="DI83" s="270"/>
      <c r="DJ83" s="270"/>
      <c r="DK83" s="533"/>
      <c r="DL83" s="757"/>
      <c r="DM83" s="270"/>
      <c r="DN83" s="270"/>
      <c r="DO83" s="270"/>
      <c r="DP83" s="270"/>
      <c r="DQ83" s="270"/>
      <c r="DR83" s="270"/>
      <c r="DS83" s="270"/>
      <c r="DT83" s="270"/>
      <c r="DU83" s="270"/>
      <c r="DV83" s="270"/>
      <c r="DW83" s="270"/>
      <c r="DX83" s="270"/>
      <c r="DY83" s="270"/>
      <c r="DZ83" s="270"/>
      <c r="EA83" s="270"/>
      <c r="EB83" s="270"/>
      <c r="EC83" s="270"/>
      <c r="ED83" s="270"/>
      <c r="EE83" s="270"/>
      <c r="EF83" s="270"/>
      <c r="EG83" s="270"/>
      <c r="EH83" s="270"/>
      <c r="EI83" s="270"/>
      <c r="EJ83" s="270"/>
      <c r="EK83" s="270"/>
      <c r="EL83" s="270"/>
      <c r="EM83" s="270"/>
      <c r="EN83" s="270"/>
      <c r="EO83" s="270"/>
      <c r="EP83" s="270"/>
      <c r="EQ83" s="270"/>
      <c r="ER83" s="270"/>
      <c r="ES83" s="270"/>
      <c r="ET83" s="270"/>
      <c r="EU83" s="270"/>
      <c r="EV83" s="270"/>
      <c r="EW83" s="270"/>
      <c r="EX83" s="270"/>
      <c r="EY83" s="270"/>
      <c r="EZ83" s="270"/>
      <c r="FA83" s="270"/>
      <c r="FB83" s="270"/>
      <c r="FC83" s="270"/>
      <c r="FD83" s="533"/>
      <c r="FE83" s="532"/>
      <c r="FF83" s="450"/>
      <c r="FG83" s="450"/>
      <c r="FH83" s="450"/>
      <c r="FI83" s="530"/>
    </row>
    <row r="84" spans="1:166" s="101" customFormat="1" ht="110.1" customHeight="1" x14ac:dyDescent="0.2">
      <c r="A84" s="753" t="s">
        <v>315</v>
      </c>
      <c r="B84" s="244" t="s">
        <v>296</v>
      </c>
      <c r="C84" s="865" t="s">
        <v>321</v>
      </c>
      <c r="D84" s="865"/>
      <c r="E84" s="865"/>
      <c r="F84" s="865"/>
      <c r="G84" s="865"/>
      <c r="H84" s="865"/>
      <c r="I84" s="865"/>
      <c r="J84" s="865"/>
      <c r="K84" s="865"/>
      <c r="L84" s="865"/>
      <c r="M84" s="865"/>
      <c r="N84" s="865"/>
      <c r="O84" s="865"/>
      <c r="P84" s="865"/>
      <c r="Q84" s="865"/>
      <c r="R84" s="865"/>
      <c r="S84" s="865"/>
      <c r="T84" s="865"/>
      <c r="U84" s="865"/>
      <c r="V84" s="865"/>
      <c r="W84" s="865"/>
      <c r="X84" s="865"/>
      <c r="Y84" s="865"/>
      <c r="Z84" s="540">
        <f t="shared" ref="Z84" si="75">+FE84*30</f>
        <v>180</v>
      </c>
      <c r="AA84" s="541"/>
      <c r="AB84" s="541"/>
      <c r="AC84" s="541"/>
      <c r="AD84" s="542"/>
      <c r="AE84" s="747"/>
      <c r="AF84" s="559"/>
      <c r="AG84" s="559"/>
      <c r="AH84" s="559"/>
      <c r="AI84" s="748"/>
      <c r="AJ84" s="552">
        <f t="shared" ref="AJ84" si="76">SUM(AO84:BH85)</f>
        <v>72</v>
      </c>
      <c r="AK84" s="553"/>
      <c r="AL84" s="553"/>
      <c r="AM84" s="553"/>
      <c r="AN84" s="554"/>
      <c r="AO84" s="552"/>
      <c r="AP84" s="553"/>
      <c r="AQ84" s="553"/>
      <c r="AR84" s="553"/>
      <c r="AS84" s="554"/>
      <c r="AT84" s="552">
        <v>72</v>
      </c>
      <c r="AU84" s="553"/>
      <c r="AV84" s="553"/>
      <c r="AW84" s="553"/>
      <c r="AX84" s="554"/>
      <c r="AY84" s="552"/>
      <c r="AZ84" s="553"/>
      <c r="BA84" s="553"/>
      <c r="BB84" s="553"/>
      <c r="BC84" s="554"/>
      <c r="BD84" s="552"/>
      <c r="BE84" s="553"/>
      <c r="BF84" s="553"/>
      <c r="BG84" s="553"/>
      <c r="BH84" s="554"/>
      <c r="BI84" s="552"/>
      <c r="BJ84" s="553"/>
      <c r="BK84" s="553"/>
      <c r="BL84" s="553"/>
      <c r="BM84" s="554"/>
      <c r="BN84" s="540">
        <f t="shared" ref="BN84" si="77">Z84-AJ84</f>
        <v>108</v>
      </c>
      <c r="BO84" s="541"/>
      <c r="BP84" s="541"/>
      <c r="BQ84" s="541"/>
      <c r="BR84" s="840"/>
      <c r="BS84" s="842"/>
      <c r="BT84" s="547"/>
      <c r="BU84" s="547"/>
      <c r="BV84" s="547"/>
      <c r="BW84" s="547"/>
      <c r="BX84" s="521"/>
      <c r="BY84" s="521"/>
      <c r="BZ84" s="521"/>
      <c r="CA84" s="521"/>
      <c r="CB84" s="521"/>
      <c r="CC84" s="521"/>
      <c r="CD84" s="521"/>
      <c r="CE84" s="521"/>
      <c r="CF84" s="521"/>
      <c r="CG84" s="521"/>
      <c r="CH84" s="521"/>
      <c r="CI84" s="521"/>
      <c r="CJ84" s="521"/>
      <c r="CK84" s="521"/>
      <c r="CL84" s="521"/>
      <c r="CM84" s="521"/>
      <c r="CN84" s="521"/>
      <c r="CO84" s="521"/>
      <c r="CP84" s="521"/>
      <c r="CQ84" s="521"/>
      <c r="CR84" s="521"/>
      <c r="CS84" s="521"/>
      <c r="CT84" s="521"/>
      <c r="CU84" s="521"/>
      <c r="CV84" s="521"/>
      <c r="CW84" s="521"/>
      <c r="CX84" s="521"/>
      <c r="CY84" s="521"/>
      <c r="CZ84" s="521"/>
      <c r="DA84" s="521"/>
      <c r="DB84" s="521">
        <v>5</v>
      </c>
      <c r="DC84" s="521"/>
      <c r="DD84" s="521"/>
      <c r="DE84" s="521"/>
      <c r="DF84" s="521"/>
      <c r="DG84" s="521"/>
      <c r="DH84" s="521"/>
      <c r="DI84" s="521"/>
      <c r="DJ84" s="521"/>
      <c r="DK84" s="655"/>
      <c r="DL84" s="839"/>
      <c r="DM84" s="521"/>
      <c r="DN84" s="521"/>
      <c r="DO84" s="521"/>
      <c r="DP84" s="521"/>
      <c r="DQ84" s="521"/>
      <c r="DR84" s="521"/>
      <c r="DS84" s="521"/>
      <c r="DT84" s="521"/>
      <c r="DU84" s="521"/>
      <c r="DV84" s="521"/>
      <c r="DW84" s="521"/>
      <c r="DX84" s="521"/>
      <c r="DY84" s="521"/>
      <c r="DZ84" s="521"/>
      <c r="EA84" s="521"/>
      <c r="EB84" s="521"/>
      <c r="EC84" s="521"/>
      <c r="ED84" s="521"/>
      <c r="EE84" s="521"/>
      <c r="EF84" s="521"/>
      <c r="EG84" s="521"/>
      <c r="EH84" s="521"/>
      <c r="EI84" s="521"/>
      <c r="EJ84" s="521"/>
      <c r="EK84" s="521"/>
      <c r="EL84" s="521"/>
      <c r="EM84" s="521"/>
      <c r="EN84" s="521"/>
      <c r="EO84" s="521"/>
      <c r="EP84" s="521"/>
      <c r="EQ84" s="521"/>
      <c r="ER84" s="521"/>
      <c r="ES84" s="521"/>
      <c r="ET84" s="521"/>
      <c r="EU84" s="521">
        <v>6</v>
      </c>
      <c r="EV84" s="521"/>
      <c r="EW84" s="521"/>
      <c r="EX84" s="521"/>
      <c r="EY84" s="521"/>
      <c r="EZ84" s="521"/>
      <c r="FA84" s="521"/>
      <c r="FB84" s="521"/>
      <c r="FC84" s="521"/>
      <c r="FD84" s="655"/>
      <c r="FE84" s="558">
        <f t="shared" ref="FE84" si="78">SUM(DL84:FD85)</f>
        <v>6</v>
      </c>
      <c r="FF84" s="559"/>
      <c r="FG84" s="559"/>
      <c r="FH84" s="559"/>
      <c r="FI84" s="562"/>
    </row>
    <row r="85" spans="1:166" s="101" customFormat="1" ht="84.95" customHeight="1" x14ac:dyDescent="0.2">
      <c r="A85" s="754"/>
      <c r="B85" s="243" t="s">
        <v>323</v>
      </c>
      <c r="C85" s="865" t="s">
        <v>322</v>
      </c>
      <c r="D85" s="865"/>
      <c r="E85" s="865"/>
      <c r="F85" s="865"/>
      <c r="G85" s="865"/>
      <c r="H85" s="865"/>
      <c r="I85" s="865"/>
      <c r="J85" s="865"/>
      <c r="K85" s="865"/>
      <c r="L85" s="865"/>
      <c r="M85" s="865"/>
      <c r="N85" s="865"/>
      <c r="O85" s="865"/>
      <c r="P85" s="865"/>
      <c r="Q85" s="865"/>
      <c r="R85" s="865"/>
      <c r="S85" s="865"/>
      <c r="T85" s="865"/>
      <c r="U85" s="865"/>
      <c r="V85" s="865"/>
      <c r="W85" s="865"/>
      <c r="X85" s="865"/>
      <c r="Y85" s="865"/>
      <c r="Z85" s="543"/>
      <c r="AA85" s="544"/>
      <c r="AB85" s="544"/>
      <c r="AC85" s="544"/>
      <c r="AD85" s="545"/>
      <c r="AE85" s="749"/>
      <c r="AF85" s="561"/>
      <c r="AG85" s="561"/>
      <c r="AH85" s="561"/>
      <c r="AI85" s="750"/>
      <c r="AJ85" s="555"/>
      <c r="AK85" s="556"/>
      <c r="AL85" s="556"/>
      <c r="AM85" s="556"/>
      <c r="AN85" s="557"/>
      <c r="AO85" s="555"/>
      <c r="AP85" s="556"/>
      <c r="AQ85" s="556"/>
      <c r="AR85" s="556"/>
      <c r="AS85" s="557"/>
      <c r="AT85" s="555"/>
      <c r="AU85" s="556"/>
      <c r="AV85" s="556"/>
      <c r="AW85" s="556"/>
      <c r="AX85" s="557"/>
      <c r="AY85" s="555"/>
      <c r="AZ85" s="556"/>
      <c r="BA85" s="556"/>
      <c r="BB85" s="556"/>
      <c r="BC85" s="557"/>
      <c r="BD85" s="555"/>
      <c r="BE85" s="556"/>
      <c r="BF85" s="556"/>
      <c r="BG85" s="556"/>
      <c r="BH85" s="557"/>
      <c r="BI85" s="555"/>
      <c r="BJ85" s="556"/>
      <c r="BK85" s="556"/>
      <c r="BL85" s="556"/>
      <c r="BM85" s="557"/>
      <c r="BN85" s="543"/>
      <c r="BO85" s="544"/>
      <c r="BP85" s="544"/>
      <c r="BQ85" s="544"/>
      <c r="BR85" s="841"/>
      <c r="BS85" s="843"/>
      <c r="BT85" s="550"/>
      <c r="BU85" s="550"/>
      <c r="BV85" s="550"/>
      <c r="BW85" s="550"/>
      <c r="BX85" s="521"/>
      <c r="BY85" s="521"/>
      <c r="BZ85" s="521"/>
      <c r="CA85" s="521"/>
      <c r="CB85" s="521"/>
      <c r="CC85" s="521"/>
      <c r="CD85" s="521"/>
      <c r="CE85" s="521"/>
      <c r="CF85" s="521"/>
      <c r="CG85" s="521"/>
      <c r="CH85" s="521"/>
      <c r="CI85" s="521"/>
      <c r="CJ85" s="521"/>
      <c r="CK85" s="521"/>
      <c r="CL85" s="521"/>
      <c r="CM85" s="521"/>
      <c r="CN85" s="521"/>
      <c r="CO85" s="521"/>
      <c r="CP85" s="521"/>
      <c r="CQ85" s="521"/>
      <c r="CR85" s="521"/>
      <c r="CS85" s="521"/>
      <c r="CT85" s="521"/>
      <c r="CU85" s="521"/>
      <c r="CV85" s="521"/>
      <c r="CW85" s="521"/>
      <c r="CX85" s="521"/>
      <c r="CY85" s="521"/>
      <c r="CZ85" s="521"/>
      <c r="DA85" s="521"/>
      <c r="DB85" s="521"/>
      <c r="DC85" s="521"/>
      <c r="DD85" s="521"/>
      <c r="DE85" s="521"/>
      <c r="DF85" s="521"/>
      <c r="DG85" s="521"/>
      <c r="DH85" s="521"/>
      <c r="DI85" s="521"/>
      <c r="DJ85" s="521"/>
      <c r="DK85" s="655"/>
      <c r="DL85" s="839"/>
      <c r="DM85" s="521"/>
      <c r="DN85" s="521"/>
      <c r="DO85" s="521"/>
      <c r="DP85" s="521"/>
      <c r="DQ85" s="521"/>
      <c r="DR85" s="521"/>
      <c r="DS85" s="521"/>
      <c r="DT85" s="521"/>
      <c r="DU85" s="521"/>
      <c r="DV85" s="521"/>
      <c r="DW85" s="521"/>
      <c r="DX85" s="521"/>
      <c r="DY85" s="521"/>
      <c r="DZ85" s="521"/>
      <c r="EA85" s="521"/>
      <c r="EB85" s="521"/>
      <c r="EC85" s="521"/>
      <c r="ED85" s="521"/>
      <c r="EE85" s="521"/>
      <c r="EF85" s="521"/>
      <c r="EG85" s="521"/>
      <c r="EH85" s="521"/>
      <c r="EI85" s="521"/>
      <c r="EJ85" s="521"/>
      <c r="EK85" s="521"/>
      <c r="EL85" s="521"/>
      <c r="EM85" s="521"/>
      <c r="EN85" s="521"/>
      <c r="EO85" s="521"/>
      <c r="EP85" s="521"/>
      <c r="EQ85" s="521"/>
      <c r="ER85" s="521"/>
      <c r="ES85" s="521"/>
      <c r="ET85" s="521"/>
      <c r="EU85" s="521"/>
      <c r="EV85" s="521"/>
      <c r="EW85" s="521"/>
      <c r="EX85" s="521"/>
      <c r="EY85" s="521"/>
      <c r="EZ85" s="521"/>
      <c r="FA85" s="521"/>
      <c r="FB85" s="521"/>
      <c r="FC85" s="521"/>
      <c r="FD85" s="655"/>
      <c r="FE85" s="560"/>
      <c r="FF85" s="561"/>
      <c r="FG85" s="561"/>
      <c r="FH85" s="561"/>
      <c r="FI85" s="563"/>
    </row>
    <row r="86" spans="1:166" s="78" customFormat="1" ht="84.95" customHeight="1" x14ac:dyDescent="0.2">
      <c r="A86" s="751" t="s">
        <v>335</v>
      </c>
      <c r="B86" s="133" t="s">
        <v>221</v>
      </c>
      <c r="C86" s="835" t="s">
        <v>220</v>
      </c>
      <c r="D86" s="835"/>
      <c r="E86" s="835"/>
      <c r="F86" s="835"/>
      <c r="G86" s="835"/>
      <c r="H86" s="835"/>
      <c r="I86" s="835"/>
      <c r="J86" s="835"/>
      <c r="K86" s="835"/>
      <c r="L86" s="835"/>
      <c r="M86" s="835"/>
      <c r="N86" s="835"/>
      <c r="O86" s="835"/>
      <c r="P86" s="835"/>
      <c r="Q86" s="835"/>
      <c r="R86" s="835"/>
      <c r="S86" s="835"/>
      <c r="T86" s="835"/>
      <c r="U86" s="835"/>
      <c r="V86" s="835"/>
      <c r="W86" s="835"/>
      <c r="X86" s="835"/>
      <c r="Y86" s="835"/>
      <c r="Z86" s="307">
        <f t="shared" ref="Z86" si="79">+FE86*30</f>
        <v>120</v>
      </c>
      <c r="AA86" s="308"/>
      <c r="AB86" s="308"/>
      <c r="AC86" s="308"/>
      <c r="AD86" s="309"/>
      <c r="AE86" s="446"/>
      <c r="AF86" s="447"/>
      <c r="AG86" s="447"/>
      <c r="AH86" s="447"/>
      <c r="AI86" s="448"/>
      <c r="AJ86" s="301">
        <f t="shared" ref="AJ86" si="80">SUM(AO86:BH87)</f>
        <v>48</v>
      </c>
      <c r="AK86" s="302"/>
      <c r="AL86" s="302"/>
      <c r="AM86" s="302"/>
      <c r="AN86" s="303"/>
      <c r="AO86" s="301"/>
      <c r="AP86" s="302"/>
      <c r="AQ86" s="302"/>
      <c r="AR86" s="302"/>
      <c r="AS86" s="303"/>
      <c r="AT86" s="301">
        <v>48</v>
      </c>
      <c r="AU86" s="302"/>
      <c r="AV86" s="302"/>
      <c r="AW86" s="302"/>
      <c r="AX86" s="303"/>
      <c r="AY86" s="301"/>
      <c r="AZ86" s="302"/>
      <c r="BA86" s="302"/>
      <c r="BB86" s="302"/>
      <c r="BC86" s="303"/>
      <c r="BD86" s="301"/>
      <c r="BE86" s="302"/>
      <c r="BF86" s="302"/>
      <c r="BG86" s="302"/>
      <c r="BH86" s="303"/>
      <c r="BI86" s="301"/>
      <c r="BJ86" s="302"/>
      <c r="BK86" s="302"/>
      <c r="BL86" s="302"/>
      <c r="BM86" s="303"/>
      <c r="BN86" s="307">
        <f t="shared" ref="BN86" si="81">Z86-AJ86</f>
        <v>72</v>
      </c>
      <c r="BO86" s="308"/>
      <c r="BP86" s="308"/>
      <c r="BQ86" s="308"/>
      <c r="BR86" s="517"/>
      <c r="BS86" s="514"/>
      <c r="BT86" s="314"/>
      <c r="BU86" s="314"/>
      <c r="BV86" s="314"/>
      <c r="BW86" s="314"/>
      <c r="BX86" s="270"/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/>
      <c r="CO86" s="270"/>
      <c r="CP86" s="270"/>
      <c r="CQ86" s="270"/>
      <c r="CR86" s="270"/>
      <c r="CS86" s="270"/>
      <c r="CT86" s="270"/>
      <c r="CU86" s="270"/>
      <c r="CV86" s="270"/>
      <c r="CW86" s="270"/>
      <c r="CX86" s="270"/>
      <c r="CY86" s="270"/>
      <c r="CZ86" s="270"/>
      <c r="DA86" s="270"/>
      <c r="DB86" s="270"/>
      <c r="DC86" s="270"/>
      <c r="DD86" s="270"/>
      <c r="DE86" s="270"/>
      <c r="DF86" s="270"/>
      <c r="DG86" s="270">
        <v>8</v>
      </c>
      <c r="DH86" s="270"/>
      <c r="DI86" s="270"/>
      <c r="DJ86" s="270"/>
      <c r="DK86" s="533"/>
      <c r="DL86" s="757"/>
      <c r="DM86" s="270"/>
      <c r="DN86" s="270"/>
      <c r="DO86" s="270"/>
      <c r="DP86" s="270"/>
      <c r="DQ86" s="270"/>
      <c r="DR86" s="270"/>
      <c r="DS86" s="270"/>
      <c r="DT86" s="270"/>
      <c r="DU86" s="270"/>
      <c r="DV86" s="270"/>
      <c r="DW86" s="270"/>
      <c r="DX86" s="270"/>
      <c r="DY86" s="270"/>
      <c r="DZ86" s="270"/>
      <c r="EA86" s="270"/>
      <c r="EB86" s="270"/>
      <c r="EC86" s="270"/>
      <c r="ED86" s="270"/>
      <c r="EE86" s="270"/>
      <c r="EF86" s="270"/>
      <c r="EG86" s="270"/>
      <c r="EH86" s="270"/>
      <c r="EI86" s="270"/>
      <c r="EJ86" s="270"/>
      <c r="EK86" s="270"/>
      <c r="EL86" s="270"/>
      <c r="EM86" s="270"/>
      <c r="EN86" s="270"/>
      <c r="EO86" s="270"/>
      <c r="EP86" s="270"/>
      <c r="EQ86" s="270"/>
      <c r="ER86" s="270"/>
      <c r="ES86" s="270"/>
      <c r="ET86" s="270"/>
      <c r="EU86" s="270"/>
      <c r="EV86" s="270"/>
      <c r="EW86" s="270"/>
      <c r="EX86" s="270"/>
      <c r="EY86" s="270"/>
      <c r="EZ86" s="270">
        <v>4</v>
      </c>
      <c r="FA86" s="270"/>
      <c r="FB86" s="270"/>
      <c r="FC86" s="270"/>
      <c r="FD86" s="533"/>
      <c r="FE86" s="531">
        <f t="shared" ref="FE86" si="82">SUM(DL86:FD87)</f>
        <v>4</v>
      </c>
      <c r="FF86" s="447"/>
      <c r="FG86" s="447"/>
      <c r="FH86" s="447"/>
      <c r="FI86" s="529"/>
    </row>
    <row r="87" spans="1:166" s="78" customFormat="1" ht="84.95" customHeight="1" x14ac:dyDescent="0.2">
      <c r="A87" s="752"/>
      <c r="B87" s="133" t="s">
        <v>223</v>
      </c>
      <c r="C87" s="835" t="s">
        <v>222</v>
      </c>
      <c r="D87" s="835"/>
      <c r="E87" s="835"/>
      <c r="F87" s="835"/>
      <c r="G87" s="835"/>
      <c r="H87" s="835"/>
      <c r="I87" s="835"/>
      <c r="J87" s="835"/>
      <c r="K87" s="835"/>
      <c r="L87" s="835"/>
      <c r="M87" s="835"/>
      <c r="N87" s="835"/>
      <c r="O87" s="835"/>
      <c r="P87" s="835"/>
      <c r="Q87" s="835"/>
      <c r="R87" s="835"/>
      <c r="S87" s="835"/>
      <c r="T87" s="835"/>
      <c r="U87" s="835"/>
      <c r="V87" s="835"/>
      <c r="W87" s="835"/>
      <c r="X87" s="835"/>
      <c r="Y87" s="835"/>
      <c r="Z87" s="310"/>
      <c r="AA87" s="311"/>
      <c r="AB87" s="311"/>
      <c r="AC87" s="311"/>
      <c r="AD87" s="312"/>
      <c r="AE87" s="449"/>
      <c r="AF87" s="450"/>
      <c r="AG87" s="450"/>
      <c r="AH87" s="450"/>
      <c r="AI87" s="451"/>
      <c r="AJ87" s="304"/>
      <c r="AK87" s="305"/>
      <c r="AL87" s="305"/>
      <c r="AM87" s="305"/>
      <c r="AN87" s="306"/>
      <c r="AO87" s="304"/>
      <c r="AP87" s="305"/>
      <c r="AQ87" s="305"/>
      <c r="AR87" s="305"/>
      <c r="AS87" s="306"/>
      <c r="AT87" s="304"/>
      <c r="AU87" s="305"/>
      <c r="AV87" s="305"/>
      <c r="AW87" s="305"/>
      <c r="AX87" s="306"/>
      <c r="AY87" s="304"/>
      <c r="AZ87" s="305"/>
      <c r="BA87" s="305"/>
      <c r="BB87" s="305"/>
      <c r="BC87" s="306"/>
      <c r="BD87" s="304"/>
      <c r="BE87" s="305"/>
      <c r="BF87" s="305"/>
      <c r="BG87" s="305"/>
      <c r="BH87" s="306"/>
      <c r="BI87" s="304"/>
      <c r="BJ87" s="305"/>
      <c r="BK87" s="305"/>
      <c r="BL87" s="305"/>
      <c r="BM87" s="306"/>
      <c r="BN87" s="310"/>
      <c r="BO87" s="311"/>
      <c r="BP87" s="311"/>
      <c r="BQ87" s="311"/>
      <c r="BR87" s="518"/>
      <c r="BS87" s="515"/>
      <c r="BT87" s="317"/>
      <c r="BU87" s="317"/>
      <c r="BV87" s="317"/>
      <c r="BW87" s="317"/>
      <c r="BX87" s="270"/>
      <c r="BY87" s="270"/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  <c r="DB87" s="270"/>
      <c r="DC87" s="270"/>
      <c r="DD87" s="270"/>
      <c r="DE87" s="270"/>
      <c r="DF87" s="270"/>
      <c r="DG87" s="270"/>
      <c r="DH87" s="270"/>
      <c r="DI87" s="270"/>
      <c r="DJ87" s="270"/>
      <c r="DK87" s="533"/>
      <c r="DL87" s="757"/>
      <c r="DM87" s="270"/>
      <c r="DN87" s="270"/>
      <c r="DO87" s="270"/>
      <c r="DP87" s="270"/>
      <c r="DQ87" s="270"/>
      <c r="DR87" s="270"/>
      <c r="DS87" s="270"/>
      <c r="DT87" s="270"/>
      <c r="DU87" s="270"/>
      <c r="DV87" s="270"/>
      <c r="DW87" s="270"/>
      <c r="DX87" s="270"/>
      <c r="DY87" s="270"/>
      <c r="DZ87" s="270"/>
      <c r="EA87" s="270"/>
      <c r="EB87" s="270"/>
      <c r="EC87" s="270"/>
      <c r="ED87" s="270"/>
      <c r="EE87" s="270"/>
      <c r="EF87" s="270"/>
      <c r="EG87" s="270"/>
      <c r="EH87" s="270"/>
      <c r="EI87" s="270"/>
      <c r="EJ87" s="270"/>
      <c r="EK87" s="270"/>
      <c r="EL87" s="270"/>
      <c r="EM87" s="270"/>
      <c r="EN87" s="270"/>
      <c r="EO87" s="270"/>
      <c r="EP87" s="270"/>
      <c r="EQ87" s="270"/>
      <c r="ER87" s="270"/>
      <c r="ES87" s="270"/>
      <c r="ET87" s="270"/>
      <c r="EU87" s="270"/>
      <c r="EV87" s="270"/>
      <c r="EW87" s="270"/>
      <c r="EX87" s="270"/>
      <c r="EY87" s="270"/>
      <c r="EZ87" s="270"/>
      <c r="FA87" s="270"/>
      <c r="FB87" s="270"/>
      <c r="FC87" s="270"/>
      <c r="FD87" s="533"/>
      <c r="FE87" s="532"/>
      <c r="FF87" s="450"/>
      <c r="FG87" s="450"/>
      <c r="FH87" s="450"/>
      <c r="FI87" s="530"/>
    </row>
    <row r="88" spans="1:166" ht="84.95" customHeight="1" x14ac:dyDescent="0.2">
      <c r="A88" s="751" t="s">
        <v>336</v>
      </c>
      <c r="B88" s="137" t="s">
        <v>225</v>
      </c>
      <c r="C88" s="835" t="s">
        <v>224</v>
      </c>
      <c r="D88" s="835"/>
      <c r="E88" s="835"/>
      <c r="F88" s="835"/>
      <c r="G88" s="835"/>
      <c r="H88" s="835"/>
      <c r="I88" s="835"/>
      <c r="J88" s="835"/>
      <c r="K88" s="835"/>
      <c r="L88" s="835"/>
      <c r="M88" s="835"/>
      <c r="N88" s="835"/>
      <c r="O88" s="835"/>
      <c r="P88" s="835"/>
      <c r="Q88" s="835"/>
      <c r="R88" s="835"/>
      <c r="S88" s="835"/>
      <c r="T88" s="835"/>
      <c r="U88" s="835"/>
      <c r="V88" s="835"/>
      <c r="W88" s="835"/>
      <c r="X88" s="835"/>
      <c r="Y88" s="835"/>
      <c r="Z88" s="281">
        <f t="shared" ref="Z88" si="83">+FE88*30</f>
        <v>120</v>
      </c>
      <c r="AA88" s="282"/>
      <c r="AB88" s="282"/>
      <c r="AC88" s="282"/>
      <c r="AD88" s="342"/>
      <c r="AE88" s="386"/>
      <c r="AF88" s="387"/>
      <c r="AG88" s="387"/>
      <c r="AH88" s="387"/>
      <c r="AI88" s="388"/>
      <c r="AJ88" s="301">
        <f t="shared" ref="AJ88" si="84">SUM(AO88:BH89)</f>
        <v>48</v>
      </c>
      <c r="AK88" s="302"/>
      <c r="AL88" s="302"/>
      <c r="AM88" s="302"/>
      <c r="AN88" s="303"/>
      <c r="AO88" s="275"/>
      <c r="AP88" s="276"/>
      <c r="AQ88" s="276"/>
      <c r="AR88" s="276"/>
      <c r="AS88" s="277"/>
      <c r="AT88" s="275">
        <v>48</v>
      </c>
      <c r="AU88" s="276"/>
      <c r="AV88" s="276"/>
      <c r="AW88" s="276"/>
      <c r="AX88" s="277"/>
      <c r="AY88" s="275"/>
      <c r="AZ88" s="276"/>
      <c r="BA88" s="276"/>
      <c r="BB88" s="276"/>
      <c r="BC88" s="277"/>
      <c r="BD88" s="275"/>
      <c r="BE88" s="276"/>
      <c r="BF88" s="276"/>
      <c r="BG88" s="276"/>
      <c r="BH88" s="277"/>
      <c r="BI88" s="275"/>
      <c r="BJ88" s="276"/>
      <c r="BK88" s="276"/>
      <c r="BL88" s="276"/>
      <c r="BM88" s="277"/>
      <c r="BN88" s="307">
        <f t="shared" ref="BN88" si="85">Z88-AJ88</f>
        <v>72</v>
      </c>
      <c r="BO88" s="308"/>
      <c r="BP88" s="308"/>
      <c r="BQ88" s="308"/>
      <c r="BR88" s="517"/>
      <c r="BS88" s="519"/>
      <c r="BT88" s="288"/>
      <c r="BU88" s="288"/>
      <c r="BV88" s="288"/>
      <c r="BW88" s="288"/>
      <c r="BX88" s="267"/>
      <c r="BY88" s="267"/>
      <c r="BZ88" s="267"/>
      <c r="CA88" s="267"/>
      <c r="CB88" s="267"/>
      <c r="CC88" s="267"/>
      <c r="CD88" s="267"/>
      <c r="CE88" s="267"/>
      <c r="CF88" s="267"/>
      <c r="CG88" s="267"/>
      <c r="CH88" s="267"/>
      <c r="CI88" s="267"/>
      <c r="CJ88" s="267"/>
      <c r="CK88" s="267"/>
      <c r="CL88" s="267"/>
      <c r="CM88" s="267"/>
      <c r="CN88" s="267"/>
      <c r="CO88" s="267"/>
      <c r="CP88" s="267"/>
      <c r="CQ88" s="267"/>
      <c r="CR88" s="267"/>
      <c r="CS88" s="267"/>
      <c r="CT88" s="267"/>
      <c r="CU88" s="267"/>
      <c r="CV88" s="267"/>
      <c r="CW88" s="267"/>
      <c r="CX88" s="267"/>
      <c r="CY88" s="267"/>
      <c r="CZ88" s="267"/>
      <c r="DA88" s="267"/>
      <c r="DB88" s="267"/>
      <c r="DC88" s="267"/>
      <c r="DD88" s="267"/>
      <c r="DE88" s="267"/>
      <c r="DF88" s="267"/>
      <c r="DG88" s="267">
        <v>8</v>
      </c>
      <c r="DH88" s="267"/>
      <c r="DI88" s="267"/>
      <c r="DJ88" s="267"/>
      <c r="DK88" s="773"/>
      <c r="DL88" s="862"/>
      <c r="DM88" s="267"/>
      <c r="DN88" s="267"/>
      <c r="DO88" s="267"/>
      <c r="DP88" s="267"/>
      <c r="DQ88" s="270"/>
      <c r="DR88" s="270"/>
      <c r="DS88" s="270"/>
      <c r="DT88" s="270"/>
      <c r="DU88" s="270"/>
      <c r="DV88" s="270"/>
      <c r="DW88" s="270"/>
      <c r="DX88" s="270"/>
      <c r="DY88" s="270"/>
      <c r="DZ88" s="270"/>
      <c r="EA88" s="270"/>
      <c r="EB88" s="270"/>
      <c r="EC88" s="270"/>
      <c r="ED88" s="270"/>
      <c r="EE88" s="270"/>
      <c r="EF88" s="270"/>
      <c r="EG88" s="270"/>
      <c r="EH88" s="270"/>
      <c r="EI88" s="270"/>
      <c r="EJ88" s="270"/>
      <c r="EK88" s="270"/>
      <c r="EL88" s="270"/>
      <c r="EM88" s="270"/>
      <c r="EN88" s="270"/>
      <c r="EO88" s="270"/>
      <c r="EP88" s="270"/>
      <c r="EQ88" s="270"/>
      <c r="ER88" s="270"/>
      <c r="ES88" s="270"/>
      <c r="ET88" s="270"/>
      <c r="EU88" s="270"/>
      <c r="EV88" s="270"/>
      <c r="EW88" s="270"/>
      <c r="EX88" s="270"/>
      <c r="EY88" s="270"/>
      <c r="EZ88" s="270">
        <v>4</v>
      </c>
      <c r="FA88" s="270"/>
      <c r="FB88" s="270"/>
      <c r="FC88" s="270"/>
      <c r="FD88" s="533"/>
      <c r="FE88" s="525">
        <f t="shared" ref="FE88" si="86">SUM(DL88:FD89)</f>
        <v>4</v>
      </c>
      <c r="FF88" s="387"/>
      <c r="FG88" s="387"/>
      <c r="FH88" s="387"/>
      <c r="FI88" s="526"/>
    </row>
    <row r="89" spans="1:166" ht="84.95" customHeight="1" x14ac:dyDescent="0.2">
      <c r="A89" s="752"/>
      <c r="B89" s="137" t="s">
        <v>223</v>
      </c>
      <c r="C89" s="835" t="s">
        <v>226</v>
      </c>
      <c r="D89" s="835"/>
      <c r="E89" s="835"/>
      <c r="F89" s="835"/>
      <c r="G89" s="835"/>
      <c r="H89" s="835"/>
      <c r="I89" s="835"/>
      <c r="J89" s="835"/>
      <c r="K89" s="835"/>
      <c r="L89" s="835"/>
      <c r="M89" s="835"/>
      <c r="N89" s="835"/>
      <c r="O89" s="835"/>
      <c r="P89" s="835"/>
      <c r="Q89" s="835"/>
      <c r="R89" s="835"/>
      <c r="S89" s="835"/>
      <c r="T89" s="835"/>
      <c r="U89" s="835"/>
      <c r="V89" s="835"/>
      <c r="W89" s="835"/>
      <c r="X89" s="835"/>
      <c r="Y89" s="835"/>
      <c r="Z89" s="284"/>
      <c r="AA89" s="285"/>
      <c r="AB89" s="285"/>
      <c r="AC89" s="285"/>
      <c r="AD89" s="343"/>
      <c r="AE89" s="392"/>
      <c r="AF89" s="393"/>
      <c r="AG89" s="393"/>
      <c r="AH89" s="393"/>
      <c r="AI89" s="394"/>
      <c r="AJ89" s="304"/>
      <c r="AK89" s="305"/>
      <c r="AL89" s="305"/>
      <c r="AM89" s="305"/>
      <c r="AN89" s="306"/>
      <c r="AO89" s="278"/>
      <c r="AP89" s="279"/>
      <c r="AQ89" s="279"/>
      <c r="AR89" s="279"/>
      <c r="AS89" s="280"/>
      <c r="AT89" s="278"/>
      <c r="AU89" s="279"/>
      <c r="AV89" s="279"/>
      <c r="AW89" s="279"/>
      <c r="AX89" s="280"/>
      <c r="AY89" s="278"/>
      <c r="AZ89" s="279"/>
      <c r="BA89" s="279"/>
      <c r="BB89" s="279"/>
      <c r="BC89" s="280"/>
      <c r="BD89" s="278"/>
      <c r="BE89" s="279"/>
      <c r="BF89" s="279"/>
      <c r="BG89" s="279"/>
      <c r="BH89" s="280"/>
      <c r="BI89" s="278"/>
      <c r="BJ89" s="279"/>
      <c r="BK89" s="279"/>
      <c r="BL89" s="279"/>
      <c r="BM89" s="280"/>
      <c r="BN89" s="310"/>
      <c r="BO89" s="311"/>
      <c r="BP89" s="311"/>
      <c r="BQ89" s="311"/>
      <c r="BR89" s="518"/>
      <c r="BS89" s="520"/>
      <c r="BT89" s="289"/>
      <c r="BU89" s="289"/>
      <c r="BV89" s="289"/>
      <c r="BW89" s="289"/>
      <c r="BX89" s="267"/>
      <c r="BY89" s="267"/>
      <c r="BZ89" s="267"/>
      <c r="CA89" s="267"/>
      <c r="CB89" s="267"/>
      <c r="CC89" s="267"/>
      <c r="CD89" s="267"/>
      <c r="CE89" s="267"/>
      <c r="CF89" s="267"/>
      <c r="CG89" s="267"/>
      <c r="CH89" s="267"/>
      <c r="CI89" s="267"/>
      <c r="CJ89" s="267"/>
      <c r="CK89" s="267"/>
      <c r="CL89" s="267"/>
      <c r="CM89" s="267"/>
      <c r="CN89" s="267"/>
      <c r="CO89" s="267"/>
      <c r="CP89" s="267"/>
      <c r="CQ89" s="267"/>
      <c r="CR89" s="267"/>
      <c r="CS89" s="267"/>
      <c r="CT89" s="267"/>
      <c r="CU89" s="267"/>
      <c r="CV89" s="267"/>
      <c r="CW89" s="267"/>
      <c r="CX89" s="267"/>
      <c r="CY89" s="267"/>
      <c r="CZ89" s="267"/>
      <c r="DA89" s="267"/>
      <c r="DB89" s="267"/>
      <c r="DC89" s="267"/>
      <c r="DD89" s="267"/>
      <c r="DE89" s="267"/>
      <c r="DF89" s="267"/>
      <c r="DG89" s="267"/>
      <c r="DH89" s="267"/>
      <c r="DI89" s="267"/>
      <c r="DJ89" s="267"/>
      <c r="DK89" s="773"/>
      <c r="DL89" s="862"/>
      <c r="DM89" s="267"/>
      <c r="DN89" s="267"/>
      <c r="DO89" s="267"/>
      <c r="DP89" s="267"/>
      <c r="DQ89" s="270"/>
      <c r="DR89" s="270"/>
      <c r="DS89" s="270"/>
      <c r="DT89" s="270"/>
      <c r="DU89" s="270"/>
      <c r="DV89" s="270"/>
      <c r="DW89" s="270"/>
      <c r="DX89" s="270"/>
      <c r="DY89" s="270"/>
      <c r="DZ89" s="270"/>
      <c r="EA89" s="270"/>
      <c r="EB89" s="270"/>
      <c r="EC89" s="270"/>
      <c r="ED89" s="270"/>
      <c r="EE89" s="270"/>
      <c r="EF89" s="270"/>
      <c r="EG89" s="270"/>
      <c r="EH89" s="270"/>
      <c r="EI89" s="270"/>
      <c r="EJ89" s="270"/>
      <c r="EK89" s="270"/>
      <c r="EL89" s="270"/>
      <c r="EM89" s="270"/>
      <c r="EN89" s="270"/>
      <c r="EO89" s="270"/>
      <c r="EP89" s="270"/>
      <c r="EQ89" s="270"/>
      <c r="ER89" s="270"/>
      <c r="ES89" s="270"/>
      <c r="ET89" s="270"/>
      <c r="EU89" s="270"/>
      <c r="EV89" s="270"/>
      <c r="EW89" s="270"/>
      <c r="EX89" s="270"/>
      <c r="EY89" s="270"/>
      <c r="EZ89" s="270"/>
      <c r="FA89" s="270"/>
      <c r="FB89" s="270"/>
      <c r="FC89" s="270"/>
      <c r="FD89" s="533"/>
      <c r="FE89" s="527"/>
      <c r="FF89" s="393"/>
      <c r="FG89" s="393"/>
      <c r="FH89" s="393"/>
      <c r="FI89" s="528"/>
    </row>
    <row r="90" spans="1:166" ht="84.95" customHeight="1" x14ac:dyDescent="0.2">
      <c r="A90" s="751" t="s">
        <v>337</v>
      </c>
      <c r="B90" s="137" t="s">
        <v>228</v>
      </c>
      <c r="C90" s="835" t="s">
        <v>227</v>
      </c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281">
        <f t="shared" ref="Z90" si="87">+FE90*30</f>
        <v>120</v>
      </c>
      <c r="AA90" s="282"/>
      <c r="AB90" s="282"/>
      <c r="AC90" s="282"/>
      <c r="AD90" s="342"/>
      <c r="AE90" s="386"/>
      <c r="AF90" s="387"/>
      <c r="AG90" s="387"/>
      <c r="AH90" s="387"/>
      <c r="AI90" s="388"/>
      <c r="AJ90" s="301">
        <f t="shared" ref="AJ90" si="88">SUM(AO90:BH91)</f>
        <v>48</v>
      </c>
      <c r="AK90" s="302"/>
      <c r="AL90" s="302"/>
      <c r="AM90" s="302"/>
      <c r="AN90" s="303"/>
      <c r="AO90" s="275">
        <v>24</v>
      </c>
      <c r="AP90" s="276"/>
      <c r="AQ90" s="276"/>
      <c r="AR90" s="276"/>
      <c r="AS90" s="277"/>
      <c r="AT90" s="275">
        <v>24</v>
      </c>
      <c r="AU90" s="276"/>
      <c r="AV90" s="276"/>
      <c r="AW90" s="276"/>
      <c r="AX90" s="277"/>
      <c r="AY90" s="275"/>
      <c r="AZ90" s="276"/>
      <c r="BA90" s="276"/>
      <c r="BB90" s="276"/>
      <c r="BC90" s="277"/>
      <c r="BD90" s="275"/>
      <c r="BE90" s="276"/>
      <c r="BF90" s="276"/>
      <c r="BG90" s="276"/>
      <c r="BH90" s="277"/>
      <c r="BI90" s="275"/>
      <c r="BJ90" s="276"/>
      <c r="BK90" s="276"/>
      <c r="BL90" s="276"/>
      <c r="BM90" s="277"/>
      <c r="BN90" s="307">
        <f t="shared" ref="BN90" si="89">Z90-AJ90</f>
        <v>72</v>
      </c>
      <c r="BO90" s="308"/>
      <c r="BP90" s="308"/>
      <c r="BQ90" s="308"/>
      <c r="BR90" s="517"/>
      <c r="BS90" s="519"/>
      <c r="BT90" s="288"/>
      <c r="BU90" s="288"/>
      <c r="BV90" s="288"/>
      <c r="BW90" s="288"/>
      <c r="BX90" s="267"/>
      <c r="BY90" s="267"/>
      <c r="BZ90" s="267"/>
      <c r="CA90" s="267"/>
      <c r="CB90" s="267"/>
      <c r="CC90" s="267"/>
      <c r="CD90" s="267"/>
      <c r="CE90" s="267"/>
      <c r="CF90" s="267"/>
      <c r="CG90" s="267"/>
      <c r="CH90" s="267"/>
      <c r="CI90" s="267"/>
      <c r="CJ90" s="267"/>
      <c r="CK90" s="267"/>
      <c r="CL90" s="267"/>
      <c r="CM90" s="267"/>
      <c r="CN90" s="267"/>
      <c r="CO90" s="267"/>
      <c r="CP90" s="267"/>
      <c r="CQ90" s="267"/>
      <c r="CR90" s="267"/>
      <c r="CS90" s="267"/>
      <c r="CT90" s="267"/>
      <c r="CU90" s="267"/>
      <c r="CV90" s="267"/>
      <c r="CW90" s="267"/>
      <c r="CX90" s="267"/>
      <c r="CY90" s="267"/>
      <c r="CZ90" s="267"/>
      <c r="DA90" s="267"/>
      <c r="DB90" s="267"/>
      <c r="DC90" s="267"/>
      <c r="DD90" s="267"/>
      <c r="DE90" s="267"/>
      <c r="DF90" s="267"/>
      <c r="DG90" s="267">
        <v>8</v>
      </c>
      <c r="DH90" s="267"/>
      <c r="DI90" s="267"/>
      <c r="DJ90" s="267"/>
      <c r="DK90" s="773"/>
      <c r="DL90" s="862"/>
      <c r="DM90" s="267"/>
      <c r="DN90" s="267"/>
      <c r="DO90" s="267"/>
      <c r="DP90" s="267"/>
      <c r="DQ90" s="270"/>
      <c r="DR90" s="270"/>
      <c r="DS90" s="270"/>
      <c r="DT90" s="270"/>
      <c r="DU90" s="270"/>
      <c r="DV90" s="270"/>
      <c r="DW90" s="270"/>
      <c r="DX90" s="270"/>
      <c r="DY90" s="270"/>
      <c r="DZ90" s="270"/>
      <c r="EA90" s="270"/>
      <c r="EB90" s="270"/>
      <c r="EC90" s="270"/>
      <c r="ED90" s="270"/>
      <c r="EE90" s="270"/>
      <c r="EF90" s="270"/>
      <c r="EG90" s="270"/>
      <c r="EH90" s="270"/>
      <c r="EI90" s="270"/>
      <c r="EJ90" s="270"/>
      <c r="EK90" s="270"/>
      <c r="EL90" s="270"/>
      <c r="EM90" s="270"/>
      <c r="EN90" s="270"/>
      <c r="EO90" s="270"/>
      <c r="EP90" s="270"/>
      <c r="EQ90" s="270"/>
      <c r="ER90" s="270"/>
      <c r="ES90" s="270"/>
      <c r="ET90" s="270"/>
      <c r="EU90" s="270"/>
      <c r="EV90" s="270"/>
      <c r="EW90" s="270"/>
      <c r="EX90" s="270"/>
      <c r="EY90" s="270"/>
      <c r="EZ90" s="270">
        <v>4</v>
      </c>
      <c r="FA90" s="270"/>
      <c r="FB90" s="270"/>
      <c r="FC90" s="270"/>
      <c r="FD90" s="533"/>
      <c r="FE90" s="525">
        <f t="shared" ref="FE90" si="90">SUM(DL90:FD91)</f>
        <v>4</v>
      </c>
      <c r="FF90" s="387"/>
      <c r="FG90" s="387"/>
      <c r="FH90" s="387"/>
      <c r="FI90" s="526"/>
    </row>
    <row r="91" spans="1:166" ht="84.95" customHeight="1" x14ac:dyDescent="0.2">
      <c r="A91" s="752"/>
      <c r="B91" s="137" t="s">
        <v>230</v>
      </c>
      <c r="C91" s="835" t="s">
        <v>229</v>
      </c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284"/>
      <c r="AA91" s="285"/>
      <c r="AB91" s="285"/>
      <c r="AC91" s="285"/>
      <c r="AD91" s="343"/>
      <c r="AE91" s="392"/>
      <c r="AF91" s="393"/>
      <c r="AG91" s="393"/>
      <c r="AH91" s="393"/>
      <c r="AI91" s="394"/>
      <c r="AJ91" s="304"/>
      <c r="AK91" s="305"/>
      <c r="AL91" s="305"/>
      <c r="AM91" s="305"/>
      <c r="AN91" s="306"/>
      <c r="AO91" s="278"/>
      <c r="AP91" s="279"/>
      <c r="AQ91" s="279"/>
      <c r="AR91" s="279"/>
      <c r="AS91" s="280"/>
      <c r="AT91" s="278"/>
      <c r="AU91" s="279"/>
      <c r="AV91" s="279"/>
      <c r="AW91" s="279"/>
      <c r="AX91" s="280"/>
      <c r="AY91" s="278"/>
      <c r="AZ91" s="279"/>
      <c r="BA91" s="279"/>
      <c r="BB91" s="279"/>
      <c r="BC91" s="280"/>
      <c r="BD91" s="278"/>
      <c r="BE91" s="279"/>
      <c r="BF91" s="279"/>
      <c r="BG91" s="279"/>
      <c r="BH91" s="280"/>
      <c r="BI91" s="278"/>
      <c r="BJ91" s="279"/>
      <c r="BK91" s="279"/>
      <c r="BL91" s="279"/>
      <c r="BM91" s="280"/>
      <c r="BN91" s="310"/>
      <c r="BO91" s="311"/>
      <c r="BP91" s="311"/>
      <c r="BQ91" s="311"/>
      <c r="BR91" s="518"/>
      <c r="BS91" s="520"/>
      <c r="BT91" s="289"/>
      <c r="BU91" s="289"/>
      <c r="BV91" s="289"/>
      <c r="BW91" s="289"/>
      <c r="BX91" s="267"/>
      <c r="BY91" s="267"/>
      <c r="BZ91" s="267"/>
      <c r="CA91" s="267"/>
      <c r="CB91" s="267"/>
      <c r="CC91" s="267"/>
      <c r="CD91" s="267"/>
      <c r="CE91" s="267"/>
      <c r="CF91" s="267"/>
      <c r="CG91" s="267"/>
      <c r="CH91" s="267"/>
      <c r="CI91" s="267"/>
      <c r="CJ91" s="267"/>
      <c r="CK91" s="267"/>
      <c r="CL91" s="267"/>
      <c r="CM91" s="267"/>
      <c r="CN91" s="267"/>
      <c r="CO91" s="267"/>
      <c r="CP91" s="267"/>
      <c r="CQ91" s="267"/>
      <c r="CR91" s="267"/>
      <c r="CS91" s="267"/>
      <c r="CT91" s="267"/>
      <c r="CU91" s="267"/>
      <c r="CV91" s="267"/>
      <c r="CW91" s="267"/>
      <c r="CX91" s="267"/>
      <c r="CY91" s="267"/>
      <c r="CZ91" s="267"/>
      <c r="DA91" s="267"/>
      <c r="DB91" s="267"/>
      <c r="DC91" s="267"/>
      <c r="DD91" s="267"/>
      <c r="DE91" s="267"/>
      <c r="DF91" s="267"/>
      <c r="DG91" s="267"/>
      <c r="DH91" s="267"/>
      <c r="DI91" s="267"/>
      <c r="DJ91" s="267"/>
      <c r="DK91" s="773"/>
      <c r="DL91" s="862"/>
      <c r="DM91" s="267"/>
      <c r="DN91" s="267"/>
      <c r="DO91" s="267"/>
      <c r="DP91" s="267"/>
      <c r="DQ91" s="270"/>
      <c r="DR91" s="270"/>
      <c r="DS91" s="270"/>
      <c r="DT91" s="270"/>
      <c r="DU91" s="270"/>
      <c r="DV91" s="270"/>
      <c r="DW91" s="270"/>
      <c r="DX91" s="270"/>
      <c r="DY91" s="270"/>
      <c r="DZ91" s="270"/>
      <c r="EA91" s="270"/>
      <c r="EB91" s="270"/>
      <c r="EC91" s="270"/>
      <c r="ED91" s="270"/>
      <c r="EE91" s="270"/>
      <c r="EF91" s="270"/>
      <c r="EG91" s="270"/>
      <c r="EH91" s="270"/>
      <c r="EI91" s="270"/>
      <c r="EJ91" s="270"/>
      <c r="EK91" s="270"/>
      <c r="EL91" s="270"/>
      <c r="EM91" s="270"/>
      <c r="EN91" s="270"/>
      <c r="EO91" s="270"/>
      <c r="EP91" s="270"/>
      <c r="EQ91" s="270"/>
      <c r="ER91" s="270"/>
      <c r="ES91" s="270"/>
      <c r="ET91" s="270"/>
      <c r="EU91" s="270"/>
      <c r="EV91" s="270"/>
      <c r="EW91" s="270"/>
      <c r="EX91" s="270"/>
      <c r="EY91" s="270"/>
      <c r="EZ91" s="270"/>
      <c r="FA91" s="270"/>
      <c r="FB91" s="270"/>
      <c r="FC91" s="270"/>
      <c r="FD91" s="533"/>
      <c r="FE91" s="527"/>
      <c r="FF91" s="393"/>
      <c r="FG91" s="393"/>
      <c r="FH91" s="393"/>
      <c r="FI91" s="528"/>
    </row>
    <row r="92" spans="1:166" ht="60" customHeight="1" x14ac:dyDescent="0.2">
      <c r="A92" s="143"/>
      <c r="B92" s="33"/>
      <c r="C92" s="360" t="s">
        <v>92</v>
      </c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35">
        <f>Z53+Z35</f>
        <v>5970</v>
      </c>
      <c r="AA92" s="336"/>
      <c r="AB92" s="336"/>
      <c r="AC92" s="336"/>
      <c r="AD92" s="337"/>
      <c r="AE92" s="362">
        <f>Z92/$Z$96*100</f>
        <v>82.916666666666671</v>
      </c>
      <c r="AF92" s="362"/>
      <c r="AG92" s="362"/>
      <c r="AH92" s="362"/>
      <c r="AI92" s="362"/>
      <c r="AJ92" s="324">
        <f>AJ53+AJ35</f>
        <v>2384</v>
      </c>
      <c r="AK92" s="361"/>
      <c r="AL92" s="361"/>
      <c r="AM92" s="361"/>
      <c r="AN92" s="361"/>
      <c r="AO92" s="324">
        <f>AO53+AO35</f>
        <v>646</v>
      </c>
      <c r="AP92" s="361"/>
      <c r="AQ92" s="361"/>
      <c r="AR92" s="361"/>
      <c r="AS92" s="361"/>
      <c r="AT92" s="324">
        <f>AT53+AT35</f>
        <v>1532</v>
      </c>
      <c r="AU92" s="361"/>
      <c r="AV92" s="361"/>
      <c r="AW92" s="361"/>
      <c r="AX92" s="361"/>
      <c r="AY92" s="324">
        <f>AY53+AY35</f>
        <v>206</v>
      </c>
      <c r="AZ92" s="361"/>
      <c r="BA92" s="361"/>
      <c r="BB92" s="361"/>
      <c r="BC92" s="361"/>
      <c r="BD92" s="324">
        <f>BD53+BD35</f>
        <v>0</v>
      </c>
      <c r="BE92" s="361"/>
      <c r="BF92" s="361"/>
      <c r="BG92" s="361"/>
      <c r="BH92" s="361"/>
      <c r="BI92" s="324">
        <f>BI53+BI35</f>
        <v>0</v>
      </c>
      <c r="BJ92" s="361"/>
      <c r="BK92" s="361"/>
      <c r="BL92" s="361"/>
      <c r="BM92" s="361"/>
      <c r="BN92" s="376">
        <f>BN53+BN35</f>
        <v>3586</v>
      </c>
      <c r="BO92" s="370"/>
      <c r="BP92" s="370"/>
      <c r="BQ92" s="370"/>
      <c r="BR92" s="666"/>
      <c r="BS92" s="612">
        <f>BS53+BS35</f>
        <v>21</v>
      </c>
      <c r="BT92" s="290"/>
      <c r="BU92" s="290"/>
      <c r="BV92" s="290"/>
      <c r="BW92" s="290"/>
      <c r="BX92" s="292">
        <f>BX53+BX35</f>
        <v>24</v>
      </c>
      <c r="BY92" s="395"/>
      <c r="BZ92" s="395"/>
      <c r="CA92" s="395"/>
      <c r="CB92" s="291"/>
      <c r="CC92" s="292">
        <f>CC53+CC35</f>
        <v>20</v>
      </c>
      <c r="CD92" s="395"/>
      <c r="CE92" s="395"/>
      <c r="CF92" s="395"/>
      <c r="CG92" s="291"/>
      <c r="CH92" s="292">
        <f>CH53+CH35</f>
        <v>18</v>
      </c>
      <c r="CI92" s="395"/>
      <c r="CJ92" s="395"/>
      <c r="CK92" s="395"/>
      <c r="CL92" s="291"/>
      <c r="CM92" s="292">
        <f>CM53+CM35</f>
        <v>20</v>
      </c>
      <c r="CN92" s="395"/>
      <c r="CO92" s="395"/>
      <c r="CP92" s="395"/>
      <c r="CQ92" s="291"/>
      <c r="CR92" s="292">
        <f>CR53+CR35</f>
        <v>20</v>
      </c>
      <c r="CS92" s="395"/>
      <c r="CT92" s="395"/>
      <c r="CU92" s="395"/>
      <c r="CV92" s="291"/>
      <c r="CW92" s="292">
        <f>CW53+CW35</f>
        <v>15</v>
      </c>
      <c r="CX92" s="395"/>
      <c r="CY92" s="395"/>
      <c r="CZ92" s="395"/>
      <c r="DA92" s="291"/>
      <c r="DB92" s="290">
        <f>DB53+DB35</f>
        <v>14</v>
      </c>
      <c r="DC92" s="290"/>
      <c r="DD92" s="290"/>
      <c r="DE92" s="290"/>
      <c r="DF92" s="290"/>
      <c r="DG92" s="324">
        <f>DG53+DG35</f>
        <v>24</v>
      </c>
      <c r="DH92" s="361"/>
      <c r="DI92" s="361"/>
      <c r="DJ92" s="361"/>
      <c r="DK92" s="537"/>
      <c r="DL92" s="612">
        <f>DL53+DL35</f>
        <v>30</v>
      </c>
      <c r="DM92" s="290"/>
      <c r="DN92" s="290"/>
      <c r="DO92" s="290"/>
      <c r="DP92" s="290"/>
      <c r="DQ92" s="291">
        <f>DQ53+DQ35</f>
        <v>27</v>
      </c>
      <c r="DR92" s="290"/>
      <c r="DS92" s="290"/>
      <c r="DT92" s="290"/>
      <c r="DU92" s="290"/>
      <c r="DV92" s="291">
        <f>DV53+DV35</f>
        <v>20</v>
      </c>
      <c r="DW92" s="290"/>
      <c r="DX92" s="290"/>
      <c r="DY92" s="290"/>
      <c r="DZ92" s="290"/>
      <c r="EA92" s="291">
        <f>EA53+EA35</f>
        <v>24</v>
      </c>
      <c r="EB92" s="290"/>
      <c r="EC92" s="290"/>
      <c r="ED92" s="290"/>
      <c r="EE92" s="290"/>
      <c r="EF92" s="291">
        <f>EF53+EF35</f>
        <v>24</v>
      </c>
      <c r="EG92" s="290"/>
      <c r="EH92" s="290"/>
      <c r="EI92" s="290"/>
      <c r="EJ92" s="290"/>
      <c r="EK92" s="291">
        <f>EK53+EK35</f>
        <v>24</v>
      </c>
      <c r="EL92" s="290"/>
      <c r="EM92" s="290"/>
      <c r="EN92" s="290"/>
      <c r="EO92" s="290"/>
      <c r="EP92" s="291">
        <f>EP53+EP35</f>
        <v>20</v>
      </c>
      <c r="EQ92" s="290"/>
      <c r="ER92" s="290"/>
      <c r="ES92" s="290"/>
      <c r="ET92" s="290"/>
      <c r="EU92" s="291">
        <f>EU53+EU35</f>
        <v>18</v>
      </c>
      <c r="EV92" s="290"/>
      <c r="EW92" s="290"/>
      <c r="EX92" s="290"/>
      <c r="EY92" s="290"/>
      <c r="EZ92" s="291">
        <f>EZ53+EZ35</f>
        <v>12</v>
      </c>
      <c r="FA92" s="290"/>
      <c r="FB92" s="290"/>
      <c r="FC92" s="290"/>
      <c r="FD92" s="290"/>
      <c r="FE92" s="536">
        <f>FE53+FE35</f>
        <v>199</v>
      </c>
      <c r="FF92" s="772"/>
      <c r="FG92" s="772"/>
      <c r="FH92" s="324"/>
      <c r="FI92" s="537"/>
    </row>
    <row r="93" spans="1:166" s="78" customFormat="1" ht="60" customHeight="1" x14ac:dyDescent="0.2">
      <c r="A93" s="144"/>
      <c r="B93" s="77"/>
      <c r="C93" s="861" t="s">
        <v>167</v>
      </c>
      <c r="D93" s="861"/>
      <c r="E93" s="861"/>
      <c r="F93" s="861"/>
      <c r="G93" s="861"/>
      <c r="H93" s="861"/>
      <c r="I93" s="861"/>
      <c r="J93" s="861"/>
      <c r="K93" s="861"/>
      <c r="L93" s="861"/>
      <c r="M93" s="861"/>
      <c r="N93" s="861"/>
      <c r="O93" s="861"/>
      <c r="P93" s="861"/>
      <c r="Q93" s="861"/>
      <c r="R93" s="861"/>
      <c r="S93" s="861"/>
      <c r="T93" s="861"/>
      <c r="U93" s="861"/>
      <c r="V93" s="861"/>
      <c r="W93" s="861"/>
      <c r="X93" s="861"/>
      <c r="Y93" s="861"/>
      <c r="Z93" s="397">
        <f>FE93*30</f>
        <v>1230</v>
      </c>
      <c r="AA93" s="397"/>
      <c r="AB93" s="397"/>
      <c r="AC93" s="397"/>
      <c r="AD93" s="397"/>
      <c r="AE93" s="665"/>
      <c r="AF93" s="665"/>
      <c r="AG93" s="665"/>
      <c r="AH93" s="665"/>
      <c r="AI93" s="665"/>
      <c r="AJ93" s="273"/>
      <c r="AK93" s="273"/>
      <c r="AL93" s="273"/>
      <c r="AM93" s="273"/>
      <c r="AN93" s="273"/>
      <c r="AO93" s="636"/>
      <c r="AP93" s="637"/>
      <c r="AQ93" s="637"/>
      <c r="AR93" s="637"/>
      <c r="AS93" s="638"/>
      <c r="AT93" s="273"/>
      <c r="AU93" s="273"/>
      <c r="AV93" s="273"/>
      <c r="AW93" s="273"/>
      <c r="AX93" s="273"/>
      <c r="AY93" s="273"/>
      <c r="AZ93" s="273"/>
      <c r="BA93" s="273"/>
      <c r="BB93" s="273"/>
      <c r="BC93" s="273"/>
      <c r="BD93" s="273"/>
      <c r="BE93" s="273"/>
      <c r="BF93" s="273"/>
      <c r="BG93" s="273"/>
      <c r="BH93" s="273"/>
      <c r="BI93" s="273"/>
      <c r="BJ93" s="273"/>
      <c r="BK93" s="273"/>
      <c r="BL93" s="273"/>
      <c r="BM93" s="273"/>
      <c r="BN93" s="636"/>
      <c r="BO93" s="637"/>
      <c r="BP93" s="637"/>
      <c r="BQ93" s="637"/>
      <c r="BR93" s="660"/>
      <c r="BS93" s="534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01"/>
      <c r="DH93" s="501"/>
      <c r="DI93" s="501"/>
      <c r="DJ93" s="501"/>
      <c r="DK93" s="502"/>
      <c r="DL93" s="503"/>
      <c r="DM93" s="504"/>
      <c r="DN93" s="504"/>
      <c r="DO93" s="504"/>
      <c r="DP93" s="505"/>
      <c r="DQ93" s="322">
        <v>3</v>
      </c>
      <c r="DR93" s="510"/>
      <c r="DS93" s="510"/>
      <c r="DT93" s="510"/>
      <c r="DU93" s="269"/>
      <c r="DV93" s="322">
        <v>5</v>
      </c>
      <c r="DW93" s="510"/>
      <c r="DX93" s="510"/>
      <c r="DY93" s="510"/>
      <c r="DZ93" s="269"/>
      <c r="EA93" s="322">
        <v>5</v>
      </c>
      <c r="EB93" s="510"/>
      <c r="EC93" s="510"/>
      <c r="ED93" s="510"/>
      <c r="EE93" s="269"/>
      <c r="EF93" s="322">
        <v>5</v>
      </c>
      <c r="EG93" s="510"/>
      <c r="EH93" s="510"/>
      <c r="EI93" s="510"/>
      <c r="EJ93" s="269"/>
      <c r="EK93" s="322">
        <v>5</v>
      </c>
      <c r="EL93" s="510"/>
      <c r="EM93" s="510"/>
      <c r="EN93" s="510"/>
      <c r="EO93" s="269"/>
      <c r="EP93" s="322">
        <v>6</v>
      </c>
      <c r="EQ93" s="510"/>
      <c r="ER93" s="510"/>
      <c r="ES93" s="510"/>
      <c r="ET93" s="269"/>
      <c r="EU93" s="322">
        <v>5</v>
      </c>
      <c r="EV93" s="510"/>
      <c r="EW93" s="510"/>
      <c r="EX93" s="510"/>
      <c r="EY93" s="269"/>
      <c r="EZ93" s="270">
        <v>7</v>
      </c>
      <c r="FA93" s="270"/>
      <c r="FB93" s="270"/>
      <c r="FC93" s="270"/>
      <c r="FD93" s="533"/>
      <c r="FE93" s="499">
        <f>SUM(DL93:FD93)</f>
        <v>41</v>
      </c>
      <c r="FF93" s="765"/>
      <c r="FG93" s="765"/>
      <c r="FH93" s="339"/>
      <c r="FI93" s="500"/>
      <c r="FJ93" s="123" t="s">
        <v>269</v>
      </c>
    </row>
    <row r="94" spans="1:166" ht="60" customHeight="1" x14ac:dyDescent="0.2">
      <c r="A94" s="145"/>
      <c r="B94" s="31"/>
      <c r="C94" s="860" t="s">
        <v>19</v>
      </c>
      <c r="D94" s="860"/>
      <c r="E94" s="860"/>
      <c r="F94" s="860"/>
      <c r="G94" s="860"/>
      <c r="H94" s="860"/>
      <c r="I94" s="860"/>
      <c r="J94" s="860"/>
      <c r="K94" s="860"/>
      <c r="L94" s="860"/>
      <c r="M94" s="860"/>
      <c r="N94" s="860"/>
      <c r="O94" s="860"/>
      <c r="P94" s="860"/>
      <c r="Q94" s="860"/>
      <c r="R94" s="860"/>
      <c r="S94" s="860"/>
      <c r="T94" s="860"/>
      <c r="U94" s="860"/>
      <c r="V94" s="860"/>
      <c r="W94" s="860"/>
      <c r="X94" s="860"/>
      <c r="Y94" s="860"/>
      <c r="Z94" s="265">
        <f>FE94*30</f>
        <v>0</v>
      </c>
      <c r="AA94" s="265"/>
      <c r="AB94" s="265"/>
      <c r="AC94" s="265"/>
      <c r="AD94" s="265"/>
      <c r="AE94" s="429"/>
      <c r="AF94" s="429"/>
      <c r="AG94" s="429"/>
      <c r="AH94" s="429"/>
      <c r="AI94" s="378"/>
      <c r="AJ94" s="263"/>
      <c r="AK94" s="263"/>
      <c r="AL94" s="263"/>
      <c r="AM94" s="263"/>
      <c r="AN94" s="263"/>
      <c r="AO94" s="452"/>
      <c r="AP94" s="453"/>
      <c r="AQ94" s="453"/>
      <c r="AR94" s="453"/>
      <c r="AS94" s="454"/>
      <c r="AT94" s="263"/>
      <c r="AU94" s="263"/>
      <c r="AV94" s="263"/>
      <c r="AW94" s="263"/>
      <c r="AX94" s="263"/>
      <c r="AY94" s="263"/>
      <c r="AZ94" s="263"/>
      <c r="BA94" s="263"/>
      <c r="BB94" s="263"/>
      <c r="BC94" s="263"/>
      <c r="BD94" s="263"/>
      <c r="BE94" s="263"/>
      <c r="BF94" s="263"/>
      <c r="BG94" s="263"/>
      <c r="BH94" s="263"/>
      <c r="BI94" s="263"/>
      <c r="BJ94" s="263"/>
      <c r="BK94" s="263"/>
      <c r="BL94" s="263"/>
      <c r="BM94" s="263"/>
      <c r="BN94" s="452"/>
      <c r="BO94" s="453"/>
      <c r="BP94" s="453"/>
      <c r="BQ94" s="453"/>
      <c r="BR94" s="668"/>
      <c r="BS94" s="513"/>
      <c r="BT94" s="378"/>
      <c r="BU94" s="378"/>
      <c r="BV94" s="378"/>
      <c r="BW94" s="378"/>
      <c r="BX94" s="378"/>
      <c r="BY94" s="378"/>
      <c r="BZ94" s="378"/>
      <c r="CA94" s="378"/>
      <c r="CB94" s="378"/>
      <c r="CC94" s="378"/>
      <c r="CD94" s="378"/>
      <c r="CE94" s="378"/>
      <c r="CF94" s="378"/>
      <c r="CG94" s="378"/>
      <c r="CH94" s="378"/>
      <c r="CI94" s="378"/>
      <c r="CJ94" s="378"/>
      <c r="CK94" s="378"/>
      <c r="CL94" s="378"/>
      <c r="CM94" s="378"/>
      <c r="CN94" s="378"/>
      <c r="CO94" s="378"/>
      <c r="CP94" s="378"/>
      <c r="CQ94" s="378"/>
      <c r="CR94" s="378"/>
      <c r="CS94" s="378"/>
      <c r="CT94" s="378"/>
      <c r="CU94" s="378"/>
      <c r="CV94" s="378"/>
      <c r="CW94" s="378"/>
      <c r="CX94" s="378"/>
      <c r="CY94" s="378"/>
      <c r="CZ94" s="378"/>
      <c r="DA94" s="378"/>
      <c r="DB94" s="378"/>
      <c r="DC94" s="378"/>
      <c r="DD94" s="378"/>
      <c r="DE94" s="378"/>
      <c r="DF94" s="378"/>
      <c r="DG94" s="617"/>
      <c r="DH94" s="617"/>
      <c r="DI94" s="617"/>
      <c r="DJ94" s="617"/>
      <c r="DK94" s="625"/>
      <c r="DL94" s="667"/>
      <c r="DM94" s="425"/>
      <c r="DN94" s="425"/>
      <c r="DO94" s="425"/>
      <c r="DP94" s="380"/>
      <c r="DQ94" s="458"/>
      <c r="DR94" s="661"/>
      <c r="DS94" s="661"/>
      <c r="DT94" s="661"/>
      <c r="DU94" s="266"/>
      <c r="DV94" s="458"/>
      <c r="DW94" s="661"/>
      <c r="DX94" s="661"/>
      <c r="DY94" s="661"/>
      <c r="DZ94" s="266"/>
      <c r="EA94" s="458"/>
      <c r="EB94" s="661"/>
      <c r="EC94" s="661"/>
      <c r="ED94" s="661"/>
      <c r="EE94" s="266"/>
      <c r="EF94" s="458"/>
      <c r="EG94" s="661"/>
      <c r="EH94" s="661"/>
      <c r="EI94" s="661"/>
      <c r="EJ94" s="266"/>
      <c r="EK94" s="458"/>
      <c r="EL94" s="661"/>
      <c r="EM94" s="661"/>
      <c r="EN94" s="661"/>
      <c r="EO94" s="266"/>
      <c r="EP94" s="458"/>
      <c r="EQ94" s="661"/>
      <c r="ER94" s="661"/>
      <c r="ES94" s="661"/>
      <c r="ET94" s="266"/>
      <c r="EU94" s="458"/>
      <c r="EV94" s="661"/>
      <c r="EW94" s="661"/>
      <c r="EX94" s="661"/>
      <c r="EY94" s="266"/>
      <c r="EZ94" s="662"/>
      <c r="FA94" s="662"/>
      <c r="FB94" s="662"/>
      <c r="FC94" s="662"/>
      <c r="FD94" s="663"/>
      <c r="FE94" s="499">
        <f>SUM(DL94:FD94)</f>
        <v>0</v>
      </c>
      <c r="FF94" s="765"/>
      <c r="FG94" s="765"/>
      <c r="FH94" s="339"/>
      <c r="FI94" s="500"/>
    </row>
    <row r="95" spans="1:166" ht="60" customHeight="1" x14ac:dyDescent="0.2">
      <c r="A95" s="143"/>
      <c r="B95" s="33"/>
      <c r="C95" s="360" t="s">
        <v>92</v>
      </c>
      <c r="D95" s="360"/>
      <c r="E95" s="360"/>
      <c r="F95" s="360"/>
      <c r="G95" s="360"/>
      <c r="H95" s="360"/>
      <c r="I95" s="360"/>
      <c r="J95" s="360"/>
      <c r="K95" s="360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1">
        <f>Z93+Z94</f>
        <v>1230</v>
      </c>
      <c r="AA95" s="361"/>
      <c r="AB95" s="361"/>
      <c r="AC95" s="361"/>
      <c r="AD95" s="361"/>
      <c r="AE95" s="362">
        <f>Z95/$Z$96*100</f>
        <v>17.083333333333332</v>
      </c>
      <c r="AF95" s="362"/>
      <c r="AG95" s="362"/>
      <c r="AH95" s="362"/>
      <c r="AI95" s="362"/>
      <c r="AJ95" s="361">
        <f>AJ93+AJ94</f>
        <v>0</v>
      </c>
      <c r="AK95" s="361"/>
      <c r="AL95" s="361"/>
      <c r="AM95" s="361"/>
      <c r="AN95" s="361"/>
      <c r="AO95" s="361">
        <f t="shared" ref="AO95" si="91">AO93+AO94</f>
        <v>0</v>
      </c>
      <c r="AP95" s="361"/>
      <c r="AQ95" s="361"/>
      <c r="AR95" s="361"/>
      <c r="AS95" s="361"/>
      <c r="AT95" s="361">
        <f t="shared" ref="AT95" si="92">AT93+AT94</f>
        <v>0</v>
      </c>
      <c r="AU95" s="361"/>
      <c r="AV95" s="361"/>
      <c r="AW95" s="361"/>
      <c r="AX95" s="361"/>
      <c r="AY95" s="361">
        <f t="shared" ref="AY95" si="93">AY93+AY94</f>
        <v>0</v>
      </c>
      <c r="AZ95" s="361"/>
      <c r="BA95" s="361"/>
      <c r="BB95" s="361"/>
      <c r="BC95" s="361"/>
      <c r="BD95" s="361">
        <f t="shared" ref="BD95" si="94">BD93+BD94</f>
        <v>0</v>
      </c>
      <c r="BE95" s="361"/>
      <c r="BF95" s="361"/>
      <c r="BG95" s="361"/>
      <c r="BH95" s="361"/>
      <c r="BI95" s="361">
        <f t="shared" ref="BI95" si="95">BI93+BI94</f>
        <v>0</v>
      </c>
      <c r="BJ95" s="361"/>
      <c r="BK95" s="361"/>
      <c r="BL95" s="361"/>
      <c r="BM95" s="361"/>
      <c r="BN95" s="369">
        <f>BN93+BN94</f>
        <v>0</v>
      </c>
      <c r="BO95" s="370"/>
      <c r="BP95" s="370"/>
      <c r="BQ95" s="370"/>
      <c r="BR95" s="666"/>
      <c r="BS95" s="612">
        <f t="shared" ref="BS95:DG95" si="96">BS93+BS94</f>
        <v>0</v>
      </c>
      <c r="BT95" s="290"/>
      <c r="BU95" s="290"/>
      <c r="BV95" s="290"/>
      <c r="BW95" s="290"/>
      <c r="BX95" s="291">
        <f t="shared" si="96"/>
        <v>0</v>
      </c>
      <c r="BY95" s="290"/>
      <c r="BZ95" s="290"/>
      <c r="CA95" s="290"/>
      <c r="CB95" s="290"/>
      <c r="CC95" s="291">
        <f t="shared" si="96"/>
        <v>0</v>
      </c>
      <c r="CD95" s="290"/>
      <c r="CE95" s="290"/>
      <c r="CF95" s="290"/>
      <c r="CG95" s="290"/>
      <c r="CH95" s="291">
        <f t="shared" si="96"/>
        <v>0</v>
      </c>
      <c r="CI95" s="290"/>
      <c r="CJ95" s="290"/>
      <c r="CK95" s="290"/>
      <c r="CL95" s="290"/>
      <c r="CM95" s="291">
        <f t="shared" si="96"/>
        <v>0</v>
      </c>
      <c r="CN95" s="290"/>
      <c r="CO95" s="290"/>
      <c r="CP95" s="290"/>
      <c r="CQ95" s="290"/>
      <c r="CR95" s="291">
        <f t="shared" si="96"/>
        <v>0</v>
      </c>
      <c r="CS95" s="290"/>
      <c r="CT95" s="290"/>
      <c r="CU95" s="290"/>
      <c r="CV95" s="290"/>
      <c r="CW95" s="291">
        <f t="shared" si="96"/>
        <v>0</v>
      </c>
      <c r="CX95" s="290"/>
      <c r="CY95" s="290"/>
      <c r="CZ95" s="290"/>
      <c r="DA95" s="290"/>
      <c r="DB95" s="291">
        <f t="shared" si="96"/>
        <v>0</v>
      </c>
      <c r="DC95" s="290"/>
      <c r="DD95" s="290"/>
      <c r="DE95" s="290"/>
      <c r="DF95" s="290"/>
      <c r="DG95" s="291">
        <f t="shared" si="96"/>
        <v>0</v>
      </c>
      <c r="DH95" s="290"/>
      <c r="DI95" s="290"/>
      <c r="DJ95" s="290"/>
      <c r="DK95" s="535"/>
      <c r="DL95" s="612">
        <f>DL93+DL94</f>
        <v>0</v>
      </c>
      <c r="DM95" s="290"/>
      <c r="DN95" s="290"/>
      <c r="DO95" s="290"/>
      <c r="DP95" s="290"/>
      <c r="DQ95" s="291">
        <f t="shared" ref="DQ95" si="97">DQ93+DQ94</f>
        <v>3</v>
      </c>
      <c r="DR95" s="290"/>
      <c r="DS95" s="290"/>
      <c r="DT95" s="290"/>
      <c r="DU95" s="290"/>
      <c r="DV95" s="291">
        <f t="shared" ref="DV95" si="98">DV93+DV94</f>
        <v>5</v>
      </c>
      <c r="DW95" s="290"/>
      <c r="DX95" s="290"/>
      <c r="DY95" s="290"/>
      <c r="DZ95" s="290"/>
      <c r="EA95" s="291">
        <f t="shared" ref="EA95" si="99">EA93+EA94</f>
        <v>5</v>
      </c>
      <c r="EB95" s="290"/>
      <c r="EC95" s="290"/>
      <c r="ED95" s="290"/>
      <c r="EE95" s="290"/>
      <c r="EF95" s="291">
        <f t="shared" ref="EF95" si="100">EF93+EF94</f>
        <v>5</v>
      </c>
      <c r="EG95" s="290"/>
      <c r="EH95" s="290"/>
      <c r="EI95" s="290"/>
      <c r="EJ95" s="290"/>
      <c r="EK95" s="291">
        <f t="shared" ref="EK95" si="101">EK93+EK94</f>
        <v>5</v>
      </c>
      <c r="EL95" s="290"/>
      <c r="EM95" s="290"/>
      <c r="EN95" s="290"/>
      <c r="EO95" s="290"/>
      <c r="EP95" s="291">
        <f t="shared" ref="EP95" si="102">EP93+EP94</f>
        <v>6</v>
      </c>
      <c r="EQ95" s="290"/>
      <c r="ER95" s="290"/>
      <c r="ES95" s="290"/>
      <c r="ET95" s="290"/>
      <c r="EU95" s="291">
        <f t="shared" ref="EU95" si="103">EU93+EU94</f>
        <v>5</v>
      </c>
      <c r="EV95" s="290"/>
      <c r="EW95" s="290"/>
      <c r="EX95" s="290"/>
      <c r="EY95" s="290"/>
      <c r="EZ95" s="291">
        <f t="shared" ref="EZ95" si="104">EZ93+EZ94</f>
        <v>7</v>
      </c>
      <c r="FA95" s="290"/>
      <c r="FB95" s="290"/>
      <c r="FC95" s="290"/>
      <c r="FD95" s="535"/>
      <c r="FE95" s="536">
        <f>FE93+FE94</f>
        <v>41</v>
      </c>
      <c r="FF95" s="772"/>
      <c r="FG95" s="772"/>
      <c r="FH95" s="324"/>
      <c r="FI95" s="537"/>
    </row>
    <row r="96" spans="1:166" ht="60" customHeight="1" thickBot="1" x14ac:dyDescent="0.25">
      <c r="A96" s="146"/>
      <c r="B96" s="147"/>
      <c r="C96" s="680" t="s">
        <v>25</v>
      </c>
      <c r="D96" s="680"/>
      <c r="E96" s="680"/>
      <c r="F96" s="680"/>
      <c r="G96" s="680"/>
      <c r="H96" s="680"/>
      <c r="I96" s="680"/>
      <c r="J96" s="680"/>
      <c r="K96" s="680"/>
      <c r="L96" s="680"/>
      <c r="M96" s="680"/>
      <c r="N96" s="680"/>
      <c r="O96" s="680"/>
      <c r="P96" s="680"/>
      <c r="Q96" s="680"/>
      <c r="R96" s="680"/>
      <c r="S96" s="680"/>
      <c r="T96" s="680"/>
      <c r="U96" s="680"/>
      <c r="V96" s="680"/>
      <c r="W96" s="680"/>
      <c r="X96" s="680"/>
      <c r="Y96" s="680"/>
      <c r="Z96" s="671">
        <f>Z95+Z92</f>
        <v>7200</v>
      </c>
      <c r="AA96" s="672"/>
      <c r="AB96" s="672"/>
      <c r="AC96" s="672"/>
      <c r="AD96" s="672"/>
      <c r="AE96" s="670">
        <f>AE92+AE95</f>
        <v>100</v>
      </c>
      <c r="AF96" s="670"/>
      <c r="AG96" s="670"/>
      <c r="AH96" s="670"/>
      <c r="AI96" s="670"/>
      <c r="AJ96" s="671">
        <f>AJ92+AJ95</f>
        <v>2384</v>
      </c>
      <c r="AK96" s="672"/>
      <c r="AL96" s="672"/>
      <c r="AM96" s="672"/>
      <c r="AN96" s="672"/>
      <c r="AO96" s="671">
        <f t="shared" ref="AO96" si="105">AO92+AO95</f>
        <v>646</v>
      </c>
      <c r="AP96" s="672"/>
      <c r="AQ96" s="672"/>
      <c r="AR96" s="672"/>
      <c r="AS96" s="672"/>
      <c r="AT96" s="671">
        <f t="shared" ref="AT96" si="106">AT92+AT95</f>
        <v>1532</v>
      </c>
      <c r="AU96" s="672"/>
      <c r="AV96" s="672"/>
      <c r="AW96" s="672"/>
      <c r="AX96" s="672"/>
      <c r="AY96" s="671">
        <f t="shared" ref="AY96" si="107">AY92+AY95</f>
        <v>206</v>
      </c>
      <c r="AZ96" s="672"/>
      <c r="BA96" s="672"/>
      <c r="BB96" s="672"/>
      <c r="BC96" s="672"/>
      <c r="BD96" s="671">
        <f t="shared" ref="BD96" si="108">BD92+BD95</f>
        <v>0</v>
      </c>
      <c r="BE96" s="672"/>
      <c r="BF96" s="672"/>
      <c r="BG96" s="672"/>
      <c r="BH96" s="672"/>
      <c r="BI96" s="671">
        <f t="shared" ref="BI96" si="109">BI92+BI95</f>
        <v>0</v>
      </c>
      <c r="BJ96" s="672"/>
      <c r="BK96" s="672"/>
      <c r="BL96" s="672"/>
      <c r="BM96" s="672"/>
      <c r="BN96" s="673">
        <f>BN92+BN95</f>
        <v>3586</v>
      </c>
      <c r="BO96" s="674"/>
      <c r="BP96" s="674"/>
      <c r="BQ96" s="674"/>
      <c r="BR96" s="675"/>
      <c r="BS96" s="676">
        <f>BS95+BS53+BS35</f>
        <v>21</v>
      </c>
      <c r="BT96" s="677"/>
      <c r="BU96" s="677"/>
      <c r="BV96" s="677"/>
      <c r="BW96" s="678"/>
      <c r="BX96" s="677">
        <f>BX95+BX53+BX35</f>
        <v>24</v>
      </c>
      <c r="BY96" s="677"/>
      <c r="BZ96" s="677"/>
      <c r="CA96" s="677"/>
      <c r="CB96" s="677"/>
      <c r="CC96" s="677">
        <f>CC95+CC53+CC35</f>
        <v>20</v>
      </c>
      <c r="CD96" s="677"/>
      <c r="CE96" s="677"/>
      <c r="CF96" s="677"/>
      <c r="CG96" s="677"/>
      <c r="CH96" s="677">
        <f>CH95+CH53+CH35</f>
        <v>18</v>
      </c>
      <c r="CI96" s="677"/>
      <c r="CJ96" s="677"/>
      <c r="CK96" s="677"/>
      <c r="CL96" s="677"/>
      <c r="CM96" s="677">
        <f>CM95+CM53+CM35</f>
        <v>20</v>
      </c>
      <c r="CN96" s="677"/>
      <c r="CO96" s="677"/>
      <c r="CP96" s="677"/>
      <c r="CQ96" s="677"/>
      <c r="CR96" s="677">
        <f>CR95+CR53+CR35</f>
        <v>20</v>
      </c>
      <c r="CS96" s="677"/>
      <c r="CT96" s="677"/>
      <c r="CU96" s="677"/>
      <c r="CV96" s="677"/>
      <c r="CW96" s="677">
        <f>CW95+CW53+CW35</f>
        <v>15</v>
      </c>
      <c r="CX96" s="677"/>
      <c r="CY96" s="677"/>
      <c r="CZ96" s="677"/>
      <c r="DA96" s="677"/>
      <c r="DB96" s="677">
        <f>DB95+DB53+DB35</f>
        <v>14</v>
      </c>
      <c r="DC96" s="677"/>
      <c r="DD96" s="677"/>
      <c r="DE96" s="677"/>
      <c r="DF96" s="677"/>
      <c r="DG96" s="684">
        <f>DG95+DG53+DG35</f>
        <v>24</v>
      </c>
      <c r="DH96" s="677"/>
      <c r="DI96" s="677"/>
      <c r="DJ96" s="677"/>
      <c r="DK96" s="679"/>
      <c r="DL96" s="676">
        <f>DL95+DL92</f>
        <v>30</v>
      </c>
      <c r="DM96" s="677"/>
      <c r="DN96" s="677"/>
      <c r="DO96" s="677"/>
      <c r="DP96" s="677"/>
      <c r="DQ96" s="677">
        <f>DQ95+DQ92</f>
        <v>30</v>
      </c>
      <c r="DR96" s="677"/>
      <c r="DS96" s="677"/>
      <c r="DT96" s="677"/>
      <c r="DU96" s="677"/>
      <c r="DV96" s="677">
        <f t="shared" ref="DV96" si="110">DV95+DV92</f>
        <v>25</v>
      </c>
      <c r="DW96" s="677"/>
      <c r="DX96" s="677"/>
      <c r="DY96" s="677"/>
      <c r="DZ96" s="677"/>
      <c r="EA96" s="677">
        <f t="shared" ref="EA96" si="111">EA95+EA92</f>
        <v>29</v>
      </c>
      <c r="EB96" s="677"/>
      <c r="EC96" s="677"/>
      <c r="ED96" s="677"/>
      <c r="EE96" s="677"/>
      <c r="EF96" s="677">
        <f t="shared" ref="EF96" si="112">EF95+EF92</f>
        <v>29</v>
      </c>
      <c r="EG96" s="677"/>
      <c r="EH96" s="677"/>
      <c r="EI96" s="677"/>
      <c r="EJ96" s="677"/>
      <c r="EK96" s="677">
        <f t="shared" ref="EK96" si="113">EK95+EK92</f>
        <v>29</v>
      </c>
      <c r="EL96" s="677"/>
      <c r="EM96" s="677"/>
      <c r="EN96" s="677"/>
      <c r="EO96" s="677"/>
      <c r="EP96" s="677">
        <f t="shared" ref="EP96" si="114">EP95+EP92</f>
        <v>26</v>
      </c>
      <c r="EQ96" s="677"/>
      <c r="ER96" s="677"/>
      <c r="ES96" s="677"/>
      <c r="ET96" s="677"/>
      <c r="EU96" s="677">
        <f t="shared" ref="EU96" si="115">EU95+EU92</f>
        <v>23</v>
      </c>
      <c r="EV96" s="677"/>
      <c r="EW96" s="677"/>
      <c r="EX96" s="677"/>
      <c r="EY96" s="677"/>
      <c r="EZ96" s="677">
        <f t="shared" ref="EZ96" si="116">EZ95+EZ92</f>
        <v>19</v>
      </c>
      <c r="FA96" s="677"/>
      <c r="FB96" s="677"/>
      <c r="FC96" s="677"/>
      <c r="FD96" s="679"/>
      <c r="FE96" s="681">
        <f>FE95+FE92</f>
        <v>240</v>
      </c>
      <c r="FF96" s="770"/>
      <c r="FG96" s="770"/>
      <c r="FH96" s="671"/>
      <c r="FI96" s="682"/>
    </row>
    <row r="97" spans="1:165" s="78" customFormat="1" ht="61.5" thickTop="1" x14ac:dyDescent="0.2">
      <c r="A97" s="80"/>
      <c r="B97" s="81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3"/>
      <c r="AA97" s="84"/>
      <c r="AB97" s="84"/>
      <c r="AC97" s="84"/>
      <c r="AD97" s="84"/>
      <c r="AE97" s="85"/>
      <c r="AF97" s="85"/>
      <c r="AG97" s="85"/>
      <c r="AH97" s="85"/>
      <c r="AI97" s="85"/>
      <c r="AJ97" s="83"/>
      <c r="AK97" s="84"/>
      <c r="AL97" s="84"/>
      <c r="AM97" s="84"/>
      <c r="AN97" s="84"/>
      <c r="AO97" s="83"/>
      <c r="AP97" s="84"/>
      <c r="AQ97" s="84"/>
      <c r="AR97" s="84"/>
      <c r="AS97" s="84"/>
      <c r="AT97" s="83"/>
      <c r="AU97" s="84"/>
      <c r="AV97" s="84"/>
      <c r="AW97" s="84"/>
      <c r="AX97" s="84"/>
      <c r="AY97" s="83"/>
      <c r="AZ97" s="84"/>
      <c r="BA97" s="84"/>
      <c r="BB97" s="84"/>
      <c r="BC97" s="84"/>
      <c r="BD97" s="83"/>
      <c r="BE97" s="84"/>
      <c r="BF97" s="84"/>
      <c r="BG97" s="84"/>
      <c r="BH97" s="84"/>
      <c r="BI97" s="83"/>
      <c r="BJ97" s="84"/>
      <c r="BK97" s="84"/>
      <c r="BL97" s="84"/>
      <c r="BM97" s="84"/>
      <c r="BN97" s="83"/>
      <c r="BO97" s="84"/>
      <c r="BP97" s="84"/>
      <c r="BQ97" s="84"/>
      <c r="BR97" s="84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6"/>
      <c r="EI97" s="86"/>
      <c r="EJ97" s="86"/>
      <c r="EK97" s="86"/>
      <c r="EL97" s="86"/>
      <c r="EM97" s="86"/>
      <c r="EN97" s="86"/>
      <c r="EO97" s="8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3"/>
      <c r="FF97" s="83"/>
      <c r="FG97" s="83"/>
      <c r="FH97" s="83"/>
      <c r="FI97" s="84"/>
    </row>
    <row r="98" spans="1:165" ht="75" x14ac:dyDescent="0.2">
      <c r="A98" s="208"/>
      <c r="B98" s="202" t="s">
        <v>103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683"/>
      <c r="AA98" s="683"/>
      <c r="AB98" s="683"/>
      <c r="AC98" s="683"/>
      <c r="AD98" s="683"/>
      <c r="AE98" s="212"/>
      <c r="AF98" s="240"/>
      <c r="AG98" s="240"/>
      <c r="AH98" s="212"/>
      <c r="AI98" s="208"/>
      <c r="AJ98" s="212"/>
      <c r="AK98" s="212"/>
      <c r="AL98" s="212"/>
      <c r="AM98" s="208"/>
      <c r="AN98" s="212"/>
      <c r="AO98" s="212"/>
      <c r="AP98" s="212"/>
      <c r="AQ98" s="208"/>
      <c r="AR98" s="212"/>
      <c r="AS98" s="212"/>
      <c r="AT98" s="212"/>
      <c r="AU98" s="208"/>
      <c r="AV98" s="212"/>
      <c r="AW98" s="212"/>
      <c r="AX98" s="212"/>
      <c r="AY98" s="208"/>
      <c r="AZ98" s="212"/>
      <c r="BA98" s="212"/>
      <c r="BB98" s="212"/>
      <c r="BC98" s="208"/>
      <c r="BD98" s="212"/>
      <c r="BE98" s="212"/>
      <c r="BF98" s="212"/>
      <c r="BG98" s="208"/>
      <c r="BH98" s="208"/>
      <c r="BI98" s="208"/>
      <c r="BJ98" s="208"/>
      <c r="BK98" s="208"/>
      <c r="BL98" s="208"/>
      <c r="BM98" s="208"/>
      <c r="BN98" s="212"/>
      <c r="BO98" s="212"/>
      <c r="BP98" s="240"/>
      <c r="BQ98" s="212"/>
      <c r="BR98" s="208"/>
      <c r="BS98" s="212"/>
      <c r="BT98" s="208"/>
      <c r="BU98" s="208"/>
      <c r="BV98" s="208"/>
      <c r="BW98" s="212"/>
      <c r="BX98" s="208"/>
      <c r="BY98" s="208"/>
      <c r="BZ98" s="208"/>
      <c r="CA98" s="212"/>
      <c r="CB98" s="208"/>
      <c r="CC98" s="208"/>
      <c r="CD98" s="208"/>
      <c r="CE98" s="212"/>
      <c r="CF98" s="208"/>
      <c r="CG98" s="208"/>
      <c r="CH98" s="208"/>
      <c r="CI98" s="212"/>
      <c r="CJ98" s="208"/>
      <c r="CK98" s="208"/>
      <c r="CL98" s="208"/>
      <c r="CM98" s="212"/>
      <c r="CN98" s="208"/>
      <c r="CO98" s="208"/>
      <c r="CP98" s="208"/>
      <c r="CQ98" s="212"/>
      <c r="CR98" s="208"/>
      <c r="CS98" s="208"/>
      <c r="CT98" s="208"/>
      <c r="CU98" s="212"/>
      <c r="CV98" s="208"/>
      <c r="CW98" s="208"/>
      <c r="CX98" s="208"/>
      <c r="CY98" s="212"/>
      <c r="CZ98" s="208"/>
      <c r="DA98" s="208"/>
      <c r="DB98" s="208"/>
      <c r="DC98" s="212"/>
      <c r="DD98" s="208"/>
      <c r="DE98" s="208"/>
      <c r="DF98" s="208"/>
      <c r="DG98" s="212"/>
      <c r="DH98" s="208"/>
      <c r="DI98" s="208"/>
      <c r="DJ98" s="208"/>
      <c r="DK98" s="212"/>
      <c r="DL98" s="208"/>
      <c r="DM98" s="208"/>
      <c r="DN98" s="208"/>
      <c r="DO98" s="212"/>
      <c r="DP98" s="208"/>
      <c r="DQ98" s="208"/>
      <c r="DR98" s="208"/>
      <c r="DS98" s="212"/>
      <c r="DT98" s="208"/>
      <c r="DU98" s="208"/>
      <c r="DV98" s="208"/>
      <c r="DW98" s="212"/>
      <c r="DX98" s="208"/>
      <c r="DY98" s="208"/>
      <c r="DZ98" s="208"/>
      <c r="EA98" s="212"/>
      <c r="EB98" s="208"/>
      <c r="EC98" s="208"/>
      <c r="ED98" s="208"/>
      <c r="EE98" s="212"/>
      <c r="EF98" s="208"/>
      <c r="EG98" s="208"/>
      <c r="EH98" s="208"/>
      <c r="EI98" s="212"/>
      <c r="EJ98" s="208"/>
      <c r="EK98" s="208"/>
      <c r="EL98" s="208"/>
      <c r="EM98" s="212"/>
      <c r="EN98" s="208"/>
      <c r="EO98" s="208"/>
      <c r="EP98" s="208"/>
      <c r="EQ98" s="212"/>
      <c r="ER98" s="208"/>
      <c r="ES98" s="208"/>
      <c r="ET98" s="208"/>
      <c r="EU98" s="39"/>
      <c r="EV98" s="39"/>
      <c r="EW98" s="205"/>
      <c r="EX98" s="208"/>
      <c r="EY98" s="208"/>
      <c r="EZ98" s="208"/>
      <c r="FA98" s="208"/>
      <c r="FB98" s="208"/>
      <c r="FC98" s="208"/>
      <c r="FD98" s="208"/>
      <c r="FE98" s="39"/>
      <c r="FF98" s="39"/>
      <c r="FG98" s="39"/>
      <c r="FH98" s="39"/>
      <c r="FI98" s="205"/>
    </row>
    <row r="99" spans="1:165" ht="140.1" customHeight="1" x14ac:dyDescent="0.2">
      <c r="A99" s="208"/>
      <c r="B99" s="363" t="s">
        <v>353</v>
      </c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  <c r="AN99" s="363"/>
      <c r="AO99" s="363"/>
      <c r="AP99" s="363"/>
      <c r="AQ99" s="363"/>
      <c r="AR99" s="363"/>
      <c r="AS99" s="363"/>
      <c r="AT99" s="363"/>
      <c r="AU99" s="363"/>
      <c r="AV99" s="363"/>
      <c r="AW99" s="363"/>
      <c r="AX99" s="363"/>
      <c r="AY99" s="363"/>
      <c r="AZ99" s="363"/>
      <c r="BA99" s="363"/>
      <c r="BB99" s="363"/>
      <c r="BC99" s="363"/>
      <c r="BD99" s="363"/>
      <c r="BE99" s="363"/>
      <c r="BF99" s="363"/>
      <c r="BG99" s="363"/>
      <c r="BH99" s="363"/>
      <c r="BI99" s="363"/>
      <c r="BJ99" s="363"/>
      <c r="BK99" s="363"/>
      <c r="BL99" s="363"/>
      <c r="BM99" s="363"/>
      <c r="BN99" s="363"/>
      <c r="BO99" s="363"/>
      <c r="BP99" s="363"/>
      <c r="BQ99" s="363"/>
      <c r="BR99" s="363"/>
      <c r="BS99" s="363"/>
      <c r="BT99" s="363"/>
      <c r="BU99" s="363"/>
      <c r="BV99" s="363"/>
      <c r="BW99" s="363"/>
      <c r="BX99" s="363"/>
      <c r="BY99" s="363"/>
      <c r="BZ99" s="363"/>
      <c r="CA99" s="363"/>
      <c r="CB99" s="363"/>
      <c r="CC99" s="363"/>
      <c r="CD99" s="363"/>
      <c r="CE99" s="363"/>
      <c r="CF99" s="363"/>
      <c r="CG99" s="363"/>
      <c r="CH99" s="363"/>
      <c r="CI99" s="363"/>
      <c r="CJ99" s="363"/>
      <c r="CK99" s="363"/>
      <c r="CL99" s="363"/>
      <c r="CM99" s="363"/>
      <c r="CN99" s="363"/>
      <c r="CO99" s="363"/>
      <c r="CP99" s="363"/>
      <c r="CQ99" s="363"/>
      <c r="CR99" s="363"/>
      <c r="CS99" s="363"/>
      <c r="CT99" s="363"/>
      <c r="CU99" s="363"/>
      <c r="CV99" s="363"/>
      <c r="CW99" s="363"/>
      <c r="CX99" s="363"/>
      <c r="CY99" s="363"/>
      <c r="CZ99" s="363"/>
      <c r="DA99" s="363"/>
      <c r="DB99" s="363"/>
      <c r="DC99" s="363"/>
      <c r="DD99" s="363"/>
      <c r="DE99" s="363"/>
      <c r="DF99" s="363"/>
      <c r="DG99" s="363"/>
      <c r="DH99" s="363"/>
      <c r="DI99" s="363"/>
      <c r="DJ99" s="363"/>
      <c r="DK99" s="363"/>
      <c r="DL99" s="363"/>
      <c r="DM99" s="363"/>
      <c r="DN99" s="363"/>
      <c r="DO99" s="363"/>
      <c r="DP99" s="363"/>
      <c r="DQ99" s="363"/>
      <c r="DR99" s="363"/>
      <c r="DS99" s="363"/>
      <c r="DT99" s="363"/>
      <c r="DU99" s="363"/>
      <c r="DV99" s="363"/>
      <c r="DW99" s="363"/>
      <c r="DX99" s="363"/>
      <c r="DY99" s="363"/>
      <c r="DZ99" s="363"/>
      <c r="EA99" s="363"/>
      <c r="EB99" s="363"/>
      <c r="EC99" s="363"/>
      <c r="ED99" s="363"/>
      <c r="EE99" s="363"/>
      <c r="EF99" s="363"/>
      <c r="EG99" s="363"/>
      <c r="EH99" s="363"/>
      <c r="EI99" s="363"/>
      <c r="EJ99" s="363"/>
      <c r="EK99" s="363"/>
      <c r="EL99" s="363"/>
      <c r="EM99" s="363"/>
      <c r="EN99" s="363"/>
      <c r="EO99" s="363"/>
      <c r="EP99" s="363"/>
      <c r="EQ99" s="363"/>
      <c r="ER99" s="363"/>
      <c r="ES99" s="363"/>
      <c r="ET99" s="363"/>
      <c r="EU99" s="363"/>
      <c r="EV99" s="363"/>
      <c r="EW99" s="363"/>
      <c r="EX99" s="363"/>
      <c r="EY99" s="363"/>
      <c r="EZ99" s="363"/>
      <c r="FA99" s="363"/>
      <c r="FB99" s="363"/>
      <c r="FC99" s="363"/>
      <c r="FD99" s="363"/>
      <c r="FE99" s="363"/>
      <c r="FF99" s="363"/>
      <c r="FG99" s="363"/>
      <c r="FH99" s="363"/>
      <c r="FI99" s="363"/>
    </row>
    <row r="100" spans="1:165" ht="140.1" customHeight="1" x14ac:dyDescent="0.8">
      <c r="A100" s="43"/>
      <c r="B100" s="363" t="s">
        <v>160</v>
      </c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  <c r="AN100" s="363"/>
      <c r="AO100" s="363"/>
      <c r="AP100" s="363"/>
      <c r="AQ100" s="363"/>
      <c r="AR100" s="363"/>
      <c r="AS100" s="363"/>
      <c r="AT100" s="363"/>
      <c r="AU100" s="363"/>
      <c r="AV100" s="363"/>
      <c r="AW100" s="363"/>
      <c r="AX100" s="363"/>
      <c r="AY100" s="363"/>
      <c r="AZ100" s="363"/>
      <c r="BA100" s="363"/>
      <c r="BB100" s="363"/>
      <c r="BC100" s="363"/>
      <c r="BD100" s="363"/>
      <c r="BE100" s="363"/>
      <c r="BF100" s="363"/>
      <c r="BG100" s="363"/>
      <c r="BH100" s="363"/>
      <c r="BI100" s="363"/>
      <c r="BJ100" s="363"/>
      <c r="BK100" s="363"/>
      <c r="BL100" s="363"/>
      <c r="BM100" s="363"/>
      <c r="BN100" s="363"/>
      <c r="BO100" s="363"/>
      <c r="BP100" s="363"/>
      <c r="BQ100" s="363"/>
      <c r="BR100" s="363"/>
      <c r="BS100" s="363"/>
      <c r="BT100" s="363"/>
      <c r="BU100" s="363"/>
      <c r="BV100" s="363"/>
      <c r="BW100" s="363"/>
      <c r="BX100" s="363"/>
      <c r="BY100" s="363"/>
      <c r="BZ100" s="363"/>
      <c r="CA100" s="363"/>
      <c r="CB100" s="363"/>
      <c r="CC100" s="363"/>
      <c r="CD100" s="363"/>
      <c r="CE100" s="363"/>
      <c r="CF100" s="363"/>
      <c r="CG100" s="363"/>
      <c r="CH100" s="363"/>
      <c r="CI100" s="363"/>
      <c r="CJ100" s="363"/>
      <c r="CK100" s="363"/>
      <c r="CL100" s="363"/>
      <c r="CM100" s="363"/>
      <c r="CN100" s="363"/>
      <c r="CO100" s="363"/>
      <c r="CP100" s="363"/>
      <c r="CQ100" s="363"/>
      <c r="CR100" s="363"/>
      <c r="CS100" s="363"/>
      <c r="CT100" s="363"/>
      <c r="CU100" s="363"/>
      <c r="CV100" s="363"/>
      <c r="CW100" s="363"/>
      <c r="CX100" s="363"/>
      <c r="CY100" s="363"/>
      <c r="CZ100" s="363"/>
      <c r="DA100" s="363"/>
      <c r="DB100" s="363"/>
      <c r="DC100" s="363"/>
      <c r="DD100" s="363"/>
      <c r="DE100" s="363"/>
      <c r="DF100" s="363"/>
      <c r="DG100" s="363"/>
      <c r="DH100" s="363"/>
      <c r="DI100" s="363"/>
      <c r="DJ100" s="363"/>
      <c r="DK100" s="363"/>
      <c r="DL100" s="363"/>
      <c r="DM100" s="363"/>
      <c r="DN100" s="363"/>
      <c r="DO100" s="363"/>
      <c r="DP100" s="363"/>
      <c r="DQ100" s="363"/>
      <c r="DR100" s="363"/>
      <c r="DS100" s="363"/>
      <c r="DT100" s="363"/>
      <c r="DU100" s="363"/>
      <c r="DV100" s="363"/>
      <c r="DW100" s="363"/>
      <c r="DX100" s="363"/>
      <c r="DY100" s="363"/>
      <c r="DZ100" s="363"/>
      <c r="EA100" s="363"/>
      <c r="EB100" s="363"/>
      <c r="EC100" s="363"/>
      <c r="ED100" s="363"/>
      <c r="EE100" s="363"/>
      <c r="EF100" s="363"/>
      <c r="EG100" s="363"/>
      <c r="EH100" s="363"/>
      <c r="EI100" s="363"/>
      <c r="EJ100" s="363"/>
      <c r="EK100" s="363"/>
      <c r="EL100" s="363"/>
      <c r="EM100" s="363"/>
      <c r="EN100" s="363"/>
      <c r="EO100" s="363"/>
      <c r="EP100" s="363"/>
      <c r="EQ100" s="363"/>
      <c r="ER100" s="363"/>
      <c r="ES100" s="363"/>
      <c r="ET100" s="363"/>
      <c r="EU100" s="363"/>
      <c r="EV100" s="363"/>
      <c r="EW100" s="363"/>
      <c r="EX100" s="363"/>
      <c r="EY100" s="363"/>
      <c r="EZ100" s="363"/>
      <c r="FA100" s="363"/>
      <c r="FB100" s="363"/>
      <c r="FC100" s="363"/>
      <c r="FD100" s="363"/>
      <c r="FE100" s="363"/>
      <c r="FF100" s="363"/>
      <c r="FG100" s="363"/>
      <c r="FH100" s="363"/>
      <c r="FI100" s="363"/>
    </row>
    <row r="101" spans="1:165" ht="140.1" customHeight="1" x14ac:dyDescent="0.8">
      <c r="A101" s="43"/>
      <c r="B101" s="363" t="s">
        <v>161</v>
      </c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  <c r="AN101" s="363"/>
      <c r="AO101" s="363"/>
      <c r="AP101" s="363"/>
      <c r="AQ101" s="363"/>
      <c r="AR101" s="363"/>
      <c r="AS101" s="363"/>
      <c r="AT101" s="363"/>
      <c r="AU101" s="363"/>
      <c r="AV101" s="363"/>
      <c r="AW101" s="363"/>
      <c r="AX101" s="363"/>
      <c r="AY101" s="363"/>
      <c r="AZ101" s="363"/>
      <c r="BA101" s="363"/>
      <c r="BB101" s="363"/>
      <c r="BC101" s="363"/>
      <c r="BD101" s="363"/>
      <c r="BE101" s="363"/>
      <c r="BF101" s="363"/>
      <c r="BG101" s="363"/>
      <c r="BH101" s="363"/>
      <c r="BI101" s="363"/>
      <c r="BJ101" s="363"/>
      <c r="BK101" s="363"/>
      <c r="BL101" s="363"/>
      <c r="BM101" s="363"/>
      <c r="BN101" s="363"/>
      <c r="BO101" s="363"/>
      <c r="BP101" s="363"/>
      <c r="BQ101" s="363"/>
      <c r="BR101" s="363"/>
      <c r="BS101" s="363"/>
      <c r="BT101" s="363"/>
      <c r="BU101" s="363"/>
      <c r="BV101" s="363"/>
      <c r="BW101" s="363"/>
      <c r="BX101" s="363"/>
      <c r="BY101" s="363"/>
      <c r="BZ101" s="363"/>
      <c r="CA101" s="363"/>
      <c r="CB101" s="363"/>
      <c r="CC101" s="363"/>
      <c r="CD101" s="363"/>
      <c r="CE101" s="363"/>
      <c r="CF101" s="363"/>
      <c r="CG101" s="363"/>
      <c r="CH101" s="363"/>
      <c r="CI101" s="363"/>
      <c r="CJ101" s="363"/>
      <c r="CK101" s="363"/>
      <c r="CL101" s="363"/>
      <c r="CM101" s="363"/>
      <c r="CN101" s="363"/>
      <c r="CO101" s="363"/>
      <c r="CP101" s="363"/>
      <c r="CQ101" s="363"/>
      <c r="CR101" s="363"/>
      <c r="CS101" s="363"/>
      <c r="CT101" s="363"/>
      <c r="CU101" s="363"/>
      <c r="CV101" s="363"/>
      <c r="CW101" s="363"/>
      <c r="CX101" s="363"/>
      <c r="CY101" s="363"/>
      <c r="CZ101" s="363"/>
      <c r="DA101" s="363"/>
      <c r="DB101" s="363"/>
      <c r="DC101" s="363"/>
      <c r="DD101" s="363"/>
      <c r="DE101" s="363"/>
      <c r="DF101" s="363"/>
      <c r="DG101" s="363"/>
      <c r="DH101" s="363"/>
      <c r="DI101" s="363"/>
      <c r="DJ101" s="363"/>
      <c r="DK101" s="363"/>
      <c r="DL101" s="363"/>
      <c r="DM101" s="363"/>
      <c r="DN101" s="363"/>
      <c r="DO101" s="363"/>
      <c r="DP101" s="363"/>
      <c r="DQ101" s="363"/>
      <c r="DR101" s="363"/>
      <c r="DS101" s="363"/>
      <c r="DT101" s="363"/>
      <c r="DU101" s="363"/>
      <c r="DV101" s="363"/>
      <c r="DW101" s="363"/>
      <c r="DX101" s="363"/>
      <c r="DY101" s="363"/>
      <c r="DZ101" s="363"/>
      <c r="EA101" s="363"/>
      <c r="EB101" s="363"/>
      <c r="EC101" s="363"/>
      <c r="ED101" s="363"/>
      <c r="EE101" s="363"/>
      <c r="EF101" s="363"/>
      <c r="EG101" s="363"/>
      <c r="EH101" s="363"/>
      <c r="EI101" s="363"/>
      <c r="EJ101" s="363"/>
      <c r="EK101" s="363"/>
      <c r="EL101" s="363"/>
      <c r="EM101" s="363"/>
      <c r="EN101" s="363"/>
      <c r="EO101" s="363"/>
      <c r="EP101" s="363"/>
      <c r="EQ101" s="363"/>
      <c r="ER101" s="363"/>
      <c r="ES101" s="363"/>
      <c r="ET101" s="363"/>
      <c r="EU101" s="363"/>
      <c r="EV101" s="363"/>
      <c r="EW101" s="363"/>
      <c r="EX101" s="363"/>
      <c r="EY101" s="363"/>
      <c r="EZ101" s="363"/>
      <c r="FA101" s="363"/>
      <c r="FB101" s="363"/>
      <c r="FC101" s="363"/>
      <c r="FD101" s="363"/>
      <c r="FE101" s="363"/>
      <c r="FF101" s="363"/>
      <c r="FG101" s="363"/>
      <c r="FH101" s="363"/>
      <c r="FI101" s="363"/>
    </row>
    <row r="102" spans="1:165" ht="140.1" customHeight="1" x14ac:dyDescent="0.8">
      <c r="A102" s="43"/>
      <c r="B102" s="364" t="s">
        <v>162</v>
      </c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  <c r="AA102" s="364"/>
      <c r="AB102" s="364"/>
      <c r="AC102" s="364"/>
      <c r="AD102" s="364"/>
      <c r="AE102" s="364"/>
      <c r="AF102" s="364"/>
      <c r="AG102" s="364"/>
      <c r="AH102" s="364"/>
      <c r="AI102" s="364"/>
      <c r="AJ102" s="364"/>
      <c r="AK102" s="364"/>
      <c r="AL102" s="364"/>
      <c r="AM102" s="364"/>
      <c r="AN102" s="364"/>
      <c r="AO102" s="364"/>
      <c r="AP102" s="364"/>
      <c r="AQ102" s="364"/>
      <c r="AR102" s="364"/>
      <c r="AS102" s="364"/>
      <c r="AT102" s="364"/>
      <c r="AU102" s="364"/>
      <c r="AV102" s="364"/>
      <c r="AW102" s="364"/>
      <c r="AX102" s="364"/>
      <c r="AY102" s="364"/>
      <c r="AZ102" s="364"/>
      <c r="BA102" s="364"/>
      <c r="BB102" s="364"/>
      <c r="BC102" s="364"/>
      <c r="BD102" s="364"/>
      <c r="BE102" s="364"/>
      <c r="BF102" s="364"/>
      <c r="BG102" s="364"/>
      <c r="BH102" s="364"/>
      <c r="BI102" s="364"/>
      <c r="BJ102" s="364"/>
      <c r="BK102" s="364"/>
      <c r="BL102" s="364"/>
      <c r="BM102" s="364"/>
      <c r="BN102" s="364"/>
      <c r="BO102" s="364"/>
      <c r="BP102" s="364"/>
      <c r="BQ102" s="364"/>
      <c r="BR102" s="364"/>
      <c r="BS102" s="364"/>
      <c r="BT102" s="364"/>
      <c r="BU102" s="364"/>
      <c r="BV102" s="364"/>
      <c r="BW102" s="364"/>
      <c r="BX102" s="364"/>
      <c r="BY102" s="364"/>
      <c r="BZ102" s="364"/>
      <c r="CA102" s="364"/>
      <c r="CB102" s="364"/>
      <c r="CC102" s="364"/>
      <c r="CD102" s="364"/>
      <c r="CE102" s="364"/>
      <c r="CF102" s="364"/>
      <c r="CG102" s="364"/>
      <c r="CH102" s="364"/>
      <c r="CI102" s="364"/>
      <c r="CJ102" s="364"/>
      <c r="CK102" s="364"/>
      <c r="CL102" s="364"/>
      <c r="CM102" s="364"/>
      <c r="CN102" s="364"/>
      <c r="CO102" s="364"/>
      <c r="CP102" s="364"/>
      <c r="CQ102" s="364"/>
      <c r="CR102" s="364"/>
      <c r="CS102" s="364"/>
      <c r="CT102" s="364"/>
      <c r="CU102" s="364"/>
      <c r="CV102" s="364"/>
      <c r="CW102" s="364"/>
      <c r="CX102" s="364"/>
      <c r="CY102" s="364"/>
      <c r="CZ102" s="364"/>
      <c r="DA102" s="364"/>
      <c r="DB102" s="364"/>
      <c r="DC102" s="364"/>
      <c r="DD102" s="364"/>
      <c r="DE102" s="364"/>
      <c r="DF102" s="364"/>
      <c r="DG102" s="364"/>
      <c r="DH102" s="364"/>
      <c r="DI102" s="364"/>
      <c r="DJ102" s="364"/>
      <c r="DK102" s="364"/>
      <c r="DL102" s="364"/>
      <c r="DM102" s="364"/>
      <c r="DN102" s="364"/>
      <c r="DO102" s="364"/>
      <c r="DP102" s="364"/>
      <c r="DQ102" s="364"/>
      <c r="DR102" s="364"/>
      <c r="DS102" s="364"/>
      <c r="DT102" s="364"/>
      <c r="DU102" s="364"/>
      <c r="DV102" s="364"/>
      <c r="DW102" s="364"/>
      <c r="DX102" s="364"/>
      <c r="DY102" s="364"/>
      <c r="DZ102" s="364"/>
      <c r="EA102" s="364"/>
      <c r="EB102" s="364"/>
      <c r="EC102" s="364"/>
      <c r="ED102" s="364"/>
      <c r="EE102" s="364"/>
      <c r="EF102" s="364"/>
      <c r="EG102" s="364"/>
      <c r="EH102" s="364"/>
      <c r="EI102" s="364"/>
      <c r="EJ102" s="364"/>
      <c r="EK102" s="364"/>
      <c r="EL102" s="364"/>
      <c r="EM102" s="364"/>
      <c r="EN102" s="364"/>
      <c r="EO102" s="364"/>
      <c r="EP102" s="364"/>
      <c r="EQ102" s="364"/>
      <c r="ER102" s="364"/>
      <c r="ES102" s="364"/>
      <c r="ET102" s="364"/>
      <c r="EU102" s="364"/>
      <c r="EV102" s="364"/>
      <c r="EW102" s="364"/>
      <c r="EX102" s="364"/>
      <c r="EY102" s="364"/>
      <c r="EZ102" s="364"/>
      <c r="FA102" s="364"/>
      <c r="FB102" s="364"/>
      <c r="FC102" s="364"/>
      <c r="FD102" s="364"/>
      <c r="FE102" s="364"/>
      <c r="FF102" s="364"/>
      <c r="FG102" s="364"/>
      <c r="FH102" s="364"/>
      <c r="FI102" s="364"/>
    </row>
    <row r="103" spans="1:165" ht="82.5" customHeight="1" x14ac:dyDescent="0.8">
      <c r="A103" s="43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41"/>
      <c r="AC103" s="204"/>
      <c r="AD103" s="204"/>
      <c r="AE103" s="204"/>
      <c r="AF103" s="241"/>
      <c r="AG103" s="241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4"/>
      <c r="BJ103" s="204"/>
      <c r="BK103" s="204"/>
      <c r="BL103" s="204"/>
      <c r="BM103" s="204"/>
      <c r="BN103" s="204"/>
      <c r="BO103" s="204"/>
      <c r="BP103" s="241"/>
      <c r="BQ103" s="204"/>
      <c r="BR103" s="204"/>
      <c r="BS103" s="204"/>
      <c r="BT103" s="204"/>
      <c r="BU103" s="204"/>
      <c r="BV103" s="204"/>
      <c r="BW103" s="204"/>
      <c r="BX103" s="204"/>
      <c r="BY103" s="204"/>
      <c r="BZ103" s="204"/>
      <c r="CA103" s="204"/>
      <c r="CB103" s="204"/>
      <c r="CC103" s="204"/>
      <c r="CD103" s="204"/>
      <c r="CE103" s="204"/>
      <c r="CF103" s="204"/>
      <c r="CG103" s="204"/>
      <c r="CH103" s="204"/>
      <c r="CI103" s="204"/>
      <c r="CJ103" s="204"/>
      <c r="CK103" s="204"/>
      <c r="CL103" s="204"/>
      <c r="CM103" s="204"/>
      <c r="CN103" s="204"/>
      <c r="CO103" s="204"/>
      <c r="CP103" s="204"/>
      <c r="CQ103" s="204"/>
      <c r="CR103" s="204"/>
      <c r="CS103" s="204"/>
      <c r="CT103" s="204"/>
      <c r="CU103" s="204"/>
      <c r="CV103" s="204"/>
      <c r="CW103" s="204"/>
      <c r="CX103" s="204"/>
      <c r="CY103" s="204"/>
      <c r="CZ103" s="204"/>
      <c r="DA103" s="204"/>
      <c r="DB103" s="204"/>
      <c r="DC103" s="204"/>
      <c r="DD103" s="204"/>
      <c r="DE103" s="204"/>
      <c r="DF103" s="204"/>
      <c r="DG103" s="204"/>
      <c r="DH103" s="204"/>
      <c r="DI103" s="204"/>
      <c r="DJ103" s="204"/>
      <c r="DK103" s="204"/>
      <c r="DL103" s="204"/>
      <c r="DM103" s="204"/>
      <c r="DN103" s="204"/>
      <c r="DO103" s="204"/>
      <c r="DP103" s="204"/>
      <c r="DQ103" s="204"/>
      <c r="DR103" s="204"/>
      <c r="DS103" s="204"/>
      <c r="DT103" s="204"/>
      <c r="DU103" s="204"/>
      <c r="DV103" s="204"/>
      <c r="DW103" s="204"/>
      <c r="DX103" s="204"/>
      <c r="DY103" s="204"/>
      <c r="DZ103" s="204"/>
      <c r="EA103" s="204"/>
      <c r="EB103" s="204"/>
      <c r="EC103" s="204"/>
      <c r="ED103" s="204"/>
      <c r="EE103" s="204"/>
      <c r="EF103" s="204"/>
      <c r="EG103" s="204"/>
      <c r="EH103" s="204"/>
      <c r="EI103" s="204"/>
      <c r="EJ103" s="204"/>
      <c r="EK103" s="204"/>
      <c r="EL103" s="204"/>
      <c r="EM103" s="204"/>
      <c r="EN103" s="204"/>
      <c r="EO103" s="204"/>
      <c r="EP103" s="204"/>
      <c r="EQ103" s="204"/>
      <c r="ER103" s="204"/>
      <c r="ES103" s="204"/>
      <c r="ET103" s="204"/>
      <c r="EU103" s="204"/>
      <c r="EV103" s="204"/>
      <c r="EW103" s="204"/>
      <c r="EX103" s="48"/>
      <c r="EY103" s="48"/>
      <c r="EZ103" s="48"/>
      <c r="FA103" s="21"/>
      <c r="FB103" s="21"/>
      <c r="FC103" s="21"/>
      <c r="FD103" s="21"/>
      <c r="FE103" s="48"/>
      <c r="FF103" s="48"/>
      <c r="FG103" s="48"/>
      <c r="FH103" s="48"/>
      <c r="FI103" s="48"/>
    </row>
    <row r="104" spans="1:165" ht="120" customHeight="1" x14ac:dyDescent="0.85">
      <c r="A104" s="43"/>
      <c r="B104" s="496" t="s">
        <v>276</v>
      </c>
      <c r="C104" s="496"/>
      <c r="D104" s="496"/>
      <c r="E104" s="496"/>
      <c r="F104" s="496"/>
      <c r="G104" s="496"/>
      <c r="H104" s="496"/>
      <c r="I104" s="496"/>
      <c r="J104" s="496"/>
      <c r="K104" s="496"/>
      <c r="L104" s="496"/>
      <c r="M104" s="496"/>
      <c r="N104" s="496"/>
      <c r="O104" s="496"/>
      <c r="P104" s="496"/>
      <c r="Q104" s="496"/>
      <c r="R104" s="496"/>
      <c r="S104" s="496"/>
      <c r="T104" s="496"/>
      <c r="U104" s="496"/>
      <c r="V104" s="496"/>
      <c r="W104" s="496"/>
      <c r="X104" s="496"/>
      <c r="Y104" s="496"/>
      <c r="Z104" s="496"/>
      <c r="AA104" s="496"/>
      <c r="AB104" s="496"/>
      <c r="AC104" s="496"/>
      <c r="AD104" s="496"/>
      <c r="AE104" s="496"/>
      <c r="AF104" s="851" t="s">
        <v>105</v>
      </c>
      <c r="AG104" s="852"/>
      <c r="AH104" s="852"/>
      <c r="AI104" s="852"/>
      <c r="AJ104" s="852"/>
      <c r="AK104" s="852"/>
      <c r="AL104" s="852"/>
      <c r="AM104" s="852"/>
      <c r="AN104" s="852"/>
      <c r="AO104" s="853"/>
      <c r="AP104" s="496" t="s">
        <v>106</v>
      </c>
      <c r="AQ104" s="496"/>
      <c r="AR104" s="496"/>
      <c r="AS104" s="496"/>
      <c r="AT104" s="496"/>
      <c r="AU104" s="496"/>
      <c r="AV104" s="496"/>
      <c r="AW104" s="496"/>
      <c r="AX104" s="383" t="s">
        <v>107</v>
      </c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4"/>
      <c r="CA104" s="384"/>
      <c r="CB104" s="384"/>
      <c r="CC104" s="384"/>
      <c r="CD104" s="384"/>
      <c r="CE104" s="384"/>
      <c r="CF104" s="384"/>
      <c r="CG104" s="384"/>
      <c r="CH104" s="384"/>
      <c r="CI104" s="384"/>
      <c r="CJ104" s="384"/>
      <c r="CK104" s="384"/>
      <c r="CL104" s="385"/>
      <c r="CM104" s="50"/>
      <c r="CN104" s="50"/>
      <c r="CO104" s="50"/>
      <c r="CP104" s="50"/>
      <c r="CQ104" s="50"/>
      <c r="CR104" s="50"/>
      <c r="CS104" s="386" t="s">
        <v>343</v>
      </c>
      <c r="CT104" s="387"/>
      <c r="CU104" s="387"/>
      <c r="CV104" s="387"/>
      <c r="CW104" s="387"/>
      <c r="CX104" s="387"/>
      <c r="CY104" s="387"/>
      <c r="CZ104" s="387"/>
      <c r="DA104" s="387"/>
      <c r="DB104" s="387"/>
      <c r="DC104" s="387"/>
      <c r="DD104" s="387"/>
      <c r="DE104" s="387"/>
      <c r="DF104" s="387"/>
      <c r="DG104" s="387"/>
      <c r="DH104" s="387"/>
      <c r="DI104" s="387"/>
      <c r="DJ104" s="387"/>
      <c r="DK104" s="387"/>
      <c r="DL104" s="387"/>
      <c r="DM104" s="387"/>
      <c r="DN104" s="387"/>
      <c r="DO104" s="387"/>
      <c r="DP104" s="387"/>
      <c r="DQ104" s="387"/>
      <c r="DR104" s="387"/>
      <c r="DS104" s="387"/>
      <c r="DT104" s="387"/>
      <c r="DU104" s="387"/>
      <c r="DV104" s="387"/>
      <c r="DW104" s="387"/>
      <c r="DX104" s="387"/>
      <c r="DY104" s="387"/>
      <c r="DZ104" s="387"/>
      <c r="EA104" s="387"/>
      <c r="EB104" s="387"/>
      <c r="EC104" s="387"/>
      <c r="ED104" s="387"/>
      <c r="EE104" s="387"/>
      <c r="EF104" s="387"/>
      <c r="EG104" s="387"/>
      <c r="EH104" s="387"/>
      <c r="EI104" s="387"/>
      <c r="EJ104" s="387"/>
      <c r="EK104" s="387"/>
      <c r="EL104" s="387"/>
      <c r="EM104" s="387"/>
      <c r="EN104" s="387"/>
      <c r="EO104" s="387"/>
      <c r="EP104" s="387"/>
      <c r="EQ104" s="388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</row>
    <row r="105" spans="1:165" ht="120" customHeight="1" x14ac:dyDescent="0.85">
      <c r="A105" s="43"/>
      <c r="B105" s="849" t="s">
        <v>108</v>
      </c>
      <c r="C105" s="849"/>
      <c r="D105" s="849"/>
      <c r="E105" s="849"/>
      <c r="F105" s="849"/>
      <c r="G105" s="849"/>
      <c r="H105" s="849"/>
      <c r="I105" s="849"/>
      <c r="J105" s="849"/>
      <c r="K105" s="849"/>
      <c r="L105" s="849"/>
      <c r="M105" s="849"/>
      <c r="N105" s="849"/>
      <c r="O105" s="849"/>
      <c r="P105" s="849"/>
      <c r="Q105" s="849"/>
      <c r="R105" s="849"/>
      <c r="S105" s="849"/>
      <c r="T105" s="849"/>
      <c r="U105" s="849"/>
      <c r="V105" s="849"/>
      <c r="W105" s="849"/>
      <c r="X105" s="849"/>
      <c r="Y105" s="849"/>
      <c r="Z105" s="849"/>
      <c r="AA105" s="849"/>
      <c r="AB105" s="849"/>
      <c r="AC105" s="849"/>
      <c r="AD105" s="849"/>
      <c r="AE105" s="849"/>
      <c r="AF105" s="854">
        <f>HU21</f>
        <v>126</v>
      </c>
      <c r="AG105" s="855"/>
      <c r="AH105" s="855"/>
      <c r="AI105" s="855"/>
      <c r="AJ105" s="855"/>
      <c r="AK105" s="855"/>
      <c r="AL105" s="855"/>
      <c r="AM105" s="855"/>
      <c r="AN105" s="855"/>
      <c r="AO105" s="856"/>
      <c r="AP105" s="688" t="s">
        <v>168</v>
      </c>
      <c r="AQ105" s="688"/>
      <c r="AR105" s="688"/>
      <c r="AS105" s="688"/>
      <c r="AT105" s="688"/>
      <c r="AU105" s="688"/>
      <c r="AV105" s="688"/>
      <c r="AW105" s="688"/>
      <c r="AX105" s="386" t="s">
        <v>126</v>
      </c>
      <c r="AY105" s="387"/>
      <c r="AZ105" s="387"/>
      <c r="BA105" s="387"/>
      <c r="BB105" s="387"/>
      <c r="BC105" s="387"/>
      <c r="BD105" s="387"/>
      <c r="BE105" s="387"/>
      <c r="BF105" s="387"/>
      <c r="BG105" s="387"/>
      <c r="BH105" s="387"/>
      <c r="BI105" s="387"/>
      <c r="BJ105" s="387"/>
      <c r="BK105" s="387"/>
      <c r="BL105" s="387"/>
      <c r="BM105" s="387"/>
      <c r="BN105" s="387"/>
      <c r="BO105" s="387"/>
      <c r="BP105" s="387"/>
      <c r="BQ105" s="387"/>
      <c r="BR105" s="387"/>
      <c r="BS105" s="387"/>
      <c r="BT105" s="387"/>
      <c r="BU105" s="387"/>
      <c r="BV105" s="387"/>
      <c r="BW105" s="387"/>
      <c r="BX105" s="387"/>
      <c r="BY105" s="387"/>
      <c r="BZ105" s="387"/>
      <c r="CA105" s="387"/>
      <c r="CB105" s="387"/>
      <c r="CC105" s="387"/>
      <c r="CD105" s="387"/>
      <c r="CE105" s="387"/>
      <c r="CF105" s="387"/>
      <c r="CG105" s="387"/>
      <c r="CH105" s="387"/>
      <c r="CI105" s="387"/>
      <c r="CJ105" s="387"/>
      <c r="CK105" s="206"/>
      <c r="CL105" s="207"/>
      <c r="CM105" s="50"/>
      <c r="CN105" s="50"/>
      <c r="CO105" s="50"/>
      <c r="CP105" s="50"/>
      <c r="CQ105" s="50"/>
      <c r="CR105" s="50"/>
      <c r="CS105" s="389"/>
      <c r="CT105" s="850"/>
      <c r="CU105" s="850"/>
      <c r="CV105" s="850"/>
      <c r="CW105" s="850"/>
      <c r="CX105" s="850"/>
      <c r="CY105" s="850"/>
      <c r="CZ105" s="850"/>
      <c r="DA105" s="850"/>
      <c r="DB105" s="850"/>
      <c r="DC105" s="850"/>
      <c r="DD105" s="850"/>
      <c r="DE105" s="850"/>
      <c r="DF105" s="850"/>
      <c r="DG105" s="850"/>
      <c r="DH105" s="850"/>
      <c r="DI105" s="850"/>
      <c r="DJ105" s="850"/>
      <c r="DK105" s="850"/>
      <c r="DL105" s="850"/>
      <c r="DM105" s="850"/>
      <c r="DN105" s="850"/>
      <c r="DO105" s="850"/>
      <c r="DP105" s="850"/>
      <c r="DQ105" s="850"/>
      <c r="DR105" s="850"/>
      <c r="DS105" s="850"/>
      <c r="DT105" s="850"/>
      <c r="DU105" s="850"/>
      <c r="DV105" s="850"/>
      <c r="DW105" s="850"/>
      <c r="DX105" s="850"/>
      <c r="DY105" s="850"/>
      <c r="DZ105" s="850"/>
      <c r="EA105" s="850"/>
      <c r="EB105" s="850"/>
      <c r="EC105" s="850"/>
      <c r="ED105" s="850"/>
      <c r="EE105" s="850"/>
      <c r="EF105" s="850"/>
      <c r="EG105" s="850"/>
      <c r="EH105" s="850"/>
      <c r="EI105" s="850"/>
      <c r="EJ105" s="850"/>
      <c r="EK105" s="850"/>
      <c r="EL105" s="850"/>
      <c r="EM105" s="850"/>
      <c r="EN105" s="850"/>
      <c r="EO105" s="850"/>
      <c r="EP105" s="850"/>
      <c r="EQ105" s="391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</row>
    <row r="106" spans="1:165" ht="120" customHeight="1" x14ac:dyDescent="0.85">
      <c r="A106" s="43"/>
      <c r="B106" s="849" t="s">
        <v>167</v>
      </c>
      <c r="C106" s="849"/>
      <c r="D106" s="849"/>
      <c r="E106" s="849"/>
      <c r="F106" s="849"/>
      <c r="G106" s="849"/>
      <c r="H106" s="849"/>
      <c r="I106" s="849"/>
      <c r="J106" s="849"/>
      <c r="K106" s="849"/>
      <c r="L106" s="849"/>
      <c r="M106" s="849"/>
      <c r="N106" s="849"/>
      <c r="O106" s="849"/>
      <c r="P106" s="849"/>
      <c r="Q106" s="849"/>
      <c r="R106" s="849"/>
      <c r="S106" s="849"/>
      <c r="T106" s="849"/>
      <c r="U106" s="849"/>
      <c r="V106" s="849"/>
      <c r="W106" s="849"/>
      <c r="X106" s="849"/>
      <c r="Y106" s="849"/>
      <c r="Z106" s="849"/>
      <c r="AA106" s="849"/>
      <c r="AB106" s="849"/>
      <c r="AC106" s="849"/>
      <c r="AD106" s="849"/>
      <c r="AE106" s="849"/>
      <c r="AF106" s="854">
        <f>IA21</f>
        <v>11</v>
      </c>
      <c r="AG106" s="855"/>
      <c r="AH106" s="855"/>
      <c r="AI106" s="855"/>
      <c r="AJ106" s="855"/>
      <c r="AK106" s="855"/>
      <c r="AL106" s="855"/>
      <c r="AM106" s="855"/>
      <c r="AN106" s="855"/>
      <c r="AO106" s="856"/>
      <c r="AP106" s="688" t="s">
        <v>183</v>
      </c>
      <c r="AQ106" s="688"/>
      <c r="AR106" s="688"/>
      <c r="AS106" s="688"/>
      <c r="AT106" s="688"/>
      <c r="AU106" s="688"/>
      <c r="AV106" s="688"/>
      <c r="AW106" s="688"/>
      <c r="AX106" s="389"/>
      <c r="AY106" s="390"/>
      <c r="AZ106" s="390"/>
      <c r="BA106" s="390"/>
      <c r="BB106" s="390"/>
      <c r="BC106" s="390"/>
      <c r="BD106" s="390"/>
      <c r="BE106" s="390"/>
      <c r="BF106" s="390"/>
      <c r="BG106" s="390"/>
      <c r="BH106" s="390"/>
      <c r="BI106" s="390"/>
      <c r="BJ106" s="390"/>
      <c r="BK106" s="390"/>
      <c r="BL106" s="390"/>
      <c r="BM106" s="390"/>
      <c r="BN106" s="390"/>
      <c r="BO106" s="390"/>
      <c r="BP106" s="390"/>
      <c r="BQ106" s="390"/>
      <c r="BR106" s="390"/>
      <c r="BS106" s="390"/>
      <c r="BT106" s="390"/>
      <c r="BU106" s="390"/>
      <c r="BV106" s="390"/>
      <c r="BW106" s="390"/>
      <c r="BX106" s="390"/>
      <c r="BY106" s="390"/>
      <c r="BZ106" s="390"/>
      <c r="CA106" s="390"/>
      <c r="CB106" s="390"/>
      <c r="CC106" s="390"/>
      <c r="CD106" s="390"/>
      <c r="CE106" s="390"/>
      <c r="CF106" s="390"/>
      <c r="CG106" s="390"/>
      <c r="CH106" s="390"/>
      <c r="CI106" s="390"/>
      <c r="CJ106" s="390"/>
      <c r="CK106" s="208"/>
      <c r="CL106" s="209"/>
      <c r="CM106" s="50"/>
      <c r="CN106" s="50"/>
      <c r="CO106" s="50"/>
      <c r="CP106" s="50"/>
      <c r="CQ106" s="50"/>
      <c r="CR106" s="50"/>
      <c r="CS106" s="389"/>
      <c r="CT106" s="850"/>
      <c r="CU106" s="850"/>
      <c r="CV106" s="850"/>
      <c r="CW106" s="850"/>
      <c r="CX106" s="850"/>
      <c r="CY106" s="850"/>
      <c r="CZ106" s="850"/>
      <c r="DA106" s="850"/>
      <c r="DB106" s="850"/>
      <c r="DC106" s="850"/>
      <c r="DD106" s="850"/>
      <c r="DE106" s="850"/>
      <c r="DF106" s="850"/>
      <c r="DG106" s="850"/>
      <c r="DH106" s="850"/>
      <c r="DI106" s="850"/>
      <c r="DJ106" s="850"/>
      <c r="DK106" s="850"/>
      <c r="DL106" s="850"/>
      <c r="DM106" s="850"/>
      <c r="DN106" s="850"/>
      <c r="DO106" s="850"/>
      <c r="DP106" s="850"/>
      <c r="DQ106" s="850"/>
      <c r="DR106" s="850"/>
      <c r="DS106" s="850"/>
      <c r="DT106" s="850"/>
      <c r="DU106" s="850"/>
      <c r="DV106" s="850"/>
      <c r="DW106" s="850"/>
      <c r="DX106" s="850"/>
      <c r="DY106" s="850"/>
      <c r="DZ106" s="850"/>
      <c r="EA106" s="850"/>
      <c r="EB106" s="850"/>
      <c r="EC106" s="850"/>
      <c r="ED106" s="850"/>
      <c r="EE106" s="850"/>
      <c r="EF106" s="850"/>
      <c r="EG106" s="850"/>
      <c r="EH106" s="850"/>
      <c r="EI106" s="850"/>
      <c r="EJ106" s="850"/>
      <c r="EK106" s="850"/>
      <c r="EL106" s="850"/>
      <c r="EM106" s="850"/>
      <c r="EN106" s="850"/>
      <c r="EO106" s="850"/>
      <c r="EP106" s="850"/>
      <c r="EQ106" s="391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</row>
    <row r="107" spans="1:165" ht="120" customHeight="1" x14ac:dyDescent="0.85">
      <c r="A107" s="43"/>
      <c r="B107" s="849" t="s">
        <v>177</v>
      </c>
      <c r="C107" s="849"/>
      <c r="D107" s="849"/>
      <c r="E107" s="849"/>
      <c r="F107" s="849"/>
      <c r="G107" s="849"/>
      <c r="H107" s="849"/>
      <c r="I107" s="849"/>
      <c r="J107" s="849"/>
      <c r="K107" s="849"/>
      <c r="L107" s="849"/>
      <c r="M107" s="849"/>
      <c r="N107" s="849"/>
      <c r="O107" s="849"/>
      <c r="P107" s="849"/>
      <c r="Q107" s="849"/>
      <c r="R107" s="849"/>
      <c r="S107" s="849"/>
      <c r="T107" s="849"/>
      <c r="U107" s="849"/>
      <c r="V107" s="849"/>
      <c r="W107" s="849"/>
      <c r="X107" s="849"/>
      <c r="Y107" s="849"/>
      <c r="Z107" s="849"/>
      <c r="AA107" s="849"/>
      <c r="AB107" s="849"/>
      <c r="AC107" s="849"/>
      <c r="AD107" s="849"/>
      <c r="AE107" s="849"/>
      <c r="AF107" s="854" t="s">
        <v>178</v>
      </c>
      <c r="AG107" s="855"/>
      <c r="AH107" s="855"/>
      <c r="AI107" s="855"/>
      <c r="AJ107" s="855"/>
      <c r="AK107" s="855"/>
      <c r="AL107" s="855"/>
      <c r="AM107" s="855"/>
      <c r="AN107" s="855"/>
      <c r="AO107" s="856"/>
      <c r="AP107" s="688" t="s">
        <v>352</v>
      </c>
      <c r="AQ107" s="688"/>
      <c r="AR107" s="688"/>
      <c r="AS107" s="688"/>
      <c r="AT107" s="688"/>
      <c r="AU107" s="688"/>
      <c r="AV107" s="688"/>
      <c r="AW107" s="688"/>
      <c r="AX107" s="389"/>
      <c r="AY107" s="390"/>
      <c r="AZ107" s="390"/>
      <c r="BA107" s="390"/>
      <c r="BB107" s="390"/>
      <c r="BC107" s="390"/>
      <c r="BD107" s="390"/>
      <c r="BE107" s="390"/>
      <c r="BF107" s="390"/>
      <c r="BG107" s="390"/>
      <c r="BH107" s="390"/>
      <c r="BI107" s="390"/>
      <c r="BJ107" s="390"/>
      <c r="BK107" s="390"/>
      <c r="BL107" s="390"/>
      <c r="BM107" s="390"/>
      <c r="BN107" s="390"/>
      <c r="BO107" s="390"/>
      <c r="BP107" s="390"/>
      <c r="BQ107" s="390"/>
      <c r="BR107" s="390"/>
      <c r="BS107" s="390"/>
      <c r="BT107" s="390"/>
      <c r="BU107" s="390"/>
      <c r="BV107" s="390"/>
      <c r="BW107" s="390"/>
      <c r="BX107" s="390"/>
      <c r="BY107" s="390"/>
      <c r="BZ107" s="390"/>
      <c r="CA107" s="390"/>
      <c r="CB107" s="390"/>
      <c r="CC107" s="390"/>
      <c r="CD107" s="390"/>
      <c r="CE107" s="390"/>
      <c r="CF107" s="390"/>
      <c r="CG107" s="390"/>
      <c r="CH107" s="390"/>
      <c r="CI107" s="390"/>
      <c r="CJ107" s="390"/>
      <c r="CK107" s="208"/>
      <c r="CL107" s="209"/>
      <c r="CM107" s="50"/>
      <c r="CN107" s="50"/>
      <c r="CO107" s="50"/>
      <c r="CP107" s="50"/>
      <c r="CQ107" s="50"/>
      <c r="CR107" s="50"/>
      <c r="CS107" s="389"/>
      <c r="CT107" s="850"/>
      <c r="CU107" s="850"/>
      <c r="CV107" s="850"/>
      <c r="CW107" s="850"/>
      <c r="CX107" s="850"/>
      <c r="CY107" s="850"/>
      <c r="CZ107" s="850"/>
      <c r="DA107" s="850"/>
      <c r="DB107" s="850"/>
      <c r="DC107" s="850"/>
      <c r="DD107" s="850"/>
      <c r="DE107" s="850"/>
      <c r="DF107" s="850"/>
      <c r="DG107" s="850"/>
      <c r="DH107" s="850"/>
      <c r="DI107" s="850"/>
      <c r="DJ107" s="850"/>
      <c r="DK107" s="850"/>
      <c r="DL107" s="850"/>
      <c r="DM107" s="850"/>
      <c r="DN107" s="850"/>
      <c r="DO107" s="850"/>
      <c r="DP107" s="850"/>
      <c r="DQ107" s="850"/>
      <c r="DR107" s="850"/>
      <c r="DS107" s="850"/>
      <c r="DT107" s="850"/>
      <c r="DU107" s="850"/>
      <c r="DV107" s="850"/>
      <c r="DW107" s="850"/>
      <c r="DX107" s="850"/>
      <c r="DY107" s="850"/>
      <c r="DZ107" s="850"/>
      <c r="EA107" s="850"/>
      <c r="EB107" s="850"/>
      <c r="EC107" s="850"/>
      <c r="ED107" s="850"/>
      <c r="EE107" s="850"/>
      <c r="EF107" s="850"/>
      <c r="EG107" s="850"/>
      <c r="EH107" s="850"/>
      <c r="EI107" s="850"/>
      <c r="EJ107" s="850"/>
      <c r="EK107" s="850"/>
      <c r="EL107" s="850"/>
      <c r="EM107" s="850"/>
      <c r="EN107" s="850"/>
      <c r="EO107" s="850"/>
      <c r="EP107" s="850"/>
      <c r="EQ107" s="391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</row>
    <row r="108" spans="1:165" ht="120" customHeight="1" x14ac:dyDescent="0.85">
      <c r="A108" s="43"/>
      <c r="B108" s="849" t="s">
        <v>169</v>
      </c>
      <c r="C108" s="849"/>
      <c r="D108" s="849"/>
      <c r="E108" s="849"/>
      <c r="F108" s="849"/>
      <c r="G108" s="849"/>
      <c r="H108" s="849"/>
      <c r="I108" s="849"/>
      <c r="J108" s="849"/>
      <c r="K108" s="849"/>
      <c r="L108" s="849"/>
      <c r="M108" s="849"/>
      <c r="N108" s="849"/>
      <c r="O108" s="849"/>
      <c r="P108" s="849"/>
      <c r="Q108" s="849"/>
      <c r="R108" s="849"/>
      <c r="S108" s="849"/>
      <c r="T108" s="849"/>
      <c r="U108" s="849"/>
      <c r="V108" s="849"/>
      <c r="W108" s="849"/>
      <c r="X108" s="849"/>
      <c r="Y108" s="849"/>
      <c r="Z108" s="849"/>
      <c r="AA108" s="849"/>
      <c r="AB108" s="849"/>
      <c r="AC108" s="849"/>
      <c r="AD108" s="849"/>
      <c r="AE108" s="849"/>
      <c r="AF108" s="854">
        <f>HW21</f>
        <v>17</v>
      </c>
      <c r="AG108" s="855"/>
      <c r="AH108" s="855"/>
      <c r="AI108" s="855"/>
      <c r="AJ108" s="855"/>
      <c r="AK108" s="855"/>
      <c r="AL108" s="855"/>
      <c r="AM108" s="855"/>
      <c r="AN108" s="855"/>
      <c r="AO108" s="856"/>
      <c r="AP108" s="688" t="s">
        <v>168</v>
      </c>
      <c r="AQ108" s="688"/>
      <c r="AR108" s="688"/>
      <c r="AS108" s="688"/>
      <c r="AT108" s="688"/>
      <c r="AU108" s="688"/>
      <c r="AV108" s="688"/>
      <c r="AW108" s="688"/>
      <c r="AX108" s="389"/>
      <c r="AY108" s="390"/>
      <c r="AZ108" s="390"/>
      <c r="BA108" s="390"/>
      <c r="BB108" s="390"/>
      <c r="BC108" s="390"/>
      <c r="BD108" s="390"/>
      <c r="BE108" s="390"/>
      <c r="BF108" s="390"/>
      <c r="BG108" s="390"/>
      <c r="BH108" s="390"/>
      <c r="BI108" s="390"/>
      <c r="BJ108" s="390"/>
      <c r="BK108" s="390"/>
      <c r="BL108" s="390"/>
      <c r="BM108" s="390"/>
      <c r="BN108" s="390"/>
      <c r="BO108" s="390"/>
      <c r="BP108" s="390"/>
      <c r="BQ108" s="390"/>
      <c r="BR108" s="390"/>
      <c r="BS108" s="390"/>
      <c r="BT108" s="390"/>
      <c r="BU108" s="390"/>
      <c r="BV108" s="390"/>
      <c r="BW108" s="390"/>
      <c r="BX108" s="390"/>
      <c r="BY108" s="390"/>
      <c r="BZ108" s="390"/>
      <c r="CA108" s="390"/>
      <c r="CB108" s="390"/>
      <c r="CC108" s="390"/>
      <c r="CD108" s="390"/>
      <c r="CE108" s="390"/>
      <c r="CF108" s="390"/>
      <c r="CG108" s="390"/>
      <c r="CH108" s="390"/>
      <c r="CI108" s="390"/>
      <c r="CJ108" s="390"/>
      <c r="CK108" s="208"/>
      <c r="CL108" s="209"/>
      <c r="CM108" s="50"/>
      <c r="CN108" s="50"/>
      <c r="CO108" s="50"/>
      <c r="CP108" s="50"/>
      <c r="CQ108" s="50"/>
      <c r="CR108" s="50"/>
      <c r="CS108" s="389"/>
      <c r="CT108" s="850"/>
      <c r="CU108" s="850"/>
      <c r="CV108" s="850"/>
      <c r="CW108" s="850"/>
      <c r="CX108" s="850"/>
      <c r="CY108" s="850"/>
      <c r="CZ108" s="850"/>
      <c r="DA108" s="850"/>
      <c r="DB108" s="850"/>
      <c r="DC108" s="850"/>
      <c r="DD108" s="850"/>
      <c r="DE108" s="850"/>
      <c r="DF108" s="850"/>
      <c r="DG108" s="850"/>
      <c r="DH108" s="850"/>
      <c r="DI108" s="850"/>
      <c r="DJ108" s="850"/>
      <c r="DK108" s="850"/>
      <c r="DL108" s="850"/>
      <c r="DM108" s="850"/>
      <c r="DN108" s="850"/>
      <c r="DO108" s="850"/>
      <c r="DP108" s="850"/>
      <c r="DQ108" s="850"/>
      <c r="DR108" s="850"/>
      <c r="DS108" s="850"/>
      <c r="DT108" s="850"/>
      <c r="DU108" s="850"/>
      <c r="DV108" s="850"/>
      <c r="DW108" s="850"/>
      <c r="DX108" s="850"/>
      <c r="DY108" s="850"/>
      <c r="DZ108" s="850"/>
      <c r="EA108" s="850"/>
      <c r="EB108" s="850"/>
      <c r="EC108" s="850"/>
      <c r="ED108" s="850"/>
      <c r="EE108" s="850"/>
      <c r="EF108" s="850"/>
      <c r="EG108" s="850"/>
      <c r="EH108" s="850"/>
      <c r="EI108" s="850"/>
      <c r="EJ108" s="850"/>
      <c r="EK108" s="850"/>
      <c r="EL108" s="850"/>
      <c r="EM108" s="850"/>
      <c r="EN108" s="850"/>
      <c r="EO108" s="850"/>
      <c r="EP108" s="850"/>
      <c r="EQ108" s="391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</row>
    <row r="109" spans="1:165" ht="120" customHeight="1" x14ac:dyDescent="0.85">
      <c r="A109" s="43"/>
      <c r="B109" s="849" t="s">
        <v>170</v>
      </c>
      <c r="C109" s="849"/>
      <c r="D109" s="849"/>
      <c r="E109" s="849"/>
      <c r="F109" s="849"/>
      <c r="G109" s="849"/>
      <c r="H109" s="849"/>
      <c r="I109" s="849"/>
      <c r="J109" s="849"/>
      <c r="K109" s="849"/>
      <c r="L109" s="849"/>
      <c r="M109" s="849"/>
      <c r="N109" s="849"/>
      <c r="O109" s="849"/>
      <c r="P109" s="849"/>
      <c r="Q109" s="849"/>
      <c r="R109" s="849"/>
      <c r="S109" s="849"/>
      <c r="T109" s="849"/>
      <c r="U109" s="849"/>
      <c r="V109" s="849"/>
      <c r="W109" s="849"/>
      <c r="X109" s="849"/>
      <c r="Y109" s="849"/>
      <c r="Z109" s="849"/>
      <c r="AA109" s="849"/>
      <c r="AB109" s="849"/>
      <c r="AC109" s="849"/>
      <c r="AD109" s="849"/>
      <c r="AE109" s="849"/>
      <c r="AF109" s="854">
        <f>IC21</f>
        <v>2</v>
      </c>
      <c r="AG109" s="855"/>
      <c r="AH109" s="855"/>
      <c r="AI109" s="855"/>
      <c r="AJ109" s="855"/>
      <c r="AK109" s="855"/>
      <c r="AL109" s="855"/>
      <c r="AM109" s="855"/>
      <c r="AN109" s="855"/>
      <c r="AO109" s="856"/>
      <c r="AP109" s="688" t="s">
        <v>172</v>
      </c>
      <c r="AQ109" s="688"/>
      <c r="AR109" s="688"/>
      <c r="AS109" s="688"/>
      <c r="AT109" s="688"/>
      <c r="AU109" s="688"/>
      <c r="AV109" s="688"/>
      <c r="AW109" s="688"/>
      <c r="AX109" s="389"/>
      <c r="AY109" s="390"/>
      <c r="AZ109" s="390"/>
      <c r="BA109" s="390"/>
      <c r="BB109" s="390"/>
      <c r="BC109" s="390"/>
      <c r="BD109" s="390"/>
      <c r="BE109" s="390"/>
      <c r="BF109" s="390"/>
      <c r="BG109" s="390"/>
      <c r="BH109" s="390"/>
      <c r="BI109" s="390"/>
      <c r="BJ109" s="390"/>
      <c r="BK109" s="390"/>
      <c r="BL109" s="390"/>
      <c r="BM109" s="390"/>
      <c r="BN109" s="390"/>
      <c r="BO109" s="390"/>
      <c r="BP109" s="390"/>
      <c r="BQ109" s="390"/>
      <c r="BR109" s="390"/>
      <c r="BS109" s="390"/>
      <c r="BT109" s="390"/>
      <c r="BU109" s="390"/>
      <c r="BV109" s="390"/>
      <c r="BW109" s="390"/>
      <c r="BX109" s="390"/>
      <c r="BY109" s="390"/>
      <c r="BZ109" s="390"/>
      <c r="CA109" s="390"/>
      <c r="CB109" s="390"/>
      <c r="CC109" s="390"/>
      <c r="CD109" s="390"/>
      <c r="CE109" s="390"/>
      <c r="CF109" s="390"/>
      <c r="CG109" s="390"/>
      <c r="CH109" s="390"/>
      <c r="CI109" s="390"/>
      <c r="CJ109" s="390"/>
      <c r="CK109" s="208"/>
      <c r="CL109" s="209"/>
      <c r="CM109" s="50"/>
      <c r="CN109" s="50"/>
      <c r="CO109" s="50"/>
      <c r="CP109" s="50"/>
      <c r="CQ109" s="50"/>
      <c r="CR109" s="50"/>
      <c r="CS109" s="389"/>
      <c r="CT109" s="850"/>
      <c r="CU109" s="850"/>
      <c r="CV109" s="850"/>
      <c r="CW109" s="850"/>
      <c r="CX109" s="850"/>
      <c r="CY109" s="850"/>
      <c r="CZ109" s="850"/>
      <c r="DA109" s="850"/>
      <c r="DB109" s="850"/>
      <c r="DC109" s="850"/>
      <c r="DD109" s="850"/>
      <c r="DE109" s="850"/>
      <c r="DF109" s="850"/>
      <c r="DG109" s="850"/>
      <c r="DH109" s="850"/>
      <c r="DI109" s="850"/>
      <c r="DJ109" s="850"/>
      <c r="DK109" s="850"/>
      <c r="DL109" s="850"/>
      <c r="DM109" s="850"/>
      <c r="DN109" s="850"/>
      <c r="DO109" s="850"/>
      <c r="DP109" s="850"/>
      <c r="DQ109" s="850"/>
      <c r="DR109" s="850"/>
      <c r="DS109" s="850"/>
      <c r="DT109" s="850"/>
      <c r="DU109" s="850"/>
      <c r="DV109" s="850"/>
      <c r="DW109" s="850"/>
      <c r="DX109" s="850"/>
      <c r="DY109" s="850"/>
      <c r="DZ109" s="850"/>
      <c r="EA109" s="850"/>
      <c r="EB109" s="850"/>
      <c r="EC109" s="850"/>
      <c r="ED109" s="850"/>
      <c r="EE109" s="850"/>
      <c r="EF109" s="850"/>
      <c r="EG109" s="850"/>
      <c r="EH109" s="850"/>
      <c r="EI109" s="850"/>
      <c r="EJ109" s="850"/>
      <c r="EK109" s="850"/>
      <c r="EL109" s="850"/>
      <c r="EM109" s="850"/>
      <c r="EN109" s="850"/>
      <c r="EO109" s="850"/>
      <c r="EP109" s="850"/>
      <c r="EQ109" s="391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</row>
    <row r="110" spans="1:165" ht="120" customHeight="1" x14ac:dyDescent="0.85">
      <c r="A110" s="43"/>
      <c r="B110" s="849" t="s">
        <v>173</v>
      </c>
      <c r="C110" s="849"/>
      <c r="D110" s="849"/>
      <c r="E110" s="849"/>
      <c r="F110" s="849"/>
      <c r="G110" s="849"/>
      <c r="H110" s="849"/>
      <c r="I110" s="849"/>
      <c r="J110" s="849"/>
      <c r="K110" s="849"/>
      <c r="L110" s="849"/>
      <c r="M110" s="849"/>
      <c r="N110" s="849"/>
      <c r="O110" s="849"/>
      <c r="P110" s="849"/>
      <c r="Q110" s="849"/>
      <c r="R110" s="849"/>
      <c r="S110" s="849"/>
      <c r="T110" s="849"/>
      <c r="U110" s="849"/>
      <c r="V110" s="849"/>
      <c r="W110" s="849"/>
      <c r="X110" s="849"/>
      <c r="Y110" s="849"/>
      <c r="Z110" s="849"/>
      <c r="AA110" s="849"/>
      <c r="AB110" s="849"/>
      <c r="AC110" s="849"/>
      <c r="AD110" s="849"/>
      <c r="AE110" s="849"/>
      <c r="AF110" s="854">
        <f>IE21</f>
        <v>72</v>
      </c>
      <c r="AG110" s="855"/>
      <c r="AH110" s="855"/>
      <c r="AI110" s="855"/>
      <c r="AJ110" s="855"/>
      <c r="AK110" s="855"/>
      <c r="AL110" s="855"/>
      <c r="AM110" s="855"/>
      <c r="AN110" s="855"/>
      <c r="AO110" s="856"/>
      <c r="AP110" s="688" t="s">
        <v>168</v>
      </c>
      <c r="AQ110" s="688"/>
      <c r="AR110" s="688"/>
      <c r="AS110" s="688"/>
      <c r="AT110" s="688"/>
      <c r="AU110" s="688"/>
      <c r="AV110" s="688"/>
      <c r="AW110" s="688"/>
      <c r="AX110" s="389"/>
      <c r="AY110" s="390"/>
      <c r="AZ110" s="390"/>
      <c r="BA110" s="390"/>
      <c r="BB110" s="390"/>
      <c r="BC110" s="390"/>
      <c r="BD110" s="390"/>
      <c r="BE110" s="390"/>
      <c r="BF110" s="390"/>
      <c r="BG110" s="390"/>
      <c r="BH110" s="390"/>
      <c r="BI110" s="390"/>
      <c r="BJ110" s="390"/>
      <c r="BK110" s="390"/>
      <c r="BL110" s="390"/>
      <c r="BM110" s="390"/>
      <c r="BN110" s="390"/>
      <c r="BO110" s="390"/>
      <c r="BP110" s="390"/>
      <c r="BQ110" s="390"/>
      <c r="BR110" s="390"/>
      <c r="BS110" s="390"/>
      <c r="BT110" s="390"/>
      <c r="BU110" s="390"/>
      <c r="BV110" s="390"/>
      <c r="BW110" s="390"/>
      <c r="BX110" s="390"/>
      <c r="BY110" s="390"/>
      <c r="BZ110" s="390"/>
      <c r="CA110" s="390"/>
      <c r="CB110" s="390"/>
      <c r="CC110" s="390"/>
      <c r="CD110" s="390"/>
      <c r="CE110" s="390"/>
      <c r="CF110" s="390"/>
      <c r="CG110" s="390"/>
      <c r="CH110" s="390"/>
      <c r="CI110" s="390"/>
      <c r="CJ110" s="390"/>
      <c r="CK110" s="208"/>
      <c r="CL110" s="209"/>
      <c r="CM110" s="50"/>
      <c r="CN110" s="50"/>
      <c r="CO110" s="50"/>
      <c r="CP110" s="50"/>
      <c r="CQ110" s="50"/>
      <c r="CR110" s="50"/>
      <c r="CS110" s="389"/>
      <c r="CT110" s="850"/>
      <c r="CU110" s="850"/>
      <c r="CV110" s="850"/>
      <c r="CW110" s="850"/>
      <c r="CX110" s="850"/>
      <c r="CY110" s="850"/>
      <c r="CZ110" s="850"/>
      <c r="DA110" s="850"/>
      <c r="DB110" s="850"/>
      <c r="DC110" s="850"/>
      <c r="DD110" s="850"/>
      <c r="DE110" s="850"/>
      <c r="DF110" s="850"/>
      <c r="DG110" s="850"/>
      <c r="DH110" s="850"/>
      <c r="DI110" s="850"/>
      <c r="DJ110" s="850"/>
      <c r="DK110" s="850"/>
      <c r="DL110" s="850"/>
      <c r="DM110" s="850"/>
      <c r="DN110" s="850"/>
      <c r="DO110" s="850"/>
      <c r="DP110" s="850"/>
      <c r="DQ110" s="850"/>
      <c r="DR110" s="850"/>
      <c r="DS110" s="850"/>
      <c r="DT110" s="850"/>
      <c r="DU110" s="850"/>
      <c r="DV110" s="850"/>
      <c r="DW110" s="850"/>
      <c r="DX110" s="850"/>
      <c r="DY110" s="850"/>
      <c r="DZ110" s="850"/>
      <c r="EA110" s="850"/>
      <c r="EB110" s="850"/>
      <c r="EC110" s="850"/>
      <c r="ED110" s="850"/>
      <c r="EE110" s="850"/>
      <c r="EF110" s="850"/>
      <c r="EG110" s="850"/>
      <c r="EH110" s="850"/>
      <c r="EI110" s="850"/>
      <c r="EJ110" s="850"/>
      <c r="EK110" s="850"/>
      <c r="EL110" s="850"/>
      <c r="EM110" s="850"/>
      <c r="EN110" s="850"/>
      <c r="EO110" s="850"/>
      <c r="EP110" s="850"/>
      <c r="EQ110" s="391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  <c r="FD110" s="50"/>
      <c r="FE110" s="50"/>
      <c r="FF110" s="50"/>
      <c r="FG110" s="50"/>
      <c r="FH110" s="50"/>
      <c r="FI110" s="50"/>
    </row>
    <row r="111" spans="1:165" ht="120" customHeight="1" x14ac:dyDescent="0.85">
      <c r="A111" s="43"/>
      <c r="B111" s="849" t="s">
        <v>17</v>
      </c>
      <c r="C111" s="849"/>
      <c r="D111" s="849"/>
      <c r="E111" s="849"/>
      <c r="F111" s="849"/>
      <c r="G111" s="849"/>
      <c r="H111" s="849"/>
      <c r="I111" s="849"/>
      <c r="J111" s="849"/>
      <c r="K111" s="849"/>
      <c r="L111" s="849"/>
      <c r="M111" s="849"/>
      <c r="N111" s="849"/>
      <c r="O111" s="849"/>
      <c r="P111" s="849"/>
      <c r="Q111" s="849"/>
      <c r="R111" s="849"/>
      <c r="S111" s="849"/>
      <c r="T111" s="849"/>
      <c r="U111" s="849"/>
      <c r="V111" s="849"/>
      <c r="W111" s="849"/>
      <c r="X111" s="849"/>
      <c r="Y111" s="849"/>
      <c r="Z111" s="849"/>
      <c r="AA111" s="849"/>
      <c r="AB111" s="849"/>
      <c r="AC111" s="849"/>
      <c r="AD111" s="849"/>
      <c r="AE111" s="849"/>
      <c r="AF111" s="854">
        <f>HY21</f>
        <v>6</v>
      </c>
      <c r="AG111" s="855"/>
      <c r="AH111" s="855"/>
      <c r="AI111" s="855"/>
      <c r="AJ111" s="855"/>
      <c r="AK111" s="855"/>
      <c r="AL111" s="855"/>
      <c r="AM111" s="855"/>
      <c r="AN111" s="855"/>
      <c r="AO111" s="856"/>
      <c r="AP111" s="688" t="s">
        <v>175</v>
      </c>
      <c r="AQ111" s="688"/>
      <c r="AR111" s="688"/>
      <c r="AS111" s="688"/>
      <c r="AT111" s="688"/>
      <c r="AU111" s="688"/>
      <c r="AV111" s="688"/>
      <c r="AW111" s="688"/>
      <c r="AX111" s="389"/>
      <c r="AY111" s="390"/>
      <c r="AZ111" s="390"/>
      <c r="BA111" s="390"/>
      <c r="BB111" s="390"/>
      <c r="BC111" s="390"/>
      <c r="BD111" s="390"/>
      <c r="BE111" s="390"/>
      <c r="BF111" s="390"/>
      <c r="BG111" s="390"/>
      <c r="BH111" s="390"/>
      <c r="BI111" s="390"/>
      <c r="BJ111" s="390"/>
      <c r="BK111" s="390"/>
      <c r="BL111" s="390"/>
      <c r="BM111" s="390"/>
      <c r="BN111" s="390"/>
      <c r="BO111" s="390"/>
      <c r="BP111" s="390"/>
      <c r="BQ111" s="390"/>
      <c r="BR111" s="390"/>
      <c r="BS111" s="390"/>
      <c r="BT111" s="390"/>
      <c r="BU111" s="390"/>
      <c r="BV111" s="390"/>
      <c r="BW111" s="390"/>
      <c r="BX111" s="390"/>
      <c r="BY111" s="390"/>
      <c r="BZ111" s="390"/>
      <c r="CA111" s="390"/>
      <c r="CB111" s="390"/>
      <c r="CC111" s="390"/>
      <c r="CD111" s="390"/>
      <c r="CE111" s="390"/>
      <c r="CF111" s="390"/>
      <c r="CG111" s="390"/>
      <c r="CH111" s="390"/>
      <c r="CI111" s="390"/>
      <c r="CJ111" s="390"/>
      <c r="CK111" s="208"/>
      <c r="CL111" s="209"/>
      <c r="CM111" s="50"/>
      <c r="CN111" s="50"/>
      <c r="CO111" s="50"/>
      <c r="CP111" s="50"/>
      <c r="CQ111" s="50"/>
      <c r="CR111" s="50"/>
      <c r="CS111" s="389"/>
      <c r="CT111" s="850"/>
      <c r="CU111" s="850"/>
      <c r="CV111" s="850"/>
      <c r="CW111" s="850"/>
      <c r="CX111" s="850"/>
      <c r="CY111" s="850"/>
      <c r="CZ111" s="850"/>
      <c r="DA111" s="850"/>
      <c r="DB111" s="850"/>
      <c r="DC111" s="850"/>
      <c r="DD111" s="850"/>
      <c r="DE111" s="850"/>
      <c r="DF111" s="850"/>
      <c r="DG111" s="850"/>
      <c r="DH111" s="850"/>
      <c r="DI111" s="850"/>
      <c r="DJ111" s="850"/>
      <c r="DK111" s="850"/>
      <c r="DL111" s="850"/>
      <c r="DM111" s="850"/>
      <c r="DN111" s="850"/>
      <c r="DO111" s="850"/>
      <c r="DP111" s="850"/>
      <c r="DQ111" s="850"/>
      <c r="DR111" s="850"/>
      <c r="DS111" s="850"/>
      <c r="DT111" s="850"/>
      <c r="DU111" s="850"/>
      <c r="DV111" s="850"/>
      <c r="DW111" s="850"/>
      <c r="DX111" s="850"/>
      <c r="DY111" s="850"/>
      <c r="DZ111" s="850"/>
      <c r="EA111" s="850"/>
      <c r="EB111" s="850"/>
      <c r="EC111" s="850"/>
      <c r="ED111" s="850"/>
      <c r="EE111" s="850"/>
      <c r="EF111" s="850"/>
      <c r="EG111" s="850"/>
      <c r="EH111" s="850"/>
      <c r="EI111" s="850"/>
      <c r="EJ111" s="850"/>
      <c r="EK111" s="850"/>
      <c r="EL111" s="850"/>
      <c r="EM111" s="850"/>
      <c r="EN111" s="850"/>
      <c r="EO111" s="850"/>
      <c r="EP111" s="850"/>
      <c r="EQ111" s="391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0"/>
      <c r="FD111" s="50"/>
      <c r="FE111" s="50"/>
      <c r="FF111" s="50"/>
      <c r="FG111" s="50"/>
      <c r="FH111" s="50"/>
      <c r="FI111" s="50"/>
    </row>
    <row r="112" spans="1:165" ht="120" customHeight="1" x14ac:dyDescent="0.85">
      <c r="A112" s="43"/>
      <c r="B112" s="498" t="s">
        <v>22</v>
      </c>
      <c r="C112" s="498"/>
      <c r="D112" s="498"/>
      <c r="E112" s="498"/>
      <c r="F112" s="498"/>
      <c r="G112" s="498"/>
      <c r="H112" s="498"/>
      <c r="I112" s="498"/>
      <c r="J112" s="498"/>
      <c r="K112" s="498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857">
        <f>SUM(AF105:AO111)</f>
        <v>234</v>
      </c>
      <c r="AG112" s="858"/>
      <c r="AH112" s="858"/>
      <c r="AI112" s="858"/>
      <c r="AJ112" s="858"/>
      <c r="AK112" s="858"/>
      <c r="AL112" s="858"/>
      <c r="AM112" s="858"/>
      <c r="AN112" s="858"/>
      <c r="AO112" s="859"/>
      <c r="AP112" s="688"/>
      <c r="AQ112" s="688"/>
      <c r="AR112" s="688"/>
      <c r="AS112" s="688"/>
      <c r="AT112" s="688"/>
      <c r="AU112" s="688"/>
      <c r="AV112" s="688"/>
      <c r="AW112" s="688"/>
      <c r="AX112" s="392"/>
      <c r="AY112" s="393"/>
      <c r="AZ112" s="393"/>
      <c r="BA112" s="393"/>
      <c r="BB112" s="393"/>
      <c r="BC112" s="393"/>
      <c r="BD112" s="393"/>
      <c r="BE112" s="393"/>
      <c r="BF112" s="393"/>
      <c r="BG112" s="393"/>
      <c r="BH112" s="393"/>
      <c r="BI112" s="393"/>
      <c r="BJ112" s="393"/>
      <c r="BK112" s="393"/>
      <c r="BL112" s="393"/>
      <c r="BM112" s="393"/>
      <c r="BN112" s="393"/>
      <c r="BO112" s="393"/>
      <c r="BP112" s="393"/>
      <c r="BQ112" s="393"/>
      <c r="BR112" s="393"/>
      <c r="BS112" s="393"/>
      <c r="BT112" s="393"/>
      <c r="BU112" s="393"/>
      <c r="BV112" s="393"/>
      <c r="BW112" s="393"/>
      <c r="BX112" s="393"/>
      <c r="BY112" s="393"/>
      <c r="BZ112" s="393"/>
      <c r="CA112" s="393"/>
      <c r="CB112" s="393"/>
      <c r="CC112" s="393"/>
      <c r="CD112" s="393"/>
      <c r="CE112" s="393"/>
      <c r="CF112" s="393"/>
      <c r="CG112" s="393"/>
      <c r="CH112" s="393"/>
      <c r="CI112" s="393"/>
      <c r="CJ112" s="393"/>
      <c r="CK112" s="210"/>
      <c r="CL112" s="211"/>
      <c r="CM112" s="50"/>
      <c r="CN112" s="50"/>
      <c r="CO112" s="50"/>
      <c r="CP112" s="50"/>
      <c r="CQ112" s="50"/>
      <c r="CR112" s="50"/>
      <c r="CS112" s="392"/>
      <c r="CT112" s="393"/>
      <c r="CU112" s="393"/>
      <c r="CV112" s="393"/>
      <c r="CW112" s="393"/>
      <c r="CX112" s="393"/>
      <c r="CY112" s="393"/>
      <c r="CZ112" s="393"/>
      <c r="DA112" s="393"/>
      <c r="DB112" s="393"/>
      <c r="DC112" s="393"/>
      <c r="DD112" s="393"/>
      <c r="DE112" s="393"/>
      <c r="DF112" s="393"/>
      <c r="DG112" s="393"/>
      <c r="DH112" s="393"/>
      <c r="DI112" s="393"/>
      <c r="DJ112" s="393"/>
      <c r="DK112" s="393"/>
      <c r="DL112" s="393"/>
      <c r="DM112" s="393"/>
      <c r="DN112" s="393"/>
      <c r="DO112" s="393"/>
      <c r="DP112" s="393"/>
      <c r="DQ112" s="393"/>
      <c r="DR112" s="393"/>
      <c r="DS112" s="393"/>
      <c r="DT112" s="393"/>
      <c r="DU112" s="393"/>
      <c r="DV112" s="393"/>
      <c r="DW112" s="393"/>
      <c r="DX112" s="393"/>
      <c r="DY112" s="393"/>
      <c r="DZ112" s="393"/>
      <c r="EA112" s="393"/>
      <c r="EB112" s="393"/>
      <c r="EC112" s="393"/>
      <c r="ED112" s="393"/>
      <c r="EE112" s="393"/>
      <c r="EF112" s="393"/>
      <c r="EG112" s="393"/>
      <c r="EH112" s="393"/>
      <c r="EI112" s="393"/>
      <c r="EJ112" s="393"/>
      <c r="EK112" s="393"/>
      <c r="EL112" s="393"/>
      <c r="EM112" s="393"/>
      <c r="EN112" s="393"/>
      <c r="EO112" s="393"/>
      <c r="EP112" s="393"/>
      <c r="EQ112" s="394"/>
      <c r="ER112" s="50"/>
      <c r="ES112" s="50"/>
      <c r="ET112" s="50"/>
      <c r="EU112" s="50"/>
      <c r="EV112" s="50"/>
      <c r="EW112" s="50"/>
      <c r="EX112" s="50"/>
      <c r="EY112" s="50"/>
      <c r="EZ112" s="50"/>
      <c r="FA112" s="50"/>
      <c r="FB112" s="50"/>
      <c r="FC112" s="50"/>
      <c r="FD112" s="50"/>
      <c r="FE112" s="50"/>
      <c r="FF112" s="50"/>
      <c r="FG112" s="50"/>
      <c r="FH112" s="50"/>
      <c r="FI112" s="50"/>
    </row>
    <row r="113" spans="1:165" ht="120" customHeight="1" x14ac:dyDescent="0.85">
      <c r="A113" s="43"/>
      <c r="B113" s="43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51"/>
      <c r="X113" s="51"/>
      <c r="Y113" s="51"/>
      <c r="Z113" s="52"/>
      <c r="AA113" s="52"/>
      <c r="AB113" s="52"/>
      <c r="AC113" s="52"/>
      <c r="AD113" s="52"/>
      <c r="AE113" s="50"/>
      <c r="AF113" s="50"/>
      <c r="AG113" s="50"/>
      <c r="AH113" s="50"/>
      <c r="AI113" s="50"/>
      <c r="AJ113" s="50"/>
      <c r="AK113" s="50"/>
      <c r="AL113" s="50"/>
      <c r="AM113" s="50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1"/>
      <c r="BM113" s="51"/>
      <c r="BN113" s="51"/>
      <c r="BO113" s="51"/>
      <c r="BP113" s="51"/>
      <c r="BQ113" s="51"/>
      <c r="BR113" s="51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50"/>
      <c r="ED113" s="50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50"/>
      <c r="ER113" s="50"/>
      <c r="ES113" s="50"/>
      <c r="ET113" s="50"/>
      <c r="EU113" s="50"/>
      <c r="EV113" s="50"/>
      <c r="EW113" s="50"/>
      <c r="EX113" s="50"/>
      <c r="EY113" s="50"/>
      <c r="EZ113" s="50"/>
      <c r="FA113" s="50"/>
      <c r="FB113" s="50"/>
      <c r="FC113" s="50"/>
      <c r="FD113" s="50"/>
      <c r="FE113" s="50"/>
      <c r="FF113" s="50"/>
      <c r="FG113" s="50"/>
      <c r="FH113" s="50"/>
      <c r="FI113" s="50"/>
    </row>
    <row r="114" spans="1:165" ht="120" customHeight="1" x14ac:dyDescent="0.85">
      <c r="A114" s="43"/>
      <c r="B114" s="381" t="s">
        <v>263</v>
      </c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2" t="s">
        <v>127</v>
      </c>
      <c r="Z114" s="382"/>
      <c r="AA114" s="382"/>
      <c r="AB114" s="382"/>
      <c r="AC114" s="382"/>
      <c r="AD114" s="382"/>
      <c r="AE114" s="382"/>
      <c r="AF114" s="382"/>
      <c r="AG114" s="382"/>
      <c r="AH114" s="382"/>
      <c r="AI114" s="382"/>
      <c r="AJ114" s="382"/>
      <c r="AK114" s="382"/>
      <c r="AL114" s="382"/>
      <c r="AM114" s="382"/>
      <c r="AN114" s="382"/>
      <c r="AO114" s="382"/>
      <c r="AP114" s="382"/>
      <c r="AQ114" s="382"/>
      <c r="AR114" s="382"/>
      <c r="AS114" s="382"/>
      <c r="AT114" s="382"/>
      <c r="AU114" s="382"/>
      <c r="AV114" s="382"/>
      <c r="AW114" s="382"/>
      <c r="AX114" s="382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41"/>
      <c r="BQ114" s="204"/>
      <c r="BR114" s="204"/>
      <c r="BS114" s="204"/>
      <c r="BT114" s="204"/>
      <c r="BU114" s="204"/>
      <c r="BV114" s="204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  <c r="EW114" s="50"/>
      <c r="EX114" s="50"/>
      <c r="EY114" s="50"/>
      <c r="EZ114" s="50"/>
      <c r="FA114" s="50"/>
      <c r="FB114" s="50"/>
      <c r="FC114" s="50"/>
      <c r="FD114" s="50"/>
      <c r="FE114" s="50"/>
      <c r="FF114" s="50"/>
      <c r="FG114" s="50"/>
      <c r="FH114" s="50"/>
      <c r="FI114" s="50"/>
    </row>
    <row r="115" spans="1:165" ht="120" customHeight="1" x14ac:dyDescent="0.85">
      <c r="A115" s="43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64"/>
      <c r="Z115" s="364"/>
      <c r="AA115" s="364"/>
      <c r="AB115" s="364"/>
      <c r="AC115" s="364"/>
      <c r="AD115" s="364"/>
      <c r="AE115" s="364"/>
      <c r="AF115" s="364"/>
      <c r="AG115" s="364"/>
      <c r="AH115" s="364"/>
      <c r="AI115" s="364"/>
      <c r="AJ115" s="364"/>
      <c r="AK115" s="364"/>
      <c r="AL115" s="364"/>
      <c r="AM115" s="364"/>
      <c r="AN115" s="364"/>
      <c r="AO115" s="364"/>
      <c r="AP115" s="364"/>
      <c r="AQ115" s="364"/>
      <c r="AR115" s="364"/>
      <c r="AS115" s="364"/>
      <c r="AT115" s="364"/>
      <c r="AU115" s="364"/>
      <c r="AV115" s="364"/>
      <c r="AW115" s="364"/>
      <c r="AX115" s="36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41"/>
      <c r="BQ115" s="204"/>
      <c r="BR115" s="204"/>
      <c r="BS115" s="204"/>
      <c r="BT115" s="204"/>
      <c r="BU115" s="204"/>
      <c r="BV115" s="204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50"/>
      <c r="ED115" s="50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50"/>
      <c r="ER115" s="50"/>
      <c r="ES115" s="50"/>
      <c r="ET115" s="50"/>
      <c r="EU115" s="50"/>
      <c r="EV115" s="50"/>
      <c r="EW115" s="50"/>
      <c r="EX115" s="50"/>
      <c r="EY115" s="50"/>
      <c r="EZ115" s="50"/>
      <c r="FA115" s="50"/>
      <c r="FB115" s="50"/>
      <c r="FC115" s="50"/>
      <c r="FD115" s="50"/>
      <c r="FE115" s="50"/>
      <c r="FF115" s="50"/>
      <c r="FG115" s="50"/>
      <c r="FH115" s="50"/>
      <c r="FI115" s="50"/>
    </row>
    <row r="116" spans="1:165" ht="120" customHeight="1" x14ac:dyDescent="0.85">
      <c r="A116" s="43"/>
      <c r="B116" s="381" t="s">
        <v>264</v>
      </c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2" t="s">
        <v>127</v>
      </c>
      <c r="Z116" s="382"/>
      <c r="AA116" s="382"/>
      <c r="AB116" s="382"/>
      <c r="AC116" s="382"/>
      <c r="AD116" s="382"/>
      <c r="AE116" s="382"/>
      <c r="AF116" s="382"/>
      <c r="AG116" s="382"/>
      <c r="AH116" s="382"/>
      <c r="AI116" s="382"/>
      <c r="AJ116" s="382"/>
      <c r="AK116" s="382"/>
      <c r="AL116" s="382"/>
      <c r="AM116" s="382"/>
      <c r="AN116" s="382"/>
      <c r="AO116" s="382"/>
      <c r="AP116" s="382"/>
      <c r="AQ116" s="382"/>
      <c r="AR116" s="382"/>
      <c r="AS116" s="382"/>
      <c r="AT116" s="382"/>
      <c r="AU116" s="382"/>
      <c r="AV116" s="382"/>
      <c r="AW116" s="382"/>
      <c r="AX116" s="382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41"/>
      <c r="BQ116" s="204"/>
      <c r="BR116" s="204"/>
      <c r="BS116" s="204"/>
      <c r="BT116" s="204"/>
      <c r="BU116" s="204"/>
      <c r="BV116" s="204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0"/>
      <c r="FD116" s="50"/>
      <c r="FE116" s="50"/>
      <c r="FF116" s="50"/>
      <c r="FG116" s="50"/>
      <c r="FH116" s="50"/>
      <c r="FI116" s="50"/>
    </row>
    <row r="117" spans="1:165" ht="120" customHeight="1" x14ac:dyDescent="0.85">
      <c r="A117" s="43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64"/>
      <c r="Z117" s="364"/>
      <c r="AA117" s="364"/>
      <c r="AB117" s="364"/>
      <c r="AC117" s="364"/>
      <c r="AD117" s="364"/>
      <c r="AE117" s="364"/>
      <c r="AF117" s="364"/>
      <c r="AG117" s="364"/>
      <c r="AH117" s="364"/>
      <c r="AI117" s="364"/>
      <c r="AJ117" s="364"/>
      <c r="AK117" s="364"/>
      <c r="AL117" s="364"/>
      <c r="AM117" s="364"/>
      <c r="AN117" s="364"/>
      <c r="AO117" s="364"/>
      <c r="AP117" s="364"/>
      <c r="AQ117" s="364"/>
      <c r="AR117" s="364"/>
      <c r="AS117" s="364"/>
      <c r="AT117" s="364"/>
      <c r="AU117" s="364"/>
      <c r="AV117" s="364"/>
      <c r="AW117" s="364"/>
      <c r="AX117" s="36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41"/>
      <c r="BQ117" s="204"/>
      <c r="BR117" s="204"/>
      <c r="BS117" s="204"/>
      <c r="BT117" s="204"/>
      <c r="BU117" s="204"/>
      <c r="BV117" s="204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</row>
    <row r="118" spans="1:165" ht="120" customHeight="1" x14ac:dyDescent="0.85">
      <c r="A118" s="43"/>
      <c r="B118" s="381" t="s">
        <v>249</v>
      </c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2" t="s">
        <v>127</v>
      </c>
      <c r="Z118" s="382"/>
      <c r="AA118" s="382"/>
      <c r="AB118" s="382"/>
      <c r="AC118" s="382"/>
      <c r="AD118" s="382"/>
      <c r="AE118" s="382"/>
      <c r="AF118" s="382"/>
      <c r="AG118" s="382"/>
      <c r="AH118" s="382"/>
      <c r="AI118" s="382"/>
      <c r="AJ118" s="382"/>
      <c r="AK118" s="382"/>
      <c r="AL118" s="382"/>
      <c r="AM118" s="382"/>
      <c r="AN118" s="382"/>
      <c r="AO118" s="382"/>
      <c r="AP118" s="382"/>
      <c r="AQ118" s="382"/>
      <c r="AR118" s="382"/>
      <c r="AS118" s="382"/>
      <c r="AT118" s="382"/>
      <c r="AU118" s="382"/>
      <c r="AV118" s="382"/>
      <c r="AW118" s="382"/>
      <c r="AX118" s="382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41"/>
      <c r="BQ118" s="204"/>
      <c r="BR118" s="204"/>
      <c r="BS118" s="204"/>
      <c r="BT118" s="204"/>
      <c r="BU118" s="204"/>
      <c r="BV118" s="204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</row>
    <row r="119" spans="1:165" ht="120" customHeight="1" x14ac:dyDescent="0.85">
      <c r="A119" s="43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64"/>
      <c r="Z119" s="364"/>
      <c r="AA119" s="364"/>
      <c r="AB119" s="364"/>
      <c r="AC119" s="364"/>
      <c r="AD119" s="364"/>
      <c r="AE119" s="364"/>
      <c r="AF119" s="364"/>
      <c r="AG119" s="364"/>
      <c r="AH119" s="364"/>
      <c r="AI119" s="364"/>
      <c r="AJ119" s="364"/>
      <c r="AK119" s="364"/>
      <c r="AL119" s="364"/>
      <c r="AM119" s="364"/>
      <c r="AN119" s="364"/>
      <c r="AO119" s="364"/>
      <c r="AP119" s="364"/>
      <c r="AQ119" s="364"/>
      <c r="AR119" s="364"/>
      <c r="AS119" s="364"/>
      <c r="AT119" s="364"/>
      <c r="AU119" s="364"/>
      <c r="AV119" s="364"/>
      <c r="AW119" s="364"/>
      <c r="AX119" s="36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41"/>
      <c r="BQ119" s="204"/>
      <c r="BR119" s="204"/>
      <c r="BS119" s="204"/>
      <c r="BT119" s="204"/>
      <c r="BU119" s="204"/>
      <c r="BV119" s="204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50"/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50"/>
      <c r="ER119" s="50"/>
      <c r="ES119" s="50"/>
      <c r="ET119" s="50"/>
      <c r="EU119" s="50"/>
      <c r="EV119" s="50"/>
      <c r="EW119" s="50"/>
      <c r="EX119" s="50"/>
      <c r="EY119" s="50"/>
      <c r="EZ119" s="50"/>
      <c r="FA119" s="50"/>
      <c r="FB119" s="50"/>
      <c r="FC119" s="50"/>
      <c r="FD119" s="50"/>
      <c r="FE119" s="50"/>
      <c r="FF119" s="50"/>
      <c r="FG119" s="50"/>
      <c r="FH119" s="50"/>
      <c r="FI119" s="50"/>
    </row>
    <row r="120" spans="1:165" ht="120" customHeight="1" x14ac:dyDescent="0.85">
      <c r="A120" s="43"/>
      <c r="B120" s="381" t="s">
        <v>250</v>
      </c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2" t="s">
        <v>127</v>
      </c>
      <c r="Z120" s="382"/>
      <c r="AA120" s="382"/>
      <c r="AB120" s="382"/>
      <c r="AC120" s="382"/>
      <c r="AD120" s="382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2"/>
      <c r="AR120" s="382"/>
      <c r="AS120" s="382"/>
      <c r="AT120" s="382"/>
      <c r="AU120" s="382"/>
      <c r="AV120" s="382"/>
      <c r="AW120" s="382"/>
      <c r="AX120" s="382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41"/>
      <c r="BQ120" s="204"/>
      <c r="BR120" s="204"/>
      <c r="BS120" s="204"/>
      <c r="BT120" s="204"/>
      <c r="BU120" s="204"/>
      <c r="BV120" s="204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50"/>
      <c r="ED120" s="50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50"/>
      <c r="ER120" s="50"/>
      <c r="ES120" s="50"/>
      <c r="ET120" s="50"/>
      <c r="EU120" s="50"/>
      <c r="EV120" s="50"/>
      <c r="EW120" s="50"/>
      <c r="EX120" s="50"/>
      <c r="EY120" s="50"/>
      <c r="EZ120" s="50"/>
      <c r="FA120" s="50"/>
      <c r="FB120" s="50"/>
      <c r="FC120" s="50"/>
      <c r="FD120" s="50"/>
      <c r="FE120" s="50"/>
      <c r="FF120" s="50"/>
      <c r="FG120" s="50"/>
      <c r="FH120" s="50"/>
      <c r="FI120" s="50"/>
    </row>
    <row r="121" spans="1:165" ht="45.75" x14ac:dyDescent="0.6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54"/>
      <c r="BM121" s="54"/>
      <c r="BN121" s="54"/>
      <c r="BO121" s="54"/>
      <c r="BP121" s="54"/>
      <c r="BQ121" s="54"/>
      <c r="BR121" s="54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7"/>
      <c r="FF121" s="7"/>
      <c r="FG121" s="7"/>
      <c r="FH121" s="7"/>
      <c r="FI121" s="7"/>
    </row>
  </sheetData>
  <mergeCells count="1547">
    <mergeCell ref="AT86:AX87"/>
    <mergeCell ref="AY86:BC87"/>
    <mergeCell ref="BD86:BH87"/>
    <mergeCell ref="BI86:BM87"/>
    <mergeCell ref="BN86:BR87"/>
    <mergeCell ref="BS86:BW87"/>
    <mergeCell ref="DQ84:DU85"/>
    <mergeCell ref="DV84:DZ85"/>
    <mergeCell ref="EA84:EE85"/>
    <mergeCell ref="EZ84:FD85"/>
    <mergeCell ref="FE84:FI85"/>
    <mergeCell ref="C85:Y85"/>
    <mergeCell ref="DL82:DP83"/>
    <mergeCell ref="DQ82:DU83"/>
    <mergeCell ref="DV82:DZ83"/>
    <mergeCell ref="EA82:EE83"/>
    <mergeCell ref="EF82:EJ83"/>
    <mergeCell ref="EK82:EO83"/>
    <mergeCell ref="EP82:ET83"/>
    <mergeCell ref="EU82:EY83"/>
    <mergeCell ref="EZ82:FD83"/>
    <mergeCell ref="FE82:FI83"/>
    <mergeCell ref="C83:Y83"/>
    <mergeCell ref="CW84:DA85"/>
    <mergeCell ref="DB84:DF85"/>
    <mergeCell ref="DG84:DK85"/>
    <mergeCell ref="DL84:DP85"/>
    <mergeCell ref="CW82:DA83"/>
    <mergeCell ref="DB82:DF83"/>
    <mergeCell ref="DG82:DK83"/>
    <mergeCell ref="EF84:EJ85"/>
    <mergeCell ref="EK84:EO85"/>
    <mergeCell ref="A84:A85"/>
    <mergeCell ref="C84:Y84"/>
    <mergeCell ref="Z84:AD85"/>
    <mergeCell ref="AE84:AI85"/>
    <mergeCell ref="AJ84:AN85"/>
    <mergeCell ref="AO84:AS85"/>
    <mergeCell ref="AT84:AX85"/>
    <mergeCell ref="AY84:BC85"/>
    <mergeCell ref="BD84:BH85"/>
    <mergeCell ref="BI84:BM85"/>
    <mergeCell ref="BN84:BR85"/>
    <mergeCell ref="BS84:BW85"/>
    <mergeCell ref="BX84:CB85"/>
    <mergeCell ref="CC84:CG85"/>
    <mergeCell ref="CH84:CL85"/>
    <mergeCell ref="CM84:CQ85"/>
    <mergeCell ref="CR84:CV85"/>
    <mergeCell ref="A82:A83"/>
    <mergeCell ref="C82:Y82"/>
    <mergeCell ref="Z82:AD83"/>
    <mergeCell ref="AE82:AI83"/>
    <mergeCell ref="AJ82:AN83"/>
    <mergeCell ref="AO82:AS83"/>
    <mergeCell ref="AT82:AX83"/>
    <mergeCell ref="AY82:BC83"/>
    <mergeCell ref="BD82:BH83"/>
    <mergeCell ref="BI82:BM83"/>
    <mergeCell ref="BN82:BR83"/>
    <mergeCell ref="BS82:BW83"/>
    <mergeCell ref="BX82:CB83"/>
    <mergeCell ref="CC82:CG83"/>
    <mergeCell ref="CH82:CL83"/>
    <mergeCell ref="CM82:CQ83"/>
    <mergeCell ref="CR82:CV83"/>
    <mergeCell ref="CC31:CG31"/>
    <mergeCell ref="CH31:CL31"/>
    <mergeCell ref="CM31:CQ31"/>
    <mergeCell ref="CR31:CV31"/>
    <mergeCell ref="BS28:DK28"/>
    <mergeCell ref="DL28:FD28"/>
    <mergeCell ref="DG29:DK29"/>
    <mergeCell ref="DL29:DU29"/>
    <mergeCell ref="DV29:EE29"/>
    <mergeCell ref="EF29:EO29"/>
    <mergeCell ref="BS32:DK32"/>
    <mergeCell ref="DL32:FD32"/>
    <mergeCell ref="Z33:AD33"/>
    <mergeCell ref="AE33:AI33"/>
    <mergeCell ref="D25:EM25"/>
    <mergeCell ref="A1:FI1"/>
    <mergeCell ref="DG2:FI2"/>
    <mergeCell ref="DG3:FI3"/>
    <mergeCell ref="DG4:FI4"/>
    <mergeCell ref="DG5:FI5"/>
    <mergeCell ref="FE26:FI32"/>
    <mergeCell ref="Z27:AI32"/>
    <mergeCell ref="AJ27:BM27"/>
    <mergeCell ref="BN27:BR33"/>
    <mergeCell ref="BS27:CB27"/>
    <mergeCell ref="CC27:CL27"/>
    <mergeCell ref="CM27:CV27"/>
    <mergeCell ref="CW27:DF27"/>
    <mergeCell ref="CM33:CQ33"/>
    <mergeCell ref="CR33:CV33"/>
    <mergeCell ref="EA31:EE31"/>
    <mergeCell ref="EF31:EJ31"/>
    <mergeCell ref="EK31:EO31"/>
    <mergeCell ref="EP31:ET31"/>
    <mergeCell ref="EU31:EY31"/>
    <mergeCell ref="EZ31:FD31"/>
    <mergeCell ref="CW31:DA31"/>
    <mergeCell ref="DB31:DF31"/>
    <mergeCell ref="DG31:DK31"/>
    <mergeCell ref="DL31:DP31"/>
    <mergeCell ref="DQ31:DU31"/>
    <mergeCell ref="DV31:DZ31"/>
    <mergeCell ref="DG27:DK27"/>
    <mergeCell ref="DL27:DU27"/>
    <mergeCell ref="A26:A33"/>
    <mergeCell ref="B26:B33"/>
    <mergeCell ref="C26:Y33"/>
    <mergeCell ref="Z26:BR26"/>
    <mergeCell ref="BS26:DK26"/>
    <mergeCell ref="DL26:FD26"/>
    <mergeCell ref="DV27:EE27"/>
    <mergeCell ref="EF27:EO27"/>
    <mergeCell ref="EP27:EY27"/>
    <mergeCell ref="EZ27:FD27"/>
    <mergeCell ref="EP29:EY29"/>
    <mergeCell ref="EZ29:FD29"/>
    <mergeCell ref="BS30:DK30"/>
    <mergeCell ref="DL30:FD30"/>
    <mergeCell ref="BS31:BW31"/>
    <mergeCell ref="BX31:CB31"/>
    <mergeCell ref="BD28:BH33"/>
    <mergeCell ref="BI28:BM33"/>
    <mergeCell ref="BS29:CB29"/>
    <mergeCell ref="CC29:CL29"/>
    <mergeCell ref="FE33:FI33"/>
    <mergeCell ref="C34:Y34"/>
    <mergeCell ref="Z34:AD34"/>
    <mergeCell ref="AE34:AI34"/>
    <mergeCell ref="AJ34:AN34"/>
    <mergeCell ref="AO34:AS34"/>
    <mergeCell ref="AT34:AX34"/>
    <mergeCell ref="AY34:BC34"/>
    <mergeCell ref="BD34:BH34"/>
    <mergeCell ref="BI34:BM34"/>
    <mergeCell ref="EA33:EE33"/>
    <mergeCell ref="EF33:EJ33"/>
    <mergeCell ref="EK33:EO33"/>
    <mergeCell ref="EP33:ET33"/>
    <mergeCell ref="EU33:EY33"/>
    <mergeCell ref="EZ33:FD33"/>
    <mergeCell ref="CW33:DA33"/>
    <mergeCell ref="DB33:DF33"/>
    <mergeCell ref="DG33:DK33"/>
    <mergeCell ref="DL33:DP33"/>
    <mergeCell ref="DQ33:DU33"/>
    <mergeCell ref="DV33:DZ33"/>
    <mergeCell ref="EZ34:FD34"/>
    <mergeCell ref="FE34:FI34"/>
    <mergeCell ref="BS33:BW33"/>
    <mergeCell ref="BX33:CB33"/>
    <mergeCell ref="CC33:CG33"/>
    <mergeCell ref="CH33:CL33"/>
    <mergeCell ref="CM29:CV29"/>
    <mergeCell ref="CW29:DF29"/>
    <mergeCell ref="Z35:AD35"/>
    <mergeCell ref="AE35:AI35"/>
    <mergeCell ref="AJ35:AN35"/>
    <mergeCell ref="AO35:AS35"/>
    <mergeCell ref="AT35:AX35"/>
    <mergeCell ref="AY35:BC35"/>
    <mergeCell ref="BD35:BH35"/>
    <mergeCell ref="DV34:DZ34"/>
    <mergeCell ref="EA34:EE34"/>
    <mergeCell ref="EF34:EJ34"/>
    <mergeCell ref="EK34:EO34"/>
    <mergeCell ref="EP34:ET34"/>
    <mergeCell ref="EU34:EY34"/>
    <mergeCell ref="CR34:CV34"/>
    <mergeCell ref="CW34:DA34"/>
    <mergeCell ref="DB34:DF34"/>
    <mergeCell ref="DG34:DK34"/>
    <mergeCell ref="DL34:DP34"/>
    <mergeCell ref="DQ34:DU34"/>
    <mergeCell ref="BN34:BR34"/>
    <mergeCell ref="BS34:BW34"/>
    <mergeCell ref="BX34:CB34"/>
    <mergeCell ref="CC34:CG34"/>
    <mergeCell ref="CH34:CL34"/>
    <mergeCell ref="CM34:CQ34"/>
    <mergeCell ref="EU35:EY35"/>
    <mergeCell ref="AJ28:AN33"/>
    <mergeCell ref="AO28:AS33"/>
    <mergeCell ref="AT28:AX33"/>
    <mergeCell ref="AY28:BC33"/>
    <mergeCell ref="EZ35:FD35"/>
    <mergeCell ref="FE35:FI35"/>
    <mergeCell ref="C36:Y36"/>
    <mergeCell ref="Z36:AD36"/>
    <mergeCell ref="AE36:AI36"/>
    <mergeCell ref="AJ36:AN36"/>
    <mergeCell ref="AO36:AS36"/>
    <mergeCell ref="AT36:AX36"/>
    <mergeCell ref="AY36:BC36"/>
    <mergeCell ref="DQ35:DU35"/>
    <mergeCell ref="DV35:DZ35"/>
    <mergeCell ref="EA35:EE35"/>
    <mergeCell ref="EF35:EJ35"/>
    <mergeCell ref="EK35:EO35"/>
    <mergeCell ref="EP35:ET35"/>
    <mergeCell ref="CM35:CQ35"/>
    <mergeCell ref="CR35:CV35"/>
    <mergeCell ref="CW35:DA35"/>
    <mergeCell ref="DB35:DF35"/>
    <mergeCell ref="DG35:DK35"/>
    <mergeCell ref="DL35:DP35"/>
    <mergeCell ref="BI35:BM35"/>
    <mergeCell ref="BN35:BR35"/>
    <mergeCell ref="BS35:BW35"/>
    <mergeCell ref="BX35:CB35"/>
    <mergeCell ref="CC35:CG35"/>
    <mergeCell ref="CH35:CL35"/>
    <mergeCell ref="EP36:ET36"/>
    <mergeCell ref="EU36:EY36"/>
    <mergeCell ref="EZ36:FD36"/>
    <mergeCell ref="FE36:FI36"/>
    <mergeCell ref="C35:Y35"/>
    <mergeCell ref="BN37:BR37"/>
    <mergeCell ref="BS37:BW37"/>
    <mergeCell ref="BX37:CB37"/>
    <mergeCell ref="C37:Y37"/>
    <mergeCell ref="Z37:AD37"/>
    <mergeCell ref="AE37:AI37"/>
    <mergeCell ref="AJ37:AN37"/>
    <mergeCell ref="AO37:AS37"/>
    <mergeCell ref="AT37:AX37"/>
    <mergeCell ref="DL36:DP36"/>
    <mergeCell ref="DQ36:DU36"/>
    <mergeCell ref="DV36:DZ36"/>
    <mergeCell ref="EA36:EE36"/>
    <mergeCell ref="EF36:EJ36"/>
    <mergeCell ref="EK36:EO36"/>
    <mergeCell ref="CH36:CL36"/>
    <mergeCell ref="CM36:CQ36"/>
    <mergeCell ref="CR36:CV36"/>
    <mergeCell ref="CW36:DA36"/>
    <mergeCell ref="DB36:DF36"/>
    <mergeCell ref="DG36:DK36"/>
    <mergeCell ref="BD36:BH36"/>
    <mergeCell ref="BI36:BM36"/>
    <mergeCell ref="BN36:BR36"/>
    <mergeCell ref="BS36:BW36"/>
    <mergeCell ref="BX36:CB36"/>
    <mergeCell ref="CC36:CG36"/>
    <mergeCell ref="EK37:EO37"/>
    <mergeCell ref="BI38:BM38"/>
    <mergeCell ref="BN38:BR38"/>
    <mergeCell ref="BS38:BW38"/>
    <mergeCell ref="EK39:EO39"/>
    <mergeCell ref="EP39:ET39"/>
    <mergeCell ref="EU39:EY39"/>
    <mergeCell ref="EZ39:FD39"/>
    <mergeCell ref="FE39:FI39"/>
    <mergeCell ref="EP37:ET37"/>
    <mergeCell ref="EU37:EY37"/>
    <mergeCell ref="EZ37:FD37"/>
    <mergeCell ref="FE37:FI37"/>
    <mergeCell ref="C38:Y38"/>
    <mergeCell ref="Z38:AD38"/>
    <mergeCell ref="AE38:AI38"/>
    <mergeCell ref="AJ38:AN38"/>
    <mergeCell ref="AO38:AS38"/>
    <mergeCell ref="DG37:DK37"/>
    <mergeCell ref="DL37:DP37"/>
    <mergeCell ref="DQ37:DU37"/>
    <mergeCell ref="DV37:DZ37"/>
    <mergeCell ref="EA37:EE37"/>
    <mergeCell ref="EF37:EJ37"/>
    <mergeCell ref="CC37:CG37"/>
    <mergeCell ref="CH37:CL37"/>
    <mergeCell ref="CM37:CQ37"/>
    <mergeCell ref="CR37:CV37"/>
    <mergeCell ref="CW37:DA37"/>
    <mergeCell ref="DB37:DF37"/>
    <mergeCell ref="AY37:BC37"/>
    <mergeCell ref="BD37:BH37"/>
    <mergeCell ref="BI37:BM37"/>
    <mergeCell ref="C39:Y39"/>
    <mergeCell ref="Z39:AD39"/>
    <mergeCell ref="AE39:AI39"/>
    <mergeCell ref="AJ39:AN39"/>
    <mergeCell ref="EF40:EJ40"/>
    <mergeCell ref="AT40:AX40"/>
    <mergeCell ref="AY40:BC40"/>
    <mergeCell ref="BD40:BH40"/>
    <mergeCell ref="BI40:BM40"/>
    <mergeCell ref="AO39:AS39"/>
    <mergeCell ref="AT39:AX39"/>
    <mergeCell ref="EF38:EJ38"/>
    <mergeCell ref="EK38:EO38"/>
    <mergeCell ref="EP38:ET38"/>
    <mergeCell ref="EU38:EY38"/>
    <mergeCell ref="EZ38:FD38"/>
    <mergeCell ref="FE38:FI38"/>
    <mergeCell ref="DB38:DF38"/>
    <mergeCell ref="DG38:DK38"/>
    <mergeCell ref="DL38:DP38"/>
    <mergeCell ref="DQ38:DU38"/>
    <mergeCell ref="DV38:DZ38"/>
    <mergeCell ref="EA38:EE38"/>
    <mergeCell ref="BX38:CB38"/>
    <mergeCell ref="CC38:CG38"/>
    <mergeCell ref="CH38:CL38"/>
    <mergeCell ref="CM38:CQ38"/>
    <mergeCell ref="CR38:CV38"/>
    <mergeCell ref="CW38:DA38"/>
    <mergeCell ref="AT38:AX38"/>
    <mergeCell ref="AY38:BC38"/>
    <mergeCell ref="BD38:BH38"/>
    <mergeCell ref="DG39:DK39"/>
    <mergeCell ref="DL39:DP39"/>
    <mergeCell ref="DQ39:DU39"/>
    <mergeCell ref="DV39:DZ39"/>
    <mergeCell ref="EA39:EE39"/>
    <mergeCell ref="EF39:EJ39"/>
    <mergeCell ref="CC39:CG39"/>
    <mergeCell ref="CH39:CL39"/>
    <mergeCell ref="CM39:CQ39"/>
    <mergeCell ref="CR39:CV39"/>
    <mergeCell ref="CW39:DA39"/>
    <mergeCell ref="DB39:DF39"/>
    <mergeCell ref="AY39:BC39"/>
    <mergeCell ref="BD39:BH39"/>
    <mergeCell ref="BI39:BM39"/>
    <mergeCell ref="BN39:BR39"/>
    <mergeCell ref="BS39:BW39"/>
    <mergeCell ref="BX39:CB39"/>
    <mergeCell ref="EP40:ET40"/>
    <mergeCell ref="EU40:EY40"/>
    <mergeCell ref="EZ40:FD40"/>
    <mergeCell ref="FE40:FI40"/>
    <mergeCell ref="DB40:DF40"/>
    <mergeCell ref="DG40:DK40"/>
    <mergeCell ref="DL40:DP40"/>
    <mergeCell ref="DQ40:DU40"/>
    <mergeCell ref="DV40:DZ40"/>
    <mergeCell ref="EA40:EE40"/>
    <mergeCell ref="BX40:CB40"/>
    <mergeCell ref="CC40:CG40"/>
    <mergeCell ref="CH40:CL40"/>
    <mergeCell ref="CM40:CQ40"/>
    <mergeCell ref="CR40:CV40"/>
    <mergeCell ref="CW40:DA40"/>
    <mergeCell ref="C40:Y40"/>
    <mergeCell ref="Z40:AD40"/>
    <mergeCell ref="AE40:AI40"/>
    <mergeCell ref="AJ40:AN40"/>
    <mergeCell ref="AO40:AS40"/>
    <mergeCell ref="EP41:ET41"/>
    <mergeCell ref="EU41:EY41"/>
    <mergeCell ref="EZ41:FD41"/>
    <mergeCell ref="FE41:FI41"/>
    <mergeCell ref="DB41:DF41"/>
    <mergeCell ref="DG41:DK41"/>
    <mergeCell ref="DL41:DP41"/>
    <mergeCell ref="DQ41:DU41"/>
    <mergeCell ref="DV41:DZ41"/>
    <mergeCell ref="EA41:EE41"/>
    <mergeCell ref="BX41:CB41"/>
    <mergeCell ref="CC41:CG41"/>
    <mergeCell ref="CH41:CL41"/>
    <mergeCell ref="CM41:CQ41"/>
    <mergeCell ref="CR41:CV41"/>
    <mergeCell ref="CW41:DA41"/>
    <mergeCell ref="AT41:AX41"/>
    <mergeCell ref="AY41:BC41"/>
    <mergeCell ref="BD41:BH41"/>
    <mergeCell ref="BI41:BM41"/>
    <mergeCell ref="BN41:BR41"/>
    <mergeCell ref="BN42:BR42"/>
    <mergeCell ref="BS42:BW42"/>
    <mergeCell ref="BX42:CB42"/>
    <mergeCell ref="C42:Y42"/>
    <mergeCell ref="Z42:AD42"/>
    <mergeCell ref="AE42:AI42"/>
    <mergeCell ref="BN40:BR40"/>
    <mergeCell ref="BS40:BW40"/>
    <mergeCell ref="C41:Y41"/>
    <mergeCell ref="Z41:AD41"/>
    <mergeCell ref="AE41:AI41"/>
    <mergeCell ref="AJ41:AN41"/>
    <mergeCell ref="AO41:AS41"/>
    <mergeCell ref="AO42:AS42"/>
    <mergeCell ref="AT42:AX42"/>
    <mergeCell ref="EF41:EJ41"/>
    <mergeCell ref="EK41:EO41"/>
    <mergeCell ref="EK40:EO40"/>
    <mergeCell ref="BS43:BW43"/>
    <mergeCell ref="EK44:EO44"/>
    <mergeCell ref="EP44:ET44"/>
    <mergeCell ref="EU44:EY44"/>
    <mergeCell ref="EZ44:FD44"/>
    <mergeCell ref="FE44:FI44"/>
    <mergeCell ref="BS41:BW41"/>
    <mergeCell ref="EK42:EO42"/>
    <mergeCell ref="EP42:ET42"/>
    <mergeCell ref="EU42:EY42"/>
    <mergeCell ref="EZ42:FD42"/>
    <mergeCell ref="FE42:FI42"/>
    <mergeCell ref="C43:Y43"/>
    <mergeCell ref="Z43:AD43"/>
    <mergeCell ref="AE43:AI43"/>
    <mergeCell ref="AJ43:AN43"/>
    <mergeCell ref="AO43:AS43"/>
    <mergeCell ref="DG42:DK42"/>
    <mergeCell ref="DL42:DP42"/>
    <mergeCell ref="DQ42:DU42"/>
    <mergeCell ref="DV42:DZ42"/>
    <mergeCell ref="EA42:EE42"/>
    <mergeCell ref="EF42:EJ42"/>
    <mergeCell ref="CC42:CG42"/>
    <mergeCell ref="CH42:CL42"/>
    <mergeCell ref="CM42:CQ42"/>
    <mergeCell ref="CR42:CV42"/>
    <mergeCell ref="CW42:DA42"/>
    <mergeCell ref="DB42:DF42"/>
    <mergeCell ref="AY42:BC42"/>
    <mergeCell ref="BD42:BH42"/>
    <mergeCell ref="BI42:BM42"/>
    <mergeCell ref="BS44:BW44"/>
    <mergeCell ref="BX44:CB44"/>
    <mergeCell ref="C44:Y44"/>
    <mergeCell ref="Z44:AD44"/>
    <mergeCell ref="AE44:AI44"/>
    <mergeCell ref="AJ44:AN44"/>
    <mergeCell ref="AJ42:AN42"/>
    <mergeCell ref="AO44:AS44"/>
    <mergeCell ref="AT44:AX44"/>
    <mergeCell ref="EF43:EJ43"/>
    <mergeCell ref="EK43:EO43"/>
    <mergeCell ref="EP43:ET43"/>
    <mergeCell ref="EU43:EY43"/>
    <mergeCell ref="EZ43:FD43"/>
    <mergeCell ref="FE43:FI43"/>
    <mergeCell ref="DB43:DF43"/>
    <mergeCell ref="DG43:DK43"/>
    <mergeCell ref="DL43:DP43"/>
    <mergeCell ref="DQ43:DU43"/>
    <mergeCell ref="DV43:DZ43"/>
    <mergeCell ref="EA43:EE43"/>
    <mergeCell ref="BX43:CB43"/>
    <mergeCell ref="CC43:CG43"/>
    <mergeCell ref="CH43:CL43"/>
    <mergeCell ref="CM43:CQ43"/>
    <mergeCell ref="CR43:CV43"/>
    <mergeCell ref="CW43:DA43"/>
    <mergeCell ref="AT43:AX43"/>
    <mergeCell ref="AY43:BC43"/>
    <mergeCell ref="BD43:BH43"/>
    <mergeCell ref="BI43:BM43"/>
    <mergeCell ref="BN43:BR43"/>
    <mergeCell ref="AT45:AX45"/>
    <mergeCell ref="AY45:BC45"/>
    <mergeCell ref="BD45:BH45"/>
    <mergeCell ref="BI45:BM45"/>
    <mergeCell ref="BN45:BR45"/>
    <mergeCell ref="BS45:BW45"/>
    <mergeCell ref="EK46:EO46"/>
    <mergeCell ref="EP46:ET46"/>
    <mergeCell ref="EU46:EY46"/>
    <mergeCell ref="EZ46:FD46"/>
    <mergeCell ref="FE46:FI46"/>
    <mergeCell ref="C45:Y45"/>
    <mergeCell ref="Z45:AD45"/>
    <mergeCell ref="AE45:AI45"/>
    <mergeCell ref="AJ45:AN45"/>
    <mergeCell ref="AO45:AS45"/>
    <mergeCell ref="DG44:DK44"/>
    <mergeCell ref="DL44:DP44"/>
    <mergeCell ref="DQ44:DU44"/>
    <mergeCell ref="DV44:DZ44"/>
    <mergeCell ref="EA44:EE44"/>
    <mergeCell ref="EF44:EJ44"/>
    <mergeCell ref="CC44:CG44"/>
    <mergeCell ref="CH44:CL44"/>
    <mergeCell ref="CM44:CQ44"/>
    <mergeCell ref="CR44:CV44"/>
    <mergeCell ref="CW44:DA44"/>
    <mergeCell ref="DB44:DF44"/>
    <mergeCell ref="AY44:BC44"/>
    <mergeCell ref="BD44:BH44"/>
    <mergeCell ref="BI44:BM44"/>
    <mergeCell ref="BN44:BR44"/>
    <mergeCell ref="EF45:EJ45"/>
    <mergeCell ref="EK45:EO45"/>
    <mergeCell ref="EP45:ET45"/>
    <mergeCell ref="EU45:EY45"/>
    <mergeCell ref="EZ45:FD45"/>
    <mergeCell ref="FE45:FI45"/>
    <mergeCell ref="DB45:DF45"/>
    <mergeCell ref="DG45:DK45"/>
    <mergeCell ref="DL45:DP45"/>
    <mergeCell ref="DQ45:DU45"/>
    <mergeCell ref="DV45:DZ45"/>
    <mergeCell ref="EA45:EE45"/>
    <mergeCell ref="BX45:CB45"/>
    <mergeCell ref="CC45:CG45"/>
    <mergeCell ref="CH45:CL45"/>
    <mergeCell ref="CM45:CQ45"/>
    <mergeCell ref="CR45:CV45"/>
    <mergeCell ref="CW45:DA45"/>
    <mergeCell ref="C47:Y47"/>
    <mergeCell ref="Z47:AD47"/>
    <mergeCell ref="AE47:AI47"/>
    <mergeCell ref="AJ47:AN47"/>
    <mergeCell ref="AO47:AS47"/>
    <mergeCell ref="DG46:DK46"/>
    <mergeCell ref="DL46:DP46"/>
    <mergeCell ref="DQ46:DU46"/>
    <mergeCell ref="DV46:DZ46"/>
    <mergeCell ref="EA46:EE46"/>
    <mergeCell ref="EF46:EJ46"/>
    <mergeCell ref="CC46:CG46"/>
    <mergeCell ref="CH46:CL46"/>
    <mergeCell ref="CM46:CQ46"/>
    <mergeCell ref="CR46:CV46"/>
    <mergeCell ref="CW46:DA46"/>
    <mergeCell ref="DB46:DF46"/>
    <mergeCell ref="AY46:BC46"/>
    <mergeCell ref="BD46:BH46"/>
    <mergeCell ref="BI46:BM46"/>
    <mergeCell ref="BN46:BR46"/>
    <mergeCell ref="BS46:BW46"/>
    <mergeCell ref="BX46:CB46"/>
    <mergeCell ref="C46:Y46"/>
    <mergeCell ref="Z46:AD46"/>
    <mergeCell ref="AE46:AI46"/>
    <mergeCell ref="AJ46:AN46"/>
    <mergeCell ref="AO46:AS46"/>
    <mergeCell ref="AT46:AX46"/>
    <mergeCell ref="Z50:AD50"/>
    <mergeCell ref="AE50:AI50"/>
    <mergeCell ref="EF47:EJ47"/>
    <mergeCell ref="EK47:EO47"/>
    <mergeCell ref="EP47:ET47"/>
    <mergeCell ref="EU47:EY47"/>
    <mergeCell ref="EZ47:FD47"/>
    <mergeCell ref="FE47:FI47"/>
    <mergeCell ref="DB47:DF47"/>
    <mergeCell ref="DG47:DK47"/>
    <mergeCell ref="DL47:DP47"/>
    <mergeCell ref="DQ47:DU47"/>
    <mergeCell ref="DV47:DZ47"/>
    <mergeCell ref="EA47:EE47"/>
    <mergeCell ref="BX47:CB47"/>
    <mergeCell ref="CC47:CG47"/>
    <mergeCell ref="CH47:CL47"/>
    <mergeCell ref="CM47:CQ47"/>
    <mergeCell ref="CR47:CV47"/>
    <mergeCell ref="CW47:DA47"/>
    <mergeCell ref="AT47:AX47"/>
    <mergeCell ref="AY47:BC47"/>
    <mergeCell ref="BD47:BH47"/>
    <mergeCell ref="BI47:BM47"/>
    <mergeCell ref="BN47:BR47"/>
    <mergeCell ref="BS47:BW47"/>
    <mergeCell ref="EK48:EO48"/>
    <mergeCell ref="EP48:ET48"/>
    <mergeCell ref="EU48:EY48"/>
    <mergeCell ref="EZ48:FD48"/>
    <mergeCell ref="FE48:FI48"/>
    <mergeCell ref="AJ50:AN50"/>
    <mergeCell ref="C49:Y49"/>
    <mergeCell ref="Z49:AD49"/>
    <mergeCell ref="AE49:AI49"/>
    <mergeCell ref="AJ49:AN49"/>
    <mergeCell ref="AO49:AS49"/>
    <mergeCell ref="DG48:DK48"/>
    <mergeCell ref="DL48:DP48"/>
    <mergeCell ref="DQ48:DU48"/>
    <mergeCell ref="DV48:DZ48"/>
    <mergeCell ref="EA48:EE48"/>
    <mergeCell ref="EF48:EJ48"/>
    <mergeCell ref="CC48:CG48"/>
    <mergeCell ref="CH48:CL48"/>
    <mergeCell ref="CM48:CQ48"/>
    <mergeCell ref="CR48:CV48"/>
    <mergeCell ref="CW48:DA48"/>
    <mergeCell ref="DB48:DF48"/>
    <mergeCell ref="AY48:BC48"/>
    <mergeCell ref="BD48:BH48"/>
    <mergeCell ref="BI48:BM48"/>
    <mergeCell ref="BN48:BR48"/>
    <mergeCell ref="BS48:BW48"/>
    <mergeCell ref="BX48:CB48"/>
    <mergeCell ref="C48:Y48"/>
    <mergeCell ref="Z48:AD48"/>
    <mergeCell ref="AE48:AI48"/>
    <mergeCell ref="AJ48:AN48"/>
    <mergeCell ref="AO48:AS48"/>
    <mergeCell ref="AT48:AX48"/>
    <mergeCell ref="AO50:AS50"/>
    <mergeCell ref="AT50:AX50"/>
    <mergeCell ref="EF49:EJ49"/>
    <mergeCell ref="EK49:EO49"/>
    <mergeCell ref="EP49:ET49"/>
    <mergeCell ref="EU49:EY49"/>
    <mergeCell ref="EZ49:FD49"/>
    <mergeCell ref="FE49:FI49"/>
    <mergeCell ref="DB49:DF49"/>
    <mergeCell ref="DG49:DK49"/>
    <mergeCell ref="DL49:DP49"/>
    <mergeCell ref="DQ49:DU49"/>
    <mergeCell ref="DV49:DZ49"/>
    <mergeCell ref="EA49:EE49"/>
    <mergeCell ref="BX49:CB49"/>
    <mergeCell ref="CC49:CG49"/>
    <mergeCell ref="CH49:CL49"/>
    <mergeCell ref="CM49:CQ49"/>
    <mergeCell ref="CR49:CV49"/>
    <mergeCell ref="CW49:DA49"/>
    <mergeCell ref="AT49:AX49"/>
    <mergeCell ref="AY49:BC49"/>
    <mergeCell ref="BD49:BH49"/>
    <mergeCell ref="BI49:BM49"/>
    <mergeCell ref="BN49:BR49"/>
    <mergeCell ref="BS49:BW49"/>
    <mergeCell ref="EK50:EO50"/>
    <mergeCell ref="EP50:ET50"/>
    <mergeCell ref="EU50:EY50"/>
    <mergeCell ref="EZ50:FD50"/>
    <mergeCell ref="FE50:FI50"/>
    <mergeCell ref="BN51:BR51"/>
    <mergeCell ref="BS51:BW51"/>
    <mergeCell ref="EK52:EO52"/>
    <mergeCell ref="EP52:ET52"/>
    <mergeCell ref="EU52:EY52"/>
    <mergeCell ref="EZ52:FD52"/>
    <mergeCell ref="FE52:FI52"/>
    <mergeCell ref="DG52:DK52"/>
    <mergeCell ref="C51:Y51"/>
    <mergeCell ref="Z51:AD51"/>
    <mergeCell ref="AE51:AI51"/>
    <mergeCell ref="AJ51:AN51"/>
    <mergeCell ref="AO51:AS51"/>
    <mergeCell ref="DG50:DK50"/>
    <mergeCell ref="DL50:DP50"/>
    <mergeCell ref="DQ50:DU50"/>
    <mergeCell ref="DV50:DZ50"/>
    <mergeCell ref="EA50:EE50"/>
    <mergeCell ref="EF50:EJ50"/>
    <mergeCell ref="CC50:CG50"/>
    <mergeCell ref="CH50:CL50"/>
    <mergeCell ref="CM50:CQ50"/>
    <mergeCell ref="CR50:CV50"/>
    <mergeCell ref="CW50:DA50"/>
    <mergeCell ref="DB50:DF50"/>
    <mergeCell ref="AY50:BC50"/>
    <mergeCell ref="BD50:BH50"/>
    <mergeCell ref="BI50:BM50"/>
    <mergeCell ref="BN50:BR50"/>
    <mergeCell ref="BS50:BW50"/>
    <mergeCell ref="BX50:CB50"/>
    <mergeCell ref="C50:Y50"/>
    <mergeCell ref="CW52:DA52"/>
    <mergeCell ref="DB52:DF52"/>
    <mergeCell ref="AY52:BC52"/>
    <mergeCell ref="BD52:BH52"/>
    <mergeCell ref="BI52:BM52"/>
    <mergeCell ref="BN52:BR52"/>
    <mergeCell ref="BS52:BW52"/>
    <mergeCell ref="BX52:CB52"/>
    <mergeCell ref="AO52:AS52"/>
    <mergeCell ref="AT52:AX52"/>
    <mergeCell ref="EF51:EJ51"/>
    <mergeCell ref="EK51:EO51"/>
    <mergeCell ref="EP51:ET51"/>
    <mergeCell ref="EU51:EY51"/>
    <mergeCell ref="EZ51:FD51"/>
    <mergeCell ref="FE51:FI51"/>
    <mergeCell ref="DB51:DF51"/>
    <mergeCell ref="DG51:DK51"/>
    <mergeCell ref="DL51:DP51"/>
    <mergeCell ref="DQ51:DU51"/>
    <mergeCell ref="DV51:DZ51"/>
    <mergeCell ref="EA51:EE51"/>
    <mergeCell ref="BX51:CB51"/>
    <mergeCell ref="CC51:CG51"/>
    <mergeCell ref="CH51:CL51"/>
    <mergeCell ref="CM51:CQ51"/>
    <mergeCell ref="CR51:CV51"/>
    <mergeCell ref="CW51:DA51"/>
    <mergeCell ref="AT51:AX51"/>
    <mergeCell ref="AY51:BC51"/>
    <mergeCell ref="BD51:BH51"/>
    <mergeCell ref="BI51:BM51"/>
    <mergeCell ref="C52:Y52"/>
    <mergeCell ref="Z52:AD52"/>
    <mergeCell ref="AE52:AI52"/>
    <mergeCell ref="AJ52:AN52"/>
    <mergeCell ref="C53:Y53"/>
    <mergeCell ref="Z53:AD53"/>
    <mergeCell ref="AE53:AI53"/>
    <mergeCell ref="AJ53:AN53"/>
    <mergeCell ref="AO53:AS53"/>
    <mergeCell ref="A54:A55"/>
    <mergeCell ref="C54:Y54"/>
    <mergeCell ref="Z54:AD55"/>
    <mergeCell ref="AE54:AI55"/>
    <mergeCell ref="AJ54:AN55"/>
    <mergeCell ref="AO54:AS55"/>
    <mergeCell ref="C55:Y55"/>
    <mergeCell ref="EF53:EJ53"/>
    <mergeCell ref="AT53:AX53"/>
    <mergeCell ref="AY53:BC53"/>
    <mergeCell ref="BD53:BH53"/>
    <mergeCell ref="BI53:BM53"/>
    <mergeCell ref="BN53:BR53"/>
    <mergeCell ref="BS53:BW53"/>
    <mergeCell ref="DL52:DP52"/>
    <mergeCell ref="DQ52:DU52"/>
    <mergeCell ref="DV52:DZ52"/>
    <mergeCell ref="EA52:EE52"/>
    <mergeCell ref="EF52:EJ52"/>
    <mergeCell ref="CC52:CG52"/>
    <mergeCell ref="CH52:CL52"/>
    <mergeCell ref="CM52:CQ52"/>
    <mergeCell ref="CR52:CV52"/>
    <mergeCell ref="BX54:CB55"/>
    <mergeCell ref="CC54:CG55"/>
    <mergeCell ref="CH54:CL55"/>
    <mergeCell ref="CM54:CQ55"/>
    <mergeCell ref="CR54:CV55"/>
    <mergeCell ref="CW54:DA55"/>
    <mergeCell ref="AT54:AX55"/>
    <mergeCell ref="AY54:BC55"/>
    <mergeCell ref="BD54:BH55"/>
    <mergeCell ref="BI54:BM55"/>
    <mergeCell ref="BN54:BR55"/>
    <mergeCell ref="BS54:BW55"/>
    <mergeCell ref="EK53:EO53"/>
    <mergeCell ref="EP53:ET53"/>
    <mergeCell ref="EU53:EY53"/>
    <mergeCell ref="EZ53:FD53"/>
    <mergeCell ref="FE53:FI53"/>
    <mergeCell ref="DB53:DF53"/>
    <mergeCell ref="DG53:DK53"/>
    <mergeCell ref="DL53:DP53"/>
    <mergeCell ref="DQ53:DU53"/>
    <mergeCell ref="DV53:DZ53"/>
    <mergeCell ref="EA53:EE53"/>
    <mergeCell ref="BX53:CB53"/>
    <mergeCell ref="CC53:CG53"/>
    <mergeCell ref="CH53:CL53"/>
    <mergeCell ref="CM53:CQ53"/>
    <mergeCell ref="CR53:CV53"/>
    <mergeCell ref="CW53:DA53"/>
    <mergeCell ref="EF54:EJ55"/>
    <mergeCell ref="EK54:EO55"/>
    <mergeCell ref="EP54:ET55"/>
    <mergeCell ref="EU54:EY55"/>
    <mergeCell ref="EF56:EJ57"/>
    <mergeCell ref="EK56:EO57"/>
    <mergeCell ref="EP56:ET57"/>
    <mergeCell ref="EU56:EY57"/>
    <mergeCell ref="CM56:CQ57"/>
    <mergeCell ref="CR56:CV57"/>
    <mergeCell ref="CW56:DA57"/>
    <mergeCell ref="EZ54:FD55"/>
    <mergeCell ref="FE54:FI55"/>
    <mergeCell ref="DB54:DF55"/>
    <mergeCell ref="DG54:DK55"/>
    <mergeCell ref="DL54:DP55"/>
    <mergeCell ref="DQ54:DU55"/>
    <mergeCell ref="DV54:DZ55"/>
    <mergeCell ref="EA54:EE55"/>
    <mergeCell ref="EP58:ET59"/>
    <mergeCell ref="EU58:EY59"/>
    <mergeCell ref="AT56:AX57"/>
    <mergeCell ref="AY56:BC57"/>
    <mergeCell ref="BD56:BH57"/>
    <mergeCell ref="BI56:BM57"/>
    <mergeCell ref="BN56:BR57"/>
    <mergeCell ref="BS56:BW57"/>
    <mergeCell ref="AT58:AX59"/>
    <mergeCell ref="AY58:BC59"/>
    <mergeCell ref="BD58:BH59"/>
    <mergeCell ref="BI58:BM59"/>
    <mergeCell ref="BN58:BR59"/>
    <mergeCell ref="BS58:BW59"/>
    <mergeCell ref="A56:A57"/>
    <mergeCell ref="C56:Y56"/>
    <mergeCell ref="Z56:AD57"/>
    <mergeCell ref="AE56:AI57"/>
    <mergeCell ref="AJ56:AN57"/>
    <mergeCell ref="AO56:AS57"/>
    <mergeCell ref="C57:Y57"/>
    <mergeCell ref="AT72:AX73"/>
    <mergeCell ref="AY72:BC73"/>
    <mergeCell ref="BD72:BH73"/>
    <mergeCell ref="BI72:BM73"/>
    <mergeCell ref="BN72:BR73"/>
    <mergeCell ref="BS72:BW73"/>
    <mergeCell ref="A72:A73"/>
    <mergeCell ref="C72:Y72"/>
    <mergeCell ref="Z72:AD73"/>
    <mergeCell ref="AE72:AI73"/>
    <mergeCell ref="AJ72:AN73"/>
    <mergeCell ref="AO72:AS73"/>
    <mergeCell ref="C73:Y73"/>
    <mergeCell ref="Z64:AD65"/>
    <mergeCell ref="AE64:AI65"/>
    <mergeCell ref="A58:A59"/>
    <mergeCell ref="C58:Y58"/>
    <mergeCell ref="Z58:AD59"/>
    <mergeCell ref="AE58:AI59"/>
    <mergeCell ref="AJ58:AN59"/>
    <mergeCell ref="AO58:AS59"/>
    <mergeCell ref="C59:Y59"/>
    <mergeCell ref="AT66:AX67"/>
    <mergeCell ref="AY66:BC67"/>
    <mergeCell ref="BD66:BH67"/>
    <mergeCell ref="BI66:BM67"/>
    <mergeCell ref="BN66:BR67"/>
    <mergeCell ref="BS66:BW67"/>
    <mergeCell ref="AT60:AX61"/>
    <mergeCell ref="AY60:BC61"/>
    <mergeCell ref="BD60:BH61"/>
    <mergeCell ref="BI60:BM61"/>
    <mergeCell ref="EF72:EJ73"/>
    <mergeCell ref="EK72:EO73"/>
    <mergeCell ref="EP72:ET73"/>
    <mergeCell ref="EU72:EY73"/>
    <mergeCell ref="EZ72:FD73"/>
    <mergeCell ref="FE72:FI73"/>
    <mergeCell ref="DB72:DF73"/>
    <mergeCell ref="DG72:DK73"/>
    <mergeCell ref="DL72:DP73"/>
    <mergeCell ref="DQ72:DU73"/>
    <mergeCell ref="DV72:DZ73"/>
    <mergeCell ref="EA72:EE73"/>
    <mergeCell ref="BX72:CB73"/>
    <mergeCell ref="CC72:CG73"/>
    <mergeCell ref="CH72:CL73"/>
    <mergeCell ref="CM72:CQ73"/>
    <mergeCell ref="CR72:CV73"/>
    <mergeCell ref="CW72:DA73"/>
    <mergeCell ref="EZ74:FD75"/>
    <mergeCell ref="FE74:FI75"/>
    <mergeCell ref="DB74:DF75"/>
    <mergeCell ref="DG74:DK75"/>
    <mergeCell ref="DL74:DP75"/>
    <mergeCell ref="DQ74:DU75"/>
    <mergeCell ref="DV74:DZ75"/>
    <mergeCell ref="EA74:EE75"/>
    <mergeCell ref="BX74:CB75"/>
    <mergeCell ref="CC74:CG75"/>
    <mergeCell ref="CH74:CL75"/>
    <mergeCell ref="CM74:CQ75"/>
    <mergeCell ref="CR74:CV75"/>
    <mergeCell ref="CW74:DA75"/>
    <mergeCell ref="AT74:AX75"/>
    <mergeCell ref="AY74:BC75"/>
    <mergeCell ref="BD74:BH75"/>
    <mergeCell ref="BI74:BM75"/>
    <mergeCell ref="BN74:BR75"/>
    <mergeCell ref="BS74:BW75"/>
    <mergeCell ref="AT76:AX77"/>
    <mergeCell ref="AY76:BC77"/>
    <mergeCell ref="BD76:BH77"/>
    <mergeCell ref="BI76:BM77"/>
    <mergeCell ref="BN76:BR77"/>
    <mergeCell ref="BS76:BW77"/>
    <mergeCell ref="A76:A77"/>
    <mergeCell ref="C76:Y76"/>
    <mergeCell ref="Z76:AD77"/>
    <mergeCell ref="AE76:AI77"/>
    <mergeCell ref="AJ76:AN77"/>
    <mergeCell ref="AO76:AS77"/>
    <mergeCell ref="C77:Y77"/>
    <mergeCell ref="EF74:EJ75"/>
    <mergeCell ref="EK74:EO75"/>
    <mergeCell ref="EP74:ET75"/>
    <mergeCell ref="EU74:EY75"/>
    <mergeCell ref="A74:A75"/>
    <mergeCell ref="C74:Y74"/>
    <mergeCell ref="Z74:AD75"/>
    <mergeCell ref="AE74:AI75"/>
    <mergeCell ref="AJ74:AN75"/>
    <mergeCell ref="AO74:AS75"/>
    <mergeCell ref="C75:Y75"/>
    <mergeCell ref="EF76:EJ77"/>
    <mergeCell ref="EK76:EO77"/>
    <mergeCell ref="EP76:ET77"/>
    <mergeCell ref="EU76:EY77"/>
    <mergeCell ref="EZ76:FD77"/>
    <mergeCell ref="FE76:FI77"/>
    <mergeCell ref="DB76:DF77"/>
    <mergeCell ref="DG76:DK77"/>
    <mergeCell ref="DL76:DP77"/>
    <mergeCell ref="DQ76:DU77"/>
    <mergeCell ref="DV76:DZ77"/>
    <mergeCell ref="EA76:EE77"/>
    <mergeCell ref="BX76:CB77"/>
    <mergeCell ref="CC76:CG77"/>
    <mergeCell ref="CH76:CL77"/>
    <mergeCell ref="CM76:CQ77"/>
    <mergeCell ref="CR76:CV77"/>
    <mergeCell ref="CW76:DA77"/>
    <mergeCell ref="EZ78:FD79"/>
    <mergeCell ref="FE78:FI79"/>
    <mergeCell ref="DB78:DF79"/>
    <mergeCell ref="DG78:DK79"/>
    <mergeCell ref="DL78:DP79"/>
    <mergeCell ref="DQ78:DU79"/>
    <mergeCell ref="DV78:DZ79"/>
    <mergeCell ref="EA78:EE79"/>
    <mergeCell ref="BX78:CB79"/>
    <mergeCell ref="CC78:CG79"/>
    <mergeCell ref="CH78:CL79"/>
    <mergeCell ref="CM78:CQ79"/>
    <mergeCell ref="CR78:CV79"/>
    <mergeCell ref="CW78:DA79"/>
    <mergeCell ref="EF78:EJ79"/>
    <mergeCell ref="EK78:EO79"/>
    <mergeCell ref="EP78:ET79"/>
    <mergeCell ref="EU78:EY79"/>
    <mergeCell ref="AT78:AX79"/>
    <mergeCell ref="AY78:BC79"/>
    <mergeCell ref="BD78:BH79"/>
    <mergeCell ref="BI78:BM79"/>
    <mergeCell ref="BN78:BR79"/>
    <mergeCell ref="BS78:BW79"/>
    <mergeCell ref="AT80:AX81"/>
    <mergeCell ref="AY80:BC81"/>
    <mergeCell ref="BD80:BH81"/>
    <mergeCell ref="BI80:BM81"/>
    <mergeCell ref="BN80:BR81"/>
    <mergeCell ref="BS80:BW81"/>
    <mergeCell ref="A80:A81"/>
    <mergeCell ref="C80:Y80"/>
    <mergeCell ref="Z80:AD81"/>
    <mergeCell ref="AE80:AI81"/>
    <mergeCell ref="AJ80:AN81"/>
    <mergeCell ref="AO80:AS81"/>
    <mergeCell ref="C81:Y81"/>
    <mergeCell ref="A78:A79"/>
    <mergeCell ref="C78:Y78"/>
    <mergeCell ref="Z78:AD79"/>
    <mergeCell ref="AE78:AI79"/>
    <mergeCell ref="AJ78:AN79"/>
    <mergeCell ref="AO78:AS79"/>
    <mergeCell ref="C79:Y79"/>
    <mergeCell ref="EF80:EJ81"/>
    <mergeCell ref="EK80:EO81"/>
    <mergeCell ref="EP80:ET81"/>
    <mergeCell ref="EU80:EY81"/>
    <mergeCell ref="EZ80:FD81"/>
    <mergeCell ref="FE80:FI81"/>
    <mergeCell ref="DB80:DF81"/>
    <mergeCell ref="DG80:DK81"/>
    <mergeCell ref="DL80:DP81"/>
    <mergeCell ref="DQ80:DU81"/>
    <mergeCell ref="DV80:DZ81"/>
    <mergeCell ref="EA80:EE81"/>
    <mergeCell ref="BX80:CB81"/>
    <mergeCell ref="CC80:CG81"/>
    <mergeCell ref="CH80:CL81"/>
    <mergeCell ref="CM80:CQ81"/>
    <mergeCell ref="CR80:CV81"/>
    <mergeCell ref="CW80:DA81"/>
    <mergeCell ref="EP84:ET85"/>
    <mergeCell ref="EU84:EY85"/>
    <mergeCell ref="A88:A89"/>
    <mergeCell ref="C88:Y88"/>
    <mergeCell ref="Z88:AD89"/>
    <mergeCell ref="AE88:AI89"/>
    <mergeCell ref="AJ88:AN89"/>
    <mergeCell ref="AO88:AS89"/>
    <mergeCell ref="C89:Y89"/>
    <mergeCell ref="EF86:EJ87"/>
    <mergeCell ref="EK86:EO87"/>
    <mergeCell ref="EP86:ET87"/>
    <mergeCell ref="EU86:EY87"/>
    <mergeCell ref="A86:A87"/>
    <mergeCell ref="C86:Y86"/>
    <mergeCell ref="Z86:AD87"/>
    <mergeCell ref="AE86:AI87"/>
    <mergeCell ref="AJ86:AN87"/>
    <mergeCell ref="AO86:AS87"/>
    <mergeCell ref="C87:Y87"/>
    <mergeCell ref="EF88:EJ89"/>
    <mergeCell ref="EK88:EO89"/>
    <mergeCell ref="EP88:ET89"/>
    <mergeCell ref="EU88:EY89"/>
    <mergeCell ref="DG86:DK87"/>
    <mergeCell ref="DL86:DP87"/>
    <mergeCell ref="DQ86:DU87"/>
    <mergeCell ref="DV86:DZ87"/>
    <mergeCell ref="AT88:AX89"/>
    <mergeCell ref="AY88:BC89"/>
    <mergeCell ref="BD88:BH89"/>
    <mergeCell ref="BI88:BM89"/>
    <mergeCell ref="BN88:BR89"/>
    <mergeCell ref="BS88:BW89"/>
    <mergeCell ref="EK92:EO92"/>
    <mergeCell ref="EP92:ET92"/>
    <mergeCell ref="EU92:EY92"/>
    <mergeCell ref="EZ92:FD92"/>
    <mergeCell ref="FE92:FI92"/>
    <mergeCell ref="EA86:EE87"/>
    <mergeCell ref="BX86:CB87"/>
    <mergeCell ref="CC86:CG87"/>
    <mergeCell ref="CH86:CL87"/>
    <mergeCell ref="CM86:CQ87"/>
    <mergeCell ref="CR86:CV87"/>
    <mergeCell ref="EZ88:FD89"/>
    <mergeCell ref="FE88:FI89"/>
    <mergeCell ref="DB88:DF89"/>
    <mergeCell ref="DG88:DK89"/>
    <mergeCell ref="DL88:DP89"/>
    <mergeCell ref="DQ88:DU89"/>
    <mergeCell ref="DV88:DZ89"/>
    <mergeCell ref="EA88:EE89"/>
    <mergeCell ref="BX88:CB89"/>
    <mergeCell ref="CC88:CG89"/>
    <mergeCell ref="CH88:CL89"/>
    <mergeCell ref="CM88:CQ89"/>
    <mergeCell ref="CR88:CV89"/>
    <mergeCell ref="CW88:DA89"/>
    <mergeCell ref="EZ86:FD87"/>
    <mergeCell ref="FE86:FI87"/>
    <mergeCell ref="DB86:DF87"/>
    <mergeCell ref="CW86:DA87"/>
    <mergeCell ref="A90:A91"/>
    <mergeCell ref="C90:Y90"/>
    <mergeCell ref="Z90:AD91"/>
    <mergeCell ref="AE90:AI91"/>
    <mergeCell ref="AJ90:AN91"/>
    <mergeCell ref="AO90:AS91"/>
    <mergeCell ref="C91:Y91"/>
    <mergeCell ref="EF90:EJ91"/>
    <mergeCell ref="EK90:EO91"/>
    <mergeCell ref="EP90:ET91"/>
    <mergeCell ref="EU90:EY91"/>
    <mergeCell ref="EZ90:FD91"/>
    <mergeCell ref="FE90:FI91"/>
    <mergeCell ref="DB90:DF91"/>
    <mergeCell ref="DG90:DK91"/>
    <mergeCell ref="DL90:DP91"/>
    <mergeCell ref="DQ90:DU91"/>
    <mergeCell ref="DV90:DZ91"/>
    <mergeCell ref="EA90:EE91"/>
    <mergeCell ref="BX90:CB91"/>
    <mergeCell ref="CC90:CG91"/>
    <mergeCell ref="CH90:CL91"/>
    <mergeCell ref="CM90:CQ91"/>
    <mergeCell ref="CR90:CV91"/>
    <mergeCell ref="CW90:DA91"/>
    <mergeCell ref="AT90:AX91"/>
    <mergeCell ref="AY90:BC91"/>
    <mergeCell ref="BD90:BH91"/>
    <mergeCell ref="BI90:BM91"/>
    <mergeCell ref="BN90:BR91"/>
    <mergeCell ref="BS90:BW91"/>
    <mergeCell ref="EU94:EY94"/>
    <mergeCell ref="EZ94:FD94"/>
    <mergeCell ref="FE94:FI94"/>
    <mergeCell ref="C93:Y93"/>
    <mergeCell ref="Z93:AD93"/>
    <mergeCell ref="AE93:AI93"/>
    <mergeCell ref="AJ93:AN93"/>
    <mergeCell ref="AO93:AS93"/>
    <mergeCell ref="DG92:DK92"/>
    <mergeCell ref="DL92:DP92"/>
    <mergeCell ref="DQ92:DU92"/>
    <mergeCell ref="DV92:DZ92"/>
    <mergeCell ref="EA92:EE92"/>
    <mergeCell ref="EF92:EJ92"/>
    <mergeCell ref="CC92:CG92"/>
    <mergeCell ref="CH92:CL92"/>
    <mergeCell ref="CM92:CQ92"/>
    <mergeCell ref="CR92:CV92"/>
    <mergeCell ref="CW92:DA92"/>
    <mergeCell ref="DB92:DF92"/>
    <mergeCell ref="AY92:BC92"/>
    <mergeCell ref="BD92:BH92"/>
    <mergeCell ref="BI92:BM92"/>
    <mergeCell ref="BN92:BR92"/>
    <mergeCell ref="BS92:BW92"/>
    <mergeCell ref="BX92:CB92"/>
    <mergeCell ref="C92:Y92"/>
    <mergeCell ref="Z92:AD92"/>
    <mergeCell ref="AE92:AI92"/>
    <mergeCell ref="AJ92:AN92"/>
    <mergeCell ref="AO92:AS92"/>
    <mergeCell ref="AT92:AX92"/>
    <mergeCell ref="C94:Y94"/>
    <mergeCell ref="Z94:AD94"/>
    <mergeCell ref="AE94:AI94"/>
    <mergeCell ref="AJ94:AN94"/>
    <mergeCell ref="AO94:AS94"/>
    <mergeCell ref="AT94:AX94"/>
    <mergeCell ref="EF93:EJ93"/>
    <mergeCell ref="EK93:EO93"/>
    <mergeCell ref="EP93:ET93"/>
    <mergeCell ref="EU93:EY93"/>
    <mergeCell ref="EZ93:FD93"/>
    <mergeCell ref="FE93:FI93"/>
    <mergeCell ref="DB93:DF93"/>
    <mergeCell ref="DG93:DK93"/>
    <mergeCell ref="DL93:DP93"/>
    <mergeCell ref="DQ93:DU93"/>
    <mergeCell ref="DV93:DZ93"/>
    <mergeCell ref="EA93:EE93"/>
    <mergeCell ref="BX93:CB93"/>
    <mergeCell ref="CC93:CG93"/>
    <mergeCell ref="CH93:CL93"/>
    <mergeCell ref="CM93:CQ93"/>
    <mergeCell ref="CR93:CV93"/>
    <mergeCell ref="CW93:DA93"/>
    <mergeCell ref="AT93:AX93"/>
    <mergeCell ref="AY93:BC93"/>
    <mergeCell ref="BD93:BH93"/>
    <mergeCell ref="BI93:BM93"/>
    <mergeCell ref="BN93:BR93"/>
    <mergeCell ref="BS93:BW93"/>
    <mergeCell ref="EK94:EO94"/>
    <mergeCell ref="EP94:ET94"/>
    <mergeCell ref="AE95:AI95"/>
    <mergeCell ref="AJ95:AN95"/>
    <mergeCell ref="AO95:AS95"/>
    <mergeCell ref="DG94:DK94"/>
    <mergeCell ref="DL94:DP94"/>
    <mergeCell ref="DQ94:DU94"/>
    <mergeCell ref="DV94:DZ94"/>
    <mergeCell ref="EA94:EE94"/>
    <mergeCell ref="EF94:EJ94"/>
    <mergeCell ref="CC94:CG94"/>
    <mergeCell ref="CH94:CL94"/>
    <mergeCell ref="CM94:CQ94"/>
    <mergeCell ref="CR94:CV94"/>
    <mergeCell ref="CW94:DA94"/>
    <mergeCell ref="DB94:DF94"/>
    <mergeCell ref="AY94:BC94"/>
    <mergeCell ref="BD94:BH94"/>
    <mergeCell ref="BI94:BM94"/>
    <mergeCell ref="BN94:BR94"/>
    <mergeCell ref="BS94:BW94"/>
    <mergeCell ref="BX94:CB94"/>
    <mergeCell ref="C96:Y96"/>
    <mergeCell ref="Z96:AD96"/>
    <mergeCell ref="AE96:AI96"/>
    <mergeCell ref="AJ96:AN96"/>
    <mergeCell ref="AO96:AS96"/>
    <mergeCell ref="AT96:AX96"/>
    <mergeCell ref="EF95:EJ95"/>
    <mergeCell ref="EK95:EO95"/>
    <mergeCell ref="EP95:ET95"/>
    <mergeCell ref="EU95:EY95"/>
    <mergeCell ref="EZ95:FD95"/>
    <mergeCell ref="FE95:FI95"/>
    <mergeCell ref="DB95:DF95"/>
    <mergeCell ref="DG95:DK95"/>
    <mergeCell ref="DL95:DP95"/>
    <mergeCell ref="DQ95:DU95"/>
    <mergeCell ref="DV95:DZ95"/>
    <mergeCell ref="EA95:EE95"/>
    <mergeCell ref="BX95:CB95"/>
    <mergeCell ref="CC95:CG95"/>
    <mergeCell ref="CH95:CL95"/>
    <mergeCell ref="CM95:CQ95"/>
    <mergeCell ref="CR95:CV95"/>
    <mergeCell ref="CW95:DA95"/>
    <mergeCell ref="AT95:AX95"/>
    <mergeCell ref="AY95:BC95"/>
    <mergeCell ref="BD95:BH95"/>
    <mergeCell ref="BI95:BM95"/>
    <mergeCell ref="BN95:BR95"/>
    <mergeCell ref="BS95:BW95"/>
    <mergeCell ref="C95:Y95"/>
    <mergeCell ref="Z95:AD95"/>
    <mergeCell ref="EK96:EO96"/>
    <mergeCell ref="EP96:ET96"/>
    <mergeCell ref="EU96:EY96"/>
    <mergeCell ref="EZ96:FD96"/>
    <mergeCell ref="FE96:FI96"/>
    <mergeCell ref="Z98:AD98"/>
    <mergeCell ref="DG96:DK96"/>
    <mergeCell ref="DL96:DP96"/>
    <mergeCell ref="DQ96:DU96"/>
    <mergeCell ref="DV96:DZ96"/>
    <mergeCell ref="EA96:EE96"/>
    <mergeCell ref="EF96:EJ96"/>
    <mergeCell ref="CC96:CG96"/>
    <mergeCell ref="CH96:CL96"/>
    <mergeCell ref="CM96:CQ96"/>
    <mergeCell ref="CR96:CV96"/>
    <mergeCell ref="CW96:DA96"/>
    <mergeCell ref="DB96:DF96"/>
    <mergeCell ref="AY96:BC96"/>
    <mergeCell ref="BD96:BH96"/>
    <mergeCell ref="BI96:BM96"/>
    <mergeCell ref="BN96:BR96"/>
    <mergeCell ref="BS96:BW96"/>
    <mergeCell ref="BX96:CB96"/>
    <mergeCell ref="AP108:AW108"/>
    <mergeCell ref="B105:AE105"/>
    <mergeCell ref="AP105:AW105"/>
    <mergeCell ref="AX105:CJ112"/>
    <mergeCell ref="B106:AE106"/>
    <mergeCell ref="AP106:AW106"/>
    <mergeCell ref="B107:AE107"/>
    <mergeCell ref="B99:FI99"/>
    <mergeCell ref="B100:FI100"/>
    <mergeCell ref="B101:FI101"/>
    <mergeCell ref="B102:FI102"/>
    <mergeCell ref="B104:AE104"/>
    <mergeCell ref="AP104:AW104"/>
    <mergeCell ref="AX104:CL104"/>
    <mergeCell ref="CS104:EQ112"/>
    <mergeCell ref="AF104:AO104"/>
    <mergeCell ref="AF105:AO105"/>
    <mergeCell ref="AF106:AO106"/>
    <mergeCell ref="AF107:AO107"/>
    <mergeCell ref="AF108:AO108"/>
    <mergeCell ref="AF109:AO109"/>
    <mergeCell ref="AF110:AO110"/>
    <mergeCell ref="AF111:AO111"/>
    <mergeCell ref="AF112:AO112"/>
    <mergeCell ref="B120:X120"/>
    <mergeCell ref="Y120:AX120"/>
    <mergeCell ref="A62:A63"/>
    <mergeCell ref="C62:Y62"/>
    <mergeCell ref="Z62:AD63"/>
    <mergeCell ref="AE62:AI63"/>
    <mergeCell ref="AJ62:AN63"/>
    <mergeCell ref="AO62:AS63"/>
    <mergeCell ref="AT62:AX63"/>
    <mergeCell ref="A64:A65"/>
    <mergeCell ref="B117:X117"/>
    <mergeCell ref="Y117:AX117"/>
    <mergeCell ref="B118:X118"/>
    <mergeCell ref="Y118:AX118"/>
    <mergeCell ref="B119:X119"/>
    <mergeCell ref="Y119:AX119"/>
    <mergeCell ref="B114:X114"/>
    <mergeCell ref="Y114:AX114"/>
    <mergeCell ref="B115:X115"/>
    <mergeCell ref="Y115:AX115"/>
    <mergeCell ref="B116:X116"/>
    <mergeCell ref="Y116:AX116"/>
    <mergeCell ref="B111:AE111"/>
    <mergeCell ref="AP111:AW111"/>
    <mergeCell ref="B112:AE112"/>
    <mergeCell ref="AP112:AW112"/>
    <mergeCell ref="B109:AE109"/>
    <mergeCell ref="AP109:AW109"/>
    <mergeCell ref="B110:AE110"/>
    <mergeCell ref="AP110:AW110"/>
    <mergeCell ref="AP107:AW107"/>
    <mergeCell ref="B108:AE108"/>
    <mergeCell ref="EK62:EO63"/>
    <mergeCell ref="EP62:ET63"/>
    <mergeCell ref="EU62:EY63"/>
    <mergeCell ref="EZ62:FD63"/>
    <mergeCell ref="FE62:FI63"/>
    <mergeCell ref="C63:Y63"/>
    <mergeCell ref="DG62:DK63"/>
    <mergeCell ref="DL62:DP63"/>
    <mergeCell ref="DQ62:DU63"/>
    <mergeCell ref="DV62:DZ63"/>
    <mergeCell ref="EA62:EE63"/>
    <mergeCell ref="EF62:EJ63"/>
    <mergeCell ref="CC62:CG63"/>
    <mergeCell ref="CH62:CL63"/>
    <mergeCell ref="CM62:CQ63"/>
    <mergeCell ref="CR62:CV63"/>
    <mergeCell ref="CW62:DA63"/>
    <mergeCell ref="DB62:DF63"/>
    <mergeCell ref="AY62:BC63"/>
    <mergeCell ref="BD62:BH63"/>
    <mergeCell ref="BI62:BM63"/>
    <mergeCell ref="BN62:BR63"/>
    <mergeCell ref="BS62:BW63"/>
    <mergeCell ref="BX62:CB63"/>
    <mergeCell ref="EK64:EO65"/>
    <mergeCell ref="EP64:ET65"/>
    <mergeCell ref="EU64:EY65"/>
    <mergeCell ref="EZ64:FD65"/>
    <mergeCell ref="FE64:FI65"/>
    <mergeCell ref="C65:Y65"/>
    <mergeCell ref="DG64:DK65"/>
    <mergeCell ref="DL64:DP65"/>
    <mergeCell ref="DQ64:DU65"/>
    <mergeCell ref="DV64:DZ65"/>
    <mergeCell ref="EA64:EE65"/>
    <mergeCell ref="EF64:EJ65"/>
    <mergeCell ref="CC64:CG65"/>
    <mergeCell ref="CH64:CL65"/>
    <mergeCell ref="CM64:CQ65"/>
    <mergeCell ref="CR64:CV65"/>
    <mergeCell ref="CW64:DA65"/>
    <mergeCell ref="DB64:DF65"/>
    <mergeCell ref="AY64:BC65"/>
    <mergeCell ref="BD64:BH65"/>
    <mergeCell ref="BI64:BM65"/>
    <mergeCell ref="BN64:BR65"/>
    <mergeCell ref="BS64:BW65"/>
    <mergeCell ref="BX64:CB65"/>
    <mergeCell ref="C64:Y64"/>
    <mergeCell ref="AJ64:AN65"/>
    <mergeCell ref="AO64:AS65"/>
    <mergeCell ref="AT64:AX65"/>
    <mergeCell ref="EZ68:FD69"/>
    <mergeCell ref="FE68:FI69"/>
    <mergeCell ref="DB68:DF69"/>
    <mergeCell ref="DG68:DK69"/>
    <mergeCell ref="DL68:DP69"/>
    <mergeCell ref="A66:A67"/>
    <mergeCell ref="C66:Y66"/>
    <mergeCell ref="Z66:AD67"/>
    <mergeCell ref="AE66:AI67"/>
    <mergeCell ref="AJ66:AN67"/>
    <mergeCell ref="AO66:AS67"/>
    <mergeCell ref="C67:Y67"/>
    <mergeCell ref="EF66:EJ67"/>
    <mergeCell ref="EK66:EO67"/>
    <mergeCell ref="EP66:ET67"/>
    <mergeCell ref="EU66:EY67"/>
    <mergeCell ref="EZ66:FD67"/>
    <mergeCell ref="FE66:FI67"/>
    <mergeCell ref="DB66:DF67"/>
    <mergeCell ref="DG66:DK67"/>
    <mergeCell ref="DL66:DP67"/>
    <mergeCell ref="DQ66:DU67"/>
    <mergeCell ref="DV66:DZ67"/>
    <mergeCell ref="EA66:EE67"/>
    <mergeCell ref="BX66:CB67"/>
    <mergeCell ref="CC66:CG67"/>
    <mergeCell ref="CH66:CL67"/>
    <mergeCell ref="CM66:CQ67"/>
    <mergeCell ref="CR66:CV67"/>
    <mergeCell ref="CW66:DA67"/>
    <mergeCell ref="EZ70:FD71"/>
    <mergeCell ref="FE70:FI71"/>
    <mergeCell ref="DB70:DF71"/>
    <mergeCell ref="DG70:DK71"/>
    <mergeCell ref="DL70:DP71"/>
    <mergeCell ref="DQ70:DU71"/>
    <mergeCell ref="DV70:DZ71"/>
    <mergeCell ref="EA70:EE71"/>
    <mergeCell ref="BX70:CB71"/>
    <mergeCell ref="CC70:CG71"/>
    <mergeCell ref="CH70:CL71"/>
    <mergeCell ref="CM70:CQ71"/>
    <mergeCell ref="CR70:CV71"/>
    <mergeCell ref="CW70:DA71"/>
    <mergeCell ref="AT70:AX71"/>
    <mergeCell ref="AY70:BC71"/>
    <mergeCell ref="BD70:BH71"/>
    <mergeCell ref="EK70:EO71"/>
    <mergeCell ref="EP70:ET71"/>
    <mergeCell ref="EU70:EY71"/>
    <mergeCell ref="BN60:BR61"/>
    <mergeCell ref="BS60:BW61"/>
    <mergeCell ref="A60:A61"/>
    <mergeCell ref="C60:Y60"/>
    <mergeCell ref="Z60:AD61"/>
    <mergeCell ref="AE60:AI61"/>
    <mergeCell ref="AJ60:AN61"/>
    <mergeCell ref="AO60:AS61"/>
    <mergeCell ref="C61:Y61"/>
    <mergeCell ref="EF70:EJ71"/>
    <mergeCell ref="EF60:EJ61"/>
    <mergeCell ref="DQ68:DU69"/>
    <mergeCell ref="DV68:DZ69"/>
    <mergeCell ref="EA68:EE69"/>
    <mergeCell ref="BX68:CB69"/>
    <mergeCell ref="CC68:CG69"/>
    <mergeCell ref="CH68:CL69"/>
    <mergeCell ref="CM68:CQ69"/>
    <mergeCell ref="CR68:CV69"/>
    <mergeCell ref="CW68:DA69"/>
    <mergeCell ref="AT68:AX69"/>
    <mergeCell ref="AY68:BC69"/>
    <mergeCell ref="BD68:BH69"/>
    <mergeCell ref="BI68:BM69"/>
    <mergeCell ref="BN68:BR69"/>
    <mergeCell ref="BS68:BW69"/>
    <mergeCell ref="AJ68:AN69"/>
    <mergeCell ref="AO68:AS69"/>
    <mergeCell ref="C70:Y70"/>
    <mergeCell ref="Z70:AD71"/>
    <mergeCell ref="AE70:AI71"/>
    <mergeCell ref="AJ70:AN71"/>
    <mergeCell ref="GS23:GX23"/>
    <mergeCell ref="HA23:HC23"/>
    <mergeCell ref="HD23:HI23"/>
    <mergeCell ref="DG58:DK59"/>
    <mergeCell ref="DL58:DP59"/>
    <mergeCell ref="DQ58:DU59"/>
    <mergeCell ref="DV58:DZ59"/>
    <mergeCell ref="EA58:EE59"/>
    <mergeCell ref="AO70:AS71"/>
    <mergeCell ref="C71:Y71"/>
    <mergeCell ref="EF68:EJ69"/>
    <mergeCell ref="EK68:EO69"/>
    <mergeCell ref="EP68:ET69"/>
    <mergeCell ref="EU68:EY69"/>
    <mergeCell ref="A68:A69"/>
    <mergeCell ref="C68:Y68"/>
    <mergeCell ref="Z68:AD69"/>
    <mergeCell ref="AE68:AI69"/>
    <mergeCell ref="BI70:BM71"/>
    <mergeCell ref="BN70:BR71"/>
    <mergeCell ref="BS70:BW71"/>
    <mergeCell ref="C69:Y69"/>
    <mergeCell ref="A70:A71"/>
    <mergeCell ref="EK60:EO61"/>
    <mergeCell ref="EP60:ET61"/>
    <mergeCell ref="EU60:EY61"/>
    <mergeCell ref="EZ60:FD61"/>
    <mergeCell ref="FE60:FI61"/>
    <mergeCell ref="DB60:DF61"/>
    <mergeCell ref="DG60:DK61"/>
    <mergeCell ref="DL60:DP61"/>
    <mergeCell ref="DQ60:DU61"/>
    <mergeCell ref="CW60:DA61"/>
    <mergeCell ref="EZ56:FD57"/>
    <mergeCell ref="FE56:FI57"/>
    <mergeCell ref="DB56:DF57"/>
    <mergeCell ref="DG56:DK57"/>
    <mergeCell ref="DL56:DP57"/>
    <mergeCell ref="DQ56:DU57"/>
    <mergeCell ref="DV56:DZ57"/>
    <mergeCell ref="EA56:EE57"/>
    <mergeCell ref="BX56:CB57"/>
    <mergeCell ref="CC56:CG57"/>
    <mergeCell ref="CH56:CL57"/>
    <mergeCell ref="EZ58:FD59"/>
    <mergeCell ref="FE58:FI59"/>
    <mergeCell ref="DB58:DF59"/>
    <mergeCell ref="GH23:GM23"/>
    <mergeCell ref="GP23:GR23"/>
    <mergeCell ref="DV60:DZ61"/>
    <mergeCell ref="EA60:EE61"/>
    <mergeCell ref="BX60:CB61"/>
    <mergeCell ref="CC60:CG61"/>
    <mergeCell ref="CH60:CL61"/>
    <mergeCell ref="CM60:CQ61"/>
    <mergeCell ref="CR60:CV61"/>
    <mergeCell ref="BX58:CB59"/>
    <mergeCell ref="CC58:CG59"/>
    <mergeCell ref="CH58:CL59"/>
    <mergeCell ref="CM58:CQ59"/>
    <mergeCell ref="CR58:CV59"/>
    <mergeCell ref="CW58:DA59"/>
    <mergeCell ref="EF58:EJ59"/>
    <mergeCell ref="EK58:EO59"/>
    <mergeCell ref="FT23:FV23"/>
    <mergeCell ref="FW23:GB23"/>
    <mergeCell ref="GE23:GG23"/>
    <mergeCell ref="FQ20:FR20"/>
    <mergeCell ref="HS20:HT20"/>
    <mergeCell ref="HU20:HV20"/>
    <mergeCell ref="HW20:HX20"/>
    <mergeCell ref="HY20:HZ20"/>
    <mergeCell ref="IA20:IB20"/>
    <mergeCell ref="IC20:ID20"/>
    <mergeCell ref="IE20:IF20"/>
    <mergeCell ref="IG20:IH20"/>
    <mergeCell ref="FQ16:FR16"/>
    <mergeCell ref="HS16:HT16"/>
    <mergeCell ref="HU16:HV16"/>
    <mergeCell ref="HW16:HX16"/>
    <mergeCell ref="HY16:HZ16"/>
    <mergeCell ref="IA16:IB16"/>
    <mergeCell ref="IC16:ID16"/>
    <mergeCell ref="IE16:IF16"/>
    <mergeCell ref="IG16:IH16"/>
    <mergeCell ref="IE18:IF18"/>
    <mergeCell ref="IG18:IH18"/>
    <mergeCell ref="HL23:HN23"/>
    <mergeCell ref="HO23:HT23"/>
    <mergeCell ref="HW23:HY23"/>
    <mergeCell ref="HZ23:IE23"/>
    <mergeCell ref="HS19:HT19"/>
    <mergeCell ref="HU19:HV19"/>
    <mergeCell ref="HW19:HX19"/>
    <mergeCell ref="HY19:HZ19"/>
    <mergeCell ref="IA19:IB19"/>
    <mergeCell ref="FQ19:FR19"/>
    <mergeCell ref="FQ17:FR17"/>
    <mergeCell ref="HS17:HT17"/>
    <mergeCell ref="HU17:HV17"/>
    <mergeCell ref="HW17:HX17"/>
    <mergeCell ref="HY17:HZ17"/>
    <mergeCell ref="IA17:IB17"/>
    <mergeCell ref="IC17:ID17"/>
    <mergeCell ref="IE19:IF19"/>
    <mergeCell ref="IG19:IH19"/>
    <mergeCell ref="FQ21:HR21"/>
    <mergeCell ref="HS21:HT21"/>
    <mergeCell ref="HU21:HV21"/>
    <mergeCell ref="HW21:HX21"/>
    <mergeCell ref="HY21:HZ21"/>
    <mergeCell ref="IA21:IB21"/>
    <mergeCell ref="IC21:ID21"/>
    <mergeCell ref="IE21:IF21"/>
    <mergeCell ref="IG21:IH21"/>
    <mergeCell ref="IC19:ID19"/>
    <mergeCell ref="IE17:IF17"/>
    <mergeCell ref="IG17:IH17"/>
    <mergeCell ref="FQ18:FR18"/>
    <mergeCell ref="HS18:HT18"/>
    <mergeCell ref="HU18:HV18"/>
    <mergeCell ref="HW18:HX18"/>
    <mergeCell ref="HY18:HZ18"/>
    <mergeCell ref="IA18:IB18"/>
    <mergeCell ref="IC18:ID18"/>
    <mergeCell ref="AQ2:DF2"/>
    <mergeCell ref="AQ3:DF3"/>
    <mergeCell ref="AQ4:DF4"/>
    <mergeCell ref="AQ5:DF5"/>
    <mergeCell ref="AQ6:DF6"/>
    <mergeCell ref="AQ7:DF7"/>
    <mergeCell ref="A8:FI8"/>
    <mergeCell ref="HK14:HN14"/>
    <mergeCell ref="HO14:HR14"/>
    <mergeCell ref="FQ10:FR15"/>
    <mergeCell ref="FS10:HR13"/>
    <mergeCell ref="HS10:ID10"/>
    <mergeCell ref="IE10:IF15"/>
    <mergeCell ref="IG10:IH15"/>
    <mergeCell ref="HS11:HT15"/>
    <mergeCell ref="HU11:ID11"/>
    <mergeCell ref="HU12:HV15"/>
    <mergeCell ref="HW12:HX15"/>
    <mergeCell ref="HY12:HZ15"/>
    <mergeCell ref="IA12:IB15"/>
    <mergeCell ref="IC12:ID15"/>
    <mergeCell ref="FS14:FW14"/>
    <mergeCell ref="FX14:GA14"/>
    <mergeCell ref="GB14:GF14"/>
    <mergeCell ref="GG14:GJ14"/>
    <mergeCell ref="GK14:GO14"/>
    <mergeCell ref="GP14:GS14"/>
    <mergeCell ref="GT14:GX14"/>
    <mergeCell ref="GY14:HB14"/>
    <mergeCell ref="HC14:HF14"/>
    <mergeCell ref="HG14:HJ14"/>
  </mergeCells>
  <printOptions horizontalCentered="1"/>
  <pageMargins left="0.5" right="0" top="0.5" bottom="0" header="0" footer="0"/>
  <pageSetup paperSize="9" scale="14" fitToHeight="0" orientation="landscape" r:id="rId1"/>
  <rowBreaks count="2" manualBreakCount="2">
    <brk id="55" max="164" man="1"/>
    <brk id="96" max="158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20" workbookViewId="0">
      <selection activeCell="E49" activeCellId="1" sqref="A37:D38 E49:H50"/>
    </sheetView>
  </sheetViews>
  <sheetFormatPr defaultRowHeight="12.75" x14ac:dyDescent="0.2"/>
  <cols>
    <col min="2" max="2" width="12.28515625" bestFit="1" customWidth="1"/>
    <col min="3" max="3" width="37.5703125" customWidth="1"/>
    <col min="4" max="5" width="9.140625" customWidth="1"/>
    <col min="6" max="6" width="12.140625" bestFit="1" customWidth="1"/>
    <col min="7" max="7" width="34.42578125" customWidth="1"/>
  </cols>
  <sheetData>
    <row r="1" spans="3:8" x14ac:dyDescent="0.2">
      <c r="C1" s="101" t="s">
        <v>86</v>
      </c>
      <c r="D1" s="101"/>
      <c r="E1" s="101"/>
      <c r="F1" s="214">
        <v>4</v>
      </c>
      <c r="G1" s="101" t="s">
        <v>86</v>
      </c>
      <c r="H1" s="214">
        <v>4</v>
      </c>
    </row>
    <row r="2" spans="3:8" x14ac:dyDescent="0.2">
      <c r="C2" s="101" t="s">
        <v>42</v>
      </c>
      <c r="D2" s="101"/>
      <c r="E2" s="101"/>
      <c r="F2" s="214">
        <v>4</v>
      </c>
      <c r="G2" s="101" t="s">
        <v>42</v>
      </c>
      <c r="H2" s="214">
        <v>4</v>
      </c>
    </row>
    <row r="3" spans="3:8" x14ac:dyDescent="0.2">
      <c r="C3" s="101" t="s">
        <v>131</v>
      </c>
      <c r="D3" s="101"/>
      <c r="E3" s="101"/>
      <c r="F3" s="214">
        <v>10</v>
      </c>
      <c r="G3" s="101" t="s">
        <v>87</v>
      </c>
      <c r="H3" s="214">
        <v>4</v>
      </c>
    </row>
    <row r="4" spans="3:8" x14ac:dyDescent="0.2">
      <c r="C4" s="101" t="s">
        <v>87</v>
      </c>
      <c r="D4" s="101"/>
      <c r="E4" s="101"/>
      <c r="F4" s="214">
        <v>4</v>
      </c>
      <c r="G4" s="101" t="s">
        <v>131</v>
      </c>
      <c r="H4" s="214">
        <v>10</v>
      </c>
    </row>
    <row r="5" spans="3:8" x14ac:dyDescent="0.2">
      <c r="C5" s="101" t="s">
        <v>88</v>
      </c>
      <c r="D5" s="101"/>
      <c r="E5" s="101"/>
      <c r="F5" s="214">
        <v>4</v>
      </c>
      <c r="G5" s="101" t="s">
        <v>88</v>
      </c>
      <c r="H5" s="214">
        <v>4</v>
      </c>
    </row>
    <row r="6" spans="3:8" x14ac:dyDescent="0.2">
      <c r="C6" s="101" t="s">
        <v>188</v>
      </c>
      <c r="D6" s="101"/>
      <c r="E6" s="101"/>
      <c r="F6" s="214">
        <v>17</v>
      </c>
      <c r="G6" t="s">
        <v>90</v>
      </c>
      <c r="H6" s="213">
        <v>4</v>
      </c>
    </row>
    <row r="7" spans="3:8" x14ac:dyDescent="0.2">
      <c r="C7" s="101" t="s">
        <v>187</v>
      </c>
      <c r="D7" s="101"/>
      <c r="E7" s="101"/>
      <c r="F7" s="214">
        <v>12</v>
      </c>
      <c r="G7" t="s">
        <v>136</v>
      </c>
      <c r="H7" s="213">
        <v>4</v>
      </c>
    </row>
    <row r="8" spans="3:8" x14ac:dyDescent="0.2">
      <c r="C8" s="101" t="s">
        <v>147</v>
      </c>
      <c r="D8" s="101"/>
      <c r="E8" s="101"/>
      <c r="F8" s="214">
        <v>6</v>
      </c>
      <c r="G8" t="s">
        <v>137</v>
      </c>
      <c r="H8" s="213">
        <v>4</v>
      </c>
    </row>
    <row r="9" spans="3:8" x14ac:dyDescent="0.2">
      <c r="C9" s="101" t="s">
        <v>233</v>
      </c>
      <c r="D9" s="101"/>
      <c r="E9" s="101"/>
      <c r="F9" s="214">
        <v>4</v>
      </c>
      <c r="G9" s="101" t="s">
        <v>188</v>
      </c>
      <c r="H9" s="214">
        <v>17</v>
      </c>
    </row>
    <row r="10" spans="3:8" x14ac:dyDescent="0.2">
      <c r="C10" s="101" t="s">
        <v>189</v>
      </c>
      <c r="D10" s="101"/>
      <c r="E10" s="101"/>
      <c r="F10" s="214">
        <v>8</v>
      </c>
      <c r="G10" s="101" t="s">
        <v>187</v>
      </c>
      <c r="H10" s="214">
        <v>12</v>
      </c>
    </row>
    <row r="11" spans="3:8" x14ac:dyDescent="0.2">
      <c r="C11" s="101" t="s">
        <v>190</v>
      </c>
      <c r="D11" s="101"/>
      <c r="E11" s="101"/>
      <c r="F11" s="214">
        <v>8</v>
      </c>
      <c r="G11" s="101" t="s">
        <v>147</v>
      </c>
      <c r="H11" s="214">
        <v>6</v>
      </c>
    </row>
    <row r="12" spans="3:8" x14ac:dyDescent="0.2">
      <c r="C12" s="101" t="s">
        <v>191</v>
      </c>
      <c r="D12" s="101"/>
      <c r="E12" s="101"/>
      <c r="F12" s="214">
        <v>8</v>
      </c>
      <c r="G12" s="101" t="s">
        <v>233</v>
      </c>
      <c r="H12" s="214">
        <v>4</v>
      </c>
    </row>
    <row r="13" spans="3:8" x14ac:dyDescent="0.2">
      <c r="C13" s="101" t="s">
        <v>134</v>
      </c>
      <c r="D13" s="101"/>
      <c r="E13" s="101"/>
      <c r="F13" s="214">
        <v>8</v>
      </c>
      <c r="G13" s="101" t="s">
        <v>189</v>
      </c>
      <c r="H13" s="214">
        <v>8</v>
      </c>
    </row>
    <row r="14" spans="3:8" x14ac:dyDescent="0.2">
      <c r="C14" s="101" t="s">
        <v>135</v>
      </c>
      <c r="D14" s="101"/>
      <c r="E14" s="101"/>
      <c r="F14" s="214">
        <v>8</v>
      </c>
      <c r="G14" s="101" t="s">
        <v>190</v>
      </c>
      <c r="H14" s="214">
        <v>8</v>
      </c>
    </row>
    <row r="15" spans="3:8" x14ac:dyDescent="0.2">
      <c r="C15" s="101" t="s">
        <v>192</v>
      </c>
      <c r="D15" s="101"/>
      <c r="E15" s="101"/>
      <c r="F15" s="214">
        <v>4</v>
      </c>
      <c r="G15" s="101" t="s">
        <v>191</v>
      </c>
      <c r="H15" s="214">
        <v>8</v>
      </c>
    </row>
    <row r="16" spans="3:8" x14ac:dyDescent="0.2">
      <c r="C16" s="101" t="s">
        <v>193</v>
      </c>
      <c r="D16" s="101"/>
      <c r="E16" s="101"/>
      <c r="F16" s="214">
        <v>12</v>
      </c>
      <c r="G16" s="101" t="s">
        <v>134</v>
      </c>
      <c r="H16" s="214">
        <v>8</v>
      </c>
    </row>
    <row r="17" spans="1:8" x14ac:dyDescent="0.2">
      <c r="C17" s="217" t="s">
        <v>194</v>
      </c>
      <c r="D17" s="217"/>
      <c r="E17" s="217"/>
      <c r="F17" s="218">
        <v>2</v>
      </c>
      <c r="G17" s="101" t="s">
        <v>135</v>
      </c>
      <c r="H17" s="214">
        <v>8</v>
      </c>
    </row>
    <row r="18" spans="1:8" x14ac:dyDescent="0.2">
      <c r="G18" s="101" t="s">
        <v>192</v>
      </c>
      <c r="H18" s="215">
        <v>7</v>
      </c>
    </row>
    <row r="19" spans="1:8" x14ac:dyDescent="0.2">
      <c r="G19" s="101" t="s">
        <v>193</v>
      </c>
      <c r="H19" s="215">
        <v>9</v>
      </c>
    </row>
    <row r="20" spans="1:8" x14ac:dyDescent="0.2">
      <c r="G20" s="216" t="s">
        <v>194</v>
      </c>
      <c r="H20" s="215">
        <v>7</v>
      </c>
    </row>
    <row r="21" spans="1:8" x14ac:dyDescent="0.2">
      <c r="G21" t="s">
        <v>267</v>
      </c>
      <c r="H21" s="213">
        <v>4</v>
      </c>
    </row>
    <row r="22" spans="1:8" x14ac:dyDescent="0.2">
      <c r="G22" t="s">
        <v>133</v>
      </c>
      <c r="H22" s="213">
        <v>6</v>
      </c>
    </row>
    <row r="25" spans="1:8" ht="12.75" customHeight="1" x14ac:dyDescent="0.2">
      <c r="A25" s="944" t="s">
        <v>13</v>
      </c>
      <c r="B25" s="101" t="s">
        <v>146</v>
      </c>
      <c r="C25" s="101" t="s">
        <v>232</v>
      </c>
      <c r="D25" s="214">
        <v>4</v>
      </c>
      <c r="E25" s="938" t="s">
        <v>13</v>
      </c>
      <c r="F25" s="101" t="s">
        <v>146</v>
      </c>
      <c r="G25" s="101" t="s">
        <v>232</v>
      </c>
      <c r="H25" s="214">
        <v>4</v>
      </c>
    </row>
    <row r="26" spans="1:8" ht="12.75" customHeight="1" x14ac:dyDescent="0.2">
      <c r="A26" s="945"/>
      <c r="B26" s="101" t="s">
        <v>185</v>
      </c>
      <c r="C26" s="101" t="s">
        <v>184</v>
      </c>
      <c r="D26" s="214">
        <v>0</v>
      </c>
      <c r="E26" s="939"/>
      <c r="F26" s="101" t="s">
        <v>185</v>
      </c>
      <c r="G26" s="101" t="s">
        <v>184</v>
      </c>
      <c r="H26" s="214">
        <v>0</v>
      </c>
    </row>
    <row r="27" spans="1:8" ht="12.75" customHeight="1" x14ac:dyDescent="0.2">
      <c r="A27" s="944" t="s">
        <v>14</v>
      </c>
      <c r="B27" s="101" t="s">
        <v>197</v>
      </c>
      <c r="C27" s="101" t="s">
        <v>195</v>
      </c>
      <c r="D27" s="214">
        <v>4</v>
      </c>
      <c r="E27" s="938" t="s">
        <v>14</v>
      </c>
      <c r="F27" s="101" t="s">
        <v>240</v>
      </c>
      <c r="G27" s="101" t="s">
        <v>241</v>
      </c>
      <c r="H27" s="214">
        <v>10</v>
      </c>
    </row>
    <row r="28" spans="1:8" ht="12.75" customHeight="1" x14ac:dyDescent="0.2">
      <c r="A28" s="945"/>
      <c r="B28" s="101" t="s">
        <v>198</v>
      </c>
      <c r="C28" s="101" t="s">
        <v>196</v>
      </c>
      <c r="D28" s="214">
        <v>0</v>
      </c>
      <c r="E28" s="939"/>
      <c r="F28" s="101" t="s">
        <v>199</v>
      </c>
      <c r="G28" s="101" t="s">
        <v>186</v>
      </c>
      <c r="H28" s="214"/>
    </row>
    <row r="29" spans="1:8" ht="12.75" customHeight="1" x14ac:dyDescent="0.2">
      <c r="A29" s="944" t="s">
        <v>44</v>
      </c>
      <c r="B29" s="101" t="s">
        <v>240</v>
      </c>
      <c r="C29" s="101" t="s">
        <v>241</v>
      </c>
      <c r="D29" s="214">
        <v>10</v>
      </c>
      <c r="E29" s="936" t="s">
        <v>44</v>
      </c>
      <c r="F29" s="78" t="s">
        <v>243</v>
      </c>
      <c r="G29" s="78" t="s">
        <v>242</v>
      </c>
      <c r="H29" s="219">
        <v>2</v>
      </c>
    </row>
    <row r="30" spans="1:8" ht="12.75" customHeight="1" x14ac:dyDescent="0.2">
      <c r="A30" s="945"/>
      <c r="B30" s="101" t="s">
        <v>199</v>
      </c>
      <c r="C30" s="101" t="s">
        <v>186</v>
      </c>
      <c r="D30" s="214">
        <v>0</v>
      </c>
      <c r="E30" s="937"/>
      <c r="F30" s="78" t="s">
        <v>332</v>
      </c>
      <c r="G30" s="78" t="s">
        <v>331</v>
      </c>
      <c r="H30" s="219"/>
    </row>
    <row r="31" spans="1:8" ht="12.75" customHeight="1" x14ac:dyDescent="0.2">
      <c r="A31" s="944" t="s">
        <v>45</v>
      </c>
      <c r="B31" s="101" t="s">
        <v>204</v>
      </c>
      <c r="C31" s="101" t="s">
        <v>200</v>
      </c>
      <c r="D31" s="214">
        <v>2</v>
      </c>
      <c r="E31" s="938" t="s">
        <v>45</v>
      </c>
      <c r="F31" s="101" t="s">
        <v>197</v>
      </c>
      <c r="G31" s="101" t="s">
        <v>195</v>
      </c>
      <c r="H31" s="214">
        <v>4</v>
      </c>
    </row>
    <row r="32" spans="1:8" ht="12.75" customHeight="1" x14ac:dyDescent="0.2">
      <c r="A32" s="945"/>
      <c r="B32" s="101" t="s">
        <v>205</v>
      </c>
      <c r="C32" s="101" t="s">
        <v>201</v>
      </c>
      <c r="D32" s="214">
        <v>0</v>
      </c>
      <c r="E32" s="939"/>
      <c r="F32" s="101" t="s">
        <v>198</v>
      </c>
      <c r="G32" s="101" t="s">
        <v>196</v>
      </c>
      <c r="H32" s="214"/>
    </row>
    <row r="33" spans="1:8" ht="12.75" customHeight="1" x14ac:dyDescent="0.2">
      <c r="A33" s="944" t="s">
        <v>46</v>
      </c>
      <c r="B33" s="101" t="s">
        <v>206</v>
      </c>
      <c r="C33" s="101" t="s">
        <v>202</v>
      </c>
      <c r="D33" s="214">
        <v>2</v>
      </c>
      <c r="E33" s="936" t="s">
        <v>46</v>
      </c>
      <c r="F33" s="78" t="s">
        <v>89</v>
      </c>
      <c r="G33" s="78" t="s">
        <v>137</v>
      </c>
      <c r="H33" s="219">
        <v>4</v>
      </c>
    </row>
    <row r="34" spans="1:8" ht="12.75" customHeight="1" x14ac:dyDescent="0.2">
      <c r="A34" s="945"/>
      <c r="B34" s="101" t="s">
        <v>207</v>
      </c>
      <c r="C34" s="101" t="s">
        <v>203</v>
      </c>
      <c r="D34" s="214">
        <v>0</v>
      </c>
      <c r="E34" s="937"/>
      <c r="F34" s="78" t="s">
        <v>334</v>
      </c>
      <c r="G34" s="78" t="s">
        <v>333</v>
      </c>
      <c r="H34" s="219"/>
    </row>
    <row r="35" spans="1:8" ht="12.75" customHeight="1" x14ac:dyDescent="0.2">
      <c r="A35" s="944" t="s">
        <v>47</v>
      </c>
      <c r="B35" s="101" t="s">
        <v>327</v>
      </c>
      <c r="C35" s="101" t="s">
        <v>208</v>
      </c>
      <c r="D35" s="214">
        <v>2</v>
      </c>
      <c r="E35" s="936" t="s">
        <v>47</v>
      </c>
      <c r="F35" s="78" t="s">
        <v>141</v>
      </c>
      <c r="G35" s="78" t="s">
        <v>90</v>
      </c>
      <c r="H35" s="219">
        <v>4</v>
      </c>
    </row>
    <row r="36" spans="1:8" ht="12.75" customHeight="1" x14ac:dyDescent="0.2">
      <c r="A36" s="945"/>
      <c r="B36" s="101" t="s">
        <v>211</v>
      </c>
      <c r="C36" s="101" t="s">
        <v>209</v>
      </c>
      <c r="D36" s="214">
        <v>0</v>
      </c>
      <c r="E36" s="937"/>
      <c r="F36" s="78" t="s">
        <v>310</v>
      </c>
      <c r="G36" s="78" t="s">
        <v>309</v>
      </c>
      <c r="H36" s="219"/>
    </row>
    <row r="37" spans="1:8" ht="12.75" customHeight="1" x14ac:dyDescent="0.2">
      <c r="A37" s="940" t="s">
        <v>48</v>
      </c>
      <c r="B37" s="78" t="s">
        <v>326</v>
      </c>
      <c r="C37" s="78" t="s">
        <v>212</v>
      </c>
      <c r="D37" s="219">
        <v>4</v>
      </c>
      <c r="E37" s="936" t="s">
        <v>48</v>
      </c>
      <c r="F37" s="78" t="s">
        <v>144</v>
      </c>
      <c r="G37" s="78" t="s">
        <v>136</v>
      </c>
      <c r="H37" s="219">
        <v>4</v>
      </c>
    </row>
    <row r="38" spans="1:8" ht="12.75" customHeight="1" x14ac:dyDescent="0.2">
      <c r="A38" s="941"/>
      <c r="B38" s="78" t="s">
        <v>215</v>
      </c>
      <c r="C38" s="78" t="s">
        <v>214</v>
      </c>
      <c r="D38" s="219">
        <v>0</v>
      </c>
      <c r="E38" s="937"/>
      <c r="F38" s="78" t="s">
        <v>317</v>
      </c>
      <c r="G38" s="78" t="s">
        <v>307</v>
      </c>
      <c r="H38" s="219"/>
    </row>
    <row r="39" spans="1:8" ht="12.75" customHeight="1" x14ac:dyDescent="0.2">
      <c r="A39" s="940" t="s">
        <v>49</v>
      </c>
      <c r="B39" s="78" t="s">
        <v>217</v>
      </c>
      <c r="C39" s="78" t="s">
        <v>216</v>
      </c>
      <c r="D39" s="219">
        <v>4</v>
      </c>
      <c r="E39" s="936" t="s">
        <v>49</v>
      </c>
      <c r="F39" s="78" t="s">
        <v>129</v>
      </c>
      <c r="G39" s="78" t="s">
        <v>267</v>
      </c>
      <c r="H39" s="219">
        <v>4</v>
      </c>
    </row>
    <row r="40" spans="1:8" ht="12.75" customHeight="1" x14ac:dyDescent="0.2">
      <c r="A40" s="941"/>
      <c r="B40" s="78" t="s">
        <v>219</v>
      </c>
      <c r="C40" s="78" t="s">
        <v>218</v>
      </c>
      <c r="D40" s="219">
        <v>0</v>
      </c>
      <c r="E40" s="937"/>
      <c r="F40" s="78" t="s">
        <v>305</v>
      </c>
      <c r="G40" s="78" t="s">
        <v>304</v>
      </c>
      <c r="H40" s="219"/>
    </row>
    <row r="41" spans="1:8" ht="12.75" customHeight="1" x14ac:dyDescent="0.2">
      <c r="A41" s="940" t="s">
        <v>237</v>
      </c>
      <c r="B41" s="78" t="s">
        <v>141</v>
      </c>
      <c r="C41" s="78" t="s">
        <v>294</v>
      </c>
      <c r="D41" s="219">
        <v>4</v>
      </c>
      <c r="E41" s="936" t="s">
        <v>237</v>
      </c>
      <c r="F41" s="78" t="s">
        <v>328</v>
      </c>
      <c r="G41" s="78" t="s">
        <v>133</v>
      </c>
      <c r="H41" s="219">
        <v>6</v>
      </c>
    </row>
    <row r="42" spans="1:8" ht="12.75" customHeight="1" x14ac:dyDescent="0.2">
      <c r="A42" s="941"/>
      <c r="B42" s="78" t="s">
        <v>310</v>
      </c>
      <c r="C42" s="78" t="s">
        <v>309</v>
      </c>
      <c r="D42" s="219">
        <v>0</v>
      </c>
      <c r="E42" s="937"/>
      <c r="F42" s="78" t="s">
        <v>316</v>
      </c>
      <c r="G42" s="78" t="s">
        <v>308</v>
      </c>
      <c r="H42" s="219"/>
    </row>
    <row r="43" spans="1:8" ht="12.75" customHeight="1" x14ac:dyDescent="0.2">
      <c r="A43" s="940" t="s">
        <v>238</v>
      </c>
      <c r="B43" s="78" t="s">
        <v>129</v>
      </c>
      <c r="C43" s="78" t="s">
        <v>267</v>
      </c>
      <c r="D43" s="219">
        <v>4</v>
      </c>
      <c r="E43" s="938" t="s">
        <v>238</v>
      </c>
      <c r="F43" s="101" t="s">
        <v>289</v>
      </c>
      <c r="G43" s="101" t="s">
        <v>200</v>
      </c>
      <c r="H43" s="214">
        <v>2</v>
      </c>
    </row>
    <row r="44" spans="1:8" ht="12.75" customHeight="1" x14ac:dyDescent="0.2">
      <c r="A44" s="941"/>
      <c r="B44" s="78" t="s">
        <v>305</v>
      </c>
      <c r="C44" s="78" t="s">
        <v>304</v>
      </c>
      <c r="D44" s="219">
        <v>0</v>
      </c>
      <c r="E44" s="939"/>
      <c r="F44" s="101" t="s">
        <v>290</v>
      </c>
      <c r="G44" s="101" t="s">
        <v>201</v>
      </c>
      <c r="H44" s="214"/>
    </row>
    <row r="45" spans="1:8" ht="12.75" customHeight="1" x14ac:dyDescent="0.2">
      <c r="A45" s="940" t="s">
        <v>239</v>
      </c>
      <c r="B45" s="78" t="s">
        <v>143</v>
      </c>
      <c r="C45" s="78" t="s">
        <v>133</v>
      </c>
      <c r="D45" s="219">
        <v>6</v>
      </c>
      <c r="E45" s="938" t="s">
        <v>239</v>
      </c>
      <c r="F45" s="101" t="s">
        <v>206</v>
      </c>
      <c r="G45" s="101" t="s">
        <v>202</v>
      </c>
      <c r="H45" s="214">
        <v>2</v>
      </c>
    </row>
    <row r="46" spans="1:8" ht="12.75" customHeight="1" x14ac:dyDescent="0.2">
      <c r="A46" s="941"/>
      <c r="B46" s="78" t="s">
        <v>316</v>
      </c>
      <c r="C46" s="78" t="s">
        <v>308</v>
      </c>
      <c r="D46" s="219">
        <v>0</v>
      </c>
      <c r="E46" s="939"/>
      <c r="F46" s="101" t="s">
        <v>207</v>
      </c>
      <c r="G46" s="101" t="s">
        <v>203</v>
      </c>
      <c r="H46" s="214"/>
    </row>
    <row r="47" spans="1:8" ht="12.75" customHeight="1" x14ac:dyDescent="0.2">
      <c r="A47" s="940" t="s">
        <v>311</v>
      </c>
      <c r="B47" s="78" t="s">
        <v>144</v>
      </c>
      <c r="C47" s="78" t="s">
        <v>136</v>
      </c>
      <c r="D47" s="219">
        <v>4</v>
      </c>
      <c r="E47" s="938" t="s">
        <v>311</v>
      </c>
      <c r="F47" s="101" t="s">
        <v>210</v>
      </c>
      <c r="G47" s="101" t="s">
        <v>208</v>
      </c>
      <c r="H47" s="214">
        <v>2</v>
      </c>
    </row>
    <row r="48" spans="1:8" ht="12.75" customHeight="1" x14ac:dyDescent="0.2">
      <c r="A48" s="941"/>
      <c r="B48" s="78" t="s">
        <v>317</v>
      </c>
      <c r="C48" s="78" t="s">
        <v>307</v>
      </c>
      <c r="D48" s="219">
        <v>0</v>
      </c>
      <c r="E48" s="939"/>
      <c r="F48" s="101" t="s">
        <v>211</v>
      </c>
      <c r="G48" s="101" t="s">
        <v>209</v>
      </c>
      <c r="H48" s="214"/>
    </row>
    <row r="49" spans="1:8" ht="12.75" customHeight="1" x14ac:dyDescent="0.2">
      <c r="A49" s="940" t="s">
        <v>312</v>
      </c>
      <c r="B49" s="78" t="s">
        <v>89</v>
      </c>
      <c r="C49" s="78" t="s">
        <v>137</v>
      </c>
      <c r="D49" s="219">
        <v>4</v>
      </c>
      <c r="E49" s="936" t="s">
        <v>312</v>
      </c>
      <c r="F49" s="78" t="s">
        <v>213</v>
      </c>
      <c r="G49" s="78" t="s">
        <v>212</v>
      </c>
      <c r="H49" s="219">
        <v>2</v>
      </c>
    </row>
    <row r="50" spans="1:8" ht="12.75" customHeight="1" x14ac:dyDescent="0.2">
      <c r="A50" s="941"/>
      <c r="B50" s="78" t="s">
        <v>334</v>
      </c>
      <c r="C50" s="78" t="s">
        <v>333</v>
      </c>
      <c r="D50" s="219">
        <v>0</v>
      </c>
      <c r="E50" s="937"/>
      <c r="F50" s="78" t="s">
        <v>215</v>
      </c>
      <c r="G50" s="78" t="s">
        <v>214</v>
      </c>
      <c r="H50" s="219"/>
    </row>
    <row r="51" spans="1:8" ht="12.75" customHeight="1" x14ac:dyDescent="0.2">
      <c r="A51" s="940" t="s">
        <v>239</v>
      </c>
      <c r="B51" s="78" t="s">
        <v>318</v>
      </c>
      <c r="C51" s="78" t="s">
        <v>306</v>
      </c>
      <c r="D51" s="219">
        <v>2</v>
      </c>
      <c r="E51" s="936" t="s">
        <v>313</v>
      </c>
      <c r="F51" s="78" t="s">
        <v>217</v>
      </c>
      <c r="G51" s="78" t="s">
        <v>216</v>
      </c>
      <c r="H51" s="219">
        <v>4</v>
      </c>
    </row>
    <row r="52" spans="1:8" ht="12.75" customHeight="1" x14ac:dyDescent="0.2">
      <c r="A52" s="941"/>
      <c r="B52" s="78" t="s">
        <v>332</v>
      </c>
      <c r="C52" s="78" t="s">
        <v>331</v>
      </c>
      <c r="D52" s="219">
        <v>0</v>
      </c>
      <c r="E52" s="937"/>
      <c r="F52" s="78" t="s">
        <v>219</v>
      </c>
      <c r="G52" s="78" t="s">
        <v>218</v>
      </c>
      <c r="H52" s="219"/>
    </row>
    <row r="53" spans="1:8" ht="12.75" customHeight="1" x14ac:dyDescent="0.2">
      <c r="A53" s="940" t="s">
        <v>311</v>
      </c>
      <c r="B53" s="78" t="s">
        <v>295</v>
      </c>
      <c r="C53" s="78" t="s">
        <v>320</v>
      </c>
      <c r="D53" s="219">
        <v>4</v>
      </c>
      <c r="E53" s="936" t="s">
        <v>314</v>
      </c>
      <c r="F53" s="78" t="s">
        <v>295</v>
      </c>
      <c r="G53" s="78" t="s">
        <v>330</v>
      </c>
      <c r="H53" s="219">
        <v>4</v>
      </c>
    </row>
    <row r="54" spans="1:8" ht="12.75" customHeight="1" x14ac:dyDescent="0.2">
      <c r="A54" s="941"/>
      <c r="B54" s="78" t="s">
        <v>325</v>
      </c>
      <c r="C54" s="78" t="s">
        <v>324</v>
      </c>
      <c r="D54" s="219">
        <v>0</v>
      </c>
      <c r="E54" s="937"/>
      <c r="F54" s="78" t="s">
        <v>325</v>
      </c>
      <c r="G54" s="78" t="s">
        <v>324</v>
      </c>
      <c r="H54" s="219"/>
    </row>
    <row r="55" spans="1:8" ht="12.75" customHeight="1" x14ac:dyDescent="0.2">
      <c r="A55" s="940" t="s">
        <v>312</v>
      </c>
      <c r="B55" s="78" t="s">
        <v>296</v>
      </c>
      <c r="C55" s="78" t="s">
        <v>321</v>
      </c>
      <c r="D55" s="219">
        <v>6</v>
      </c>
      <c r="E55" s="936" t="s">
        <v>315</v>
      </c>
      <c r="F55" s="78" t="s">
        <v>296</v>
      </c>
      <c r="G55" s="78" t="s">
        <v>321</v>
      </c>
      <c r="H55" s="219">
        <v>6</v>
      </c>
    </row>
    <row r="56" spans="1:8" ht="12.75" customHeight="1" x14ac:dyDescent="0.2">
      <c r="A56" s="941"/>
      <c r="B56" s="78" t="s">
        <v>323</v>
      </c>
      <c r="C56" s="78" t="s">
        <v>322</v>
      </c>
      <c r="D56" s="219">
        <v>0</v>
      </c>
      <c r="E56" s="937"/>
      <c r="F56" s="78" t="s">
        <v>323</v>
      </c>
      <c r="G56" s="78" t="s">
        <v>322</v>
      </c>
      <c r="H56" s="219"/>
    </row>
    <row r="57" spans="1:8" ht="12.75" customHeight="1" x14ac:dyDescent="0.2">
      <c r="A57" s="940" t="s">
        <v>313</v>
      </c>
      <c r="B57" s="78" t="s">
        <v>221</v>
      </c>
      <c r="C57" s="78" t="s">
        <v>220</v>
      </c>
      <c r="D57" s="219">
        <v>4</v>
      </c>
      <c r="E57" s="936" t="s">
        <v>335</v>
      </c>
      <c r="F57" s="78" t="s">
        <v>221</v>
      </c>
      <c r="G57" s="78" t="s">
        <v>220</v>
      </c>
      <c r="H57" s="219">
        <v>4</v>
      </c>
    </row>
    <row r="58" spans="1:8" ht="12.75" customHeight="1" x14ac:dyDescent="0.2">
      <c r="A58" s="941"/>
      <c r="B58" s="78" t="s">
        <v>223</v>
      </c>
      <c r="C58" s="78" t="s">
        <v>222</v>
      </c>
      <c r="D58" s="219">
        <v>0</v>
      </c>
      <c r="E58" s="937"/>
      <c r="F58" s="78" t="s">
        <v>223</v>
      </c>
      <c r="G58" s="78" t="s">
        <v>222</v>
      </c>
      <c r="H58" s="219"/>
    </row>
    <row r="59" spans="1:8" ht="12.75" customHeight="1" x14ac:dyDescent="0.2">
      <c r="A59" s="942" t="s">
        <v>314</v>
      </c>
      <c r="B59" t="s">
        <v>225</v>
      </c>
      <c r="C59" t="s">
        <v>224</v>
      </c>
      <c r="D59" s="213">
        <v>4</v>
      </c>
      <c r="E59" s="936" t="s">
        <v>336</v>
      </c>
      <c r="F59" t="s">
        <v>225</v>
      </c>
      <c r="G59" t="s">
        <v>224</v>
      </c>
      <c r="H59" s="213">
        <v>4</v>
      </c>
    </row>
    <row r="60" spans="1:8" ht="12.75" customHeight="1" x14ac:dyDescent="0.2">
      <c r="A60" s="943"/>
      <c r="B60" t="s">
        <v>223</v>
      </c>
      <c r="C60" t="s">
        <v>226</v>
      </c>
      <c r="D60" s="213">
        <v>0</v>
      </c>
      <c r="E60" s="937"/>
      <c r="F60" t="s">
        <v>223</v>
      </c>
      <c r="G60" t="s">
        <v>226</v>
      </c>
      <c r="H60" s="213"/>
    </row>
    <row r="61" spans="1:8" ht="12.75" customHeight="1" x14ac:dyDescent="0.2">
      <c r="A61" s="942" t="s">
        <v>315</v>
      </c>
      <c r="B61" t="s">
        <v>228</v>
      </c>
      <c r="C61" t="s">
        <v>227</v>
      </c>
      <c r="D61" s="213">
        <v>4</v>
      </c>
      <c r="E61" s="936" t="s">
        <v>337</v>
      </c>
      <c r="F61" t="s">
        <v>228</v>
      </c>
      <c r="G61" t="s">
        <v>227</v>
      </c>
      <c r="H61" s="213">
        <v>4</v>
      </c>
    </row>
    <row r="62" spans="1:8" ht="12.75" customHeight="1" x14ac:dyDescent="0.2">
      <c r="A62" s="943"/>
      <c r="B62" t="s">
        <v>230</v>
      </c>
      <c r="C62" t="s">
        <v>229</v>
      </c>
      <c r="D62" s="213">
        <v>0</v>
      </c>
      <c r="E62" s="937"/>
      <c r="F62" t="s">
        <v>230</v>
      </c>
      <c r="G62" t="s">
        <v>229</v>
      </c>
      <c r="H62" s="213"/>
    </row>
  </sheetData>
  <mergeCells count="38">
    <mergeCell ref="E61:E62"/>
    <mergeCell ref="A61:A62"/>
    <mergeCell ref="A35:A36"/>
    <mergeCell ref="E51:E52"/>
    <mergeCell ref="A25:A26"/>
    <mergeCell ref="A27:A28"/>
    <mergeCell ref="A29:A30"/>
    <mergeCell ref="A31:A32"/>
    <mergeCell ref="A33:A34"/>
    <mergeCell ref="A57:A58"/>
    <mergeCell ref="A59:A60"/>
    <mergeCell ref="A37:A38"/>
    <mergeCell ref="A39:A40"/>
    <mergeCell ref="A41:A42"/>
    <mergeCell ref="A43:A44"/>
    <mergeCell ref="A45:A46"/>
    <mergeCell ref="A47:A48"/>
    <mergeCell ref="E41:E42"/>
    <mergeCell ref="A49:A50"/>
    <mergeCell ref="A51:A52"/>
    <mergeCell ref="A53:A54"/>
    <mergeCell ref="A55:A56"/>
    <mergeCell ref="E53:E54"/>
    <mergeCell ref="E55:E56"/>
    <mergeCell ref="E57:E58"/>
    <mergeCell ref="E59:E60"/>
    <mergeCell ref="E25:E26"/>
    <mergeCell ref="E27:E28"/>
    <mergeCell ref="E29:E30"/>
    <mergeCell ref="E31:E32"/>
    <mergeCell ref="E33:E34"/>
    <mergeCell ref="E35:E36"/>
    <mergeCell ref="E43:E44"/>
    <mergeCell ref="E45:E46"/>
    <mergeCell ref="E47:E48"/>
    <mergeCell ref="E49:E50"/>
    <mergeCell ref="E37:E38"/>
    <mergeCell ref="E39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Xorijiy til va adabiyoti </vt:lpstr>
      <vt:lpstr>Kechki 2</vt:lpstr>
      <vt:lpstr>XTA (Nizomiy tayanch O'R)</vt:lpstr>
      <vt:lpstr>Kechki 2 (Nizomiy)</vt:lpstr>
      <vt:lpstr>Лист2</vt:lpstr>
      <vt:lpstr>'Kechki 2'!Область_печати</vt:lpstr>
      <vt:lpstr>'Kechki 2 (Nizomiy)'!Область_печати</vt:lpstr>
      <vt:lpstr>'Xorijiy til va adabiyoti '!Область_печати</vt:lpstr>
      <vt:lpstr>'XTA (Nizomiy tayanch O''R)'!Область_печати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</dc:creator>
  <cp:lastModifiedBy>umbrella_dev</cp:lastModifiedBy>
  <cp:lastPrinted>2026-02-14T05:12:34Z</cp:lastPrinted>
  <dcterms:created xsi:type="dcterms:W3CDTF">2008-07-03T09:29:27Z</dcterms:created>
  <dcterms:modified xsi:type="dcterms:W3CDTF">2026-02-14T05:14:20Z</dcterms:modified>
</cp:coreProperties>
</file>