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brella_dev\Desktop\22-23 bakalavr\"/>
    </mc:Choice>
  </mc:AlternateContent>
  <bookViews>
    <workbookView xWindow="0" yWindow="0" windowWidth="28800" windowHeight="12330" tabRatio="776" firstSheet="2" activeTab="2"/>
  </bookViews>
  <sheets>
    <sheet name="O'zga tilli gruhlarda rus tili" sheetId="11" state="hidden" r:id="rId1"/>
    <sheet name="Sirtqi" sheetId="15" state="hidden" r:id="rId2"/>
    <sheet name="O'zga tilli guruh (Nizomiy)" sheetId="16" r:id="rId3"/>
    <sheet name="Sirtqi (Nizomiy)" sheetId="17" r:id="rId4"/>
  </sheets>
  <definedNames>
    <definedName name="_xlnm._FilterDatabase" localSheetId="0" hidden="1">'O''zga tilli gruhlarda rus tili'!$A$35:$ES$82</definedName>
    <definedName name="_xlnm._FilterDatabase" localSheetId="2" hidden="1">'O''zga tilli guruh (Nizomiy)'!$A$35:$EX$88</definedName>
    <definedName name="_xlnm.Print_Area" localSheetId="0">'O''zga tilli gruhlarda rus tili'!$A$1:$ES$110</definedName>
    <definedName name="_xlnm.Print_Area" localSheetId="2">'O''zga tilli guruh (Nizomiy)'!$A$1:$EX$117</definedName>
    <definedName name="_xlnm.Print_Area" localSheetId="1">Sirtqi!$A$1:$ES$110</definedName>
    <definedName name="_xlnm.Print_Area" localSheetId="3">'Sirtqi (Nizomiy)'!$A$1:$EU$115</definedName>
  </definedNames>
  <calcPr calcId="162913"/>
</workbook>
</file>

<file path=xl/calcChain.xml><?xml version="1.0" encoding="utf-8"?>
<calcChain xmlns="http://schemas.openxmlformats.org/spreadsheetml/2006/main">
  <c r="EB53" i="17" l="1"/>
  <c r="EE36" i="16" l="1"/>
  <c r="AH51" i="17"/>
  <c r="ER51" i="17"/>
  <c r="Z51" i="17" s="1"/>
  <c r="BL51" i="17" s="1"/>
  <c r="AH60" i="17"/>
  <c r="ER60" i="17"/>
  <c r="Z60" i="17" s="1"/>
  <c r="ER61" i="17"/>
  <c r="AH62" i="17"/>
  <c r="ER62" i="17"/>
  <c r="Z62" i="17" s="1"/>
  <c r="ER63" i="17"/>
  <c r="AH64" i="17"/>
  <c r="ER64" i="17"/>
  <c r="Z64" i="17" s="1"/>
  <c r="ER65" i="17"/>
  <c r="AH66" i="17"/>
  <c r="ER66" i="17"/>
  <c r="Z66" i="17" s="1"/>
  <c r="ER67" i="17"/>
  <c r="AH68" i="17"/>
  <c r="ER68" i="17"/>
  <c r="Z68" i="17" s="1"/>
  <c r="ER69" i="17"/>
  <c r="BL68" i="17" l="1"/>
  <c r="BL60" i="17"/>
  <c r="BL64" i="17"/>
  <c r="BL66" i="17"/>
  <c r="BL62" i="17"/>
  <c r="EN91" i="17"/>
  <c r="EJ91" i="17"/>
  <c r="EF91" i="17"/>
  <c r="EB91" i="17"/>
  <c r="DX91" i="17"/>
  <c r="DT91" i="17"/>
  <c r="DP91" i="17"/>
  <c r="DL91" i="17"/>
  <c r="DH91" i="17"/>
  <c r="DD91" i="17"/>
  <c r="CZ91" i="17"/>
  <c r="CV91" i="17"/>
  <c r="CR91" i="17"/>
  <c r="CN91" i="17"/>
  <c r="CJ91" i="17"/>
  <c r="CF91" i="17"/>
  <c r="CB91" i="17"/>
  <c r="BX91" i="17"/>
  <c r="BT91" i="17"/>
  <c r="BP91" i="17"/>
  <c r="BL91" i="17"/>
  <c r="BG91" i="17"/>
  <c r="BB91" i="17"/>
  <c r="AW91" i="17"/>
  <c r="AR91" i="17"/>
  <c r="AM91" i="17"/>
  <c r="AH91" i="17"/>
  <c r="AD91" i="17"/>
  <c r="AD92" i="17" s="1"/>
  <c r="ER90" i="17"/>
  <c r="Z90" i="17" s="1"/>
  <c r="AH90" i="17"/>
  <c r="ER89" i="17"/>
  <c r="Z89" i="17" s="1"/>
  <c r="AH89" i="17"/>
  <c r="ER87" i="17"/>
  <c r="ER86" i="17"/>
  <c r="Z86" i="17" s="1"/>
  <c r="AH86" i="17"/>
  <c r="ER85" i="17"/>
  <c r="ER84" i="17"/>
  <c r="Z84" i="17" s="1"/>
  <c r="AH84" i="17"/>
  <c r="ER83" i="17"/>
  <c r="ER82" i="17"/>
  <c r="Z82" i="17" s="1"/>
  <c r="AH82" i="17"/>
  <c r="ER81" i="17"/>
  <c r="ER80" i="17"/>
  <c r="Z80" i="17" s="1"/>
  <c r="BL80" i="17" s="1"/>
  <c r="AH80" i="17"/>
  <c r="ER79" i="17"/>
  <c r="ER78" i="17"/>
  <c r="Z78" i="17" s="1"/>
  <c r="AH78" i="17"/>
  <c r="ER77" i="17"/>
  <c r="ER76" i="17"/>
  <c r="Z76" i="17" s="1"/>
  <c r="AH76" i="17"/>
  <c r="ER75" i="17"/>
  <c r="ER74" i="17"/>
  <c r="Z74" i="17" s="1"/>
  <c r="AH74" i="17"/>
  <c r="ER73" i="17"/>
  <c r="ER72" i="17"/>
  <c r="Z72" i="17" s="1"/>
  <c r="AH72" i="17"/>
  <c r="ER71" i="17"/>
  <c r="ER70" i="17"/>
  <c r="Z70" i="17" s="1"/>
  <c r="AH70" i="17"/>
  <c r="ER59" i="17"/>
  <c r="ER58" i="17"/>
  <c r="Z58" i="17" s="1"/>
  <c r="AH58" i="17"/>
  <c r="ER57" i="17"/>
  <c r="ER56" i="17"/>
  <c r="Z56" i="17" s="1"/>
  <c r="AH56" i="17"/>
  <c r="ER55" i="17"/>
  <c r="ER54" i="17"/>
  <c r="Z54" i="17" s="1"/>
  <c r="AH54" i="17"/>
  <c r="EN53" i="17"/>
  <c r="EJ53" i="17"/>
  <c r="EF53" i="17"/>
  <c r="DX53" i="17"/>
  <c r="DT53" i="17"/>
  <c r="DP53" i="17"/>
  <c r="DL53" i="17"/>
  <c r="DH53" i="17"/>
  <c r="DD53" i="17"/>
  <c r="CZ53" i="17"/>
  <c r="CV53" i="17"/>
  <c r="CR53" i="17"/>
  <c r="CN53" i="17"/>
  <c r="CJ53" i="17"/>
  <c r="CF53" i="17"/>
  <c r="CB53" i="17"/>
  <c r="BX53" i="17"/>
  <c r="BT53" i="17"/>
  <c r="BP53" i="17"/>
  <c r="BG53" i="17"/>
  <c r="BB53" i="17"/>
  <c r="AW53" i="17"/>
  <c r="AR53" i="17"/>
  <c r="AM53" i="17"/>
  <c r="ER52" i="17"/>
  <c r="Z52" i="17" s="1"/>
  <c r="AH52" i="17"/>
  <c r="ER50" i="17"/>
  <c r="Z50" i="17" s="1"/>
  <c r="AH50" i="17"/>
  <c r="ER49" i="17"/>
  <c r="Z49" i="17" s="1"/>
  <c r="AH49" i="17"/>
  <c r="ER48" i="17"/>
  <c r="Z48" i="17" s="1"/>
  <c r="BL48" i="17" s="1"/>
  <c r="AH48" i="17"/>
  <c r="ER47" i="17"/>
  <c r="Z47" i="17" s="1"/>
  <c r="AH47" i="17"/>
  <c r="ER46" i="17"/>
  <c r="Z46" i="17" s="1"/>
  <c r="AH46" i="17"/>
  <c r="ER45" i="17"/>
  <c r="Z45" i="17" s="1"/>
  <c r="AH45" i="17"/>
  <c r="ER44" i="17"/>
  <c r="Z44" i="17" s="1"/>
  <c r="AH44" i="17"/>
  <c r="ER43" i="17"/>
  <c r="Z43" i="17" s="1"/>
  <c r="AH43" i="17"/>
  <c r="ER42" i="17"/>
  <c r="Z42" i="17" s="1"/>
  <c r="AH42" i="17"/>
  <c r="ER41" i="17"/>
  <c r="Z41" i="17" s="1"/>
  <c r="AH41" i="17"/>
  <c r="ER40" i="17"/>
  <c r="Z40" i="17" s="1"/>
  <c r="AH40" i="17"/>
  <c r="ER39" i="17"/>
  <c r="Z39" i="17" s="1"/>
  <c r="AH39" i="17"/>
  <c r="ER38" i="17"/>
  <c r="Z38" i="17" s="1"/>
  <c r="AH38" i="17"/>
  <c r="ER37" i="17"/>
  <c r="Z37" i="17" s="1"/>
  <c r="AH37" i="17"/>
  <c r="EN36" i="17"/>
  <c r="EJ36" i="17"/>
  <c r="EF36" i="17"/>
  <c r="EB36" i="17"/>
  <c r="DX36" i="17"/>
  <c r="DT36" i="17"/>
  <c r="DP36" i="17"/>
  <c r="DL36" i="17"/>
  <c r="DH36" i="17"/>
  <c r="DD36" i="17"/>
  <c r="CZ36" i="17"/>
  <c r="CV36" i="17"/>
  <c r="CR36" i="17"/>
  <c r="CN36" i="17"/>
  <c r="CJ36" i="17"/>
  <c r="CF36" i="17"/>
  <c r="CB36" i="17"/>
  <c r="BX36" i="17"/>
  <c r="BT36" i="17"/>
  <c r="BP36" i="17"/>
  <c r="BG36" i="17"/>
  <c r="BB36" i="17"/>
  <c r="AW36" i="17"/>
  <c r="AR36" i="17"/>
  <c r="AM36" i="17"/>
  <c r="HN20" i="17"/>
  <c r="AE104" i="17" s="1"/>
  <c r="HL20" i="17"/>
  <c r="AE103" i="17" s="1"/>
  <c r="HJ20" i="17"/>
  <c r="AE101" i="17" s="1"/>
  <c r="HH20" i="17"/>
  <c r="AE105" i="17" s="1"/>
  <c r="HF20" i="17"/>
  <c r="AE102" i="17" s="1"/>
  <c r="HD20" i="17"/>
  <c r="AE100" i="17" s="1"/>
  <c r="HB19" i="17"/>
  <c r="HP19" i="17" s="1"/>
  <c r="HB18" i="17"/>
  <c r="HP18" i="17" s="1"/>
  <c r="HB17" i="17"/>
  <c r="HP17" i="17" s="1"/>
  <c r="HB16" i="17"/>
  <c r="HP16" i="17" s="1"/>
  <c r="HB15" i="17"/>
  <c r="AE106" i="17" l="1"/>
  <c r="BL70" i="17"/>
  <c r="BL44" i="17"/>
  <c r="BL78" i="17"/>
  <c r="CF88" i="17"/>
  <c r="CF92" i="17" s="1"/>
  <c r="BL84" i="17"/>
  <c r="BL86" i="17"/>
  <c r="Z91" i="17"/>
  <c r="BL58" i="17"/>
  <c r="BL76" i="17"/>
  <c r="BL74" i="17"/>
  <c r="BL41" i="17"/>
  <c r="BL72" i="17"/>
  <c r="CB88" i="17"/>
  <c r="CB92" i="17" s="1"/>
  <c r="DH88" i="17"/>
  <c r="DH92" i="17" s="1"/>
  <c r="DH34" i="17" s="1"/>
  <c r="EN88" i="17"/>
  <c r="EN92" i="17" s="1"/>
  <c r="EN34" i="17" s="1"/>
  <c r="BL82" i="17"/>
  <c r="AR88" i="17"/>
  <c r="AR92" i="17" s="1"/>
  <c r="AH53" i="17"/>
  <c r="CJ88" i="17"/>
  <c r="CJ92" i="17" s="1"/>
  <c r="DP88" i="17"/>
  <c r="DP92" i="17" s="1"/>
  <c r="DP34" i="17" s="1"/>
  <c r="BL54" i="17"/>
  <c r="BB88" i="17"/>
  <c r="BB92" i="17" s="1"/>
  <c r="CN88" i="17"/>
  <c r="CN92" i="17" s="1"/>
  <c r="DT88" i="17"/>
  <c r="DT92" i="17" s="1"/>
  <c r="DT34" i="17" s="1"/>
  <c r="HB20" i="17"/>
  <c r="BG88" i="17"/>
  <c r="BG92" i="17" s="1"/>
  <c r="CR88" i="17"/>
  <c r="CR92" i="17" s="1"/>
  <c r="DX88" i="17"/>
  <c r="DX92" i="17" s="1"/>
  <c r="DX34" i="17" s="1"/>
  <c r="BP88" i="17"/>
  <c r="BP92" i="17" s="1"/>
  <c r="CV88" i="17"/>
  <c r="CV92" i="17" s="1"/>
  <c r="EB88" i="17"/>
  <c r="EB92" i="17" s="1"/>
  <c r="EB34" i="17" s="1"/>
  <c r="BL56" i="17"/>
  <c r="BX88" i="17"/>
  <c r="BX92" i="17" s="1"/>
  <c r="EJ88" i="17"/>
  <c r="EJ92" i="17" s="1"/>
  <c r="EJ34" i="17" s="1"/>
  <c r="BT88" i="17"/>
  <c r="BT92" i="17" s="1"/>
  <c r="CZ88" i="17"/>
  <c r="CZ92" i="17" s="1"/>
  <c r="EF88" i="17"/>
  <c r="EF92" i="17" s="1"/>
  <c r="EF34" i="17" s="1"/>
  <c r="DL88" i="17"/>
  <c r="DL92" i="17" s="1"/>
  <c r="DL34" i="17" s="1"/>
  <c r="DD88" i="17"/>
  <c r="DD92" i="17" s="1"/>
  <c r="AW88" i="17"/>
  <c r="AW92" i="17" s="1"/>
  <c r="AM88" i="17"/>
  <c r="AM92" i="17" s="1"/>
  <c r="BL43" i="17"/>
  <c r="BL47" i="17"/>
  <c r="BL40" i="17"/>
  <c r="BL46" i="17"/>
  <c r="BL52" i="17"/>
  <c r="BL50" i="17"/>
  <c r="BL39" i="17"/>
  <c r="BL42" i="17"/>
  <c r="AH36" i="17"/>
  <c r="BL45" i="17"/>
  <c r="BL49" i="17"/>
  <c r="BL38" i="17"/>
  <c r="Z36" i="17"/>
  <c r="BL37" i="17"/>
  <c r="HP15" i="17"/>
  <c r="HP20" i="17" s="1"/>
  <c r="ER36" i="17"/>
  <c r="Z53" i="17"/>
  <c r="ER91" i="17"/>
  <c r="ER53" i="17"/>
  <c r="AJ82" i="16"/>
  <c r="ET82" i="16"/>
  <c r="Z82" i="16" s="1"/>
  <c r="ET83" i="16"/>
  <c r="AJ84" i="16"/>
  <c r="ET84" i="16"/>
  <c r="Z84" i="16" s="1"/>
  <c r="ET85" i="16"/>
  <c r="AJ51" i="16"/>
  <c r="ET51" i="16"/>
  <c r="Z51" i="16" s="1"/>
  <c r="AJ60" i="16"/>
  <c r="ET60" i="16"/>
  <c r="Z60" i="16" s="1"/>
  <c r="ET61" i="16"/>
  <c r="AJ62" i="16"/>
  <c r="ET62" i="16"/>
  <c r="Z62" i="16" s="1"/>
  <c r="ET63" i="16"/>
  <c r="AJ64" i="16"/>
  <c r="ET64" i="16"/>
  <c r="Z64" i="16" s="1"/>
  <c r="ET65" i="16"/>
  <c r="AJ66" i="16"/>
  <c r="ET66" i="16"/>
  <c r="Z66" i="16" s="1"/>
  <c r="ET67" i="16"/>
  <c r="AJ68" i="16"/>
  <c r="ET68" i="16"/>
  <c r="Z68" i="16" s="1"/>
  <c r="ET69" i="16"/>
  <c r="EO91" i="16"/>
  <c r="EJ91" i="16"/>
  <c r="EE91" i="16"/>
  <c r="DZ91" i="16"/>
  <c r="DU91" i="16"/>
  <c r="DP91" i="16"/>
  <c r="DK91" i="16"/>
  <c r="DF91" i="16"/>
  <c r="DA91" i="16"/>
  <c r="CV91" i="16"/>
  <c r="CQ91" i="16"/>
  <c r="CL91" i="16"/>
  <c r="CG91" i="16"/>
  <c r="CB91" i="16"/>
  <c r="BW91" i="16"/>
  <c r="BR91" i="16"/>
  <c r="BN91" i="16"/>
  <c r="BI91" i="16"/>
  <c r="BD91" i="16"/>
  <c r="AY91" i="16"/>
  <c r="AT91" i="16"/>
  <c r="AO91" i="16"/>
  <c r="ET90" i="16"/>
  <c r="AJ90" i="16"/>
  <c r="Z90" i="16"/>
  <c r="ET89" i="16"/>
  <c r="Z89" i="16" s="1"/>
  <c r="AJ89" i="16"/>
  <c r="ET87" i="16"/>
  <c r="ET86" i="16"/>
  <c r="Z86" i="16" s="1"/>
  <c r="AJ86" i="16"/>
  <c r="ET81" i="16"/>
  <c r="ET80" i="16"/>
  <c r="Z80" i="16" s="1"/>
  <c r="AJ80" i="16"/>
  <c r="ET79" i="16"/>
  <c r="ET78" i="16"/>
  <c r="Z78" i="16" s="1"/>
  <c r="AJ78" i="16"/>
  <c r="ET77" i="16"/>
  <c r="ET76" i="16"/>
  <c r="Z76" i="16" s="1"/>
  <c r="AJ76" i="16"/>
  <c r="ET75" i="16"/>
  <c r="ET74" i="16"/>
  <c r="Z74" i="16" s="1"/>
  <c r="AJ74" i="16"/>
  <c r="ET73" i="16"/>
  <c r="ET72" i="16"/>
  <c r="Z72" i="16" s="1"/>
  <c r="AJ72" i="16"/>
  <c r="ET71" i="16"/>
  <c r="ET70" i="16"/>
  <c r="Z70" i="16" s="1"/>
  <c r="AJ70" i="16"/>
  <c r="ET59" i="16"/>
  <c r="ET58" i="16"/>
  <c r="Z58" i="16" s="1"/>
  <c r="AJ58" i="16"/>
  <c r="ET57" i="16"/>
  <c r="ET56" i="16"/>
  <c r="Z56" i="16" s="1"/>
  <c r="AJ56" i="16"/>
  <c r="ET55" i="16"/>
  <c r="ET54" i="16"/>
  <c r="Z54" i="16" s="1"/>
  <c r="AJ54" i="16"/>
  <c r="EO53" i="16"/>
  <c r="EJ53" i="16"/>
  <c r="EE53" i="16"/>
  <c r="EE88" i="16" s="1"/>
  <c r="DZ53" i="16"/>
  <c r="DU53" i="16"/>
  <c r="DP53" i="16"/>
  <c r="DK53" i="16"/>
  <c r="DF53" i="16"/>
  <c r="DA53" i="16"/>
  <c r="CV53" i="16"/>
  <c r="CQ53" i="16"/>
  <c r="CL53" i="16"/>
  <c r="CG53" i="16"/>
  <c r="CB53" i="16"/>
  <c r="BI53" i="16"/>
  <c r="BD53" i="16"/>
  <c r="AY53" i="16"/>
  <c r="AT53" i="16"/>
  <c r="AO53" i="16"/>
  <c r="ET52" i="16"/>
  <c r="Z52" i="16" s="1"/>
  <c r="AJ52" i="16"/>
  <c r="ET50" i="16"/>
  <c r="Z50" i="16" s="1"/>
  <c r="AJ50" i="16"/>
  <c r="ET49" i="16"/>
  <c r="Z49" i="16" s="1"/>
  <c r="AJ49" i="16"/>
  <c r="ET48" i="16"/>
  <c r="Z48" i="16" s="1"/>
  <c r="AJ48" i="16"/>
  <c r="ET47" i="16"/>
  <c r="Z47" i="16" s="1"/>
  <c r="AJ47" i="16"/>
  <c r="ET46" i="16"/>
  <c r="Z46" i="16" s="1"/>
  <c r="AJ46" i="16"/>
  <c r="ET45" i="16"/>
  <c r="Z45" i="16" s="1"/>
  <c r="AJ45" i="16"/>
  <c r="ET44" i="16"/>
  <c r="Z44" i="16" s="1"/>
  <c r="AJ44" i="16"/>
  <c r="ET43" i="16"/>
  <c r="Z43" i="16" s="1"/>
  <c r="AJ43" i="16"/>
  <c r="ET42" i="16"/>
  <c r="Z42" i="16" s="1"/>
  <c r="AJ42" i="16"/>
  <c r="ET41" i="16"/>
  <c r="Z41" i="16" s="1"/>
  <c r="AJ41" i="16"/>
  <c r="ET40" i="16"/>
  <c r="Z40" i="16" s="1"/>
  <c r="AJ40" i="16"/>
  <c r="ET39" i="16"/>
  <c r="Z39" i="16" s="1"/>
  <c r="AJ39" i="16"/>
  <c r="ET38" i="16"/>
  <c r="Z38" i="16" s="1"/>
  <c r="AJ38" i="16"/>
  <c r="ET37" i="16"/>
  <c r="AJ37" i="16"/>
  <c r="EO36" i="16"/>
  <c r="EJ36" i="16"/>
  <c r="DZ36" i="16"/>
  <c r="DU36" i="16"/>
  <c r="DP36" i="16"/>
  <c r="DK36" i="16"/>
  <c r="DF36" i="16"/>
  <c r="DA36" i="16"/>
  <c r="CV36" i="16"/>
  <c r="CQ36" i="16"/>
  <c r="CL36" i="16"/>
  <c r="CG36" i="16"/>
  <c r="CB36" i="16"/>
  <c r="BW36" i="16"/>
  <c r="BW88" i="16" s="1"/>
  <c r="BR36" i="16"/>
  <c r="BR88" i="16" s="1"/>
  <c r="BI36" i="16"/>
  <c r="BD36" i="16"/>
  <c r="AY36" i="16"/>
  <c r="AT36" i="16"/>
  <c r="AO36" i="16"/>
  <c r="HQ20" i="16"/>
  <c r="AF105" i="16" s="1"/>
  <c r="HO20" i="16"/>
  <c r="AF102" i="16" s="1"/>
  <c r="HM20" i="16"/>
  <c r="AF104" i="16" s="1"/>
  <c r="HK20" i="16"/>
  <c r="AF106" i="16" s="1"/>
  <c r="HI20" i="16"/>
  <c r="AF107" i="16" s="1"/>
  <c r="HG20" i="16"/>
  <c r="AF103" i="16" s="1"/>
  <c r="HE20" i="16"/>
  <c r="AF101" i="16" s="1"/>
  <c r="HC19" i="16"/>
  <c r="HS19" i="16" s="1"/>
  <c r="HC18" i="16"/>
  <c r="HS18" i="16" s="1"/>
  <c r="HC17" i="16"/>
  <c r="HS17" i="16" s="1"/>
  <c r="HC16" i="16"/>
  <c r="HS16" i="16" s="1"/>
  <c r="AF108" i="16" l="1"/>
  <c r="Z37" i="16"/>
  <c r="ET36" i="16"/>
  <c r="BR92" i="16"/>
  <c r="BN74" i="16"/>
  <c r="BL53" i="17"/>
  <c r="AH88" i="17"/>
  <c r="AH92" i="17" s="1"/>
  <c r="BL36" i="17"/>
  <c r="ER88" i="17"/>
  <c r="Z88" i="17"/>
  <c r="Z92" i="17" s="1"/>
  <c r="DD34" i="17"/>
  <c r="ER92" i="17"/>
  <c r="Z91" i="16"/>
  <c r="BN84" i="16"/>
  <c r="BN82" i="16"/>
  <c r="BW92" i="16"/>
  <c r="BN80" i="16"/>
  <c r="BN76" i="16"/>
  <c r="BN51" i="16"/>
  <c r="BN70" i="16"/>
  <c r="AO88" i="16"/>
  <c r="AO92" i="16" s="1"/>
  <c r="CQ88" i="16"/>
  <c r="CQ92" i="16" s="1"/>
  <c r="AY88" i="16"/>
  <c r="AY92" i="16" s="1"/>
  <c r="DA88" i="16"/>
  <c r="DA92" i="16" s="1"/>
  <c r="EO88" i="16"/>
  <c r="EO92" i="16" s="1"/>
  <c r="EO34" i="16" s="1"/>
  <c r="BN78" i="16"/>
  <c r="EJ88" i="16"/>
  <c r="EJ92" i="16" s="1"/>
  <c r="EJ34" i="16" s="1"/>
  <c r="CV88" i="16"/>
  <c r="CV92" i="16" s="1"/>
  <c r="BN38" i="16"/>
  <c r="BN44" i="16"/>
  <c r="BN48" i="16"/>
  <c r="AT88" i="16"/>
  <c r="AT92" i="16" s="1"/>
  <c r="BD88" i="16"/>
  <c r="BD92" i="16" s="1"/>
  <c r="DF88" i="16"/>
  <c r="DF92" i="16" s="1"/>
  <c r="DF34" i="16" s="1"/>
  <c r="BN58" i="16"/>
  <c r="BN72" i="16"/>
  <c r="BN86" i="16"/>
  <c r="AJ36" i="16"/>
  <c r="BI88" i="16"/>
  <c r="BI92" i="16" s="1"/>
  <c r="DK88" i="16"/>
  <c r="DK92" i="16" s="1"/>
  <c r="DK34" i="16" s="1"/>
  <c r="CB88" i="16"/>
  <c r="CB92" i="16" s="1"/>
  <c r="DP88" i="16"/>
  <c r="DP92" i="16" s="1"/>
  <c r="DP34" i="16" s="1"/>
  <c r="HC20" i="16"/>
  <c r="CG88" i="16"/>
  <c r="CG92" i="16" s="1"/>
  <c r="DU88" i="16"/>
  <c r="DU92" i="16" s="1"/>
  <c r="DU34" i="16" s="1"/>
  <c r="AJ91" i="16"/>
  <c r="CL88" i="16"/>
  <c r="CL92" i="16" s="1"/>
  <c r="DZ88" i="16"/>
  <c r="DZ92" i="16" s="1"/>
  <c r="DZ34" i="16" s="1"/>
  <c r="BN56" i="16"/>
  <c r="ET91" i="16"/>
  <c r="BN68" i="16"/>
  <c r="BN62" i="16"/>
  <c r="BN66" i="16"/>
  <c r="BN60" i="16"/>
  <c r="BN64" i="16"/>
  <c r="AJ53" i="16"/>
  <c r="BN39" i="16"/>
  <c r="BN45" i="16"/>
  <c r="BN49" i="16"/>
  <c r="BN40" i="16"/>
  <c r="BN42" i="16"/>
  <c r="BN46" i="16"/>
  <c r="BN50" i="16"/>
  <c r="BN52" i="16"/>
  <c r="BN41" i="16"/>
  <c r="BN43" i="16"/>
  <c r="BN47" i="16"/>
  <c r="ET53" i="16"/>
  <c r="BN54" i="16"/>
  <c r="Z53" i="16"/>
  <c r="HS20" i="16"/>
  <c r="BN37" i="16"/>
  <c r="Z36" i="16"/>
  <c r="EE92" i="16"/>
  <c r="EE34" i="16" s="1"/>
  <c r="HN20" i="15"/>
  <c r="HL20" i="15"/>
  <c r="HJ20" i="15"/>
  <c r="HH20" i="15"/>
  <c r="HF20" i="15"/>
  <c r="HD20" i="15"/>
  <c r="HB20" i="15"/>
  <c r="GZ19" i="15"/>
  <c r="HP19" i="15" s="1"/>
  <c r="GZ18" i="15"/>
  <c r="HP18" i="15" s="1"/>
  <c r="GZ17" i="15"/>
  <c r="HP17" i="15" s="1"/>
  <c r="GZ16" i="15"/>
  <c r="HP16" i="15" s="1"/>
  <c r="GZ15" i="15"/>
  <c r="BL88" i="17" l="1"/>
  <c r="BL92" i="17" s="1"/>
  <c r="ET88" i="16"/>
  <c r="ET92" i="16" s="1"/>
  <c r="AJ88" i="16"/>
  <c r="AJ92" i="16" s="1"/>
  <c r="ET34" i="16"/>
  <c r="BN53" i="16"/>
  <c r="BN36" i="16"/>
  <c r="Z88" i="16"/>
  <c r="GZ20" i="15"/>
  <c r="HP15" i="15"/>
  <c r="HP20" i="15" s="1"/>
  <c r="HL20" i="11"/>
  <c r="HJ20" i="11"/>
  <c r="HH20" i="11"/>
  <c r="HF20" i="11"/>
  <c r="HD20" i="11"/>
  <c r="HB20" i="11"/>
  <c r="GZ20" i="11"/>
  <c r="GX19" i="11"/>
  <c r="HN19" i="11" s="1"/>
  <c r="GX18" i="11"/>
  <c r="HN18" i="11" s="1"/>
  <c r="GX17" i="11"/>
  <c r="HN17" i="11" s="1"/>
  <c r="GX16" i="11"/>
  <c r="HN16" i="11" s="1"/>
  <c r="BN88" i="16" l="1"/>
  <c r="BN92" i="16" s="1"/>
  <c r="Z92" i="16"/>
  <c r="HN20" i="11"/>
  <c r="GX20" i="11"/>
  <c r="AE91" i="16" l="1"/>
  <c r="AE36" i="16"/>
  <c r="AE53" i="16"/>
  <c r="AE88" i="16"/>
  <c r="AE92" i="16" s="1"/>
  <c r="AG60" i="15"/>
  <c r="AG62" i="15"/>
  <c r="AG64" i="15"/>
  <c r="AG66" i="15"/>
  <c r="AG68" i="15"/>
  <c r="AG70" i="15"/>
  <c r="AG72" i="15"/>
  <c r="AG74" i="15"/>
  <c r="AG76" i="15"/>
  <c r="AG78" i="15"/>
  <c r="AG80" i="15"/>
  <c r="AG58" i="15"/>
  <c r="AG38" i="15"/>
  <c r="AG39" i="15"/>
  <c r="AG40" i="15"/>
  <c r="AG41" i="15"/>
  <c r="AG42" i="15"/>
  <c r="AG43" i="15"/>
  <c r="AG44" i="15"/>
  <c r="AG45" i="15"/>
  <c r="AG46" i="15"/>
  <c r="AG47" i="15"/>
  <c r="AG48" i="15"/>
  <c r="AG49" i="15"/>
  <c r="AG50" i="15"/>
  <c r="AG51" i="15"/>
  <c r="AG52" i="15"/>
  <c r="AG53" i="15"/>
  <c r="AG54" i="15"/>
  <c r="AG55" i="15"/>
  <c r="AG56" i="15"/>
  <c r="AG37" i="15"/>
  <c r="BK38" i="11"/>
  <c r="BK39" i="11"/>
  <c r="BK40" i="11"/>
  <c r="BK41" i="11"/>
  <c r="BK42" i="11"/>
  <c r="BK43" i="11"/>
  <c r="BK44" i="11"/>
  <c r="BK45" i="11"/>
  <c r="BK46" i="11"/>
  <c r="BK47" i="11"/>
  <c r="BK48" i="11"/>
  <c r="BK49" i="11"/>
  <c r="BK50" i="11"/>
  <c r="BK51" i="11"/>
  <c r="BK52" i="11"/>
  <c r="BK53" i="11"/>
  <c r="BK54" i="11"/>
  <c r="BK55" i="11"/>
  <c r="BK56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37" i="11"/>
  <c r="BK60" i="11"/>
  <c r="BK62" i="11"/>
  <c r="BK64" i="11"/>
  <c r="BK66" i="11"/>
  <c r="BK68" i="11"/>
  <c r="BK70" i="11"/>
  <c r="BK72" i="11"/>
  <c r="BK74" i="11"/>
  <c r="BK76" i="11"/>
  <c r="BK78" i="11"/>
  <c r="BK80" i="11"/>
  <c r="BK58" i="11"/>
  <c r="AG60" i="11"/>
  <c r="AG62" i="11"/>
  <c r="AG64" i="11"/>
  <c r="AG66" i="11"/>
  <c r="AG68" i="11"/>
  <c r="AG70" i="11"/>
  <c r="AG72" i="11"/>
  <c r="AG74" i="11"/>
  <c r="AG76" i="11"/>
  <c r="AG78" i="11"/>
  <c r="AG80" i="11"/>
  <c r="AG58" i="11"/>
  <c r="CE57" i="15" l="1"/>
  <c r="CX57" i="11"/>
  <c r="CD57" i="11"/>
  <c r="CI57" i="11"/>
  <c r="CN57" i="11"/>
  <c r="CS57" i="11"/>
  <c r="BY57" i="11"/>
  <c r="EQ56" i="11" l="1"/>
  <c r="BO57" i="15" l="1"/>
  <c r="BS57" i="15"/>
  <c r="BW57" i="15"/>
  <c r="CA57" i="15"/>
  <c r="BK85" i="15"/>
  <c r="AL85" i="15"/>
  <c r="AQ85" i="15"/>
  <c r="AV85" i="15"/>
  <c r="BA85" i="15"/>
  <c r="BF85" i="15"/>
  <c r="AD85" i="15"/>
  <c r="AD86" i="15" s="1"/>
  <c r="CY85" i="15"/>
  <c r="CU85" i="15"/>
  <c r="CQ85" i="15"/>
  <c r="CM85" i="15"/>
  <c r="CI85" i="15"/>
  <c r="CE85" i="15"/>
  <c r="CA85" i="15"/>
  <c r="BW85" i="15"/>
  <c r="BS85" i="15"/>
  <c r="BO85" i="15"/>
  <c r="BY85" i="11" l="1"/>
  <c r="CD85" i="11"/>
  <c r="CI85" i="11"/>
  <c r="CN85" i="11"/>
  <c r="CS85" i="11"/>
  <c r="CX85" i="11"/>
  <c r="BT85" i="11"/>
  <c r="BK85" i="11"/>
  <c r="AQ85" i="11"/>
  <c r="AV85" i="11"/>
  <c r="BA85" i="11"/>
  <c r="BF85" i="11"/>
  <c r="AL85" i="11"/>
  <c r="EL57" i="11"/>
  <c r="EG57" i="11"/>
  <c r="EB57" i="11"/>
  <c r="DW57" i="11"/>
  <c r="DR57" i="11"/>
  <c r="DM57" i="11"/>
  <c r="DH57" i="11"/>
  <c r="DC57" i="11"/>
  <c r="EQ78" i="11"/>
  <c r="EQ81" i="11"/>
  <c r="EQ80" i="11"/>
  <c r="EQ79" i="11"/>
  <c r="EQ77" i="11"/>
  <c r="EQ76" i="11"/>
  <c r="EQ75" i="11"/>
  <c r="EQ74" i="11"/>
  <c r="EQ73" i="11"/>
  <c r="EQ72" i="11"/>
  <c r="EQ71" i="11"/>
  <c r="EQ70" i="11"/>
  <c r="EQ69" i="11"/>
  <c r="EQ68" i="11"/>
  <c r="EQ67" i="11"/>
  <c r="EQ66" i="11"/>
  <c r="EQ65" i="11"/>
  <c r="EQ64" i="11"/>
  <c r="EQ63" i="11"/>
  <c r="EQ62" i="11"/>
  <c r="EQ61" i="11"/>
  <c r="EQ60" i="11"/>
  <c r="EQ58" i="11"/>
  <c r="Z58" i="11" s="1"/>
  <c r="EQ55" i="11"/>
  <c r="EQ54" i="11"/>
  <c r="EQ53" i="11"/>
  <c r="EQ52" i="11"/>
  <c r="EQ51" i="11"/>
  <c r="EQ50" i="11"/>
  <c r="EQ49" i="11"/>
  <c r="EQ48" i="11"/>
  <c r="EQ47" i="11"/>
  <c r="EQ46" i="11"/>
  <c r="EQ45" i="11"/>
  <c r="EQ44" i="11"/>
  <c r="EQ43" i="11"/>
  <c r="EQ42" i="11"/>
  <c r="EQ41" i="11"/>
  <c r="EQ40" i="11"/>
  <c r="EQ39" i="11"/>
  <c r="EQ38" i="11"/>
  <c r="EQ37" i="11"/>
  <c r="EQ60" i="15" l="1"/>
  <c r="EQ61" i="15"/>
  <c r="EQ62" i="15"/>
  <c r="EQ63" i="15"/>
  <c r="EQ64" i="15"/>
  <c r="EQ65" i="15"/>
  <c r="EQ66" i="15"/>
  <c r="EQ67" i="15"/>
  <c r="EQ68" i="15"/>
  <c r="EQ69" i="15"/>
  <c r="EQ70" i="15"/>
  <c r="EQ71" i="15"/>
  <c r="EQ72" i="15"/>
  <c r="EQ73" i="15"/>
  <c r="EQ74" i="15"/>
  <c r="EQ75" i="15"/>
  <c r="EQ76" i="15"/>
  <c r="EQ77" i="15"/>
  <c r="EQ78" i="15"/>
  <c r="EQ79" i="15"/>
  <c r="EQ80" i="15"/>
  <c r="EQ81" i="15"/>
  <c r="EQ58" i="15"/>
  <c r="EQ59" i="15"/>
  <c r="Z58" i="15" l="1"/>
  <c r="BK58" i="15" s="1"/>
  <c r="EQ38" i="15"/>
  <c r="Z38" i="15" s="1"/>
  <c r="BK38" i="15" s="1"/>
  <c r="EQ39" i="15"/>
  <c r="Z39" i="15" s="1"/>
  <c r="BK39" i="15" s="1"/>
  <c r="EQ40" i="15"/>
  <c r="Z40" i="15" s="1"/>
  <c r="BK40" i="15" s="1"/>
  <c r="EQ41" i="15"/>
  <c r="Z41" i="15" s="1"/>
  <c r="BK41" i="15" s="1"/>
  <c r="EQ42" i="15"/>
  <c r="Z42" i="15" s="1"/>
  <c r="BK42" i="15" s="1"/>
  <c r="EQ43" i="15"/>
  <c r="Z43" i="15" s="1"/>
  <c r="BK43" i="15" s="1"/>
  <c r="EQ44" i="15"/>
  <c r="Z44" i="15" s="1"/>
  <c r="BK44" i="15" s="1"/>
  <c r="EQ45" i="15"/>
  <c r="Z45" i="15" s="1"/>
  <c r="BK45" i="15" s="1"/>
  <c r="EQ46" i="15"/>
  <c r="Z46" i="15" s="1"/>
  <c r="BK46" i="15" s="1"/>
  <c r="EQ47" i="15"/>
  <c r="Z47" i="15" s="1"/>
  <c r="BK47" i="15" s="1"/>
  <c r="EQ48" i="15"/>
  <c r="Z48" i="15" s="1"/>
  <c r="BK48" i="15" s="1"/>
  <c r="EQ49" i="15"/>
  <c r="EQ50" i="15"/>
  <c r="Z50" i="15" s="1"/>
  <c r="BK50" i="15" s="1"/>
  <c r="EQ51" i="15"/>
  <c r="Z51" i="15" s="1"/>
  <c r="BK51" i="15" s="1"/>
  <c r="EQ52" i="15"/>
  <c r="Z52" i="15" s="1"/>
  <c r="BK52" i="15" s="1"/>
  <c r="EQ53" i="15"/>
  <c r="Z53" i="15" s="1"/>
  <c r="BK53" i="15" s="1"/>
  <c r="EQ54" i="15"/>
  <c r="Z54" i="15" s="1"/>
  <c r="BK54" i="15" s="1"/>
  <c r="EQ55" i="15"/>
  <c r="Z55" i="15" s="1"/>
  <c r="BK55" i="15" s="1"/>
  <c r="EQ56" i="15"/>
  <c r="Z56" i="15" s="1"/>
  <c r="BK56" i="15" s="1"/>
  <c r="Z49" i="15" l="1"/>
  <c r="BK49" i="15" s="1"/>
  <c r="DG57" i="15" l="1"/>
  <c r="DK57" i="15"/>
  <c r="DO57" i="15"/>
  <c r="DS57" i="15"/>
  <c r="DW57" i="15"/>
  <c r="EA57" i="15"/>
  <c r="EE57" i="15"/>
  <c r="EI57" i="15"/>
  <c r="EM57" i="15"/>
  <c r="DC57" i="15"/>
  <c r="EQ57" i="15" l="1"/>
  <c r="CI57" i="15"/>
  <c r="CM57" i="15"/>
  <c r="CQ57" i="15"/>
  <c r="CU57" i="15"/>
  <c r="CY57" i="15"/>
  <c r="AQ57" i="15"/>
  <c r="AV57" i="15"/>
  <c r="BA57" i="15"/>
  <c r="BF57" i="15"/>
  <c r="AL57" i="15"/>
  <c r="Z78" i="15"/>
  <c r="BK78" i="15" s="1"/>
  <c r="Z76" i="15"/>
  <c r="BK76" i="15" s="1"/>
  <c r="Z74" i="15"/>
  <c r="BK74" i="15" s="1"/>
  <c r="Z72" i="15"/>
  <c r="BK72" i="15" s="1"/>
  <c r="Z70" i="15"/>
  <c r="BK70" i="15" s="1"/>
  <c r="Z68" i="15"/>
  <c r="BK68" i="15" s="1"/>
  <c r="Z66" i="15"/>
  <c r="BK66" i="15" s="1"/>
  <c r="Z64" i="15"/>
  <c r="BK64" i="15" s="1"/>
  <c r="Z62" i="15"/>
  <c r="BK62" i="15" s="1"/>
  <c r="Z60" i="15"/>
  <c r="BK60" i="15" s="1"/>
  <c r="Z55" i="11" l="1"/>
  <c r="Z54" i="11"/>
  <c r="Z53" i="11"/>
  <c r="Z52" i="11"/>
  <c r="AV57" i="11" l="1"/>
  <c r="AQ57" i="11"/>
  <c r="AL57" i="11"/>
  <c r="Z80" i="11" l="1"/>
  <c r="Z72" i="11"/>
  <c r="Z70" i="11"/>
  <c r="Z74" i="11"/>
  <c r="Z68" i="11"/>
  <c r="Z66" i="11"/>
  <c r="Z76" i="11"/>
  <c r="BA57" i="11" l="1"/>
  <c r="BF57" i="11"/>
  <c r="Z49" i="11"/>
  <c r="Z43" i="11"/>
  <c r="Z64" i="11" l="1"/>
  <c r="Z62" i="11"/>
  <c r="Z60" i="11"/>
  <c r="Z56" i="11" l="1"/>
  <c r="DK85" i="15" l="1"/>
  <c r="DO85" i="15"/>
  <c r="DS85" i="15"/>
  <c r="DW85" i="15"/>
  <c r="EA85" i="15"/>
  <c r="EE85" i="15"/>
  <c r="EI85" i="15"/>
  <c r="EM85" i="15"/>
  <c r="DC85" i="15"/>
  <c r="DG85" i="15"/>
  <c r="DC36" i="15" l="1"/>
  <c r="DC82" i="15" s="1"/>
  <c r="DC86" i="15" s="1"/>
  <c r="DG36" i="15"/>
  <c r="DG82" i="15" s="1"/>
  <c r="DG86" i="15" s="1"/>
  <c r="DK36" i="15"/>
  <c r="DK82" i="15" s="1"/>
  <c r="DK86" i="15" s="1"/>
  <c r="DO36" i="15"/>
  <c r="DO82" i="15" s="1"/>
  <c r="DO86" i="15" s="1"/>
  <c r="DS36" i="15"/>
  <c r="DS82" i="15" s="1"/>
  <c r="DS86" i="15" s="1"/>
  <c r="DW36" i="15"/>
  <c r="DW82" i="15" s="1"/>
  <c r="DW86" i="15" s="1"/>
  <c r="EA36" i="15"/>
  <c r="EA82" i="15" s="1"/>
  <c r="EA86" i="15" s="1"/>
  <c r="EE36" i="15"/>
  <c r="EE82" i="15" s="1"/>
  <c r="EE86" i="15" s="1"/>
  <c r="EI36" i="15"/>
  <c r="EI82" i="15" s="1"/>
  <c r="EI86" i="15" s="1"/>
  <c r="EM36" i="15"/>
  <c r="BS36" i="15"/>
  <c r="BW36" i="15"/>
  <c r="BW82" i="15" s="1"/>
  <c r="CA36" i="15"/>
  <c r="CA82" i="15" s="1"/>
  <c r="CE36" i="15"/>
  <c r="CI36" i="15"/>
  <c r="CM36" i="15"/>
  <c r="CQ36" i="15"/>
  <c r="CU36" i="15"/>
  <c r="CY36" i="15"/>
  <c r="BO36" i="15"/>
  <c r="Z80" i="15"/>
  <c r="BK80" i="15" s="1"/>
  <c r="EQ83" i="15"/>
  <c r="Z83" i="15" s="1"/>
  <c r="EQ84" i="15"/>
  <c r="Z84" i="15" s="1"/>
  <c r="EQ85" i="15"/>
  <c r="EQ37" i="15"/>
  <c r="AG84" i="15"/>
  <c r="AG83" i="15"/>
  <c r="BF36" i="15"/>
  <c r="BA36" i="15"/>
  <c r="AV36" i="15"/>
  <c r="AQ36" i="15"/>
  <c r="AL36" i="15"/>
  <c r="Z37" i="15" l="1"/>
  <c r="EQ36" i="15"/>
  <c r="EQ82" i="15" s="1"/>
  <c r="AG85" i="15"/>
  <c r="Z57" i="15"/>
  <c r="EM82" i="15"/>
  <c r="EM86" i="15" s="1"/>
  <c r="EM34" i="15" s="1"/>
  <c r="BO82" i="15"/>
  <c r="BO86" i="15" s="1"/>
  <c r="CQ82" i="15"/>
  <c r="CQ86" i="15" s="1"/>
  <c r="CA86" i="15"/>
  <c r="CY82" i="15"/>
  <c r="CY86" i="15" s="1"/>
  <c r="CU82" i="15"/>
  <c r="CU86" i="15" s="1"/>
  <c r="CM82" i="15"/>
  <c r="CM86" i="15" s="1"/>
  <c r="CI82" i="15"/>
  <c r="CI86" i="15" s="1"/>
  <c r="CE82" i="15"/>
  <c r="CE86" i="15" s="1"/>
  <c r="BW86" i="15"/>
  <c r="BS82" i="15"/>
  <c r="BS86" i="15" s="1"/>
  <c r="EE34" i="15"/>
  <c r="DO34" i="15"/>
  <c r="EA34" i="15"/>
  <c r="DK34" i="15"/>
  <c r="DW34" i="15"/>
  <c r="DG34" i="15"/>
  <c r="EI34" i="15"/>
  <c r="DS34" i="15"/>
  <c r="DC34" i="15"/>
  <c r="BA82" i="15"/>
  <c r="BA86" i="15" s="1"/>
  <c r="AG36" i="15"/>
  <c r="AV82" i="15"/>
  <c r="AV86" i="15" s="1"/>
  <c r="BK37" i="15"/>
  <c r="Z36" i="15"/>
  <c r="Z85" i="15"/>
  <c r="AL82" i="15"/>
  <c r="AL86" i="15" s="1"/>
  <c r="BF82" i="15"/>
  <c r="BF86" i="15" s="1"/>
  <c r="AQ82" i="15"/>
  <c r="AQ86" i="15" s="1"/>
  <c r="EQ86" i="15" l="1"/>
  <c r="BK36" i="15"/>
  <c r="Z82" i="15"/>
  <c r="Z86" i="15" s="1"/>
  <c r="EQ84" i="11" l="1"/>
  <c r="EQ83" i="11"/>
  <c r="Z83" i="11" s="1"/>
  <c r="DH85" i="11"/>
  <c r="DM85" i="11"/>
  <c r="DR85" i="11"/>
  <c r="DW85" i="11"/>
  <c r="EB85" i="11"/>
  <c r="EG85" i="11"/>
  <c r="EL85" i="11"/>
  <c r="DC85" i="11"/>
  <c r="BO85" i="11"/>
  <c r="DC36" i="11"/>
  <c r="DH36" i="11"/>
  <c r="DH82" i="11" s="1"/>
  <c r="DM36" i="11"/>
  <c r="DM82" i="11" s="1"/>
  <c r="DR36" i="11"/>
  <c r="DR82" i="11" s="1"/>
  <c r="DW36" i="11"/>
  <c r="DW82" i="11" s="1"/>
  <c r="EB82" i="11"/>
  <c r="EG36" i="11"/>
  <c r="EG82" i="11" s="1"/>
  <c r="EL36" i="11"/>
  <c r="EL82" i="11" s="1"/>
  <c r="BT36" i="11"/>
  <c r="BY36" i="11"/>
  <c r="CD36" i="11"/>
  <c r="CI36" i="11"/>
  <c r="CN36" i="11"/>
  <c r="CS36" i="11"/>
  <c r="CX36" i="11"/>
  <c r="BO36" i="11"/>
  <c r="AL36" i="11"/>
  <c r="AQ36" i="11"/>
  <c r="AV36" i="11"/>
  <c r="BA36" i="11"/>
  <c r="BF36" i="11"/>
  <c r="AG83" i="11"/>
  <c r="AG84" i="11"/>
  <c r="Z84" i="11"/>
  <c r="EQ85" i="11" l="1"/>
  <c r="BY82" i="11"/>
  <c r="BY86" i="11" s="1"/>
  <c r="AQ82" i="11"/>
  <c r="AQ86" i="11" s="1"/>
  <c r="BF82" i="11"/>
  <c r="BF86" i="11" s="1"/>
  <c r="BT82" i="11"/>
  <c r="BT86" i="11" s="1"/>
  <c r="AG85" i="11"/>
  <c r="EL86" i="11"/>
  <c r="EL34" i="11" s="1"/>
  <c r="CN82" i="11"/>
  <c r="CN86" i="11" s="1"/>
  <c r="EG86" i="11"/>
  <c r="EG34" i="11" s="1"/>
  <c r="AV82" i="11"/>
  <c r="AV86" i="11" s="1"/>
  <c r="CD82" i="11"/>
  <c r="CD86" i="11" s="1"/>
  <c r="BO82" i="11"/>
  <c r="BO86" i="11" s="1"/>
  <c r="DC82" i="11"/>
  <c r="DC86" i="11" s="1"/>
  <c r="DC34" i="11" s="1"/>
  <c r="EB86" i="11"/>
  <c r="EB34" i="11" s="1"/>
  <c r="AL82" i="11"/>
  <c r="AL86" i="11" s="1"/>
  <c r="CS82" i="11"/>
  <c r="CS86" i="11" s="1"/>
  <c r="BA82" i="11"/>
  <c r="BA86" i="11" s="1"/>
  <c r="CI82" i="11"/>
  <c r="CI86" i="11" s="1"/>
  <c r="CX82" i="11"/>
  <c r="CX86" i="11" s="1"/>
  <c r="Z85" i="11"/>
  <c r="EQ36" i="11"/>
  <c r="Z37" i="11"/>
  <c r="Z38" i="11"/>
  <c r="Z39" i="11"/>
  <c r="Z40" i="11"/>
  <c r="Z41" i="11"/>
  <c r="Z42" i="11"/>
  <c r="Z44" i="11"/>
  <c r="Z45" i="11"/>
  <c r="Z46" i="11"/>
  <c r="Z47" i="11"/>
  <c r="Z48" i="11"/>
  <c r="Z50" i="11"/>
  <c r="Z51" i="11"/>
  <c r="EQ59" i="11"/>
  <c r="EQ57" i="11" s="1"/>
  <c r="Z78" i="11"/>
  <c r="AG57" i="11" s="1"/>
  <c r="Z57" i="11" l="1"/>
  <c r="DW86" i="11"/>
  <c r="DW34" i="11" s="1"/>
  <c r="DR86" i="11"/>
  <c r="DR34" i="11" s="1"/>
  <c r="DH86" i="11"/>
  <c r="DH34" i="11" s="1"/>
  <c r="DM86" i="11"/>
  <c r="DM34" i="11" s="1"/>
  <c r="EQ82" i="11"/>
  <c r="EQ86" i="11" s="1"/>
  <c r="Z36" i="11"/>
  <c r="AG36" i="11"/>
  <c r="BK57" i="11"/>
  <c r="BK37" i="11"/>
  <c r="Z82" i="11" l="1"/>
  <c r="EQ34" i="11"/>
  <c r="BK36" i="11"/>
  <c r="AG82" i="11"/>
  <c r="AG86" i="11" s="1"/>
  <c r="Z86" i="11" l="1"/>
  <c r="AD82" i="11" s="1"/>
  <c r="BK82" i="11"/>
  <c r="BK86" i="11" s="1"/>
  <c r="AD85" i="11" l="1"/>
  <c r="AD86" i="11" s="1"/>
  <c r="AD57" i="11"/>
  <c r="AD36" i="11"/>
  <c r="AG57" i="15"/>
  <c r="AG82" i="15" s="1"/>
  <c r="AG86" i="15" s="1"/>
  <c r="BK57" i="15"/>
  <c r="BK82" i="15" s="1"/>
  <c r="BK86" i="15" s="1"/>
</calcChain>
</file>

<file path=xl/sharedStrings.xml><?xml version="1.0" encoding="utf-8"?>
<sst xmlns="http://schemas.openxmlformats.org/spreadsheetml/2006/main" count="1437" uniqueCount="349">
  <si>
    <t>I</t>
  </si>
  <si>
    <t>II</t>
  </si>
  <si>
    <t>III</t>
  </si>
  <si>
    <t>IV</t>
  </si>
  <si>
    <t>1.10</t>
  </si>
  <si>
    <t>1.11</t>
  </si>
  <si>
    <t>1.12</t>
  </si>
  <si>
    <t>1.13</t>
  </si>
  <si>
    <t>1.15</t>
  </si>
  <si>
    <t>1.16</t>
  </si>
  <si>
    <t>2.01</t>
  </si>
  <si>
    <t>2.02</t>
  </si>
  <si>
    <t>V</t>
  </si>
  <si>
    <t>Akademik daraja - BAKALAVR</t>
  </si>
  <si>
    <t>N</t>
  </si>
  <si>
    <t>Malakaviy amaliyot</t>
  </si>
  <si>
    <t>Kredit ta'lim tizimiga kirish</t>
  </si>
  <si>
    <t>Attestatsiya</t>
  </si>
  <si>
    <t>Yakuniy davlat attestatsiyasi</t>
  </si>
  <si>
    <t>Y</t>
  </si>
  <si>
    <t>O‘quv jarayoni (haftalarda)</t>
  </si>
  <si>
    <t>Jami</t>
  </si>
  <si>
    <t>Hammasi</t>
  </si>
  <si>
    <t>KURS</t>
  </si>
  <si>
    <t>JAMI</t>
  </si>
  <si>
    <t>T/R</t>
  </si>
  <si>
    <t>Mustaqil ta'lim</t>
  </si>
  <si>
    <t>1-kurs</t>
  </si>
  <si>
    <t>2-kurs</t>
  </si>
  <si>
    <t>3-kurs</t>
  </si>
  <si>
    <t>5-kurs</t>
  </si>
  <si>
    <t>Kurslardagi haftalar soni</t>
  </si>
  <si>
    <t>Semestrlar</t>
  </si>
  <si>
    <t>Semestrdagi auditoriya mashg'lotlari haftalarining soni</t>
  </si>
  <si>
    <t>Kredit taqsimoti</t>
  </si>
  <si>
    <t>Jami kreditlar soni</t>
  </si>
  <si>
    <t>Majburiy fanlar</t>
  </si>
  <si>
    <t>Mediasavodxonlik va axborot madaniyati</t>
  </si>
  <si>
    <t>2.00</t>
  </si>
  <si>
    <t>2.03</t>
  </si>
  <si>
    <t>2.04</t>
  </si>
  <si>
    <t>2.05</t>
  </si>
  <si>
    <t>2.06</t>
  </si>
  <si>
    <t>2.08</t>
  </si>
  <si>
    <t>2.09</t>
  </si>
  <si>
    <t>K</t>
  </si>
  <si>
    <t>Noyabr</t>
  </si>
  <si>
    <t>Dekabr</t>
  </si>
  <si>
    <t>Yanvar</t>
  </si>
  <si>
    <t>Fevral</t>
  </si>
  <si>
    <t>Mart</t>
  </si>
  <si>
    <t>Aprel</t>
  </si>
  <si>
    <t>May</t>
  </si>
  <si>
    <t>Iyun</t>
  </si>
  <si>
    <t>Avgust</t>
  </si>
  <si>
    <t>T</t>
  </si>
  <si>
    <t>A</t>
  </si>
  <si>
    <t>M</t>
  </si>
  <si>
    <t>Fanning malakaviy kodi</t>
  </si>
  <si>
    <t>O'quv bloklari, fanlar va faoliyat turlarining nomlari</t>
  </si>
  <si>
    <t>Talabaning o'quv yuklamasi, soatlarda ishi hajmi soatlarda</t>
  </si>
  <si>
    <t>Umumiy yuklama hajmi</t>
  </si>
  <si>
    <t>Auditoriya mashg'ulotlari soatlarda</t>
  </si>
  <si>
    <t>Ma'ruza</t>
  </si>
  <si>
    <t>Amaliy</t>
  </si>
  <si>
    <t>Seminar</t>
  </si>
  <si>
    <t>Laboratoriya</t>
  </si>
  <si>
    <t>Kurs ishi</t>
  </si>
  <si>
    <t>4-kurs</t>
  </si>
  <si>
    <t>soat</t>
  </si>
  <si>
    <t>%</t>
  </si>
  <si>
    <t>UmPsix104</t>
  </si>
  <si>
    <t>UmPed104</t>
  </si>
  <si>
    <t>Fal304</t>
  </si>
  <si>
    <t>ITDP404</t>
  </si>
  <si>
    <t>TN404</t>
  </si>
  <si>
    <t>O'zbekistonning eng yangi tarixi</t>
  </si>
  <si>
    <t>Umumiy psixologiya</t>
  </si>
  <si>
    <t>Ixtisoslikka kirish</t>
  </si>
  <si>
    <t>Umumiy pedagogika</t>
  </si>
  <si>
    <t>Akademik yozuv (ECTS 4)</t>
  </si>
  <si>
    <t>Ta'limda menejment  (ECTS 4)</t>
  </si>
  <si>
    <t xml:space="preserve">Amaliy xorijiy tili. </t>
  </si>
  <si>
    <t>Tanlov fanlari</t>
  </si>
  <si>
    <t>Jami:</t>
  </si>
  <si>
    <t>Malakaviy va pedagogik amaliyotlar</t>
  </si>
  <si>
    <t>Shundan</t>
  </si>
  <si>
    <t>Inklyuziv ta'lim. Davolash pedagogikasi</t>
  </si>
  <si>
    <t>1.00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</si>
  <si>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</si>
  <si>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</si>
  <si>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</si>
  <si>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</si>
  <si>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</si>
  <si>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</si>
  <si>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</si>
  <si>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</si>
  <si>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</si>
  <si>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Izoh:</t>
  </si>
  <si>
    <t>O'quv jarayonining tarkibiy qismlari</t>
  </si>
  <si>
    <t>Haftalar soni</t>
  </si>
  <si>
    <t>Semestr</t>
  </si>
  <si>
    <t>Davlat attestatsiyasi</t>
  </si>
  <si>
    <t xml:space="preserve"> Nazariy va amaliy ta'lim</t>
  </si>
  <si>
    <t xml:space="preserve"> Attestatsiyalar</t>
  </si>
  <si>
    <t xml:space="preserve"> Yakuniy davlat attestatsiyalari</t>
  </si>
  <si>
    <t xml:space="preserve"> Ta'tillar</t>
  </si>
  <si>
    <t xml:space="preserve"> Kredit ta'lim tizimiga kirish</t>
  </si>
  <si>
    <t>35</t>
  </si>
  <si>
    <t>85</t>
  </si>
  <si>
    <t>19</t>
  </si>
  <si>
    <t>3</t>
  </si>
  <si>
    <t>54</t>
  </si>
  <si>
    <t>5</t>
  </si>
  <si>
    <t>1,2,8</t>
  </si>
  <si>
    <t>3-8</t>
  </si>
  <si>
    <t>1-8</t>
  </si>
  <si>
    <t>8</t>
  </si>
  <si>
    <t>1-7</t>
  </si>
  <si>
    <t>204</t>
  </si>
  <si>
    <t>Bitiruv malakaviy ishini himoya qilish yoki ixtisoslik fanlaridan Davlat attestatsiyasi</t>
  </si>
  <si>
    <t>_______________________________</t>
  </si>
  <si>
    <t>Bolalar psixologiyasi va psixodiagnostikasi</t>
  </si>
  <si>
    <t>Tilshunoslikga kirish</t>
  </si>
  <si>
    <t>Rus tili tarixi</t>
  </si>
  <si>
    <t>MSVAX104</t>
  </si>
  <si>
    <t>MK110</t>
  </si>
  <si>
    <t>BPvaP104</t>
  </si>
  <si>
    <t>TK105</t>
  </si>
  <si>
    <t>O'YET104</t>
  </si>
  <si>
    <t>Ayo104</t>
  </si>
  <si>
    <t>RXOI204</t>
  </si>
  <si>
    <t>AK1205</t>
  </si>
  <si>
    <t>RTT204</t>
  </si>
  <si>
    <t>AxT120</t>
  </si>
  <si>
    <t>RTSBMLT308</t>
  </si>
  <si>
    <t>RusTvaAO'M405</t>
  </si>
  <si>
    <t>1.17</t>
  </si>
  <si>
    <t>1.18</t>
  </si>
  <si>
    <t>31</t>
  </si>
  <si>
    <t>Amaliyot</t>
  </si>
  <si>
    <t>10</t>
  </si>
  <si>
    <t>2</t>
  </si>
  <si>
    <t>36</t>
  </si>
  <si>
    <t>4</t>
  </si>
  <si>
    <t>78</t>
  </si>
  <si>
    <t>1.19</t>
  </si>
  <si>
    <t>1.20</t>
  </si>
  <si>
    <t>AxT108</t>
  </si>
  <si>
    <t>KoLasAs204</t>
  </si>
  <si>
    <t>Badiiy matn tahlili</t>
  </si>
  <si>
    <t>Axborot texnologiyalarini kasbiy faoliyatga qo'llash (AKT)</t>
  </si>
  <si>
    <t>RTP219</t>
  </si>
  <si>
    <t>Hozirgi rus tili, Tilshunoslik asoslari</t>
  </si>
  <si>
    <t>HRTTAs223</t>
  </si>
  <si>
    <t>Rus tili propedivtik kusi</t>
  </si>
  <si>
    <t>Rus adabiyoti tarixi</t>
  </si>
  <si>
    <t>Rus tili va adabiyoti o'qitish metodikasi</t>
  </si>
  <si>
    <t>Uzluksiz ta'limdagi tendensiyalar va zamonaviy yondashuvlar</t>
  </si>
  <si>
    <t>Chet el adabiyot tarixi</t>
  </si>
  <si>
    <t>Rus tili stilistikasi va adabiy matnning lingvistik tahlili</t>
  </si>
  <si>
    <t>ATKFQ204</t>
  </si>
  <si>
    <t>Koloristika asoslari rus va o'zbek tillarida</t>
  </si>
  <si>
    <t>Rus tili praktikumi (punktuatsiya bo'limi)</t>
  </si>
  <si>
    <t>RusTP204</t>
  </si>
  <si>
    <t>Tarjima nazariyasi va amaliyoti</t>
  </si>
  <si>
    <t>TNA204</t>
  </si>
  <si>
    <t>Ifodali o'qish praktikumi</t>
  </si>
  <si>
    <t>IO'P204</t>
  </si>
  <si>
    <t>Yosh anatomiyasi, fiziologiyasi va gigiyenasi</t>
  </si>
  <si>
    <t>YoshAFG204</t>
  </si>
  <si>
    <t>Lingvomamlakatshunoslik</t>
  </si>
  <si>
    <t>Kasbiy sohada xorijiy tillar</t>
  </si>
  <si>
    <t>Hozirgi adabiy jarayon</t>
  </si>
  <si>
    <t>HAJ304</t>
  </si>
  <si>
    <t>Qiyosiy tipologiyasi</t>
  </si>
  <si>
    <t>QT304</t>
  </si>
  <si>
    <t>Ritorika</t>
  </si>
  <si>
    <t>Rit304</t>
  </si>
  <si>
    <t>Xalqaro baholash dasturlari</t>
  </si>
  <si>
    <t>XBD304</t>
  </si>
  <si>
    <t>MDH xalqalari adabiyoti praktikumi</t>
  </si>
  <si>
    <t>MDHXAP304</t>
  </si>
  <si>
    <t>TNA304</t>
  </si>
  <si>
    <t>Rus tili praktikumi</t>
  </si>
  <si>
    <t>RTP304</t>
  </si>
  <si>
    <t>Bolalar adabiyoti</t>
  </si>
  <si>
    <t>BA306</t>
  </si>
  <si>
    <t>Chet el adabiyot propedevtik kursi</t>
  </si>
  <si>
    <t>CHEAPK306</t>
  </si>
  <si>
    <t>Rus tili tarixi (Adabiy til bo'limi)</t>
  </si>
  <si>
    <t>RTTT408</t>
  </si>
  <si>
    <t>CHEBA408</t>
  </si>
  <si>
    <t>Rus tilini o'rganishda an'anaviy va innovatsion texnologiyalar</t>
  </si>
  <si>
    <t>RTUAIT408</t>
  </si>
  <si>
    <t>Etnografiya</t>
  </si>
  <si>
    <t>Etnog408</t>
  </si>
  <si>
    <t>Nutq madaniyati</t>
  </si>
  <si>
    <t>NM404</t>
  </si>
  <si>
    <t>Imlo va tinish belgilari bo'yicha amaliyot</t>
  </si>
  <si>
    <t>ITBam404</t>
  </si>
  <si>
    <t>Ta'limda STEAM-texnologiyalari</t>
  </si>
  <si>
    <t>1.14</t>
  </si>
  <si>
    <t>Ta'limda STEAM texnologiyalari</t>
  </si>
  <si>
    <t>Ta'limda menejment</t>
  </si>
  <si>
    <t>2.07</t>
  </si>
  <si>
    <t>2.10</t>
  </si>
  <si>
    <t>2.11</t>
  </si>
  <si>
    <t>2.12</t>
  </si>
  <si>
    <t>СН204</t>
  </si>
  <si>
    <t xml:space="preserve">Chet el bolalar adabiyoti </t>
  </si>
  <si>
    <t xml:space="preserve">BMT204  </t>
  </si>
  <si>
    <t>SITQ2</t>
  </si>
  <si>
    <t>Sohada IT texnologiyalarini qo'llash</t>
  </si>
  <si>
    <t>SYIT2</t>
  </si>
  <si>
    <t>Sohaga yo'naltirilgan ingliz tili</t>
  </si>
  <si>
    <t>4-semestrda 8 amaliy 8 seminar qo'yilsin</t>
  </si>
  <si>
    <t>"TASDIQLAYMAN"</t>
  </si>
  <si>
    <t>"_____" _____________ 20_____ yil</t>
  </si>
  <si>
    <r>
      <t xml:space="preserve">1. </t>
    </r>
    <r>
      <rPr>
        <sz val="40"/>
        <rFont val="Times New Roman"/>
        <family val="1"/>
        <charset val="204"/>
      </rPr>
      <t>3-8 semestrdagi mutaxassislik fanlarining o'quv rejalaridagi mustaqil ta’lim mazmuni joriy semestrdagi amaliyot dasturi mazmuniga mos kelishi va bir birini to`ldirishi, talabaning amaliyoti mustaqil ta’lim topshirig`ini bajarish uchun asos sifatida xizmat qilishi nazarda tutilishi kerak.</t>
    </r>
  </si>
  <si>
    <r>
      <t xml:space="preserve">2. </t>
    </r>
    <r>
      <rPr>
        <sz val="40"/>
        <rFont val="Times New Roman"/>
        <family val="1"/>
        <charset val="204"/>
      </rPr>
      <t>1-3 kurs talabalarining yozgi ta’til davrida avvalgi semestrlarda o'zlashtirilmagan fanlari uchun yozgi semestr tashkil qilinishi mumkin. Bunda yozgi ta’tilning birinchi xaftasi ro`yxatga olish xaftaligi, keyingi to`rt xafta yozgi semestr hisobidan akademik davr hisoblanadi.</t>
    </r>
  </si>
  <si>
    <r>
      <t xml:space="preserve">3. </t>
    </r>
    <r>
      <rPr>
        <sz val="40"/>
        <rFont val="Times New Roman"/>
        <family val="1"/>
        <charset val="204"/>
      </rPr>
      <t>O'quv rejaga kiritiladigan ixtisoslikka oid fanlarning amaliy mashg'ulotlari va laboratoriya ishlari oliy ta’lim muassasasi hamda bazaviy  tashkilotlarda o`tkazilishi mumkin.</t>
    </r>
  </si>
  <si>
    <t>Kafedra mudiri:</t>
  </si>
  <si>
    <t>Fakultet dekani:</t>
  </si>
  <si>
    <t>sonli qarori bilan ma'qullangan</t>
  </si>
  <si>
    <t>Turan International University Kengashining</t>
  </si>
  <si>
    <t>4-semestrda 6 maruza 4 seminar qo'yilsin</t>
  </si>
  <si>
    <t>Turan International University kengashining</t>
  </si>
  <si>
    <t>4-semestrda 8 maruza, 4 amaliy / 5 va 6- semestrlar uchun 14 soat (8 maruza, 6 amaliy)</t>
  </si>
  <si>
    <t>KL</t>
  </si>
  <si>
    <t>__________   _______________________</t>
  </si>
  <si>
    <t>II. ISHCHI O'QUV REJASI</t>
  </si>
  <si>
    <t>20__-yil "____" ____________dagi ______</t>
  </si>
  <si>
    <t>_________   ________________________</t>
  </si>
  <si>
    <t>TURAN INTERNATIONAL UNIVERSITY</t>
  </si>
  <si>
    <r>
      <t xml:space="preserve">1. </t>
    </r>
    <r>
      <rPr>
        <sz val="48"/>
        <rFont val="Times New Roman"/>
        <family val="1"/>
        <charset val="204"/>
      </rPr>
      <t>3-8 semestrlarda 4+2 tartibda amalga oshiriladi. Bunda haftaning 4 kunida nazariy va amaliy ta'lim, 2 kunda pedagogik amaliyot o'tkaziladi.</t>
    </r>
  </si>
  <si>
    <r>
      <t xml:space="preserve">2. </t>
    </r>
    <r>
      <rPr>
        <sz val="48"/>
        <rFont val="Times New Roman"/>
        <family val="1"/>
        <charset val="204"/>
      </rPr>
      <t>3-8 semestrdagi mutaxassislik fanlarining o'quv rejalaridagi mustaqil ta’lim mazmuni joriy semestrdagi amaliyot dasturi mazmuniga mos kelishi va bir birini to`ldirishi, talabaning amaliyoti mustaqil ta’lim topshirig`ini bajarish uchun asos sifatida xizmat qilishi nazarda tutilishi kerak.</t>
    </r>
  </si>
  <si>
    <r>
      <t xml:space="preserve">3. </t>
    </r>
    <r>
      <rPr>
        <sz val="48"/>
        <rFont val="Times New Roman"/>
        <family val="1"/>
        <charset val="204"/>
      </rPr>
      <t>1-3 kurs talabalarining yozgi ta’til davrida avvalgi semestrlarda o'zlashtirilmagan fanlari uchun yozgi semestr tashkil qilinishi mumkin. Bunda yozgi ta’tilning birinchi xaftasi ro`yxatga olish xaftaligi, keyingi to`rt xafta yozgi semestr hisobidan akademik davr hisoblanadi.</t>
    </r>
  </si>
  <si>
    <r>
      <t xml:space="preserve">4. </t>
    </r>
    <r>
      <rPr>
        <sz val="48"/>
        <rFont val="Times New Roman"/>
        <family val="1"/>
        <charset val="204"/>
      </rPr>
      <t>O'quv rejaga kiritiladigan ixtisoslikka oid fanlarning amaliy mashg'ulotlari va laboratoriya ishlari oliy ta’lim muassasasi hamda bazaviy  tashkilotlarda o`tkazilishi mumkin.</t>
    </r>
  </si>
  <si>
    <t>1-sem: 30m, 20s
2-sem: 30m, 20a,  20s</t>
  </si>
  <si>
    <t>3-semestrda 4 kredit o'tilgan</t>
  </si>
  <si>
    <t>Talabaning o‘quv yuklamasi, soatlarda ishi hajmi soatlarda</t>
  </si>
  <si>
    <t>Soatlarning kurs, semestr va haftalar bo‘yicha taqsimoti</t>
  </si>
  <si>
    <t>Kreditlarning kurs, semestr va haftalar bo‘yicha taqsimoti</t>
  </si>
  <si>
    <t>Turan International University rektori</t>
  </si>
  <si>
    <t>2022/2023 o‘quv yili</t>
  </si>
  <si>
    <t>ISHCHI O‘QUV REJA</t>
  </si>
  <si>
    <t>O‘qish muddati - 4 yil</t>
  </si>
  <si>
    <t>Ta’lim shakli - kunduzgi</t>
  </si>
  <si>
    <t>I. O‘QUV JARAYONI JADVALI</t>
  </si>
  <si>
    <t>II. O‘QUV REJASI</t>
  </si>
  <si>
    <t>Soatlarning kurs, semestr va 
haftalar bo'yicha taqsimoti</t>
  </si>
  <si>
    <t>Kreditlarning kurs, semestr va 
haftalar bo'yicha taqsimoti</t>
  </si>
  <si>
    <t>O‘QUV REJA</t>
  </si>
  <si>
    <t xml:space="preserve"> 4kun Nazariy ta'lim / 2 kun Malakaviy amaliyot</t>
  </si>
  <si>
    <t>O‘quv ishlari bo‘yicha prorektor:</t>
  </si>
  <si>
    <t>O‘quv departamenti direktori:</t>
  </si>
  <si>
    <t>20__-yil "____" ___________dagi ____</t>
  </si>
  <si>
    <t>Semestrdagi auditoriya mashg'lotlari 
haftalarining soni</t>
  </si>
  <si>
    <t>O‘qish muddati - 5 yil</t>
  </si>
  <si>
    <r>
      <t xml:space="preserve">Ta’lim yo‘nalishi: </t>
    </r>
    <r>
      <rPr>
        <b/>
        <sz val="52"/>
        <rFont val="Times New Roman"/>
        <family val="1"/>
        <charset val="204"/>
      </rPr>
      <t>60111700 - O‘zga tilli guruhlarda rus tili</t>
    </r>
  </si>
  <si>
    <t>Ta’lim shakli - sirtqi</t>
  </si>
  <si>
    <t>HEMISda kreditini to'g'irlash kerak</t>
  </si>
  <si>
    <t>3-semestrda amaliyotga kredit qo'yish kerak</t>
  </si>
  <si>
    <t>HAFTALAR</t>
  </si>
  <si>
    <t>Ta‘tillar haftasi</t>
  </si>
  <si>
    <t>Nazariy va amaliy ta‘lim</t>
  </si>
  <si>
    <t>Kredit tizimiga kirish</t>
  </si>
  <si>
    <t>4kun nazariy / 2kun malaka amaliyot</t>
  </si>
  <si>
    <t>Sentabr</t>
  </si>
  <si>
    <t>Oktabr</t>
  </si>
  <si>
    <t xml:space="preserve"> Iyul</t>
  </si>
  <si>
    <t>4kun nazariy / 2kun malakaviy amaliyot</t>
  </si>
  <si>
    <t>Ta'til</t>
  </si>
  <si>
    <t>Ta‘lim yo‘nalishi:    60111700 - O‘zga tilli guruhlarda rus tili</t>
  </si>
  <si>
    <t>Ta‘tillar 
haftasi</t>
  </si>
  <si>
    <t>RAT214</t>
  </si>
  <si>
    <t>Nizomiy</t>
  </si>
  <si>
    <t>Adabiyotshunoslikka kirish</t>
  </si>
  <si>
    <t>Rus xalq og‘zaki ijodi</t>
  </si>
  <si>
    <t>Falsafa</t>
  </si>
  <si>
    <t>Amaliy o‘zbek (rus) tili. Davlat tilida ish yuritish</t>
  </si>
  <si>
    <t>Akademik yozuv</t>
  </si>
  <si>
    <t>Falsafa (ECTS 4)</t>
  </si>
  <si>
    <t>Amaliy o‘zbek (rus) tili. Davlat tilida ish yuritish (ECTS 6)</t>
  </si>
  <si>
    <t>Fal404</t>
  </si>
  <si>
    <t>AOTDT406</t>
  </si>
  <si>
    <t>Madaniyatshunoslik</t>
  </si>
  <si>
    <t>Amaliy xorijiy til</t>
  </si>
  <si>
    <t>Rus adabiyoti propedevtik kursi</t>
  </si>
  <si>
    <t>Kompyuter semiotikasi</t>
  </si>
  <si>
    <t>HEMISda tanlovga olish kerak</t>
  </si>
  <si>
    <t>Umumiy tilshunoslik</t>
  </si>
  <si>
    <t>XX-asrning 2-yarmi rus dramaturgiyasi</t>
  </si>
  <si>
    <t>RAPK108</t>
  </si>
  <si>
    <t>KS104</t>
  </si>
  <si>
    <t>UTIL104</t>
  </si>
  <si>
    <t>XXRD106</t>
  </si>
  <si>
    <t>TSTEAM106</t>
  </si>
  <si>
    <t>TMN104</t>
  </si>
  <si>
    <t>AYo104</t>
  </si>
  <si>
    <t>Dinshunoslik</t>
  </si>
  <si>
    <r>
      <t xml:space="preserve">5. </t>
    </r>
    <r>
      <rPr>
        <sz val="48"/>
        <rFont val="Times New Roman"/>
        <family val="1"/>
        <charset val="204"/>
      </rPr>
      <t>Bitiruv oldi amaliyoti tarkibiga uni himoya qilish bo‘yicha Davlat attestatsiyalari ham kiradi.</t>
    </r>
  </si>
  <si>
    <t>DIN404</t>
  </si>
  <si>
    <t>RTP406</t>
  </si>
  <si>
    <t>Madan104</t>
  </si>
  <si>
    <t>RXOI404</t>
  </si>
  <si>
    <t>HEMISda 3-semestrdagi fan nomi texnik xato sifatida har xil</t>
  </si>
  <si>
    <t>HEMISda creditlar to'g'irlash kerak</t>
  </si>
  <si>
    <t>UTTZY502</t>
  </si>
  <si>
    <t>HEMISda 5-semestrdagi fan nomi texnik xato sifatida har xil</t>
  </si>
  <si>
    <t>2.13</t>
  </si>
  <si>
    <t>2.14</t>
  </si>
  <si>
    <t>2.15</t>
  </si>
  <si>
    <t>2.16</t>
  </si>
  <si>
    <t>2.17</t>
  </si>
  <si>
    <t>3-sem: 8M, 4A… 7-sem: 16A… 8-sem: 8A</t>
  </si>
  <si>
    <t>5-sem: 8M, 8A… 7-sem: 16A</t>
  </si>
  <si>
    <t>RTSAM408</t>
  </si>
  <si>
    <t>RusTvaAO'M310</t>
  </si>
  <si>
    <t>4kun nazariy / 2kun amaliyot</t>
  </si>
  <si>
    <t>Fanning 
malakaviy kodi</t>
  </si>
  <si>
    <t>1,2</t>
  </si>
  <si>
    <t>1,3,5,7</t>
  </si>
  <si>
    <t>Turan International University Kengashining 20__-yil "____" ___________dagi ____ sonli qarori bilan ma'qullangan</t>
  </si>
  <si>
    <t>___________________</t>
  </si>
  <si>
    <t>________________________________________________________________</t>
  </si>
  <si>
    <t>TM2104</t>
  </si>
  <si>
    <t>ITDP204</t>
  </si>
  <si>
    <t>Amaliy xorijiy tili</t>
  </si>
  <si>
    <t>Turan International University kengashining 20__-yil "____" ____________dagi ______ sonli qarori bilan ma'qullangan</t>
  </si>
  <si>
    <t>1-10</t>
  </si>
  <si>
    <t>3,5,7-10</t>
  </si>
  <si>
    <t>Axborot texnologiyalariini kasbiy faoliyatda qo'llash</t>
  </si>
  <si>
    <t>Rus tili propedivtik kursi</t>
  </si>
  <si>
    <t>CEAT408</t>
  </si>
  <si>
    <t xml:space="preserve"> 4kun nazariy ta'lim / 2 kun Malakaviy amaliyot</t>
  </si>
  <si>
    <t>Maktabgacha ta'limda STEAM-texnologiyalari</t>
  </si>
  <si>
    <t>Maktabgacha ta'limda STEAM texnologiyalari</t>
  </si>
  <si>
    <t>BMT204</t>
  </si>
  <si>
    <t>Rit306</t>
  </si>
  <si>
    <t>ChEAT408</t>
  </si>
  <si>
    <t>BA404</t>
  </si>
  <si>
    <t>CHEAPK404</t>
  </si>
  <si>
    <t>O‘quv bloklari, fanlar va faoliyat turlarining nomlari</t>
  </si>
  <si>
    <t>Semestrdagi kredit taqsimoti</t>
  </si>
  <si>
    <t>Mustaqil ta’lim ko‘nikmalari</t>
  </si>
  <si>
    <t>MTK304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</si>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</sst>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8" x14ac:knownFonts="1">
    <font>
      <sz val="10"/>
      <name val="Arial Cyr"/>
      <charset val="204"/>
    </font>
    <font>
      <sz val="8"/>
      <name val="Arial Cyr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20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36"/>
      <name val="Times New Roman"/>
      <family val="1"/>
      <charset val="204"/>
    </font>
    <font>
      <sz val="36"/>
      <name val="Times New Roman"/>
      <family val="1"/>
      <charset val="204"/>
    </font>
    <font>
      <b/>
      <sz val="34"/>
      <name val="Times New Roman"/>
      <family val="1"/>
      <charset val="204"/>
    </font>
    <font>
      <sz val="36"/>
      <name val="Arial Cyr"/>
      <charset val="204"/>
    </font>
    <font>
      <sz val="10"/>
      <color rgb="FF003366"/>
      <name val="Times New Roman"/>
      <family val="1"/>
      <charset val="204"/>
    </font>
    <font>
      <sz val="12"/>
      <color rgb="FF003366"/>
      <name val="Times New Roman"/>
      <family val="1"/>
      <charset val="204"/>
    </font>
    <font>
      <b/>
      <sz val="36"/>
      <color rgb="FF003366"/>
      <name val="Times New Roman"/>
      <family val="1"/>
      <charset val="204"/>
    </font>
    <font>
      <sz val="36"/>
      <color rgb="FF003366"/>
      <name val="Times New Roman"/>
      <family val="1"/>
      <charset val="204"/>
    </font>
    <font>
      <sz val="26"/>
      <color rgb="FF003366"/>
      <name val="Times New Roman"/>
      <family val="1"/>
      <charset val="204"/>
    </font>
    <font>
      <b/>
      <sz val="36"/>
      <color rgb="FF003366"/>
      <name val="Arial Cyr"/>
      <charset val="204"/>
    </font>
    <font>
      <b/>
      <sz val="65"/>
      <name val="Times New Roman"/>
      <family val="1"/>
      <charset val="204"/>
    </font>
    <font>
      <sz val="65"/>
      <name val="Times New Roman"/>
      <family val="1"/>
      <charset val="204"/>
    </font>
    <font>
      <b/>
      <sz val="60"/>
      <name val="Times New Roman"/>
      <family val="1"/>
      <charset val="204"/>
    </font>
    <font>
      <b/>
      <sz val="55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32"/>
      <name val="Times New Roman"/>
      <family val="1"/>
      <charset val="204"/>
    </font>
    <font>
      <b/>
      <sz val="30"/>
      <name val="Times New Roman"/>
      <family val="1"/>
      <charset val="204"/>
    </font>
    <font>
      <sz val="34"/>
      <name val="Times New Roman"/>
      <family val="1"/>
      <charset val="204"/>
    </font>
    <font>
      <sz val="28"/>
      <name val="Times New Roman"/>
      <family val="1"/>
      <charset val="204"/>
    </font>
    <font>
      <sz val="32"/>
      <name val="Times New Roman"/>
      <family val="1"/>
      <charset val="204"/>
    </font>
    <font>
      <sz val="26"/>
      <name val="Times New Roman"/>
      <family val="1"/>
      <charset val="204"/>
    </font>
    <font>
      <b/>
      <sz val="36"/>
      <name val="Arial Cyr"/>
      <charset val="204"/>
    </font>
    <font>
      <sz val="40"/>
      <color rgb="FF003366"/>
      <name val="Times New Roman"/>
      <family val="1"/>
      <charset val="204"/>
    </font>
    <font>
      <sz val="40"/>
      <color rgb="FF003366"/>
      <name val="Arial Cyr"/>
      <charset val="204"/>
    </font>
    <font>
      <b/>
      <sz val="22"/>
      <name val="Times New Roman"/>
      <family val="1"/>
      <charset val="204"/>
    </font>
    <font>
      <i/>
      <sz val="26"/>
      <name val="Times New Roman"/>
      <family val="1"/>
      <charset val="204"/>
    </font>
    <font>
      <sz val="48"/>
      <name val="Times New Roman"/>
      <family val="1"/>
      <charset val="204"/>
    </font>
    <font>
      <b/>
      <sz val="52"/>
      <name val="Times New Roman"/>
      <family val="1"/>
      <charset val="204"/>
    </font>
    <font>
      <b/>
      <sz val="40"/>
      <name val="Times New Roman"/>
      <family val="1"/>
      <charset val="204"/>
    </font>
    <font>
      <sz val="40"/>
      <name val="Times New Roman"/>
      <family val="1"/>
      <charset val="204"/>
    </font>
    <font>
      <b/>
      <sz val="40"/>
      <name val="Arial Cyr"/>
      <charset val="204"/>
    </font>
    <font>
      <b/>
      <sz val="72"/>
      <name val="Times New Roman"/>
      <family val="1"/>
      <charset val="204"/>
    </font>
    <font>
      <b/>
      <sz val="46"/>
      <name val="Times New Roman"/>
      <family val="1"/>
      <charset val="204"/>
    </font>
    <font>
      <b/>
      <sz val="42"/>
      <name val="Times New Roman"/>
      <family val="1"/>
      <charset val="204"/>
    </font>
    <font>
      <sz val="40"/>
      <name val="Arial Cyr"/>
      <charset val="204"/>
    </font>
    <font>
      <b/>
      <sz val="40"/>
      <color rgb="FF003366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35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80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i/>
      <sz val="40"/>
      <name val="Times New Roman"/>
      <family val="1"/>
      <charset val="204"/>
    </font>
    <font>
      <sz val="42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2" fillId="0" borderId="0"/>
  </cellStyleXfs>
  <cellXfs count="1003">
    <xf numFmtId="0" fontId="0" fillId="0" borderId="0" xfId="0"/>
    <xf numFmtId="0" fontId="13" fillId="2" borderId="0" xfId="0" applyFont="1" applyFill="1"/>
    <xf numFmtId="0" fontId="8" fillId="2" borderId="0" xfId="0" applyFont="1" applyFill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49" fontId="12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1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49" fontId="3" fillId="2" borderId="0" xfId="0" applyNumberFormat="1" applyFont="1" applyFill="1"/>
    <xf numFmtId="0" fontId="12" fillId="2" borderId="0" xfId="0" applyFont="1" applyFill="1" applyAlignment="1">
      <alignment horizontal="center" vertical="center"/>
    </xf>
    <xf numFmtId="0" fontId="4" fillId="2" borderId="0" xfId="0" applyFont="1" applyFill="1"/>
    <xf numFmtId="0" fontId="9" fillId="2" borderId="0" xfId="0" applyFont="1" applyFill="1"/>
    <xf numFmtId="0" fontId="5" fillId="2" borderId="0" xfId="0" applyFont="1" applyFill="1"/>
    <xf numFmtId="49" fontId="13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justify"/>
    </xf>
    <xf numFmtId="0" fontId="13" fillId="2" borderId="0" xfId="0" applyFont="1" applyFill="1" applyAlignment="1">
      <alignment horizontal="center"/>
    </xf>
    <xf numFmtId="49" fontId="13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justify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2" fontId="8" fillId="2" borderId="0" xfId="0" applyNumberFormat="1" applyFont="1" applyFill="1"/>
    <xf numFmtId="0" fontId="6" fillId="2" borderId="0" xfId="0" applyFont="1" applyFill="1"/>
    <xf numFmtId="0" fontId="2" fillId="2" borderId="0" xfId="0" applyFont="1" applyFill="1" applyAlignment="1">
      <alignment horizontal="center" vertical="center"/>
    </xf>
    <xf numFmtId="0" fontId="17" fillId="2" borderId="0" xfId="0" applyFont="1" applyFill="1"/>
    <xf numFmtId="0" fontId="16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18" fillId="2" borderId="0" xfId="0" applyFont="1" applyFill="1"/>
    <xf numFmtId="0" fontId="21" fillId="2" borderId="0" xfId="0" applyFont="1" applyFill="1"/>
    <xf numFmtId="0" fontId="18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justify" vertical="center" wrapText="1"/>
    </xf>
    <xf numFmtId="1" fontId="12" fillId="2" borderId="0" xfId="0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22" fillId="2" borderId="0" xfId="0" applyFont="1" applyFill="1"/>
    <xf numFmtId="49" fontId="23" fillId="2" borderId="0" xfId="0" applyNumberFormat="1" applyFont="1" applyFill="1"/>
    <xf numFmtId="49" fontId="22" fillId="2" borderId="0" xfId="0" applyNumberFormat="1" applyFont="1" applyFill="1" applyAlignment="1">
      <alignment vertical="center"/>
    </xf>
    <xf numFmtId="49" fontId="12" fillId="2" borderId="0" xfId="0" applyNumberFormat="1" applyFont="1" applyFill="1" applyAlignment="1">
      <alignment vertical="center"/>
    </xf>
    <xf numFmtId="49" fontId="11" fillId="2" borderId="0" xfId="0" applyNumberFormat="1" applyFont="1" applyFill="1" applyAlignment="1">
      <alignment vertical="center"/>
    </xf>
    <xf numFmtId="49" fontId="26" fillId="2" borderId="0" xfId="0" applyNumberFormat="1" applyFont="1" applyFill="1" applyAlignment="1">
      <alignment vertical="center"/>
    </xf>
    <xf numFmtId="49" fontId="22" fillId="2" borderId="0" xfId="0" applyNumberFormat="1" applyFont="1" applyFill="1" applyAlignment="1">
      <alignment vertical="center" wrapText="1"/>
    </xf>
    <xf numFmtId="49" fontId="10" fillId="2" borderId="0" xfId="0" applyNumberFormat="1" applyFont="1" applyFill="1"/>
    <xf numFmtId="0" fontId="10" fillId="2" borderId="0" xfId="0" applyFont="1" applyFill="1"/>
    <xf numFmtId="49" fontId="10" fillId="2" borderId="0" xfId="0" applyNumberFormat="1" applyFont="1" applyFill="1" applyAlignment="1">
      <alignment horizontal="center" vertical="center"/>
    </xf>
    <xf numFmtId="49" fontId="27" fillId="2" borderId="0" xfId="0" applyNumberFormat="1" applyFont="1" applyFill="1" applyAlignment="1">
      <alignment vertical="center" wrapText="1"/>
    </xf>
    <xf numFmtId="49" fontId="27" fillId="2" borderId="0" xfId="0" applyNumberFormat="1" applyFont="1" applyFill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49" fontId="12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49" fontId="29" fillId="2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/>
    </xf>
    <xf numFmtId="0" fontId="34" fillId="2" borderId="1" xfId="0" applyFont="1" applyFill="1" applyBorder="1" applyAlignment="1">
      <alignment horizontal="left" vertical="center" wrapText="1"/>
    </xf>
    <xf numFmtId="49" fontId="29" fillId="4" borderId="1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 wrapText="1"/>
    </xf>
    <xf numFmtId="49" fontId="29" fillId="5" borderId="1" xfId="0" applyNumberFormat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 vertical="center" wrapText="1"/>
    </xf>
    <xf numFmtId="1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justify" vertical="center" wrapText="1"/>
    </xf>
    <xf numFmtId="1" fontId="12" fillId="2" borderId="0" xfId="0" applyNumberFormat="1" applyFont="1" applyFill="1" applyAlignment="1">
      <alignment horizontal="center" vertical="center"/>
    </xf>
    <xf numFmtId="0" fontId="35" fillId="2" borderId="0" xfId="0" applyFont="1" applyFill="1"/>
    <xf numFmtId="0" fontId="15" fillId="2" borderId="0" xfId="0" applyFont="1" applyFill="1"/>
    <xf numFmtId="49" fontId="13" fillId="2" borderId="0" xfId="0" applyNumberFormat="1" applyFont="1" applyFill="1"/>
    <xf numFmtId="1" fontId="13" fillId="2" borderId="0" xfId="0" applyNumberFormat="1" applyFont="1" applyFill="1"/>
    <xf numFmtId="2" fontId="12" fillId="2" borderId="0" xfId="0" applyNumberFormat="1" applyFont="1" applyFill="1"/>
    <xf numFmtId="0" fontId="36" fillId="2" borderId="0" xfId="0" applyFont="1" applyFill="1" applyAlignment="1">
      <alignment horizontal="justify" vertical="center" wrapText="1"/>
    </xf>
    <xf numFmtId="0" fontId="37" fillId="2" borderId="0" xfId="0" applyFont="1" applyFill="1" applyAlignment="1">
      <alignment horizontal="justify"/>
    </xf>
    <xf numFmtId="0" fontId="37" fillId="2" borderId="0" xfId="0" applyFont="1" applyFill="1"/>
    <xf numFmtId="0" fontId="36" fillId="2" borderId="0" xfId="0" applyFont="1" applyFill="1" applyAlignment="1">
      <alignment horizontal="center" vertical="center"/>
    </xf>
    <xf numFmtId="0" fontId="36" fillId="2" borderId="0" xfId="0" applyFont="1" applyFill="1"/>
    <xf numFmtId="0" fontId="26" fillId="2" borderId="0" xfId="0" applyFont="1" applyFill="1" applyAlignment="1">
      <alignment horizontal="center"/>
    </xf>
    <xf numFmtId="0" fontId="26" fillId="2" borderId="0" xfId="0" applyFont="1" applyFill="1"/>
    <xf numFmtId="0" fontId="29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34" fillId="2" borderId="0" xfId="0" applyFont="1" applyFill="1"/>
    <xf numFmtId="49" fontId="33" fillId="0" borderId="1" xfId="0" applyNumberFormat="1" applyFont="1" applyFill="1" applyBorder="1" applyAlignment="1">
      <alignment horizontal="left"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49" fontId="22" fillId="2" borderId="0" xfId="0" applyNumberFormat="1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49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49" fontId="25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0" fillId="6" borderId="0" xfId="0" applyFill="1"/>
    <xf numFmtId="0" fontId="31" fillId="0" borderId="1" xfId="0" applyFont="1" applyFill="1" applyBorder="1" applyAlignment="1">
      <alignment vertical="center"/>
    </xf>
    <xf numFmtId="0" fontId="0" fillId="0" borderId="0" xfId="0" applyFill="1"/>
    <xf numFmtId="49" fontId="29" fillId="0" borderId="1" xfId="0" applyNumberFormat="1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left" vertical="center" wrapText="1"/>
    </xf>
    <xf numFmtId="49" fontId="29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/>
    </xf>
    <xf numFmtId="49" fontId="23" fillId="2" borderId="0" xfId="0" applyNumberFormat="1" applyFont="1" applyFill="1" applyAlignment="1">
      <alignment horizontal="center" vertical="center"/>
    </xf>
    <xf numFmtId="2" fontId="8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49" fontId="11" fillId="2" borderId="0" xfId="0" applyNumberFormat="1" applyFont="1" applyFill="1" applyAlignment="1">
      <alignment horizontal="center" vertical="center"/>
    </xf>
    <xf numFmtId="49" fontId="26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 wrapText="1"/>
    </xf>
    <xf numFmtId="49" fontId="42" fillId="2" borderId="0" xfId="0" applyNumberFormat="1" applyFont="1" applyFill="1" applyAlignment="1">
      <alignment horizontal="justify" vertical="center" wrapText="1"/>
    </xf>
    <xf numFmtId="1" fontId="42" fillId="2" borderId="0" xfId="0" applyNumberFormat="1" applyFont="1" applyFill="1" applyAlignment="1">
      <alignment horizontal="center" vertical="center" wrapText="1"/>
    </xf>
    <xf numFmtId="1" fontId="42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4" fillId="2" borderId="0" xfId="0" applyFont="1" applyFill="1"/>
    <xf numFmtId="49" fontId="43" fillId="2" borderId="0" xfId="0" applyNumberFormat="1" applyFont="1" applyFill="1" applyAlignment="1">
      <alignment horizontal="center" vertical="center"/>
    </xf>
    <xf numFmtId="0" fontId="43" fillId="2" borderId="0" xfId="0" applyFont="1" applyFill="1" applyAlignment="1">
      <alignment horizontal="justify" vertical="center" wrapText="1"/>
    </xf>
    <xf numFmtId="0" fontId="42" fillId="2" borderId="0" xfId="0" applyFont="1" applyFill="1"/>
    <xf numFmtId="49" fontId="43" fillId="2" borderId="0" xfId="0" applyNumberFormat="1" applyFont="1" applyFill="1"/>
    <xf numFmtId="0" fontId="43" fillId="2" borderId="0" xfId="0" applyFont="1" applyFill="1"/>
    <xf numFmtId="1" fontId="43" fillId="2" borderId="0" xfId="0" applyNumberFormat="1" applyFont="1" applyFill="1"/>
    <xf numFmtId="2" fontId="42" fillId="2" borderId="0" xfId="0" applyNumberFormat="1" applyFont="1" applyFill="1"/>
    <xf numFmtId="49" fontId="25" fillId="2" borderId="0" xfId="0" applyNumberFormat="1" applyFont="1" applyFill="1" applyAlignment="1">
      <alignment vertical="center"/>
    </xf>
    <xf numFmtId="49" fontId="33" fillId="0" borderId="1" xfId="0" applyNumberFormat="1" applyFont="1" applyFill="1" applyBorder="1" applyAlignment="1">
      <alignment horizontal="left" vertical="center" wrapText="1"/>
    </xf>
    <xf numFmtId="0" fontId="26" fillId="0" borderId="0" xfId="0" applyFont="1" applyFill="1" applyAlignment="1">
      <alignment horizontal="center" vertical="center" wrapText="1"/>
    </xf>
    <xf numFmtId="0" fontId="34" fillId="0" borderId="0" xfId="0" applyFont="1" applyFill="1" applyAlignment="1">
      <alignment horizontal="center" vertical="center" wrapText="1"/>
    </xf>
    <xf numFmtId="0" fontId="45" fillId="2" borderId="0" xfId="0" applyFont="1" applyFill="1" applyAlignment="1">
      <alignment horizontal="center" vertical="center" wrapText="1"/>
    </xf>
    <xf numFmtId="0" fontId="28" fillId="2" borderId="0" xfId="0" applyFont="1" applyFill="1"/>
    <xf numFmtId="49" fontId="40" fillId="2" borderId="0" xfId="0" applyNumberFormat="1" applyFont="1" applyFill="1"/>
    <xf numFmtId="0" fontId="40" fillId="2" borderId="0" xfId="0" applyFont="1" applyFill="1"/>
    <xf numFmtId="0" fontId="35" fillId="8" borderId="0" xfId="0" applyFont="1" applyFill="1" applyAlignment="1">
      <alignment vertical="center"/>
    </xf>
    <xf numFmtId="0" fontId="35" fillId="0" borderId="0" xfId="0" applyFont="1" applyFill="1" applyAlignment="1">
      <alignment vertical="center"/>
    </xf>
    <xf numFmtId="0" fontId="35" fillId="6" borderId="0" xfId="0" applyFont="1" applyFill="1" applyAlignment="1">
      <alignment vertical="center"/>
    </xf>
    <xf numFmtId="2" fontId="28" fillId="2" borderId="0" xfId="0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49" fontId="33" fillId="2" borderId="1" xfId="0" applyNumberFormat="1" applyFont="1" applyFill="1" applyBorder="1" applyAlignment="1">
      <alignment horizontal="left" vertical="center" wrapText="1"/>
    </xf>
    <xf numFmtId="49" fontId="33" fillId="0" borderId="1" xfId="0" applyNumberFormat="1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2" fontId="28" fillId="2" borderId="0" xfId="0" applyNumberFormat="1" applyFont="1" applyFill="1" applyBorder="1" applyAlignment="1">
      <alignment vertical="center"/>
    </xf>
    <xf numFmtId="0" fontId="28" fillId="2" borderId="0" xfId="0" applyFont="1" applyFill="1" applyBorder="1" applyAlignment="1">
      <alignment vertical="center"/>
    </xf>
    <xf numFmtId="0" fontId="43" fillId="0" borderId="5" xfId="0" applyFont="1" applyFill="1" applyBorder="1" applyAlignment="1">
      <alignment vertical="center"/>
    </xf>
    <xf numFmtId="0" fontId="43" fillId="0" borderId="6" xfId="0" applyFont="1" applyFill="1" applyBorder="1" applyAlignment="1">
      <alignment vertical="center"/>
    </xf>
    <xf numFmtId="0" fontId="43" fillId="0" borderId="7" xfId="0" applyFont="1" applyFill="1" applyBorder="1" applyAlignment="1">
      <alignment vertical="center"/>
    </xf>
    <xf numFmtId="0" fontId="43" fillId="0" borderId="10" xfId="0" applyFont="1" applyFill="1" applyBorder="1" applyAlignment="1">
      <alignment vertical="center"/>
    </xf>
    <xf numFmtId="0" fontId="43" fillId="0" borderId="11" xfId="0" applyFont="1" applyFill="1" applyBorder="1" applyAlignment="1">
      <alignment vertical="center"/>
    </xf>
    <xf numFmtId="0" fontId="43" fillId="0" borderId="12" xfId="0" applyFont="1" applyFill="1" applyBorder="1" applyAlignment="1">
      <alignment vertical="center"/>
    </xf>
    <xf numFmtId="0" fontId="13" fillId="2" borderId="5" xfId="0" applyFont="1" applyFill="1" applyBorder="1"/>
    <xf numFmtId="0" fontId="13" fillId="2" borderId="6" xfId="0" applyFont="1" applyFill="1" applyBorder="1"/>
    <xf numFmtId="0" fontId="13" fillId="2" borderId="7" xfId="0" applyFont="1" applyFill="1" applyBorder="1"/>
    <xf numFmtId="0" fontId="40" fillId="2" borderId="8" xfId="0" applyFont="1" applyFill="1" applyBorder="1"/>
    <xf numFmtId="0" fontId="40" fillId="2" borderId="0" xfId="0" applyFont="1" applyFill="1" applyBorder="1"/>
    <xf numFmtId="0" fontId="40" fillId="2" borderId="9" xfId="0" applyFont="1" applyFill="1" applyBorder="1"/>
    <xf numFmtId="0" fontId="40" fillId="2" borderId="10" xfId="0" applyFont="1" applyFill="1" applyBorder="1"/>
    <xf numFmtId="0" fontId="40" fillId="2" borderId="11" xfId="0" applyFont="1" applyFill="1" applyBorder="1"/>
    <xf numFmtId="0" fontId="40" fillId="2" borderId="12" xfId="0" applyFont="1" applyFill="1" applyBorder="1"/>
    <xf numFmtId="0" fontId="24" fillId="2" borderId="0" xfId="0" applyFont="1" applyFill="1" applyAlignment="1">
      <alignment horizontal="left" vertical="center"/>
    </xf>
    <xf numFmtId="0" fontId="12" fillId="2" borderId="16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 wrapText="1"/>
    </xf>
    <xf numFmtId="49" fontId="29" fillId="2" borderId="16" xfId="0" applyNumberFormat="1" applyFont="1" applyFill="1" applyBorder="1" applyAlignment="1">
      <alignment horizontal="center" vertical="center" wrapText="1"/>
    </xf>
    <xf numFmtId="49" fontId="29" fillId="0" borderId="16" xfId="0" applyNumberFormat="1" applyFont="1" applyFill="1" applyBorder="1" applyAlignment="1">
      <alignment horizontal="center" vertical="center" wrapText="1"/>
    </xf>
    <xf numFmtId="49" fontId="29" fillId="4" borderId="16" xfId="0" applyNumberFormat="1" applyFont="1" applyFill="1" applyBorder="1" applyAlignment="1">
      <alignment horizontal="center" vertical="center" wrapText="1"/>
    </xf>
    <xf numFmtId="49" fontId="29" fillId="5" borderId="34" xfId="0" applyNumberFormat="1" applyFont="1" applyFill="1" applyBorder="1" applyAlignment="1">
      <alignment horizontal="center" vertical="center" wrapText="1"/>
    </xf>
    <xf numFmtId="0" fontId="26" fillId="5" borderId="35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vertical="center"/>
    </xf>
    <xf numFmtId="0" fontId="48" fillId="0" borderId="0" xfId="0" applyFont="1" applyAlignment="1">
      <alignment horizontal="left" vertical="center"/>
    </xf>
    <xf numFmtId="0" fontId="48" fillId="0" borderId="0" xfId="0" applyFont="1" applyFill="1" applyAlignment="1">
      <alignment horizontal="left" vertical="center"/>
    </xf>
    <xf numFmtId="0" fontId="43" fillId="2" borderId="10" xfId="0" applyFont="1" applyFill="1" applyBorder="1"/>
    <xf numFmtId="0" fontId="43" fillId="2" borderId="11" xfId="0" applyFont="1" applyFill="1" applyBorder="1"/>
    <xf numFmtId="0" fontId="36" fillId="2" borderId="11" xfId="0" applyFont="1" applyFill="1" applyBorder="1"/>
    <xf numFmtId="0" fontId="36" fillId="2" borderId="12" xfId="0" applyFont="1" applyFill="1" applyBorder="1"/>
    <xf numFmtId="0" fontId="42" fillId="2" borderId="8" xfId="0" applyFont="1" applyFill="1" applyBorder="1"/>
    <xf numFmtId="0" fontId="42" fillId="2" borderId="0" xfId="0" applyFont="1" applyFill="1" applyBorder="1"/>
    <xf numFmtId="0" fontId="49" fillId="2" borderId="0" xfId="0" applyFont="1" applyFill="1" applyBorder="1"/>
    <xf numFmtId="0" fontId="49" fillId="2" borderId="9" xfId="0" applyFont="1" applyFill="1" applyBorder="1"/>
    <xf numFmtId="0" fontId="42" fillId="2" borderId="5" xfId="0" applyFont="1" applyFill="1" applyBorder="1" applyAlignment="1">
      <alignment vertical="center"/>
    </xf>
    <xf numFmtId="0" fontId="50" fillId="2" borderId="0" xfId="0" applyFont="1" applyFill="1"/>
    <xf numFmtId="0" fontId="50" fillId="2" borderId="0" xfId="0" applyFont="1" applyFill="1" applyAlignment="1">
      <alignment horizontal="center"/>
    </xf>
    <xf numFmtId="0" fontId="50" fillId="2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2" fillId="0" borderId="1" xfId="0" applyFont="1" applyFill="1" applyBorder="1" applyAlignment="1">
      <alignment vertical="center" wrapText="1"/>
    </xf>
    <xf numFmtId="0" fontId="23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40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29" fillId="2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0" fontId="34" fillId="0" borderId="0" xfId="0" applyFont="1" applyFill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40" fillId="2" borderId="0" xfId="0" applyFont="1" applyFill="1" applyAlignment="1">
      <alignment horizontal="left"/>
    </xf>
    <xf numFmtId="0" fontId="51" fillId="2" borderId="1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49" fontId="10" fillId="2" borderId="0" xfId="0" applyNumberFormat="1" applyFont="1" applyFill="1" applyBorder="1"/>
    <xf numFmtId="0" fontId="14" fillId="2" borderId="0" xfId="0" applyFont="1" applyFill="1" applyBorder="1" applyAlignment="1">
      <alignment vertical="center" textRotation="90"/>
    </xf>
    <xf numFmtId="0" fontId="28" fillId="2" borderId="0" xfId="0" applyFont="1" applyFill="1" applyBorder="1" applyAlignment="1">
      <alignment vertical="center" wrapText="1"/>
    </xf>
    <xf numFmtId="0" fontId="29" fillId="2" borderId="0" xfId="0" applyFont="1" applyFill="1" applyBorder="1" applyAlignment="1">
      <alignment vertical="center" wrapText="1"/>
    </xf>
    <xf numFmtId="0" fontId="29" fillId="2" borderId="0" xfId="0" applyFont="1" applyFill="1" applyBorder="1" applyAlignment="1">
      <alignment vertical="center" textRotation="90" wrapText="1"/>
    </xf>
    <xf numFmtId="49" fontId="7" fillId="2" borderId="0" xfId="0" applyNumberFormat="1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vertical="center"/>
    </xf>
    <xf numFmtId="0" fontId="38" fillId="2" borderId="0" xfId="0" applyFont="1" applyFill="1" applyBorder="1" applyAlignment="1">
      <alignment vertical="center" textRotation="90" wrapText="1"/>
    </xf>
    <xf numFmtId="0" fontId="14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/>
    </xf>
    <xf numFmtId="0" fontId="3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/>
    <xf numFmtId="0" fontId="10" fillId="2" borderId="0" xfId="0" applyFont="1" applyFill="1" applyBorder="1"/>
    <xf numFmtId="49" fontId="10" fillId="2" borderId="0" xfId="0" applyNumberFormat="1" applyFont="1" applyFill="1" applyBorder="1" applyAlignment="1">
      <alignment horizontal="center" vertical="center"/>
    </xf>
    <xf numFmtId="49" fontId="27" fillId="2" borderId="0" xfId="0" applyNumberFormat="1" applyFont="1" applyFill="1" applyBorder="1" applyAlignment="1">
      <alignment vertical="center" wrapText="1"/>
    </xf>
    <xf numFmtId="49" fontId="27" fillId="2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/>
    </xf>
    <xf numFmtId="49" fontId="12" fillId="2" borderId="0" xfId="0" applyNumberFormat="1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vertical="center" wrapText="1"/>
    </xf>
    <xf numFmtId="49" fontId="12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 wrapText="1"/>
    </xf>
    <xf numFmtId="2" fontId="8" fillId="2" borderId="0" xfId="0" applyNumberFormat="1" applyFont="1" applyFill="1" applyBorder="1" applyAlignment="1">
      <alignment horizontal="center" vertical="center" wrapText="1"/>
    </xf>
    <xf numFmtId="2" fontId="14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/>
    </xf>
    <xf numFmtId="1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40" fillId="0" borderId="0" xfId="0" applyFont="1" applyFill="1" applyAlignment="1">
      <alignment horizontal="left" vertical="center"/>
    </xf>
    <xf numFmtId="0" fontId="39" fillId="0" borderId="0" xfId="0" applyFont="1" applyFill="1" applyAlignment="1">
      <alignment horizontal="center" vertical="center" wrapText="1"/>
    </xf>
    <xf numFmtId="0" fontId="39" fillId="0" borderId="0" xfId="0" applyFont="1" applyFill="1" applyAlignment="1">
      <alignment horizontal="left" vertical="center"/>
    </xf>
    <xf numFmtId="0" fontId="51" fillId="2" borderId="49" xfId="0" applyFont="1" applyFill="1" applyBorder="1" applyAlignment="1">
      <alignment horizontal="center" vertical="center"/>
    </xf>
    <xf numFmtId="0" fontId="43" fillId="2" borderId="0" xfId="0" applyFont="1" applyFill="1" applyBorder="1" applyAlignment="1">
      <alignment horizontal="center" vertical="center"/>
    </xf>
    <xf numFmtId="0" fontId="43" fillId="2" borderId="0" xfId="0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 textRotation="90" wrapText="1"/>
    </xf>
    <xf numFmtId="0" fontId="30" fillId="2" borderId="0" xfId="0" applyFont="1" applyFill="1" applyBorder="1" applyAlignment="1">
      <alignment vertical="center"/>
    </xf>
    <xf numFmtId="49" fontId="3" fillId="2" borderId="0" xfId="0" applyNumberFormat="1" applyFont="1" applyFill="1" applyBorder="1"/>
    <xf numFmtId="0" fontId="12" fillId="2" borderId="0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/>
    </xf>
    <xf numFmtId="0" fontId="55" fillId="2" borderId="1" xfId="1" applyFont="1" applyFill="1" applyBorder="1" applyAlignment="1">
      <alignment horizontal="center" vertical="center"/>
    </xf>
    <xf numFmtId="0" fontId="32" fillId="2" borderId="0" xfId="0" applyFont="1" applyFill="1"/>
    <xf numFmtId="0" fontId="32" fillId="2" borderId="0" xfId="0" applyFont="1" applyFill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 wrapText="1"/>
    </xf>
    <xf numFmtId="1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justify" vertical="center" wrapText="1"/>
    </xf>
    <xf numFmtId="0" fontId="12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2" fontId="28" fillId="2" borderId="0" xfId="0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43" fillId="2" borderId="53" xfId="0" applyFont="1" applyFill="1" applyBorder="1" applyAlignment="1">
      <alignment horizontal="center" vertical="center" wrapText="1"/>
    </xf>
    <xf numFmtId="0" fontId="43" fillId="2" borderId="54" xfId="0" applyFont="1" applyFill="1" applyBorder="1" applyAlignment="1">
      <alignment horizontal="center" vertical="center" wrapText="1"/>
    </xf>
    <xf numFmtId="0" fontId="56" fillId="2" borderId="53" xfId="0" applyFont="1" applyFill="1" applyBorder="1" applyAlignment="1">
      <alignment horizontal="center" vertical="center" wrapText="1"/>
    </xf>
    <xf numFmtId="0" fontId="56" fillId="2" borderId="0" xfId="0" applyFont="1" applyFill="1" applyBorder="1" applyAlignment="1">
      <alignment horizontal="center" vertical="center" wrapText="1"/>
    </xf>
    <xf numFmtId="0" fontId="56" fillId="2" borderId="54" xfId="0" applyFont="1" applyFill="1" applyBorder="1" applyAlignment="1">
      <alignment horizontal="center" vertical="center" wrapText="1"/>
    </xf>
    <xf numFmtId="0" fontId="42" fillId="0" borderId="53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center" wrapText="1"/>
    </xf>
    <xf numFmtId="0" fontId="42" fillId="0" borderId="54" xfId="0" applyFont="1" applyFill="1" applyBorder="1" applyAlignment="1">
      <alignment horizontal="center" vertical="center" wrapText="1"/>
    </xf>
    <xf numFmtId="0" fontId="43" fillId="0" borderId="53" xfId="0" applyFont="1" applyFill="1" applyBorder="1" applyAlignment="1">
      <alignment horizontal="center" vertical="center" wrapText="1"/>
    </xf>
    <xf numFmtId="0" fontId="43" fillId="0" borderId="54" xfId="0" applyFont="1" applyFill="1" applyBorder="1" applyAlignment="1">
      <alignment horizontal="center" vertical="center" wrapText="1"/>
    </xf>
    <xf numFmtId="0" fontId="56" fillId="0" borderId="53" xfId="0" applyFont="1" applyFill="1" applyBorder="1" applyAlignment="1">
      <alignment horizontal="center" vertical="center" wrapText="1"/>
    </xf>
    <xf numFmtId="0" fontId="56" fillId="0" borderId="0" xfId="0" applyFont="1" applyFill="1" applyBorder="1" applyAlignment="1">
      <alignment horizontal="center" vertical="center" wrapText="1"/>
    </xf>
    <xf numFmtId="0" fontId="56" fillId="0" borderId="54" xfId="0" applyFont="1" applyFill="1" applyBorder="1" applyAlignment="1">
      <alignment horizontal="center" vertical="center" wrapText="1"/>
    </xf>
    <xf numFmtId="0" fontId="42" fillId="2" borderId="53" xfId="0" applyFont="1" applyFill="1" applyBorder="1" applyAlignment="1">
      <alignment horizontal="center" vertical="center" wrapText="1"/>
    </xf>
    <xf numFmtId="0" fontId="42" fillId="2" borderId="0" xfId="0" applyFont="1" applyFill="1" applyBorder="1" applyAlignment="1">
      <alignment horizontal="center" vertical="center" wrapText="1"/>
    </xf>
    <xf numFmtId="0" fontId="42" fillId="2" borderId="54" xfId="0" applyFont="1" applyFill="1" applyBorder="1" applyAlignment="1">
      <alignment horizontal="center" vertical="center" wrapText="1"/>
    </xf>
    <xf numFmtId="0" fontId="56" fillId="2" borderId="55" xfId="0" applyFont="1" applyFill="1" applyBorder="1" applyAlignment="1">
      <alignment horizontal="center" vertical="center" wrapText="1"/>
    </xf>
    <xf numFmtId="0" fontId="56" fillId="2" borderId="56" xfId="0" applyFont="1" applyFill="1" applyBorder="1" applyAlignment="1">
      <alignment horizontal="center" vertical="center" wrapText="1"/>
    </xf>
    <xf numFmtId="0" fontId="56" fillId="2" borderId="57" xfId="0" applyFont="1" applyFill="1" applyBorder="1" applyAlignment="1">
      <alignment horizontal="center" vertical="center" wrapText="1"/>
    </xf>
    <xf numFmtId="2" fontId="28" fillId="2" borderId="0" xfId="0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2" fillId="2" borderId="0" xfId="0" applyFont="1" applyFill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justify" vertical="center" wrapText="1"/>
    </xf>
    <xf numFmtId="1" fontId="42" fillId="2" borderId="0" xfId="0" applyNumberFormat="1" applyFont="1" applyFill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48" fillId="0" borderId="0" xfId="0" applyFont="1" applyFill="1"/>
    <xf numFmtId="0" fontId="13" fillId="2" borderId="0" xfId="0" applyFont="1" applyFill="1" applyBorder="1"/>
    <xf numFmtId="0" fontId="13" fillId="2" borderId="0" xfId="0" applyFont="1" applyFill="1" applyAlignment="1">
      <alignment vertical="center"/>
    </xf>
    <xf numFmtId="0" fontId="43" fillId="2" borderId="0" xfId="0" applyFont="1" applyFill="1" applyAlignment="1">
      <alignment horizontal="justify" vertical="center" wrapText="1"/>
    </xf>
    <xf numFmtId="1" fontId="4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2" fillId="2" borderId="0" xfId="0" applyFont="1" applyFill="1" applyBorder="1" applyAlignment="1">
      <alignment vertical="center"/>
    </xf>
    <xf numFmtId="0" fontId="32" fillId="2" borderId="0" xfId="0" applyFont="1" applyFill="1" applyBorder="1" applyAlignment="1">
      <alignment vertical="center"/>
    </xf>
    <xf numFmtId="0" fontId="43" fillId="0" borderId="0" xfId="0" applyFont="1" applyFill="1" applyBorder="1" applyAlignment="1">
      <alignment horizontal="center" vertical="center" wrapText="1"/>
    </xf>
    <xf numFmtId="0" fontId="26" fillId="9" borderId="0" xfId="0" applyFont="1" applyFill="1" applyAlignment="1">
      <alignment horizontal="left" vertical="center"/>
    </xf>
    <xf numFmtId="0" fontId="26" fillId="9" borderId="0" xfId="0" applyFont="1" applyFill="1" applyAlignment="1">
      <alignment horizontal="center" vertical="center" wrapText="1"/>
    </xf>
    <xf numFmtId="0" fontId="42" fillId="9" borderId="53" xfId="0" applyFont="1" applyFill="1" applyBorder="1" applyAlignment="1">
      <alignment horizontal="center" vertical="center" wrapText="1"/>
    </xf>
    <xf numFmtId="0" fontId="42" fillId="9" borderId="0" xfId="0" applyFont="1" applyFill="1" applyBorder="1" applyAlignment="1">
      <alignment horizontal="center" vertical="center" wrapText="1"/>
    </xf>
    <xf numFmtId="0" fontId="42" fillId="9" borderId="54" xfId="0" applyFont="1" applyFill="1" applyBorder="1" applyAlignment="1">
      <alignment horizontal="center" vertical="center" wrapText="1"/>
    </xf>
    <xf numFmtId="0" fontId="34" fillId="9" borderId="0" xfId="0" applyFont="1" applyFill="1" applyAlignment="1">
      <alignment horizontal="left" vertical="center"/>
    </xf>
    <xf numFmtId="0" fontId="34" fillId="9" borderId="0" xfId="0" applyFont="1" applyFill="1" applyAlignment="1">
      <alignment horizontal="center" vertical="center" wrapText="1"/>
    </xf>
    <xf numFmtId="0" fontId="43" fillId="9" borderId="53" xfId="0" applyFont="1" applyFill="1" applyBorder="1" applyAlignment="1">
      <alignment horizontal="center" vertical="center" wrapText="1"/>
    </xf>
    <xf numFmtId="0" fontId="43" fillId="9" borderId="0" xfId="0" applyFont="1" applyFill="1" applyBorder="1" applyAlignment="1">
      <alignment horizontal="center" vertical="center" wrapText="1"/>
    </xf>
    <xf numFmtId="0" fontId="43" fillId="9" borderId="54" xfId="0" applyFont="1" applyFill="1" applyBorder="1" applyAlignment="1">
      <alignment horizontal="center" vertical="center" wrapText="1"/>
    </xf>
    <xf numFmtId="0" fontId="40" fillId="9" borderId="0" xfId="0" applyFont="1" applyFill="1" applyAlignment="1">
      <alignment horizontal="left" vertical="center"/>
    </xf>
    <xf numFmtId="0" fontId="39" fillId="9" borderId="0" xfId="0" applyFont="1" applyFill="1" applyAlignment="1">
      <alignment horizontal="center" vertical="center" wrapText="1"/>
    </xf>
    <xf numFmtId="0" fontId="56" fillId="9" borderId="53" xfId="0" applyFont="1" applyFill="1" applyBorder="1" applyAlignment="1">
      <alignment horizontal="center" vertical="center" wrapText="1"/>
    </xf>
    <xf numFmtId="0" fontId="56" fillId="9" borderId="0" xfId="0" applyFont="1" applyFill="1" applyBorder="1" applyAlignment="1">
      <alignment horizontal="center" vertical="center" wrapText="1"/>
    </xf>
    <xf numFmtId="0" fontId="56" fillId="9" borderId="54" xfId="0" applyFont="1" applyFill="1" applyBorder="1" applyAlignment="1">
      <alignment horizontal="center" vertical="center" wrapText="1"/>
    </xf>
    <xf numFmtId="0" fontId="39" fillId="9" borderId="0" xfId="0" applyFont="1" applyFill="1" applyAlignment="1">
      <alignment horizontal="left" vertical="center"/>
    </xf>
    <xf numFmtId="1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31" fillId="0" borderId="1" xfId="0" applyFont="1" applyFill="1" applyBorder="1" applyAlignment="1">
      <alignment vertical="center" wrapText="1"/>
    </xf>
    <xf numFmtId="49" fontId="33" fillId="8" borderId="1" xfId="0" applyNumberFormat="1" applyFont="1" applyFill="1" applyBorder="1" applyAlignment="1">
      <alignment horizontal="left" vertical="center" wrapText="1"/>
    </xf>
    <xf numFmtId="0" fontId="0" fillId="8" borderId="0" xfId="0" applyFill="1"/>
    <xf numFmtId="0" fontId="48" fillId="8" borderId="0" xfId="0" applyFont="1" applyFill="1"/>
    <xf numFmtId="49" fontId="29" fillId="8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vertical="center" wrapText="1"/>
    </xf>
    <xf numFmtId="1" fontId="12" fillId="2" borderId="0" xfId="0" applyNumberFormat="1" applyFont="1" applyFill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57" fillId="0" borderId="5" xfId="0" applyFont="1" applyFill="1" applyBorder="1" applyAlignment="1">
      <alignment vertical="center"/>
    </xf>
    <xf numFmtId="0" fontId="57" fillId="0" borderId="6" xfId="0" applyFont="1" applyFill="1" applyBorder="1" applyAlignment="1">
      <alignment vertical="center"/>
    </xf>
    <xf numFmtId="0" fontId="57" fillId="0" borderId="7" xfId="0" applyFont="1" applyFill="1" applyBorder="1" applyAlignment="1">
      <alignment vertical="center"/>
    </xf>
    <xf numFmtId="0" fontId="57" fillId="0" borderId="10" xfId="0" applyFont="1" applyFill="1" applyBorder="1" applyAlignment="1">
      <alignment vertical="center"/>
    </xf>
    <xf numFmtId="0" fontId="57" fillId="0" borderId="11" xfId="0" applyFont="1" applyFill="1" applyBorder="1" applyAlignment="1">
      <alignment vertical="center"/>
    </xf>
    <xf numFmtId="0" fontId="57" fillId="0" borderId="12" xfId="0" applyFont="1" applyFill="1" applyBorder="1" applyAlignment="1">
      <alignment vertical="center"/>
    </xf>
    <xf numFmtId="0" fontId="42" fillId="2" borderId="16" xfId="0" applyFont="1" applyFill="1" applyBorder="1" applyAlignment="1">
      <alignment horizontal="center" vertical="center"/>
    </xf>
    <xf numFmtId="0" fontId="41" fillId="2" borderId="8" xfId="0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/>
    </xf>
    <xf numFmtId="0" fontId="41" fillId="2" borderId="9" xfId="0" applyFont="1" applyFill="1" applyBorder="1" applyAlignment="1">
      <alignment horizontal="center" vertical="center"/>
    </xf>
    <xf numFmtId="1" fontId="42" fillId="2" borderId="16" xfId="0" applyNumberFormat="1" applyFont="1" applyFill="1" applyBorder="1" applyAlignment="1">
      <alignment horizontal="center" vertical="center"/>
    </xf>
    <xf numFmtId="1" fontId="42" fillId="2" borderId="1" xfId="0" applyNumberFormat="1" applyFont="1" applyFill="1" applyBorder="1" applyAlignment="1">
      <alignment horizontal="center" vertical="center"/>
    </xf>
    <xf numFmtId="0" fontId="42" fillId="2" borderId="17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3" fillId="2" borderId="17" xfId="0" applyFont="1" applyFill="1" applyBorder="1" applyAlignment="1">
      <alignment horizontal="center" vertical="center" wrapText="1"/>
    </xf>
    <xf numFmtId="49" fontId="43" fillId="2" borderId="1" xfId="0" applyNumberFormat="1" applyFont="1" applyFill="1" applyBorder="1" applyAlignment="1">
      <alignment horizontal="left" vertical="center" wrapText="1"/>
    </xf>
    <xf numFmtId="0" fontId="42" fillId="2" borderId="1" xfId="0" applyFont="1" applyFill="1" applyBorder="1" applyAlignment="1">
      <alignment horizontal="center" vertical="center"/>
    </xf>
    <xf numFmtId="1" fontId="43" fillId="2" borderId="1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164" fontId="43" fillId="2" borderId="1" xfId="0" applyNumberFormat="1" applyFont="1" applyFill="1" applyBorder="1" applyAlignment="1">
      <alignment horizontal="center" vertical="center" wrapText="1"/>
    </xf>
    <xf numFmtId="0" fontId="42" fillId="5" borderId="38" xfId="0" applyFont="1" applyFill="1" applyBorder="1" applyAlignment="1">
      <alignment horizontal="center" vertical="center" wrapText="1"/>
    </xf>
    <xf numFmtId="0" fontId="42" fillId="5" borderId="35" xfId="0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horizontal="center" vertical="center" wrapText="1"/>
    </xf>
    <xf numFmtId="0" fontId="42" fillId="5" borderId="34" xfId="0" applyFont="1" applyFill="1" applyBorder="1" applyAlignment="1">
      <alignment horizontal="center" vertical="center" wrapText="1"/>
    </xf>
    <xf numFmtId="1" fontId="42" fillId="5" borderId="34" xfId="0" applyNumberFormat="1" applyFont="1" applyFill="1" applyBorder="1" applyAlignment="1">
      <alignment horizontal="center" vertical="center"/>
    </xf>
    <xf numFmtId="1" fontId="42" fillId="5" borderId="35" xfId="0" applyNumberFormat="1" applyFont="1" applyFill="1" applyBorder="1" applyAlignment="1">
      <alignment horizontal="center" vertical="center"/>
    </xf>
    <xf numFmtId="0" fontId="42" fillId="5" borderId="42" xfId="0" applyFont="1" applyFill="1" applyBorder="1" applyAlignment="1">
      <alignment horizontal="center" vertical="center"/>
    </xf>
    <xf numFmtId="1" fontId="42" fillId="4" borderId="16" xfId="0" applyNumberFormat="1" applyFont="1" applyFill="1" applyBorder="1" applyAlignment="1">
      <alignment horizontal="center" vertical="center"/>
    </xf>
    <xf numFmtId="1" fontId="42" fillId="4" borderId="1" xfId="0" applyNumberFormat="1" applyFont="1" applyFill="1" applyBorder="1" applyAlignment="1">
      <alignment horizontal="center" vertical="center"/>
    </xf>
    <xf numFmtId="0" fontId="42" fillId="4" borderId="17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2" fontId="28" fillId="2" borderId="0" xfId="0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43" fillId="0" borderId="17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/>
    </xf>
    <xf numFmtId="0" fontId="46" fillId="2" borderId="24" xfId="0" applyFont="1" applyFill="1" applyBorder="1" applyAlignment="1">
      <alignment horizontal="center" vertical="center"/>
    </xf>
    <xf numFmtId="0" fontId="46" fillId="2" borderId="31" xfId="0" applyFont="1" applyFill="1" applyBorder="1" applyAlignment="1">
      <alignment horizontal="center" vertical="center"/>
    </xf>
    <xf numFmtId="0" fontId="46" fillId="2" borderId="32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1" fontId="42" fillId="4" borderId="1" xfId="0" applyNumberFormat="1" applyFont="1" applyFill="1" applyBorder="1" applyAlignment="1">
      <alignment horizontal="center" vertical="center" wrapText="1"/>
    </xf>
    <xf numFmtId="1" fontId="42" fillId="4" borderId="17" xfId="0" applyNumberFormat="1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left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49" fontId="43" fillId="0" borderId="1" xfId="0" applyNumberFormat="1" applyFont="1" applyFill="1" applyBorder="1" applyAlignment="1">
      <alignment horizontal="left" vertical="center" wrapText="1"/>
    </xf>
    <xf numFmtId="0" fontId="42" fillId="4" borderId="2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0" fontId="43" fillId="2" borderId="16" xfId="0" applyFont="1" applyFill="1" applyBorder="1" applyAlignment="1">
      <alignment horizontal="center" vertical="center" wrapText="1"/>
    </xf>
    <xf numFmtId="0" fontId="43" fillId="2" borderId="23" xfId="0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/>
    </xf>
    <xf numFmtId="0" fontId="42" fillId="4" borderId="4" xfId="0" applyFont="1" applyFill="1" applyBorder="1" applyAlignment="1">
      <alignment horizontal="center" vertical="center"/>
    </xf>
    <xf numFmtId="0" fontId="42" fillId="4" borderId="2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164" fontId="42" fillId="4" borderId="1" xfId="0" applyNumberFormat="1" applyFont="1" applyFill="1" applyBorder="1" applyAlignment="1">
      <alignment horizontal="center" vertical="center" wrapText="1"/>
    </xf>
    <xf numFmtId="1" fontId="42" fillId="4" borderId="3" xfId="0" applyNumberFormat="1" applyFont="1" applyFill="1" applyBorder="1" applyAlignment="1">
      <alignment horizontal="center" vertical="center" wrapText="1"/>
    </xf>
    <xf numFmtId="1" fontId="42" fillId="4" borderId="4" xfId="0" applyNumberFormat="1" applyFont="1" applyFill="1" applyBorder="1" applyAlignment="1">
      <alignment horizontal="center" vertical="center" wrapText="1"/>
    </xf>
    <xf numFmtId="1" fontId="42" fillId="4" borderId="2" xfId="0" applyNumberFormat="1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49" fontId="14" fillId="5" borderId="35" xfId="0" applyNumberFormat="1" applyFont="1" applyFill="1" applyBorder="1" applyAlignment="1">
      <alignment horizontal="right" vertical="center" wrapText="1"/>
    </xf>
    <xf numFmtId="0" fontId="42" fillId="5" borderId="35" xfId="0" applyFont="1" applyFill="1" applyBorder="1" applyAlignment="1">
      <alignment horizontal="center" vertical="center"/>
    </xf>
    <xf numFmtId="164" fontId="42" fillId="5" borderId="35" xfId="0" applyNumberFormat="1" applyFont="1" applyFill="1" applyBorder="1" applyAlignment="1">
      <alignment horizontal="center" vertical="center" wrapText="1"/>
    </xf>
    <xf numFmtId="1" fontId="42" fillId="5" borderId="36" xfId="0" applyNumberFormat="1" applyFont="1" applyFill="1" applyBorder="1" applyAlignment="1">
      <alignment horizontal="center" vertical="center"/>
    </xf>
    <xf numFmtId="1" fontId="42" fillId="5" borderId="37" xfId="0" applyNumberFormat="1" applyFont="1" applyFill="1" applyBorder="1" applyAlignment="1">
      <alignment horizontal="center" vertical="center"/>
    </xf>
    <xf numFmtId="1" fontId="42" fillId="5" borderId="38" xfId="0" applyNumberFormat="1" applyFont="1" applyFill="1" applyBorder="1" applyAlignment="1">
      <alignment horizontal="center" vertical="center"/>
    </xf>
    <xf numFmtId="0" fontId="42" fillId="5" borderId="37" xfId="0" applyFont="1" applyFill="1" applyBorder="1" applyAlignment="1">
      <alignment horizontal="center" vertical="center"/>
    </xf>
    <xf numFmtId="0" fontId="42" fillId="5" borderId="39" xfId="0" applyFont="1" applyFill="1" applyBorder="1" applyAlignment="1">
      <alignment horizontal="center" vertical="center"/>
    </xf>
    <xf numFmtId="0" fontId="42" fillId="5" borderId="36" xfId="0" applyFont="1" applyFill="1" applyBorder="1" applyAlignment="1">
      <alignment horizontal="center" vertical="center" wrapText="1"/>
    </xf>
    <xf numFmtId="0" fontId="42" fillId="4" borderId="17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0" fontId="42" fillId="2" borderId="16" xfId="0" applyFont="1" applyFill="1" applyBorder="1" applyAlignment="1">
      <alignment horizontal="center" vertical="center" wrapText="1"/>
    </xf>
    <xf numFmtId="0" fontId="42" fillId="2" borderId="17" xfId="0" applyFont="1" applyFill="1" applyBorder="1" applyAlignment="1">
      <alignment horizontal="center" vertical="center" wrapText="1"/>
    </xf>
    <xf numFmtId="0" fontId="43" fillId="0" borderId="16" xfId="0" applyFont="1" applyFill="1" applyBorder="1" applyAlignment="1">
      <alignment horizontal="center" vertical="center" wrapText="1"/>
    </xf>
    <xf numFmtId="0" fontId="42" fillId="4" borderId="16" xfId="0" applyFont="1" applyFill="1" applyBorder="1" applyAlignment="1">
      <alignment horizontal="center" vertical="center" wrapText="1"/>
    </xf>
    <xf numFmtId="0" fontId="43" fillId="0" borderId="21" xfId="0" applyFont="1" applyFill="1" applyBorder="1" applyAlignment="1">
      <alignment horizontal="center" vertical="center" wrapText="1"/>
    </xf>
    <xf numFmtId="0" fontId="43" fillId="0" borderId="6" xfId="0" applyFont="1" applyFill="1" applyBorder="1" applyAlignment="1">
      <alignment horizontal="center" vertical="center" wrapText="1"/>
    </xf>
    <xf numFmtId="0" fontId="43" fillId="0" borderId="18" xfId="0" applyFont="1" applyFill="1" applyBorder="1" applyAlignment="1">
      <alignment horizontal="center" vertical="center" wrapText="1"/>
    </xf>
    <xf numFmtId="0" fontId="43" fillId="0" borderId="11" xfId="0" applyFont="1" applyFill="1" applyBorder="1" applyAlignment="1">
      <alignment horizontal="center" vertical="center" wrapText="1"/>
    </xf>
    <xf numFmtId="0" fontId="42" fillId="4" borderId="3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center" vertical="center" wrapText="1"/>
    </xf>
    <xf numFmtId="0" fontId="42" fillId="4" borderId="23" xfId="0" applyFont="1" applyFill="1" applyBorder="1" applyAlignment="1">
      <alignment horizontal="center" vertical="center" wrapText="1"/>
    </xf>
    <xf numFmtId="0" fontId="43" fillId="0" borderId="5" xfId="0" applyFont="1" applyFill="1" applyBorder="1" applyAlignment="1">
      <alignment horizontal="center" vertical="center" wrapText="1"/>
    </xf>
    <xf numFmtId="0" fontId="43" fillId="0" borderId="20" xfId="0" applyFont="1" applyFill="1" applyBorder="1" applyAlignment="1">
      <alignment horizontal="center" vertical="center" wrapText="1"/>
    </xf>
    <xf numFmtId="0" fontId="43" fillId="0" borderId="10" xfId="0" applyFont="1" applyFill="1" applyBorder="1" applyAlignment="1">
      <alignment horizontal="center" vertical="center" wrapText="1"/>
    </xf>
    <xf numFmtId="0" fontId="43" fillId="0" borderId="19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/>
    </xf>
    <xf numFmtId="164" fontId="43" fillId="0" borderId="1" xfId="0" applyNumberFormat="1" applyFont="1" applyFill="1" applyBorder="1" applyAlignment="1">
      <alignment horizontal="center" vertical="center" wrapText="1"/>
    </xf>
    <xf numFmtId="0" fontId="42" fillId="0" borderId="17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left" vertical="center" wrapText="1"/>
    </xf>
    <xf numFmtId="1" fontId="43" fillId="0" borderId="1" xfId="0" applyNumberFormat="1" applyFont="1" applyFill="1" applyBorder="1" applyAlignment="1">
      <alignment horizontal="center" vertical="center"/>
    </xf>
    <xf numFmtId="1" fontId="42" fillId="0" borderId="16" xfId="0" applyNumberFormat="1" applyFont="1" applyFill="1" applyBorder="1" applyAlignment="1">
      <alignment horizontal="center" vertical="center"/>
    </xf>
    <xf numFmtId="1" fontId="42" fillId="0" borderId="1" xfId="0" applyNumberFormat="1" applyFont="1" applyFill="1" applyBorder="1" applyAlignment="1">
      <alignment horizontal="center" vertical="center"/>
    </xf>
    <xf numFmtId="1" fontId="14" fillId="2" borderId="16" xfId="0" applyNumberFormat="1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6" fillId="2" borderId="17" xfId="0" applyFont="1" applyFill="1" applyBorder="1" applyAlignment="1">
      <alignment horizontal="center" vertical="center" wrapText="1"/>
    </xf>
    <xf numFmtId="0" fontId="46" fillId="2" borderId="16" xfId="0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1" fontId="12" fillId="2" borderId="4" xfId="0" applyNumberFormat="1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 wrapText="1"/>
    </xf>
    <xf numFmtId="1" fontId="46" fillId="2" borderId="40" xfId="0" applyNumberFormat="1" applyFont="1" applyFill="1" applyBorder="1" applyAlignment="1">
      <alignment horizontal="center" vertical="center" textRotation="90" wrapText="1"/>
    </xf>
    <xf numFmtId="1" fontId="46" fillId="2" borderId="26" xfId="0" applyNumberFormat="1" applyFont="1" applyFill="1" applyBorder="1" applyAlignment="1">
      <alignment horizontal="center" vertical="center" textRotation="90" wrapText="1"/>
    </xf>
    <xf numFmtId="1" fontId="46" fillId="2" borderId="41" xfId="0" applyNumberFormat="1" applyFont="1" applyFill="1" applyBorder="1" applyAlignment="1">
      <alignment horizontal="center" vertical="center" textRotation="90" wrapText="1"/>
    </xf>
    <xf numFmtId="1" fontId="46" fillId="2" borderId="16" xfId="0" applyNumberFormat="1" applyFont="1" applyFill="1" applyBorder="1" applyAlignment="1">
      <alignment horizontal="center" vertical="center" textRotation="90" wrapText="1"/>
    </xf>
    <xf numFmtId="1" fontId="46" fillId="2" borderId="1" xfId="0" applyNumberFormat="1" applyFont="1" applyFill="1" applyBorder="1" applyAlignment="1">
      <alignment horizontal="center" vertical="center" textRotation="90" wrapText="1"/>
    </xf>
    <xf numFmtId="1" fontId="46" fillId="2" borderId="17" xfId="0" applyNumberFormat="1" applyFont="1" applyFill="1" applyBorder="1" applyAlignment="1">
      <alignment horizontal="center" vertical="center" textRotation="90" wrapText="1"/>
    </xf>
    <xf numFmtId="1" fontId="46" fillId="2" borderId="16" xfId="0" applyNumberFormat="1" applyFont="1" applyFill="1" applyBorder="1" applyAlignment="1">
      <alignment horizontal="center" vertical="center"/>
    </xf>
    <xf numFmtId="1" fontId="46" fillId="2" borderId="1" xfId="0" applyNumberFormat="1" applyFont="1" applyFill="1" applyBorder="1" applyAlignment="1">
      <alignment horizontal="center" vertical="center"/>
    </xf>
    <xf numFmtId="0" fontId="46" fillId="2" borderId="17" xfId="0" applyFont="1" applyFill="1" applyBorder="1" applyAlignment="1">
      <alignment horizontal="center" vertical="center"/>
    </xf>
    <xf numFmtId="1" fontId="12" fillId="2" borderId="10" xfId="0" applyNumberFormat="1" applyFont="1" applyFill="1" applyBorder="1" applyAlignment="1">
      <alignment horizontal="center" vertical="center" wrapText="1"/>
    </xf>
    <xf numFmtId="1" fontId="12" fillId="2" borderId="11" xfId="0" applyNumberFormat="1" applyFont="1" applyFill="1" applyBorder="1" applyAlignment="1">
      <alignment horizontal="center" vertical="center" wrapText="1"/>
    </xf>
    <xf numFmtId="1" fontId="12" fillId="2" borderId="19" xfId="0" applyNumberFormat="1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1" fontId="43" fillId="0" borderId="1" xfId="0" applyNumberFormat="1" applyFont="1" applyFill="1" applyBorder="1" applyAlignment="1">
      <alignment horizontal="center" vertical="center" wrapText="1"/>
    </xf>
    <xf numFmtId="0" fontId="46" fillId="2" borderId="5" xfId="0" applyFont="1" applyFill="1" applyBorder="1" applyAlignment="1">
      <alignment horizontal="center" vertical="center" textRotation="90" wrapText="1"/>
    </xf>
    <xf numFmtId="0" fontId="46" fillId="2" borderId="6" xfId="0" applyFont="1" applyFill="1" applyBorder="1" applyAlignment="1">
      <alignment horizontal="center" vertical="center" textRotation="90" wrapText="1"/>
    </xf>
    <xf numFmtId="0" fontId="46" fillId="2" borderId="7" xfId="0" applyFont="1" applyFill="1" applyBorder="1" applyAlignment="1">
      <alignment horizontal="center" vertical="center" textRotation="90" wrapText="1"/>
    </xf>
    <xf numFmtId="0" fontId="46" fillId="2" borderId="8" xfId="0" applyFont="1" applyFill="1" applyBorder="1" applyAlignment="1">
      <alignment horizontal="center" vertical="center" textRotation="90" wrapText="1"/>
    </xf>
    <xf numFmtId="0" fontId="46" fillId="2" borderId="0" xfId="0" applyFont="1" applyFill="1" applyBorder="1" applyAlignment="1">
      <alignment horizontal="center" vertical="center" textRotation="90" wrapText="1"/>
    </xf>
    <xf numFmtId="0" fontId="46" fillId="2" borderId="9" xfId="0" applyFont="1" applyFill="1" applyBorder="1" applyAlignment="1">
      <alignment horizontal="center" vertical="center" textRotation="90" wrapText="1"/>
    </xf>
    <xf numFmtId="0" fontId="46" fillId="2" borderId="10" xfId="0" applyFont="1" applyFill="1" applyBorder="1" applyAlignment="1">
      <alignment horizontal="center" vertical="center" textRotation="90" wrapText="1"/>
    </xf>
    <xf numFmtId="0" fontId="46" fillId="2" borderId="11" xfId="0" applyFont="1" applyFill="1" applyBorder="1" applyAlignment="1">
      <alignment horizontal="center" vertical="center" textRotation="90" wrapText="1"/>
    </xf>
    <xf numFmtId="0" fontId="46" fillId="2" borderId="12" xfId="0" applyFont="1" applyFill="1" applyBorder="1" applyAlignment="1">
      <alignment horizontal="center" vertical="center" textRotation="90" wrapText="1"/>
    </xf>
    <xf numFmtId="0" fontId="43" fillId="0" borderId="1" xfId="0" applyFont="1" applyBorder="1" applyAlignment="1">
      <alignment horizontal="center" vertical="center"/>
    </xf>
    <xf numFmtId="0" fontId="46" fillId="2" borderId="25" xfId="0" applyFont="1" applyFill="1" applyBorder="1" applyAlignment="1">
      <alignment horizontal="center" vertical="center" textRotation="90"/>
    </xf>
    <xf numFmtId="0" fontId="46" fillId="2" borderId="14" xfId="0" applyFont="1" applyFill="1" applyBorder="1" applyAlignment="1">
      <alignment horizontal="center" vertical="center" textRotation="90"/>
    </xf>
    <xf numFmtId="0" fontId="46" fillId="2" borderId="15" xfId="0" applyFont="1" applyFill="1" applyBorder="1" applyAlignment="1">
      <alignment horizontal="center" vertical="center" textRotation="90"/>
    </xf>
    <xf numFmtId="0" fontId="46" fillId="2" borderId="27" xfId="0" applyFont="1" applyFill="1" applyBorder="1" applyAlignment="1">
      <alignment horizontal="center" vertical="center" wrapText="1"/>
    </xf>
    <xf numFmtId="0" fontId="46" fillId="2" borderId="28" xfId="0" applyFont="1" applyFill="1" applyBorder="1" applyAlignment="1">
      <alignment horizontal="center" vertical="center" wrapText="1"/>
    </xf>
    <xf numFmtId="0" fontId="46" fillId="2" borderId="29" xfId="0" applyFont="1" applyFill="1" applyBorder="1" applyAlignment="1">
      <alignment horizontal="center" vertical="center" wrapText="1"/>
    </xf>
    <xf numFmtId="0" fontId="46" fillId="2" borderId="30" xfId="0" applyFont="1" applyFill="1" applyBorder="1" applyAlignment="1">
      <alignment horizontal="center" vertical="center" wrapText="1"/>
    </xf>
    <xf numFmtId="0" fontId="46" fillId="2" borderId="5" xfId="0" applyFont="1" applyFill="1" applyBorder="1" applyAlignment="1">
      <alignment horizontal="center" vertical="center" wrapText="1"/>
    </xf>
    <xf numFmtId="0" fontId="46" fillId="2" borderId="6" xfId="0" applyFont="1" applyFill="1" applyBorder="1" applyAlignment="1">
      <alignment horizontal="center" vertical="center" wrapText="1"/>
    </xf>
    <xf numFmtId="2" fontId="46" fillId="2" borderId="26" xfId="0" applyNumberFormat="1" applyFont="1" applyFill="1" applyBorder="1" applyAlignment="1">
      <alignment horizontal="center" vertical="center" wrapText="1"/>
    </xf>
    <xf numFmtId="2" fontId="46" fillId="2" borderId="1" xfId="0" applyNumberFormat="1" applyFont="1" applyFill="1" applyBorder="1" applyAlignment="1">
      <alignment horizontal="center" vertical="center" wrapText="1"/>
    </xf>
    <xf numFmtId="0" fontId="46" fillId="2" borderId="7" xfId="0" applyFont="1" applyFill="1" applyBorder="1" applyAlignment="1">
      <alignment horizontal="center" vertical="center" wrapText="1"/>
    </xf>
    <xf numFmtId="0" fontId="46" fillId="2" borderId="8" xfId="0" applyFont="1" applyFill="1" applyBorder="1" applyAlignment="1">
      <alignment horizontal="center" vertical="center" wrapText="1"/>
    </xf>
    <xf numFmtId="0" fontId="46" fillId="2" borderId="0" xfId="0" applyFont="1" applyFill="1" applyBorder="1" applyAlignment="1">
      <alignment horizontal="center" vertical="center" wrapText="1"/>
    </xf>
    <xf numFmtId="0" fontId="46" fillId="2" borderId="9" xfId="0" applyFont="1" applyFill="1" applyBorder="1" applyAlignment="1">
      <alignment horizontal="center" vertical="center" wrapText="1"/>
    </xf>
    <xf numFmtId="0" fontId="46" fillId="2" borderId="40" xfId="0" applyFont="1" applyFill="1" applyBorder="1" applyAlignment="1">
      <alignment horizontal="center" vertical="center" wrapText="1"/>
    </xf>
    <xf numFmtId="0" fontId="46" fillId="2" borderId="26" xfId="0" applyFont="1" applyFill="1" applyBorder="1" applyAlignment="1">
      <alignment horizontal="center" vertical="center" wrapText="1"/>
    </xf>
    <xf numFmtId="0" fontId="46" fillId="2" borderId="4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42" fillId="0" borderId="5" xfId="0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0" fontId="42" fillId="0" borderId="7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42" fillId="0" borderId="11" xfId="0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center"/>
    </xf>
    <xf numFmtId="0" fontId="43" fillId="0" borderId="7" xfId="0" applyFont="1" applyFill="1" applyBorder="1" applyAlignment="1">
      <alignment horizontal="center" vertical="center" wrapText="1"/>
    </xf>
    <xf numFmtId="0" fontId="43" fillId="0" borderId="12" xfId="0" applyFont="1" applyFill="1" applyBorder="1" applyAlignment="1">
      <alignment horizontal="center" vertical="center" wrapText="1"/>
    </xf>
    <xf numFmtId="0" fontId="43" fillId="0" borderId="5" xfId="0" applyFont="1" applyFill="1" applyBorder="1" applyAlignment="1">
      <alignment horizontal="center" vertical="center"/>
    </xf>
    <xf numFmtId="0" fontId="43" fillId="0" borderId="6" xfId="0" applyFont="1" applyFill="1" applyBorder="1" applyAlignment="1">
      <alignment horizontal="center" vertical="center"/>
    </xf>
    <xf numFmtId="0" fontId="43" fillId="0" borderId="7" xfId="0" applyFont="1" applyFill="1" applyBorder="1" applyAlignment="1">
      <alignment horizontal="center" vertical="center"/>
    </xf>
    <xf numFmtId="0" fontId="43" fillId="0" borderId="10" xfId="0" applyFont="1" applyFill="1" applyBorder="1" applyAlignment="1">
      <alignment horizontal="center" vertical="center"/>
    </xf>
    <xf numFmtId="0" fontId="43" fillId="0" borderId="11" xfId="0" applyFont="1" applyFill="1" applyBorder="1" applyAlignment="1">
      <alignment horizontal="center" vertical="center"/>
    </xf>
    <xf numFmtId="0" fontId="43" fillId="0" borderId="12" xfId="0" applyFont="1" applyFill="1" applyBorder="1" applyAlignment="1">
      <alignment horizontal="center" vertical="center"/>
    </xf>
    <xf numFmtId="164" fontId="42" fillId="0" borderId="5" xfId="0" applyNumberFormat="1" applyFont="1" applyFill="1" applyBorder="1" applyAlignment="1">
      <alignment horizontal="center" vertical="center" wrapText="1"/>
    </xf>
    <xf numFmtId="164" fontId="42" fillId="0" borderId="6" xfId="0" applyNumberFormat="1" applyFont="1" applyFill="1" applyBorder="1" applyAlignment="1">
      <alignment horizontal="center" vertical="center" wrapText="1"/>
    </xf>
    <xf numFmtId="164" fontId="42" fillId="0" borderId="7" xfId="0" applyNumberFormat="1" applyFont="1" applyFill="1" applyBorder="1" applyAlignment="1">
      <alignment horizontal="center" vertical="center" wrapText="1"/>
    </xf>
    <xf numFmtId="164" fontId="42" fillId="0" borderId="10" xfId="0" applyNumberFormat="1" applyFont="1" applyFill="1" applyBorder="1" applyAlignment="1">
      <alignment horizontal="center" vertical="center" wrapText="1"/>
    </xf>
    <xf numFmtId="164" fontId="42" fillId="0" borderId="11" xfId="0" applyNumberFormat="1" applyFont="1" applyFill="1" applyBorder="1" applyAlignment="1">
      <alignment horizontal="center" vertical="center" wrapText="1"/>
    </xf>
    <xf numFmtId="164" fontId="42" fillId="0" borderId="12" xfId="0" applyNumberFormat="1" applyFont="1" applyFill="1" applyBorder="1" applyAlignment="1">
      <alignment horizontal="center" vertical="center" wrapText="1"/>
    </xf>
    <xf numFmtId="0" fontId="42" fillId="0" borderId="20" xfId="0" applyFont="1" applyFill="1" applyBorder="1" applyAlignment="1">
      <alignment horizontal="center" vertical="center"/>
    </xf>
    <xf numFmtId="0" fontId="42" fillId="0" borderId="19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 wrapText="1"/>
    </xf>
    <xf numFmtId="49" fontId="14" fillId="4" borderId="1" xfId="0" applyNumberFormat="1" applyFont="1" applyFill="1" applyBorder="1" applyAlignment="1">
      <alignment horizontal="right" vertical="center" wrapText="1"/>
    </xf>
    <xf numFmtId="49" fontId="42" fillId="2" borderId="1" xfId="0" applyNumberFormat="1" applyFont="1" applyFill="1" applyBorder="1" applyAlignment="1">
      <alignment horizontal="left" vertical="center" wrapText="1"/>
    </xf>
    <xf numFmtId="1" fontId="42" fillId="4" borderId="3" xfId="0" applyNumberFormat="1" applyFont="1" applyFill="1" applyBorder="1" applyAlignment="1">
      <alignment horizontal="center" vertical="center"/>
    </xf>
    <xf numFmtId="0" fontId="42" fillId="4" borderId="23" xfId="0" applyFont="1" applyFill="1" applyBorder="1" applyAlignment="1">
      <alignment horizontal="center" vertical="center"/>
    </xf>
    <xf numFmtId="1" fontId="42" fillId="2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/>
    </xf>
    <xf numFmtId="49" fontId="40" fillId="2" borderId="3" xfId="0" applyNumberFormat="1" applyFont="1" applyFill="1" applyBorder="1" applyAlignment="1">
      <alignment horizontal="center" vertical="center"/>
    </xf>
    <xf numFmtId="49" fontId="40" fillId="2" borderId="4" xfId="0" applyNumberFormat="1" applyFont="1" applyFill="1" applyBorder="1" applyAlignment="1">
      <alignment horizontal="center" vertical="center"/>
    </xf>
    <xf numFmtId="49" fontId="40" fillId="2" borderId="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49" fontId="28" fillId="2" borderId="3" xfId="0" applyNumberFormat="1" applyFont="1" applyFill="1" applyBorder="1" applyAlignment="1">
      <alignment horizontal="center" vertical="center"/>
    </xf>
    <xf numFmtId="49" fontId="28" fillId="2" borderId="4" xfId="0" applyNumberFormat="1" applyFont="1" applyFill="1" applyBorder="1" applyAlignment="1">
      <alignment horizontal="center" vertical="center"/>
    </xf>
    <xf numFmtId="49" fontId="28" fillId="2" borderId="2" xfId="0" applyNumberFormat="1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/>
    </xf>
    <xf numFmtId="0" fontId="41" fillId="2" borderId="5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41" fillId="2" borderId="8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center" vertical="center" wrapText="1"/>
    </xf>
    <xf numFmtId="0" fontId="41" fillId="2" borderId="9" xfId="0" applyFont="1" applyFill="1" applyBorder="1" applyAlignment="1">
      <alignment horizontal="center" vertical="center" wrapText="1"/>
    </xf>
    <xf numFmtId="0" fontId="41" fillId="2" borderId="10" xfId="0" applyFont="1" applyFill="1" applyBorder="1" applyAlignment="1">
      <alignment horizontal="center" vertical="center" wrapText="1"/>
    </xf>
    <xf numFmtId="0" fontId="41" fillId="2" borderId="11" xfId="0" applyFont="1" applyFill="1" applyBorder="1" applyAlignment="1">
      <alignment horizontal="center" vertical="center" wrapText="1"/>
    </xf>
    <xf numFmtId="0" fontId="41" fillId="2" borderId="12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justify" vertical="center" wrapText="1"/>
    </xf>
    <xf numFmtId="0" fontId="42" fillId="0" borderId="16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42" fillId="0" borderId="17" xfId="0" applyFont="1" applyFill="1" applyBorder="1" applyAlignment="1">
      <alignment horizontal="center" vertical="center" wrapText="1"/>
    </xf>
    <xf numFmtId="49" fontId="47" fillId="2" borderId="3" xfId="0" applyNumberFormat="1" applyFont="1" applyFill="1" applyBorder="1" applyAlignment="1">
      <alignment horizontal="center" vertical="center"/>
    </xf>
    <xf numFmtId="49" fontId="47" fillId="2" borderId="4" xfId="0" applyNumberFormat="1" applyFont="1" applyFill="1" applyBorder="1" applyAlignment="1">
      <alignment horizontal="center" vertical="center"/>
    </xf>
    <xf numFmtId="49" fontId="47" fillId="2" borderId="2" xfId="0" applyNumberFormat="1" applyFont="1" applyFill="1" applyBorder="1" applyAlignment="1">
      <alignment horizontal="center" vertical="center"/>
    </xf>
    <xf numFmtId="49" fontId="47" fillId="2" borderId="3" xfId="0" applyNumberFormat="1" applyFont="1" applyFill="1" applyBorder="1" applyAlignment="1">
      <alignment horizontal="center" vertical="center" wrapText="1"/>
    </xf>
    <xf numFmtId="49" fontId="47" fillId="2" borderId="4" xfId="0" applyNumberFormat="1" applyFont="1" applyFill="1" applyBorder="1" applyAlignment="1">
      <alignment horizontal="center" vertical="center" wrapText="1"/>
    </xf>
    <xf numFmtId="49" fontId="47" fillId="2" borderId="2" xfId="0" applyNumberFormat="1" applyFont="1" applyFill="1" applyBorder="1" applyAlignment="1">
      <alignment horizontal="center" vertical="center" wrapText="1"/>
    </xf>
    <xf numFmtId="164" fontId="42" fillId="2" borderId="1" xfId="0" applyNumberFormat="1" applyFont="1" applyFill="1" applyBorder="1" applyAlignment="1">
      <alignment horizontal="center" vertical="center" wrapText="1"/>
    </xf>
    <xf numFmtId="1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3" fillId="0" borderId="8" xfId="0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center" vertical="center" wrapText="1"/>
    </xf>
    <xf numFmtId="0" fontId="43" fillId="0" borderId="22" xfId="0" applyFont="1" applyFill="1" applyBorder="1" applyAlignment="1">
      <alignment horizontal="center" vertical="center" wrapText="1"/>
    </xf>
    <xf numFmtId="49" fontId="29" fillId="0" borderId="33" xfId="0" applyNumberFormat="1" applyFont="1" applyFill="1" applyBorder="1" applyAlignment="1">
      <alignment horizontal="center" vertical="center" wrapText="1"/>
    </xf>
    <xf numFmtId="49" fontId="29" fillId="0" borderId="32" xfId="0" applyNumberFormat="1" applyFont="1" applyFill="1" applyBorder="1" applyAlignment="1">
      <alignment horizontal="center" vertical="center" wrapText="1"/>
    </xf>
    <xf numFmtId="49" fontId="40" fillId="2" borderId="1" xfId="0" applyNumberFormat="1" applyFont="1" applyFill="1" applyBorder="1" applyAlignment="1">
      <alignment horizontal="center" vertical="center"/>
    </xf>
    <xf numFmtId="49" fontId="28" fillId="2" borderId="1" xfId="0" applyNumberFormat="1" applyFont="1" applyFill="1" applyBorder="1" applyAlignment="1">
      <alignment horizontal="center" vertical="center" wrapText="1"/>
    </xf>
    <xf numFmtId="49" fontId="40" fillId="2" borderId="1" xfId="0" applyNumberFormat="1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textRotation="90"/>
    </xf>
    <xf numFmtId="0" fontId="42" fillId="2" borderId="5" xfId="0" applyFont="1" applyFill="1" applyBorder="1" applyAlignment="1">
      <alignment horizontal="center" vertical="center" textRotation="90" wrapText="1"/>
    </xf>
    <xf numFmtId="0" fontId="42" fillId="2" borderId="7" xfId="0" applyFont="1" applyFill="1" applyBorder="1" applyAlignment="1">
      <alignment horizontal="center" vertical="center" textRotation="90" wrapText="1"/>
    </xf>
    <xf numFmtId="0" fontId="42" fillId="2" borderId="8" xfId="0" applyFont="1" applyFill="1" applyBorder="1" applyAlignment="1">
      <alignment horizontal="center" vertical="center" textRotation="90" wrapText="1"/>
    </xf>
    <xf numFmtId="0" fontId="42" fillId="2" borderId="9" xfId="0" applyFont="1" applyFill="1" applyBorder="1" applyAlignment="1">
      <alignment horizontal="center" vertical="center" textRotation="90" wrapText="1"/>
    </xf>
    <xf numFmtId="0" fontId="42" fillId="2" borderId="10" xfId="0" applyFont="1" applyFill="1" applyBorder="1" applyAlignment="1">
      <alignment horizontal="center" vertical="center" textRotation="90" wrapText="1"/>
    </xf>
    <xf numFmtId="0" fontId="42" fillId="2" borderId="12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 vertical="center" textRotation="90" wrapText="1"/>
    </xf>
    <xf numFmtId="0" fontId="12" fillId="2" borderId="7" xfId="0" applyFont="1" applyFill="1" applyBorder="1" applyAlignment="1">
      <alignment horizontal="center" vertical="center" textRotation="90" wrapText="1"/>
    </xf>
    <xf numFmtId="0" fontId="12" fillId="2" borderId="8" xfId="0" applyFont="1" applyFill="1" applyBorder="1" applyAlignment="1">
      <alignment horizontal="center" vertical="center" textRotation="90" wrapText="1"/>
    </xf>
    <xf numFmtId="0" fontId="12" fillId="2" borderId="9" xfId="0" applyFont="1" applyFill="1" applyBorder="1" applyAlignment="1">
      <alignment horizontal="center" vertical="center" textRotation="90" wrapText="1"/>
    </xf>
    <xf numFmtId="0" fontId="12" fillId="2" borderId="10" xfId="0" applyFont="1" applyFill="1" applyBorder="1" applyAlignment="1">
      <alignment horizontal="center" vertical="center" textRotation="90" wrapText="1"/>
    </xf>
    <xf numFmtId="0" fontId="12" fillId="2" borderId="12" xfId="0" applyFont="1" applyFill="1" applyBorder="1" applyAlignment="1">
      <alignment horizontal="center" vertical="center" textRotation="90" wrapText="1"/>
    </xf>
    <xf numFmtId="0" fontId="42" fillId="2" borderId="3" xfId="0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51" fillId="2" borderId="3" xfId="0" applyFont="1" applyFill="1" applyBorder="1" applyAlignment="1">
      <alignment horizontal="center" vertical="center"/>
    </xf>
    <xf numFmtId="0" fontId="51" fillId="2" borderId="2" xfId="0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horizontal="center" vertical="center" wrapText="1"/>
    </xf>
    <xf numFmtId="0" fontId="30" fillId="2" borderId="51" xfId="0" applyFont="1" applyFill="1" applyBorder="1" applyAlignment="1">
      <alignment horizontal="center" vertical="center" wrapText="1"/>
    </xf>
    <xf numFmtId="0" fontId="30" fillId="2" borderId="52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right" vertical="center"/>
    </xf>
    <xf numFmtId="0" fontId="43" fillId="2" borderId="43" xfId="0" applyFont="1" applyFill="1" applyBorder="1" applyAlignment="1">
      <alignment horizontal="center" vertical="center"/>
    </xf>
    <xf numFmtId="0" fontId="43" fillId="2" borderId="44" xfId="0" applyFont="1" applyFill="1" applyBorder="1" applyAlignment="1">
      <alignment horizontal="center" vertical="center"/>
    </xf>
    <xf numFmtId="0" fontId="43" fillId="2" borderId="45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43" fillId="2" borderId="46" xfId="0" applyFont="1" applyFill="1" applyBorder="1" applyAlignment="1">
      <alignment horizontal="center" vertical="center"/>
    </xf>
    <xf numFmtId="0" fontId="43" fillId="2" borderId="47" xfId="0" applyFont="1" applyFill="1" applyBorder="1" applyAlignment="1">
      <alignment horizontal="center" vertical="center"/>
    </xf>
    <xf numFmtId="0" fontId="43" fillId="2" borderId="48" xfId="0" applyFont="1" applyFill="1" applyBorder="1" applyAlignment="1">
      <alignment horizontal="center" vertical="center"/>
    </xf>
    <xf numFmtId="49" fontId="42" fillId="2" borderId="3" xfId="0" applyNumberFormat="1" applyFont="1" applyFill="1" applyBorder="1" applyAlignment="1">
      <alignment horizontal="center" vertical="center"/>
    </xf>
    <xf numFmtId="49" fontId="42" fillId="2" borderId="4" xfId="0" applyNumberFormat="1" applyFont="1" applyFill="1" applyBorder="1" applyAlignment="1">
      <alignment horizontal="center" vertical="center"/>
    </xf>
    <xf numFmtId="49" fontId="42" fillId="2" borderId="2" xfId="0" applyNumberFormat="1" applyFont="1" applyFill="1" applyBorder="1" applyAlignment="1">
      <alignment horizontal="center" vertical="center"/>
    </xf>
    <xf numFmtId="49" fontId="42" fillId="2" borderId="3" xfId="0" applyNumberFormat="1" applyFont="1" applyFill="1" applyBorder="1" applyAlignment="1">
      <alignment horizontal="center" vertical="center" wrapText="1"/>
    </xf>
    <xf numFmtId="49" fontId="42" fillId="2" borderId="4" xfId="0" applyNumberFormat="1" applyFont="1" applyFill="1" applyBorder="1" applyAlignment="1">
      <alignment horizontal="center" vertical="center" wrapText="1"/>
    </xf>
    <xf numFmtId="49" fontId="42" fillId="2" borderId="2" xfId="0" applyNumberFormat="1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left" vertical="center"/>
    </xf>
    <xf numFmtId="49" fontId="43" fillId="2" borderId="3" xfId="0" applyNumberFormat="1" applyFont="1" applyFill="1" applyBorder="1" applyAlignment="1">
      <alignment horizontal="center" vertical="center"/>
    </xf>
    <xf numFmtId="49" fontId="43" fillId="2" borderId="4" xfId="0" applyNumberFormat="1" applyFont="1" applyFill="1" applyBorder="1" applyAlignment="1">
      <alignment horizontal="center" vertical="center"/>
    </xf>
    <xf numFmtId="49" fontId="43" fillId="2" borderId="2" xfId="0" applyNumberFormat="1" applyFont="1" applyFill="1" applyBorder="1" applyAlignment="1">
      <alignment horizontal="center" vertical="center"/>
    </xf>
    <xf numFmtId="49" fontId="43" fillId="2" borderId="1" xfId="0" applyNumberFormat="1" applyFont="1" applyFill="1" applyBorder="1" applyAlignment="1">
      <alignment horizontal="center" vertical="center" wrapText="1"/>
    </xf>
    <xf numFmtId="49" fontId="43" fillId="2" borderId="1" xfId="0" applyNumberFormat="1" applyFont="1" applyFill="1" applyBorder="1" applyAlignment="1">
      <alignment horizontal="center" vertical="center"/>
    </xf>
    <xf numFmtId="49" fontId="42" fillId="2" borderId="1" xfId="0" applyNumberFormat="1" applyFont="1" applyFill="1" applyBorder="1" applyAlignment="1">
      <alignment horizontal="center"/>
    </xf>
    <xf numFmtId="0" fontId="53" fillId="2" borderId="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 wrapText="1"/>
    </xf>
    <xf numFmtId="49" fontId="42" fillId="2" borderId="1" xfId="0" applyNumberFormat="1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 textRotation="90" wrapText="1"/>
    </xf>
    <xf numFmtId="0" fontId="12" fillId="2" borderId="14" xfId="0" applyFont="1" applyFill="1" applyBorder="1" applyAlignment="1">
      <alignment horizontal="center" vertical="center" textRotation="90" wrapText="1"/>
    </xf>
    <xf numFmtId="0" fontId="12" fillId="2" borderId="15" xfId="0" applyFont="1" applyFill="1" applyBorder="1" applyAlignment="1">
      <alignment horizontal="center" vertical="center" textRotation="90" wrapText="1"/>
    </xf>
    <xf numFmtId="2" fontId="12" fillId="2" borderId="1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textRotation="90" wrapText="1"/>
    </xf>
    <xf numFmtId="0" fontId="12" fillId="2" borderId="0" xfId="0" applyFont="1" applyFill="1" applyAlignment="1">
      <alignment horizontal="center" vertical="center" textRotation="90" wrapText="1"/>
    </xf>
    <xf numFmtId="0" fontId="12" fillId="2" borderId="11" xfId="0" applyFont="1" applyFill="1" applyBorder="1" applyAlignment="1">
      <alignment horizontal="center" vertical="center" textRotation="90" wrapText="1"/>
    </xf>
    <xf numFmtId="1" fontId="12" fillId="2" borderId="16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 textRotation="90" wrapText="1"/>
    </xf>
    <xf numFmtId="0" fontId="12" fillId="2" borderId="1" xfId="0" applyFont="1" applyFill="1" applyBorder="1" applyAlignment="1">
      <alignment horizontal="center" vertical="center" textRotation="90" wrapText="1"/>
    </xf>
    <xf numFmtId="0" fontId="12" fillId="2" borderId="17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textRotation="90" wrapText="1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18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1" fontId="12" fillId="4" borderId="3" xfId="0" applyNumberFormat="1" applyFont="1" applyFill="1" applyBorder="1" applyAlignment="1">
      <alignment horizontal="center" vertical="center" wrapText="1"/>
    </xf>
    <xf numFmtId="1" fontId="12" fillId="4" borderId="4" xfId="0" applyNumberFormat="1" applyFont="1" applyFill="1" applyBorder="1" applyAlignment="1">
      <alignment horizontal="center" vertical="center" wrapText="1"/>
    </xf>
    <xf numFmtId="1" fontId="12" fillId="4" borderId="2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" fontId="12" fillId="7" borderId="16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164" fontId="13" fillId="0" borderId="1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1" fontId="12" fillId="0" borderId="16" xfId="0" applyNumberFormat="1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1" fontId="12" fillId="4" borderId="17" xfId="0" applyNumberFormat="1" applyFont="1" applyFill="1" applyBorder="1" applyAlignment="1">
      <alignment horizontal="center" vertical="center" wrapText="1"/>
    </xf>
    <xf numFmtId="49" fontId="42" fillId="4" borderId="1" xfId="0" applyNumberFormat="1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12" fillId="4" borderId="3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49" fontId="42" fillId="4" borderId="1" xfId="0" applyNumberFormat="1" applyFont="1" applyFill="1" applyBorder="1" applyAlignment="1">
      <alignment horizontal="right" vertical="center" wrapText="1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1" fontId="13" fillId="2" borderId="3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49" fontId="42" fillId="0" borderId="1" xfId="0" applyNumberFormat="1" applyFont="1" applyFill="1" applyBorder="1" applyAlignment="1">
      <alignment horizontal="left" vertical="center" wrapText="1"/>
    </xf>
    <xf numFmtId="164" fontId="12" fillId="0" borderId="1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 vertical="center"/>
    </xf>
    <xf numFmtId="0" fontId="42" fillId="2" borderId="0" xfId="0" applyFont="1" applyFill="1" applyBorder="1" applyAlignment="1">
      <alignment horizontal="center" vertical="center"/>
    </xf>
    <xf numFmtId="0" fontId="42" fillId="2" borderId="9" xfId="0" applyFont="1" applyFill="1" applyBorder="1" applyAlignment="1">
      <alignment horizontal="center" vertical="center"/>
    </xf>
    <xf numFmtId="0" fontId="50" fillId="2" borderId="0" xfId="0" applyFont="1" applyFill="1" applyAlignment="1">
      <alignment horizontal="left" vertical="center"/>
    </xf>
    <xf numFmtId="1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" fontId="12" fillId="5" borderId="3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49" fontId="42" fillId="5" borderId="1" xfId="0" applyNumberFormat="1" applyFont="1" applyFill="1" applyBorder="1" applyAlignment="1">
      <alignment horizontal="right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1" fontId="12" fillId="5" borderId="16" xfId="0" applyNumberFormat="1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42" fillId="2" borderId="5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42" fillId="2" borderId="8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42" fillId="2" borderId="9" xfId="0" applyFont="1" applyFill="1" applyBorder="1" applyAlignment="1">
      <alignment horizontal="center" vertical="center" wrapText="1"/>
    </xf>
    <xf numFmtId="0" fontId="42" fillId="2" borderId="10" xfId="0" applyFont="1" applyFill="1" applyBorder="1" applyAlignment="1">
      <alignment horizontal="center" vertical="center" wrapText="1"/>
    </xf>
    <xf numFmtId="0" fontId="42" fillId="2" borderId="11" xfId="0" applyFont="1" applyFill="1" applyBorder="1" applyAlignment="1">
      <alignment horizontal="center" vertical="center" wrapText="1"/>
    </xf>
    <xf numFmtId="0" fontId="42" fillId="2" borderId="12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justify" vertical="center" wrapText="1"/>
    </xf>
    <xf numFmtId="0" fontId="42" fillId="2" borderId="0" xfId="0" applyFont="1" applyFill="1" applyAlignment="1">
      <alignment horizontal="left" vertical="center" wrapText="1"/>
    </xf>
    <xf numFmtId="1" fontId="42" fillId="2" borderId="0" xfId="0" applyNumberFormat="1" applyFont="1" applyFill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49" fontId="42" fillId="7" borderId="1" xfId="0" applyNumberFormat="1" applyFont="1" applyFill="1" applyBorder="1" applyAlignment="1">
      <alignment horizontal="right" vertical="center" wrapText="1"/>
    </xf>
    <xf numFmtId="0" fontId="12" fillId="7" borderId="1" xfId="0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49" fontId="29" fillId="0" borderId="13" xfId="0" applyNumberFormat="1" applyFont="1" applyFill="1" applyBorder="1" applyAlignment="1">
      <alignment horizontal="center" vertical="center" wrapText="1"/>
    </xf>
    <xf numFmtId="49" fontId="29" fillId="0" borderId="15" xfId="0" applyNumberFormat="1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textRotation="90"/>
    </xf>
    <xf numFmtId="0" fontId="54" fillId="2" borderId="1" xfId="0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textRotation="90"/>
    </xf>
    <xf numFmtId="0" fontId="54" fillId="2" borderId="7" xfId="0" applyFont="1" applyFill="1" applyBorder="1" applyAlignment="1">
      <alignment horizontal="center" textRotation="90"/>
    </xf>
    <xf numFmtId="0" fontId="54" fillId="2" borderId="8" xfId="0" applyFont="1" applyFill="1" applyBorder="1" applyAlignment="1">
      <alignment horizontal="center" textRotation="90"/>
    </xf>
    <xf numFmtId="0" fontId="54" fillId="2" borderId="9" xfId="0" applyFont="1" applyFill="1" applyBorder="1" applyAlignment="1">
      <alignment horizontal="center" textRotation="90"/>
    </xf>
    <xf numFmtId="0" fontId="54" fillId="2" borderId="10" xfId="0" applyFont="1" applyFill="1" applyBorder="1" applyAlignment="1">
      <alignment horizontal="center" textRotation="90"/>
    </xf>
    <xf numFmtId="0" fontId="54" fillId="2" borderId="12" xfId="0" applyFont="1" applyFill="1" applyBorder="1" applyAlignment="1">
      <alignment horizontal="center" textRotation="90"/>
    </xf>
    <xf numFmtId="0" fontId="54" fillId="2" borderId="5" xfId="0" applyFont="1" applyFill="1" applyBorder="1" applyAlignment="1">
      <alignment horizontal="center" vertical="center" textRotation="90" wrapText="1"/>
    </xf>
    <xf numFmtId="0" fontId="54" fillId="2" borderId="7" xfId="0" applyFont="1" applyFill="1" applyBorder="1" applyAlignment="1">
      <alignment horizontal="center" vertical="center" textRotation="90" wrapText="1"/>
    </xf>
    <xf numFmtId="0" fontId="54" fillId="2" borderId="8" xfId="0" applyFont="1" applyFill="1" applyBorder="1" applyAlignment="1">
      <alignment horizontal="center" vertical="center" textRotation="90" wrapText="1"/>
    </xf>
    <xf numFmtId="0" fontId="54" fillId="2" borderId="9" xfId="0" applyFont="1" applyFill="1" applyBorder="1" applyAlignment="1">
      <alignment horizontal="center" vertical="center" textRotation="90" wrapText="1"/>
    </xf>
    <xf numFmtId="0" fontId="54" fillId="2" borderId="10" xfId="0" applyFont="1" applyFill="1" applyBorder="1" applyAlignment="1">
      <alignment horizontal="center" vertical="center" textRotation="90" wrapText="1"/>
    </xf>
    <xf numFmtId="0" fontId="54" fillId="2" borderId="12" xfId="0" applyFont="1" applyFill="1" applyBorder="1" applyAlignment="1">
      <alignment horizontal="center" vertical="center" textRotation="90" wrapText="1"/>
    </xf>
    <xf numFmtId="0" fontId="54" fillId="2" borderId="3" xfId="0" applyFont="1" applyFill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54" fillId="2" borderId="2" xfId="0" applyFont="1" applyFill="1" applyBorder="1" applyAlignment="1">
      <alignment horizontal="center" vertical="center"/>
    </xf>
    <xf numFmtId="0" fontId="54" fillId="2" borderId="3" xfId="0" applyFont="1" applyFill="1" applyBorder="1" applyAlignment="1">
      <alignment horizontal="right" vertical="center"/>
    </xf>
    <xf numFmtId="0" fontId="54" fillId="2" borderId="4" xfId="0" applyFont="1" applyFill="1" applyBorder="1" applyAlignment="1">
      <alignment horizontal="right" vertical="center"/>
    </xf>
    <xf numFmtId="0" fontId="54" fillId="2" borderId="2" xfId="0" applyFont="1" applyFill="1" applyBorder="1" applyAlignment="1">
      <alignment horizontal="right" vertical="center"/>
    </xf>
    <xf numFmtId="0" fontId="32" fillId="2" borderId="43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 vertical="center"/>
    </xf>
    <xf numFmtId="0" fontId="32" fillId="2" borderId="45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 wrapText="1"/>
    </xf>
    <xf numFmtId="0" fontId="32" fillId="2" borderId="44" xfId="0" applyFont="1" applyFill="1" applyBorder="1" applyAlignment="1">
      <alignment horizontal="center" vertical="center" wrapText="1"/>
    </xf>
    <xf numFmtId="0" fontId="32" fillId="2" borderId="45" xfId="0" applyFont="1" applyFill="1" applyBorder="1" applyAlignment="1">
      <alignment horizontal="center" vertical="center" wrapText="1"/>
    </xf>
    <xf numFmtId="0" fontId="32" fillId="2" borderId="46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/>
    </xf>
    <xf numFmtId="0" fontId="46" fillId="2" borderId="25" xfId="0" applyFont="1" applyFill="1" applyBorder="1" applyAlignment="1">
      <alignment horizontal="center" vertical="center" textRotation="90" wrapText="1"/>
    </xf>
    <xf numFmtId="1" fontId="46" fillId="2" borderId="27" xfId="0" applyNumberFormat="1" applyFont="1" applyFill="1" applyBorder="1" applyAlignment="1">
      <alignment horizontal="center" vertical="center" textRotation="90" wrapText="1"/>
    </xf>
    <xf numFmtId="1" fontId="46" fillId="2" borderId="3" xfId="0" applyNumberFormat="1" applyFont="1" applyFill="1" applyBorder="1" applyAlignment="1">
      <alignment horizontal="center" vertical="center" textRotation="90" wrapText="1"/>
    </xf>
    <xf numFmtId="1" fontId="46" fillId="2" borderId="3" xfId="0" applyNumberFormat="1" applyFont="1" applyFill="1" applyBorder="1" applyAlignment="1">
      <alignment horizontal="center" vertical="center"/>
    </xf>
    <xf numFmtId="1" fontId="42" fillId="2" borderId="3" xfId="0" applyNumberFormat="1" applyFont="1" applyFill="1" applyBorder="1" applyAlignment="1">
      <alignment horizontal="center" vertical="center"/>
    </xf>
    <xf numFmtId="1" fontId="42" fillId="2" borderId="4" xfId="0" applyNumberFormat="1" applyFont="1" applyFill="1" applyBorder="1" applyAlignment="1">
      <alignment horizontal="center" vertical="center"/>
    </xf>
    <xf numFmtId="1" fontId="42" fillId="2" borderId="2" xfId="0" applyNumberFormat="1" applyFont="1" applyFill="1" applyBorder="1" applyAlignment="1">
      <alignment horizontal="center" vertical="center"/>
    </xf>
    <xf numFmtId="164" fontId="47" fillId="4" borderId="1" xfId="0" applyNumberFormat="1" applyFont="1" applyFill="1" applyBorder="1" applyAlignment="1">
      <alignment horizontal="center" vertical="center" wrapText="1"/>
    </xf>
    <xf numFmtId="1" fontId="47" fillId="4" borderId="3" xfId="0" applyNumberFormat="1" applyFont="1" applyFill="1" applyBorder="1" applyAlignment="1">
      <alignment horizontal="center" vertical="center" wrapText="1"/>
    </xf>
    <xf numFmtId="1" fontId="47" fillId="4" borderId="4" xfId="0" applyNumberFormat="1" applyFont="1" applyFill="1" applyBorder="1" applyAlignment="1">
      <alignment horizontal="center" vertical="center" wrapText="1"/>
    </xf>
    <xf numFmtId="1" fontId="47" fillId="4" borderId="2" xfId="0" applyNumberFormat="1" applyFont="1" applyFill="1" applyBorder="1" applyAlignment="1">
      <alignment horizontal="center" vertical="center" wrapText="1"/>
    </xf>
    <xf numFmtId="0" fontId="42" fillId="2" borderId="16" xfId="0" applyFont="1" applyFill="1" applyBorder="1" applyAlignment="1">
      <alignment horizontal="center" vertical="center"/>
    </xf>
    <xf numFmtId="1" fontId="42" fillId="2" borderId="10" xfId="0" applyNumberFormat="1" applyFont="1" applyFill="1" applyBorder="1" applyAlignment="1">
      <alignment horizontal="center" vertical="center"/>
    </xf>
    <xf numFmtId="1" fontId="42" fillId="2" borderId="11" xfId="0" applyNumberFormat="1" applyFont="1" applyFill="1" applyBorder="1" applyAlignment="1">
      <alignment horizontal="center" vertical="center"/>
    </xf>
    <xf numFmtId="1" fontId="42" fillId="2" borderId="19" xfId="0" applyNumberFormat="1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 wrapText="1"/>
    </xf>
    <xf numFmtId="0" fontId="47" fillId="4" borderId="17" xfId="0" applyFont="1" applyFill="1" applyBorder="1" applyAlignment="1">
      <alignment horizontal="center" vertical="center" wrapText="1"/>
    </xf>
    <xf numFmtId="1" fontId="47" fillId="4" borderId="16" xfId="0" applyNumberFormat="1" applyFont="1" applyFill="1" applyBorder="1" applyAlignment="1">
      <alignment horizontal="center" vertical="center"/>
    </xf>
    <xf numFmtId="1" fontId="47" fillId="4" borderId="1" xfId="0" applyNumberFormat="1" applyFont="1" applyFill="1" applyBorder="1" applyAlignment="1">
      <alignment horizontal="center" vertical="center"/>
    </xf>
    <xf numFmtId="1" fontId="47" fillId="4" borderId="3" xfId="0" applyNumberFormat="1" applyFont="1" applyFill="1" applyBorder="1" applyAlignment="1">
      <alignment horizontal="center" vertical="center"/>
    </xf>
    <xf numFmtId="0" fontId="47" fillId="4" borderId="17" xfId="0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left" vertical="center"/>
    </xf>
    <xf numFmtId="0" fontId="4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 vertical="center" wrapText="1"/>
    </xf>
    <xf numFmtId="1" fontId="57" fillId="2" borderId="1" xfId="0" applyNumberFormat="1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 vertical="center"/>
    </xf>
    <xf numFmtId="0" fontId="47" fillId="4" borderId="16" xfId="0" applyFont="1" applyFill="1" applyBorder="1" applyAlignment="1">
      <alignment horizontal="center"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1" fontId="47" fillId="4" borderId="17" xfId="0" applyNumberFormat="1" applyFont="1" applyFill="1" applyBorder="1" applyAlignment="1">
      <alignment horizontal="center" vertical="center" wrapText="1"/>
    </xf>
    <xf numFmtId="0" fontId="57" fillId="2" borderId="17" xfId="0" applyFont="1" applyFill="1" applyBorder="1" applyAlignment="1">
      <alignment horizontal="center" vertical="center" wrapText="1"/>
    </xf>
    <xf numFmtId="1" fontId="47" fillId="2" borderId="16" xfId="0" applyNumberFormat="1" applyFont="1" applyFill="1" applyBorder="1" applyAlignment="1">
      <alignment horizontal="center" vertical="center"/>
    </xf>
    <xf numFmtId="1" fontId="47" fillId="2" borderId="1" xfId="0" applyNumberFormat="1" applyFont="1" applyFill="1" applyBorder="1" applyAlignment="1">
      <alignment horizontal="center" vertical="center"/>
    </xf>
    <xf numFmtId="1" fontId="47" fillId="2" borderId="3" xfId="0" applyNumberFormat="1" applyFont="1" applyFill="1" applyBorder="1" applyAlignment="1">
      <alignment horizontal="center" vertical="center"/>
    </xf>
    <xf numFmtId="0" fontId="47" fillId="2" borderId="17" xfId="0" applyFont="1" applyFill="1" applyBorder="1" applyAlignment="1">
      <alignment horizontal="center" vertical="center"/>
    </xf>
    <xf numFmtId="49" fontId="47" fillId="4" borderId="1" xfId="0" applyNumberFormat="1" applyFont="1" applyFill="1" applyBorder="1" applyAlignment="1">
      <alignment horizontal="center" vertical="center" wrapText="1"/>
    </xf>
    <xf numFmtId="164" fontId="57" fillId="2" borderId="1" xfId="0" applyNumberFormat="1" applyFont="1" applyFill="1" applyBorder="1" applyAlignment="1">
      <alignment horizontal="center" vertical="center" wrapText="1"/>
    </xf>
    <xf numFmtId="0" fontId="57" fillId="2" borderId="16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Fill="1" applyBorder="1" applyAlignment="1">
      <alignment horizontal="left" vertical="center" wrapText="1"/>
    </xf>
    <xf numFmtId="0" fontId="47" fillId="0" borderId="1" xfId="0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 wrapText="1"/>
    </xf>
    <xf numFmtId="0" fontId="57" fillId="0" borderId="1" xfId="0" applyFont="1" applyFill="1" applyBorder="1" applyAlignment="1">
      <alignment horizontal="center" vertical="center"/>
    </xf>
    <xf numFmtId="0" fontId="57" fillId="0" borderId="17" xfId="0" applyFont="1" applyFill="1" applyBorder="1" applyAlignment="1">
      <alignment horizontal="center" vertical="center" wrapText="1"/>
    </xf>
    <xf numFmtId="0" fontId="57" fillId="0" borderId="16" xfId="0" applyFont="1" applyFill="1" applyBorder="1" applyAlignment="1">
      <alignment horizontal="center" vertical="center" wrapText="1"/>
    </xf>
    <xf numFmtId="164" fontId="57" fillId="0" borderId="1" xfId="0" applyNumberFormat="1" applyFont="1" applyFill="1" applyBorder="1" applyAlignment="1">
      <alignment horizontal="center" vertical="center" wrapText="1"/>
    </xf>
    <xf numFmtId="1" fontId="57" fillId="0" borderId="1" xfId="0" applyNumberFormat="1" applyFont="1" applyFill="1" applyBorder="1" applyAlignment="1">
      <alignment horizontal="center" vertical="center" wrapText="1"/>
    </xf>
    <xf numFmtId="1" fontId="57" fillId="0" borderId="1" xfId="0" applyNumberFormat="1" applyFont="1" applyFill="1" applyBorder="1" applyAlignment="1">
      <alignment horizontal="center" vertical="center"/>
    </xf>
    <xf numFmtId="1" fontId="47" fillId="0" borderId="16" xfId="0" applyNumberFormat="1" applyFont="1" applyFill="1" applyBorder="1" applyAlignment="1">
      <alignment horizontal="center" vertical="center"/>
    </xf>
    <xf numFmtId="1" fontId="47" fillId="0" borderId="1" xfId="0" applyNumberFormat="1" applyFont="1" applyFill="1" applyBorder="1" applyAlignment="1">
      <alignment horizontal="center" vertical="center"/>
    </xf>
    <xf numFmtId="1" fontId="47" fillId="0" borderId="3" xfId="0" applyNumberFormat="1" applyFont="1" applyFill="1" applyBorder="1" applyAlignment="1">
      <alignment horizontal="center" vertical="center"/>
    </xf>
    <xf numFmtId="0" fontId="47" fillId="0" borderId="17" xfId="0" applyFont="1" applyFill="1" applyBorder="1" applyAlignment="1">
      <alignment horizontal="center" vertical="center"/>
    </xf>
    <xf numFmtId="0" fontId="57" fillId="0" borderId="3" xfId="0" applyFont="1" applyFill="1" applyBorder="1" applyAlignment="1">
      <alignment horizontal="center" vertical="center" wrapText="1"/>
    </xf>
    <xf numFmtId="0" fontId="57" fillId="0" borderId="4" xfId="0" applyFont="1" applyFill="1" applyBorder="1" applyAlignment="1">
      <alignment horizontal="center" vertical="center" wrapText="1"/>
    </xf>
    <xf numFmtId="0" fontId="57" fillId="0" borderId="23" xfId="0" applyFont="1" applyFill="1" applyBorder="1" applyAlignment="1">
      <alignment horizontal="center" vertical="center" wrapText="1"/>
    </xf>
    <xf numFmtId="1" fontId="47" fillId="0" borderId="58" xfId="0" applyNumberFormat="1" applyFont="1" applyFill="1" applyBorder="1" applyAlignment="1">
      <alignment horizontal="center" vertical="center"/>
    </xf>
    <xf numFmtId="1" fontId="47" fillId="0" borderId="4" xfId="0" applyNumberFormat="1" applyFont="1" applyFill="1" applyBorder="1" applyAlignment="1">
      <alignment horizontal="center" vertical="center"/>
    </xf>
    <xf numFmtId="1" fontId="47" fillId="0" borderId="23" xfId="0" applyNumberFormat="1" applyFont="1" applyFill="1" applyBorder="1" applyAlignment="1">
      <alignment horizontal="center" vertical="center"/>
    </xf>
    <xf numFmtId="0" fontId="57" fillId="0" borderId="2" xfId="0" applyFont="1" applyFill="1" applyBorder="1" applyAlignment="1">
      <alignment horizontal="center" vertical="center" wrapText="1"/>
    </xf>
    <xf numFmtId="0" fontId="57" fillId="0" borderId="58" xfId="0" applyFont="1" applyFill="1" applyBorder="1" applyAlignment="1">
      <alignment horizontal="center" vertical="center" wrapText="1"/>
    </xf>
    <xf numFmtId="164" fontId="57" fillId="0" borderId="3" xfId="0" applyNumberFormat="1" applyFont="1" applyFill="1" applyBorder="1" applyAlignment="1">
      <alignment horizontal="center" vertical="center" wrapText="1"/>
    </xf>
    <xf numFmtId="164" fontId="57" fillId="0" borderId="4" xfId="0" applyNumberFormat="1" applyFont="1" applyFill="1" applyBorder="1" applyAlignment="1">
      <alignment horizontal="center" vertical="center" wrapText="1"/>
    </xf>
    <xf numFmtId="164" fontId="57" fillId="0" borderId="2" xfId="0" applyNumberFormat="1" applyFont="1" applyFill="1" applyBorder="1" applyAlignment="1">
      <alignment horizontal="center" vertical="center" wrapText="1"/>
    </xf>
    <xf numFmtId="0" fontId="47" fillId="0" borderId="3" xfId="0" applyFont="1" applyFill="1" applyBorder="1" applyAlignment="1">
      <alignment horizontal="center" vertical="center"/>
    </xf>
    <xf numFmtId="0" fontId="47" fillId="0" borderId="4" xfId="0" applyFont="1" applyFill="1" applyBorder="1" applyAlignment="1">
      <alignment horizontal="center" vertical="center"/>
    </xf>
    <xf numFmtId="0" fontId="47" fillId="0" borderId="23" xfId="0" applyFont="1" applyFill="1" applyBorder="1" applyAlignment="1">
      <alignment horizontal="center" vertical="center"/>
    </xf>
    <xf numFmtId="49" fontId="57" fillId="0" borderId="1" xfId="0" applyNumberFormat="1" applyFont="1" applyFill="1" applyBorder="1" applyAlignment="1">
      <alignment horizontal="left" vertical="center" wrapText="1"/>
    </xf>
    <xf numFmtId="0" fontId="47" fillId="0" borderId="5" xfId="0" applyFont="1" applyFill="1" applyBorder="1" applyAlignment="1">
      <alignment horizontal="center" vertical="center"/>
    </xf>
    <xf numFmtId="0" fontId="47" fillId="0" borderId="6" xfId="0" applyFont="1" applyFill="1" applyBorder="1" applyAlignment="1">
      <alignment horizontal="center" vertical="center"/>
    </xf>
    <xf numFmtId="0" fontId="47" fillId="0" borderId="7" xfId="0" applyFont="1" applyFill="1" applyBorder="1" applyAlignment="1">
      <alignment horizontal="center" vertical="center"/>
    </xf>
    <xf numFmtId="0" fontId="47" fillId="0" borderId="10" xfId="0" applyFont="1" applyFill="1" applyBorder="1" applyAlignment="1">
      <alignment horizontal="center" vertical="center"/>
    </xf>
    <xf numFmtId="0" fontId="47" fillId="0" borderId="11" xfId="0" applyFont="1" applyFill="1" applyBorder="1" applyAlignment="1">
      <alignment horizontal="center" vertical="center"/>
    </xf>
    <xf numFmtId="0" fontId="47" fillId="0" borderId="12" xfId="0" applyFont="1" applyFill="1" applyBorder="1" applyAlignment="1">
      <alignment horizontal="center" vertical="center"/>
    </xf>
    <xf numFmtId="0" fontId="57" fillId="0" borderId="5" xfId="0" applyFont="1" applyFill="1" applyBorder="1" applyAlignment="1">
      <alignment horizontal="center" vertical="center" wrapText="1"/>
    </xf>
    <xf numFmtId="0" fontId="57" fillId="0" borderId="6" xfId="0" applyFont="1" applyFill="1" applyBorder="1" applyAlignment="1">
      <alignment horizontal="center" vertical="center" wrapText="1"/>
    </xf>
    <xf numFmtId="0" fontId="57" fillId="0" borderId="10" xfId="0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horizontal="center" vertical="center" wrapText="1"/>
    </xf>
    <xf numFmtId="0" fontId="57" fillId="0" borderId="5" xfId="0" applyFont="1" applyFill="1" applyBorder="1" applyAlignment="1">
      <alignment horizontal="center" vertical="center"/>
    </xf>
    <xf numFmtId="0" fontId="57" fillId="0" borderId="6" xfId="0" applyFont="1" applyFill="1" applyBorder="1" applyAlignment="1">
      <alignment horizontal="center" vertical="center"/>
    </xf>
    <xf numFmtId="0" fontId="57" fillId="0" borderId="7" xfId="0" applyFont="1" applyFill="1" applyBorder="1" applyAlignment="1">
      <alignment horizontal="center" vertical="center"/>
    </xf>
    <xf numFmtId="0" fontId="57" fillId="0" borderId="10" xfId="0" applyFont="1" applyFill="1" applyBorder="1" applyAlignment="1">
      <alignment horizontal="center" vertical="center"/>
    </xf>
    <xf numFmtId="0" fontId="57" fillId="0" borderId="11" xfId="0" applyFont="1" applyFill="1" applyBorder="1" applyAlignment="1">
      <alignment horizontal="center" vertical="center"/>
    </xf>
    <xf numFmtId="0" fontId="57" fillId="0" borderId="12" xfId="0" applyFont="1" applyFill="1" applyBorder="1" applyAlignment="1">
      <alignment horizontal="center" vertical="center"/>
    </xf>
    <xf numFmtId="0" fontId="47" fillId="0" borderId="16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47" fillId="0" borderId="3" xfId="0" applyFont="1" applyFill="1" applyBorder="1" applyAlignment="1">
      <alignment horizontal="center" vertical="center" wrapText="1"/>
    </xf>
    <xf numFmtId="0" fontId="47" fillId="0" borderId="17" xfId="0" applyFont="1" applyFill="1" applyBorder="1" applyAlignment="1">
      <alignment horizontal="center" vertical="center" wrapText="1"/>
    </xf>
    <xf numFmtId="164" fontId="47" fillId="0" borderId="5" xfId="0" applyNumberFormat="1" applyFont="1" applyFill="1" applyBorder="1" applyAlignment="1">
      <alignment horizontal="center" vertical="center" wrapText="1"/>
    </xf>
    <xf numFmtId="164" fontId="47" fillId="0" borderId="6" xfId="0" applyNumberFormat="1" applyFont="1" applyFill="1" applyBorder="1" applyAlignment="1">
      <alignment horizontal="center" vertical="center" wrapText="1"/>
    </xf>
    <xf numFmtId="164" fontId="47" fillId="0" borderId="10" xfId="0" applyNumberFormat="1" applyFont="1" applyFill="1" applyBorder="1" applyAlignment="1">
      <alignment horizontal="center" vertical="center" wrapText="1"/>
    </xf>
    <xf numFmtId="164" fontId="47" fillId="0" borderId="11" xfId="0" applyNumberFormat="1" applyFont="1" applyFill="1" applyBorder="1" applyAlignment="1">
      <alignment horizontal="center" vertical="center" wrapText="1"/>
    </xf>
    <xf numFmtId="0" fontId="57" fillId="0" borderId="7" xfId="0" applyFont="1" applyFill="1" applyBorder="1" applyAlignment="1">
      <alignment horizontal="center" vertical="center" wrapText="1"/>
    </xf>
    <xf numFmtId="0" fontId="57" fillId="0" borderId="12" xfId="0" applyFont="1" applyFill="1" applyBorder="1" applyAlignment="1">
      <alignment horizontal="center" vertical="center" wrapText="1"/>
    </xf>
    <xf numFmtId="0" fontId="57" fillId="0" borderId="20" xfId="0" applyFont="1" applyFill="1" applyBorder="1" applyAlignment="1">
      <alignment horizontal="center" vertical="center" wrapText="1"/>
    </xf>
    <xf numFmtId="0" fontId="57" fillId="0" borderId="19" xfId="0" applyFont="1" applyFill="1" applyBorder="1" applyAlignment="1">
      <alignment horizontal="center" vertical="center" wrapText="1"/>
    </xf>
    <xf numFmtId="0" fontId="47" fillId="0" borderId="20" xfId="0" applyFont="1" applyFill="1" applyBorder="1" applyAlignment="1">
      <alignment horizontal="center" vertical="center"/>
    </xf>
    <xf numFmtId="0" fontId="47" fillId="0" borderId="19" xfId="0" applyFont="1" applyFill="1" applyBorder="1" applyAlignment="1">
      <alignment horizontal="center" vertical="center"/>
    </xf>
    <xf numFmtId="0" fontId="57" fillId="0" borderId="21" xfId="0" applyFont="1" applyFill="1" applyBorder="1" applyAlignment="1">
      <alignment horizontal="center" vertical="center" wrapText="1"/>
    </xf>
    <xf numFmtId="0" fontId="57" fillId="0" borderId="18" xfId="0" applyFont="1" applyFill="1" applyBorder="1" applyAlignment="1">
      <alignment horizontal="center" vertical="center" wrapText="1"/>
    </xf>
    <xf numFmtId="0" fontId="57" fillId="0" borderId="8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57" fillId="0" borderId="22" xfId="0" applyFont="1" applyFill="1" applyBorder="1" applyAlignment="1">
      <alignment horizontal="center" vertical="center" wrapText="1"/>
    </xf>
    <xf numFmtId="49" fontId="47" fillId="4" borderId="1" xfId="0" applyNumberFormat="1" applyFont="1" applyFill="1" applyBorder="1" applyAlignment="1">
      <alignment horizontal="right" vertical="center" wrapText="1"/>
    </xf>
    <xf numFmtId="0" fontId="47" fillId="4" borderId="1" xfId="0" applyFont="1" applyFill="1" applyBorder="1" applyAlignment="1">
      <alignment horizontal="center" vertical="center"/>
    </xf>
    <xf numFmtId="0" fontId="47" fillId="4" borderId="2" xfId="0" applyFont="1" applyFill="1" applyBorder="1" applyAlignment="1">
      <alignment horizontal="center" vertical="center" wrapText="1"/>
    </xf>
    <xf numFmtId="164" fontId="47" fillId="2" borderId="1" xfId="0" applyNumberFormat="1" applyFont="1" applyFill="1" applyBorder="1" applyAlignment="1">
      <alignment horizontal="center" vertical="center" wrapText="1"/>
    </xf>
    <xf numFmtId="0" fontId="57" fillId="2" borderId="3" xfId="0" applyFont="1" applyFill="1" applyBorder="1" applyAlignment="1">
      <alignment horizontal="center" vertical="center"/>
    </xf>
    <xf numFmtId="0" fontId="57" fillId="2" borderId="4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47" fillId="4" borderId="3" xfId="0" applyFont="1" applyFill="1" applyBorder="1" applyAlignment="1">
      <alignment horizontal="center" vertical="center" wrapText="1"/>
    </xf>
    <xf numFmtId="0" fontId="47" fillId="4" borderId="4" xfId="0" applyFont="1" applyFill="1" applyBorder="1" applyAlignment="1">
      <alignment horizontal="center" vertical="center" wrapText="1"/>
    </xf>
    <xf numFmtId="0" fontId="47" fillId="4" borderId="23" xfId="0" applyFont="1" applyFill="1" applyBorder="1" applyAlignment="1">
      <alignment horizontal="center" vertical="center" wrapText="1"/>
    </xf>
    <xf numFmtId="0" fontId="47" fillId="4" borderId="4" xfId="0" applyFont="1" applyFill="1" applyBorder="1" applyAlignment="1">
      <alignment horizontal="center" vertical="center"/>
    </xf>
    <xf numFmtId="0" fontId="47" fillId="4" borderId="23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 wrapText="1"/>
    </xf>
    <xf numFmtId="0" fontId="57" fillId="2" borderId="4" xfId="0" applyFont="1" applyFill="1" applyBorder="1" applyAlignment="1">
      <alignment horizontal="center" vertical="center" wrapText="1"/>
    </xf>
    <xf numFmtId="0" fontId="57" fillId="2" borderId="2" xfId="0" applyFont="1" applyFill="1" applyBorder="1" applyAlignment="1">
      <alignment horizontal="center" vertical="center" wrapText="1"/>
    </xf>
    <xf numFmtId="0" fontId="57" fillId="2" borderId="23" xfId="0" applyFont="1" applyFill="1" applyBorder="1" applyAlignment="1">
      <alignment horizontal="center" vertical="center" wrapText="1"/>
    </xf>
    <xf numFmtId="49" fontId="47" fillId="2" borderId="1" xfId="0" applyNumberFormat="1" applyFont="1" applyFill="1" applyBorder="1" applyAlignment="1">
      <alignment horizontal="left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7" fillId="2" borderId="17" xfId="0" applyFont="1" applyFill="1" applyBorder="1" applyAlignment="1">
      <alignment horizontal="center" vertical="center" wrapText="1"/>
    </xf>
    <xf numFmtId="0" fontId="57" fillId="2" borderId="23" xfId="0" applyFont="1" applyFill="1" applyBorder="1" applyAlignment="1">
      <alignment horizontal="center" vertical="center"/>
    </xf>
    <xf numFmtId="0" fontId="47" fillId="2" borderId="16" xfId="0" applyFont="1" applyFill="1" applyBorder="1" applyAlignment="1">
      <alignment horizontal="center" vertical="center" wrapText="1"/>
    </xf>
    <xf numFmtId="0" fontId="47" fillId="4" borderId="3" xfId="0" applyFont="1" applyFill="1" applyBorder="1" applyAlignment="1">
      <alignment horizontal="center" vertical="center"/>
    </xf>
    <xf numFmtId="0" fontId="47" fillId="4" borderId="2" xfId="0" applyFont="1" applyFill="1" applyBorder="1" applyAlignment="1">
      <alignment horizontal="center" vertical="center"/>
    </xf>
    <xf numFmtId="49" fontId="47" fillId="5" borderId="35" xfId="0" applyNumberFormat="1" applyFont="1" applyFill="1" applyBorder="1" applyAlignment="1">
      <alignment horizontal="right" vertical="center" wrapText="1"/>
    </xf>
    <xf numFmtId="1" fontId="47" fillId="5" borderId="35" xfId="0" applyNumberFormat="1" applyFont="1" applyFill="1" applyBorder="1" applyAlignment="1">
      <alignment horizontal="center" vertical="center"/>
    </xf>
    <xf numFmtId="0" fontId="47" fillId="5" borderId="35" xfId="0" applyFont="1" applyFill="1" applyBorder="1" applyAlignment="1">
      <alignment horizontal="center" vertical="center"/>
    </xf>
    <xf numFmtId="164" fontId="47" fillId="5" borderId="35" xfId="0" applyNumberFormat="1" applyFont="1" applyFill="1" applyBorder="1" applyAlignment="1">
      <alignment horizontal="center" vertical="center" wrapText="1"/>
    </xf>
    <xf numFmtId="1" fontId="47" fillId="5" borderId="36" xfId="0" applyNumberFormat="1" applyFont="1" applyFill="1" applyBorder="1" applyAlignment="1">
      <alignment horizontal="center" vertical="center"/>
    </xf>
    <xf numFmtId="1" fontId="47" fillId="5" borderId="37" xfId="0" applyNumberFormat="1" applyFont="1" applyFill="1" applyBorder="1" applyAlignment="1">
      <alignment horizontal="center" vertical="center"/>
    </xf>
    <xf numFmtId="1" fontId="47" fillId="5" borderId="38" xfId="0" applyNumberFormat="1" applyFont="1" applyFill="1" applyBorder="1" applyAlignment="1">
      <alignment horizontal="center" vertical="center"/>
    </xf>
    <xf numFmtId="0" fontId="47" fillId="5" borderId="35" xfId="0" applyFont="1" applyFill="1" applyBorder="1" applyAlignment="1">
      <alignment horizontal="center" vertical="center" wrapText="1"/>
    </xf>
    <xf numFmtId="0" fontId="47" fillId="5" borderId="42" xfId="0" applyFont="1" applyFill="1" applyBorder="1" applyAlignment="1">
      <alignment horizontal="center" vertical="center" wrapText="1"/>
    </xf>
    <xf numFmtId="1" fontId="47" fillId="5" borderId="34" xfId="0" applyNumberFormat="1" applyFont="1" applyFill="1" applyBorder="1" applyAlignment="1">
      <alignment horizontal="center" vertical="center"/>
    </xf>
    <xf numFmtId="0" fontId="47" fillId="5" borderId="42" xfId="0" applyFont="1" applyFill="1" applyBorder="1" applyAlignment="1">
      <alignment horizontal="center" vertical="center"/>
    </xf>
    <xf numFmtId="0" fontId="47" fillId="5" borderId="38" xfId="0" applyFont="1" applyFill="1" applyBorder="1" applyAlignment="1">
      <alignment horizontal="center" vertical="center" wrapText="1"/>
    </xf>
    <xf numFmtId="0" fontId="47" fillId="5" borderId="34" xfId="0" applyFont="1" applyFill="1" applyBorder="1" applyAlignment="1">
      <alignment horizontal="center" vertical="center" wrapText="1"/>
    </xf>
    <xf numFmtId="0" fontId="47" fillId="5" borderId="37" xfId="0" applyFont="1" applyFill="1" applyBorder="1" applyAlignment="1">
      <alignment horizontal="center" vertical="center"/>
    </xf>
    <xf numFmtId="0" fontId="47" fillId="5" borderId="39" xfId="0" applyFont="1" applyFill="1" applyBorder="1" applyAlignment="1">
      <alignment horizontal="center" vertical="center"/>
    </xf>
    <xf numFmtId="0" fontId="47" fillId="5" borderId="36" xfId="0" applyFont="1" applyFill="1" applyBorder="1" applyAlignment="1">
      <alignment horizontal="center" vertical="center" wrapText="1"/>
    </xf>
    <xf numFmtId="0" fontId="40" fillId="2" borderId="4" xfId="0" applyNumberFormat="1" applyFont="1" applyFill="1" applyBorder="1" applyAlignment="1">
      <alignment horizontal="center" vertical="center"/>
    </xf>
    <xf numFmtId="0" fontId="40" fillId="2" borderId="2" xfId="0" applyNumberFormat="1" applyFont="1" applyFill="1" applyBorder="1" applyAlignment="1">
      <alignment horizontal="center" vertical="center"/>
    </xf>
    <xf numFmtId="0" fontId="40" fillId="2" borderId="3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28" fillId="2" borderId="3" xfId="0" applyNumberFormat="1" applyFont="1" applyFill="1" applyBorder="1" applyAlignment="1">
      <alignment horizontal="center" vertical="center"/>
    </xf>
    <xf numFmtId="0" fontId="28" fillId="2" borderId="4" xfId="0" applyNumberFormat="1" applyFont="1" applyFill="1" applyBorder="1" applyAlignment="1">
      <alignment horizontal="center" vertical="center"/>
    </xf>
    <xf numFmtId="0" fontId="28" fillId="2" borderId="2" xfId="0" applyNumberFormat="1" applyFont="1" applyFill="1" applyBorder="1" applyAlignment="1">
      <alignment horizontal="center" vertical="center"/>
    </xf>
    <xf numFmtId="49" fontId="57" fillId="0" borderId="3" xfId="0" applyNumberFormat="1" applyFont="1" applyFill="1" applyBorder="1" applyAlignment="1">
      <alignment horizontal="left" vertical="center" wrapText="1"/>
    </xf>
    <xf numFmtId="49" fontId="57" fillId="0" borderId="4" xfId="0" applyNumberFormat="1" applyFont="1" applyFill="1" applyBorder="1" applyAlignment="1">
      <alignment horizontal="left" vertical="center" wrapText="1"/>
    </xf>
    <xf numFmtId="49" fontId="57" fillId="0" borderId="2" xfId="0" applyNumberFormat="1" applyFont="1" applyFill="1" applyBorder="1" applyAlignment="1">
      <alignment horizontal="left" vertical="center" wrapText="1"/>
    </xf>
    <xf numFmtId="0" fontId="57" fillId="0" borderId="3" xfId="0" applyFont="1" applyFill="1" applyBorder="1" applyAlignment="1">
      <alignment horizontal="center" vertical="center"/>
    </xf>
    <xf numFmtId="0" fontId="57" fillId="0" borderId="4" xfId="0" applyFont="1" applyFill="1" applyBorder="1" applyAlignment="1">
      <alignment horizontal="center" vertical="center"/>
    </xf>
    <xf numFmtId="0" fontId="57" fillId="0" borderId="2" xfId="0" applyFont="1" applyFill="1" applyBorder="1" applyAlignment="1">
      <alignment horizontal="center" vertical="center"/>
    </xf>
    <xf numFmtId="1" fontId="57" fillId="0" borderId="3" xfId="0" applyNumberFormat="1" applyFont="1" applyFill="1" applyBorder="1" applyAlignment="1">
      <alignment horizontal="center" vertical="center"/>
    </xf>
    <xf numFmtId="1" fontId="57" fillId="0" borderId="4" xfId="0" applyNumberFormat="1" applyFont="1" applyFill="1" applyBorder="1" applyAlignment="1">
      <alignment horizontal="center" vertical="center"/>
    </xf>
    <xf numFmtId="1" fontId="57" fillId="0" borderId="2" xfId="0" applyNumberFormat="1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/>
    </xf>
    <xf numFmtId="0" fontId="43" fillId="2" borderId="3" xfId="0" applyNumberFormat="1" applyFont="1" applyFill="1" applyBorder="1" applyAlignment="1">
      <alignment horizontal="center" vertical="center"/>
    </xf>
    <xf numFmtId="0" fontId="43" fillId="2" borderId="4" xfId="0" applyNumberFormat="1" applyFont="1" applyFill="1" applyBorder="1" applyAlignment="1">
      <alignment horizontal="center" vertical="center"/>
    </xf>
    <xf numFmtId="0" fontId="43" fillId="2" borderId="2" xfId="0" applyNumberFormat="1" applyFont="1" applyFill="1" applyBorder="1" applyAlignment="1">
      <alignment horizontal="center" vertical="center"/>
    </xf>
    <xf numFmtId="49" fontId="43" fillId="2" borderId="1" xfId="0" applyNumberFormat="1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 wrapText="1"/>
    </xf>
    <xf numFmtId="49" fontId="42" fillId="2" borderId="1" xfId="0" applyNumberFormat="1" applyFont="1" applyFill="1" applyBorder="1" applyAlignment="1">
      <alignment horizontal="right" vertical="center"/>
    </xf>
    <xf numFmtId="0" fontId="42" fillId="2" borderId="3" xfId="0" applyNumberFormat="1" applyFont="1" applyFill="1" applyBorder="1" applyAlignment="1">
      <alignment horizontal="center" vertical="center"/>
    </xf>
    <xf numFmtId="0" fontId="42" fillId="2" borderId="4" xfId="0" applyNumberFormat="1" applyFont="1" applyFill="1" applyBorder="1" applyAlignment="1">
      <alignment horizontal="center" vertical="center"/>
    </xf>
    <xf numFmtId="0" fontId="42" fillId="2" borderId="2" xfId="0" applyNumberFormat="1" applyFont="1" applyFill="1" applyBorder="1" applyAlignment="1">
      <alignment horizontal="center" vertical="center"/>
    </xf>
    <xf numFmtId="1" fontId="12" fillId="7" borderId="3" xfId="0" applyNumberFormat="1" applyFont="1" applyFill="1" applyBorder="1" applyAlignment="1">
      <alignment horizontal="center" vertical="center"/>
    </xf>
    <xf numFmtId="1" fontId="12" fillId="0" borderId="3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49" fontId="29" fillId="8" borderId="13" xfId="0" applyNumberFormat="1" applyFont="1" applyFill="1" applyBorder="1" applyAlignment="1">
      <alignment horizontal="center" vertical="center" wrapText="1"/>
    </xf>
    <xf numFmtId="49" fontId="29" fillId="8" borderId="15" xfId="0" applyNumberFormat="1" applyFont="1" applyFill="1" applyBorder="1" applyAlignment="1">
      <alignment horizontal="center" vertical="center" wrapText="1"/>
    </xf>
    <xf numFmtId="49" fontId="43" fillId="8" borderId="1" xfId="0" applyNumberFormat="1" applyFont="1" applyFill="1" applyBorder="1" applyAlignment="1">
      <alignment horizontal="left" vertical="center" wrapText="1"/>
    </xf>
    <xf numFmtId="0" fontId="12" fillId="8" borderId="7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 wrapText="1"/>
    </xf>
    <xf numFmtId="49" fontId="43" fillId="0" borderId="3" xfId="0" applyNumberFormat="1" applyFont="1" applyFill="1" applyBorder="1" applyAlignment="1">
      <alignment horizontal="left" vertical="center" wrapText="1"/>
    </xf>
    <xf numFmtId="49" fontId="43" fillId="0" borderId="4" xfId="0" applyNumberFormat="1" applyFont="1" applyFill="1" applyBorder="1" applyAlignment="1">
      <alignment horizontal="left" vertical="center" wrapText="1"/>
    </xf>
    <xf numFmtId="49" fontId="43" fillId="0" borderId="2" xfId="0" applyNumberFormat="1" applyFont="1" applyFill="1" applyBorder="1" applyAlignment="1">
      <alignment horizontal="left" vertical="center" wrapText="1"/>
    </xf>
    <xf numFmtId="1" fontId="12" fillId="8" borderId="16" xfId="0" applyNumberFormat="1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/>
    </xf>
    <xf numFmtId="1" fontId="12" fillId="8" borderId="3" xfId="0" applyNumberFormat="1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1" fontId="13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4" fontId="13" fillId="8" borderId="1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textRotation="90" wrapText="1"/>
    </xf>
  </cellXfs>
  <cellStyles count="2">
    <cellStyle name="Обычный" xfId="0" builtinId="0"/>
    <cellStyle name="Обычный 2 2 3 2" xfId="1"/>
  </cellStyles>
  <dxfs count="0"/>
  <tableStyles count="0" defaultTableStyle="TableStyleMedium2" defaultPivotStyle="PivotStyleLight16"/>
  <colors>
    <mruColors>
      <color rgb="FF99CCFF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1828800</xdr:colOff>
          <xdr:row>9</xdr:row>
          <xdr:rowOff>20932</xdr:rowOff>
        </xdr:from>
        <xdr:to>
          <xdr:col>143</xdr:col>
          <xdr:colOff>266700</xdr:colOff>
          <xdr:row>24</xdr:row>
          <xdr:rowOff>152400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'O''zga tilli gruhlarda rus tili'!$EV$10:$HO$23" spid="_x0000_s15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971800" y="9126832"/>
              <a:ext cx="52197000" cy="1079946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1485900</xdr:colOff>
          <xdr:row>8</xdr:row>
          <xdr:rowOff>0</xdr:rowOff>
        </xdr:from>
        <xdr:to>
          <xdr:col>137</xdr:col>
          <xdr:colOff>76200</xdr:colOff>
          <xdr:row>23</xdr:row>
          <xdr:rowOff>304800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Sirtqi!$EX$9:$HQ$23" spid="_x0000_s25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28900" y="7581900"/>
              <a:ext cx="43586400" cy="10058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1009648</xdr:colOff>
          <xdr:row>8</xdr:row>
          <xdr:rowOff>39981</xdr:rowOff>
        </xdr:from>
        <xdr:to>
          <xdr:col>140</xdr:col>
          <xdr:colOff>238124</xdr:colOff>
          <xdr:row>24</xdr:row>
          <xdr:rowOff>95250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'O''zga tilli guruh (Nizomiy)'!$FA$10:$HT$23" spid="_x0000_s35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152648" y="8088606"/>
              <a:ext cx="54902101" cy="1162814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2743200</xdr:colOff>
          <xdr:row>7</xdr:row>
          <xdr:rowOff>838200</xdr:rowOff>
        </xdr:from>
        <xdr:to>
          <xdr:col>139</xdr:col>
          <xdr:colOff>304800</xdr:colOff>
          <xdr:row>24</xdr:row>
          <xdr:rowOff>457200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'Sirtqi (Nizomiy)'!$EZ$9:$HQ$23" spid="_x0000_s45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86200" y="7543800"/>
              <a:ext cx="47320200" cy="10820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O112"/>
  <sheetViews>
    <sheetView view="pageBreakPreview" topLeftCell="A47" zoomScale="25" zoomScaleNormal="25" zoomScaleSheetLayoutView="25" workbookViewId="0">
      <selection activeCell="CX84" activeCellId="1" sqref="A48:XFD50 A84:XFD87"/>
    </sheetView>
  </sheetViews>
  <sheetFormatPr defaultColWidth="9.140625" defaultRowHeight="15.75" x14ac:dyDescent="0.25"/>
  <cols>
    <col min="1" max="1" width="17.28515625" style="14" customWidth="1"/>
    <col min="2" max="2" width="46.42578125" style="14" customWidth="1"/>
    <col min="3" max="9" width="5" style="11" customWidth="1"/>
    <col min="10" max="10" width="6.140625" style="11" customWidth="1"/>
    <col min="11" max="13" width="5" style="11" customWidth="1"/>
    <col min="14" max="14" width="7.28515625" style="11" customWidth="1"/>
    <col min="15" max="18" width="5" style="11" customWidth="1"/>
    <col min="19" max="19" width="7.28515625" style="11" customWidth="1"/>
    <col min="20" max="20" width="5" style="11" customWidth="1"/>
    <col min="21" max="21" width="7.85546875" style="11" customWidth="1"/>
    <col min="22" max="22" width="5" style="11" customWidth="1"/>
    <col min="23" max="23" width="5" style="24" customWidth="1"/>
    <col min="24" max="24" width="7.28515625" style="24" customWidth="1"/>
    <col min="25" max="25" width="8" style="24" customWidth="1"/>
    <col min="26" max="26" width="9.5703125" style="25" customWidth="1"/>
    <col min="27" max="29" width="7.5703125" style="25" customWidth="1"/>
    <col min="30" max="30" width="8.42578125" style="8" customWidth="1"/>
    <col min="31" max="31" width="9" style="8" customWidth="1"/>
    <col min="32" max="32" width="8.42578125" style="8" customWidth="1"/>
    <col min="33" max="35" width="5" style="8" customWidth="1"/>
    <col min="36" max="36" width="5.5703125" style="8" customWidth="1"/>
    <col min="37" max="48" width="5" style="2" customWidth="1"/>
    <col min="49" max="54" width="5" style="8" customWidth="1"/>
    <col min="55" max="55" width="3.28515625" style="8" customWidth="1"/>
    <col min="56" max="60" width="5" style="8" customWidth="1"/>
    <col min="61" max="66" width="5" style="24" customWidth="1"/>
    <col min="67" max="146" width="5" style="8" customWidth="1"/>
    <col min="147" max="149" width="6.7109375" style="13" customWidth="1"/>
    <col min="150" max="150" width="63.42578125" style="191" customWidth="1"/>
    <col min="151" max="16384" width="9.140625" style="13"/>
  </cols>
  <sheetData>
    <row r="1" spans="1:223" ht="72" customHeight="1" x14ac:dyDescent="0.2">
      <c r="A1" s="361" t="s">
        <v>234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  <c r="AQ1" s="361"/>
      <c r="AR1" s="361"/>
      <c r="AS1" s="361"/>
      <c r="AT1" s="361"/>
      <c r="AU1" s="361"/>
      <c r="AV1" s="361"/>
      <c r="AW1" s="361"/>
      <c r="AX1" s="361"/>
      <c r="AY1" s="361"/>
      <c r="AZ1" s="361"/>
      <c r="BA1" s="361"/>
      <c r="BB1" s="361"/>
      <c r="BC1" s="361"/>
      <c r="BD1" s="361"/>
      <c r="BE1" s="361"/>
      <c r="BF1" s="361"/>
      <c r="BG1" s="361"/>
      <c r="BH1" s="361"/>
      <c r="BI1" s="361"/>
      <c r="BJ1" s="361"/>
      <c r="BK1" s="361"/>
      <c r="BL1" s="361"/>
      <c r="BM1" s="361"/>
      <c r="BN1" s="361"/>
      <c r="BO1" s="361"/>
      <c r="BP1" s="361"/>
      <c r="BQ1" s="361"/>
      <c r="BR1" s="361"/>
      <c r="BS1" s="361"/>
      <c r="BT1" s="361"/>
      <c r="BU1" s="361"/>
      <c r="BV1" s="361"/>
      <c r="BW1" s="361"/>
      <c r="BX1" s="361"/>
      <c r="BY1" s="361"/>
      <c r="BZ1" s="361"/>
      <c r="CA1" s="361"/>
      <c r="CB1" s="361"/>
      <c r="CC1" s="361"/>
      <c r="CD1" s="361"/>
      <c r="CE1" s="361"/>
      <c r="CF1" s="361"/>
      <c r="CG1" s="361"/>
      <c r="CH1" s="361"/>
      <c r="CI1" s="361"/>
      <c r="CJ1" s="361"/>
      <c r="CK1" s="361"/>
      <c r="CL1" s="361"/>
      <c r="CM1" s="361"/>
      <c r="CN1" s="361"/>
      <c r="CO1" s="361"/>
      <c r="CP1" s="361"/>
      <c r="CQ1" s="361"/>
      <c r="CR1" s="361"/>
      <c r="CS1" s="361"/>
      <c r="CT1" s="361"/>
      <c r="CU1" s="361"/>
      <c r="CV1" s="361"/>
      <c r="CW1" s="361"/>
      <c r="CX1" s="361"/>
      <c r="CY1" s="361"/>
      <c r="CZ1" s="361"/>
      <c r="DA1" s="361"/>
      <c r="DB1" s="361"/>
      <c r="DC1" s="361"/>
      <c r="DD1" s="361"/>
      <c r="DE1" s="361"/>
      <c r="DF1" s="361"/>
      <c r="DG1" s="361"/>
      <c r="DH1" s="361"/>
      <c r="DI1" s="361"/>
      <c r="DJ1" s="361"/>
      <c r="DK1" s="361"/>
      <c r="DL1" s="361"/>
      <c r="DM1" s="361"/>
      <c r="DN1" s="361"/>
      <c r="DO1" s="361"/>
      <c r="DP1" s="361"/>
      <c r="DQ1" s="361"/>
      <c r="DR1" s="361"/>
      <c r="DS1" s="361"/>
      <c r="DT1" s="361"/>
      <c r="DU1" s="361"/>
      <c r="DV1" s="361"/>
      <c r="DW1" s="361"/>
      <c r="DX1" s="361"/>
      <c r="DY1" s="361"/>
      <c r="DZ1" s="361"/>
      <c r="EA1" s="361"/>
      <c r="EB1" s="361"/>
      <c r="EC1" s="361"/>
      <c r="ED1" s="361"/>
      <c r="EE1" s="361"/>
      <c r="EF1" s="361"/>
      <c r="EG1" s="361"/>
      <c r="EH1" s="361"/>
      <c r="EI1" s="361"/>
      <c r="EJ1" s="361"/>
      <c r="EK1" s="361"/>
      <c r="EL1" s="361"/>
      <c r="EM1" s="361"/>
      <c r="EN1" s="361"/>
      <c r="EO1" s="361"/>
      <c r="EP1" s="361"/>
      <c r="EQ1" s="361"/>
      <c r="ER1" s="361"/>
      <c r="ES1" s="361"/>
      <c r="ET1" s="188"/>
    </row>
    <row r="2" spans="1:223" ht="81.75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106"/>
      <c r="R2" s="106"/>
      <c r="S2" s="106"/>
      <c r="T2" s="106"/>
      <c r="U2" s="106"/>
      <c r="V2" s="110"/>
      <c r="W2" s="108"/>
      <c r="X2" s="109"/>
      <c r="Y2" s="109"/>
      <c r="Z2" s="362" t="s">
        <v>253</v>
      </c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362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  <c r="BM2" s="362"/>
      <c r="BN2" s="362"/>
      <c r="BO2" s="362"/>
      <c r="BP2" s="362"/>
      <c r="BQ2" s="362"/>
      <c r="BR2" s="362"/>
      <c r="BS2" s="362"/>
      <c r="BT2" s="362"/>
      <c r="BU2" s="362"/>
      <c r="BV2" s="362"/>
      <c r="BW2" s="362"/>
      <c r="BX2" s="362"/>
      <c r="BY2" s="362"/>
      <c r="BZ2" s="362"/>
      <c r="CA2" s="362"/>
      <c r="CB2" s="362"/>
      <c r="CC2" s="362"/>
      <c r="CD2" s="362"/>
      <c r="CE2" s="362"/>
      <c r="CF2" s="362"/>
      <c r="CG2" s="362"/>
      <c r="CH2" s="362"/>
      <c r="CI2" s="362"/>
      <c r="CJ2" s="362"/>
      <c r="CK2" s="362"/>
      <c r="CL2" s="362"/>
      <c r="CM2" s="362"/>
      <c r="CN2" s="362"/>
      <c r="CO2" s="362"/>
      <c r="CP2" s="362"/>
      <c r="CQ2" s="362"/>
      <c r="CR2" s="362"/>
      <c r="CS2" s="362"/>
      <c r="CT2" s="362"/>
      <c r="CU2" s="362"/>
      <c r="CV2" s="362"/>
      <c r="CW2" s="362"/>
      <c r="CX2" s="362"/>
      <c r="CY2" s="362"/>
      <c r="CZ2" s="362"/>
      <c r="DA2" s="362"/>
      <c r="DB2" s="362"/>
      <c r="DC2" s="362"/>
      <c r="DD2" s="362"/>
      <c r="DE2" s="106"/>
      <c r="DF2" s="106"/>
      <c r="DG2" s="106"/>
      <c r="DH2" s="10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63"/>
    </row>
    <row r="3" spans="1:223" ht="81.75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139"/>
      <c r="R3" s="139"/>
      <c r="S3" s="139"/>
      <c r="T3" s="139"/>
      <c r="U3" s="139"/>
      <c r="W3" s="146"/>
      <c r="X3" s="146"/>
      <c r="Y3" s="146"/>
      <c r="Z3" s="363" t="s">
        <v>274</v>
      </c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363"/>
      <c r="BW3" s="363"/>
      <c r="BX3" s="363"/>
      <c r="BY3" s="363"/>
      <c r="BZ3" s="363"/>
      <c r="CA3" s="363"/>
      <c r="CB3" s="363"/>
      <c r="CC3" s="363"/>
      <c r="CD3" s="363"/>
      <c r="CE3" s="363"/>
      <c r="CF3" s="363"/>
      <c r="CG3" s="363"/>
      <c r="CH3" s="363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363"/>
      <c r="CZ3" s="363"/>
      <c r="DA3" s="363"/>
      <c r="DB3" s="363"/>
      <c r="DC3" s="363"/>
      <c r="DD3" s="363"/>
      <c r="DE3" s="146"/>
      <c r="DF3" s="146"/>
      <c r="DG3" s="146"/>
      <c r="DH3" s="146"/>
      <c r="DI3" s="56"/>
      <c r="DJ3" s="56"/>
      <c r="DK3" s="56"/>
      <c r="DL3" s="364" t="s">
        <v>217</v>
      </c>
      <c r="DM3" s="364"/>
      <c r="DN3" s="364"/>
      <c r="DO3" s="364"/>
      <c r="DP3" s="364"/>
      <c r="DQ3" s="364"/>
      <c r="DR3" s="364"/>
      <c r="DS3" s="364"/>
      <c r="DT3" s="364"/>
      <c r="DU3" s="364"/>
      <c r="DV3" s="364"/>
      <c r="DW3" s="364"/>
      <c r="DX3" s="364"/>
      <c r="DY3" s="364"/>
      <c r="DZ3" s="364"/>
      <c r="EA3" s="364"/>
      <c r="EB3" s="364"/>
      <c r="EC3" s="364"/>
      <c r="ED3" s="364"/>
      <c r="EE3" s="364"/>
      <c r="EF3" s="364"/>
      <c r="EG3" s="364"/>
      <c r="EH3" s="364"/>
      <c r="EI3" s="364"/>
      <c r="EJ3" s="364"/>
      <c r="EK3" s="364"/>
      <c r="EL3" s="364"/>
      <c r="EM3" s="364"/>
      <c r="EN3" s="364"/>
      <c r="EO3" s="364"/>
      <c r="EP3" s="364"/>
      <c r="EQ3" s="364"/>
      <c r="ER3" s="364"/>
      <c r="ES3" s="364"/>
      <c r="ET3" s="163"/>
    </row>
    <row r="4" spans="1:223" ht="81.75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R4" s="146"/>
      <c r="S4" s="146"/>
      <c r="T4" s="146"/>
      <c r="U4" s="146"/>
      <c r="V4" s="146"/>
      <c r="W4" s="146"/>
      <c r="X4" s="146"/>
      <c r="Y4" s="146"/>
      <c r="Z4" s="363" t="s">
        <v>245</v>
      </c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/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/>
      <c r="CV4" s="363"/>
      <c r="CW4" s="363"/>
      <c r="CX4" s="363"/>
      <c r="CY4" s="363"/>
      <c r="CZ4" s="363"/>
      <c r="DA4" s="363"/>
      <c r="DB4" s="363"/>
      <c r="DC4" s="363"/>
      <c r="DD4" s="363"/>
      <c r="DE4" s="146"/>
      <c r="DF4" s="146"/>
      <c r="DG4" s="146"/>
      <c r="DH4" s="138"/>
      <c r="DI4" s="56"/>
      <c r="DJ4" s="56"/>
      <c r="DK4" s="56"/>
      <c r="DL4" s="364" t="s">
        <v>244</v>
      </c>
      <c r="DM4" s="364"/>
      <c r="DN4" s="364"/>
      <c r="DO4" s="364"/>
      <c r="DP4" s="364"/>
      <c r="DQ4" s="364"/>
      <c r="DR4" s="364"/>
      <c r="DS4" s="364"/>
      <c r="DT4" s="364"/>
      <c r="DU4" s="364"/>
      <c r="DV4" s="364"/>
      <c r="DW4" s="364"/>
      <c r="DX4" s="364"/>
      <c r="DY4" s="364"/>
      <c r="DZ4" s="364"/>
      <c r="EA4" s="364"/>
      <c r="EB4" s="364"/>
      <c r="EC4" s="364"/>
      <c r="ED4" s="364"/>
      <c r="EE4" s="364"/>
      <c r="EF4" s="364"/>
      <c r="EG4" s="364"/>
      <c r="EH4" s="364"/>
      <c r="EI4" s="364"/>
      <c r="EJ4" s="364"/>
      <c r="EK4" s="364"/>
      <c r="EL4" s="364"/>
      <c r="EM4" s="364"/>
      <c r="EN4" s="364"/>
      <c r="EO4" s="364"/>
      <c r="EP4" s="364"/>
      <c r="EQ4" s="364"/>
      <c r="ER4" s="364"/>
      <c r="ES4" s="364"/>
      <c r="ET4" s="189"/>
    </row>
    <row r="5" spans="1:223" ht="83.25" x14ac:dyDescent="0.25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11"/>
      <c r="R5" s="111"/>
      <c r="S5" s="111"/>
      <c r="T5" s="111"/>
      <c r="U5" s="111"/>
      <c r="V5" s="111"/>
      <c r="X5" s="147"/>
      <c r="Y5" s="147"/>
      <c r="Z5" s="364" t="s">
        <v>13</v>
      </c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364"/>
      <c r="CK5" s="364"/>
      <c r="CL5" s="364"/>
      <c r="CM5" s="364"/>
      <c r="CN5" s="364"/>
      <c r="CO5" s="364"/>
      <c r="CP5" s="364"/>
      <c r="CQ5" s="364"/>
      <c r="CR5" s="364"/>
      <c r="CS5" s="364"/>
      <c r="CT5" s="364"/>
      <c r="CU5" s="364"/>
      <c r="CV5" s="364"/>
      <c r="CW5" s="364"/>
      <c r="CX5" s="364"/>
      <c r="CY5" s="364"/>
      <c r="CZ5" s="364"/>
      <c r="DA5" s="364"/>
      <c r="DB5" s="364"/>
      <c r="DC5" s="364"/>
      <c r="DD5" s="364"/>
      <c r="DE5" s="147"/>
      <c r="DF5" s="147"/>
      <c r="DG5" s="147"/>
      <c r="DH5" s="139"/>
      <c r="DI5" s="56"/>
      <c r="DJ5" s="56"/>
      <c r="DK5" s="56"/>
      <c r="DL5" s="364" t="s">
        <v>233</v>
      </c>
      <c r="DM5" s="364"/>
      <c r="DN5" s="364"/>
      <c r="DO5" s="364"/>
      <c r="DP5" s="364"/>
      <c r="DQ5" s="364"/>
      <c r="DR5" s="364"/>
      <c r="DS5" s="364"/>
      <c r="DT5" s="364"/>
      <c r="DU5" s="364"/>
      <c r="DV5" s="364"/>
      <c r="DW5" s="364"/>
      <c r="DX5" s="364"/>
      <c r="DY5" s="364"/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190"/>
    </row>
    <row r="6" spans="1:223" ht="81.75" x14ac:dyDescent="0.25">
      <c r="A6" s="42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R6" s="147"/>
      <c r="S6" s="147"/>
      <c r="T6" s="147"/>
      <c r="V6" s="147"/>
      <c r="W6" s="147"/>
      <c r="X6" s="147"/>
      <c r="Y6" s="147"/>
      <c r="Z6" s="364" t="s">
        <v>247</v>
      </c>
      <c r="AA6" s="364"/>
      <c r="AB6" s="364"/>
      <c r="AC6" s="364"/>
      <c r="AD6" s="364"/>
      <c r="AE6" s="364"/>
      <c r="AF6" s="364"/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4"/>
      <c r="BM6" s="364"/>
      <c r="BN6" s="364"/>
      <c r="BO6" s="364"/>
      <c r="BP6" s="364"/>
      <c r="BQ6" s="364"/>
      <c r="BR6" s="364"/>
      <c r="BS6" s="364"/>
      <c r="BT6" s="364"/>
      <c r="BU6" s="364"/>
      <c r="BV6" s="364"/>
      <c r="BW6" s="364"/>
      <c r="BX6" s="364"/>
      <c r="BY6" s="364"/>
      <c r="BZ6" s="364"/>
      <c r="CA6" s="364"/>
      <c r="CB6" s="364"/>
      <c r="CC6" s="364"/>
      <c r="CD6" s="364"/>
      <c r="CE6" s="364"/>
      <c r="CF6" s="364"/>
      <c r="CG6" s="364"/>
      <c r="CH6" s="364"/>
      <c r="CI6" s="364"/>
      <c r="CJ6" s="364"/>
      <c r="CK6" s="364"/>
      <c r="CL6" s="364"/>
      <c r="CM6" s="364"/>
      <c r="CN6" s="364"/>
      <c r="CO6" s="364"/>
      <c r="CP6" s="364"/>
      <c r="CQ6" s="364"/>
      <c r="CR6" s="364"/>
      <c r="CS6" s="364"/>
      <c r="CT6" s="364"/>
      <c r="CU6" s="364"/>
      <c r="CV6" s="364"/>
      <c r="CW6" s="364"/>
      <c r="CX6" s="364"/>
      <c r="CY6" s="364"/>
      <c r="CZ6" s="364"/>
      <c r="DA6" s="364"/>
      <c r="DB6" s="364"/>
      <c r="DC6" s="364"/>
      <c r="DD6" s="364"/>
      <c r="DE6" s="147"/>
      <c r="DF6" s="147"/>
      <c r="DG6" s="147"/>
      <c r="DH6" s="147"/>
      <c r="DI6" s="104"/>
      <c r="DJ6" s="104"/>
      <c r="DK6" s="104"/>
      <c r="DL6" s="364" t="s">
        <v>218</v>
      </c>
      <c r="DM6" s="364"/>
      <c r="DN6" s="364"/>
      <c r="DO6" s="364"/>
      <c r="DP6" s="364"/>
      <c r="DQ6" s="364"/>
      <c r="DR6" s="364"/>
      <c r="DS6" s="364"/>
      <c r="DT6" s="364"/>
      <c r="DU6" s="364"/>
      <c r="DV6" s="364"/>
      <c r="DW6" s="364"/>
      <c r="DX6" s="364"/>
      <c r="DY6" s="364"/>
      <c r="DZ6" s="364"/>
      <c r="EA6" s="364"/>
      <c r="EB6" s="364"/>
      <c r="EC6" s="364"/>
      <c r="ED6" s="36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  <c r="ET6" s="190"/>
    </row>
    <row r="7" spans="1:223" ht="83.25" x14ac:dyDescent="1.1499999999999999">
      <c r="A7" s="39"/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R7" s="147"/>
      <c r="S7" s="147"/>
      <c r="T7" s="147"/>
      <c r="U7" s="147"/>
      <c r="V7" s="147"/>
      <c r="W7" s="147"/>
      <c r="X7" s="147"/>
      <c r="Y7" s="147"/>
      <c r="Z7" s="364" t="s">
        <v>248</v>
      </c>
      <c r="AA7" s="364"/>
      <c r="AB7" s="364"/>
      <c r="AC7" s="364"/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4"/>
      <c r="BL7" s="364"/>
      <c r="BM7" s="364"/>
      <c r="BN7" s="364"/>
      <c r="BO7" s="364"/>
      <c r="BP7" s="364"/>
      <c r="BQ7" s="364"/>
      <c r="BR7" s="364"/>
      <c r="BS7" s="364"/>
      <c r="BT7" s="364"/>
      <c r="BU7" s="364"/>
      <c r="BV7" s="364"/>
      <c r="BW7" s="364"/>
      <c r="BX7" s="364"/>
      <c r="BY7" s="364"/>
      <c r="BZ7" s="364"/>
      <c r="CA7" s="364"/>
      <c r="CB7" s="364"/>
      <c r="CC7" s="364"/>
      <c r="CD7" s="364"/>
      <c r="CE7" s="364"/>
      <c r="CF7" s="364"/>
      <c r="CG7" s="364"/>
      <c r="CH7" s="364"/>
      <c r="CI7" s="364"/>
      <c r="CJ7" s="364"/>
      <c r="CK7" s="364"/>
      <c r="CL7" s="364"/>
      <c r="CM7" s="364"/>
      <c r="CN7" s="364"/>
      <c r="CO7" s="364"/>
      <c r="CP7" s="364"/>
      <c r="CQ7" s="364"/>
      <c r="CR7" s="364"/>
      <c r="CS7" s="364"/>
      <c r="CT7" s="364"/>
      <c r="CU7" s="364"/>
      <c r="CV7" s="364"/>
      <c r="CW7" s="364"/>
      <c r="CX7" s="364"/>
      <c r="CY7" s="364"/>
      <c r="CZ7" s="364"/>
      <c r="DA7" s="364"/>
      <c r="DB7" s="364"/>
      <c r="DC7" s="364"/>
      <c r="DD7" s="364"/>
      <c r="DE7" s="147"/>
      <c r="DF7" s="147"/>
      <c r="DG7" s="147"/>
      <c r="DH7" s="147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04"/>
      <c r="DZ7" s="111"/>
      <c r="EA7" s="111"/>
      <c r="EB7" s="111"/>
      <c r="EC7" s="111"/>
      <c r="ED7" s="111"/>
      <c r="EE7" s="111"/>
      <c r="EF7" s="111"/>
      <c r="EG7" s="111"/>
      <c r="EH7" s="111"/>
      <c r="EI7" s="111"/>
      <c r="EJ7" s="103"/>
      <c r="EK7" s="103"/>
      <c r="EL7" s="103"/>
      <c r="EM7" s="103"/>
      <c r="EN7" s="103"/>
      <c r="EO7" s="103"/>
      <c r="EP7" s="103"/>
      <c r="EQ7" s="103"/>
      <c r="ER7" s="103"/>
      <c r="ES7" s="103"/>
      <c r="ET7" s="189"/>
    </row>
    <row r="8" spans="1:223" ht="69" x14ac:dyDescent="0.2">
      <c r="A8" s="365" t="s">
        <v>249</v>
      </c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5"/>
      <c r="AP8" s="365"/>
      <c r="AQ8" s="365"/>
      <c r="AR8" s="365"/>
      <c r="AS8" s="365"/>
      <c r="AT8" s="365"/>
      <c r="AU8" s="365"/>
      <c r="AV8" s="365"/>
      <c r="AW8" s="365"/>
      <c r="AX8" s="365"/>
      <c r="AY8" s="365"/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5"/>
      <c r="BR8" s="365"/>
      <c r="BS8" s="365"/>
      <c r="BT8" s="365"/>
      <c r="BU8" s="365"/>
      <c r="BV8" s="365"/>
      <c r="BW8" s="365"/>
      <c r="BX8" s="365"/>
      <c r="BY8" s="365"/>
      <c r="BZ8" s="365"/>
      <c r="CA8" s="365"/>
      <c r="CB8" s="365"/>
      <c r="CC8" s="365"/>
      <c r="CD8" s="365"/>
      <c r="CE8" s="365"/>
      <c r="CF8" s="365"/>
      <c r="CG8" s="365"/>
      <c r="CH8" s="365"/>
      <c r="CI8" s="365"/>
      <c r="CJ8" s="365"/>
      <c r="CK8" s="365"/>
      <c r="CL8" s="365"/>
      <c r="CM8" s="365"/>
      <c r="CN8" s="365"/>
      <c r="CO8" s="365"/>
      <c r="CP8" s="365"/>
      <c r="CQ8" s="365"/>
      <c r="CR8" s="365"/>
      <c r="CS8" s="365"/>
      <c r="CT8" s="365"/>
      <c r="CU8" s="365"/>
      <c r="CV8" s="365"/>
      <c r="CW8" s="365"/>
      <c r="CX8" s="365"/>
      <c r="CY8" s="365"/>
      <c r="CZ8" s="365"/>
      <c r="DA8" s="365"/>
      <c r="DB8" s="365"/>
      <c r="DC8" s="365"/>
      <c r="DD8" s="365"/>
      <c r="DE8" s="365"/>
      <c r="DF8" s="365"/>
      <c r="DG8" s="365"/>
      <c r="DH8" s="365"/>
      <c r="DI8" s="365"/>
      <c r="DJ8" s="365"/>
      <c r="DK8" s="365"/>
      <c r="DL8" s="365"/>
      <c r="DM8" s="365"/>
      <c r="DN8" s="365"/>
      <c r="DO8" s="365"/>
      <c r="DP8" s="365"/>
      <c r="DQ8" s="365"/>
      <c r="DR8" s="365"/>
      <c r="DS8" s="365"/>
      <c r="DT8" s="365"/>
      <c r="DU8" s="365"/>
      <c r="DV8" s="365"/>
      <c r="DW8" s="365"/>
      <c r="DX8" s="365"/>
      <c r="DY8" s="365"/>
      <c r="DZ8" s="365"/>
      <c r="EA8" s="365"/>
      <c r="EB8" s="365"/>
      <c r="EC8" s="365"/>
      <c r="ED8" s="365"/>
      <c r="EE8" s="365"/>
      <c r="EF8" s="365"/>
      <c r="EG8" s="365"/>
      <c r="EH8" s="365"/>
      <c r="EI8" s="365"/>
      <c r="EJ8" s="365"/>
      <c r="EK8" s="365"/>
      <c r="EL8" s="365"/>
      <c r="EM8" s="365"/>
      <c r="EN8" s="365"/>
      <c r="EO8" s="365"/>
      <c r="EP8" s="365"/>
      <c r="EQ8" s="365"/>
      <c r="ER8" s="365"/>
      <c r="ES8" s="365"/>
    </row>
    <row r="9" spans="1:223" ht="30" customHeight="1" x14ac:dyDescent="0.4">
      <c r="C9" s="46"/>
      <c r="D9" s="46"/>
      <c r="E9" s="7"/>
      <c r="F9" s="8"/>
      <c r="G9" s="47"/>
      <c r="H9" s="47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DX9" s="7"/>
      <c r="DY9" s="7"/>
      <c r="DZ9" s="7"/>
      <c r="EA9" s="7"/>
      <c r="EB9" s="7"/>
      <c r="EC9" s="7"/>
      <c r="ED9" s="7"/>
      <c r="EE9" s="7"/>
      <c r="EF9" s="51"/>
      <c r="EG9" s="51"/>
      <c r="EH9" s="51"/>
      <c r="EI9" s="48"/>
      <c r="EJ9" s="48"/>
      <c r="EK9" s="48"/>
      <c r="EL9" s="48"/>
      <c r="EM9" s="48"/>
      <c r="EN9" s="51"/>
      <c r="EO9" s="51"/>
      <c r="EP9" s="51"/>
    </row>
    <row r="10" spans="1:223" ht="69" customHeight="1" x14ac:dyDescent="0.4">
      <c r="C10" s="204"/>
      <c r="D10" s="205"/>
      <c r="E10" s="205"/>
      <c r="F10" s="205"/>
      <c r="G10" s="205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  <c r="CI10" s="206"/>
      <c r="CJ10" s="206"/>
      <c r="CK10" s="206"/>
      <c r="CL10" s="206"/>
      <c r="CM10" s="206"/>
      <c r="CN10" s="206"/>
      <c r="CO10" s="206"/>
      <c r="CP10" s="206"/>
      <c r="CQ10" s="206"/>
      <c r="CR10" s="206"/>
      <c r="CS10" s="206"/>
      <c r="CT10" s="206"/>
      <c r="CU10" s="206"/>
      <c r="CV10" s="206"/>
      <c r="CW10" s="206"/>
      <c r="CX10" s="206"/>
      <c r="CY10" s="206"/>
      <c r="CZ10" s="206"/>
      <c r="DA10" s="206"/>
      <c r="DB10" s="206"/>
      <c r="DC10" s="206"/>
      <c r="DD10" s="206"/>
      <c r="DE10" s="206"/>
      <c r="DF10" s="206"/>
      <c r="DG10" s="206"/>
      <c r="DH10" s="206"/>
      <c r="DI10" s="206"/>
      <c r="DJ10" s="206"/>
      <c r="DK10" s="207"/>
      <c r="DL10" s="207"/>
      <c r="DM10" s="207"/>
      <c r="DN10" s="207"/>
      <c r="DO10" s="207"/>
      <c r="DP10" s="207"/>
      <c r="DQ10" s="207"/>
      <c r="DR10" s="207"/>
      <c r="DS10" s="207"/>
      <c r="DT10" s="207"/>
      <c r="DU10" s="207"/>
      <c r="DV10" s="207"/>
      <c r="DW10" s="207"/>
      <c r="DX10" s="207"/>
      <c r="DY10" s="207"/>
      <c r="DZ10" s="207"/>
      <c r="EA10" s="207"/>
      <c r="EB10" s="207"/>
      <c r="EC10" s="207"/>
      <c r="ED10" s="207"/>
      <c r="EE10" s="207"/>
      <c r="EF10" s="207"/>
      <c r="EG10" s="208"/>
      <c r="EH10" s="208"/>
      <c r="EI10" s="208"/>
      <c r="EJ10" s="208"/>
      <c r="EK10" s="208"/>
      <c r="EL10" s="208"/>
      <c r="EM10" s="208"/>
      <c r="EN10" s="209"/>
      <c r="EO10" s="209"/>
      <c r="EP10" s="209"/>
      <c r="EQ10" s="51"/>
      <c r="EV10" s="561" t="s">
        <v>23</v>
      </c>
      <c r="EW10" s="561"/>
      <c r="EX10" s="347" t="s">
        <v>264</v>
      </c>
      <c r="EY10" s="347"/>
      <c r="EZ10" s="347"/>
      <c r="FA10" s="347"/>
      <c r="FB10" s="347"/>
      <c r="FC10" s="347"/>
      <c r="FD10" s="347"/>
      <c r="FE10" s="347"/>
      <c r="FF10" s="347"/>
      <c r="FG10" s="347"/>
      <c r="FH10" s="347"/>
      <c r="FI10" s="347"/>
      <c r="FJ10" s="347"/>
      <c r="FK10" s="347"/>
      <c r="FL10" s="347"/>
      <c r="FM10" s="347"/>
      <c r="FN10" s="347"/>
      <c r="FO10" s="347"/>
      <c r="FP10" s="347"/>
      <c r="FQ10" s="347"/>
      <c r="FR10" s="347"/>
      <c r="FS10" s="347"/>
      <c r="FT10" s="347"/>
      <c r="FU10" s="347"/>
      <c r="FV10" s="347"/>
      <c r="FW10" s="347"/>
      <c r="FX10" s="347"/>
      <c r="FY10" s="347"/>
      <c r="FZ10" s="347"/>
      <c r="GA10" s="347"/>
      <c r="GB10" s="347"/>
      <c r="GC10" s="347"/>
      <c r="GD10" s="347"/>
      <c r="GE10" s="347"/>
      <c r="GF10" s="347"/>
      <c r="GG10" s="347"/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 t="s">
        <v>20</v>
      </c>
      <c r="GY10" s="347"/>
      <c r="GZ10" s="347"/>
      <c r="HA10" s="347"/>
      <c r="HB10" s="347"/>
      <c r="HC10" s="347"/>
      <c r="HD10" s="347"/>
      <c r="HE10" s="347"/>
      <c r="HF10" s="347"/>
      <c r="HG10" s="347"/>
      <c r="HH10" s="347"/>
      <c r="HI10" s="347"/>
      <c r="HJ10" s="347"/>
      <c r="HK10" s="347"/>
      <c r="HL10" s="561" t="s">
        <v>265</v>
      </c>
      <c r="HM10" s="561"/>
      <c r="HN10" s="561" t="s">
        <v>22</v>
      </c>
      <c r="HO10" s="561"/>
    </row>
    <row r="11" spans="1:223" ht="42" customHeight="1" x14ac:dyDescent="0.4">
      <c r="C11" s="204"/>
      <c r="D11" s="205"/>
      <c r="E11" s="205"/>
      <c r="F11" s="205"/>
      <c r="G11" s="205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  <c r="CI11" s="206"/>
      <c r="CJ11" s="206"/>
      <c r="CK11" s="206"/>
      <c r="CL11" s="206"/>
      <c r="CM11" s="206"/>
      <c r="CN11" s="206"/>
      <c r="CO11" s="206"/>
      <c r="CP11" s="206"/>
      <c r="CQ11" s="206"/>
      <c r="CR11" s="206"/>
      <c r="CS11" s="206"/>
      <c r="CT11" s="206"/>
      <c r="CU11" s="206"/>
      <c r="CV11" s="206"/>
      <c r="CW11" s="206"/>
      <c r="CX11" s="206"/>
      <c r="CY11" s="206"/>
      <c r="CZ11" s="206"/>
      <c r="DA11" s="206"/>
      <c r="DB11" s="206"/>
      <c r="DC11" s="206"/>
      <c r="DD11" s="206"/>
      <c r="DE11" s="206"/>
      <c r="DF11" s="206"/>
      <c r="DG11" s="206"/>
      <c r="DH11" s="206"/>
      <c r="DI11" s="206"/>
      <c r="DJ11" s="206"/>
      <c r="DK11" s="208"/>
      <c r="DL11" s="208"/>
      <c r="DM11" s="208"/>
      <c r="DN11" s="208"/>
      <c r="DO11" s="210"/>
      <c r="DP11" s="210"/>
      <c r="DQ11" s="210"/>
      <c r="DR11" s="210"/>
      <c r="DS11" s="210"/>
      <c r="DT11" s="210"/>
      <c r="DU11" s="210"/>
      <c r="DV11" s="210"/>
      <c r="DW11" s="210"/>
      <c r="DX11" s="210"/>
      <c r="DY11" s="210"/>
      <c r="DZ11" s="210"/>
      <c r="EA11" s="210"/>
      <c r="EB11" s="210"/>
      <c r="EC11" s="210"/>
      <c r="ED11" s="210"/>
      <c r="EE11" s="210"/>
      <c r="EF11" s="210"/>
      <c r="EG11" s="208"/>
      <c r="EH11" s="208"/>
      <c r="EI11" s="208"/>
      <c r="EJ11" s="208"/>
      <c r="EK11" s="208"/>
      <c r="EL11" s="208"/>
      <c r="EM11" s="208"/>
      <c r="EN11" s="209"/>
      <c r="EO11" s="209"/>
      <c r="EP11" s="209"/>
      <c r="EQ11" s="51"/>
      <c r="EV11" s="561"/>
      <c r="EW11" s="561"/>
      <c r="EX11" s="347"/>
      <c r="EY11" s="347"/>
      <c r="EZ11" s="347"/>
      <c r="FA11" s="347"/>
      <c r="FB11" s="347"/>
      <c r="FC11" s="347"/>
      <c r="FD11" s="347"/>
      <c r="FE11" s="347"/>
      <c r="FF11" s="347"/>
      <c r="FG11" s="347"/>
      <c r="FH11" s="347"/>
      <c r="FI11" s="347"/>
      <c r="FJ11" s="347"/>
      <c r="FK11" s="347"/>
      <c r="FL11" s="347"/>
      <c r="FM11" s="347"/>
      <c r="FN11" s="347"/>
      <c r="FO11" s="347"/>
      <c r="FP11" s="347"/>
      <c r="FQ11" s="347"/>
      <c r="FR11" s="347"/>
      <c r="FS11" s="347"/>
      <c r="FT11" s="347"/>
      <c r="FU11" s="347"/>
      <c r="FV11" s="347"/>
      <c r="FW11" s="347"/>
      <c r="FX11" s="347"/>
      <c r="FY11" s="347"/>
      <c r="FZ11" s="347"/>
      <c r="GA11" s="347"/>
      <c r="GB11" s="347"/>
      <c r="GC11" s="347"/>
      <c r="GD11" s="347"/>
      <c r="GE11" s="347"/>
      <c r="GF11" s="347"/>
      <c r="GG11" s="347"/>
      <c r="GH11" s="347"/>
      <c r="GI11" s="347"/>
      <c r="GJ11" s="347"/>
      <c r="GK11" s="347"/>
      <c r="GL11" s="347"/>
      <c r="GM11" s="347"/>
      <c r="GN11" s="347"/>
      <c r="GO11" s="347"/>
      <c r="GP11" s="347"/>
      <c r="GQ11" s="347"/>
      <c r="GR11" s="347"/>
      <c r="GS11" s="347"/>
      <c r="GT11" s="347"/>
      <c r="GU11" s="347"/>
      <c r="GV11" s="347"/>
      <c r="GW11" s="347"/>
      <c r="GX11" s="561" t="s">
        <v>21</v>
      </c>
      <c r="GY11" s="561"/>
      <c r="GZ11" s="347" t="s">
        <v>86</v>
      </c>
      <c r="HA11" s="347"/>
      <c r="HB11" s="347"/>
      <c r="HC11" s="347"/>
      <c r="HD11" s="347"/>
      <c r="HE11" s="347"/>
      <c r="HF11" s="347"/>
      <c r="HG11" s="347"/>
      <c r="HH11" s="347"/>
      <c r="HI11" s="347"/>
      <c r="HJ11" s="347"/>
      <c r="HK11" s="347"/>
      <c r="HL11" s="561"/>
      <c r="HM11" s="561"/>
      <c r="HN11" s="561"/>
      <c r="HO11" s="561"/>
    </row>
    <row r="12" spans="1:223" ht="42" customHeight="1" x14ac:dyDescent="0.4">
      <c r="C12" s="204"/>
      <c r="D12" s="205"/>
      <c r="E12" s="205"/>
      <c r="F12" s="205"/>
      <c r="G12" s="205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  <c r="CI12" s="206"/>
      <c r="CJ12" s="206"/>
      <c r="CK12" s="206"/>
      <c r="CL12" s="206"/>
      <c r="CM12" s="206"/>
      <c r="CN12" s="206"/>
      <c r="CO12" s="206"/>
      <c r="CP12" s="206"/>
      <c r="CQ12" s="206"/>
      <c r="CR12" s="206"/>
      <c r="CS12" s="206"/>
      <c r="CT12" s="206"/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8"/>
      <c r="DL12" s="208"/>
      <c r="DM12" s="208"/>
      <c r="DN12" s="208"/>
      <c r="DO12" s="208"/>
      <c r="DP12" s="208"/>
      <c r="DQ12" s="208"/>
      <c r="DR12" s="208"/>
      <c r="DS12" s="208"/>
      <c r="DT12" s="208"/>
      <c r="DU12" s="208"/>
      <c r="DV12" s="208"/>
      <c r="DW12" s="208"/>
      <c r="DX12" s="208"/>
      <c r="DY12" s="208"/>
      <c r="DZ12" s="208"/>
      <c r="EA12" s="208"/>
      <c r="EB12" s="208"/>
      <c r="EC12" s="208"/>
      <c r="ED12" s="211"/>
      <c r="EE12" s="211"/>
      <c r="EF12" s="211"/>
      <c r="EG12" s="208"/>
      <c r="EH12" s="208"/>
      <c r="EI12" s="208"/>
      <c r="EJ12" s="208"/>
      <c r="EK12" s="208"/>
      <c r="EL12" s="208"/>
      <c r="EM12" s="208"/>
      <c r="EN12" s="209"/>
      <c r="EO12" s="209"/>
      <c r="EP12" s="209"/>
      <c r="EQ12" s="51"/>
      <c r="EV12" s="561"/>
      <c r="EW12" s="561"/>
      <c r="EX12" s="347"/>
      <c r="EY12" s="347"/>
      <c r="EZ12" s="347"/>
      <c r="FA12" s="347"/>
      <c r="FB12" s="347"/>
      <c r="FC12" s="347"/>
      <c r="FD12" s="347"/>
      <c r="FE12" s="347"/>
      <c r="FF12" s="347"/>
      <c r="FG12" s="347"/>
      <c r="FH12" s="347"/>
      <c r="FI12" s="347"/>
      <c r="FJ12" s="347"/>
      <c r="FK12" s="347"/>
      <c r="FL12" s="347"/>
      <c r="FM12" s="347"/>
      <c r="FN12" s="347"/>
      <c r="FO12" s="347"/>
      <c r="FP12" s="347"/>
      <c r="FQ12" s="347"/>
      <c r="FR12" s="347"/>
      <c r="FS12" s="347"/>
      <c r="FT12" s="347"/>
      <c r="FU12" s="347"/>
      <c r="FV12" s="347"/>
      <c r="FW12" s="347"/>
      <c r="FX12" s="347"/>
      <c r="FY12" s="347"/>
      <c r="FZ12" s="347"/>
      <c r="GA12" s="347"/>
      <c r="GB12" s="347"/>
      <c r="GC12" s="347"/>
      <c r="GD12" s="347"/>
      <c r="GE12" s="347"/>
      <c r="GF12" s="347"/>
      <c r="GG12" s="347"/>
      <c r="GH12" s="347"/>
      <c r="GI12" s="347"/>
      <c r="GJ12" s="347"/>
      <c r="GK12" s="347"/>
      <c r="GL12" s="347"/>
      <c r="GM12" s="347"/>
      <c r="GN12" s="347"/>
      <c r="GO12" s="347"/>
      <c r="GP12" s="347"/>
      <c r="GQ12" s="347"/>
      <c r="GR12" s="347"/>
      <c r="GS12" s="347"/>
      <c r="GT12" s="347"/>
      <c r="GU12" s="347"/>
      <c r="GV12" s="347"/>
      <c r="GW12" s="347"/>
      <c r="GX12" s="561"/>
      <c r="GY12" s="561"/>
      <c r="GZ12" s="562" t="s">
        <v>266</v>
      </c>
      <c r="HA12" s="563"/>
      <c r="HB12" s="562" t="s">
        <v>17</v>
      </c>
      <c r="HC12" s="563"/>
      <c r="HD12" s="562" t="s">
        <v>267</v>
      </c>
      <c r="HE12" s="563"/>
      <c r="HF12" s="562" t="s">
        <v>15</v>
      </c>
      <c r="HG12" s="563"/>
      <c r="HH12" s="562" t="s">
        <v>18</v>
      </c>
      <c r="HI12" s="563"/>
      <c r="HJ12" s="568" t="s">
        <v>268</v>
      </c>
      <c r="HK12" s="569"/>
      <c r="HL12" s="561"/>
      <c r="HM12" s="561"/>
      <c r="HN12" s="561"/>
      <c r="HO12" s="561"/>
    </row>
    <row r="13" spans="1:223" ht="30" customHeight="1" x14ac:dyDescent="0.4">
      <c r="C13" s="204"/>
      <c r="D13" s="205"/>
      <c r="E13" s="205"/>
      <c r="F13" s="205"/>
      <c r="G13" s="205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11"/>
      <c r="EE13" s="211"/>
      <c r="EF13" s="211"/>
      <c r="EG13" s="208"/>
      <c r="EH13" s="208"/>
      <c r="EI13" s="208"/>
      <c r="EJ13" s="208"/>
      <c r="EK13" s="208"/>
      <c r="EL13" s="208"/>
      <c r="EM13" s="208"/>
      <c r="EN13" s="209"/>
      <c r="EO13" s="209"/>
      <c r="EP13" s="209"/>
      <c r="EQ13" s="51"/>
      <c r="EV13" s="561"/>
      <c r="EW13" s="561"/>
      <c r="EX13" s="347"/>
      <c r="EY13" s="347"/>
      <c r="EZ13" s="347"/>
      <c r="FA13" s="347"/>
      <c r="FB13" s="347"/>
      <c r="FC13" s="347"/>
      <c r="FD13" s="347"/>
      <c r="FE13" s="347"/>
      <c r="FF13" s="347"/>
      <c r="FG13" s="347"/>
      <c r="FH13" s="347"/>
      <c r="FI13" s="347"/>
      <c r="FJ13" s="347"/>
      <c r="FK13" s="347"/>
      <c r="FL13" s="347"/>
      <c r="FM13" s="347"/>
      <c r="FN13" s="347"/>
      <c r="FO13" s="347"/>
      <c r="FP13" s="347"/>
      <c r="FQ13" s="347"/>
      <c r="FR13" s="347"/>
      <c r="FS13" s="347"/>
      <c r="FT13" s="347"/>
      <c r="FU13" s="347"/>
      <c r="FV13" s="347"/>
      <c r="FW13" s="347"/>
      <c r="FX13" s="347"/>
      <c r="FY13" s="347"/>
      <c r="FZ13" s="347"/>
      <c r="GA13" s="347"/>
      <c r="GB13" s="347"/>
      <c r="GC13" s="347"/>
      <c r="GD13" s="347"/>
      <c r="GE13" s="347"/>
      <c r="GF13" s="347"/>
      <c r="GG13" s="347"/>
      <c r="GH13" s="347"/>
      <c r="GI13" s="347"/>
      <c r="GJ13" s="347"/>
      <c r="GK13" s="347"/>
      <c r="GL13" s="347"/>
      <c r="GM13" s="347"/>
      <c r="GN13" s="347"/>
      <c r="GO13" s="347"/>
      <c r="GP13" s="347"/>
      <c r="GQ13" s="347"/>
      <c r="GR13" s="347"/>
      <c r="GS13" s="347"/>
      <c r="GT13" s="347"/>
      <c r="GU13" s="347"/>
      <c r="GV13" s="347"/>
      <c r="GW13" s="347"/>
      <c r="GX13" s="561"/>
      <c r="GY13" s="561"/>
      <c r="GZ13" s="564"/>
      <c r="HA13" s="565"/>
      <c r="HB13" s="564"/>
      <c r="HC13" s="565"/>
      <c r="HD13" s="564"/>
      <c r="HE13" s="565"/>
      <c r="HF13" s="564"/>
      <c r="HG13" s="565"/>
      <c r="HH13" s="564"/>
      <c r="HI13" s="565"/>
      <c r="HJ13" s="570"/>
      <c r="HK13" s="571"/>
      <c r="HL13" s="561"/>
      <c r="HM13" s="561"/>
      <c r="HN13" s="561"/>
      <c r="HO13" s="561"/>
    </row>
    <row r="14" spans="1:223" ht="78" customHeight="1" x14ac:dyDescent="0.4">
      <c r="C14" s="204"/>
      <c r="D14" s="205"/>
      <c r="E14" s="205"/>
      <c r="F14" s="205"/>
      <c r="G14" s="205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8"/>
      <c r="DL14" s="208"/>
      <c r="DM14" s="208"/>
      <c r="DN14" s="208"/>
      <c r="DO14" s="208"/>
      <c r="DP14" s="208"/>
      <c r="DQ14" s="208"/>
      <c r="DR14" s="208"/>
      <c r="DS14" s="208"/>
      <c r="DT14" s="208"/>
      <c r="DU14" s="208"/>
      <c r="DV14" s="208"/>
      <c r="DW14" s="208"/>
      <c r="DX14" s="208"/>
      <c r="DY14" s="208"/>
      <c r="DZ14" s="208"/>
      <c r="EA14" s="208"/>
      <c r="EB14" s="208"/>
      <c r="EC14" s="208"/>
      <c r="ED14" s="211"/>
      <c r="EE14" s="211"/>
      <c r="EF14" s="211"/>
      <c r="EG14" s="208"/>
      <c r="EH14" s="208"/>
      <c r="EI14" s="208"/>
      <c r="EJ14" s="208"/>
      <c r="EK14" s="208"/>
      <c r="EL14" s="208"/>
      <c r="EM14" s="208"/>
      <c r="EN14" s="209"/>
      <c r="EO14" s="209"/>
      <c r="EP14" s="209"/>
      <c r="EQ14" s="51"/>
      <c r="EV14" s="561"/>
      <c r="EW14" s="561"/>
      <c r="EX14" s="574" t="s">
        <v>269</v>
      </c>
      <c r="EY14" s="575"/>
      <c r="EZ14" s="575"/>
      <c r="FA14" s="575"/>
      <c r="FB14" s="576"/>
      <c r="FC14" s="574" t="s">
        <v>270</v>
      </c>
      <c r="FD14" s="575"/>
      <c r="FE14" s="575"/>
      <c r="FF14" s="576"/>
      <c r="FG14" s="574" t="s">
        <v>46</v>
      </c>
      <c r="FH14" s="575"/>
      <c r="FI14" s="575"/>
      <c r="FJ14" s="575"/>
      <c r="FK14" s="576"/>
      <c r="FL14" s="574" t="s">
        <v>47</v>
      </c>
      <c r="FM14" s="575"/>
      <c r="FN14" s="575"/>
      <c r="FO14" s="576"/>
      <c r="FP14" s="574" t="s">
        <v>48</v>
      </c>
      <c r="FQ14" s="575"/>
      <c r="FR14" s="575"/>
      <c r="FS14" s="575"/>
      <c r="FT14" s="576"/>
      <c r="FU14" s="574" t="s">
        <v>49</v>
      </c>
      <c r="FV14" s="575"/>
      <c r="FW14" s="575"/>
      <c r="FX14" s="576"/>
      <c r="FY14" s="574" t="s">
        <v>50</v>
      </c>
      <c r="FZ14" s="575"/>
      <c r="GA14" s="575"/>
      <c r="GB14" s="575"/>
      <c r="GC14" s="576"/>
      <c r="GD14" s="574" t="s">
        <v>51</v>
      </c>
      <c r="GE14" s="575"/>
      <c r="GF14" s="575"/>
      <c r="GG14" s="576"/>
      <c r="GH14" s="574" t="s">
        <v>52</v>
      </c>
      <c r="GI14" s="575"/>
      <c r="GJ14" s="575"/>
      <c r="GK14" s="576"/>
      <c r="GL14" s="574" t="s">
        <v>53</v>
      </c>
      <c r="GM14" s="575"/>
      <c r="GN14" s="575"/>
      <c r="GO14" s="576"/>
      <c r="GP14" s="574" t="s">
        <v>271</v>
      </c>
      <c r="GQ14" s="575"/>
      <c r="GR14" s="575"/>
      <c r="GS14" s="576"/>
      <c r="GT14" s="574" t="s">
        <v>54</v>
      </c>
      <c r="GU14" s="575"/>
      <c r="GV14" s="575"/>
      <c r="GW14" s="576"/>
      <c r="GX14" s="561"/>
      <c r="GY14" s="561"/>
      <c r="GZ14" s="564"/>
      <c r="HA14" s="565"/>
      <c r="HB14" s="564"/>
      <c r="HC14" s="565"/>
      <c r="HD14" s="564"/>
      <c r="HE14" s="565"/>
      <c r="HF14" s="564"/>
      <c r="HG14" s="565"/>
      <c r="HH14" s="564"/>
      <c r="HI14" s="565"/>
      <c r="HJ14" s="570"/>
      <c r="HK14" s="571"/>
      <c r="HL14" s="561"/>
      <c r="HM14" s="561"/>
      <c r="HN14" s="561"/>
      <c r="HO14" s="561"/>
    </row>
    <row r="15" spans="1:223" ht="84" customHeight="1" x14ac:dyDescent="0.4">
      <c r="C15" s="204"/>
      <c r="D15" s="205"/>
      <c r="E15" s="205"/>
      <c r="F15" s="205"/>
      <c r="G15" s="205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12"/>
      <c r="CI15" s="212"/>
      <c r="CJ15" s="212"/>
      <c r="CK15" s="212"/>
      <c r="CL15" s="212"/>
      <c r="CM15" s="212"/>
      <c r="CN15" s="212"/>
      <c r="CO15" s="212"/>
      <c r="CP15" s="212"/>
      <c r="CQ15" s="212"/>
      <c r="CR15" s="212"/>
      <c r="CS15" s="212"/>
      <c r="CT15" s="212"/>
      <c r="CU15" s="212"/>
      <c r="CV15" s="212"/>
      <c r="CW15" s="212"/>
      <c r="CX15" s="212"/>
      <c r="CY15" s="212"/>
      <c r="CZ15" s="212"/>
      <c r="DA15" s="212"/>
      <c r="DB15" s="212"/>
      <c r="DC15" s="212"/>
      <c r="DD15" s="212"/>
      <c r="DE15" s="212"/>
      <c r="DF15" s="212"/>
      <c r="DG15" s="212"/>
      <c r="DH15" s="212"/>
      <c r="DI15" s="212"/>
      <c r="DJ15" s="212"/>
      <c r="DK15" s="208"/>
      <c r="DL15" s="208"/>
      <c r="DM15" s="208"/>
      <c r="DN15" s="208"/>
      <c r="DO15" s="208"/>
      <c r="DP15" s="208"/>
      <c r="DQ15" s="208"/>
      <c r="DR15" s="208"/>
      <c r="DS15" s="208"/>
      <c r="DT15" s="208"/>
      <c r="DU15" s="208"/>
      <c r="DV15" s="208"/>
      <c r="DW15" s="208"/>
      <c r="DX15" s="208"/>
      <c r="DY15" s="208"/>
      <c r="DZ15" s="208"/>
      <c r="EA15" s="208"/>
      <c r="EB15" s="208"/>
      <c r="EC15" s="208"/>
      <c r="ED15" s="211"/>
      <c r="EE15" s="211"/>
      <c r="EF15" s="211"/>
      <c r="EG15" s="208"/>
      <c r="EH15" s="208"/>
      <c r="EI15" s="208"/>
      <c r="EJ15" s="208"/>
      <c r="EK15" s="208"/>
      <c r="EL15" s="208"/>
      <c r="EM15" s="208"/>
      <c r="EN15" s="209"/>
      <c r="EO15" s="209"/>
      <c r="EP15" s="209"/>
      <c r="EQ15" s="51"/>
      <c r="EV15" s="561"/>
      <c r="EW15" s="561"/>
      <c r="EX15" s="202">
        <v>1</v>
      </c>
      <c r="EY15" s="202">
        <v>2</v>
      </c>
      <c r="EZ15" s="202">
        <v>3</v>
      </c>
      <c r="FA15" s="202">
        <v>4</v>
      </c>
      <c r="FB15" s="202">
        <v>5</v>
      </c>
      <c r="FC15" s="202">
        <v>6</v>
      </c>
      <c r="FD15" s="202">
        <v>7</v>
      </c>
      <c r="FE15" s="202">
        <v>8</v>
      </c>
      <c r="FF15" s="202">
        <v>9</v>
      </c>
      <c r="FG15" s="202">
        <v>10</v>
      </c>
      <c r="FH15" s="202">
        <v>11</v>
      </c>
      <c r="FI15" s="202">
        <v>12</v>
      </c>
      <c r="FJ15" s="202">
        <v>13</v>
      </c>
      <c r="FK15" s="202">
        <v>14</v>
      </c>
      <c r="FL15" s="202">
        <v>15</v>
      </c>
      <c r="FM15" s="202">
        <v>16</v>
      </c>
      <c r="FN15" s="202">
        <v>17</v>
      </c>
      <c r="FO15" s="202">
        <v>18</v>
      </c>
      <c r="FP15" s="202">
        <v>19</v>
      </c>
      <c r="FQ15" s="202">
        <v>20</v>
      </c>
      <c r="FR15" s="202">
        <v>21</v>
      </c>
      <c r="FS15" s="202">
        <v>22</v>
      </c>
      <c r="FT15" s="202">
        <v>23</v>
      </c>
      <c r="FU15" s="202">
        <v>24</v>
      </c>
      <c r="FV15" s="202">
        <v>25</v>
      </c>
      <c r="FW15" s="202">
        <v>26</v>
      </c>
      <c r="FX15" s="202">
        <v>27</v>
      </c>
      <c r="FY15" s="202">
        <v>28</v>
      </c>
      <c r="FZ15" s="202">
        <v>29</v>
      </c>
      <c r="GA15" s="202">
        <v>30</v>
      </c>
      <c r="GB15" s="202">
        <v>31</v>
      </c>
      <c r="GC15" s="202">
        <v>32</v>
      </c>
      <c r="GD15" s="202">
        <v>33</v>
      </c>
      <c r="GE15" s="202">
        <v>34</v>
      </c>
      <c r="GF15" s="202">
        <v>35</v>
      </c>
      <c r="GG15" s="202">
        <v>36</v>
      </c>
      <c r="GH15" s="202">
        <v>37</v>
      </c>
      <c r="GI15" s="202">
        <v>38</v>
      </c>
      <c r="GJ15" s="202">
        <v>39</v>
      </c>
      <c r="GK15" s="202">
        <v>40</v>
      </c>
      <c r="GL15" s="202">
        <v>41</v>
      </c>
      <c r="GM15" s="202">
        <v>42</v>
      </c>
      <c r="GN15" s="202">
        <v>43</v>
      </c>
      <c r="GO15" s="202">
        <v>44</v>
      </c>
      <c r="GP15" s="202">
        <v>45</v>
      </c>
      <c r="GQ15" s="202">
        <v>46</v>
      </c>
      <c r="GR15" s="202">
        <v>47</v>
      </c>
      <c r="GS15" s="202">
        <v>48</v>
      </c>
      <c r="GT15" s="202">
        <v>49</v>
      </c>
      <c r="GU15" s="202">
        <v>50</v>
      </c>
      <c r="GV15" s="202">
        <v>51</v>
      </c>
      <c r="GW15" s="202">
        <v>52</v>
      </c>
      <c r="GX15" s="561"/>
      <c r="GY15" s="561"/>
      <c r="GZ15" s="566"/>
      <c r="HA15" s="567"/>
      <c r="HB15" s="566"/>
      <c r="HC15" s="567"/>
      <c r="HD15" s="566"/>
      <c r="HE15" s="567"/>
      <c r="HF15" s="566"/>
      <c r="HG15" s="567"/>
      <c r="HH15" s="566"/>
      <c r="HI15" s="567"/>
      <c r="HJ15" s="572"/>
      <c r="HK15" s="573"/>
      <c r="HL15" s="561"/>
      <c r="HM15" s="561"/>
      <c r="HN15" s="561"/>
      <c r="HO15" s="561"/>
    </row>
    <row r="16" spans="1:223" ht="60" customHeight="1" x14ac:dyDescent="0.4">
      <c r="C16" s="204"/>
      <c r="D16" s="205"/>
      <c r="E16" s="205"/>
      <c r="F16" s="205"/>
      <c r="G16" s="205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  <c r="CE16" s="213"/>
      <c r="CF16" s="213"/>
      <c r="CG16" s="213"/>
      <c r="CH16" s="213"/>
      <c r="CI16" s="213"/>
      <c r="CJ16" s="213"/>
      <c r="CK16" s="213"/>
      <c r="CL16" s="213"/>
      <c r="CM16" s="213"/>
      <c r="CN16" s="213"/>
      <c r="CO16" s="213"/>
      <c r="CP16" s="213"/>
      <c r="CQ16" s="213"/>
      <c r="CR16" s="213"/>
      <c r="CS16" s="213"/>
      <c r="CT16" s="213"/>
      <c r="CU16" s="213"/>
      <c r="CV16" s="213"/>
      <c r="CW16" s="213"/>
      <c r="CX16" s="213"/>
      <c r="CY16" s="213"/>
      <c r="CZ16" s="213"/>
      <c r="DA16" s="213"/>
      <c r="DB16" s="213"/>
      <c r="DC16" s="213"/>
      <c r="DD16" s="213"/>
      <c r="DE16" s="213"/>
      <c r="DF16" s="213"/>
      <c r="DG16" s="213"/>
      <c r="DH16" s="213"/>
      <c r="DI16" s="213"/>
      <c r="DJ16" s="213"/>
      <c r="DK16" s="208"/>
      <c r="DL16" s="208"/>
      <c r="DM16" s="208"/>
      <c r="DN16" s="208"/>
      <c r="DO16" s="208"/>
      <c r="DP16" s="208"/>
      <c r="DQ16" s="208"/>
      <c r="DR16" s="208"/>
      <c r="DS16" s="208"/>
      <c r="DT16" s="208"/>
      <c r="DU16" s="208"/>
      <c r="DV16" s="208"/>
      <c r="DW16" s="208"/>
      <c r="DX16" s="208"/>
      <c r="DY16" s="208"/>
      <c r="DZ16" s="208"/>
      <c r="EA16" s="208"/>
      <c r="EB16" s="208"/>
      <c r="EC16" s="208"/>
      <c r="ED16" s="211"/>
      <c r="EE16" s="211"/>
      <c r="EF16" s="211"/>
      <c r="EG16" s="208"/>
      <c r="EH16" s="208"/>
      <c r="EI16" s="208"/>
      <c r="EJ16" s="208"/>
      <c r="EK16" s="208"/>
      <c r="EL16" s="208"/>
      <c r="EM16" s="208"/>
      <c r="EN16" s="209"/>
      <c r="EO16" s="209"/>
      <c r="EP16" s="209"/>
      <c r="EQ16" s="51"/>
      <c r="EV16" s="347" t="s">
        <v>0</v>
      </c>
      <c r="EW16" s="347"/>
      <c r="EX16" s="202" t="s">
        <v>55</v>
      </c>
      <c r="EY16" s="202" t="s">
        <v>45</v>
      </c>
      <c r="EZ16" s="202" t="s">
        <v>45</v>
      </c>
      <c r="FA16" s="202"/>
      <c r="FB16" s="202"/>
      <c r="FC16" s="202"/>
      <c r="FD16" s="202"/>
      <c r="FE16" s="202"/>
      <c r="FF16" s="202"/>
      <c r="FG16" s="202"/>
      <c r="FH16" s="202"/>
      <c r="FI16" s="202"/>
      <c r="FJ16" s="202"/>
      <c r="FK16" s="202"/>
      <c r="FL16" s="202"/>
      <c r="FM16" s="202"/>
      <c r="FN16" s="202"/>
      <c r="FO16" s="202"/>
      <c r="FP16" s="202" t="s">
        <v>55</v>
      </c>
      <c r="FQ16" s="202" t="s">
        <v>55</v>
      </c>
      <c r="FR16" s="202" t="s">
        <v>56</v>
      </c>
      <c r="FS16" s="202" t="s">
        <v>56</v>
      </c>
      <c r="FT16" s="202" t="s">
        <v>55</v>
      </c>
      <c r="FU16" s="202" t="s">
        <v>55</v>
      </c>
      <c r="FV16" s="202"/>
      <c r="FW16" s="202"/>
      <c r="FX16" s="202"/>
      <c r="FY16" s="202"/>
      <c r="FZ16" s="202"/>
      <c r="GA16" s="202"/>
      <c r="GB16" s="202"/>
      <c r="GC16" s="202"/>
      <c r="GD16" s="202" t="s">
        <v>57</v>
      </c>
      <c r="GE16" s="202" t="s">
        <v>57</v>
      </c>
      <c r="GF16" s="202" t="s">
        <v>57</v>
      </c>
      <c r="GG16" s="202"/>
      <c r="GH16" s="202"/>
      <c r="GI16" s="202"/>
      <c r="GJ16" s="202"/>
      <c r="GK16" s="202"/>
      <c r="GL16" s="202"/>
      <c r="GM16" s="202"/>
      <c r="GN16" s="202" t="s">
        <v>56</v>
      </c>
      <c r="GO16" s="202" t="s">
        <v>56</v>
      </c>
      <c r="GP16" s="202" t="s">
        <v>55</v>
      </c>
      <c r="GQ16" s="202" t="s">
        <v>55</v>
      </c>
      <c r="GR16" s="202" t="s">
        <v>55</v>
      </c>
      <c r="GS16" s="202" t="s">
        <v>55</v>
      </c>
      <c r="GT16" s="202" t="s">
        <v>55</v>
      </c>
      <c r="GU16" s="202" t="s">
        <v>55</v>
      </c>
      <c r="GV16" s="202" t="s">
        <v>55</v>
      </c>
      <c r="GW16" s="202" t="s">
        <v>55</v>
      </c>
      <c r="GX16" s="577">
        <f>SUM(GZ16:HK16)</f>
        <v>38</v>
      </c>
      <c r="GY16" s="578"/>
      <c r="GZ16" s="577">
        <v>30</v>
      </c>
      <c r="HA16" s="578"/>
      <c r="HB16" s="577">
        <v>4</v>
      </c>
      <c r="HC16" s="578"/>
      <c r="HD16" s="577">
        <v>2</v>
      </c>
      <c r="HE16" s="578"/>
      <c r="HF16" s="577">
        <v>2</v>
      </c>
      <c r="HG16" s="578"/>
      <c r="HH16" s="577">
        <v>0</v>
      </c>
      <c r="HI16" s="578"/>
      <c r="HJ16" s="577">
        <v>0</v>
      </c>
      <c r="HK16" s="578"/>
      <c r="HL16" s="577">
        <v>14</v>
      </c>
      <c r="HM16" s="578"/>
      <c r="HN16" s="579">
        <f>GX16+HL16</f>
        <v>52</v>
      </c>
      <c r="HO16" s="579"/>
    </row>
    <row r="17" spans="1:223" ht="54" customHeight="1" x14ac:dyDescent="0.4">
      <c r="C17" s="204"/>
      <c r="D17" s="213"/>
      <c r="E17" s="213"/>
      <c r="F17" s="213"/>
      <c r="G17" s="213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  <c r="CR17" s="212"/>
      <c r="CS17" s="212"/>
      <c r="CT17" s="212"/>
      <c r="CU17" s="212"/>
      <c r="CV17" s="212"/>
      <c r="CW17" s="212"/>
      <c r="CX17" s="212"/>
      <c r="CY17" s="212"/>
      <c r="CZ17" s="212"/>
      <c r="DA17" s="212"/>
      <c r="DB17" s="212"/>
      <c r="DC17" s="212"/>
      <c r="DD17" s="212"/>
      <c r="DE17" s="212"/>
      <c r="DF17" s="212"/>
      <c r="DG17" s="212"/>
      <c r="DH17" s="212"/>
      <c r="DI17" s="212"/>
      <c r="DJ17" s="212"/>
      <c r="DK17" s="213"/>
      <c r="DL17" s="213"/>
      <c r="DM17" s="213"/>
      <c r="DN17" s="213"/>
      <c r="DO17" s="214"/>
      <c r="DP17" s="214"/>
      <c r="DQ17" s="214"/>
      <c r="DR17" s="214"/>
      <c r="DS17" s="214"/>
      <c r="DT17" s="214"/>
      <c r="DU17" s="214"/>
      <c r="DV17" s="214"/>
      <c r="DW17" s="214"/>
      <c r="DX17" s="214"/>
      <c r="DY17" s="214"/>
      <c r="DZ17" s="214"/>
      <c r="EA17" s="214"/>
      <c r="EB17" s="214"/>
      <c r="EC17" s="214"/>
      <c r="ED17" s="214"/>
      <c r="EE17" s="214"/>
      <c r="EF17" s="214"/>
      <c r="EG17" s="214"/>
      <c r="EH17" s="214"/>
      <c r="EI17" s="214"/>
      <c r="EJ17" s="207"/>
      <c r="EK17" s="207"/>
      <c r="EL17" s="207"/>
      <c r="EM17" s="207"/>
      <c r="EN17" s="209"/>
      <c r="EO17" s="209"/>
      <c r="EP17" s="209"/>
      <c r="EQ17" s="51"/>
      <c r="EV17" s="347" t="s">
        <v>1</v>
      </c>
      <c r="EW17" s="347"/>
      <c r="EX17" s="202" t="s">
        <v>55</v>
      </c>
      <c r="EY17" s="202" t="s">
        <v>45</v>
      </c>
      <c r="EZ17" s="241"/>
      <c r="FA17" s="241"/>
      <c r="FB17" s="241"/>
      <c r="FC17" s="241"/>
      <c r="FD17" s="241"/>
      <c r="FE17" s="241"/>
      <c r="FF17" s="241"/>
      <c r="FG17" s="241"/>
      <c r="FH17" s="241"/>
      <c r="FI17" s="241"/>
      <c r="FJ17" s="241"/>
      <c r="FK17" s="241"/>
      <c r="FL17" s="241"/>
      <c r="FM17" s="241"/>
      <c r="FN17" s="241"/>
      <c r="FO17" s="202" t="s">
        <v>55</v>
      </c>
      <c r="FP17" s="202" t="s">
        <v>55</v>
      </c>
      <c r="FQ17" s="202" t="s">
        <v>56</v>
      </c>
      <c r="FR17" s="202" t="s">
        <v>56</v>
      </c>
      <c r="FS17" s="202" t="s">
        <v>55</v>
      </c>
      <c r="FT17" s="202" t="s">
        <v>55</v>
      </c>
      <c r="FU17" s="241"/>
      <c r="FV17" s="241"/>
      <c r="FW17" s="241"/>
      <c r="FX17" s="241"/>
      <c r="FY17" s="241"/>
      <c r="FZ17" s="241"/>
      <c r="GA17" s="241"/>
      <c r="GB17" s="241"/>
      <c r="GC17" s="241"/>
      <c r="GD17" s="241"/>
      <c r="GE17" s="241"/>
      <c r="GF17" s="241"/>
      <c r="GG17" s="241"/>
      <c r="GH17" s="241"/>
      <c r="GI17" s="241"/>
      <c r="GJ17" s="202" t="s">
        <v>56</v>
      </c>
      <c r="GK17" s="202" t="s">
        <v>56</v>
      </c>
      <c r="GL17" s="202" t="s">
        <v>55</v>
      </c>
      <c r="GM17" s="202" t="s">
        <v>55</v>
      </c>
      <c r="GN17" s="202" t="s">
        <v>55</v>
      </c>
      <c r="GO17" s="202" t="s">
        <v>55</v>
      </c>
      <c r="GP17" s="202" t="s">
        <v>55</v>
      </c>
      <c r="GQ17" s="202" t="s">
        <v>55</v>
      </c>
      <c r="GR17" s="202" t="s">
        <v>55</v>
      </c>
      <c r="GS17" s="202" t="s">
        <v>55</v>
      </c>
      <c r="GT17" s="202" t="s">
        <v>55</v>
      </c>
      <c r="GU17" s="202" t="s">
        <v>55</v>
      </c>
      <c r="GV17" s="202" t="s">
        <v>55</v>
      </c>
      <c r="GW17" s="202" t="s">
        <v>55</v>
      </c>
      <c r="GX17" s="577">
        <f>SUM(GZ17:HK17)</f>
        <v>35</v>
      </c>
      <c r="GY17" s="578"/>
      <c r="GZ17" s="577">
        <v>0</v>
      </c>
      <c r="HA17" s="578"/>
      <c r="HB17" s="577">
        <v>4</v>
      </c>
      <c r="HC17" s="578"/>
      <c r="HD17" s="577">
        <v>1</v>
      </c>
      <c r="HE17" s="578"/>
      <c r="HF17" s="577">
        <v>0</v>
      </c>
      <c r="HG17" s="578"/>
      <c r="HH17" s="577">
        <v>0</v>
      </c>
      <c r="HI17" s="578"/>
      <c r="HJ17" s="577">
        <v>30</v>
      </c>
      <c r="HK17" s="578"/>
      <c r="HL17" s="577">
        <v>17</v>
      </c>
      <c r="HM17" s="578"/>
      <c r="HN17" s="579">
        <f>GX17+HL17</f>
        <v>52</v>
      </c>
      <c r="HO17" s="579"/>
    </row>
    <row r="18" spans="1:223" ht="54" customHeight="1" x14ac:dyDescent="0.4">
      <c r="C18" s="204"/>
      <c r="D18" s="213"/>
      <c r="E18" s="213"/>
      <c r="F18" s="213"/>
      <c r="G18" s="213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2"/>
      <c r="CV18" s="212"/>
      <c r="CW18" s="212"/>
      <c r="CX18" s="212"/>
      <c r="CY18" s="212"/>
      <c r="CZ18" s="212"/>
      <c r="DA18" s="212"/>
      <c r="DB18" s="212"/>
      <c r="DC18" s="212"/>
      <c r="DD18" s="212"/>
      <c r="DE18" s="212"/>
      <c r="DF18" s="212"/>
      <c r="DG18" s="212"/>
      <c r="DH18" s="212"/>
      <c r="DI18" s="212"/>
      <c r="DJ18" s="212"/>
      <c r="DK18" s="213"/>
      <c r="DL18" s="213"/>
      <c r="DM18" s="213"/>
      <c r="DN18" s="213"/>
      <c r="DO18" s="214"/>
      <c r="DP18" s="214"/>
      <c r="DQ18" s="214"/>
      <c r="DR18" s="214"/>
      <c r="DS18" s="214"/>
      <c r="DT18" s="214"/>
      <c r="DU18" s="214"/>
      <c r="DV18" s="214"/>
      <c r="DW18" s="214"/>
      <c r="DX18" s="214"/>
      <c r="DY18" s="214"/>
      <c r="DZ18" s="214"/>
      <c r="EA18" s="214"/>
      <c r="EB18" s="214"/>
      <c r="EC18" s="214"/>
      <c r="ED18" s="214"/>
      <c r="EE18" s="214"/>
      <c r="EF18" s="214"/>
      <c r="EG18" s="214"/>
      <c r="EH18" s="214"/>
      <c r="EI18" s="214"/>
      <c r="EJ18" s="207"/>
      <c r="EK18" s="207"/>
      <c r="EL18" s="207"/>
      <c r="EM18" s="207"/>
      <c r="EN18" s="209"/>
      <c r="EO18" s="209"/>
      <c r="EP18" s="209"/>
      <c r="EQ18" s="51"/>
      <c r="EV18" s="347" t="s">
        <v>2</v>
      </c>
      <c r="EW18" s="347"/>
      <c r="EX18" s="202" t="s">
        <v>55</v>
      </c>
      <c r="EY18" s="202" t="s">
        <v>45</v>
      </c>
      <c r="EZ18" s="241"/>
      <c r="FA18" s="241"/>
      <c r="FB18" s="241"/>
      <c r="FC18" s="241"/>
      <c r="FD18" s="241"/>
      <c r="FE18" s="241"/>
      <c r="FF18" s="241"/>
      <c r="FG18" s="241"/>
      <c r="FH18" s="241"/>
      <c r="FI18" s="241"/>
      <c r="FJ18" s="241"/>
      <c r="FK18" s="241"/>
      <c r="FL18" s="241"/>
      <c r="FM18" s="241"/>
      <c r="FN18" s="241"/>
      <c r="FO18" s="202" t="s">
        <v>55</v>
      </c>
      <c r="FP18" s="202" t="s">
        <v>55</v>
      </c>
      <c r="FQ18" s="202" t="s">
        <v>56</v>
      </c>
      <c r="FR18" s="202" t="s">
        <v>56</v>
      </c>
      <c r="FS18" s="202" t="s">
        <v>55</v>
      </c>
      <c r="FT18" s="202" t="s">
        <v>55</v>
      </c>
      <c r="FU18" s="241"/>
      <c r="FV18" s="241"/>
      <c r="FW18" s="241"/>
      <c r="FX18" s="241"/>
      <c r="FY18" s="241"/>
      <c r="FZ18" s="241"/>
      <c r="GA18" s="241"/>
      <c r="GB18" s="241"/>
      <c r="GC18" s="241"/>
      <c r="GD18" s="241"/>
      <c r="GE18" s="241"/>
      <c r="GF18" s="241"/>
      <c r="GG18" s="241"/>
      <c r="GH18" s="241"/>
      <c r="GI18" s="241"/>
      <c r="GJ18" s="202" t="s">
        <v>56</v>
      </c>
      <c r="GK18" s="202" t="s">
        <v>56</v>
      </c>
      <c r="GL18" s="202" t="s">
        <v>55</v>
      </c>
      <c r="GM18" s="202" t="s">
        <v>55</v>
      </c>
      <c r="GN18" s="202" t="s">
        <v>55</v>
      </c>
      <c r="GO18" s="202" t="s">
        <v>55</v>
      </c>
      <c r="GP18" s="202" t="s">
        <v>55</v>
      </c>
      <c r="GQ18" s="202" t="s">
        <v>55</v>
      </c>
      <c r="GR18" s="202" t="s">
        <v>55</v>
      </c>
      <c r="GS18" s="202" t="s">
        <v>55</v>
      </c>
      <c r="GT18" s="202" t="s">
        <v>55</v>
      </c>
      <c r="GU18" s="202" t="s">
        <v>55</v>
      </c>
      <c r="GV18" s="202" t="s">
        <v>55</v>
      </c>
      <c r="GW18" s="202" t="s">
        <v>55</v>
      </c>
      <c r="GX18" s="577">
        <f>SUM(GZ18:HK18)</f>
        <v>35</v>
      </c>
      <c r="GY18" s="578"/>
      <c r="GZ18" s="577">
        <v>0</v>
      </c>
      <c r="HA18" s="578"/>
      <c r="HB18" s="577">
        <v>4</v>
      </c>
      <c r="HC18" s="578"/>
      <c r="HD18" s="577">
        <v>1</v>
      </c>
      <c r="HE18" s="578"/>
      <c r="HF18" s="577">
        <v>0</v>
      </c>
      <c r="HG18" s="578"/>
      <c r="HH18" s="577">
        <v>0</v>
      </c>
      <c r="HI18" s="578"/>
      <c r="HJ18" s="577">
        <v>30</v>
      </c>
      <c r="HK18" s="578"/>
      <c r="HL18" s="577">
        <v>17</v>
      </c>
      <c r="HM18" s="578"/>
      <c r="HN18" s="579">
        <f>GX18+HL18</f>
        <v>52</v>
      </c>
      <c r="HO18" s="579"/>
    </row>
    <row r="19" spans="1:223" ht="54" customHeight="1" x14ac:dyDescent="0.4">
      <c r="C19" s="204"/>
      <c r="D19" s="213"/>
      <c r="E19" s="213"/>
      <c r="F19" s="213"/>
      <c r="G19" s="213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  <c r="CO19" s="212"/>
      <c r="CP19" s="212"/>
      <c r="CQ19" s="212"/>
      <c r="CR19" s="212"/>
      <c r="CS19" s="212"/>
      <c r="CT19" s="212"/>
      <c r="CU19" s="212"/>
      <c r="CV19" s="212"/>
      <c r="CW19" s="212"/>
      <c r="CX19" s="212"/>
      <c r="CY19" s="212"/>
      <c r="CZ19" s="212"/>
      <c r="DA19" s="212"/>
      <c r="DB19" s="212"/>
      <c r="DC19" s="212"/>
      <c r="DD19" s="212"/>
      <c r="DE19" s="212"/>
      <c r="DF19" s="212"/>
      <c r="DG19" s="212"/>
      <c r="DH19" s="212"/>
      <c r="DI19" s="212"/>
      <c r="DJ19" s="212"/>
      <c r="DK19" s="213"/>
      <c r="DL19" s="213"/>
      <c r="DM19" s="213"/>
      <c r="DN19" s="213"/>
      <c r="DO19" s="214"/>
      <c r="DP19" s="214"/>
      <c r="DQ19" s="214"/>
      <c r="DR19" s="214"/>
      <c r="DS19" s="214"/>
      <c r="DT19" s="214"/>
      <c r="DU19" s="214"/>
      <c r="DV19" s="214"/>
      <c r="DW19" s="214"/>
      <c r="DX19" s="214"/>
      <c r="DY19" s="214"/>
      <c r="DZ19" s="214"/>
      <c r="EA19" s="214"/>
      <c r="EB19" s="214"/>
      <c r="EC19" s="214"/>
      <c r="ED19" s="214"/>
      <c r="EE19" s="214"/>
      <c r="EF19" s="214"/>
      <c r="EG19" s="214"/>
      <c r="EH19" s="214"/>
      <c r="EI19" s="214"/>
      <c r="EJ19" s="207"/>
      <c r="EK19" s="207"/>
      <c r="EL19" s="207"/>
      <c r="EM19" s="207"/>
      <c r="EN19" s="209"/>
      <c r="EO19" s="209"/>
      <c r="EP19" s="209"/>
      <c r="EQ19" s="51"/>
      <c r="EV19" s="347" t="s">
        <v>3</v>
      </c>
      <c r="EW19" s="347"/>
      <c r="EX19" s="202" t="s">
        <v>55</v>
      </c>
      <c r="EY19" s="202" t="s">
        <v>45</v>
      </c>
      <c r="EZ19" s="241"/>
      <c r="FA19" s="241"/>
      <c r="FB19" s="241"/>
      <c r="FC19" s="241"/>
      <c r="FD19" s="241"/>
      <c r="FE19" s="241"/>
      <c r="FF19" s="241"/>
      <c r="FG19" s="241"/>
      <c r="FH19" s="241"/>
      <c r="FI19" s="241"/>
      <c r="FJ19" s="241"/>
      <c r="FK19" s="241"/>
      <c r="FL19" s="241"/>
      <c r="FM19" s="241"/>
      <c r="FN19" s="241"/>
      <c r="FO19" s="202" t="s">
        <v>55</v>
      </c>
      <c r="FP19" s="202" t="s">
        <v>55</v>
      </c>
      <c r="FQ19" s="202" t="s">
        <v>56</v>
      </c>
      <c r="FR19" s="202" t="s">
        <v>56</v>
      </c>
      <c r="FS19" s="202" t="s">
        <v>55</v>
      </c>
      <c r="FT19" s="202" t="s">
        <v>55</v>
      </c>
      <c r="FU19" s="241"/>
      <c r="FV19" s="241"/>
      <c r="FW19" s="241"/>
      <c r="FX19" s="241"/>
      <c r="FY19" s="241"/>
      <c r="FZ19" s="241"/>
      <c r="GA19" s="241"/>
      <c r="GB19" s="241"/>
      <c r="GC19" s="241"/>
      <c r="GD19" s="241"/>
      <c r="GE19" s="241"/>
      <c r="GF19" s="241"/>
      <c r="GG19" s="241"/>
      <c r="GH19" s="241"/>
      <c r="GI19" s="241"/>
      <c r="GJ19" s="202" t="s">
        <v>56</v>
      </c>
      <c r="GK19" s="202" t="s">
        <v>56</v>
      </c>
      <c r="GL19" s="202" t="s">
        <v>19</v>
      </c>
      <c r="GM19" s="202" t="s">
        <v>19</v>
      </c>
      <c r="GN19" s="202" t="s">
        <v>55</v>
      </c>
      <c r="GO19" s="202" t="s">
        <v>55</v>
      </c>
      <c r="GP19" s="202" t="s">
        <v>55</v>
      </c>
      <c r="GQ19" s="202" t="s">
        <v>55</v>
      </c>
      <c r="GR19" s="202" t="s">
        <v>55</v>
      </c>
      <c r="GS19" s="202" t="s">
        <v>55</v>
      </c>
      <c r="GT19" s="202"/>
      <c r="GU19" s="202"/>
      <c r="GV19" s="202"/>
      <c r="GW19" s="202"/>
      <c r="GX19" s="577">
        <f>SUM(GZ19:HK19)</f>
        <v>37</v>
      </c>
      <c r="GY19" s="578"/>
      <c r="GZ19" s="577">
        <v>0</v>
      </c>
      <c r="HA19" s="578"/>
      <c r="HB19" s="577">
        <v>4</v>
      </c>
      <c r="HC19" s="578"/>
      <c r="HD19" s="577">
        <v>1</v>
      </c>
      <c r="HE19" s="578"/>
      <c r="HF19" s="577">
        <v>0</v>
      </c>
      <c r="HG19" s="578"/>
      <c r="HH19" s="577">
        <v>2</v>
      </c>
      <c r="HI19" s="578"/>
      <c r="HJ19" s="577">
        <v>30</v>
      </c>
      <c r="HK19" s="578"/>
      <c r="HL19" s="577">
        <v>11</v>
      </c>
      <c r="HM19" s="578"/>
      <c r="HN19" s="579">
        <f>GX19+HL19</f>
        <v>48</v>
      </c>
      <c r="HO19" s="579"/>
    </row>
    <row r="20" spans="1:223" ht="54" customHeight="1" x14ac:dyDescent="0.4">
      <c r="C20" s="204"/>
      <c r="D20" s="213"/>
      <c r="E20" s="213"/>
      <c r="F20" s="213"/>
      <c r="G20" s="213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  <c r="CO20" s="212"/>
      <c r="CP20" s="212"/>
      <c r="CQ20" s="212"/>
      <c r="CR20" s="212"/>
      <c r="CS20" s="212"/>
      <c r="CT20" s="212"/>
      <c r="CU20" s="212"/>
      <c r="CV20" s="212"/>
      <c r="CW20" s="212"/>
      <c r="CX20" s="212"/>
      <c r="CY20" s="212"/>
      <c r="CZ20" s="212"/>
      <c r="DA20" s="212"/>
      <c r="DB20" s="212"/>
      <c r="DC20" s="212"/>
      <c r="DD20" s="212"/>
      <c r="DE20" s="212"/>
      <c r="DF20" s="212"/>
      <c r="DG20" s="212"/>
      <c r="DH20" s="212"/>
      <c r="DI20" s="212"/>
      <c r="DJ20" s="212"/>
      <c r="DK20" s="213"/>
      <c r="DL20" s="213"/>
      <c r="DM20" s="213"/>
      <c r="DN20" s="213"/>
      <c r="DO20" s="214"/>
      <c r="DP20" s="214"/>
      <c r="DQ20" s="214"/>
      <c r="DR20" s="214"/>
      <c r="DS20" s="214"/>
      <c r="DT20" s="214"/>
      <c r="DU20" s="214"/>
      <c r="DV20" s="214"/>
      <c r="DW20" s="214"/>
      <c r="DX20" s="214"/>
      <c r="DY20" s="214"/>
      <c r="DZ20" s="214"/>
      <c r="EA20" s="214"/>
      <c r="EB20" s="214"/>
      <c r="EC20" s="214"/>
      <c r="ED20" s="214"/>
      <c r="EE20" s="214"/>
      <c r="EF20" s="214"/>
      <c r="EG20" s="214"/>
      <c r="EH20" s="214"/>
      <c r="EI20" s="214"/>
      <c r="EJ20" s="207"/>
      <c r="EK20" s="207"/>
      <c r="EL20" s="207"/>
      <c r="EM20" s="207"/>
      <c r="EN20" s="209"/>
      <c r="EO20" s="209"/>
      <c r="EP20" s="209"/>
      <c r="EQ20" s="51"/>
      <c r="EV20" s="583" t="s">
        <v>24</v>
      </c>
      <c r="EW20" s="583"/>
      <c r="EX20" s="583"/>
      <c r="EY20" s="583"/>
      <c r="EZ20" s="583"/>
      <c r="FA20" s="583"/>
      <c r="FB20" s="583"/>
      <c r="FC20" s="583"/>
      <c r="FD20" s="583"/>
      <c r="FE20" s="583"/>
      <c r="FF20" s="583"/>
      <c r="FG20" s="583"/>
      <c r="FH20" s="583"/>
      <c r="FI20" s="583"/>
      <c r="FJ20" s="583"/>
      <c r="FK20" s="583"/>
      <c r="FL20" s="583"/>
      <c r="FM20" s="583"/>
      <c r="FN20" s="583"/>
      <c r="FO20" s="583"/>
      <c r="FP20" s="583"/>
      <c r="FQ20" s="583"/>
      <c r="FR20" s="583"/>
      <c r="FS20" s="583"/>
      <c r="FT20" s="583"/>
      <c r="FU20" s="583"/>
      <c r="FV20" s="583"/>
      <c r="FW20" s="583"/>
      <c r="FX20" s="583"/>
      <c r="FY20" s="583"/>
      <c r="FZ20" s="583"/>
      <c r="GA20" s="583"/>
      <c r="GB20" s="583"/>
      <c r="GC20" s="583"/>
      <c r="GD20" s="583"/>
      <c r="GE20" s="583"/>
      <c r="GF20" s="583"/>
      <c r="GG20" s="583"/>
      <c r="GH20" s="583"/>
      <c r="GI20" s="583"/>
      <c r="GJ20" s="583"/>
      <c r="GK20" s="583"/>
      <c r="GL20" s="583"/>
      <c r="GM20" s="583"/>
      <c r="GN20" s="583"/>
      <c r="GO20" s="583"/>
      <c r="GP20" s="583"/>
      <c r="GQ20" s="583"/>
      <c r="GR20" s="583"/>
      <c r="GS20" s="583"/>
      <c r="GT20" s="583"/>
      <c r="GU20" s="583"/>
      <c r="GV20" s="583"/>
      <c r="GW20" s="583"/>
      <c r="GX20" s="577">
        <f>SUM(GX16:GY19)</f>
        <v>145</v>
      </c>
      <c r="GY20" s="578"/>
      <c r="GZ20" s="577">
        <f>SUM(GZ16:HA19)</f>
        <v>30</v>
      </c>
      <c r="HA20" s="578"/>
      <c r="HB20" s="577">
        <f>SUM(HB16:HC19)</f>
        <v>16</v>
      </c>
      <c r="HC20" s="578"/>
      <c r="HD20" s="577">
        <f>SUM(HD16:HE19)</f>
        <v>5</v>
      </c>
      <c r="HE20" s="578"/>
      <c r="HF20" s="577">
        <f>SUM(HF16:HG19)</f>
        <v>2</v>
      </c>
      <c r="HG20" s="578"/>
      <c r="HH20" s="577">
        <f>SUM(HH16:HI19)</f>
        <v>2</v>
      </c>
      <c r="HI20" s="578"/>
      <c r="HJ20" s="577">
        <f>SUM(HJ16:HK19)</f>
        <v>90</v>
      </c>
      <c r="HK20" s="578"/>
      <c r="HL20" s="577">
        <f>SUM(HL16:HM19)</f>
        <v>59</v>
      </c>
      <c r="HM20" s="578"/>
      <c r="HN20" s="577">
        <f>SUM(HN16:HO19)</f>
        <v>204</v>
      </c>
      <c r="HO20" s="578"/>
    </row>
    <row r="21" spans="1:223" ht="57" customHeight="1" thickBot="1" x14ac:dyDescent="0.75">
      <c r="C21" s="204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  <c r="CE21" s="213"/>
      <c r="CF21" s="213"/>
      <c r="CG21" s="213"/>
      <c r="CH21" s="213"/>
      <c r="CI21" s="213"/>
      <c r="CJ21" s="213"/>
      <c r="CK21" s="213"/>
      <c r="CL21" s="213"/>
      <c r="CM21" s="213"/>
      <c r="CN21" s="213"/>
      <c r="CO21" s="213"/>
      <c r="CP21" s="213"/>
      <c r="CQ21" s="213"/>
      <c r="CR21" s="213"/>
      <c r="CS21" s="213"/>
      <c r="CT21" s="213"/>
      <c r="CU21" s="213"/>
      <c r="CV21" s="213"/>
      <c r="CW21" s="213"/>
      <c r="CX21" s="213"/>
      <c r="CY21" s="213"/>
      <c r="CZ21" s="213"/>
      <c r="DA21" s="213"/>
      <c r="DB21" s="213"/>
      <c r="DC21" s="213"/>
      <c r="DD21" s="213"/>
      <c r="DE21" s="213"/>
      <c r="DF21" s="213"/>
      <c r="DG21" s="213"/>
      <c r="DH21" s="213"/>
      <c r="DI21" s="213"/>
      <c r="DJ21" s="213"/>
      <c r="DK21" s="213"/>
      <c r="DL21" s="213"/>
      <c r="DM21" s="213"/>
      <c r="DN21" s="213"/>
      <c r="DO21" s="213"/>
      <c r="DP21" s="213"/>
      <c r="DQ21" s="213"/>
      <c r="DR21" s="213"/>
      <c r="DS21" s="213"/>
      <c r="DT21" s="213"/>
      <c r="DU21" s="213"/>
      <c r="DV21" s="213"/>
      <c r="DW21" s="213"/>
      <c r="DX21" s="213"/>
      <c r="DY21" s="213"/>
      <c r="DZ21" s="213"/>
      <c r="EA21" s="213"/>
      <c r="EB21" s="213"/>
      <c r="EC21" s="213"/>
      <c r="ED21" s="213"/>
      <c r="EE21" s="213"/>
      <c r="EF21" s="213"/>
      <c r="EG21" s="213"/>
      <c r="EH21" s="213"/>
      <c r="EI21" s="213"/>
      <c r="EJ21" s="207"/>
      <c r="EK21" s="207"/>
      <c r="EL21" s="207"/>
      <c r="EM21" s="207"/>
      <c r="EN21" s="209"/>
      <c r="EO21" s="209"/>
      <c r="EP21" s="209"/>
      <c r="EQ21" s="51"/>
      <c r="EV21" s="124"/>
      <c r="EW21" s="124"/>
      <c r="EX21" s="124"/>
      <c r="EY21" s="124"/>
      <c r="EZ21" s="124"/>
      <c r="FA21" s="124"/>
      <c r="FB21" s="124"/>
      <c r="FC21" s="124"/>
      <c r="FD21" s="124"/>
      <c r="FE21" s="124"/>
      <c r="FF21" s="124"/>
      <c r="FG21" s="124"/>
      <c r="FH21" s="124"/>
      <c r="FI21" s="124"/>
      <c r="FJ21" s="124"/>
      <c r="FK21" s="124"/>
      <c r="FL21" s="124"/>
      <c r="FM21" s="124"/>
      <c r="FN21" s="124"/>
      <c r="FO21" s="124"/>
      <c r="FP21" s="124"/>
      <c r="FQ21" s="124"/>
      <c r="FR21" s="124"/>
      <c r="FS21" s="124"/>
      <c r="FT21" s="124"/>
      <c r="FU21" s="124"/>
      <c r="FV21" s="124"/>
      <c r="FW21" s="124"/>
      <c r="FX21" s="124"/>
      <c r="FY21" s="124"/>
      <c r="FZ21" s="124"/>
      <c r="GA21" s="124"/>
      <c r="GB21" s="124"/>
      <c r="GC21" s="124"/>
      <c r="GD21" s="124"/>
      <c r="GE21" s="124"/>
      <c r="GF21" s="124"/>
      <c r="GG21" s="124"/>
      <c r="GH21" s="124"/>
      <c r="GI21" s="124"/>
      <c r="GJ21" s="124"/>
      <c r="GK21" s="124"/>
      <c r="GL21" s="124"/>
      <c r="GM21" s="124"/>
      <c r="GN21" s="124"/>
      <c r="GO21" s="124"/>
      <c r="GP21" s="124"/>
      <c r="GQ21" s="124"/>
      <c r="GR21" s="124"/>
      <c r="GS21" s="124"/>
      <c r="GT21" s="124"/>
      <c r="GU21" s="124"/>
      <c r="GV21" s="124"/>
      <c r="GW21" s="124"/>
      <c r="GX21" s="124"/>
      <c r="GY21" s="124"/>
      <c r="GZ21" s="124"/>
      <c r="HA21" s="124"/>
      <c r="HB21" s="124"/>
      <c r="HC21" s="124"/>
      <c r="HD21" s="124"/>
      <c r="HE21" s="124"/>
      <c r="HF21" s="124"/>
      <c r="HG21" s="124"/>
      <c r="HH21" s="124"/>
      <c r="HI21" s="124"/>
      <c r="HJ21" s="124"/>
      <c r="HK21" s="124"/>
      <c r="HL21" s="124"/>
      <c r="HM21" s="124"/>
      <c r="HN21" s="124"/>
      <c r="HO21" s="124"/>
    </row>
    <row r="22" spans="1:223" ht="90" customHeight="1" thickBot="1" x14ac:dyDescent="0.45">
      <c r="C22" s="204"/>
      <c r="D22" s="204"/>
      <c r="E22" s="215"/>
      <c r="F22" s="216"/>
      <c r="G22" s="217"/>
      <c r="H22" s="217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20"/>
      <c r="BB22" s="220"/>
      <c r="BC22" s="220"/>
      <c r="BD22" s="220"/>
      <c r="BE22" s="220"/>
      <c r="BF22" s="220"/>
      <c r="BG22" s="220"/>
      <c r="BH22" s="220"/>
      <c r="BI22" s="220"/>
      <c r="BJ22" s="220"/>
      <c r="BK22" s="220"/>
      <c r="BL22" s="220"/>
      <c r="BM22" s="220"/>
      <c r="BN22" s="220"/>
      <c r="BO22" s="220"/>
      <c r="BP22" s="220"/>
      <c r="BQ22" s="220"/>
      <c r="BR22" s="220"/>
      <c r="BS22" s="220"/>
      <c r="BT22" s="220"/>
      <c r="BU22" s="220"/>
      <c r="BV22" s="219"/>
      <c r="BW22" s="219"/>
      <c r="BX22" s="219"/>
      <c r="BY22" s="219"/>
      <c r="BZ22" s="219"/>
      <c r="CA22" s="219"/>
      <c r="CB22" s="219"/>
      <c r="CC22" s="219"/>
      <c r="CD22" s="219"/>
      <c r="CE22" s="219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6"/>
      <c r="CV22" s="216"/>
      <c r="CW22" s="216"/>
      <c r="CX22" s="216"/>
      <c r="CY22" s="216"/>
      <c r="CZ22" s="216"/>
      <c r="DA22" s="216"/>
      <c r="DB22" s="216"/>
      <c r="DC22" s="216"/>
      <c r="DD22" s="216"/>
      <c r="DE22" s="216"/>
      <c r="DF22" s="216"/>
      <c r="DG22" s="216"/>
      <c r="DH22" s="216"/>
      <c r="DI22" s="216"/>
      <c r="DJ22" s="216"/>
      <c r="DK22" s="216"/>
      <c r="DL22" s="216"/>
      <c r="DM22" s="216"/>
      <c r="DN22" s="216"/>
      <c r="DO22" s="216"/>
      <c r="DP22" s="216"/>
      <c r="DQ22" s="216"/>
      <c r="DR22" s="216"/>
      <c r="DS22" s="216"/>
      <c r="DT22" s="216"/>
      <c r="DU22" s="216"/>
      <c r="DV22" s="216"/>
      <c r="DW22" s="216"/>
      <c r="DX22" s="215"/>
      <c r="DY22" s="215"/>
      <c r="DZ22" s="215"/>
      <c r="EA22" s="215"/>
      <c r="EB22" s="215"/>
      <c r="EC22" s="215"/>
      <c r="ED22" s="215"/>
      <c r="EE22" s="215"/>
      <c r="EF22" s="209"/>
      <c r="EG22" s="209"/>
      <c r="EH22" s="209"/>
      <c r="EI22" s="218"/>
      <c r="EJ22" s="218"/>
      <c r="EK22" s="218"/>
      <c r="EL22" s="218"/>
      <c r="EM22" s="218"/>
      <c r="EN22" s="209"/>
      <c r="EO22" s="209"/>
      <c r="EP22" s="209"/>
      <c r="EV22" s="203"/>
      <c r="EW22" s="584"/>
      <c r="EX22" s="585"/>
      <c r="EY22" s="586"/>
      <c r="EZ22" s="587" t="s">
        <v>266</v>
      </c>
      <c r="FA22" s="588"/>
      <c r="FB22" s="588"/>
      <c r="FC22" s="588"/>
      <c r="FD22" s="588"/>
      <c r="FE22" s="589"/>
      <c r="FF22" s="203"/>
      <c r="FG22" s="590"/>
      <c r="FH22" s="591"/>
      <c r="FI22" s="592"/>
      <c r="FJ22" s="587" t="s">
        <v>272</v>
      </c>
      <c r="FK22" s="588"/>
      <c r="FL22" s="588"/>
      <c r="FM22" s="588"/>
      <c r="FN22" s="588"/>
      <c r="FO22" s="589"/>
      <c r="FP22" s="203"/>
      <c r="FQ22" s="584" t="s">
        <v>57</v>
      </c>
      <c r="FR22" s="585"/>
      <c r="FS22" s="586"/>
      <c r="FT22" s="587" t="s">
        <v>15</v>
      </c>
      <c r="FU22" s="588"/>
      <c r="FV22" s="588"/>
      <c r="FW22" s="588"/>
      <c r="FX22" s="588"/>
      <c r="FY22" s="589"/>
      <c r="FZ22" s="203"/>
      <c r="GA22" s="584" t="s">
        <v>45</v>
      </c>
      <c r="GB22" s="585"/>
      <c r="GC22" s="586"/>
      <c r="GD22" s="587" t="s">
        <v>16</v>
      </c>
      <c r="GE22" s="588"/>
      <c r="GF22" s="588"/>
      <c r="GG22" s="588"/>
      <c r="GH22" s="588"/>
      <c r="GI22" s="589"/>
      <c r="GJ22" s="203"/>
      <c r="GK22" s="584" t="s">
        <v>56</v>
      </c>
      <c r="GL22" s="585"/>
      <c r="GM22" s="586"/>
      <c r="GN22" s="587" t="s">
        <v>17</v>
      </c>
      <c r="GO22" s="588"/>
      <c r="GP22" s="588"/>
      <c r="GQ22" s="588"/>
      <c r="GR22" s="588"/>
      <c r="GS22" s="589"/>
      <c r="GT22" s="203"/>
      <c r="GU22" s="584" t="s">
        <v>19</v>
      </c>
      <c r="GV22" s="585"/>
      <c r="GW22" s="586"/>
      <c r="GX22" s="587" t="s">
        <v>18</v>
      </c>
      <c r="GY22" s="588"/>
      <c r="GZ22" s="588"/>
      <c r="HA22" s="588"/>
      <c r="HB22" s="588"/>
      <c r="HC22" s="589"/>
      <c r="HD22" s="203"/>
      <c r="HE22" s="584" t="s">
        <v>55</v>
      </c>
      <c r="HF22" s="585"/>
      <c r="HG22" s="586"/>
      <c r="HH22" s="587" t="s">
        <v>273</v>
      </c>
      <c r="HI22" s="588"/>
      <c r="HJ22" s="588"/>
      <c r="HK22" s="588"/>
      <c r="HL22" s="588"/>
      <c r="HM22" s="589"/>
      <c r="HN22" s="203"/>
      <c r="HO22" s="203"/>
    </row>
    <row r="23" spans="1:223" s="9" customFormat="1" ht="18" customHeight="1" x14ac:dyDescent="0.2">
      <c r="A23" s="12"/>
      <c r="B23" s="12"/>
      <c r="C23" s="221"/>
      <c r="D23" s="221"/>
      <c r="E23" s="221"/>
      <c r="F23" s="221"/>
      <c r="G23" s="221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3"/>
      <c r="V23" s="223"/>
      <c r="W23" s="223"/>
      <c r="X23" s="221"/>
      <c r="Y23" s="221"/>
      <c r="Z23" s="221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5"/>
      <c r="AX23" s="225"/>
      <c r="AY23" s="225"/>
      <c r="AZ23" s="225"/>
      <c r="BA23" s="225"/>
      <c r="BB23" s="225"/>
      <c r="BC23" s="226"/>
      <c r="BD23" s="223"/>
      <c r="BE23" s="224"/>
      <c r="BF23" s="224"/>
      <c r="BG23" s="224"/>
      <c r="BH23" s="224"/>
      <c r="BI23" s="224"/>
      <c r="BJ23" s="224"/>
      <c r="BK23" s="224"/>
      <c r="BL23" s="224"/>
      <c r="BM23" s="224"/>
      <c r="BN23" s="224"/>
      <c r="BO23" s="224"/>
      <c r="BP23" s="224"/>
      <c r="BQ23" s="224"/>
      <c r="BR23" s="224"/>
      <c r="BS23" s="224"/>
      <c r="BT23" s="225"/>
      <c r="BU23" s="225"/>
      <c r="BV23" s="225"/>
      <c r="BW23" s="225"/>
      <c r="BX23" s="225"/>
      <c r="BY23" s="224"/>
      <c r="BZ23" s="224"/>
      <c r="CA23" s="224"/>
      <c r="CB23" s="224"/>
      <c r="CC23" s="224"/>
      <c r="CD23" s="224"/>
      <c r="CE23" s="224"/>
      <c r="CF23" s="224"/>
      <c r="CG23" s="224"/>
      <c r="CH23" s="224"/>
      <c r="CI23" s="224"/>
      <c r="CJ23" s="224"/>
      <c r="CK23" s="224"/>
      <c r="CL23" s="224"/>
      <c r="CM23" s="224"/>
      <c r="CN23" s="224"/>
      <c r="CO23" s="224"/>
      <c r="CP23" s="224"/>
      <c r="CQ23" s="221"/>
      <c r="CR23" s="221"/>
      <c r="CS23" s="221"/>
      <c r="CT23" s="221"/>
      <c r="CU23" s="221"/>
      <c r="CV23" s="224"/>
      <c r="CW23" s="224"/>
      <c r="CX23" s="224"/>
      <c r="CY23" s="224"/>
      <c r="CZ23" s="224"/>
      <c r="DA23" s="224"/>
      <c r="DB23" s="224"/>
      <c r="DC23" s="224"/>
      <c r="DD23" s="224"/>
      <c r="DE23" s="224"/>
      <c r="DF23" s="224"/>
      <c r="DG23" s="224"/>
      <c r="DH23" s="224"/>
      <c r="DI23" s="221"/>
      <c r="DJ23" s="221"/>
      <c r="DK23" s="221"/>
      <c r="DL23" s="221"/>
      <c r="DM23" s="221"/>
      <c r="DN23" s="224"/>
      <c r="DO23" s="224"/>
      <c r="DP23" s="224"/>
      <c r="DQ23" s="224"/>
      <c r="DR23" s="224"/>
      <c r="DS23" s="224"/>
      <c r="DT23" s="224"/>
      <c r="DU23" s="224"/>
      <c r="DV23" s="224"/>
      <c r="DW23" s="224"/>
      <c r="DX23" s="224"/>
      <c r="DY23" s="224"/>
      <c r="DZ23" s="221"/>
      <c r="EA23" s="221"/>
      <c r="EB23" s="221"/>
      <c r="EC23" s="221"/>
      <c r="ED23" s="221"/>
      <c r="EE23" s="224"/>
      <c r="EF23" s="224"/>
      <c r="EG23" s="224"/>
      <c r="EH23" s="224"/>
      <c r="EI23" s="224"/>
      <c r="EJ23" s="224"/>
      <c r="EK23" s="224"/>
      <c r="EL23" s="224"/>
      <c r="EM23" s="224"/>
      <c r="EN23" s="224"/>
      <c r="EO23" s="224"/>
      <c r="EP23" s="224"/>
      <c r="ET23" s="145"/>
      <c r="EV23" s="203"/>
      <c r="EW23" s="203"/>
      <c r="EX23" s="203"/>
      <c r="EY23" s="203"/>
      <c r="EZ23" s="203"/>
      <c r="FA23" s="203"/>
      <c r="FB23" s="203"/>
      <c r="FC23" s="203"/>
      <c r="FD23" s="203"/>
      <c r="FE23" s="203"/>
      <c r="FF23" s="203"/>
      <c r="FG23" s="203"/>
      <c r="FH23" s="203"/>
      <c r="FI23" s="203"/>
      <c r="FJ23" s="203"/>
      <c r="FK23" s="203"/>
      <c r="FL23" s="203"/>
      <c r="FM23" s="203"/>
      <c r="FN23" s="203"/>
      <c r="FO23" s="203"/>
      <c r="FP23" s="203"/>
      <c r="FQ23" s="203"/>
      <c r="FR23" s="203"/>
      <c r="FS23" s="203"/>
      <c r="FT23" s="203"/>
      <c r="FU23" s="203"/>
      <c r="FV23" s="203"/>
      <c r="FW23" s="203"/>
      <c r="FX23" s="203"/>
      <c r="FY23" s="203"/>
      <c r="FZ23" s="203"/>
      <c r="GA23" s="203"/>
      <c r="GB23" s="203"/>
      <c r="GC23" s="203"/>
      <c r="GD23" s="203"/>
      <c r="GE23" s="203"/>
      <c r="GF23" s="203"/>
      <c r="GG23" s="203"/>
      <c r="GH23" s="203"/>
      <c r="GI23" s="203"/>
      <c r="GJ23" s="203"/>
      <c r="GK23" s="203"/>
      <c r="GL23" s="203"/>
      <c r="GM23" s="203"/>
      <c r="GN23" s="203"/>
      <c r="GO23" s="203"/>
      <c r="GP23" s="203"/>
      <c r="GQ23" s="203"/>
      <c r="GR23" s="203"/>
      <c r="GS23" s="203"/>
      <c r="GT23" s="203"/>
      <c r="GU23" s="203"/>
      <c r="GV23" s="203"/>
      <c r="GW23" s="203"/>
      <c r="GX23" s="203"/>
      <c r="GY23" s="203"/>
      <c r="GZ23" s="203"/>
      <c r="HA23" s="203"/>
      <c r="HB23" s="203"/>
      <c r="HC23" s="203"/>
      <c r="HD23" s="203"/>
      <c r="HE23" s="203"/>
      <c r="HF23" s="203"/>
      <c r="HG23" s="203"/>
      <c r="HH23" s="203"/>
      <c r="HI23" s="203"/>
      <c r="HJ23" s="203"/>
      <c r="HK23" s="203"/>
      <c r="HL23" s="203"/>
      <c r="HM23" s="203"/>
      <c r="HN23" s="203"/>
      <c r="HO23" s="203"/>
    </row>
    <row r="24" spans="1:223" s="9" customFormat="1" ht="53.25" customHeight="1" x14ac:dyDescent="0.2">
      <c r="A24" s="12"/>
      <c r="B24" s="12"/>
      <c r="C24" s="221"/>
      <c r="D24" s="221"/>
      <c r="E24" s="221"/>
      <c r="F24" s="221"/>
      <c r="G24" s="221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3"/>
      <c r="V24" s="223"/>
      <c r="W24" s="223"/>
      <c r="X24" s="221"/>
      <c r="Y24" s="221"/>
      <c r="Z24" s="221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5"/>
      <c r="AX24" s="225"/>
      <c r="AY24" s="225"/>
      <c r="AZ24" s="225"/>
      <c r="BA24" s="225"/>
      <c r="BB24" s="225"/>
      <c r="BC24" s="226"/>
      <c r="BD24" s="223"/>
      <c r="BE24" s="224"/>
      <c r="BF24" s="224"/>
      <c r="BG24" s="224"/>
      <c r="BH24" s="224"/>
      <c r="BI24" s="224"/>
      <c r="BJ24" s="224"/>
      <c r="BK24" s="224"/>
      <c r="BL24" s="224"/>
      <c r="BM24" s="224"/>
      <c r="BN24" s="224"/>
      <c r="BO24" s="224"/>
      <c r="BP24" s="224"/>
      <c r="BQ24" s="224"/>
      <c r="BR24" s="224"/>
      <c r="BS24" s="224"/>
      <c r="BT24" s="225"/>
      <c r="BU24" s="225"/>
      <c r="BV24" s="225"/>
      <c r="BW24" s="225"/>
      <c r="BX24" s="225"/>
      <c r="BY24" s="224"/>
      <c r="BZ24" s="224"/>
      <c r="CA24" s="224"/>
      <c r="CB24" s="224"/>
      <c r="CC24" s="224"/>
      <c r="CD24" s="224"/>
      <c r="CE24" s="224"/>
      <c r="CF24" s="224"/>
      <c r="CG24" s="224"/>
      <c r="CH24" s="224"/>
      <c r="CI24" s="224"/>
      <c r="CJ24" s="224"/>
      <c r="CK24" s="224"/>
      <c r="CL24" s="224"/>
      <c r="CM24" s="224"/>
      <c r="CN24" s="224"/>
      <c r="CO24" s="224"/>
      <c r="CP24" s="224"/>
      <c r="CQ24" s="221"/>
      <c r="CR24" s="221"/>
      <c r="CS24" s="221"/>
      <c r="CT24" s="221"/>
      <c r="CU24" s="221"/>
      <c r="CV24" s="224"/>
      <c r="CW24" s="224"/>
      <c r="CX24" s="224"/>
      <c r="CY24" s="224"/>
      <c r="CZ24" s="224"/>
      <c r="DA24" s="224"/>
      <c r="DB24" s="224"/>
      <c r="DC24" s="224"/>
      <c r="DD24" s="224"/>
      <c r="DE24" s="224"/>
      <c r="DF24" s="224"/>
      <c r="DG24" s="224"/>
      <c r="DH24" s="224"/>
      <c r="DI24" s="221"/>
      <c r="DJ24" s="221"/>
      <c r="DK24" s="221"/>
      <c r="DL24" s="221"/>
      <c r="DM24" s="221"/>
      <c r="DN24" s="224"/>
      <c r="DO24" s="224"/>
      <c r="DP24" s="224"/>
      <c r="DQ24" s="224"/>
      <c r="DR24" s="224"/>
      <c r="DS24" s="224"/>
      <c r="DT24" s="224"/>
      <c r="DU24" s="224"/>
      <c r="DV24" s="224"/>
      <c r="DW24" s="224"/>
      <c r="DX24" s="224"/>
      <c r="DY24" s="224"/>
      <c r="DZ24" s="221"/>
      <c r="EA24" s="221"/>
      <c r="EB24" s="221"/>
      <c r="EC24" s="221"/>
      <c r="ED24" s="221"/>
      <c r="EE24" s="224"/>
      <c r="EF24" s="224"/>
      <c r="EG24" s="224"/>
      <c r="EH24" s="224"/>
      <c r="EI24" s="224"/>
      <c r="EJ24" s="224"/>
      <c r="EK24" s="224"/>
      <c r="EL24" s="224"/>
      <c r="EM24" s="224"/>
      <c r="EN24" s="224"/>
      <c r="EO24" s="224"/>
      <c r="EP24" s="224"/>
      <c r="ET24" s="145"/>
    </row>
    <row r="25" spans="1:223" s="10" customFormat="1" ht="15" customHeight="1" x14ac:dyDescent="0.25">
      <c r="A25" s="54"/>
      <c r="B25" s="54"/>
      <c r="C25" s="227"/>
      <c r="D25" s="227"/>
      <c r="E25" s="227"/>
      <c r="F25" s="228"/>
      <c r="G25" s="228"/>
      <c r="H25" s="228"/>
      <c r="I25" s="228"/>
      <c r="J25" s="228"/>
      <c r="K25" s="228"/>
      <c r="L25" s="228"/>
      <c r="M25" s="228"/>
      <c r="N25" s="227"/>
      <c r="O25" s="227"/>
      <c r="P25" s="227"/>
      <c r="Q25" s="227"/>
      <c r="R25" s="229"/>
      <c r="S25" s="229"/>
      <c r="T25" s="227"/>
      <c r="U25" s="227"/>
      <c r="V25" s="227"/>
      <c r="W25" s="230"/>
      <c r="X25" s="230"/>
      <c r="Y25" s="230"/>
      <c r="Z25" s="231"/>
      <c r="AA25" s="231"/>
      <c r="AB25" s="232"/>
      <c r="AC25" s="232"/>
      <c r="AD25" s="109"/>
      <c r="AE25" s="109"/>
      <c r="AF25" s="233"/>
      <c r="AG25" s="109"/>
      <c r="AH25" s="109"/>
      <c r="AI25" s="109"/>
      <c r="AJ25" s="233"/>
      <c r="AK25" s="234"/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4"/>
      <c r="AW25" s="233"/>
      <c r="AX25" s="233"/>
      <c r="AY25" s="233"/>
      <c r="AZ25" s="109"/>
      <c r="BA25" s="109"/>
      <c r="BB25" s="109"/>
      <c r="BC25" s="109"/>
      <c r="BD25" s="233"/>
      <c r="BE25" s="233"/>
      <c r="BF25" s="233"/>
      <c r="BG25" s="233"/>
      <c r="BH25" s="235"/>
      <c r="BI25" s="230"/>
      <c r="BJ25" s="236"/>
      <c r="BK25" s="236"/>
      <c r="BL25" s="236"/>
      <c r="BM25" s="236"/>
      <c r="BN25" s="230"/>
      <c r="BO25" s="233"/>
      <c r="BP25" s="233"/>
      <c r="BQ25" s="233"/>
      <c r="BR25" s="233"/>
      <c r="BS25" s="233"/>
      <c r="BT25" s="233"/>
      <c r="BU25" s="233"/>
      <c r="BV25" s="237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37"/>
      <c r="DA25" s="237"/>
      <c r="DB25" s="237"/>
      <c r="DC25" s="233"/>
      <c r="DD25" s="233"/>
      <c r="DE25" s="233"/>
      <c r="DF25" s="233"/>
      <c r="DG25" s="233"/>
      <c r="DH25" s="233"/>
      <c r="DI25" s="233"/>
      <c r="DJ25" s="237"/>
      <c r="DK25" s="237"/>
      <c r="DL25" s="237"/>
      <c r="DM25" s="237"/>
      <c r="DN25" s="237"/>
      <c r="DO25" s="237"/>
      <c r="DP25" s="237"/>
      <c r="DQ25" s="237"/>
      <c r="DR25" s="237"/>
      <c r="DS25" s="237"/>
      <c r="DT25" s="237"/>
      <c r="DU25" s="237"/>
      <c r="DV25" s="237"/>
      <c r="DW25" s="237"/>
      <c r="DX25" s="237"/>
      <c r="DY25" s="237"/>
      <c r="DZ25" s="237"/>
      <c r="EA25" s="237"/>
      <c r="EB25" s="237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T25" s="191"/>
    </row>
    <row r="26" spans="1:223" ht="69.75" thickBot="1" x14ac:dyDescent="0.25">
      <c r="A26" s="365" t="s">
        <v>250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5"/>
      <c r="Q26" s="365"/>
      <c r="R26" s="365"/>
      <c r="S26" s="365"/>
      <c r="T26" s="365"/>
      <c r="U26" s="365"/>
      <c r="V26" s="365"/>
      <c r="W26" s="365"/>
      <c r="X26" s="365"/>
      <c r="Y26" s="365"/>
      <c r="Z26" s="365"/>
      <c r="AA26" s="365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365"/>
      <c r="AT26" s="365"/>
      <c r="AU26" s="365"/>
      <c r="AV26" s="365"/>
      <c r="AW26" s="365"/>
      <c r="AX26" s="365"/>
      <c r="AY26" s="365"/>
      <c r="AZ26" s="365"/>
      <c r="BA26" s="365"/>
      <c r="BB26" s="365"/>
      <c r="BC26" s="365"/>
      <c r="BD26" s="365"/>
      <c r="BE26" s="365"/>
      <c r="BF26" s="365"/>
      <c r="BG26" s="365"/>
      <c r="BH26" s="365"/>
      <c r="BI26" s="365"/>
      <c r="BJ26" s="365"/>
      <c r="BK26" s="365"/>
      <c r="BL26" s="365"/>
      <c r="BM26" s="365"/>
      <c r="BN26" s="365"/>
      <c r="BO26" s="365"/>
      <c r="BP26" s="365"/>
      <c r="BQ26" s="365"/>
      <c r="BR26" s="365"/>
      <c r="BS26" s="365"/>
      <c r="BT26" s="365"/>
      <c r="BU26" s="365"/>
      <c r="BV26" s="365"/>
      <c r="BW26" s="365"/>
      <c r="BX26" s="365"/>
      <c r="BY26" s="365"/>
      <c r="BZ26" s="365"/>
      <c r="CA26" s="365"/>
      <c r="CB26" s="365"/>
      <c r="CC26" s="365"/>
      <c r="CD26" s="365"/>
      <c r="CE26" s="365"/>
      <c r="CF26" s="365"/>
      <c r="CG26" s="365"/>
      <c r="CH26" s="365"/>
      <c r="CI26" s="365"/>
      <c r="CJ26" s="365"/>
      <c r="CK26" s="365"/>
      <c r="CL26" s="365"/>
      <c r="CM26" s="365"/>
      <c r="CN26" s="365"/>
      <c r="CO26" s="365"/>
      <c r="CP26" s="365"/>
      <c r="CQ26" s="365"/>
      <c r="CR26" s="365"/>
      <c r="CS26" s="365"/>
      <c r="CT26" s="365"/>
      <c r="CU26" s="365"/>
      <c r="CV26" s="365"/>
      <c r="CW26" s="365"/>
      <c r="CX26" s="365"/>
      <c r="CY26" s="365"/>
      <c r="CZ26" s="365"/>
      <c r="DA26" s="365"/>
      <c r="DB26" s="365"/>
      <c r="DC26" s="365"/>
      <c r="DD26" s="365"/>
      <c r="DE26" s="365"/>
      <c r="DF26" s="365"/>
      <c r="DG26" s="365"/>
      <c r="DH26" s="365"/>
      <c r="DI26" s="365"/>
      <c r="DJ26" s="365"/>
      <c r="DK26" s="365"/>
      <c r="DL26" s="365"/>
      <c r="DM26" s="365"/>
      <c r="DN26" s="365"/>
      <c r="DO26" s="365"/>
      <c r="DP26" s="365"/>
      <c r="DQ26" s="365"/>
      <c r="DR26" s="365"/>
      <c r="DS26" s="365"/>
      <c r="DT26" s="365"/>
      <c r="DU26" s="365"/>
      <c r="DV26" s="365"/>
      <c r="DW26" s="365"/>
      <c r="DX26" s="365"/>
      <c r="DY26" s="365"/>
      <c r="DZ26" s="365"/>
      <c r="EA26" s="365"/>
      <c r="EB26" s="365"/>
      <c r="EC26" s="365"/>
      <c r="ED26" s="365"/>
      <c r="EE26" s="365"/>
      <c r="EF26" s="365"/>
      <c r="EG26" s="365"/>
      <c r="EH26" s="365"/>
      <c r="EI26" s="365"/>
      <c r="EJ26" s="365"/>
      <c r="EK26" s="365"/>
      <c r="EL26" s="365"/>
      <c r="EM26" s="365"/>
      <c r="EN26" s="365"/>
      <c r="EO26" s="365"/>
      <c r="EP26" s="365"/>
      <c r="EQ26" s="365"/>
      <c r="ER26" s="365"/>
      <c r="ES26" s="365"/>
    </row>
    <row r="27" spans="1:223" s="80" customFormat="1" ht="105" customHeight="1" thickTop="1" x14ac:dyDescent="0.45">
      <c r="A27" s="369" t="s">
        <v>25</v>
      </c>
      <c r="B27" s="465" t="s">
        <v>58</v>
      </c>
      <c r="C27" s="474" t="s">
        <v>59</v>
      </c>
      <c r="D27" s="474"/>
      <c r="E27" s="474"/>
      <c r="F27" s="474"/>
      <c r="G27" s="474"/>
      <c r="H27" s="474"/>
      <c r="I27" s="474"/>
      <c r="J27" s="474"/>
      <c r="K27" s="474"/>
      <c r="L27" s="474"/>
      <c r="M27" s="474"/>
      <c r="N27" s="474"/>
      <c r="O27" s="474"/>
      <c r="P27" s="474"/>
      <c r="Q27" s="474"/>
      <c r="R27" s="474"/>
      <c r="S27" s="474"/>
      <c r="T27" s="474"/>
      <c r="U27" s="474"/>
      <c r="V27" s="474"/>
      <c r="W27" s="474"/>
      <c r="X27" s="474"/>
      <c r="Y27" s="474"/>
      <c r="Z27" s="468" t="s">
        <v>60</v>
      </c>
      <c r="AA27" s="469"/>
      <c r="AB27" s="469"/>
      <c r="AC27" s="469"/>
      <c r="AD27" s="469"/>
      <c r="AE27" s="469"/>
      <c r="AF27" s="469"/>
      <c r="AG27" s="469"/>
      <c r="AH27" s="469"/>
      <c r="AI27" s="469"/>
      <c r="AJ27" s="469"/>
      <c r="AK27" s="469"/>
      <c r="AL27" s="469"/>
      <c r="AM27" s="469"/>
      <c r="AN27" s="469"/>
      <c r="AO27" s="469"/>
      <c r="AP27" s="469"/>
      <c r="AQ27" s="469"/>
      <c r="AR27" s="469"/>
      <c r="AS27" s="469"/>
      <c r="AT27" s="469"/>
      <c r="AU27" s="469"/>
      <c r="AV27" s="469"/>
      <c r="AW27" s="469"/>
      <c r="AX27" s="469"/>
      <c r="AY27" s="469"/>
      <c r="AZ27" s="469"/>
      <c r="BA27" s="469"/>
      <c r="BB27" s="469"/>
      <c r="BC27" s="469"/>
      <c r="BD27" s="469"/>
      <c r="BE27" s="469"/>
      <c r="BF27" s="469"/>
      <c r="BG27" s="469"/>
      <c r="BH27" s="469"/>
      <c r="BI27" s="469"/>
      <c r="BJ27" s="469"/>
      <c r="BK27" s="470"/>
      <c r="BL27" s="470"/>
      <c r="BM27" s="470"/>
      <c r="BN27" s="471"/>
      <c r="BO27" s="480" t="s">
        <v>251</v>
      </c>
      <c r="BP27" s="481"/>
      <c r="BQ27" s="481"/>
      <c r="BR27" s="481"/>
      <c r="BS27" s="481"/>
      <c r="BT27" s="481"/>
      <c r="BU27" s="481"/>
      <c r="BV27" s="481"/>
      <c r="BW27" s="481"/>
      <c r="BX27" s="481"/>
      <c r="BY27" s="481"/>
      <c r="BZ27" s="481"/>
      <c r="CA27" s="481"/>
      <c r="CB27" s="481"/>
      <c r="CC27" s="481"/>
      <c r="CD27" s="481"/>
      <c r="CE27" s="481"/>
      <c r="CF27" s="481"/>
      <c r="CG27" s="481"/>
      <c r="CH27" s="481"/>
      <c r="CI27" s="481"/>
      <c r="CJ27" s="481"/>
      <c r="CK27" s="481"/>
      <c r="CL27" s="481"/>
      <c r="CM27" s="481"/>
      <c r="CN27" s="481"/>
      <c r="CO27" s="481"/>
      <c r="CP27" s="481"/>
      <c r="CQ27" s="481"/>
      <c r="CR27" s="481"/>
      <c r="CS27" s="481"/>
      <c r="CT27" s="481"/>
      <c r="CU27" s="481"/>
      <c r="CV27" s="481"/>
      <c r="CW27" s="481"/>
      <c r="CX27" s="481"/>
      <c r="CY27" s="481"/>
      <c r="CZ27" s="481"/>
      <c r="DA27" s="481"/>
      <c r="DB27" s="482"/>
      <c r="DC27" s="480" t="s">
        <v>252</v>
      </c>
      <c r="DD27" s="481"/>
      <c r="DE27" s="481"/>
      <c r="DF27" s="481"/>
      <c r="DG27" s="481"/>
      <c r="DH27" s="481"/>
      <c r="DI27" s="481"/>
      <c r="DJ27" s="481"/>
      <c r="DK27" s="481"/>
      <c r="DL27" s="481"/>
      <c r="DM27" s="481"/>
      <c r="DN27" s="481"/>
      <c r="DO27" s="481"/>
      <c r="DP27" s="481"/>
      <c r="DQ27" s="481"/>
      <c r="DR27" s="481"/>
      <c r="DS27" s="481"/>
      <c r="DT27" s="481"/>
      <c r="DU27" s="481"/>
      <c r="DV27" s="481"/>
      <c r="DW27" s="481"/>
      <c r="DX27" s="481"/>
      <c r="DY27" s="481"/>
      <c r="DZ27" s="481"/>
      <c r="EA27" s="481"/>
      <c r="EB27" s="481"/>
      <c r="EC27" s="481"/>
      <c r="ED27" s="481"/>
      <c r="EE27" s="481"/>
      <c r="EF27" s="481"/>
      <c r="EG27" s="481"/>
      <c r="EH27" s="481"/>
      <c r="EI27" s="481"/>
      <c r="EJ27" s="481"/>
      <c r="EK27" s="481"/>
      <c r="EL27" s="481"/>
      <c r="EM27" s="481"/>
      <c r="EN27" s="481"/>
      <c r="EO27" s="481"/>
      <c r="EP27" s="482"/>
      <c r="EQ27" s="441" t="s">
        <v>35</v>
      </c>
      <c r="ER27" s="442"/>
      <c r="ES27" s="443"/>
      <c r="ET27" s="192"/>
    </row>
    <row r="28" spans="1:223" s="81" customFormat="1" ht="69" customHeight="1" x14ac:dyDescent="0.45">
      <c r="A28" s="370"/>
      <c r="B28" s="466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2" t="s">
        <v>61</v>
      </c>
      <c r="AA28" s="473"/>
      <c r="AB28" s="473"/>
      <c r="AC28" s="473"/>
      <c r="AD28" s="473"/>
      <c r="AE28" s="473"/>
      <c r="AF28" s="476"/>
      <c r="AG28" s="472" t="s">
        <v>62</v>
      </c>
      <c r="AH28" s="473"/>
      <c r="AI28" s="473"/>
      <c r="AJ28" s="473"/>
      <c r="AK28" s="473"/>
      <c r="AL28" s="473"/>
      <c r="AM28" s="473"/>
      <c r="AN28" s="473"/>
      <c r="AO28" s="473"/>
      <c r="AP28" s="473"/>
      <c r="AQ28" s="473"/>
      <c r="AR28" s="473"/>
      <c r="AS28" s="473"/>
      <c r="AT28" s="473"/>
      <c r="AU28" s="473"/>
      <c r="AV28" s="473"/>
      <c r="AW28" s="473"/>
      <c r="AX28" s="473"/>
      <c r="AY28" s="473"/>
      <c r="AZ28" s="473"/>
      <c r="BA28" s="473"/>
      <c r="BB28" s="473"/>
      <c r="BC28" s="473"/>
      <c r="BD28" s="473"/>
      <c r="BE28" s="473"/>
      <c r="BF28" s="473"/>
      <c r="BG28" s="473"/>
      <c r="BH28" s="473"/>
      <c r="BI28" s="473"/>
      <c r="BJ28" s="473"/>
      <c r="BK28" s="445" t="s">
        <v>26</v>
      </c>
      <c r="BL28" s="445"/>
      <c r="BM28" s="445"/>
      <c r="BN28" s="446"/>
      <c r="BO28" s="436" t="s">
        <v>27</v>
      </c>
      <c r="BP28" s="434"/>
      <c r="BQ28" s="434"/>
      <c r="BR28" s="434"/>
      <c r="BS28" s="434"/>
      <c r="BT28" s="434"/>
      <c r="BU28" s="434"/>
      <c r="BV28" s="434"/>
      <c r="BW28" s="434"/>
      <c r="BX28" s="434"/>
      <c r="BY28" s="434" t="s">
        <v>28</v>
      </c>
      <c r="BZ28" s="434"/>
      <c r="CA28" s="434"/>
      <c r="CB28" s="434"/>
      <c r="CC28" s="434"/>
      <c r="CD28" s="434"/>
      <c r="CE28" s="434"/>
      <c r="CF28" s="434"/>
      <c r="CG28" s="434"/>
      <c r="CH28" s="434"/>
      <c r="CI28" s="434" t="s">
        <v>29</v>
      </c>
      <c r="CJ28" s="434"/>
      <c r="CK28" s="434"/>
      <c r="CL28" s="434"/>
      <c r="CM28" s="434"/>
      <c r="CN28" s="434"/>
      <c r="CO28" s="434"/>
      <c r="CP28" s="434"/>
      <c r="CQ28" s="434"/>
      <c r="CR28" s="434"/>
      <c r="CS28" s="434" t="s">
        <v>68</v>
      </c>
      <c r="CT28" s="434"/>
      <c r="CU28" s="434"/>
      <c r="CV28" s="434"/>
      <c r="CW28" s="434"/>
      <c r="CX28" s="434"/>
      <c r="CY28" s="434"/>
      <c r="CZ28" s="434"/>
      <c r="DA28" s="434"/>
      <c r="DB28" s="435"/>
      <c r="DC28" s="436" t="s">
        <v>27</v>
      </c>
      <c r="DD28" s="434"/>
      <c r="DE28" s="434"/>
      <c r="DF28" s="434"/>
      <c r="DG28" s="434"/>
      <c r="DH28" s="434"/>
      <c r="DI28" s="434"/>
      <c r="DJ28" s="434"/>
      <c r="DK28" s="434"/>
      <c r="DL28" s="434"/>
      <c r="DM28" s="434" t="s">
        <v>28</v>
      </c>
      <c r="DN28" s="434"/>
      <c r="DO28" s="434"/>
      <c r="DP28" s="434"/>
      <c r="DQ28" s="434"/>
      <c r="DR28" s="434"/>
      <c r="DS28" s="434"/>
      <c r="DT28" s="434"/>
      <c r="DU28" s="434"/>
      <c r="DV28" s="434"/>
      <c r="DW28" s="434" t="s">
        <v>29</v>
      </c>
      <c r="DX28" s="434"/>
      <c r="DY28" s="434"/>
      <c r="DZ28" s="434"/>
      <c r="EA28" s="434"/>
      <c r="EB28" s="434"/>
      <c r="EC28" s="434"/>
      <c r="ED28" s="434"/>
      <c r="EE28" s="434"/>
      <c r="EF28" s="434"/>
      <c r="EG28" s="434" t="s">
        <v>68</v>
      </c>
      <c r="EH28" s="434"/>
      <c r="EI28" s="434"/>
      <c r="EJ28" s="434"/>
      <c r="EK28" s="434"/>
      <c r="EL28" s="434"/>
      <c r="EM28" s="434"/>
      <c r="EN28" s="434"/>
      <c r="EO28" s="434"/>
      <c r="EP28" s="435"/>
      <c r="EQ28" s="444"/>
      <c r="ER28" s="445"/>
      <c r="ES28" s="446"/>
      <c r="ET28" s="192"/>
    </row>
    <row r="29" spans="1:223" s="81" customFormat="1" ht="60" customHeight="1" x14ac:dyDescent="0.45">
      <c r="A29" s="370"/>
      <c r="B29" s="466"/>
      <c r="C29" s="475"/>
      <c r="D29" s="475"/>
      <c r="E29" s="475"/>
      <c r="F29" s="475"/>
      <c r="G29" s="475"/>
      <c r="H29" s="475"/>
      <c r="I29" s="475"/>
      <c r="J29" s="475"/>
      <c r="K29" s="475"/>
      <c r="L29" s="475"/>
      <c r="M29" s="475"/>
      <c r="N29" s="475"/>
      <c r="O29" s="475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7"/>
      <c r="AA29" s="478"/>
      <c r="AB29" s="478"/>
      <c r="AC29" s="478"/>
      <c r="AD29" s="478"/>
      <c r="AE29" s="478"/>
      <c r="AF29" s="479"/>
      <c r="AG29" s="455" t="s">
        <v>21</v>
      </c>
      <c r="AH29" s="456"/>
      <c r="AI29" s="456"/>
      <c r="AJ29" s="456"/>
      <c r="AK29" s="457"/>
      <c r="AL29" s="455" t="s">
        <v>63</v>
      </c>
      <c r="AM29" s="456"/>
      <c r="AN29" s="456"/>
      <c r="AO29" s="456"/>
      <c r="AP29" s="457"/>
      <c r="AQ29" s="455" t="s">
        <v>64</v>
      </c>
      <c r="AR29" s="456"/>
      <c r="AS29" s="456"/>
      <c r="AT29" s="456"/>
      <c r="AU29" s="457"/>
      <c r="AV29" s="455" t="s">
        <v>65</v>
      </c>
      <c r="AW29" s="456"/>
      <c r="AX29" s="456"/>
      <c r="AY29" s="456"/>
      <c r="AZ29" s="457"/>
      <c r="BA29" s="455" t="s">
        <v>66</v>
      </c>
      <c r="BB29" s="456"/>
      <c r="BC29" s="456"/>
      <c r="BD29" s="456"/>
      <c r="BE29" s="457"/>
      <c r="BF29" s="455" t="s">
        <v>67</v>
      </c>
      <c r="BG29" s="456"/>
      <c r="BH29" s="456"/>
      <c r="BI29" s="456"/>
      <c r="BJ29" s="456"/>
      <c r="BK29" s="445"/>
      <c r="BL29" s="445"/>
      <c r="BM29" s="445"/>
      <c r="BN29" s="446"/>
      <c r="BO29" s="436" t="s">
        <v>31</v>
      </c>
      <c r="BP29" s="434"/>
      <c r="BQ29" s="434"/>
      <c r="BR29" s="434"/>
      <c r="BS29" s="434"/>
      <c r="BT29" s="434"/>
      <c r="BU29" s="434"/>
      <c r="BV29" s="434"/>
      <c r="BW29" s="434"/>
      <c r="BX29" s="434"/>
      <c r="BY29" s="434"/>
      <c r="BZ29" s="434"/>
      <c r="CA29" s="434"/>
      <c r="CB29" s="434"/>
      <c r="CC29" s="434"/>
      <c r="CD29" s="434"/>
      <c r="CE29" s="434"/>
      <c r="CF29" s="434"/>
      <c r="CG29" s="434"/>
      <c r="CH29" s="434"/>
      <c r="CI29" s="434"/>
      <c r="CJ29" s="434"/>
      <c r="CK29" s="434"/>
      <c r="CL29" s="434"/>
      <c r="CM29" s="434"/>
      <c r="CN29" s="434"/>
      <c r="CO29" s="434"/>
      <c r="CP29" s="434"/>
      <c r="CQ29" s="434"/>
      <c r="CR29" s="434"/>
      <c r="CS29" s="434"/>
      <c r="CT29" s="434"/>
      <c r="CU29" s="434"/>
      <c r="CV29" s="434"/>
      <c r="CW29" s="434"/>
      <c r="CX29" s="434"/>
      <c r="CY29" s="434"/>
      <c r="CZ29" s="434"/>
      <c r="DA29" s="434"/>
      <c r="DB29" s="435"/>
      <c r="DC29" s="436" t="s">
        <v>31</v>
      </c>
      <c r="DD29" s="434"/>
      <c r="DE29" s="434"/>
      <c r="DF29" s="434"/>
      <c r="DG29" s="434"/>
      <c r="DH29" s="434"/>
      <c r="DI29" s="434"/>
      <c r="DJ29" s="434"/>
      <c r="DK29" s="434"/>
      <c r="DL29" s="434"/>
      <c r="DM29" s="434"/>
      <c r="DN29" s="434"/>
      <c r="DO29" s="434"/>
      <c r="DP29" s="434"/>
      <c r="DQ29" s="434"/>
      <c r="DR29" s="434"/>
      <c r="DS29" s="434"/>
      <c r="DT29" s="434"/>
      <c r="DU29" s="434"/>
      <c r="DV29" s="434"/>
      <c r="DW29" s="434"/>
      <c r="DX29" s="434"/>
      <c r="DY29" s="434"/>
      <c r="DZ29" s="434"/>
      <c r="EA29" s="434"/>
      <c r="EB29" s="434"/>
      <c r="EC29" s="434"/>
      <c r="ED29" s="434"/>
      <c r="EE29" s="434"/>
      <c r="EF29" s="434"/>
      <c r="EG29" s="434"/>
      <c r="EH29" s="434"/>
      <c r="EI29" s="434"/>
      <c r="EJ29" s="434"/>
      <c r="EK29" s="434"/>
      <c r="EL29" s="434"/>
      <c r="EM29" s="434"/>
      <c r="EN29" s="434"/>
      <c r="EO29" s="434"/>
      <c r="EP29" s="435"/>
      <c r="EQ29" s="444"/>
      <c r="ER29" s="445"/>
      <c r="ES29" s="446"/>
      <c r="ET29" s="192"/>
    </row>
    <row r="30" spans="1:223" s="81" customFormat="1" ht="51" customHeight="1" x14ac:dyDescent="0.45">
      <c r="A30" s="370"/>
      <c r="B30" s="466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475"/>
      <c r="N30" s="475"/>
      <c r="O30" s="475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7"/>
      <c r="AA30" s="478"/>
      <c r="AB30" s="478"/>
      <c r="AC30" s="478"/>
      <c r="AD30" s="478"/>
      <c r="AE30" s="478"/>
      <c r="AF30" s="479"/>
      <c r="AG30" s="458"/>
      <c r="AH30" s="459"/>
      <c r="AI30" s="459"/>
      <c r="AJ30" s="459"/>
      <c r="AK30" s="460"/>
      <c r="AL30" s="458"/>
      <c r="AM30" s="459"/>
      <c r="AN30" s="459"/>
      <c r="AO30" s="459"/>
      <c r="AP30" s="460"/>
      <c r="AQ30" s="458"/>
      <c r="AR30" s="459"/>
      <c r="AS30" s="459"/>
      <c r="AT30" s="459"/>
      <c r="AU30" s="460"/>
      <c r="AV30" s="458"/>
      <c r="AW30" s="459"/>
      <c r="AX30" s="459"/>
      <c r="AY30" s="459"/>
      <c r="AZ30" s="460"/>
      <c r="BA30" s="458"/>
      <c r="BB30" s="459"/>
      <c r="BC30" s="459"/>
      <c r="BD30" s="459"/>
      <c r="BE30" s="460"/>
      <c r="BF30" s="458"/>
      <c r="BG30" s="459"/>
      <c r="BH30" s="459"/>
      <c r="BI30" s="459"/>
      <c r="BJ30" s="459"/>
      <c r="BK30" s="445"/>
      <c r="BL30" s="445"/>
      <c r="BM30" s="445"/>
      <c r="BN30" s="446"/>
      <c r="BO30" s="436">
        <v>30</v>
      </c>
      <c r="BP30" s="434"/>
      <c r="BQ30" s="434"/>
      <c r="BR30" s="434"/>
      <c r="BS30" s="434"/>
      <c r="BT30" s="434"/>
      <c r="BU30" s="434"/>
      <c r="BV30" s="434"/>
      <c r="BW30" s="434"/>
      <c r="BX30" s="434"/>
      <c r="BY30" s="434">
        <v>30</v>
      </c>
      <c r="BZ30" s="434"/>
      <c r="CA30" s="434"/>
      <c r="CB30" s="434"/>
      <c r="CC30" s="434"/>
      <c r="CD30" s="434"/>
      <c r="CE30" s="434"/>
      <c r="CF30" s="434"/>
      <c r="CG30" s="434"/>
      <c r="CH30" s="434"/>
      <c r="CI30" s="434">
        <v>30</v>
      </c>
      <c r="CJ30" s="434"/>
      <c r="CK30" s="434"/>
      <c r="CL30" s="434"/>
      <c r="CM30" s="434"/>
      <c r="CN30" s="434"/>
      <c r="CO30" s="434"/>
      <c r="CP30" s="434"/>
      <c r="CQ30" s="434"/>
      <c r="CR30" s="434"/>
      <c r="CS30" s="434">
        <v>30</v>
      </c>
      <c r="CT30" s="434"/>
      <c r="CU30" s="434"/>
      <c r="CV30" s="434"/>
      <c r="CW30" s="434"/>
      <c r="CX30" s="434"/>
      <c r="CY30" s="434"/>
      <c r="CZ30" s="434"/>
      <c r="DA30" s="434"/>
      <c r="DB30" s="435"/>
      <c r="DC30" s="436">
        <v>30</v>
      </c>
      <c r="DD30" s="434"/>
      <c r="DE30" s="434"/>
      <c r="DF30" s="434"/>
      <c r="DG30" s="434"/>
      <c r="DH30" s="434"/>
      <c r="DI30" s="434"/>
      <c r="DJ30" s="434"/>
      <c r="DK30" s="434"/>
      <c r="DL30" s="434"/>
      <c r="DM30" s="434">
        <v>30</v>
      </c>
      <c r="DN30" s="434"/>
      <c r="DO30" s="434"/>
      <c r="DP30" s="434"/>
      <c r="DQ30" s="434"/>
      <c r="DR30" s="434"/>
      <c r="DS30" s="434"/>
      <c r="DT30" s="434"/>
      <c r="DU30" s="434"/>
      <c r="DV30" s="434"/>
      <c r="DW30" s="434">
        <v>30</v>
      </c>
      <c r="DX30" s="434"/>
      <c r="DY30" s="434"/>
      <c r="DZ30" s="434"/>
      <c r="EA30" s="434"/>
      <c r="EB30" s="434"/>
      <c r="EC30" s="434"/>
      <c r="ED30" s="434"/>
      <c r="EE30" s="434"/>
      <c r="EF30" s="434"/>
      <c r="EG30" s="434">
        <v>30</v>
      </c>
      <c r="EH30" s="434"/>
      <c r="EI30" s="434"/>
      <c r="EJ30" s="434"/>
      <c r="EK30" s="434"/>
      <c r="EL30" s="434"/>
      <c r="EM30" s="434"/>
      <c r="EN30" s="434"/>
      <c r="EO30" s="434"/>
      <c r="EP30" s="435"/>
      <c r="EQ30" s="444"/>
      <c r="ER30" s="445"/>
      <c r="ES30" s="446"/>
      <c r="ET30" s="192"/>
    </row>
    <row r="31" spans="1:223" s="81" customFormat="1" ht="42" customHeight="1" x14ac:dyDescent="0.45">
      <c r="A31" s="370"/>
      <c r="B31" s="466"/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7"/>
      <c r="AA31" s="478"/>
      <c r="AB31" s="478"/>
      <c r="AC31" s="478"/>
      <c r="AD31" s="478"/>
      <c r="AE31" s="478"/>
      <c r="AF31" s="479"/>
      <c r="AG31" s="458"/>
      <c r="AH31" s="459"/>
      <c r="AI31" s="459"/>
      <c r="AJ31" s="459"/>
      <c r="AK31" s="460"/>
      <c r="AL31" s="458"/>
      <c r="AM31" s="459"/>
      <c r="AN31" s="459"/>
      <c r="AO31" s="459"/>
      <c r="AP31" s="460"/>
      <c r="AQ31" s="458"/>
      <c r="AR31" s="459"/>
      <c r="AS31" s="459"/>
      <c r="AT31" s="459"/>
      <c r="AU31" s="460"/>
      <c r="AV31" s="458"/>
      <c r="AW31" s="459"/>
      <c r="AX31" s="459"/>
      <c r="AY31" s="459"/>
      <c r="AZ31" s="460"/>
      <c r="BA31" s="458"/>
      <c r="BB31" s="459"/>
      <c r="BC31" s="459"/>
      <c r="BD31" s="459"/>
      <c r="BE31" s="460"/>
      <c r="BF31" s="458"/>
      <c r="BG31" s="459"/>
      <c r="BH31" s="459"/>
      <c r="BI31" s="459"/>
      <c r="BJ31" s="459"/>
      <c r="BK31" s="445"/>
      <c r="BL31" s="445"/>
      <c r="BM31" s="445"/>
      <c r="BN31" s="446"/>
      <c r="BO31" s="436" t="s">
        <v>32</v>
      </c>
      <c r="BP31" s="434"/>
      <c r="BQ31" s="434"/>
      <c r="BR31" s="434"/>
      <c r="BS31" s="434"/>
      <c r="BT31" s="434"/>
      <c r="BU31" s="434"/>
      <c r="BV31" s="434"/>
      <c r="BW31" s="434"/>
      <c r="BX31" s="434"/>
      <c r="BY31" s="434"/>
      <c r="BZ31" s="434"/>
      <c r="CA31" s="434"/>
      <c r="CB31" s="434"/>
      <c r="CC31" s="434"/>
      <c r="CD31" s="434"/>
      <c r="CE31" s="434"/>
      <c r="CF31" s="434"/>
      <c r="CG31" s="434"/>
      <c r="CH31" s="434"/>
      <c r="CI31" s="434"/>
      <c r="CJ31" s="434"/>
      <c r="CK31" s="434"/>
      <c r="CL31" s="434"/>
      <c r="CM31" s="434"/>
      <c r="CN31" s="434"/>
      <c r="CO31" s="434"/>
      <c r="CP31" s="434"/>
      <c r="CQ31" s="434"/>
      <c r="CR31" s="434"/>
      <c r="CS31" s="434"/>
      <c r="CT31" s="434"/>
      <c r="CU31" s="434"/>
      <c r="CV31" s="434"/>
      <c r="CW31" s="434"/>
      <c r="CX31" s="434"/>
      <c r="CY31" s="434"/>
      <c r="CZ31" s="434"/>
      <c r="DA31" s="434"/>
      <c r="DB31" s="435"/>
      <c r="DC31" s="436" t="s">
        <v>32</v>
      </c>
      <c r="DD31" s="434"/>
      <c r="DE31" s="434"/>
      <c r="DF31" s="434"/>
      <c r="DG31" s="434"/>
      <c r="DH31" s="434"/>
      <c r="DI31" s="434"/>
      <c r="DJ31" s="434"/>
      <c r="DK31" s="434"/>
      <c r="DL31" s="434"/>
      <c r="DM31" s="434"/>
      <c r="DN31" s="434"/>
      <c r="DO31" s="434"/>
      <c r="DP31" s="434"/>
      <c r="DQ31" s="434"/>
      <c r="DR31" s="434"/>
      <c r="DS31" s="434"/>
      <c r="DT31" s="434"/>
      <c r="DU31" s="434"/>
      <c r="DV31" s="434"/>
      <c r="DW31" s="434"/>
      <c r="DX31" s="434"/>
      <c r="DY31" s="434"/>
      <c r="DZ31" s="434"/>
      <c r="EA31" s="434"/>
      <c r="EB31" s="434"/>
      <c r="EC31" s="434"/>
      <c r="ED31" s="434"/>
      <c r="EE31" s="434"/>
      <c r="EF31" s="434"/>
      <c r="EG31" s="434"/>
      <c r="EH31" s="434"/>
      <c r="EI31" s="434"/>
      <c r="EJ31" s="434"/>
      <c r="EK31" s="434"/>
      <c r="EL31" s="434"/>
      <c r="EM31" s="434"/>
      <c r="EN31" s="434"/>
      <c r="EO31" s="434"/>
      <c r="EP31" s="435"/>
      <c r="EQ31" s="444"/>
      <c r="ER31" s="445"/>
      <c r="ES31" s="446"/>
      <c r="ET31" s="192"/>
    </row>
    <row r="32" spans="1:223" s="81" customFormat="1" ht="48" customHeight="1" x14ac:dyDescent="0.45">
      <c r="A32" s="370"/>
      <c r="B32" s="466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475"/>
      <c r="N32" s="475"/>
      <c r="O32" s="475"/>
      <c r="P32" s="475"/>
      <c r="Q32" s="475"/>
      <c r="R32" s="475"/>
      <c r="S32" s="475"/>
      <c r="T32" s="475"/>
      <c r="U32" s="475"/>
      <c r="V32" s="475"/>
      <c r="W32" s="475"/>
      <c r="X32" s="475"/>
      <c r="Y32" s="475"/>
      <c r="Z32" s="477"/>
      <c r="AA32" s="478"/>
      <c r="AB32" s="478"/>
      <c r="AC32" s="478"/>
      <c r="AD32" s="478"/>
      <c r="AE32" s="478"/>
      <c r="AF32" s="479"/>
      <c r="AG32" s="458"/>
      <c r="AH32" s="459"/>
      <c r="AI32" s="459"/>
      <c r="AJ32" s="459"/>
      <c r="AK32" s="460"/>
      <c r="AL32" s="458"/>
      <c r="AM32" s="459"/>
      <c r="AN32" s="459"/>
      <c r="AO32" s="459"/>
      <c r="AP32" s="460"/>
      <c r="AQ32" s="458"/>
      <c r="AR32" s="459"/>
      <c r="AS32" s="459"/>
      <c r="AT32" s="459"/>
      <c r="AU32" s="460"/>
      <c r="AV32" s="458"/>
      <c r="AW32" s="459"/>
      <c r="AX32" s="459"/>
      <c r="AY32" s="459"/>
      <c r="AZ32" s="460"/>
      <c r="BA32" s="458"/>
      <c r="BB32" s="459"/>
      <c r="BC32" s="459"/>
      <c r="BD32" s="459"/>
      <c r="BE32" s="460"/>
      <c r="BF32" s="458"/>
      <c r="BG32" s="459"/>
      <c r="BH32" s="459"/>
      <c r="BI32" s="459"/>
      <c r="BJ32" s="459"/>
      <c r="BK32" s="445"/>
      <c r="BL32" s="445"/>
      <c r="BM32" s="445"/>
      <c r="BN32" s="446"/>
      <c r="BO32" s="436">
        <v>1</v>
      </c>
      <c r="BP32" s="434"/>
      <c r="BQ32" s="434"/>
      <c r="BR32" s="434"/>
      <c r="BS32" s="434"/>
      <c r="BT32" s="434">
        <v>2</v>
      </c>
      <c r="BU32" s="434"/>
      <c r="BV32" s="434"/>
      <c r="BW32" s="434"/>
      <c r="BX32" s="434"/>
      <c r="BY32" s="434">
        <v>3</v>
      </c>
      <c r="BZ32" s="434"/>
      <c r="CA32" s="434"/>
      <c r="CB32" s="434"/>
      <c r="CC32" s="434"/>
      <c r="CD32" s="434">
        <v>4</v>
      </c>
      <c r="CE32" s="434"/>
      <c r="CF32" s="434"/>
      <c r="CG32" s="434"/>
      <c r="CH32" s="434"/>
      <c r="CI32" s="434">
        <v>5</v>
      </c>
      <c r="CJ32" s="434"/>
      <c r="CK32" s="434"/>
      <c r="CL32" s="434"/>
      <c r="CM32" s="434"/>
      <c r="CN32" s="434">
        <v>6</v>
      </c>
      <c r="CO32" s="434"/>
      <c r="CP32" s="434"/>
      <c r="CQ32" s="434"/>
      <c r="CR32" s="434"/>
      <c r="CS32" s="434">
        <v>7</v>
      </c>
      <c r="CT32" s="434"/>
      <c r="CU32" s="434"/>
      <c r="CV32" s="434"/>
      <c r="CW32" s="434"/>
      <c r="CX32" s="434">
        <v>8</v>
      </c>
      <c r="CY32" s="434"/>
      <c r="CZ32" s="434"/>
      <c r="DA32" s="434"/>
      <c r="DB32" s="435"/>
      <c r="DC32" s="436">
        <v>1</v>
      </c>
      <c r="DD32" s="434"/>
      <c r="DE32" s="434"/>
      <c r="DF32" s="434"/>
      <c r="DG32" s="434"/>
      <c r="DH32" s="434">
        <v>2</v>
      </c>
      <c r="DI32" s="434"/>
      <c r="DJ32" s="434"/>
      <c r="DK32" s="434"/>
      <c r="DL32" s="434"/>
      <c r="DM32" s="434">
        <v>3</v>
      </c>
      <c r="DN32" s="434"/>
      <c r="DO32" s="434"/>
      <c r="DP32" s="434"/>
      <c r="DQ32" s="434"/>
      <c r="DR32" s="434">
        <v>4</v>
      </c>
      <c r="DS32" s="434"/>
      <c r="DT32" s="434"/>
      <c r="DU32" s="434"/>
      <c r="DV32" s="434"/>
      <c r="DW32" s="434">
        <v>5</v>
      </c>
      <c r="DX32" s="434"/>
      <c r="DY32" s="434"/>
      <c r="DZ32" s="434"/>
      <c r="EA32" s="434"/>
      <c r="EB32" s="434">
        <v>6</v>
      </c>
      <c r="EC32" s="434"/>
      <c r="ED32" s="434"/>
      <c r="EE32" s="434"/>
      <c r="EF32" s="434"/>
      <c r="EG32" s="434">
        <v>7</v>
      </c>
      <c r="EH32" s="434"/>
      <c r="EI32" s="434"/>
      <c r="EJ32" s="434"/>
      <c r="EK32" s="434"/>
      <c r="EL32" s="434">
        <v>8</v>
      </c>
      <c r="EM32" s="434"/>
      <c r="EN32" s="434"/>
      <c r="EO32" s="434"/>
      <c r="EP32" s="435"/>
      <c r="EQ32" s="444"/>
      <c r="ER32" s="445"/>
      <c r="ES32" s="446"/>
      <c r="ET32" s="192"/>
    </row>
    <row r="33" spans="1:154" s="81" customFormat="1" ht="58.5" customHeight="1" x14ac:dyDescent="0.45">
      <c r="A33" s="370"/>
      <c r="B33" s="466"/>
      <c r="C33" s="475"/>
      <c r="D33" s="475"/>
      <c r="E33" s="475"/>
      <c r="F33" s="475"/>
      <c r="G33" s="475"/>
      <c r="H33" s="475"/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7"/>
      <c r="AA33" s="478"/>
      <c r="AB33" s="478"/>
      <c r="AC33" s="478"/>
      <c r="AD33" s="478"/>
      <c r="AE33" s="478"/>
      <c r="AF33" s="479"/>
      <c r="AG33" s="458"/>
      <c r="AH33" s="459"/>
      <c r="AI33" s="459"/>
      <c r="AJ33" s="459"/>
      <c r="AK33" s="460"/>
      <c r="AL33" s="458"/>
      <c r="AM33" s="459"/>
      <c r="AN33" s="459"/>
      <c r="AO33" s="459"/>
      <c r="AP33" s="460"/>
      <c r="AQ33" s="458"/>
      <c r="AR33" s="459"/>
      <c r="AS33" s="459"/>
      <c r="AT33" s="459"/>
      <c r="AU33" s="460"/>
      <c r="AV33" s="458"/>
      <c r="AW33" s="459"/>
      <c r="AX33" s="459"/>
      <c r="AY33" s="459"/>
      <c r="AZ33" s="460"/>
      <c r="BA33" s="458"/>
      <c r="BB33" s="459"/>
      <c r="BC33" s="459"/>
      <c r="BD33" s="459"/>
      <c r="BE33" s="460"/>
      <c r="BF33" s="458"/>
      <c r="BG33" s="459"/>
      <c r="BH33" s="459"/>
      <c r="BI33" s="459"/>
      <c r="BJ33" s="459"/>
      <c r="BK33" s="445"/>
      <c r="BL33" s="445"/>
      <c r="BM33" s="445"/>
      <c r="BN33" s="446"/>
      <c r="BO33" s="436" t="s">
        <v>33</v>
      </c>
      <c r="BP33" s="434"/>
      <c r="BQ33" s="434"/>
      <c r="BR33" s="434"/>
      <c r="BS33" s="434"/>
      <c r="BT33" s="434"/>
      <c r="BU33" s="434"/>
      <c r="BV33" s="434"/>
      <c r="BW33" s="434"/>
      <c r="BX33" s="434"/>
      <c r="BY33" s="434"/>
      <c r="BZ33" s="434"/>
      <c r="CA33" s="434"/>
      <c r="CB33" s="434"/>
      <c r="CC33" s="434"/>
      <c r="CD33" s="434"/>
      <c r="CE33" s="434"/>
      <c r="CF33" s="434"/>
      <c r="CG33" s="434"/>
      <c r="CH33" s="434"/>
      <c r="CI33" s="434"/>
      <c r="CJ33" s="434"/>
      <c r="CK33" s="434"/>
      <c r="CL33" s="434"/>
      <c r="CM33" s="434"/>
      <c r="CN33" s="434"/>
      <c r="CO33" s="434"/>
      <c r="CP33" s="434"/>
      <c r="CQ33" s="434"/>
      <c r="CR33" s="434"/>
      <c r="CS33" s="434"/>
      <c r="CT33" s="434"/>
      <c r="CU33" s="434"/>
      <c r="CV33" s="434"/>
      <c r="CW33" s="434"/>
      <c r="CX33" s="434"/>
      <c r="CY33" s="434"/>
      <c r="CZ33" s="434"/>
      <c r="DA33" s="434"/>
      <c r="DB33" s="435"/>
      <c r="DC33" s="436" t="s">
        <v>34</v>
      </c>
      <c r="DD33" s="434"/>
      <c r="DE33" s="434"/>
      <c r="DF33" s="434"/>
      <c r="DG33" s="434"/>
      <c r="DH33" s="434"/>
      <c r="DI33" s="434"/>
      <c r="DJ33" s="434"/>
      <c r="DK33" s="434"/>
      <c r="DL33" s="434"/>
      <c r="DM33" s="434"/>
      <c r="DN33" s="434"/>
      <c r="DO33" s="434"/>
      <c r="DP33" s="434"/>
      <c r="DQ33" s="434"/>
      <c r="DR33" s="434"/>
      <c r="DS33" s="434"/>
      <c r="DT33" s="434"/>
      <c r="DU33" s="434"/>
      <c r="DV33" s="434"/>
      <c r="DW33" s="434"/>
      <c r="DX33" s="434"/>
      <c r="DY33" s="434"/>
      <c r="DZ33" s="434"/>
      <c r="EA33" s="434"/>
      <c r="EB33" s="434"/>
      <c r="EC33" s="434"/>
      <c r="ED33" s="434"/>
      <c r="EE33" s="434"/>
      <c r="EF33" s="434"/>
      <c r="EG33" s="434"/>
      <c r="EH33" s="434"/>
      <c r="EI33" s="434"/>
      <c r="EJ33" s="434"/>
      <c r="EK33" s="434"/>
      <c r="EL33" s="434"/>
      <c r="EM33" s="434"/>
      <c r="EN33" s="434"/>
      <c r="EO33" s="434"/>
      <c r="EP33" s="435"/>
      <c r="EQ33" s="444"/>
      <c r="ER33" s="445"/>
      <c r="ES33" s="446"/>
      <c r="ET33" s="192"/>
    </row>
    <row r="34" spans="1:154" s="81" customFormat="1" ht="69" customHeight="1" x14ac:dyDescent="0.45">
      <c r="A34" s="371"/>
      <c r="B34" s="467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34" t="s">
        <v>69</v>
      </c>
      <c r="AA34" s="434"/>
      <c r="AB34" s="434"/>
      <c r="AC34" s="434"/>
      <c r="AD34" s="434" t="s">
        <v>70</v>
      </c>
      <c r="AE34" s="434"/>
      <c r="AF34" s="434"/>
      <c r="AG34" s="461"/>
      <c r="AH34" s="462"/>
      <c r="AI34" s="462"/>
      <c r="AJ34" s="462"/>
      <c r="AK34" s="463"/>
      <c r="AL34" s="461"/>
      <c r="AM34" s="462"/>
      <c r="AN34" s="462"/>
      <c r="AO34" s="462"/>
      <c r="AP34" s="463"/>
      <c r="AQ34" s="461"/>
      <c r="AR34" s="462"/>
      <c r="AS34" s="462"/>
      <c r="AT34" s="462"/>
      <c r="AU34" s="463"/>
      <c r="AV34" s="461"/>
      <c r="AW34" s="462"/>
      <c r="AX34" s="462"/>
      <c r="AY34" s="462"/>
      <c r="AZ34" s="463"/>
      <c r="BA34" s="461"/>
      <c r="BB34" s="462"/>
      <c r="BC34" s="462"/>
      <c r="BD34" s="462"/>
      <c r="BE34" s="463"/>
      <c r="BF34" s="461"/>
      <c r="BG34" s="462"/>
      <c r="BH34" s="462"/>
      <c r="BI34" s="462"/>
      <c r="BJ34" s="462"/>
      <c r="BK34" s="445"/>
      <c r="BL34" s="445"/>
      <c r="BM34" s="445"/>
      <c r="BN34" s="446"/>
      <c r="BO34" s="436">
        <v>15</v>
      </c>
      <c r="BP34" s="434"/>
      <c r="BQ34" s="434"/>
      <c r="BR34" s="434"/>
      <c r="BS34" s="434"/>
      <c r="BT34" s="434">
        <v>15</v>
      </c>
      <c r="BU34" s="434"/>
      <c r="BV34" s="434"/>
      <c r="BW34" s="434"/>
      <c r="BX34" s="434"/>
      <c r="BY34" s="434">
        <v>15</v>
      </c>
      <c r="BZ34" s="434"/>
      <c r="CA34" s="434"/>
      <c r="CB34" s="434"/>
      <c r="CC34" s="434"/>
      <c r="CD34" s="434">
        <v>15</v>
      </c>
      <c r="CE34" s="434"/>
      <c r="CF34" s="434"/>
      <c r="CG34" s="434"/>
      <c r="CH34" s="434"/>
      <c r="CI34" s="434">
        <v>15</v>
      </c>
      <c r="CJ34" s="434"/>
      <c r="CK34" s="434"/>
      <c r="CL34" s="434"/>
      <c r="CM34" s="434"/>
      <c r="CN34" s="434">
        <v>15</v>
      </c>
      <c r="CO34" s="434"/>
      <c r="CP34" s="434"/>
      <c r="CQ34" s="434"/>
      <c r="CR34" s="434"/>
      <c r="CS34" s="434">
        <v>15</v>
      </c>
      <c r="CT34" s="434"/>
      <c r="CU34" s="434"/>
      <c r="CV34" s="434"/>
      <c r="CW34" s="434"/>
      <c r="CX34" s="434">
        <v>15</v>
      </c>
      <c r="CY34" s="434"/>
      <c r="CZ34" s="434"/>
      <c r="DA34" s="434"/>
      <c r="DB34" s="435"/>
      <c r="DC34" s="436">
        <f>DC86</f>
        <v>30</v>
      </c>
      <c r="DD34" s="434"/>
      <c r="DE34" s="434"/>
      <c r="DF34" s="434"/>
      <c r="DG34" s="434"/>
      <c r="DH34" s="437">
        <f t="shared" ref="DH34" si="0">DH86</f>
        <v>30</v>
      </c>
      <c r="DI34" s="434"/>
      <c r="DJ34" s="434"/>
      <c r="DK34" s="434"/>
      <c r="DL34" s="434"/>
      <c r="DM34" s="437">
        <f t="shared" ref="DM34" si="1">DM86</f>
        <v>30</v>
      </c>
      <c r="DN34" s="434"/>
      <c r="DO34" s="434"/>
      <c r="DP34" s="434"/>
      <c r="DQ34" s="434"/>
      <c r="DR34" s="437">
        <f t="shared" ref="DR34" si="2">DR86</f>
        <v>30</v>
      </c>
      <c r="DS34" s="434"/>
      <c r="DT34" s="434"/>
      <c r="DU34" s="434"/>
      <c r="DV34" s="434"/>
      <c r="DW34" s="437">
        <f t="shared" ref="DW34" si="3">DW86</f>
        <v>30</v>
      </c>
      <c r="DX34" s="434"/>
      <c r="DY34" s="434"/>
      <c r="DZ34" s="434"/>
      <c r="EA34" s="434"/>
      <c r="EB34" s="437">
        <f t="shared" ref="EB34" si="4">EB86</f>
        <v>30</v>
      </c>
      <c r="EC34" s="434"/>
      <c r="ED34" s="434"/>
      <c r="EE34" s="434"/>
      <c r="EF34" s="434"/>
      <c r="EG34" s="437">
        <f t="shared" ref="EG34" si="5">EG86</f>
        <v>30</v>
      </c>
      <c r="EH34" s="434"/>
      <c r="EI34" s="434"/>
      <c r="EJ34" s="434"/>
      <c r="EK34" s="434"/>
      <c r="EL34" s="437">
        <f t="shared" ref="EL34" si="6">EL86</f>
        <v>30</v>
      </c>
      <c r="EM34" s="434"/>
      <c r="EN34" s="434"/>
      <c r="EO34" s="434"/>
      <c r="EP34" s="435"/>
      <c r="EQ34" s="447">
        <f>DC34+DH34+DM34+DR34+DW34+EG34+EB34+EL34</f>
        <v>240</v>
      </c>
      <c r="ER34" s="448"/>
      <c r="ES34" s="449"/>
      <c r="ET34" s="192"/>
    </row>
    <row r="35" spans="1:154" s="52" customFormat="1" ht="40.5" customHeight="1" thickBot="1" x14ac:dyDescent="0.25">
      <c r="A35" s="164">
        <v>1</v>
      </c>
      <c r="B35" s="142"/>
      <c r="C35" s="483">
        <v>2</v>
      </c>
      <c r="D35" s="484"/>
      <c r="E35" s="484"/>
      <c r="F35" s="484"/>
      <c r="G35" s="484"/>
      <c r="H35" s="484"/>
      <c r="I35" s="484"/>
      <c r="J35" s="484"/>
      <c r="K35" s="484"/>
      <c r="L35" s="484"/>
      <c r="M35" s="484"/>
      <c r="N35" s="484"/>
      <c r="O35" s="484"/>
      <c r="P35" s="484"/>
      <c r="Q35" s="484"/>
      <c r="R35" s="484"/>
      <c r="S35" s="484"/>
      <c r="T35" s="484"/>
      <c r="U35" s="484"/>
      <c r="V35" s="484"/>
      <c r="W35" s="484"/>
      <c r="X35" s="484"/>
      <c r="Y35" s="485"/>
      <c r="Z35" s="486">
        <v>3</v>
      </c>
      <c r="AA35" s="486"/>
      <c r="AB35" s="486"/>
      <c r="AC35" s="486"/>
      <c r="AD35" s="438">
        <v>4</v>
      </c>
      <c r="AE35" s="439"/>
      <c r="AF35" s="440"/>
      <c r="AG35" s="438">
        <v>5</v>
      </c>
      <c r="AH35" s="439"/>
      <c r="AI35" s="439"/>
      <c r="AJ35" s="439"/>
      <c r="AK35" s="440"/>
      <c r="AL35" s="438">
        <v>6</v>
      </c>
      <c r="AM35" s="439"/>
      <c r="AN35" s="439"/>
      <c r="AO35" s="439"/>
      <c r="AP35" s="440"/>
      <c r="AQ35" s="438">
        <v>7</v>
      </c>
      <c r="AR35" s="439"/>
      <c r="AS35" s="439"/>
      <c r="AT35" s="439"/>
      <c r="AU35" s="440"/>
      <c r="AV35" s="438">
        <v>8</v>
      </c>
      <c r="AW35" s="439"/>
      <c r="AX35" s="439"/>
      <c r="AY35" s="439"/>
      <c r="AZ35" s="440"/>
      <c r="BA35" s="438">
        <v>9</v>
      </c>
      <c r="BB35" s="439"/>
      <c r="BC35" s="439"/>
      <c r="BD35" s="439"/>
      <c r="BE35" s="440"/>
      <c r="BF35" s="438">
        <v>10</v>
      </c>
      <c r="BG35" s="439"/>
      <c r="BH35" s="439"/>
      <c r="BI35" s="439"/>
      <c r="BJ35" s="440"/>
      <c r="BK35" s="450">
        <v>11</v>
      </c>
      <c r="BL35" s="451"/>
      <c r="BM35" s="451"/>
      <c r="BN35" s="452"/>
      <c r="BO35" s="453">
        <v>12</v>
      </c>
      <c r="BP35" s="377"/>
      <c r="BQ35" s="377"/>
      <c r="BR35" s="377"/>
      <c r="BS35" s="377"/>
      <c r="BT35" s="377">
        <v>13</v>
      </c>
      <c r="BU35" s="377"/>
      <c r="BV35" s="377"/>
      <c r="BW35" s="377"/>
      <c r="BX35" s="377"/>
      <c r="BY35" s="377">
        <v>14</v>
      </c>
      <c r="BZ35" s="377"/>
      <c r="CA35" s="377"/>
      <c r="CB35" s="377"/>
      <c r="CC35" s="377"/>
      <c r="CD35" s="377">
        <v>15</v>
      </c>
      <c r="CE35" s="377"/>
      <c r="CF35" s="377"/>
      <c r="CG35" s="377"/>
      <c r="CH35" s="377"/>
      <c r="CI35" s="377">
        <v>16</v>
      </c>
      <c r="CJ35" s="377"/>
      <c r="CK35" s="377"/>
      <c r="CL35" s="377"/>
      <c r="CM35" s="377"/>
      <c r="CN35" s="377">
        <v>17</v>
      </c>
      <c r="CO35" s="377"/>
      <c r="CP35" s="377"/>
      <c r="CQ35" s="377"/>
      <c r="CR35" s="377"/>
      <c r="CS35" s="377">
        <v>18</v>
      </c>
      <c r="CT35" s="377"/>
      <c r="CU35" s="377"/>
      <c r="CV35" s="377"/>
      <c r="CW35" s="377"/>
      <c r="CX35" s="377">
        <v>19</v>
      </c>
      <c r="CY35" s="377"/>
      <c r="CZ35" s="377"/>
      <c r="DA35" s="377"/>
      <c r="DB35" s="433"/>
      <c r="DC35" s="453">
        <v>20</v>
      </c>
      <c r="DD35" s="377"/>
      <c r="DE35" s="377"/>
      <c r="DF35" s="377"/>
      <c r="DG35" s="377"/>
      <c r="DH35" s="377">
        <v>21</v>
      </c>
      <c r="DI35" s="377"/>
      <c r="DJ35" s="377"/>
      <c r="DK35" s="377"/>
      <c r="DL35" s="377"/>
      <c r="DM35" s="377">
        <v>22</v>
      </c>
      <c r="DN35" s="377"/>
      <c r="DO35" s="377"/>
      <c r="DP35" s="377"/>
      <c r="DQ35" s="377"/>
      <c r="DR35" s="377">
        <v>23</v>
      </c>
      <c r="DS35" s="377"/>
      <c r="DT35" s="377"/>
      <c r="DU35" s="377"/>
      <c r="DV35" s="377"/>
      <c r="DW35" s="377">
        <v>24</v>
      </c>
      <c r="DX35" s="377"/>
      <c r="DY35" s="377"/>
      <c r="DZ35" s="377"/>
      <c r="EA35" s="377"/>
      <c r="EB35" s="377">
        <v>25</v>
      </c>
      <c r="EC35" s="377"/>
      <c r="ED35" s="377"/>
      <c r="EE35" s="377"/>
      <c r="EF35" s="377"/>
      <c r="EG35" s="377">
        <v>26</v>
      </c>
      <c r="EH35" s="377"/>
      <c r="EI35" s="377"/>
      <c r="EJ35" s="377"/>
      <c r="EK35" s="377"/>
      <c r="EL35" s="377">
        <v>27</v>
      </c>
      <c r="EM35" s="377"/>
      <c r="EN35" s="377"/>
      <c r="EO35" s="377"/>
      <c r="EP35" s="433"/>
      <c r="EQ35" s="430">
        <v>28</v>
      </c>
      <c r="ER35" s="431"/>
      <c r="ES35" s="432"/>
      <c r="ET35" s="144"/>
    </row>
    <row r="36" spans="1:154" s="82" customFormat="1" ht="63" customHeight="1" x14ac:dyDescent="0.2">
      <c r="A36" s="165" t="s">
        <v>88</v>
      </c>
      <c r="B36" s="143"/>
      <c r="C36" s="376" t="s">
        <v>36</v>
      </c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373">
        <f>SUM(Z37:AC56)</f>
        <v>4050</v>
      </c>
      <c r="AA36" s="373"/>
      <c r="AB36" s="373"/>
      <c r="AC36" s="373"/>
      <c r="AD36" s="390">
        <f>Z36/$Z$86*100</f>
        <v>56.25</v>
      </c>
      <c r="AE36" s="390"/>
      <c r="AF36" s="390"/>
      <c r="AG36" s="391">
        <f>SUM(AG37:AK56)</f>
        <v>1662</v>
      </c>
      <c r="AH36" s="392"/>
      <c r="AI36" s="392"/>
      <c r="AJ36" s="392"/>
      <c r="AK36" s="393"/>
      <c r="AL36" s="391">
        <f>SUM(AL37:AP56)</f>
        <v>738</v>
      </c>
      <c r="AM36" s="392"/>
      <c r="AN36" s="392"/>
      <c r="AO36" s="392"/>
      <c r="AP36" s="393"/>
      <c r="AQ36" s="391">
        <f>SUM(AQ37:AU56)</f>
        <v>434</v>
      </c>
      <c r="AR36" s="392"/>
      <c r="AS36" s="392"/>
      <c r="AT36" s="392"/>
      <c r="AU36" s="393"/>
      <c r="AV36" s="391">
        <f>SUM(AV37:AZ56)</f>
        <v>490</v>
      </c>
      <c r="AW36" s="392"/>
      <c r="AX36" s="392"/>
      <c r="AY36" s="392"/>
      <c r="AZ36" s="393"/>
      <c r="BA36" s="391">
        <f>SUM(BA37:BE56)</f>
        <v>0</v>
      </c>
      <c r="BB36" s="392"/>
      <c r="BC36" s="392"/>
      <c r="BD36" s="392"/>
      <c r="BE36" s="393"/>
      <c r="BF36" s="391">
        <f>SUM(BF37:BJ56)</f>
        <v>0</v>
      </c>
      <c r="BG36" s="392"/>
      <c r="BH36" s="392"/>
      <c r="BI36" s="392"/>
      <c r="BJ36" s="393"/>
      <c r="BK36" s="373">
        <f>SUM(BK37:BN56)</f>
        <v>2388</v>
      </c>
      <c r="BL36" s="373"/>
      <c r="BM36" s="373"/>
      <c r="BN36" s="374"/>
      <c r="BO36" s="411">
        <f>SUM(BO37:BS56)</f>
        <v>24</v>
      </c>
      <c r="BP36" s="380"/>
      <c r="BQ36" s="380"/>
      <c r="BR36" s="380"/>
      <c r="BS36" s="380"/>
      <c r="BT36" s="380">
        <f>SUM(BT37:BX56)</f>
        <v>24</v>
      </c>
      <c r="BU36" s="380"/>
      <c r="BV36" s="380"/>
      <c r="BW36" s="380"/>
      <c r="BX36" s="380"/>
      <c r="BY36" s="380">
        <f>SUM(BY37:CC56)</f>
        <v>14</v>
      </c>
      <c r="BZ36" s="380"/>
      <c r="CA36" s="380"/>
      <c r="CB36" s="380"/>
      <c r="CC36" s="380"/>
      <c r="CD36" s="380">
        <f>SUM(CD37:CH56)</f>
        <v>18</v>
      </c>
      <c r="CE36" s="380"/>
      <c r="CF36" s="380"/>
      <c r="CG36" s="380"/>
      <c r="CH36" s="380"/>
      <c r="CI36" s="380">
        <f>SUM(CI37:CM56)</f>
        <v>12</v>
      </c>
      <c r="CJ36" s="380"/>
      <c r="CK36" s="380"/>
      <c r="CL36" s="380"/>
      <c r="CM36" s="380"/>
      <c r="CN36" s="380">
        <f>SUM(CN37:CR56)</f>
        <v>14</v>
      </c>
      <c r="CO36" s="380"/>
      <c r="CP36" s="380"/>
      <c r="CQ36" s="380"/>
      <c r="CR36" s="380"/>
      <c r="CS36" s="380">
        <f>SUM(CS37:CW56)</f>
        <v>12</v>
      </c>
      <c r="CT36" s="380"/>
      <c r="CU36" s="380"/>
      <c r="CV36" s="380"/>
      <c r="CW36" s="380"/>
      <c r="CX36" s="380">
        <f>SUM(CX37:DB56)</f>
        <v>8</v>
      </c>
      <c r="CY36" s="380"/>
      <c r="CZ36" s="380"/>
      <c r="DA36" s="380"/>
      <c r="DB36" s="404"/>
      <c r="DC36" s="411">
        <f>SUM(DC37:DG56)</f>
        <v>30</v>
      </c>
      <c r="DD36" s="380"/>
      <c r="DE36" s="380"/>
      <c r="DF36" s="380"/>
      <c r="DG36" s="380"/>
      <c r="DH36" s="380">
        <f>SUM(DH37:DL56)</f>
        <v>27</v>
      </c>
      <c r="DI36" s="380"/>
      <c r="DJ36" s="380"/>
      <c r="DK36" s="380"/>
      <c r="DL36" s="380"/>
      <c r="DM36" s="380">
        <f>SUM(DM37:DQ56)</f>
        <v>14</v>
      </c>
      <c r="DN36" s="380"/>
      <c r="DO36" s="380"/>
      <c r="DP36" s="380"/>
      <c r="DQ36" s="380"/>
      <c r="DR36" s="380">
        <f>SUM(DR37:DV56)</f>
        <v>18</v>
      </c>
      <c r="DS36" s="380"/>
      <c r="DT36" s="380"/>
      <c r="DU36" s="380"/>
      <c r="DV36" s="380"/>
      <c r="DW36" s="380">
        <f>SUM(DW37:EA56)</f>
        <v>12</v>
      </c>
      <c r="DX36" s="380"/>
      <c r="DY36" s="380"/>
      <c r="DZ36" s="380"/>
      <c r="EA36" s="380"/>
      <c r="EB36" s="380">
        <v>14</v>
      </c>
      <c r="EC36" s="380"/>
      <c r="ED36" s="380"/>
      <c r="EE36" s="380"/>
      <c r="EF36" s="380"/>
      <c r="EG36" s="380">
        <f>SUM(EG37:EK56)</f>
        <v>12</v>
      </c>
      <c r="EH36" s="380"/>
      <c r="EI36" s="380"/>
      <c r="EJ36" s="380"/>
      <c r="EK36" s="380"/>
      <c r="EL36" s="380">
        <f>SUM(EL37:EP56)</f>
        <v>8</v>
      </c>
      <c r="EM36" s="380"/>
      <c r="EN36" s="380"/>
      <c r="EO36" s="380"/>
      <c r="EP36" s="404"/>
      <c r="EQ36" s="358">
        <f t="shared" ref="EQ36:EQ59" si="7">DC36+DH36+DM36+DR36+DW36+EG36+EB36+EL36</f>
        <v>135</v>
      </c>
      <c r="ER36" s="359"/>
      <c r="ES36" s="360"/>
      <c r="ET36" s="193"/>
      <c r="EV36" s="580" t="s">
        <v>277</v>
      </c>
      <c r="EW36" s="581"/>
      <c r="EX36" s="582"/>
    </row>
    <row r="37" spans="1:154" s="83" customFormat="1" ht="80.099999999999994" customHeight="1" x14ac:dyDescent="0.2">
      <c r="A37" s="166" t="s">
        <v>89</v>
      </c>
      <c r="B37" s="60" t="s">
        <v>129</v>
      </c>
      <c r="C37" s="372" t="s">
        <v>76</v>
      </c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47">
        <f>+EQ37*30</f>
        <v>120</v>
      </c>
      <c r="AA37" s="347"/>
      <c r="AB37" s="347"/>
      <c r="AC37" s="347"/>
      <c r="AD37" s="344"/>
      <c r="AE37" s="344"/>
      <c r="AF37" s="344"/>
      <c r="AG37" s="348">
        <f>SUM(AL37:BE37)</f>
        <v>60</v>
      </c>
      <c r="AH37" s="348"/>
      <c r="AI37" s="348"/>
      <c r="AJ37" s="348"/>
      <c r="AK37" s="348"/>
      <c r="AL37" s="349">
        <v>30</v>
      </c>
      <c r="AM37" s="349"/>
      <c r="AN37" s="349"/>
      <c r="AO37" s="349"/>
      <c r="AP37" s="349"/>
      <c r="AQ37" s="349"/>
      <c r="AR37" s="349"/>
      <c r="AS37" s="349"/>
      <c r="AT37" s="349"/>
      <c r="AU37" s="349"/>
      <c r="AV37" s="349">
        <v>30</v>
      </c>
      <c r="AW37" s="349"/>
      <c r="AX37" s="349"/>
      <c r="AY37" s="349"/>
      <c r="AZ37" s="349"/>
      <c r="BA37" s="350"/>
      <c r="BB37" s="350"/>
      <c r="BC37" s="350"/>
      <c r="BD37" s="350"/>
      <c r="BE37" s="350"/>
      <c r="BF37" s="350"/>
      <c r="BG37" s="350"/>
      <c r="BH37" s="350"/>
      <c r="BI37" s="350"/>
      <c r="BJ37" s="350"/>
      <c r="BK37" s="347">
        <f>Z37-AG37</f>
        <v>60</v>
      </c>
      <c r="BL37" s="347"/>
      <c r="BM37" s="347"/>
      <c r="BN37" s="343"/>
      <c r="BO37" s="384">
        <v>4</v>
      </c>
      <c r="BP37" s="344"/>
      <c r="BQ37" s="344"/>
      <c r="BR37" s="344"/>
      <c r="BS37" s="344"/>
      <c r="BT37" s="344"/>
      <c r="BU37" s="344"/>
      <c r="BV37" s="344"/>
      <c r="BW37" s="344"/>
      <c r="BX37" s="344"/>
      <c r="BY37" s="344"/>
      <c r="BZ37" s="344"/>
      <c r="CA37" s="344"/>
      <c r="CB37" s="344"/>
      <c r="CC37" s="344"/>
      <c r="CD37" s="344"/>
      <c r="CE37" s="344"/>
      <c r="CF37" s="344"/>
      <c r="CG37" s="344"/>
      <c r="CH37" s="344"/>
      <c r="CI37" s="344"/>
      <c r="CJ37" s="344"/>
      <c r="CK37" s="344"/>
      <c r="CL37" s="344"/>
      <c r="CM37" s="344"/>
      <c r="CN37" s="344"/>
      <c r="CO37" s="344"/>
      <c r="CP37" s="344"/>
      <c r="CQ37" s="344"/>
      <c r="CR37" s="344"/>
      <c r="CS37" s="344"/>
      <c r="CT37" s="344"/>
      <c r="CU37" s="344"/>
      <c r="CV37" s="344"/>
      <c r="CW37" s="344"/>
      <c r="CX37" s="344"/>
      <c r="CY37" s="344"/>
      <c r="CZ37" s="344"/>
      <c r="DA37" s="344"/>
      <c r="DB37" s="345"/>
      <c r="DC37" s="384">
        <v>4</v>
      </c>
      <c r="DD37" s="344"/>
      <c r="DE37" s="344"/>
      <c r="DF37" s="344"/>
      <c r="DG37" s="344"/>
      <c r="DH37" s="344"/>
      <c r="DI37" s="344"/>
      <c r="DJ37" s="344"/>
      <c r="DK37" s="344"/>
      <c r="DL37" s="344"/>
      <c r="DM37" s="344"/>
      <c r="DN37" s="344"/>
      <c r="DO37" s="344"/>
      <c r="DP37" s="344"/>
      <c r="DQ37" s="344"/>
      <c r="DR37" s="344"/>
      <c r="DS37" s="344"/>
      <c r="DT37" s="344"/>
      <c r="DU37" s="344"/>
      <c r="DV37" s="344"/>
      <c r="DW37" s="344"/>
      <c r="DX37" s="344"/>
      <c r="DY37" s="344"/>
      <c r="DZ37" s="344"/>
      <c r="EA37" s="344"/>
      <c r="EB37" s="344"/>
      <c r="EC37" s="344"/>
      <c r="ED37" s="344"/>
      <c r="EE37" s="344"/>
      <c r="EF37" s="344"/>
      <c r="EG37" s="344"/>
      <c r="EH37" s="344"/>
      <c r="EI37" s="344"/>
      <c r="EJ37" s="344"/>
      <c r="EK37" s="344"/>
      <c r="EL37" s="344"/>
      <c r="EM37" s="344"/>
      <c r="EN37" s="344"/>
      <c r="EO37" s="344"/>
      <c r="EP37" s="345"/>
      <c r="EQ37" s="341">
        <f>SUM(DC37:EP37)</f>
        <v>4</v>
      </c>
      <c r="ER37" s="342"/>
      <c r="ES37" s="343"/>
      <c r="ET37" s="194"/>
      <c r="EV37" s="264"/>
      <c r="EW37" s="243"/>
      <c r="EX37" s="265"/>
    </row>
    <row r="38" spans="1:154" s="83" customFormat="1" ht="80.099999999999994" customHeight="1" x14ac:dyDescent="0.2">
      <c r="A38" s="166" t="s">
        <v>90</v>
      </c>
      <c r="B38" s="60" t="s">
        <v>125</v>
      </c>
      <c r="C38" s="372" t="s">
        <v>37</v>
      </c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47">
        <f t="shared" ref="Z38:Z56" si="8">+EQ38*30</f>
        <v>120</v>
      </c>
      <c r="AA38" s="347"/>
      <c r="AB38" s="347"/>
      <c r="AC38" s="347"/>
      <c r="AD38" s="344"/>
      <c r="AE38" s="344"/>
      <c r="AF38" s="344"/>
      <c r="AG38" s="348">
        <f t="shared" ref="AG38:AG56" si="9">SUM(AL38:BE38)</f>
        <v>48</v>
      </c>
      <c r="AH38" s="348"/>
      <c r="AI38" s="348"/>
      <c r="AJ38" s="348"/>
      <c r="AK38" s="348"/>
      <c r="AL38" s="349">
        <v>30</v>
      </c>
      <c r="AM38" s="349"/>
      <c r="AN38" s="349"/>
      <c r="AO38" s="349"/>
      <c r="AP38" s="349"/>
      <c r="AQ38" s="349"/>
      <c r="AR38" s="349"/>
      <c r="AS38" s="349"/>
      <c r="AT38" s="349"/>
      <c r="AU38" s="349"/>
      <c r="AV38" s="349">
        <v>18</v>
      </c>
      <c r="AW38" s="349"/>
      <c r="AX38" s="349"/>
      <c r="AY38" s="349"/>
      <c r="AZ38" s="349"/>
      <c r="BA38" s="350"/>
      <c r="BB38" s="350"/>
      <c r="BC38" s="350"/>
      <c r="BD38" s="350"/>
      <c r="BE38" s="350"/>
      <c r="BF38" s="350"/>
      <c r="BG38" s="350"/>
      <c r="BH38" s="350"/>
      <c r="BI38" s="350"/>
      <c r="BJ38" s="350"/>
      <c r="BK38" s="347">
        <f t="shared" ref="BK38:BK56" si="10">Z38-AG38</f>
        <v>72</v>
      </c>
      <c r="BL38" s="347"/>
      <c r="BM38" s="347"/>
      <c r="BN38" s="343"/>
      <c r="BO38" s="384">
        <v>3</v>
      </c>
      <c r="BP38" s="344"/>
      <c r="BQ38" s="344"/>
      <c r="BR38" s="344"/>
      <c r="BS38" s="344"/>
      <c r="BT38" s="344"/>
      <c r="BU38" s="344"/>
      <c r="BV38" s="344"/>
      <c r="BW38" s="344"/>
      <c r="BX38" s="344"/>
      <c r="BY38" s="344"/>
      <c r="BZ38" s="344"/>
      <c r="CA38" s="344"/>
      <c r="CB38" s="344"/>
      <c r="CC38" s="344"/>
      <c r="CD38" s="344"/>
      <c r="CE38" s="344"/>
      <c r="CF38" s="344"/>
      <c r="CG38" s="344"/>
      <c r="CH38" s="344"/>
      <c r="CI38" s="344"/>
      <c r="CJ38" s="344"/>
      <c r="CK38" s="344"/>
      <c r="CL38" s="344"/>
      <c r="CM38" s="344"/>
      <c r="CN38" s="344"/>
      <c r="CO38" s="344"/>
      <c r="CP38" s="344"/>
      <c r="CQ38" s="344"/>
      <c r="CR38" s="344"/>
      <c r="CS38" s="344"/>
      <c r="CT38" s="344"/>
      <c r="CU38" s="344"/>
      <c r="CV38" s="344"/>
      <c r="CW38" s="344"/>
      <c r="CX38" s="344"/>
      <c r="CY38" s="344"/>
      <c r="CZ38" s="344"/>
      <c r="DA38" s="344"/>
      <c r="DB38" s="345"/>
      <c r="DC38" s="384">
        <v>4</v>
      </c>
      <c r="DD38" s="344"/>
      <c r="DE38" s="344"/>
      <c r="DF38" s="344"/>
      <c r="DG38" s="344"/>
      <c r="DH38" s="344"/>
      <c r="DI38" s="344"/>
      <c r="DJ38" s="344"/>
      <c r="DK38" s="344"/>
      <c r="DL38" s="344"/>
      <c r="DM38" s="344"/>
      <c r="DN38" s="344"/>
      <c r="DO38" s="344"/>
      <c r="DP38" s="344"/>
      <c r="DQ38" s="344"/>
      <c r="DR38" s="344"/>
      <c r="DS38" s="344"/>
      <c r="DT38" s="344"/>
      <c r="DU38" s="344"/>
      <c r="DV38" s="344"/>
      <c r="DW38" s="344"/>
      <c r="DX38" s="344"/>
      <c r="DY38" s="344"/>
      <c r="DZ38" s="344"/>
      <c r="EA38" s="344"/>
      <c r="EB38" s="344"/>
      <c r="EC38" s="344"/>
      <c r="ED38" s="344"/>
      <c r="EE38" s="344"/>
      <c r="EF38" s="344"/>
      <c r="EG38" s="344"/>
      <c r="EH38" s="344"/>
      <c r="EI38" s="344"/>
      <c r="EJ38" s="344"/>
      <c r="EK38" s="344"/>
      <c r="EL38" s="344"/>
      <c r="EM38" s="344"/>
      <c r="EN38" s="344"/>
      <c r="EO38" s="344"/>
      <c r="EP38" s="345"/>
      <c r="EQ38" s="341">
        <f t="shared" ref="EQ38:EQ55" si="11">SUM(DC38:EP38)</f>
        <v>4</v>
      </c>
      <c r="ER38" s="342"/>
      <c r="ES38" s="343"/>
      <c r="ET38" s="194"/>
      <c r="EV38" s="264"/>
      <c r="EW38" s="243"/>
      <c r="EX38" s="265"/>
    </row>
    <row r="39" spans="1:154" s="83" customFormat="1" ht="80.099999999999994" customHeight="1" x14ac:dyDescent="0.2">
      <c r="A39" s="166" t="s">
        <v>91</v>
      </c>
      <c r="B39" s="60" t="s">
        <v>71</v>
      </c>
      <c r="C39" s="372" t="s">
        <v>77</v>
      </c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47">
        <f t="shared" si="8"/>
        <v>120</v>
      </c>
      <c r="AA39" s="347"/>
      <c r="AB39" s="347"/>
      <c r="AC39" s="347"/>
      <c r="AD39" s="344"/>
      <c r="AE39" s="344"/>
      <c r="AF39" s="344"/>
      <c r="AG39" s="348">
        <f t="shared" si="9"/>
        <v>60</v>
      </c>
      <c r="AH39" s="348"/>
      <c r="AI39" s="348"/>
      <c r="AJ39" s="348"/>
      <c r="AK39" s="348"/>
      <c r="AL39" s="464">
        <v>30</v>
      </c>
      <c r="AM39" s="464"/>
      <c r="AN39" s="464"/>
      <c r="AO39" s="464"/>
      <c r="AP39" s="464"/>
      <c r="AQ39" s="464"/>
      <c r="AR39" s="464"/>
      <c r="AS39" s="464"/>
      <c r="AT39" s="464"/>
      <c r="AU39" s="464"/>
      <c r="AV39" s="349">
        <v>30</v>
      </c>
      <c r="AW39" s="349"/>
      <c r="AX39" s="349"/>
      <c r="AY39" s="349"/>
      <c r="AZ39" s="349"/>
      <c r="BA39" s="350"/>
      <c r="BB39" s="350"/>
      <c r="BC39" s="350"/>
      <c r="BD39" s="350"/>
      <c r="BE39" s="350"/>
      <c r="BF39" s="350"/>
      <c r="BG39" s="350"/>
      <c r="BH39" s="350"/>
      <c r="BI39" s="350"/>
      <c r="BJ39" s="350"/>
      <c r="BK39" s="347">
        <f t="shared" si="10"/>
        <v>60</v>
      </c>
      <c r="BL39" s="347"/>
      <c r="BM39" s="347"/>
      <c r="BN39" s="343"/>
      <c r="BO39" s="384">
        <v>4</v>
      </c>
      <c r="BP39" s="344"/>
      <c r="BQ39" s="344"/>
      <c r="BR39" s="344"/>
      <c r="BS39" s="344"/>
      <c r="BT39" s="344"/>
      <c r="BU39" s="344"/>
      <c r="BV39" s="344"/>
      <c r="BW39" s="344"/>
      <c r="BX39" s="344"/>
      <c r="BY39" s="344"/>
      <c r="BZ39" s="344"/>
      <c r="CA39" s="344"/>
      <c r="CB39" s="344"/>
      <c r="CC39" s="344"/>
      <c r="CD39" s="344"/>
      <c r="CE39" s="344"/>
      <c r="CF39" s="344"/>
      <c r="CG39" s="344"/>
      <c r="CH39" s="344"/>
      <c r="CI39" s="344"/>
      <c r="CJ39" s="344"/>
      <c r="CK39" s="344"/>
      <c r="CL39" s="344"/>
      <c r="CM39" s="344"/>
      <c r="CN39" s="344"/>
      <c r="CO39" s="344"/>
      <c r="CP39" s="344"/>
      <c r="CQ39" s="344"/>
      <c r="CR39" s="344"/>
      <c r="CS39" s="344"/>
      <c r="CT39" s="344"/>
      <c r="CU39" s="344"/>
      <c r="CV39" s="344"/>
      <c r="CW39" s="344"/>
      <c r="CX39" s="344"/>
      <c r="CY39" s="344"/>
      <c r="CZ39" s="344"/>
      <c r="DA39" s="344"/>
      <c r="DB39" s="345"/>
      <c r="DC39" s="384">
        <v>4</v>
      </c>
      <c r="DD39" s="344"/>
      <c r="DE39" s="344"/>
      <c r="DF39" s="344"/>
      <c r="DG39" s="344"/>
      <c r="DH39" s="344"/>
      <c r="DI39" s="344"/>
      <c r="DJ39" s="344"/>
      <c r="DK39" s="344"/>
      <c r="DL39" s="344"/>
      <c r="DM39" s="344"/>
      <c r="DN39" s="344"/>
      <c r="DO39" s="344"/>
      <c r="DP39" s="344"/>
      <c r="DQ39" s="344"/>
      <c r="DR39" s="344"/>
      <c r="DS39" s="344"/>
      <c r="DT39" s="344"/>
      <c r="DU39" s="344"/>
      <c r="DV39" s="344"/>
      <c r="DW39" s="344"/>
      <c r="DX39" s="344"/>
      <c r="DY39" s="344"/>
      <c r="DZ39" s="344"/>
      <c r="EA39" s="344"/>
      <c r="EB39" s="344"/>
      <c r="EC39" s="344"/>
      <c r="ED39" s="344"/>
      <c r="EE39" s="344"/>
      <c r="EF39" s="344"/>
      <c r="EG39" s="344"/>
      <c r="EH39" s="344"/>
      <c r="EI39" s="344"/>
      <c r="EJ39" s="344"/>
      <c r="EK39" s="344"/>
      <c r="EL39" s="344"/>
      <c r="EM39" s="344"/>
      <c r="EN39" s="344"/>
      <c r="EO39" s="344"/>
      <c r="EP39" s="345"/>
      <c r="EQ39" s="341">
        <f t="shared" si="11"/>
        <v>4</v>
      </c>
      <c r="ER39" s="342"/>
      <c r="ES39" s="343"/>
      <c r="ET39" s="194"/>
      <c r="EV39" s="264"/>
      <c r="EW39" s="243"/>
      <c r="EX39" s="265"/>
    </row>
    <row r="40" spans="1:154" s="83" customFormat="1" ht="80.099999999999994" customHeight="1" x14ac:dyDescent="0.2">
      <c r="A40" s="166" t="s">
        <v>92</v>
      </c>
      <c r="B40" s="60" t="s">
        <v>126</v>
      </c>
      <c r="C40" s="375" t="s">
        <v>78</v>
      </c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68">
        <f t="shared" si="8"/>
        <v>300</v>
      </c>
      <c r="AA40" s="368"/>
      <c r="AB40" s="368"/>
      <c r="AC40" s="368"/>
      <c r="AD40" s="366"/>
      <c r="AE40" s="366"/>
      <c r="AF40" s="366"/>
      <c r="AG40" s="348">
        <f t="shared" si="9"/>
        <v>92</v>
      </c>
      <c r="AH40" s="348"/>
      <c r="AI40" s="348"/>
      <c r="AJ40" s="348"/>
      <c r="AK40" s="348"/>
      <c r="AL40" s="423">
        <v>46</v>
      </c>
      <c r="AM40" s="423"/>
      <c r="AN40" s="423"/>
      <c r="AO40" s="423"/>
      <c r="AP40" s="423"/>
      <c r="AQ40" s="423"/>
      <c r="AR40" s="423"/>
      <c r="AS40" s="423"/>
      <c r="AT40" s="423"/>
      <c r="AU40" s="423"/>
      <c r="AV40" s="423">
        <v>46</v>
      </c>
      <c r="AW40" s="423"/>
      <c r="AX40" s="423"/>
      <c r="AY40" s="423"/>
      <c r="AZ40" s="423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347">
        <f t="shared" si="10"/>
        <v>208</v>
      </c>
      <c r="BL40" s="347"/>
      <c r="BM40" s="347"/>
      <c r="BN40" s="343"/>
      <c r="BO40" s="410">
        <v>6</v>
      </c>
      <c r="BP40" s="366"/>
      <c r="BQ40" s="366"/>
      <c r="BR40" s="366"/>
      <c r="BS40" s="366"/>
      <c r="BT40" s="366"/>
      <c r="BU40" s="366"/>
      <c r="BV40" s="366"/>
      <c r="BW40" s="366"/>
      <c r="BX40" s="366"/>
      <c r="BY40" s="366"/>
      <c r="BZ40" s="366"/>
      <c r="CA40" s="366"/>
      <c r="CB40" s="366"/>
      <c r="CC40" s="366"/>
      <c r="CD40" s="366"/>
      <c r="CE40" s="366"/>
      <c r="CF40" s="366"/>
      <c r="CG40" s="366"/>
      <c r="CH40" s="366"/>
      <c r="CI40" s="366"/>
      <c r="CJ40" s="366"/>
      <c r="CK40" s="366"/>
      <c r="CL40" s="366"/>
      <c r="CM40" s="366"/>
      <c r="CN40" s="366"/>
      <c r="CO40" s="366"/>
      <c r="CP40" s="366"/>
      <c r="CQ40" s="366"/>
      <c r="CR40" s="366"/>
      <c r="CS40" s="366"/>
      <c r="CT40" s="366"/>
      <c r="CU40" s="366"/>
      <c r="CV40" s="366"/>
      <c r="CW40" s="366"/>
      <c r="CX40" s="366"/>
      <c r="CY40" s="366"/>
      <c r="CZ40" s="366"/>
      <c r="DA40" s="366"/>
      <c r="DB40" s="367"/>
      <c r="DC40" s="410">
        <v>10</v>
      </c>
      <c r="DD40" s="366"/>
      <c r="DE40" s="366"/>
      <c r="DF40" s="366"/>
      <c r="DG40" s="366"/>
      <c r="DH40" s="366"/>
      <c r="DI40" s="366"/>
      <c r="DJ40" s="366"/>
      <c r="DK40" s="366"/>
      <c r="DL40" s="366"/>
      <c r="DM40" s="366"/>
      <c r="DN40" s="366"/>
      <c r="DO40" s="366"/>
      <c r="DP40" s="366"/>
      <c r="DQ40" s="366"/>
      <c r="DR40" s="366"/>
      <c r="DS40" s="366"/>
      <c r="DT40" s="366"/>
      <c r="DU40" s="366"/>
      <c r="DV40" s="366"/>
      <c r="DW40" s="366"/>
      <c r="DX40" s="366"/>
      <c r="DY40" s="366"/>
      <c r="DZ40" s="366"/>
      <c r="EA40" s="366"/>
      <c r="EB40" s="366"/>
      <c r="EC40" s="366"/>
      <c r="ED40" s="366"/>
      <c r="EE40" s="366"/>
      <c r="EF40" s="366"/>
      <c r="EG40" s="366"/>
      <c r="EH40" s="366"/>
      <c r="EI40" s="366"/>
      <c r="EJ40" s="366"/>
      <c r="EK40" s="366"/>
      <c r="EL40" s="366"/>
      <c r="EM40" s="366"/>
      <c r="EN40" s="366"/>
      <c r="EO40" s="366"/>
      <c r="EP40" s="367"/>
      <c r="EQ40" s="341">
        <f t="shared" si="11"/>
        <v>10</v>
      </c>
      <c r="ER40" s="342"/>
      <c r="ES40" s="343"/>
      <c r="ET40" s="194"/>
      <c r="EV40" s="264"/>
      <c r="EW40" s="243"/>
      <c r="EX40" s="265"/>
    </row>
    <row r="41" spans="1:154" s="83" customFormat="1" ht="80.099999999999994" customHeight="1" x14ac:dyDescent="0.2">
      <c r="A41" s="166" t="s">
        <v>93</v>
      </c>
      <c r="B41" s="60" t="s">
        <v>72</v>
      </c>
      <c r="C41" s="375" t="s">
        <v>79</v>
      </c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68">
        <f t="shared" si="8"/>
        <v>120</v>
      </c>
      <c r="AA41" s="368"/>
      <c r="AB41" s="368"/>
      <c r="AC41" s="368"/>
      <c r="AD41" s="366"/>
      <c r="AE41" s="366"/>
      <c r="AF41" s="366"/>
      <c r="AG41" s="348">
        <f t="shared" si="9"/>
        <v>60</v>
      </c>
      <c r="AH41" s="348"/>
      <c r="AI41" s="348"/>
      <c r="AJ41" s="348"/>
      <c r="AK41" s="348"/>
      <c r="AL41" s="423">
        <v>30</v>
      </c>
      <c r="AM41" s="423"/>
      <c r="AN41" s="423"/>
      <c r="AO41" s="423"/>
      <c r="AP41" s="423"/>
      <c r="AQ41" s="423"/>
      <c r="AR41" s="423"/>
      <c r="AS41" s="423"/>
      <c r="AT41" s="423"/>
      <c r="AU41" s="423"/>
      <c r="AV41" s="423">
        <v>30</v>
      </c>
      <c r="AW41" s="423"/>
      <c r="AX41" s="423"/>
      <c r="AY41" s="423"/>
      <c r="AZ41" s="423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347">
        <f t="shared" si="10"/>
        <v>60</v>
      </c>
      <c r="BL41" s="347"/>
      <c r="BM41" s="347"/>
      <c r="BN41" s="343"/>
      <c r="BO41" s="410"/>
      <c r="BP41" s="366"/>
      <c r="BQ41" s="366"/>
      <c r="BR41" s="366"/>
      <c r="BS41" s="366"/>
      <c r="BT41" s="366">
        <v>4</v>
      </c>
      <c r="BU41" s="366"/>
      <c r="BV41" s="366"/>
      <c r="BW41" s="366"/>
      <c r="BX41" s="366"/>
      <c r="BY41" s="366"/>
      <c r="BZ41" s="366"/>
      <c r="CA41" s="366"/>
      <c r="CB41" s="366"/>
      <c r="CC41" s="366"/>
      <c r="CD41" s="366"/>
      <c r="CE41" s="366"/>
      <c r="CF41" s="366"/>
      <c r="CG41" s="366"/>
      <c r="CH41" s="366"/>
      <c r="CI41" s="366"/>
      <c r="CJ41" s="366"/>
      <c r="CK41" s="366"/>
      <c r="CL41" s="366"/>
      <c r="CM41" s="366"/>
      <c r="CN41" s="366"/>
      <c r="CO41" s="366"/>
      <c r="CP41" s="366"/>
      <c r="CQ41" s="366"/>
      <c r="CR41" s="366"/>
      <c r="CS41" s="366"/>
      <c r="CT41" s="366"/>
      <c r="CU41" s="366"/>
      <c r="CV41" s="366"/>
      <c r="CW41" s="366"/>
      <c r="CX41" s="366"/>
      <c r="CY41" s="366"/>
      <c r="CZ41" s="366"/>
      <c r="DA41" s="366"/>
      <c r="DB41" s="367"/>
      <c r="DC41" s="410"/>
      <c r="DD41" s="366"/>
      <c r="DE41" s="366"/>
      <c r="DF41" s="366"/>
      <c r="DG41" s="366"/>
      <c r="DH41" s="366">
        <v>4</v>
      </c>
      <c r="DI41" s="366"/>
      <c r="DJ41" s="366"/>
      <c r="DK41" s="366"/>
      <c r="DL41" s="366"/>
      <c r="DM41" s="366"/>
      <c r="DN41" s="366"/>
      <c r="DO41" s="366"/>
      <c r="DP41" s="366"/>
      <c r="DQ41" s="366"/>
      <c r="DR41" s="366"/>
      <c r="DS41" s="366"/>
      <c r="DT41" s="366"/>
      <c r="DU41" s="366"/>
      <c r="DV41" s="366"/>
      <c r="DW41" s="366"/>
      <c r="DX41" s="366"/>
      <c r="DY41" s="366"/>
      <c r="DZ41" s="366"/>
      <c r="EA41" s="366"/>
      <c r="EB41" s="366"/>
      <c r="EC41" s="366"/>
      <c r="ED41" s="366"/>
      <c r="EE41" s="366"/>
      <c r="EF41" s="366"/>
      <c r="EG41" s="366"/>
      <c r="EH41" s="366"/>
      <c r="EI41" s="366"/>
      <c r="EJ41" s="366"/>
      <c r="EK41" s="366"/>
      <c r="EL41" s="366"/>
      <c r="EM41" s="366"/>
      <c r="EN41" s="366"/>
      <c r="EO41" s="366"/>
      <c r="EP41" s="367"/>
      <c r="EQ41" s="341">
        <f t="shared" si="11"/>
        <v>4</v>
      </c>
      <c r="ER41" s="342"/>
      <c r="ES41" s="343"/>
      <c r="ET41" s="194"/>
      <c r="EV41" s="264"/>
      <c r="EW41" s="243"/>
      <c r="EX41" s="265"/>
    </row>
    <row r="42" spans="1:154" s="83" customFormat="1" ht="80.099999999999994" customHeight="1" x14ac:dyDescent="0.2">
      <c r="A42" s="166" t="s">
        <v>94</v>
      </c>
      <c r="B42" s="60" t="s">
        <v>127</v>
      </c>
      <c r="C42" s="375" t="s">
        <v>122</v>
      </c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68">
        <f t="shared" si="8"/>
        <v>120</v>
      </c>
      <c r="AA42" s="368"/>
      <c r="AB42" s="368"/>
      <c r="AC42" s="368"/>
      <c r="AD42" s="366"/>
      <c r="AE42" s="366"/>
      <c r="AF42" s="366"/>
      <c r="AG42" s="348">
        <f t="shared" si="9"/>
        <v>60</v>
      </c>
      <c r="AH42" s="348"/>
      <c r="AI42" s="348"/>
      <c r="AJ42" s="348"/>
      <c r="AK42" s="348"/>
      <c r="AL42" s="423">
        <v>30</v>
      </c>
      <c r="AM42" s="423"/>
      <c r="AN42" s="423"/>
      <c r="AO42" s="423"/>
      <c r="AP42" s="423"/>
      <c r="AQ42" s="423"/>
      <c r="AR42" s="423"/>
      <c r="AS42" s="423"/>
      <c r="AT42" s="423"/>
      <c r="AU42" s="423"/>
      <c r="AV42" s="423">
        <v>30</v>
      </c>
      <c r="AW42" s="423"/>
      <c r="AX42" s="423"/>
      <c r="AY42" s="423"/>
      <c r="AZ42" s="423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347">
        <f t="shared" si="10"/>
        <v>60</v>
      </c>
      <c r="BL42" s="347"/>
      <c r="BM42" s="347"/>
      <c r="BN42" s="343"/>
      <c r="BO42" s="410"/>
      <c r="BP42" s="366"/>
      <c r="BQ42" s="366"/>
      <c r="BR42" s="366"/>
      <c r="BS42" s="366"/>
      <c r="BT42" s="366">
        <v>4</v>
      </c>
      <c r="BU42" s="366"/>
      <c r="BV42" s="366"/>
      <c r="BW42" s="366"/>
      <c r="BX42" s="366"/>
      <c r="BY42" s="366"/>
      <c r="BZ42" s="366"/>
      <c r="CA42" s="366"/>
      <c r="CB42" s="366"/>
      <c r="CC42" s="366"/>
      <c r="CD42" s="366"/>
      <c r="CE42" s="366"/>
      <c r="CF42" s="366"/>
      <c r="CG42" s="366"/>
      <c r="CH42" s="366"/>
      <c r="CI42" s="366"/>
      <c r="CJ42" s="366"/>
      <c r="CK42" s="366"/>
      <c r="CL42" s="366"/>
      <c r="CM42" s="366"/>
      <c r="CN42" s="366"/>
      <c r="CO42" s="366"/>
      <c r="CP42" s="366"/>
      <c r="CQ42" s="366"/>
      <c r="CR42" s="366"/>
      <c r="CS42" s="366"/>
      <c r="CT42" s="366"/>
      <c r="CU42" s="366"/>
      <c r="CV42" s="366"/>
      <c r="CW42" s="366"/>
      <c r="CX42" s="366"/>
      <c r="CY42" s="366"/>
      <c r="CZ42" s="366"/>
      <c r="DA42" s="366"/>
      <c r="DB42" s="367"/>
      <c r="DC42" s="410"/>
      <c r="DD42" s="366"/>
      <c r="DE42" s="366"/>
      <c r="DF42" s="366"/>
      <c r="DG42" s="366"/>
      <c r="DH42" s="366">
        <v>4</v>
      </c>
      <c r="DI42" s="366"/>
      <c r="DJ42" s="366"/>
      <c r="DK42" s="366"/>
      <c r="DL42" s="366"/>
      <c r="DM42" s="366"/>
      <c r="DN42" s="366"/>
      <c r="DO42" s="366"/>
      <c r="DP42" s="366"/>
      <c r="DQ42" s="366"/>
      <c r="DR42" s="366"/>
      <c r="DS42" s="366"/>
      <c r="DT42" s="366"/>
      <c r="DU42" s="366"/>
      <c r="DV42" s="366"/>
      <c r="DW42" s="366"/>
      <c r="DX42" s="366"/>
      <c r="DY42" s="366"/>
      <c r="DZ42" s="366"/>
      <c r="EA42" s="366"/>
      <c r="EB42" s="366"/>
      <c r="EC42" s="366"/>
      <c r="ED42" s="366"/>
      <c r="EE42" s="366"/>
      <c r="EF42" s="366"/>
      <c r="EG42" s="366"/>
      <c r="EH42" s="366"/>
      <c r="EI42" s="366"/>
      <c r="EJ42" s="366"/>
      <c r="EK42" s="366"/>
      <c r="EL42" s="366"/>
      <c r="EM42" s="366"/>
      <c r="EN42" s="366"/>
      <c r="EO42" s="366"/>
      <c r="EP42" s="367"/>
      <c r="EQ42" s="341">
        <f t="shared" si="11"/>
        <v>4</v>
      </c>
      <c r="ER42" s="342"/>
      <c r="ES42" s="343"/>
      <c r="ET42" s="194"/>
      <c r="EV42" s="264"/>
      <c r="EW42" s="243"/>
      <c r="EX42" s="265"/>
    </row>
    <row r="43" spans="1:154" s="85" customFormat="1" ht="80.099999999999994" customHeight="1" x14ac:dyDescent="0.2">
      <c r="A43" s="166" t="s">
        <v>95</v>
      </c>
      <c r="B43" s="140" t="s">
        <v>148</v>
      </c>
      <c r="C43" s="378" t="s">
        <v>82</v>
      </c>
      <c r="D43" s="378"/>
      <c r="E43" s="378"/>
      <c r="F43" s="378"/>
      <c r="G43" s="378"/>
      <c r="H43" s="378"/>
      <c r="I43" s="378"/>
      <c r="J43" s="378"/>
      <c r="K43" s="378"/>
      <c r="L43" s="378"/>
      <c r="M43" s="378"/>
      <c r="N43" s="378"/>
      <c r="O43" s="378"/>
      <c r="P43" s="378"/>
      <c r="Q43" s="378"/>
      <c r="R43" s="378"/>
      <c r="S43" s="378"/>
      <c r="T43" s="378"/>
      <c r="U43" s="378"/>
      <c r="V43" s="378"/>
      <c r="W43" s="378"/>
      <c r="X43" s="378"/>
      <c r="Y43" s="378"/>
      <c r="Z43" s="368">
        <f t="shared" si="8"/>
        <v>240</v>
      </c>
      <c r="AA43" s="368"/>
      <c r="AB43" s="368"/>
      <c r="AC43" s="368"/>
      <c r="AD43" s="366"/>
      <c r="AE43" s="366"/>
      <c r="AF43" s="366"/>
      <c r="AG43" s="348">
        <f t="shared" si="9"/>
        <v>120</v>
      </c>
      <c r="AH43" s="348"/>
      <c r="AI43" s="348"/>
      <c r="AJ43" s="348"/>
      <c r="AK43" s="348"/>
      <c r="AL43" s="423"/>
      <c r="AM43" s="423"/>
      <c r="AN43" s="423"/>
      <c r="AO43" s="423"/>
      <c r="AP43" s="423"/>
      <c r="AQ43" s="423">
        <v>120</v>
      </c>
      <c r="AR43" s="423"/>
      <c r="AS43" s="423"/>
      <c r="AT43" s="423"/>
      <c r="AU43" s="423"/>
      <c r="AV43" s="423"/>
      <c r="AW43" s="423"/>
      <c r="AX43" s="423"/>
      <c r="AY43" s="423"/>
      <c r="AZ43" s="423"/>
      <c r="BA43" s="423"/>
      <c r="BB43" s="423"/>
      <c r="BC43" s="423"/>
      <c r="BD43" s="423"/>
      <c r="BE43" s="423"/>
      <c r="BF43" s="423"/>
      <c r="BG43" s="423"/>
      <c r="BH43" s="423"/>
      <c r="BI43" s="423"/>
      <c r="BJ43" s="423"/>
      <c r="BK43" s="347">
        <f t="shared" si="10"/>
        <v>120</v>
      </c>
      <c r="BL43" s="347"/>
      <c r="BM43" s="347"/>
      <c r="BN43" s="343"/>
      <c r="BO43" s="410">
        <v>4</v>
      </c>
      <c r="BP43" s="366"/>
      <c r="BQ43" s="366"/>
      <c r="BR43" s="366"/>
      <c r="BS43" s="366"/>
      <c r="BT43" s="366">
        <v>4</v>
      </c>
      <c r="BU43" s="366"/>
      <c r="BV43" s="366"/>
      <c r="BW43" s="366"/>
      <c r="BX43" s="366"/>
      <c r="BY43" s="366"/>
      <c r="BZ43" s="366"/>
      <c r="CA43" s="366"/>
      <c r="CB43" s="366"/>
      <c r="CC43" s="366"/>
      <c r="CD43" s="366"/>
      <c r="CE43" s="366"/>
      <c r="CF43" s="366"/>
      <c r="CG43" s="366"/>
      <c r="CH43" s="366"/>
      <c r="CI43" s="366"/>
      <c r="CJ43" s="366"/>
      <c r="CK43" s="366"/>
      <c r="CL43" s="366"/>
      <c r="CM43" s="366"/>
      <c r="CN43" s="366"/>
      <c r="CO43" s="366"/>
      <c r="CP43" s="366"/>
      <c r="CQ43" s="366"/>
      <c r="CR43" s="366"/>
      <c r="CS43" s="366"/>
      <c r="CT43" s="366"/>
      <c r="CU43" s="366"/>
      <c r="CV43" s="366"/>
      <c r="CW43" s="366"/>
      <c r="CX43" s="366"/>
      <c r="CY43" s="366"/>
      <c r="CZ43" s="366"/>
      <c r="DA43" s="366"/>
      <c r="DB43" s="367"/>
      <c r="DC43" s="410">
        <v>4</v>
      </c>
      <c r="DD43" s="366"/>
      <c r="DE43" s="366"/>
      <c r="DF43" s="366"/>
      <c r="DG43" s="366"/>
      <c r="DH43" s="366">
        <v>4</v>
      </c>
      <c r="DI43" s="366"/>
      <c r="DJ43" s="366"/>
      <c r="DK43" s="366"/>
      <c r="DL43" s="366"/>
      <c r="DM43" s="366"/>
      <c r="DN43" s="366"/>
      <c r="DO43" s="366"/>
      <c r="DP43" s="366"/>
      <c r="DQ43" s="366"/>
      <c r="DR43" s="366"/>
      <c r="DS43" s="366"/>
      <c r="DT43" s="366"/>
      <c r="DU43" s="366"/>
      <c r="DV43" s="366"/>
      <c r="DW43" s="366"/>
      <c r="DX43" s="366"/>
      <c r="DY43" s="366"/>
      <c r="DZ43" s="366"/>
      <c r="EA43" s="366"/>
      <c r="EB43" s="366"/>
      <c r="EC43" s="366"/>
      <c r="ED43" s="366"/>
      <c r="EE43" s="366"/>
      <c r="EF43" s="366"/>
      <c r="EG43" s="366"/>
      <c r="EH43" s="366"/>
      <c r="EI43" s="366"/>
      <c r="EJ43" s="366"/>
      <c r="EK43" s="366"/>
      <c r="EL43" s="366"/>
      <c r="EM43" s="366"/>
      <c r="EN43" s="366"/>
      <c r="EO43" s="366"/>
      <c r="EP43" s="367"/>
      <c r="EQ43" s="341">
        <f t="shared" si="11"/>
        <v>8</v>
      </c>
      <c r="ER43" s="342"/>
      <c r="ES43" s="343"/>
      <c r="ET43" s="195"/>
      <c r="EV43" s="266"/>
      <c r="EW43" s="267"/>
      <c r="EX43" s="268"/>
    </row>
    <row r="44" spans="1:154" s="83" customFormat="1" ht="80.099999999999994" customHeight="1" x14ac:dyDescent="0.2">
      <c r="A44" s="166" t="s">
        <v>96</v>
      </c>
      <c r="B44" s="60" t="s">
        <v>131</v>
      </c>
      <c r="C44" s="375" t="s">
        <v>155</v>
      </c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68">
        <f t="shared" si="8"/>
        <v>240</v>
      </c>
      <c r="AA44" s="368"/>
      <c r="AB44" s="368"/>
      <c r="AC44" s="368"/>
      <c r="AD44" s="454"/>
      <c r="AE44" s="454"/>
      <c r="AF44" s="454"/>
      <c r="AG44" s="348">
        <f t="shared" si="9"/>
        <v>96</v>
      </c>
      <c r="AH44" s="348"/>
      <c r="AI44" s="348"/>
      <c r="AJ44" s="348"/>
      <c r="AK44" s="348"/>
      <c r="AL44" s="423"/>
      <c r="AM44" s="423"/>
      <c r="AN44" s="423"/>
      <c r="AO44" s="423"/>
      <c r="AP44" s="423"/>
      <c r="AQ44" s="423">
        <v>48</v>
      </c>
      <c r="AR44" s="423"/>
      <c r="AS44" s="423"/>
      <c r="AT44" s="423"/>
      <c r="AU44" s="423"/>
      <c r="AV44" s="423">
        <v>48</v>
      </c>
      <c r="AW44" s="423"/>
      <c r="AX44" s="423"/>
      <c r="AY44" s="423"/>
      <c r="AZ44" s="423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347">
        <f t="shared" si="10"/>
        <v>144</v>
      </c>
      <c r="BL44" s="347"/>
      <c r="BM44" s="347"/>
      <c r="BN44" s="343"/>
      <c r="BO44" s="410"/>
      <c r="BP44" s="366"/>
      <c r="BQ44" s="366"/>
      <c r="BR44" s="366"/>
      <c r="BS44" s="366"/>
      <c r="BT44" s="366"/>
      <c r="BU44" s="366"/>
      <c r="BV44" s="366"/>
      <c r="BW44" s="366"/>
      <c r="BX44" s="366"/>
      <c r="BY44" s="366">
        <v>4</v>
      </c>
      <c r="BZ44" s="366"/>
      <c r="CA44" s="366"/>
      <c r="CB44" s="366"/>
      <c r="CC44" s="366"/>
      <c r="CD44" s="366">
        <v>4</v>
      </c>
      <c r="CE44" s="366"/>
      <c r="CF44" s="366"/>
      <c r="CG44" s="366"/>
      <c r="CH44" s="366"/>
      <c r="CI44" s="366"/>
      <c r="CJ44" s="366"/>
      <c r="CK44" s="366"/>
      <c r="CL44" s="366"/>
      <c r="CM44" s="366"/>
      <c r="CN44" s="366"/>
      <c r="CO44" s="366"/>
      <c r="CP44" s="366"/>
      <c r="CQ44" s="366"/>
      <c r="CR44" s="366"/>
      <c r="CS44" s="366"/>
      <c r="CT44" s="366"/>
      <c r="CU44" s="366"/>
      <c r="CV44" s="366"/>
      <c r="CW44" s="366"/>
      <c r="CX44" s="366"/>
      <c r="CY44" s="366"/>
      <c r="CZ44" s="366"/>
      <c r="DA44" s="366"/>
      <c r="DB44" s="367"/>
      <c r="DC44" s="410"/>
      <c r="DD44" s="366"/>
      <c r="DE44" s="366"/>
      <c r="DF44" s="366"/>
      <c r="DG44" s="366"/>
      <c r="DH44" s="366"/>
      <c r="DI44" s="366"/>
      <c r="DJ44" s="366"/>
      <c r="DK44" s="366"/>
      <c r="DL44" s="366"/>
      <c r="DM44" s="366">
        <v>4</v>
      </c>
      <c r="DN44" s="366"/>
      <c r="DO44" s="366"/>
      <c r="DP44" s="366"/>
      <c r="DQ44" s="366"/>
      <c r="DR44" s="366">
        <v>4</v>
      </c>
      <c r="DS44" s="366"/>
      <c r="DT44" s="366"/>
      <c r="DU44" s="366"/>
      <c r="DV44" s="366"/>
      <c r="DW44" s="366"/>
      <c r="DX44" s="366"/>
      <c r="DY44" s="366"/>
      <c r="DZ44" s="366"/>
      <c r="EA44" s="366"/>
      <c r="EB44" s="366"/>
      <c r="EC44" s="366"/>
      <c r="ED44" s="366"/>
      <c r="EE44" s="366"/>
      <c r="EF44" s="366"/>
      <c r="EG44" s="366"/>
      <c r="EH44" s="366"/>
      <c r="EI44" s="366"/>
      <c r="EJ44" s="366"/>
      <c r="EK44" s="366"/>
      <c r="EL44" s="366"/>
      <c r="EM44" s="366"/>
      <c r="EN44" s="366"/>
      <c r="EO44" s="366"/>
      <c r="EP44" s="367"/>
      <c r="EQ44" s="341">
        <f t="shared" si="11"/>
        <v>8</v>
      </c>
      <c r="ER44" s="342"/>
      <c r="ES44" s="343"/>
      <c r="ET44" s="194"/>
      <c r="EV44" s="264"/>
      <c r="EW44" s="243"/>
      <c r="EX44" s="265"/>
    </row>
    <row r="45" spans="1:154" s="129" customFormat="1" ht="80.099999999999994" customHeight="1" x14ac:dyDescent="0.2">
      <c r="A45" s="167" t="s">
        <v>97</v>
      </c>
      <c r="B45" s="97" t="s">
        <v>154</v>
      </c>
      <c r="C45" s="375" t="s">
        <v>153</v>
      </c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68">
        <f t="shared" si="8"/>
        <v>480</v>
      </c>
      <c r="AA45" s="368"/>
      <c r="AB45" s="368"/>
      <c r="AC45" s="368"/>
      <c r="AD45" s="366"/>
      <c r="AE45" s="366"/>
      <c r="AF45" s="366"/>
      <c r="AG45" s="427">
        <f t="shared" si="9"/>
        <v>192</v>
      </c>
      <c r="AH45" s="427"/>
      <c r="AI45" s="427"/>
      <c r="AJ45" s="427"/>
      <c r="AK45" s="427"/>
      <c r="AL45" s="423">
        <v>96</v>
      </c>
      <c r="AM45" s="423"/>
      <c r="AN45" s="423"/>
      <c r="AO45" s="423"/>
      <c r="AP45" s="423"/>
      <c r="AQ45" s="423">
        <v>48</v>
      </c>
      <c r="AR45" s="423"/>
      <c r="AS45" s="423"/>
      <c r="AT45" s="423"/>
      <c r="AU45" s="423"/>
      <c r="AV45" s="423">
        <v>48</v>
      </c>
      <c r="AW45" s="423"/>
      <c r="AX45" s="423"/>
      <c r="AY45" s="423"/>
      <c r="AZ45" s="423"/>
      <c r="BA45" s="424"/>
      <c r="BB45" s="424"/>
      <c r="BC45" s="424"/>
      <c r="BD45" s="424"/>
      <c r="BE45" s="424"/>
      <c r="BF45" s="424" t="s">
        <v>229</v>
      </c>
      <c r="BG45" s="424"/>
      <c r="BH45" s="424"/>
      <c r="BI45" s="424"/>
      <c r="BJ45" s="424"/>
      <c r="BK45" s="368">
        <f t="shared" si="10"/>
        <v>288</v>
      </c>
      <c r="BL45" s="368"/>
      <c r="BM45" s="368"/>
      <c r="BN45" s="425"/>
      <c r="BO45" s="410"/>
      <c r="BP45" s="366"/>
      <c r="BQ45" s="366"/>
      <c r="BR45" s="366"/>
      <c r="BS45" s="366"/>
      <c r="BT45" s="366"/>
      <c r="BU45" s="366"/>
      <c r="BV45" s="366"/>
      <c r="BW45" s="366"/>
      <c r="BX45" s="366"/>
      <c r="BY45" s="366">
        <v>4</v>
      </c>
      <c r="BZ45" s="366"/>
      <c r="CA45" s="366"/>
      <c r="CB45" s="366"/>
      <c r="CC45" s="366"/>
      <c r="CD45" s="366">
        <v>4</v>
      </c>
      <c r="CE45" s="366"/>
      <c r="CF45" s="366"/>
      <c r="CG45" s="366"/>
      <c r="CH45" s="366"/>
      <c r="CI45" s="366">
        <v>4</v>
      </c>
      <c r="CJ45" s="366"/>
      <c r="CK45" s="366"/>
      <c r="CL45" s="366"/>
      <c r="CM45" s="366"/>
      <c r="CN45" s="366">
        <v>4</v>
      </c>
      <c r="CO45" s="366"/>
      <c r="CP45" s="366"/>
      <c r="CQ45" s="366"/>
      <c r="CR45" s="366"/>
      <c r="CS45" s="366"/>
      <c r="CT45" s="366"/>
      <c r="CU45" s="366"/>
      <c r="CV45" s="366"/>
      <c r="CW45" s="366"/>
      <c r="CX45" s="366"/>
      <c r="CY45" s="366"/>
      <c r="CZ45" s="366"/>
      <c r="DA45" s="366"/>
      <c r="DB45" s="367"/>
      <c r="DC45" s="410"/>
      <c r="DD45" s="366"/>
      <c r="DE45" s="366"/>
      <c r="DF45" s="366"/>
      <c r="DG45" s="366"/>
      <c r="DH45" s="366"/>
      <c r="DI45" s="366"/>
      <c r="DJ45" s="366"/>
      <c r="DK45" s="366"/>
      <c r="DL45" s="366"/>
      <c r="DM45" s="366">
        <v>4</v>
      </c>
      <c r="DN45" s="366"/>
      <c r="DO45" s="366"/>
      <c r="DP45" s="366"/>
      <c r="DQ45" s="366"/>
      <c r="DR45" s="366">
        <v>4</v>
      </c>
      <c r="DS45" s="366"/>
      <c r="DT45" s="366"/>
      <c r="DU45" s="366"/>
      <c r="DV45" s="366"/>
      <c r="DW45" s="366">
        <v>4</v>
      </c>
      <c r="DX45" s="366"/>
      <c r="DY45" s="366"/>
      <c r="DZ45" s="366"/>
      <c r="EA45" s="366"/>
      <c r="EB45" s="366">
        <v>4</v>
      </c>
      <c r="EC45" s="366"/>
      <c r="ED45" s="366"/>
      <c r="EE45" s="366"/>
      <c r="EF45" s="366"/>
      <c r="EG45" s="366"/>
      <c r="EH45" s="366"/>
      <c r="EI45" s="366"/>
      <c r="EJ45" s="366"/>
      <c r="EK45" s="366"/>
      <c r="EL45" s="366"/>
      <c r="EM45" s="366"/>
      <c r="EN45" s="366"/>
      <c r="EO45" s="366"/>
      <c r="EP45" s="367"/>
      <c r="EQ45" s="428">
        <f t="shared" si="11"/>
        <v>16</v>
      </c>
      <c r="ER45" s="429"/>
      <c r="ES45" s="425"/>
      <c r="ET45" s="197"/>
      <c r="EV45" s="269"/>
      <c r="EW45" s="270"/>
      <c r="EX45" s="271"/>
    </row>
    <row r="46" spans="1:154" s="130" customFormat="1" ht="80.099999999999994" customHeight="1" x14ac:dyDescent="0.2">
      <c r="A46" s="167" t="s">
        <v>4</v>
      </c>
      <c r="B46" s="97" t="s">
        <v>132</v>
      </c>
      <c r="C46" s="375" t="s">
        <v>87</v>
      </c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68">
        <f t="shared" si="8"/>
        <v>120</v>
      </c>
      <c r="AA46" s="368"/>
      <c r="AB46" s="368"/>
      <c r="AC46" s="368"/>
      <c r="AD46" s="366"/>
      <c r="AE46" s="366"/>
      <c r="AF46" s="366"/>
      <c r="AG46" s="427">
        <f t="shared" si="9"/>
        <v>48</v>
      </c>
      <c r="AH46" s="427"/>
      <c r="AI46" s="427"/>
      <c r="AJ46" s="427"/>
      <c r="AK46" s="427"/>
      <c r="AL46" s="423">
        <v>32</v>
      </c>
      <c r="AM46" s="423"/>
      <c r="AN46" s="423"/>
      <c r="AO46" s="423"/>
      <c r="AP46" s="423"/>
      <c r="AQ46" s="423">
        <v>8</v>
      </c>
      <c r="AR46" s="423"/>
      <c r="AS46" s="423"/>
      <c r="AT46" s="423"/>
      <c r="AU46" s="423"/>
      <c r="AV46" s="423">
        <v>8</v>
      </c>
      <c r="AW46" s="423"/>
      <c r="AX46" s="423"/>
      <c r="AY46" s="423"/>
      <c r="AZ46" s="423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368">
        <f t="shared" si="10"/>
        <v>72</v>
      </c>
      <c r="BL46" s="368"/>
      <c r="BM46" s="368"/>
      <c r="BN46" s="425"/>
      <c r="BO46" s="410"/>
      <c r="BP46" s="366"/>
      <c r="BQ46" s="366"/>
      <c r="BR46" s="366"/>
      <c r="BS46" s="366"/>
      <c r="BT46" s="366"/>
      <c r="BU46" s="366"/>
      <c r="BV46" s="366"/>
      <c r="BW46" s="366"/>
      <c r="BX46" s="366"/>
      <c r="BY46" s="366"/>
      <c r="BZ46" s="366"/>
      <c r="CA46" s="366"/>
      <c r="CB46" s="366"/>
      <c r="CC46" s="366"/>
      <c r="CD46" s="366">
        <v>4</v>
      </c>
      <c r="CE46" s="366"/>
      <c r="CF46" s="366"/>
      <c r="CG46" s="366"/>
      <c r="CH46" s="366"/>
      <c r="CI46" s="366"/>
      <c r="CJ46" s="366"/>
      <c r="CK46" s="366"/>
      <c r="CL46" s="366"/>
      <c r="CM46" s="366"/>
      <c r="CN46" s="366"/>
      <c r="CO46" s="366"/>
      <c r="CP46" s="366"/>
      <c r="CQ46" s="366"/>
      <c r="CR46" s="366"/>
      <c r="CS46" s="366"/>
      <c r="CT46" s="366"/>
      <c r="CU46" s="366"/>
      <c r="CV46" s="366"/>
      <c r="CW46" s="366"/>
      <c r="CX46" s="366"/>
      <c r="CY46" s="366"/>
      <c r="CZ46" s="366"/>
      <c r="DA46" s="366"/>
      <c r="DB46" s="367"/>
      <c r="DC46" s="410"/>
      <c r="DD46" s="366"/>
      <c r="DE46" s="366"/>
      <c r="DF46" s="366"/>
      <c r="DG46" s="366"/>
      <c r="DH46" s="366"/>
      <c r="DI46" s="366"/>
      <c r="DJ46" s="366"/>
      <c r="DK46" s="366"/>
      <c r="DL46" s="366"/>
      <c r="DM46" s="366"/>
      <c r="DN46" s="366"/>
      <c r="DO46" s="366"/>
      <c r="DP46" s="366"/>
      <c r="DQ46" s="366"/>
      <c r="DR46" s="366">
        <v>4</v>
      </c>
      <c r="DS46" s="366"/>
      <c r="DT46" s="366"/>
      <c r="DU46" s="366"/>
      <c r="DV46" s="366"/>
      <c r="DW46" s="366"/>
      <c r="DX46" s="366"/>
      <c r="DY46" s="366"/>
      <c r="DZ46" s="366"/>
      <c r="EA46" s="366"/>
      <c r="EB46" s="366"/>
      <c r="EC46" s="366"/>
      <c r="ED46" s="366"/>
      <c r="EE46" s="366"/>
      <c r="EF46" s="366"/>
      <c r="EG46" s="366"/>
      <c r="EH46" s="366"/>
      <c r="EI46" s="366"/>
      <c r="EJ46" s="366"/>
      <c r="EK46" s="366"/>
      <c r="EL46" s="366"/>
      <c r="EM46" s="366"/>
      <c r="EN46" s="366"/>
      <c r="EO46" s="366"/>
      <c r="EP46" s="367"/>
      <c r="EQ46" s="428">
        <f t="shared" si="11"/>
        <v>4</v>
      </c>
      <c r="ER46" s="429"/>
      <c r="ES46" s="425"/>
      <c r="ET46" s="196"/>
      <c r="EV46" s="272"/>
      <c r="EW46" s="254"/>
      <c r="EX46" s="273"/>
    </row>
    <row r="47" spans="1:154" s="130" customFormat="1" ht="80.099999999999994" customHeight="1" x14ac:dyDescent="0.2">
      <c r="A47" s="167" t="s">
        <v>5</v>
      </c>
      <c r="B47" s="97" t="s">
        <v>133</v>
      </c>
      <c r="C47" s="375" t="s">
        <v>124</v>
      </c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68">
        <f t="shared" si="8"/>
        <v>180</v>
      </c>
      <c r="AA47" s="368"/>
      <c r="AB47" s="368"/>
      <c r="AC47" s="368"/>
      <c r="AD47" s="366"/>
      <c r="AE47" s="366"/>
      <c r="AF47" s="366"/>
      <c r="AG47" s="427">
        <f t="shared" si="9"/>
        <v>72</v>
      </c>
      <c r="AH47" s="427"/>
      <c r="AI47" s="427"/>
      <c r="AJ47" s="427"/>
      <c r="AK47" s="427"/>
      <c r="AL47" s="423">
        <v>44</v>
      </c>
      <c r="AM47" s="423"/>
      <c r="AN47" s="423"/>
      <c r="AO47" s="423"/>
      <c r="AP47" s="423"/>
      <c r="AQ47" s="423">
        <v>28</v>
      </c>
      <c r="AR47" s="423"/>
      <c r="AS47" s="423"/>
      <c r="AT47" s="423"/>
      <c r="AU47" s="423"/>
      <c r="AV47" s="423"/>
      <c r="AW47" s="423"/>
      <c r="AX47" s="423"/>
      <c r="AY47" s="423"/>
      <c r="AZ47" s="423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368">
        <f t="shared" si="10"/>
        <v>108</v>
      </c>
      <c r="BL47" s="368"/>
      <c r="BM47" s="368"/>
      <c r="BN47" s="425"/>
      <c r="BO47" s="410"/>
      <c r="BP47" s="366"/>
      <c r="BQ47" s="366"/>
      <c r="BR47" s="366"/>
      <c r="BS47" s="366"/>
      <c r="BT47" s="366"/>
      <c r="BU47" s="366"/>
      <c r="BV47" s="366"/>
      <c r="BW47" s="366"/>
      <c r="BX47" s="366"/>
      <c r="BY47" s="366">
        <v>4</v>
      </c>
      <c r="BZ47" s="366"/>
      <c r="CA47" s="366"/>
      <c r="CB47" s="366"/>
      <c r="CC47" s="366"/>
      <c r="CD47" s="366">
        <v>2</v>
      </c>
      <c r="CE47" s="366"/>
      <c r="CF47" s="366"/>
      <c r="CG47" s="366"/>
      <c r="CH47" s="366"/>
      <c r="CI47" s="366"/>
      <c r="CJ47" s="366"/>
      <c r="CK47" s="366"/>
      <c r="CL47" s="366"/>
      <c r="CM47" s="366"/>
      <c r="CN47" s="366"/>
      <c r="CO47" s="366"/>
      <c r="CP47" s="366"/>
      <c r="CQ47" s="366"/>
      <c r="CR47" s="366"/>
      <c r="CS47" s="366"/>
      <c r="CT47" s="366"/>
      <c r="CU47" s="366"/>
      <c r="CV47" s="366"/>
      <c r="CW47" s="366"/>
      <c r="CX47" s="366"/>
      <c r="CY47" s="366"/>
      <c r="CZ47" s="366"/>
      <c r="DA47" s="366"/>
      <c r="DB47" s="367"/>
      <c r="DC47" s="410"/>
      <c r="DD47" s="366"/>
      <c r="DE47" s="366"/>
      <c r="DF47" s="366"/>
      <c r="DG47" s="366"/>
      <c r="DH47" s="366"/>
      <c r="DI47" s="366"/>
      <c r="DJ47" s="366"/>
      <c r="DK47" s="366"/>
      <c r="DL47" s="366"/>
      <c r="DM47" s="366">
        <v>4</v>
      </c>
      <c r="DN47" s="366"/>
      <c r="DO47" s="366"/>
      <c r="DP47" s="366"/>
      <c r="DQ47" s="366"/>
      <c r="DR47" s="366">
        <v>2</v>
      </c>
      <c r="DS47" s="366"/>
      <c r="DT47" s="366"/>
      <c r="DU47" s="366"/>
      <c r="DV47" s="366"/>
      <c r="DW47" s="366"/>
      <c r="DX47" s="366"/>
      <c r="DY47" s="366"/>
      <c r="DZ47" s="366"/>
      <c r="EA47" s="366"/>
      <c r="EB47" s="366"/>
      <c r="EC47" s="366"/>
      <c r="ED47" s="366"/>
      <c r="EE47" s="366"/>
      <c r="EF47" s="366"/>
      <c r="EG47" s="366"/>
      <c r="EH47" s="366"/>
      <c r="EI47" s="366"/>
      <c r="EJ47" s="366"/>
      <c r="EK47" s="366"/>
      <c r="EL47" s="366"/>
      <c r="EM47" s="366"/>
      <c r="EN47" s="366"/>
      <c r="EO47" s="366"/>
      <c r="EP47" s="367"/>
      <c r="EQ47" s="428">
        <f t="shared" si="11"/>
        <v>6</v>
      </c>
      <c r="ER47" s="429"/>
      <c r="ES47" s="425"/>
      <c r="ET47" s="196"/>
      <c r="EV47" s="272"/>
      <c r="EW47" s="254"/>
      <c r="EX47" s="273"/>
    </row>
    <row r="48" spans="1:154" s="130" customFormat="1" ht="80.099999999999994" customHeight="1" x14ac:dyDescent="0.2">
      <c r="A48" s="167" t="s">
        <v>6</v>
      </c>
      <c r="B48" s="97" t="s">
        <v>73</v>
      </c>
      <c r="C48" s="375" t="s">
        <v>156</v>
      </c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68">
        <f t="shared" si="8"/>
        <v>420</v>
      </c>
      <c r="AA48" s="368"/>
      <c r="AB48" s="368"/>
      <c r="AC48" s="368"/>
      <c r="AD48" s="366"/>
      <c r="AE48" s="366"/>
      <c r="AF48" s="366"/>
      <c r="AG48" s="427">
        <f t="shared" si="9"/>
        <v>168</v>
      </c>
      <c r="AH48" s="427"/>
      <c r="AI48" s="427"/>
      <c r="AJ48" s="427"/>
      <c r="AK48" s="427"/>
      <c r="AL48" s="423">
        <v>84</v>
      </c>
      <c r="AM48" s="423"/>
      <c r="AN48" s="423"/>
      <c r="AO48" s="423"/>
      <c r="AP48" s="423"/>
      <c r="AQ48" s="423">
        <v>84</v>
      </c>
      <c r="AR48" s="423"/>
      <c r="AS48" s="423"/>
      <c r="AT48" s="423"/>
      <c r="AU48" s="423"/>
      <c r="AV48" s="423"/>
      <c r="AW48" s="423"/>
      <c r="AX48" s="423"/>
      <c r="AY48" s="423"/>
      <c r="AZ48" s="423"/>
      <c r="BA48" s="424"/>
      <c r="BB48" s="424"/>
      <c r="BC48" s="424"/>
      <c r="BD48" s="424"/>
      <c r="BE48" s="424"/>
      <c r="BF48" s="424" t="s">
        <v>229</v>
      </c>
      <c r="BG48" s="424"/>
      <c r="BH48" s="424"/>
      <c r="BI48" s="424"/>
      <c r="BJ48" s="424"/>
      <c r="BK48" s="368">
        <f t="shared" si="10"/>
        <v>252</v>
      </c>
      <c r="BL48" s="368"/>
      <c r="BM48" s="368"/>
      <c r="BN48" s="425"/>
      <c r="BO48" s="410"/>
      <c r="BP48" s="366"/>
      <c r="BQ48" s="366"/>
      <c r="BR48" s="366"/>
      <c r="BS48" s="366"/>
      <c r="BT48" s="366"/>
      <c r="BU48" s="366"/>
      <c r="BV48" s="366"/>
      <c r="BW48" s="366"/>
      <c r="BX48" s="366"/>
      <c r="BY48" s="366">
        <v>2</v>
      </c>
      <c r="BZ48" s="366"/>
      <c r="CA48" s="366"/>
      <c r="CB48" s="366"/>
      <c r="CC48" s="366"/>
      <c r="CD48" s="366">
        <v>4</v>
      </c>
      <c r="CE48" s="366"/>
      <c r="CF48" s="366"/>
      <c r="CG48" s="366"/>
      <c r="CH48" s="366"/>
      <c r="CI48" s="366">
        <v>4</v>
      </c>
      <c r="CJ48" s="366"/>
      <c r="CK48" s="366"/>
      <c r="CL48" s="366"/>
      <c r="CM48" s="366"/>
      <c r="CN48" s="366">
        <v>4</v>
      </c>
      <c r="CO48" s="366"/>
      <c r="CP48" s="366"/>
      <c r="CQ48" s="366"/>
      <c r="CR48" s="366"/>
      <c r="CS48" s="366"/>
      <c r="CT48" s="366"/>
      <c r="CU48" s="366"/>
      <c r="CV48" s="366"/>
      <c r="CW48" s="366"/>
      <c r="CX48" s="366"/>
      <c r="CY48" s="366"/>
      <c r="CZ48" s="366"/>
      <c r="DA48" s="366"/>
      <c r="DB48" s="367"/>
      <c r="DC48" s="410"/>
      <c r="DD48" s="366"/>
      <c r="DE48" s="366"/>
      <c r="DF48" s="366"/>
      <c r="DG48" s="366"/>
      <c r="DH48" s="366"/>
      <c r="DI48" s="366"/>
      <c r="DJ48" s="366"/>
      <c r="DK48" s="366"/>
      <c r="DL48" s="366"/>
      <c r="DM48" s="366">
        <v>2</v>
      </c>
      <c r="DN48" s="366"/>
      <c r="DO48" s="366"/>
      <c r="DP48" s="366"/>
      <c r="DQ48" s="366"/>
      <c r="DR48" s="366">
        <v>4</v>
      </c>
      <c r="DS48" s="366"/>
      <c r="DT48" s="366"/>
      <c r="DU48" s="366"/>
      <c r="DV48" s="366"/>
      <c r="DW48" s="366">
        <v>4</v>
      </c>
      <c r="DX48" s="366"/>
      <c r="DY48" s="366"/>
      <c r="DZ48" s="366"/>
      <c r="EA48" s="366"/>
      <c r="EB48" s="366">
        <v>4</v>
      </c>
      <c r="EC48" s="366"/>
      <c r="ED48" s="366"/>
      <c r="EE48" s="366"/>
      <c r="EF48" s="366"/>
      <c r="EG48" s="366"/>
      <c r="EH48" s="366"/>
      <c r="EI48" s="366"/>
      <c r="EJ48" s="366"/>
      <c r="EK48" s="366"/>
      <c r="EL48" s="366"/>
      <c r="EM48" s="366"/>
      <c r="EN48" s="366"/>
      <c r="EO48" s="366"/>
      <c r="EP48" s="367"/>
      <c r="EQ48" s="428">
        <f t="shared" si="11"/>
        <v>14</v>
      </c>
      <c r="ER48" s="429"/>
      <c r="ES48" s="425"/>
      <c r="ET48" s="196"/>
      <c r="EV48" s="272"/>
      <c r="EW48" s="254"/>
      <c r="EX48" s="273"/>
    </row>
    <row r="49" spans="1:154" s="239" customFormat="1" ht="80.099999999999994" customHeight="1" x14ac:dyDescent="0.2">
      <c r="A49" s="167" t="s">
        <v>7</v>
      </c>
      <c r="B49" s="187" t="s">
        <v>136</v>
      </c>
      <c r="C49" s="375" t="s">
        <v>157</v>
      </c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68">
        <f t="shared" si="8"/>
        <v>300</v>
      </c>
      <c r="AA49" s="368"/>
      <c r="AB49" s="368"/>
      <c r="AC49" s="368"/>
      <c r="AD49" s="366"/>
      <c r="AE49" s="366"/>
      <c r="AF49" s="366"/>
      <c r="AG49" s="427">
        <f t="shared" si="9"/>
        <v>120</v>
      </c>
      <c r="AH49" s="427"/>
      <c r="AI49" s="427"/>
      <c r="AJ49" s="427"/>
      <c r="AK49" s="427"/>
      <c r="AL49" s="423">
        <v>60</v>
      </c>
      <c r="AM49" s="423"/>
      <c r="AN49" s="423"/>
      <c r="AO49" s="423"/>
      <c r="AP49" s="423"/>
      <c r="AQ49" s="423">
        <v>20</v>
      </c>
      <c r="AR49" s="423"/>
      <c r="AS49" s="423"/>
      <c r="AT49" s="423"/>
      <c r="AU49" s="423"/>
      <c r="AV49" s="423">
        <v>40</v>
      </c>
      <c r="AW49" s="423"/>
      <c r="AX49" s="423"/>
      <c r="AY49" s="423"/>
      <c r="AZ49" s="423"/>
      <c r="BA49" s="424"/>
      <c r="BB49" s="424"/>
      <c r="BC49" s="424"/>
      <c r="BD49" s="424"/>
      <c r="BE49" s="424"/>
      <c r="BF49" s="424" t="s">
        <v>229</v>
      </c>
      <c r="BG49" s="424"/>
      <c r="BH49" s="424"/>
      <c r="BI49" s="424"/>
      <c r="BJ49" s="424"/>
      <c r="BK49" s="368">
        <f t="shared" si="10"/>
        <v>180</v>
      </c>
      <c r="BL49" s="368"/>
      <c r="BM49" s="368"/>
      <c r="BN49" s="425"/>
      <c r="BO49" s="410"/>
      <c r="BP49" s="366"/>
      <c r="BQ49" s="366"/>
      <c r="BR49" s="366"/>
      <c r="BS49" s="366"/>
      <c r="BT49" s="366"/>
      <c r="BU49" s="366"/>
      <c r="BV49" s="366"/>
      <c r="BW49" s="366"/>
      <c r="BX49" s="366"/>
      <c r="BY49" s="366"/>
      <c r="BZ49" s="366"/>
      <c r="CA49" s="366"/>
      <c r="CB49" s="366"/>
      <c r="CC49" s="366"/>
      <c r="CD49" s="366"/>
      <c r="CE49" s="366"/>
      <c r="CF49" s="366"/>
      <c r="CG49" s="366"/>
      <c r="CH49" s="366"/>
      <c r="CI49" s="366">
        <v>4</v>
      </c>
      <c r="CJ49" s="366"/>
      <c r="CK49" s="366"/>
      <c r="CL49" s="366"/>
      <c r="CM49" s="366"/>
      <c r="CN49" s="366">
        <v>6</v>
      </c>
      <c r="CO49" s="366"/>
      <c r="CP49" s="366"/>
      <c r="CQ49" s="366"/>
      <c r="CR49" s="366"/>
      <c r="CS49" s="366"/>
      <c r="CT49" s="366"/>
      <c r="CU49" s="366"/>
      <c r="CV49" s="366"/>
      <c r="CW49" s="366"/>
      <c r="CX49" s="366"/>
      <c r="CY49" s="366"/>
      <c r="CZ49" s="366"/>
      <c r="DA49" s="366"/>
      <c r="DB49" s="367"/>
      <c r="DC49" s="410"/>
      <c r="DD49" s="366"/>
      <c r="DE49" s="366"/>
      <c r="DF49" s="366"/>
      <c r="DG49" s="366"/>
      <c r="DH49" s="366"/>
      <c r="DI49" s="366"/>
      <c r="DJ49" s="366"/>
      <c r="DK49" s="366"/>
      <c r="DL49" s="366"/>
      <c r="DM49" s="366"/>
      <c r="DN49" s="366"/>
      <c r="DO49" s="366"/>
      <c r="DP49" s="366"/>
      <c r="DQ49" s="366"/>
      <c r="DR49" s="366"/>
      <c r="DS49" s="366"/>
      <c r="DT49" s="366"/>
      <c r="DU49" s="366"/>
      <c r="DV49" s="366"/>
      <c r="DW49" s="366">
        <v>4</v>
      </c>
      <c r="DX49" s="366"/>
      <c r="DY49" s="366"/>
      <c r="DZ49" s="366"/>
      <c r="EA49" s="366"/>
      <c r="EB49" s="366">
        <v>6</v>
      </c>
      <c r="EC49" s="366"/>
      <c r="ED49" s="366"/>
      <c r="EE49" s="366"/>
      <c r="EF49" s="366"/>
      <c r="EG49" s="366"/>
      <c r="EH49" s="366"/>
      <c r="EI49" s="366"/>
      <c r="EJ49" s="366"/>
      <c r="EK49" s="366"/>
      <c r="EL49" s="366"/>
      <c r="EM49" s="366"/>
      <c r="EN49" s="366"/>
      <c r="EO49" s="366"/>
      <c r="EP49" s="367"/>
      <c r="EQ49" s="428">
        <f t="shared" si="11"/>
        <v>10</v>
      </c>
      <c r="ER49" s="429"/>
      <c r="ES49" s="425"/>
      <c r="ET49" s="238" t="s">
        <v>239</v>
      </c>
      <c r="EV49" s="274"/>
      <c r="EW49" s="275"/>
      <c r="EX49" s="276"/>
    </row>
    <row r="50" spans="1:154" s="130" customFormat="1" ht="99.95" customHeight="1" x14ac:dyDescent="0.2">
      <c r="A50" s="167" t="s">
        <v>202</v>
      </c>
      <c r="B50" s="97" t="s">
        <v>135</v>
      </c>
      <c r="C50" s="426" t="s">
        <v>158</v>
      </c>
      <c r="D50" s="426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Z50" s="368">
        <f t="shared" si="8"/>
        <v>120</v>
      </c>
      <c r="AA50" s="368"/>
      <c r="AB50" s="368"/>
      <c r="AC50" s="368"/>
      <c r="AD50" s="366"/>
      <c r="AE50" s="366"/>
      <c r="AF50" s="366"/>
      <c r="AG50" s="348">
        <f t="shared" si="9"/>
        <v>48</v>
      </c>
      <c r="AH50" s="348"/>
      <c r="AI50" s="348"/>
      <c r="AJ50" s="348"/>
      <c r="AK50" s="348"/>
      <c r="AL50" s="423">
        <v>24</v>
      </c>
      <c r="AM50" s="423"/>
      <c r="AN50" s="423"/>
      <c r="AO50" s="423"/>
      <c r="AP50" s="423"/>
      <c r="AQ50" s="423"/>
      <c r="AR50" s="423"/>
      <c r="AS50" s="423"/>
      <c r="AT50" s="423"/>
      <c r="AU50" s="423"/>
      <c r="AV50" s="423">
        <v>24</v>
      </c>
      <c r="AW50" s="423"/>
      <c r="AX50" s="423"/>
      <c r="AY50" s="423"/>
      <c r="AZ50" s="423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347">
        <f t="shared" si="10"/>
        <v>72</v>
      </c>
      <c r="BL50" s="347"/>
      <c r="BM50" s="347"/>
      <c r="BN50" s="343"/>
      <c r="BO50" s="410"/>
      <c r="BP50" s="366"/>
      <c r="BQ50" s="366"/>
      <c r="BR50" s="366"/>
      <c r="BS50" s="366"/>
      <c r="BT50" s="366"/>
      <c r="BU50" s="366"/>
      <c r="BV50" s="366"/>
      <c r="BW50" s="366"/>
      <c r="BX50" s="366"/>
      <c r="BY50" s="366"/>
      <c r="BZ50" s="366"/>
      <c r="CA50" s="366"/>
      <c r="CB50" s="366"/>
      <c r="CC50" s="366"/>
      <c r="CD50" s="366"/>
      <c r="CE50" s="366"/>
      <c r="CF50" s="366"/>
      <c r="CG50" s="366"/>
      <c r="CH50" s="366"/>
      <c r="CI50" s="366"/>
      <c r="CJ50" s="366"/>
      <c r="CK50" s="366"/>
      <c r="CL50" s="366"/>
      <c r="CM50" s="366"/>
      <c r="CN50" s="366"/>
      <c r="CO50" s="366"/>
      <c r="CP50" s="366"/>
      <c r="CQ50" s="366"/>
      <c r="CR50" s="366"/>
      <c r="CS50" s="366">
        <v>4</v>
      </c>
      <c r="CT50" s="366"/>
      <c r="CU50" s="366"/>
      <c r="CV50" s="366"/>
      <c r="CW50" s="366"/>
      <c r="CX50" s="366"/>
      <c r="CY50" s="366"/>
      <c r="CZ50" s="366"/>
      <c r="DA50" s="366"/>
      <c r="DB50" s="367"/>
      <c r="DC50" s="410"/>
      <c r="DD50" s="366"/>
      <c r="DE50" s="366"/>
      <c r="DF50" s="366"/>
      <c r="DG50" s="366"/>
      <c r="DH50" s="366"/>
      <c r="DI50" s="366"/>
      <c r="DJ50" s="366"/>
      <c r="DK50" s="366"/>
      <c r="DL50" s="366"/>
      <c r="DM50" s="366"/>
      <c r="DN50" s="366"/>
      <c r="DO50" s="366"/>
      <c r="DP50" s="366"/>
      <c r="DQ50" s="366"/>
      <c r="DR50" s="366"/>
      <c r="DS50" s="366"/>
      <c r="DT50" s="366"/>
      <c r="DU50" s="366"/>
      <c r="DV50" s="366"/>
      <c r="DW50" s="366"/>
      <c r="DX50" s="366"/>
      <c r="DY50" s="366"/>
      <c r="DZ50" s="366"/>
      <c r="EA50" s="366"/>
      <c r="EB50" s="366"/>
      <c r="EC50" s="366"/>
      <c r="ED50" s="366"/>
      <c r="EE50" s="366"/>
      <c r="EF50" s="366"/>
      <c r="EG50" s="366">
        <v>4</v>
      </c>
      <c r="EH50" s="366"/>
      <c r="EI50" s="366"/>
      <c r="EJ50" s="366"/>
      <c r="EK50" s="366"/>
      <c r="EL50" s="366"/>
      <c r="EM50" s="366"/>
      <c r="EN50" s="366"/>
      <c r="EO50" s="366"/>
      <c r="EP50" s="367"/>
      <c r="EQ50" s="428">
        <f t="shared" si="11"/>
        <v>4</v>
      </c>
      <c r="ER50" s="429"/>
      <c r="ES50" s="425"/>
      <c r="ET50" s="196"/>
      <c r="EV50" s="272"/>
      <c r="EW50" s="254"/>
      <c r="EX50" s="273"/>
    </row>
    <row r="51" spans="1:154" s="85" customFormat="1" ht="80.099999999999994" customHeight="1" x14ac:dyDescent="0.2">
      <c r="A51" s="166" t="s">
        <v>8</v>
      </c>
      <c r="B51" s="60" t="s">
        <v>74</v>
      </c>
      <c r="C51" s="375" t="s">
        <v>159</v>
      </c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68">
        <f t="shared" si="8"/>
        <v>240</v>
      </c>
      <c r="AA51" s="368"/>
      <c r="AB51" s="368"/>
      <c r="AC51" s="368"/>
      <c r="AD51" s="366"/>
      <c r="AE51" s="366"/>
      <c r="AF51" s="366"/>
      <c r="AG51" s="348">
        <f t="shared" si="9"/>
        <v>96</v>
      </c>
      <c r="AH51" s="348"/>
      <c r="AI51" s="348"/>
      <c r="AJ51" s="348"/>
      <c r="AK51" s="348"/>
      <c r="AL51" s="423">
        <v>48</v>
      </c>
      <c r="AM51" s="423"/>
      <c r="AN51" s="423"/>
      <c r="AO51" s="423"/>
      <c r="AP51" s="423"/>
      <c r="AQ51" s="423">
        <v>24</v>
      </c>
      <c r="AR51" s="423"/>
      <c r="AS51" s="423"/>
      <c r="AT51" s="423"/>
      <c r="AU51" s="423"/>
      <c r="AV51" s="423">
        <v>24</v>
      </c>
      <c r="AW51" s="423"/>
      <c r="AX51" s="423"/>
      <c r="AY51" s="423"/>
      <c r="AZ51" s="423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347">
        <f t="shared" si="10"/>
        <v>144</v>
      </c>
      <c r="BL51" s="347"/>
      <c r="BM51" s="347"/>
      <c r="BN51" s="343"/>
      <c r="BO51" s="410"/>
      <c r="BP51" s="366"/>
      <c r="BQ51" s="366"/>
      <c r="BR51" s="366"/>
      <c r="BS51" s="366"/>
      <c r="BT51" s="366"/>
      <c r="BU51" s="366"/>
      <c r="BV51" s="366"/>
      <c r="BW51" s="366"/>
      <c r="BX51" s="366"/>
      <c r="BY51" s="366"/>
      <c r="BZ51" s="366"/>
      <c r="CA51" s="366"/>
      <c r="CB51" s="366"/>
      <c r="CC51" s="366"/>
      <c r="CD51" s="366"/>
      <c r="CE51" s="366"/>
      <c r="CF51" s="366"/>
      <c r="CG51" s="366"/>
      <c r="CH51" s="366"/>
      <c r="CI51" s="366"/>
      <c r="CJ51" s="366"/>
      <c r="CK51" s="366"/>
      <c r="CL51" s="366"/>
      <c r="CM51" s="366"/>
      <c r="CN51" s="366"/>
      <c r="CO51" s="366"/>
      <c r="CP51" s="366"/>
      <c r="CQ51" s="366"/>
      <c r="CR51" s="366"/>
      <c r="CS51" s="366">
        <v>4</v>
      </c>
      <c r="CT51" s="366"/>
      <c r="CU51" s="366"/>
      <c r="CV51" s="366"/>
      <c r="CW51" s="366"/>
      <c r="CX51" s="366">
        <v>4</v>
      </c>
      <c r="CY51" s="366"/>
      <c r="CZ51" s="366"/>
      <c r="DA51" s="366"/>
      <c r="DB51" s="367"/>
      <c r="DC51" s="410"/>
      <c r="DD51" s="366"/>
      <c r="DE51" s="366"/>
      <c r="DF51" s="366"/>
      <c r="DG51" s="366"/>
      <c r="DH51" s="366"/>
      <c r="DI51" s="366"/>
      <c r="DJ51" s="366"/>
      <c r="DK51" s="366"/>
      <c r="DL51" s="366"/>
      <c r="DM51" s="366"/>
      <c r="DN51" s="366"/>
      <c r="DO51" s="366"/>
      <c r="DP51" s="366"/>
      <c r="DQ51" s="366"/>
      <c r="DR51" s="366"/>
      <c r="DS51" s="366"/>
      <c r="DT51" s="366"/>
      <c r="DU51" s="366"/>
      <c r="DV51" s="366"/>
      <c r="DW51" s="366"/>
      <c r="DX51" s="366"/>
      <c r="DY51" s="366"/>
      <c r="DZ51" s="366"/>
      <c r="EA51" s="366"/>
      <c r="EB51" s="366"/>
      <c r="EC51" s="366"/>
      <c r="ED51" s="366"/>
      <c r="EE51" s="366"/>
      <c r="EF51" s="366"/>
      <c r="EG51" s="366">
        <v>4</v>
      </c>
      <c r="EH51" s="366"/>
      <c r="EI51" s="366"/>
      <c r="EJ51" s="366"/>
      <c r="EK51" s="366"/>
      <c r="EL51" s="366">
        <v>4</v>
      </c>
      <c r="EM51" s="366"/>
      <c r="EN51" s="366"/>
      <c r="EO51" s="366"/>
      <c r="EP51" s="367"/>
      <c r="EQ51" s="341">
        <f t="shared" si="11"/>
        <v>8</v>
      </c>
      <c r="ER51" s="342"/>
      <c r="ES51" s="343"/>
      <c r="ET51" s="194"/>
      <c r="EV51" s="266"/>
      <c r="EW51" s="267"/>
      <c r="EX51" s="268"/>
    </row>
    <row r="52" spans="1:154" s="85" customFormat="1" ht="99.95" customHeight="1" x14ac:dyDescent="0.2">
      <c r="A52" s="166" t="s">
        <v>9</v>
      </c>
      <c r="B52" s="60" t="s">
        <v>75</v>
      </c>
      <c r="C52" s="426" t="s">
        <v>160</v>
      </c>
      <c r="D52" s="426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Z52" s="368">
        <f t="shared" si="8"/>
        <v>240</v>
      </c>
      <c r="AA52" s="368"/>
      <c r="AB52" s="368"/>
      <c r="AC52" s="368"/>
      <c r="AD52" s="366"/>
      <c r="AE52" s="366"/>
      <c r="AF52" s="366"/>
      <c r="AG52" s="348">
        <f t="shared" si="9"/>
        <v>96</v>
      </c>
      <c r="AH52" s="348"/>
      <c r="AI52" s="348"/>
      <c r="AJ52" s="348"/>
      <c r="AK52" s="348"/>
      <c r="AL52" s="423">
        <v>48</v>
      </c>
      <c r="AM52" s="423"/>
      <c r="AN52" s="423"/>
      <c r="AO52" s="423"/>
      <c r="AP52" s="423"/>
      <c r="AQ52" s="423">
        <v>24</v>
      </c>
      <c r="AR52" s="423"/>
      <c r="AS52" s="423"/>
      <c r="AT52" s="423"/>
      <c r="AU52" s="423"/>
      <c r="AV52" s="423">
        <v>24</v>
      </c>
      <c r="AW52" s="423"/>
      <c r="AX52" s="423"/>
      <c r="AY52" s="423"/>
      <c r="AZ52" s="423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347">
        <f t="shared" si="10"/>
        <v>144</v>
      </c>
      <c r="BL52" s="347"/>
      <c r="BM52" s="347"/>
      <c r="BN52" s="343"/>
      <c r="BO52" s="410"/>
      <c r="BP52" s="366"/>
      <c r="BQ52" s="366"/>
      <c r="BR52" s="366"/>
      <c r="BS52" s="366"/>
      <c r="BT52" s="366"/>
      <c r="BU52" s="366"/>
      <c r="BV52" s="366"/>
      <c r="BW52" s="366"/>
      <c r="BX52" s="366"/>
      <c r="BY52" s="366"/>
      <c r="BZ52" s="366"/>
      <c r="CA52" s="366"/>
      <c r="CB52" s="366"/>
      <c r="CC52" s="366"/>
      <c r="CD52" s="366"/>
      <c r="CE52" s="366"/>
      <c r="CF52" s="366"/>
      <c r="CG52" s="366"/>
      <c r="CH52" s="366"/>
      <c r="CI52" s="366"/>
      <c r="CJ52" s="366"/>
      <c r="CK52" s="366"/>
      <c r="CL52" s="366"/>
      <c r="CM52" s="366"/>
      <c r="CN52" s="366"/>
      <c r="CO52" s="366"/>
      <c r="CP52" s="366"/>
      <c r="CQ52" s="366"/>
      <c r="CR52" s="366"/>
      <c r="CS52" s="366">
        <v>4</v>
      </c>
      <c r="CT52" s="366"/>
      <c r="CU52" s="366"/>
      <c r="CV52" s="366"/>
      <c r="CW52" s="366"/>
      <c r="CX52" s="366">
        <v>4</v>
      </c>
      <c r="CY52" s="366"/>
      <c r="CZ52" s="366"/>
      <c r="DA52" s="366"/>
      <c r="DB52" s="367"/>
      <c r="DC52" s="410"/>
      <c r="DD52" s="366"/>
      <c r="DE52" s="366"/>
      <c r="DF52" s="366"/>
      <c r="DG52" s="366"/>
      <c r="DH52" s="366"/>
      <c r="DI52" s="366"/>
      <c r="DJ52" s="366"/>
      <c r="DK52" s="366"/>
      <c r="DL52" s="366"/>
      <c r="DM52" s="366"/>
      <c r="DN52" s="366"/>
      <c r="DO52" s="366"/>
      <c r="DP52" s="366"/>
      <c r="DQ52" s="366"/>
      <c r="DR52" s="366"/>
      <c r="DS52" s="366"/>
      <c r="DT52" s="366"/>
      <c r="DU52" s="366"/>
      <c r="DV52" s="366"/>
      <c r="DW52" s="366"/>
      <c r="DX52" s="366"/>
      <c r="DY52" s="366"/>
      <c r="DZ52" s="366"/>
      <c r="EA52" s="366"/>
      <c r="EB52" s="366"/>
      <c r="EC52" s="366"/>
      <c r="ED52" s="366"/>
      <c r="EE52" s="366"/>
      <c r="EF52" s="366"/>
      <c r="EG52" s="366">
        <v>4</v>
      </c>
      <c r="EH52" s="366"/>
      <c r="EI52" s="366"/>
      <c r="EJ52" s="366"/>
      <c r="EK52" s="366"/>
      <c r="EL52" s="366">
        <v>4</v>
      </c>
      <c r="EM52" s="366"/>
      <c r="EN52" s="366"/>
      <c r="EO52" s="366"/>
      <c r="EP52" s="367"/>
      <c r="EQ52" s="341">
        <f t="shared" si="11"/>
        <v>8</v>
      </c>
      <c r="ER52" s="342"/>
      <c r="ES52" s="343"/>
      <c r="ET52" s="194"/>
      <c r="EV52" s="266"/>
      <c r="EW52" s="267"/>
      <c r="EX52" s="268"/>
    </row>
    <row r="53" spans="1:154" s="85" customFormat="1" ht="80.099999999999994" customHeight="1" x14ac:dyDescent="0.2">
      <c r="A53" s="166" t="s">
        <v>137</v>
      </c>
      <c r="B53" s="140" t="s">
        <v>161</v>
      </c>
      <c r="C53" s="378" t="s">
        <v>80</v>
      </c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  <c r="S53" s="378"/>
      <c r="T53" s="378"/>
      <c r="U53" s="378"/>
      <c r="V53" s="378"/>
      <c r="W53" s="378"/>
      <c r="X53" s="378"/>
      <c r="Y53" s="378"/>
      <c r="Z53" s="368">
        <f t="shared" si="8"/>
        <v>120</v>
      </c>
      <c r="AA53" s="368"/>
      <c r="AB53" s="368"/>
      <c r="AC53" s="368"/>
      <c r="AD53" s="366"/>
      <c r="AE53" s="366"/>
      <c r="AF53" s="366"/>
      <c r="AG53" s="348">
        <f t="shared" si="9"/>
        <v>46</v>
      </c>
      <c r="AH53" s="348"/>
      <c r="AI53" s="348"/>
      <c r="AJ53" s="348"/>
      <c r="AK53" s="348"/>
      <c r="AL53" s="423">
        <v>16</v>
      </c>
      <c r="AM53" s="423"/>
      <c r="AN53" s="423"/>
      <c r="AO53" s="423"/>
      <c r="AP53" s="423"/>
      <c r="AQ53" s="423"/>
      <c r="AR53" s="423"/>
      <c r="AS53" s="423"/>
      <c r="AT53" s="423"/>
      <c r="AU53" s="423"/>
      <c r="AV53" s="423">
        <v>30</v>
      </c>
      <c r="AW53" s="423"/>
      <c r="AX53" s="423"/>
      <c r="AY53" s="423"/>
      <c r="AZ53" s="423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347">
        <f t="shared" si="10"/>
        <v>74</v>
      </c>
      <c r="BL53" s="347"/>
      <c r="BM53" s="347"/>
      <c r="BN53" s="343"/>
      <c r="BO53" s="410">
        <v>3</v>
      </c>
      <c r="BP53" s="366"/>
      <c r="BQ53" s="366"/>
      <c r="BR53" s="366"/>
      <c r="BS53" s="366"/>
      <c r="BT53" s="366"/>
      <c r="BU53" s="366"/>
      <c r="BV53" s="366"/>
      <c r="BW53" s="366"/>
      <c r="BX53" s="366"/>
      <c r="BY53" s="366"/>
      <c r="BZ53" s="366"/>
      <c r="CA53" s="366"/>
      <c r="CB53" s="366"/>
      <c r="CC53" s="366"/>
      <c r="CD53" s="366"/>
      <c r="CE53" s="366"/>
      <c r="CF53" s="366"/>
      <c r="CG53" s="366"/>
      <c r="CH53" s="366"/>
      <c r="CI53" s="366"/>
      <c r="CJ53" s="366"/>
      <c r="CK53" s="366"/>
      <c r="CL53" s="366"/>
      <c r="CM53" s="366"/>
      <c r="CN53" s="366"/>
      <c r="CO53" s="366"/>
      <c r="CP53" s="366"/>
      <c r="CQ53" s="366"/>
      <c r="CR53" s="366"/>
      <c r="CS53" s="366"/>
      <c r="CT53" s="366"/>
      <c r="CU53" s="366"/>
      <c r="CV53" s="366"/>
      <c r="CW53" s="366"/>
      <c r="CX53" s="366"/>
      <c r="CY53" s="366"/>
      <c r="CZ53" s="366"/>
      <c r="DA53" s="366"/>
      <c r="DB53" s="367"/>
      <c r="DC53" s="410">
        <v>4</v>
      </c>
      <c r="DD53" s="366"/>
      <c r="DE53" s="366"/>
      <c r="DF53" s="366"/>
      <c r="DG53" s="366"/>
      <c r="DH53" s="366"/>
      <c r="DI53" s="366"/>
      <c r="DJ53" s="366"/>
      <c r="DK53" s="366"/>
      <c r="DL53" s="366"/>
      <c r="DM53" s="366"/>
      <c r="DN53" s="366"/>
      <c r="DO53" s="366"/>
      <c r="DP53" s="366"/>
      <c r="DQ53" s="366"/>
      <c r="DR53" s="366"/>
      <c r="DS53" s="366"/>
      <c r="DT53" s="366"/>
      <c r="DU53" s="366"/>
      <c r="DV53" s="366"/>
      <c r="DW53" s="366"/>
      <c r="DX53" s="366"/>
      <c r="DY53" s="366"/>
      <c r="DZ53" s="366"/>
      <c r="EA53" s="366"/>
      <c r="EB53" s="366"/>
      <c r="EC53" s="366"/>
      <c r="ED53" s="366"/>
      <c r="EE53" s="366"/>
      <c r="EF53" s="366"/>
      <c r="EG53" s="366"/>
      <c r="EH53" s="366"/>
      <c r="EI53" s="366"/>
      <c r="EJ53" s="366"/>
      <c r="EK53" s="366"/>
      <c r="EL53" s="366"/>
      <c r="EM53" s="366"/>
      <c r="EN53" s="366"/>
      <c r="EO53" s="366"/>
      <c r="EP53" s="367"/>
      <c r="EQ53" s="341">
        <f t="shared" si="11"/>
        <v>4</v>
      </c>
      <c r="ER53" s="342"/>
      <c r="ES53" s="343"/>
      <c r="ET53" s="194"/>
      <c r="EV53" s="266"/>
      <c r="EW53" s="267"/>
      <c r="EX53" s="268"/>
    </row>
    <row r="54" spans="1:154" s="85" customFormat="1" ht="80.099999999999994" customHeight="1" x14ac:dyDescent="0.2">
      <c r="A54" s="166" t="s">
        <v>138</v>
      </c>
      <c r="B54" s="140" t="s">
        <v>161</v>
      </c>
      <c r="C54" s="346" t="s">
        <v>81</v>
      </c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  <c r="Z54" s="347">
        <f t="shared" si="8"/>
        <v>120</v>
      </c>
      <c r="AA54" s="347"/>
      <c r="AB54" s="347"/>
      <c r="AC54" s="347"/>
      <c r="AD54" s="344"/>
      <c r="AE54" s="344"/>
      <c r="AF54" s="344"/>
      <c r="AG54" s="348">
        <f t="shared" si="9"/>
        <v>60</v>
      </c>
      <c r="AH54" s="348"/>
      <c r="AI54" s="348"/>
      <c r="AJ54" s="348"/>
      <c r="AK54" s="348"/>
      <c r="AL54" s="349">
        <v>30</v>
      </c>
      <c r="AM54" s="349"/>
      <c r="AN54" s="349"/>
      <c r="AO54" s="349"/>
      <c r="AP54" s="349"/>
      <c r="AQ54" s="349"/>
      <c r="AR54" s="349"/>
      <c r="AS54" s="349"/>
      <c r="AT54" s="349"/>
      <c r="AU54" s="349"/>
      <c r="AV54" s="349">
        <v>30</v>
      </c>
      <c r="AW54" s="349"/>
      <c r="AX54" s="349"/>
      <c r="AY54" s="349"/>
      <c r="AZ54" s="349"/>
      <c r="BA54" s="350"/>
      <c r="BB54" s="350"/>
      <c r="BC54" s="350"/>
      <c r="BD54" s="350"/>
      <c r="BE54" s="350"/>
      <c r="BF54" s="350"/>
      <c r="BG54" s="350"/>
      <c r="BH54" s="350"/>
      <c r="BI54" s="350"/>
      <c r="BJ54" s="350"/>
      <c r="BK54" s="347">
        <f t="shared" si="10"/>
        <v>60</v>
      </c>
      <c r="BL54" s="347"/>
      <c r="BM54" s="347"/>
      <c r="BN54" s="343"/>
      <c r="BO54" s="384"/>
      <c r="BP54" s="344"/>
      <c r="BQ54" s="344"/>
      <c r="BR54" s="344"/>
      <c r="BS54" s="344"/>
      <c r="BT54" s="344">
        <v>4</v>
      </c>
      <c r="BU54" s="344"/>
      <c r="BV54" s="344"/>
      <c r="BW54" s="344"/>
      <c r="BX54" s="344"/>
      <c r="BY54" s="344"/>
      <c r="BZ54" s="344"/>
      <c r="CA54" s="344"/>
      <c r="CB54" s="344"/>
      <c r="CC54" s="344"/>
      <c r="CD54" s="344"/>
      <c r="CE54" s="344"/>
      <c r="CF54" s="344"/>
      <c r="CG54" s="344"/>
      <c r="CH54" s="344"/>
      <c r="CI54" s="344"/>
      <c r="CJ54" s="344"/>
      <c r="CK54" s="344"/>
      <c r="CL54" s="344"/>
      <c r="CM54" s="344"/>
      <c r="CN54" s="344"/>
      <c r="CO54" s="344"/>
      <c r="CP54" s="344"/>
      <c r="CQ54" s="344"/>
      <c r="CR54" s="344"/>
      <c r="CS54" s="344"/>
      <c r="CT54" s="344"/>
      <c r="CU54" s="344"/>
      <c r="CV54" s="344"/>
      <c r="CW54" s="344"/>
      <c r="CX54" s="344"/>
      <c r="CY54" s="344"/>
      <c r="CZ54" s="344"/>
      <c r="DA54" s="344"/>
      <c r="DB54" s="345"/>
      <c r="DC54" s="384"/>
      <c r="DD54" s="344"/>
      <c r="DE54" s="344"/>
      <c r="DF54" s="344"/>
      <c r="DG54" s="344"/>
      <c r="DH54" s="344">
        <v>4</v>
      </c>
      <c r="DI54" s="344"/>
      <c r="DJ54" s="344"/>
      <c r="DK54" s="344"/>
      <c r="DL54" s="344"/>
      <c r="DM54" s="344"/>
      <c r="DN54" s="344"/>
      <c r="DO54" s="344"/>
      <c r="DP54" s="344"/>
      <c r="DQ54" s="344"/>
      <c r="DR54" s="344"/>
      <c r="DS54" s="344"/>
      <c r="DT54" s="344"/>
      <c r="DU54" s="344"/>
      <c r="DV54" s="344"/>
      <c r="DW54" s="344"/>
      <c r="DX54" s="344"/>
      <c r="DY54" s="344"/>
      <c r="DZ54" s="344"/>
      <c r="EA54" s="344"/>
      <c r="EB54" s="344"/>
      <c r="EC54" s="344"/>
      <c r="ED54" s="344"/>
      <c r="EE54" s="344"/>
      <c r="EF54" s="344"/>
      <c r="EG54" s="344"/>
      <c r="EH54" s="344"/>
      <c r="EI54" s="344"/>
      <c r="EJ54" s="344"/>
      <c r="EK54" s="344"/>
      <c r="EL54" s="344"/>
      <c r="EM54" s="344"/>
      <c r="EN54" s="344"/>
      <c r="EO54" s="344"/>
      <c r="EP54" s="345"/>
      <c r="EQ54" s="341">
        <f t="shared" si="11"/>
        <v>4</v>
      </c>
      <c r="ER54" s="342"/>
      <c r="ES54" s="343"/>
      <c r="ET54" s="194"/>
      <c r="EV54" s="266"/>
      <c r="EW54" s="267"/>
      <c r="EX54" s="268"/>
    </row>
    <row r="55" spans="1:154" s="85" customFormat="1" ht="80.099999999999994" customHeight="1" x14ac:dyDescent="0.2">
      <c r="A55" s="166" t="s">
        <v>146</v>
      </c>
      <c r="B55" s="140" t="s">
        <v>161</v>
      </c>
      <c r="C55" s="346" t="s">
        <v>201</v>
      </c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  <c r="Y55" s="346"/>
      <c r="Z55" s="347">
        <f t="shared" si="8"/>
        <v>180</v>
      </c>
      <c r="AA55" s="347"/>
      <c r="AB55" s="347"/>
      <c r="AC55" s="347"/>
      <c r="AD55" s="344"/>
      <c r="AE55" s="344"/>
      <c r="AF55" s="344"/>
      <c r="AG55" s="348">
        <f t="shared" si="9"/>
        <v>60</v>
      </c>
      <c r="AH55" s="348"/>
      <c r="AI55" s="348"/>
      <c r="AJ55" s="348"/>
      <c r="AK55" s="348"/>
      <c r="AL55" s="349">
        <v>30</v>
      </c>
      <c r="AM55" s="349"/>
      <c r="AN55" s="349"/>
      <c r="AO55" s="349"/>
      <c r="AP55" s="349"/>
      <c r="AQ55" s="349">
        <v>30</v>
      </c>
      <c r="AR55" s="349"/>
      <c r="AS55" s="349"/>
      <c r="AT55" s="349"/>
      <c r="AU55" s="349"/>
      <c r="AV55" s="349"/>
      <c r="AW55" s="349"/>
      <c r="AX55" s="349"/>
      <c r="AY55" s="349"/>
      <c r="AZ55" s="349"/>
      <c r="BA55" s="350"/>
      <c r="BB55" s="350"/>
      <c r="BC55" s="350"/>
      <c r="BD55" s="350"/>
      <c r="BE55" s="350"/>
      <c r="BF55" s="350"/>
      <c r="BG55" s="350"/>
      <c r="BH55" s="350"/>
      <c r="BI55" s="350"/>
      <c r="BJ55" s="350"/>
      <c r="BK55" s="347">
        <f t="shared" si="10"/>
        <v>120</v>
      </c>
      <c r="BL55" s="347"/>
      <c r="BM55" s="347"/>
      <c r="BN55" s="343"/>
      <c r="BO55" s="384"/>
      <c r="BP55" s="344"/>
      <c r="BQ55" s="344"/>
      <c r="BR55" s="344"/>
      <c r="BS55" s="344"/>
      <c r="BT55" s="344">
        <v>4</v>
      </c>
      <c r="BU55" s="344"/>
      <c r="BV55" s="344"/>
      <c r="BW55" s="344"/>
      <c r="BX55" s="344"/>
      <c r="BY55" s="344"/>
      <c r="BZ55" s="344"/>
      <c r="CA55" s="344"/>
      <c r="CB55" s="344"/>
      <c r="CC55" s="344"/>
      <c r="CD55" s="344"/>
      <c r="CE55" s="344"/>
      <c r="CF55" s="344"/>
      <c r="CG55" s="344"/>
      <c r="CH55" s="344"/>
      <c r="CI55" s="344"/>
      <c r="CJ55" s="344"/>
      <c r="CK55" s="344"/>
      <c r="CL55" s="344"/>
      <c r="CM55" s="344"/>
      <c r="CN55" s="344"/>
      <c r="CO55" s="344"/>
      <c r="CP55" s="344"/>
      <c r="CQ55" s="344"/>
      <c r="CR55" s="344"/>
      <c r="CS55" s="344"/>
      <c r="CT55" s="344"/>
      <c r="CU55" s="344"/>
      <c r="CV55" s="344"/>
      <c r="CW55" s="344"/>
      <c r="CX55" s="344"/>
      <c r="CY55" s="344"/>
      <c r="CZ55" s="344"/>
      <c r="DA55" s="344"/>
      <c r="DB55" s="345"/>
      <c r="DC55" s="384"/>
      <c r="DD55" s="344"/>
      <c r="DE55" s="344"/>
      <c r="DF55" s="344"/>
      <c r="DG55" s="344"/>
      <c r="DH55" s="344">
        <v>6</v>
      </c>
      <c r="DI55" s="344"/>
      <c r="DJ55" s="344"/>
      <c r="DK55" s="344"/>
      <c r="DL55" s="344"/>
      <c r="DM55" s="344"/>
      <c r="DN55" s="344"/>
      <c r="DO55" s="344"/>
      <c r="DP55" s="344"/>
      <c r="DQ55" s="344"/>
      <c r="DR55" s="344"/>
      <c r="DS55" s="344"/>
      <c r="DT55" s="344"/>
      <c r="DU55" s="344"/>
      <c r="DV55" s="344"/>
      <c r="DW55" s="344"/>
      <c r="DX55" s="344"/>
      <c r="DY55" s="344"/>
      <c r="DZ55" s="344"/>
      <c r="EA55" s="344"/>
      <c r="EB55" s="344"/>
      <c r="EC55" s="344"/>
      <c r="ED55" s="344"/>
      <c r="EE55" s="344"/>
      <c r="EF55" s="344"/>
      <c r="EG55" s="344"/>
      <c r="EH55" s="344"/>
      <c r="EI55" s="344"/>
      <c r="EJ55" s="344"/>
      <c r="EK55" s="344"/>
      <c r="EL55" s="344"/>
      <c r="EM55" s="344"/>
      <c r="EN55" s="344"/>
      <c r="EO55" s="344"/>
      <c r="EP55" s="345"/>
      <c r="EQ55" s="341">
        <f t="shared" si="11"/>
        <v>6</v>
      </c>
      <c r="ER55" s="342"/>
      <c r="ES55" s="343"/>
      <c r="ET55" s="194"/>
      <c r="EV55" s="266"/>
      <c r="EW55" s="267"/>
      <c r="EX55" s="268"/>
    </row>
    <row r="56" spans="1:154" s="85" customFormat="1" ht="80.099999999999994" customHeight="1" x14ac:dyDescent="0.2">
      <c r="A56" s="166" t="s">
        <v>147</v>
      </c>
      <c r="B56" s="140" t="s">
        <v>161</v>
      </c>
      <c r="C56" s="346" t="s">
        <v>123</v>
      </c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  <c r="T56" s="346"/>
      <c r="U56" s="346"/>
      <c r="V56" s="346"/>
      <c r="W56" s="346"/>
      <c r="X56" s="346"/>
      <c r="Y56" s="346"/>
      <c r="Z56" s="347">
        <f t="shared" si="8"/>
        <v>150</v>
      </c>
      <c r="AA56" s="347"/>
      <c r="AB56" s="347"/>
      <c r="AC56" s="347"/>
      <c r="AD56" s="344"/>
      <c r="AE56" s="344"/>
      <c r="AF56" s="344"/>
      <c r="AG56" s="348">
        <f t="shared" si="9"/>
        <v>60</v>
      </c>
      <c r="AH56" s="348"/>
      <c r="AI56" s="348"/>
      <c r="AJ56" s="348"/>
      <c r="AK56" s="348"/>
      <c r="AL56" s="349">
        <v>30</v>
      </c>
      <c r="AM56" s="349"/>
      <c r="AN56" s="349"/>
      <c r="AO56" s="349"/>
      <c r="AP56" s="349"/>
      <c r="AQ56" s="349"/>
      <c r="AR56" s="349"/>
      <c r="AS56" s="349"/>
      <c r="AT56" s="349"/>
      <c r="AU56" s="349"/>
      <c r="AV56" s="349">
        <v>30</v>
      </c>
      <c r="AW56" s="349"/>
      <c r="AX56" s="349"/>
      <c r="AY56" s="349"/>
      <c r="AZ56" s="349"/>
      <c r="BA56" s="350"/>
      <c r="BB56" s="350"/>
      <c r="BC56" s="350"/>
      <c r="BD56" s="350"/>
      <c r="BE56" s="350"/>
      <c r="BF56" s="350"/>
      <c r="BG56" s="350"/>
      <c r="BH56" s="350"/>
      <c r="BI56" s="350"/>
      <c r="BJ56" s="350"/>
      <c r="BK56" s="347">
        <f t="shared" si="10"/>
        <v>90</v>
      </c>
      <c r="BL56" s="347"/>
      <c r="BM56" s="347"/>
      <c r="BN56" s="343"/>
      <c r="BO56" s="384"/>
      <c r="BP56" s="344"/>
      <c r="BQ56" s="344"/>
      <c r="BR56" s="344"/>
      <c r="BS56" s="344"/>
      <c r="BT56" s="344">
        <v>4</v>
      </c>
      <c r="BU56" s="344"/>
      <c r="BV56" s="344"/>
      <c r="BW56" s="344"/>
      <c r="BX56" s="344"/>
      <c r="BY56" s="344"/>
      <c r="BZ56" s="344"/>
      <c r="CA56" s="344"/>
      <c r="CB56" s="344"/>
      <c r="CC56" s="344"/>
      <c r="CD56" s="344"/>
      <c r="CE56" s="344"/>
      <c r="CF56" s="344"/>
      <c r="CG56" s="344"/>
      <c r="CH56" s="344"/>
      <c r="CI56" s="344"/>
      <c r="CJ56" s="344"/>
      <c r="CK56" s="344"/>
      <c r="CL56" s="344"/>
      <c r="CM56" s="344"/>
      <c r="CN56" s="344"/>
      <c r="CO56" s="344"/>
      <c r="CP56" s="344"/>
      <c r="CQ56" s="344"/>
      <c r="CR56" s="344"/>
      <c r="CS56" s="344"/>
      <c r="CT56" s="344"/>
      <c r="CU56" s="344"/>
      <c r="CV56" s="344"/>
      <c r="CW56" s="344"/>
      <c r="CX56" s="344"/>
      <c r="CY56" s="344"/>
      <c r="CZ56" s="344"/>
      <c r="DA56" s="344"/>
      <c r="DB56" s="345"/>
      <c r="DC56" s="384"/>
      <c r="DD56" s="344"/>
      <c r="DE56" s="344"/>
      <c r="DF56" s="344"/>
      <c r="DG56" s="344"/>
      <c r="DH56" s="344">
        <v>5</v>
      </c>
      <c r="DI56" s="344"/>
      <c r="DJ56" s="344"/>
      <c r="DK56" s="344"/>
      <c r="DL56" s="344"/>
      <c r="DM56" s="344"/>
      <c r="DN56" s="344"/>
      <c r="DO56" s="344"/>
      <c r="DP56" s="344"/>
      <c r="DQ56" s="344"/>
      <c r="DR56" s="344"/>
      <c r="DS56" s="344"/>
      <c r="DT56" s="344"/>
      <c r="DU56" s="344"/>
      <c r="DV56" s="344"/>
      <c r="DW56" s="344"/>
      <c r="DX56" s="344"/>
      <c r="DY56" s="344"/>
      <c r="DZ56" s="344"/>
      <c r="EA56" s="344"/>
      <c r="EB56" s="344"/>
      <c r="EC56" s="344"/>
      <c r="ED56" s="344"/>
      <c r="EE56" s="344"/>
      <c r="EF56" s="344"/>
      <c r="EG56" s="344"/>
      <c r="EH56" s="344"/>
      <c r="EI56" s="344"/>
      <c r="EJ56" s="344"/>
      <c r="EK56" s="344"/>
      <c r="EL56" s="344"/>
      <c r="EM56" s="344"/>
      <c r="EN56" s="344"/>
      <c r="EO56" s="344"/>
      <c r="EP56" s="345"/>
      <c r="EQ56" s="341">
        <f>SUM(DC56:EP56)</f>
        <v>5</v>
      </c>
      <c r="ER56" s="342"/>
      <c r="ES56" s="343"/>
      <c r="ET56" s="194"/>
      <c r="EV56" s="266"/>
      <c r="EW56" s="267"/>
      <c r="EX56" s="268"/>
    </row>
    <row r="57" spans="1:154" s="83" customFormat="1" ht="84.75" customHeight="1" x14ac:dyDescent="0.2">
      <c r="A57" s="165" t="s">
        <v>38</v>
      </c>
      <c r="B57" s="143"/>
      <c r="C57" s="376" t="s">
        <v>83</v>
      </c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3">
        <f>SUM(Z58:AC81)</f>
        <v>1980</v>
      </c>
      <c r="AA57" s="373"/>
      <c r="AB57" s="373"/>
      <c r="AC57" s="373"/>
      <c r="AD57" s="390">
        <f>Z57/$Z$86*100</f>
        <v>27.500000000000004</v>
      </c>
      <c r="AE57" s="390"/>
      <c r="AF57" s="390"/>
      <c r="AG57" s="391">
        <f>SUM(AG58:AK81)</f>
        <v>836</v>
      </c>
      <c r="AH57" s="392"/>
      <c r="AI57" s="392"/>
      <c r="AJ57" s="392"/>
      <c r="AK57" s="393"/>
      <c r="AL57" s="391">
        <f>SUM(AL58:AP81)</f>
        <v>230</v>
      </c>
      <c r="AM57" s="392"/>
      <c r="AN57" s="392"/>
      <c r="AO57" s="392"/>
      <c r="AP57" s="393"/>
      <c r="AQ57" s="391">
        <f>SUM(AQ58:AU81)</f>
        <v>606</v>
      </c>
      <c r="AR57" s="392"/>
      <c r="AS57" s="392"/>
      <c r="AT57" s="392"/>
      <c r="AU57" s="393"/>
      <c r="AV57" s="391">
        <f>SUM(AV58:AZ81)</f>
        <v>0</v>
      </c>
      <c r="AW57" s="392"/>
      <c r="AX57" s="392"/>
      <c r="AY57" s="392"/>
      <c r="AZ57" s="393"/>
      <c r="BA57" s="391">
        <f>SUM(BA58:BE81)</f>
        <v>0</v>
      </c>
      <c r="BB57" s="392"/>
      <c r="BC57" s="392"/>
      <c r="BD57" s="392"/>
      <c r="BE57" s="393"/>
      <c r="BF57" s="391">
        <f>SUM(BF58:BJ81)</f>
        <v>0</v>
      </c>
      <c r="BG57" s="392"/>
      <c r="BH57" s="392"/>
      <c r="BI57" s="392"/>
      <c r="BJ57" s="393"/>
      <c r="BK57" s="373">
        <f>SUM(BK58:BN81)</f>
        <v>1144</v>
      </c>
      <c r="BL57" s="373"/>
      <c r="BM57" s="373"/>
      <c r="BN57" s="374"/>
      <c r="BO57" s="411"/>
      <c r="BP57" s="380"/>
      <c r="BQ57" s="380"/>
      <c r="BR57" s="380"/>
      <c r="BS57" s="380"/>
      <c r="BT57" s="380"/>
      <c r="BU57" s="380"/>
      <c r="BV57" s="380"/>
      <c r="BW57" s="380"/>
      <c r="BX57" s="380"/>
      <c r="BY57" s="380">
        <f>SUM(BY58:CC81)</f>
        <v>10</v>
      </c>
      <c r="BZ57" s="380"/>
      <c r="CA57" s="380"/>
      <c r="CB57" s="380"/>
      <c r="CC57" s="380"/>
      <c r="CD57" s="380">
        <f t="shared" ref="CD57" si="12">SUM(CD58:CH81)</f>
        <v>6</v>
      </c>
      <c r="CE57" s="380"/>
      <c r="CF57" s="380"/>
      <c r="CG57" s="380"/>
      <c r="CH57" s="380"/>
      <c r="CI57" s="380">
        <f t="shared" ref="CI57" si="13">SUM(CI58:CM81)</f>
        <v>12</v>
      </c>
      <c r="CJ57" s="380"/>
      <c r="CK57" s="380"/>
      <c r="CL57" s="380"/>
      <c r="CM57" s="380"/>
      <c r="CN57" s="380">
        <f t="shared" ref="CN57" si="14">SUM(CN58:CR81)</f>
        <v>10</v>
      </c>
      <c r="CO57" s="380"/>
      <c r="CP57" s="380"/>
      <c r="CQ57" s="380"/>
      <c r="CR57" s="380"/>
      <c r="CS57" s="380">
        <f t="shared" ref="CS57" si="15">SUM(CS58:CW81)</f>
        <v>12</v>
      </c>
      <c r="CT57" s="380"/>
      <c r="CU57" s="380"/>
      <c r="CV57" s="380"/>
      <c r="CW57" s="380"/>
      <c r="CX57" s="380">
        <f>SUM(CX58:DB81)</f>
        <v>14</v>
      </c>
      <c r="CY57" s="380"/>
      <c r="CZ57" s="380"/>
      <c r="DA57" s="380"/>
      <c r="DB57" s="404"/>
      <c r="DC57" s="411">
        <f>SUM(DC58:DG81)</f>
        <v>0</v>
      </c>
      <c r="DD57" s="380"/>
      <c r="DE57" s="380"/>
      <c r="DF57" s="380"/>
      <c r="DG57" s="380"/>
      <c r="DH57" s="380">
        <f>SUM(DH58:DL81)</f>
        <v>0</v>
      </c>
      <c r="DI57" s="380"/>
      <c r="DJ57" s="380"/>
      <c r="DK57" s="380"/>
      <c r="DL57" s="380"/>
      <c r="DM57" s="380">
        <f>SUM(DM58:DQ81)</f>
        <v>10</v>
      </c>
      <c r="DN57" s="380"/>
      <c r="DO57" s="380"/>
      <c r="DP57" s="380"/>
      <c r="DQ57" s="380"/>
      <c r="DR57" s="380">
        <f>SUM(DR58:DV81)</f>
        <v>6</v>
      </c>
      <c r="DS57" s="380"/>
      <c r="DT57" s="380"/>
      <c r="DU57" s="380"/>
      <c r="DV57" s="380"/>
      <c r="DW57" s="380">
        <f>SUM(DW58:EA81)</f>
        <v>12</v>
      </c>
      <c r="DX57" s="380"/>
      <c r="DY57" s="380"/>
      <c r="DZ57" s="380"/>
      <c r="EA57" s="380"/>
      <c r="EB57" s="380">
        <f>SUM(EB58:EF81)</f>
        <v>10</v>
      </c>
      <c r="EC57" s="380"/>
      <c r="ED57" s="380"/>
      <c r="EE57" s="380"/>
      <c r="EF57" s="380"/>
      <c r="EG57" s="380">
        <f>SUM(EG58:EK81)</f>
        <v>12</v>
      </c>
      <c r="EH57" s="380"/>
      <c r="EI57" s="380"/>
      <c r="EJ57" s="380"/>
      <c r="EK57" s="380"/>
      <c r="EL57" s="380">
        <f>SUM(EL58:EP81)</f>
        <v>16</v>
      </c>
      <c r="EM57" s="380"/>
      <c r="EN57" s="380"/>
      <c r="EO57" s="380"/>
      <c r="EP57" s="404"/>
      <c r="EQ57" s="358">
        <f>SUM(EQ58:ES81)</f>
        <v>66</v>
      </c>
      <c r="ER57" s="359"/>
      <c r="ES57" s="360"/>
      <c r="ET57" s="195"/>
      <c r="EV57" s="264"/>
      <c r="EW57" s="243"/>
      <c r="EX57" s="265"/>
    </row>
    <row r="58" spans="1:154" s="239" customFormat="1" ht="80.099999999999994" customHeight="1" x14ac:dyDescent="0.2">
      <c r="A58" s="555" t="s">
        <v>10</v>
      </c>
      <c r="B58" s="141" t="s">
        <v>212</v>
      </c>
      <c r="C58" s="378" t="s">
        <v>213</v>
      </c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  <c r="Z58" s="487">
        <f>EQ58*30</f>
        <v>420</v>
      </c>
      <c r="AA58" s="488"/>
      <c r="AB58" s="488"/>
      <c r="AC58" s="489"/>
      <c r="AD58" s="419"/>
      <c r="AE58" s="413"/>
      <c r="AF58" s="493"/>
      <c r="AG58" s="495">
        <f>SUM(AL58:BE59)</f>
        <v>168</v>
      </c>
      <c r="AH58" s="496"/>
      <c r="AI58" s="496"/>
      <c r="AJ58" s="496"/>
      <c r="AK58" s="497"/>
      <c r="AL58" s="495"/>
      <c r="AM58" s="496"/>
      <c r="AN58" s="496"/>
      <c r="AO58" s="496"/>
      <c r="AP58" s="497"/>
      <c r="AQ58" s="495">
        <v>168</v>
      </c>
      <c r="AR58" s="496"/>
      <c r="AS58" s="496"/>
      <c r="AT58" s="496"/>
      <c r="AU58" s="497"/>
      <c r="AV58" s="495"/>
      <c r="AW58" s="496"/>
      <c r="AX58" s="496"/>
      <c r="AY58" s="496"/>
      <c r="AZ58" s="497"/>
      <c r="BA58" s="495"/>
      <c r="BB58" s="496"/>
      <c r="BC58" s="496"/>
      <c r="BD58" s="496"/>
      <c r="BE58" s="497"/>
      <c r="BF58" s="495"/>
      <c r="BG58" s="496"/>
      <c r="BH58" s="496"/>
      <c r="BI58" s="496"/>
      <c r="BJ58" s="497"/>
      <c r="BK58" s="487">
        <f>Z58-AG58</f>
        <v>252</v>
      </c>
      <c r="BL58" s="488"/>
      <c r="BM58" s="488"/>
      <c r="BN58" s="507"/>
      <c r="BO58" s="412"/>
      <c r="BP58" s="413"/>
      <c r="BQ58" s="413"/>
      <c r="BR58" s="413"/>
      <c r="BS58" s="413"/>
      <c r="BT58" s="366"/>
      <c r="BU58" s="366"/>
      <c r="BV58" s="366"/>
      <c r="BW58" s="366"/>
      <c r="BX58" s="366"/>
      <c r="BY58" s="366"/>
      <c r="BZ58" s="366"/>
      <c r="CA58" s="366"/>
      <c r="CB58" s="366"/>
      <c r="CC58" s="366"/>
      <c r="CD58" s="366">
        <v>2</v>
      </c>
      <c r="CE58" s="366"/>
      <c r="CF58" s="366"/>
      <c r="CG58" s="366"/>
      <c r="CH58" s="366"/>
      <c r="CI58" s="366">
        <v>4</v>
      </c>
      <c r="CJ58" s="366"/>
      <c r="CK58" s="366"/>
      <c r="CL58" s="366"/>
      <c r="CM58" s="366"/>
      <c r="CN58" s="366">
        <v>2</v>
      </c>
      <c r="CO58" s="366"/>
      <c r="CP58" s="366"/>
      <c r="CQ58" s="366"/>
      <c r="CR58" s="366"/>
      <c r="CS58" s="366">
        <v>2</v>
      </c>
      <c r="CT58" s="366"/>
      <c r="CU58" s="366"/>
      <c r="CV58" s="366"/>
      <c r="CW58" s="366"/>
      <c r="CX58" s="419">
        <v>4</v>
      </c>
      <c r="CY58" s="413"/>
      <c r="CZ58" s="413"/>
      <c r="DA58" s="413"/>
      <c r="DB58" s="420"/>
      <c r="DC58" s="410"/>
      <c r="DD58" s="366"/>
      <c r="DE58" s="366"/>
      <c r="DF58" s="366"/>
      <c r="DG58" s="366"/>
      <c r="DH58" s="366"/>
      <c r="DI58" s="366"/>
      <c r="DJ58" s="366"/>
      <c r="DK58" s="366"/>
      <c r="DL58" s="366"/>
      <c r="DM58" s="366"/>
      <c r="DN58" s="366"/>
      <c r="DO58" s="366"/>
      <c r="DP58" s="366"/>
      <c r="DQ58" s="366"/>
      <c r="DR58" s="366">
        <v>2</v>
      </c>
      <c r="DS58" s="366"/>
      <c r="DT58" s="366"/>
      <c r="DU58" s="366"/>
      <c r="DV58" s="366"/>
      <c r="DW58" s="366">
        <v>4</v>
      </c>
      <c r="DX58" s="366"/>
      <c r="DY58" s="366"/>
      <c r="DZ58" s="366"/>
      <c r="EA58" s="366"/>
      <c r="EB58" s="419">
        <v>2</v>
      </c>
      <c r="EC58" s="413"/>
      <c r="ED58" s="413"/>
      <c r="EE58" s="413"/>
      <c r="EF58" s="493"/>
      <c r="EG58" s="366">
        <v>2</v>
      </c>
      <c r="EH58" s="366"/>
      <c r="EI58" s="366"/>
      <c r="EJ58" s="366"/>
      <c r="EK58" s="366"/>
      <c r="EL58" s="366">
        <v>4</v>
      </c>
      <c r="EM58" s="366"/>
      <c r="EN58" s="366"/>
      <c r="EO58" s="366"/>
      <c r="EP58" s="367"/>
      <c r="EQ58" s="540">
        <f>SUM(DC58:EP59)</f>
        <v>14</v>
      </c>
      <c r="ER58" s="541"/>
      <c r="ES58" s="542"/>
      <c r="ET58" s="240"/>
      <c r="EV58" s="274"/>
      <c r="EW58" s="275"/>
      <c r="EX58" s="276"/>
    </row>
    <row r="59" spans="1:154" s="239" customFormat="1" ht="80.099999999999994" customHeight="1" x14ac:dyDescent="0.2">
      <c r="A59" s="556"/>
      <c r="B59" s="141" t="s">
        <v>149</v>
      </c>
      <c r="C59" s="378" t="s">
        <v>162</v>
      </c>
      <c r="D59" s="378"/>
      <c r="E59" s="378"/>
      <c r="F59" s="378"/>
      <c r="G59" s="378"/>
      <c r="H59" s="378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490"/>
      <c r="AA59" s="491"/>
      <c r="AB59" s="491"/>
      <c r="AC59" s="492"/>
      <c r="AD59" s="421"/>
      <c r="AE59" s="415"/>
      <c r="AF59" s="494"/>
      <c r="AG59" s="498"/>
      <c r="AH59" s="499"/>
      <c r="AI59" s="499"/>
      <c r="AJ59" s="499"/>
      <c r="AK59" s="500"/>
      <c r="AL59" s="498"/>
      <c r="AM59" s="499"/>
      <c r="AN59" s="499"/>
      <c r="AO59" s="499"/>
      <c r="AP59" s="500"/>
      <c r="AQ59" s="498"/>
      <c r="AR59" s="499"/>
      <c r="AS59" s="499"/>
      <c r="AT59" s="499"/>
      <c r="AU59" s="500"/>
      <c r="AV59" s="498"/>
      <c r="AW59" s="499"/>
      <c r="AX59" s="499"/>
      <c r="AY59" s="499"/>
      <c r="AZ59" s="500"/>
      <c r="BA59" s="498"/>
      <c r="BB59" s="499"/>
      <c r="BC59" s="499"/>
      <c r="BD59" s="499"/>
      <c r="BE59" s="500"/>
      <c r="BF59" s="498"/>
      <c r="BG59" s="499"/>
      <c r="BH59" s="499"/>
      <c r="BI59" s="499"/>
      <c r="BJ59" s="500"/>
      <c r="BK59" s="490"/>
      <c r="BL59" s="491"/>
      <c r="BM59" s="491"/>
      <c r="BN59" s="508"/>
      <c r="BO59" s="414"/>
      <c r="BP59" s="415"/>
      <c r="BQ59" s="415"/>
      <c r="BR59" s="415"/>
      <c r="BS59" s="415"/>
      <c r="BT59" s="366"/>
      <c r="BU59" s="366"/>
      <c r="BV59" s="366"/>
      <c r="BW59" s="366"/>
      <c r="BX59" s="366"/>
      <c r="BY59" s="366"/>
      <c r="BZ59" s="366"/>
      <c r="CA59" s="366"/>
      <c r="CB59" s="366"/>
      <c r="CC59" s="366"/>
      <c r="CD59" s="366"/>
      <c r="CE59" s="366"/>
      <c r="CF59" s="366"/>
      <c r="CG59" s="366"/>
      <c r="CH59" s="366"/>
      <c r="CI59" s="366"/>
      <c r="CJ59" s="366"/>
      <c r="CK59" s="366"/>
      <c r="CL59" s="366"/>
      <c r="CM59" s="366"/>
      <c r="CN59" s="366"/>
      <c r="CO59" s="366"/>
      <c r="CP59" s="366"/>
      <c r="CQ59" s="366"/>
      <c r="CR59" s="366"/>
      <c r="CS59" s="366"/>
      <c r="CT59" s="366"/>
      <c r="CU59" s="366"/>
      <c r="CV59" s="366"/>
      <c r="CW59" s="366"/>
      <c r="CX59" s="421"/>
      <c r="CY59" s="415"/>
      <c r="CZ59" s="415"/>
      <c r="DA59" s="415"/>
      <c r="DB59" s="422"/>
      <c r="DC59" s="410"/>
      <c r="DD59" s="366"/>
      <c r="DE59" s="366"/>
      <c r="DF59" s="366"/>
      <c r="DG59" s="366"/>
      <c r="DH59" s="366"/>
      <c r="DI59" s="366"/>
      <c r="DJ59" s="366"/>
      <c r="DK59" s="366"/>
      <c r="DL59" s="366"/>
      <c r="DM59" s="366"/>
      <c r="DN59" s="366"/>
      <c r="DO59" s="366"/>
      <c r="DP59" s="366"/>
      <c r="DQ59" s="366"/>
      <c r="DR59" s="366"/>
      <c r="DS59" s="366"/>
      <c r="DT59" s="366"/>
      <c r="DU59" s="366"/>
      <c r="DV59" s="366"/>
      <c r="DW59" s="366"/>
      <c r="DX59" s="366"/>
      <c r="DY59" s="366"/>
      <c r="DZ59" s="366"/>
      <c r="EA59" s="366"/>
      <c r="EB59" s="421"/>
      <c r="EC59" s="415"/>
      <c r="ED59" s="415"/>
      <c r="EE59" s="415"/>
      <c r="EF59" s="494"/>
      <c r="EG59" s="366"/>
      <c r="EH59" s="366"/>
      <c r="EI59" s="366"/>
      <c r="EJ59" s="366"/>
      <c r="EK59" s="366"/>
      <c r="EL59" s="366"/>
      <c r="EM59" s="366"/>
      <c r="EN59" s="366"/>
      <c r="EO59" s="366"/>
      <c r="EP59" s="367"/>
      <c r="EQ59" s="540">
        <f t="shared" si="7"/>
        <v>0</v>
      </c>
      <c r="ER59" s="541"/>
      <c r="ES59" s="542"/>
      <c r="ET59" s="240"/>
      <c r="EV59" s="274"/>
      <c r="EW59" s="275"/>
      <c r="EX59" s="276"/>
    </row>
    <row r="60" spans="1:154" s="129" customFormat="1" ht="80.099999999999994" customHeight="1" x14ac:dyDescent="0.2">
      <c r="A60" s="555" t="s">
        <v>11</v>
      </c>
      <c r="B60" s="141" t="s">
        <v>192</v>
      </c>
      <c r="C60" s="378" t="s">
        <v>210</v>
      </c>
      <c r="D60" s="378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487">
        <f t="shared" ref="Z60" si="16">+EQ60*30</f>
        <v>120</v>
      </c>
      <c r="AA60" s="488"/>
      <c r="AB60" s="488"/>
      <c r="AC60" s="489"/>
      <c r="AD60" s="501"/>
      <c r="AE60" s="502"/>
      <c r="AF60" s="503"/>
      <c r="AG60" s="495">
        <f t="shared" ref="AG60" si="17">SUM(AL60:BE61)</f>
        <v>48</v>
      </c>
      <c r="AH60" s="496"/>
      <c r="AI60" s="496"/>
      <c r="AJ60" s="496"/>
      <c r="AK60" s="497"/>
      <c r="AL60" s="495">
        <v>28</v>
      </c>
      <c r="AM60" s="496"/>
      <c r="AN60" s="496"/>
      <c r="AO60" s="496"/>
      <c r="AP60" s="497"/>
      <c r="AQ60" s="495">
        <v>20</v>
      </c>
      <c r="AR60" s="496"/>
      <c r="AS60" s="496"/>
      <c r="AT60" s="496"/>
      <c r="AU60" s="497"/>
      <c r="AV60" s="495"/>
      <c r="AW60" s="496"/>
      <c r="AX60" s="496"/>
      <c r="AY60" s="496"/>
      <c r="AZ60" s="497"/>
      <c r="BA60" s="148"/>
      <c r="BB60" s="149"/>
      <c r="BC60" s="149"/>
      <c r="BD60" s="149"/>
      <c r="BE60" s="150"/>
      <c r="BF60" s="495"/>
      <c r="BG60" s="496"/>
      <c r="BH60" s="496"/>
      <c r="BI60" s="496"/>
      <c r="BJ60" s="497"/>
      <c r="BK60" s="487">
        <f t="shared" ref="BK60" si="18">Z60-AG60</f>
        <v>72</v>
      </c>
      <c r="BL60" s="488"/>
      <c r="BM60" s="488"/>
      <c r="BN60" s="507"/>
      <c r="BO60" s="412"/>
      <c r="BP60" s="413"/>
      <c r="BQ60" s="413"/>
      <c r="BR60" s="413"/>
      <c r="BS60" s="413"/>
      <c r="BT60" s="366"/>
      <c r="BU60" s="366"/>
      <c r="BV60" s="366"/>
      <c r="BW60" s="366"/>
      <c r="BX60" s="366"/>
      <c r="BY60" s="366">
        <v>4</v>
      </c>
      <c r="BZ60" s="366"/>
      <c r="CA60" s="366"/>
      <c r="CB60" s="366"/>
      <c r="CC60" s="366"/>
      <c r="CD60" s="366"/>
      <c r="CE60" s="366"/>
      <c r="CF60" s="366"/>
      <c r="CG60" s="366"/>
      <c r="CH60" s="366"/>
      <c r="CI60" s="366"/>
      <c r="CJ60" s="366"/>
      <c r="CK60" s="366"/>
      <c r="CL60" s="366"/>
      <c r="CM60" s="366"/>
      <c r="CN60" s="366"/>
      <c r="CO60" s="366"/>
      <c r="CP60" s="366"/>
      <c r="CQ60" s="366"/>
      <c r="CR60" s="366"/>
      <c r="CS60" s="366"/>
      <c r="CT60" s="366"/>
      <c r="CU60" s="366"/>
      <c r="CV60" s="366"/>
      <c r="CW60" s="366"/>
      <c r="CX60" s="419"/>
      <c r="CY60" s="413"/>
      <c r="CZ60" s="413"/>
      <c r="DA60" s="413"/>
      <c r="DB60" s="420"/>
      <c r="DC60" s="410"/>
      <c r="DD60" s="366"/>
      <c r="DE60" s="366"/>
      <c r="DF60" s="366"/>
      <c r="DG60" s="366"/>
      <c r="DH60" s="366"/>
      <c r="DI60" s="366"/>
      <c r="DJ60" s="366"/>
      <c r="DK60" s="366"/>
      <c r="DL60" s="366"/>
      <c r="DM60" s="366">
        <v>4</v>
      </c>
      <c r="DN60" s="366"/>
      <c r="DO60" s="366"/>
      <c r="DP60" s="366"/>
      <c r="DQ60" s="366"/>
      <c r="DR60" s="366"/>
      <c r="DS60" s="366"/>
      <c r="DT60" s="366"/>
      <c r="DU60" s="366"/>
      <c r="DV60" s="366"/>
      <c r="DW60" s="366"/>
      <c r="DX60" s="366"/>
      <c r="DY60" s="366"/>
      <c r="DZ60" s="366"/>
      <c r="EA60" s="366"/>
      <c r="EB60" s="419"/>
      <c r="EC60" s="413"/>
      <c r="ED60" s="413"/>
      <c r="EE60" s="413"/>
      <c r="EF60" s="493"/>
      <c r="EG60" s="366"/>
      <c r="EH60" s="366"/>
      <c r="EI60" s="366"/>
      <c r="EJ60" s="366"/>
      <c r="EK60" s="366"/>
      <c r="EL60" s="366"/>
      <c r="EM60" s="366"/>
      <c r="EN60" s="366"/>
      <c r="EO60" s="366"/>
      <c r="EP60" s="367"/>
      <c r="EQ60" s="540">
        <f t="shared" ref="EQ60" si="19">SUM(DC60:EP61)</f>
        <v>4</v>
      </c>
      <c r="ER60" s="541"/>
      <c r="ES60" s="542"/>
      <c r="ET60" s="197"/>
      <c r="EV60" s="269"/>
      <c r="EW60" s="270"/>
      <c r="EX60" s="271"/>
    </row>
    <row r="61" spans="1:154" s="129" customFormat="1" ht="80.099999999999994" customHeight="1" x14ac:dyDescent="0.2">
      <c r="A61" s="556"/>
      <c r="B61" s="141" t="s">
        <v>211</v>
      </c>
      <c r="C61" s="378" t="s">
        <v>150</v>
      </c>
      <c r="D61" s="378"/>
      <c r="E61" s="378"/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8"/>
      <c r="R61" s="378"/>
      <c r="S61" s="378"/>
      <c r="T61" s="378"/>
      <c r="U61" s="378"/>
      <c r="V61" s="378"/>
      <c r="W61" s="378"/>
      <c r="X61" s="378"/>
      <c r="Y61" s="378"/>
      <c r="Z61" s="490"/>
      <c r="AA61" s="491"/>
      <c r="AB61" s="491"/>
      <c r="AC61" s="492"/>
      <c r="AD61" s="504"/>
      <c r="AE61" s="505"/>
      <c r="AF61" s="506"/>
      <c r="AG61" s="498"/>
      <c r="AH61" s="499"/>
      <c r="AI61" s="499"/>
      <c r="AJ61" s="499"/>
      <c r="AK61" s="500"/>
      <c r="AL61" s="498"/>
      <c r="AM61" s="499"/>
      <c r="AN61" s="499"/>
      <c r="AO61" s="499"/>
      <c r="AP61" s="500"/>
      <c r="AQ61" s="498"/>
      <c r="AR61" s="499"/>
      <c r="AS61" s="499"/>
      <c r="AT61" s="499"/>
      <c r="AU61" s="500"/>
      <c r="AV61" s="498"/>
      <c r="AW61" s="499"/>
      <c r="AX61" s="499"/>
      <c r="AY61" s="499"/>
      <c r="AZ61" s="500"/>
      <c r="BA61" s="151"/>
      <c r="BB61" s="152"/>
      <c r="BC61" s="152"/>
      <c r="BD61" s="152"/>
      <c r="BE61" s="153"/>
      <c r="BF61" s="498"/>
      <c r="BG61" s="499"/>
      <c r="BH61" s="499"/>
      <c r="BI61" s="499"/>
      <c r="BJ61" s="500"/>
      <c r="BK61" s="490"/>
      <c r="BL61" s="491"/>
      <c r="BM61" s="491"/>
      <c r="BN61" s="508"/>
      <c r="BO61" s="414"/>
      <c r="BP61" s="415"/>
      <c r="BQ61" s="415"/>
      <c r="BR61" s="415"/>
      <c r="BS61" s="415"/>
      <c r="BT61" s="366"/>
      <c r="BU61" s="366"/>
      <c r="BV61" s="366"/>
      <c r="BW61" s="366"/>
      <c r="BX61" s="366"/>
      <c r="BY61" s="366"/>
      <c r="BZ61" s="366"/>
      <c r="CA61" s="366"/>
      <c r="CB61" s="366"/>
      <c r="CC61" s="366"/>
      <c r="CD61" s="366"/>
      <c r="CE61" s="366"/>
      <c r="CF61" s="366"/>
      <c r="CG61" s="366"/>
      <c r="CH61" s="366"/>
      <c r="CI61" s="366"/>
      <c r="CJ61" s="366"/>
      <c r="CK61" s="366"/>
      <c r="CL61" s="366"/>
      <c r="CM61" s="366"/>
      <c r="CN61" s="366"/>
      <c r="CO61" s="366"/>
      <c r="CP61" s="366"/>
      <c r="CQ61" s="366"/>
      <c r="CR61" s="366"/>
      <c r="CS61" s="366"/>
      <c r="CT61" s="366"/>
      <c r="CU61" s="366"/>
      <c r="CV61" s="366"/>
      <c r="CW61" s="366"/>
      <c r="CX61" s="421"/>
      <c r="CY61" s="415"/>
      <c r="CZ61" s="415"/>
      <c r="DA61" s="415"/>
      <c r="DB61" s="422"/>
      <c r="DC61" s="410"/>
      <c r="DD61" s="366"/>
      <c r="DE61" s="366"/>
      <c r="DF61" s="366"/>
      <c r="DG61" s="366"/>
      <c r="DH61" s="366"/>
      <c r="DI61" s="366"/>
      <c r="DJ61" s="366"/>
      <c r="DK61" s="366"/>
      <c r="DL61" s="366"/>
      <c r="DM61" s="366"/>
      <c r="DN61" s="366"/>
      <c r="DO61" s="366"/>
      <c r="DP61" s="366"/>
      <c r="DQ61" s="366"/>
      <c r="DR61" s="366"/>
      <c r="DS61" s="366"/>
      <c r="DT61" s="366"/>
      <c r="DU61" s="366"/>
      <c r="DV61" s="366"/>
      <c r="DW61" s="366"/>
      <c r="DX61" s="366"/>
      <c r="DY61" s="366"/>
      <c r="DZ61" s="366"/>
      <c r="EA61" s="366"/>
      <c r="EB61" s="421"/>
      <c r="EC61" s="415"/>
      <c r="ED61" s="415"/>
      <c r="EE61" s="415"/>
      <c r="EF61" s="494"/>
      <c r="EG61" s="366"/>
      <c r="EH61" s="366"/>
      <c r="EI61" s="366"/>
      <c r="EJ61" s="366"/>
      <c r="EK61" s="366"/>
      <c r="EL61" s="366"/>
      <c r="EM61" s="366"/>
      <c r="EN61" s="366"/>
      <c r="EO61" s="366"/>
      <c r="EP61" s="367"/>
      <c r="EQ61" s="540">
        <f t="shared" ref="EQ61" si="20">DC61+DH61+DM61+DR61+DW61+EG61+EB61+EL61</f>
        <v>0</v>
      </c>
      <c r="ER61" s="541"/>
      <c r="ES61" s="542"/>
      <c r="ET61" s="197"/>
      <c r="EV61" s="269"/>
      <c r="EW61" s="270"/>
      <c r="EX61" s="271"/>
    </row>
    <row r="62" spans="1:154" s="129" customFormat="1" ht="80.099999999999994" customHeight="1" x14ac:dyDescent="0.2">
      <c r="A62" s="555" t="s">
        <v>39</v>
      </c>
      <c r="B62" s="141" t="s">
        <v>166</v>
      </c>
      <c r="C62" s="426" t="s">
        <v>165</v>
      </c>
      <c r="D62" s="426"/>
      <c r="E62" s="426"/>
      <c r="F62" s="426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  <c r="Z62" s="487">
        <f t="shared" ref="Z62" si="21">+EQ62*30</f>
        <v>180</v>
      </c>
      <c r="AA62" s="488"/>
      <c r="AB62" s="488"/>
      <c r="AC62" s="489"/>
      <c r="AD62" s="419"/>
      <c r="AE62" s="413"/>
      <c r="AF62" s="493"/>
      <c r="AG62" s="495">
        <f t="shared" ref="AG62" si="22">SUM(AL62:BE63)</f>
        <v>72</v>
      </c>
      <c r="AH62" s="496"/>
      <c r="AI62" s="496"/>
      <c r="AJ62" s="496"/>
      <c r="AK62" s="497"/>
      <c r="AL62" s="495">
        <v>36</v>
      </c>
      <c r="AM62" s="496"/>
      <c r="AN62" s="496"/>
      <c r="AO62" s="496"/>
      <c r="AP62" s="497"/>
      <c r="AQ62" s="495">
        <v>36</v>
      </c>
      <c r="AR62" s="496"/>
      <c r="AS62" s="496"/>
      <c r="AT62" s="496"/>
      <c r="AU62" s="497"/>
      <c r="AV62" s="495"/>
      <c r="AW62" s="496"/>
      <c r="AX62" s="496"/>
      <c r="AY62" s="496"/>
      <c r="AZ62" s="497"/>
      <c r="BA62" s="495"/>
      <c r="BB62" s="496"/>
      <c r="BC62" s="496"/>
      <c r="BD62" s="496"/>
      <c r="BE62" s="497"/>
      <c r="BF62" s="495"/>
      <c r="BG62" s="496"/>
      <c r="BH62" s="496"/>
      <c r="BI62" s="496"/>
      <c r="BJ62" s="497"/>
      <c r="BK62" s="487">
        <f t="shared" ref="BK62" si="23">Z62-AG62</f>
        <v>108</v>
      </c>
      <c r="BL62" s="488"/>
      <c r="BM62" s="488"/>
      <c r="BN62" s="507"/>
      <c r="BO62" s="412"/>
      <c r="BP62" s="413"/>
      <c r="BQ62" s="413"/>
      <c r="BR62" s="413"/>
      <c r="BS62" s="413"/>
      <c r="BT62" s="366"/>
      <c r="BU62" s="366"/>
      <c r="BV62" s="366"/>
      <c r="BW62" s="366"/>
      <c r="BX62" s="366"/>
      <c r="BY62" s="366">
        <v>4</v>
      </c>
      <c r="BZ62" s="366"/>
      <c r="CA62" s="366"/>
      <c r="CB62" s="366"/>
      <c r="CC62" s="366"/>
      <c r="CD62" s="366">
        <v>2</v>
      </c>
      <c r="CE62" s="366"/>
      <c r="CF62" s="366"/>
      <c r="CG62" s="366"/>
      <c r="CH62" s="366"/>
      <c r="CI62" s="366"/>
      <c r="CJ62" s="366"/>
      <c r="CK62" s="366"/>
      <c r="CL62" s="366"/>
      <c r="CM62" s="366"/>
      <c r="CN62" s="366"/>
      <c r="CO62" s="366"/>
      <c r="CP62" s="366"/>
      <c r="CQ62" s="366"/>
      <c r="CR62" s="366"/>
      <c r="CS62" s="366"/>
      <c r="CT62" s="366"/>
      <c r="CU62" s="366"/>
      <c r="CV62" s="366"/>
      <c r="CW62" s="366"/>
      <c r="CX62" s="419"/>
      <c r="CY62" s="413"/>
      <c r="CZ62" s="413"/>
      <c r="DA62" s="413"/>
      <c r="DB62" s="420"/>
      <c r="DC62" s="410"/>
      <c r="DD62" s="366"/>
      <c r="DE62" s="366"/>
      <c r="DF62" s="366"/>
      <c r="DG62" s="366"/>
      <c r="DH62" s="366"/>
      <c r="DI62" s="366"/>
      <c r="DJ62" s="366"/>
      <c r="DK62" s="366"/>
      <c r="DL62" s="366"/>
      <c r="DM62" s="366">
        <v>4</v>
      </c>
      <c r="DN62" s="366"/>
      <c r="DO62" s="366"/>
      <c r="DP62" s="366"/>
      <c r="DQ62" s="366"/>
      <c r="DR62" s="366">
        <v>2</v>
      </c>
      <c r="DS62" s="366"/>
      <c r="DT62" s="366"/>
      <c r="DU62" s="366"/>
      <c r="DV62" s="366"/>
      <c r="DW62" s="366"/>
      <c r="DX62" s="366"/>
      <c r="DY62" s="366"/>
      <c r="DZ62" s="366"/>
      <c r="EA62" s="366"/>
      <c r="EB62" s="419"/>
      <c r="EC62" s="413"/>
      <c r="ED62" s="413"/>
      <c r="EE62" s="413"/>
      <c r="EF62" s="493"/>
      <c r="EG62" s="366"/>
      <c r="EH62" s="366"/>
      <c r="EI62" s="366"/>
      <c r="EJ62" s="366"/>
      <c r="EK62" s="366"/>
      <c r="EL62" s="366"/>
      <c r="EM62" s="366"/>
      <c r="EN62" s="366"/>
      <c r="EO62" s="366"/>
      <c r="EP62" s="367"/>
      <c r="EQ62" s="540">
        <f t="shared" ref="EQ62" si="24">SUM(DC62:EP63)</f>
        <v>6</v>
      </c>
      <c r="ER62" s="541"/>
      <c r="ES62" s="542"/>
      <c r="ET62" s="197"/>
      <c r="EV62" s="269"/>
      <c r="EW62" s="270"/>
      <c r="EX62" s="271"/>
    </row>
    <row r="63" spans="1:154" s="129" customFormat="1" ht="80.099999999999994" customHeight="1" x14ac:dyDescent="0.2">
      <c r="A63" s="556"/>
      <c r="B63" s="141" t="s">
        <v>168</v>
      </c>
      <c r="C63" s="426" t="s">
        <v>167</v>
      </c>
      <c r="D63" s="426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  <c r="Z63" s="490"/>
      <c r="AA63" s="491"/>
      <c r="AB63" s="491"/>
      <c r="AC63" s="492"/>
      <c r="AD63" s="421"/>
      <c r="AE63" s="415"/>
      <c r="AF63" s="494"/>
      <c r="AG63" s="498"/>
      <c r="AH63" s="499"/>
      <c r="AI63" s="499"/>
      <c r="AJ63" s="499"/>
      <c r="AK63" s="500"/>
      <c r="AL63" s="498"/>
      <c r="AM63" s="499"/>
      <c r="AN63" s="499"/>
      <c r="AO63" s="499"/>
      <c r="AP63" s="500"/>
      <c r="AQ63" s="498"/>
      <c r="AR63" s="499"/>
      <c r="AS63" s="499"/>
      <c r="AT63" s="499"/>
      <c r="AU63" s="500"/>
      <c r="AV63" s="498"/>
      <c r="AW63" s="499"/>
      <c r="AX63" s="499"/>
      <c r="AY63" s="499"/>
      <c r="AZ63" s="500"/>
      <c r="BA63" s="498"/>
      <c r="BB63" s="499"/>
      <c r="BC63" s="499"/>
      <c r="BD63" s="499"/>
      <c r="BE63" s="500"/>
      <c r="BF63" s="498"/>
      <c r="BG63" s="499"/>
      <c r="BH63" s="499"/>
      <c r="BI63" s="499"/>
      <c r="BJ63" s="500"/>
      <c r="BK63" s="490"/>
      <c r="BL63" s="491"/>
      <c r="BM63" s="491"/>
      <c r="BN63" s="508"/>
      <c r="BO63" s="414"/>
      <c r="BP63" s="415"/>
      <c r="BQ63" s="415"/>
      <c r="BR63" s="415"/>
      <c r="BS63" s="415"/>
      <c r="BT63" s="366"/>
      <c r="BU63" s="366"/>
      <c r="BV63" s="366"/>
      <c r="BW63" s="366"/>
      <c r="BX63" s="366"/>
      <c r="BY63" s="366"/>
      <c r="BZ63" s="366"/>
      <c r="CA63" s="366"/>
      <c r="CB63" s="366"/>
      <c r="CC63" s="366"/>
      <c r="CD63" s="366"/>
      <c r="CE63" s="366"/>
      <c r="CF63" s="366"/>
      <c r="CG63" s="366"/>
      <c r="CH63" s="366"/>
      <c r="CI63" s="366"/>
      <c r="CJ63" s="366"/>
      <c r="CK63" s="366"/>
      <c r="CL63" s="366"/>
      <c r="CM63" s="366"/>
      <c r="CN63" s="366"/>
      <c r="CO63" s="366"/>
      <c r="CP63" s="366"/>
      <c r="CQ63" s="366"/>
      <c r="CR63" s="366"/>
      <c r="CS63" s="366"/>
      <c r="CT63" s="366"/>
      <c r="CU63" s="366"/>
      <c r="CV63" s="366"/>
      <c r="CW63" s="366"/>
      <c r="CX63" s="421"/>
      <c r="CY63" s="415"/>
      <c r="CZ63" s="415"/>
      <c r="DA63" s="415"/>
      <c r="DB63" s="422"/>
      <c r="DC63" s="410"/>
      <c r="DD63" s="366"/>
      <c r="DE63" s="366"/>
      <c r="DF63" s="366"/>
      <c r="DG63" s="366"/>
      <c r="DH63" s="366"/>
      <c r="DI63" s="366"/>
      <c r="DJ63" s="366"/>
      <c r="DK63" s="366"/>
      <c r="DL63" s="366"/>
      <c r="DM63" s="366"/>
      <c r="DN63" s="366"/>
      <c r="DO63" s="366"/>
      <c r="DP63" s="366"/>
      <c r="DQ63" s="366"/>
      <c r="DR63" s="366"/>
      <c r="DS63" s="366"/>
      <c r="DT63" s="366"/>
      <c r="DU63" s="366"/>
      <c r="DV63" s="366"/>
      <c r="DW63" s="366"/>
      <c r="DX63" s="366"/>
      <c r="DY63" s="366"/>
      <c r="DZ63" s="366"/>
      <c r="EA63" s="366"/>
      <c r="EB63" s="421"/>
      <c r="EC63" s="415"/>
      <c r="ED63" s="415"/>
      <c r="EE63" s="415"/>
      <c r="EF63" s="494"/>
      <c r="EG63" s="366"/>
      <c r="EH63" s="366"/>
      <c r="EI63" s="366"/>
      <c r="EJ63" s="366"/>
      <c r="EK63" s="366"/>
      <c r="EL63" s="366"/>
      <c r="EM63" s="366"/>
      <c r="EN63" s="366"/>
      <c r="EO63" s="366"/>
      <c r="EP63" s="367"/>
      <c r="EQ63" s="540">
        <f t="shared" ref="EQ63" si="25">DC63+DH63+DM63+DR63+DW63+EG63+EB63+EL63</f>
        <v>0</v>
      </c>
      <c r="ER63" s="541"/>
      <c r="ES63" s="542"/>
      <c r="ET63" s="197"/>
      <c r="EV63" s="269"/>
      <c r="EW63" s="270"/>
      <c r="EX63" s="271"/>
    </row>
    <row r="64" spans="1:154" s="129" customFormat="1" ht="99.95" customHeight="1" x14ac:dyDescent="0.2">
      <c r="A64" s="555" t="s">
        <v>40</v>
      </c>
      <c r="B64" s="141" t="s">
        <v>170</v>
      </c>
      <c r="C64" s="426" t="s">
        <v>169</v>
      </c>
      <c r="D64" s="426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  <c r="Z64" s="487">
        <f t="shared" ref="Z64" si="26">+EQ64*30</f>
        <v>60</v>
      </c>
      <c r="AA64" s="488"/>
      <c r="AB64" s="488"/>
      <c r="AC64" s="489"/>
      <c r="AD64" s="419"/>
      <c r="AE64" s="413"/>
      <c r="AF64" s="493"/>
      <c r="AG64" s="495">
        <f t="shared" ref="AG64" si="27">SUM(AL64:BE65)</f>
        <v>26</v>
      </c>
      <c r="AH64" s="496"/>
      <c r="AI64" s="496"/>
      <c r="AJ64" s="496"/>
      <c r="AK64" s="497"/>
      <c r="AL64" s="495">
        <v>10</v>
      </c>
      <c r="AM64" s="496"/>
      <c r="AN64" s="496"/>
      <c r="AO64" s="496"/>
      <c r="AP64" s="497"/>
      <c r="AQ64" s="495">
        <v>16</v>
      </c>
      <c r="AR64" s="496"/>
      <c r="AS64" s="496"/>
      <c r="AT64" s="496"/>
      <c r="AU64" s="497"/>
      <c r="AV64" s="495"/>
      <c r="AW64" s="496"/>
      <c r="AX64" s="496"/>
      <c r="AY64" s="496"/>
      <c r="AZ64" s="497"/>
      <c r="BA64" s="495"/>
      <c r="BB64" s="496"/>
      <c r="BC64" s="496"/>
      <c r="BD64" s="496"/>
      <c r="BE64" s="497"/>
      <c r="BF64" s="495"/>
      <c r="BG64" s="496"/>
      <c r="BH64" s="496"/>
      <c r="BI64" s="496"/>
      <c r="BJ64" s="497"/>
      <c r="BK64" s="487">
        <f t="shared" ref="BK64" si="28">Z64-AG64</f>
        <v>34</v>
      </c>
      <c r="BL64" s="488"/>
      <c r="BM64" s="488"/>
      <c r="BN64" s="507"/>
      <c r="BO64" s="412"/>
      <c r="BP64" s="413"/>
      <c r="BQ64" s="413"/>
      <c r="BR64" s="413"/>
      <c r="BS64" s="413"/>
      <c r="BT64" s="366"/>
      <c r="BU64" s="366"/>
      <c r="BV64" s="366"/>
      <c r="BW64" s="366"/>
      <c r="BX64" s="366"/>
      <c r="BY64" s="366">
        <v>2</v>
      </c>
      <c r="BZ64" s="366"/>
      <c r="CA64" s="366"/>
      <c r="CB64" s="366"/>
      <c r="CC64" s="366"/>
      <c r="CD64" s="366"/>
      <c r="CE64" s="366"/>
      <c r="CF64" s="366"/>
      <c r="CG64" s="366"/>
      <c r="CH64" s="366"/>
      <c r="CI64" s="366"/>
      <c r="CJ64" s="366"/>
      <c r="CK64" s="366"/>
      <c r="CL64" s="366"/>
      <c r="CM64" s="366"/>
      <c r="CN64" s="366"/>
      <c r="CO64" s="366"/>
      <c r="CP64" s="366"/>
      <c r="CQ64" s="366"/>
      <c r="CR64" s="366"/>
      <c r="CS64" s="366"/>
      <c r="CT64" s="366"/>
      <c r="CU64" s="366"/>
      <c r="CV64" s="366"/>
      <c r="CW64" s="366"/>
      <c r="CX64" s="419"/>
      <c r="CY64" s="413"/>
      <c r="CZ64" s="413"/>
      <c r="DA64" s="413"/>
      <c r="DB64" s="420"/>
      <c r="DC64" s="410"/>
      <c r="DD64" s="366"/>
      <c r="DE64" s="366"/>
      <c r="DF64" s="366"/>
      <c r="DG64" s="366"/>
      <c r="DH64" s="366"/>
      <c r="DI64" s="366"/>
      <c r="DJ64" s="366"/>
      <c r="DK64" s="366"/>
      <c r="DL64" s="366"/>
      <c r="DM64" s="366">
        <v>2</v>
      </c>
      <c r="DN64" s="366"/>
      <c r="DO64" s="366"/>
      <c r="DP64" s="366"/>
      <c r="DQ64" s="366"/>
      <c r="DR64" s="366"/>
      <c r="DS64" s="366"/>
      <c r="DT64" s="366"/>
      <c r="DU64" s="366"/>
      <c r="DV64" s="366"/>
      <c r="DW64" s="366"/>
      <c r="DX64" s="366"/>
      <c r="DY64" s="366"/>
      <c r="DZ64" s="366"/>
      <c r="EA64" s="366"/>
      <c r="EB64" s="366"/>
      <c r="EC64" s="366"/>
      <c r="ED64" s="366"/>
      <c r="EE64" s="366"/>
      <c r="EF64" s="366"/>
      <c r="EG64" s="366"/>
      <c r="EH64" s="366"/>
      <c r="EI64" s="366"/>
      <c r="EJ64" s="366"/>
      <c r="EK64" s="366"/>
      <c r="EL64" s="366"/>
      <c r="EM64" s="366"/>
      <c r="EN64" s="366"/>
      <c r="EO64" s="366"/>
      <c r="EP64" s="367"/>
      <c r="EQ64" s="540">
        <f t="shared" ref="EQ64" si="29">SUM(DC64:EP65)</f>
        <v>2</v>
      </c>
      <c r="ER64" s="541"/>
      <c r="ES64" s="542"/>
      <c r="ET64" s="197"/>
      <c r="EV64" s="269"/>
      <c r="EW64" s="270"/>
      <c r="EX64" s="271"/>
    </row>
    <row r="65" spans="1:154" s="129" customFormat="1" ht="80.099999999999994" customHeight="1" x14ac:dyDescent="0.2">
      <c r="A65" s="556"/>
      <c r="B65" s="141" t="s">
        <v>152</v>
      </c>
      <c r="C65" s="426" t="s">
        <v>171</v>
      </c>
      <c r="D65" s="426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  <c r="Z65" s="490"/>
      <c r="AA65" s="491"/>
      <c r="AB65" s="491"/>
      <c r="AC65" s="492"/>
      <c r="AD65" s="421"/>
      <c r="AE65" s="415"/>
      <c r="AF65" s="494"/>
      <c r="AG65" s="498"/>
      <c r="AH65" s="499"/>
      <c r="AI65" s="499"/>
      <c r="AJ65" s="499"/>
      <c r="AK65" s="500"/>
      <c r="AL65" s="498"/>
      <c r="AM65" s="499"/>
      <c r="AN65" s="499"/>
      <c r="AO65" s="499"/>
      <c r="AP65" s="500"/>
      <c r="AQ65" s="498"/>
      <c r="AR65" s="499"/>
      <c r="AS65" s="499"/>
      <c r="AT65" s="499"/>
      <c r="AU65" s="500"/>
      <c r="AV65" s="498"/>
      <c r="AW65" s="499"/>
      <c r="AX65" s="499"/>
      <c r="AY65" s="499"/>
      <c r="AZ65" s="500"/>
      <c r="BA65" s="498"/>
      <c r="BB65" s="499"/>
      <c r="BC65" s="499"/>
      <c r="BD65" s="499"/>
      <c r="BE65" s="500"/>
      <c r="BF65" s="498"/>
      <c r="BG65" s="499"/>
      <c r="BH65" s="499"/>
      <c r="BI65" s="499"/>
      <c r="BJ65" s="500"/>
      <c r="BK65" s="490"/>
      <c r="BL65" s="491"/>
      <c r="BM65" s="491"/>
      <c r="BN65" s="508"/>
      <c r="BO65" s="414"/>
      <c r="BP65" s="415"/>
      <c r="BQ65" s="415"/>
      <c r="BR65" s="415"/>
      <c r="BS65" s="415"/>
      <c r="BT65" s="366"/>
      <c r="BU65" s="366"/>
      <c r="BV65" s="366"/>
      <c r="BW65" s="366"/>
      <c r="BX65" s="366"/>
      <c r="BY65" s="366"/>
      <c r="BZ65" s="366"/>
      <c r="CA65" s="366"/>
      <c r="CB65" s="366"/>
      <c r="CC65" s="366"/>
      <c r="CD65" s="366"/>
      <c r="CE65" s="366"/>
      <c r="CF65" s="366"/>
      <c r="CG65" s="366"/>
      <c r="CH65" s="366"/>
      <c r="CI65" s="366"/>
      <c r="CJ65" s="366"/>
      <c r="CK65" s="366"/>
      <c r="CL65" s="366"/>
      <c r="CM65" s="366"/>
      <c r="CN65" s="366"/>
      <c r="CO65" s="366"/>
      <c r="CP65" s="366"/>
      <c r="CQ65" s="366"/>
      <c r="CR65" s="366"/>
      <c r="CS65" s="366"/>
      <c r="CT65" s="366"/>
      <c r="CU65" s="366"/>
      <c r="CV65" s="366"/>
      <c r="CW65" s="366"/>
      <c r="CX65" s="421"/>
      <c r="CY65" s="415"/>
      <c r="CZ65" s="415"/>
      <c r="DA65" s="415"/>
      <c r="DB65" s="422"/>
      <c r="DC65" s="410"/>
      <c r="DD65" s="366"/>
      <c r="DE65" s="366"/>
      <c r="DF65" s="366"/>
      <c r="DG65" s="366"/>
      <c r="DH65" s="366"/>
      <c r="DI65" s="366"/>
      <c r="DJ65" s="366"/>
      <c r="DK65" s="366"/>
      <c r="DL65" s="366"/>
      <c r="DM65" s="366"/>
      <c r="DN65" s="366"/>
      <c r="DO65" s="366"/>
      <c r="DP65" s="366"/>
      <c r="DQ65" s="366"/>
      <c r="DR65" s="366"/>
      <c r="DS65" s="366"/>
      <c r="DT65" s="366"/>
      <c r="DU65" s="366"/>
      <c r="DV65" s="366"/>
      <c r="DW65" s="366"/>
      <c r="DX65" s="366"/>
      <c r="DY65" s="366"/>
      <c r="DZ65" s="366"/>
      <c r="EA65" s="366"/>
      <c r="EB65" s="366"/>
      <c r="EC65" s="366"/>
      <c r="ED65" s="366"/>
      <c r="EE65" s="366"/>
      <c r="EF65" s="366"/>
      <c r="EG65" s="366"/>
      <c r="EH65" s="366"/>
      <c r="EI65" s="366"/>
      <c r="EJ65" s="366"/>
      <c r="EK65" s="366"/>
      <c r="EL65" s="366"/>
      <c r="EM65" s="366"/>
      <c r="EN65" s="366"/>
      <c r="EO65" s="366"/>
      <c r="EP65" s="367"/>
      <c r="EQ65" s="540">
        <f t="shared" ref="EQ65" si="30">DC65+DH65+DM65+DR65+DW65+EG65+EB65+EL65</f>
        <v>0</v>
      </c>
      <c r="ER65" s="541"/>
      <c r="ES65" s="542"/>
      <c r="ET65" s="197"/>
      <c r="EV65" s="269"/>
      <c r="EW65" s="270"/>
      <c r="EX65" s="271"/>
    </row>
    <row r="66" spans="1:154" s="129" customFormat="1" ht="80.099999999999994" customHeight="1" x14ac:dyDescent="0.2">
      <c r="A66" s="555" t="s">
        <v>41</v>
      </c>
      <c r="B66" s="141" t="s">
        <v>214</v>
      </c>
      <c r="C66" s="378" t="s">
        <v>215</v>
      </c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8"/>
      <c r="V66" s="378"/>
      <c r="W66" s="378"/>
      <c r="X66" s="378"/>
      <c r="Y66" s="378"/>
      <c r="Z66" s="487">
        <f t="shared" ref="Z66" si="31">+EQ66*30</f>
        <v>420</v>
      </c>
      <c r="AA66" s="488"/>
      <c r="AB66" s="488"/>
      <c r="AC66" s="489"/>
      <c r="AD66" s="419"/>
      <c r="AE66" s="413"/>
      <c r="AF66" s="493"/>
      <c r="AG66" s="495">
        <f t="shared" ref="AG66" si="32">SUM(AL66:BE67)</f>
        <v>210</v>
      </c>
      <c r="AH66" s="496"/>
      <c r="AI66" s="496"/>
      <c r="AJ66" s="496"/>
      <c r="AK66" s="497"/>
      <c r="AL66" s="495"/>
      <c r="AM66" s="496"/>
      <c r="AN66" s="496"/>
      <c r="AO66" s="496"/>
      <c r="AP66" s="497"/>
      <c r="AQ66" s="495">
        <v>210</v>
      </c>
      <c r="AR66" s="496"/>
      <c r="AS66" s="496"/>
      <c r="AT66" s="496"/>
      <c r="AU66" s="497"/>
      <c r="AV66" s="495"/>
      <c r="AW66" s="496"/>
      <c r="AX66" s="496"/>
      <c r="AY66" s="496"/>
      <c r="AZ66" s="497"/>
      <c r="BA66" s="495"/>
      <c r="BB66" s="496"/>
      <c r="BC66" s="496"/>
      <c r="BD66" s="496"/>
      <c r="BE66" s="497"/>
      <c r="BF66" s="495"/>
      <c r="BG66" s="496"/>
      <c r="BH66" s="496"/>
      <c r="BI66" s="496"/>
      <c r="BJ66" s="497"/>
      <c r="BK66" s="487">
        <f t="shared" ref="BK66" si="33">Z66-AG66</f>
        <v>210</v>
      </c>
      <c r="BL66" s="488"/>
      <c r="BM66" s="488"/>
      <c r="BN66" s="507"/>
      <c r="BO66" s="412"/>
      <c r="BP66" s="413"/>
      <c r="BQ66" s="413"/>
      <c r="BR66" s="413"/>
      <c r="BS66" s="413"/>
      <c r="BT66" s="366"/>
      <c r="BU66" s="366"/>
      <c r="BV66" s="366"/>
      <c r="BW66" s="366"/>
      <c r="BX66" s="366"/>
      <c r="BY66" s="366"/>
      <c r="BZ66" s="366"/>
      <c r="CA66" s="366"/>
      <c r="CB66" s="366"/>
      <c r="CC66" s="366"/>
      <c r="CD66" s="366">
        <v>2</v>
      </c>
      <c r="CE66" s="366"/>
      <c r="CF66" s="366"/>
      <c r="CG66" s="366"/>
      <c r="CH66" s="366"/>
      <c r="CI66" s="366">
        <v>4</v>
      </c>
      <c r="CJ66" s="366"/>
      <c r="CK66" s="366"/>
      <c r="CL66" s="366"/>
      <c r="CM66" s="366"/>
      <c r="CN66" s="366">
        <v>2</v>
      </c>
      <c r="CO66" s="366"/>
      <c r="CP66" s="366"/>
      <c r="CQ66" s="366"/>
      <c r="CR66" s="366"/>
      <c r="CS66" s="366">
        <v>2</v>
      </c>
      <c r="CT66" s="366"/>
      <c r="CU66" s="366"/>
      <c r="CV66" s="366"/>
      <c r="CW66" s="366"/>
      <c r="CX66" s="419">
        <v>4</v>
      </c>
      <c r="CY66" s="413"/>
      <c r="CZ66" s="413"/>
      <c r="DA66" s="413"/>
      <c r="DB66" s="420"/>
      <c r="DC66" s="410"/>
      <c r="DD66" s="366"/>
      <c r="DE66" s="366"/>
      <c r="DF66" s="366"/>
      <c r="DG66" s="366"/>
      <c r="DH66" s="366"/>
      <c r="DI66" s="366"/>
      <c r="DJ66" s="366"/>
      <c r="DK66" s="366"/>
      <c r="DL66" s="366"/>
      <c r="DM66" s="366"/>
      <c r="DN66" s="366"/>
      <c r="DO66" s="366"/>
      <c r="DP66" s="366"/>
      <c r="DQ66" s="366"/>
      <c r="DR66" s="366">
        <v>2</v>
      </c>
      <c r="DS66" s="366"/>
      <c r="DT66" s="366"/>
      <c r="DU66" s="366"/>
      <c r="DV66" s="366"/>
      <c r="DW66" s="366">
        <v>4</v>
      </c>
      <c r="DX66" s="366"/>
      <c r="DY66" s="366"/>
      <c r="DZ66" s="366"/>
      <c r="EA66" s="366"/>
      <c r="EB66" s="366">
        <v>2</v>
      </c>
      <c r="EC66" s="366"/>
      <c r="ED66" s="366"/>
      <c r="EE66" s="366"/>
      <c r="EF66" s="366"/>
      <c r="EG66" s="366">
        <v>2</v>
      </c>
      <c r="EH66" s="366"/>
      <c r="EI66" s="366"/>
      <c r="EJ66" s="366"/>
      <c r="EK66" s="366"/>
      <c r="EL66" s="366">
        <v>4</v>
      </c>
      <c r="EM66" s="366"/>
      <c r="EN66" s="366"/>
      <c r="EO66" s="366"/>
      <c r="EP66" s="367"/>
      <c r="EQ66" s="540">
        <f t="shared" ref="EQ66" si="34">SUM(DC66:EP67)</f>
        <v>14</v>
      </c>
      <c r="ER66" s="541"/>
      <c r="ES66" s="542"/>
      <c r="ET66" s="197"/>
      <c r="EV66" s="269"/>
      <c r="EW66" s="270"/>
      <c r="EX66" s="271"/>
    </row>
    <row r="67" spans="1:154" s="129" customFormat="1" ht="80.099999999999994" customHeight="1" x14ac:dyDescent="0.2">
      <c r="A67" s="556"/>
      <c r="B67" s="141" t="s">
        <v>174</v>
      </c>
      <c r="C67" s="426" t="s">
        <v>173</v>
      </c>
      <c r="D67" s="426"/>
      <c r="E67" s="426"/>
      <c r="F67" s="426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  <c r="Z67" s="490"/>
      <c r="AA67" s="491"/>
      <c r="AB67" s="491"/>
      <c r="AC67" s="492"/>
      <c r="AD67" s="421"/>
      <c r="AE67" s="415"/>
      <c r="AF67" s="494"/>
      <c r="AG67" s="498"/>
      <c r="AH67" s="499"/>
      <c r="AI67" s="499"/>
      <c r="AJ67" s="499"/>
      <c r="AK67" s="500"/>
      <c r="AL67" s="498"/>
      <c r="AM67" s="499"/>
      <c r="AN67" s="499"/>
      <c r="AO67" s="499"/>
      <c r="AP67" s="500"/>
      <c r="AQ67" s="498"/>
      <c r="AR67" s="499"/>
      <c r="AS67" s="499"/>
      <c r="AT67" s="499"/>
      <c r="AU67" s="500"/>
      <c r="AV67" s="498"/>
      <c r="AW67" s="499"/>
      <c r="AX67" s="499"/>
      <c r="AY67" s="499"/>
      <c r="AZ67" s="500"/>
      <c r="BA67" s="498"/>
      <c r="BB67" s="499"/>
      <c r="BC67" s="499"/>
      <c r="BD67" s="499"/>
      <c r="BE67" s="500"/>
      <c r="BF67" s="498"/>
      <c r="BG67" s="499"/>
      <c r="BH67" s="499"/>
      <c r="BI67" s="499"/>
      <c r="BJ67" s="500"/>
      <c r="BK67" s="490"/>
      <c r="BL67" s="491"/>
      <c r="BM67" s="491"/>
      <c r="BN67" s="508"/>
      <c r="BO67" s="414"/>
      <c r="BP67" s="415"/>
      <c r="BQ67" s="415"/>
      <c r="BR67" s="415"/>
      <c r="BS67" s="415"/>
      <c r="BT67" s="366"/>
      <c r="BU67" s="366"/>
      <c r="BV67" s="366"/>
      <c r="BW67" s="366"/>
      <c r="BX67" s="366"/>
      <c r="BY67" s="366"/>
      <c r="BZ67" s="366"/>
      <c r="CA67" s="366"/>
      <c r="CB67" s="366"/>
      <c r="CC67" s="366"/>
      <c r="CD67" s="366"/>
      <c r="CE67" s="366"/>
      <c r="CF67" s="366"/>
      <c r="CG67" s="366"/>
      <c r="CH67" s="366"/>
      <c r="CI67" s="366"/>
      <c r="CJ67" s="366"/>
      <c r="CK67" s="366"/>
      <c r="CL67" s="366"/>
      <c r="CM67" s="366"/>
      <c r="CN67" s="366"/>
      <c r="CO67" s="366"/>
      <c r="CP67" s="366"/>
      <c r="CQ67" s="366"/>
      <c r="CR67" s="366"/>
      <c r="CS67" s="366"/>
      <c r="CT67" s="366"/>
      <c r="CU67" s="366"/>
      <c r="CV67" s="366"/>
      <c r="CW67" s="366"/>
      <c r="CX67" s="421"/>
      <c r="CY67" s="415"/>
      <c r="CZ67" s="415"/>
      <c r="DA67" s="415"/>
      <c r="DB67" s="422"/>
      <c r="DC67" s="410"/>
      <c r="DD67" s="366"/>
      <c r="DE67" s="366"/>
      <c r="DF67" s="366"/>
      <c r="DG67" s="366"/>
      <c r="DH67" s="366"/>
      <c r="DI67" s="366"/>
      <c r="DJ67" s="366"/>
      <c r="DK67" s="366"/>
      <c r="DL67" s="366"/>
      <c r="DM67" s="366"/>
      <c r="DN67" s="366"/>
      <c r="DO67" s="366"/>
      <c r="DP67" s="366"/>
      <c r="DQ67" s="366"/>
      <c r="DR67" s="366"/>
      <c r="DS67" s="366"/>
      <c r="DT67" s="366"/>
      <c r="DU67" s="366"/>
      <c r="DV67" s="366"/>
      <c r="DW67" s="366"/>
      <c r="DX67" s="366"/>
      <c r="DY67" s="366"/>
      <c r="DZ67" s="366"/>
      <c r="EA67" s="366"/>
      <c r="EB67" s="366"/>
      <c r="EC67" s="366"/>
      <c r="ED67" s="366"/>
      <c r="EE67" s="366"/>
      <c r="EF67" s="366"/>
      <c r="EG67" s="366"/>
      <c r="EH67" s="366"/>
      <c r="EI67" s="366"/>
      <c r="EJ67" s="366"/>
      <c r="EK67" s="366"/>
      <c r="EL67" s="366"/>
      <c r="EM67" s="366"/>
      <c r="EN67" s="366"/>
      <c r="EO67" s="366"/>
      <c r="EP67" s="367"/>
      <c r="EQ67" s="540">
        <f t="shared" ref="EQ67" si="35">DC67+DH67+DM67+DR67+DW67+EG67+EB67+EL67</f>
        <v>0</v>
      </c>
      <c r="ER67" s="541"/>
      <c r="ES67" s="542"/>
      <c r="ET67" s="197"/>
      <c r="EV67" s="269"/>
      <c r="EW67" s="270"/>
      <c r="EX67" s="271"/>
    </row>
    <row r="68" spans="1:154" s="129" customFormat="1" ht="80.099999999999994" customHeight="1" x14ac:dyDescent="0.2">
      <c r="A68" s="555" t="s">
        <v>42</v>
      </c>
      <c r="B68" s="141" t="s">
        <v>176</v>
      </c>
      <c r="C68" s="426" t="s">
        <v>175</v>
      </c>
      <c r="D68" s="426"/>
      <c r="E68" s="426"/>
      <c r="F68" s="426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  <c r="Z68" s="487">
        <f t="shared" ref="Z68" si="36">+EQ68*30</f>
        <v>60</v>
      </c>
      <c r="AA68" s="488"/>
      <c r="AB68" s="488"/>
      <c r="AC68" s="489"/>
      <c r="AD68" s="419"/>
      <c r="AE68" s="413"/>
      <c r="AF68" s="493"/>
      <c r="AG68" s="495">
        <f t="shared" ref="AG68" si="37">SUM(AL68:BE69)</f>
        <v>24</v>
      </c>
      <c r="AH68" s="496"/>
      <c r="AI68" s="496"/>
      <c r="AJ68" s="496"/>
      <c r="AK68" s="497"/>
      <c r="AL68" s="495">
        <v>12</v>
      </c>
      <c r="AM68" s="496"/>
      <c r="AN68" s="496"/>
      <c r="AO68" s="496"/>
      <c r="AP68" s="497"/>
      <c r="AQ68" s="495">
        <v>12</v>
      </c>
      <c r="AR68" s="496"/>
      <c r="AS68" s="496"/>
      <c r="AT68" s="496"/>
      <c r="AU68" s="497"/>
      <c r="AV68" s="495"/>
      <c r="AW68" s="496"/>
      <c r="AX68" s="496"/>
      <c r="AY68" s="496"/>
      <c r="AZ68" s="497"/>
      <c r="BA68" s="495"/>
      <c r="BB68" s="496"/>
      <c r="BC68" s="496"/>
      <c r="BD68" s="496"/>
      <c r="BE68" s="497"/>
      <c r="BF68" s="495"/>
      <c r="BG68" s="496"/>
      <c r="BH68" s="496"/>
      <c r="BI68" s="496"/>
      <c r="BJ68" s="497"/>
      <c r="BK68" s="487">
        <f t="shared" ref="BK68" si="38">Z68-AG68</f>
        <v>36</v>
      </c>
      <c r="BL68" s="488"/>
      <c r="BM68" s="488"/>
      <c r="BN68" s="507"/>
      <c r="BO68" s="412"/>
      <c r="BP68" s="413"/>
      <c r="BQ68" s="413"/>
      <c r="BR68" s="413"/>
      <c r="BS68" s="413"/>
      <c r="BT68" s="366"/>
      <c r="BU68" s="366"/>
      <c r="BV68" s="366"/>
      <c r="BW68" s="366"/>
      <c r="BX68" s="366"/>
      <c r="BY68" s="366"/>
      <c r="BZ68" s="366"/>
      <c r="CA68" s="366"/>
      <c r="CB68" s="366"/>
      <c r="CC68" s="366"/>
      <c r="CD68" s="366"/>
      <c r="CE68" s="366"/>
      <c r="CF68" s="366"/>
      <c r="CG68" s="366"/>
      <c r="CH68" s="366"/>
      <c r="CI68" s="366">
        <v>2</v>
      </c>
      <c r="CJ68" s="366"/>
      <c r="CK68" s="366"/>
      <c r="CL68" s="366"/>
      <c r="CM68" s="366"/>
      <c r="CN68" s="366"/>
      <c r="CO68" s="366"/>
      <c r="CP68" s="366"/>
      <c r="CQ68" s="366"/>
      <c r="CR68" s="366"/>
      <c r="CS68" s="366"/>
      <c r="CT68" s="366"/>
      <c r="CU68" s="366"/>
      <c r="CV68" s="366"/>
      <c r="CW68" s="366"/>
      <c r="CX68" s="419"/>
      <c r="CY68" s="413"/>
      <c r="CZ68" s="413"/>
      <c r="DA68" s="413"/>
      <c r="DB68" s="420"/>
      <c r="DC68" s="410"/>
      <c r="DD68" s="366"/>
      <c r="DE68" s="366"/>
      <c r="DF68" s="366"/>
      <c r="DG68" s="366"/>
      <c r="DH68" s="366"/>
      <c r="DI68" s="366"/>
      <c r="DJ68" s="366"/>
      <c r="DK68" s="366"/>
      <c r="DL68" s="366"/>
      <c r="DM68" s="366"/>
      <c r="DN68" s="366"/>
      <c r="DO68" s="366"/>
      <c r="DP68" s="366"/>
      <c r="DQ68" s="366"/>
      <c r="DR68" s="366"/>
      <c r="DS68" s="366"/>
      <c r="DT68" s="366"/>
      <c r="DU68" s="366"/>
      <c r="DV68" s="366"/>
      <c r="DW68" s="366">
        <v>2</v>
      </c>
      <c r="DX68" s="366"/>
      <c r="DY68" s="366"/>
      <c r="DZ68" s="366"/>
      <c r="EA68" s="366"/>
      <c r="EB68" s="366"/>
      <c r="EC68" s="366"/>
      <c r="ED68" s="366"/>
      <c r="EE68" s="366"/>
      <c r="EF68" s="366"/>
      <c r="EG68" s="366"/>
      <c r="EH68" s="366"/>
      <c r="EI68" s="366"/>
      <c r="EJ68" s="366"/>
      <c r="EK68" s="366"/>
      <c r="EL68" s="366"/>
      <c r="EM68" s="366"/>
      <c r="EN68" s="366"/>
      <c r="EO68" s="366"/>
      <c r="EP68" s="367"/>
      <c r="EQ68" s="540">
        <f t="shared" ref="EQ68" si="39">SUM(DC68:EP69)</f>
        <v>2</v>
      </c>
      <c r="ER68" s="541"/>
      <c r="ES68" s="542"/>
      <c r="ET68" s="197"/>
      <c r="EV68" s="269"/>
      <c r="EW68" s="270"/>
      <c r="EX68" s="271"/>
    </row>
    <row r="69" spans="1:154" s="129" customFormat="1" ht="80.099999999999994" customHeight="1" x14ac:dyDescent="0.2">
      <c r="A69" s="556"/>
      <c r="B69" s="141" t="s">
        <v>178</v>
      </c>
      <c r="C69" s="426" t="s">
        <v>177</v>
      </c>
      <c r="D69" s="426"/>
      <c r="E69" s="426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Z69" s="490"/>
      <c r="AA69" s="491"/>
      <c r="AB69" s="491"/>
      <c r="AC69" s="492"/>
      <c r="AD69" s="421"/>
      <c r="AE69" s="415"/>
      <c r="AF69" s="494"/>
      <c r="AG69" s="498"/>
      <c r="AH69" s="499"/>
      <c r="AI69" s="499"/>
      <c r="AJ69" s="499"/>
      <c r="AK69" s="500"/>
      <c r="AL69" s="498"/>
      <c r="AM69" s="499"/>
      <c r="AN69" s="499"/>
      <c r="AO69" s="499"/>
      <c r="AP69" s="500"/>
      <c r="AQ69" s="498"/>
      <c r="AR69" s="499"/>
      <c r="AS69" s="499"/>
      <c r="AT69" s="499"/>
      <c r="AU69" s="500"/>
      <c r="AV69" s="498"/>
      <c r="AW69" s="499"/>
      <c r="AX69" s="499"/>
      <c r="AY69" s="499"/>
      <c r="AZ69" s="500"/>
      <c r="BA69" s="498"/>
      <c r="BB69" s="499"/>
      <c r="BC69" s="499"/>
      <c r="BD69" s="499"/>
      <c r="BE69" s="500"/>
      <c r="BF69" s="498"/>
      <c r="BG69" s="499"/>
      <c r="BH69" s="499"/>
      <c r="BI69" s="499"/>
      <c r="BJ69" s="500"/>
      <c r="BK69" s="490"/>
      <c r="BL69" s="491"/>
      <c r="BM69" s="491"/>
      <c r="BN69" s="508"/>
      <c r="BO69" s="414"/>
      <c r="BP69" s="415"/>
      <c r="BQ69" s="415"/>
      <c r="BR69" s="415"/>
      <c r="BS69" s="415"/>
      <c r="BT69" s="366"/>
      <c r="BU69" s="366"/>
      <c r="BV69" s="366"/>
      <c r="BW69" s="366"/>
      <c r="BX69" s="366"/>
      <c r="BY69" s="366"/>
      <c r="BZ69" s="366"/>
      <c r="CA69" s="366"/>
      <c r="CB69" s="366"/>
      <c r="CC69" s="366"/>
      <c r="CD69" s="366"/>
      <c r="CE69" s="366"/>
      <c r="CF69" s="366"/>
      <c r="CG69" s="366"/>
      <c r="CH69" s="366"/>
      <c r="CI69" s="366"/>
      <c r="CJ69" s="366"/>
      <c r="CK69" s="366"/>
      <c r="CL69" s="366"/>
      <c r="CM69" s="366"/>
      <c r="CN69" s="366"/>
      <c r="CO69" s="366"/>
      <c r="CP69" s="366"/>
      <c r="CQ69" s="366"/>
      <c r="CR69" s="366"/>
      <c r="CS69" s="366"/>
      <c r="CT69" s="366"/>
      <c r="CU69" s="366"/>
      <c r="CV69" s="366"/>
      <c r="CW69" s="366"/>
      <c r="CX69" s="421"/>
      <c r="CY69" s="415"/>
      <c r="CZ69" s="415"/>
      <c r="DA69" s="415"/>
      <c r="DB69" s="422"/>
      <c r="DC69" s="410"/>
      <c r="DD69" s="366"/>
      <c r="DE69" s="366"/>
      <c r="DF69" s="366"/>
      <c r="DG69" s="366"/>
      <c r="DH69" s="366"/>
      <c r="DI69" s="366"/>
      <c r="DJ69" s="366"/>
      <c r="DK69" s="366"/>
      <c r="DL69" s="366"/>
      <c r="DM69" s="366"/>
      <c r="DN69" s="366"/>
      <c r="DO69" s="366"/>
      <c r="DP69" s="366"/>
      <c r="DQ69" s="366"/>
      <c r="DR69" s="366"/>
      <c r="DS69" s="366"/>
      <c r="DT69" s="366"/>
      <c r="DU69" s="366"/>
      <c r="DV69" s="366"/>
      <c r="DW69" s="366"/>
      <c r="DX69" s="366"/>
      <c r="DY69" s="366"/>
      <c r="DZ69" s="366"/>
      <c r="EA69" s="366"/>
      <c r="EB69" s="366"/>
      <c r="EC69" s="366"/>
      <c r="ED69" s="366"/>
      <c r="EE69" s="366"/>
      <c r="EF69" s="366"/>
      <c r="EG69" s="366"/>
      <c r="EH69" s="366"/>
      <c r="EI69" s="366"/>
      <c r="EJ69" s="366"/>
      <c r="EK69" s="366"/>
      <c r="EL69" s="366"/>
      <c r="EM69" s="366"/>
      <c r="EN69" s="366"/>
      <c r="EO69" s="366"/>
      <c r="EP69" s="367"/>
      <c r="EQ69" s="540">
        <f t="shared" ref="EQ69" si="40">DC69+DH69+DM69+DR69+DW69+EG69+EB69+EL69</f>
        <v>0</v>
      </c>
      <c r="ER69" s="541"/>
      <c r="ES69" s="542"/>
      <c r="ET69" s="197"/>
      <c r="EV69" s="269"/>
      <c r="EW69" s="270"/>
      <c r="EX69" s="271"/>
    </row>
    <row r="70" spans="1:154" s="129" customFormat="1" ht="80.099999999999994" customHeight="1" x14ac:dyDescent="0.2">
      <c r="A70" s="555" t="s">
        <v>205</v>
      </c>
      <c r="B70" s="141" t="s">
        <v>180</v>
      </c>
      <c r="C70" s="426" t="s">
        <v>179</v>
      </c>
      <c r="D70" s="426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Z70" s="487">
        <f t="shared" ref="Z70" si="41">+EQ70*30</f>
        <v>60</v>
      </c>
      <c r="AA70" s="488"/>
      <c r="AB70" s="488"/>
      <c r="AC70" s="489"/>
      <c r="AD70" s="419"/>
      <c r="AE70" s="413"/>
      <c r="AF70" s="493"/>
      <c r="AG70" s="495">
        <f t="shared" ref="AG70" si="42">SUM(AL70:BE71)</f>
        <v>24</v>
      </c>
      <c r="AH70" s="496"/>
      <c r="AI70" s="496"/>
      <c r="AJ70" s="496"/>
      <c r="AK70" s="497"/>
      <c r="AL70" s="495">
        <v>12</v>
      </c>
      <c r="AM70" s="496"/>
      <c r="AN70" s="496"/>
      <c r="AO70" s="496"/>
      <c r="AP70" s="497"/>
      <c r="AQ70" s="495">
        <v>12</v>
      </c>
      <c r="AR70" s="496"/>
      <c r="AS70" s="496"/>
      <c r="AT70" s="496"/>
      <c r="AU70" s="497"/>
      <c r="AV70" s="495"/>
      <c r="AW70" s="496"/>
      <c r="AX70" s="496"/>
      <c r="AY70" s="496"/>
      <c r="AZ70" s="497"/>
      <c r="BA70" s="495"/>
      <c r="BB70" s="496"/>
      <c r="BC70" s="496"/>
      <c r="BD70" s="496"/>
      <c r="BE70" s="497"/>
      <c r="BF70" s="495"/>
      <c r="BG70" s="496"/>
      <c r="BH70" s="496"/>
      <c r="BI70" s="496"/>
      <c r="BJ70" s="497"/>
      <c r="BK70" s="487">
        <f t="shared" ref="BK70" si="43">Z70-AG70</f>
        <v>36</v>
      </c>
      <c r="BL70" s="488"/>
      <c r="BM70" s="488"/>
      <c r="BN70" s="507"/>
      <c r="BO70" s="412"/>
      <c r="BP70" s="413"/>
      <c r="BQ70" s="413"/>
      <c r="BR70" s="413"/>
      <c r="BS70" s="413"/>
      <c r="BT70" s="366"/>
      <c r="BU70" s="366"/>
      <c r="BV70" s="366"/>
      <c r="BW70" s="366"/>
      <c r="BX70" s="366"/>
      <c r="BY70" s="366"/>
      <c r="BZ70" s="366"/>
      <c r="CA70" s="366"/>
      <c r="CB70" s="366"/>
      <c r="CC70" s="366"/>
      <c r="CD70" s="366"/>
      <c r="CE70" s="366"/>
      <c r="CF70" s="366"/>
      <c r="CG70" s="366"/>
      <c r="CH70" s="366"/>
      <c r="CI70" s="366">
        <v>2</v>
      </c>
      <c r="CJ70" s="366"/>
      <c r="CK70" s="366"/>
      <c r="CL70" s="366"/>
      <c r="CM70" s="366"/>
      <c r="CN70" s="366"/>
      <c r="CO70" s="366"/>
      <c r="CP70" s="366"/>
      <c r="CQ70" s="366"/>
      <c r="CR70" s="366"/>
      <c r="CS70" s="366"/>
      <c r="CT70" s="366"/>
      <c r="CU70" s="366"/>
      <c r="CV70" s="366"/>
      <c r="CW70" s="366"/>
      <c r="CX70" s="419"/>
      <c r="CY70" s="413"/>
      <c r="CZ70" s="413"/>
      <c r="DA70" s="413"/>
      <c r="DB70" s="420"/>
      <c r="DC70" s="410"/>
      <c r="DD70" s="366"/>
      <c r="DE70" s="366"/>
      <c r="DF70" s="366"/>
      <c r="DG70" s="366"/>
      <c r="DH70" s="366"/>
      <c r="DI70" s="366"/>
      <c r="DJ70" s="366"/>
      <c r="DK70" s="366"/>
      <c r="DL70" s="366"/>
      <c r="DM70" s="366"/>
      <c r="DN70" s="366"/>
      <c r="DO70" s="366"/>
      <c r="DP70" s="366"/>
      <c r="DQ70" s="366"/>
      <c r="DR70" s="366"/>
      <c r="DS70" s="366"/>
      <c r="DT70" s="366"/>
      <c r="DU70" s="366"/>
      <c r="DV70" s="366"/>
      <c r="DW70" s="366">
        <v>2</v>
      </c>
      <c r="DX70" s="366"/>
      <c r="DY70" s="366"/>
      <c r="DZ70" s="366"/>
      <c r="EA70" s="366"/>
      <c r="EB70" s="366"/>
      <c r="EC70" s="366"/>
      <c r="ED70" s="366"/>
      <c r="EE70" s="366"/>
      <c r="EF70" s="366"/>
      <c r="EG70" s="366"/>
      <c r="EH70" s="366"/>
      <c r="EI70" s="366"/>
      <c r="EJ70" s="366"/>
      <c r="EK70" s="366"/>
      <c r="EL70" s="366"/>
      <c r="EM70" s="366"/>
      <c r="EN70" s="366"/>
      <c r="EO70" s="366"/>
      <c r="EP70" s="367"/>
      <c r="EQ70" s="540">
        <f t="shared" ref="EQ70" si="44">SUM(DC70:EP71)</f>
        <v>2</v>
      </c>
      <c r="ER70" s="541"/>
      <c r="ES70" s="542"/>
      <c r="ET70" s="197"/>
      <c r="EV70" s="269"/>
      <c r="EW70" s="270"/>
      <c r="EX70" s="271"/>
    </row>
    <row r="71" spans="1:154" s="129" customFormat="1" ht="80.099999999999994" customHeight="1" x14ac:dyDescent="0.2">
      <c r="A71" s="556"/>
      <c r="B71" s="141" t="s">
        <v>182</v>
      </c>
      <c r="C71" s="426" t="s">
        <v>181</v>
      </c>
      <c r="D71" s="426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  <c r="Z71" s="490"/>
      <c r="AA71" s="491"/>
      <c r="AB71" s="491"/>
      <c r="AC71" s="492"/>
      <c r="AD71" s="421"/>
      <c r="AE71" s="415"/>
      <c r="AF71" s="494"/>
      <c r="AG71" s="498"/>
      <c r="AH71" s="499"/>
      <c r="AI71" s="499"/>
      <c r="AJ71" s="499"/>
      <c r="AK71" s="500"/>
      <c r="AL71" s="498"/>
      <c r="AM71" s="499"/>
      <c r="AN71" s="499"/>
      <c r="AO71" s="499"/>
      <c r="AP71" s="500"/>
      <c r="AQ71" s="498"/>
      <c r="AR71" s="499"/>
      <c r="AS71" s="499"/>
      <c r="AT71" s="499"/>
      <c r="AU71" s="500"/>
      <c r="AV71" s="498"/>
      <c r="AW71" s="499"/>
      <c r="AX71" s="499"/>
      <c r="AY71" s="499"/>
      <c r="AZ71" s="500"/>
      <c r="BA71" s="498"/>
      <c r="BB71" s="499"/>
      <c r="BC71" s="499"/>
      <c r="BD71" s="499"/>
      <c r="BE71" s="500"/>
      <c r="BF71" s="498"/>
      <c r="BG71" s="499"/>
      <c r="BH71" s="499"/>
      <c r="BI71" s="499"/>
      <c r="BJ71" s="500"/>
      <c r="BK71" s="490"/>
      <c r="BL71" s="491"/>
      <c r="BM71" s="491"/>
      <c r="BN71" s="508"/>
      <c r="BO71" s="414"/>
      <c r="BP71" s="415"/>
      <c r="BQ71" s="415"/>
      <c r="BR71" s="415"/>
      <c r="BS71" s="415"/>
      <c r="BT71" s="366"/>
      <c r="BU71" s="366"/>
      <c r="BV71" s="366"/>
      <c r="BW71" s="366"/>
      <c r="BX71" s="366"/>
      <c r="BY71" s="366"/>
      <c r="BZ71" s="366"/>
      <c r="CA71" s="366"/>
      <c r="CB71" s="366"/>
      <c r="CC71" s="366"/>
      <c r="CD71" s="366"/>
      <c r="CE71" s="366"/>
      <c r="CF71" s="366"/>
      <c r="CG71" s="366"/>
      <c r="CH71" s="366"/>
      <c r="CI71" s="366"/>
      <c r="CJ71" s="366"/>
      <c r="CK71" s="366"/>
      <c r="CL71" s="366"/>
      <c r="CM71" s="366"/>
      <c r="CN71" s="366"/>
      <c r="CO71" s="366"/>
      <c r="CP71" s="366"/>
      <c r="CQ71" s="366"/>
      <c r="CR71" s="366"/>
      <c r="CS71" s="366"/>
      <c r="CT71" s="366"/>
      <c r="CU71" s="366"/>
      <c r="CV71" s="366"/>
      <c r="CW71" s="366"/>
      <c r="CX71" s="421"/>
      <c r="CY71" s="415"/>
      <c r="CZ71" s="415"/>
      <c r="DA71" s="415"/>
      <c r="DB71" s="422"/>
      <c r="DC71" s="410"/>
      <c r="DD71" s="366"/>
      <c r="DE71" s="366"/>
      <c r="DF71" s="366"/>
      <c r="DG71" s="366"/>
      <c r="DH71" s="366"/>
      <c r="DI71" s="366"/>
      <c r="DJ71" s="366"/>
      <c r="DK71" s="366"/>
      <c r="DL71" s="366"/>
      <c r="DM71" s="366"/>
      <c r="DN71" s="366"/>
      <c r="DO71" s="366"/>
      <c r="DP71" s="366"/>
      <c r="DQ71" s="366"/>
      <c r="DR71" s="366"/>
      <c r="DS71" s="366"/>
      <c r="DT71" s="366"/>
      <c r="DU71" s="366"/>
      <c r="DV71" s="366"/>
      <c r="DW71" s="366"/>
      <c r="DX71" s="366"/>
      <c r="DY71" s="366"/>
      <c r="DZ71" s="366"/>
      <c r="EA71" s="366"/>
      <c r="EB71" s="366"/>
      <c r="EC71" s="366"/>
      <c r="ED71" s="366"/>
      <c r="EE71" s="366"/>
      <c r="EF71" s="366"/>
      <c r="EG71" s="366"/>
      <c r="EH71" s="366"/>
      <c r="EI71" s="366"/>
      <c r="EJ71" s="366"/>
      <c r="EK71" s="366"/>
      <c r="EL71" s="366"/>
      <c r="EM71" s="366"/>
      <c r="EN71" s="366"/>
      <c r="EO71" s="366"/>
      <c r="EP71" s="367"/>
      <c r="EQ71" s="540">
        <f t="shared" ref="EQ71" si="45">DC71+DH71+DM71+DR71+DW71+EG71+EB71+EL71</f>
        <v>0</v>
      </c>
      <c r="ER71" s="541"/>
      <c r="ES71" s="542"/>
      <c r="ET71" s="197"/>
      <c r="EV71" s="269"/>
      <c r="EW71" s="270"/>
      <c r="EX71" s="271"/>
    </row>
    <row r="72" spans="1:154" s="129" customFormat="1" ht="80.099999999999994" customHeight="1" x14ac:dyDescent="0.2">
      <c r="A72" s="555" t="s">
        <v>43</v>
      </c>
      <c r="B72" s="141" t="s">
        <v>183</v>
      </c>
      <c r="C72" s="426" t="s">
        <v>165</v>
      </c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  <c r="Z72" s="487">
        <f t="shared" ref="Z72" si="46">+EQ72*30</f>
        <v>60</v>
      </c>
      <c r="AA72" s="488"/>
      <c r="AB72" s="488"/>
      <c r="AC72" s="489"/>
      <c r="AD72" s="419"/>
      <c r="AE72" s="413"/>
      <c r="AF72" s="493"/>
      <c r="AG72" s="495">
        <f t="shared" ref="AG72" si="47">SUM(AL72:BE73)</f>
        <v>24</v>
      </c>
      <c r="AH72" s="496"/>
      <c r="AI72" s="496"/>
      <c r="AJ72" s="496"/>
      <c r="AK72" s="497"/>
      <c r="AL72" s="495">
        <v>12</v>
      </c>
      <c r="AM72" s="496"/>
      <c r="AN72" s="496"/>
      <c r="AO72" s="496"/>
      <c r="AP72" s="497"/>
      <c r="AQ72" s="495">
        <v>12</v>
      </c>
      <c r="AR72" s="496"/>
      <c r="AS72" s="496"/>
      <c r="AT72" s="496"/>
      <c r="AU72" s="497"/>
      <c r="AV72" s="495"/>
      <c r="AW72" s="496"/>
      <c r="AX72" s="496"/>
      <c r="AY72" s="496"/>
      <c r="AZ72" s="497"/>
      <c r="BA72" s="495"/>
      <c r="BB72" s="496"/>
      <c r="BC72" s="496"/>
      <c r="BD72" s="496"/>
      <c r="BE72" s="497"/>
      <c r="BF72" s="495"/>
      <c r="BG72" s="496"/>
      <c r="BH72" s="496"/>
      <c r="BI72" s="496"/>
      <c r="BJ72" s="497"/>
      <c r="BK72" s="487">
        <f t="shared" ref="BK72" si="48">Z72-AG72</f>
        <v>36</v>
      </c>
      <c r="BL72" s="488"/>
      <c r="BM72" s="488"/>
      <c r="BN72" s="507"/>
      <c r="BO72" s="412"/>
      <c r="BP72" s="413"/>
      <c r="BQ72" s="413"/>
      <c r="BR72" s="413"/>
      <c r="BS72" s="413"/>
      <c r="BT72" s="366"/>
      <c r="BU72" s="366"/>
      <c r="BV72" s="366"/>
      <c r="BW72" s="366"/>
      <c r="BX72" s="366"/>
      <c r="BY72" s="366"/>
      <c r="BZ72" s="366"/>
      <c r="CA72" s="366"/>
      <c r="CB72" s="366"/>
      <c r="CC72" s="366"/>
      <c r="CD72" s="366"/>
      <c r="CE72" s="366"/>
      <c r="CF72" s="366"/>
      <c r="CG72" s="366"/>
      <c r="CH72" s="366"/>
      <c r="CI72" s="366"/>
      <c r="CJ72" s="366"/>
      <c r="CK72" s="366"/>
      <c r="CL72" s="366"/>
      <c r="CM72" s="366"/>
      <c r="CN72" s="366">
        <v>2</v>
      </c>
      <c r="CO72" s="366"/>
      <c r="CP72" s="366"/>
      <c r="CQ72" s="366"/>
      <c r="CR72" s="366"/>
      <c r="CS72" s="366"/>
      <c r="CT72" s="366"/>
      <c r="CU72" s="366"/>
      <c r="CV72" s="366"/>
      <c r="CW72" s="366"/>
      <c r="CX72" s="419"/>
      <c r="CY72" s="413"/>
      <c r="CZ72" s="413"/>
      <c r="DA72" s="413"/>
      <c r="DB72" s="420"/>
      <c r="DC72" s="410"/>
      <c r="DD72" s="366"/>
      <c r="DE72" s="366"/>
      <c r="DF72" s="366"/>
      <c r="DG72" s="366"/>
      <c r="DH72" s="366"/>
      <c r="DI72" s="366"/>
      <c r="DJ72" s="366"/>
      <c r="DK72" s="366"/>
      <c r="DL72" s="366"/>
      <c r="DM72" s="366"/>
      <c r="DN72" s="366"/>
      <c r="DO72" s="366"/>
      <c r="DP72" s="366"/>
      <c r="DQ72" s="366"/>
      <c r="DR72" s="366"/>
      <c r="DS72" s="366"/>
      <c r="DT72" s="366"/>
      <c r="DU72" s="366"/>
      <c r="DV72" s="366"/>
      <c r="DW72" s="366"/>
      <c r="DX72" s="366"/>
      <c r="DY72" s="366"/>
      <c r="DZ72" s="366"/>
      <c r="EA72" s="366"/>
      <c r="EB72" s="366">
        <v>2</v>
      </c>
      <c r="EC72" s="366"/>
      <c r="ED72" s="366"/>
      <c r="EE72" s="366"/>
      <c r="EF72" s="366"/>
      <c r="EG72" s="366"/>
      <c r="EH72" s="366"/>
      <c r="EI72" s="366"/>
      <c r="EJ72" s="366"/>
      <c r="EK72" s="366"/>
      <c r="EL72" s="366"/>
      <c r="EM72" s="366"/>
      <c r="EN72" s="366"/>
      <c r="EO72" s="366"/>
      <c r="EP72" s="367"/>
      <c r="EQ72" s="540">
        <f t="shared" ref="EQ72" si="49">SUM(DC72:EP73)</f>
        <v>2</v>
      </c>
      <c r="ER72" s="541"/>
      <c r="ES72" s="542"/>
      <c r="ET72" s="197"/>
      <c r="EV72" s="269"/>
      <c r="EW72" s="270"/>
      <c r="EX72" s="271"/>
    </row>
    <row r="73" spans="1:154" s="129" customFormat="1" ht="80.099999999999994" customHeight="1" x14ac:dyDescent="0.2">
      <c r="A73" s="556"/>
      <c r="B73" s="141" t="s">
        <v>185</v>
      </c>
      <c r="C73" s="426" t="s">
        <v>184</v>
      </c>
      <c r="D73" s="426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  <c r="Z73" s="490"/>
      <c r="AA73" s="491"/>
      <c r="AB73" s="491"/>
      <c r="AC73" s="492"/>
      <c r="AD73" s="421"/>
      <c r="AE73" s="415"/>
      <c r="AF73" s="494"/>
      <c r="AG73" s="498"/>
      <c r="AH73" s="499"/>
      <c r="AI73" s="499"/>
      <c r="AJ73" s="499"/>
      <c r="AK73" s="500"/>
      <c r="AL73" s="498"/>
      <c r="AM73" s="499"/>
      <c r="AN73" s="499"/>
      <c r="AO73" s="499"/>
      <c r="AP73" s="500"/>
      <c r="AQ73" s="498"/>
      <c r="AR73" s="499"/>
      <c r="AS73" s="499"/>
      <c r="AT73" s="499"/>
      <c r="AU73" s="500"/>
      <c r="AV73" s="498"/>
      <c r="AW73" s="499"/>
      <c r="AX73" s="499"/>
      <c r="AY73" s="499"/>
      <c r="AZ73" s="500"/>
      <c r="BA73" s="498"/>
      <c r="BB73" s="499"/>
      <c r="BC73" s="499"/>
      <c r="BD73" s="499"/>
      <c r="BE73" s="500"/>
      <c r="BF73" s="498"/>
      <c r="BG73" s="499"/>
      <c r="BH73" s="499"/>
      <c r="BI73" s="499"/>
      <c r="BJ73" s="500"/>
      <c r="BK73" s="490"/>
      <c r="BL73" s="491"/>
      <c r="BM73" s="491"/>
      <c r="BN73" s="508"/>
      <c r="BO73" s="414"/>
      <c r="BP73" s="415"/>
      <c r="BQ73" s="415"/>
      <c r="BR73" s="415"/>
      <c r="BS73" s="415"/>
      <c r="BT73" s="366"/>
      <c r="BU73" s="366"/>
      <c r="BV73" s="366"/>
      <c r="BW73" s="366"/>
      <c r="BX73" s="366"/>
      <c r="BY73" s="366"/>
      <c r="BZ73" s="366"/>
      <c r="CA73" s="366"/>
      <c r="CB73" s="366"/>
      <c r="CC73" s="366"/>
      <c r="CD73" s="366"/>
      <c r="CE73" s="366"/>
      <c r="CF73" s="366"/>
      <c r="CG73" s="366"/>
      <c r="CH73" s="366"/>
      <c r="CI73" s="366"/>
      <c r="CJ73" s="366"/>
      <c r="CK73" s="366"/>
      <c r="CL73" s="366"/>
      <c r="CM73" s="366"/>
      <c r="CN73" s="366"/>
      <c r="CO73" s="366"/>
      <c r="CP73" s="366"/>
      <c r="CQ73" s="366"/>
      <c r="CR73" s="366"/>
      <c r="CS73" s="366"/>
      <c r="CT73" s="366"/>
      <c r="CU73" s="366"/>
      <c r="CV73" s="366"/>
      <c r="CW73" s="366"/>
      <c r="CX73" s="421"/>
      <c r="CY73" s="415"/>
      <c r="CZ73" s="415"/>
      <c r="DA73" s="415"/>
      <c r="DB73" s="422"/>
      <c r="DC73" s="410"/>
      <c r="DD73" s="366"/>
      <c r="DE73" s="366"/>
      <c r="DF73" s="366"/>
      <c r="DG73" s="366"/>
      <c r="DH73" s="366"/>
      <c r="DI73" s="366"/>
      <c r="DJ73" s="366"/>
      <c r="DK73" s="366"/>
      <c r="DL73" s="366"/>
      <c r="DM73" s="366"/>
      <c r="DN73" s="366"/>
      <c r="DO73" s="366"/>
      <c r="DP73" s="366"/>
      <c r="DQ73" s="366"/>
      <c r="DR73" s="366"/>
      <c r="DS73" s="366"/>
      <c r="DT73" s="366"/>
      <c r="DU73" s="366"/>
      <c r="DV73" s="366"/>
      <c r="DW73" s="366"/>
      <c r="DX73" s="366"/>
      <c r="DY73" s="366"/>
      <c r="DZ73" s="366"/>
      <c r="EA73" s="366"/>
      <c r="EB73" s="366"/>
      <c r="EC73" s="366"/>
      <c r="ED73" s="366"/>
      <c r="EE73" s="366"/>
      <c r="EF73" s="366"/>
      <c r="EG73" s="366"/>
      <c r="EH73" s="366"/>
      <c r="EI73" s="366"/>
      <c r="EJ73" s="366"/>
      <c r="EK73" s="366"/>
      <c r="EL73" s="366"/>
      <c r="EM73" s="366"/>
      <c r="EN73" s="366"/>
      <c r="EO73" s="366"/>
      <c r="EP73" s="367"/>
      <c r="EQ73" s="540">
        <f t="shared" ref="EQ73" si="50">DC73+DH73+DM73+DR73+DW73+EG73+EB73+EL73</f>
        <v>0</v>
      </c>
      <c r="ER73" s="541"/>
      <c r="ES73" s="542"/>
      <c r="ET73" s="197"/>
      <c r="EV73" s="269"/>
      <c r="EW73" s="270"/>
      <c r="EX73" s="271"/>
    </row>
    <row r="74" spans="1:154" s="129" customFormat="1" ht="80.099999999999994" customHeight="1" x14ac:dyDescent="0.2">
      <c r="A74" s="555" t="s">
        <v>44</v>
      </c>
      <c r="B74" s="141" t="s">
        <v>187</v>
      </c>
      <c r="C74" s="426" t="s">
        <v>186</v>
      </c>
      <c r="D74" s="426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Z74" s="487">
        <f t="shared" ref="Z74" si="51">+EQ74*30</f>
        <v>120</v>
      </c>
      <c r="AA74" s="488"/>
      <c r="AB74" s="488"/>
      <c r="AC74" s="489"/>
      <c r="AD74" s="419"/>
      <c r="AE74" s="413"/>
      <c r="AF74" s="493"/>
      <c r="AG74" s="495">
        <f t="shared" ref="AG74" si="52">SUM(AL74:BE75)</f>
        <v>48</v>
      </c>
      <c r="AH74" s="496"/>
      <c r="AI74" s="496"/>
      <c r="AJ74" s="496"/>
      <c r="AK74" s="497"/>
      <c r="AL74" s="495">
        <v>24</v>
      </c>
      <c r="AM74" s="496"/>
      <c r="AN74" s="496"/>
      <c r="AO74" s="496"/>
      <c r="AP74" s="497"/>
      <c r="AQ74" s="495">
        <v>24</v>
      </c>
      <c r="AR74" s="496"/>
      <c r="AS74" s="496"/>
      <c r="AT74" s="496"/>
      <c r="AU74" s="497"/>
      <c r="AV74" s="495"/>
      <c r="AW74" s="496"/>
      <c r="AX74" s="496"/>
      <c r="AY74" s="496"/>
      <c r="AZ74" s="497"/>
      <c r="BA74" s="495"/>
      <c r="BB74" s="496"/>
      <c r="BC74" s="496"/>
      <c r="BD74" s="496"/>
      <c r="BE74" s="497"/>
      <c r="BF74" s="495"/>
      <c r="BG74" s="496"/>
      <c r="BH74" s="496"/>
      <c r="BI74" s="496"/>
      <c r="BJ74" s="497"/>
      <c r="BK74" s="487">
        <f t="shared" ref="BK74" si="53">Z74-AG74</f>
        <v>72</v>
      </c>
      <c r="BL74" s="488"/>
      <c r="BM74" s="488"/>
      <c r="BN74" s="507"/>
      <c r="BO74" s="412"/>
      <c r="BP74" s="413"/>
      <c r="BQ74" s="413"/>
      <c r="BR74" s="413"/>
      <c r="BS74" s="413"/>
      <c r="BT74" s="366"/>
      <c r="BU74" s="366"/>
      <c r="BV74" s="366"/>
      <c r="BW74" s="366"/>
      <c r="BX74" s="366"/>
      <c r="BY74" s="366"/>
      <c r="BZ74" s="366"/>
      <c r="CA74" s="366"/>
      <c r="CB74" s="366"/>
      <c r="CC74" s="366"/>
      <c r="CD74" s="366"/>
      <c r="CE74" s="366"/>
      <c r="CF74" s="366"/>
      <c r="CG74" s="366"/>
      <c r="CH74" s="366"/>
      <c r="CI74" s="366"/>
      <c r="CJ74" s="366"/>
      <c r="CK74" s="366"/>
      <c r="CL74" s="366"/>
      <c r="CM74" s="366"/>
      <c r="CN74" s="366">
        <v>4</v>
      </c>
      <c r="CO74" s="366"/>
      <c r="CP74" s="366"/>
      <c r="CQ74" s="366"/>
      <c r="CR74" s="366"/>
      <c r="CS74" s="366"/>
      <c r="CT74" s="366"/>
      <c r="CU74" s="366"/>
      <c r="CV74" s="366"/>
      <c r="CW74" s="366"/>
      <c r="CX74" s="419"/>
      <c r="CY74" s="413"/>
      <c r="CZ74" s="413"/>
      <c r="DA74" s="413"/>
      <c r="DB74" s="420"/>
      <c r="DC74" s="410"/>
      <c r="DD74" s="366"/>
      <c r="DE74" s="366"/>
      <c r="DF74" s="366"/>
      <c r="DG74" s="366"/>
      <c r="DH74" s="366"/>
      <c r="DI74" s="366"/>
      <c r="DJ74" s="366"/>
      <c r="DK74" s="366"/>
      <c r="DL74" s="366"/>
      <c r="DM74" s="366"/>
      <c r="DN74" s="366"/>
      <c r="DO74" s="366"/>
      <c r="DP74" s="366"/>
      <c r="DQ74" s="366"/>
      <c r="DR74" s="366"/>
      <c r="DS74" s="366"/>
      <c r="DT74" s="366"/>
      <c r="DU74" s="366"/>
      <c r="DV74" s="366"/>
      <c r="DW74" s="366"/>
      <c r="DX74" s="366"/>
      <c r="DY74" s="366"/>
      <c r="DZ74" s="366"/>
      <c r="EA74" s="366"/>
      <c r="EB74" s="366">
        <v>4</v>
      </c>
      <c r="EC74" s="366"/>
      <c r="ED74" s="366"/>
      <c r="EE74" s="366"/>
      <c r="EF74" s="366"/>
      <c r="EG74" s="366"/>
      <c r="EH74" s="366"/>
      <c r="EI74" s="366"/>
      <c r="EJ74" s="366"/>
      <c r="EK74" s="366"/>
      <c r="EL74" s="366"/>
      <c r="EM74" s="366"/>
      <c r="EN74" s="366"/>
      <c r="EO74" s="366"/>
      <c r="EP74" s="367"/>
      <c r="EQ74" s="540">
        <f t="shared" ref="EQ74" si="54">SUM(DC74:EP75)</f>
        <v>4</v>
      </c>
      <c r="ER74" s="541"/>
      <c r="ES74" s="542"/>
      <c r="ET74" s="197"/>
      <c r="EV74" s="269"/>
      <c r="EW74" s="270"/>
      <c r="EX74" s="271"/>
    </row>
    <row r="75" spans="1:154" s="129" customFormat="1" ht="80.099999999999994" customHeight="1" x14ac:dyDescent="0.2">
      <c r="A75" s="556"/>
      <c r="B75" s="141" t="s">
        <v>189</v>
      </c>
      <c r="C75" s="426" t="s">
        <v>188</v>
      </c>
      <c r="D75" s="426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  <c r="Z75" s="490"/>
      <c r="AA75" s="491"/>
      <c r="AB75" s="491"/>
      <c r="AC75" s="492"/>
      <c r="AD75" s="421"/>
      <c r="AE75" s="415"/>
      <c r="AF75" s="494"/>
      <c r="AG75" s="498"/>
      <c r="AH75" s="499"/>
      <c r="AI75" s="499"/>
      <c r="AJ75" s="499"/>
      <c r="AK75" s="500"/>
      <c r="AL75" s="498"/>
      <c r="AM75" s="499"/>
      <c r="AN75" s="499"/>
      <c r="AO75" s="499"/>
      <c r="AP75" s="500"/>
      <c r="AQ75" s="498"/>
      <c r="AR75" s="499"/>
      <c r="AS75" s="499"/>
      <c r="AT75" s="499"/>
      <c r="AU75" s="500"/>
      <c r="AV75" s="498"/>
      <c r="AW75" s="499"/>
      <c r="AX75" s="499"/>
      <c r="AY75" s="499"/>
      <c r="AZ75" s="500"/>
      <c r="BA75" s="498"/>
      <c r="BB75" s="499"/>
      <c r="BC75" s="499"/>
      <c r="BD75" s="499"/>
      <c r="BE75" s="500"/>
      <c r="BF75" s="498"/>
      <c r="BG75" s="499"/>
      <c r="BH75" s="499"/>
      <c r="BI75" s="499"/>
      <c r="BJ75" s="500"/>
      <c r="BK75" s="490"/>
      <c r="BL75" s="491"/>
      <c r="BM75" s="491"/>
      <c r="BN75" s="508"/>
      <c r="BO75" s="414"/>
      <c r="BP75" s="415"/>
      <c r="BQ75" s="415"/>
      <c r="BR75" s="415"/>
      <c r="BS75" s="415"/>
      <c r="BT75" s="366"/>
      <c r="BU75" s="366"/>
      <c r="BV75" s="366"/>
      <c r="BW75" s="366"/>
      <c r="BX75" s="366"/>
      <c r="BY75" s="366"/>
      <c r="BZ75" s="366"/>
      <c r="CA75" s="366"/>
      <c r="CB75" s="366"/>
      <c r="CC75" s="366"/>
      <c r="CD75" s="366"/>
      <c r="CE75" s="366"/>
      <c r="CF75" s="366"/>
      <c r="CG75" s="366"/>
      <c r="CH75" s="366"/>
      <c r="CI75" s="366"/>
      <c r="CJ75" s="366"/>
      <c r="CK75" s="366"/>
      <c r="CL75" s="366"/>
      <c r="CM75" s="366"/>
      <c r="CN75" s="366"/>
      <c r="CO75" s="366"/>
      <c r="CP75" s="366"/>
      <c r="CQ75" s="366"/>
      <c r="CR75" s="366"/>
      <c r="CS75" s="366"/>
      <c r="CT75" s="366"/>
      <c r="CU75" s="366"/>
      <c r="CV75" s="366"/>
      <c r="CW75" s="366"/>
      <c r="CX75" s="552"/>
      <c r="CY75" s="553"/>
      <c r="CZ75" s="553"/>
      <c r="DA75" s="553"/>
      <c r="DB75" s="554"/>
      <c r="DC75" s="410"/>
      <c r="DD75" s="366"/>
      <c r="DE75" s="366"/>
      <c r="DF75" s="366"/>
      <c r="DG75" s="366"/>
      <c r="DH75" s="366"/>
      <c r="DI75" s="366"/>
      <c r="DJ75" s="366"/>
      <c r="DK75" s="366"/>
      <c r="DL75" s="366"/>
      <c r="DM75" s="366"/>
      <c r="DN75" s="366"/>
      <c r="DO75" s="366"/>
      <c r="DP75" s="366"/>
      <c r="DQ75" s="366"/>
      <c r="DR75" s="366"/>
      <c r="DS75" s="366"/>
      <c r="DT75" s="366"/>
      <c r="DU75" s="366"/>
      <c r="DV75" s="366"/>
      <c r="DW75" s="366"/>
      <c r="DX75" s="366"/>
      <c r="DY75" s="366"/>
      <c r="DZ75" s="366"/>
      <c r="EA75" s="366"/>
      <c r="EB75" s="366"/>
      <c r="EC75" s="366"/>
      <c r="ED75" s="366"/>
      <c r="EE75" s="366"/>
      <c r="EF75" s="366"/>
      <c r="EG75" s="366"/>
      <c r="EH75" s="366"/>
      <c r="EI75" s="366"/>
      <c r="EJ75" s="366"/>
      <c r="EK75" s="366"/>
      <c r="EL75" s="366"/>
      <c r="EM75" s="366"/>
      <c r="EN75" s="366"/>
      <c r="EO75" s="366"/>
      <c r="EP75" s="367"/>
      <c r="EQ75" s="540">
        <f t="shared" ref="EQ75" si="55">DC75+DH75+DM75+DR75+DW75+EG75+EB75+EL75</f>
        <v>0</v>
      </c>
      <c r="ER75" s="541"/>
      <c r="ES75" s="542"/>
      <c r="ET75" s="197"/>
      <c r="EV75" s="269"/>
      <c r="EW75" s="270"/>
      <c r="EX75" s="271"/>
    </row>
    <row r="76" spans="1:154" s="129" customFormat="1" ht="80.099999999999994" customHeight="1" x14ac:dyDescent="0.2">
      <c r="A76" s="555" t="s">
        <v>206</v>
      </c>
      <c r="B76" s="141" t="s">
        <v>191</v>
      </c>
      <c r="C76" s="426" t="s">
        <v>190</v>
      </c>
      <c r="D76" s="426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Z76" s="487">
        <f t="shared" ref="Z76" si="56">+EQ76*30</f>
        <v>120</v>
      </c>
      <c r="AA76" s="488"/>
      <c r="AB76" s="488"/>
      <c r="AC76" s="489"/>
      <c r="AD76" s="419"/>
      <c r="AE76" s="413"/>
      <c r="AF76" s="493"/>
      <c r="AG76" s="495">
        <f t="shared" ref="AG76" si="57">SUM(AL76:BE77)</f>
        <v>48</v>
      </c>
      <c r="AH76" s="496"/>
      <c r="AI76" s="496"/>
      <c r="AJ76" s="496"/>
      <c r="AK76" s="497"/>
      <c r="AL76" s="495">
        <v>24</v>
      </c>
      <c r="AM76" s="496"/>
      <c r="AN76" s="496"/>
      <c r="AO76" s="496"/>
      <c r="AP76" s="497"/>
      <c r="AQ76" s="495">
        <v>24</v>
      </c>
      <c r="AR76" s="496"/>
      <c r="AS76" s="496"/>
      <c r="AT76" s="496"/>
      <c r="AU76" s="497"/>
      <c r="AV76" s="495"/>
      <c r="AW76" s="496"/>
      <c r="AX76" s="496"/>
      <c r="AY76" s="496"/>
      <c r="AZ76" s="497"/>
      <c r="BA76" s="495"/>
      <c r="BB76" s="496"/>
      <c r="BC76" s="496"/>
      <c r="BD76" s="496"/>
      <c r="BE76" s="497"/>
      <c r="BF76" s="495"/>
      <c r="BG76" s="496"/>
      <c r="BH76" s="496"/>
      <c r="BI76" s="496"/>
      <c r="BJ76" s="497"/>
      <c r="BK76" s="487">
        <f t="shared" ref="BK76" si="58">Z76-AG76</f>
        <v>72</v>
      </c>
      <c r="BL76" s="488"/>
      <c r="BM76" s="488"/>
      <c r="BN76" s="507"/>
      <c r="BO76" s="412"/>
      <c r="BP76" s="413"/>
      <c r="BQ76" s="413"/>
      <c r="BR76" s="413"/>
      <c r="BS76" s="413"/>
      <c r="BT76" s="366"/>
      <c r="BU76" s="366"/>
      <c r="BV76" s="366"/>
      <c r="BW76" s="366"/>
      <c r="BX76" s="366"/>
      <c r="BY76" s="366"/>
      <c r="BZ76" s="366"/>
      <c r="CA76" s="366"/>
      <c r="CB76" s="366"/>
      <c r="CC76" s="366"/>
      <c r="CD76" s="366"/>
      <c r="CE76" s="366"/>
      <c r="CF76" s="366"/>
      <c r="CG76" s="366"/>
      <c r="CH76" s="366"/>
      <c r="CI76" s="366"/>
      <c r="CJ76" s="366"/>
      <c r="CK76" s="366"/>
      <c r="CL76" s="366"/>
      <c r="CM76" s="366"/>
      <c r="CN76" s="366"/>
      <c r="CO76" s="366"/>
      <c r="CP76" s="366"/>
      <c r="CQ76" s="366"/>
      <c r="CR76" s="366"/>
      <c r="CS76" s="419"/>
      <c r="CT76" s="413"/>
      <c r="CU76" s="413"/>
      <c r="CV76" s="413"/>
      <c r="CW76" s="493"/>
      <c r="CX76" s="419">
        <v>4</v>
      </c>
      <c r="CY76" s="413"/>
      <c r="CZ76" s="413"/>
      <c r="DA76" s="413"/>
      <c r="DB76" s="420"/>
      <c r="DC76" s="410"/>
      <c r="DD76" s="366"/>
      <c r="DE76" s="366"/>
      <c r="DF76" s="366"/>
      <c r="DG76" s="366"/>
      <c r="DH76" s="366"/>
      <c r="DI76" s="366"/>
      <c r="DJ76" s="366"/>
      <c r="DK76" s="366"/>
      <c r="DL76" s="366"/>
      <c r="DM76" s="366"/>
      <c r="DN76" s="366"/>
      <c r="DO76" s="366"/>
      <c r="DP76" s="366"/>
      <c r="DQ76" s="366"/>
      <c r="DR76" s="366"/>
      <c r="DS76" s="366"/>
      <c r="DT76" s="366"/>
      <c r="DU76" s="366"/>
      <c r="DV76" s="366"/>
      <c r="DW76" s="366"/>
      <c r="DX76" s="366"/>
      <c r="DY76" s="366"/>
      <c r="DZ76" s="366"/>
      <c r="EA76" s="366"/>
      <c r="EB76" s="366"/>
      <c r="EC76" s="366"/>
      <c r="ED76" s="366"/>
      <c r="EE76" s="366"/>
      <c r="EF76" s="366"/>
      <c r="EG76" s="366"/>
      <c r="EH76" s="366"/>
      <c r="EI76" s="366"/>
      <c r="EJ76" s="366"/>
      <c r="EK76" s="366"/>
      <c r="EL76" s="366">
        <v>4</v>
      </c>
      <c r="EM76" s="366"/>
      <c r="EN76" s="366"/>
      <c r="EO76" s="366"/>
      <c r="EP76" s="367"/>
      <c r="EQ76" s="540">
        <f t="shared" ref="EQ76" si="59">SUM(DC76:EP77)</f>
        <v>4</v>
      </c>
      <c r="ER76" s="541"/>
      <c r="ES76" s="542"/>
      <c r="ET76" s="197"/>
      <c r="EV76" s="269"/>
      <c r="EW76" s="270"/>
      <c r="EX76" s="271"/>
    </row>
    <row r="77" spans="1:154" s="129" customFormat="1" ht="80.099999999999994" customHeight="1" x14ac:dyDescent="0.2">
      <c r="A77" s="556"/>
      <c r="B77" s="141" t="s">
        <v>164</v>
      </c>
      <c r="C77" s="426" t="s">
        <v>163</v>
      </c>
      <c r="D77" s="426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  <c r="Z77" s="490"/>
      <c r="AA77" s="491"/>
      <c r="AB77" s="491"/>
      <c r="AC77" s="492"/>
      <c r="AD77" s="421"/>
      <c r="AE77" s="415"/>
      <c r="AF77" s="494"/>
      <c r="AG77" s="498"/>
      <c r="AH77" s="499"/>
      <c r="AI77" s="499"/>
      <c r="AJ77" s="499"/>
      <c r="AK77" s="500"/>
      <c r="AL77" s="498"/>
      <c r="AM77" s="499"/>
      <c r="AN77" s="499"/>
      <c r="AO77" s="499"/>
      <c r="AP77" s="500"/>
      <c r="AQ77" s="498"/>
      <c r="AR77" s="499"/>
      <c r="AS77" s="499"/>
      <c r="AT77" s="499"/>
      <c r="AU77" s="500"/>
      <c r="AV77" s="498"/>
      <c r="AW77" s="499"/>
      <c r="AX77" s="499"/>
      <c r="AY77" s="499"/>
      <c r="AZ77" s="500"/>
      <c r="BA77" s="498"/>
      <c r="BB77" s="499"/>
      <c r="BC77" s="499"/>
      <c r="BD77" s="499"/>
      <c r="BE77" s="500"/>
      <c r="BF77" s="498"/>
      <c r="BG77" s="499"/>
      <c r="BH77" s="499"/>
      <c r="BI77" s="499"/>
      <c r="BJ77" s="500"/>
      <c r="BK77" s="490"/>
      <c r="BL77" s="491"/>
      <c r="BM77" s="491"/>
      <c r="BN77" s="508"/>
      <c r="BO77" s="414"/>
      <c r="BP77" s="415"/>
      <c r="BQ77" s="415"/>
      <c r="BR77" s="415"/>
      <c r="BS77" s="415"/>
      <c r="BT77" s="366"/>
      <c r="BU77" s="366"/>
      <c r="BV77" s="366"/>
      <c r="BW77" s="366"/>
      <c r="BX77" s="366"/>
      <c r="BY77" s="366"/>
      <c r="BZ77" s="366"/>
      <c r="CA77" s="366"/>
      <c r="CB77" s="366"/>
      <c r="CC77" s="366"/>
      <c r="CD77" s="366"/>
      <c r="CE77" s="366"/>
      <c r="CF77" s="366"/>
      <c r="CG77" s="366"/>
      <c r="CH77" s="366"/>
      <c r="CI77" s="366"/>
      <c r="CJ77" s="366"/>
      <c r="CK77" s="366"/>
      <c r="CL77" s="366"/>
      <c r="CM77" s="366"/>
      <c r="CN77" s="366"/>
      <c r="CO77" s="366"/>
      <c r="CP77" s="366"/>
      <c r="CQ77" s="366"/>
      <c r="CR77" s="366"/>
      <c r="CS77" s="421"/>
      <c r="CT77" s="415"/>
      <c r="CU77" s="415"/>
      <c r="CV77" s="415"/>
      <c r="CW77" s="494"/>
      <c r="CX77" s="421"/>
      <c r="CY77" s="415"/>
      <c r="CZ77" s="415"/>
      <c r="DA77" s="415"/>
      <c r="DB77" s="422"/>
      <c r="DC77" s="410"/>
      <c r="DD77" s="366"/>
      <c r="DE77" s="366"/>
      <c r="DF77" s="366"/>
      <c r="DG77" s="366"/>
      <c r="DH77" s="366"/>
      <c r="DI77" s="366"/>
      <c r="DJ77" s="366"/>
      <c r="DK77" s="366"/>
      <c r="DL77" s="366"/>
      <c r="DM77" s="366"/>
      <c r="DN77" s="366"/>
      <c r="DO77" s="366"/>
      <c r="DP77" s="366"/>
      <c r="DQ77" s="366"/>
      <c r="DR77" s="366"/>
      <c r="DS77" s="366"/>
      <c r="DT77" s="366"/>
      <c r="DU77" s="366"/>
      <c r="DV77" s="366"/>
      <c r="DW77" s="366"/>
      <c r="DX77" s="366"/>
      <c r="DY77" s="366"/>
      <c r="DZ77" s="366"/>
      <c r="EA77" s="366"/>
      <c r="EB77" s="366"/>
      <c r="EC77" s="366"/>
      <c r="ED77" s="366"/>
      <c r="EE77" s="366"/>
      <c r="EF77" s="366"/>
      <c r="EG77" s="366"/>
      <c r="EH77" s="366"/>
      <c r="EI77" s="366"/>
      <c r="EJ77" s="366"/>
      <c r="EK77" s="366"/>
      <c r="EL77" s="366"/>
      <c r="EM77" s="366"/>
      <c r="EN77" s="366"/>
      <c r="EO77" s="366"/>
      <c r="EP77" s="367"/>
      <c r="EQ77" s="540">
        <f t="shared" ref="EQ77" si="60">DC77+DH77+DM77+DR77+DW77+EG77+EB77+EL77</f>
        <v>0</v>
      </c>
      <c r="ER77" s="541"/>
      <c r="ES77" s="542"/>
      <c r="ET77" s="197"/>
      <c r="EV77" s="269"/>
      <c r="EW77" s="270"/>
      <c r="EX77" s="271"/>
    </row>
    <row r="78" spans="1:154" s="239" customFormat="1" ht="99.95" customHeight="1" x14ac:dyDescent="0.2">
      <c r="A78" s="555" t="s">
        <v>207</v>
      </c>
      <c r="B78" s="141" t="s">
        <v>194</v>
      </c>
      <c r="C78" s="426" t="s">
        <v>193</v>
      </c>
      <c r="D78" s="426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  <c r="Z78" s="487">
        <f t="shared" ref="Z78" si="61">+EQ78*30</f>
        <v>120</v>
      </c>
      <c r="AA78" s="488"/>
      <c r="AB78" s="488"/>
      <c r="AC78" s="489"/>
      <c r="AD78" s="419"/>
      <c r="AE78" s="413"/>
      <c r="AF78" s="493"/>
      <c r="AG78" s="495">
        <f t="shared" ref="AG78" si="62">SUM(AL78:BE79)</f>
        <v>48</v>
      </c>
      <c r="AH78" s="496"/>
      <c r="AI78" s="496"/>
      <c r="AJ78" s="496"/>
      <c r="AK78" s="497"/>
      <c r="AL78" s="495">
        <v>24</v>
      </c>
      <c r="AM78" s="496"/>
      <c r="AN78" s="496"/>
      <c r="AO78" s="496"/>
      <c r="AP78" s="497"/>
      <c r="AQ78" s="495">
        <v>24</v>
      </c>
      <c r="AR78" s="496"/>
      <c r="AS78" s="496"/>
      <c r="AT78" s="496"/>
      <c r="AU78" s="497"/>
      <c r="AV78" s="495"/>
      <c r="AW78" s="496"/>
      <c r="AX78" s="496"/>
      <c r="AY78" s="496"/>
      <c r="AZ78" s="497"/>
      <c r="BA78" s="495"/>
      <c r="BB78" s="496"/>
      <c r="BC78" s="496"/>
      <c r="BD78" s="496"/>
      <c r="BE78" s="497"/>
      <c r="BF78" s="495"/>
      <c r="BG78" s="496"/>
      <c r="BH78" s="496"/>
      <c r="BI78" s="496"/>
      <c r="BJ78" s="497"/>
      <c r="BK78" s="487">
        <f t="shared" ref="BK78" si="63">Z78-AG78</f>
        <v>72</v>
      </c>
      <c r="BL78" s="488"/>
      <c r="BM78" s="488"/>
      <c r="BN78" s="507"/>
      <c r="BO78" s="412"/>
      <c r="BP78" s="413"/>
      <c r="BQ78" s="413"/>
      <c r="BR78" s="413"/>
      <c r="BS78" s="413"/>
      <c r="BT78" s="366"/>
      <c r="BU78" s="366"/>
      <c r="BV78" s="366"/>
      <c r="BW78" s="366"/>
      <c r="BX78" s="366"/>
      <c r="BY78" s="366"/>
      <c r="BZ78" s="366"/>
      <c r="CA78" s="366"/>
      <c r="CB78" s="366"/>
      <c r="CC78" s="366"/>
      <c r="CD78" s="366"/>
      <c r="CE78" s="366"/>
      <c r="CF78" s="366"/>
      <c r="CG78" s="366"/>
      <c r="CH78" s="366"/>
      <c r="CI78" s="366"/>
      <c r="CJ78" s="366"/>
      <c r="CK78" s="366"/>
      <c r="CL78" s="366"/>
      <c r="CM78" s="366"/>
      <c r="CN78" s="366"/>
      <c r="CO78" s="366"/>
      <c r="CP78" s="366"/>
      <c r="CQ78" s="366"/>
      <c r="CR78" s="366"/>
      <c r="CS78" s="419">
        <v>4</v>
      </c>
      <c r="CT78" s="413"/>
      <c r="CU78" s="413"/>
      <c r="CV78" s="413"/>
      <c r="CW78" s="493"/>
      <c r="CX78" s="419"/>
      <c r="CY78" s="413"/>
      <c r="CZ78" s="413"/>
      <c r="DA78" s="413"/>
      <c r="DB78" s="420"/>
      <c r="DC78" s="410"/>
      <c r="DD78" s="366"/>
      <c r="DE78" s="366"/>
      <c r="DF78" s="366"/>
      <c r="DG78" s="366"/>
      <c r="DH78" s="366"/>
      <c r="DI78" s="366"/>
      <c r="DJ78" s="366"/>
      <c r="DK78" s="366"/>
      <c r="DL78" s="366"/>
      <c r="DM78" s="366"/>
      <c r="DN78" s="366"/>
      <c r="DO78" s="366"/>
      <c r="DP78" s="366"/>
      <c r="DQ78" s="366"/>
      <c r="DR78" s="366"/>
      <c r="DS78" s="366"/>
      <c r="DT78" s="366"/>
      <c r="DU78" s="366"/>
      <c r="DV78" s="366"/>
      <c r="DW78" s="366"/>
      <c r="DX78" s="366"/>
      <c r="DY78" s="366"/>
      <c r="DZ78" s="366"/>
      <c r="EA78" s="366"/>
      <c r="EB78" s="366"/>
      <c r="EC78" s="366"/>
      <c r="ED78" s="366"/>
      <c r="EE78" s="366"/>
      <c r="EF78" s="366"/>
      <c r="EG78" s="419">
        <v>4</v>
      </c>
      <c r="EH78" s="413"/>
      <c r="EI78" s="413"/>
      <c r="EJ78" s="413"/>
      <c r="EK78" s="493"/>
      <c r="EL78" s="366"/>
      <c r="EM78" s="366"/>
      <c r="EN78" s="366"/>
      <c r="EO78" s="366"/>
      <c r="EP78" s="367"/>
      <c r="EQ78" s="540">
        <f>SUM(DC78:EP79)</f>
        <v>4</v>
      </c>
      <c r="ER78" s="541"/>
      <c r="ES78" s="542"/>
      <c r="ET78" s="240"/>
      <c r="EV78" s="274"/>
      <c r="EW78" s="275"/>
      <c r="EX78" s="276"/>
    </row>
    <row r="79" spans="1:154" s="239" customFormat="1" ht="80.099999999999994" customHeight="1" x14ac:dyDescent="0.2">
      <c r="A79" s="556"/>
      <c r="B79" s="141" t="s">
        <v>196</v>
      </c>
      <c r="C79" s="426" t="s">
        <v>195</v>
      </c>
      <c r="D79" s="426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  <c r="Z79" s="490"/>
      <c r="AA79" s="491"/>
      <c r="AB79" s="491"/>
      <c r="AC79" s="492"/>
      <c r="AD79" s="421"/>
      <c r="AE79" s="415"/>
      <c r="AF79" s="494"/>
      <c r="AG79" s="498"/>
      <c r="AH79" s="499"/>
      <c r="AI79" s="499"/>
      <c r="AJ79" s="499"/>
      <c r="AK79" s="500"/>
      <c r="AL79" s="498"/>
      <c r="AM79" s="499"/>
      <c r="AN79" s="499"/>
      <c r="AO79" s="499"/>
      <c r="AP79" s="500"/>
      <c r="AQ79" s="498"/>
      <c r="AR79" s="499"/>
      <c r="AS79" s="499"/>
      <c r="AT79" s="499"/>
      <c r="AU79" s="500"/>
      <c r="AV79" s="498"/>
      <c r="AW79" s="499"/>
      <c r="AX79" s="499"/>
      <c r="AY79" s="499"/>
      <c r="AZ79" s="500"/>
      <c r="BA79" s="498"/>
      <c r="BB79" s="499"/>
      <c r="BC79" s="499"/>
      <c r="BD79" s="499"/>
      <c r="BE79" s="500"/>
      <c r="BF79" s="498"/>
      <c r="BG79" s="499"/>
      <c r="BH79" s="499"/>
      <c r="BI79" s="499"/>
      <c r="BJ79" s="500"/>
      <c r="BK79" s="490"/>
      <c r="BL79" s="491"/>
      <c r="BM79" s="491"/>
      <c r="BN79" s="508"/>
      <c r="BO79" s="414"/>
      <c r="BP79" s="415"/>
      <c r="BQ79" s="415"/>
      <c r="BR79" s="415"/>
      <c r="BS79" s="415"/>
      <c r="BT79" s="366"/>
      <c r="BU79" s="366"/>
      <c r="BV79" s="366"/>
      <c r="BW79" s="366"/>
      <c r="BX79" s="366"/>
      <c r="BY79" s="366"/>
      <c r="BZ79" s="366"/>
      <c r="CA79" s="366"/>
      <c r="CB79" s="366"/>
      <c r="CC79" s="366"/>
      <c r="CD79" s="366"/>
      <c r="CE79" s="366"/>
      <c r="CF79" s="366"/>
      <c r="CG79" s="366"/>
      <c r="CH79" s="366"/>
      <c r="CI79" s="366"/>
      <c r="CJ79" s="366"/>
      <c r="CK79" s="366"/>
      <c r="CL79" s="366"/>
      <c r="CM79" s="366"/>
      <c r="CN79" s="366"/>
      <c r="CO79" s="366"/>
      <c r="CP79" s="366"/>
      <c r="CQ79" s="366"/>
      <c r="CR79" s="366"/>
      <c r="CS79" s="421"/>
      <c r="CT79" s="415"/>
      <c r="CU79" s="415"/>
      <c r="CV79" s="415"/>
      <c r="CW79" s="494"/>
      <c r="CX79" s="421"/>
      <c r="CY79" s="415"/>
      <c r="CZ79" s="415"/>
      <c r="DA79" s="415"/>
      <c r="DB79" s="422"/>
      <c r="DC79" s="410"/>
      <c r="DD79" s="366"/>
      <c r="DE79" s="366"/>
      <c r="DF79" s="366"/>
      <c r="DG79" s="366"/>
      <c r="DH79" s="366"/>
      <c r="DI79" s="366"/>
      <c r="DJ79" s="366"/>
      <c r="DK79" s="366"/>
      <c r="DL79" s="366"/>
      <c r="DM79" s="366"/>
      <c r="DN79" s="366"/>
      <c r="DO79" s="366"/>
      <c r="DP79" s="366"/>
      <c r="DQ79" s="366"/>
      <c r="DR79" s="366"/>
      <c r="DS79" s="366"/>
      <c r="DT79" s="366"/>
      <c r="DU79" s="366"/>
      <c r="DV79" s="366"/>
      <c r="DW79" s="366"/>
      <c r="DX79" s="366"/>
      <c r="DY79" s="366"/>
      <c r="DZ79" s="366"/>
      <c r="EA79" s="366"/>
      <c r="EB79" s="366"/>
      <c r="EC79" s="366"/>
      <c r="ED79" s="366"/>
      <c r="EE79" s="366"/>
      <c r="EF79" s="366"/>
      <c r="EG79" s="421"/>
      <c r="EH79" s="415"/>
      <c r="EI79" s="415"/>
      <c r="EJ79" s="415"/>
      <c r="EK79" s="494"/>
      <c r="EL79" s="366"/>
      <c r="EM79" s="366"/>
      <c r="EN79" s="366"/>
      <c r="EO79" s="366"/>
      <c r="EP79" s="367"/>
      <c r="EQ79" s="540">
        <f t="shared" ref="EQ79" si="64">DC79+DH79+DM79+DR79+DW79+EG79+EB79+EL79</f>
        <v>0</v>
      </c>
      <c r="ER79" s="541"/>
      <c r="ES79" s="542"/>
      <c r="ET79" s="240"/>
      <c r="EV79" s="274"/>
      <c r="EW79" s="275"/>
      <c r="EX79" s="276"/>
    </row>
    <row r="80" spans="1:154" s="239" customFormat="1" ht="80.099999999999994" customHeight="1" x14ac:dyDescent="0.2">
      <c r="A80" s="555" t="s">
        <v>208</v>
      </c>
      <c r="B80" s="100" t="s">
        <v>198</v>
      </c>
      <c r="C80" s="378" t="s">
        <v>197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8"/>
      <c r="P80" s="378"/>
      <c r="Q80" s="378"/>
      <c r="R80" s="378"/>
      <c r="S80" s="378"/>
      <c r="T80" s="378"/>
      <c r="U80" s="378"/>
      <c r="V80" s="378"/>
      <c r="W80" s="378"/>
      <c r="X80" s="378"/>
      <c r="Y80" s="378"/>
      <c r="Z80" s="487">
        <f t="shared" ref="Z80" si="65">+EQ80*30</f>
        <v>240</v>
      </c>
      <c r="AA80" s="488"/>
      <c r="AB80" s="488"/>
      <c r="AC80" s="489"/>
      <c r="AD80" s="501"/>
      <c r="AE80" s="502"/>
      <c r="AF80" s="503"/>
      <c r="AG80" s="495">
        <f t="shared" ref="AG80" si="66">SUM(AL80:BE81)</f>
        <v>96</v>
      </c>
      <c r="AH80" s="496"/>
      <c r="AI80" s="496"/>
      <c r="AJ80" s="496"/>
      <c r="AK80" s="497"/>
      <c r="AL80" s="495">
        <v>48</v>
      </c>
      <c r="AM80" s="496"/>
      <c r="AN80" s="496"/>
      <c r="AO80" s="496"/>
      <c r="AP80" s="497"/>
      <c r="AQ80" s="495">
        <v>48</v>
      </c>
      <c r="AR80" s="496"/>
      <c r="AS80" s="496"/>
      <c r="AT80" s="496"/>
      <c r="AU80" s="497"/>
      <c r="AV80" s="495"/>
      <c r="AW80" s="496"/>
      <c r="AX80" s="496"/>
      <c r="AY80" s="496"/>
      <c r="AZ80" s="497"/>
      <c r="BA80" s="495"/>
      <c r="BB80" s="496"/>
      <c r="BC80" s="496"/>
      <c r="BD80" s="496"/>
      <c r="BE80" s="497"/>
      <c r="BF80" s="495"/>
      <c r="BG80" s="496"/>
      <c r="BH80" s="496"/>
      <c r="BI80" s="496"/>
      <c r="BJ80" s="497"/>
      <c r="BK80" s="487">
        <f t="shared" ref="BK80" si="67">Z80-AG80</f>
        <v>144</v>
      </c>
      <c r="BL80" s="488"/>
      <c r="BM80" s="488"/>
      <c r="BN80" s="507"/>
      <c r="BO80" s="412"/>
      <c r="BP80" s="413"/>
      <c r="BQ80" s="413"/>
      <c r="BR80" s="413"/>
      <c r="BS80" s="413"/>
      <c r="BT80" s="366"/>
      <c r="BU80" s="366"/>
      <c r="BV80" s="366"/>
      <c r="BW80" s="366"/>
      <c r="BX80" s="366"/>
      <c r="BY80" s="366"/>
      <c r="BZ80" s="366"/>
      <c r="CA80" s="366"/>
      <c r="CB80" s="366"/>
      <c r="CC80" s="366"/>
      <c r="CD80" s="366"/>
      <c r="CE80" s="366"/>
      <c r="CF80" s="366"/>
      <c r="CG80" s="366"/>
      <c r="CH80" s="366"/>
      <c r="CI80" s="366"/>
      <c r="CJ80" s="366"/>
      <c r="CK80" s="366"/>
      <c r="CL80" s="366"/>
      <c r="CM80" s="366"/>
      <c r="CN80" s="366"/>
      <c r="CO80" s="366"/>
      <c r="CP80" s="366"/>
      <c r="CQ80" s="366"/>
      <c r="CR80" s="366"/>
      <c r="CS80" s="419">
        <v>4</v>
      </c>
      <c r="CT80" s="413"/>
      <c r="CU80" s="413"/>
      <c r="CV80" s="413"/>
      <c r="CW80" s="493"/>
      <c r="CX80" s="419">
        <v>2</v>
      </c>
      <c r="CY80" s="413"/>
      <c r="CZ80" s="413"/>
      <c r="DA80" s="413"/>
      <c r="DB80" s="420"/>
      <c r="DC80" s="410"/>
      <c r="DD80" s="366"/>
      <c r="DE80" s="366"/>
      <c r="DF80" s="366"/>
      <c r="DG80" s="366"/>
      <c r="DH80" s="366"/>
      <c r="DI80" s="366"/>
      <c r="DJ80" s="366"/>
      <c r="DK80" s="366"/>
      <c r="DL80" s="366"/>
      <c r="DM80" s="366"/>
      <c r="DN80" s="366"/>
      <c r="DO80" s="366"/>
      <c r="DP80" s="366"/>
      <c r="DQ80" s="366"/>
      <c r="DR80" s="366"/>
      <c r="DS80" s="366"/>
      <c r="DT80" s="366"/>
      <c r="DU80" s="366"/>
      <c r="DV80" s="366"/>
      <c r="DW80" s="366"/>
      <c r="DX80" s="366"/>
      <c r="DY80" s="366"/>
      <c r="DZ80" s="366"/>
      <c r="EA80" s="366"/>
      <c r="EB80" s="366"/>
      <c r="EC80" s="366"/>
      <c r="ED80" s="366"/>
      <c r="EE80" s="366"/>
      <c r="EF80" s="366"/>
      <c r="EG80" s="366">
        <v>4</v>
      </c>
      <c r="EH80" s="366"/>
      <c r="EI80" s="366"/>
      <c r="EJ80" s="366"/>
      <c r="EK80" s="366"/>
      <c r="EL80" s="419">
        <v>4</v>
      </c>
      <c r="EM80" s="413"/>
      <c r="EN80" s="413"/>
      <c r="EO80" s="413"/>
      <c r="EP80" s="420"/>
      <c r="EQ80" s="540">
        <f t="shared" ref="EQ80" si="68">SUM(DC80:EP81)</f>
        <v>8</v>
      </c>
      <c r="ER80" s="541"/>
      <c r="ES80" s="542"/>
      <c r="ET80" s="197"/>
      <c r="EV80" s="274"/>
      <c r="EW80" s="275"/>
      <c r="EX80" s="276"/>
    </row>
    <row r="81" spans="1:162" s="239" customFormat="1" ht="80.099999999999994" customHeight="1" x14ac:dyDescent="0.2">
      <c r="A81" s="556"/>
      <c r="B81" s="100" t="s">
        <v>200</v>
      </c>
      <c r="C81" s="378" t="s">
        <v>199</v>
      </c>
      <c r="D81" s="378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  <c r="R81" s="378"/>
      <c r="S81" s="378"/>
      <c r="T81" s="378"/>
      <c r="U81" s="378"/>
      <c r="V81" s="378"/>
      <c r="W81" s="378"/>
      <c r="X81" s="378"/>
      <c r="Y81" s="378"/>
      <c r="Z81" s="490"/>
      <c r="AA81" s="491"/>
      <c r="AB81" s="491"/>
      <c r="AC81" s="492"/>
      <c r="AD81" s="504"/>
      <c r="AE81" s="505"/>
      <c r="AF81" s="506"/>
      <c r="AG81" s="498"/>
      <c r="AH81" s="499"/>
      <c r="AI81" s="499"/>
      <c r="AJ81" s="499"/>
      <c r="AK81" s="500"/>
      <c r="AL81" s="498"/>
      <c r="AM81" s="499"/>
      <c r="AN81" s="499"/>
      <c r="AO81" s="499"/>
      <c r="AP81" s="500"/>
      <c r="AQ81" s="498"/>
      <c r="AR81" s="499"/>
      <c r="AS81" s="499"/>
      <c r="AT81" s="499"/>
      <c r="AU81" s="500"/>
      <c r="AV81" s="498"/>
      <c r="AW81" s="499"/>
      <c r="AX81" s="499"/>
      <c r="AY81" s="499"/>
      <c r="AZ81" s="500"/>
      <c r="BA81" s="498"/>
      <c r="BB81" s="499"/>
      <c r="BC81" s="499"/>
      <c r="BD81" s="499"/>
      <c r="BE81" s="500"/>
      <c r="BF81" s="498"/>
      <c r="BG81" s="499"/>
      <c r="BH81" s="499"/>
      <c r="BI81" s="499"/>
      <c r="BJ81" s="500"/>
      <c r="BK81" s="490"/>
      <c r="BL81" s="491"/>
      <c r="BM81" s="491"/>
      <c r="BN81" s="508"/>
      <c r="BO81" s="414"/>
      <c r="BP81" s="415"/>
      <c r="BQ81" s="415"/>
      <c r="BR81" s="415"/>
      <c r="BS81" s="415"/>
      <c r="BT81" s="366"/>
      <c r="BU81" s="366"/>
      <c r="BV81" s="366"/>
      <c r="BW81" s="366"/>
      <c r="BX81" s="366"/>
      <c r="BY81" s="366"/>
      <c r="BZ81" s="366"/>
      <c r="CA81" s="366"/>
      <c r="CB81" s="366"/>
      <c r="CC81" s="366"/>
      <c r="CD81" s="366"/>
      <c r="CE81" s="366"/>
      <c r="CF81" s="366"/>
      <c r="CG81" s="366"/>
      <c r="CH81" s="366"/>
      <c r="CI81" s="366"/>
      <c r="CJ81" s="366"/>
      <c r="CK81" s="366"/>
      <c r="CL81" s="366"/>
      <c r="CM81" s="366"/>
      <c r="CN81" s="366"/>
      <c r="CO81" s="366"/>
      <c r="CP81" s="366"/>
      <c r="CQ81" s="366"/>
      <c r="CR81" s="366"/>
      <c r="CS81" s="421"/>
      <c r="CT81" s="415"/>
      <c r="CU81" s="415"/>
      <c r="CV81" s="415"/>
      <c r="CW81" s="494"/>
      <c r="CX81" s="552"/>
      <c r="CY81" s="553"/>
      <c r="CZ81" s="553"/>
      <c r="DA81" s="553"/>
      <c r="DB81" s="554"/>
      <c r="DC81" s="410"/>
      <c r="DD81" s="366"/>
      <c r="DE81" s="366"/>
      <c r="DF81" s="366"/>
      <c r="DG81" s="366"/>
      <c r="DH81" s="366"/>
      <c r="DI81" s="366"/>
      <c r="DJ81" s="366"/>
      <c r="DK81" s="366"/>
      <c r="DL81" s="366"/>
      <c r="DM81" s="366"/>
      <c r="DN81" s="366"/>
      <c r="DO81" s="366"/>
      <c r="DP81" s="366"/>
      <c r="DQ81" s="366"/>
      <c r="DR81" s="366"/>
      <c r="DS81" s="366"/>
      <c r="DT81" s="366"/>
      <c r="DU81" s="366"/>
      <c r="DV81" s="366"/>
      <c r="DW81" s="366"/>
      <c r="DX81" s="366"/>
      <c r="DY81" s="366"/>
      <c r="DZ81" s="366"/>
      <c r="EA81" s="366"/>
      <c r="EB81" s="366"/>
      <c r="EC81" s="366"/>
      <c r="ED81" s="366"/>
      <c r="EE81" s="366"/>
      <c r="EF81" s="366"/>
      <c r="EG81" s="366"/>
      <c r="EH81" s="366"/>
      <c r="EI81" s="366"/>
      <c r="EJ81" s="366"/>
      <c r="EK81" s="366"/>
      <c r="EL81" s="421"/>
      <c r="EM81" s="415"/>
      <c r="EN81" s="415"/>
      <c r="EO81" s="415"/>
      <c r="EP81" s="422"/>
      <c r="EQ81" s="540">
        <f t="shared" ref="EQ81" si="69">DC81+DH81+DM81+DR81+DW81+EG81+EB81+EL81</f>
        <v>0</v>
      </c>
      <c r="ER81" s="541"/>
      <c r="ES81" s="542"/>
      <c r="ET81" s="197"/>
      <c r="EV81" s="274"/>
      <c r="EW81" s="275"/>
      <c r="EX81" s="276"/>
    </row>
    <row r="82" spans="1:162" s="84" customFormat="1" ht="84.75" customHeight="1" x14ac:dyDescent="0.45">
      <c r="A82" s="168"/>
      <c r="B82" s="63"/>
      <c r="C82" s="510" t="s">
        <v>84</v>
      </c>
      <c r="D82" s="510"/>
      <c r="E82" s="510"/>
      <c r="F82" s="510"/>
      <c r="G82" s="510"/>
      <c r="H82" s="510"/>
      <c r="I82" s="510"/>
      <c r="J82" s="510"/>
      <c r="K82" s="510"/>
      <c r="L82" s="510"/>
      <c r="M82" s="510"/>
      <c r="N82" s="510"/>
      <c r="O82" s="510"/>
      <c r="P82" s="510"/>
      <c r="Q82" s="510"/>
      <c r="R82" s="510"/>
      <c r="S82" s="510"/>
      <c r="T82" s="510"/>
      <c r="U82" s="510"/>
      <c r="V82" s="510"/>
      <c r="W82" s="510"/>
      <c r="X82" s="510"/>
      <c r="Y82" s="510"/>
      <c r="Z82" s="391">
        <f>Z57+Z36</f>
        <v>6030</v>
      </c>
      <c r="AA82" s="392"/>
      <c r="AB82" s="392"/>
      <c r="AC82" s="393"/>
      <c r="AD82" s="390">
        <f>Z82/$Z$86*100</f>
        <v>83.75</v>
      </c>
      <c r="AE82" s="390"/>
      <c r="AF82" s="390"/>
      <c r="AG82" s="359">
        <f>AG57+AG36</f>
        <v>2498</v>
      </c>
      <c r="AH82" s="389"/>
      <c r="AI82" s="389"/>
      <c r="AJ82" s="389"/>
      <c r="AK82" s="389"/>
      <c r="AL82" s="359">
        <f>AL57+AL36</f>
        <v>968</v>
      </c>
      <c r="AM82" s="389"/>
      <c r="AN82" s="389"/>
      <c r="AO82" s="389"/>
      <c r="AP82" s="389"/>
      <c r="AQ82" s="359">
        <f>AQ57+AQ36</f>
        <v>1040</v>
      </c>
      <c r="AR82" s="389"/>
      <c r="AS82" s="389"/>
      <c r="AT82" s="389"/>
      <c r="AU82" s="389"/>
      <c r="AV82" s="359">
        <f>AV57+AV36</f>
        <v>490</v>
      </c>
      <c r="AW82" s="389"/>
      <c r="AX82" s="389"/>
      <c r="AY82" s="389"/>
      <c r="AZ82" s="389"/>
      <c r="BA82" s="359">
        <f>BA57+BA36</f>
        <v>0</v>
      </c>
      <c r="BB82" s="389"/>
      <c r="BC82" s="389"/>
      <c r="BD82" s="389"/>
      <c r="BE82" s="389"/>
      <c r="BF82" s="359">
        <f>BF57+BF36</f>
        <v>0</v>
      </c>
      <c r="BG82" s="389"/>
      <c r="BH82" s="389"/>
      <c r="BI82" s="389"/>
      <c r="BJ82" s="389"/>
      <c r="BK82" s="512">
        <f>BK57+BK36</f>
        <v>3532</v>
      </c>
      <c r="BL82" s="387"/>
      <c r="BM82" s="387"/>
      <c r="BN82" s="513"/>
      <c r="BO82" s="411">
        <f>BO57+BO36</f>
        <v>24</v>
      </c>
      <c r="BP82" s="380"/>
      <c r="BQ82" s="380"/>
      <c r="BR82" s="380"/>
      <c r="BS82" s="380"/>
      <c r="BT82" s="416">
        <f>BT57+BT36</f>
        <v>24</v>
      </c>
      <c r="BU82" s="417"/>
      <c r="BV82" s="417"/>
      <c r="BW82" s="417"/>
      <c r="BX82" s="379"/>
      <c r="BY82" s="416">
        <f>BY57+BY36</f>
        <v>24</v>
      </c>
      <c r="BZ82" s="417"/>
      <c r="CA82" s="417"/>
      <c r="CB82" s="417"/>
      <c r="CC82" s="379"/>
      <c r="CD82" s="416">
        <f>CD57+CD36</f>
        <v>24</v>
      </c>
      <c r="CE82" s="417"/>
      <c r="CF82" s="417"/>
      <c r="CG82" s="417"/>
      <c r="CH82" s="379"/>
      <c r="CI82" s="416">
        <f>CI57+CI36</f>
        <v>24</v>
      </c>
      <c r="CJ82" s="417"/>
      <c r="CK82" s="417"/>
      <c r="CL82" s="417"/>
      <c r="CM82" s="379"/>
      <c r="CN82" s="416">
        <f>CN57+CN36</f>
        <v>24</v>
      </c>
      <c r="CO82" s="417"/>
      <c r="CP82" s="417"/>
      <c r="CQ82" s="417"/>
      <c r="CR82" s="379"/>
      <c r="CS82" s="416">
        <f>CS57+CS36</f>
        <v>24</v>
      </c>
      <c r="CT82" s="417"/>
      <c r="CU82" s="417"/>
      <c r="CV82" s="417"/>
      <c r="CW82" s="379"/>
      <c r="CX82" s="416">
        <f>CX57+CX36</f>
        <v>22</v>
      </c>
      <c r="CY82" s="417"/>
      <c r="CZ82" s="417"/>
      <c r="DA82" s="417"/>
      <c r="DB82" s="418"/>
      <c r="DC82" s="411">
        <f>DC57+DC36</f>
        <v>30</v>
      </c>
      <c r="DD82" s="380"/>
      <c r="DE82" s="380"/>
      <c r="DF82" s="380"/>
      <c r="DG82" s="380"/>
      <c r="DH82" s="379">
        <f>DH57+DH36</f>
        <v>27</v>
      </c>
      <c r="DI82" s="380"/>
      <c r="DJ82" s="380"/>
      <c r="DK82" s="380"/>
      <c r="DL82" s="380"/>
      <c r="DM82" s="379">
        <f>DM57+DM36</f>
        <v>24</v>
      </c>
      <c r="DN82" s="380"/>
      <c r="DO82" s="380"/>
      <c r="DP82" s="380"/>
      <c r="DQ82" s="380"/>
      <c r="DR82" s="379">
        <f>DR57+DR36</f>
        <v>24</v>
      </c>
      <c r="DS82" s="380"/>
      <c r="DT82" s="380"/>
      <c r="DU82" s="380"/>
      <c r="DV82" s="380"/>
      <c r="DW82" s="379">
        <f>DW57+DW36</f>
        <v>24</v>
      </c>
      <c r="DX82" s="380"/>
      <c r="DY82" s="380"/>
      <c r="DZ82" s="380"/>
      <c r="EA82" s="380"/>
      <c r="EB82" s="379">
        <f>EB57+EB36</f>
        <v>24</v>
      </c>
      <c r="EC82" s="380"/>
      <c r="ED82" s="380"/>
      <c r="EE82" s="380"/>
      <c r="EF82" s="380"/>
      <c r="EG82" s="379">
        <f>EG57+EG36</f>
        <v>24</v>
      </c>
      <c r="EH82" s="380"/>
      <c r="EI82" s="380"/>
      <c r="EJ82" s="380"/>
      <c r="EK82" s="380"/>
      <c r="EL82" s="379">
        <f>EL57+EL36</f>
        <v>24</v>
      </c>
      <c r="EM82" s="380"/>
      <c r="EN82" s="380"/>
      <c r="EO82" s="380"/>
      <c r="EP82" s="404"/>
      <c r="EQ82" s="358">
        <f>EQ57+EQ36</f>
        <v>201</v>
      </c>
      <c r="ER82" s="359"/>
      <c r="ES82" s="360"/>
      <c r="ET82" s="199"/>
      <c r="EV82" s="277"/>
      <c r="EW82" s="278"/>
      <c r="EX82" s="279"/>
    </row>
    <row r="83" spans="1:162" s="85" customFormat="1" ht="84.75" customHeight="1" x14ac:dyDescent="0.2">
      <c r="A83" s="166"/>
      <c r="B83" s="61"/>
      <c r="C83" s="511" t="s">
        <v>85</v>
      </c>
      <c r="D83" s="511"/>
      <c r="E83" s="511"/>
      <c r="F83" s="511"/>
      <c r="G83" s="511"/>
      <c r="H83" s="511"/>
      <c r="I83" s="511"/>
      <c r="J83" s="511"/>
      <c r="K83" s="511"/>
      <c r="L83" s="511"/>
      <c r="M83" s="511"/>
      <c r="N83" s="511"/>
      <c r="O83" s="511"/>
      <c r="P83" s="511"/>
      <c r="Q83" s="511"/>
      <c r="R83" s="511"/>
      <c r="S83" s="511"/>
      <c r="T83" s="511"/>
      <c r="U83" s="511"/>
      <c r="V83" s="511"/>
      <c r="W83" s="511"/>
      <c r="X83" s="511"/>
      <c r="Y83" s="511"/>
      <c r="Z83" s="347">
        <f>+EQ83*30</f>
        <v>1110</v>
      </c>
      <c r="AA83" s="347"/>
      <c r="AB83" s="347"/>
      <c r="AC83" s="347"/>
      <c r="AD83" s="549"/>
      <c r="AE83" s="549"/>
      <c r="AF83" s="549"/>
      <c r="AG83" s="349">
        <f t="shared" ref="AG83:AG84" si="70">AL83+AQ83+AV83+BA83+BF83</f>
        <v>0</v>
      </c>
      <c r="AH83" s="349"/>
      <c r="AI83" s="349"/>
      <c r="AJ83" s="349"/>
      <c r="AK83" s="349"/>
      <c r="AL83" s="405"/>
      <c r="AM83" s="406"/>
      <c r="AN83" s="406"/>
      <c r="AO83" s="406"/>
      <c r="AP83" s="515"/>
      <c r="AQ83" s="349"/>
      <c r="AR83" s="349"/>
      <c r="AS83" s="349"/>
      <c r="AT83" s="349"/>
      <c r="AU83" s="349"/>
      <c r="AV83" s="349"/>
      <c r="AW83" s="349"/>
      <c r="AX83" s="349"/>
      <c r="AY83" s="349"/>
      <c r="AZ83" s="349"/>
      <c r="BA83" s="349"/>
      <c r="BB83" s="349"/>
      <c r="BC83" s="349"/>
      <c r="BD83" s="349"/>
      <c r="BE83" s="349"/>
      <c r="BF83" s="349"/>
      <c r="BG83" s="349"/>
      <c r="BH83" s="349"/>
      <c r="BI83" s="349"/>
      <c r="BJ83" s="349"/>
      <c r="BK83" s="405"/>
      <c r="BL83" s="406"/>
      <c r="BM83" s="406"/>
      <c r="BN83" s="407"/>
      <c r="BO83" s="408"/>
      <c r="BP83" s="394"/>
      <c r="BQ83" s="394"/>
      <c r="BR83" s="394"/>
      <c r="BS83" s="394"/>
      <c r="BT83" s="394"/>
      <c r="BU83" s="394"/>
      <c r="BV83" s="394"/>
      <c r="BW83" s="394"/>
      <c r="BX83" s="394"/>
      <c r="BY83" s="394"/>
      <c r="BZ83" s="394"/>
      <c r="CA83" s="394"/>
      <c r="CB83" s="394"/>
      <c r="CC83" s="394"/>
      <c r="CD83" s="394"/>
      <c r="CE83" s="394"/>
      <c r="CF83" s="394"/>
      <c r="CG83" s="394"/>
      <c r="CH83" s="394"/>
      <c r="CI83" s="394"/>
      <c r="CJ83" s="394"/>
      <c r="CK83" s="394"/>
      <c r="CL83" s="394"/>
      <c r="CM83" s="394"/>
      <c r="CN83" s="394"/>
      <c r="CO83" s="394"/>
      <c r="CP83" s="394"/>
      <c r="CQ83" s="394"/>
      <c r="CR83" s="394"/>
      <c r="CS83" s="394"/>
      <c r="CT83" s="394"/>
      <c r="CU83" s="394"/>
      <c r="CV83" s="394"/>
      <c r="CW83" s="394"/>
      <c r="CX83" s="394"/>
      <c r="CY83" s="394"/>
      <c r="CZ83" s="394"/>
      <c r="DA83" s="394"/>
      <c r="DB83" s="409"/>
      <c r="DC83" s="384"/>
      <c r="DD83" s="344"/>
      <c r="DE83" s="344"/>
      <c r="DF83" s="344"/>
      <c r="DG83" s="344"/>
      <c r="DH83" s="344">
        <v>3</v>
      </c>
      <c r="DI83" s="344"/>
      <c r="DJ83" s="344"/>
      <c r="DK83" s="344"/>
      <c r="DL83" s="344"/>
      <c r="DM83" s="381">
        <v>6</v>
      </c>
      <c r="DN83" s="382"/>
      <c r="DO83" s="382"/>
      <c r="DP83" s="382"/>
      <c r="DQ83" s="383"/>
      <c r="DR83" s="381">
        <v>6</v>
      </c>
      <c r="DS83" s="382"/>
      <c r="DT83" s="382"/>
      <c r="DU83" s="382"/>
      <c r="DV83" s="383"/>
      <c r="DW83" s="381">
        <v>6</v>
      </c>
      <c r="DX83" s="382"/>
      <c r="DY83" s="382"/>
      <c r="DZ83" s="382"/>
      <c r="EA83" s="383"/>
      <c r="EB83" s="381">
        <v>6</v>
      </c>
      <c r="EC83" s="382"/>
      <c r="ED83" s="382"/>
      <c r="EE83" s="382"/>
      <c r="EF83" s="383"/>
      <c r="EG83" s="381">
        <v>6</v>
      </c>
      <c r="EH83" s="382"/>
      <c r="EI83" s="382"/>
      <c r="EJ83" s="382"/>
      <c r="EK83" s="383"/>
      <c r="EL83" s="381">
        <v>4</v>
      </c>
      <c r="EM83" s="382"/>
      <c r="EN83" s="382"/>
      <c r="EO83" s="382"/>
      <c r="EP83" s="385"/>
      <c r="EQ83" s="341">
        <f t="shared" ref="EQ83" si="71">DC83+DH83+DM83+DR83+DW83+EG83+EB83+EL83</f>
        <v>37</v>
      </c>
      <c r="ER83" s="342"/>
      <c r="ES83" s="343"/>
      <c r="ET83" s="198"/>
      <c r="EV83" s="266"/>
      <c r="EW83" s="267"/>
      <c r="EX83" s="268"/>
    </row>
    <row r="84" spans="1:162" s="84" customFormat="1" ht="84.75" customHeight="1" x14ac:dyDescent="0.45">
      <c r="A84" s="166"/>
      <c r="B84" s="61"/>
      <c r="C84" s="511" t="s">
        <v>18</v>
      </c>
      <c r="D84" s="511"/>
      <c r="E84" s="511"/>
      <c r="F84" s="511"/>
      <c r="G84" s="511"/>
      <c r="H84" s="511"/>
      <c r="I84" s="511"/>
      <c r="J84" s="511"/>
      <c r="K84" s="511"/>
      <c r="L84" s="511"/>
      <c r="M84" s="511"/>
      <c r="N84" s="511"/>
      <c r="O84" s="511"/>
      <c r="P84" s="511"/>
      <c r="Q84" s="511"/>
      <c r="R84" s="511"/>
      <c r="S84" s="511"/>
      <c r="T84" s="511"/>
      <c r="U84" s="511"/>
      <c r="V84" s="511"/>
      <c r="W84" s="511"/>
      <c r="X84" s="511"/>
      <c r="Y84" s="511"/>
      <c r="Z84" s="347">
        <f t="shared" ref="Z84" si="72">(DC84+DH84+DM84+DR84+DW84+EB84+EG84+EL84)*30</f>
        <v>60</v>
      </c>
      <c r="AA84" s="347"/>
      <c r="AB84" s="347"/>
      <c r="AC84" s="347"/>
      <c r="AD84" s="514"/>
      <c r="AE84" s="514"/>
      <c r="AF84" s="394"/>
      <c r="AG84" s="349">
        <f t="shared" si="70"/>
        <v>0</v>
      </c>
      <c r="AH84" s="349"/>
      <c r="AI84" s="349"/>
      <c r="AJ84" s="349"/>
      <c r="AK84" s="349"/>
      <c r="AL84" s="405"/>
      <c r="AM84" s="406"/>
      <c r="AN84" s="406"/>
      <c r="AO84" s="406"/>
      <c r="AP84" s="515"/>
      <c r="AQ84" s="349"/>
      <c r="AR84" s="349"/>
      <c r="AS84" s="349"/>
      <c r="AT84" s="349"/>
      <c r="AU84" s="349"/>
      <c r="AV84" s="349"/>
      <c r="AW84" s="349"/>
      <c r="AX84" s="349"/>
      <c r="AY84" s="349"/>
      <c r="AZ84" s="349"/>
      <c r="BA84" s="349"/>
      <c r="BB84" s="349"/>
      <c r="BC84" s="349"/>
      <c r="BD84" s="349"/>
      <c r="BE84" s="349"/>
      <c r="BF84" s="349"/>
      <c r="BG84" s="349"/>
      <c r="BH84" s="349"/>
      <c r="BI84" s="349"/>
      <c r="BJ84" s="349"/>
      <c r="BK84" s="405"/>
      <c r="BL84" s="406"/>
      <c r="BM84" s="406"/>
      <c r="BN84" s="407"/>
      <c r="BO84" s="408"/>
      <c r="BP84" s="394"/>
      <c r="BQ84" s="394"/>
      <c r="BR84" s="394"/>
      <c r="BS84" s="394"/>
      <c r="BT84" s="394"/>
      <c r="BU84" s="394"/>
      <c r="BV84" s="394"/>
      <c r="BW84" s="394"/>
      <c r="BX84" s="394"/>
      <c r="BY84" s="394"/>
      <c r="BZ84" s="394"/>
      <c r="CA84" s="394"/>
      <c r="CB84" s="394"/>
      <c r="CC84" s="394"/>
      <c r="CD84" s="394"/>
      <c r="CE84" s="394"/>
      <c r="CF84" s="394"/>
      <c r="CG84" s="394"/>
      <c r="CH84" s="394"/>
      <c r="CI84" s="394"/>
      <c r="CJ84" s="394"/>
      <c r="CK84" s="394"/>
      <c r="CL84" s="394"/>
      <c r="CM84" s="394"/>
      <c r="CN84" s="394"/>
      <c r="CO84" s="394"/>
      <c r="CP84" s="394"/>
      <c r="CQ84" s="394"/>
      <c r="CR84" s="394"/>
      <c r="CS84" s="394"/>
      <c r="CT84" s="394"/>
      <c r="CU84" s="394"/>
      <c r="CV84" s="394"/>
      <c r="CW84" s="394"/>
      <c r="CX84" s="394"/>
      <c r="CY84" s="394"/>
      <c r="CZ84" s="394"/>
      <c r="DA84" s="394"/>
      <c r="DB84" s="409"/>
      <c r="DC84" s="384"/>
      <c r="DD84" s="344"/>
      <c r="DE84" s="344"/>
      <c r="DF84" s="344"/>
      <c r="DG84" s="344"/>
      <c r="DH84" s="344"/>
      <c r="DI84" s="344"/>
      <c r="DJ84" s="344"/>
      <c r="DK84" s="344"/>
      <c r="DL84" s="344"/>
      <c r="DM84" s="344"/>
      <c r="DN84" s="344"/>
      <c r="DO84" s="344"/>
      <c r="DP84" s="344"/>
      <c r="DQ84" s="344"/>
      <c r="DR84" s="344"/>
      <c r="DS84" s="344"/>
      <c r="DT84" s="344"/>
      <c r="DU84" s="344"/>
      <c r="DV84" s="344"/>
      <c r="DW84" s="344"/>
      <c r="DX84" s="344"/>
      <c r="DY84" s="344"/>
      <c r="DZ84" s="344"/>
      <c r="EA84" s="344"/>
      <c r="EB84" s="344"/>
      <c r="EC84" s="344"/>
      <c r="ED84" s="344"/>
      <c r="EE84" s="344"/>
      <c r="EF84" s="344"/>
      <c r="EG84" s="344"/>
      <c r="EH84" s="344"/>
      <c r="EI84" s="344"/>
      <c r="EJ84" s="344"/>
      <c r="EK84" s="344"/>
      <c r="EL84" s="344">
        <v>2</v>
      </c>
      <c r="EM84" s="344"/>
      <c r="EN84" s="344"/>
      <c r="EO84" s="344"/>
      <c r="EP84" s="345"/>
      <c r="EQ84" s="341">
        <f t="shared" ref="EQ84" si="73">DC84+DH84+DM84+DR84+DW84+EG84+EB84+EL84</f>
        <v>2</v>
      </c>
      <c r="ER84" s="342"/>
      <c r="ES84" s="343"/>
      <c r="ET84" s="199"/>
      <c r="EV84" s="277"/>
      <c r="EW84" s="278"/>
      <c r="EX84" s="279"/>
    </row>
    <row r="85" spans="1:162" s="84" customFormat="1" ht="84.75" customHeight="1" x14ac:dyDescent="0.45">
      <c r="A85" s="168"/>
      <c r="B85" s="63"/>
      <c r="C85" s="510" t="s">
        <v>84</v>
      </c>
      <c r="D85" s="510"/>
      <c r="E85" s="510"/>
      <c r="F85" s="510"/>
      <c r="G85" s="510"/>
      <c r="H85" s="510"/>
      <c r="I85" s="510"/>
      <c r="J85" s="510"/>
      <c r="K85" s="510"/>
      <c r="L85" s="510"/>
      <c r="M85" s="510"/>
      <c r="N85" s="510"/>
      <c r="O85" s="510"/>
      <c r="P85" s="510"/>
      <c r="Q85" s="510"/>
      <c r="R85" s="510"/>
      <c r="S85" s="510"/>
      <c r="T85" s="510"/>
      <c r="U85" s="510"/>
      <c r="V85" s="510"/>
      <c r="W85" s="510"/>
      <c r="X85" s="510"/>
      <c r="Y85" s="510"/>
      <c r="Z85" s="389">
        <f>Z83+Z84</f>
        <v>1170</v>
      </c>
      <c r="AA85" s="389"/>
      <c r="AB85" s="389"/>
      <c r="AC85" s="389"/>
      <c r="AD85" s="390">
        <f>Z85/$Z$86*100</f>
        <v>16.25</v>
      </c>
      <c r="AE85" s="390"/>
      <c r="AF85" s="390"/>
      <c r="AG85" s="389">
        <f>AG83+AG84</f>
        <v>0</v>
      </c>
      <c r="AH85" s="389"/>
      <c r="AI85" s="389"/>
      <c r="AJ85" s="389"/>
      <c r="AK85" s="389"/>
      <c r="AL85" s="386">
        <f>AL83+AL84</f>
        <v>0</v>
      </c>
      <c r="AM85" s="387"/>
      <c r="AN85" s="387"/>
      <c r="AO85" s="387"/>
      <c r="AP85" s="388"/>
      <c r="AQ85" s="386">
        <f t="shared" ref="AQ85" si="74">AQ83+AQ84</f>
        <v>0</v>
      </c>
      <c r="AR85" s="387"/>
      <c r="AS85" s="387"/>
      <c r="AT85" s="387"/>
      <c r="AU85" s="388"/>
      <c r="AV85" s="386">
        <f t="shared" ref="AV85" si="75">AV83+AV84</f>
        <v>0</v>
      </c>
      <c r="AW85" s="387"/>
      <c r="AX85" s="387"/>
      <c r="AY85" s="387"/>
      <c r="AZ85" s="388"/>
      <c r="BA85" s="386">
        <f t="shared" ref="BA85" si="76">BA83+BA84</f>
        <v>0</v>
      </c>
      <c r="BB85" s="387"/>
      <c r="BC85" s="387"/>
      <c r="BD85" s="387"/>
      <c r="BE85" s="388"/>
      <c r="BF85" s="386">
        <f t="shared" ref="BF85" si="77">BF83+BF84</f>
        <v>0</v>
      </c>
      <c r="BG85" s="387"/>
      <c r="BH85" s="387"/>
      <c r="BI85" s="387"/>
      <c r="BJ85" s="388"/>
      <c r="BK85" s="386">
        <f>BK83+BK84</f>
        <v>0</v>
      </c>
      <c r="BL85" s="387"/>
      <c r="BM85" s="387"/>
      <c r="BN85" s="513"/>
      <c r="BO85" s="411">
        <f>BO83+BO84</f>
        <v>0</v>
      </c>
      <c r="BP85" s="380"/>
      <c r="BQ85" s="380"/>
      <c r="BR85" s="380"/>
      <c r="BS85" s="380"/>
      <c r="BT85" s="380">
        <f>BT83+BT84</f>
        <v>0</v>
      </c>
      <c r="BU85" s="380"/>
      <c r="BV85" s="380"/>
      <c r="BW85" s="380"/>
      <c r="BX85" s="380"/>
      <c r="BY85" s="380">
        <f t="shared" ref="BY85" si="78">BY83+BY84</f>
        <v>0</v>
      </c>
      <c r="BZ85" s="380"/>
      <c r="CA85" s="380"/>
      <c r="CB85" s="380"/>
      <c r="CC85" s="380"/>
      <c r="CD85" s="380">
        <f t="shared" ref="CD85" si="79">CD83+CD84</f>
        <v>0</v>
      </c>
      <c r="CE85" s="380"/>
      <c r="CF85" s="380"/>
      <c r="CG85" s="380"/>
      <c r="CH85" s="380"/>
      <c r="CI85" s="380">
        <f t="shared" ref="CI85" si="80">CI83+CI84</f>
        <v>0</v>
      </c>
      <c r="CJ85" s="380"/>
      <c r="CK85" s="380"/>
      <c r="CL85" s="380"/>
      <c r="CM85" s="380"/>
      <c r="CN85" s="380">
        <f t="shared" ref="CN85" si="81">CN83+CN84</f>
        <v>0</v>
      </c>
      <c r="CO85" s="380"/>
      <c r="CP85" s="380"/>
      <c r="CQ85" s="380"/>
      <c r="CR85" s="380"/>
      <c r="CS85" s="380">
        <f t="shared" ref="CS85" si="82">CS83+CS84</f>
        <v>0</v>
      </c>
      <c r="CT85" s="380"/>
      <c r="CU85" s="380"/>
      <c r="CV85" s="380"/>
      <c r="CW85" s="380"/>
      <c r="CX85" s="380">
        <f t="shared" ref="CX85" si="83">CX83+CX84</f>
        <v>0</v>
      </c>
      <c r="CY85" s="380"/>
      <c r="CZ85" s="380"/>
      <c r="DA85" s="380"/>
      <c r="DB85" s="404"/>
      <c r="DC85" s="411">
        <f>DC83+DC84</f>
        <v>0</v>
      </c>
      <c r="DD85" s="380"/>
      <c r="DE85" s="380"/>
      <c r="DF85" s="380"/>
      <c r="DG85" s="380"/>
      <c r="DH85" s="379">
        <f t="shared" ref="DH85" si="84">DH83+DH84</f>
        <v>3</v>
      </c>
      <c r="DI85" s="380"/>
      <c r="DJ85" s="380"/>
      <c r="DK85" s="380"/>
      <c r="DL85" s="380"/>
      <c r="DM85" s="379">
        <f t="shared" ref="DM85" si="85">DM83+DM84</f>
        <v>6</v>
      </c>
      <c r="DN85" s="380"/>
      <c r="DO85" s="380"/>
      <c r="DP85" s="380"/>
      <c r="DQ85" s="380"/>
      <c r="DR85" s="379">
        <f t="shared" ref="DR85" si="86">DR83+DR84</f>
        <v>6</v>
      </c>
      <c r="DS85" s="380"/>
      <c r="DT85" s="380"/>
      <c r="DU85" s="380"/>
      <c r="DV85" s="380"/>
      <c r="DW85" s="379">
        <f t="shared" ref="DW85" si="87">DW83+DW84</f>
        <v>6</v>
      </c>
      <c r="DX85" s="380"/>
      <c r="DY85" s="380"/>
      <c r="DZ85" s="380"/>
      <c r="EA85" s="380"/>
      <c r="EB85" s="379">
        <f t="shared" ref="EB85" si="88">EB83+EB84</f>
        <v>6</v>
      </c>
      <c r="EC85" s="380"/>
      <c r="ED85" s="380"/>
      <c r="EE85" s="380"/>
      <c r="EF85" s="380"/>
      <c r="EG85" s="379">
        <f t="shared" ref="EG85" si="89">EG83+EG84</f>
        <v>6</v>
      </c>
      <c r="EH85" s="380"/>
      <c r="EI85" s="380"/>
      <c r="EJ85" s="380"/>
      <c r="EK85" s="380"/>
      <c r="EL85" s="379">
        <f t="shared" ref="EL85" si="90">EL83+EL84</f>
        <v>6</v>
      </c>
      <c r="EM85" s="380"/>
      <c r="EN85" s="380"/>
      <c r="EO85" s="380"/>
      <c r="EP85" s="404"/>
      <c r="EQ85" s="358">
        <f>EQ83+EQ84</f>
        <v>39</v>
      </c>
      <c r="ER85" s="359"/>
      <c r="ES85" s="360"/>
      <c r="ET85" s="199"/>
      <c r="EV85" s="277"/>
      <c r="EW85" s="278"/>
      <c r="EX85" s="279"/>
    </row>
    <row r="86" spans="1:162" s="85" customFormat="1" ht="84.75" customHeight="1" thickBot="1" x14ac:dyDescent="0.25">
      <c r="A86" s="169"/>
      <c r="B86" s="170"/>
      <c r="C86" s="395" t="s">
        <v>22</v>
      </c>
      <c r="D86" s="395"/>
      <c r="E86" s="395"/>
      <c r="F86" s="395"/>
      <c r="G86" s="395"/>
      <c r="H86" s="395"/>
      <c r="I86" s="395"/>
      <c r="J86" s="395"/>
      <c r="K86" s="395"/>
      <c r="L86" s="395"/>
      <c r="M86" s="395"/>
      <c r="N86" s="395"/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56">
        <f>Z85+Z82</f>
        <v>7200</v>
      </c>
      <c r="AA86" s="396"/>
      <c r="AB86" s="396"/>
      <c r="AC86" s="396"/>
      <c r="AD86" s="397">
        <f>AD82+AD85</f>
        <v>100</v>
      </c>
      <c r="AE86" s="397"/>
      <c r="AF86" s="397"/>
      <c r="AG86" s="398">
        <f>AG82+AG85</f>
        <v>2498</v>
      </c>
      <c r="AH86" s="399"/>
      <c r="AI86" s="399"/>
      <c r="AJ86" s="399"/>
      <c r="AK86" s="400"/>
      <c r="AL86" s="398">
        <f t="shared" ref="AL86" si="91">AL82+AL85</f>
        <v>968</v>
      </c>
      <c r="AM86" s="399"/>
      <c r="AN86" s="399"/>
      <c r="AO86" s="399"/>
      <c r="AP86" s="400"/>
      <c r="AQ86" s="398">
        <f t="shared" ref="AQ86" si="92">AQ82+AQ85</f>
        <v>1040</v>
      </c>
      <c r="AR86" s="399"/>
      <c r="AS86" s="399"/>
      <c r="AT86" s="399"/>
      <c r="AU86" s="400"/>
      <c r="AV86" s="398">
        <f t="shared" ref="AV86" si="93">AV82+AV85</f>
        <v>490</v>
      </c>
      <c r="AW86" s="399"/>
      <c r="AX86" s="399"/>
      <c r="AY86" s="399"/>
      <c r="AZ86" s="400"/>
      <c r="BA86" s="398">
        <f t="shared" ref="BA86" si="94">BA82+BA85</f>
        <v>0</v>
      </c>
      <c r="BB86" s="399"/>
      <c r="BC86" s="399"/>
      <c r="BD86" s="399"/>
      <c r="BE86" s="400"/>
      <c r="BF86" s="398">
        <f t="shared" ref="BF86" si="95">BF82+BF85</f>
        <v>0</v>
      </c>
      <c r="BG86" s="399"/>
      <c r="BH86" s="399"/>
      <c r="BI86" s="399"/>
      <c r="BJ86" s="400"/>
      <c r="BK86" s="398">
        <f>BK82+BK85</f>
        <v>3532</v>
      </c>
      <c r="BL86" s="401"/>
      <c r="BM86" s="401"/>
      <c r="BN86" s="402"/>
      <c r="BO86" s="354">
        <f>BO82+BO85</f>
        <v>24</v>
      </c>
      <c r="BP86" s="352"/>
      <c r="BQ86" s="352"/>
      <c r="BR86" s="352"/>
      <c r="BS86" s="403"/>
      <c r="BT86" s="352">
        <f t="shared" ref="BT86" si="96">BT82+BT85</f>
        <v>24</v>
      </c>
      <c r="BU86" s="352"/>
      <c r="BV86" s="352"/>
      <c r="BW86" s="352"/>
      <c r="BX86" s="352"/>
      <c r="BY86" s="352">
        <f t="shared" ref="BY86" si="97">BY82+BY85</f>
        <v>24</v>
      </c>
      <c r="BZ86" s="352"/>
      <c r="CA86" s="352"/>
      <c r="CB86" s="352"/>
      <c r="CC86" s="352"/>
      <c r="CD86" s="352">
        <f t="shared" ref="CD86" si="98">CD82+CD85</f>
        <v>24</v>
      </c>
      <c r="CE86" s="352"/>
      <c r="CF86" s="352"/>
      <c r="CG86" s="352"/>
      <c r="CH86" s="352"/>
      <c r="CI86" s="352">
        <f t="shared" ref="CI86" si="99">CI82+CI85</f>
        <v>24</v>
      </c>
      <c r="CJ86" s="352"/>
      <c r="CK86" s="352"/>
      <c r="CL86" s="352"/>
      <c r="CM86" s="352"/>
      <c r="CN86" s="352">
        <f t="shared" ref="CN86" si="100">CN82+CN85</f>
        <v>24</v>
      </c>
      <c r="CO86" s="352"/>
      <c r="CP86" s="352"/>
      <c r="CQ86" s="352"/>
      <c r="CR86" s="352"/>
      <c r="CS86" s="352">
        <f t="shared" ref="CS86" si="101">CS82+CS85</f>
        <v>24</v>
      </c>
      <c r="CT86" s="352"/>
      <c r="CU86" s="352"/>
      <c r="CV86" s="352"/>
      <c r="CW86" s="352"/>
      <c r="CX86" s="351">
        <f t="shared" ref="CX86" si="102">CX82+CX85</f>
        <v>22</v>
      </c>
      <c r="CY86" s="352"/>
      <c r="CZ86" s="352"/>
      <c r="DA86" s="352"/>
      <c r="DB86" s="353"/>
      <c r="DC86" s="354">
        <f>DC85+DC82</f>
        <v>30</v>
      </c>
      <c r="DD86" s="352"/>
      <c r="DE86" s="352"/>
      <c r="DF86" s="352"/>
      <c r="DG86" s="352"/>
      <c r="DH86" s="352">
        <f>DH85+DH82</f>
        <v>30</v>
      </c>
      <c r="DI86" s="352"/>
      <c r="DJ86" s="352"/>
      <c r="DK86" s="352"/>
      <c r="DL86" s="352"/>
      <c r="DM86" s="352">
        <f t="shared" ref="DM86" si="103">DM85+DM82</f>
        <v>30</v>
      </c>
      <c r="DN86" s="352"/>
      <c r="DO86" s="352"/>
      <c r="DP86" s="352"/>
      <c r="DQ86" s="352"/>
      <c r="DR86" s="352">
        <f t="shared" ref="DR86" si="104">DR85+DR82</f>
        <v>30</v>
      </c>
      <c r="DS86" s="352"/>
      <c r="DT86" s="352"/>
      <c r="DU86" s="352"/>
      <c r="DV86" s="352"/>
      <c r="DW86" s="352">
        <f t="shared" ref="DW86" si="105">DW85+DW82</f>
        <v>30</v>
      </c>
      <c r="DX86" s="352"/>
      <c r="DY86" s="352"/>
      <c r="DZ86" s="352"/>
      <c r="EA86" s="352"/>
      <c r="EB86" s="352">
        <f t="shared" ref="EB86" si="106">EB85+EB82</f>
        <v>30</v>
      </c>
      <c r="EC86" s="352"/>
      <c r="ED86" s="352"/>
      <c r="EE86" s="352"/>
      <c r="EF86" s="352"/>
      <c r="EG86" s="352">
        <f t="shared" ref="EG86" si="107">EG85+EG82</f>
        <v>30</v>
      </c>
      <c r="EH86" s="352"/>
      <c r="EI86" s="352"/>
      <c r="EJ86" s="352"/>
      <c r="EK86" s="352"/>
      <c r="EL86" s="352">
        <f t="shared" ref="EL86" si="108">EL85+EL82</f>
        <v>30</v>
      </c>
      <c r="EM86" s="352"/>
      <c r="EN86" s="352"/>
      <c r="EO86" s="352"/>
      <c r="EP86" s="353"/>
      <c r="EQ86" s="355">
        <f>EQ85+EQ82</f>
        <v>240</v>
      </c>
      <c r="ER86" s="356"/>
      <c r="ES86" s="357"/>
      <c r="ET86" s="198"/>
      <c r="EV86" s="280"/>
      <c r="EW86" s="281"/>
      <c r="EX86" s="282"/>
    </row>
    <row r="87" spans="1:162" s="86" customFormat="1" ht="78.75" customHeight="1" thickTop="1" x14ac:dyDescent="0.65">
      <c r="A87" s="52"/>
      <c r="B87" s="131" t="s">
        <v>98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550"/>
      <c r="AA87" s="550"/>
      <c r="AB87" s="550"/>
      <c r="AC87" s="551"/>
      <c r="AD87" s="36"/>
      <c r="AE87" s="36"/>
      <c r="AF87" s="52"/>
      <c r="AG87" s="36"/>
      <c r="AH87" s="36"/>
      <c r="AI87" s="36"/>
      <c r="AJ87" s="52"/>
      <c r="AK87" s="36"/>
      <c r="AL87" s="36"/>
      <c r="AM87" s="36"/>
      <c r="AN87" s="52"/>
      <c r="AO87" s="36"/>
      <c r="AP87" s="36"/>
      <c r="AQ87" s="36"/>
      <c r="AR87" s="52"/>
      <c r="AS87" s="36"/>
      <c r="AT87" s="36"/>
      <c r="AU87" s="36"/>
      <c r="AV87" s="52"/>
      <c r="AW87" s="36"/>
      <c r="AX87" s="36"/>
      <c r="AY87" s="36"/>
      <c r="AZ87" s="52"/>
      <c r="BA87" s="36"/>
      <c r="BB87" s="36"/>
      <c r="BC87" s="36"/>
      <c r="BD87" s="52"/>
      <c r="BE87" s="52"/>
      <c r="BF87" s="52"/>
      <c r="BG87" s="52"/>
      <c r="BH87" s="52"/>
      <c r="BI87" s="52"/>
      <c r="BJ87" s="52"/>
      <c r="BK87" s="36"/>
      <c r="BL87" s="36"/>
      <c r="BM87" s="36"/>
      <c r="BN87" s="52"/>
      <c r="BO87" s="36"/>
      <c r="BP87" s="52"/>
      <c r="BQ87" s="52"/>
      <c r="BR87" s="52"/>
      <c r="BS87" s="36"/>
      <c r="BT87" s="52"/>
      <c r="BU87" s="52"/>
      <c r="BV87" s="52"/>
      <c r="BW87" s="36"/>
      <c r="BX87" s="52"/>
      <c r="BY87" s="52"/>
      <c r="BZ87" s="52"/>
      <c r="CA87" s="36"/>
      <c r="CB87" s="52"/>
      <c r="CC87" s="52"/>
      <c r="CD87" s="52"/>
      <c r="CE87" s="36"/>
      <c r="CF87" s="52"/>
      <c r="CG87" s="52"/>
      <c r="CH87" s="52"/>
      <c r="CI87" s="36"/>
      <c r="CJ87" s="52"/>
      <c r="CK87" s="52"/>
      <c r="CL87" s="52"/>
      <c r="CM87" s="36"/>
      <c r="CN87" s="52"/>
      <c r="CO87" s="52"/>
      <c r="CP87" s="52"/>
      <c r="CQ87" s="36"/>
      <c r="CR87" s="52"/>
      <c r="CS87" s="52"/>
      <c r="CT87" s="52"/>
      <c r="CU87" s="36"/>
      <c r="CV87" s="52"/>
      <c r="CW87" s="52"/>
      <c r="CX87" s="52"/>
      <c r="CY87" s="36"/>
      <c r="CZ87" s="52"/>
      <c r="DA87" s="52"/>
      <c r="DB87" s="52"/>
      <c r="DC87" s="36"/>
      <c r="DD87" s="52"/>
      <c r="DE87" s="52"/>
      <c r="DF87" s="52"/>
      <c r="DG87" s="36"/>
      <c r="DH87" s="52"/>
      <c r="DI87" s="52"/>
      <c r="DJ87" s="52"/>
      <c r="DK87" s="36"/>
      <c r="DL87" s="52"/>
      <c r="DM87" s="52"/>
      <c r="DN87" s="52"/>
      <c r="DO87" s="36"/>
      <c r="DP87" s="52"/>
      <c r="DQ87" s="52"/>
      <c r="DR87" s="52"/>
      <c r="DS87" s="36"/>
      <c r="DT87" s="52"/>
      <c r="DU87" s="52"/>
      <c r="DV87" s="52"/>
      <c r="DW87" s="36"/>
      <c r="DX87" s="52"/>
      <c r="DY87" s="52"/>
      <c r="DZ87" s="52"/>
      <c r="EA87" s="36"/>
      <c r="EB87" s="52"/>
      <c r="EC87" s="52"/>
      <c r="ED87" s="52"/>
      <c r="EE87" s="36"/>
      <c r="EF87" s="52"/>
      <c r="EG87" s="52"/>
      <c r="EH87" s="52"/>
      <c r="EI87" s="36"/>
      <c r="EJ87" s="52"/>
      <c r="EK87" s="52"/>
      <c r="EL87" s="52"/>
      <c r="EM87" s="36"/>
      <c r="EN87" s="52"/>
      <c r="EO87" s="52"/>
      <c r="EP87" s="52"/>
      <c r="EQ87" s="69"/>
      <c r="ER87" s="69"/>
      <c r="ES87" s="12"/>
      <c r="ET87" s="200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</row>
    <row r="88" spans="1:162" s="86" customFormat="1" ht="120.75" customHeight="1" x14ac:dyDescent="0.65">
      <c r="A88" s="52"/>
      <c r="B88" s="509" t="s">
        <v>235</v>
      </c>
      <c r="C88" s="509"/>
      <c r="D88" s="509"/>
      <c r="E88" s="509"/>
      <c r="F88" s="509"/>
      <c r="G88" s="509"/>
      <c r="H88" s="509"/>
      <c r="I88" s="509"/>
      <c r="J88" s="509"/>
      <c r="K88" s="509"/>
      <c r="L88" s="509"/>
      <c r="M88" s="509"/>
      <c r="N88" s="509"/>
      <c r="O88" s="509"/>
      <c r="P88" s="509"/>
      <c r="Q88" s="509"/>
      <c r="R88" s="509"/>
      <c r="S88" s="509"/>
      <c r="T88" s="509"/>
      <c r="U88" s="509"/>
      <c r="V88" s="509"/>
      <c r="W88" s="509"/>
      <c r="X88" s="509"/>
      <c r="Y88" s="509"/>
      <c r="Z88" s="509"/>
      <c r="AA88" s="509"/>
      <c r="AB88" s="509"/>
      <c r="AC88" s="509"/>
      <c r="AD88" s="509"/>
      <c r="AE88" s="509"/>
      <c r="AF88" s="509"/>
      <c r="AG88" s="509"/>
      <c r="AH88" s="509"/>
      <c r="AI88" s="509"/>
      <c r="AJ88" s="509"/>
      <c r="AK88" s="509"/>
      <c r="AL88" s="509"/>
      <c r="AM88" s="509"/>
      <c r="AN88" s="509"/>
      <c r="AO88" s="509"/>
      <c r="AP88" s="509"/>
      <c r="AQ88" s="509"/>
      <c r="AR88" s="509"/>
      <c r="AS88" s="509"/>
      <c r="AT88" s="509"/>
      <c r="AU88" s="509"/>
      <c r="AV88" s="509"/>
      <c r="AW88" s="509"/>
      <c r="AX88" s="509"/>
      <c r="AY88" s="509"/>
      <c r="AZ88" s="509"/>
      <c r="BA88" s="509"/>
      <c r="BB88" s="509"/>
      <c r="BC88" s="509"/>
      <c r="BD88" s="509"/>
      <c r="BE88" s="509"/>
      <c r="BF88" s="509"/>
      <c r="BG88" s="509"/>
      <c r="BH88" s="509"/>
      <c r="BI88" s="509"/>
      <c r="BJ88" s="509"/>
      <c r="BK88" s="509"/>
      <c r="BL88" s="509"/>
      <c r="BM88" s="509"/>
      <c r="BN88" s="509"/>
      <c r="BO88" s="509"/>
      <c r="BP88" s="509"/>
      <c r="BQ88" s="509"/>
      <c r="BR88" s="509"/>
      <c r="BS88" s="509"/>
      <c r="BT88" s="509"/>
      <c r="BU88" s="509"/>
      <c r="BV88" s="509"/>
      <c r="BW88" s="509"/>
      <c r="BX88" s="509"/>
      <c r="BY88" s="509"/>
      <c r="BZ88" s="509"/>
      <c r="CA88" s="509"/>
      <c r="CB88" s="509"/>
      <c r="CC88" s="509"/>
      <c r="CD88" s="509"/>
      <c r="CE88" s="509"/>
      <c r="CF88" s="509"/>
      <c r="CG88" s="509"/>
      <c r="CH88" s="509"/>
      <c r="CI88" s="509"/>
      <c r="CJ88" s="509"/>
      <c r="CK88" s="509"/>
      <c r="CL88" s="509"/>
      <c r="CM88" s="509"/>
      <c r="CN88" s="509"/>
      <c r="CO88" s="509"/>
      <c r="CP88" s="509"/>
      <c r="CQ88" s="509"/>
      <c r="CR88" s="509"/>
      <c r="CS88" s="509"/>
      <c r="CT88" s="509"/>
      <c r="CU88" s="509"/>
      <c r="CV88" s="509"/>
      <c r="CW88" s="509"/>
      <c r="CX88" s="509"/>
      <c r="CY88" s="509"/>
      <c r="CZ88" s="509"/>
      <c r="DA88" s="509"/>
      <c r="DB88" s="509"/>
      <c r="DC88" s="509"/>
      <c r="DD88" s="509"/>
      <c r="DE88" s="509"/>
      <c r="DF88" s="509"/>
      <c r="DG88" s="509"/>
      <c r="DH88" s="509"/>
      <c r="DI88" s="509"/>
      <c r="DJ88" s="509"/>
      <c r="DK88" s="509"/>
      <c r="DL88" s="509"/>
      <c r="DM88" s="509"/>
      <c r="DN88" s="509"/>
      <c r="DO88" s="509"/>
      <c r="DP88" s="509"/>
      <c r="DQ88" s="509"/>
      <c r="DR88" s="509"/>
      <c r="DS88" s="509"/>
      <c r="DT88" s="509"/>
      <c r="DU88" s="509"/>
      <c r="DV88" s="509"/>
      <c r="DW88" s="509"/>
      <c r="DX88" s="509"/>
      <c r="DY88" s="509"/>
      <c r="DZ88" s="509"/>
      <c r="EA88" s="509"/>
      <c r="EB88" s="509"/>
      <c r="EC88" s="509"/>
      <c r="ED88" s="509"/>
      <c r="EE88" s="509"/>
      <c r="EF88" s="509"/>
      <c r="EG88" s="509"/>
      <c r="EH88" s="509"/>
      <c r="EI88" s="509"/>
      <c r="EJ88" s="509"/>
      <c r="EK88" s="509"/>
      <c r="EL88" s="509"/>
      <c r="EM88" s="509"/>
      <c r="EN88" s="509"/>
      <c r="EO88" s="509"/>
      <c r="EP88" s="509"/>
      <c r="EQ88" s="509"/>
      <c r="ER88" s="509"/>
      <c r="ES88" s="509"/>
      <c r="ET88" s="200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</row>
    <row r="89" spans="1:162" s="86" customFormat="1" ht="120.75" customHeight="1" x14ac:dyDescent="0.65">
      <c r="A89" s="3"/>
      <c r="B89" s="509" t="s">
        <v>236</v>
      </c>
      <c r="C89" s="509"/>
      <c r="D89" s="509"/>
      <c r="E89" s="509"/>
      <c r="F89" s="509"/>
      <c r="G89" s="509"/>
      <c r="H89" s="509"/>
      <c r="I89" s="509"/>
      <c r="J89" s="509"/>
      <c r="K89" s="509"/>
      <c r="L89" s="509"/>
      <c r="M89" s="509"/>
      <c r="N89" s="509"/>
      <c r="O89" s="509"/>
      <c r="P89" s="509"/>
      <c r="Q89" s="509"/>
      <c r="R89" s="509"/>
      <c r="S89" s="509"/>
      <c r="T89" s="509"/>
      <c r="U89" s="509"/>
      <c r="V89" s="509"/>
      <c r="W89" s="509"/>
      <c r="X89" s="509"/>
      <c r="Y89" s="509"/>
      <c r="Z89" s="509"/>
      <c r="AA89" s="509"/>
      <c r="AB89" s="509"/>
      <c r="AC89" s="509"/>
      <c r="AD89" s="509"/>
      <c r="AE89" s="509"/>
      <c r="AF89" s="509"/>
      <c r="AG89" s="509"/>
      <c r="AH89" s="509"/>
      <c r="AI89" s="509"/>
      <c r="AJ89" s="509"/>
      <c r="AK89" s="509"/>
      <c r="AL89" s="509"/>
      <c r="AM89" s="509"/>
      <c r="AN89" s="509"/>
      <c r="AO89" s="509"/>
      <c r="AP89" s="509"/>
      <c r="AQ89" s="509"/>
      <c r="AR89" s="509"/>
      <c r="AS89" s="509"/>
      <c r="AT89" s="509"/>
      <c r="AU89" s="509"/>
      <c r="AV89" s="509"/>
      <c r="AW89" s="509"/>
      <c r="AX89" s="509"/>
      <c r="AY89" s="509"/>
      <c r="AZ89" s="509"/>
      <c r="BA89" s="509"/>
      <c r="BB89" s="509"/>
      <c r="BC89" s="509"/>
      <c r="BD89" s="509"/>
      <c r="BE89" s="509"/>
      <c r="BF89" s="509"/>
      <c r="BG89" s="509"/>
      <c r="BH89" s="509"/>
      <c r="BI89" s="509"/>
      <c r="BJ89" s="509"/>
      <c r="BK89" s="509"/>
      <c r="BL89" s="509"/>
      <c r="BM89" s="509"/>
      <c r="BN89" s="509"/>
      <c r="BO89" s="509"/>
      <c r="BP89" s="509"/>
      <c r="BQ89" s="509"/>
      <c r="BR89" s="509"/>
      <c r="BS89" s="509"/>
      <c r="BT89" s="509"/>
      <c r="BU89" s="509"/>
      <c r="BV89" s="509"/>
      <c r="BW89" s="509"/>
      <c r="BX89" s="509"/>
      <c r="BY89" s="509"/>
      <c r="BZ89" s="509"/>
      <c r="CA89" s="509"/>
      <c r="CB89" s="509"/>
      <c r="CC89" s="509"/>
      <c r="CD89" s="509"/>
      <c r="CE89" s="509"/>
      <c r="CF89" s="509"/>
      <c r="CG89" s="509"/>
      <c r="CH89" s="509"/>
      <c r="CI89" s="509"/>
      <c r="CJ89" s="509"/>
      <c r="CK89" s="509"/>
      <c r="CL89" s="509"/>
      <c r="CM89" s="509"/>
      <c r="CN89" s="509"/>
      <c r="CO89" s="509"/>
      <c r="CP89" s="509"/>
      <c r="CQ89" s="509"/>
      <c r="CR89" s="509"/>
      <c r="CS89" s="509"/>
      <c r="CT89" s="509"/>
      <c r="CU89" s="509"/>
      <c r="CV89" s="509"/>
      <c r="CW89" s="509"/>
      <c r="CX89" s="509"/>
      <c r="CY89" s="509"/>
      <c r="CZ89" s="509"/>
      <c r="DA89" s="509"/>
      <c r="DB89" s="509"/>
      <c r="DC89" s="509"/>
      <c r="DD89" s="509"/>
      <c r="DE89" s="509"/>
      <c r="DF89" s="509"/>
      <c r="DG89" s="509"/>
      <c r="DH89" s="509"/>
      <c r="DI89" s="509"/>
      <c r="DJ89" s="509"/>
      <c r="DK89" s="509"/>
      <c r="DL89" s="509"/>
      <c r="DM89" s="509"/>
      <c r="DN89" s="509"/>
      <c r="DO89" s="509"/>
      <c r="DP89" s="509"/>
      <c r="DQ89" s="509"/>
      <c r="DR89" s="509"/>
      <c r="DS89" s="509"/>
      <c r="DT89" s="509"/>
      <c r="DU89" s="509"/>
      <c r="DV89" s="509"/>
      <c r="DW89" s="509"/>
      <c r="DX89" s="509"/>
      <c r="DY89" s="509"/>
      <c r="DZ89" s="509"/>
      <c r="EA89" s="509"/>
      <c r="EB89" s="509"/>
      <c r="EC89" s="509"/>
      <c r="ED89" s="509"/>
      <c r="EE89" s="509"/>
      <c r="EF89" s="509"/>
      <c r="EG89" s="509"/>
      <c r="EH89" s="509"/>
      <c r="EI89" s="509"/>
      <c r="EJ89" s="509"/>
      <c r="EK89" s="509"/>
      <c r="EL89" s="509"/>
      <c r="EM89" s="509"/>
      <c r="EN89" s="509"/>
      <c r="EO89" s="509"/>
      <c r="EP89" s="509"/>
      <c r="EQ89" s="509"/>
      <c r="ER89" s="509"/>
      <c r="ES89" s="509"/>
      <c r="ET89" s="200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</row>
    <row r="90" spans="1:162" s="86" customFormat="1" ht="120.75" customHeight="1" x14ac:dyDescent="0.65">
      <c r="A90" s="3"/>
      <c r="B90" s="538" t="s">
        <v>237</v>
      </c>
      <c r="C90" s="538"/>
      <c r="D90" s="538"/>
      <c r="E90" s="538"/>
      <c r="F90" s="538"/>
      <c r="G90" s="538"/>
      <c r="H90" s="538"/>
      <c r="I90" s="538"/>
      <c r="J90" s="538"/>
      <c r="K90" s="538"/>
      <c r="L90" s="538"/>
      <c r="M90" s="538"/>
      <c r="N90" s="538"/>
      <c r="O90" s="538"/>
      <c r="P90" s="538"/>
      <c r="Q90" s="538"/>
      <c r="R90" s="538"/>
      <c r="S90" s="538"/>
      <c r="T90" s="538"/>
      <c r="U90" s="538"/>
      <c r="V90" s="538"/>
      <c r="W90" s="538"/>
      <c r="X90" s="538"/>
      <c r="Y90" s="538"/>
      <c r="Z90" s="538"/>
      <c r="AA90" s="538"/>
      <c r="AB90" s="538"/>
      <c r="AC90" s="538"/>
      <c r="AD90" s="538"/>
      <c r="AE90" s="538"/>
      <c r="AF90" s="538"/>
      <c r="AG90" s="538"/>
      <c r="AH90" s="538"/>
      <c r="AI90" s="538"/>
      <c r="AJ90" s="538"/>
      <c r="AK90" s="538"/>
      <c r="AL90" s="538"/>
      <c r="AM90" s="538"/>
      <c r="AN90" s="538"/>
      <c r="AO90" s="538"/>
      <c r="AP90" s="538"/>
      <c r="AQ90" s="538"/>
      <c r="AR90" s="538"/>
      <c r="AS90" s="538"/>
      <c r="AT90" s="538"/>
      <c r="AU90" s="538"/>
      <c r="AV90" s="538"/>
      <c r="AW90" s="538"/>
      <c r="AX90" s="538"/>
      <c r="AY90" s="538"/>
      <c r="AZ90" s="538"/>
      <c r="BA90" s="538"/>
      <c r="BB90" s="538"/>
      <c r="BC90" s="538"/>
      <c r="BD90" s="538"/>
      <c r="BE90" s="538"/>
      <c r="BF90" s="538"/>
      <c r="BG90" s="538"/>
      <c r="BH90" s="538"/>
      <c r="BI90" s="538"/>
      <c r="BJ90" s="538"/>
      <c r="BK90" s="538"/>
      <c r="BL90" s="538"/>
      <c r="BM90" s="538"/>
      <c r="BN90" s="538"/>
      <c r="BO90" s="538"/>
      <c r="BP90" s="538"/>
      <c r="BQ90" s="538"/>
      <c r="BR90" s="538"/>
      <c r="BS90" s="538"/>
      <c r="BT90" s="538"/>
      <c r="BU90" s="538"/>
      <c r="BV90" s="538"/>
      <c r="BW90" s="538"/>
      <c r="BX90" s="538"/>
      <c r="BY90" s="538"/>
      <c r="BZ90" s="538"/>
      <c r="CA90" s="538"/>
      <c r="CB90" s="538"/>
      <c r="CC90" s="538"/>
      <c r="CD90" s="538"/>
      <c r="CE90" s="538"/>
      <c r="CF90" s="538"/>
      <c r="CG90" s="538"/>
      <c r="CH90" s="538"/>
      <c r="CI90" s="538"/>
      <c r="CJ90" s="538"/>
      <c r="CK90" s="538"/>
      <c r="CL90" s="538"/>
      <c r="CM90" s="538"/>
      <c r="CN90" s="538"/>
      <c r="CO90" s="538"/>
      <c r="CP90" s="538"/>
      <c r="CQ90" s="538"/>
      <c r="CR90" s="538"/>
      <c r="CS90" s="538"/>
      <c r="CT90" s="538"/>
      <c r="CU90" s="538"/>
      <c r="CV90" s="538"/>
      <c r="CW90" s="538"/>
      <c r="CX90" s="538"/>
      <c r="CY90" s="538"/>
      <c r="CZ90" s="538"/>
      <c r="DA90" s="538"/>
      <c r="DB90" s="538"/>
      <c r="DC90" s="538"/>
      <c r="DD90" s="538"/>
      <c r="DE90" s="538"/>
      <c r="DF90" s="538"/>
      <c r="DG90" s="538"/>
      <c r="DH90" s="538"/>
      <c r="DI90" s="538"/>
      <c r="DJ90" s="538"/>
      <c r="DK90" s="538"/>
      <c r="DL90" s="538"/>
      <c r="DM90" s="538"/>
      <c r="DN90" s="538"/>
      <c r="DO90" s="538"/>
      <c r="DP90" s="538"/>
      <c r="DQ90" s="538"/>
      <c r="DR90" s="538"/>
      <c r="DS90" s="538"/>
      <c r="DT90" s="538"/>
      <c r="DU90" s="538"/>
      <c r="DV90" s="538"/>
      <c r="DW90" s="538"/>
      <c r="DX90" s="538"/>
      <c r="DY90" s="538"/>
      <c r="DZ90" s="538"/>
      <c r="EA90" s="538"/>
      <c r="EB90" s="538"/>
      <c r="EC90" s="538"/>
      <c r="ED90" s="538"/>
      <c r="EE90" s="538"/>
      <c r="EF90" s="538"/>
      <c r="EG90" s="538"/>
      <c r="EH90" s="538"/>
      <c r="EI90" s="538"/>
      <c r="EJ90" s="538"/>
      <c r="EK90" s="538"/>
      <c r="EL90" s="538"/>
      <c r="EM90" s="538"/>
      <c r="EN90" s="538"/>
      <c r="EO90" s="538"/>
      <c r="EP90" s="538"/>
      <c r="EQ90" s="538"/>
      <c r="ER90" s="538"/>
      <c r="ES90" s="538"/>
      <c r="ET90" s="200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</row>
    <row r="91" spans="1:162" s="86" customFormat="1" ht="120.75" customHeight="1" x14ac:dyDescent="0.65">
      <c r="A91" s="3"/>
      <c r="B91" s="538" t="s">
        <v>238</v>
      </c>
      <c r="C91" s="538"/>
      <c r="D91" s="538"/>
      <c r="E91" s="538"/>
      <c r="F91" s="538"/>
      <c r="G91" s="538"/>
      <c r="H91" s="538"/>
      <c r="I91" s="538"/>
      <c r="J91" s="538"/>
      <c r="K91" s="538"/>
      <c r="L91" s="538"/>
      <c r="M91" s="538"/>
      <c r="N91" s="538"/>
      <c r="O91" s="538"/>
      <c r="P91" s="538"/>
      <c r="Q91" s="538"/>
      <c r="R91" s="538"/>
      <c r="S91" s="538"/>
      <c r="T91" s="538"/>
      <c r="U91" s="538"/>
      <c r="V91" s="538"/>
      <c r="W91" s="538"/>
      <c r="X91" s="538"/>
      <c r="Y91" s="538"/>
      <c r="Z91" s="538"/>
      <c r="AA91" s="538"/>
      <c r="AB91" s="538"/>
      <c r="AC91" s="538"/>
      <c r="AD91" s="538"/>
      <c r="AE91" s="538"/>
      <c r="AF91" s="538"/>
      <c r="AG91" s="538"/>
      <c r="AH91" s="538"/>
      <c r="AI91" s="538"/>
      <c r="AJ91" s="538"/>
      <c r="AK91" s="538"/>
      <c r="AL91" s="538"/>
      <c r="AM91" s="538"/>
      <c r="AN91" s="538"/>
      <c r="AO91" s="538"/>
      <c r="AP91" s="538"/>
      <c r="AQ91" s="538"/>
      <c r="AR91" s="538"/>
      <c r="AS91" s="538"/>
      <c r="AT91" s="538"/>
      <c r="AU91" s="538"/>
      <c r="AV91" s="538"/>
      <c r="AW91" s="538"/>
      <c r="AX91" s="538"/>
      <c r="AY91" s="538"/>
      <c r="AZ91" s="538"/>
      <c r="BA91" s="538"/>
      <c r="BB91" s="538"/>
      <c r="BC91" s="538"/>
      <c r="BD91" s="538"/>
      <c r="BE91" s="538"/>
      <c r="BF91" s="538"/>
      <c r="BG91" s="538"/>
      <c r="BH91" s="538"/>
      <c r="BI91" s="538"/>
      <c r="BJ91" s="538"/>
      <c r="BK91" s="538"/>
      <c r="BL91" s="538"/>
      <c r="BM91" s="538"/>
      <c r="BN91" s="538"/>
      <c r="BO91" s="538"/>
      <c r="BP91" s="538"/>
      <c r="BQ91" s="538"/>
      <c r="BR91" s="538"/>
      <c r="BS91" s="538"/>
      <c r="BT91" s="538"/>
      <c r="BU91" s="538"/>
      <c r="BV91" s="538"/>
      <c r="BW91" s="538"/>
      <c r="BX91" s="538"/>
      <c r="BY91" s="538"/>
      <c r="BZ91" s="538"/>
      <c r="CA91" s="538"/>
      <c r="CB91" s="538"/>
      <c r="CC91" s="538"/>
      <c r="CD91" s="538"/>
      <c r="CE91" s="538"/>
      <c r="CF91" s="538"/>
      <c r="CG91" s="538"/>
      <c r="CH91" s="538"/>
      <c r="CI91" s="538"/>
      <c r="CJ91" s="538"/>
      <c r="CK91" s="538"/>
      <c r="CL91" s="538"/>
      <c r="CM91" s="538"/>
      <c r="CN91" s="538"/>
      <c r="CO91" s="538"/>
      <c r="CP91" s="538"/>
      <c r="CQ91" s="538"/>
      <c r="CR91" s="538"/>
      <c r="CS91" s="538"/>
      <c r="CT91" s="538"/>
      <c r="CU91" s="538"/>
      <c r="CV91" s="538"/>
      <c r="CW91" s="538"/>
      <c r="CX91" s="538"/>
      <c r="CY91" s="538"/>
      <c r="CZ91" s="538"/>
      <c r="DA91" s="538"/>
      <c r="DB91" s="538"/>
      <c r="DC91" s="538"/>
      <c r="DD91" s="538"/>
      <c r="DE91" s="538"/>
      <c r="DF91" s="538"/>
      <c r="DG91" s="538"/>
      <c r="DH91" s="538"/>
      <c r="DI91" s="538"/>
      <c r="DJ91" s="538"/>
      <c r="DK91" s="538"/>
      <c r="DL91" s="538"/>
      <c r="DM91" s="538"/>
      <c r="DN91" s="538"/>
      <c r="DO91" s="538"/>
      <c r="DP91" s="538"/>
      <c r="DQ91" s="538"/>
      <c r="DR91" s="538"/>
      <c r="DS91" s="538"/>
      <c r="DT91" s="538"/>
      <c r="DU91" s="538"/>
      <c r="DV91" s="538"/>
      <c r="DW91" s="538"/>
      <c r="DX91" s="538"/>
      <c r="DY91" s="538"/>
      <c r="DZ91" s="538"/>
      <c r="EA91" s="538"/>
      <c r="EB91" s="538"/>
      <c r="EC91" s="538"/>
      <c r="ED91" s="538"/>
      <c r="EE91" s="538"/>
      <c r="EF91" s="538"/>
      <c r="EG91" s="538"/>
      <c r="EH91" s="538"/>
      <c r="EI91" s="538"/>
      <c r="EJ91" s="538"/>
      <c r="EK91" s="538"/>
      <c r="EL91" s="538"/>
      <c r="EM91" s="538"/>
      <c r="EN91" s="538"/>
      <c r="EO91" s="538"/>
      <c r="EP91" s="538"/>
      <c r="EQ91" s="538"/>
      <c r="ER91" s="538"/>
      <c r="ES91" s="538"/>
      <c r="ET91" s="200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</row>
    <row r="92" spans="1:162" s="8" customFormat="1" ht="27" customHeight="1" x14ac:dyDescent="0.65">
      <c r="A92" s="70"/>
      <c r="B92" s="70"/>
      <c r="C92" s="16"/>
      <c r="D92" s="16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17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9"/>
      <c r="EI92" s="71"/>
      <c r="EJ92" s="71"/>
      <c r="EK92" s="71"/>
      <c r="EL92" s="71"/>
      <c r="EM92" s="71"/>
      <c r="EN92" s="71"/>
      <c r="EO92" s="71"/>
      <c r="EP92" s="9"/>
      <c r="EQ92" s="71"/>
      <c r="ER92" s="71"/>
      <c r="ES92" s="71"/>
      <c r="ET92" s="200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</row>
    <row r="93" spans="1:162" s="8" customFormat="1" ht="32.25" customHeight="1" x14ac:dyDescent="0.65">
      <c r="A93" s="70"/>
      <c r="B93" s="70"/>
      <c r="C93" s="16"/>
      <c r="D93" s="16"/>
      <c r="E93" s="539"/>
      <c r="F93" s="539"/>
      <c r="G93" s="539"/>
      <c r="H93" s="539"/>
      <c r="I93" s="539"/>
      <c r="J93" s="539"/>
      <c r="K93" s="539"/>
      <c r="L93" s="539"/>
      <c r="M93" s="539"/>
      <c r="N93" s="539"/>
      <c r="O93" s="539"/>
      <c r="P93" s="539"/>
      <c r="Q93" s="539"/>
      <c r="R93" s="539"/>
      <c r="S93" s="539"/>
      <c r="T93" s="539"/>
      <c r="U93" s="539"/>
      <c r="V93" s="539"/>
      <c r="W93" s="539"/>
      <c r="X93" s="539"/>
      <c r="Y93" s="539"/>
      <c r="Z93" s="539"/>
      <c r="AA93" s="539"/>
      <c r="AB93" s="539"/>
      <c r="AC93" s="539"/>
      <c r="AD93" s="539"/>
      <c r="AE93" s="539"/>
      <c r="AF93" s="539"/>
      <c r="AG93" s="539"/>
      <c r="AH93" s="539"/>
      <c r="AI93" s="539"/>
      <c r="AJ93" s="539"/>
      <c r="AK93" s="539"/>
      <c r="AL93" s="539"/>
      <c r="AM93" s="539"/>
      <c r="AN93" s="539"/>
      <c r="AO93" s="539"/>
      <c r="AP93" s="539"/>
      <c r="AQ93" s="539"/>
      <c r="AR93" s="539"/>
      <c r="AS93" s="539"/>
      <c r="AT93" s="539"/>
      <c r="AU93" s="539"/>
      <c r="AV93" s="539"/>
      <c r="AW93" s="539"/>
      <c r="AX93" s="539"/>
      <c r="AY93" s="539"/>
      <c r="AZ93" s="539"/>
      <c r="BA93" s="539"/>
      <c r="BB93" s="539"/>
      <c r="BC93" s="539"/>
      <c r="BD93" s="539"/>
      <c r="BE93" s="539"/>
      <c r="BF93" s="539"/>
      <c r="BG93" s="539"/>
      <c r="BH93" s="539"/>
      <c r="BI93" s="539"/>
      <c r="BJ93" s="539"/>
      <c r="BK93" s="539"/>
      <c r="BL93" s="539"/>
      <c r="BM93" s="539"/>
      <c r="BN93" s="539"/>
      <c r="BO93" s="539"/>
      <c r="BP93" s="539"/>
      <c r="BQ93" s="539"/>
      <c r="BR93" s="539"/>
      <c r="BS93" s="539"/>
      <c r="BT93" s="539"/>
      <c r="BU93" s="539"/>
      <c r="BV93" s="539"/>
      <c r="BW93" s="539"/>
      <c r="BX93" s="539"/>
      <c r="BY93" s="539"/>
      <c r="BZ93" s="539"/>
      <c r="CA93" s="539"/>
      <c r="CB93" s="539"/>
      <c r="CC93" s="539"/>
      <c r="CD93" s="539"/>
      <c r="CE93" s="539"/>
      <c r="CF93" s="539"/>
      <c r="CG93" s="539"/>
      <c r="CH93" s="539"/>
      <c r="CI93" s="539"/>
      <c r="CJ93" s="539"/>
      <c r="CK93" s="539"/>
      <c r="CL93" s="539"/>
      <c r="CM93" s="539"/>
      <c r="CN93" s="539"/>
      <c r="CO93" s="539"/>
      <c r="CP93" s="539"/>
      <c r="CQ93" s="539"/>
      <c r="CR93" s="539"/>
      <c r="CS93" s="539"/>
      <c r="CT93" s="539"/>
      <c r="CU93" s="539"/>
      <c r="CV93" s="539"/>
      <c r="CW93" s="539"/>
      <c r="CX93" s="539"/>
      <c r="CY93" s="539"/>
      <c r="CZ93" s="539"/>
      <c r="DA93" s="539"/>
      <c r="DB93" s="539"/>
      <c r="DC93" s="539"/>
      <c r="DD93" s="539"/>
      <c r="DE93" s="539"/>
      <c r="DF93" s="539"/>
      <c r="DG93" s="539"/>
      <c r="DH93" s="539"/>
      <c r="DI93" s="539"/>
      <c r="DJ93" s="539"/>
      <c r="DK93" s="539"/>
      <c r="DL93" s="539"/>
      <c r="DM93" s="539"/>
      <c r="DN93" s="539"/>
      <c r="DO93" s="539"/>
      <c r="DP93" s="539"/>
      <c r="DQ93" s="35"/>
      <c r="DR93" s="17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9"/>
      <c r="EI93" s="71"/>
      <c r="EJ93" s="71"/>
      <c r="EK93" s="71"/>
      <c r="EL93" s="71"/>
      <c r="EM93" s="71"/>
      <c r="EN93" s="71"/>
      <c r="EO93" s="71"/>
      <c r="EP93" s="9"/>
      <c r="EQ93" s="71"/>
      <c r="ER93" s="71"/>
      <c r="ES93" s="71"/>
      <c r="ET93" s="200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</row>
    <row r="94" spans="1:162" ht="111.75" customHeight="1" x14ac:dyDescent="0.65">
      <c r="A94" s="3"/>
      <c r="B94" s="3"/>
      <c r="C94" s="72"/>
      <c r="D94" s="558" t="s">
        <v>99</v>
      </c>
      <c r="E94" s="558"/>
      <c r="F94" s="558"/>
      <c r="G94" s="558"/>
      <c r="H94" s="558"/>
      <c r="I94" s="558"/>
      <c r="J94" s="558"/>
      <c r="K94" s="558"/>
      <c r="L94" s="558"/>
      <c r="M94" s="558"/>
      <c r="N94" s="558"/>
      <c r="O94" s="558"/>
      <c r="P94" s="558"/>
      <c r="Q94" s="558"/>
      <c r="R94" s="558"/>
      <c r="S94" s="558"/>
      <c r="T94" s="558"/>
      <c r="U94" s="558"/>
      <c r="V94" s="558"/>
      <c r="W94" s="558"/>
      <c r="X94" s="558"/>
      <c r="Y94" s="558"/>
      <c r="Z94" s="558"/>
      <c r="AA94" s="558"/>
      <c r="AB94" s="558"/>
      <c r="AC94" s="558"/>
      <c r="AD94" s="558"/>
      <c r="AE94" s="543" t="s">
        <v>100</v>
      </c>
      <c r="AF94" s="544"/>
      <c r="AG94" s="544"/>
      <c r="AH94" s="544"/>
      <c r="AI94" s="544"/>
      <c r="AJ94" s="544"/>
      <c r="AK94" s="544"/>
      <c r="AL94" s="545"/>
      <c r="AM94" s="546" t="s">
        <v>101</v>
      </c>
      <c r="AN94" s="547"/>
      <c r="AO94" s="547"/>
      <c r="AP94" s="547"/>
      <c r="AQ94" s="547"/>
      <c r="AR94" s="547"/>
      <c r="AS94" s="547"/>
      <c r="AT94" s="548"/>
      <c r="AU94" s="526" t="s">
        <v>102</v>
      </c>
      <c r="AV94" s="527"/>
      <c r="AW94" s="527"/>
      <c r="AX94" s="527"/>
      <c r="AY94" s="527"/>
      <c r="AZ94" s="527"/>
      <c r="BA94" s="527"/>
      <c r="BB94" s="527"/>
      <c r="BC94" s="527"/>
      <c r="BD94" s="527"/>
      <c r="BE94" s="527"/>
      <c r="BF94" s="527"/>
      <c r="BG94" s="527"/>
      <c r="BH94" s="527"/>
      <c r="BI94" s="527"/>
      <c r="BJ94" s="527"/>
      <c r="BK94" s="527"/>
      <c r="BL94" s="527"/>
      <c r="BM94" s="527"/>
      <c r="BN94" s="527"/>
      <c r="BO94" s="527"/>
      <c r="BP94" s="527"/>
      <c r="BQ94" s="527"/>
      <c r="BR94" s="527"/>
      <c r="BS94" s="527"/>
      <c r="BT94" s="527"/>
      <c r="BU94" s="527"/>
      <c r="BV94" s="527"/>
      <c r="BW94" s="527"/>
      <c r="BX94" s="527"/>
      <c r="BY94" s="527"/>
      <c r="BZ94" s="527"/>
      <c r="CA94" s="527"/>
      <c r="CB94" s="527"/>
      <c r="CC94" s="527"/>
      <c r="CD94" s="527"/>
      <c r="CE94" s="527"/>
      <c r="CF94" s="527"/>
      <c r="CG94" s="527"/>
      <c r="CH94" s="528"/>
      <c r="CI94" s="1"/>
      <c r="CJ94" s="1"/>
      <c r="CK94" s="1"/>
      <c r="CL94" s="1"/>
      <c r="CM94" s="154"/>
      <c r="CN94" s="155"/>
      <c r="CO94" s="155"/>
      <c r="CP94" s="155"/>
      <c r="CQ94" s="155"/>
      <c r="CR94" s="155"/>
      <c r="CS94" s="155"/>
      <c r="CT94" s="155"/>
      <c r="CU94" s="155"/>
      <c r="CV94" s="155"/>
      <c r="CW94" s="155"/>
      <c r="CX94" s="155"/>
      <c r="CY94" s="155"/>
      <c r="CZ94" s="155"/>
      <c r="DA94" s="155"/>
      <c r="DB94" s="155"/>
      <c r="DC94" s="155"/>
      <c r="DD94" s="155"/>
      <c r="DE94" s="155"/>
      <c r="DF94" s="155"/>
      <c r="DG94" s="155"/>
      <c r="DH94" s="155"/>
      <c r="DI94" s="155"/>
      <c r="DJ94" s="155"/>
      <c r="DK94" s="155"/>
      <c r="DL94" s="155"/>
      <c r="DM94" s="155"/>
      <c r="DN94" s="155"/>
      <c r="DO94" s="155"/>
      <c r="DP94" s="155"/>
      <c r="DQ94" s="155"/>
      <c r="DR94" s="155"/>
      <c r="DS94" s="155"/>
      <c r="DT94" s="155"/>
      <c r="DU94" s="155"/>
      <c r="DV94" s="155"/>
      <c r="DW94" s="155"/>
      <c r="DX94" s="155"/>
      <c r="DY94" s="156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200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</row>
    <row r="95" spans="1:162" s="134" customFormat="1" ht="99.95" customHeight="1" x14ac:dyDescent="0.85">
      <c r="A95" s="132"/>
      <c r="B95" s="132"/>
      <c r="C95" s="133"/>
      <c r="D95" s="557" t="s">
        <v>103</v>
      </c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7"/>
      <c r="P95" s="557"/>
      <c r="Q95" s="557"/>
      <c r="R95" s="557"/>
      <c r="S95" s="557"/>
      <c r="T95" s="557"/>
      <c r="U95" s="557"/>
      <c r="V95" s="557"/>
      <c r="W95" s="557"/>
      <c r="X95" s="557"/>
      <c r="Y95" s="557"/>
      <c r="Z95" s="557"/>
      <c r="AA95" s="557"/>
      <c r="AB95" s="557"/>
      <c r="AC95" s="557"/>
      <c r="AD95" s="557"/>
      <c r="AE95" s="517" t="s">
        <v>108</v>
      </c>
      <c r="AF95" s="517"/>
      <c r="AG95" s="517"/>
      <c r="AH95" s="517"/>
      <c r="AI95" s="517"/>
      <c r="AJ95" s="517"/>
      <c r="AK95" s="517"/>
      <c r="AL95" s="518"/>
      <c r="AM95" s="516" t="s">
        <v>114</v>
      </c>
      <c r="AN95" s="517"/>
      <c r="AO95" s="517"/>
      <c r="AP95" s="517"/>
      <c r="AQ95" s="517"/>
      <c r="AR95" s="517"/>
      <c r="AS95" s="517"/>
      <c r="AT95" s="518"/>
      <c r="AU95" s="529" t="s">
        <v>120</v>
      </c>
      <c r="AV95" s="530"/>
      <c r="AW95" s="530"/>
      <c r="AX95" s="530"/>
      <c r="AY95" s="530"/>
      <c r="AZ95" s="530"/>
      <c r="BA95" s="530"/>
      <c r="BB95" s="530"/>
      <c r="BC95" s="530"/>
      <c r="BD95" s="530"/>
      <c r="BE95" s="530"/>
      <c r="BF95" s="530"/>
      <c r="BG95" s="530"/>
      <c r="BH95" s="530"/>
      <c r="BI95" s="530"/>
      <c r="BJ95" s="530"/>
      <c r="BK95" s="530"/>
      <c r="BL95" s="530"/>
      <c r="BM95" s="530"/>
      <c r="BN95" s="530"/>
      <c r="BO95" s="530"/>
      <c r="BP95" s="530"/>
      <c r="BQ95" s="530"/>
      <c r="BR95" s="530"/>
      <c r="BS95" s="530"/>
      <c r="BT95" s="530"/>
      <c r="BU95" s="530"/>
      <c r="BV95" s="530"/>
      <c r="BW95" s="530"/>
      <c r="BX95" s="530"/>
      <c r="BY95" s="530"/>
      <c r="BZ95" s="530"/>
      <c r="CA95" s="530"/>
      <c r="CB95" s="530"/>
      <c r="CC95" s="530"/>
      <c r="CD95" s="530"/>
      <c r="CE95" s="530"/>
      <c r="CF95" s="530"/>
      <c r="CG95" s="530"/>
      <c r="CH95" s="531"/>
      <c r="CM95" s="338" t="s">
        <v>225</v>
      </c>
      <c r="CN95" s="339"/>
      <c r="CO95" s="339"/>
      <c r="CP95" s="339"/>
      <c r="CQ95" s="339"/>
      <c r="CR95" s="339"/>
      <c r="CS95" s="339"/>
      <c r="CT95" s="339"/>
      <c r="CU95" s="339"/>
      <c r="CV95" s="339"/>
      <c r="CW95" s="339"/>
      <c r="CX95" s="339"/>
      <c r="CY95" s="339"/>
      <c r="CZ95" s="339"/>
      <c r="DA95" s="339"/>
      <c r="DB95" s="339"/>
      <c r="DC95" s="339"/>
      <c r="DD95" s="339"/>
      <c r="DE95" s="339"/>
      <c r="DF95" s="339"/>
      <c r="DG95" s="339"/>
      <c r="DH95" s="339"/>
      <c r="DI95" s="339"/>
      <c r="DJ95" s="339"/>
      <c r="DK95" s="339"/>
      <c r="DL95" s="339"/>
      <c r="DM95" s="339"/>
      <c r="DN95" s="339"/>
      <c r="DO95" s="339"/>
      <c r="DP95" s="339"/>
      <c r="DQ95" s="339"/>
      <c r="DR95" s="339"/>
      <c r="DS95" s="339"/>
      <c r="DT95" s="339"/>
      <c r="DU95" s="339"/>
      <c r="DV95" s="339"/>
      <c r="DW95" s="339"/>
      <c r="DX95" s="339"/>
      <c r="DY95" s="340"/>
      <c r="ET95" s="201"/>
    </row>
    <row r="96" spans="1:162" s="134" customFormat="1" ht="99.95" customHeight="1" x14ac:dyDescent="0.85">
      <c r="A96" s="132"/>
      <c r="B96" s="132"/>
      <c r="C96" s="133"/>
      <c r="D96" s="559" t="s">
        <v>254</v>
      </c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59"/>
      <c r="P96" s="559"/>
      <c r="Q96" s="559"/>
      <c r="R96" s="559"/>
      <c r="S96" s="559"/>
      <c r="T96" s="559"/>
      <c r="U96" s="559"/>
      <c r="V96" s="559"/>
      <c r="W96" s="559"/>
      <c r="X96" s="559"/>
      <c r="Y96" s="559"/>
      <c r="Z96" s="559"/>
      <c r="AA96" s="559"/>
      <c r="AB96" s="559"/>
      <c r="AC96" s="559"/>
      <c r="AD96" s="559"/>
      <c r="AE96" s="516" t="s">
        <v>109</v>
      </c>
      <c r="AF96" s="517"/>
      <c r="AG96" s="517"/>
      <c r="AH96" s="517"/>
      <c r="AI96" s="517"/>
      <c r="AJ96" s="517"/>
      <c r="AK96" s="517"/>
      <c r="AL96" s="518"/>
      <c r="AM96" s="516" t="s">
        <v>115</v>
      </c>
      <c r="AN96" s="517"/>
      <c r="AO96" s="517"/>
      <c r="AP96" s="517"/>
      <c r="AQ96" s="517"/>
      <c r="AR96" s="517"/>
      <c r="AS96" s="517"/>
      <c r="AT96" s="518"/>
      <c r="AU96" s="532"/>
      <c r="AV96" s="533"/>
      <c r="AW96" s="533"/>
      <c r="AX96" s="533"/>
      <c r="AY96" s="533"/>
      <c r="AZ96" s="533"/>
      <c r="BA96" s="533"/>
      <c r="BB96" s="533"/>
      <c r="BC96" s="533"/>
      <c r="BD96" s="533"/>
      <c r="BE96" s="533"/>
      <c r="BF96" s="533"/>
      <c r="BG96" s="533"/>
      <c r="BH96" s="533"/>
      <c r="BI96" s="533"/>
      <c r="BJ96" s="533"/>
      <c r="BK96" s="533"/>
      <c r="BL96" s="533"/>
      <c r="BM96" s="533"/>
      <c r="BN96" s="533"/>
      <c r="BO96" s="533"/>
      <c r="BP96" s="533"/>
      <c r="BQ96" s="533"/>
      <c r="BR96" s="533"/>
      <c r="BS96" s="533"/>
      <c r="BT96" s="533"/>
      <c r="BU96" s="533"/>
      <c r="BV96" s="533"/>
      <c r="BW96" s="533"/>
      <c r="BX96" s="533"/>
      <c r="BY96" s="533"/>
      <c r="BZ96" s="533"/>
      <c r="CA96" s="533"/>
      <c r="CB96" s="533"/>
      <c r="CC96" s="533"/>
      <c r="CD96" s="533"/>
      <c r="CE96" s="533"/>
      <c r="CF96" s="533"/>
      <c r="CG96" s="533"/>
      <c r="CH96" s="534"/>
      <c r="CM96" s="338" t="s">
        <v>257</v>
      </c>
      <c r="CN96" s="339"/>
      <c r="CO96" s="339"/>
      <c r="CP96" s="339"/>
      <c r="CQ96" s="339"/>
      <c r="CR96" s="339"/>
      <c r="CS96" s="339"/>
      <c r="CT96" s="339"/>
      <c r="CU96" s="339"/>
      <c r="CV96" s="339"/>
      <c r="CW96" s="339"/>
      <c r="CX96" s="339"/>
      <c r="CY96" s="339"/>
      <c r="CZ96" s="339"/>
      <c r="DA96" s="339"/>
      <c r="DB96" s="339"/>
      <c r="DC96" s="339"/>
      <c r="DD96" s="339"/>
      <c r="DE96" s="339"/>
      <c r="DF96" s="339"/>
      <c r="DG96" s="339"/>
      <c r="DH96" s="339"/>
      <c r="DI96" s="339"/>
      <c r="DJ96" s="339"/>
      <c r="DK96" s="339"/>
      <c r="DL96" s="339"/>
      <c r="DM96" s="339"/>
      <c r="DN96" s="339"/>
      <c r="DO96" s="339"/>
      <c r="DP96" s="339"/>
      <c r="DQ96" s="339"/>
      <c r="DR96" s="339"/>
      <c r="DS96" s="339"/>
      <c r="DT96" s="339"/>
      <c r="DU96" s="339"/>
      <c r="DV96" s="339"/>
      <c r="DW96" s="339"/>
      <c r="DX96" s="339"/>
      <c r="DY96" s="340"/>
      <c r="ET96" s="201"/>
    </row>
    <row r="97" spans="1:162" s="134" customFormat="1" ht="99.95" customHeight="1" x14ac:dyDescent="0.85">
      <c r="A97" s="132"/>
      <c r="B97" s="132"/>
      <c r="C97" s="133"/>
      <c r="D97" s="559" t="s">
        <v>104</v>
      </c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59"/>
      <c r="AB97" s="559"/>
      <c r="AC97" s="559"/>
      <c r="AD97" s="559"/>
      <c r="AE97" s="516" t="s">
        <v>110</v>
      </c>
      <c r="AF97" s="517"/>
      <c r="AG97" s="517"/>
      <c r="AH97" s="517"/>
      <c r="AI97" s="517"/>
      <c r="AJ97" s="517"/>
      <c r="AK97" s="517"/>
      <c r="AL97" s="518"/>
      <c r="AM97" s="516" t="s">
        <v>116</v>
      </c>
      <c r="AN97" s="517"/>
      <c r="AO97" s="517"/>
      <c r="AP97" s="517"/>
      <c r="AQ97" s="517"/>
      <c r="AR97" s="517"/>
      <c r="AS97" s="517"/>
      <c r="AT97" s="518"/>
      <c r="AU97" s="532"/>
      <c r="AV97" s="533"/>
      <c r="AW97" s="533"/>
      <c r="AX97" s="533"/>
      <c r="AY97" s="533"/>
      <c r="AZ97" s="533"/>
      <c r="BA97" s="533"/>
      <c r="BB97" s="533"/>
      <c r="BC97" s="533"/>
      <c r="BD97" s="533"/>
      <c r="BE97" s="533"/>
      <c r="BF97" s="533"/>
      <c r="BG97" s="533"/>
      <c r="BH97" s="533"/>
      <c r="BI97" s="533"/>
      <c r="BJ97" s="533"/>
      <c r="BK97" s="533"/>
      <c r="BL97" s="533"/>
      <c r="BM97" s="533"/>
      <c r="BN97" s="533"/>
      <c r="BO97" s="533"/>
      <c r="BP97" s="533"/>
      <c r="BQ97" s="533"/>
      <c r="BR97" s="533"/>
      <c r="BS97" s="533"/>
      <c r="BT97" s="533"/>
      <c r="BU97" s="533"/>
      <c r="BV97" s="533"/>
      <c r="BW97" s="533"/>
      <c r="BX97" s="533"/>
      <c r="BY97" s="533"/>
      <c r="BZ97" s="533"/>
      <c r="CA97" s="533"/>
      <c r="CB97" s="533"/>
      <c r="CC97" s="533"/>
      <c r="CD97" s="533"/>
      <c r="CE97" s="533"/>
      <c r="CF97" s="533"/>
      <c r="CG97" s="533"/>
      <c r="CH97" s="534"/>
      <c r="CM97" s="338" t="s">
        <v>224</v>
      </c>
      <c r="CN97" s="339"/>
      <c r="CO97" s="339"/>
      <c r="CP97" s="339"/>
      <c r="CQ97" s="339"/>
      <c r="CR97" s="339"/>
      <c r="CS97" s="339"/>
      <c r="CT97" s="339"/>
      <c r="CU97" s="339"/>
      <c r="CV97" s="339"/>
      <c r="CW97" s="339"/>
      <c r="CX97" s="339"/>
      <c r="CY97" s="339"/>
      <c r="CZ97" s="339"/>
      <c r="DA97" s="339"/>
      <c r="DB97" s="339"/>
      <c r="DC97" s="339"/>
      <c r="DD97" s="339"/>
      <c r="DE97" s="339"/>
      <c r="DF97" s="339"/>
      <c r="DG97" s="339"/>
      <c r="DH97" s="339"/>
      <c r="DI97" s="339"/>
      <c r="DJ97" s="339"/>
      <c r="DK97" s="339"/>
      <c r="DL97" s="339"/>
      <c r="DM97" s="339"/>
      <c r="DN97" s="339"/>
      <c r="DO97" s="339"/>
      <c r="DP97" s="339"/>
      <c r="DQ97" s="339"/>
      <c r="DR97" s="339"/>
      <c r="DS97" s="339"/>
      <c r="DT97" s="339"/>
      <c r="DU97" s="339"/>
      <c r="DV97" s="339"/>
      <c r="DW97" s="339"/>
      <c r="DX97" s="339"/>
      <c r="DY97" s="340"/>
      <c r="ET97" s="201"/>
    </row>
    <row r="98" spans="1:162" s="134" customFormat="1" ht="99.95" customHeight="1" x14ac:dyDescent="0.85">
      <c r="A98" s="132"/>
      <c r="B98" s="132"/>
      <c r="C98" s="133"/>
      <c r="D98" s="559" t="s">
        <v>105</v>
      </c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59"/>
      <c r="AB98" s="559"/>
      <c r="AC98" s="559"/>
      <c r="AD98" s="559"/>
      <c r="AE98" s="516" t="s">
        <v>111</v>
      </c>
      <c r="AF98" s="517"/>
      <c r="AG98" s="517"/>
      <c r="AH98" s="517"/>
      <c r="AI98" s="517"/>
      <c r="AJ98" s="517"/>
      <c r="AK98" s="517"/>
      <c r="AL98" s="518"/>
      <c r="AM98" s="516" t="s">
        <v>117</v>
      </c>
      <c r="AN98" s="517"/>
      <c r="AO98" s="517"/>
      <c r="AP98" s="517"/>
      <c r="AQ98" s="517"/>
      <c r="AR98" s="517"/>
      <c r="AS98" s="517"/>
      <c r="AT98" s="518"/>
      <c r="AU98" s="532"/>
      <c r="AV98" s="533"/>
      <c r="AW98" s="533"/>
      <c r="AX98" s="533"/>
      <c r="AY98" s="533"/>
      <c r="AZ98" s="533"/>
      <c r="BA98" s="533"/>
      <c r="BB98" s="533"/>
      <c r="BC98" s="533"/>
      <c r="BD98" s="533"/>
      <c r="BE98" s="533"/>
      <c r="BF98" s="533"/>
      <c r="BG98" s="533"/>
      <c r="BH98" s="533"/>
      <c r="BI98" s="533"/>
      <c r="BJ98" s="533"/>
      <c r="BK98" s="533"/>
      <c r="BL98" s="533"/>
      <c r="BM98" s="533"/>
      <c r="BN98" s="533"/>
      <c r="BO98" s="533"/>
      <c r="BP98" s="533"/>
      <c r="BQ98" s="533"/>
      <c r="BR98" s="533"/>
      <c r="BS98" s="533"/>
      <c r="BT98" s="533"/>
      <c r="BU98" s="533"/>
      <c r="BV98" s="533"/>
      <c r="BW98" s="533"/>
      <c r="BX98" s="533"/>
      <c r="BY98" s="533"/>
      <c r="BZ98" s="533"/>
      <c r="CA98" s="533"/>
      <c r="CB98" s="533"/>
      <c r="CC98" s="533"/>
      <c r="CD98" s="533"/>
      <c r="CE98" s="533"/>
      <c r="CF98" s="533"/>
      <c r="CG98" s="533"/>
      <c r="CH98" s="534"/>
      <c r="CM98" s="157"/>
      <c r="CN98" s="158"/>
      <c r="CO98" s="158"/>
      <c r="CP98" s="158"/>
      <c r="CQ98" s="158"/>
      <c r="CR98" s="158"/>
      <c r="CS98" s="158"/>
      <c r="CT98" s="158"/>
      <c r="CU98" s="158"/>
      <c r="CV98" s="158"/>
      <c r="CW98" s="158"/>
      <c r="CX98" s="158"/>
      <c r="CY98" s="158"/>
      <c r="CZ98" s="158"/>
      <c r="DA98" s="158"/>
      <c r="DB98" s="158"/>
      <c r="DC98" s="158"/>
      <c r="DD98" s="158"/>
      <c r="DE98" s="158"/>
      <c r="DF98" s="158"/>
      <c r="DG98" s="158"/>
      <c r="DH98" s="158"/>
      <c r="DI98" s="158"/>
      <c r="DJ98" s="158"/>
      <c r="DK98" s="158"/>
      <c r="DL98" s="158"/>
      <c r="DM98" s="158"/>
      <c r="DN98" s="158"/>
      <c r="DO98" s="158"/>
      <c r="DP98" s="158"/>
      <c r="DQ98" s="158"/>
      <c r="DR98" s="158"/>
      <c r="DS98" s="158"/>
      <c r="DT98" s="158"/>
      <c r="DU98" s="158"/>
      <c r="DV98" s="158"/>
      <c r="DW98" s="158"/>
      <c r="DX98" s="158"/>
      <c r="DY98" s="159"/>
      <c r="ET98" s="201"/>
    </row>
    <row r="99" spans="1:162" s="134" customFormat="1" ht="99.95" customHeight="1" x14ac:dyDescent="0.85">
      <c r="A99" s="132"/>
      <c r="B99" s="132"/>
      <c r="C99" s="133"/>
      <c r="D99" s="516" t="s">
        <v>106</v>
      </c>
      <c r="E99" s="517"/>
      <c r="F99" s="517"/>
      <c r="G99" s="517"/>
      <c r="H99" s="517"/>
      <c r="I99" s="517"/>
      <c r="J99" s="517"/>
      <c r="K99" s="517"/>
      <c r="L99" s="517"/>
      <c r="M99" s="517"/>
      <c r="N99" s="517"/>
      <c r="O99" s="517"/>
      <c r="P99" s="517"/>
      <c r="Q99" s="517"/>
      <c r="R99" s="517"/>
      <c r="S99" s="517"/>
      <c r="T99" s="517"/>
      <c r="U99" s="517"/>
      <c r="V99" s="517"/>
      <c r="W99" s="517"/>
      <c r="X99" s="517"/>
      <c r="Y99" s="517"/>
      <c r="Z99" s="517"/>
      <c r="AA99" s="517"/>
      <c r="AB99" s="517"/>
      <c r="AC99" s="517"/>
      <c r="AD99" s="518"/>
      <c r="AE99" s="516" t="s">
        <v>112</v>
      </c>
      <c r="AF99" s="517"/>
      <c r="AG99" s="517"/>
      <c r="AH99" s="517"/>
      <c r="AI99" s="517"/>
      <c r="AJ99" s="517"/>
      <c r="AK99" s="517"/>
      <c r="AL99" s="518"/>
      <c r="AM99" s="516" t="s">
        <v>116</v>
      </c>
      <c r="AN99" s="517"/>
      <c r="AO99" s="517"/>
      <c r="AP99" s="517"/>
      <c r="AQ99" s="517"/>
      <c r="AR99" s="517"/>
      <c r="AS99" s="517"/>
      <c r="AT99" s="518"/>
      <c r="AU99" s="532"/>
      <c r="AV99" s="533"/>
      <c r="AW99" s="533"/>
      <c r="AX99" s="533"/>
      <c r="AY99" s="533"/>
      <c r="AZ99" s="533"/>
      <c r="BA99" s="533"/>
      <c r="BB99" s="533"/>
      <c r="BC99" s="533"/>
      <c r="BD99" s="533"/>
      <c r="BE99" s="533"/>
      <c r="BF99" s="533"/>
      <c r="BG99" s="533"/>
      <c r="BH99" s="533"/>
      <c r="BI99" s="533"/>
      <c r="BJ99" s="533"/>
      <c r="BK99" s="533"/>
      <c r="BL99" s="533"/>
      <c r="BM99" s="533"/>
      <c r="BN99" s="533"/>
      <c r="BO99" s="533"/>
      <c r="BP99" s="533"/>
      <c r="BQ99" s="533"/>
      <c r="BR99" s="533"/>
      <c r="BS99" s="533"/>
      <c r="BT99" s="533"/>
      <c r="BU99" s="533"/>
      <c r="BV99" s="533"/>
      <c r="BW99" s="533"/>
      <c r="BX99" s="533"/>
      <c r="BY99" s="533"/>
      <c r="BZ99" s="533"/>
      <c r="CA99" s="533"/>
      <c r="CB99" s="533"/>
      <c r="CC99" s="533"/>
      <c r="CD99" s="533"/>
      <c r="CE99" s="533"/>
      <c r="CF99" s="533"/>
      <c r="CG99" s="533"/>
      <c r="CH99" s="534"/>
      <c r="CM99" s="160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  <c r="DA99" s="161"/>
      <c r="DB99" s="161"/>
      <c r="DC99" s="161"/>
      <c r="DD99" s="161"/>
      <c r="DE99" s="161"/>
      <c r="DF99" s="161"/>
      <c r="DG99" s="161"/>
      <c r="DH99" s="161"/>
      <c r="DI99" s="161"/>
      <c r="DJ99" s="161"/>
      <c r="DK99" s="161"/>
      <c r="DL99" s="161"/>
      <c r="DM99" s="161"/>
      <c r="DN99" s="161"/>
      <c r="DO99" s="161"/>
      <c r="DP99" s="161"/>
      <c r="DQ99" s="161"/>
      <c r="DR99" s="161"/>
      <c r="DS99" s="161"/>
      <c r="DT99" s="161"/>
      <c r="DU99" s="161"/>
      <c r="DV99" s="161"/>
      <c r="DW99" s="161"/>
      <c r="DX99" s="161"/>
      <c r="DY99" s="162"/>
      <c r="ET99" s="201"/>
    </row>
    <row r="100" spans="1:162" s="134" customFormat="1" ht="99.95" customHeight="1" x14ac:dyDescent="0.85">
      <c r="A100" s="132"/>
      <c r="B100" s="132"/>
      <c r="C100" s="133"/>
      <c r="D100" s="559" t="s">
        <v>107</v>
      </c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559"/>
      <c r="AB100" s="559"/>
      <c r="AC100" s="559"/>
      <c r="AD100" s="559"/>
      <c r="AE100" s="516" t="s">
        <v>113</v>
      </c>
      <c r="AF100" s="517"/>
      <c r="AG100" s="517"/>
      <c r="AH100" s="517"/>
      <c r="AI100" s="517"/>
      <c r="AJ100" s="517"/>
      <c r="AK100" s="517"/>
      <c r="AL100" s="518"/>
      <c r="AM100" s="516" t="s">
        <v>118</v>
      </c>
      <c r="AN100" s="517"/>
      <c r="AO100" s="517"/>
      <c r="AP100" s="517"/>
      <c r="AQ100" s="517"/>
      <c r="AR100" s="517"/>
      <c r="AS100" s="517"/>
      <c r="AT100" s="518"/>
      <c r="AU100" s="532"/>
      <c r="AV100" s="533"/>
      <c r="AW100" s="533"/>
      <c r="AX100" s="533"/>
      <c r="AY100" s="533"/>
      <c r="AZ100" s="533"/>
      <c r="BA100" s="533"/>
      <c r="BB100" s="533"/>
      <c r="BC100" s="533"/>
      <c r="BD100" s="533"/>
      <c r="BE100" s="533"/>
      <c r="BF100" s="533"/>
      <c r="BG100" s="533"/>
      <c r="BH100" s="533"/>
      <c r="BI100" s="533"/>
      <c r="BJ100" s="533"/>
      <c r="BK100" s="533"/>
      <c r="BL100" s="533"/>
      <c r="BM100" s="533"/>
      <c r="BN100" s="533"/>
      <c r="BO100" s="533"/>
      <c r="BP100" s="533"/>
      <c r="BQ100" s="533"/>
      <c r="BR100" s="533"/>
      <c r="BS100" s="533"/>
      <c r="BT100" s="533"/>
      <c r="BU100" s="533"/>
      <c r="BV100" s="533"/>
      <c r="BW100" s="533"/>
      <c r="BX100" s="533"/>
      <c r="BY100" s="533"/>
      <c r="BZ100" s="533"/>
      <c r="CA100" s="533"/>
      <c r="CB100" s="533"/>
      <c r="CC100" s="533"/>
      <c r="CD100" s="533"/>
      <c r="CE100" s="533"/>
      <c r="CF100" s="533"/>
      <c r="CG100" s="533"/>
      <c r="CH100" s="534"/>
      <c r="ET100" s="201"/>
    </row>
    <row r="101" spans="1:162" s="134" customFormat="1" ht="99.95" customHeight="1" x14ac:dyDescent="0.85">
      <c r="A101" s="132"/>
      <c r="B101" s="132"/>
      <c r="D101" s="560" t="s">
        <v>21</v>
      </c>
      <c r="E101" s="560"/>
      <c r="F101" s="560"/>
      <c r="G101" s="560"/>
      <c r="H101" s="560"/>
      <c r="I101" s="560"/>
      <c r="J101" s="560"/>
      <c r="K101" s="560"/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23" t="s">
        <v>119</v>
      </c>
      <c r="AF101" s="524"/>
      <c r="AG101" s="524"/>
      <c r="AH101" s="524"/>
      <c r="AI101" s="524"/>
      <c r="AJ101" s="524"/>
      <c r="AK101" s="524"/>
      <c r="AL101" s="525"/>
      <c r="AM101" s="516"/>
      <c r="AN101" s="517"/>
      <c r="AO101" s="517"/>
      <c r="AP101" s="517"/>
      <c r="AQ101" s="517"/>
      <c r="AR101" s="517"/>
      <c r="AS101" s="517"/>
      <c r="AT101" s="518"/>
      <c r="AU101" s="535"/>
      <c r="AV101" s="536"/>
      <c r="AW101" s="536"/>
      <c r="AX101" s="536"/>
      <c r="AY101" s="536"/>
      <c r="AZ101" s="536"/>
      <c r="BA101" s="536"/>
      <c r="BB101" s="536"/>
      <c r="BC101" s="536"/>
      <c r="BD101" s="536"/>
      <c r="BE101" s="536"/>
      <c r="BF101" s="536"/>
      <c r="BG101" s="536"/>
      <c r="BH101" s="536"/>
      <c r="BI101" s="536"/>
      <c r="BJ101" s="536"/>
      <c r="BK101" s="536"/>
      <c r="BL101" s="536"/>
      <c r="BM101" s="536"/>
      <c r="BN101" s="536"/>
      <c r="BO101" s="536"/>
      <c r="BP101" s="536"/>
      <c r="BQ101" s="536"/>
      <c r="BR101" s="536"/>
      <c r="BS101" s="536"/>
      <c r="BT101" s="536"/>
      <c r="BU101" s="536"/>
      <c r="BV101" s="536"/>
      <c r="BW101" s="536"/>
      <c r="BX101" s="536"/>
      <c r="BY101" s="536"/>
      <c r="BZ101" s="536"/>
      <c r="CA101" s="536"/>
      <c r="CB101" s="536"/>
      <c r="CC101" s="536"/>
      <c r="CD101" s="536"/>
      <c r="CE101" s="536"/>
      <c r="CF101" s="536"/>
      <c r="CG101" s="536"/>
      <c r="CH101" s="537"/>
      <c r="ET101" s="201"/>
    </row>
    <row r="102" spans="1:162" ht="45.75" x14ac:dyDescent="0.65">
      <c r="A102" s="3"/>
      <c r="B102" s="3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3"/>
      <c r="X102" s="73"/>
      <c r="Y102" s="73"/>
      <c r="Z102" s="74"/>
      <c r="AA102" s="74"/>
      <c r="AB102" s="74"/>
      <c r="AC102" s="74"/>
      <c r="AD102" s="1"/>
      <c r="AE102" s="1"/>
      <c r="AF102" s="1"/>
      <c r="AG102" s="1"/>
      <c r="AH102" s="1"/>
      <c r="AI102" s="1"/>
      <c r="AJ102" s="1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73"/>
      <c r="BJ102" s="73"/>
      <c r="BK102" s="73"/>
      <c r="BL102" s="73"/>
      <c r="BM102" s="73"/>
      <c r="BN102" s="73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200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</row>
    <row r="103" spans="1:162" ht="120" customHeight="1" x14ac:dyDescent="0.65">
      <c r="A103" s="3"/>
      <c r="B103" s="520" t="s">
        <v>255</v>
      </c>
      <c r="C103" s="520"/>
      <c r="D103" s="520"/>
      <c r="E103" s="520"/>
      <c r="F103" s="520"/>
      <c r="G103" s="520"/>
      <c r="H103" s="520"/>
      <c r="I103" s="520"/>
      <c r="J103" s="520"/>
      <c r="K103" s="520"/>
      <c r="L103" s="520"/>
      <c r="M103" s="520"/>
      <c r="N103" s="520"/>
      <c r="O103" s="520"/>
      <c r="P103" s="520"/>
      <c r="Q103" s="520"/>
      <c r="R103" s="520"/>
      <c r="S103" s="520"/>
      <c r="T103" s="520"/>
      <c r="U103" s="520"/>
      <c r="V103" s="520"/>
      <c r="W103" s="520"/>
      <c r="X103" s="520"/>
      <c r="Y103" s="521" t="s">
        <v>121</v>
      </c>
      <c r="Z103" s="521"/>
      <c r="AA103" s="521"/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21"/>
      <c r="AM103" s="521"/>
      <c r="AN103" s="521"/>
      <c r="AO103" s="521"/>
      <c r="AP103" s="521"/>
      <c r="AQ103" s="521"/>
      <c r="AR103" s="521"/>
      <c r="AS103" s="521"/>
      <c r="AT103" s="521"/>
      <c r="AU103" s="521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519"/>
      <c r="BQ103" s="519"/>
      <c r="BR103" s="519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200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</row>
    <row r="104" spans="1:162" ht="75" x14ac:dyDescent="0.65">
      <c r="A104" s="3"/>
      <c r="B104" s="520"/>
      <c r="C104" s="520"/>
      <c r="D104" s="520"/>
      <c r="E104" s="520"/>
      <c r="F104" s="520"/>
      <c r="G104" s="520"/>
      <c r="H104" s="520"/>
      <c r="I104" s="520"/>
      <c r="J104" s="520"/>
      <c r="K104" s="520"/>
      <c r="L104" s="520"/>
      <c r="M104" s="520"/>
      <c r="N104" s="520"/>
      <c r="O104" s="520"/>
      <c r="P104" s="520"/>
      <c r="Q104" s="520"/>
      <c r="R104" s="520"/>
      <c r="S104" s="520"/>
      <c r="T104" s="520"/>
      <c r="U104" s="520"/>
      <c r="V104" s="520"/>
      <c r="W104" s="520"/>
      <c r="X104" s="520"/>
      <c r="Y104" s="519"/>
      <c r="Z104" s="519"/>
      <c r="AA104" s="519"/>
      <c r="AB104" s="519"/>
      <c r="AC104" s="519"/>
      <c r="AD104" s="519"/>
      <c r="AE104" s="519"/>
      <c r="AF104" s="519"/>
      <c r="AG104" s="519"/>
      <c r="AH104" s="519"/>
      <c r="AI104" s="519"/>
      <c r="AJ104" s="519"/>
      <c r="AK104" s="519"/>
      <c r="AL104" s="519"/>
      <c r="AM104" s="519"/>
      <c r="AN104" s="519"/>
      <c r="AO104" s="519"/>
      <c r="AP104" s="519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519"/>
      <c r="BQ104" s="519"/>
      <c r="BR104" s="519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200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</row>
    <row r="105" spans="1:162" ht="120" customHeight="1" x14ac:dyDescent="0.65">
      <c r="A105" s="3"/>
      <c r="B105" s="520" t="s">
        <v>256</v>
      </c>
      <c r="C105" s="520"/>
      <c r="D105" s="520"/>
      <c r="E105" s="520"/>
      <c r="F105" s="520"/>
      <c r="G105" s="520"/>
      <c r="H105" s="520"/>
      <c r="I105" s="520"/>
      <c r="J105" s="520"/>
      <c r="K105" s="520"/>
      <c r="L105" s="520"/>
      <c r="M105" s="520"/>
      <c r="N105" s="520"/>
      <c r="O105" s="520"/>
      <c r="P105" s="520"/>
      <c r="Q105" s="520"/>
      <c r="R105" s="520"/>
      <c r="S105" s="520"/>
      <c r="T105" s="520"/>
      <c r="U105" s="520"/>
      <c r="V105" s="520"/>
      <c r="W105" s="520"/>
      <c r="X105" s="520"/>
      <c r="Y105" s="521" t="s">
        <v>121</v>
      </c>
      <c r="Z105" s="521"/>
      <c r="AA105" s="521"/>
      <c r="AB105" s="521"/>
      <c r="AC105" s="521"/>
      <c r="AD105" s="521"/>
      <c r="AE105" s="521"/>
      <c r="AF105" s="521"/>
      <c r="AG105" s="521"/>
      <c r="AH105" s="521"/>
      <c r="AI105" s="521"/>
      <c r="AJ105" s="521"/>
      <c r="AK105" s="521"/>
      <c r="AL105" s="521"/>
      <c r="AM105" s="521"/>
      <c r="AN105" s="521"/>
      <c r="AO105" s="521"/>
      <c r="AP105" s="521"/>
      <c r="AQ105" s="521"/>
      <c r="AR105" s="521"/>
      <c r="AS105" s="521"/>
      <c r="AT105" s="521"/>
      <c r="AU105" s="521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519"/>
      <c r="BQ105" s="519"/>
      <c r="BR105" s="519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</row>
    <row r="106" spans="1:162" ht="75" x14ac:dyDescent="0.65">
      <c r="A106" s="3"/>
      <c r="B106" s="520"/>
      <c r="C106" s="520"/>
      <c r="D106" s="520"/>
      <c r="E106" s="520"/>
      <c r="F106" s="520"/>
      <c r="G106" s="520"/>
      <c r="H106" s="520"/>
      <c r="I106" s="520"/>
      <c r="J106" s="520"/>
      <c r="K106" s="520"/>
      <c r="L106" s="520"/>
      <c r="M106" s="520"/>
      <c r="N106" s="520"/>
      <c r="O106" s="520"/>
      <c r="P106" s="520"/>
      <c r="Q106" s="520"/>
      <c r="R106" s="520"/>
      <c r="S106" s="520"/>
      <c r="T106" s="520"/>
      <c r="U106" s="520"/>
      <c r="V106" s="520"/>
      <c r="W106" s="520"/>
      <c r="X106" s="520"/>
      <c r="Y106" s="519"/>
      <c r="Z106" s="519"/>
      <c r="AA106" s="519"/>
      <c r="AB106" s="519"/>
      <c r="AC106" s="519"/>
      <c r="AD106" s="519"/>
      <c r="AE106" s="519"/>
      <c r="AF106" s="519"/>
      <c r="AG106" s="519"/>
      <c r="AH106" s="519"/>
      <c r="AI106" s="519"/>
      <c r="AJ106" s="519"/>
      <c r="AK106" s="519"/>
      <c r="AL106" s="519"/>
      <c r="AM106" s="519"/>
      <c r="AN106" s="519"/>
      <c r="AO106" s="519"/>
      <c r="AP106" s="519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519"/>
      <c r="BQ106" s="519"/>
      <c r="BR106" s="519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</row>
    <row r="107" spans="1:162" ht="120" customHeight="1" x14ac:dyDescent="0.65">
      <c r="A107" s="3"/>
      <c r="B107" s="520" t="s">
        <v>223</v>
      </c>
      <c r="C107" s="520"/>
      <c r="D107" s="520"/>
      <c r="E107" s="520"/>
      <c r="F107" s="520"/>
      <c r="G107" s="520"/>
      <c r="H107" s="520"/>
      <c r="I107" s="520"/>
      <c r="J107" s="520"/>
      <c r="K107" s="520"/>
      <c r="L107" s="520"/>
      <c r="M107" s="520"/>
      <c r="N107" s="520"/>
      <c r="O107" s="520"/>
      <c r="P107" s="520"/>
      <c r="Q107" s="520"/>
      <c r="R107" s="520"/>
      <c r="S107" s="520"/>
      <c r="T107" s="520"/>
      <c r="U107" s="520"/>
      <c r="V107" s="520"/>
      <c r="W107" s="520"/>
      <c r="X107" s="520"/>
      <c r="Y107" s="521" t="s">
        <v>121</v>
      </c>
      <c r="Z107" s="521"/>
      <c r="AA107" s="521"/>
      <c r="AB107" s="521"/>
      <c r="AC107" s="521"/>
      <c r="AD107" s="521"/>
      <c r="AE107" s="521"/>
      <c r="AF107" s="521"/>
      <c r="AG107" s="521"/>
      <c r="AH107" s="521"/>
      <c r="AI107" s="521"/>
      <c r="AJ107" s="521"/>
      <c r="AK107" s="521"/>
      <c r="AL107" s="521"/>
      <c r="AM107" s="521"/>
      <c r="AN107" s="521"/>
      <c r="AO107" s="521"/>
      <c r="AP107" s="521"/>
      <c r="AQ107" s="521"/>
      <c r="AR107" s="521"/>
      <c r="AS107" s="521"/>
      <c r="AT107" s="521"/>
      <c r="AU107" s="521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519"/>
      <c r="BQ107" s="519"/>
      <c r="BR107" s="519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</row>
    <row r="108" spans="1:162" ht="75" x14ac:dyDescent="0.65">
      <c r="A108" s="3"/>
      <c r="B108" s="520"/>
      <c r="C108" s="520"/>
      <c r="D108" s="520"/>
      <c r="E108" s="520"/>
      <c r="F108" s="520"/>
      <c r="G108" s="520"/>
      <c r="H108" s="520"/>
      <c r="I108" s="520"/>
      <c r="J108" s="520"/>
      <c r="K108" s="520"/>
      <c r="L108" s="520"/>
      <c r="M108" s="520"/>
      <c r="N108" s="520"/>
      <c r="O108" s="520"/>
      <c r="P108" s="520"/>
      <c r="Q108" s="520"/>
      <c r="R108" s="520"/>
      <c r="S108" s="520"/>
      <c r="T108" s="520"/>
      <c r="U108" s="520"/>
      <c r="V108" s="520"/>
      <c r="W108" s="520"/>
      <c r="X108" s="520"/>
      <c r="Y108" s="519"/>
      <c r="Z108" s="519"/>
      <c r="AA108" s="519"/>
      <c r="AB108" s="519"/>
      <c r="AC108" s="519"/>
      <c r="AD108" s="519"/>
      <c r="AE108" s="519"/>
      <c r="AF108" s="519"/>
      <c r="AG108" s="519"/>
      <c r="AH108" s="519"/>
      <c r="AI108" s="519"/>
      <c r="AJ108" s="519"/>
      <c r="AK108" s="519"/>
      <c r="AL108" s="519"/>
      <c r="AM108" s="519"/>
      <c r="AN108" s="519"/>
      <c r="AO108" s="519"/>
      <c r="AP108" s="519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519"/>
      <c r="BQ108" s="519"/>
      <c r="BR108" s="519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</row>
    <row r="109" spans="1:162" ht="120" customHeight="1" x14ac:dyDescent="0.65">
      <c r="A109" s="3"/>
      <c r="B109" s="520" t="s">
        <v>222</v>
      </c>
      <c r="C109" s="520"/>
      <c r="D109" s="520"/>
      <c r="E109" s="520"/>
      <c r="F109" s="520"/>
      <c r="G109" s="520"/>
      <c r="H109" s="520"/>
      <c r="I109" s="520"/>
      <c r="J109" s="520"/>
      <c r="K109" s="520"/>
      <c r="L109" s="520"/>
      <c r="M109" s="520"/>
      <c r="N109" s="520"/>
      <c r="O109" s="520"/>
      <c r="P109" s="520"/>
      <c r="Q109" s="520"/>
      <c r="R109" s="520"/>
      <c r="S109" s="520"/>
      <c r="T109" s="520"/>
      <c r="U109" s="520"/>
      <c r="V109" s="520"/>
      <c r="W109" s="520"/>
      <c r="X109" s="520"/>
      <c r="Y109" s="521" t="s">
        <v>121</v>
      </c>
      <c r="Z109" s="521"/>
      <c r="AA109" s="521"/>
      <c r="AB109" s="521"/>
      <c r="AC109" s="521"/>
      <c r="AD109" s="521"/>
      <c r="AE109" s="521"/>
      <c r="AF109" s="521"/>
      <c r="AG109" s="521"/>
      <c r="AH109" s="521"/>
      <c r="AI109" s="521"/>
      <c r="AJ109" s="521"/>
      <c r="AK109" s="521"/>
      <c r="AL109" s="521"/>
      <c r="AM109" s="521"/>
      <c r="AN109" s="521"/>
      <c r="AO109" s="521"/>
      <c r="AP109" s="521"/>
      <c r="AQ109" s="521"/>
      <c r="AR109" s="521"/>
      <c r="AS109" s="521"/>
      <c r="AT109" s="521"/>
      <c r="AU109" s="521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519"/>
      <c r="BQ109" s="519"/>
      <c r="BR109" s="519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</row>
    <row r="110" spans="1:162" ht="45.75" x14ac:dyDescent="0.65">
      <c r="A110" s="3"/>
      <c r="B110" s="522"/>
      <c r="C110" s="522"/>
      <c r="D110" s="522"/>
      <c r="E110" s="522"/>
      <c r="F110" s="522"/>
      <c r="G110" s="522"/>
      <c r="H110" s="522"/>
      <c r="I110" s="522"/>
      <c r="J110" s="522"/>
      <c r="K110" s="522"/>
      <c r="L110" s="522"/>
      <c r="M110" s="522"/>
      <c r="N110" s="522"/>
      <c r="O110" s="522"/>
      <c r="P110" s="522"/>
      <c r="Q110" s="522"/>
      <c r="R110" s="522"/>
      <c r="S110" s="522"/>
      <c r="T110" s="522"/>
      <c r="U110" s="522"/>
      <c r="V110" s="522"/>
      <c r="W110" s="522"/>
      <c r="X110" s="522"/>
      <c r="Y110" s="519"/>
      <c r="Z110" s="519"/>
      <c r="AA110" s="519"/>
      <c r="AB110" s="519"/>
      <c r="AC110" s="519"/>
      <c r="AD110" s="519"/>
      <c r="AE110" s="519"/>
      <c r="AF110" s="519"/>
      <c r="AG110" s="519"/>
      <c r="AH110" s="519"/>
      <c r="AI110" s="519"/>
      <c r="AJ110" s="519"/>
      <c r="AK110" s="519"/>
      <c r="AL110" s="519"/>
      <c r="AM110" s="519"/>
      <c r="AN110" s="519"/>
      <c r="AO110" s="519"/>
      <c r="AP110" s="519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519"/>
      <c r="BQ110" s="519"/>
      <c r="BR110" s="519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</row>
    <row r="111" spans="1:162" ht="45.75" x14ac:dyDescent="0.6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73"/>
      <c r="BJ111" s="73"/>
      <c r="BK111" s="73"/>
      <c r="BL111" s="73"/>
      <c r="BM111" s="73"/>
      <c r="BN111" s="73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</row>
    <row r="112" spans="1:162" ht="45.75" x14ac:dyDescent="0.65">
      <c r="A112" s="3"/>
      <c r="B112" s="3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3"/>
      <c r="X112" s="73"/>
      <c r="Y112" s="73"/>
      <c r="Z112" s="74"/>
      <c r="AA112" s="74"/>
      <c r="AB112" s="74"/>
      <c r="AC112" s="74"/>
      <c r="AD112" s="1"/>
      <c r="AE112" s="1"/>
      <c r="AF112" s="1"/>
      <c r="AG112" s="1"/>
      <c r="AH112" s="1"/>
      <c r="AI112" s="1"/>
      <c r="AJ112" s="1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73"/>
      <c r="BJ112" s="73"/>
      <c r="BK112" s="73"/>
      <c r="BL112" s="73"/>
      <c r="BM112" s="73"/>
      <c r="BN112" s="73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</row>
  </sheetData>
  <mergeCells count="1338">
    <mergeCell ref="EV36:EX36"/>
    <mergeCell ref="EV20:GW20"/>
    <mergeCell ref="GX20:GY20"/>
    <mergeCell ref="GZ20:HA20"/>
    <mergeCell ref="HB20:HC20"/>
    <mergeCell ref="HD20:HE20"/>
    <mergeCell ref="HF20:HG20"/>
    <mergeCell ref="HH20:HI20"/>
    <mergeCell ref="HJ20:HK20"/>
    <mergeCell ref="HL20:HM20"/>
    <mergeCell ref="HN20:HO20"/>
    <mergeCell ref="EW22:EY22"/>
    <mergeCell ref="EZ22:FE22"/>
    <mergeCell ref="FG22:FI22"/>
    <mergeCell ref="FJ22:FO22"/>
    <mergeCell ref="FQ22:FS22"/>
    <mergeCell ref="FT22:FY22"/>
    <mergeCell ref="GA22:GC22"/>
    <mergeCell ref="GD22:GI22"/>
    <mergeCell ref="GK22:GM22"/>
    <mergeCell ref="GN22:GS22"/>
    <mergeCell ref="GU22:GW22"/>
    <mergeCell ref="GX22:HC22"/>
    <mergeCell ref="HE22:HG22"/>
    <mergeCell ref="HH22:HM22"/>
    <mergeCell ref="EV18:EW18"/>
    <mergeCell ref="GX18:GY18"/>
    <mergeCell ref="GZ18:HA18"/>
    <mergeCell ref="HB18:HC18"/>
    <mergeCell ref="HD18:HE18"/>
    <mergeCell ref="HF18:HG18"/>
    <mergeCell ref="HH18:HI18"/>
    <mergeCell ref="HJ18:HK18"/>
    <mergeCell ref="HL18:HM18"/>
    <mergeCell ref="HN18:HO18"/>
    <mergeCell ref="EV19:EW19"/>
    <mergeCell ref="GX19:GY19"/>
    <mergeCell ref="GZ19:HA19"/>
    <mergeCell ref="HB19:HC19"/>
    <mergeCell ref="HD19:HE19"/>
    <mergeCell ref="HF19:HG19"/>
    <mergeCell ref="HH19:HI19"/>
    <mergeCell ref="HJ19:HK19"/>
    <mergeCell ref="HL19:HM19"/>
    <mergeCell ref="HN19:HO19"/>
    <mergeCell ref="EV16:EW16"/>
    <mergeCell ref="GX16:GY16"/>
    <mergeCell ref="GZ16:HA16"/>
    <mergeCell ref="HB16:HC16"/>
    <mergeCell ref="HD16:HE16"/>
    <mergeCell ref="HF16:HG16"/>
    <mergeCell ref="HH16:HI16"/>
    <mergeCell ref="HJ16:HK16"/>
    <mergeCell ref="HL16:HM16"/>
    <mergeCell ref="HN16:HO16"/>
    <mergeCell ref="EV17:EW17"/>
    <mergeCell ref="GX17:GY17"/>
    <mergeCell ref="GZ17:HA17"/>
    <mergeCell ref="HB17:HC17"/>
    <mergeCell ref="HD17:HE17"/>
    <mergeCell ref="HF17:HG17"/>
    <mergeCell ref="HH17:HI17"/>
    <mergeCell ref="HJ17:HK17"/>
    <mergeCell ref="HL17:HM17"/>
    <mergeCell ref="HN17:HO17"/>
    <mergeCell ref="EV10:EW15"/>
    <mergeCell ref="EX10:GW13"/>
    <mergeCell ref="GX10:HK10"/>
    <mergeCell ref="HL10:HM15"/>
    <mergeCell ref="HN10:HO15"/>
    <mergeCell ref="GX11:GY15"/>
    <mergeCell ref="GZ11:HK11"/>
    <mergeCell ref="GZ12:HA15"/>
    <mergeCell ref="HB12:HC15"/>
    <mergeCell ref="HD12:HE15"/>
    <mergeCell ref="HF12:HG15"/>
    <mergeCell ref="HH12:HI15"/>
    <mergeCell ref="HJ12:HK15"/>
    <mergeCell ref="EX14:FB14"/>
    <mergeCell ref="FC14:FF14"/>
    <mergeCell ref="FG14:FK14"/>
    <mergeCell ref="FL14:FO14"/>
    <mergeCell ref="FP14:FT14"/>
    <mergeCell ref="FU14:FX14"/>
    <mergeCell ref="FY14:GC14"/>
    <mergeCell ref="GD14:GG14"/>
    <mergeCell ref="GH14:GK14"/>
    <mergeCell ref="GL14:GO14"/>
    <mergeCell ref="GP14:GS14"/>
    <mergeCell ref="GT14:GW14"/>
    <mergeCell ref="D95:AD95"/>
    <mergeCell ref="D94:AD94"/>
    <mergeCell ref="D96:AD96"/>
    <mergeCell ref="D97:AD97"/>
    <mergeCell ref="D98:AD98"/>
    <mergeCell ref="D100:AD100"/>
    <mergeCell ref="D101:AD101"/>
    <mergeCell ref="D99:AD99"/>
    <mergeCell ref="EQ78:ES79"/>
    <mergeCell ref="DM80:DQ81"/>
    <mergeCell ref="DR80:DV81"/>
    <mergeCell ref="DW80:EA81"/>
    <mergeCell ref="EB80:EF81"/>
    <mergeCell ref="EG80:EK81"/>
    <mergeCell ref="DW78:EA79"/>
    <mergeCell ref="EB78:EF79"/>
    <mergeCell ref="EG78:EK79"/>
    <mergeCell ref="EL78:EP79"/>
    <mergeCell ref="CS80:CW81"/>
    <mergeCell ref="CX80:DB81"/>
    <mergeCell ref="DC80:DG81"/>
    <mergeCell ref="DH80:DL81"/>
    <mergeCell ref="EL80:EP81"/>
    <mergeCell ref="EQ80:ES81"/>
    <mergeCell ref="AG80:AK81"/>
    <mergeCell ref="AL80:AP81"/>
    <mergeCell ref="AE95:AL95"/>
    <mergeCell ref="AM95:AT95"/>
    <mergeCell ref="AM98:AT98"/>
    <mergeCell ref="AE99:AL99"/>
    <mergeCell ref="CS78:CW79"/>
    <mergeCell ref="CX78:DB79"/>
    <mergeCell ref="BY80:CC81"/>
    <mergeCell ref="CD80:CH81"/>
    <mergeCell ref="CI80:CM81"/>
    <mergeCell ref="CN80:CR81"/>
    <mergeCell ref="CD78:CH79"/>
    <mergeCell ref="CI78:CM79"/>
    <mergeCell ref="C70:Y70"/>
    <mergeCell ref="Z70:AC71"/>
    <mergeCell ref="AD70:AF71"/>
    <mergeCell ref="AG70:AK71"/>
    <mergeCell ref="AQ80:AU81"/>
    <mergeCell ref="AV80:AZ81"/>
    <mergeCell ref="BA80:BE81"/>
    <mergeCell ref="BF80:BJ81"/>
    <mergeCell ref="BK80:BN81"/>
    <mergeCell ref="BO80:BS81"/>
    <mergeCell ref="C79:Y79"/>
    <mergeCell ref="BF78:BJ79"/>
    <mergeCell ref="CN78:CR79"/>
    <mergeCell ref="Z72:AC73"/>
    <mergeCell ref="C81:Y81"/>
    <mergeCell ref="AD78:AF79"/>
    <mergeCell ref="AQ78:AU79"/>
    <mergeCell ref="AV78:AZ79"/>
    <mergeCell ref="BA78:BE79"/>
    <mergeCell ref="BK78:BN79"/>
    <mergeCell ref="Z78:AC79"/>
    <mergeCell ref="AG78:AK79"/>
    <mergeCell ref="AL78:AP79"/>
    <mergeCell ref="C80:Y80"/>
    <mergeCell ref="Z80:AC81"/>
    <mergeCell ref="AD80:AF81"/>
    <mergeCell ref="BT80:BX81"/>
    <mergeCell ref="C78:Y78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EQ74:ES75"/>
    <mergeCell ref="C75:Y75"/>
    <mergeCell ref="CX72:DB73"/>
    <mergeCell ref="DC72:DG73"/>
    <mergeCell ref="DH72:DL73"/>
    <mergeCell ref="DM72:DQ73"/>
    <mergeCell ref="DR72:DV73"/>
    <mergeCell ref="DW72:EA73"/>
    <mergeCell ref="EB72:EF73"/>
    <mergeCell ref="EG72:EK73"/>
    <mergeCell ref="EL72:EP73"/>
    <mergeCell ref="EQ72:ES73"/>
    <mergeCell ref="C73:Y73"/>
    <mergeCell ref="C74:Y74"/>
    <mergeCell ref="Z74:AC75"/>
    <mergeCell ref="AD74:AF75"/>
    <mergeCell ref="DM74:DQ75"/>
    <mergeCell ref="DR74:DV75"/>
    <mergeCell ref="DW74:EA75"/>
    <mergeCell ref="AG74:AK75"/>
    <mergeCell ref="CN74:CR75"/>
    <mergeCell ref="CS74:CW75"/>
    <mergeCell ref="CX74:DB75"/>
    <mergeCell ref="DC74:DG75"/>
    <mergeCell ref="DH74:DL75"/>
    <mergeCell ref="CI72:CM73"/>
    <mergeCell ref="CN72:CR73"/>
    <mergeCell ref="CS72:CW73"/>
    <mergeCell ref="EB74:EF75"/>
    <mergeCell ref="EG74:EK75"/>
    <mergeCell ref="EL74:EP75"/>
    <mergeCell ref="C72:Y72"/>
    <mergeCell ref="AL74:AP75"/>
    <mergeCell ref="AQ74:AU75"/>
    <mergeCell ref="AV74:AZ75"/>
    <mergeCell ref="BA74:BE75"/>
    <mergeCell ref="BF74:BJ75"/>
    <mergeCell ref="BK74:BN75"/>
    <mergeCell ref="BO74:BS75"/>
    <mergeCell ref="BT74:BX75"/>
    <mergeCell ref="BY74:CC75"/>
    <mergeCell ref="CD74:CH75"/>
    <mergeCell ref="CI74:CM75"/>
    <mergeCell ref="AV72:AZ73"/>
    <mergeCell ref="BA72:BE73"/>
    <mergeCell ref="BF72:BJ73"/>
    <mergeCell ref="BK72:BN73"/>
    <mergeCell ref="BO72:BS73"/>
    <mergeCell ref="BT72:BX73"/>
    <mergeCell ref="BY72:CC73"/>
    <mergeCell ref="BK66:BN67"/>
    <mergeCell ref="BO66:BS67"/>
    <mergeCell ref="BT66:BX67"/>
    <mergeCell ref="CD72:CH73"/>
    <mergeCell ref="BO70:BS71"/>
    <mergeCell ref="BT70:BX71"/>
    <mergeCell ref="BT68:BX69"/>
    <mergeCell ref="BY68:CC69"/>
    <mergeCell ref="CD68:CH69"/>
    <mergeCell ref="CI68:CM69"/>
    <mergeCell ref="CN68:CR69"/>
    <mergeCell ref="CS68:CW69"/>
    <mergeCell ref="CX68:DB69"/>
    <mergeCell ref="DC68:DG69"/>
    <mergeCell ref="DH68:DL69"/>
    <mergeCell ref="CI70:CM71"/>
    <mergeCell ref="CN70:CR71"/>
    <mergeCell ref="CS70:CW71"/>
    <mergeCell ref="CX70:DB71"/>
    <mergeCell ref="DC70:DG71"/>
    <mergeCell ref="DH70:DL71"/>
    <mergeCell ref="AQ68:AU69"/>
    <mergeCell ref="AV68:AZ69"/>
    <mergeCell ref="BA68:BE69"/>
    <mergeCell ref="BF68:BJ69"/>
    <mergeCell ref="C71:Y71"/>
    <mergeCell ref="C69:Y69"/>
    <mergeCell ref="AL70:AP71"/>
    <mergeCell ref="AQ70:AU71"/>
    <mergeCell ref="AV70:AZ71"/>
    <mergeCell ref="AD72:AF73"/>
    <mergeCell ref="AG72:AK73"/>
    <mergeCell ref="AL72:AP73"/>
    <mergeCell ref="AQ72:AU73"/>
    <mergeCell ref="C77:Y77"/>
    <mergeCell ref="C66:Y66"/>
    <mergeCell ref="Z66:AC67"/>
    <mergeCell ref="AD66:AF67"/>
    <mergeCell ref="AG66:AK67"/>
    <mergeCell ref="AL66:AP67"/>
    <mergeCell ref="AQ66:AU67"/>
    <mergeCell ref="AV66:AZ67"/>
    <mergeCell ref="BA66:BE67"/>
    <mergeCell ref="BF66:BJ67"/>
    <mergeCell ref="AG49:AK49"/>
    <mergeCell ref="AL49:AP49"/>
    <mergeCell ref="AQ49:AU49"/>
    <mergeCell ref="AV49:AZ49"/>
    <mergeCell ref="BA49:BE49"/>
    <mergeCell ref="BF49:BJ49"/>
    <mergeCell ref="BK49:BN49"/>
    <mergeCell ref="BO49:BS49"/>
    <mergeCell ref="BT49:BX49"/>
    <mergeCell ref="BY49:CC49"/>
    <mergeCell ref="CD49:CH49"/>
    <mergeCell ref="CI49:CM49"/>
    <mergeCell ref="CN49:CR49"/>
    <mergeCell ref="CS49:CW49"/>
    <mergeCell ref="EQ76:ES77"/>
    <mergeCell ref="EQ66:ES67"/>
    <mergeCell ref="DW66:EA67"/>
    <mergeCell ref="EB66:EF67"/>
    <mergeCell ref="EG66:EK67"/>
    <mergeCell ref="EQ70:ES71"/>
    <mergeCell ref="DM68:DQ69"/>
    <mergeCell ref="DR68:DV69"/>
    <mergeCell ref="DW68:EA69"/>
    <mergeCell ref="EB68:EF69"/>
    <mergeCell ref="EG68:EK69"/>
    <mergeCell ref="EL68:EP69"/>
    <mergeCell ref="EQ68:ES69"/>
    <mergeCell ref="BA70:BE71"/>
    <mergeCell ref="BF70:BJ71"/>
    <mergeCell ref="BK70:BN71"/>
    <mergeCell ref="BY66:CC67"/>
    <mergeCell ref="AL68:AP69"/>
    <mergeCell ref="AV57:AZ57"/>
    <mergeCell ref="CS57:CW57"/>
    <mergeCell ref="AV56:AZ56"/>
    <mergeCell ref="BA56:BE56"/>
    <mergeCell ref="BF56:BJ56"/>
    <mergeCell ref="BK56:BN56"/>
    <mergeCell ref="EQ49:ES49"/>
    <mergeCell ref="AG58:AK59"/>
    <mergeCell ref="AL58:AP59"/>
    <mergeCell ref="AQ58:AU59"/>
    <mergeCell ref="AV58:AZ59"/>
    <mergeCell ref="BA58:BE59"/>
    <mergeCell ref="BF58:BJ59"/>
    <mergeCell ref="CX49:DB49"/>
    <mergeCell ref="DC49:DG49"/>
    <mergeCell ref="DH49:DL49"/>
    <mergeCell ref="DM49:DQ49"/>
    <mergeCell ref="DM54:DQ54"/>
    <mergeCell ref="DR54:DV54"/>
    <mergeCell ref="BT50:BX50"/>
    <mergeCell ref="CS54:CW54"/>
    <mergeCell ref="BK55:BN55"/>
    <mergeCell ref="EQ52:ES52"/>
    <mergeCell ref="EQ53:ES53"/>
    <mergeCell ref="EB49:EF49"/>
    <mergeCell ref="BO55:BS55"/>
    <mergeCell ref="BT55:BX55"/>
    <mergeCell ref="EL50:EP50"/>
    <mergeCell ref="DC50:DG50"/>
    <mergeCell ref="BK57:BN57"/>
    <mergeCell ref="EG50:EK50"/>
    <mergeCell ref="EQ56:ES56"/>
    <mergeCell ref="CD52:CH52"/>
    <mergeCell ref="CI52:CM52"/>
    <mergeCell ref="CN52:CR52"/>
    <mergeCell ref="CS52:CW52"/>
    <mergeCell ref="CX52:DB52"/>
    <mergeCell ref="DC52:DG52"/>
    <mergeCell ref="DH52:DL52"/>
    <mergeCell ref="DM52:DQ52"/>
    <mergeCell ref="CX55:DB55"/>
    <mergeCell ref="DC55:DG55"/>
    <mergeCell ref="EB62:EF63"/>
    <mergeCell ref="BF60:BJ61"/>
    <mergeCell ref="BK60:BN61"/>
    <mergeCell ref="BO60:BS61"/>
    <mergeCell ref="BT60:BX61"/>
    <mergeCell ref="BY60:CC61"/>
    <mergeCell ref="CD60:CH61"/>
    <mergeCell ref="CI60:CM61"/>
    <mergeCell ref="CN60:CR61"/>
    <mergeCell ref="BO56:BS56"/>
    <mergeCell ref="BT56:BX56"/>
    <mergeCell ref="BY56:CC56"/>
    <mergeCell ref="BA62:BE63"/>
    <mergeCell ref="AL62:AP63"/>
    <mergeCell ref="BO57:BS57"/>
    <mergeCell ref="BT57:BX57"/>
    <mergeCell ref="BY57:CC57"/>
    <mergeCell ref="C63:Y63"/>
    <mergeCell ref="Z62:AC63"/>
    <mergeCell ref="CI57:CM57"/>
    <mergeCell ref="CN57:CR57"/>
    <mergeCell ref="C62:Y62"/>
    <mergeCell ref="EQ62:ES63"/>
    <mergeCell ref="CX58:DB59"/>
    <mergeCell ref="DW60:EA61"/>
    <mergeCell ref="CS62:CW63"/>
    <mergeCell ref="CS60:CW61"/>
    <mergeCell ref="CX60:DB61"/>
    <mergeCell ref="DC60:DG61"/>
    <mergeCell ref="AQ62:AU63"/>
    <mergeCell ref="AV62:AZ63"/>
    <mergeCell ref="EQ60:ES61"/>
    <mergeCell ref="AG62:AK63"/>
    <mergeCell ref="EQ58:ES59"/>
    <mergeCell ref="DH60:DL61"/>
    <mergeCell ref="DM60:DQ61"/>
    <mergeCell ref="DR60:DV61"/>
    <mergeCell ref="C58:Y58"/>
    <mergeCell ref="C60:Y60"/>
    <mergeCell ref="AQ60:AU61"/>
    <mergeCell ref="AV60:AZ61"/>
    <mergeCell ref="DW62:EA63"/>
    <mergeCell ref="EB60:EF61"/>
    <mergeCell ref="EG60:EK61"/>
    <mergeCell ref="AE94:AL94"/>
    <mergeCell ref="AM94:AT94"/>
    <mergeCell ref="Z83:AC83"/>
    <mergeCell ref="AD83:AF83"/>
    <mergeCell ref="AG85:AK85"/>
    <mergeCell ref="BO62:BS63"/>
    <mergeCell ref="EL60:EP61"/>
    <mergeCell ref="EB58:EF59"/>
    <mergeCell ref="BK58:BN59"/>
    <mergeCell ref="BO58:BS59"/>
    <mergeCell ref="BT58:BX59"/>
    <mergeCell ref="BY58:CC59"/>
    <mergeCell ref="CD58:CH59"/>
    <mergeCell ref="CI58:CM59"/>
    <mergeCell ref="CN58:CR59"/>
    <mergeCell ref="CS58:CW59"/>
    <mergeCell ref="DM64:DQ65"/>
    <mergeCell ref="DR64:DV65"/>
    <mergeCell ref="DW64:EA65"/>
    <mergeCell ref="Z64:AC65"/>
    <mergeCell ref="CN82:CR82"/>
    <mergeCell ref="Z87:AC87"/>
    <mergeCell ref="AD58:AF59"/>
    <mergeCell ref="DM58:DQ59"/>
    <mergeCell ref="DH58:DL59"/>
    <mergeCell ref="DC58:DG59"/>
    <mergeCell ref="AL64:AP65"/>
    <mergeCell ref="AQ64:AU65"/>
    <mergeCell ref="AV64:AZ65"/>
    <mergeCell ref="BT82:BX82"/>
    <mergeCell ref="BY82:CC82"/>
    <mergeCell ref="CD82:CH82"/>
    <mergeCell ref="AM101:AT101"/>
    <mergeCell ref="AU94:CH94"/>
    <mergeCell ref="AU95:CH101"/>
    <mergeCell ref="B90:ES90"/>
    <mergeCell ref="B91:ES91"/>
    <mergeCell ref="CX62:DB63"/>
    <mergeCell ref="DC62:DG63"/>
    <mergeCell ref="EG62:EK63"/>
    <mergeCell ref="EL62:EP63"/>
    <mergeCell ref="CN62:CR63"/>
    <mergeCell ref="BT62:BX63"/>
    <mergeCell ref="BY62:CC63"/>
    <mergeCell ref="E93:DP93"/>
    <mergeCell ref="AD82:AF82"/>
    <mergeCell ref="BK85:BN85"/>
    <mergeCell ref="BO85:BS85"/>
    <mergeCell ref="AE98:AL98"/>
    <mergeCell ref="DW82:EA82"/>
    <mergeCell ref="BY85:CC85"/>
    <mergeCell ref="CD85:CH85"/>
    <mergeCell ref="CI85:CM85"/>
    <mergeCell ref="CN85:CR85"/>
    <mergeCell ref="AD64:AF65"/>
    <mergeCell ref="EB64:EF65"/>
    <mergeCell ref="EG64:EK65"/>
    <mergeCell ref="EL64:EP65"/>
    <mergeCell ref="AG83:AK83"/>
    <mergeCell ref="AL83:AP83"/>
    <mergeCell ref="AQ83:AU83"/>
    <mergeCell ref="AV83:AZ83"/>
    <mergeCell ref="EQ64:ES65"/>
    <mergeCell ref="AG64:AK65"/>
    <mergeCell ref="AE96:AL96"/>
    <mergeCell ref="AM96:AT96"/>
    <mergeCell ref="AE97:AL97"/>
    <mergeCell ref="AV106:BR106"/>
    <mergeCell ref="AV107:BR107"/>
    <mergeCell ref="AV108:BR108"/>
    <mergeCell ref="AV109:BR109"/>
    <mergeCell ref="AV110:BR110"/>
    <mergeCell ref="B103:X103"/>
    <mergeCell ref="B105:X105"/>
    <mergeCell ref="B107:X107"/>
    <mergeCell ref="B106:X106"/>
    <mergeCell ref="B104:X104"/>
    <mergeCell ref="B108:X108"/>
    <mergeCell ref="B109:X109"/>
    <mergeCell ref="Y103:AU103"/>
    <mergeCell ref="Y104:AU104"/>
    <mergeCell ref="Y105:AU105"/>
    <mergeCell ref="Y106:AU106"/>
    <mergeCell ref="Y107:AU107"/>
    <mergeCell ref="Y108:AU108"/>
    <mergeCell ref="Y109:AU109"/>
    <mergeCell ref="Y110:AU110"/>
    <mergeCell ref="B110:X110"/>
    <mergeCell ref="AM97:AT97"/>
    <mergeCell ref="AM99:AT99"/>
    <mergeCell ref="AV103:BR103"/>
    <mergeCell ref="AV104:BR104"/>
    <mergeCell ref="AV105:BR105"/>
    <mergeCell ref="AE100:AL100"/>
    <mergeCell ref="AM100:AT100"/>
    <mergeCell ref="AE101:AL101"/>
    <mergeCell ref="CI82:CM82"/>
    <mergeCell ref="AL85:AP85"/>
    <mergeCell ref="DH82:DL82"/>
    <mergeCell ref="C84:Y84"/>
    <mergeCell ref="Z84:AC84"/>
    <mergeCell ref="AD84:AF84"/>
    <mergeCell ref="AG84:AK84"/>
    <mergeCell ref="AL84:AP84"/>
    <mergeCell ref="AQ84:AU84"/>
    <mergeCell ref="CX84:DB84"/>
    <mergeCell ref="DC84:DG84"/>
    <mergeCell ref="DH84:DL84"/>
    <mergeCell ref="DM84:DQ84"/>
    <mergeCell ref="AV84:AZ84"/>
    <mergeCell ref="BO84:BS84"/>
    <mergeCell ref="DC38:DG38"/>
    <mergeCell ref="EG46:EK46"/>
    <mergeCell ref="DH62:DL63"/>
    <mergeCell ref="DR58:DV59"/>
    <mergeCell ref="DW58:EA59"/>
    <mergeCell ref="DR49:DV49"/>
    <mergeCell ref="DC64:DG65"/>
    <mergeCell ref="DR51:DV51"/>
    <mergeCell ref="Z58:AC59"/>
    <mergeCell ref="CI76:CM77"/>
    <mergeCell ref="CN76:CR77"/>
    <mergeCell ref="CS76:CW77"/>
    <mergeCell ref="CX76:DB77"/>
    <mergeCell ref="CX64:DB65"/>
    <mergeCell ref="DR76:DV77"/>
    <mergeCell ref="DC66:DG67"/>
    <mergeCell ref="DR62:DV63"/>
    <mergeCell ref="EB70:EF71"/>
    <mergeCell ref="EG70:EK71"/>
    <mergeCell ref="EL70:EP71"/>
    <mergeCell ref="EB76:EF77"/>
    <mergeCell ref="EG76:EK77"/>
    <mergeCell ref="EL76:EP77"/>
    <mergeCell ref="DM76:DQ77"/>
    <mergeCell ref="EG40:EK40"/>
    <mergeCell ref="Z60:AC61"/>
    <mergeCell ref="BA64:BE65"/>
    <mergeCell ref="BF64:BJ65"/>
    <mergeCell ref="BK64:BN65"/>
    <mergeCell ref="BO64:BS65"/>
    <mergeCell ref="BT64:BX65"/>
    <mergeCell ref="BY64:CC65"/>
    <mergeCell ref="CD64:CH65"/>
    <mergeCell ref="CI64:CM65"/>
    <mergeCell ref="CN64:CR65"/>
    <mergeCell ref="CS64:CW65"/>
    <mergeCell ref="BF62:BJ63"/>
    <mergeCell ref="BK62:BN63"/>
    <mergeCell ref="Z57:AC57"/>
    <mergeCell ref="AL57:AP57"/>
    <mergeCell ref="AQ57:AU57"/>
    <mergeCell ref="AG51:AK51"/>
    <mergeCell ref="AL51:AP51"/>
    <mergeCell ref="CD56:CH56"/>
    <mergeCell ref="DW49:EA49"/>
    <mergeCell ref="DW76:EA77"/>
    <mergeCell ref="BK68:BN69"/>
    <mergeCell ref="BO68:BS69"/>
    <mergeCell ref="AD62:AF63"/>
    <mergeCell ref="EL82:EP82"/>
    <mergeCell ref="DC57:DG57"/>
    <mergeCell ref="DH57:DL57"/>
    <mergeCell ref="DM57:DQ57"/>
    <mergeCell ref="DH56:DL56"/>
    <mergeCell ref="DM56:DQ56"/>
    <mergeCell ref="DC56:DG56"/>
    <mergeCell ref="B88:ES88"/>
    <mergeCell ref="B89:ES89"/>
    <mergeCell ref="C85:Y85"/>
    <mergeCell ref="EL51:EP51"/>
    <mergeCell ref="EL57:EP57"/>
    <mergeCell ref="EG57:EK57"/>
    <mergeCell ref="EG56:EK56"/>
    <mergeCell ref="EL56:EP56"/>
    <mergeCell ref="DW57:EA57"/>
    <mergeCell ref="EB57:EF57"/>
    <mergeCell ref="DC82:DG82"/>
    <mergeCell ref="C83:Y83"/>
    <mergeCell ref="AG82:AK82"/>
    <mergeCell ref="AL82:AP82"/>
    <mergeCell ref="AQ82:AU82"/>
    <mergeCell ref="AV82:AZ82"/>
    <mergeCell ref="BA82:BE82"/>
    <mergeCell ref="BF82:BJ82"/>
    <mergeCell ref="C82:Y82"/>
    <mergeCell ref="Z82:AC82"/>
    <mergeCell ref="DM82:DQ82"/>
    <mergeCell ref="AQ85:AU85"/>
    <mergeCell ref="AV85:AZ85"/>
    <mergeCell ref="BK82:BN82"/>
    <mergeCell ref="BO82:BS82"/>
    <mergeCell ref="EL66:EP67"/>
    <mergeCell ref="DR82:DV82"/>
    <mergeCell ref="C76:Y76"/>
    <mergeCell ref="Z76:AC77"/>
    <mergeCell ref="AD76:AF77"/>
    <mergeCell ref="AG76:AK77"/>
    <mergeCell ref="AL76:AP77"/>
    <mergeCell ref="AQ76:AU77"/>
    <mergeCell ref="AV76:AZ77"/>
    <mergeCell ref="AD60:AF61"/>
    <mergeCell ref="AG60:AK61"/>
    <mergeCell ref="AL60:AP61"/>
    <mergeCell ref="EL58:EP59"/>
    <mergeCell ref="DH66:DL67"/>
    <mergeCell ref="DM66:DQ67"/>
    <mergeCell ref="DR66:DV67"/>
    <mergeCell ref="BA76:BE77"/>
    <mergeCell ref="BF76:BJ77"/>
    <mergeCell ref="BK76:BN77"/>
    <mergeCell ref="BO76:BS77"/>
    <mergeCell ref="BT76:BX77"/>
    <mergeCell ref="EB82:EF82"/>
    <mergeCell ref="EG82:EK82"/>
    <mergeCell ref="C61:Y61"/>
    <mergeCell ref="C65:Y65"/>
    <mergeCell ref="EG58:EK59"/>
    <mergeCell ref="CD62:CH63"/>
    <mergeCell ref="CI62:CM63"/>
    <mergeCell ref="DR70:DV71"/>
    <mergeCell ref="DW70:EA71"/>
    <mergeCell ref="BY76:CC77"/>
    <mergeCell ref="CD76:CH77"/>
    <mergeCell ref="C64:Y64"/>
    <mergeCell ref="CD66:CH67"/>
    <mergeCell ref="CI66:CM67"/>
    <mergeCell ref="CN66:CR67"/>
    <mergeCell ref="C67:Y67"/>
    <mergeCell ref="C68:Y68"/>
    <mergeCell ref="Z68:AC69"/>
    <mergeCell ref="AD68:AF69"/>
    <mergeCell ref="AG68:AK69"/>
    <mergeCell ref="EL42:EP42"/>
    <mergeCell ref="DW41:EA41"/>
    <mergeCell ref="EG43:EK43"/>
    <mergeCell ref="DM47:DQ47"/>
    <mergeCell ref="EB41:EF41"/>
    <mergeCell ref="EG41:EK41"/>
    <mergeCell ref="EL41:EP41"/>
    <mergeCell ref="DC47:DG47"/>
    <mergeCell ref="EL46:EP46"/>
    <mergeCell ref="EG49:EK49"/>
    <mergeCell ref="EL49:EP49"/>
    <mergeCell ref="DM62:DQ63"/>
    <mergeCell ref="EL54:EP54"/>
    <mergeCell ref="DR41:DV41"/>
    <mergeCell ref="DR50:DV50"/>
    <mergeCell ref="DW50:EA50"/>
    <mergeCell ref="EB50:EF50"/>
    <mergeCell ref="EB51:EF51"/>
    <mergeCell ref="EL52:EP52"/>
    <mergeCell ref="EG51:EK51"/>
    <mergeCell ref="EG53:EK53"/>
    <mergeCell ref="EL47:EP47"/>
    <mergeCell ref="DC48:DG48"/>
    <mergeCell ref="AV53:AZ53"/>
    <mergeCell ref="BA53:BE53"/>
    <mergeCell ref="BO51:BS51"/>
    <mergeCell ref="BT51:BX51"/>
    <mergeCell ref="BO48:BS48"/>
    <mergeCell ref="CX51:DB51"/>
    <mergeCell ref="DH47:DL47"/>
    <mergeCell ref="BO53:BS53"/>
    <mergeCell ref="BT53:BX53"/>
    <mergeCell ref="BY53:CC53"/>
    <mergeCell ref="CD53:CH53"/>
    <mergeCell ref="DC51:DG51"/>
    <mergeCell ref="DH51:DL51"/>
    <mergeCell ref="DH50:DL50"/>
    <mergeCell ref="CI50:CM50"/>
    <mergeCell ref="DH48:DL48"/>
    <mergeCell ref="DM48:DQ48"/>
    <mergeCell ref="CI53:CM53"/>
    <mergeCell ref="CN53:CR53"/>
    <mergeCell ref="CS53:CW53"/>
    <mergeCell ref="CX53:DB53"/>
    <mergeCell ref="DC53:DG53"/>
    <mergeCell ref="DH53:DL53"/>
    <mergeCell ref="DM53:DQ53"/>
    <mergeCell ref="DM51:DQ51"/>
    <mergeCell ref="CN50:CR50"/>
    <mergeCell ref="CI48:CM48"/>
    <mergeCell ref="BO50:BS50"/>
    <mergeCell ref="CN51:CR51"/>
    <mergeCell ref="CS51:CW51"/>
    <mergeCell ref="DM50:DQ50"/>
    <mergeCell ref="CS50:CW50"/>
    <mergeCell ref="AL47:AP47"/>
    <mergeCell ref="BF50:BJ50"/>
    <mergeCell ref="BF48:BJ48"/>
    <mergeCell ref="BY48:CC48"/>
    <mergeCell ref="CD48:CH48"/>
    <mergeCell ref="BT48:BX48"/>
    <mergeCell ref="AL43:AP43"/>
    <mergeCell ref="AQ43:AU43"/>
    <mergeCell ref="AV43:AZ43"/>
    <mergeCell ref="BA43:BE43"/>
    <mergeCell ref="BF43:BJ43"/>
    <mergeCell ref="BK43:BN43"/>
    <mergeCell ref="BO43:BS43"/>
    <mergeCell ref="BT43:BX43"/>
    <mergeCell ref="BA46:BE46"/>
    <mergeCell ref="CI46:CM46"/>
    <mergeCell ref="BY44:CC44"/>
    <mergeCell ref="CD44:CH44"/>
    <mergeCell ref="BY47:CC47"/>
    <mergeCell ref="CD47:CH47"/>
    <mergeCell ref="AL44:AP44"/>
    <mergeCell ref="AQ47:AU47"/>
    <mergeCell ref="AV47:AZ47"/>
    <mergeCell ref="BA47:BE47"/>
    <mergeCell ref="BF47:BJ47"/>
    <mergeCell ref="BO47:BS47"/>
    <mergeCell ref="BT47:BX47"/>
    <mergeCell ref="BA48:BE48"/>
    <mergeCell ref="BK44:BN44"/>
    <mergeCell ref="AG47:AK47"/>
    <mergeCell ref="CS37:CW37"/>
    <mergeCell ref="BO44:BS44"/>
    <mergeCell ref="BT44:BX44"/>
    <mergeCell ref="BO46:BS46"/>
    <mergeCell ref="BT46:BX46"/>
    <mergeCell ref="EL40:EP40"/>
    <mergeCell ref="AD43:AF43"/>
    <mergeCell ref="AG43:AK43"/>
    <mergeCell ref="BO41:BS41"/>
    <mergeCell ref="BT41:BX41"/>
    <mergeCell ref="BY41:CC41"/>
    <mergeCell ref="CD41:CH41"/>
    <mergeCell ref="CI41:CM41"/>
    <mergeCell ref="CN41:CR41"/>
    <mergeCell ref="AV46:AZ46"/>
    <mergeCell ref="BF46:BJ46"/>
    <mergeCell ref="BK41:BN41"/>
    <mergeCell ref="BA45:BE45"/>
    <mergeCell ref="AD42:AF42"/>
    <mergeCell ref="CX44:DB44"/>
    <mergeCell ref="BO45:BS45"/>
    <mergeCell ref="BT45:BX45"/>
    <mergeCell ref="BY45:CC45"/>
    <mergeCell ref="CD45:CH45"/>
    <mergeCell ref="CI45:CM45"/>
    <mergeCell ref="CS45:CW45"/>
    <mergeCell ref="CN45:CR45"/>
    <mergeCell ref="CD42:CH42"/>
    <mergeCell ref="CI42:CM42"/>
    <mergeCell ref="CN42:CR42"/>
    <mergeCell ref="CS42:CW42"/>
    <mergeCell ref="DC27:EP27"/>
    <mergeCell ref="EL32:EP32"/>
    <mergeCell ref="DC34:DG34"/>
    <mergeCell ref="DH34:DL34"/>
    <mergeCell ref="DM34:DQ34"/>
    <mergeCell ref="DR34:DV34"/>
    <mergeCell ref="EG34:EK34"/>
    <mergeCell ref="C35:Y35"/>
    <mergeCell ref="Z35:AC35"/>
    <mergeCell ref="DW28:EF28"/>
    <mergeCell ref="DH39:DL39"/>
    <mergeCell ref="DC36:DG36"/>
    <mergeCell ref="DH36:DL36"/>
    <mergeCell ref="DM36:DQ36"/>
    <mergeCell ref="EB36:EF36"/>
    <mergeCell ref="EG36:EK36"/>
    <mergeCell ref="EL36:EP36"/>
    <mergeCell ref="DC37:DG37"/>
    <mergeCell ref="DH37:DL37"/>
    <mergeCell ref="Z34:AC34"/>
    <mergeCell ref="AD34:AF34"/>
    <mergeCell ref="AQ39:AU39"/>
    <mergeCell ref="BO38:BS38"/>
    <mergeCell ref="C37:Y37"/>
    <mergeCell ref="Z39:AC39"/>
    <mergeCell ref="DC30:DL30"/>
    <mergeCell ref="AD39:AF39"/>
    <mergeCell ref="AD38:AF38"/>
    <mergeCell ref="CI39:CM39"/>
    <mergeCell ref="BO28:BX28"/>
    <mergeCell ref="BY28:CH28"/>
    <mergeCell ref="BF38:BJ38"/>
    <mergeCell ref="B27:B34"/>
    <mergeCell ref="Z27:BN27"/>
    <mergeCell ref="AG28:BJ28"/>
    <mergeCell ref="AG36:AK36"/>
    <mergeCell ref="AL36:AP36"/>
    <mergeCell ref="AQ36:AU36"/>
    <mergeCell ref="AV36:AZ36"/>
    <mergeCell ref="BA36:BE36"/>
    <mergeCell ref="BF36:BJ36"/>
    <mergeCell ref="CS28:DB28"/>
    <mergeCell ref="CS30:DB30"/>
    <mergeCell ref="CS32:CW32"/>
    <mergeCell ref="CX32:DB32"/>
    <mergeCell ref="CN32:CR32"/>
    <mergeCell ref="BO34:BS34"/>
    <mergeCell ref="BT34:BX34"/>
    <mergeCell ref="BY34:CC34"/>
    <mergeCell ref="CD34:CH34"/>
    <mergeCell ref="C27:Y34"/>
    <mergeCell ref="CI28:CR28"/>
    <mergeCell ref="BO30:BX30"/>
    <mergeCell ref="BY30:CH30"/>
    <mergeCell ref="CI30:CR30"/>
    <mergeCell ref="BO35:BS35"/>
    <mergeCell ref="AG29:AK34"/>
    <mergeCell ref="Z36:AC36"/>
    <mergeCell ref="Z28:AF33"/>
    <mergeCell ref="BT32:BX32"/>
    <mergeCell ref="BO36:BS36"/>
    <mergeCell ref="AQ29:AU34"/>
    <mergeCell ref="AD35:AF35"/>
    <mergeCell ref="BO27:DB27"/>
    <mergeCell ref="CD37:CH37"/>
    <mergeCell ref="CX38:DB38"/>
    <mergeCell ref="BO31:DB31"/>
    <mergeCell ref="AG45:AK45"/>
    <mergeCell ref="AL45:AP45"/>
    <mergeCell ref="AQ45:AU45"/>
    <mergeCell ref="BK38:BN38"/>
    <mergeCell ref="AQ44:AU44"/>
    <mergeCell ref="AV44:AZ44"/>
    <mergeCell ref="BA44:BE44"/>
    <mergeCell ref="AG40:AK40"/>
    <mergeCell ref="AL40:AP40"/>
    <mergeCell ref="AQ40:AU40"/>
    <mergeCell ref="AV40:AZ40"/>
    <mergeCell ref="BA40:BE40"/>
    <mergeCell ref="BF40:BJ40"/>
    <mergeCell ref="BO39:BS39"/>
    <mergeCell ref="BT39:BX39"/>
    <mergeCell ref="CI34:CM34"/>
    <mergeCell ref="CN34:CR34"/>
    <mergeCell ref="CS34:CW34"/>
    <mergeCell ref="CX37:DB37"/>
    <mergeCell ref="AL37:AP37"/>
    <mergeCell ref="AL29:AP34"/>
    <mergeCell ref="AG39:AK39"/>
    <mergeCell ref="AL39:AP39"/>
    <mergeCell ref="BK39:BN39"/>
    <mergeCell ref="AL42:AP42"/>
    <mergeCell ref="AQ42:AU42"/>
    <mergeCell ref="AV29:AZ34"/>
    <mergeCell ref="BA29:BE34"/>
    <mergeCell ref="BF29:BJ34"/>
    <mergeCell ref="C40:Y40"/>
    <mergeCell ref="Z40:AC40"/>
    <mergeCell ref="AV37:AZ37"/>
    <mergeCell ref="BA37:BE37"/>
    <mergeCell ref="AG35:AK35"/>
    <mergeCell ref="AD41:AF41"/>
    <mergeCell ref="AV42:AZ42"/>
    <mergeCell ref="BA42:BE42"/>
    <mergeCell ref="BF42:BJ42"/>
    <mergeCell ref="AD45:AF45"/>
    <mergeCell ref="AL38:AP38"/>
    <mergeCell ref="BF45:BJ45"/>
    <mergeCell ref="BA39:BE39"/>
    <mergeCell ref="BF39:BJ39"/>
    <mergeCell ref="BF44:BJ44"/>
    <mergeCell ref="AD37:AF37"/>
    <mergeCell ref="AD36:AF36"/>
    <mergeCell ref="BF35:BJ35"/>
    <mergeCell ref="C44:Y44"/>
    <mergeCell ref="AD44:AF44"/>
    <mergeCell ref="BK28:BN34"/>
    <mergeCell ref="BK35:BN35"/>
    <mergeCell ref="AQ38:AU38"/>
    <mergeCell ref="AV38:AZ38"/>
    <mergeCell ref="BA38:BE38"/>
    <mergeCell ref="AV39:AZ39"/>
    <mergeCell ref="BK40:BN40"/>
    <mergeCell ref="DC28:DL28"/>
    <mergeCell ref="DC35:DG35"/>
    <mergeCell ref="DH35:DL35"/>
    <mergeCell ref="DC31:EP31"/>
    <mergeCell ref="BY46:CC46"/>
    <mergeCell ref="DM45:DQ45"/>
    <mergeCell ref="CI37:CM37"/>
    <mergeCell ref="CI36:CM36"/>
    <mergeCell ref="DW30:EF30"/>
    <mergeCell ref="EG30:EP30"/>
    <mergeCell ref="EB32:EF32"/>
    <mergeCell ref="EG32:EK32"/>
    <mergeCell ref="DM32:DQ32"/>
    <mergeCell ref="DC29:EP29"/>
    <mergeCell ref="EL34:EP34"/>
    <mergeCell ref="DC43:DG43"/>
    <mergeCell ref="DC45:DG45"/>
    <mergeCell ref="CS44:CW44"/>
    <mergeCell ref="CD39:CH39"/>
    <mergeCell ref="BT35:BX35"/>
    <mergeCell ref="BY35:CC35"/>
    <mergeCell ref="DM44:DQ44"/>
    <mergeCell ref="DR45:DV45"/>
    <mergeCell ref="DM28:DV28"/>
    <mergeCell ref="CS35:CW35"/>
    <mergeCell ref="EQ27:ES33"/>
    <mergeCell ref="DH42:DL42"/>
    <mergeCell ref="DC33:EP33"/>
    <mergeCell ref="BO33:DB33"/>
    <mergeCell ref="BT42:BX42"/>
    <mergeCell ref="BY42:CC42"/>
    <mergeCell ref="DC44:DG44"/>
    <mergeCell ref="CD43:CH43"/>
    <mergeCell ref="CI43:CM43"/>
    <mergeCell ref="CN43:CR43"/>
    <mergeCell ref="CS43:CW43"/>
    <mergeCell ref="BY43:CC43"/>
    <mergeCell ref="CX42:DB42"/>
    <mergeCell ref="DH44:DL44"/>
    <mergeCell ref="DH43:DL43"/>
    <mergeCell ref="DM43:DQ43"/>
    <mergeCell ref="EB43:EF43"/>
    <mergeCell ref="EQ34:ES34"/>
    <mergeCell ref="EQ36:ES36"/>
    <mergeCell ref="BT36:BX36"/>
    <mergeCell ref="CN36:CR36"/>
    <mergeCell ref="CX36:DB36"/>
    <mergeCell ref="BO37:BS37"/>
    <mergeCell ref="BT37:BX37"/>
    <mergeCell ref="BY37:CC37"/>
    <mergeCell ref="BT38:BX38"/>
    <mergeCell ref="CD36:CH36"/>
    <mergeCell ref="CX40:DB40"/>
    <mergeCell ref="CN40:CR40"/>
    <mergeCell ref="DR35:DV35"/>
    <mergeCell ref="CI35:CM35"/>
    <mergeCell ref="CS36:CW36"/>
    <mergeCell ref="EQ41:ES41"/>
    <mergeCell ref="EQ38:ES38"/>
    <mergeCell ref="C48:Y48"/>
    <mergeCell ref="Z46:AC46"/>
    <mergeCell ref="BK47:BN47"/>
    <mergeCell ref="AD40:AF40"/>
    <mergeCell ref="BK50:BN50"/>
    <mergeCell ref="AG50:AK50"/>
    <mergeCell ref="AL50:AP50"/>
    <mergeCell ref="AQ50:AU50"/>
    <mergeCell ref="C51:Y51"/>
    <mergeCell ref="Z51:AC51"/>
    <mergeCell ref="Z47:AC47"/>
    <mergeCell ref="BK45:BN45"/>
    <mergeCell ref="AG48:AK48"/>
    <mergeCell ref="AL48:AP48"/>
    <mergeCell ref="BY38:CC38"/>
    <mergeCell ref="EB44:EF44"/>
    <mergeCell ref="EQ44:ES44"/>
    <mergeCell ref="EG44:EK44"/>
    <mergeCell ref="EL44:EP44"/>
    <mergeCell ref="EQ43:ES43"/>
    <mergeCell ref="CI44:CM44"/>
    <mergeCell ref="CN46:CR46"/>
    <mergeCell ref="CX45:DB45"/>
    <mergeCell ref="CX46:DB46"/>
    <mergeCell ref="CS46:CW46"/>
    <mergeCell ref="BO42:BS42"/>
    <mergeCell ref="BO40:BS40"/>
    <mergeCell ref="BT40:BX40"/>
    <mergeCell ref="CS40:CW40"/>
    <mergeCell ref="Z45:AC45"/>
    <mergeCell ref="AD54:AF54"/>
    <mergeCell ref="BF57:BJ57"/>
    <mergeCell ref="AL53:AP53"/>
    <mergeCell ref="AQ53:AU53"/>
    <mergeCell ref="BA54:BE54"/>
    <mergeCell ref="BF54:BJ54"/>
    <mergeCell ref="DW32:EA32"/>
    <mergeCell ref="DR32:DV32"/>
    <mergeCell ref="CX34:DB34"/>
    <mergeCell ref="BK37:BN37"/>
    <mergeCell ref="DR38:DV38"/>
    <mergeCell ref="DW38:EA38"/>
    <mergeCell ref="DC32:DG32"/>
    <mergeCell ref="DH32:DL32"/>
    <mergeCell ref="DM42:DQ42"/>
    <mergeCell ref="CN37:CR37"/>
    <mergeCell ref="CS41:CW41"/>
    <mergeCell ref="AQ37:AU37"/>
    <mergeCell ref="BO32:BS32"/>
    <mergeCell ref="AG37:AK37"/>
    <mergeCell ref="BF37:BJ37"/>
    <mergeCell ref="AL35:AP35"/>
    <mergeCell ref="AQ35:AU35"/>
    <mergeCell ref="AV35:AZ35"/>
    <mergeCell ref="BA35:BE35"/>
    <mergeCell ref="AG41:AK41"/>
    <mergeCell ref="AL41:AP41"/>
    <mergeCell ref="AQ41:AU41"/>
    <mergeCell ref="AV41:AZ41"/>
    <mergeCell ref="BA41:BE41"/>
    <mergeCell ref="BF41:BJ41"/>
    <mergeCell ref="CI51:CM51"/>
    <mergeCell ref="C49:Y49"/>
    <mergeCell ref="Z49:AC49"/>
    <mergeCell ref="AD49:AF49"/>
    <mergeCell ref="C43:Y43"/>
    <mergeCell ref="Z43:AC43"/>
    <mergeCell ref="Z48:AC48"/>
    <mergeCell ref="C47:Y47"/>
    <mergeCell ref="EL37:EP37"/>
    <mergeCell ref="EL35:EP35"/>
    <mergeCell ref="C42:Y42"/>
    <mergeCell ref="AG44:AK44"/>
    <mergeCell ref="DW34:EA34"/>
    <mergeCell ref="EB34:EF34"/>
    <mergeCell ref="EB40:EF40"/>
    <mergeCell ref="CD32:CH32"/>
    <mergeCell ref="CI32:CM32"/>
    <mergeCell ref="CX43:DB43"/>
    <mergeCell ref="DR43:DV43"/>
    <mergeCell ref="DW43:EA43"/>
    <mergeCell ref="EB42:EF42"/>
    <mergeCell ref="EG42:EK42"/>
    <mergeCell ref="DM41:DQ41"/>
    <mergeCell ref="CN44:CR44"/>
    <mergeCell ref="CS38:CW38"/>
    <mergeCell ref="DC41:DG41"/>
    <mergeCell ref="DH41:DL41"/>
    <mergeCell ref="CD46:CH46"/>
    <mergeCell ref="CN47:CR47"/>
    <mergeCell ref="CS47:CW47"/>
    <mergeCell ref="CX47:DB47"/>
    <mergeCell ref="CX48:DB48"/>
    <mergeCell ref="DW46:EA46"/>
    <mergeCell ref="EQ42:ES42"/>
    <mergeCell ref="DW44:EA44"/>
    <mergeCell ref="EL43:EP43"/>
    <mergeCell ref="EQ45:ES45"/>
    <mergeCell ref="EQ46:ES46"/>
    <mergeCell ref="EQ50:ES50"/>
    <mergeCell ref="CX35:DB35"/>
    <mergeCell ref="BY32:CC32"/>
    <mergeCell ref="DR44:DV44"/>
    <mergeCell ref="DH38:DL38"/>
    <mergeCell ref="DC39:DG39"/>
    <mergeCell ref="CN35:CR35"/>
    <mergeCell ref="BY40:CC40"/>
    <mergeCell ref="CD40:CH40"/>
    <mergeCell ref="DC42:DG42"/>
    <mergeCell ref="EG28:EP28"/>
    <mergeCell ref="DM30:DV30"/>
    <mergeCell ref="BY39:CC39"/>
    <mergeCell ref="DM40:DQ40"/>
    <mergeCell ref="DM38:DQ38"/>
    <mergeCell ref="CI40:CM40"/>
    <mergeCell ref="CD38:CH38"/>
    <mergeCell ref="CI38:CM38"/>
    <mergeCell ref="CN38:CR38"/>
    <mergeCell ref="CN39:CR39"/>
    <mergeCell ref="CS39:CW39"/>
    <mergeCell ref="DC40:DG40"/>
    <mergeCell ref="DH40:DL40"/>
    <mergeCell ref="CX39:DB39"/>
    <mergeCell ref="BY36:CC36"/>
    <mergeCell ref="BO29:DB29"/>
    <mergeCell ref="CD35:CH35"/>
    <mergeCell ref="EQ37:ES37"/>
    <mergeCell ref="DM35:DQ35"/>
    <mergeCell ref="DM37:DQ37"/>
    <mergeCell ref="DR37:DV37"/>
    <mergeCell ref="DW37:EA37"/>
    <mergeCell ref="EB37:EF37"/>
    <mergeCell ref="EQ39:ES39"/>
    <mergeCell ref="EQ40:ES40"/>
    <mergeCell ref="EB38:EF38"/>
    <mergeCell ref="EG38:EK38"/>
    <mergeCell ref="EL38:EP38"/>
    <mergeCell ref="DM39:DQ39"/>
    <mergeCell ref="DR39:DV39"/>
    <mergeCell ref="DW39:EA39"/>
    <mergeCell ref="EB39:EF39"/>
    <mergeCell ref="EG39:EK39"/>
    <mergeCell ref="EL39:EP39"/>
    <mergeCell ref="DW35:EA35"/>
    <mergeCell ref="DR40:DV40"/>
    <mergeCell ref="DW40:EA40"/>
    <mergeCell ref="DR36:DV36"/>
    <mergeCell ref="DW36:EA36"/>
    <mergeCell ref="EQ35:ES35"/>
    <mergeCell ref="EQ48:ES48"/>
    <mergeCell ref="DR56:DV56"/>
    <mergeCell ref="DW56:EA56"/>
    <mergeCell ref="EB56:EF56"/>
    <mergeCell ref="BO52:BS52"/>
    <mergeCell ref="BT52:BX52"/>
    <mergeCell ref="BA50:BE50"/>
    <mergeCell ref="BY52:CC52"/>
    <mergeCell ref="DR47:DV47"/>
    <mergeCell ref="DW47:EA47"/>
    <mergeCell ref="EB47:EF47"/>
    <mergeCell ref="EG47:EK47"/>
    <mergeCell ref="DM46:DQ46"/>
    <mergeCell ref="DR46:DV46"/>
    <mergeCell ref="BK48:BN48"/>
    <mergeCell ref="CI56:CM56"/>
    <mergeCell ref="CN56:CR56"/>
    <mergeCell ref="CS56:CW56"/>
    <mergeCell ref="CX56:DB56"/>
    <mergeCell ref="CI47:CM47"/>
    <mergeCell ref="EQ47:ES47"/>
    <mergeCell ref="EL48:EP48"/>
    <mergeCell ref="EQ51:ES51"/>
    <mergeCell ref="CX50:DB50"/>
    <mergeCell ref="DR48:DV48"/>
    <mergeCell ref="DW48:EA48"/>
    <mergeCell ref="EB48:EF48"/>
    <mergeCell ref="EG48:EK48"/>
    <mergeCell ref="DC46:DG46"/>
    <mergeCell ref="EB46:EF46"/>
    <mergeCell ref="DW51:EA51"/>
    <mergeCell ref="DH46:DL46"/>
    <mergeCell ref="C56:Y56"/>
    <mergeCell ref="AD56:AF56"/>
    <mergeCell ref="AG56:AK56"/>
    <mergeCell ref="AL56:AP56"/>
    <mergeCell ref="AQ56:AU56"/>
    <mergeCell ref="C50:Y50"/>
    <mergeCell ref="Z50:AC50"/>
    <mergeCell ref="BA51:BE51"/>
    <mergeCell ref="BF51:BJ51"/>
    <mergeCell ref="AV50:AZ50"/>
    <mergeCell ref="BK51:BN51"/>
    <mergeCell ref="BK42:BN42"/>
    <mergeCell ref="AG54:AK54"/>
    <mergeCell ref="AL54:AP54"/>
    <mergeCell ref="AQ54:AU54"/>
    <mergeCell ref="AV54:AZ54"/>
    <mergeCell ref="C46:Y46"/>
    <mergeCell ref="Z44:AC44"/>
    <mergeCell ref="Z56:AC56"/>
    <mergeCell ref="AD48:AF48"/>
    <mergeCell ref="AG46:AK46"/>
    <mergeCell ref="C52:Y52"/>
    <mergeCell ref="Z52:AC52"/>
    <mergeCell ref="AQ48:AU48"/>
    <mergeCell ref="AG42:AK42"/>
    <mergeCell ref="AV45:AZ45"/>
    <mergeCell ref="C45:Y45"/>
    <mergeCell ref="AD47:AF47"/>
    <mergeCell ref="BF53:BJ53"/>
    <mergeCell ref="BK53:BN53"/>
    <mergeCell ref="C54:Y54"/>
    <mergeCell ref="Z54:AC54"/>
    <mergeCell ref="AD52:AF52"/>
    <mergeCell ref="AG52:AK52"/>
    <mergeCell ref="AL52:AP52"/>
    <mergeCell ref="AQ52:AU52"/>
    <mergeCell ref="AV52:AZ52"/>
    <mergeCell ref="BA52:BE52"/>
    <mergeCell ref="BF52:BJ52"/>
    <mergeCell ref="BK52:BN52"/>
    <mergeCell ref="BY55:CC55"/>
    <mergeCell ref="CD55:CH55"/>
    <mergeCell ref="CI55:CM55"/>
    <mergeCell ref="CN55:CR55"/>
    <mergeCell ref="CS55:CW55"/>
    <mergeCell ref="BK54:BN54"/>
    <mergeCell ref="DR42:DV42"/>
    <mergeCell ref="DW42:EA42"/>
    <mergeCell ref="CX41:DB41"/>
    <mergeCell ref="AD50:AF50"/>
    <mergeCell ref="AD51:AF51"/>
    <mergeCell ref="AL46:AP46"/>
    <mergeCell ref="AQ46:AU46"/>
    <mergeCell ref="AD46:AF46"/>
    <mergeCell ref="AQ51:AU51"/>
    <mergeCell ref="AV51:AZ51"/>
    <mergeCell ref="CN48:CR48"/>
    <mergeCell ref="CS48:CW48"/>
    <mergeCell ref="BY51:CC51"/>
    <mergeCell ref="CD51:CH51"/>
    <mergeCell ref="BK46:BN46"/>
    <mergeCell ref="AV48:AZ48"/>
    <mergeCell ref="BY50:CC50"/>
    <mergeCell ref="CD50:CH50"/>
    <mergeCell ref="DR84:DV84"/>
    <mergeCell ref="DW84:EA84"/>
    <mergeCell ref="EB84:EF84"/>
    <mergeCell ref="EG84:EK84"/>
    <mergeCell ref="EL84:EP84"/>
    <mergeCell ref="EQ84:ES84"/>
    <mergeCell ref="BA83:BE83"/>
    <mergeCell ref="DM83:DQ83"/>
    <mergeCell ref="DR83:DV83"/>
    <mergeCell ref="BF83:BJ83"/>
    <mergeCell ref="CS82:CW82"/>
    <mergeCell ref="CX82:DB82"/>
    <mergeCell ref="DR52:DV52"/>
    <mergeCell ref="DW52:EA52"/>
    <mergeCell ref="EB52:EF52"/>
    <mergeCell ref="EG52:EK52"/>
    <mergeCell ref="DW54:EA54"/>
    <mergeCell ref="EB54:EF54"/>
    <mergeCell ref="EG54:EK54"/>
    <mergeCell ref="CD57:CH57"/>
    <mergeCell ref="DR57:DV57"/>
    <mergeCell ref="BA57:BE57"/>
    <mergeCell ref="CS66:CW67"/>
    <mergeCell ref="CX66:DB67"/>
    <mergeCell ref="DH64:DL65"/>
    <mergeCell ref="BY70:CC71"/>
    <mergeCell ref="CD70:CH71"/>
    <mergeCell ref="DM70:DQ71"/>
    <mergeCell ref="CX57:DB57"/>
    <mergeCell ref="BA84:BE84"/>
    <mergeCell ref="BF84:BJ84"/>
    <mergeCell ref="BK84:BN84"/>
    <mergeCell ref="EG85:EK85"/>
    <mergeCell ref="EL85:EP85"/>
    <mergeCell ref="EQ85:ES85"/>
    <mergeCell ref="BK83:BN83"/>
    <mergeCell ref="BO83:BS83"/>
    <mergeCell ref="BT83:BX83"/>
    <mergeCell ref="BY83:CC83"/>
    <mergeCell ref="CD83:CH83"/>
    <mergeCell ref="CI83:CM83"/>
    <mergeCell ref="CN83:CR83"/>
    <mergeCell ref="CS83:CW83"/>
    <mergeCell ref="CX83:DB83"/>
    <mergeCell ref="DC83:DG83"/>
    <mergeCell ref="DH83:DL83"/>
    <mergeCell ref="EQ83:ES83"/>
    <mergeCell ref="CS84:CW84"/>
    <mergeCell ref="DC76:DG77"/>
    <mergeCell ref="DH76:DL77"/>
    <mergeCell ref="EQ82:ES82"/>
    <mergeCell ref="CS85:CW85"/>
    <mergeCell ref="CX85:DB85"/>
    <mergeCell ref="DC85:DG85"/>
    <mergeCell ref="DH85:DL85"/>
    <mergeCell ref="DM85:DQ85"/>
    <mergeCell ref="DR85:DV85"/>
    <mergeCell ref="BO78:BS79"/>
    <mergeCell ref="DC78:DG79"/>
    <mergeCell ref="DH78:DL79"/>
    <mergeCell ref="DM78:DQ79"/>
    <mergeCell ref="DR78:DV79"/>
    <mergeCell ref="BT78:BX79"/>
    <mergeCell ref="BY78:CC79"/>
    <mergeCell ref="BT84:BX84"/>
    <mergeCell ref="BY84:CC84"/>
    <mergeCell ref="CD84:CH84"/>
    <mergeCell ref="CI84:CM84"/>
    <mergeCell ref="CN84:CR84"/>
    <mergeCell ref="BT85:BX85"/>
    <mergeCell ref="C86:Y86"/>
    <mergeCell ref="Z86:AC86"/>
    <mergeCell ref="AD86:AF86"/>
    <mergeCell ref="AG86:AK86"/>
    <mergeCell ref="AL86:AP86"/>
    <mergeCell ref="AQ86:AU86"/>
    <mergeCell ref="AV86:AZ86"/>
    <mergeCell ref="BA86:BE86"/>
    <mergeCell ref="BF86:BJ86"/>
    <mergeCell ref="BK86:BN86"/>
    <mergeCell ref="BO86:BS86"/>
    <mergeCell ref="BT86:BX86"/>
    <mergeCell ref="BY86:CC86"/>
    <mergeCell ref="CD86:CH86"/>
    <mergeCell ref="CI86:CM86"/>
    <mergeCell ref="CN86:CR86"/>
    <mergeCell ref="CS86:CW86"/>
    <mergeCell ref="C59:Y59"/>
    <mergeCell ref="C57:Y57"/>
    <mergeCell ref="C53:Y53"/>
    <mergeCell ref="Z53:AC53"/>
    <mergeCell ref="DR53:DV53"/>
    <mergeCell ref="DW53:EA53"/>
    <mergeCell ref="EB53:EF53"/>
    <mergeCell ref="EB85:EF85"/>
    <mergeCell ref="EB83:EF83"/>
    <mergeCell ref="EG83:EK83"/>
    <mergeCell ref="DW83:EA83"/>
    <mergeCell ref="BF55:BJ55"/>
    <mergeCell ref="AD53:AF53"/>
    <mergeCell ref="AG53:AK53"/>
    <mergeCell ref="EL53:EP53"/>
    <mergeCell ref="BO54:BS54"/>
    <mergeCell ref="BT54:BX54"/>
    <mergeCell ref="BY54:CC54"/>
    <mergeCell ref="CD54:CH54"/>
    <mergeCell ref="CI54:CM54"/>
    <mergeCell ref="CX54:DB54"/>
    <mergeCell ref="DC54:DG54"/>
    <mergeCell ref="DH54:DL54"/>
    <mergeCell ref="EL83:EP83"/>
    <mergeCell ref="BA85:BE85"/>
    <mergeCell ref="BF85:BJ85"/>
    <mergeCell ref="Z85:AC85"/>
    <mergeCell ref="AD85:AF85"/>
    <mergeCell ref="AG57:AK57"/>
    <mergeCell ref="AD57:AF57"/>
    <mergeCell ref="DW85:EA85"/>
    <mergeCell ref="A1:ES1"/>
    <mergeCell ref="Z2:DD2"/>
    <mergeCell ref="Z3:DD3"/>
    <mergeCell ref="Z4:DD4"/>
    <mergeCell ref="Z5:DD5"/>
    <mergeCell ref="Z6:DD6"/>
    <mergeCell ref="Z7:DD7"/>
    <mergeCell ref="DL5:ES5"/>
    <mergeCell ref="DL6:ES6"/>
    <mergeCell ref="DL4:ES4"/>
    <mergeCell ref="DL3:ES3"/>
    <mergeCell ref="A26:ES26"/>
    <mergeCell ref="A8:ES8"/>
    <mergeCell ref="DW45:EA45"/>
    <mergeCell ref="EB45:EF45"/>
    <mergeCell ref="EG45:EK45"/>
    <mergeCell ref="EL45:EP45"/>
    <mergeCell ref="DH45:DL45"/>
    <mergeCell ref="Z42:AC42"/>
    <mergeCell ref="A27:A34"/>
    <mergeCell ref="C38:Y38"/>
    <mergeCell ref="Z38:AC38"/>
    <mergeCell ref="C39:Y39"/>
    <mergeCell ref="Z41:AC41"/>
    <mergeCell ref="Z37:AC37"/>
    <mergeCell ref="BK36:BN36"/>
    <mergeCell ref="C41:Y41"/>
    <mergeCell ref="C36:Y36"/>
    <mergeCell ref="AG38:AK38"/>
    <mergeCell ref="EB35:EF35"/>
    <mergeCell ref="EG35:EK35"/>
    <mergeCell ref="EG37:EK37"/>
    <mergeCell ref="CM95:DY95"/>
    <mergeCell ref="CM96:DY96"/>
    <mergeCell ref="CM97:DY97"/>
    <mergeCell ref="EQ54:ES54"/>
    <mergeCell ref="DH55:DL55"/>
    <mergeCell ref="DM55:DQ55"/>
    <mergeCell ref="DR55:DV55"/>
    <mergeCell ref="DW55:EA55"/>
    <mergeCell ref="EB55:EF55"/>
    <mergeCell ref="EG55:EK55"/>
    <mergeCell ref="EL55:EP55"/>
    <mergeCell ref="EQ55:ES55"/>
    <mergeCell ref="C55:Y55"/>
    <mergeCell ref="Z55:AC55"/>
    <mergeCell ref="AD55:AF55"/>
    <mergeCell ref="AG55:AK55"/>
    <mergeCell ref="AL55:AP55"/>
    <mergeCell ref="AQ55:AU55"/>
    <mergeCell ref="AV55:AZ55"/>
    <mergeCell ref="BA55:BE55"/>
    <mergeCell ref="CN54:CR54"/>
    <mergeCell ref="CX86:DB86"/>
    <mergeCell ref="DC86:DG86"/>
    <mergeCell ref="DH86:DL86"/>
    <mergeCell ref="DM86:DQ86"/>
    <mergeCell ref="DR86:DV86"/>
    <mergeCell ref="DW86:EA86"/>
    <mergeCell ref="EB86:EF86"/>
    <mergeCell ref="EG86:EK86"/>
    <mergeCell ref="EL86:EP86"/>
    <mergeCell ref="EQ86:ES86"/>
    <mergeCell ref="EQ57:ES57"/>
  </mergeCells>
  <phoneticPr fontId="1" type="noConversion"/>
  <printOptions horizontalCentered="1"/>
  <pageMargins left="0.5" right="0.5" top="0.75" bottom="0.25" header="0.39370078740157499" footer="0.511811023622047"/>
  <pageSetup paperSize="9" scale="16" fitToHeight="0" orientation="landscape" verticalDpi="200" r:id="rId1"/>
  <headerFooter alignWithMargins="0"/>
  <rowBreaks count="2" manualBreakCount="2">
    <brk id="49" max="148" man="1"/>
    <brk id="86" max="14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Q113"/>
  <sheetViews>
    <sheetView view="pageBreakPreview" topLeftCell="A55" zoomScale="25" zoomScaleNormal="25" zoomScaleSheetLayoutView="25" workbookViewId="0">
      <selection activeCell="CX84" activeCellId="1" sqref="A48:XFD50 A84:XFD87"/>
    </sheetView>
  </sheetViews>
  <sheetFormatPr defaultColWidth="9.140625" defaultRowHeight="15.75" x14ac:dyDescent="0.25"/>
  <cols>
    <col min="1" max="1" width="17.28515625" style="14" customWidth="1"/>
    <col min="2" max="2" width="41.85546875" style="14" customWidth="1"/>
    <col min="3" max="22" width="5" style="11" customWidth="1"/>
    <col min="23" max="25" width="5" style="24" customWidth="1"/>
    <col min="26" max="26" width="9" style="25" customWidth="1"/>
    <col min="27" max="27" width="7.5703125" style="25" customWidth="1"/>
    <col min="28" max="29" width="7" style="25" customWidth="1"/>
    <col min="30" max="30" width="7" style="8" customWidth="1"/>
    <col min="31" max="31" width="9" style="8" customWidth="1"/>
    <col min="32" max="32" width="8.42578125" style="8" customWidth="1"/>
    <col min="33" max="35" width="5" style="8" customWidth="1"/>
    <col min="36" max="36" width="5.5703125" style="8" customWidth="1"/>
    <col min="37" max="48" width="4.7109375" style="2" customWidth="1"/>
    <col min="49" max="60" width="4.7109375" style="8" customWidth="1"/>
    <col min="61" max="66" width="4.7109375" style="24" customWidth="1"/>
    <col min="67" max="77" width="4.7109375" style="8" customWidth="1"/>
    <col min="78" max="127" width="4" style="8" customWidth="1"/>
    <col min="128" max="146" width="5" style="8" customWidth="1"/>
    <col min="147" max="149" width="6.7109375" style="13" customWidth="1"/>
    <col min="154" max="225" width="6.7109375" customWidth="1"/>
  </cols>
  <sheetData>
    <row r="1" spans="1:225" ht="101.25" x14ac:dyDescent="0.2">
      <c r="A1" s="606" t="s">
        <v>234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6"/>
      <c r="S1" s="606"/>
      <c r="T1" s="606"/>
      <c r="U1" s="606"/>
      <c r="V1" s="606"/>
      <c r="W1" s="606"/>
      <c r="X1" s="606"/>
      <c r="Y1" s="606"/>
      <c r="Z1" s="606"/>
      <c r="AA1" s="606"/>
      <c r="AB1" s="606"/>
      <c r="AC1" s="606"/>
      <c r="AD1" s="606"/>
      <c r="AE1" s="606"/>
      <c r="AF1" s="606"/>
      <c r="AG1" s="606"/>
      <c r="AH1" s="606"/>
      <c r="AI1" s="606"/>
      <c r="AJ1" s="606"/>
      <c r="AK1" s="606"/>
      <c r="AL1" s="606"/>
      <c r="AM1" s="606"/>
      <c r="AN1" s="606"/>
      <c r="AO1" s="606"/>
      <c r="AP1" s="606"/>
      <c r="AQ1" s="606"/>
      <c r="AR1" s="606"/>
      <c r="AS1" s="606"/>
      <c r="AT1" s="606"/>
      <c r="AU1" s="606"/>
      <c r="AV1" s="606"/>
      <c r="AW1" s="606"/>
      <c r="AX1" s="606"/>
      <c r="AY1" s="606"/>
      <c r="AZ1" s="606"/>
      <c r="BA1" s="606"/>
      <c r="BB1" s="606"/>
      <c r="BC1" s="606"/>
      <c r="BD1" s="606"/>
      <c r="BE1" s="606"/>
      <c r="BF1" s="606"/>
      <c r="BG1" s="606"/>
      <c r="BH1" s="606"/>
      <c r="BI1" s="606"/>
      <c r="BJ1" s="606"/>
      <c r="BK1" s="606"/>
      <c r="BL1" s="606"/>
      <c r="BM1" s="606"/>
      <c r="BN1" s="606"/>
      <c r="BO1" s="606"/>
      <c r="BP1" s="606"/>
      <c r="BQ1" s="606"/>
      <c r="BR1" s="606"/>
      <c r="BS1" s="606"/>
      <c r="BT1" s="606"/>
      <c r="BU1" s="606"/>
      <c r="BV1" s="606"/>
      <c r="BW1" s="606"/>
      <c r="BX1" s="606"/>
      <c r="BY1" s="606"/>
      <c r="BZ1" s="606"/>
      <c r="CA1" s="606"/>
      <c r="CB1" s="606"/>
      <c r="CC1" s="606"/>
      <c r="CD1" s="606"/>
      <c r="CE1" s="606"/>
      <c r="CF1" s="606"/>
      <c r="CG1" s="606"/>
      <c r="CH1" s="606"/>
      <c r="CI1" s="606"/>
      <c r="CJ1" s="606"/>
      <c r="CK1" s="606"/>
      <c r="CL1" s="606"/>
      <c r="CM1" s="606"/>
      <c r="CN1" s="606"/>
      <c r="CO1" s="606"/>
      <c r="CP1" s="606"/>
      <c r="CQ1" s="606"/>
      <c r="CR1" s="606"/>
      <c r="CS1" s="606"/>
      <c r="CT1" s="606"/>
      <c r="CU1" s="606"/>
      <c r="CV1" s="606"/>
      <c r="CW1" s="606"/>
      <c r="CX1" s="606"/>
      <c r="CY1" s="606"/>
      <c r="CZ1" s="606"/>
      <c r="DA1" s="606"/>
      <c r="DB1" s="606"/>
      <c r="DC1" s="606"/>
      <c r="DD1" s="606"/>
      <c r="DE1" s="606"/>
      <c r="DF1" s="606"/>
      <c r="DG1" s="606"/>
      <c r="DH1" s="606"/>
      <c r="DI1" s="606"/>
      <c r="DJ1" s="606"/>
      <c r="DK1" s="606"/>
      <c r="DL1" s="606"/>
      <c r="DM1" s="606"/>
      <c r="DN1" s="606"/>
      <c r="DO1" s="606"/>
      <c r="DP1" s="606"/>
      <c r="DQ1" s="606"/>
      <c r="DR1" s="606"/>
      <c r="DS1" s="606"/>
      <c r="DT1" s="606"/>
      <c r="DU1" s="606"/>
      <c r="DV1" s="606"/>
      <c r="DW1" s="606"/>
      <c r="DX1" s="606"/>
      <c r="DY1" s="606"/>
      <c r="DZ1" s="606"/>
      <c r="EA1" s="606"/>
      <c r="EB1" s="606"/>
      <c r="EC1" s="606"/>
      <c r="ED1" s="606"/>
      <c r="EE1" s="606"/>
      <c r="EF1" s="606"/>
      <c r="EG1" s="606"/>
      <c r="EH1" s="606"/>
      <c r="EI1" s="606"/>
      <c r="EJ1" s="606"/>
      <c r="EK1" s="606"/>
      <c r="EL1" s="606"/>
      <c r="EM1" s="606"/>
      <c r="EN1" s="606"/>
      <c r="EO1" s="606"/>
      <c r="EP1" s="606"/>
      <c r="EQ1" s="606"/>
      <c r="ER1" s="606"/>
      <c r="ES1" s="606"/>
    </row>
    <row r="2" spans="1:225" ht="81.75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106"/>
      <c r="P2" s="106"/>
      <c r="Q2" s="106"/>
      <c r="R2" s="106"/>
      <c r="S2" s="106"/>
      <c r="T2" s="110"/>
      <c r="U2" s="108"/>
      <c r="V2" s="109"/>
      <c r="W2" s="109"/>
      <c r="Y2" s="147"/>
      <c r="Z2" s="147"/>
      <c r="AA2" s="147"/>
      <c r="AB2" s="362" t="s">
        <v>246</v>
      </c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362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  <c r="BM2" s="362"/>
      <c r="BN2" s="362"/>
      <c r="BO2" s="362"/>
      <c r="BP2" s="362"/>
      <c r="BQ2" s="362"/>
      <c r="BR2" s="362"/>
      <c r="BS2" s="362"/>
      <c r="BT2" s="362"/>
      <c r="BU2" s="362"/>
      <c r="BV2" s="362"/>
      <c r="BW2" s="362"/>
      <c r="BX2" s="362"/>
      <c r="BY2" s="362"/>
      <c r="BZ2" s="362"/>
      <c r="CA2" s="362"/>
      <c r="CB2" s="362"/>
      <c r="CC2" s="362"/>
      <c r="CD2" s="362"/>
      <c r="CE2" s="362"/>
      <c r="CF2" s="362"/>
      <c r="CG2" s="362"/>
      <c r="CH2" s="362"/>
      <c r="CI2" s="362"/>
      <c r="CJ2" s="362"/>
      <c r="CK2" s="362"/>
      <c r="CL2" s="362"/>
      <c r="CM2" s="362"/>
      <c r="CN2" s="362"/>
      <c r="CO2" s="362"/>
      <c r="CP2" s="362"/>
      <c r="CQ2" s="362"/>
      <c r="CR2" s="362"/>
      <c r="CS2" s="362"/>
      <c r="CT2" s="362"/>
      <c r="CU2" s="362"/>
      <c r="CV2" s="362"/>
      <c r="CW2" s="362"/>
      <c r="CX2" s="362"/>
      <c r="CY2" s="106"/>
      <c r="CZ2" s="106"/>
      <c r="DA2" s="106"/>
      <c r="DB2" s="106"/>
      <c r="DC2" s="106"/>
      <c r="DD2" s="106"/>
      <c r="DE2" s="106"/>
      <c r="DF2" s="10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</row>
    <row r="3" spans="1:225" ht="69.95" customHeight="1" x14ac:dyDescent="0.25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139"/>
      <c r="P3" s="139"/>
      <c r="Q3" s="139"/>
      <c r="R3" s="139"/>
      <c r="S3" s="139"/>
      <c r="U3" s="146"/>
      <c r="V3" s="146"/>
      <c r="W3" s="146"/>
      <c r="Y3" s="146"/>
      <c r="Z3" s="146"/>
      <c r="AA3" s="146"/>
      <c r="AB3" s="363" t="s">
        <v>245</v>
      </c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363"/>
      <c r="BW3" s="363"/>
      <c r="BX3" s="363"/>
      <c r="BY3" s="363"/>
      <c r="BZ3" s="363"/>
      <c r="CA3" s="363"/>
      <c r="CB3" s="363"/>
      <c r="CC3" s="363"/>
      <c r="CD3" s="363"/>
      <c r="CE3" s="363"/>
      <c r="CF3" s="363"/>
      <c r="CG3" s="363"/>
      <c r="CH3" s="363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146"/>
      <c r="CZ3" s="146"/>
      <c r="DA3" s="146"/>
      <c r="DB3" s="146"/>
      <c r="DC3" s="146"/>
      <c r="DD3" s="146"/>
      <c r="DE3" s="146"/>
      <c r="DF3" s="146"/>
      <c r="DG3" s="56"/>
      <c r="DH3" s="56"/>
      <c r="DI3" s="56"/>
      <c r="DJ3" s="364" t="s">
        <v>217</v>
      </c>
      <c r="DK3" s="364"/>
      <c r="DL3" s="364"/>
      <c r="DM3" s="364"/>
      <c r="DN3" s="364"/>
      <c r="DO3" s="364"/>
      <c r="DP3" s="364"/>
      <c r="DQ3" s="364"/>
      <c r="DR3" s="364"/>
      <c r="DS3" s="364"/>
      <c r="DT3" s="364"/>
      <c r="DU3" s="364"/>
      <c r="DV3" s="364"/>
      <c r="DW3" s="364"/>
      <c r="DX3" s="364"/>
      <c r="DY3" s="364"/>
      <c r="DZ3" s="364"/>
      <c r="EA3" s="364"/>
      <c r="EB3" s="364"/>
      <c r="EC3" s="364"/>
      <c r="ED3" s="364"/>
      <c r="EE3" s="364"/>
      <c r="EF3" s="364"/>
      <c r="EG3" s="364"/>
      <c r="EH3" s="364"/>
      <c r="EI3" s="364"/>
      <c r="EJ3" s="364"/>
      <c r="EK3" s="364"/>
      <c r="EL3" s="364"/>
      <c r="EM3" s="364"/>
      <c r="EN3" s="364"/>
      <c r="EO3" s="364"/>
      <c r="EP3" s="364"/>
      <c r="EQ3" s="364"/>
      <c r="ER3" s="364"/>
      <c r="ES3" s="364"/>
    </row>
    <row r="4" spans="1:225" ht="69.95" customHeight="1" x14ac:dyDescent="0.2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P4" s="146"/>
      <c r="Q4" s="146"/>
      <c r="R4" s="146"/>
      <c r="S4" s="146"/>
      <c r="T4" s="146"/>
      <c r="U4" s="146"/>
      <c r="V4" s="146"/>
      <c r="W4" s="146"/>
      <c r="Y4" s="146"/>
      <c r="Z4" s="146"/>
      <c r="AA4" s="146"/>
      <c r="AB4" s="363" t="s">
        <v>260</v>
      </c>
      <c r="AC4" s="363"/>
      <c r="AD4" s="363"/>
      <c r="AE4" s="363"/>
      <c r="AF4" s="363"/>
      <c r="AG4" s="363"/>
      <c r="AH4" s="363"/>
      <c r="AI4" s="363"/>
      <c r="AJ4" s="363"/>
      <c r="AK4" s="363"/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/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/>
      <c r="CV4" s="363"/>
      <c r="CW4" s="363"/>
      <c r="CX4" s="363"/>
      <c r="CY4" s="146"/>
      <c r="CZ4" s="146"/>
      <c r="DA4" s="146"/>
      <c r="DB4" s="146"/>
      <c r="DC4" s="146"/>
      <c r="DD4" s="146"/>
      <c r="DE4" s="146"/>
      <c r="DF4" s="138"/>
      <c r="DG4" s="56"/>
      <c r="DH4" s="56"/>
      <c r="DI4" s="56"/>
      <c r="DJ4" s="364" t="s">
        <v>244</v>
      </c>
      <c r="DK4" s="364"/>
      <c r="DL4" s="364"/>
      <c r="DM4" s="364"/>
      <c r="DN4" s="364"/>
      <c r="DO4" s="364"/>
      <c r="DP4" s="364"/>
      <c r="DQ4" s="364"/>
      <c r="DR4" s="364"/>
      <c r="DS4" s="364"/>
      <c r="DT4" s="364"/>
      <c r="DU4" s="364"/>
      <c r="DV4" s="364"/>
      <c r="DW4" s="364"/>
      <c r="DX4" s="364"/>
      <c r="DY4" s="364"/>
      <c r="DZ4" s="364"/>
      <c r="EA4" s="364"/>
      <c r="EB4" s="364"/>
      <c r="EC4" s="364"/>
      <c r="ED4" s="364"/>
      <c r="EE4" s="364"/>
      <c r="EF4" s="364"/>
      <c r="EG4" s="364"/>
      <c r="EH4" s="364"/>
      <c r="EI4" s="364"/>
      <c r="EJ4" s="364"/>
      <c r="EK4" s="364"/>
      <c r="EL4" s="364"/>
      <c r="EM4" s="364"/>
      <c r="EN4" s="364"/>
      <c r="EO4" s="364"/>
      <c r="EP4" s="364"/>
      <c r="EQ4" s="364"/>
      <c r="ER4" s="364"/>
      <c r="ES4" s="364"/>
    </row>
    <row r="5" spans="1:225" ht="69.95" customHeight="1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111"/>
      <c r="P5" s="111"/>
      <c r="Q5" s="111"/>
      <c r="R5" s="111"/>
      <c r="S5" s="111"/>
      <c r="T5" s="111"/>
      <c r="V5" s="147"/>
      <c r="W5" s="147"/>
      <c r="Y5" s="147"/>
      <c r="Z5" s="147"/>
      <c r="AA5" s="147"/>
      <c r="AB5" s="364" t="s">
        <v>13</v>
      </c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364"/>
      <c r="CK5" s="364"/>
      <c r="CL5" s="364"/>
      <c r="CM5" s="364"/>
      <c r="CN5" s="364"/>
      <c r="CO5" s="364"/>
      <c r="CP5" s="364"/>
      <c r="CQ5" s="364"/>
      <c r="CR5" s="364"/>
      <c r="CS5" s="364"/>
      <c r="CT5" s="364"/>
      <c r="CU5" s="364"/>
      <c r="CV5" s="364"/>
      <c r="CW5" s="364"/>
      <c r="CX5" s="364"/>
      <c r="CY5" s="147"/>
      <c r="CZ5" s="147"/>
      <c r="DA5" s="147"/>
      <c r="DB5" s="147"/>
      <c r="DC5" s="147"/>
      <c r="DD5" s="147"/>
      <c r="DE5" s="147"/>
      <c r="DF5" s="139"/>
      <c r="DG5" s="56"/>
      <c r="DH5" s="56"/>
      <c r="DI5" s="56"/>
      <c r="DJ5" s="364" t="s">
        <v>230</v>
      </c>
      <c r="DK5" s="364"/>
      <c r="DL5" s="364"/>
      <c r="DM5" s="364"/>
      <c r="DN5" s="364"/>
      <c r="DO5" s="364"/>
      <c r="DP5" s="364"/>
      <c r="DQ5" s="364"/>
      <c r="DR5" s="364"/>
      <c r="DS5" s="364"/>
      <c r="DT5" s="364"/>
      <c r="DU5" s="364"/>
      <c r="DV5" s="364"/>
      <c r="DW5" s="364"/>
      <c r="DX5" s="364"/>
      <c r="DY5" s="364"/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</row>
    <row r="6" spans="1:225" ht="69.95" customHeight="1" x14ac:dyDescent="0.25">
      <c r="A6" s="53"/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P6" s="147"/>
      <c r="Q6" s="147"/>
      <c r="R6" s="147"/>
      <c r="S6" s="147"/>
      <c r="T6" s="147"/>
      <c r="U6" s="147"/>
      <c r="V6" s="147"/>
      <c r="W6" s="147"/>
      <c r="Y6" s="147"/>
      <c r="Z6" s="147"/>
      <c r="AA6" s="147"/>
      <c r="AB6" s="364" t="s">
        <v>259</v>
      </c>
      <c r="AC6" s="364"/>
      <c r="AD6" s="364"/>
      <c r="AE6" s="364"/>
      <c r="AF6" s="364"/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4"/>
      <c r="BM6" s="364"/>
      <c r="BN6" s="364"/>
      <c r="BO6" s="364"/>
      <c r="BP6" s="364"/>
      <c r="BQ6" s="364"/>
      <c r="BR6" s="364"/>
      <c r="BS6" s="364"/>
      <c r="BT6" s="364"/>
      <c r="BU6" s="364"/>
      <c r="BV6" s="364"/>
      <c r="BW6" s="364"/>
      <c r="BX6" s="364"/>
      <c r="BY6" s="364"/>
      <c r="BZ6" s="364"/>
      <c r="CA6" s="364"/>
      <c r="CB6" s="364"/>
      <c r="CC6" s="364"/>
      <c r="CD6" s="364"/>
      <c r="CE6" s="364"/>
      <c r="CF6" s="364"/>
      <c r="CG6" s="364"/>
      <c r="CH6" s="364"/>
      <c r="CI6" s="364"/>
      <c r="CJ6" s="364"/>
      <c r="CK6" s="364"/>
      <c r="CL6" s="364"/>
      <c r="CM6" s="364"/>
      <c r="CN6" s="364"/>
      <c r="CO6" s="364"/>
      <c r="CP6" s="364"/>
      <c r="CQ6" s="364"/>
      <c r="CR6" s="364"/>
      <c r="CS6" s="364"/>
      <c r="CT6" s="364"/>
      <c r="CU6" s="364"/>
      <c r="CV6" s="364"/>
      <c r="CW6" s="364"/>
      <c r="CX6" s="364"/>
      <c r="CY6" s="147"/>
      <c r="CZ6" s="147"/>
      <c r="DA6" s="147"/>
      <c r="DB6" s="147"/>
      <c r="DC6" s="147"/>
      <c r="DD6" s="147"/>
      <c r="DE6" s="147"/>
      <c r="DF6" s="147"/>
      <c r="DG6" s="104"/>
      <c r="DH6" s="104"/>
      <c r="DI6" s="104"/>
      <c r="DJ6" s="364" t="s">
        <v>218</v>
      </c>
      <c r="DK6" s="364"/>
      <c r="DL6" s="364"/>
      <c r="DM6" s="364"/>
      <c r="DN6" s="364"/>
      <c r="DO6" s="364"/>
      <c r="DP6" s="364"/>
      <c r="DQ6" s="364"/>
      <c r="DR6" s="364"/>
      <c r="DS6" s="364"/>
      <c r="DT6" s="364"/>
      <c r="DU6" s="364"/>
      <c r="DV6" s="364"/>
      <c r="DW6" s="364"/>
      <c r="DX6" s="364"/>
      <c r="DY6" s="364"/>
      <c r="DZ6" s="364"/>
      <c r="EA6" s="364"/>
      <c r="EB6" s="364"/>
      <c r="EC6" s="364"/>
      <c r="ED6" s="36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</row>
    <row r="7" spans="1:225" ht="69.95" customHeight="1" x14ac:dyDescent="0.25">
      <c r="A7" s="93"/>
      <c r="B7" s="93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P7" s="147"/>
      <c r="Q7" s="147"/>
      <c r="R7" s="147"/>
      <c r="S7" s="147"/>
      <c r="T7" s="147"/>
      <c r="U7" s="147"/>
      <c r="V7" s="147"/>
      <c r="W7" s="147"/>
      <c r="Y7" s="147"/>
      <c r="Z7" s="147"/>
      <c r="AA7" s="147"/>
      <c r="AB7" s="364" t="s">
        <v>261</v>
      </c>
      <c r="AC7" s="364"/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4"/>
      <c r="BL7" s="364"/>
      <c r="BM7" s="364"/>
      <c r="BN7" s="364"/>
      <c r="BO7" s="364"/>
      <c r="BP7" s="364"/>
      <c r="BQ7" s="364"/>
      <c r="BR7" s="364"/>
      <c r="BS7" s="364"/>
      <c r="BT7" s="364"/>
      <c r="BU7" s="364"/>
      <c r="BV7" s="364"/>
      <c r="BW7" s="364"/>
      <c r="BX7" s="364"/>
      <c r="BY7" s="364"/>
      <c r="BZ7" s="364"/>
      <c r="CA7" s="364"/>
      <c r="CB7" s="364"/>
      <c r="CC7" s="364"/>
      <c r="CD7" s="364"/>
      <c r="CE7" s="364"/>
      <c r="CF7" s="364"/>
      <c r="CG7" s="364"/>
      <c r="CH7" s="364"/>
      <c r="CI7" s="364"/>
      <c r="CJ7" s="364"/>
      <c r="CK7" s="364"/>
      <c r="CL7" s="364"/>
      <c r="CM7" s="364"/>
      <c r="CN7" s="364"/>
      <c r="CO7" s="364"/>
      <c r="CP7" s="364"/>
      <c r="CQ7" s="364"/>
      <c r="CR7" s="364"/>
      <c r="CS7" s="364"/>
      <c r="CT7" s="364"/>
      <c r="CU7" s="364"/>
      <c r="CV7" s="364"/>
      <c r="CW7" s="364"/>
      <c r="CX7" s="364"/>
      <c r="CY7" s="147"/>
      <c r="CZ7" s="147"/>
      <c r="DA7" s="147"/>
      <c r="DB7" s="147"/>
      <c r="DC7" s="147"/>
      <c r="DD7" s="147"/>
      <c r="DE7" s="147"/>
      <c r="DF7" s="147"/>
      <c r="DG7" s="104"/>
      <c r="DH7" s="104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11"/>
      <c r="DY7" s="111"/>
      <c r="DZ7" s="111"/>
      <c r="EA7" s="111"/>
      <c r="EB7" s="111"/>
      <c r="EC7" s="111"/>
      <c r="ED7" s="111"/>
      <c r="EE7" s="111"/>
      <c r="EF7" s="111"/>
      <c r="EG7" s="11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</row>
    <row r="8" spans="1:225" ht="69" x14ac:dyDescent="0.2">
      <c r="A8" s="365" t="s">
        <v>249</v>
      </c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5"/>
      <c r="AP8" s="365"/>
      <c r="AQ8" s="365"/>
      <c r="AR8" s="365"/>
      <c r="AS8" s="365"/>
      <c r="AT8" s="365"/>
      <c r="AU8" s="365"/>
      <c r="AV8" s="365"/>
      <c r="AW8" s="365"/>
      <c r="AX8" s="365"/>
      <c r="AY8" s="365"/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5"/>
      <c r="BR8" s="365"/>
      <c r="BS8" s="365"/>
      <c r="BT8" s="365"/>
      <c r="BU8" s="365"/>
      <c r="BV8" s="365"/>
      <c r="BW8" s="365"/>
      <c r="BX8" s="365"/>
      <c r="BY8" s="365"/>
      <c r="BZ8" s="365"/>
      <c r="CA8" s="365"/>
      <c r="CB8" s="365"/>
      <c r="CC8" s="365"/>
      <c r="CD8" s="365"/>
      <c r="CE8" s="365"/>
      <c r="CF8" s="365"/>
      <c r="CG8" s="365"/>
      <c r="CH8" s="365"/>
      <c r="CI8" s="365"/>
      <c r="CJ8" s="365"/>
      <c r="CK8" s="365"/>
      <c r="CL8" s="365"/>
      <c r="CM8" s="365"/>
      <c r="CN8" s="365"/>
      <c r="CO8" s="365"/>
      <c r="CP8" s="365"/>
      <c r="CQ8" s="365"/>
      <c r="CR8" s="365"/>
      <c r="CS8" s="365"/>
      <c r="CT8" s="365"/>
      <c r="CU8" s="365"/>
      <c r="CV8" s="365"/>
      <c r="CW8" s="365"/>
      <c r="CX8" s="365"/>
      <c r="CY8" s="365"/>
      <c r="CZ8" s="365"/>
      <c r="DA8" s="365"/>
      <c r="DB8" s="365"/>
      <c r="DC8" s="365"/>
      <c r="DD8" s="365"/>
      <c r="DE8" s="365"/>
      <c r="DF8" s="365"/>
      <c r="DG8" s="365"/>
      <c r="DH8" s="365"/>
      <c r="DI8" s="365"/>
      <c r="DJ8" s="365"/>
      <c r="DK8" s="365"/>
      <c r="DL8" s="365"/>
      <c r="DM8" s="365"/>
      <c r="DN8" s="365"/>
      <c r="DO8" s="365"/>
      <c r="DP8" s="365"/>
      <c r="DQ8" s="365"/>
      <c r="DR8" s="365"/>
      <c r="DS8" s="365"/>
      <c r="DT8" s="365"/>
      <c r="DU8" s="365"/>
      <c r="DV8" s="365"/>
      <c r="DW8" s="365"/>
      <c r="DX8" s="365"/>
      <c r="DY8" s="365"/>
      <c r="DZ8" s="365"/>
      <c r="EA8" s="365"/>
      <c r="EB8" s="365"/>
      <c r="EC8" s="365"/>
      <c r="ED8" s="365"/>
      <c r="EE8" s="365"/>
      <c r="EF8" s="365"/>
      <c r="EG8" s="365"/>
      <c r="EH8" s="365"/>
      <c r="EI8" s="365"/>
      <c r="EJ8" s="365"/>
      <c r="EK8" s="365"/>
      <c r="EL8" s="365"/>
      <c r="EM8" s="365"/>
      <c r="EN8" s="365"/>
      <c r="EO8" s="365"/>
      <c r="EP8" s="365"/>
      <c r="EQ8" s="365"/>
      <c r="ER8" s="365"/>
      <c r="ES8" s="365"/>
    </row>
    <row r="9" spans="1:225" ht="39.75" customHeight="1" x14ac:dyDescent="0.4">
      <c r="C9" s="46"/>
      <c r="D9" s="205"/>
      <c r="E9" s="205"/>
      <c r="F9" s="205"/>
      <c r="G9" s="205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4"/>
      <c r="BN9" s="244"/>
      <c r="BO9" s="244"/>
      <c r="BP9" s="244"/>
      <c r="BQ9" s="244"/>
      <c r="BR9" s="244"/>
      <c r="BS9" s="244"/>
      <c r="BT9" s="244"/>
      <c r="BU9" s="244"/>
      <c r="BV9" s="244"/>
      <c r="BW9" s="244"/>
      <c r="BX9" s="244"/>
      <c r="BY9" s="244"/>
      <c r="BZ9" s="244"/>
      <c r="CA9" s="244"/>
      <c r="CB9" s="244"/>
      <c r="CC9" s="244"/>
      <c r="CD9" s="244"/>
      <c r="CE9" s="244"/>
      <c r="CF9" s="244"/>
      <c r="CG9" s="244"/>
      <c r="CH9" s="244"/>
      <c r="CI9" s="244"/>
      <c r="CJ9" s="244"/>
      <c r="CK9" s="244"/>
      <c r="CL9" s="244"/>
      <c r="CM9" s="244"/>
      <c r="CN9" s="244"/>
      <c r="CO9" s="244"/>
      <c r="CP9" s="244"/>
      <c r="CQ9" s="244"/>
      <c r="CR9" s="244"/>
      <c r="CS9" s="244"/>
      <c r="CT9" s="244"/>
      <c r="CU9" s="244"/>
      <c r="CV9" s="244"/>
      <c r="CW9" s="244"/>
      <c r="CX9" s="244"/>
      <c r="CY9" s="244"/>
      <c r="CZ9" s="244"/>
      <c r="DA9" s="244"/>
      <c r="DB9" s="244"/>
      <c r="DC9" s="244"/>
      <c r="DD9" s="244"/>
      <c r="DE9" s="244"/>
      <c r="DF9" s="244"/>
      <c r="DG9" s="244"/>
      <c r="DH9" s="244"/>
      <c r="DI9" s="244"/>
      <c r="DJ9" s="244"/>
      <c r="DK9" s="207"/>
      <c r="DL9" s="207"/>
      <c r="DM9" s="207"/>
      <c r="DN9" s="207"/>
      <c r="DO9" s="207"/>
      <c r="DP9" s="207"/>
      <c r="DQ9" s="207"/>
      <c r="DR9" s="207"/>
      <c r="DS9" s="207"/>
      <c r="DT9" s="207"/>
      <c r="DU9" s="207"/>
      <c r="DV9" s="207"/>
      <c r="DW9" s="207"/>
      <c r="DX9" s="207"/>
      <c r="DY9" s="207"/>
      <c r="DZ9" s="207"/>
      <c r="EA9" s="207"/>
      <c r="EB9" s="207"/>
      <c r="EC9" s="207"/>
      <c r="ED9" s="208"/>
      <c r="EE9" s="208"/>
      <c r="EF9" s="208"/>
      <c r="EG9" s="208"/>
      <c r="EH9" s="208"/>
      <c r="EI9" s="208"/>
      <c r="EJ9" s="218"/>
      <c r="EK9" s="218"/>
      <c r="EL9" s="218"/>
      <c r="EM9" s="218"/>
      <c r="EN9" s="209"/>
      <c r="EO9" s="209"/>
      <c r="EP9" s="209"/>
      <c r="EX9" s="756" t="s">
        <v>23</v>
      </c>
      <c r="EY9" s="756"/>
      <c r="EZ9" s="757" t="s">
        <v>264</v>
      </c>
      <c r="FA9" s="757"/>
      <c r="FB9" s="757"/>
      <c r="FC9" s="757"/>
      <c r="FD9" s="757"/>
      <c r="FE9" s="757"/>
      <c r="FF9" s="757"/>
      <c r="FG9" s="757"/>
      <c r="FH9" s="757"/>
      <c r="FI9" s="757"/>
      <c r="FJ9" s="757"/>
      <c r="FK9" s="757"/>
      <c r="FL9" s="757"/>
      <c r="FM9" s="757"/>
      <c r="FN9" s="757"/>
      <c r="FO9" s="757"/>
      <c r="FP9" s="757"/>
      <c r="FQ9" s="757"/>
      <c r="FR9" s="757"/>
      <c r="FS9" s="757"/>
      <c r="FT9" s="757"/>
      <c r="FU9" s="757"/>
      <c r="FV9" s="757"/>
      <c r="FW9" s="757"/>
      <c r="FX9" s="757"/>
      <c r="FY9" s="757"/>
      <c r="FZ9" s="757"/>
      <c r="GA9" s="757"/>
      <c r="GB9" s="757"/>
      <c r="GC9" s="757"/>
      <c r="GD9" s="757"/>
      <c r="GE9" s="757"/>
      <c r="GF9" s="757"/>
      <c r="GG9" s="757"/>
      <c r="GH9" s="757"/>
      <c r="GI9" s="757"/>
      <c r="GJ9" s="757"/>
      <c r="GK9" s="757"/>
      <c r="GL9" s="757"/>
      <c r="GM9" s="757"/>
      <c r="GN9" s="757"/>
      <c r="GO9" s="757"/>
      <c r="GP9" s="757"/>
      <c r="GQ9" s="757"/>
      <c r="GR9" s="757"/>
      <c r="GS9" s="757"/>
      <c r="GT9" s="757"/>
      <c r="GU9" s="757"/>
      <c r="GV9" s="757"/>
      <c r="GW9" s="757"/>
      <c r="GX9" s="757"/>
      <c r="GY9" s="757"/>
      <c r="GZ9" s="757" t="s">
        <v>20</v>
      </c>
      <c r="HA9" s="757"/>
      <c r="HB9" s="757"/>
      <c r="HC9" s="757"/>
      <c r="HD9" s="757"/>
      <c r="HE9" s="757"/>
      <c r="HF9" s="757"/>
      <c r="HG9" s="757"/>
      <c r="HH9" s="757"/>
      <c r="HI9" s="757"/>
      <c r="HJ9" s="757"/>
      <c r="HK9" s="757"/>
      <c r="HL9" s="757"/>
      <c r="HM9" s="757"/>
      <c r="HN9" s="758" t="s">
        <v>275</v>
      </c>
      <c r="HO9" s="759"/>
      <c r="HP9" s="756" t="s">
        <v>22</v>
      </c>
      <c r="HQ9" s="756"/>
    </row>
    <row r="10" spans="1:225" ht="39.75" customHeight="1" x14ac:dyDescent="0.4">
      <c r="C10" s="46"/>
      <c r="D10" s="205"/>
      <c r="E10" s="205"/>
      <c r="F10" s="205"/>
      <c r="G10" s="205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4"/>
      <c r="BN10" s="244"/>
      <c r="BO10" s="244"/>
      <c r="BP10" s="244"/>
      <c r="BQ10" s="244"/>
      <c r="BR10" s="244"/>
      <c r="BS10" s="244"/>
      <c r="BT10" s="244"/>
      <c r="BU10" s="244"/>
      <c r="BV10" s="244"/>
      <c r="BW10" s="244"/>
      <c r="BX10" s="244"/>
      <c r="BY10" s="244"/>
      <c r="BZ10" s="244"/>
      <c r="CA10" s="244"/>
      <c r="CB10" s="244"/>
      <c r="CC10" s="244"/>
      <c r="CD10" s="244"/>
      <c r="CE10" s="244"/>
      <c r="CF10" s="244"/>
      <c r="CG10" s="244"/>
      <c r="CH10" s="244"/>
      <c r="CI10" s="244"/>
      <c r="CJ10" s="244"/>
      <c r="CK10" s="244"/>
      <c r="CL10" s="244"/>
      <c r="CM10" s="244"/>
      <c r="CN10" s="244"/>
      <c r="CO10" s="244"/>
      <c r="CP10" s="244"/>
      <c r="CQ10" s="244"/>
      <c r="CR10" s="244"/>
      <c r="CS10" s="244"/>
      <c r="CT10" s="244"/>
      <c r="CU10" s="244"/>
      <c r="CV10" s="244"/>
      <c r="CW10" s="244"/>
      <c r="CX10" s="244"/>
      <c r="CY10" s="244"/>
      <c r="CZ10" s="244"/>
      <c r="DA10" s="244"/>
      <c r="DB10" s="244"/>
      <c r="DC10" s="244"/>
      <c r="DD10" s="244"/>
      <c r="DE10" s="244"/>
      <c r="DF10" s="244"/>
      <c r="DG10" s="244"/>
      <c r="DH10" s="244"/>
      <c r="DI10" s="244"/>
      <c r="DJ10" s="244"/>
      <c r="DK10" s="208"/>
      <c r="DL10" s="208"/>
      <c r="DM10" s="208"/>
      <c r="DN10" s="208"/>
      <c r="DO10" s="210"/>
      <c r="DP10" s="210"/>
      <c r="DQ10" s="210"/>
      <c r="DR10" s="210"/>
      <c r="DS10" s="210"/>
      <c r="DT10" s="210"/>
      <c r="DU10" s="210"/>
      <c r="DV10" s="210"/>
      <c r="DW10" s="210"/>
      <c r="DX10" s="210"/>
      <c r="DY10" s="210"/>
      <c r="DZ10" s="210"/>
      <c r="EA10" s="210"/>
      <c r="EB10" s="210"/>
      <c r="EC10" s="210"/>
      <c r="ED10" s="208"/>
      <c r="EE10" s="208"/>
      <c r="EF10" s="208"/>
      <c r="EG10" s="208"/>
      <c r="EH10" s="208"/>
      <c r="EI10" s="208"/>
      <c r="EJ10" s="218"/>
      <c r="EK10" s="218"/>
      <c r="EL10" s="218"/>
      <c r="EM10" s="218"/>
      <c r="EN10" s="209"/>
      <c r="EO10" s="209"/>
      <c r="EP10" s="209"/>
      <c r="EX10" s="756"/>
      <c r="EY10" s="756"/>
      <c r="EZ10" s="757"/>
      <c r="FA10" s="757"/>
      <c r="FB10" s="757"/>
      <c r="FC10" s="757"/>
      <c r="FD10" s="757"/>
      <c r="FE10" s="757"/>
      <c r="FF10" s="757"/>
      <c r="FG10" s="757"/>
      <c r="FH10" s="757"/>
      <c r="FI10" s="757"/>
      <c r="FJ10" s="757"/>
      <c r="FK10" s="757"/>
      <c r="FL10" s="757"/>
      <c r="FM10" s="757"/>
      <c r="FN10" s="757"/>
      <c r="FO10" s="757"/>
      <c r="FP10" s="757"/>
      <c r="FQ10" s="757"/>
      <c r="FR10" s="757"/>
      <c r="FS10" s="757"/>
      <c r="FT10" s="757"/>
      <c r="FU10" s="757"/>
      <c r="FV10" s="757"/>
      <c r="FW10" s="757"/>
      <c r="FX10" s="757"/>
      <c r="FY10" s="757"/>
      <c r="FZ10" s="757"/>
      <c r="GA10" s="757"/>
      <c r="GB10" s="757"/>
      <c r="GC10" s="757"/>
      <c r="GD10" s="757"/>
      <c r="GE10" s="757"/>
      <c r="GF10" s="757"/>
      <c r="GG10" s="757"/>
      <c r="GH10" s="757"/>
      <c r="GI10" s="757"/>
      <c r="GJ10" s="757"/>
      <c r="GK10" s="757"/>
      <c r="GL10" s="757"/>
      <c r="GM10" s="757"/>
      <c r="GN10" s="757"/>
      <c r="GO10" s="757"/>
      <c r="GP10" s="757"/>
      <c r="GQ10" s="757"/>
      <c r="GR10" s="757"/>
      <c r="GS10" s="757"/>
      <c r="GT10" s="757"/>
      <c r="GU10" s="757"/>
      <c r="GV10" s="757"/>
      <c r="GW10" s="757"/>
      <c r="GX10" s="757"/>
      <c r="GY10" s="757"/>
      <c r="GZ10" s="756" t="s">
        <v>21</v>
      </c>
      <c r="HA10" s="756"/>
      <c r="HB10" s="757" t="s">
        <v>86</v>
      </c>
      <c r="HC10" s="757"/>
      <c r="HD10" s="757"/>
      <c r="HE10" s="757"/>
      <c r="HF10" s="757"/>
      <c r="HG10" s="757"/>
      <c r="HH10" s="757"/>
      <c r="HI10" s="757"/>
      <c r="HJ10" s="757"/>
      <c r="HK10" s="757"/>
      <c r="HL10" s="757"/>
      <c r="HM10" s="757"/>
      <c r="HN10" s="760"/>
      <c r="HO10" s="761"/>
      <c r="HP10" s="756"/>
      <c r="HQ10" s="756"/>
    </row>
    <row r="11" spans="1:225" ht="49.5" customHeight="1" x14ac:dyDescent="0.4">
      <c r="C11" s="46"/>
      <c r="D11" s="205"/>
      <c r="E11" s="205"/>
      <c r="F11" s="205"/>
      <c r="G11" s="205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4"/>
      <c r="BN11" s="244"/>
      <c r="BO11" s="244"/>
      <c r="BP11" s="244"/>
      <c r="BQ11" s="244"/>
      <c r="BR11" s="244"/>
      <c r="BS11" s="244"/>
      <c r="BT11" s="244"/>
      <c r="BU11" s="244"/>
      <c r="BV11" s="244"/>
      <c r="BW11" s="244"/>
      <c r="BX11" s="244"/>
      <c r="BY11" s="244"/>
      <c r="BZ11" s="244"/>
      <c r="CA11" s="244"/>
      <c r="CB11" s="244"/>
      <c r="CC11" s="244"/>
      <c r="CD11" s="244"/>
      <c r="CE11" s="244"/>
      <c r="CF11" s="244"/>
      <c r="CG11" s="244"/>
      <c r="CH11" s="244"/>
      <c r="CI11" s="244"/>
      <c r="CJ11" s="244"/>
      <c r="CK11" s="244"/>
      <c r="CL11" s="244"/>
      <c r="CM11" s="244"/>
      <c r="CN11" s="244"/>
      <c r="CO11" s="244"/>
      <c r="CP11" s="244"/>
      <c r="CQ11" s="244"/>
      <c r="CR11" s="244"/>
      <c r="CS11" s="244"/>
      <c r="CT11" s="244"/>
      <c r="CU11" s="244"/>
      <c r="CV11" s="244"/>
      <c r="CW11" s="244"/>
      <c r="CX11" s="244"/>
      <c r="CY11" s="244"/>
      <c r="CZ11" s="244"/>
      <c r="DA11" s="244"/>
      <c r="DB11" s="244"/>
      <c r="DC11" s="244"/>
      <c r="DD11" s="244"/>
      <c r="DE11" s="244"/>
      <c r="DF11" s="244"/>
      <c r="DG11" s="244"/>
      <c r="DH11" s="244"/>
      <c r="DI11" s="244"/>
      <c r="DJ11" s="244"/>
      <c r="DK11" s="208"/>
      <c r="DL11" s="208"/>
      <c r="DM11" s="208"/>
      <c r="DN11" s="208"/>
      <c r="DO11" s="208"/>
      <c r="DP11" s="208"/>
      <c r="DQ11" s="208"/>
      <c r="DR11" s="208"/>
      <c r="DS11" s="208"/>
      <c r="DT11" s="208"/>
      <c r="DU11" s="208"/>
      <c r="DV11" s="208"/>
      <c r="DW11" s="208"/>
      <c r="DX11" s="245"/>
      <c r="DY11" s="245"/>
      <c r="DZ11" s="245"/>
      <c r="EA11" s="208"/>
      <c r="EB11" s="208"/>
      <c r="EC11" s="208"/>
      <c r="ED11" s="208"/>
      <c r="EE11" s="208"/>
      <c r="EF11" s="208"/>
      <c r="EG11" s="208"/>
      <c r="EH11" s="208"/>
      <c r="EI11" s="208"/>
      <c r="EJ11" s="218"/>
      <c r="EK11" s="218"/>
      <c r="EL11" s="218"/>
      <c r="EM11" s="218"/>
      <c r="EN11" s="209"/>
      <c r="EO11" s="209"/>
      <c r="EP11" s="209"/>
      <c r="EX11" s="756"/>
      <c r="EY11" s="756"/>
      <c r="EZ11" s="757"/>
      <c r="FA11" s="757"/>
      <c r="FB11" s="757"/>
      <c r="FC11" s="757"/>
      <c r="FD11" s="757"/>
      <c r="FE11" s="757"/>
      <c r="FF11" s="757"/>
      <c r="FG11" s="757"/>
      <c r="FH11" s="757"/>
      <c r="FI11" s="757"/>
      <c r="FJ11" s="757"/>
      <c r="FK11" s="757"/>
      <c r="FL11" s="757"/>
      <c r="FM11" s="757"/>
      <c r="FN11" s="757"/>
      <c r="FO11" s="757"/>
      <c r="FP11" s="757"/>
      <c r="FQ11" s="757"/>
      <c r="FR11" s="757"/>
      <c r="FS11" s="757"/>
      <c r="FT11" s="757"/>
      <c r="FU11" s="757"/>
      <c r="FV11" s="757"/>
      <c r="FW11" s="757"/>
      <c r="FX11" s="757"/>
      <c r="FY11" s="757"/>
      <c r="FZ11" s="757"/>
      <c r="GA11" s="757"/>
      <c r="GB11" s="757"/>
      <c r="GC11" s="757"/>
      <c r="GD11" s="757"/>
      <c r="GE11" s="757"/>
      <c r="GF11" s="757"/>
      <c r="GG11" s="757"/>
      <c r="GH11" s="757"/>
      <c r="GI11" s="757"/>
      <c r="GJ11" s="757"/>
      <c r="GK11" s="757"/>
      <c r="GL11" s="757"/>
      <c r="GM11" s="757"/>
      <c r="GN11" s="757"/>
      <c r="GO11" s="757"/>
      <c r="GP11" s="757"/>
      <c r="GQ11" s="757"/>
      <c r="GR11" s="757"/>
      <c r="GS11" s="757"/>
      <c r="GT11" s="757"/>
      <c r="GU11" s="757"/>
      <c r="GV11" s="757"/>
      <c r="GW11" s="757"/>
      <c r="GX11" s="757"/>
      <c r="GY11" s="757"/>
      <c r="GZ11" s="756"/>
      <c r="HA11" s="756"/>
      <c r="HB11" s="764" t="s">
        <v>266</v>
      </c>
      <c r="HC11" s="765"/>
      <c r="HD11" s="764" t="s">
        <v>17</v>
      </c>
      <c r="HE11" s="765"/>
      <c r="HF11" s="764" t="s">
        <v>267</v>
      </c>
      <c r="HG11" s="765"/>
      <c r="HH11" s="764" t="s">
        <v>15</v>
      </c>
      <c r="HI11" s="765"/>
      <c r="HJ11" s="764" t="s">
        <v>18</v>
      </c>
      <c r="HK11" s="765"/>
      <c r="HL11" s="764" t="s">
        <v>268</v>
      </c>
      <c r="HM11" s="765"/>
      <c r="HN11" s="760"/>
      <c r="HO11" s="761"/>
      <c r="HP11" s="756"/>
      <c r="HQ11" s="756"/>
    </row>
    <row r="12" spans="1:225" ht="50.1" customHeight="1" x14ac:dyDescent="0.4">
      <c r="C12" s="46"/>
      <c r="D12" s="205"/>
      <c r="E12" s="205"/>
      <c r="F12" s="205"/>
      <c r="G12" s="205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44"/>
      <c r="BR12" s="244"/>
      <c r="BS12" s="244"/>
      <c r="BT12" s="244"/>
      <c r="BU12" s="244"/>
      <c r="BV12" s="244"/>
      <c r="BW12" s="244"/>
      <c r="BX12" s="244"/>
      <c r="BY12" s="244"/>
      <c r="BZ12" s="244"/>
      <c r="CA12" s="244"/>
      <c r="CB12" s="244"/>
      <c r="CC12" s="244"/>
      <c r="CD12" s="244"/>
      <c r="CE12" s="244"/>
      <c r="CF12" s="244"/>
      <c r="CG12" s="244"/>
      <c r="CH12" s="244"/>
      <c r="CI12" s="244"/>
      <c r="CJ12" s="244"/>
      <c r="CK12" s="244"/>
      <c r="CL12" s="244"/>
      <c r="CM12" s="244"/>
      <c r="CN12" s="244"/>
      <c r="CO12" s="244"/>
      <c r="CP12" s="244"/>
      <c r="CQ12" s="244"/>
      <c r="CR12" s="244"/>
      <c r="CS12" s="244"/>
      <c r="CT12" s="244"/>
      <c r="CU12" s="244"/>
      <c r="CV12" s="244"/>
      <c r="CW12" s="244"/>
      <c r="CX12" s="244"/>
      <c r="CY12" s="244"/>
      <c r="CZ12" s="244"/>
      <c r="DA12" s="244"/>
      <c r="DB12" s="244"/>
      <c r="DC12" s="244"/>
      <c r="DD12" s="244"/>
      <c r="DE12" s="244"/>
      <c r="DF12" s="244"/>
      <c r="DG12" s="244"/>
      <c r="DH12" s="244"/>
      <c r="DI12" s="244"/>
      <c r="DJ12" s="244"/>
      <c r="DK12" s="208"/>
      <c r="DL12" s="208"/>
      <c r="DM12" s="208"/>
      <c r="DN12" s="208"/>
      <c r="DO12" s="208"/>
      <c r="DP12" s="208"/>
      <c r="DQ12" s="208"/>
      <c r="DR12" s="208"/>
      <c r="DS12" s="208"/>
      <c r="DT12" s="208"/>
      <c r="DU12" s="208"/>
      <c r="DV12" s="208"/>
      <c r="DW12" s="208"/>
      <c r="DX12" s="245"/>
      <c r="DY12" s="245"/>
      <c r="DZ12" s="245"/>
      <c r="EA12" s="208"/>
      <c r="EB12" s="208"/>
      <c r="EC12" s="208"/>
      <c r="ED12" s="208"/>
      <c r="EE12" s="208"/>
      <c r="EF12" s="208"/>
      <c r="EG12" s="208"/>
      <c r="EH12" s="208"/>
      <c r="EI12" s="208"/>
      <c r="EJ12" s="218"/>
      <c r="EK12" s="218"/>
      <c r="EL12" s="218"/>
      <c r="EM12" s="218"/>
      <c r="EN12" s="209"/>
      <c r="EO12" s="209"/>
      <c r="EP12" s="209"/>
      <c r="EX12" s="756"/>
      <c r="EY12" s="756"/>
      <c r="EZ12" s="757"/>
      <c r="FA12" s="757"/>
      <c r="FB12" s="757"/>
      <c r="FC12" s="757"/>
      <c r="FD12" s="757"/>
      <c r="FE12" s="757"/>
      <c r="FF12" s="757"/>
      <c r="FG12" s="757"/>
      <c r="FH12" s="757"/>
      <c r="FI12" s="757"/>
      <c r="FJ12" s="757"/>
      <c r="FK12" s="757"/>
      <c r="FL12" s="757"/>
      <c r="FM12" s="757"/>
      <c r="FN12" s="757"/>
      <c r="FO12" s="757"/>
      <c r="FP12" s="757"/>
      <c r="FQ12" s="757"/>
      <c r="FR12" s="757"/>
      <c r="FS12" s="757"/>
      <c r="FT12" s="757"/>
      <c r="FU12" s="757"/>
      <c r="FV12" s="757"/>
      <c r="FW12" s="757"/>
      <c r="FX12" s="757"/>
      <c r="FY12" s="757"/>
      <c r="FZ12" s="757"/>
      <c r="GA12" s="757"/>
      <c r="GB12" s="757"/>
      <c r="GC12" s="757"/>
      <c r="GD12" s="757"/>
      <c r="GE12" s="757"/>
      <c r="GF12" s="757"/>
      <c r="GG12" s="757"/>
      <c r="GH12" s="757"/>
      <c r="GI12" s="757"/>
      <c r="GJ12" s="757"/>
      <c r="GK12" s="757"/>
      <c r="GL12" s="757"/>
      <c r="GM12" s="757"/>
      <c r="GN12" s="757"/>
      <c r="GO12" s="757"/>
      <c r="GP12" s="757"/>
      <c r="GQ12" s="757"/>
      <c r="GR12" s="757"/>
      <c r="GS12" s="757"/>
      <c r="GT12" s="757"/>
      <c r="GU12" s="757"/>
      <c r="GV12" s="757"/>
      <c r="GW12" s="757"/>
      <c r="GX12" s="757"/>
      <c r="GY12" s="757"/>
      <c r="GZ12" s="756"/>
      <c r="HA12" s="756"/>
      <c r="HB12" s="766"/>
      <c r="HC12" s="767"/>
      <c r="HD12" s="766"/>
      <c r="HE12" s="767"/>
      <c r="HF12" s="766"/>
      <c r="HG12" s="767"/>
      <c r="HH12" s="766"/>
      <c r="HI12" s="767"/>
      <c r="HJ12" s="766"/>
      <c r="HK12" s="767"/>
      <c r="HL12" s="766"/>
      <c r="HM12" s="767"/>
      <c r="HN12" s="760"/>
      <c r="HO12" s="761"/>
      <c r="HP12" s="756"/>
      <c r="HQ12" s="756"/>
    </row>
    <row r="13" spans="1:225" ht="50.1" customHeight="1" x14ac:dyDescent="0.4">
      <c r="C13" s="46"/>
      <c r="D13" s="205"/>
      <c r="E13" s="205"/>
      <c r="F13" s="205"/>
      <c r="G13" s="205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4"/>
      <c r="CS13" s="244"/>
      <c r="CT13" s="244"/>
      <c r="CU13" s="244"/>
      <c r="CV13" s="244"/>
      <c r="CW13" s="244"/>
      <c r="CX13" s="244"/>
      <c r="CY13" s="244"/>
      <c r="CZ13" s="244"/>
      <c r="DA13" s="244"/>
      <c r="DB13" s="244"/>
      <c r="DC13" s="244"/>
      <c r="DD13" s="244"/>
      <c r="DE13" s="244"/>
      <c r="DF13" s="244"/>
      <c r="DG13" s="244"/>
      <c r="DH13" s="244"/>
      <c r="DI13" s="244"/>
      <c r="DJ13" s="244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45"/>
      <c r="DY13" s="245"/>
      <c r="DZ13" s="245"/>
      <c r="EA13" s="208"/>
      <c r="EB13" s="208"/>
      <c r="EC13" s="208"/>
      <c r="ED13" s="208"/>
      <c r="EE13" s="208"/>
      <c r="EF13" s="208"/>
      <c r="EG13" s="208"/>
      <c r="EH13" s="208"/>
      <c r="EI13" s="208"/>
      <c r="EJ13" s="218"/>
      <c r="EK13" s="218"/>
      <c r="EL13" s="218"/>
      <c r="EM13" s="218"/>
      <c r="EN13" s="209"/>
      <c r="EO13" s="209"/>
      <c r="EP13" s="209"/>
      <c r="EX13" s="756"/>
      <c r="EY13" s="756"/>
      <c r="EZ13" s="770" t="s">
        <v>269</v>
      </c>
      <c r="FA13" s="771"/>
      <c r="FB13" s="771"/>
      <c r="FC13" s="771"/>
      <c r="FD13" s="772"/>
      <c r="FE13" s="770" t="s">
        <v>270</v>
      </c>
      <c r="FF13" s="771"/>
      <c r="FG13" s="771"/>
      <c r="FH13" s="772"/>
      <c r="FI13" s="770" t="s">
        <v>46</v>
      </c>
      <c r="FJ13" s="771"/>
      <c r="FK13" s="771"/>
      <c r="FL13" s="771"/>
      <c r="FM13" s="772"/>
      <c r="FN13" s="770" t="s">
        <v>47</v>
      </c>
      <c r="FO13" s="771"/>
      <c r="FP13" s="771"/>
      <c r="FQ13" s="772"/>
      <c r="FR13" s="770" t="s">
        <v>48</v>
      </c>
      <c r="FS13" s="771"/>
      <c r="FT13" s="771"/>
      <c r="FU13" s="771"/>
      <c r="FV13" s="772"/>
      <c r="FW13" s="770" t="s">
        <v>49</v>
      </c>
      <c r="FX13" s="771"/>
      <c r="FY13" s="771"/>
      <c r="FZ13" s="772"/>
      <c r="GA13" s="770" t="s">
        <v>50</v>
      </c>
      <c r="GB13" s="771"/>
      <c r="GC13" s="771"/>
      <c r="GD13" s="771"/>
      <c r="GE13" s="772"/>
      <c r="GF13" s="770" t="s">
        <v>51</v>
      </c>
      <c r="GG13" s="771"/>
      <c r="GH13" s="771"/>
      <c r="GI13" s="772"/>
      <c r="GJ13" s="770" t="s">
        <v>52</v>
      </c>
      <c r="GK13" s="771"/>
      <c r="GL13" s="771"/>
      <c r="GM13" s="772"/>
      <c r="GN13" s="770" t="s">
        <v>53</v>
      </c>
      <c r="GO13" s="771"/>
      <c r="GP13" s="771"/>
      <c r="GQ13" s="772"/>
      <c r="GR13" s="770" t="s">
        <v>271</v>
      </c>
      <c r="GS13" s="771"/>
      <c r="GT13" s="771"/>
      <c r="GU13" s="772"/>
      <c r="GV13" s="770" t="s">
        <v>54</v>
      </c>
      <c r="GW13" s="771"/>
      <c r="GX13" s="771"/>
      <c r="GY13" s="772"/>
      <c r="GZ13" s="756"/>
      <c r="HA13" s="756"/>
      <c r="HB13" s="766"/>
      <c r="HC13" s="767"/>
      <c r="HD13" s="766"/>
      <c r="HE13" s="767"/>
      <c r="HF13" s="766"/>
      <c r="HG13" s="767"/>
      <c r="HH13" s="766"/>
      <c r="HI13" s="767"/>
      <c r="HJ13" s="766"/>
      <c r="HK13" s="767"/>
      <c r="HL13" s="766"/>
      <c r="HM13" s="767"/>
      <c r="HN13" s="760"/>
      <c r="HO13" s="761"/>
      <c r="HP13" s="756"/>
      <c r="HQ13" s="756"/>
    </row>
    <row r="14" spans="1:225" ht="50.1" customHeight="1" x14ac:dyDescent="0.4">
      <c r="C14" s="46"/>
      <c r="D14" s="205"/>
      <c r="E14" s="205"/>
      <c r="F14" s="205"/>
      <c r="G14" s="205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08"/>
      <c r="DL14" s="208"/>
      <c r="DM14" s="208"/>
      <c r="DN14" s="208"/>
      <c r="DO14" s="208"/>
      <c r="DP14" s="208"/>
      <c r="DQ14" s="208"/>
      <c r="DR14" s="208"/>
      <c r="DS14" s="208"/>
      <c r="DT14" s="208"/>
      <c r="DU14" s="208"/>
      <c r="DV14" s="208"/>
      <c r="DW14" s="208"/>
      <c r="DX14" s="245"/>
      <c r="DY14" s="245"/>
      <c r="DZ14" s="245"/>
      <c r="EA14" s="208"/>
      <c r="EB14" s="208"/>
      <c r="EC14" s="208"/>
      <c r="ED14" s="208"/>
      <c r="EE14" s="208"/>
      <c r="EF14" s="208"/>
      <c r="EG14" s="208"/>
      <c r="EH14" s="208"/>
      <c r="EI14" s="208"/>
      <c r="EJ14" s="218"/>
      <c r="EK14" s="218"/>
      <c r="EL14" s="218"/>
      <c r="EM14" s="218"/>
      <c r="EN14" s="209"/>
      <c r="EO14" s="209"/>
      <c r="EP14" s="209"/>
      <c r="EX14" s="756"/>
      <c r="EY14" s="756"/>
      <c r="EZ14" s="249">
        <v>1</v>
      </c>
      <c r="FA14" s="249">
        <v>2</v>
      </c>
      <c r="FB14" s="249">
        <v>3</v>
      </c>
      <c r="FC14" s="249">
        <v>4</v>
      </c>
      <c r="FD14" s="249">
        <v>5</v>
      </c>
      <c r="FE14" s="249">
        <v>6</v>
      </c>
      <c r="FF14" s="249">
        <v>7</v>
      </c>
      <c r="FG14" s="249">
        <v>8</v>
      </c>
      <c r="FH14" s="249">
        <v>9</v>
      </c>
      <c r="FI14" s="249">
        <v>10</v>
      </c>
      <c r="FJ14" s="249">
        <v>11</v>
      </c>
      <c r="FK14" s="249">
        <v>12</v>
      </c>
      <c r="FL14" s="249">
        <v>13</v>
      </c>
      <c r="FM14" s="249">
        <v>14</v>
      </c>
      <c r="FN14" s="249">
        <v>15</v>
      </c>
      <c r="FO14" s="249">
        <v>16</v>
      </c>
      <c r="FP14" s="249">
        <v>17</v>
      </c>
      <c r="FQ14" s="249">
        <v>18</v>
      </c>
      <c r="FR14" s="249">
        <v>19</v>
      </c>
      <c r="FS14" s="249">
        <v>20</v>
      </c>
      <c r="FT14" s="249">
        <v>21</v>
      </c>
      <c r="FU14" s="249">
        <v>22</v>
      </c>
      <c r="FV14" s="249">
        <v>23</v>
      </c>
      <c r="FW14" s="249">
        <v>24</v>
      </c>
      <c r="FX14" s="249">
        <v>25</v>
      </c>
      <c r="FY14" s="249">
        <v>26</v>
      </c>
      <c r="FZ14" s="249">
        <v>27</v>
      </c>
      <c r="GA14" s="249">
        <v>28</v>
      </c>
      <c r="GB14" s="249">
        <v>29</v>
      </c>
      <c r="GC14" s="249">
        <v>30</v>
      </c>
      <c r="GD14" s="249">
        <v>31</v>
      </c>
      <c r="GE14" s="249">
        <v>32</v>
      </c>
      <c r="GF14" s="249">
        <v>33</v>
      </c>
      <c r="GG14" s="249">
        <v>34</v>
      </c>
      <c r="GH14" s="249">
        <v>35</v>
      </c>
      <c r="GI14" s="249">
        <v>36</v>
      </c>
      <c r="GJ14" s="249">
        <v>37</v>
      </c>
      <c r="GK14" s="249">
        <v>38</v>
      </c>
      <c r="GL14" s="249">
        <v>39</v>
      </c>
      <c r="GM14" s="249">
        <v>40</v>
      </c>
      <c r="GN14" s="249">
        <v>41</v>
      </c>
      <c r="GO14" s="249">
        <v>42</v>
      </c>
      <c r="GP14" s="249">
        <v>43</v>
      </c>
      <c r="GQ14" s="249">
        <v>44</v>
      </c>
      <c r="GR14" s="249">
        <v>45</v>
      </c>
      <c r="GS14" s="249">
        <v>46</v>
      </c>
      <c r="GT14" s="249">
        <v>47</v>
      </c>
      <c r="GU14" s="249">
        <v>48</v>
      </c>
      <c r="GV14" s="249">
        <v>49</v>
      </c>
      <c r="GW14" s="249">
        <v>50</v>
      </c>
      <c r="GX14" s="249">
        <v>51</v>
      </c>
      <c r="GY14" s="249">
        <v>52</v>
      </c>
      <c r="GZ14" s="756"/>
      <c r="HA14" s="756"/>
      <c r="HB14" s="768"/>
      <c r="HC14" s="769"/>
      <c r="HD14" s="768"/>
      <c r="HE14" s="769"/>
      <c r="HF14" s="768"/>
      <c r="HG14" s="769"/>
      <c r="HH14" s="768"/>
      <c r="HI14" s="769"/>
      <c r="HJ14" s="768"/>
      <c r="HK14" s="769"/>
      <c r="HL14" s="768"/>
      <c r="HM14" s="769"/>
      <c r="HN14" s="762"/>
      <c r="HO14" s="763"/>
      <c r="HP14" s="756"/>
      <c r="HQ14" s="756"/>
    </row>
    <row r="15" spans="1:225" ht="50.1" customHeight="1" x14ac:dyDescent="0.4">
      <c r="C15" s="46"/>
      <c r="D15" s="205"/>
      <c r="E15" s="205"/>
      <c r="F15" s="205"/>
      <c r="G15" s="205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  <c r="DB15" s="246"/>
      <c r="DC15" s="246"/>
      <c r="DD15" s="246"/>
      <c r="DE15" s="246"/>
      <c r="DF15" s="246"/>
      <c r="DG15" s="246"/>
      <c r="DH15" s="246"/>
      <c r="DI15" s="246"/>
      <c r="DJ15" s="246"/>
      <c r="DK15" s="208"/>
      <c r="DL15" s="208"/>
      <c r="DM15" s="208"/>
      <c r="DN15" s="208"/>
      <c r="DO15" s="208"/>
      <c r="DP15" s="208"/>
      <c r="DQ15" s="208"/>
      <c r="DR15" s="208"/>
      <c r="DS15" s="208"/>
      <c r="DT15" s="208"/>
      <c r="DU15" s="208"/>
      <c r="DV15" s="208"/>
      <c r="DW15" s="208"/>
      <c r="DX15" s="245"/>
      <c r="DY15" s="245"/>
      <c r="DZ15" s="245"/>
      <c r="EA15" s="208"/>
      <c r="EB15" s="208"/>
      <c r="EC15" s="208"/>
      <c r="ED15" s="208"/>
      <c r="EE15" s="208"/>
      <c r="EF15" s="208"/>
      <c r="EG15" s="208"/>
      <c r="EH15" s="208"/>
      <c r="EI15" s="208"/>
      <c r="EJ15" s="218"/>
      <c r="EK15" s="218"/>
      <c r="EL15" s="218"/>
      <c r="EM15" s="218"/>
      <c r="EN15" s="209"/>
      <c r="EO15" s="209"/>
      <c r="EP15" s="209"/>
      <c r="EX15" s="757" t="s">
        <v>0</v>
      </c>
      <c r="EY15" s="757"/>
      <c r="EZ15" s="250"/>
      <c r="FA15" s="250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 t="s">
        <v>55</v>
      </c>
      <c r="FQ15" s="250" t="s">
        <v>55</v>
      </c>
      <c r="FR15" s="250" t="s">
        <v>45</v>
      </c>
      <c r="FS15" s="250" t="s">
        <v>14</v>
      </c>
      <c r="FT15" s="250" t="s">
        <v>14</v>
      </c>
      <c r="FU15" s="250" t="s">
        <v>14</v>
      </c>
      <c r="FV15" s="250" t="s">
        <v>56</v>
      </c>
      <c r="FW15" s="250" t="s">
        <v>56</v>
      </c>
      <c r="FX15" s="250"/>
      <c r="FY15" s="250"/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 t="s">
        <v>14</v>
      </c>
      <c r="GO15" s="250" t="s">
        <v>14</v>
      </c>
      <c r="GP15" s="250" t="s">
        <v>14</v>
      </c>
      <c r="GQ15" s="250" t="s">
        <v>56</v>
      </c>
      <c r="GR15" s="250" t="s">
        <v>56</v>
      </c>
      <c r="GS15" s="250"/>
      <c r="GT15" s="250"/>
      <c r="GU15" s="250"/>
      <c r="GV15" s="250"/>
      <c r="GW15" s="250"/>
      <c r="GX15" s="250"/>
      <c r="GY15" s="250"/>
      <c r="GZ15" s="770">
        <f>SUM(HB15:HM15)</f>
        <v>11</v>
      </c>
      <c r="HA15" s="772"/>
      <c r="HB15" s="770">
        <v>6</v>
      </c>
      <c r="HC15" s="772"/>
      <c r="HD15" s="770">
        <v>4</v>
      </c>
      <c r="HE15" s="772"/>
      <c r="HF15" s="770">
        <v>1</v>
      </c>
      <c r="HG15" s="772"/>
      <c r="HH15" s="770">
        <v>0</v>
      </c>
      <c r="HI15" s="772"/>
      <c r="HJ15" s="770">
        <v>0</v>
      </c>
      <c r="HK15" s="772"/>
      <c r="HL15" s="770">
        <v>0</v>
      </c>
      <c r="HM15" s="772"/>
      <c r="HN15" s="770">
        <v>41</v>
      </c>
      <c r="HO15" s="772"/>
      <c r="HP15" s="757">
        <f>GZ15+HN15</f>
        <v>52</v>
      </c>
      <c r="HQ15" s="757"/>
    </row>
    <row r="16" spans="1:225" ht="50.1" customHeight="1" x14ac:dyDescent="0.4">
      <c r="C16" s="46"/>
      <c r="D16" s="213"/>
      <c r="E16" s="213"/>
      <c r="F16" s="213"/>
      <c r="G16" s="213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2"/>
      <c r="CD16" s="212"/>
      <c r="CE16" s="212"/>
      <c r="CF16" s="212"/>
      <c r="CG16" s="212"/>
      <c r="CH16" s="212"/>
      <c r="CI16" s="212"/>
      <c r="CJ16" s="212"/>
      <c r="CK16" s="212"/>
      <c r="CL16" s="212"/>
      <c r="CM16" s="212"/>
      <c r="CN16" s="212"/>
      <c r="CO16" s="212"/>
      <c r="CP16" s="212"/>
      <c r="CQ16" s="212"/>
      <c r="CR16" s="212"/>
      <c r="CS16" s="212"/>
      <c r="CT16" s="212"/>
      <c r="CU16" s="212"/>
      <c r="CV16" s="212"/>
      <c r="CW16" s="212"/>
      <c r="CX16" s="212"/>
      <c r="CY16" s="212"/>
      <c r="CZ16" s="212"/>
      <c r="DA16" s="212"/>
      <c r="DB16" s="212"/>
      <c r="DC16" s="212"/>
      <c r="DD16" s="212"/>
      <c r="DE16" s="212"/>
      <c r="DF16" s="212"/>
      <c r="DG16" s="212"/>
      <c r="DH16" s="212"/>
      <c r="DI16" s="212"/>
      <c r="DJ16" s="212"/>
      <c r="DK16" s="213"/>
      <c r="DL16" s="213"/>
      <c r="DM16" s="213"/>
      <c r="DN16" s="213"/>
      <c r="DO16" s="214"/>
      <c r="DP16" s="214"/>
      <c r="DQ16" s="214"/>
      <c r="DR16" s="214"/>
      <c r="DS16" s="214"/>
      <c r="DT16" s="214"/>
      <c r="DU16" s="214"/>
      <c r="DV16" s="214"/>
      <c r="DW16" s="214"/>
      <c r="DX16" s="214"/>
      <c r="DY16" s="214"/>
      <c r="DZ16" s="214"/>
      <c r="EA16" s="214"/>
      <c r="EB16" s="214"/>
      <c r="EC16" s="214"/>
      <c r="ED16" s="213"/>
      <c r="EE16" s="213"/>
      <c r="EF16" s="213"/>
      <c r="EG16" s="213"/>
      <c r="EH16" s="213"/>
      <c r="EI16" s="213"/>
      <c r="EJ16" s="218"/>
      <c r="EK16" s="218"/>
      <c r="EL16" s="218"/>
      <c r="EM16" s="218"/>
      <c r="EN16" s="209"/>
      <c r="EO16" s="209"/>
      <c r="EP16" s="209"/>
      <c r="EX16" s="757" t="s">
        <v>1</v>
      </c>
      <c r="EY16" s="757"/>
      <c r="EZ16" s="250"/>
      <c r="FA16" s="250"/>
      <c r="FB16" s="250"/>
      <c r="FC16" s="250"/>
      <c r="FD16" s="250"/>
      <c r="FE16" s="250"/>
      <c r="FF16" s="250"/>
      <c r="FG16" s="250"/>
      <c r="FH16" s="250"/>
      <c r="FI16" s="250"/>
      <c r="FJ16" s="250"/>
      <c r="FK16" s="250"/>
      <c r="FL16" s="250" t="s">
        <v>45</v>
      </c>
      <c r="FM16" s="250" t="s">
        <v>14</v>
      </c>
      <c r="FN16" s="250" t="s">
        <v>14</v>
      </c>
      <c r="FO16" s="250" t="s">
        <v>14</v>
      </c>
      <c r="FP16" s="250" t="s">
        <v>55</v>
      </c>
      <c r="FQ16" s="250" t="s">
        <v>55</v>
      </c>
      <c r="FR16" s="250" t="s">
        <v>56</v>
      </c>
      <c r="FS16" s="250" t="s">
        <v>57</v>
      </c>
      <c r="FT16" s="250" t="s">
        <v>57</v>
      </c>
      <c r="FU16" s="250" t="s">
        <v>57</v>
      </c>
      <c r="FV16" s="250"/>
      <c r="FW16" s="250"/>
      <c r="FX16" s="250"/>
      <c r="FY16" s="250"/>
      <c r="FZ16" s="250"/>
      <c r="GA16" s="250"/>
      <c r="GB16" s="250"/>
      <c r="GC16" s="250"/>
      <c r="GD16" s="250"/>
      <c r="GE16" s="250"/>
      <c r="GF16" s="250"/>
      <c r="GG16" s="250"/>
      <c r="GH16" s="250"/>
      <c r="GI16" s="250"/>
      <c r="GJ16" s="250"/>
      <c r="GK16" s="250" t="s">
        <v>14</v>
      </c>
      <c r="GL16" s="250" t="s">
        <v>14</v>
      </c>
      <c r="GM16" s="250" t="s">
        <v>14</v>
      </c>
      <c r="GN16" s="250" t="s">
        <v>56</v>
      </c>
      <c r="GO16" s="250"/>
      <c r="GP16" s="250"/>
      <c r="GQ16" s="250"/>
      <c r="GR16" s="250"/>
      <c r="GS16" s="250"/>
      <c r="GT16" s="250"/>
      <c r="GU16" s="250"/>
      <c r="GV16" s="250"/>
      <c r="GW16" s="250"/>
      <c r="GX16" s="250"/>
      <c r="GY16" s="250"/>
      <c r="GZ16" s="770">
        <f>SUM(HB16:HM16)</f>
        <v>12</v>
      </c>
      <c r="HA16" s="772"/>
      <c r="HB16" s="770">
        <v>6</v>
      </c>
      <c r="HC16" s="772"/>
      <c r="HD16" s="770">
        <v>2</v>
      </c>
      <c r="HE16" s="772"/>
      <c r="HF16" s="770">
        <v>1</v>
      </c>
      <c r="HG16" s="772"/>
      <c r="HH16" s="770">
        <v>3</v>
      </c>
      <c r="HI16" s="772"/>
      <c r="HJ16" s="770">
        <v>0</v>
      </c>
      <c r="HK16" s="772"/>
      <c r="HL16" s="770">
        <v>0</v>
      </c>
      <c r="HM16" s="772"/>
      <c r="HN16" s="770">
        <v>40</v>
      </c>
      <c r="HO16" s="772"/>
      <c r="HP16" s="757">
        <f>GZ16+HN16</f>
        <v>52</v>
      </c>
      <c r="HQ16" s="757"/>
    </row>
    <row r="17" spans="1:225" ht="50.1" customHeight="1" x14ac:dyDescent="0.4">
      <c r="C17" s="46"/>
      <c r="D17" s="213"/>
      <c r="E17" s="213"/>
      <c r="F17" s="213"/>
      <c r="G17" s="213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  <c r="CR17" s="212"/>
      <c r="CS17" s="212"/>
      <c r="CT17" s="212"/>
      <c r="CU17" s="212"/>
      <c r="CV17" s="212"/>
      <c r="CW17" s="212"/>
      <c r="CX17" s="212"/>
      <c r="CY17" s="212"/>
      <c r="CZ17" s="212"/>
      <c r="DA17" s="212"/>
      <c r="DB17" s="212"/>
      <c r="DC17" s="212"/>
      <c r="DD17" s="212"/>
      <c r="DE17" s="212"/>
      <c r="DF17" s="212"/>
      <c r="DG17" s="212"/>
      <c r="DH17" s="212"/>
      <c r="DI17" s="212"/>
      <c r="DJ17" s="212"/>
      <c r="DK17" s="213"/>
      <c r="DL17" s="213"/>
      <c r="DM17" s="213"/>
      <c r="DN17" s="213"/>
      <c r="DO17" s="214"/>
      <c r="DP17" s="214"/>
      <c r="DQ17" s="214"/>
      <c r="DR17" s="214"/>
      <c r="DS17" s="214"/>
      <c r="DT17" s="214"/>
      <c r="DU17" s="214"/>
      <c r="DV17" s="214"/>
      <c r="DW17" s="214"/>
      <c r="DX17" s="214"/>
      <c r="DY17" s="214"/>
      <c r="DZ17" s="214"/>
      <c r="EA17" s="214"/>
      <c r="EB17" s="214"/>
      <c r="EC17" s="214"/>
      <c r="ED17" s="213"/>
      <c r="EE17" s="213"/>
      <c r="EF17" s="213"/>
      <c r="EG17" s="213"/>
      <c r="EH17" s="213"/>
      <c r="EI17" s="213"/>
      <c r="EJ17" s="218"/>
      <c r="EK17" s="218"/>
      <c r="EL17" s="218"/>
      <c r="EM17" s="218"/>
      <c r="EN17" s="209"/>
      <c r="EO17" s="209"/>
      <c r="EP17" s="216"/>
      <c r="EX17" s="757" t="s">
        <v>2</v>
      </c>
      <c r="EY17" s="757"/>
      <c r="EZ17" s="250"/>
      <c r="FA17" s="250"/>
      <c r="FB17" s="250"/>
      <c r="FC17" s="250"/>
      <c r="FD17" s="250"/>
      <c r="FE17" s="250"/>
      <c r="FF17" s="250"/>
      <c r="FG17" s="250"/>
      <c r="FH17" s="250"/>
      <c r="FI17" s="250"/>
      <c r="FJ17" s="250"/>
      <c r="FK17" s="250"/>
      <c r="FL17" s="250" t="s">
        <v>45</v>
      </c>
      <c r="FM17" s="250" t="s">
        <v>14</v>
      </c>
      <c r="FN17" s="250" t="s">
        <v>14</v>
      </c>
      <c r="FO17" s="250" t="s">
        <v>14</v>
      </c>
      <c r="FP17" s="250" t="s">
        <v>55</v>
      </c>
      <c r="FQ17" s="250" t="s">
        <v>55</v>
      </c>
      <c r="FR17" s="250" t="s">
        <v>56</v>
      </c>
      <c r="FS17" s="250" t="s">
        <v>57</v>
      </c>
      <c r="FT17" s="250" t="s">
        <v>57</v>
      </c>
      <c r="FU17" s="250" t="s">
        <v>57</v>
      </c>
      <c r="FV17" s="250"/>
      <c r="FW17" s="250"/>
      <c r="FX17" s="250"/>
      <c r="FY17" s="250"/>
      <c r="FZ17" s="250"/>
      <c r="GA17" s="250"/>
      <c r="GB17" s="250"/>
      <c r="GC17" s="250"/>
      <c r="GD17" s="250"/>
      <c r="GE17" s="250"/>
      <c r="GF17" s="250"/>
      <c r="GG17" s="250"/>
      <c r="GH17" s="250"/>
      <c r="GI17" s="250"/>
      <c r="GJ17" s="250"/>
      <c r="GK17" s="250" t="s">
        <v>14</v>
      </c>
      <c r="GL17" s="250" t="s">
        <v>14</v>
      </c>
      <c r="GM17" s="250" t="s">
        <v>14</v>
      </c>
      <c r="GN17" s="250" t="s">
        <v>56</v>
      </c>
      <c r="GO17" s="250"/>
      <c r="GP17" s="250"/>
      <c r="GQ17" s="250"/>
      <c r="GR17" s="250"/>
      <c r="GS17" s="250"/>
      <c r="GT17" s="250"/>
      <c r="GU17" s="250"/>
      <c r="GV17" s="250"/>
      <c r="GW17" s="250"/>
      <c r="GX17" s="250"/>
      <c r="GY17" s="250"/>
      <c r="GZ17" s="770">
        <f>SUM(HB17:HM17)</f>
        <v>12</v>
      </c>
      <c r="HA17" s="772"/>
      <c r="HB17" s="770">
        <v>6</v>
      </c>
      <c r="HC17" s="772"/>
      <c r="HD17" s="770">
        <v>2</v>
      </c>
      <c r="HE17" s="772"/>
      <c r="HF17" s="770">
        <v>1</v>
      </c>
      <c r="HG17" s="772"/>
      <c r="HH17" s="770">
        <v>3</v>
      </c>
      <c r="HI17" s="772"/>
      <c r="HJ17" s="770">
        <v>0</v>
      </c>
      <c r="HK17" s="772"/>
      <c r="HL17" s="770">
        <v>0</v>
      </c>
      <c r="HM17" s="772"/>
      <c r="HN17" s="770">
        <v>40</v>
      </c>
      <c r="HO17" s="772"/>
      <c r="HP17" s="757">
        <f>GZ17+HN17</f>
        <v>52</v>
      </c>
      <c r="HQ17" s="757"/>
    </row>
    <row r="18" spans="1:225" ht="50.1" customHeight="1" x14ac:dyDescent="0.4">
      <c r="C18" s="46"/>
      <c r="D18" s="213"/>
      <c r="E18" s="213"/>
      <c r="F18" s="213"/>
      <c r="G18" s="213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2"/>
      <c r="CV18" s="212"/>
      <c r="CW18" s="212"/>
      <c r="CX18" s="212"/>
      <c r="CY18" s="212"/>
      <c r="CZ18" s="212"/>
      <c r="DA18" s="212"/>
      <c r="DB18" s="212"/>
      <c r="DC18" s="212"/>
      <c r="DD18" s="212"/>
      <c r="DE18" s="212"/>
      <c r="DF18" s="212"/>
      <c r="DG18" s="212"/>
      <c r="DH18" s="212"/>
      <c r="DI18" s="212"/>
      <c r="DJ18" s="212"/>
      <c r="DK18" s="213"/>
      <c r="DL18" s="213"/>
      <c r="DM18" s="213"/>
      <c r="DN18" s="213"/>
      <c r="DO18" s="214"/>
      <c r="DP18" s="214"/>
      <c r="DQ18" s="214"/>
      <c r="DR18" s="214"/>
      <c r="DS18" s="214"/>
      <c r="DT18" s="214"/>
      <c r="DU18" s="214"/>
      <c r="DV18" s="214"/>
      <c r="DW18" s="214"/>
      <c r="DX18" s="214"/>
      <c r="DY18" s="214"/>
      <c r="DZ18" s="214"/>
      <c r="EA18" s="214"/>
      <c r="EB18" s="214"/>
      <c r="EC18" s="214"/>
      <c r="ED18" s="213"/>
      <c r="EE18" s="213"/>
      <c r="EF18" s="213"/>
      <c r="EG18" s="213"/>
      <c r="EH18" s="213"/>
      <c r="EI18" s="213"/>
      <c r="EJ18" s="218"/>
      <c r="EK18" s="218"/>
      <c r="EL18" s="218"/>
      <c r="EM18" s="218"/>
      <c r="EN18" s="209"/>
      <c r="EO18" s="209"/>
      <c r="EP18" s="216"/>
      <c r="EX18" s="757" t="s">
        <v>3</v>
      </c>
      <c r="EY18" s="757"/>
      <c r="EZ18" s="250"/>
      <c r="FA18" s="250"/>
      <c r="FB18" s="250"/>
      <c r="FC18" s="250"/>
      <c r="FD18" s="250"/>
      <c r="FE18" s="250"/>
      <c r="FF18" s="250"/>
      <c r="FG18" s="250"/>
      <c r="FH18" s="250"/>
      <c r="FI18" s="250"/>
      <c r="FJ18" s="250"/>
      <c r="FK18" s="250"/>
      <c r="FL18" s="250" t="s">
        <v>45</v>
      </c>
      <c r="FM18" s="250" t="s">
        <v>14</v>
      </c>
      <c r="FN18" s="250" t="s">
        <v>14</v>
      </c>
      <c r="FO18" s="250" t="s">
        <v>14</v>
      </c>
      <c r="FP18" s="250" t="s">
        <v>55</v>
      </c>
      <c r="FQ18" s="250" t="s">
        <v>55</v>
      </c>
      <c r="FR18" s="250" t="s">
        <v>56</v>
      </c>
      <c r="FS18" s="250" t="s">
        <v>57</v>
      </c>
      <c r="FT18" s="250" t="s">
        <v>57</v>
      </c>
      <c r="FU18" s="250" t="s">
        <v>57</v>
      </c>
      <c r="FV18" s="250" t="s">
        <v>57</v>
      </c>
      <c r="FW18" s="250" t="s">
        <v>57</v>
      </c>
      <c r="FX18" s="250"/>
      <c r="FY18" s="250"/>
      <c r="FZ18" s="250"/>
      <c r="GA18" s="250"/>
      <c r="GB18" s="250"/>
      <c r="GC18" s="250"/>
      <c r="GD18" s="250"/>
      <c r="GE18" s="250"/>
      <c r="GF18" s="250"/>
      <c r="GG18" s="250"/>
      <c r="GH18" s="250"/>
      <c r="GI18" s="250"/>
      <c r="GJ18" s="250"/>
      <c r="GK18" s="250" t="s">
        <v>14</v>
      </c>
      <c r="GL18" s="250" t="s">
        <v>14</v>
      </c>
      <c r="GM18" s="250" t="s">
        <v>14</v>
      </c>
      <c r="GN18" s="250" t="s">
        <v>56</v>
      </c>
      <c r="GO18" s="250" t="s">
        <v>57</v>
      </c>
      <c r="GP18" s="250" t="s">
        <v>57</v>
      </c>
      <c r="GQ18" s="250" t="s">
        <v>57</v>
      </c>
      <c r="GR18" s="250" t="s">
        <v>57</v>
      </c>
      <c r="GS18" s="250" t="s">
        <v>57</v>
      </c>
      <c r="GT18" s="250" t="s">
        <v>57</v>
      </c>
      <c r="GU18" s="250"/>
      <c r="GV18" s="250"/>
      <c r="GW18" s="250"/>
      <c r="GX18" s="250"/>
      <c r="GY18" s="250"/>
      <c r="GZ18" s="770">
        <f>SUM(HB18:HM18)</f>
        <v>19</v>
      </c>
      <c r="HA18" s="772"/>
      <c r="HB18" s="770">
        <v>6</v>
      </c>
      <c r="HC18" s="772"/>
      <c r="HD18" s="770">
        <v>2</v>
      </c>
      <c r="HE18" s="772"/>
      <c r="HF18" s="770">
        <v>1</v>
      </c>
      <c r="HG18" s="772"/>
      <c r="HH18" s="770">
        <v>10</v>
      </c>
      <c r="HI18" s="772"/>
      <c r="HJ18" s="770">
        <v>0</v>
      </c>
      <c r="HK18" s="772"/>
      <c r="HL18" s="770">
        <v>0</v>
      </c>
      <c r="HM18" s="772"/>
      <c r="HN18" s="770">
        <v>33</v>
      </c>
      <c r="HO18" s="772"/>
      <c r="HP18" s="757">
        <f>GZ18+HN18</f>
        <v>52</v>
      </c>
      <c r="HQ18" s="757"/>
    </row>
    <row r="19" spans="1:225" ht="50.1" customHeight="1" x14ac:dyDescent="0.4">
      <c r="C19" s="46"/>
      <c r="D19" s="213"/>
      <c r="E19" s="213"/>
      <c r="F19" s="213"/>
      <c r="G19" s="213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  <c r="CO19" s="212"/>
      <c r="CP19" s="212"/>
      <c r="CQ19" s="212"/>
      <c r="CR19" s="212"/>
      <c r="CS19" s="212"/>
      <c r="CT19" s="212"/>
      <c r="CU19" s="212"/>
      <c r="CV19" s="212"/>
      <c r="CW19" s="212"/>
      <c r="CX19" s="212"/>
      <c r="CY19" s="212"/>
      <c r="CZ19" s="212"/>
      <c r="DA19" s="212"/>
      <c r="DB19" s="212"/>
      <c r="DC19" s="212"/>
      <c r="DD19" s="212"/>
      <c r="DE19" s="212"/>
      <c r="DF19" s="212"/>
      <c r="DG19" s="212"/>
      <c r="DH19" s="212"/>
      <c r="DI19" s="212"/>
      <c r="DJ19" s="212"/>
      <c r="DK19" s="213"/>
      <c r="DL19" s="213"/>
      <c r="DM19" s="213"/>
      <c r="DN19" s="213"/>
      <c r="DO19" s="214"/>
      <c r="DP19" s="214"/>
      <c r="DQ19" s="214"/>
      <c r="DR19" s="214"/>
      <c r="DS19" s="214"/>
      <c r="DT19" s="214"/>
      <c r="DU19" s="214"/>
      <c r="DV19" s="214"/>
      <c r="DW19" s="214"/>
      <c r="DX19" s="214"/>
      <c r="DY19" s="214"/>
      <c r="DZ19" s="214"/>
      <c r="EA19" s="214"/>
      <c r="EB19" s="214"/>
      <c r="EC19" s="214"/>
      <c r="ED19" s="213"/>
      <c r="EE19" s="213"/>
      <c r="EF19" s="213"/>
      <c r="EG19" s="213"/>
      <c r="EH19" s="213"/>
      <c r="EI19" s="213"/>
      <c r="EJ19" s="218"/>
      <c r="EK19" s="218"/>
      <c r="EL19" s="218"/>
      <c r="EM19" s="218"/>
      <c r="EN19" s="209"/>
      <c r="EO19" s="209"/>
      <c r="EP19" s="209"/>
      <c r="EX19" s="757" t="s">
        <v>12</v>
      </c>
      <c r="EY19" s="757"/>
      <c r="EZ19" s="250"/>
      <c r="FA19" s="250"/>
      <c r="FB19" s="250"/>
      <c r="FC19" s="250"/>
      <c r="FD19" s="250"/>
      <c r="FE19" s="250"/>
      <c r="FF19" s="250"/>
      <c r="FG19" s="250" t="s">
        <v>45</v>
      </c>
      <c r="FH19" s="250" t="s">
        <v>14</v>
      </c>
      <c r="FI19" s="250" t="s">
        <v>14</v>
      </c>
      <c r="FJ19" s="250" t="s">
        <v>14</v>
      </c>
      <c r="FK19" s="250" t="s">
        <v>56</v>
      </c>
      <c r="FL19" s="250" t="s">
        <v>57</v>
      </c>
      <c r="FM19" s="250" t="s">
        <v>57</v>
      </c>
      <c r="FN19" s="250" t="s">
        <v>57</v>
      </c>
      <c r="FO19" s="250" t="s">
        <v>57</v>
      </c>
      <c r="FP19" s="250" t="s">
        <v>55</v>
      </c>
      <c r="FQ19" s="250" t="s">
        <v>55</v>
      </c>
      <c r="FR19" s="250" t="s">
        <v>57</v>
      </c>
      <c r="FS19" s="250" t="s">
        <v>57</v>
      </c>
      <c r="FT19" s="250"/>
      <c r="FU19" s="250"/>
      <c r="FV19" s="250"/>
      <c r="FW19" s="250"/>
      <c r="FX19" s="250"/>
      <c r="FY19" s="250"/>
      <c r="FZ19" s="250"/>
      <c r="GA19" s="250"/>
      <c r="GB19" s="250"/>
      <c r="GC19" s="250"/>
      <c r="GD19" s="250"/>
      <c r="GE19" s="250" t="s">
        <v>14</v>
      </c>
      <c r="GF19" s="250" t="s">
        <v>14</v>
      </c>
      <c r="GG19" s="250" t="s">
        <v>14</v>
      </c>
      <c r="GH19" s="250" t="s">
        <v>56</v>
      </c>
      <c r="GI19" s="250" t="s">
        <v>57</v>
      </c>
      <c r="GJ19" s="250" t="s">
        <v>57</v>
      </c>
      <c r="GK19" s="250" t="s">
        <v>57</v>
      </c>
      <c r="GL19" s="250" t="s">
        <v>57</v>
      </c>
      <c r="GM19" s="250" t="s">
        <v>57</v>
      </c>
      <c r="GN19" s="250" t="s">
        <v>57</v>
      </c>
      <c r="GO19" s="250" t="s">
        <v>57</v>
      </c>
      <c r="GP19" s="250" t="s">
        <v>57</v>
      </c>
      <c r="GQ19" s="250" t="s">
        <v>19</v>
      </c>
      <c r="GR19" s="250" t="s">
        <v>19</v>
      </c>
      <c r="GS19" s="250"/>
      <c r="GT19" s="250"/>
      <c r="GU19" s="250"/>
      <c r="GV19" s="250"/>
      <c r="GW19" s="250"/>
      <c r="GX19" s="250"/>
      <c r="GY19" s="250"/>
      <c r="GZ19" s="770">
        <f>SUM(HB19:HM19)</f>
        <v>25</v>
      </c>
      <c r="HA19" s="772"/>
      <c r="HB19" s="770">
        <v>6</v>
      </c>
      <c r="HC19" s="772"/>
      <c r="HD19" s="770">
        <v>2</v>
      </c>
      <c r="HE19" s="772"/>
      <c r="HF19" s="770">
        <v>1</v>
      </c>
      <c r="HG19" s="772"/>
      <c r="HH19" s="770">
        <v>14</v>
      </c>
      <c r="HI19" s="772"/>
      <c r="HJ19" s="770">
        <v>2</v>
      </c>
      <c r="HK19" s="772"/>
      <c r="HL19" s="770">
        <v>0</v>
      </c>
      <c r="HM19" s="772"/>
      <c r="HN19" s="770">
        <v>23</v>
      </c>
      <c r="HO19" s="772"/>
      <c r="HP19" s="757">
        <f>GZ19+HN19</f>
        <v>48</v>
      </c>
      <c r="HQ19" s="757"/>
    </row>
    <row r="20" spans="1:225" ht="50.1" customHeight="1" x14ac:dyDescent="0.4">
      <c r="C20" s="46"/>
      <c r="D20" s="213"/>
      <c r="E20" s="213"/>
      <c r="F20" s="213"/>
      <c r="G20" s="213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  <c r="CO20" s="212"/>
      <c r="CP20" s="212"/>
      <c r="CQ20" s="212"/>
      <c r="CR20" s="212"/>
      <c r="CS20" s="212"/>
      <c r="CT20" s="212"/>
      <c r="CU20" s="212"/>
      <c r="CV20" s="212"/>
      <c r="CW20" s="212"/>
      <c r="CX20" s="212"/>
      <c r="CY20" s="212"/>
      <c r="CZ20" s="212"/>
      <c r="DA20" s="212"/>
      <c r="DB20" s="212"/>
      <c r="DC20" s="212"/>
      <c r="DD20" s="212"/>
      <c r="DE20" s="212"/>
      <c r="DF20" s="212"/>
      <c r="DG20" s="212"/>
      <c r="DH20" s="212"/>
      <c r="DI20" s="212"/>
      <c r="DJ20" s="212"/>
      <c r="DK20" s="213"/>
      <c r="DL20" s="213"/>
      <c r="DM20" s="213"/>
      <c r="DN20" s="213"/>
      <c r="DO20" s="214"/>
      <c r="DP20" s="214"/>
      <c r="DQ20" s="214"/>
      <c r="DR20" s="214"/>
      <c r="DS20" s="214"/>
      <c r="DT20" s="214"/>
      <c r="DU20" s="214"/>
      <c r="DV20" s="214"/>
      <c r="DW20" s="214"/>
      <c r="DX20" s="214"/>
      <c r="DY20" s="214"/>
      <c r="DZ20" s="214"/>
      <c r="EA20" s="214"/>
      <c r="EB20" s="214"/>
      <c r="EC20" s="214"/>
      <c r="ED20" s="213"/>
      <c r="EE20" s="213"/>
      <c r="EF20" s="213"/>
      <c r="EG20" s="213"/>
      <c r="EH20" s="213"/>
      <c r="EI20" s="213"/>
      <c r="EJ20" s="218"/>
      <c r="EK20" s="218"/>
      <c r="EL20" s="218"/>
      <c r="EM20" s="218"/>
      <c r="EN20" s="209"/>
      <c r="EO20" s="209"/>
      <c r="EP20" s="209"/>
      <c r="EX20" s="773" t="s">
        <v>24</v>
      </c>
      <c r="EY20" s="774"/>
      <c r="EZ20" s="774"/>
      <c r="FA20" s="774"/>
      <c r="FB20" s="774"/>
      <c r="FC20" s="774"/>
      <c r="FD20" s="774"/>
      <c r="FE20" s="774"/>
      <c r="FF20" s="774"/>
      <c r="FG20" s="774"/>
      <c r="FH20" s="774"/>
      <c r="FI20" s="774"/>
      <c r="FJ20" s="774"/>
      <c r="FK20" s="774"/>
      <c r="FL20" s="774"/>
      <c r="FM20" s="774"/>
      <c r="FN20" s="774"/>
      <c r="FO20" s="774"/>
      <c r="FP20" s="774"/>
      <c r="FQ20" s="774"/>
      <c r="FR20" s="774"/>
      <c r="FS20" s="774"/>
      <c r="FT20" s="774"/>
      <c r="FU20" s="774"/>
      <c r="FV20" s="774"/>
      <c r="FW20" s="774"/>
      <c r="FX20" s="774"/>
      <c r="FY20" s="774"/>
      <c r="FZ20" s="774"/>
      <c r="GA20" s="774"/>
      <c r="GB20" s="774"/>
      <c r="GC20" s="774"/>
      <c r="GD20" s="774"/>
      <c r="GE20" s="774"/>
      <c r="GF20" s="774"/>
      <c r="GG20" s="774"/>
      <c r="GH20" s="774"/>
      <c r="GI20" s="774"/>
      <c r="GJ20" s="774"/>
      <c r="GK20" s="774"/>
      <c r="GL20" s="774"/>
      <c r="GM20" s="774"/>
      <c r="GN20" s="774"/>
      <c r="GO20" s="774"/>
      <c r="GP20" s="774"/>
      <c r="GQ20" s="774"/>
      <c r="GR20" s="774"/>
      <c r="GS20" s="774"/>
      <c r="GT20" s="774"/>
      <c r="GU20" s="774"/>
      <c r="GV20" s="774"/>
      <c r="GW20" s="774"/>
      <c r="GX20" s="774"/>
      <c r="GY20" s="775"/>
      <c r="GZ20" s="770">
        <f>SUM(GZ15:HA19)</f>
        <v>79</v>
      </c>
      <c r="HA20" s="772"/>
      <c r="HB20" s="770">
        <f>SUM(HB15:HC19)</f>
        <v>30</v>
      </c>
      <c r="HC20" s="772"/>
      <c r="HD20" s="770">
        <f>SUM(HD15:HE19)</f>
        <v>12</v>
      </c>
      <c r="HE20" s="772"/>
      <c r="HF20" s="770">
        <f>SUM(HF15:HG19)</f>
        <v>5</v>
      </c>
      <c r="HG20" s="772"/>
      <c r="HH20" s="770">
        <f>SUM(HH15:HI19)</f>
        <v>30</v>
      </c>
      <c r="HI20" s="772"/>
      <c r="HJ20" s="770">
        <f>SUM(HJ15:HK19)</f>
        <v>2</v>
      </c>
      <c r="HK20" s="772"/>
      <c r="HL20" s="770">
        <f>SUM(HL15:HM19)</f>
        <v>0</v>
      </c>
      <c r="HM20" s="772"/>
      <c r="HN20" s="770">
        <f>SUM(HN15:HO19)</f>
        <v>177</v>
      </c>
      <c r="HO20" s="772"/>
      <c r="HP20" s="770">
        <f>SUM(HP15:HQ19)</f>
        <v>256</v>
      </c>
      <c r="HQ20" s="772"/>
    </row>
    <row r="21" spans="1:225" ht="42.75" thickBot="1" x14ac:dyDescent="0.55000000000000004">
      <c r="C21" s="46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  <c r="CE21" s="213"/>
      <c r="CF21" s="213"/>
      <c r="CG21" s="213"/>
      <c r="CH21" s="213"/>
      <c r="CI21" s="213"/>
      <c r="CJ21" s="213"/>
      <c r="CK21" s="213"/>
      <c r="CL21" s="213"/>
      <c r="CM21" s="213"/>
      <c r="CN21" s="213"/>
      <c r="CO21" s="213"/>
      <c r="CP21" s="213"/>
      <c r="CQ21" s="213"/>
      <c r="CR21" s="213"/>
      <c r="CS21" s="213"/>
      <c r="CT21" s="213"/>
      <c r="CU21" s="213"/>
      <c r="CV21" s="213"/>
      <c r="CW21" s="213"/>
      <c r="CX21" s="213"/>
      <c r="CY21" s="213"/>
      <c r="CZ21" s="213"/>
      <c r="DA21" s="213"/>
      <c r="DB21" s="213"/>
      <c r="DC21" s="213"/>
      <c r="DD21" s="213"/>
      <c r="DE21" s="213"/>
      <c r="DF21" s="213"/>
      <c r="DG21" s="213"/>
      <c r="DH21" s="213"/>
      <c r="DI21" s="213"/>
      <c r="DJ21" s="213"/>
      <c r="DK21" s="213"/>
      <c r="DL21" s="213"/>
      <c r="DM21" s="213"/>
      <c r="DN21" s="213"/>
      <c r="DO21" s="213"/>
      <c r="DP21" s="213"/>
      <c r="DQ21" s="213"/>
      <c r="DR21" s="213"/>
      <c r="DS21" s="213"/>
      <c r="DT21" s="213"/>
      <c r="DU21" s="213"/>
      <c r="DV21" s="213"/>
      <c r="DW21" s="213"/>
      <c r="DX21" s="213"/>
      <c r="DY21" s="213"/>
      <c r="DZ21" s="213"/>
      <c r="EA21" s="213"/>
      <c r="EB21" s="213"/>
      <c r="EC21" s="213"/>
      <c r="ED21" s="213"/>
      <c r="EE21" s="213"/>
      <c r="EF21" s="213"/>
      <c r="EG21" s="213"/>
      <c r="EH21" s="213"/>
      <c r="EI21" s="213"/>
      <c r="EJ21" s="218"/>
      <c r="EK21" s="218"/>
      <c r="EL21" s="218"/>
      <c r="EM21" s="218"/>
      <c r="EN21" s="209"/>
      <c r="EO21" s="209"/>
      <c r="EP21" s="209"/>
      <c r="EX21" s="251"/>
      <c r="EY21" s="251"/>
      <c r="EZ21" s="251"/>
      <c r="FA21" s="251"/>
      <c r="FB21" s="251"/>
      <c r="FC21" s="251"/>
      <c r="FD21" s="251"/>
      <c r="FE21" s="251"/>
      <c r="FF21" s="251"/>
      <c r="FG21" s="251"/>
      <c r="FH21" s="251"/>
      <c r="FI21" s="251"/>
      <c r="FJ21" s="251"/>
      <c r="FK21" s="251"/>
      <c r="FL21" s="251"/>
      <c r="FM21" s="251"/>
      <c r="FN21" s="251"/>
      <c r="FO21" s="251"/>
      <c r="FP21" s="251"/>
      <c r="FQ21" s="251"/>
      <c r="FR21" s="251"/>
      <c r="FS21" s="251"/>
      <c r="FT21" s="251"/>
      <c r="FU21" s="251"/>
      <c r="FV21" s="251"/>
      <c r="FW21" s="251"/>
      <c r="FX21" s="251"/>
      <c r="FY21" s="251"/>
      <c r="FZ21" s="251"/>
      <c r="GA21" s="251"/>
      <c r="GB21" s="251"/>
      <c r="GC21" s="251"/>
      <c r="GD21" s="251"/>
      <c r="GE21" s="251"/>
      <c r="GF21" s="251"/>
      <c r="GG21" s="251"/>
      <c r="GH21" s="251"/>
      <c r="GI21" s="251"/>
      <c r="GJ21" s="251"/>
      <c r="GK21" s="251"/>
      <c r="GL21" s="251"/>
      <c r="GM21" s="251"/>
      <c r="GN21" s="251"/>
      <c r="GO21" s="251"/>
      <c r="GP21" s="251"/>
      <c r="GQ21" s="251"/>
      <c r="GR21" s="251"/>
      <c r="GS21" s="251"/>
      <c r="GT21" s="251"/>
      <c r="GU21" s="251"/>
      <c r="GV21" s="251"/>
      <c r="GW21" s="251"/>
      <c r="GX21" s="251"/>
      <c r="GY21" s="251"/>
      <c r="GZ21" s="251"/>
      <c r="HA21" s="251"/>
      <c r="HB21" s="251"/>
      <c r="HC21" s="251"/>
      <c r="HD21" s="251"/>
      <c r="HE21" s="251"/>
      <c r="HF21" s="251"/>
      <c r="HG21" s="251"/>
      <c r="HH21" s="251"/>
      <c r="HI21" s="251"/>
      <c r="HJ21" s="251"/>
      <c r="HK21" s="251"/>
      <c r="HL21" s="251"/>
      <c r="HM21" s="251"/>
      <c r="HN21" s="251"/>
      <c r="HO21" s="251"/>
      <c r="HP21" s="251"/>
      <c r="HQ21" s="251"/>
    </row>
    <row r="22" spans="1:225" ht="120" customHeight="1" thickBot="1" x14ac:dyDescent="0.45">
      <c r="C22" s="46"/>
      <c r="D22" s="204"/>
      <c r="E22" s="215"/>
      <c r="F22" s="216"/>
      <c r="G22" s="217"/>
      <c r="H22" s="217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20"/>
      <c r="BB22" s="220"/>
      <c r="BC22" s="220"/>
      <c r="BD22" s="220"/>
      <c r="BE22" s="220"/>
      <c r="BF22" s="220"/>
      <c r="BG22" s="220"/>
      <c r="BH22" s="220"/>
      <c r="BI22" s="220"/>
      <c r="BJ22" s="220"/>
      <c r="BK22" s="220"/>
      <c r="BL22" s="220"/>
      <c r="BM22" s="220"/>
      <c r="BN22" s="220"/>
      <c r="BO22" s="220"/>
      <c r="BP22" s="220"/>
      <c r="BQ22" s="220"/>
      <c r="BR22" s="220"/>
      <c r="BS22" s="220"/>
      <c r="BT22" s="220"/>
      <c r="BU22" s="220"/>
      <c r="BV22" s="219"/>
      <c r="BW22" s="219"/>
      <c r="BX22" s="219"/>
      <c r="BY22" s="219"/>
      <c r="BZ22" s="219"/>
      <c r="CA22" s="219"/>
      <c r="CB22" s="219"/>
      <c r="CC22" s="219"/>
      <c r="CD22" s="219"/>
      <c r="CE22" s="219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6"/>
      <c r="CV22" s="216"/>
      <c r="CW22" s="216"/>
      <c r="CX22" s="216"/>
      <c r="CY22" s="216"/>
      <c r="CZ22" s="216"/>
      <c r="DA22" s="216"/>
      <c r="DB22" s="216"/>
      <c r="DC22" s="216"/>
      <c r="DD22" s="216"/>
      <c r="DE22" s="216"/>
      <c r="DF22" s="216"/>
      <c r="DG22" s="216"/>
      <c r="DH22" s="216"/>
      <c r="DI22" s="216"/>
      <c r="DJ22" s="216"/>
      <c r="DK22" s="216"/>
      <c r="DL22" s="216"/>
      <c r="DM22" s="216"/>
      <c r="DN22" s="216"/>
      <c r="DO22" s="216"/>
      <c r="DP22" s="216"/>
      <c r="DQ22" s="216"/>
      <c r="DR22" s="216"/>
      <c r="DS22" s="216"/>
      <c r="DT22" s="216"/>
      <c r="DU22" s="216"/>
      <c r="DV22" s="216"/>
      <c r="DW22" s="216"/>
      <c r="DX22" s="215"/>
      <c r="DY22" s="215"/>
      <c r="DZ22" s="215"/>
      <c r="EA22" s="215"/>
      <c r="EB22" s="215"/>
      <c r="EC22" s="215"/>
      <c r="ED22" s="215"/>
      <c r="EE22" s="215"/>
      <c r="EF22" s="209"/>
      <c r="EG22" s="209"/>
      <c r="EH22" s="209"/>
      <c r="EI22" s="218"/>
      <c r="EJ22" s="218"/>
      <c r="EK22" s="218"/>
      <c r="EL22" s="218"/>
      <c r="EM22" s="218"/>
      <c r="EN22" s="209"/>
      <c r="EO22" s="209"/>
      <c r="EP22" s="209"/>
      <c r="EX22" s="252"/>
      <c r="EY22" s="776" t="s">
        <v>14</v>
      </c>
      <c r="EZ22" s="777"/>
      <c r="FA22" s="778"/>
      <c r="FB22" s="779" t="s">
        <v>266</v>
      </c>
      <c r="FC22" s="780"/>
      <c r="FD22" s="780"/>
      <c r="FE22" s="780"/>
      <c r="FF22" s="780"/>
      <c r="FG22" s="781"/>
      <c r="FH22" s="252"/>
      <c r="FI22" s="782"/>
      <c r="FJ22" s="783"/>
      <c r="FK22" s="784"/>
      <c r="FL22" s="779" t="s">
        <v>272</v>
      </c>
      <c r="FM22" s="780"/>
      <c r="FN22" s="780"/>
      <c r="FO22" s="780"/>
      <c r="FP22" s="780"/>
      <c r="FQ22" s="781"/>
      <c r="FR22" s="252"/>
      <c r="FS22" s="776" t="s">
        <v>57</v>
      </c>
      <c r="FT22" s="777"/>
      <c r="FU22" s="778"/>
      <c r="FV22" s="779" t="s">
        <v>15</v>
      </c>
      <c r="FW22" s="780"/>
      <c r="FX22" s="780"/>
      <c r="FY22" s="780"/>
      <c r="FZ22" s="780"/>
      <c r="GA22" s="781"/>
      <c r="GB22" s="252"/>
      <c r="GC22" s="776" t="s">
        <v>45</v>
      </c>
      <c r="GD22" s="777"/>
      <c r="GE22" s="778"/>
      <c r="GF22" s="779" t="s">
        <v>16</v>
      </c>
      <c r="GG22" s="780"/>
      <c r="GH22" s="780"/>
      <c r="GI22" s="780"/>
      <c r="GJ22" s="780"/>
      <c r="GK22" s="781"/>
      <c r="GL22" s="252"/>
      <c r="GM22" s="776" t="s">
        <v>56</v>
      </c>
      <c r="GN22" s="777"/>
      <c r="GO22" s="778"/>
      <c r="GP22" s="779" t="s">
        <v>17</v>
      </c>
      <c r="GQ22" s="780"/>
      <c r="GR22" s="780"/>
      <c r="GS22" s="780"/>
      <c r="GT22" s="780"/>
      <c r="GU22" s="781"/>
      <c r="GV22" s="252"/>
      <c r="GW22" s="776" t="s">
        <v>19</v>
      </c>
      <c r="GX22" s="777"/>
      <c r="GY22" s="778"/>
      <c r="GZ22" s="779" t="s">
        <v>18</v>
      </c>
      <c r="HA22" s="780"/>
      <c r="HB22" s="780"/>
      <c r="HC22" s="780"/>
      <c r="HD22" s="780"/>
      <c r="HE22" s="781"/>
      <c r="HF22" s="252"/>
      <c r="HG22" s="776" t="s">
        <v>55</v>
      </c>
      <c r="HH22" s="777"/>
      <c r="HI22" s="778"/>
      <c r="HJ22" s="779" t="s">
        <v>273</v>
      </c>
      <c r="HK22" s="780"/>
      <c r="HL22" s="780"/>
      <c r="HM22" s="780"/>
      <c r="HN22" s="780"/>
      <c r="HO22" s="781"/>
      <c r="HP22" s="252"/>
      <c r="HQ22" s="252"/>
    </row>
    <row r="23" spans="1:225" ht="17.25" customHeight="1" x14ac:dyDescent="0.25">
      <c r="A23" s="12"/>
      <c r="B23" s="12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23"/>
      <c r="V23" s="221"/>
      <c r="W23" s="221"/>
      <c r="X23" s="221"/>
      <c r="Y23" s="221"/>
      <c r="Z23" s="221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48"/>
      <c r="AO23" s="248"/>
      <c r="AP23" s="248"/>
      <c r="AQ23" s="248"/>
      <c r="AR23" s="248"/>
      <c r="AS23" s="248"/>
      <c r="AT23" s="248"/>
      <c r="AU23" s="248"/>
      <c r="AV23" s="224"/>
      <c r="AW23" s="225"/>
      <c r="AX23" s="225"/>
      <c r="AY23" s="225"/>
      <c r="AZ23" s="225"/>
      <c r="BA23" s="225"/>
      <c r="BB23" s="225"/>
      <c r="BC23" s="226"/>
      <c r="BD23" s="223"/>
      <c r="BE23" s="224"/>
      <c r="BF23" s="224"/>
      <c r="BG23" s="224"/>
      <c r="BH23" s="224"/>
      <c r="BI23" s="224"/>
      <c r="BJ23" s="224"/>
      <c r="BK23" s="224"/>
      <c r="BL23" s="224"/>
      <c r="BM23" s="224"/>
      <c r="BN23" s="224"/>
      <c r="BO23" s="224"/>
      <c r="BP23" s="224"/>
      <c r="BQ23" s="224"/>
      <c r="BR23" s="224"/>
      <c r="BS23" s="224"/>
      <c r="BT23" s="225"/>
      <c r="BU23" s="225"/>
      <c r="BV23" s="225"/>
      <c r="BW23" s="225"/>
      <c r="BX23" s="225"/>
      <c r="BY23" s="224"/>
      <c r="BZ23" s="224"/>
      <c r="CA23" s="224"/>
      <c r="CB23" s="224"/>
      <c r="CC23" s="224"/>
      <c r="CD23" s="224"/>
      <c r="CE23" s="224"/>
      <c r="CF23" s="224"/>
      <c r="CG23" s="224"/>
      <c r="CH23" s="224"/>
      <c r="CI23" s="224"/>
      <c r="CJ23" s="224"/>
      <c r="CK23" s="224"/>
      <c r="CL23" s="224"/>
      <c r="CM23" s="224"/>
      <c r="CN23" s="224"/>
      <c r="CO23" s="224"/>
      <c r="CP23" s="224"/>
      <c r="CQ23" s="221"/>
      <c r="CR23" s="221"/>
      <c r="CS23" s="221"/>
      <c r="CT23" s="221"/>
      <c r="CU23" s="221"/>
      <c r="CV23" s="224"/>
      <c r="CW23" s="224"/>
      <c r="CX23" s="224"/>
      <c r="CY23" s="224"/>
      <c r="CZ23" s="224"/>
      <c r="DA23" s="224"/>
      <c r="DB23" s="224"/>
      <c r="DC23" s="224"/>
      <c r="DD23" s="224"/>
      <c r="DE23" s="224"/>
      <c r="DF23" s="224"/>
      <c r="DG23" s="224"/>
      <c r="DH23" s="224"/>
      <c r="DI23" s="221"/>
      <c r="DJ23" s="221"/>
      <c r="DK23" s="221"/>
      <c r="DL23" s="221"/>
      <c r="DM23" s="221"/>
      <c r="DN23" s="224"/>
      <c r="DO23" s="224"/>
      <c r="DP23" s="224"/>
      <c r="DQ23" s="224"/>
      <c r="DR23" s="224"/>
      <c r="DS23" s="224"/>
      <c r="DT23" s="224"/>
      <c r="DU23" s="224"/>
      <c r="DV23" s="224"/>
      <c r="DW23" s="224"/>
      <c r="DX23" s="224"/>
      <c r="DY23" s="224"/>
      <c r="DZ23" s="221"/>
      <c r="EA23" s="221"/>
      <c r="EB23" s="221"/>
      <c r="EC23" s="221"/>
      <c r="ED23" s="221"/>
      <c r="EE23" s="224"/>
      <c r="EF23" s="224"/>
      <c r="EG23" s="224"/>
      <c r="EH23" s="224"/>
      <c r="EI23" s="224"/>
      <c r="EJ23" s="224"/>
      <c r="EK23" s="224"/>
      <c r="EL23" s="224"/>
      <c r="EM23" s="224"/>
      <c r="EN23" s="224"/>
      <c r="EO23" s="224"/>
      <c r="EP23" s="224"/>
      <c r="EQ23" s="9"/>
      <c r="ER23" s="9"/>
      <c r="ES23" s="9"/>
      <c r="EX23" s="203"/>
      <c r="EY23" s="242"/>
      <c r="EZ23" s="242"/>
      <c r="FA23" s="242"/>
      <c r="FB23" s="243"/>
      <c r="FC23" s="243"/>
      <c r="FD23" s="243"/>
      <c r="FE23" s="243"/>
      <c r="FF23" s="243"/>
      <c r="FG23" s="243"/>
      <c r="FH23" s="203"/>
      <c r="FI23" s="242"/>
      <c r="FJ23" s="242"/>
      <c r="FK23" s="242"/>
      <c r="FL23" s="243"/>
      <c r="FM23" s="243"/>
      <c r="FN23" s="243"/>
      <c r="FO23" s="243"/>
      <c r="FP23" s="243"/>
      <c r="FQ23" s="243"/>
      <c r="FR23" s="203"/>
      <c r="FS23" s="242"/>
      <c r="FT23" s="242"/>
      <c r="FU23" s="242"/>
      <c r="FV23" s="243"/>
      <c r="FW23" s="243"/>
      <c r="FX23" s="243"/>
      <c r="FY23" s="243"/>
      <c r="FZ23" s="243"/>
      <c r="GA23" s="243"/>
      <c r="GB23" s="203"/>
      <c r="GC23" s="242"/>
      <c r="GD23" s="242"/>
      <c r="GE23" s="242"/>
      <c r="GF23" s="243"/>
      <c r="GG23" s="243"/>
      <c r="GH23" s="243"/>
      <c r="GI23" s="243"/>
      <c r="GJ23" s="243"/>
      <c r="GK23" s="243"/>
      <c r="GL23" s="203"/>
      <c r="GM23" s="242"/>
      <c r="GN23" s="242"/>
      <c r="GO23" s="242"/>
      <c r="GP23" s="243"/>
      <c r="GQ23" s="243"/>
      <c r="GR23" s="243"/>
      <c r="GS23" s="243"/>
      <c r="GT23" s="243"/>
      <c r="GU23" s="243"/>
      <c r="GV23" s="203"/>
      <c r="GW23" s="242"/>
      <c r="GX23" s="242"/>
      <c r="GY23" s="242"/>
      <c r="GZ23" s="243"/>
      <c r="HA23" s="243"/>
      <c r="HB23" s="243"/>
      <c r="HC23" s="243"/>
      <c r="HD23" s="243"/>
      <c r="HE23" s="243"/>
      <c r="HF23" s="203"/>
      <c r="HG23" s="242"/>
      <c r="HH23" s="242"/>
      <c r="HI23" s="242"/>
      <c r="HJ23" s="243"/>
      <c r="HK23" s="243"/>
      <c r="HL23" s="243"/>
      <c r="HM23" s="243"/>
      <c r="HN23" s="243"/>
      <c r="HO23" s="243"/>
      <c r="HP23" s="203"/>
      <c r="HQ23" s="203"/>
    </row>
    <row r="24" spans="1:225" ht="45.75" x14ac:dyDescent="0.25">
      <c r="A24" s="12"/>
      <c r="B24" s="12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23"/>
      <c r="V24" s="221"/>
      <c r="W24" s="221"/>
      <c r="X24" s="221"/>
      <c r="Y24" s="221"/>
      <c r="Z24" s="221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48"/>
      <c r="AO24" s="248"/>
      <c r="AP24" s="248"/>
      <c r="AQ24" s="248"/>
      <c r="AR24" s="248"/>
      <c r="AS24" s="248"/>
      <c r="AT24" s="248"/>
      <c r="AU24" s="248"/>
      <c r="AV24" s="224"/>
      <c r="AW24" s="225"/>
      <c r="AX24" s="225"/>
      <c r="AY24" s="225"/>
      <c r="AZ24" s="225"/>
      <c r="BA24" s="225"/>
      <c r="BB24" s="225"/>
      <c r="BC24" s="226"/>
      <c r="BD24" s="223"/>
      <c r="BE24" s="224"/>
      <c r="BF24" s="224"/>
      <c r="BG24" s="224"/>
      <c r="BH24" s="224"/>
      <c r="BI24" s="224"/>
      <c r="BJ24" s="224"/>
      <c r="BK24" s="224"/>
      <c r="BL24" s="224"/>
      <c r="BM24" s="224"/>
      <c r="BN24" s="224"/>
      <c r="BO24" s="224"/>
      <c r="BP24" s="224"/>
      <c r="BQ24" s="224"/>
      <c r="BR24" s="224"/>
      <c r="BS24" s="224"/>
      <c r="BT24" s="225"/>
      <c r="BU24" s="225"/>
      <c r="BV24" s="225"/>
      <c r="BW24" s="225"/>
      <c r="BX24" s="225"/>
      <c r="BY24" s="224"/>
      <c r="BZ24" s="224"/>
      <c r="CA24" s="224"/>
      <c r="CB24" s="224"/>
      <c r="CC24" s="224"/>
      <c r="CD24" s="224"/>
      <c r="CE24" s="224"/>
      <c r="CF24" s="224"/>
      <c r="CG24" s="224"/>
      <c r="CH24" s="224"/>
      <c r="CI24" s="224"/>
      <c r="CJ24" s="224"/>
      <c r="CK24" s="224"/>
      <c r="CL24" s="224"/>
      <c r="CM24" s="224"/>
      <c r="CN24" s="224"/>
      <c r="CO24" s="224"/>
      <c r="CP24" s="224"/>
      <c r="CQ24" s="221"/>
      <c r="CR24" s="221"/>
      <c r="CS24" s="221"/>
      <c r="CT24" s="221"/>
      <c r="CU24" s="221"/>
      <c r="CV24" s="224"/>
      <c r="CW24" s="224"/>
      <c r="CX24" s="224"/>
      <c r="CY24" s="224"/>
      <c r="CZ24" s="224"/>
      <c r="DA24" s="224"/>
      <c r="DB24" s="224"/>
      <c r="DC24" s="224"/>
      <c r="DD24" s="224"/>
      <c r="DE24" s="224"/>
      <c r="DF24" s="224"/>
      <c r="DG24" s="224"/>
      <c r="DH24" s="224"/>
      <c r="DI24" s="221"/>
      <c r="DJ24" s="221"/>
      <c r="DK24" s="221"/>
      <c r="DL24" s="221"/>
      <c r="DM24" s="221"/>
      <c r="DN24" s="224"/>
      <c r="DO24" s="224"/>
      <c r="DP24" s="224"/>
      <c r="DQ24" s="224"/>
      <c r="DR24" s="224"/>
      <c r="DS24" s="224"/>
      <c r="DT24" s="224"/>
      <c r="DU24" s="224"/>
      <c r="DV24" s="224"/>
      <c r="DW24" s="224"/>
      <c r="DX24" s="224"/>
      <c r="DY24" s="224"/>
      <c r="DZ24" s="221"/>
      <c r="EA24" s="221"/>
      <c r="EB24" s="221"/>
      <c r="EC24" s="221"/>
      <c r="ED24" s="221"/>
      <c r="EE24" s="224"/>
      <c r="EF24" s="224"/>
      <c r="EG24" s="224"/>
      <c r="EH24" s="224"/>
      <c r="EI24" s="224"/>
      <c r="EJ24" s="224"/>
      <c r="EK24" s="224"/>
      <c r="EL24" s="224"/>
      <c r="EM24" s="224"/>
      <c r="EN24" s="224"/>
      <c r="EO24" s="224"/>
      <c r="EP24" s="224"/>
      <c r="EQ24" s="9"/>
      <c r="ER24" s="9"/>
      <c r="ES24" s="9"/>
    </row>
    <row r="25" spans="1:225" ht="42" x14ac:dyDescent="0.25">
      <c r="A25" s="54"/>
      <c r="B25" s="54"/>
      <c r="C25" s="55"/>
      <c r="D25" s="227"/>
      <c r="E25" s="227"/>
      <c r="F25" s="228"/>
      <c r="G25" s="228"/>
      <c r="H25" s="228"/>
      <c r="I25" s="228"/>
      <c r="J25" s="228"/>
      <c r="K25" s="228"/>
      <c r="L25" s="228"/>
      <c r="M25" s="228"/>
      <c r="N25" s="227"/>
      <c r="O25" s="227"/>
      <c r="P25" s="227"/>
      <c r="Q25" s="227"/>
      <c r="R25" s="229"/>
      <c r="S25" s="229"/>
      <c r="T25" s="227"/>
      <c r="U25" s="227"/>
      <c r="V25" s="227"/>
      <c r="W25" s="230"/>
      <c r="X25" s="230"/>
      <c r="Y25" s="230"/>
      <c r="Z25" s="231"/>
      <c r="AA25" s="231"/>
      <c r="AB25" s="232"/>
      <c r="AC25" s="232"/>
      <c r="AD25" s="109"/>
      <c r="AE25" s="109"/>
      <c r="AF25" s="233"/>
      <c r="AG25" s="109"/>
      <c r="AH25" s="109"/>
      <c r="AI25" s="109"/>
      <c r="AJ25" s="233"/>
      <c r="AK25" s="234"/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4"/>
      <c r="AW25" s="233"/>
      <c r="AX25" s="233"/>
      <c r="AY25" s="233"/>
      <c r="AZ25" s="109"/>
      <c r="BA25" s="109"/>
      <c r="BB25" s="109"/>
      <c r="BC25" s="109"/>
      <c r="BD25" s="233"/>
      <c r="BE25" s="233"/>
      <c r="BF25" s="233"/>
      <c r="BG25" s="233"/>
      <c r="BH25" s="235"/>
      <c r="BI25" s="230"/>
      <c r="BJ25" s="236"/>
      <c r="BK25" s="236"/>
      <c r="BL25" s="236"/>
      <c r="BM25" s="236"/>
      <c r="BN25" s="230"/>
      <c r="BO25" s="233"/>
      <c r="BP25" s="233"/>
      <c r="BQ25" s="233"/>
      <c r="BR25" s="233"/>
      <c r="BS25" s="233"/>
      <c r="BT25" s="233"/>
      <c r="BU25" s="233"/>
      <c r="BV25" s="237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37"/>
      <c r="DA25" s="237"/>
      <c r="DB25" s="237"/>
      <c r="DC25" s="233"/>
      <c r="DD25" s="233"/>
      <c r="DE25" s="233"/>
      <c r="DF25" s="233"/>
      <c r="DG25" s="233"/>
      <c r="DH25" s="233"/>
      <c r="DI25" s="233"/>
      <c r="DJ25" s="237"/>
      <c r="DK25" s="237"/>
      <c r="DL25" s="237"/>
      <c r="DM25" s="237"/>
      <c r="DN25" s="237"/>
      <c r="DO25" s="237"/>
      <c r="DP25" s="237"/>
      <c r="DQ25" s="237"/>
      <c r="DR25" s="237"/>
      <c r="DS25" s="237"/>
      <c r="DT25" s="237"/>
      <c r="DU25" s="237"/>
      <c r="DV25" s="237"/>
      <c r="DW25" s="237"/>
      <c r="DX25" s="237"/>
      <c r="DY25" s="237"/>
      <c r="DZ25" s="237"/>
      <c r="EA25" s="237"/>
      <c r="EB25" s="237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Q25" s="10"/>
      <c r="ER25" s="10"/>
      <c r="ES25" s="10"/>
    </row>
    <row r="26" spans="1:225" ht="60.75" customHeight="1" x14ac:dyDescent="0.2">
      <c r="A26" s="607" t="s">
        <v>231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607"/>
      <c r="AB26" s="607"/>
      <c r="AC26" s="607"/>
      <c r="AD26" s="607"/>
      <c r="AE26" s="607"/>
      <c r="AF26" s="607"/>
      <c r="AG26" s="607"/>
      <c r="AH26" s="607"/>
      <c r="AI26" s="607"/>
      <c r="AJ26" s="607"/>
      <c r="AK26" s="607"/>
      <c r="AL26" s="607"/>
      <c r="AM26" s="607"/>
      <c r="AN26" s="607"/>
      <c r="AO26" s="607"/>
      <c r="AP26" s="607"/>
      <c r="AQ26" s="607"/>
      <c r="AR26" s="607"/>
      <c r="AS26" s="607"/>
      <c r="AT26" s="607"/>
      <c r="AU26" s="607"/>
      <c r="AV26" s="607"/>
      <c r="AW26" s="607"/>
      <c r="AX26" s="607"/>
      <c r="AY26" s="607"/>
      <c r="AZ26" s="607"/>
      <c r="BA26" s="607"/>
      <c r="BB26" s="607"/>
      <c r="BC26" s="607"/>
      <c r="BD26" s="607"/>
      <c r="BE26" s="607"/>
      <c r="BF26" s="607"/>
      <c r="BG26" s="607"/>
      <c r="BH26" s="607"/>
      <c r="BI26" s="607"/>
      <c r="BJ26" s="607"/>
      <c r="BK26" s="607"/>
      <c r="BL26" s="607"/>
      <c r="BM26" s="607"/>
      <c r="BN26" s="607"/>
      <c r="BO26" s="607"/>
      <c r="BP26" s="607"/>
      <c r="BQ26" s="607"/>
      <c r="BR26" s="607"/>
      <c r="BS26" s="607"/>
      <c r="BT26" s="607"/>
      <c r="BU26" s="607"/>
      <c r="BV26" s="607"/>
      <c r="BW26" s="607"/>
      <c r="BX26" s="607"/>
      <c r="BY26" s="607"/>
      <c r="BZ26" s="607"/>
      <c r="CA26" s="607"/>
      <c r="CB26" s="607"/>
      <c r="CC26" s="607"/>
      <c r="CD26" s="607"/>
      <c r="CE26" s="607"/>
      <c r="CF26" s="607"/>
      <c r="CG26" s="607"/>
      <c r="CH26" s="607"/>
      <c r="CI26" s="607"/>
      <c r="CJ26" s="607"/>
      <c r="CK26" s="607"/>
      <c r="CL26" s="607"/>
      <c r="CM26" s="607"/>
      <c r="CN26" s="607"/>
      <c r="CO26" s="607"/>
      <c r="CP26" s="607"/>
      <c r="CQ26" s="607"/>
      <c r="CR26" s="607"/>
      <c r="CS26" s="607"/>
      <c r="CT26" s="607"/>
      <c r="CU26" s="607"/>
      <c r="CV26" s="607"/>
      <c r="CW26" s="607"/>
      <c r="CX26" s="607"/>
      <c r="CY26" s="607"/>
      <c r="CZ26" s="607"/>
      <c r="DA26" s="607"/>
      <c r="DB26" s="607"/>
      <c r="DC26" s="607"/>
      <c r="DD26" s="607"/>
      <c r="DE26" s="607"/>
      <c r="DF26" s="607"/>
      <c r="DG26" s="607"/>
      <c r="DH26" s="607"/>
      <c r="DI26" s="607"/>
      <c r="DJ26" s="607"/>
      <c r="DK26" s="607"/>
      <c r="DL26" s="607"/>
      <c r="DM26" s="607"/>
      <c r="DN26" s="607"/>
      <c r="DO26" s="607"/>
      <c r="DP26" s="607"/>
      <c r="DQ26" s="607"/>
      <c r="DR26" s="607"/>
      <c r="DS26" s="607"/>
      <c r="DT26" s="607"/>
      <c r="DU26" s="607"/>
      <c r="DV26" s="607"/>
      <c r="DW26" s="607"/>
      <c r="DX26" s="607"/>
      <c r="DY26" s="607"/>
      <c r="DZ26" s="607"/>
      <c r="EA26" s="607"/>
      <c r="EB26" s="607"/>
      <c r="EC26" s="607"/>
      <c r="ED26" s="607"/>
      <c r="EE26" s="607"/>
      <c r="EF26" s="607"/>
      <c r="EG26" s="607"/>
      <c r="EH26" s="607"/>
      <c r="EI26" s="607"/>
      <c r="EJ26" s="607"/>
      <c r="EK26" s="607"/>
      <c r="EL26" s="607"/>
      <c r="EM26" s="607"/>
      <c r="EN26" s="607"/>
      <c r="EO26" s="607"/>
      <c r="EP26" s="607"/>
      <c r="EQ26" s="607"/>
      <c r="ER26" s="607"/>
      <c r="ES26" s="607"/>
    </row>
    <row r="27" spans="1:225" ht="45" x14ac:dyDescent="0.2">
      <c r="A27" s="609" t="s">
        <v>25</v>
      </c>
      <c r="B27" s="612" t="s">
        <v>58</v>
      </c>
      <c r="C27" s="615" t="s">
        <v>59</v>
      </c>
      <c r="D27" s="615"/>
      <c r="E27" s="615"/>
      <c r="F27" s="615"/>
      <c r="G27" s="615"/>
      <c r="H27" s="615"/>
      <c r="I27" s="615"/>
      <c r="J27" s="615"/>
      <c r="K27" s="615"/>
      <c r="L27" s="615"/>
      <c r="M27" s="615"/>
      <c r="N27" s="615"/>
      <c r="O27" s="615"/>
      <c r="P27" s="615"/>
      <c r="Q27" s="615"/>
      <c r="R27" s="615"/>
      <c r="S27" s="615"/>
      <c r="T27" s="615"/>
      <c r="U27" s="615"/>
      <c r="V27" s="615"/>
      <c r="W27" s="615"/>
      <c r="X27" s="615"/>
      <c r="Y27" s="615"/>
      <c r="Z27" s="483" t="s">
        <v>241</v>
      </c>
      <c r="AA27" s="484"/>
      <c r="AB27" s="484"/>
      <c r="AC27" s="484"/>
      <c r="AD27" s="484"/>
      <c r="AE27" s="484"/>
      <c r="AF27" s="484"/>
      <c r="AG27" s="484"/>
      <c r="AH27" s="484"/>
      <c r="AI27" s="484"/>
      <c r="AJ27" s="484"/>
      <c r="AK27" s="484"/>
      <c r="AL27" s="484"/>
      <c r="AM27" s="484"/>
      <c r="AN27" s="484"/>
      <c r="AO27" s="484"/>
      <c r="AP27" s="484"/>
      <c r="AQ27" s="484"/>
      <c r="AR27" s="484"/>
      <c r="AS27" s="484"/>
      <c r="AT27" s="484"/>
      <c r="AU27" s="484"/>
      <c r="AV27" s="484"/>
      <c r="AW27" s="484"/>
      <c r="AX27" s="484"/>
      <c r="AY27" s="484"/>
      <c r="AZ27" s="484"/>
      <c r="BA27" s="484"/>
      <c r="BB27" s="484"/>
      <c r="BC27" s="484"/>
      <c r="BD27" s="484"/>
      <c r="BE27" s="484"/>
      <c r="BF27" s="484"/>
      <c r="BG27" s="484"/>
      <c r="BH27" s="484"/>
      <c r="BI27" s="484"/>
      <c r="BJ27" s="484"/>
      <c r="BK27" s="616"/>
      <c r="BL27" s="616"/>
      <c r="BM27" s="616"/>
      <c r="BN27" s="616"/>
      <c r="BO27" s="617" t="s">
        <v>242</v>
      </c>
      <c r="BP27" s="618"/>
      <c r="BQ27" s="618"/>
      <c r="BR27" s="618"/>
      <c r="BS27" s="618"/>
      <c r="BT27" s="618"/>
      <c r="BU27" s="618"/>
      <c r="BV27" s="618"/>
      <c r="BW27" s="618"/>
      <c r="BX27" s="618"/>
      <c r="BY27" s="618"/>
      <c r="BZ27" s="618"/>
      <c r="CA27" s="618"/>
      <c r="CB27" s="618"/>
      <c r="CC27" s="618"/>
      <c r="CD27" s="618"/>
      <c r="CE27" s="618"/>
      <c r="CF27" s="618"/>
      <c r="CG27" s="618"/>
      <c r="CH27" s="618"/>
      <c r="CI27" s="618"/>
      <c r="CJ27" s="618"/>
      <c r="CK27" s="618"/>
      <c r="CL27" s="618"/>
      <c r="CM27" s="618"/>
      <c r="CN27" s="618"/>
      <c r="CO27" s="618"/>
      <c r="CP27" s="618"/>
      <c r="CQ27" s="618"/>
      <c r="CR27" s="618"/>
      <c r="CS27" s="618"/>
      <c r="CT27" s="618"/>
      <c r="CU27" s="618"/>
      <c r="CV27" s="618"/>
      <c r="CW27" s="618"/>
      <c r="CX27" s="618"/>
      <c r="CY27" s="618"/>
      <c r="CZ27" s="618"/>
      <c r="DA27" s="618"/>
      <c r="DB27" s="619"/>
      <c r="DC27" s="620" t="s">
        <v>243</v>
      </c>
      <c r="DD27" s="621"/>
      <c r="DE27" s="621"/>
      <c r="DF27" s="621"/>
      <c r="DG27" s="621"/>
      <c r="DH27" s="621"/>
      <c r="DI27" s="621"/>
      <c r="DJ27" s="621"/>
      <c r="DK27" s="621"/>
      <c r="DL27" s="621"/>
      <c r="DM27" s="621"/>
      <c r="DN27" s="621"/>
      <c r="DO27" s="621"/>
      <c r="DP27" s="621"/>
      <c r="DQ27" s="621"/>
      <c r="DR27" s="621"/>
      <c r="DS27" s="621"/>
      <c r="DT27" s="621"/>
      <c r="DU27" s="621"/>
      <c r="DV27" s="621"/>
      <c r="DW27" s="621"/>
      <c r="DX27" s="621"/>
      <c r="DY27" s="621"/>
      <c r="DZ27" s="621"/>
      <c r="EA27" s="621"/>
      <c r="EB27" s="621"/>
      <c r="EC27" s="621"/>
      <c r="ED27" s="621"/>
      <c r="EE27" s="621"/>
      <c r="EF27" s="621"/>
      <c r="EG27" s="621"/>
      <c r="EH27" s="621"/>
      <c r="EI27" s="621"/>
      <c r="EJ27" s="621"/>
      <c r="EK27" s="621"/>
      <c r="EL27" s="621"/>
      <c r="EM27" s="621"/>
      <c r="EN27" s="621"/>
      <c r="EO27" s="621"/>
      <c r="EP27" s="622"/>
      <c r="EQ27" s="628" t="s">
        <v>35</v>
      </c>
      <c r="ER27" s="629"/>
      <c r="ES27" s="630"/>
    </row>
    <row r="28" spans="1:225" ht="57.6" customHeight="1" x14ac:dyDescent="0.2">
      <c r="A28" s="610"/>
      <c r="B28" s="613"/>
      <c r="C28" s="615"/>
      <c r="D28" s="615"/>
      <c r="E28" s="615"/>
      <c r="F28" s="615"/>
      <c r="G28" s="615"/>
      <c r="H28" s="615"/>
      <c r="I28" s="615"/>
      <c r="J28" s="615"/>
      <c r="K28" s="615"/>
      <c r="L28" s="615"/>
      <c r="M28" s="615"/>
      <c r="N28" s="615"/>
      <c r="O28" s="615"/>
      <c r="P28" s="615"/>
      <c r="Q28" s="615"/>
      <c r="R28" s="615"/>
      <c r="S28" s="615"/>
      <c r="T28" s="615"/>
      <c r="U28" s="615"/>
      <c r="V28" s="615"/>
      <c r="W28" s="615"/>
      <c r="X28" s="615"/>
      <c r="Y28" s="615"/>
      <c r="Z28" s="631" t="s">
        <v>61</v>
      </c>
      <c r="AA28" s="616"/>
      <c r="AB28" s="616"/>
      <c r="AC28" s="616"/>
      <c r="AD28" s="616"/>
      <c r="AE28" s="616"/>
      <c r="AF28" s="632"/>
      <c r="AG28" s="631" t="s">
        <v>62</v>
      </c>
      <c r="AH28" s="616"/>
      <c r="AI28" s="616"/>
      <c r="AJ28" s="616"/>
      <c r="AK28" s="616"/>
      <c r="AL28" s="616"/>
      <c r="AM28" s="616"/>
      <c r="AN28" s="616"/>
      <c r="AO28" s="616"/>
      <c r="AP28" s="616"/>
      <c r="AQ28" s="616"/>
      <c r="AR28" s="616"/>
      <c r="AS28" s="616"/>
      <c r="AT28" s="616"/>
      <c r="AU28" s="616"/>
      <c r="AV28" s="616"/>
      <c r="AW28" s="616"/>
      <c r="AX28" s="616"/>
      <c r="AY28" s="616"/>
      <c r="AZ28" s="616"/>
      <c r="BA28" s="616"/>
      <c r="BB28" s="616"/>
      <c r="BC28" s="616"/>
      <c r="BD28" s="616"/>
      <c r="BE28" s="616"/>
      <c r="BF28" s="616"/>
      <c r="BG28" s="616"/>
      <c r="BH28" s="616"/>
      <c r="BI28" s="616"/>
      <c r="BJ28" s="616"/>
      <c r="BK28" s="638" t="s">
        <v>26</v>
      </c>
      <c r="BL28" s="638"/>
      <c r="BM28" s="638"/>
      <c r="BN28" s="639"/>
      <c r="BO28" s="620" t="s">
        <v>27</v>
      </c>
      <c r="BP28" s="621"/>
      <c r="BQ28" s="621"/>
      <c r="BR28" s="621"/>
      <c r="BS28" s="621"/>
      <c r="BT28" s="621"/>
      <c r="BU28" s="621"/>
      <c r="BV28" s="621"/>
      <c r="BW28" s="621" t="s">
        <v>28</v>
      </c>
      <c r="BX28" s="621"/>
      <c r="BY28" s="621"/>
      <c r="BZ28" s="621"/>
      <c r="CA28" s="621"/>
      <c r="CB28" s="621"/>
      <c r="CC28" s="621"/>
      <c r="CD28" s="621"/>
      <c r="CE28" s="621" t="s">
        <v>29</v>
      </c>
      <c r="CF28" s="621"/>
      <c r="CG28" s="621"/>
      <c r="CH28" s="621"/>
      <c r="CI28" s="621"/>
      <c r="CJ28" s="621"/>
      <c r="CK28" s="621"/>
      <c r="CL28" s="621"/>
      <c r="CM28" s="621" t="s">
        <v>68</v>
      </c>
      <c r="CN28" s="621"/>
      <c r="CO28" s="621"/>
      <c r="CP28" s="621"/>
      <c r="CQ28" s="621"/>
      <c r="CR28" s="621"/>
      <c r="CS28" s="621"/>
      <c r="CT28" s="621"/>
      <c r="CU28" s="621" t="s">
        <v>30</v>
      </c>
      <c r="CV28" s="621"/>
      <c r="CW28" s="621"/>
      <c r="CX28" s="621"/>
      <c r="CY28" s="621"/>
      <c r="CZ28" s="621"/>
      <c r="DA28" s="621"/>
      <c r="DB28" s="622"/>
      <c r="DC28" s="620" t="s">
        <v>27</v>
      </c>
      <c r="DD28" s="621"/>
      <c r="DE28" s="621"/>
      <c r="DF28" s="621"/>
      <c r="DG28" s="621"/>
      <c r="DH28" s="621"/>
      <c r="DI28" s="621"/>
      <c r="DJ28" s="621"/>
      <c r="DK28" s="621" t="s">
        <v>28</v>
      </c>
      <c r="DL28" s="621"/>
      <c r="DM28" s="621"/>
      <c r="DN28" s="621"/>
      <c r="DO28" s="621"/>
      <c r="DP28" s="621"/>
      <c r="DQ28" s="621"/>
      <c r="DR28" s="621"/>
      <c r="DS28" s="621" t="s">
        <v>29</v>
      </c>
      <c r="DT28" s="621"/>
      <c r="DU28" s="621"/>
      <c r="DV28" s="621"/>
      <c r="DW28" s="621"/>
      <c r="DX28" s="621"/>
      <c r="DY28" s="621"/>
      <c r="DZ28" s="621"/>
      <c r="EA28" s="621" t="s">
        <v>68</v>
      </c>
      <c r="EB28" s="621"/>
      <c r="EC28" s="621"/>
      <c r="ED28" s="621"/>
      <c r="EE28" s="621"/>
      <c r="EF28" s="621"/>
      <c r="EG28" s="621"/>
      <c r="EH28" s="621"/>
      <c r="EI28" s="621" t="s">
        <v>30</v>
      </c>
      <c r="EJ28" s="621"/>
      <c r="EK28" s="621"/>
      <c r="EL28" s="621"/>
      <c r="EM28" s="621"/>
      <c r="EN28" s="621"/>
      <c r="EO28" s="621"/>
      <c r="EP28" s="622"/>
      <c r="EQ28" s="628"/>
      <c r="ER28" s="629"/>
      <c r="ES28" s="630"/>
    </row>
    <row r="29" spans="1:225" ht="48" customHeight="1" x14ac:dyDescent="0.2">
      <c r="A29" s="610"/>
      <c r="B29" s="613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615"/>
      <c r="N29" s="615"/>
      <c r="O29" s="615"/>
      <c r="P29" s="615"/>
      <c r="Q29" s="615"/>
      <c r="R29" s="615"/>
      <c r="S29" s="615"/>
      <c r="T29" s="615"/>
      <c r="U29" s="615"/>
      <c r="V29" s="615"/>
      <c r="W29" s="615"/>
      <c r="X29" s="615"/>
      <c r="Y29" s="615"/>
      <c r="Z29" s="633"/>
      <c r="AA29" s="551"/>
      <c r="AB29" s="551"/>
      <c r="AC29" s="551"/>
      <c r="AD29" s="551"/>
      <c r="AE29" s="551"/>
      <c r="AF29" s="634"/>
      <c r="AG29" s="568" t="s">
        <v>21</v>
      </c>
      <c r="AH29" s="623"/>
      <c r="AI29" s="623"/>
      <c r="AJ29" s="623"/>
      <c r="AK29" s="569"/>
      <c r="AL29" s="568" t="s">
        <v>63</v>
      </c>
      <c r="AM29" s="623"/>
      <c r="AN29" s="623"/>
      <c r="AO29" s="623"/>
      <c r="AP29" s="569"/>
      <c r="AQ29" s="568" t="s">
        <v>64</v>
      </c>
      <c r="AR29" s="623"/>
      <c r="AS29" s="623"/>
      <c r="AT29" s="623"/>
      <c r="AU29" s="569"/>
      <c r="AV29" s="568" t="s">
        <v>65</v>
      </c>
      <c r="AW29" s="623"/>
      <c r="AX29" s="623"/>
      <c r="AY29" s="623"/>
      <c r="AZ29" s="569"/>
      <c r="BA29" s="568" t="s">
        <v>66</v>
      </c>
      <c r="BB29" s="623"/>
      <c r="BC29" s="623"/>
      <c r="BD29" s="623"/>
      <c r="BE29" s="569"/>
      <c r="BF29" s="568" t="s">
        <v>67</v>
      </c>
      <c r="BG29" s="623"/>
      <c r="BH29" s="623"/>
      <c r="BI29" s="623"/>
      <c r="BJ29" s="623"/>
      <c r="BK29" s="638"/>
      <c r="BL29" s="638"/>
      <c r="BM29" s="638"/>
      <c r="BN29" s="639"/>
      <c r="BO29" s="620" t="s">
        <v>31</v>
      </c>
      <c r="BP29" s="621"/>
      <c r="BQ29" s="621"/>
      <c r="BR29" s="621"/>
      <c r="BS29" s="621"/>
      <c r="BT29" s="621"/>
      <c r="BU29" s="621"/>
      <c r="BV29" s="621"/>
      <c r="BW29" s="621"/>
      <c r="BX29" s="621"/>
      <c r="BY29" s="621"/>
      <c r="BZ29" s="621"/>
      <c r="CA29" s="621"/>
      <c r="CB29" s="621"/>
      <c r="CC29" s="621"/>
      <c r="CD29" s="621"/>
      <c r="CE29" s="621"/>
      <c r="CF29" s="621"/>
      <c r="CG29" s="621"/>
      <c r="CH29" s="621"/>
      <c r="CI29" s="621"/>
      <c r="CJ29" s="621"/>
      <c r="CK29" s="621"/>
      <c r="CL29" s="621"/>
      <c r="CM29" s="621"/>
      <c r="CN29" s="621"/>
      <c r="CO29" s="621"/>
      <c r="CP29" s="621"/>
      <c r="CQ29" s="621"/>
      <c r="CR29" s="621"/>
      <c r="CS29" s="621"/>
      <c r="CT29" s="621"/>
      <c r="CU29" s="621"/>
      <c r="CV29" s="621"/>
      <c r="CW29" s="621"/>
      <c r="CX29" s="621"/>
      <c r="CY29" s="621"/>
      <c r="CZ29" s="621"/>
      <c r="DA29" s="621"/>
      <c r="DB29" s="622"/>
      <c r="DC29" s="620" t="s">
        <v>31</v>
      </c>
      <c r="DD29" s="621"/>
      <c r="DE29" s="621"/>
      <c r="DF29" s="621"/>
      <c r="DG29" s="621"/>
      <c r="DH29" s="621"/>
      <c r="DI29" s="621"/>
      <c r="DJ29" s="621"/>
      <c r="DK29" s="621"/>
      <c r="DL29" s="621"/>
      <c r="DM29" s="621"/>
      <c r="DN29" s="621"/>
      <c r="DO29" s="621"/>
      <c r="DP29" s="621"/>
      <c r="DQ29" s="621"/>
      <c r="DR29" s="621"/>
      <c r="DS29" s="621"/>
      <c r="DT29" s="621"/>
      <c r="DU29" s="621"/>
      <c r="DV29" s="621"/>
      <c r="DW29" s="621"/>
      <c r="DX29" s="621"/>
      <c r="DY29" s="621"/>
      <c r="DZ29" s="621"/>
      <c r="EA29" s="621"/>
      <c r="EB29" s="621"/>
      <c r="EC29" s="621"/>
      <c r="ED29" s="621"/>
      <c r="EE29" s="621"/>
      <c r="EF29" s="621"/>
      <c r="EG29" s="621"/>
      <c r="EH29" s="621"/>
      <c r="EI29" s="621"/>
      <c r="EJ29" s="621"/>
      <c r="EK29" s="621"/>
      <c r="EL29" s="621"/>
      <c r="EM29" s="621"/>
      <c r="EN29" s="621"/>
      <c r="EO29" s="621"/>
      <c r="EP29" s="622"/>
      <c r="EQ29" s="628"/>
      <c r="ER29" s="629"/>
      <c r="ES29" s="630"/>
    </row>
    <row r="30" spans="1:225" ht="45" x14ac:dyDescent="0.2">
      <c r="A30" s="610"/>
      <c r="B30" s="613"/>
      <c r="C30" s="615"/>
      <c r="D30" s="615"/>
      <c r="E30" s="615"/>
      <c r="F30" s="615"/>
      <c r="G30" s="615"/>
      <c r="H30" s="615"/>
      <c r="I30" s="615"/>
      <c r="J30" s="615"/>
      <c r="K30" s="615"/>
      <c r="L30" s="615"/>
      <c r="M30" s="615"/>
      <c r="N30" s="615"/>
      <c r="O30" s="615"/>
      <c r="P30" s="615"/>
      <c r="Q30" s="615"/>
      <c r="R30" s="615"/>
      <c r="S30" s="615"/>
      <c r="T30" s="615"/>
      <c r="U30" s="615"/>
      <c r="V30" s="615"/>
      <c r="W30" s="615"/>
      <c r="X30" s="615"/>
      <c r="Y30" s="615"/>
      <c r="Z30" s="633"/>
      <c r="AA30" s="551"/>
      <c r="AB30" s="551"/>
      <c r="AC30" s="551"/>
      <c r="AD30" s="551"/>
      <c r="AE30" s="551"/>
      <c r="AF30" s="634"/>
      <c r="AG30" s="570"/>
      <c r="AH30" s="624"/>
      <c r="AI30" s="624"/>
      <c r="AJ30" s="624"/>
      <c r="AK30" s="571"/>
      <c r="AL30" s="570"/>
      <c r="AM30" s="624"/>
      <c r="AN30" s="624"/>
      <c r="AO30" s="624"/>
      <c r="AP30" s="571"/>
      <c r="AQ30" s="570"/>
      <c r="AR30" s="624"/>
      <c r="AS30" s="624"/>
      <c r="AT30" s="624"/>
      <c r="AU30" s="571"/>
      <c r="AV30" s="570"/>
      <c r="AW30" s="624"/>
      <c r="AX30" s="624"/>
      <c r="AY30" s="624"/>
      <c r="AZ30" s="571"/>
      <c r="BA30" s="570"/>
      <c r="BB30" s="624"/>
      <c r="BC30" s="624"/>
      <c r="BD30" s="624"/>
      <c r="BE30" s="571"/>
      <c r="BF30" s="570"/>
      <c r="BG30" s="624"/>
      <c r="BH30" s="624"/>
      <c r="BI30" s="624"/>
      <c r="BJ30" s="624"/>
      <c r="BK30" s="638"/>
      <c r="BL30" s="638"/>
      <c r="BM30" s="638"/>
      <c r="BN30" s="639"/>
      <c r="BO30" s="620">
        <v>7</v>
      </c>
      <c r="BP30" s="621"/>
      <c r="BQ30" s="621"/>
      <c r="BR30" s="621"/>
      <c r="BS30" s="621"/>
      <c r="BT30" s="621"/>
      <c r="BU30" s="621"/>
      <c r="BV30" s="621"/>
      <c r="BW30" s="621">
        <v>6</v>
      </c>
      <c r="BX30" s="621"/>
      <c r="BY30" s="621"/>
      <c r="BZ30" s="621"/>
      <c r="CA30" s="621"/>
      <c r="CB30" s="621"/>
      <c r="CC30" s="621"/>
      <c r="CD30" s="621"/>
      <c r="CE30" s="621">
        <v>6</v>
      </c>
      <c r="CF30" s="621"/>
      <c r="CG30" s="621"/>
      <c r="CH30" s="621"/>
      <c r="CI30" s="621"/>
      <c r="CJ30" s="621"/>
      <c r="CK30" s="621"/>
      <c r="CL30" s="621"/>
      <c r="CM30" s="621">
        <v>6</v>
      </c>
      <c r="CN30" s="621"/>
      <c r="CO30" s="621"/>
      <c r="CP30" s="621"/>
      <c r="CQ30" s="621"/>
      <c r="CR30" s="621"/>
      <c r="CS30" s="621"/>
      <c r="CT30" s="621"/>
      <c r="CU30" s="621">
        <v>6</v>
      </c>
      <c r="CV30" s="621"/>
      <c r="CW30" s="621"/>
      <c r="CX30" s="621"/>
      <c r="CY30" s="621"/>
      <c r="CZ30" s="621"/>
      <c r="DA30" s="621"/>
      <c r="DB30" s="622"/>
      <c r="DC30" s="620">
        <v>7</v>
      </c>
      <c r="DD30" s="621"/>
      <c r="DE30" s="621"/>
      <c r="DF30" s="621"/>
      <c r="DG30" s="621"/>
      <c r="DH30" s="621"/>
      <c r="DI30" s="621"/>
      <c r="DJ30" s="621"/>
      <c r="DK30" s="621">
        <v>6</v>
      </c>
      <c r="DL30" s="621"/>
      <c r="DM30" s="621"/>
      <c r="DN30" s="621"/>
      <c r="DO30" s="621"/>
      <c r="DP30" s="621"/>
      <c r="DQ30" s="621"/>
      <c r="DR30" s="621"/>
      <c r="DS30" s="621">
        <v>6</v>
      </c>
      <c r="DT30" s="621"/>
      <c r="DU30" s="621"/>
      <c r="DV30" s="621"/>
      <c r="DW30" s="621"/>
      <c r="DX30" s="621"/>
      <c r="DY30" s="621"/>
      <c r="DZ30" s="621"/>
      <c r="EA30" s="621">
        <v>6</v>
      </c>
      <c r="EB30" s="621"/>
      <c r="EC30" s="621"/>
      <c r="ED30" s="621"/>
      <c r="EE30" s="621"/>
      <c r="EF30" s="621"/>
      <c r="EG30" s="621"/>
      <c r="EH30" s="621"/>
      <c r="EI30" s="621">
        <v>6</v>
      </c>
      <c r="EJ30" s="621"/>
      <c r="EK30" s="621"/>
      <c r="EL30" s="621"/>
      <c r="EM30" s="621"/>
      <c r="EN30" s="621"/>
      <c r="EO30" s="621"/>
      <c r="EP30" s="622"/>
      <c r="EQ30" s="628"/>
      <c r="ER30" s="629"/>
      <c r="ES30" s="630"/>
    </row>
    <row r="31" spans="1:225" ht="45" x14ac:dyDescent="0.2">
      <c r="A31" s="610"/>
      <c r="B31" s="613"/>
      <c r="C31" s="615"/>
      <c r="D31" s="615"/>
      <c r="E31" s="615"/>
      <c r="F31" s="615"/>
      <c r="G31" s="615"/>
      <c r="H31" s="615"/>
      <c r="I31" s="615"/>
      <c r="J31" s="615"/>
      <c r="K31" s="615"/>
      <c r="L31" s="615"/>
      <c r="M31" s="615"/>
      <c r="N31" s="615"/>
      <c r="O31" s="615"/>
      <c r="P31" s="615"/>
      <c r="Q31" s="615"/>
      <c r="R31" s="615"/>
      <c r="S31" s="615"/>
      <c r="T31" s="615"/>
      <c r="U31" s="615"/>
      <c r="V31" s="615"/>
      <c r="W31" s="615"/>
      <c r="X31" s="615"/>
      <c r="Y31" s="615"/>
      <c r="Z31" s="633"/>
      <c r="AA31" s="551"/>
      <c r="AB31" s="551"/>
      <c r="AC31" s="551"/>
      <c r="AD31" s="551"/>
      <c r="AE31" s="551"/>
      <c r="AF31" s="634"/>
      <c r="AG31" s="570"/>
      <c r="AH31" s="624"/>
      <c r="AI31" s="624"/>
      <c r="AJ31" s="624"/>
      <c r="AK31" s="571"/>
      <c r="AL31" s="570"/>
      <c r="AM31" s="624"/>
      <c r="AN31" s="624"/>
      <c r="AO31" s="624"/>
      <c r="AP31" s="571"/>
      <c r="AQ31" s="570"/>
      <c r="AR31" s="624"/>
      <c r="AS31" s="624"/>
      <c r="AT31" s="624"/>
      <c r="AU31" s="571"/>
      <c r="AV31" s="570"/>
      <c r="AW31" s="624"/>
      <c r="AX31" s="624"/>
      <c r="AY31" s="624"/>
      <c r="AZ31" s="571"/>
      <c r="BA31" s="570"/>
      <c r="BB31" s="624"/>
      <c r="BC31" s="624"/>
      <c r="BD31" s="624"/>
      <c r="BE31" s="571"/>
      <c r="BF31" s="570"/>
      <c r="BG31" s="624"/>
      <c r="BH31" s="624"/>
      <c r="BI31" s="624"/>
      <c r="BJ31" s="624"/>
      <c r="BK31" s="638"/>
      <c r="BL31" s="638"/>
      <c r="BM31" s="638"/>
      <c r="BN31" s="639"/>
      <c r="BO31" s="620" t="s">
        <v>32</v>
      </c>
      <c r="BP31" s="621"/>
      <c r="BQ31" s="621"/>
      <c r="BR31" s="621"/>
      <c r="BS31" s="621"/>
      <c r="BT31" s="621"/>
      <c r="BU31" s="621"/>
      <c r="BV31" s="621"/>
      <c r="BW31" s="621"/>
      <c r="BX31" s="621"/>
      <c r="BY31" s="621"/>
      <c r="BZ31" s="621"/>
      <c r="CA31" s="621"/>
      <c r="CB31" s="621"/>
      <c r="CC31" s="621"/>
      <c r="CD31" s="621"/>
      <c r="CE31" s="621"/>
      <c r="CF31" s="621"/>
      <c r="CG31" s="621"/>
      <c r="CH31" s="621"/>
      <c r="CI31" s="621"/>
      <c r="CJ31" s="621"/>
      <c r="CK31" s="621"/>
      <c r="CL31" s="621"/>
      <c r="CM31" s="621"/>
      <c r="CN31" s="621"/>
      <c r="CO31" s="621"/>
      <c r="CP31" s="621"/>
      <c r="CQ31" s="621"/>
      <c r="CR31" s="621"/>
      <c r="CS31" s="621"/>
      <c r="CT31" s="621"/>
      <c r="CU31" s="621"/>
      <c r="CV31" s="621"/>
      <c r="CW31" s="621"/>
      <c r="CX31" s="621"/>
      <c r="CY31" s="621"/>
      <c r="CZ31" s="621"/>
      <c r="DA31" s="621"/>
      <c r="DB31" s="622"/>
      <c r="DC31" s="620" t="s">
        <v>32</v>
      </c>
      <c r="DD31" s="621"/>
      <c r="DE31" s="621"/>
      <c r="DF31" s="621"/>
      <c r="DG31" s="621"/>
      <c r="DH31" s="621"/>
      <c r="DI31" s="621"/>
      <c r="DJ31" s="621"/>
      <c r="DK31" s="621"/>
      <c r="DL31" s="621"/>
      <c r="DM31" s="621"/>
      <c r="DN31" s="621"/>
      <c r="DO31" s="621"/>
      <c r="DP31" s="621"/>
      <c r="DQ31" s="621"/>
      <c r="DR31" s="621"/>
      <c r="DS31" s="621"/>
      <c r="DT31" s="621"/>
      <c r="DU31" s="621"/>
      <c r="DV31" s="621"/>
      <c r="DW31" s="621"/>
      <c r="DX31" s="621"/>
      <c r="DY31" s="621"/>
      <c r="DZ31" s="621"/>
      <c r="EA31" s="621"/>
      <c r="EB31" s="621"/>
      <c r="EC31" s="621"/>
      <c r="ED31" s="621"/>
      <c r="EE31" s="621"/>
      <c r="EF31" s="621"/>
      <c r="EG31" s="621"/>
      <c r="EH31" s="621"/>
      <c r="EI31" s="621"/>
      <c r="EJ31" s="621"/>
      <c r="EK31" s="621"/>
      <c r="EL31" s="621"/>
      <c r="EM31" s="621"/>
      <c r="EN31" s="621"/>
      <c r="EO31" s="621"/>
      <c r="EP31" s="622"/>
      <c r="EQ31" s="628"/>
      <c r="ER31" s="629"/>
      <c r="ES31" s="630"/>
    </row>
    <row r="32" spans="1:225" ht="45" x14ac:dyDescent="0.2">
      <c r="A32" s="610"/>
      <c r="B32" s="613"/>
      <c r="C32" s="615"/>
      <c r="D32" s="615"/>
      <c r="E32" s="615"/>
      <c r="F32" s="615"/>
      <c r="G32" s="615"/>
      <c r="H32" s="615"/>
      <c r="I32" s="615"/>
      <c r="J32" s="615"/>
      <c r="K32" s="615"/>
      <c r="L32" s="615"/>
      <c r="M32" s="615"/>
      <c r="N32" s="615"/>
      <c r="O32" s="615"/>
      <c r="P32" s="615"/>
      <c r="Q32" s="615"/>
      <c r="R32" s="615"/>
      <c r="S32" s="615"/>
      <c r="T32" s="615"/>
      <c r="U32" s="615"/>
      <c r="V32" s="615"/>
      <c r="W32" s="615"/>
      <c r="X32" s="615"/>
      <c r="Y32" s="615"/>
      <c r="Z32" s="633"/>
      <c r="AA32" s="551"/>
      <c r="AB32" s="551"/>
      <c r="AC32" s="551"/>
      <c r="AD32" s="551"/>
      <c r="AE32" s="551"/>
      <c r="AF32" s="634"/>
      <c r="AG32" s="570"/>
      <c r="AH32" s="624"/>
      <c r="AI32" s="624"/>
      <c r="AJ32" s="624"/>
      <c r="AK32" s="571"/>
      <c r="AL32" s="570"/>
      <c r="AM32" s="624"/>
      <c r="AN32" s="624"/>
      <c r="AO32" s="624"/>
      <c r="AP32" s="571"/>
      <c r="AQ32" s="570"/>
      <c r="AR32" s="624"/>
      <c r="AS32" s="624"/>
      <c r="AT32" s="624"/>
      <c r="AU32" s="571"/>
      <c r="AV32" s="570"/>
      <c r="AW32" s="624"/>
      <c r="AX32" s="624"/>
      <c r="AY32" s="624"/>
      <c r="AZ32" s="571"/>
      <c r="BA32" s="570"/>
      <c r="BB32" s="624"/>
      <c r="BC32" s="624"/>
      <c r="BD32" s="624"/>
      <c r="BE32" s="571"/>
      <c r="BF32" s="570"/>
      <c r="BG32" s="624"/>
      <c r="BH32" s="624"/>
      <c r="BI32" s="624"/>
      <c r="BJ32" s="624"/>
      <c r="BK32" s="638"/>
      <c r="BL32" s="638"/>
      <c r="BM32" s="638"/>
      <c r="BN32" s="639"/>
      <c r="BO32" s="620">
        <v>1</v>
      </c>
      <c r="BP32" s="621"/>
      <c r="BQ32" s="621"/>
      <c r="BR32" s="621"/>
      <c r="BS32" s="621">
        <v>2</v>
      </c>
      <c r="BT32" s="621"/>
      <c r="BU32" s="621"/>
      <c r="BV32" s="621"/>
      <c r="BW32" s="621">
        <v>3</v>
      </c>
      <c r="BX32" s="621"/>
      <c r="BY32" s="621"/>
      <c r="BZ32" s="621"/>
      <c r="CA32" s="621">
        <v>4</v>
      </c>
      <c r="CB32" s="621"/>
      <c r="CC32" s="621"/>
      <c r="CD32" s="621"/>
      <c r="CE32" s="621">
        <v>5</v>
      </c>
      <c r="CF32" s="621"/>
      <c r="CG32" s="621"/>
      <c r="CH32" s="621"/>
      <c r="CI32" s="621">
        <v>6</v>
      </c>
      <c r="CJ32" s="621"/>
      <c r="CK32" s="621"/>
      <c r="CL32" s="621"/>
      <c r="CM32" s="621">
        <v>7</v>
      </c>
      <c r="CN32" s="621"/>
      <c r="CO32" s="621"/>
      <c r="CP32" s="621"/>
      <c r="CQ32" s="621">
        <v>8</v>
      </c>
      <c r="CR32" s="621"/>
      <c r="CS32" s="621"/>
      <c r="CT32" s="621"/>
      <c r="CU32" s="621">
        <v>9</v>
      </c>
      <c r="CV32" s="621"/>
      <c r="CW32" s="621"/>
      <c r="CX32" s="621"/>
      <c r="CY32" s="621">
        <v>10</v>
      </c>
      <c r="CZ32" s="621"/>
      <c r="DA32" s="621"/>
      <c r="DB32" s="622"/>
      <c r="DC32" s="620">
        <v>1</v>
      </c>
      <c r="DD32" s="621"/>
      <c r="DE32" s="621"/>
      <c r="DF32" s="621"/>
      <c r="DG32" s="621">
        <v>2</v>
      </c>
      <c r="DH32" s="621"/>
      <c r="DI32" s="621"/>
      <c r="DJ32" s="621"/>
      <c r="DK32" s="621">
        <v>3</v>
      </c>
      <c r="DL32" s="621"/>
      <c r="DM32" s="621"/>
      <c r="DN32" s="621"/>
      <c r="DO32" s="621">
        <v>4</v>
      </c>
      <c r="DP32" s="621"/>
      <c r="DQ32" s="621"/>
      <c r="DR32" s="621"/>
      <c r="DS32" s="621">
        <v>5</v>
      </c>
      <c r="DT32" s="621"/>
      <c r="DU32" s="621"/>
      <c r="DV32" s="621"/>
      <c r="DW32" s="621">
        <v>6</v>
      </c>
      <c r="DX32" s="621"/>
      <c r="DY32" s="621"/>
      <c r="DZ32" s="621"/>
      <c r="EA32" s="621">
        <v>7</v>
      </c>
      <c r="EB32" s="621"/>
      <c r="EC32" s="621"/>
      <c r="ED32" s="621"/>
      <c r="EE32" s="621">
        <v>8</v>
      </c>
      <c r="EF32" s="621"/>
      <c r="EG32" s="621"/>
      <c r="EH32" s="621"/>
      <c r="EI32" s="621">
        <v>9</v>
      </c>
      <c r="EJ32" s="621"/>
      <c r="EK32" s="621"/>
      <c r="EL32" s="621"/>
      <c r="EM32" s="621">
        <v>10</v>
      </c>
      <c r="EN32" s="621"/>
      <c r="EO32" s="621"/>
      <c r="EP32" s="622"/>
      <c r="EQ32" s="628"/>
      <c r="ER32" s="629"/>
      <c r="ES32" s="630"/>
    </row>
    <row r="33" spans="1:155" ht="93" customHeight="1" x14ac:dyDescent="0.2">
      <c r="A33" s="610"/>
      <c r="B33" s="613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615"/>
      <c r="Y33" s="615"/>
      <c r="Z33" s="633"/>
      <c r="AA33" s="551"/>
      <c r="AB33" s="551"/>
      <c r="AC33" s="551"/>
      <c r="AD33" s="551"/>
      <c r="AE33" s="551"/>
      <c r="AF33" s="634"/>
      <c r="AG33" s="570"/>
      <c r="AH33" s="624"/>
      <c r="AI33" s="624"/>
      <c r="AJ33" s="624"/>
      <c r="AK33" s="571"/>
      <c r="AL33" s="570"/>
      <c r="AM33" s="624"/>
      <c r="AN33" s="624"/>
      <c r="AO33" s="624"/>
      <c r="AP33" s="571"/>
      <c r="AQ33" s="570"/>
      <c r="AR33" s="624"/>
      <c r="AS33" s="624"/>
      <c r="AT33" s="624"/>
      <c r="AU33" s="571"/>
      <c r="AV33" s="570"/>
      <c r="AW33" s="624"/>
      <c r="AX33" s="624"/>
      <c r="AY33" s="624"/>
      <c r="AZ33" s="571"/>
      <c r="BA33" s="570"/>
      <c r="BB33" s="624"/>
      <c r="BC33" s="624"/>
      <c r="BD33" s="624"/>
      <c r="BE33" s="571"/>
      <c r="BF33" s="570"/>
      <c r="BG33" s="624"/>
      <c r="BH33" s="624"/>
      <c r="BI33" s="624"/>
      <c r="BJ33" s="624"/>
      <c r="BK33" s="638"/>
      <c r="BL33" s="638"/>
      <c r="BM33" s="638"/>
      <c r="BN33" s="639"/>
      <c r="BO33" s="620" t="s">
        <v>258</v>
      </c>
      <c r="BP33" s="621"/>
      <c r="BQ33" s="621"/>
      <c r="BR33" s="621"/>
      <c r="BS33" s="621"/>
      <c r="BT33" s="621"/>
      <c r="BU33" s="621"/>
      <c r="BV33" s="621"/>
      <c r="BW33" s="621"/>
      <c r="BX33" s="621"/>
      <c r="BY33" s="621"/>
      <c r="BZ33" s="621"/>
      <c r="CA33" s="621"/>
      <c r="CB33" s="621"/>
      <c r="CC33" s="621"/>
      <c r="CD33" s="621"/>
      <c r="CE33" s="621"/>
      <c r="CF33" s="621"/>
      <c r="CG33" s="621"/>
      <c r="CH33" s="621"/>
      <c r="CI33" s="621"/>
      <c r="CJ33" s="621"/>
      <c r="CK33" s="621"/>
      <c r="CL33" s="621"/>
      <c r="CM33" s="621"/>
      <c r="CN33" s="621"/>
      <c r="CO33" s="621"/>
      <c r="CP33" s="621"/>
      <c r="CQ33" s="621"/>
      <c r="CR33" s="621"/>
      <c r="CS33" s="621"/>
      <c r="CT33" s="621"/>
      <c r="CU33" s="621"/>
      <c r="CV33" s="621"/>
      <c r="CW33" s="621"/>
      <c r="CX33" s="621"/>
      <c r="CY33" s="621"/>
      <c r="CZ33" s="621"/>
      <c r="DA33" s="621"/>
      <c r="DB33" s="622"/>
      <c r="DC33" s="620" t="s">
        <v>34</v>
      </c>
      <c r="DD33" s="621"/>
      <c r="DE33" s="621"/>
      <c r="DF33" s="621"/>
      <c r="DG33" s="621"/>
      <c r="DH33" s="621"/>
      <c r="DI33" s="621"/>
      <c r="DJ33" s="621"/>
      <c r="DK33" s="621"/>
      <c r="DL33" s="621"/>
      <c r="DM33" s="621"/>
      <c r="DN33" s="621"/>
      <c r="DO33" s="621"/>
      <c r="DP33" s="621"/>
      <c r="DQ33" s="621"/>
      <c r="DR33" s="621"/>
      <c r="DS33" s="621"/>
      <c r="DT33" s="621"/>
      <c r="DU33" s="621"/>
      <c r="DV33" s="621"/>
      <c r="DW33" s="621"/>
      <c r="DX33" s="621"/>
      <c r="DY33" s="621"/>
      <c r="DZ33" s="621"/>
      <c r="EA33" s="621"/>
      <c r="EB33" s="621"/>
      <c r="EC33" s="621"/>
      <c r="ED33" s="621"/>
      <c r="EE33" s="621"/>
      <c r="EF33" s="621"/>
      <c r="EG33" s="621"/>
      <c r="EH33" s="621"/>
      <c r="EI33" s="621"/>
      <c r="EJ33" s="621"/>
      <c r="EK33" s="621"/>
      <c r="EL33" s="621"/>
      <c r="EM33" s="621"/>
      <c r="EN33" s="621"/>
      <c r="EO33" s="621"/>
      <c r="EP33" s="622"/>
      <c r="EQ33" s="628"/>
      <c r="ER33" s="629"/>
      <c r="ES33" s="630"/>
    </row>
    <row r="34" spans="1:155" ht="45" x14ac:dyDescent="0.2">
      <c r="A34" s="611"/>
      <c r="B34" s="614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15"/>
      <c r="P34" s="615"/>
      <c r="Q34" s="615"/>
      <c r="R34" s="615"/>
      <c r="S34" s="615"/>
      <c r="T34" s="615"/>
      <c r="U34" s="615"/>
      <c r="V34" s="615"/>
      <c r="W34" s="615"/>
      <c r="X34" s="615"/>
      <c r="Y34" s="615"/>
      <c r="Z34" s="635"/>
      <c r="AA34" s="636"/>
      <c r="AB34" s="636"/>
      <c r="AC34" s="636"/>
      <c r="AD34" s="636"/>
      <c r="AE34" s="636"/>
      <c r="AF34" s="637"/>
      <c r="AG34" s="572"/>
      <c r="AH34" s="625"/>
      <c r="AI34" s="625"/>
      <c r="AJ34" s="625"/>
      <c r="AK34" s="573"/>
      <c r="AL34" s="572"/>
      <c r="AM34" s="625"/>
      <c r="AN34" s="625"/>
      <c r="AO34" s="625"/>
      <c r="AP34" s="573"/>
      <c r="AQ34" s="572"/>
      <c r="AR34" s="625"/>
      <c r="AS34" s="625"/>
      <c r="AT34" s="625"/>
      <c r="AU34" s="573"/>
      <c r="AV34" s="572"/>
      <c r="AW34" s="625"/>
      <c r="AX34" s="625"/>
      <c r="AY34" s="625"/>
      <c r="AZ34" s="573"/>
      <c r="BA34" s="572"/>
      <c r="BB34" s="625"/>
      <c r="BC34" s="625"/>
      <c r="BD34" s="625"/>
      <c r="BE34" s="573"/>
      <c r="BF34" s="572"/>
      <c r="BG34" s="625"/>
      <c r="BH34" s="625"/>
      <c r="BI34" s="625"/>
      <c r="BJ34" s="625"/>
      <c r="BK34" s="638"/>
      <c r="BL34" s="638"/>
      <c r="BM34" s="638"/>
      <c r="BN34" s="639"/>
      <c r="BO34" s="626">
        <v>4</v>
      </c>
      <c r="BP34" s="618"/>
      <c r="BQ34" s="618"/>
      <c r="BR34" s="618"/>
      <c r="BS34" s="627">
        <v>3</v>
      </c>
      <c r="BT34" s="618"/>
      <c r="BU34" s="618"/>
      <c r="BV34" s="618"/>
      <c r="BW34" s="627">
        <v>3</v>
      </c>
      <c r="BX34" s="618"/>
      <c r="BY34" s="618"/>
      <c r="BZ34" s="618"/>
      <c r="CA34" s="627">
        <v>3</v>
      </c>
      <c r="CB34" s="618"/>
      <c r="CC34" s="618"/>
      <c r="CD34" s="618"/>
      <c r="CE34" s="627">
        <v>3</v>
      </c>
      <c r="CF34" s="618"/>
      <c r="CG34" s="618"/>
      <c r="CH34" s="618"/>
      <c r="CI34" s="627">
        <v>3</v>
      </c>
      <c r="CJ34" s="618"/>
      <c r="CK34" s="618"/>
      <c r="CL34" s="618"/>
      <c r="CM34" s="627">
        <v>3</v>
      </c>
      <c r="CN34" s="618"/>
      <c r="CO34" s="618"/>
      <c r="CP34" s="618"/>
      <c r="CQ34" s="627">
        <v>3</v>
      </c>
      <c r="CR34" s="618"/>
      <c r="CS34" s="618"/>
      <c r="CT34" s="618"/>
      <c r="CU34" s="627">
        <v>3</v>
      </c>
      <c r="CV34" s="618"/>
      <c r="CW34" s="618"/>
      <c r="CX34" s="618"/>
      <c r="CY34" s="621">
        <v>3</v>
      </c>
      <c r="CZ34" s="621"/>
      <c r="DA34" s="621"/>
      <c r="DB34" s="622"/>
      <c r="DC34" s="626">
        <f>DC86</f>
        <v>26</v>
      </c>
      <c r="DD34" s="618"/>
      <c r="DE34" s="618"/>
      <c r="DF34" s="618"/>
      <c r="DG34" s="640">
        <f t="shared" ref="DG34" si="0">DG86</f>
        <v>21</v>
      </c>
      <c r="DH34" s="618"/>
      <c r="DI34" s="618"/>
      <c r="DJ34" s="618"/>
      <c r="DK34" s="640">
        <f t="shared" ref="DK34" si="1">DK86</f>
        <v>29</v>
      </c>
      <c r="DL34" s="618"/>
      <c r="DM34" s="618"/>
      <c r="DN34" s="618"/>
      <c r="DO34" s="640">
        <f t="shared" ref="DO34" si="2">DO86</f>
        <v>24</v>
      </c>
      <c r="DP34" s="618"/>
      <c r="DQ34" s="618"/>
      <c r="DR34" s="618"/>
      <c r="DS34" s="640">
        <f t="shared" ref="DS34" si="3">DS86</f>
        <v>27</v>
      </c>
      <c r="DT34" s="618"/>
      <c r="DU34" s="618"/>
      <c r="DV34" s="618"/>
      <c r="DW34" s="640">
        <f t="shared" ref="DW34" si="4">DW86</f>
        <v>24</v>
      </c>
      <c r="DX34" s="618"/>
      <c r="DY34" s="618"/>
      <c r="DZ34" s="618"/>
      <c r="EA34" s="640">
        <f t="shared" ref="EA34" si="5">EA86</f>
        <v>26</v>
      </c>
      <c r="EB34" s="618"/>
      <c r="EC34" s="618"/>
      <c r="ED34" s="618"/>
      <c r="EE34" s="640">
        <f t="shared" ref="EE34" si="6">EE86</f>
        <v>22</v>
      </c>
      <c r="EF34" s="618"/>
      <c r="EG34" s="618"/>
      <c r="EH34" s="618"/>
      <c r="EI34" s="640">
        <f t="shared" ref="EI34" si="7">EI86</f>
        <v>26</v>
      </c>
      <c r="EJ34" s="618"/>
      <c r="EK34" s="618"/>
      <c r="EL34" s="618"/>
      <c r="EM34" s="640">
        <f t="shared" ref="EM34" si="8">EM86</f>
        <v>15</v>
      </c>
      <c r="EN34" s="618"/>
      <c r="EO34" s="618"/>
      <c r="EP34" s="619"/>
      <c r="EQ34" s="626">
        <v>240</v>
      </c>
      <c r="ER34" s="627"/>
      <c r="ES34" s="619"/>
    </row>
    <row r="35" spans="1:155" ht="42" customHeight="1" x14ac:dyDescent="0.2">
      <c r="A35" s="37">
        <v>1</v>
      </c>
      <c r="B35" s="57"/>
      <c r="C35" s="483">
        <v>2</v>
      </c>
      <c r="D35" s="484"/>
      <c r="E35" s="484"/>
      <c r="F35" s="484"/>
      <c r="G35" s="484"/>
      <c r="H35" s="484"/>
      <c r="I35" s="484"/>
      <c r="J35" s="484"/>
      <c r="K35" s="484"/>
      <c r="L35" s="484"/>
      <c r="M35" s="484"/>
      <c r="N35" s="484"/>
      <c r="O35" s="484"/>
      <c r="P35" s="484"/>
      <c r="Q35" s="484"/>
      <c r="R35" s="484"/>
      <c r="S35" s="484"/>
      <c r="T35" s="484"/>
      <c r="U35" s="484"/>
      <c r="V35" s="484"/>
      <c r="W35" s="484"/>
      <c r="X35" s="484"/>
      <c r="Y35" s="485"/>
      <c r="Z35" s="486">
        <v>3</v>
      </c>
      <c r="AA35" s="486"/>
      <c r="AB35" s="486"/>
      <c r="AC35" s="486"/>
      <c r="AD35" s="438">
        <v>4</v>
      </c>
      <c r="AE35" s="439"/>
      <c r="AF35" s="440"/>
      <c r="AG35" s="438">
        <v>5</v>
      </c>
      <c r="AH35" s="439"/>
      <c r="AI35" s="439"/>
      <c r="AJ35" s="439"/>
      <c r="AK35" s="440"/>
      <c r="AL35" s="438">
        <v>6</v>
      </c>
      <c r="AM35" s="439"/>
      <c r="AN35" s="439"/>
      <c r="AO35" s="439"/>
      <c r="AP35" s="440"/>
      <c r="AQ35" s="438">
        <v>7</v>
      </c>
      <c r="AR35" s="439"/>
      <c r="AS35" s="439"/>
      <c r="AT35" s="439"/>
      <c r="AU35" s="440"/>
      <c r="AV35" s="438">
        <v>8</v>
      </c>
      <c r="AW35" s="439"/>
      <c r="AX35" s="439"/>
      <c r="AY35" s="439"/>
      <c r="AZ35" s="440"/>
      <c r="BA35" s="438">
        <v>9</v>
      </c>
      <c r="BB35" s="439"/>
      <c r="BC35" s="439"/>
      <c r="BD35" s="439"/>
      <c r="BE35" s="440"/>
      <c r="BF35" s="438">
        <v>10</v>
      </c>
      <c r="BG35" s="439"/>
      <c r="BH35" s="439"/>
      <c r="BI35" s="439"/>
      <c r="BJ35" s="440"/>
      <c r="BK35" s="450">
        <v>11</v>
      </c>
      <c r="BL35" s="451"/>
      <c r="BM35" s="451"/>
      <c r="BN35" s="451"/>
      <c r="BO35" s="641">
        <v>12</v>
      </c>
      <c r="BP35" s="451"/>
      <c r="BQ35" s="451"/>
      <c r="BR35" s="451"/>
      <c r="BS35" s="450">
        <v>13</v>
      </c>
      <c r="BT35" s="451"/>
      <c r="BU35" s="451"/>
      <c r="BV35" s="451"/>
      <c r="BW35" s="450">
        <v>14</v>
      </c>
      <c r="BX35" s="451"/>
      <c r="BY35" s="451"/>
      <c r="BZ35" s="451"/>
      <c r="CA35" s="450">
        <v>15</v>
      </c>
      <c r="CB35" s="451"/>
      <c r="CC35" s="451"/>
      <c r="CD35" s="451"/>
      <c r="CE35" s="450">
        <v>16</v>
      </c>
      <c r="CF35" s="451"/>
      <c r="CG35" s="451"/>
      <c r="CH35" s="451"/>
      <c r="CI35" s="450">
        <v>17</v>
      </c>
      <c r="CJ35" s="451"/>
      <c r="CK35" s="451"/>
      <c r="CL35" s="451"/>
      <c r="CM35" s="450">
        <v>18</v>
      </c>
      <c r="CN35" s="451"/>
      <c r="CO35" s="451"/>
      <c r="CP35" s="451"/>
      <c r="CQ35" s="450">
        <v>19</v>
      </c>
      <c r="CR35" s="451"/>
      <c r="CS35" s="451"/>
      <c r="CT35" s="451"/>
      <c r="CU35" s="450">
        <v>20</v>
      </c>
      <c r="CV35" s="451"/>
      <c r="CW35" s="451"/>
      <c r="CX35" s="451"/>
      <c r="CY35" s="450">
        <v>21</v>
      </c>
      <c r="CZ35" s="451"/>
      <c r="DA35" s="451"/>
      <c r="DB35" s="452"/>
      <c r="DC35" s="641">
        <v>22</v>
      </c>
      <c r="DD35" s="451"/>
      <c r="DE35" s="451"/>
      <c r="DF35" s="451"/>
      <c r="DG35" s="450">
        <v>23</v>
      </c>
      <c r="DH35" s="451"/>
      <c r="DI35" s="451"/>
      <c r="DJ35" s="451"/>
      <c r="DK35" s="450">
        <v>24</v>
      </c>
      <c r="DL35" s="451"/>
      <c r="DM35" s="451"/>
      <c r="DN35" s="451"/>
      <c r="DO35" s="450">
        <v>25</v>
      </c>
      <c r="DP35" s="451"/>
      <c r="DQ35" s="451"/>
      <c r="DR35" s="451"/>
      <c r="DS35" s="450">
        <v>26</v>
      </c>
      <c r="DT35" s="451"/>
      <c r="DU35" s="451"/>
      <c r="DV35" s="451"/>
      <c r="DW35" s="450">
        <v>27</v>
      </c>
      <c r="DX35" s="451"/>
      <c r="DY35" s="451"/>
      <c r="DZ35" s="451"/>
      <c r="EA35" s="450">
        <v>28</v>
      </c>
      <c r="EB35" s="451"/>
      <c r="EC35" s="451"/>
      <c r="ED35" s="451"/>
      <c r="EE35" s="450">
        <v>29</v>
      </c>
      <c r="EF35" s="451"/>
      <c r="EG35" s="451"/>
      <c r="EH35" s="451"/>
      <c r="EI35" s="450">
        <v>30</v>
      </c>
      <c r="EJ35" s="451"/>
      <c r="EK35" s="451"/>
      <c r="EL35" s="451"/>
      <c r="EM35" s="450">
        <v>31</v>
      </c>
      <c r="EN35" s="451"/>
      <c r="EO35" s="451"/>
      <c r="EP35" s="452"/>
      <c r="EQ35" s="430">
        <v>32</v>
      </c>
      <c r="ER35" s="431"/>
      <c r="ES35" s="432"/>
    </row>
    <row r="36" spans="1:155" ht="60" customHeight="1" x14ac:dyDescent="0.2">
      <c r="A36" s="58" t="s">
        <v>88</v>
      </c>
      <c r="B36" s="58"/>
      <c r="C36" s="376" t="s">
        <v>36</v>
      </c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642">
        <f>SUM(Z37:AC56)</f>
        <v>4050</v>
      </c>
      <c r="AA36" s="642"/>
      <c r="AB36" s="642"/>
      <c r="AC36" s="642"/>
      <c r="AD36" s="643"/>
      <c r="AE36" s="643"/>
      <c r="AF36" s="643"/>
      <c r="AG36" s="644">
        <f>SUM(AG37:AK56)</f>
        <v>572</v>
      </c>
      <c r="AH36" s="645"/>
      <c r="AI36" s="645"/>
      <c r="AJ36" s="645"/>
      <c r="AK36" s="646"/>
      <c r="AL36" s="644">
        <f>SUM(AL37:AP56)</f>
        <v>298</v>
      </c>
      <c r="AM36" s="645"/>
      <c r="AN36" s="645"/>
      <c r="AO36" s="645"/>
      <c r="AP36" s="646"/>
      <c r="AQ36" s="644">
        <f>SUM(AQ37:AU56)</f>
        <v>146</v>
      </c>
      <c r="AR36" s="645"/>
      <c r="AS36" s="645"/>
      <c r="AT36" s="645"/>
      <c r="AU36" s="646"/>
      <c r="AV36" s="644">
        <f>SUM(AV37:AZ56)</f>
        <v>128</v>
      </c>
      <c r="AW36" s="645"/>
      <c r="AX36" s="645"/>
      <c r="AY36" s="645"/>
      <c r="AZ36" s="646"/>
      <c r="BA36" s="644">
        <f>SUM(BA37:BE56)</f>
        <v>0</v>
      </c>
      <c r="BB36" s="645"/>
      <c r="BC36" s="645"/>
      <c r="BD36" s="645"/>
      <c r="BE36" s="646"/>
      <c r="BF36" s="644">
        <f>SUM(BF37:BJ56)</f>
        <v>0</v>
      </c>
      <c r="BG36" s="645"/>
      <c r="BH36" s="645"/>
      <c r="BI36" s="645"/>
      <c r="BJ36" s="646"/>
      <c r="BK36" s="642">
        <f>SUM(BK37:BN56)</f>
        <v>3478</v>
      </c>
      <c r="BL36" s="642"/>
      <c r="BM36" s="642"/>
      <c r="BN36" s="644"/>
      <c r="BO36" s="650">
        <f>SUM(BO37:BR56)</f>
        <v>34</v>
      </c>
      <c r="BP36" s="647"/>
      <c r="BQ36" s="647"/>
      <c r="BR36" s="647"/>
      <c r="BS36" s="649">
        <f>SUM(BS37:BV56)</f>
        <v>36</v>
      </c>
      <c r="BT36" s="651"/>
      <c r="BU36" s="651"/>
      <c r="BV36" s="652"/>
      <c r="BW36" s="649">
        <f>SUM(BW37:BZ56)</f>
        <v>26</v>
      </c>
      <c r="BX36" s="651"/>
      <c r="BY36" s="651"/>
      <c r="BZ36" s="652"/>
      <c r="CA36" s="649">
        <f>SUM(CA37:CD56)</f>
        <v>19</v>
      </c>
      <c r="CB36" s="651"/>
      <c r="CC36" s="651"/>
      <c r="CD36" s="652"/>
      <c r="CE36" s="647">
        <f>SUM(CE37:CH56)</f>
        <v>15</v>
      </c>
      <c r="CF36" s="647"/>
      <c r="CG36" s="647"/>
      <c r="CH36" s="647"/>
      <c r="CI36" s="647">
        <f>SUM(CI37:CL56)</f>
        <v>15</v>
      </c>
      <c r="CJ36" s="647"/>
      <c r="CK36" s="647"/>
      <c r="CL36" s="647"/>
      <c r="CM36" s="647">
        <f>SUM(CM37:CP56)</f>
        <v>5</v>
      </c>
      <c r="CN36" s="647"/>
      <c r="CO36" s="647"/>
      <c r="CP36" s="647"/>
      <c r="CQ36" s="647">
        <f>SUM(CQ37:CT56)</f>
        <v>10</v>
      </c>
      <c r="CR36" s="647"/>
      <c r="CS36" s="647"/>
      <c r="CT36" s="647"/>
      <c r="CU36" s="647">
        <f>SUM(CU37:CX56)</f>
        <v>15</v>
      </c>
      <c r="CV36" s="647"/>
      <c r="CW36" s="647"/>
      <c r="CX36" s="647"/>
      <c r="CY36" s="647">
        <f>SUM(CY37:DB56)</f>
        <v>0</v>
      </c>
      <c r="CZ36" s="647"/>
      <c r="DA36" s="647"/>
      <c r="DB36" s="649"/>
      <c r="DC36" s="650">
        <f>SUM(DC37:DF56)</f>
        <v>26</v>
      </c>
      <c r="DD36" s="647"/>
      <c r="DE36" s="647"/>
      <c r="DF36" s="647"/>
      <c r="DG36" s="647">
        <f>SUM(DG37:DJ56)</f>
        <v>21</v>
      </c>
      <c r="DH36" s="647"/>
      <c r="DI36" s="647"/>
      <c r="DJ36" s="647"/>
      <c r="DK36" s="647">
        <f>SUM(DK37:DN56)</f>
        <v>24</v>
      </c>
      <c r="DL36" s="647"/>
      <c r="DM36" s="647"/>
      <c r="DN36" s="647"/>
      <c r="DO36" s="647">
        <f>SUM(DO37:DR56)</f>
        <v>14</v>
      </c>
      <c r="DP36" s="647"/>
      <c r="DQ36" s="647"/>
      <c r="DR36" s="647"/>
      <c r="DS36" s="647">
        <f>SUM(DS37:DV56)</f>
        <v>12</v>
      </c>
      <c r="DT36" s="647"/>
      <c r="DU36" s="647"/>
      <c r="DV36" s="647"/>
      <c r="DW36" s="647">
        <f>SUM(DW37:DZ56)</f>
        <v>12</v>
      </c>
      <c r="DX36" s="647"/>
      <c r="DY36" s="647"/>
      <c r="DZ36" s="647"/>
      <c r="EA36" s="647">
        <f>SUM(EA37:ED56)</f>
        <v>6</v>
      </c>
      <c r="EB36" s="647"/>
      <c r="EC36" s="647"/>
      <c r="ED36" s="647"/>
      <c r="EE36" s="647">
        <f>SUM(EE37:EH56)</f>
        <v>8</v>
      </c>
      <c r="EF36" s="647"/>
      <c r="EG36" s="647"/>
      <c r="EH36" s="647"/>
      <c r="EI36" s="647">
        <f>SUM(EI37:EL56)</f>
        <v>12</v>
      </c>
      <c r="EJ36" s="647"/>
      <c r="EK36" s="647"/>
      <c r="EL36" s="647"/>
      <c r="EM36" s="647">
        <f>SUM(EM37:EP56)</f>
        <v>0</v>
      </c>
      <c r="EN36" s="647"/>
      <c r="EO36" s="647"/>
      <c r="EP36" s="648"/>
      <c r="EQ36" s="655">
        <f>SUM(EQ37:ES56)</f>
        <v>135</v>
      </c>
      <c r="ER36" s="656"/>
      <c r="ES36" s="657"/>
    </row>
    <row r="37" spans="1:155" ht="69.95" customHeight="1" x14ac:dyDescent="0.2">
      <c r="A37" s="59" t="s">
        <v>89</v>
      </c>
      <c r="B37" s="97" t="s">
        <v>129</v>
      </c>
      <c r="C37" s="426" t="s">
        <v>76</v>
      </c>
      <c r="D37" s="426"/>
      <c r="E37" s="426"/>
      <c r="F37" s="426"/>
      <c r="G37" s="426"/>
      <c r="H37" s="426"/>
      <c r="I37" s="426"/>
      <c r="J37" s="426"/>
      <c r="K37" s="426"/>
      <c r="L37" s="426"/>
      <c r="M37" s="426"/>
      <c r="N37" s="426"/>
      <c r="O37" s="426"/>
      <c r="P37" s="426"/>
      <c r="Q37" s="426"/>
      <c r="R37" s="426"/>
      <c r="S37" s="426"/>
      <c r="T37" s="426"/>
      <c r="U37" s="426"/>
      <c r="V37" s="426"/>
      <c r="W37" s="426"/>
      <c r="X37" s="426"/>
      <c r="Y37" s="426"/>
      <c r="Z37" s="658">
        <f>EQ37*30</f>
        <v>120</v>
      </c>
      <c r="AA37" s="658"/>
      <c r="AB37" s="658"/>
      <c r="AC37" s="658"/>
      <c r="AD37" s="659"/>
      <c r="AE37" s="659"/>
      <c r="AF37" s="659"/>
      <c r="AG37" s="660">
        <f>SUM(AL37:BE37)</f>
        <v>18</v>
      </c>
      <c r="AH37" s="660"/>
      <c r="AI37" s="660"/>
      <c r="AJ37" s="660"/>
      <c r="AK37" s="660"/>
      <c r="AL37" s="661">
        <v>12</v>
      </c>
      <c r="AM37" s="661"/>
      <c r="AN37" s="661"/>
      <c r="AO37" s="661"/>
      <c r="AP37" s="661"/>
      <c r="AQ37" s="661"/>
      <c r="AR37" s="661"/>
      <c r="AS37" s="661"/>
      <c r="AT37" s="661"/>
      <c r="AU37" s="661"/>
      <c r="AV37" s="661">
        <v>6</v>
      </c>
      <c r="AW37" s="661"/>
      <c r="AX37" s="661"/>
      <c r="AY37" s="661"/>
      <c r="AZ37" s="661"/>
      <c r="BA37" s="664"/>
      <c r="BB37" s="664"/>
      <c r="BC37" s="664"/>
      <c r="BD37" s="664"/>
      <c r="BE37" s="664"/>
      <c r="BF37" s="664"/>
      <c r="BG37" s="664"/>
      <c r="BH37" s="664"/>
      <c r="BI37" s="664"/>
      <c r="BJ37" s="664"/>
      <c r="BK37" s="658">
        <f>Z37-AG37</f>
        <v>102</v>
      </c>
      <c r="BL37" s="658"/>
      <c r="BM37" s="658"/>
      <c r="BN37" s="665"/>
      <c r="BO37" s="663"/>
      <c r="BP37" s="659"/>
      <c r="BQ37" s="659"/>
      <c r="BR37" s="659"/>
      <c r="BS37" s="659">
        <v>6</v>
      </c>
      <c r="BT37" s="659"/>
      <c r="BU37" s="659"/>
      <c r="BV37" s="659"/>
      <c r="BW37" s="659"/>
      <c r="BX37" s="659"/>
      <c r="BY37" s="659"/>
      <c r="BZ37" s="659"/>
      <c r="CA37" s="659"/>
      <c r="CB37" s="659"/>
      <c r="CC37" s="659"/>
      <c r="CD37" s="659"/>
      <c r="CE37" s="659"/>
      <c r="CF37" s="659"/>
      <c r="CG37" s="659"/>
      <c r="CH37" s="659"/>
      <c r="CI37" s="659"/>
      <c r="CJ37" s="659"/>
      <c r="CK37" s="659"/>
      <c r="CL37" s="659"/>
      <c r="CM37" s="659"/>
      <c r="CN37" s="659"/>
      <c r="CO37" s="659"/>
      <c r="CP37" s="659"/>
      <c r="CQ37" s="659"/>
      <c r="CR37" s="659"/>
      <c r="CS37" s="659"/>
      <c r="CT37" s="659"/>
      <c r="CU37" s="659"/>
      <c r="CV37" s="659"/>
      <c r="CW37" s="659"/>
      <c r="CX37" s="659"/>
      <c r="CY37" s="659"/>
      <c r="CZ37" s="659"/>
      <c r="DA37" s="659"/>
      <c r="DB37" s="662"/>
      <c r="DC37" s="663"/>
      <c r="DD37" s="659"/>
      <c r="DE37" s="659"/>
      <c r="DF37" s="659"/>
      <c r="DG37" s="659">
        <v>4</v>
      </c>
      <c r="DH37" s="659"/>
      <c r="DI37" s="659"/>
      <c r="DJ37" s="659"/>
      <c r="DK37" s="659"/>
      <c r="DL37" s="659"/>
      <c r="DM37" s="659"/>
      <c r="DN37" s="659"/>
      <c r="DO37" s="659"/>
      <c r="DP37" s="659"/>
      <c r="DQ37" s="659"/>
      <c r="DR37" s="659"/>
      <c r="DS37" s="659"/>
      <c r="DT37" s="659"/>
      <c r="DU37" s="659"/>
      <c r="DV37" s="659"/>
      <c r="DW37" s="659"/>
      <c r="DX37" s="659"/>
      <c r="DY37" s="659"/>
      <c r="DZ37" s="659"/>
      <c r="EA37" s="653"/>
      <c r="EB37" s="653"/>
      <c r="EC37" s="653"/>
      <c r="ED37" s="653"/>
      <c r="EE37" s="653"/>
      <c r="EF37" s="653"/>
      <c r="EG37" s="653"/>
      <c r="EH37" s="653"/>
      <c r="EI37" s="653"/>
      <c r="EJ37" s="653"/>
      <c r="EK37" s="653"/>
      <c r="EL37" s="653"/>
      <c r="EM37" s="653"/>
      <c r="EN37" s="653"/>
      <c r="EO37" s="653"/>
      <c r="EP37" s="654"/>
      <c r="EQ37" s="626">
        <f>DC37+DG37+DK37+DO37+DS37+DW37+EA37+EE37+EI37+EM37</f>
        <v>4</v>
      </c>
      <c r="ER37" s="627"/>
      <c r="ES37" s="619"/>
    </row>
    <row r="38" spans="1:155" ht="90" customHeight="1" x14ac:dyDescent="0.2">
      <c r="A38" s="59" t="s">
        <v>90</v>
      </c>
      <c r="B38" s="97" t="s">
        <v>125</v>
      </c>
      <c r="C38" s="426" t="s">
        <v>37</v>
      </c>
      <c r="D38" s="426"/>
      <c r="E38" s="426"/>
      <c r="F38" s="426"/>
      <c r="G38" s="426"/>
      <c r="H38" s="426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6"/>
      <c r="U38" s="426"/>
      <c r="V38" s="426"/>
      <c r="W38" s="426"/>
      <c r="X38" s="426"/>
      <c r="Y38" s="426"/>
      <c r="Z38" s="658">
        <f t="shared" ref="Z38:Z56" si="9">EQ38*30</f>
        <v>120</v>
      </c>
      <c r="AA38" s="658"/>
      <c r="AB38" s="658"/>
      <c r="AC38" s="658"/>
      <c r="AD38" s="659"/>
      <c r="AE38" s="659"/>
      <c r="AF38" s="659"/>
      <c r="AG38" s="660">
        <f t="shared" ref="AG38:AG56" si="10">SUM(AL38:BE38)</f>
        <v>24</v>
      </c>
      <c r="AH38" s="660"/>
      <c r="AI38" s="660"/>
      <c r="AJ38" s="660"/>
      <c r="AK38" s="660"/>
      <c r="AL38" s="661">
        <v>16</v>
      </c>
      <c r="AM38" s="661"/>
      <c r="AN38" s="661"/>
      <c r="AO38" s="661"/>
      <c r="AP38" s="661"/>
      <c r="AQ38" s="661"/>
      <c r="AR38" s="661"/>
      <c r="AS38" s="661"/>
      <c r="AT38" s="661"/>
      <c r="AU38" s="661"/>
      <c r="AV38" s="661">
        <v>8</v>
      </c>
      <c r="AW38" s="661"/>
      <c r="AX38" s="661"/>
      <c r="AY38" s="661"/>
      <c r="AZ38" s="661"/>
      <c r="BA38" s="664"/>
      <c r="BB38" s="664"/>
      <c r="BC38" s="664"/>
      <c r="BD38" s="664"/>
      <c r="BE38" s="664"/>
      <c r="BF38" s="664"/>
      <c r="BG38" s="664"/>
      <c r="BH38" s="664"/>
      <c r="BI38" s="664"/>
      <c r="BJ38" s="664"/>
      <c r="BK38" s="658">
        <f t="shared" ref="BK38:BK56" si="11">Z38-AG38</f>
        <v>96</v>
      </c>
      <c r="BL38" s="658"/>
      <c r="BM38" s="658"/>
      <c r="BN38" s="665"/>
      <c r="BO38" s="663">
        <v>6</v>
      </c>
      <c r="BP38" s="659"/>
      <c r="BQ38" s="659"/>
      <c r="BR38" s="659"/>
      <c r="BS38" s="659"/>
      <c r="BT38" s="659"/>
      <c r="BU38" s="659"/>
      <c r="BV38" s="659"/>
      <c r="BW38" s="659"/>
      <c r="BX38" s="659"/>
      <c r="BY38" s="659"/>
      <c r="BZ38" s="659"/>
      <c r="CA38" s="659"/>
      <c r="CB38" s="659"/>
      <c r="CC38" s="659"/>
      <c r="CD38" s="659"/>
      <c r="CE38" s="659"/>
      <c r="CF38" s="659"/>
      <c r="CG38" s="659"/>
      <c r="CH38" s="659"/>
      <c r="CI38" s="659"/>
      <c r="CJ38" s="659"/>
      <c r="CK38" s="659"/>
      <c r="CL38" s="659"/>
      <c r="CM38" s="659"/>
      <c r="CN38" s="659"/>
      <c r="CO38" s="659"/>
      <c r="CP38" s="659"/>
      <c r="CQ38" s="659"/>
      <c r="CR38" s="659"/>
      <c r="CS38" s="659"/>
      <c r="CT38" s="659"/>
      <c r="CU38" s="659"/>
      <c r="CV38" s="659"/>
      <c r="CW38" s="659"/>
      <c r="CX38" s="659"/>
      <c r="CY38" s="659"/>
      <c r="CZ38" s="659"/>
      <c r="DA38" s="659"/>
      <c r="DB38" s="662"/>
      <c r="DC38" s="663">
        <v>4</v>
      </c>
      <c r="DD38" s="659"/>
      <c r="DE38" s="659"/>
      <c r="DF38" s="659"/>
      <c r="DG38" s="659"/>
      <c r="DH38" s="659"/>
      <c r="DI38" s="659"/>
      <c r="DJ38" s="659"/>
      <c r="DK38" s="659"/>
      <c r="DL38" s="659"/>
      <c r="DM38" s="659"/>
      <c r="DN38" s="659"/>
      <c r="DO38" s="659"/>
      <c r="DP38" s="659"/>
      <c r="DQ38" s="659"/>
      <c r="DR38" s="659"/>
      <c r="DS38" s="659"/>
      <c r="DT38" s="659"/>
      <c r="DU38" s="659"/>
      <c r="DV38" s="659"/>
      <c r="DW38" s="659"/>
      <c r="DX38" s="659"/>
      <c r="DY38" s="659"/>
      <c r="DZ38" s="659"/>
      <c r="EA38" s="653"/>
      <c r="EB38" s="653"/>
      <c r="EC38" s="653"/>
      <c r="ED38" s="653"/>
      <c r="EE38" s="653"/>
      <c r="EF38" s="653"/>
      <c r="EG38" s="653"/>
      <c r="EH38" s="653"/>
      <c r="EI38" s="653"/>
      <c r="EJ38" s="653"/>
      <c r="EK38" s="653"/>
      <c r="EL38" s="653"/>
      <c r="EM38" s="653"/>
      <c r="EN38" s="653"/>
      <c r="EO38" s="653"/>
      <c r="EP38" s="654"/>
      <c r="EQ38" s="626">
        <f t="shared" ref="EQ38:EQ56" si="12">DC38+DG38+DK38+DO38+DS38+DW38+EA38+EE38+EI38+EM38</f>
        <v>4</v>
      </c>
      <c r="ER38" s="627"/>
      <c r="ES38" s="619"/>
    </row>
    <row r="39" spans="1:155" ht="69.95" customHeight="1" x14ac:dyDescent="0.2">
      <c r="A39" s="59" t="s">
        <v>91</v>
      </c>
      <c r="B39" s="97" t="s">
        <v>71</v>
      </c>
      <c r="C39" s="426" t="s">
        <v>77</v>
      </c>
      <c r="D39" s="426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Z39" s="658">
        <f t="shared" si="9"/>
        <v>120</v>
      </c>
      <c r="AA39" s="658"/>
      <c r="AB39" s="658"/>
      <c r="AC39" s="658"/>
      <c r="AD39" s="659"/>
      <c r="AE39" s="659"/>
      <c r="AF39" s="659"/>
      <c r="AG39" s="660">
        <f t="shared" si="10"/>
        <v>24</v>
      </c>
      <c r="AH39" s="660"/>
      <c r="AI39" s="660"/>
      <c r="AJ39" s="660"/>
      <c r="AK39" s="660"/>
      <c r="AL39" s="661">
        <v>16</v>
      </c>
      <c r="AM39" s="661"/>
      <c r="AN39" s="661"/>
      <c r="AO39" s="661"/>
      <c r="AP39" s="661"/>
      <c r="AQ39" s="661"/>
      <c r="AR39" s="661"/>
      <c r="AS39" s="661"/>
      <c r="AT39" s="661"/>
      <c r="AU39" s="661"/>
      <c r="AV39" s="661">
        <v>8</v>
      </c>
      <c r="AW39" s="661"/>
      <c r="AX39" s="661"/>
      <c r="AY39" s="661"/>
      <c r="AZ39" s="661"/>
      <c r="BA39" s="664"/>
      <c r="BB39" s="664"/>
      <c r="BC39" s="664"/>
      <c r="BD39" s="664"/>
      <c r="BE39" s="664"/>
      <c r="BF39" s="664"/>
      <c r="BG39" s="664"/>
      <c r="BH39" s="664"/>
      <c r="BI39" s="664"/>
      <c r="BJ39" s="664"/>
      <c r="BK39" s="658">
        <f t="shared" si="11"/>
        <v>96</v>
      </c>
      <c r="BL39" s="658"/>
      <c r="BM39" s="658"/>
      <c r="BN39" s="665"/>
      <c r="BO39" s="663">
        <v>6</v>
      </c>
      <c r="BP39" s="659"/>
      <c r="BQ39" s="659"/>
      <c r="BR39" s="659"/>
      <c r="BS39" s="659"/>
      <c r="BT39" s="659"/>
      <c r="BU39" s="659"/>
      <c r="BV39" s="659"/>
      <c r="BW39" s="659"/>
      <c r="BX39" s="659"/>
      <c r="BY39" s="659"/>
      <c r="BZ39" s="659"/>
      <c r="CA39" s="659"/>
      <c r="CB39" s="659"/>
      <c r="CC39" s="659"/>
      <c r="CD39" s="659"/>
      <c r="CE39" s="659"/>
      <c r="CF39" s="659"/>
      <c r="CG39" s="659"/>
      <c r="CH39" s="659"/>
      <c r="CI39" s="659"/>
      <c r="CJ39" s="659"/>
      <c r="CK39" s="659"/>
      <c r="CL39" s="659"/>
      <c r="CM39" s="659"/>
      <c r="CN39" s="659"/>
      <c r="CO39" s="659"/>
      <c r="CP39" s="659"/>
      <c r="CQ39" s="659"/>
      <c r="CR39" s="659"/>
      <c r="CS39" s="659"/>
      <c r="CT39" s="659"/>
      <c r="CU39" s="659"/>
      <c r="CV39" s="659"/>
      <c r="CW39" s="659"/>
      <c r="CX39" s="659"/>
      <c r="CY39" s="659"/>
      <c r="CZ39" s="659"/>
      <c r="DA39" s="659"/>
      <c r="DB39" s="662"/>
      <c r="DC39" s="663">
        <v>4</v>
      </c>
      <c r="DD39" s="659"/>
      <c r="DE39" s="659"/>
      <c r="DF39" s="659"/>
      <c r="DG39" s="659"/>
      <c r="DH39" s="659"/>
      <c r="DI39" s="659"/>
      <c r="DJ39" s="659"/>
      <c r="DK39" s="659"/>
      <c r="DL39" s="659"/>
      <c r="DM39" s="659"/>
      <c r="DN39" s="659"/>
      <c r="DO39" s="659"/>
      <c r="DP39" s="659"/>
      <c r="DQ39" s="659"/>
      <c r="DR39" s="659"/>
      <c r="DS39" s="659"/>
      <c r="DT39" s="659"/>
      <c r="DU39" s="659"/>
      <c r="DV39" s="659"/>
      <c r="DW39" s="659"/>
      <c r="DX39" s="659"/>
      <c r="DY39" s="659"/>
      <c r="DZ39" s="659"/>
      <c r="EA39" s="653"/>
      <c r="EB39" s="653"/>
      <c r="EC39" s="653"/>
      <c r="ED39" s="653"/>
      <c r="EE39" s="653"/>
      <c r="EF39" s="653"/>
      <c r="EG39" s="653"/>
      <c r="EH39" s="653"/>
      <c r="EI39" s="653"/>
      <c r="EJ39" s="653"/>
      <c r="EK39" s="653"/>
      <c r="EL39" s="653"/>
      <c r="EM39" s="653"/>
      <c r="EN39" s="653"/>
      <c r="EO39" s="653"/>
      <c r="EP39" s="654"/>
      <c r="EQ39" s="626">
        <f t="shared" si="12"/>
        <v>4</v>
      </c>
      <c r="ER39" s="627"/>
      <c r="ES39" s="619"/>
    </row>
    <row r="40" spans="1:155" ht="69.95" customHeight="1" x14ac:dyDescent="0.2">
      <c r="A40" s="59" t="s">
        <v>92</v>
      </c>
      <c r="B40" s="97" t="s">
        <v>126</v>
      </c>
      <c r="C40" s="426" t="s">
        <v>78</v>
      </c>
      <c r="D40" s="426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Z40" s="658">
        <f t="shared" si="9"/>
        <v>300</v>
      </c>
      <c r="AA40" s="658"/>
      <c r="AB40" s="658"/>
      <c r="AC40" s="658"/>
      <c r="AD40" s="659"/>
      <c r="AE40" s="659"/>
      <c r="AF40" s="659"/>
      <c r="AG40" s="660">
        <f t="shared" si="10"/>
        <v>50</v>
      </c>
      <c r="AH40" s="660"/>
      <c r="AI40" s="660"/>
      <c r="AJ40" s="660"/>
      <c r="AK40" s="660"/>
      <c r="AL40" s="661">
        <v>32</v>
      </c>
      <c r="AM40" s="661"/>
      <c r="AN40" s="661"/>
      <c r="AO40" s="661"/>
      <c r="AP40" s="661"/>
      <c r="AQ40" s="661"/>
      <c r="AR40" s="661"/>
      <c r="AS40" s="661"/>
      <c r="AT40" s="661"/>
      <c r="AU40" s="661"/>
      <c r="AV40" s="661">
        <v>18</v>
      </c>
      <c r="AW40" s="661"/>
      <c r="AX40" s="661"/>
      <c r="AY40" s="661"/>
      <c r="AZ40" s="661"/>
      <c r="BA40" s="664"/>
      <c r="BB40" s="664"/>
      <c r="BC40" s="664"/>
      <c r="BD40" s="664"/>
      <c r="BE40" s="664"/>
      <c r="BF40" s="664"/>
      <c r="BG40" s="664"/>
      <c r="BH40" s="664"/>
      <c r="BI40" s="664"/>
      <c r="BJ40" s="664"/>
      <c r="BK40" s="658">
        <f t="shared" si="11"/>
        <v>250</v>
      </c>
      <c r="BL40" s="658"/>
      <c r="BM40" s="658"/>
      <c r="BN40" s="665"/>
      <c r="BO40" s="663">
        <v>12</v>
      </c>
      <c r="BP40" s="659"/>
      <c r="BQ40" s="659"/>
      <c r="BR40" s="659"/>
      <c r="BS40" s="659"/>
      <c r="BT40" s="659"/>
      <c r="BU40" s="659"/>
      <c r="BV40" s="659"/>
      <c r="BW40" s="659"/>
      <c r="BX40" s="659"/>
      <c r="BY40" s="659"/>
      <c r="BZ40" s="659"/>
      <c r="CA40" s="659"/>
      <c r="CB40" s="659"/>
      <c r="CC40" s="659"/>
      <c r="CD40" s="659"/>
      <c r="CE40" s="659"/>
      <c r="CF40" s="659"/>
      <c r="CG40" s="659"/>
      <c r="CH40" s="659"/>
      <c r="CI40" s="659"/>
      <c r="CJ40" s="659"/>
      <c r="CK40" s="659"/>
      <c r="CL40" s="659"/>
      <c r="CM40" s="659"/>
      <c r="CN40" s="659"/>
      <c r="CO40" s="659"/>
      <c r="CP40" s="659"/>
      <c r="CQ40" s="659"/>
      <c r="CR40" s="659"/>
      <c r="CS40" s="659"/>
      <c r="CT40" s="659"/>
      <c r="CU40" s="659"/>
      <c r="CV40" s="659"/>
      <c r="CW40" s="659"/>
      <c r="CX40" s="659"/>
      <c r="CY40" s="659"/>
      <c r="CZ40" s="659"/>
      <c r="DA40" s="659"/>
      <c r="DB40" s="662"/>
      <c r="DC40" s="663">
        <v>10</v>
      </c>
      <c r="DD40" s="659"/>
      <c r="DE40" s="659"/>
      <c r="DF40" s="659"/>
      <c r="DG40" s="659"/>
      <c r="DH40" s="659"/>
      <c r="DI40" s="659"/>
      <c r="DJ40" s="659"/>
      <c r="DK40" s="659"/>
      <c r="DL40" s="659"/>
      <c r="DM40" s="659"/>
      <c r="DN40" s="659"/>
      <c r="DO40" s="659"/>
      <c r="DP40" s="659"/>
      <c r="DQ40" s="659"/>
      <c r="DR40" s="659"/>
      <c r="DS40" s="659"/>
      <c r="DT40" s="659"/>
      <c r="DU40" s="659"/>
      <c r="DV40" s="659"/>
      <c r="DW40" s="659"/>
      <c r="DX40" s="659"/>
      <c r="DY40" s="659"/>
      <c r="DZ40" s="659"/>
      <c r="EA40" s="653"/>
      <c r="EB40" s="653"/>
      <c r="EC40" s="653"/>
      <c r="ED40" s="653"/>
      <c r="EE40" s="653"/>
      <c r="EF40" s="653"/>
      <c r="EG40" s="653"/>
      <c r="EH40" s="653"/>
      <c r="EI40" s="653"/>
      <c r="EJ40" s="653"/>
      <c r="EK40" s="653"/>
      <c r="EL40" s="653"/>
      <c r="EM40" s="653"/>
      <c r="EN40" s="653"/>
      <c r="EO40" s="653"/>
      <c r="EP40" s="654"/>
      <c r="EQ40" s="626">
        <f t="shared" si="12"/>
        <v>10</v>
      </c>
      <c r="ER40" s="627"/>
      <c r="ES40" s="619"/>
      <c r="ET40" s="172" t="s">
        <v>262</v>
      </c>
    </row>
    <row r="41" spans="1:155" ht="69.95" customHeight="1" x14ac:dyDescent="0.2">
      <c r="A41" s="59" t="s">
        <v>93</v>
      </c>
      <c r="B41" s="97" t="s">
        <v>72</v>
      </c>
      <c r="C41" s="426" t="s">
        <v>79</v>
      </c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  <c r="Z41" s="658">
        <f t="shared" si="9"/>
        <v>120</v>
      </c>
      <c r="AA41" s="658"/>
      <c r="AB41" s="658"/>
      <c r="AC41" s="658"/>
      <c r="AD41" s="659"/>
      <c r="AE41" s="659"/>
      <c r="AF41" s="659"/>
      <c r="AG41" s="660">
        <f t="shared" si="10"/>
        <v>24</v>
      </c>
      <c r="AH41" s="660"/>
      <c r="AI41" s="660"/>
      <c r="AJ41" s="660"/>
      <c r="AK41" s="660"/>
      <c r="AL41" s="661">
        <v>18</v>
      </c>
      <c r="AM41" s="661"/>
      <c r="AN41" s="661"/>
      <c r="AO41" s="661"/>
      <c r="AP41" s="661"/>
      <c r="AQ41" s="661"/>
      <c r="AR41" s="661"/>
      <c r="AS41" s="661"/>
      <c r="AT41" s="661"/>
      <c r="AU41" s="661"/>
      <c r="AV41" s="661">
        <v>6</v>
      </c>
      <c r="AW41" s="661"/>
      <c r="AX41" s="661"/>
      <c r="AY41" s="661"/>
      <c r="AZ41" s="661"/>
      <c r="BA41" s="664"/>
      <c r="BB41" s="664"/>
      <c r="BC41" s="664"/>
      <c r="BD41" s="664"/>
      <c r="BE41" s="664"/>
      <c r="BF41" s="664"/>
      <c r="BG41" s="664"/>
      <c r="BH41" s="664"/>
      <c r="BI41" s="664"/>
      <c r="BJ41" s="664"/>
      <c r="BK41" s="658">
        <f t="shared" si="11"/>
        <v>96</v>
      </c>
      <c r="BL41" s="658"/>
      <c r="BM41" s="658"/>
      <c r="BN41" s="665"/>
      <c r="BO41" s="663"/>
      <c r="BP41" s="659"/>
      <c r="BQ41" s="659"/>
      <c r="BR41" s="659"/>
      <c r="BS41" s="659">
        <v>8</v>
      </c>
      <c r="BT41" s="659"/>
      <c r="BU41" s="659"/>
      <c r="BV41" s="659"/>
      <c r="BW41" s="659"/>
      <c r="BX41" s="659"/>
      <c r="BY41" s="659"/>
      <c r="BZ41" s="659"/>
      <c r="CA41" s="659"/>
      <c r="CB41" s="659"/>
      <c r="CC41" s="659"/>
      <c r="CD41" s="659"/>
      <c r="CE41" s="659"/>
      <c r="CF41" s="659"/>
      <c r="CG41" s="659"/>
      <c r="CH41" s="659"/>
      <c r="CI41" s="659"/>
      <c r="CJ41" s="659"/>
      <c r="CK41" s="659"/>
      <c r="CL41" s="659"/>
      <c r="CM41" s="659"/>
      <c r="CN41" s="659"/>
      <c r="CO41" s="659"/>
      <c r="CP41" s="659"/>
      <c r="CQ41" s="659"/>
      <c r="CR41" s="659"/>
      <c r="CS41" s="659"/>
      <c r="CT41" s="659"/>
      <c r="CU41" s="659"/>
      <c r="CV41" s="659"/>
      <c r="CW41" s="659"/>
      <c r="CX41" s="659"/>
      <c r="CY41" s="659"/>
      <c r="CZ41" s="659"/>
      <c r="DA41" s="659"/>
      <c r="DB41" s="662"/>
      <c r="DC41" s="663"/>
      <c r="DD41" s="659"/>
      <c r="DE41" s="659"/>
      <c r="DF41" s="659"/>
      <c r="DG41" s="659">
        <v>4</v>
      </c>
      <c r="DH41" s="659"/>
      <c r="DI41" s="659"/>
      <c r="DJ41" s="659"/>
      <c r="DK41" s="659"/>
      <c r="DL41" s="659"/>
      <c r="DM41" s="659"/>
      <c r="DN41" s="659"/>
      <c r="DO41" s="659"/>
      <c r="DP41" s="659"/>
      <c r="DQ41" s="659"/>
      <c r="DR41" s="659"/>
      <c r="DS41" s="659"/>
      <c r="DT41" s="659"/>
      <c r="DU41" s="659"/>
      <c r="DV41" s="659"/>
      <c r="DW41" s="659"/>
      <c r="DX41" s="659"/>
      <c r="DY41" s="659"/>
      <c r="DZ41" s="659"/>
      <c r="EA41" s="653"/>
      <c r="EB41" s="653"/>
      <c r="EC41" s="653"/>
      <c r="ED41" s="653"/>
      <c r="EE41" s="653"/>
      <c r="EF41" s="653"/>
      <c r="EG41" s="653"/>
      <c r="EH41" s="653"/>
      <c r="EI41" s="653"/>
      <c r="EJ41" s="653"/>
      <c r="EK41" s="653"/>
      <c r="EL41" s="653"/>
      <c r="EM41" s="653"/>
      <c r="EN41" s="653"/>
      <c r="EO41" s="653"/>
      <c r="EP41" s="654"/>
      <c r="EQ41" s="626">
        <f t="shared" si="12"/>
        <v>4</v>
      </c>
      <c r="ER41" s="627"/>
      <c r="ES41" s="619"/>
      <c r="ET41" s="172" t="s">
        <v>262</v>
      </c>
    </row>
    <row r="42" spans="1:155" ht="90" customHeight="1" x14ac:dyDescent="0.2">
      <c r="A42" s="59" t="s">
        <v>94</v>
      </c>
      <c r="B42" s="97" t="s">
        <v>127</v>
      </c>
      <c r="C42" s="426" t="s">
        <v>122</v>
      </c>
      <c r="D42" s="426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Z42" s="658">
        <f t="shared" si="9"/>
        <v>120</v>
      </c>
      <c r="AA42" s="658"/>
      <c r="AB42" s="658"/>
      <c r="AC42" s="658"/>
      <c r="AD42" s="659"/>
      <c r="AE42" s="659"/>
      <c r="AF42" s="659"/>
      <c r="AG42" s="660">
        <f t="shared" si="10"/>
        <v>24</v>
      </c>
      <c r="AH42" s="660"/>
      <c r="AI42" s="660"/>
      <c r="AJ42" s="660"/>
      <c r="AK42" s="660"/>
      <c r="AL42" s="661">
        <v>12</v>
      </c>
      <c r="AM42" s="661"/>
      <c r="AN42" s="661"/>
      <c r="AO42" s="661"/>
      <c r="AP42" s="661"/>
      <c r="AQ42" s="661"/>
      <c r="AR42" s="661"/>
      <c r="AS42" s="661"/>
      <c r="AT42" s="661"/>
      <c r="AU42" s="661"/>
      <c r="AV42" s="661">
        <v>12</v>
      </c>
      <c r="AW42" s="661"/>
      <c r="AX42" s="661"/>
      <c r="AY42" s="661"/>
      <c r="AZ42" s="661"/>
      <c r="BA42" s="664"/>
      <c r="BB42" s="664"/>
      <c r="BC42" s="664"/>
      <c r="BD42" s="664"/>
      <c r="BE42" s="664"/>
      <c r="BF42" s="664"/>
      <c r="BG42" s="664"/>
      <c r="BH42" s="664"/>
      <c r="BI42" s="664"/>
      <c r="BJ42" s="664"/>
      <c r="BK42" s="658">
        <f t="shared" si="11"/>
        <v>96</v>
      </c>
      <c r="BL42" s="658"/>
      <c r="BM42" s="658"/>
      <c r="BN42" s="665"/>
      <c r="BO42" s="663"/>
      <c r="BP42" s="659"/>
      <c r="BQ42" s="659"/>
      <c r="BR42" s="659"/>
      <c r="BS42" s="659">
        <v>8</v>
      </c>
      <c r="BT42" s="659"/>
      <c r="BU42" s="659"/>
      <c r="BV42" s="659"/>
      <c r="BW42" s="659"/>
      <c r="BX42" s="659"/>
      <c r="BY42" s="659"/>
      <c r="BZ42" s="659"/>
      <c r="CA42" s="659"/>
      <c r="CB42" s="659"/>
      <c r="CC42" s="659"/>
      <c r="CD42" s="659"/>
      <c r="CE42" s="659"/>
      <c r="CF42" s="659"/>
      <c r="CG42" s="659"/>
      <c r="CH42" s="659"/>
      <c r="CI42" s="659"/>
      <c r="CJ42" s="659"/>
      <c r="CK42" s="659"/>
      <c r="CL42" s="659"/>
      <c r="CM42" s="659"/>
      <c r="CN42" s="659"/>
      <c r="CO42" s="659"/>
      <c r="CP42" s="659"/>
      <c r="CQ42" s="659"/>
      <c r="CR42" s="659"/>
      <c r="CS42" s="659"/>
      <c r="CT42" s="659"/>
      <c r="CU42" s="659"/>
      <c r="CV42" s="659"/>
      <c r="CW42" s="659"/>
      <c r="CX42" s="659"/>
      <c r="CY42" s="659"/>
      <c r="CZ42" s="659"/>
      <c r="DA42" s="659"/>
      <c r="DB42" s="662"/>
      <c r="DC42" s="663"/>
      <c r="DD42" s="659"/>
      <c r="DE42" s="659"/>
      <c r="DF42" s="659"/>
      <c r="DG42" s="659">
        <v>4</v>
      </c>
      <c r="DH42" s="659"/>
      <c r="DI42" s="659"/>
      <c r="DJ42" s="659"/>
      <c r="DK42" s="659"/>
      <c r="DL42" s="659"/>
      <c r="DM42" s="659"/>
      <c r="DN42" s="659"/>
      <c r="DO42" s="659"/>
      <c r="DP42" s="659"/>
      <c r="DQ42" s="659"/>
      <c r="DR42" s="659"/>
      <c r="DS42" s="659"/>
      <c r="DT42" s="659"/>
      <c r="DU42" s="659"/>
      <c r="DV42" s="659"/>
      <c r="DW42" s="659"/>
      <c r="DX42" s="659"/>
      <c r="DY42" s="659"/>
      <c r="DZ42" s="659"/>
      <c r="EA42" s="653"/>
      <c r="EB42" s="653"/>
      <c r="EC42" s="653"/>
      <c r="ED42" s="653"/>
      <c r="EE42" s="653"/>
      <c r="EF42" s="653"/>
      <c r="EG42" s="653"/>
      <c r="EH42" s="653"/>
      <c r="EI42" s="653"/>
      <c r="EJ42" s="653"/>
      <c r="EK42" s="653"/>
      <c r="EL42" s="653"/>
      <c r="EM42" s="653"/>
      <c r="EN42" s="653"/>
      <c r="EO42" s="653"/>
      <c r="EP42" s="654"/>
      <c r="EQ42" s="626">
        <f t="shared" si="12"/>
        <v>4</v>
      </c>
      <c r="ER42" s="627"/>
      <c r="ES42" s="619"/>
      <c r="ET42" s="172" t="s">
        <v>262</v>
      </c>
    </row>
    <row r="43" spans="1:155" ht="69.95" customHeight="1" x14ac:dyDescent="0.2">
      <c r="A43" s="59" t="s">
        <v>95</v>
      </c>
      <c r="B43" s="97" t="s">
        <v>128</v>
      </c>
      <c r="C43" s="426" t="s">
        <v>123</v>
      </c>
      <c r="D43" s="426"/>
      <c r="E43" s="426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  <c r="Z43" s="658">
        <f t="shared" si="9"/>
        <v>150</v>
      </c>
      <c r="AA43" s="658"/>
      <c r="AB43" s="658"/>
      <c r="AC43" s="658"/>
      <c r="AD43" s="659"/>
      <c r="AE43" s="659"/>
      <c r="AF43" s="659"/>
      <c r="AG43" s="660">
        <f t="shared" si="10"/>
        <v>22</v>
      </c>
      <c r="AH43" s="660"/>
      <c r="AI43" s="660"/>
      <c r="AJ43" s="660"/>
      <c r="AK43" s="660"/>
      <c r="AL43" s="661">
        <v>12</v>
      </c>
      <c r="AM43" s="661"/>
      <c r="AN43" s="661"/>
      <c r="AO43" s="661"/>
      <c r="AP43" s="661"/>
      <c r="AQ43" s="661"/>
      <c r="AR43" s="661"/>
      <c r="AS43" s="661"/>
      <c r="AT43" s="661"/>
      <c r="AU43" s="661"/>
      <c r="AV43" s="661">
        <v>10</v>
      </c>
      <c r="AW43" s="661"/>
      <c r="AX43" s="661"/>
      <c r="AY43" s="661"/>
      <c r="AZ43" s="661"/>
      <c r="BA43" s="664"/>
      <c r="BB43" s="664"/>
      <c r="BC43" s="664"/>
      <c r="BD43" s="664"/>
      <c r="BE43" s="664"/>
      <c r="BF43" s="664"/>
      <c r="BG43" s="664"/>
      <c r="BH43" s="664"/>
      <c r="BI43" s="664"/>
      <c r="BJ43" s="664"/>
      <c r="BK43" s="658">
        <f t="shared" si="11"/>
        <v>128</v>
      </c>
      <c r="BL43" s="658"/>
      <c r="BM43" s="658"/>
      <c r="BN43" s="665"/>
      <c r="BO43" s="663"/>
      <c r="BP43" s="659"/>
      <c r="BQ43" s="659"/>
      <c r="BR43" s="659"/>
      <c r="BS43" s="659">
        <v>8</v>
      </c>
      <c r="BT43" s="659"/>
      <c r="BU43" s="659"/>
      <c r="BV43" s="659"/>
      <c r="BW43" s="659"/>
      <c r="BX43" s="659"/>
      <c r="BY43" s="659"/>
      <c r="BZ43" s="659"/>
      <c r="CA43" s="659"/>
      <c r="CB43" s="659"/>
      <c r="CC43" s="659"/>
      <c r="CD43" s="659"/>
      <c r="CE43" s="659"/>
      <c r="CF43" s="659"/>
      <c r="CG43" s="659"/>
      <c r="CH43" s="659"/>
      <c r="CI43" s="659"/>
      <c r="CJ43" s="659"/>
      <c r="CK43" s="659"/>
      <c r="CL43" s="659"/>
      <c r="CM43" s="659"/>
      <c r="CN43" s="659"/>
      <c r="CO43" s="659"/>
      <c r="CP43" s="659"/>
      <c r="CQ43" s="659"/>
      <c r="CR43" s="659"/>
      <c r="CS43" s="659"/>
      <c r="CT43" s="659"/>
      <c r="CU43" s="659"/>
      <c r="CV43" s="659"/>
      <c r="CW43" s="659"/>
      <c r="CX43" s="659"/>
      <c r="CY43" s="659"/>
      <c r="CZ43" s="659"/>
      <c r="DA43" s="659"/>
      <c r="DB43" s="662"/>
      <c r="DC43" s="663"/>
      <c r="DD43" s="659"/>
      <c r="DE43" s="659"/>
      <c r="DF43" s="659"/>
      <c r="DG43" s="659">
        <v>5</v>
      </c>
      <c r="DH43" s="659"/>
      <c r="DI43" s="659"/>
      <c r="DJ43" s="659"/>
      <c r="DK43" s="659"/>
      <c r="DL43" s="659"/>
      <c r="DM43" s="659"/>
      <c r="DN43" s="659"/>
      <c r="DO43" s="659"/>
      <c r="DP43" s="659"/>
      <c r="DQ43" s="659"/>
      <c r="DR43" s="659"/>
      <c r="DS43" s="659"/>
      <c r="DT43" s="659"/>
      <c r="DU43" s="659"/>
      <c r="DV43" s="659"/>
      <c r="DW43" s="659"/>
      <c r="DX43" s="659"/>
      <c r="DY43" s="659"/>
      <c r="DZ43" s="659"/>
      <c r="EA43" s="653"/>
      <c r="EB43" s="653"/>
      <c r="EC43" s="653"/>
      <c r="ED43" s="653"/>
      <c r="EE43" s="653"/>
      <c r="EF43" s="653"/>
      <c r="EG43" s="653"/>
      <c r="EH43" s="653"/>
      <c r="EI43" s="653"/>
      <c r="EJ43" s="653"/>
      <c r="EK43" s="653"/>
      <c r="EL43" s="653"/>
      <c r="EM43" s="653"/>
      <c r="EN43" s="653"/>
      <c r="EO43" s="653"/>
      <c r="EP43" s="654"/>
      <c r="EQ43" s="626">
        <f t="shared" si="12"/>
        <v>5</v>
      </c>
      <c r="ER43" s="627"/>
      <c r="ES43" s="619"/>
    </row>
    <row r="44" spans="1:155" ht="69.95" customHeight="1" x14ac:dyDescent="0.2">
      <c r="A44" s="59" t="s">
        <v>96</v>
      </c>
      <c r="B44" s="97" t="s">
        <v>131</v>
      </c>
      <c r="C44" s="426" t="s">
        <v>155</v>
      </c>
      <c r="D44" s="426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Z44" s="658">
        <f t="shared" si="9"/>
        <v>240</v>
      </c>
      <c r="AA44" s="658"/>
      <c r="AB44" s="658"/>
      <c r="AC44" s="658"/>
      <c r="AD44" s="659"/>
      <c r="AE44" s="659"/>
      <c r="AF44" s="659"/>
      <c r="AG44" s="660">
        <f t="shared" si="10"/>
        <v>34</v>
      </c>
      <c r="AH44" s="660"/>
      <c r="AI44" s="660"/>
      <c r="AJ44" s="660"/>
      <c r="AK44" s="660"/>
      <c r="AL44" s="661"/>
      <c r="AM44" s="661"/>
      <c r="AN44" s="661"/>
      <c r="AO44" s="661"/>
      <c r="AP44" s="661"/>
      <c r="AQ44" s="661">
        <v>20</v>
      </c>
      <c r="AR44" s="661"/>
      <c r="AS44" s="661"/>
      <c r="AT44" s="661"/>
      <c r="AU44" s="661"/>
      <c r="AV44" s="661">
        <v>14</v>
      </c>
      <c r="AW44" s="661"/>
      <c r="AX44" s="661"/>
      <c r="AY44" s="661"/>
      <c r="AZ44" s="661"/>
      <c r="BA44" s="664"/>
      <c r="BB44" s="664"/>
      <c r="BC44" s="664"/>
      <c r="BD44" s="664"/>
      <c r="BE44" s="664"/>
      <c r="BF44" s="664"/>
      <c r="BG44" s="664"/>
      <c r="BH44" s="664"/>
      <c r="BI44" s="664"/>
      <c r="BJ44" s="664"/>
      <c r="BK44" s="658">
        <f t="shared" si="11"/>
        <v>206</v>
      </c>
      <c r="BL44" s="658"/>
      <c r="BM44" s="658"/>
      <c r="BN44" s="665"/>
      <c r="BO44" s="663"/>
      <c r="BP44" s="659"/>
      <c r="BQ44" s="659"/>
      <c r="BR44" s="659"/>
      <c r="BS44" s="659"/>
      <c r="BT44" s="659"/>
      <c r="BU44" s="659"/>
      <c r="BV44" s="659"/>
      <c r="BW44" s="659">
        <v>6</v>
      </c>
      <c r="BX44" s="659"/>
      <c r="BY44" s="659"/>
      <c r="BZ44" s="659"/>
      <c r="CA44" s="659">
        <v>6</v>
      </c>
      <c r="CB44" s="659"/>
      <c r="CC44" s="659"/>
      <c r="CD44" s="659"/>
      <c r="CE44" s="659"/>
      <c r="CF44" s="659"/>
      <c r="CG44" s="659"/>
      <c r="CH44" s="659"/>
      <c r="CI44" s="659"/>
      <c r="CJ44" s="659"/>
      <c r="CK44" s="659"/>
      <c r="CL44" s="659"/>
      <c r="CM44" s="659"/>
      <c r="CN44" s="659"/>
      <c r="CO44" s="659"/>
      <c r="CP44" s="659"/>
      <c r="CQ44" s="659"/>
      <c r="CR44" s="659"/>
      <c r="CS44" s="659"/>
      <c r="CT44" s="659"/>
      <c r="CU44" s="659"/>
      <c r="CV44" s="659"/>
      <c r="CW44" s="659"/>
      <c r="CX44" s="659"/>
      <c r="CY44" s="659"/>
      <c r="CZ44" s="659"/>
      <c r="DA44" s="659"/>
      <c r="DB44" s="662"/>
      <c r="DC44" s="663"/>
      <c r="DD44" s="659"/>
      <c r="DE44" s="659"/>
      <c r="DF44" s="659"/>
      <c r="DG44" s="659"/>
      <c r="DH44" s="659"/>
      <c r="DI44" s="659"/>
      <c r="DJ44" s="659"/>
      <c r="DK44" s="659">
        <v>4</v>
      </c>
      <c r="DL44" s="659"/>
      <c r="DM44" s="659"/>
      <c r="DN44" s="659"/>
      <c r="DO44" s="659">
        <v>4</v>
      </c>
      <c r="DP44" s="659"/>
      <c r="DQ44" s="659"/>
      <c r="DR44" s="659"/>
      <c r="DS44" s="659"/>
      <c r="DT44" s="659"/>
      <c r="DU44" s="659"/>
      <c r="DV44" s="659"/>
      <c r="DW44" s="659"/>
      <c r="DX44" s="659"/>
      <c r="DY44" s="659"/>
      <c r="DZ44" s="659"/>
      <c r="EA44" s="653"/>
      <c r="EB44" s="653"/>
      <c r="EC44" s="653"/>
      <c r="ED44" s="653"/>
      <c r="EE44" s="653"/>
      <c r="EF44" s="653"/>
      <c r="EG44" s="653"/>
      <c r="EH44" s="653"/>
      <c r="EI44" s="653"/>
      <c r="EJ44" s="653"/>
      <c r="EK44" s="653"/>
      <c r="EL44" s="653"/>
      <c r="EM44" s="653"/>
      <c r="EN44" s="653"/>
      <c r="EO44" s="653"/>
      <c r="EP44" s="654"/>
      <c r="EQ44" s="626">
        <f t="shared" si="12"/>
        <v>8</v>
      </c>
      <c r="ER44" s="627"/>
      <c r="ES44" s="619"/>
      <c r="ET44" s="137" t="s">
        <v>216</v>
      </c>
      <c r="EU44" s="96"/>
      <c r="EV44" s="96"/>
      <c r="EW44" s="96"/>
      <c r="EX44" s="96"/>
      <c r="EY44" s="96"/>
    </row>
    <row r="45" spans="1:155" s="98" customFormat="1" ht="69.95" customHeight="1" x14ac:dyDescent="0.2">
      <c r="A45" s="99" t="s">
        <v>97</v>
      </c>
      <c r="B45" s="97" t="s">
        <v>154</v>
      </c>
      <c r="C45" s="426" t="s">
        <v>153</v>
      </c>
      <c r="D45" s="426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  <c r="Z45" s="658">
        <f t="shared" si="9"/>
        <v>480</v>
      </c>
      <c r="AA45" s="658"/>
      <c r="AB45" s="658"/>
      <c r="AC45" s="658"/>
      <c r="AD45" s="659"/>
      <c r="AE45" s="659"/>
      <c r="AF45" s="659"/>
      <c r="AG45" s="660">
        <f t="shared" si="10"/>
        <v>60</v>
      </c>
      <c r="AH45" s="660"/>
      <c r="AI45" s="660"/>
      <c r="AJ45" s="660"/>
      <c r="AK45" s="660"/>
      <c r="AL45" s="661">
        <v>34</v>
      </c>
      <c r="AM45" s="661"/>
      <c r="AN45" s="661"/>
      <c r="AO45" s="661"/>
      <c r="AP45" s="661"/>
      <c r="AQ45" s="661">
        <v>18</v>
      </c>
      <c r="AR45" s="661"/>
      <c r="AS45" s="661"/>
      <c r="AT45" s="661"/>
      <c r="AU45" s="661"/>
      <c r="AV45" s="661">
        <v>8</v>
      </c>
      <c r="AW45" s="661"/>
      <c r="AX45" s="661"/>
      <c r="AY45" s="661"/>
      <c r="AZ45" s="661"/>
      <c r="BA45" s="664"/>
      <c r="BB45" s="664"/>
      <c r="BC45" s="664"/>
      <c r="BD45" s="664"/>
      <c r="BE45" s="664"/>
      <c r="BF45" s="664" t="s">
        <v>229</v>
      </c>
      <c r="BG45" s="664"/>
      <c r="BH45" s="664"/>
      <c r="BI45" s="664"/>
      <c r="BJ45" s="664"/>
      <c r="BK45" s="658">
        <f t="shared" si="11"/>
        <v>420</v>
      </c>
      <c r="BL45" s="658"/>
      <c r="BM45" s="658"/>
      <c r="BN45" s="665"/>
      <c r="BO45" s="663"/>
      <c r="BP45" s="659"/>
      <c r="BQ45" s="659"/>
      <c r="BR45" s="659"/>
      <c r="BS45" s="659"/>
      <c r="BT45" s="659"/>
      <c r="BU45" s="659"/>
      <c r="BV45" s="659"/>
      <c r="BW45" s="659">
        <v>4</v>
      </c>
      <c r="BX45" s="659"/>
      <c r="BY45" s="659"/>
      <c r="BZ45" s="659"/>
      <c r="CA45" s="659">
        <v>5</v>
      </c>
      <c r="CB45" s="659"/>
      <c r="CC45" s="659"/>
      <c r="CD45" s="659"/>
      <c r="CE45" s="659">
        <v>5</v>
      </c>
      <c r="CF45" s="659"/>
      <c r="CG45" s="659"/>
      <c r="CH45" s="659"/>
      <c r="CI45" s="659">
        <v>5</v>
      </c>
      <c r="CJ45" s="659"/>
      <c r="CK45" s="659"/>
      <c r="CL45" s="659"/>
      <c r="CM45" s="659"/>
      <c r="CN45" s="659"/>
      <c r="CO45" s="659"/>
      <c r="CP45" s="659"/>
      <c r="CQ45" s="659"/>
      <c r="CR45" s="659"/>
      <c r="CS45" s="659"/>
      <c r="CT45" s="659"/>
      <c r="CU45" s="659"/>
      <c r="CV45" s="659"/>
      <c r="CW45" s="659"/>
      <c r="CX45" s="659"/>
      <c r="CY45" s="659"/>
      <c r="CZ45" s="659"/>
      <c r="DA45" s="659"/>
      <c r="DB45" s="662"/>
      <c r="DC45" s="663"/>
      <c r="DD45" s="659"/>
      <c r="DE45" s="659"/>
      <c r="DF45" s="659"/>
      <c r="DG45" s="659"/>
      <c r="DH45" s="659"/>
      <c r="DI45" s="659"/>
      <c r="DJ45" s="659"/>
      <c r="DK45" s="659">
        <v>4</v>
      </c>
      <c r="DL45" s="659"/>
      <c r="DM45" s="659"/>
      <c r="DN45" s="659"/>
      <c r="DO45" s="659">
        <v>4</v>
      </c>
      <c r="DP45" s="659"/>
      <c r="DQ45" s="659"/>
      <c r="DR45" s="659"/>
      <c r="DS45" s="659">
        <v>4</v>
      </c>
      <c r="DT45" s="659"/>
      <c r="DU45" s="659"/>
      <c r="DV45" s="659"/>
      <c r="DW45" s="659">
        <v>4</v>
      </c>
      <c r="DX45" s="659"/>
      <c r="DY45" s="659"/>
      <c r="DZ45" s="659"/>
      <c r="EA45" s="659"/>
      <c r="EB45" s="659"/>
      <c r="EC45" s="659"/>
      <c r="ED45" s="659"/>
      <c r="EE45" s="659"/>
      <c r="EF45" s="659"/>
      <c r="EG45" s="659"/>
      <c r="EH45" s="659"/>
      <c r="EI45" s="659"/>
      <c r="EJ45" s="659"/>
      <c r="EK45" s="659"/>
      <c r="EL45" s="659"/>
      <c r="EM45" s="659"/>
      <c r="EN45" s="659"/>
      <c r="EO45" s="659"/>
      <c r="EP45" s="662"/>
      <c r="EQ45" s="666">
        <f t="shared" si="12"/>
        <v>16</v>
      </c>
      <c r="ER45" s="667"/>
      <c r="ES45" s="668"/>
    </row>
    <row r="46" spans="1:155" s="98" customFormat="1" ht="90" customHeight="1" x14ac:dyDescent="0.2">
      <c r="A46" s="99" t="s">
        <v>4</v>
      </c>
      <c r="B46" s="97" t="s">
        <v>132</v>
      </c>
      <c r="C46" s="426" t="s">
        <v>87</v>
      </c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Z46" s="658">
        <f t="shared" si="9"/>
        <v>120</v>
      </c>
      <c r="AA46" s="658"/>
      <c r="AB46" s="658"/>
      <c r="AC46" s="658"/>
      <c r="AD46" s="659"/>
      <c r="AE46" s="659"/>
      <c r="AF46" s="659"/>
      <c r="AG46" s="660">
        <f t="shared" si="10"/>
        <v>16</v>
      </c>
      <c r="AH46" s="660"/>
      <c r="AI46" s="660"/>
      <c r="AJ46" s="660"/>
      <c r="AK46" s="660"/>
      <c r="AL46" s="661">
        <v>10</v>
      </c>
      <c r="AM46" s="661"/>
      <c r="AN46" s="661"/>
      <c r="AO46" s="661"/>
      <c r="AP46" s="661"/>
      <c r="AQ46" s="661">
        <v>6</v>
      </c>
      <c r="AR46" s="661"/>
      <c r="AS46" s="661"/>
      <c r="AT46" s="661"/>
      <c r="AU46" s="661"/>
      <c r="AV46" s="661"/>
      <c r="AW46" s="661"/>
      <c r="AX46" s="661"/>
      <c r="AY46" s="661"/>
      <c r="AZ46" s="661"/>
      <c r="BA46" s="664"/>
      <c r="BB46" s="664"/>
      <c r="BC46" s="664"/>
      <c r="BD46" s="664"/>
      <c r="BE46" s="664"/>
      <c r="BF46" s="664"/>
      <c r="BG46" s="664"/>
      <c r="BH46" s="664"/>
      <c r="BI46" s="664"/>
      <c r="BJ46" s="664"/>
      <c r="BK46" s="658">
        <f t="shared" si="11"/>
        <v>104</v>
      </c>
      <c r="BL46" s="658"/>
      <c r="BM46" s="658"/>
      <c r="BN46" s="665"/>
      <c r="BO46" s="663"/>
      <c r="BP46" s="659"/>
      <c r="BQ46" s="659"/>
      <c r="BR46" s="659"/>
      <c r="BS46" s="659"/>
      <c r="BT46" s="659"/>
      <c r="BU46" s="659"/>
      <c r="BV46" s="659"/>
      <c r="BW46" s="659"/>
      <c r="BX46" s="659"/>
      <c r="BY46" s="659"/>
      <c r="BZ46" s="659"/>
      <c r="CA46" s="659"/>
      <c r="CB46" s="659"/>
      <c r="CC46" s="659"/>
      <c r="CD46" s="659"/>
      <c r="CE46" s="659">
        <v>5</v>
      </c>
      <c r="CF46" s="659"/>
      <c r="CG46" s="659"/>
      <c r="CH46" s="659"/>
      <c r="CI46" s="659"/>
      <c r="CJ46" s="659"/>
      <c r="CK46" s="659"/>
      <c r="CL46" s="659"/>
      <c r="CM46" s="659"/>
      <c r="CN46" s="659"/>
      <c r="CO46" s="659"/>
      <c r="CP46" s="659"/>
      <c r="CQ46" s="659"/>
      <c r="CR46" s="659"/>
      <c r="CS46" s="659"/>
      <c r="CT46" s="659"/>
      <c r="CU46" s="659"/>
      <c r="CV46" s="659"/>
      <c r="CW46" s="659"/>
      <c r="CX46" s="659"/>
      <c r="CY46" s="659"/>
      <c r="CZ46" s="659"/>
      <c r="DA46" s="659"/>
      <c r="DB46" s="662"/>
      <c r="DC46" s="663"/>
      <c r="DD46" s="659"/>
      <c r="DE46" s="659"/>
      <c r="DF46" s="659"/>
      <c r="DG46" s="659"/>
      <c r="DH46" s="659"/>
      <c r="DI46" s="659"/>
      <c r="DJ46" s="659"/>
      <c r="DK46" s="659"/>
      <c r="DL46" s="659"/>
      <c r="DM46" s="659"/>
      <c r="DN46" s="659"/>
      <c r="DO46" s="659"/>
      <c r="DP46" s="659"/>
      <c r="DQ46" s="659"/>
      <c r="DR46" s="659"/>
      <c r="DS46" s="659">
        <v>4</v>
      </c>
      <c r="DT46" s="659"/>
      <c r="DU46" s="659"/>
      <c r="DV46" s="659"/>
      <c r="DW46" s="659"/>
      <c r="DX46" s="659"/>
      <c r="DY46" s="659"/>
      <c r="DZ46" s="659"/>
      <c r="EA46" s="659"/>
      <c r="EB46" s="659"/>
      <c r="EC46" s="659"/>
      <c r="ED46" s="659"/>
      <c r="EE46" s="659"/>
      <c r="EF46" s="659"/>
      <c r="EG46" s="659"/>
      <c r="EH46" s="659"/>
      <c r="EI46" s="659"/>
      <c r="EJ46" s="659"/>
      <c r="EK46" s="659"/>
      <c r="EL46" s="659"/>
      <c r="EM46" s="659"/>
      <c r="EN46" s="659"/>
      <c r="EO46" s="659"/>
      <c r="EP46" s="662"/>
      <c r="EQ46" s="666">
        <f t="shared" si="12"/>
        <v>4</v>
      </c>
      <c r="ER46" s="667"/>
      <c r="ES46" s="668"/>
    </row>
    <row r="47" spans="1:155" s="98" customFormat="1" ht="69.95" customHeight="1" x14ac:dyDescent="0.2">
      <c r="A47" s="99" t="s">
        <v>5</v>
      </c>
      <c r="B47" s="97" t="s">
        <v>133</v>
      </c>
      <c r="C47" s="426" t="s">
        <v>124</v>
      </c>
      <c r="D47" s="426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  <c r="Z47" s="658">
        <f t="shared" si="9"/>
        <v>180</v>
      </c>
      <c r="AA47" s="658"/>
      <c r="AB47" s="658"/>
      <c r="AC47" s="658"/>
      <c r="AD47" s="659"/>
      <c r="AE47" s="659"/>
      <c r="AF47" s="659"/>
      <c r="AG47" s="660">
        <f t="shared" si="10"/>
        <v>22</v>
      </c>
      <c r="AH47" s="660"/>
      <c r="AI47" s="660"/>
      <c r="AJ47" s="660"/>
      <c r="AK47" s="660"/>
      <c r="AL47" s="661">
        <v>14</v>
      </c>
      <c r="AM47" s="661"/>
      <c r="AN47" s="661"/>
      <c r="AO47" s="661"/>
      <c r="AP47" s="661"/>
      <c r="AQ47" s="661"/>
      <c r="AR47" s="661"/>
      <c r="AS47" s="661"/>
      <c r="AT47" s="661"/>
      <c r="AU47" s="661"/>
      <c r="AV47" s="661">
        <v>8</v>
      </c>
      <c r="AW47" s="661"/>
      <c r="AX47" s="661"/>
      <c r="AY47" s="661"/>
      <c r="AZ47" s="661"/>
      <c r="BA47" s="664"/>
      <c r="BB47" s="664"/>
      <c r="BC47" s="664"/>
      <c r="BD47" s="664"/>
      <c r="BE47" s="664"/>
      <c r="BF47" s="664"/>
      <c r="BG47" s="664"/>
      <c r="BH47" s="664"/>
      <c r="BI47" s="664"/>
      <c r="BJ47" s="664"/>
      <c r="BK47" s="658">
        <f t="shared" si="11"/>
        <v>158</v>
      </c>
      <c r="BL47" s="658"/>
      <c r="BM47" s="658"/>
      <c r="BN47" s="665"/>
      <c r="BO47" s="663"/>
      <c r="BP47" s="659"/>
      <c r="BQ47" s="659"/>
      <c r="BR47" s="659"/>
      <c r="BS47" s="659"/>
      <c r="BT47" s="659"/>
      <c r="BU47" s="659"/>
      <c r="BV47" s="659"/>
      <c r="BW47" s="659">
        <v>4</v>
      </c>
      <c r="BX47" s="659"/>
      <c r="BY47" s="659"/>
      <c r="BZ47" s="659"/>
      <c r="CA47" s="659">
        <v>3</v>
      </c>
      <c r="CB47" s="659"/>
      <c r="CC47" s="659"/>
      <c r="CD47" s="659"/>
      <c r="CE47" s="659"/>
      <c r="CF47" s="659"/>
      <c r="CG47" s="659"/>
      <c r="CH47" s="659"/>
      <c r="CI47" s="659"/>
      <c r="CJ47" s="659"/>
      <c r="CK47" s="659"/>
      <c r="CL47" s="659"/>
      <c r="CM47" s="659"/>
      <c r="CN47" s="659"/>
      <c r="CO47" s="659"/>
      <c r="CP47" s="659"/>
      <c r="CQ47" s="659"/>
      <c r="CR47" s="659"/>
      <c r="CS47" s="659"/>
      <c r="CT47" s="659"/>
      <c r="CU47" s="659"/>
      <c r="CV47" s="659"/>
      <c r="CW47" s="659"/>
      <c r="CX47" s="659"/>
      <c r="CY47" s="659"/>
      <c r="CZ47" s="659"/>
      <c r="DA47" s="659"/>
      <c r="DB47" s="662"/>
      <c r="DC47" s="663"/>
      <c r="DD47" s="659"/>
      <c r="DE47" s="659"/>
      <c r="DF47" s="659"/>
      <c r="DG47" s="659"/>
      <c r="DH47" s="659"/>
      <c r="DI47" s="659"/>
      <c r="DJ47" s="659"/>
      <c r="DK47" s="659">
        <v>4</v>
      </c>
      <c r="DL47" s="659"/>
      <c r="DM47" s="659"/>
      <c r="DN47" s="659"/>
      <c r="DO47" s="659">
        <v>2</v>
      </c>
      <c r="DP47" s="659"/>
      <c r="DQ47" s="659"/>
      <c r="DR47" s="659"/>
      <c r="DS47" s="659"/>
      <c r="DT47" s="659"/>
      <c r="DU47" s="659"/>
      <c r="DV47" s="659"/>
      <c r="DW47" s="659"/>
      <c r="DX47" s="659"/>
      <c r="DY47" s="659"/>
      <c r="DZ47" s="659"/>
      <c r="EA47" s="659"/>
      <c r="EB47" s="659"/>
      <c r="EC47" s="659"/>
      <c r="ED47" s="659"/>
      <c r="EE47" s="659"/>
      <c r="EF47" s="659"/>
      <c r="EG47" s="659"/>
      <c r="EH47" s="659"/>
      <c r="EI47" s="659"/>
      <c r="EJ47" s="659"/>
      <c r="EK47" s="659"/>
      <c r="EL47" s="659"/>
      <c r="EM47" s="659"/>
      <c r="EN47" s="659"/>
      <c r="EO47" s="659"/>
      <c r="EP47" s="662"/>
      <c r="EQ47" s="666">
        <f t="shared" si="12"/>
        <v>6</v>
      </c>
      <c r="ER47" s="667"/>
      <c r="ES47" s="668"/>
      <c r="ET47" s="136" t="s">
        <v>226</v>
      </c>
    </row>
    <row r="48" spans="1:155" s="98" customFormat="1" ht="69.95" customHeight="1" x14ac:dyDescent="0.2">
      <c r="A48" s="99" t="s">
        <v>6</v>
      </c>
      <c r="B48" s="97" t="s">
        <v>276</v>
      </c>
      <c r="C48" s="426" t="s">
        <v>156</v>
      </c>
      <c r="D48" s="426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  <c r="Z48" s="658">
        <f t="shared" si="9"/>
        <v>420</v>
      </c>
      <c r="AA48" s="658"/>
      <c r="AB48" s="658"/>
      <c r="AC48" s="658"/>
      <c r="AD48" s="659"/>
      <c r="AE48" s="659"/>
      <c r="AF48" s="659"/>
      <c r="AG48" s="660">
        <f t="shared" si="10"/>
        <v>56</v>
      </c>
      <c r="AH48" s="660"/>
      <c r="AI48" s="660"/>
      <c r="AJ48" s="660"/>
      <c r="AK48" s="660"/>
      <c r="AL48" s="661">
        <v>32</v>
      </c>
      <c r="AM48" s="661"/>
      <c r="AN48" s="661"/>
      <c r="AO48" s="661"/>
      <c r="AP48" s="661"/>
      <c r="AQ48" s="661">
        <v>12</v>
      </c>
      <c r="AR48" s="661"/>
      <c r="AS48" s="661"/>
      <c r="AT48" s="661"/>
      <c r="AU48" s="661"/>
      <c r="AV48" s="661">
        <v>12</v>
      </c>
      <c r="AW48" s="661"/>
      <c r="AX48" s="661"/>
      <c r="AY48" s="661"/>
      <c r="AZ48" s="661"/>
      <c r="BA48" s="664"/>
      <c r="BB48" s="664"/>
      <c r="BC48" s="664"/>
      <c r="BD48" s="664"/>
      <c r="BE48" s="664"/>
      <c r="BF48" s="664" t="s">
        <v>229</v>
      </c>
      <c r="BG48" s="664"/>
      <c r="BH48" s="664"/>
      <c r="BI48" s="664"/>
      <c r="BJ48" s="664"/>
      <c r="BK48" s="658">
        <f t="shared" si="11"/>
        <v>364</v>
      </c>
      <c r="BL48" s="658"/>
      <c r="BM48" s="658"/>
      <c r="BN48" s="665"/>
      <c r="BO48" s="663"/>
      <c r="BP48" s="659"/>
      <c r="BQ48" s="659"/>
      <c r="BR48" s="659"/>
      <c r="BS48" s="659"/>
      <c r="BT48" s="659"/>
      <c r="BU48" s="659"/>
      <c r="BV48" s="659"/>
      <c r="BW48" s="659">
        <v>4</v>
      </c>
      <c r="BX48" s="659"/>
      <c r="BY48" s="659"/>
      <c r="BZ48" s="659"/>
      <c r="CA48" s="659">
        <v>5</v>
      </c>
      <c r="CB48" s="659"/>
      <c r="CC48" s="659"/>
      <c r="CD48" s="659"/>
      <c r="CE48" s="659">
        <v>5</v>
      </c>
      <c r="CF48" s="659"/>
      <c r="CG48" s="659"/>
      <c r="CH48" s="659"/>
      <c r="CI48" s="659">
        <v>5</v>
      </c>
      <c r="CJ48" s="659"/>
      <c r="CK48" s="659"/>
      <c r="CL48" s="659"/>
      <c r="CM48" s="659"/>
      <c r="CN48" s="659"/>
      <c r="CO48" s="659"/>
      <c r="CP48" s="659"/>
      <c r="CQ48" s="659"/>
      <c r="CR48" s="659"/>
      <c r="CS48" s="659"/>
      <c r="CT48" s="659"/>
      <c r="CU48" s="659"/>
      <c r="CV48" s="659"/>
      <c r="CW48" s="659"/>
      <c r="CX48" s="659"/>
      <c r="CY48" s="659"/>
      <c r="CZ48" s="659"/>
      <c r="DA48" s="659"/>
      <c r="DB48" s="662"/>
      <c r="DC48" s="663"/>
      <c r="DD48" s="659"/>
      <c r="DE48" s="659"/>
      <c r="DF48" s="659"/>
      <c r="DG48" s="659"/>
      <c r="DH48" s="659"/>
      <c r="DI48" s="659"/>
      <c r="DJ48" s="659"/>
      <c r="DK48" s="659">
        <v>2</v>
      </c>
      <c r="DL48" s="659"/>
      <c r="DM48" s="659"/>
      <c r="DN48" s="659"/>
      <c r="DO48" s="659">
        <v>4</v>
      </c>
      <c r="DP48" s="659"/>
      <c r="DQ48" s="659"/>
      <c r="DR48" s="659"/>
      <c r="DS48" s="659">
        <v>4</v>
      </c>
      <c r="DT48" s="659"/>
      <c r="DU48" s="659"/>
      <c r="DV48" s="659"/>
      <c r="DW48" s="659">
        <v>4</v>
      </c>
      <c r="DX48" s="659"/>
      <c r="DY48" s="659"/>
      <c r="DZ48" s="659"/>
      <c r="EA48" s="659"/>
      <c r="EB48" s="659"/>
      <c r="EC48" s="659"/>
      <c r="ED48" s="659"/>
      <c r="EE48" s="659"/>
      <c r="EF48" s="659"/>
      <c r="EG48" s="659"/>
      <c r="EH48" s="659"/>
      <c r="EI48" s="659"/>
      <c r="EJ48" s="659"/>
      <c r="EK48" s="659"/>
      <c r="EL48" s="659"/>
      <c r="EM48" s="659"/>
      <c r="EN48" s="659"/>
      <c r="EO48" s="659"/>
      <c r="EP48" s="662"/>
      <c r="EQ48" s="666">
        <f t="shared" si="12"/>
        <v>14</v>
      </c>
      <c r="ER48" s="667"/>
      <c r="ES48" s="668"/>
      <c r="ET48" s="136" t="s">
        <v>228</v>
      </c>
      <c r="EX48" s="186"/>
    </row>
    <row r="49" spans="1:150" s="98" customFormat="1" ht="99.95" customHeight="1" x14ac:dyDescent="0.2">
      <c r="A49" s="99" t="s">
        <v>7</v>
      </c>
      <c r="B49" s="187" t="s">
        <v>136</v>
      </c>
      <c r="C49" s="426" t="s">
        <v>157</v>
      </c>
      <c r="D49" s="426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Z49" s="658">
        <f t="shared" si="9"/>
        <v>300</v>
      </c>
      <c r="AA49" s="658"/>
      <c r="AB49" s="658"/>
      <c r="AC49" s="658"/>
      <c r="AD49" s="659"/>
      <c r="AE49" s="659"/>
      <c r="AF49" s="659"/>
      <c r="AG49" s="660">
        <f t="shared" si="10"/>
        <v>38</v>
      </c>
      <c r="AH49" s="660"/>
      <c r="AI49" s="660"/>
      <c r="AJ49" s="660"/>
      <c r="AK49" s="660"/>
      <c r="AL49" s="661">
        <v>18</v>
      </c>
      <c r="AM49" s="661"/>
      <c r="AN49" s="661"/>
      <c r="AO49" s="661"/>
      <c r="AP49" s="661"/>
      <c r="AQ49" s="661">
        <v>10</v>
      </c>
      <c r="AR49" s="661"/>
      <c r="AS49" s="661"/>
      <c r="AT49" s="661"/>
      <c r="AU49" s="661"/>
      <c r="AV49" s="661">
        <v>10</v>
      </c>
      <c r="AW49" s="661"/>
      <c r="AX49" s="661"/>
      <c r="AY49" s="661"/>
      <c r="AZ49" s="661"/>
      <c r="BA49" s="664"/>
      <c r="BB49" s="664"/>
      <c r="BC49" s="664"/>
      <c r="BD49" s="664"/>
      <c r="BE49" s="664"/>
      <c r="BF49" s="664" t="s">
        <v>229</v>
      </c>
      <c r="BG49" s="664"/>
      <c r="BH49" s="664"/>
      <c r="BI49" s="664"/>
      <c r="BJ49" s="664"/>
      <c r="BK49" s="658">
        <f t="shared" si="11"/>
        <v>262</v>
      </c>
      <c r="BL49" s="658"/>
      <c r="BM49" s="658"/>
      <c r="BN49" s="665"/>
      <c r="BO49" s="663"/>
      <c r="BP49" s="659"/>
      <c r="BQ49" s="659"/>
      <c r="BR49" s="659"/>
      <c r="BS49" s="659"/>
      <c r="BT49" s="659"/>
      <c r="BU49" s="659"/>
      <c r="BV49" s="659"/>
      <c r="BW49" s="659"/>
      <c r="BX49" s="659"/>
      <c r="BY49" s="659"/>
      <c r="BZ49" s="659"/>
      <c r="CA49" s="659"/>
      <c r="CB49" s="659"/>
      <c r="CC49" s="659"/>
      <c r="CD49" s="659"/>
      <c r="CE49" s="659"/>
      <c r="CF49" s="659"/>
      <c r="CG49" s="659"/>
      <c r="CH49" s="659"/>
      <c r="CI49" s="659">
        <v>5</v>
      </c>
      <c r="CJ49" s="659"/>
      <c r="CK49" s="659"/>
      <c r="CL49" s="659"/>
      <c r="CM49" s="659">
        <v>5</v>
      </c>
      <c r="CN49" s="659"/>
      <c r="CO49" s="659"/>
      <c r="CP49" s="659"/>
      <c r="CQ49" s="659"/>
      <c r="CR49" s="659"/>
      <c r="CS49" s="659"/>
      <c r="CT49" s="659"/>
      <c r="CU49" s="659"/>
      <c r="CV49" s="659"/>
      <c r="CW49" s="659"/>
      <c r="CX49" s="659"/>
      <c r="CY49" s="659"/>
      <c r="CZ49" s="659"/>
      <c r="DA49" s="659"/>
      <c r="DB49" s="662"/>
      <c r="DC49" s="663"/>
      <c r="DD49" s="659"/>
      <c r="DE49" s="659"/>
      <c r="DF49" s="659"/>
      <c r="DG49" s="659"/>
      <c r="DH49" s="659"/>
      <c r="DI49" s="659"/>
      <c r="DJ49" s="659"/>
      <c r="DK49" s="659"/>
      <c r="DL49" s="659"/>
      <c r="DM49" s="659"/>
      <c r="DN49" s="659"/>
      <c r="DO49" s="659"/>
      <c r="DP49" s="659"/>
      <c r="DQ49" s="659"/>
      <c r="DR49" s="659"/>
      <c r="DS49" s="659"/>
      <c r="DT49" s="659"/>
      <c r="DU49" s="659"/>
      <c r="DV49" s="659"/>
      <c r="DW49" s="659">
        <v>4</v>
      </c>
      <c r="DX49" s="659"/>
      <c r="DY49" s="659"/>
      <c r="DZ49" s="659"/>
      <c r="EA49" s="659">
        <v>6</v>
      </c>
      <c r="EB49" s="659"/>
      <c r="EC49" s="659"/>
      <c r="ED49" s="659"/>
      <c r="EE49" s="659"/>
      <c r="EF49" s="659"/>
      <c r="EG49" s="659"/>
      <c r="EH49" s="659"/>
      <c r="EI49" s="659"/>
      <c r="EJ49" s="659"/>
      <c r="EK49" s="659"/>
      <c r="EL49" s="659"/>
      <c r="EM49" s="659"/>
      <c r="EN49" s="659"/>
      <c r="EO49" s="659"/>
      <c r="EP49" s="662"/>
      <c r="EQ49" s="666">
        <f t="shared" si="12"/>
        <v>10</v>
      </c>
      <c r="ER49" s="667"/>
      <c r="ES49" s="668"/>
    </row>
    <row r="50" spans="1:150" s="98" customFormat="1" ht="90" customHeight="1" x14ac:dyDescent="0.2">
      <c r="A50" s="99" t="s">
        <v>202</v>
      </c>
      <c r="B50" s="171" t="s">
        <v>135</v>
      </c>
      <c r="C50" s="426" t="s">
        <v>158</v>
      </c>
      <c r="D50" s="426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Z50" s="658">
        <f t="shared" si="9"/>
        <v>120</v>
      </c>
      <c r="AA50" s="658"/>
      <c r="AB50" s="658"/>
      <c r="AC50" s="658"/>
      <c r="AD50" s="659"/>
      <c r="AE50" s="659"/>
      <c r="AF50" s="659"/>
      <c r="AG50" s="660">
        <f t="shared" si="10"/>
        <v>16</v>
      </c>
      <c r="AH50" s="660"/>
      <c r="AI50" s="660"/>
      <c r="AJ50" s="660"/>
      <c r="AK50" s="660"/>
      <c r="AL50" s="661">
        <v>8</v>
      </c>
      <c r="AM50" s="661"/>
      <c r="AN50" s="661"/>
      <c r="AO50" s="661"/>
      <c r="AP50" s="661"/>
      <c r="AQ50" s="661"/>
      <c r="AR50" s="661"/>
      <c r="AS50" s="661"/>
      <c r="AT50" s="661"/>
      <c r="AU50" s="661"/>
      <c r="AV50" s="661">
        <v>8</v>
      </c>
      <c r="AW50" s="661"/>
      <c r="AX50" s="661"/>
      <c r="AY50" s="661"/>
      <c r="AZ50" s="661"/>
      <c r="BA50" s="664"/>
      <c r="BB50" s="664"/>
      <c r="BC50" s="664"/>
      <c r="BD50" s="664"/>
      <c r="BE50" s="664"/>
      <c r="BF50" s="664"/>
      <c r="BG50" s="664"/>
      <c r="BH50" s="664"/>
      <c r="BI50" s="664"/>
      <c r="BJ50" s="664"/>
      <c r="BK50" s="658">
        <f t="shared" si="11"/>
        <v>104</v>
      </c>
      <c r="BL50" s="658"/>
      <c r="BM50" s="658"/>
      <c r="BN50" s="665"/>
      <c r="BO50" s="663"/>
      <c r="BP50" s="659"/>
      <c r="BQ50" s="659"/>
      <c r="BR50" s="659"/>
      <c r="BS50" s="659"/>
      <c r="BT50" s="659"/>
      <c r="BU50" s="659"/>
      <c r="BV50" s="659"/>
      <c r="BW50" s="659"/>
      <c r="BX50" s="659"/>
      <c r="BY50" s="659"/>
      <c r="BZ50" s="659"/>
      <c r="CA50" s="659"/>
      <c r="CB50" s="659"/>
      <c r="CC50" s="659"/>
      <c r="CD50" s="659"/>
      <c r="CE50" s="659"/>
      <c r="CF50" s="659"/>
      <c r="CG50" s="659"/>
      <c r="CH50" s="659"/>
      <c r="CI50" s="659"/>
      <c r="CJ50" s="659"/>
      <c r="CK50" s="659"/>
      <c r="CL50" s="659"/>
      <c r="CM50" s="659"/>
      <c r="CN50" s="659"/>
      <c r="CO50" s="659"/>
      <c r="CP50" s="659"/>
      <c r="CQ50" s="659"/>
      <c r="CR50" s="659"/>
      <c r="CS50" s="659"/>
      <c r="CT50" s="659"/>
      <c r="CU50" s="659">
        <v>5</v>
      </c>
      <c r="CV50" s="659"/>
      <c r="CW50" s="659"/>
      <c r="CX50" s="659"/>
      <c r="CY50" s="659"/>
      <c r="CZ50" s="659"/>
      <c r="DA50" s="659"/>
      <c r="DB50" s="662"/>
      <c r="DC50" s="663"/>
      <c r="DD50" s="659"/>
      <c r="DE50" s="659"/>
      <c r="DF50" s="659"/>
      <c r="DG50" s="659"/>
      <c r="DH50" s="659"/>
      <c r="DI50" s="659"/>
      <c r="DJ50" s="659"/>
      <c r="DK50" s="659"/>
      <c r="DL50" s="659"/>
      <c r="DM50" s="659"/>
      <c r="DN50" s="659"/>
      <c r="DO50" s="659"/>
      <c r="DP50" s="659"/>
      <c r="DQ50" s="659"/>
      <c r="DR50" s="659"/>
      <c r="DS50" s="659"/>
      <c r="DT50" s="659"/>
      <c r="DU50" s="659"/>
      <c r="DV50" s="659"/>
      <c r="DW50" s="659"/>
      <c r="DX50" s="659"/>
      <c r="DY50" s="659"/>
      <c r="DZ50" s="659"/>
      <c r="EA50" s="659"/>
      <c r="EB50" s="659"/>
      <c r="EC50" s="659"/>
      <c r="ED50" s="659"/>
      <c r="EE50" s="659"/>
      <c r="EF50" s="659"/>
      <c r="EG50" s="659"/>
      <c r="EH50" s="659"/>
      <c r="EI50" s="659">
        <v>4</v>
      </c>
      <c r="EJ50" s="659"/>
      <c r="EK50" s="659"/>
      <c r="EL50" s="659"/>
      <c r="EM50" s="659"/>
      <c r="EN50" s="659"/>
      <c r="EO50" s="659"/>
      <c r="EP50" s="662"/>
      <c r="EQ50" s="666">
        <f t="shared" si="12"/>
        <v>4</v>
      </c>
      <c r="ER50" s="667"/>
      <c r="ES50" s="668"/>
    </row>
    <row r="51" spans="1:150" ht="69.95" customHeight="1" x14ac:dyDescent="0.2">
      <c r="A51" s="59" t="s">
        <v>8</v>
      </c>
      <c r="B51" s="97" t="s">
        <v>74</v>
      </c>
      <c r="C51" s="426" t="s">
        <v>159</v>
      </c>
      <c r="D51" s="426"/>
      <c r="E51" s="426"/>
      <c r="F51" s="426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6"/>
      <c r="Y51" s="426"/>
      <c r="Z51" s="658">
        <f t="shared" si="9"/>
        <v>240</v>
      </c>
      <c r="AA51" s="658"/>
      <c r="AB51" s="658"/>
      <c r="AC51" s="658"/>
      <c r="AD51" s="659"/>
      <c r="AE51" s="659"/>
      <c r="AF51" s="659"/>
      <c r="AG51" s="660">
        <f t="shared" si="10"/>
        <v>32</v>
      </c>
      <c r="AH51" s="660"/>
      <c r="AI51" s="660"/>
      <c r="AJ51" s="660"/>
      <c r="AK51" s="660"/>
      <c r="AL51" s="661">
        <v>16</v>
      </c>
      <c r="AM51" s="661"/>
      <c r="AN51" s="661"/>
      <c r="AO51" s="661"/>
      <c r="AP51" s="661"/>
      <c r="AQ51" s="661">
        <v>16</v>
      </c>
      <c r="AR51" s="661"/>
      <c r="AS51" s="661"/>
      <c r="AT51" s="661"/>
      <c r="AU51" s="661"/>
      <c r="AV51" s="661"/>
      <c r="AW51" s="661"/>
      <c r="AX51" s="661"/>
      <c r="AY51" s="661"/>
      <c r="AZ51" s="661"/>
      <c r="BA51" s="664"/>
      <c r="BB51" s="664"/>
      <c r="BC51" s="664"/>
      <c r="BD51" s="664"/>
      <c r="BE51" s="664"/>
      <c r="BF51" s="664"/>
      <c r="BG51" s="664"/>
      <c r="BH51" s="664"/>
      <c r="BI51" s="664"/>
      <c r="BJ51" s="664"/>
      <c r="BK51" s="658">
        <f t="shared" si="11"/>
        <v>208</v>
      </c>
      <c r="BL51" s="658"/>
      <c r="BM51" s="658"/>
      <c r="BN51" s="665"/>
      <c r="BO51" s="663"/>
      <c r="BP51" s="659"/>
      <c r="BQ51" s="659"/>
      <c r="BR51" s="659"/>
      <c r="BS51" s="659"/>
      <c r="BT51" s="659"/>
      <c r="BU51" s="659"/>
      <c r="BV51" s="659"/>
      <c r="BW51" s="659"/>
      <c r="BX51" s="659"/>
      <c r="BY51" s="659"/>
      <c r="BZ51" s="659"/>
      <c r="CA51" s="659"/>
      <c r="CB51" s="659"/>
      <c r="CC51" s="659"/>
      <c r="CD51" s="659"/>
      <c r="CE51" s="659"/>
      <c r="CF51" s="659"/>
      <c r="CG51" s="659"/>
      <c r="CH51" s="659"/>
      <c r="CI51" s="659"/>
      <c r="CJ51" s="659"/>
      <c r="CK51" s="659"/>
      <c r="CL51" s="659"/>
      <c r="CM51" s="659"/>
      <c r="CN51" s="659"/>
      <c r="CO51" s="659"/>
      <c r="CP51" s="659"/>
      <c r="CQ51" s="659">
        <v>5</v>
      </c>
      <c r="CR51" s="659"/>
      <c r="CS51" s="659"/>
      <c r="CT51" s="659"/>
      <c r="CU51" s="659">
        <v>5</v>
      </c>
      <c r="CV51" s="659"/>
      <c r="CW51" s="659"/>
      <c r="CX51" s="659"/>
      <c r="CY51" s="659"/>
      <c r="CZ51" s="659"/>
      <c r="DA51" s="659"/>
      <c r="DB51" s="662"/>
      <c r="DC51" s="663"/>
      <c r="DD51" s="659"/>
      <c r="DE51" s="659"/>
      <c r="DF51" s="659"/>
      <c r="DG51" s="659"/>
      <c r="DH51" s="659"/>
      <c r="DI51" s="659"/>
      <c r="DJ51" s="659"/>
      <c r="DK51" s="659"/>
      <c r="DL51" s="659"/>
      <c r="DM51" s="659"/>
      <c r="DN51" s="659"/>
      <c r="DO51" s="659"/>
      <c r="DP51" s="659"/>
      <c r="DQ51" s="659"/>
      <c r="DR51" s="659"/>
      <c r="DS51" s="659"/>
      <c r="DT51" s="659"/>
      <c r="DU51" s="659"/>
      <c r="DV51" s="659"/>
      <c r="DW51" s="659"/>
      <c r="DX51" s="659"/>
      <c r="DY51" s="659"/>
      <c r="DZ51" s="659"/>
      <c r="EA51" s="653"/>
      <c r="EB51" s="653"/>
      <c r="EC51" s="653"/>
      <c r="ED51" s="653"/>
      <c r="EE51" s="653">
        <v>4</v>
      </c>
      <c r="EF51" s="653"/>
      <c r="EG51" s="653"/>
      <c r="EH51" s="653"/>
      <c r="EI51" s="653">
        <v>4</v>
      </c>
      <c r="EJ51" s="653"/>
      <c r="EK51" s="653"/>
      <c r="EL51" s="653"/>
      <c r="EM51" s="653"/>
      <c r="EN51" s="653"/>
      <c r="EO51" s="653"/>
      <c r="EP51" s="654"/>
      <c r="EQ51" s="626">
        <f t="shared" si="12"/>
        <v>8</v>
      </c>
      <c r="ER51" s="627"/>
      <c r="ES51" s="619"/>
    </row>
    <row r="52" spans="1:150" ht="90" customHeight="1" x14ac:dyDescent="0.2">
      <c r="A52" s="59" t="s">
        <v>9</v>
      </c>
      <c r="B52" s="97" t="s">
        <v>75</v>
      </c>
      <c r="C52" s="426" t="s">
        <v>160</v>
      </c>
      <c r="D52" s="426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Z52" s="658">
        <f t="shared" si="9"/>
        <v>240</v>
      </c>
      <c r="AA52" s="658"/>
      <c r="AB52" s="658"/>
      <c r="AC52" s="658"/>
      <c r="AD52" s="659"/>
      <c r="AE52" s="659"/>
      <c r="AF52" s="659"/>
      <c r="AG52" s="660">
        <f t="shared" si="10"/>
        <v>32</v>
      </c>
      <c r="AH52" s="660"/>
      <c r="AI52" s="660"/>
      <c r="AJ52" s="660"/>
      <c r="AK52" s="660"/>
      <c r="AL52" s="661">
        <v>16</v>
      </c>
      <c r="AM52" s="661"/>
      <c r="AN52" s="661"/>
      <c r="AO52" s="661"/>
      <c r="AP52" s="661"/>
      <c r="AQ52" s="661">
        <v>16</v>
      </c>
      <c r="AR52" s="661"/>
      <c r="AS52" s="661"/>
      <c r="AT52" s="661"/>
      <c r="AU52" s="661"/>
      <c r="AV52" s="661"/>
      <c r="AW52" s="661"/>
      <c r="AX52" s="661"/>
      <c r="AY52" s="661"/>
      <c r="AZ52" s="661"/>
      <c r="BA52" s="664"/>
      <c r="BB52" s="664"/>
      <c r="BC52" s="664"/>
      <c r="BD52" s="664"/>
      <c r="BE52" s="664"/>
      <c r="BF52" s="664"/>
      <c r="BG52" s="664"/>
      <c r="BH52" s="664"/>
      <c r="BI52" s="664"/>
      <c r="BJ52" s="664"/>
      <c r="BK52" s="658">
        <f t="shared" si="11"/>
        <v>208</v>
      </c>
      <c r="BL52" s="658"/>
      <c r="BM52" s="658"/>
      <c r="BN52" s="665"/>
      <c r="BO52" s="663"/>
      <c r="BP52" s="659"/>
      <c r="BQ52" s="659"/>
      <c r="BR52" s="659"/>
      <c r="BS52" s="659"/>
      <c r="BT52" s="659"/>
      <c r="BU52" s="659"/>
      <c r="BV52" s="659"/>
      <c r="BW52" s="659"/>
      <c r="BX52" s="659"/>
      <c r="BY52" s="659"/>
      <c r="BZ52" s="659"/>
      <c r="CA52" s="659"/>
      <c r="CB52" s="659"/>
      <c r="CC52" s="659"/>
      <c r="CD52" s="659"/>
      <c r="CE52" s="659"/>
      <c r="CF52" s="659"/>
      <c r="CG52" s="659"/>
      <c r="CH52" s="659"/>
      <c r="CI52" s="659"/>
      <c r="CJ52" s="659"/>
      <c r="CK52" s="659"/>
      <c r="CL52" s="659"/>
      <c r="CM52" s="659"/>
      <c r="CN52" s="659"/>
      <c r="CO52" s="659"/>
      <c r="CP52" s="659"/>
      <c r="CQ52" s="659">
        <v>5</v>
      </c>
      <c r="CR52" s="659"/>
      <c r="CS52" s="659"/>
      <c r="CT52" s="659"/>
      <c r="CU52" s="659">
        <v>5</v>
      </c>
      <c r="CV52" s="659"/>
      <c r="CW52" s="659"/>
      <c r="CX52" s="659"/>
      <c r="CY52" s="659"/>
      <c r="CZ52" s="659"/>
      <c r="DA52" s="659"/>
      <c r="DB52" s="662"/>
      <c r="DC52" s="663"/>
      <c r="DD52" s="659"/>
      <c r="DE52" s="659"/>
      <c r="DF52" s="659"/>
      <c r="DG52" s="659"/>
      <c r="DH52" s="659"/>
      <c r="DI52" s="659"/>
      <c r="DJ52" s="659"/>
      <c r="DK52" s="659"/>
      <c r="DL52" s="659"/>
      <c r="DM52" s="659"/>
      <c r="DN52" s="659"/>
      <c r="DO52" s="659"/>
      <c r="DP52" s="659"/>
      <c r="DQ52" s="659"/>
      <c r="DR52" s="659"/>
      <c r="DS52" s="659"/>
      <c r="DT52" s="659"/>
      <c r="DU52" s="659"/>
      <c r="DV52" s="659"/>
      <c r="DW52" s="659"/>
      <c r="DX52" s="659"/>
      <c r="DY52" s="659"/>
      <c r="DZ52" s="659"/>
      <c r="EA52" s="653"/>
      <c r="EB52" s="653"/>
      <c r="EC52" s="653"/>
      <c r="ED52" s="653"/>
      <c r="EE52" s="653">
        <v>4</v>
      </c>
      <c r="EF52" s="653"/>
      <c r="EG52" s="653"/>
      <c r="EH52" s="653"/>
      <c r="EI52" s="653">
        <v>4</v>
      </c>
      <c r="EJ52" s="653"/>
      <c r="EK52" s="653"/>
      <c r="EL52" s="653"/>
      <c r="EM52" s="653"/>
      <c r="EN52" s="653"/>
      <c r="EO52" s="653"/>
      <c r="EP52" s="654"/>
      <c r="EQ52" s="626">
        <f t="shared" si="12"/>
        <v>8</v>
      </c>
      <c r="ER52" s="627"/>
      <c r="ES52" s="619"/>
    </row>
    <row r="53" spans="1:150" ht="69.95" customHeight="1" x14ac:dyDescent="0.2">
      <c r="A53" s="59" t="s">
        <v>137</v>
      </c>
      <c r="B53" s="87" t="s">
        <v>134</v>
      </c>
      <c r="C53" s="378" t="s">
        <v>82</v>
      </c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  <c r="S53" s="378"/>
      <c r="T53" s="378"/>
      <c r="U53" s="378"/>
      <c r="V53" s="378"/>
      <c r="W53" s="378"/>
      <c r="X53" s="378"/>
      <c r="Y53" s="378"/>
      <c r="Z53" s="658">
        <f t="shared" si="9"/>
        <v>240</v>
      </c>
      <c r="AA53" s="658"/>
      <c r="AB53" s="658"/>
      <c r="AC53" s="658"/>
      <c r="AD53" s="659"/>
      <c r="AE53" s="659"/>
      <c r="AF53" s="659"/>
      <c r="AG53" s="660">
        <f t="shared" si="10"/>
        <v>32</v>
      </c>
      <c r="AH53" s="660"/>
      <c r="AI53" s="660"/>
      <c r="AJ53" s="660"/>
      <c r="AK53" s="660"/>
      <c r="AL53" s="661"/>
      <c r="AM53" s="661"/>
      <c r="AN53" s="661"/>
      <c r="AO53" s="661"/>
      <c r="AP53" s="661"/>
      <c r="AQ53" s="661">
        <v>32</v>
      </c>
      <c r="AR53" s="661"/>
      <c r="AS53" s="661"/>
      <c r="AT53" s="661"/>
      <c r="AU53" s="661"/>
      <c r="AV53" s="661"/>
      <c r="AW53" s="661"/>
      <c r="AX53" s="661"/>
      <c r="AY53" s="661"/>
      <c r="AZ53" s="661"/>
      <c r="BA53" s="661"/>
      <c r="BB53" s="661"/>
      <c r="BC53" s="661"/>
      <c r="BD53" s="661"/>
      <c r="BE53" s="661"/>
      <c r="BF53" s="661"/>
      <c r="BG53" s="661"/>
      <c r="BH53" s="661"/>
      <c r="BI53" s="661"/>
      <c r="BJ53" s="661"/>
      <c r="BK53" s="658">
        <f t="shared" si="11"/>
        <v>208</v>
      </c>
      <c r="BL53" s="658"/>
      <c r="BM53" s="658"/>
      <c r="BN53" s="665"/>
      <c r="BO53" s="663">
        <v>4</v>
      </c>
      <c r="BP53" s="659"/>
      <c r="BQ53" s="659"/>
      <c r="BR53" s="659"/>
      <c r="BS53" s="659">
        <v>6</v>
      </c>
      <c r="BT53" s="659"/>
      <c r="BU53" s="659"/>
      <c r="BV53" s="659"/>
      <c r="BW53" s="659"/>
      <c r="BX53" s="659"/>
      <c r="BY53" s="659"/>
      <c r="BZ53" s="659"/>
      <c r="CA53" s="659"/>
      <c r="CB53" s="659"/>
      <c r="CC53" s="659"/>
      <c r="CD53" s="659"/>
      <c r="CE53" s="659"/>
      <c r="CF53" s="659"/>
      <c r="CG53" s="659"/>
      <c r="CH53" s="659"/>
      <c r="CI53" s="659"/>
      <c r="CJ53" s="659"/>
      <c r="CK53" s="659"/>
      <c r="CL53" s="659"/>
      <c r="CM53" s="659"/>
      <c r="CN53" s="659"/>
      <c r="CO53" s="659"/>
      <c r="CP53" s="659"/>
      <c r="CQ53" s="659"/>
      <c r="CR53" s="659"/>
      <c r="CS53" s="659"/>
      <c r="CT53" s="659"/>
      <c r="CU53" s="659"/>
      <c r="CV53" s="659"/>
      <c r="CW53" s="659"/>
      <c r="CX53" s="659"/>
      <c r="CY53" s="659"/>
      <c r="CZ53" s="659"/>
      <c r="DA53" s="659"/>
      <c r="DB53" s="662"/>
      <c r="DC53" s="663">
        <v>4</v>
      </c>
      <c r="DD53" s="659"/>
      <c r="DE53" s="659"/>
      <c r="DF53" s="659"/>
      <c r="DG53" s="751">
        <v>4</v>
      </c>
      <c r="DH53" s="659"/>
      <c r="DI53" s="659"/>
      <c r="DJ53" s="659"/>
      <c r="DK53" s="751"/>
      <c r="DL53" s="659"/>
      <c r="DM53" s="659"/>
      <c r="DN53" s="659"/>
      <c r="DO53" s="751"/>
      <c r="DP53" s="659"/>
      <c r="DQ53" s="659"/>
      <c r="DR53" s="659"/>
      <c r="DS53" s="751"/>
      <c r="DT53" s="659"/>
      <c r="DU53" s="659"/>
      <c r="DV53" s="659"/>
      <c r="DW53" s="751"/>
      <c r="DX53" s="659"/>
      <c r="DY53" s="659"/>
      <c r="DZ53" s="659"/>
      <c r="EA53" s="653"/>
      <c r="EB53" s="653"/>
      <c r="EC53" s="653"/>
      <c r="ED53" s="653"/>
      <c r="EE53" s="653"/>
      <c r="EF53" s="653"/>
      <c r="EG53" s="653"/>
      <c r="EH53" s="653"/>
      <c r="EI53" s="653"/>
      <c r="EJ53" s="653"/>
      <c r="EK53" s="653"/>
      <c r="EL53" s="653"/>
      <c r="EM53" s="653"/>
      <c r="EN53" s="653"/>
      <c r="EO53" s="653"/>
      <c r="EP53" s="654"/>
      <c r="EQ53" s="626">
        <f t="shared" si="12"/>
        <v>8</v>
      </c>
      <c r="ER53" s="627"/>
      <c r="ES53" s="619"/>
    </row>
    <row r="54" spans="1:150" ht="69.95" customHeight="1" x14ac:dyDescent="0.2">
      <c r="A54" s="59" t="s">
        <v>138</v>
      </c>
      <c r="B54" s="87" t="s">
        <v>130</v>
      </c>
      <c r="C54" s="378" t="s">
        <v>80</v>
      </c>
      <c r="D54" s="378"/>
      <c r="E54" s="378"/>
      <c r="F54" s="378"/>
      <c r="G54" s="378"/>
      <c r="H54" s="378"/>
      <c r="I54" s="378"/>
      <c r="J54" s="378"/>
      <c r="K54" s="378"/>
      <c r="L54" s="378"/>
      <c r="M54" s="378"/>
      <c r="N54" s="378"/>
      <c r="O54" s="378"/>
      <c r="P54" s="378"/>
      <c r="Q54" s="378"/>
      <c r="R54" s="378"/>
      <c r="S54" s="378"/>
      <c r="T54" s="378"/>
      <c r="U54" s="378"/>
      <c r="V54" s="378"/>
      <c r="W54" s="378"/>
      <c r="X54" s="378"/>
      <c r="Y54" s="378"/>
      <c r="Z54" s="658">
        <f t="shared" si="9"/>
        <v>120</v>
      </c>
      <c r="AA54" s="658"/>
      <c r="AB54" s="658"/>
      <c r="AC54" s="658"/>
      <c r="AD54" s="659"/>
      <c r="AE54" s="659"/>
      <c r="AF54" s="659"/>
      <c r="AG54" s="660">
        <f t="shared" si="10"/>
        <v>24</v>
      </c>
      <c r="AH54" s="660"/>
      <c r="AI54" s="660"/>
      <c r="AJ54" s="660"/>
      <c r="AK54" s="660"/>
      <c r="AL54" s="661">
        <v>16</v>
      </c>
      <c r="AM54" s="661"/>
      <c r="AN54" s="661"/>
      <c r="AO54" s="661"/>
      <c r="AP54" s="661"/>
      <c r="AQ54" s="661">
        <v>8</v>
      </c>
      <c r="AR54" s="661"/>
      <c r="AS54" s="661"/>
      <c r="AT54" s="661"/>
      <c r="AU54" s="661"/>
      <c r="AV54" s="661"/>
      <c r="AW54" s="661"/>
      <c r="AX54" s="661"/>
      <c r="AY54" s="661"/>
      <c r="AZ54" s="661"/>
      <c r="BA54" s="661"/>
      <c r="BB54" s="661"/>
      <c r="BC54" s="661"/>
      <c r="BD54" s="661"/>
      <c r="BE54" s="661"/>
      <c r="BF54" s="661"/>
      <c r="BG54" s="661"/>
      <c r="BH54" s="661"/>
      <c r="BI54" s="661"/>
      <c r="BJ54" s="661"/>
      <c r="BK54" s="658">
        <f t="shared" si="11"/>
        <v>96</v>
      </c>
      <c r="BL54" s="658"/>
      <c r="BM54" s="658"/>
      <c r="BN54" s="665"/>
      <c r="BO54" s="663">
        <v>6</v>
      </c>
      <c r="BP54" s="659"/>
      <c r="BQ54" s="659"/>
      <c r="BR54" s="659"/>
      <c r="BS54" s="659"/>
      <c r="BT54" s="659"/>
      <c r="BU54" s="659"/>
      <c r="BV54" s="659"/>
      <c r="BW54" s="659"/>
      <c r="BX54" s="659"/>
      <c r="BY54" s="659"/>
      <c r="BZ54" s="659"/>
      <c r="CA54" s="659"/>
      <c r="CB54" s="659"/>
      <c r="CC54" s="659"/>
      <c r="CD54" s="659"/>
      <c r="CE54" s="659"/>
      <c r="CF54" s="659"/>
      <c r="CG54" s="659"/>
      <c r="CH54" s="659"/>
      <c r="CI54" s="659"/>
      <c r="CJ54" s="659"/>
      <c r="CK54" s="659"/>
      <c r="CL54" s="659"/>
      <c r="CM54" s="659"/>
      <c r="CN54" s="659"/>
      <c r="CO54" s="659"/>
      <c r="CP54" s="659"/>
      <c r="CQ54" s="659"/>
      <c r="CR54" s="659"/>
      <c r="CS54" s="659"/>
      <c r="CT54" s="659"/>
      <c r="CU54" s="659"/>
      <c r="CV54" s="659"/>
      <c r="CW54" s="659"/>
      <c r="CX54" s="659"/>
      <c r="CY54" s="659"/>
      <c r="CZ54" s="659"/>
      <c r="DA54" s="659"/>
      <c r="DB54" s="662"/>
      <c r="DC54" s="663">
        <v>4</v>
      </c>
      <c r="DD54" s="659"/>
      <c r="DE54" s="659"/>
      <c r="DF54" s="659"/>
      <c r="DG54" s="659"/>
      <c r="DH54" s="659"/>
      <c r="DI54" s="659"/>
      <c r="DJ54" s="659"/>
      <c r="DK54" s="659"/>
      <c r="DL54" s="659"/>
      <c r="DM54" s="659"/>
      <c r="DN54" s="659"/>
      <c r="DO54" s="659"/>
      <c r="DP54" s="659"/>
      <c r="DQ54" s="659"/>
      <c r="DR54" s="659"/>
      <c r="DS54" s="659"/>
      <c r="DT54" s="659"/>
      <c r="DU54" s="659"/>
      <c r="DV54" s="659"/>
      <c r="DW54" s="659"/>
      <c r="DX54" s="659"/>
      <c r="DY54" s="659"/>
      <c r="DZ54" s="659"/>
      <c r="EA54" s="653"/>
      <c r="EB54" s="653"/>
      <c r="EC54" s="653"/>
      <c r="ED54" s="653"/>
      <c r="EE54" s="653"/>
      <c r="EF54" s="653"/>
      <c r="EG54" s="653"/>
      <c r="EH54" s="653"/>
      <c r="EI54" s="653"/>
      <c r="EJ54" s="653"/>
      <c r="EK54" s="653"/>
      <c r="EL54" s="653"/>
      <c r="EM54" s="653"/>
      <c r="EN54" s="653"/>
      <c r="EO54" s="653"/>
      <c r="EP54" s="654"/>
      <c r="EQ54" s="626">
        <f t="shared" si="12"/>
        <v>4</v>
      </c>
      <c r="ER54" s="627"/>
      <c r="ES54" s="619"/>
    </row>
    <row r="55" spans="1:150" ht="69.95" customHeight="1" x14ac:dyDescent="0.2">
      <c r="A55" s="59" t="s">
        <v>146</v>
      </c>
      <c r="B55" s="87" t="s">
        <v>130</v>
      </c>
      <c r="C55" s="378" t="s">
        <v>203</v>
      </c>
      <c r="D55" s="378"/>
      <c r="E55" s="378"/>
      <c r="F55" s="378"/>
      <c r="G55" s="378"/>
      <c r="H55" s="378"/>
      <c r="I55" s="378"/>
      <c r="J55" s="378"/>
      <c r="K55" s="378"/>
      <c r="L55" s="378"/>
      <c r="M55" s="378"/>
      <c r="N55" s="378"/>
      <c r="O55" s="378"/>
      <c r="P55" s="378"/>
      <c r="Q55" s="378"/>
      <c r="R55" s="378"/>
      <c r="S55" s="378"/>
      <c r="T55" s="378"/>
      <c r="U55" s="378"/>
      <c r="V55" s="378"/>
      <c r="W55" s="378"/>
      <c r="X55" s="378"/>
      <c r="Y55" s="378"/>
      <c r="Z55" s="658">
        <f t="shared" si="9"/>
        <v>180</v>
      </c>
      <c r="AA55" s="658"/>
      <c r="AB55" s="658"/>
      <c r="AC55" s="658"/>
      <c r="AD55" s="659"/>
      <c r="AE55" s="659"/>
      <c r="AF55" s="659"/>
      <c r="AG55" s="660">
        <f t="shared" si="10"/>
        <v>12</v>
      </c>
      <c r="AH55" s="660"/>
      <c r="AI55" s="660"/>
      <c r="AJ55" s="660"/>
      <c r="AK55" s="660"/>
      <c r="AL55" s="661">
        <v>8</v>
      </c>
      <c r="AM55" s="661"/>
      <c r="AN55" s="661"/>
      <c r="AO55" s="661"/>
      <c r="AP55" s="661"/>
      <c r="AQ55" s="661">
        <v>4</v>
      </c>
      <c r="AR55" s="661"/>
      <c r="AS55" s="661"/>
      <c r="AT55" s="661"/>
      <c r="AU55" s="661"/>
      <c r="AV55" s="661"/>
      <c r="AW55" s="661"/>
      <c r="AX55" s="661"/>
      <c r="AY55" s="661"/>
      <c r="AZ55" s="661"/>
      <c r="BA55" s="661"/>
      <c r="BB55" s="661"/>
      <c r="BC55" s="661"/>
      <c r="BD55" s="661"/>
      <c r="BE55" s="661"/>
      <c r="BF55" s="661"/>
      <c r="BG55" s="661"/>
      <c r="BH55" s="661"/>
      <c r="BI55" s="661"/>
      <c r="BJ55" s="661"/>
      <c r="BK55" s="658">
        <f t="shared" si="11"/>
        <v>168</v>
      </c>
      <c r="BL55" s="658"/>
      <c r="BM55" s="658"/>
      <c r="BN55" s="665"/>
      <c r="BO55" s="663"/>
      <c r="BP55" s="659"/>
      <c r="BQ55" s="659"/>
      <c r="BR55" s="659"/>
      <c r="BS55" s="659"/>
      <c r="BT55" s="659"/>
      <c r="BU55" s="659"/>
      <c r="BV55" s="659"/>
      <c r="BW55" s="659">
        <v>4</v>
      </c>
      <c r="BX55" s="659"/>
      <c r="BY55" s="659"/>
      <c r="BZ55" s="659"/>
      <c r="CA55" s="659"/>
      <c r="CB55" s="659"/>
      <c r="CC55" s="659"/>
      <c r="CD55" s="659"/>
      <c r="CE55" s="659"/>
      <c r="CF55" s="659"/>
      <c r="CG55" s="659"/>
      <c r="CH55" s="659"/>
      <c r="CI55" s="659"/>
      <c r="CJ55" s="659"/>
      <c r="CK55" s="659"/>
      <c r="CL55" s="659"/>
      <c r="CM55" s="659"/>
      <c r="CN55" s="659"/>
      <c r="CO55" s="659"/>
      <c r="CP55" s="659"/>
      <c r="CQ55" s="659"/>
      <c r="CR55" s="659"/>
      <c r="CS55" s="659"/>
      <c r="CT55" s="659"/>
      <c r="CU55" s="659"/>
      <c r="CV55" s="659"/>
      <c r="CW55" s="659"/>
      <c r="CX55" s="659"/>
      <c r="CY55" s="659"/>
      <c r="CZ55" s="659"/>
      <c r="DA55" s="659"/>
      <c r="DB55" s="662"/>
      <c r="DC55" s="663"/>
      <c r="DD55" s="659"/>
      <c r="DE55" s="659"/>
      <c r="DF55" s="659"/>
      <c r="DG55" s="659"/>
      <c r="DH55" s="659"/>
      <c r="DI55" s="659"/>
      <c r="DJ55" s="659"/>
      <c r="DK55" s="659">
        <v>6</v>
      </c>
      <c r="DL55" s="659"/>
      <c r="DM55" s="659"/>
      <c r="DN55" s="659"/>
      <c r="DO55" s="659"/>
      <c r="DP55" s="659"/>
      <c r="DQ55" s="659"/>
      <c r="DR55" s="659"/>
      <c r="DS55" s="659"/>
      <c r="DT55" s="659"/>
      <c r="DU55" s="659"/>
      <c r="DV55" s="659"/>
      <c r="DW55" s="659"/>
      <c r="DX55" s="659"/>
      <c r="DY55" s="659"/>
      <c r="DZ55" s="659"/>
      <c r="EA55" s="653"/>
      <c r="EB55" s="653"/>
      <c r="EC55" s="653"/>
      <c r="ED55" s="653"/>
      <c r="EE55" s="653"/>
      <c r="EF55" s="653"/>
      <c r="EG55" s="653"/>
      <c r="EH55" s="653"/>
      <c r="EI55" s="653"/>
      <c r="EJ55" s="653"/>
      <c r="EK55" s="653"/>
      <c r="EL55" s="653"/>
      <c r="EM55" s="653"/>
      <c r="EN55" s="653"/>
      <c r="EO55" s="653"/>
      <c r="EP55" s="654"/>
      <c r="EQ55" s="626">
        <f t="shared" si="12"/>
        <v>6</v>
      </c>
      <c r="ER55" s="627"/>
      <c r="ES55" s="619"/>
      <c r="ET55" s="135" t="s">
        <v>240</v>
      </c>
    </row>
    <row r="56" spans="1:150" ht="69.95" customHeight="1" x14ac:dyDescent="0.2">
      <c r="A56" s="59" t="s">
        <v>147</v>
      </c>
      <c r="B56" s="87" t="s">
        <v>130</v>
      </c>
      <c r="C56" s="378" t="s">
        <v>204</v>
      </c>
      <c r="D56" s="378"/>
      <c r="E56" s="378"/>
      <c r="F56" s="378"/>
      <c r="G56" s="378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658">
        <f t="shared" si="9"/>
        <v>120</v>
      </c>
      <c r="AA56" s="658"/>
      <c r="AB56" s="658"/>
      <c r="AC56" s="658"/>
      <c r="AD56" s="659"/>
      <c r="AE56" s="659"/>
      <c r="AF56" s="659"/>
      <c r="AG56" s="660">
        <f t="shared" si="10"/>
        <v>12</v>
      </c>
      <c r="AH56" s="660"/>
      <c r="AI56" s="660"/>
      <c r="AJ56" s="660"/>
      <c r="AK56" s="660"/>
      <c r="AL56" s="661">
        <v>8</v>
      </c>
      <c r="AM56" s="661"/>
      <c r="AN56" s="661"/>
      <c r="AO56" s="661"/>
      <c r="AP56" s="661"/>
      <c r="AQ56" s="661">
        <v>4</v>
      </c>
      <c r="AR56" s="661"/>
      <c r="AS56" s="661"/>
      <c r="AT56" s="661"/>
      <c r="AU56" s="661"/>
      <c r="AV56" s="661"/>
      <c r="AW56" s="661"/>
      <c r="AX56" s="661"/>
      <c r="AY56" s="661"/>
      <c r="AZ56" s="661"/>
      <c r="BA56" s="661"/>
      <c r="BB56" s="661"/>
      <c r="BC56" s="661"/>
      <c r="BD56" s="661"/>
      <c r="BE56" s="661"/>
      <c r="BF56" s="661"/>
      <c r="BG56" s="661"/>
      <c r="BH56" s="661"/>
      <c r="BI56" s="661"/>
      <c r="BJ56" s="661"/>
      <c r="BK56" s="658">
        <f t="shared" si="11"/>
        <v>108</v>
      </c>
      <c r="BL56" s="658"/>
      <c r="BM56" s="658"/>
      <c r="BN56" s="665"/>
      <c r="BO56" s="663"/>
      <c r="BP56" s="659"/>
      <c r="BQ56" s="659"/>
      <c r="BR56" s="659"/>
      <c r="BS56" s="659"/>
      <c r="BT56" s="659"/>
      <c r="BU56" s="659"/>
      <c r="BV56" s="659"/>
      <c r="BW56" s="659">
        <v>4</v>
      </c>
      <c r="BX56" s="659"/>
      <c r="BY56" s="659"/>
      <c r="BZ56" s="659"/>
      <c r="CA56" s="659"/>
      <c r="CB56" s="659"/>
      <c r="CC56" s="659"/>
      <c r="CD56" s="659"/>
      <c r="CE56" s="659"/>
      <c r="CF56" s="659"/>
      <c r="CG56" s="659"/>
      <c r="CH56" s="659"/>
      <c r="CI56" s="659"/>
      <c r="CJ56" s="659"/>
      <c r="CK56" s="659"/>
      <c r="CL56" s="659"/>
      <c r="CM56" s="659"/>
      <c r="CN56" s="659"/>
      <c r="CO56" s="659"/>
      <c r="CP56" s="659"/>
      <c r="CQ56" s="659"/>
      <c r="CR56" s="659"/>
      <c r="CS56" s="659"/>
      <c r="CT56" s="659"/>
      <c r="CU56" s="659"/>
      <c r="CV56" s="659"/>
      <c r="CW56" s="659"/>
      <c r="CX56" s="659"/>
      <c r="CY56" s="659"/>
      <c r="CZ56" s="659"/>
      <c r="DA56" s="659"/>
      <c r="DB56" s="662"/>
      <c r="DC56" s="663"/>
      <c r="DD56" s="659"/>
      <c r="DE56" s="659"/>
      <c r="DF56" s="659"/>
      <c r="DG56" s="659"/>
      <c r="DH56" s="659"/>
      <c r="DI56" s="659"/>
      <c r="DJ56" s="659"/>
      <c r="DK56" s="659">
        <v>4</v>
      </c>
      <c r="DL56" s="659"/>
      <c r="DM56" s="659"/>
      <c r="DN56" s="659"/>
      <c r="DO56" s="659"/>
      <c r="DP56" s="659"/>
      <c r="DQ56" s="659"/>
      <c r="DR56" s="659"/>
      <c r="DS56" s="659"/>
      <c r="DT56" s="659"/>
      <c r="DU56" s="659"/>
      <c r="DV56" s="659"/>
      <c r="DW56" s="659"/>
      <c r="DX56" s="659"/>
      <c r="DY56" s="659"/>
      <c r="DZ56" s="659"/>
      <c r="EA56" s="653"/>
      <c r="EB56" s="653"/>
      <c r="EC56" s="653"/>
      <c r="ED56" s="653"/>
      <c r="EE56" s="653"/>
      <c r="EF56" s="653"/>
      <c r="EG56" s="653"/>
      <c r="EH56" s="653"/>
      <c r="EI56" s="653"/>
      <c r="EJ56" s="653"/>
      <c r="EK56" s="653"/>
      <c r="EL56" s="653"/>
      <c r="EM56" s="653"/>
      <c r="EN56" s="653"/>
      <c r="EO56" s="653"/>
      <c r="EP56" s="654"/>
      <c r="EQ56" s="626">
        <f t="shared" si="12"/>
        <v>4</v>
      </c>
      <c r="ER56" s="627"/>
      <c r="ES56" s="619"/>
    </row>
    <row r="57" spans="1:150" ht="60" customHeight="1" x14ac:dyDescent="0.2">
      <c r="A57" s="58" t="s">
        <v>38</v>
      </c>
      <c r="B57" s="58"/>
      <c r="C57" s="670" t="s">
        <v>83</v>
      </c>
      <c r="D57" s="670"/>
      <c r="E57" s="670"/>
      <c r="F57" s="670"/>
      <c r="G57" s="670"/>
      <c r="H57" s="670"/>
      <c r="I57" s="670"/>
      <c r="J57" s="670"/>
      <c r="K57" s="670"/>
      <c r="L57" s="670"/>
      <c r="M57" s="670"/>
      <c r="N57" s="670"/>
      <c r="O57" s="670"/>
      <c r="P57" s="670"/>
      <c r="Q57" s="670"/>
      <c r="R57" s="670"/>
      <c r="S57" s="670"/>
      <c r="T57" s="670"/>
      <c r="U57" s="670"/>
      <c r="V57" s="670"/>
      <c r="W57" s="670"/>
      <c r="X57" s="670"/>
      <c r="Y57" s="670"/>
      <c r="Z57" s="642">
        <f>SUM(Z58:AC81)</f>
        <v>1980</v>
      </c>
      <c r="AA57" s="642"/>
      <c r="AB57" s="642"/>
      <c r="AC57" s="642"/>
      <c r="AD57" s="643"/>
      <c r="AE57" s="643"/>
      <c r="AF57" s="643"/>
      <c r="AG57" s="644">
        <f>SUM(AG58:AK81)</f>
        <v>266</v>
      </c>
      <c r="AH57" s="645"/>
      <c r="AI57" s="645"/>
      <c r="AJ57" s="645"/>
      <c r="AK57" s="646"/>
      <c r="AL57" s="644">
        <f>SUM(AL58:AP81)</f>
        <v>136</v>
      </c>
      <c r="AM57" s="645"/>
      <c r="AN57" s="645"/>
      <c r="AO57" s="645"/>
      <c r="AP57" s="646"/>
      <c r="AQ57" s="644">
        <f>SUM(AQ58:AU81)</f>
        <v>114</v>
      </c>
      <c r="AR57" s="645"/>
      <c r="AS57" s="645"/>
      <c r="AT57" s="645"/>
      <c r="AU57" s="646"/>
      <c r="AV57" s="644">
        <f>SUM(AV58:AZ81)</f>
        <v>16</v>
      </c>
      <c r="AW57" s="645"/>
      <c r="AX57" s="645"/>
      <c r="AY57" s="645"/>
      <c r="AZ57" s="646"/>
      <c r="BA57" s="644">
        <f>SUM(BA58:BE81)</f>
        <v>0</v>
      </c>
      <c r="BB57" s="645"/>
      <c r="BC57" s="645"/>
      <c r="BD57" s="645"/>
      <c r="BE57" s="646"/>
      <c r="BF57" s="644">
        <f>SUM(BF58:BJ81)</f>
        <v>0</v>
      </c>
      <c r="BG57" s="645"/>
      <c r="BH57" s="645"/>
      <c r="BI57" s="645"/>
      <c r="BJ57" s="646"/>
      <c r="BK57" s="642">
        <f>SUM(BK58:BN81)</f>
        <v>1714</v>
      </c>
      <c r="BL57" s="642"/>
      <c r="BM57" s="642"/>
      <c r="BN57" s="669"/>
      <c r="BO57" s="652">
        <f>SUM(BO58:BR81)</f>
        <v>0</v>
      </c>
      <c r="BP57" s="647"/>
      <c r="BQ57" s="647"/>
      <c r="BR57" s="647"/>
      <c r="BS57" s="647">
        <f>SUM(BS58:BV81)</f>
        <v>0</v>
      </c>
      <c r="BT57" s="647"/>
      <c r="BU57" s="647"/>
      <c r="BV57" s="647"/>
      <c r="BW57" s="647">
        <f>SUM(BW58:BZ81)</f>
        <v>4</v>
      </c>
      <c r="BX57" s="647"/>
      <c r="BY57" s="647"/>
      <c r="BZ57" s="647"/>
      <c r="CA57" s="647">
        <f>SUM(CA58:CD81)</f>
        <v>13</v>
      </c>
      <c r="CB57" s="647"/>
      <c r="CC57" s="647"/>
      <c r="CD57" s="647"/>
      <c r="CE57" s="647">
        <f>SUM(CE58:CH81)</f>
        <v>15</v>
      </c>
      <c r="CF57" s="647"/>
      <c r="CG57" s="647"/>
      <c r="CH57" s="647"/>
      <c r="CI57" s="647">
        <f>SUM(CI58:CL81)</f>
        <v>15</v>
      </c>
      <c r="CJ57" s="647"/>
      <c r="CK57" s="647"/>
      <c r="CL57" s="647"/>
      <c r="CM57" s="647">
        <f>SUM(CM58:CP81)</f>
        <v>15</v>
      </c>
      <c r="CN57" s="647"/>
      <c r="CO57" s="647"/>
      <c r="CP57" s="647"/>
      <c r="CQ57" s="647">
        <f>SUM(CQ58:CT81)</f>
        <v>10</v>
      </c>
      <c r="CR57" s="647"/>
      <c r="CS57" s="647"/>
      <c r="CT57" s="647"/>
      <c r="CU57" s="647">
        <f>SUM(CU58:CX81)</f>
        <v>10</v>
      </c>
      <c r="CV57" s="647"/>
      <c r="CW57" s="647"/>
      <c r="CX57" s="647"/>
      <c r="CY57" s="647">
        <f>SUM(CY58:DB81)</f>
        <v>0</v>
      </c>
      <c r="CZ57" s="647"/>
      <c r="DA57" s="647"/>
      <c r="DB57" s="649"/>
      <c r="DC57" s="650">
        <f>SUM(DC58:DF81)</f>
        <v>0</v>
      </c>
      <c r="DD57" s="647"/>
      <c r="DE57" s="647"/>
      <c r="DF57" s="647"/>
      <c r="DG57" s="647">
        <f>SUM(DG58:DJ81)</f>
        <v>0</v>
      </c>
      <c r="DH57" s="647"/>
      <c r="DI57" s="647"/>
      <c r="DJ57" s="647"/>
      <c r="DK57" s="647">
        <f>SUM(DK58:DN81)</f>
        <v>2</v>
      </c>
      <c r="DL57" s="647"/>
      <c r="DM57" s="647"/>
      <c r="DN57" s="647"/>
      <c r="DO57" s="647">
        <f>SUM(DO58:DR81)</f>
        <v>10</v>
      </c>
      <c r="DP57" s="647"/>
      <c r="DQ57" s="647"/>
      <c r="DR57" s="647"/>
      <c r="DS57" s="647">
        <f>SUM(DS58:DV81)</f>
        <v>12</v>
      </c>
      <c r="DT57" s="647"/>
      <c r="DU57" s="647"/>
      <c r="DV57" s="647"/>
      <c r="DW57" s="647">
        <f>SUM(DW58:DZ81)</f>
        <v>12</v>
      </c>
      <c r="DX57" s="647"/>
      <c r="DY57" s="647"/>
      <c r="DZ57" s="647"/>
      <c r="EA57" s="647">
        <f>SUM(EA58:ED81)</f>
        <v>14</v>
      </c>
      <c r="EB57" s="647"/>
      <c r="EC57" s="647"/>
      <c r="ED57" s="647"/>
      <c r="EE57" s="647">
        <f>SUM(EE58:EH81)</f>
        <v>8</v>
      </c>
      <c r="EF57" s="647"/>
      <c r="EG57" s="647"/>
      <c r="EH57" s="647"/>
      <c r="EI57" s="647">
        <f>SUM(EI58:EL81)</f>
        <v>8</v>
      </c>
      <c r="EJ57" s="647"/>
      <c r="EK57" s="647"/>
      <c r="EL57" s="647"/>
      <c r="EM57" s="647">
        <f>SUM(EM58:EP81)</f>
        <v>0</v>
      </c>
      <c r="EN57" s="647"/>
      <c r="EO57" s="647"/>
      <c r="EP57" s="648"/>
      <c r="EQ57" s="655">
        <f>EM57+EI57+EE57+EA57+DW57+DS57+DO57+DK57+DG57+DC57</f>
        <v>66</v>
      </c>
      <c r="ER57" s="656"/>
      <c r="ES57" s="657"/>
    </row>
    <row r="58" spans="1:150" s="98" customFormat="1" ht="90" customHeight="1" x14ac:dyDescent="0.2">
      <c r="A58" s="754" t="s">
        <v>10</v>
      </c>
      <c r="B58" s="87" t="s">
        <v>161</v>
      </c>
      <c r="C58" s="378" t="s">
        <v>151</v>
      </c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  <c r="Z58" s="674">
        <f>EQ58*30</f>
        <v>60</v>
      </c>
      <c r="AA58" s="675"/>
      <c r="AB58" s="675"/>
      <c r="AC58" s="676"/>
      <c r="AD58" s="680"/>
      <c r="AE58" s="681"/>
      <c r="AF58" s="682"/>
      <c r="AG58" s="695">
        <f>SUM(AL58:BE59)</f>
        <v>12</v>
      </c>
      <c r="AH58" s="696"/>
      <c r="AI58" s="696"/>
      <c r="AJ58" s="696"/>
      <c r="AK58" s="697"/>
      <c r="AL58" s="695">
        <v>8</v>
      </c>
      <c r="AM58" s="696"/>
      <c r="AN58" s="696"/>
      <c r="AO58" s="696"/>
      <c r="AP58" s="697"/>
      <c r="AQ58" s="695">
        <v>4</v>
      </c>
      <c r="AR58" s="696"/>
      <c r="AS58" s="696"/>
      <c r="AT58" s="696"/>
      <c r="AU58" s="697"/>
      <c r="AV58" s="695"/>
      <c r="AW58" s="696"/>
      <c r="AX58" s="696"/>
      <c r="AY58" s="696"/>
      <c r="AZ58" s="697"/>
      <c r="BA58" s="695"/>
      <c r="BB58" s="696"/>
      <c r="BC58" s="696"/>
      <c r="BD58" s="696"/>
      <c r="BE58" s="697"/>
      <c r="BF58" s="695"/>
      <c r="BG58" s="696"/>
      <c r="BH58" s="696"/>
      <c r="BI58" s="696"/>
      <c r="BJ58" s="697"/>
      <c r="BK58" s="674">
        <f>Z58-AG58</f>
        <v>48</v>
      </c>
      <c r="BL58" s="675"/>
      <c r="BM58" s="675"/>
      <c r="BN58" s="701"/>
      <c r="BO58" s="693"/>
      <c r="BP58" s="681"/>
      <c r="BQ58" s="681"/>
      <c r="BR58" s="681"/>
      <c r="BS58" s="659"/>
      <c r="BT58" s="659"/>
      <c r="BU58" s="659"/>
      <c r="BV58" s="659"/>
      <c r="BW58" s="659">
        <v>4</v>
      </c>
      <c r="BX58" s="659"/>
      <c r="BY58" s="659"/>
      <c r="BZ58" s="659"/>
      <c r="CA58" s="659"/>
      <c r="CB58" s="659"/>
      <c r="CC58" s="659"/>
      <c r="CD58" s="659"/>
      <c r="CE58" s="659"/>
      <c r="CF58" s="659"/>
      <c r="CG58" s="659"/>
      <c r="CH58" s="659"/>
      <c r="CI58" s="659"/>
      <c r="CJ58" s="659"/>
      <c r="CK58" s="659"/>
      <c r="CL58" s="659"/>
      <c r="CM58" s="659"/>
      <c r="CN58" s="659"/>
      <c r="CO58" s="659"/>
      <c r="CP58" s="659"/>
      <c r="CQ58" s="659"/>
      <c r="CR58" s="659"/>
      <c r="CS58" s="659"/>
      <c r="CT58" s="659"/>
      <c r="CU58" s="659"/>
      <c r="CV58" s="659"/>
      <c r="CW58" s="659"/>
      <c r="CX58" s="659"/>
      <c r="CY58" s="659"/>
      <c r="CZ58" s="659"/>
      <c r="DA58" s="659"/>
      <c r="DB58" s="662"/>
      <c r="DC58" s="663"/>
      <c r="DD58" s="659"/>
      <c r="DE58" s="659"/>
      <c r="DF58" s="659"/>
      <c r="DG58" s="659"/>
      <c r="DH58" s="659"/>
      <c r="DI58" s="659"/>
      <c r="DJ58" s="659"/>
      <c r="DK58" s="659">
        <v>2</v>
      </c>
      <c r="DL58" s="659"/>
      <c r="DM58" s="659"/>
      <c r="DN58" s="659"/>
      <c r="DO58" s="659"/>
      <c r="DP58" s="659"/>
      <c r="DQ58" s="659"/>
      <c r="DR58" s="659"/>
      <c r="DS58" s="659"/>
      <c r="DT58" s="659"/>
      <c r="DU58" s="659"/>
      <c r="DV58" s="659"/>
      <c r="DW58" s="659"/>
      <c r="DX58" s="659"/>
      <c r="DY58" s="659"/>
      <c r="DZ58" s="659"/>
      <c r="EA58" s="659"/>
      <c r="EB58" s="659"/>
      <c r="EC58" s="659"/>
      <c r="ED58" s="659"/>
      <c r="EE58" s="659"/>
      <c r="EF58" s="659"/>
      <c r="EG58" s="659"/>
      <c r="EH58" s="659"/>
      <c r="EI58" s="659"/>
      <c r="EJ58" s="659"/>
      <c r="EK58" s="659"/>
      <c r="EL58" s="659"/>
      <c r="EM58" s="659"/>
      <c r="EN58" s="659"/>
      <c r="EO58" s="659"/>
      <c r="EP58" s="662"/>
      <c r="EQ58" s="671">
        <f t="shared" ref="EQ58" si="13">EM58+EI58+EE58+EA58+DW58+DS58+DO58+DK58+DG58+DC58</f>
        <v>2</v>
      </c>
      <c r="ER58" s="672"/>
      <c r="ES58" s="673"/>
    </row>
    <row r="59" spans="1:150" s="98" customFormat="1" ht="99.95" customHeight="1" x14ac:dyDescent="0.2">
      <c r="A59" s="755"/>
      <c r="B59" s="87" t="s">
        <v>149</v>
      </c>
      <c r="C59" s="378" t="s">
        <v>162</v>
      </c>
      <c r="D59" s="378"/>
      <c r="E59" s="378"/>
      <c r="F59" s="378"/>
      <c r="G59" s="378"/>
      <c r="H59" s="378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677"/>
      <c r="AA59" s="678"/>
      <c r="AB59" s="678"/>
      <c r="AC59" s="679"/>
      <c r="AD59" s="683"/>
      <c r="AE59" s="684"/>
      <c r="AF59" s="685"/>
      <c r="AG59" s="698"/>
      <c r="AH59" s="699"/>
      <c r="AI59" s="699"/>
      <c r="AJ59" s="699"/>
      <c r="AK59" s="700"/>
      <c r="AL59" s="698"/>
      <c r="AM59" s="699"/>
      <c r="AN59" s="699"/>
      <c r="AO59" s="699"/>
      <c r="AP59" s="700"/>
      <c r="AQ59" s="698"/>
      <c r="AR59" s="699"/>
      <c r="AS59" s="699"/>
      <c r="AT59" s="699"/>
      <c r="AU59" s="700"/>
      <c r="AV59" s="698"/>
      <c r="AW59" s="699"/>
      <c r="AX59" s="699"/>
      <c r="AY59" s="699"/>
      <c r="AZ59" s="700"/>
      <c r="BA59" s="698"/>
      <c r="BB59" s="699"/>
      <c r="BC59" s="699"/>
      <c r="BD59" s="699"/>
      <c r="BE59" s="700"/>
      <c r="BF59" s="698"/>
      <c r="BG59" s="699"/>
      <c r="BH59" s="699"/>
      <c r="BI59" s="699"/>
      <c r="BJ59" s="700"/>
      <c r="BK59" s="677"/>
      <c r="BL59" s="678"/>
      <c r="BM59" s="678"/>
      <c r="BN59" s="702"/>
      <c r="BO59" s="694"/>
      <c r="BP59" s="684"/>
      <c r="BQ59" s="684"/>
      <c r="BR59" s="684"/>
      <c r="BS59" s="659"/>
      <c r="BT59" s="659"/>
      <c r="BU59" s="659"/>
      <c r="BV59" s="659"/>
      <c r="BW59" s="659"/>
      <c r="BX59" s="659"/>
      <c r="BY59" s="659"/>
      <c r="BZ59" s="659"/>
      <c r="CA59" s="659"/>
      <c r="CB59" s="659"/>
      <c r="CC59" s="659"/>
      <c r="CD59" s="659"/>
      <c r="CE59" s="659"/>
      <c r="CF59" s="659"/>
      <c r="CG59" s="659"/>
      <c r="CH59" s="659"/>
      <c r="CI59" s="659"/>
      <c r="CJ59" s="659"/>
      <c r="CK59" s="659"/>
      <c r="CL59" s="659"/>
      <c r="CM59" s="659"/>
      <c r="CN59" s="659"/>
      <c r="CO59" s="659"/>
      <c r="CP59" s="659"/>
      <c r="CQ59" s="659"/>
      <c r="CR59" s="659"/>
      <c r="CS59" s="659"/>
      <c r="CT59" s="659"/>
      <c r="CU59" s="659"/>
      <c r="CV59" s="659"/>
      <c r="CW59" s="659"/>
      <c r="CX59" s="659"/>
      <c r="CY59" s="659"/>
      <c r="CZ59" s="659"/>
      <c r="DA59" s="659"/>
      <c r="DB59" s="662"/>
      <c r="DC59" s="663"/>
      <c r="DD59" s="659"/>
      <c r="DE59" s="659"/>
      <c r="DF59" s="659"/>
      <c r="DG59" s="659"/>
      <c r="DH59" s="659"/>
      <c r="DI59" s="659"/>
      <c r="DJ59" s="659"/>
      <c r="DK59" s="659"/>
      <c r="DL59" s="659"/>
      <c r="DM59" s="659"/>
      <c r="DN59" s="659"/>
      <c r="DO59" s="659"/>
      <c r="DP59" s="659"/>
      <c r="DQ59" s="659"/>
      <c r="DR59" s="659"/>
      <c r="DS59" s="659"/>
      <c r="DT59" s="659"/>
      <c r="DU59" s="659"/>
      <c r="DV59" s="659"/>
      <c r="DW59" s="659"/>
      <c r="DX59" s="659"/>
      <c r="DY59" s="659"/>
      <c r="DZ59" s="659"/>
      <c r="EA59" s="659"/>
      <c r="EB59" s="659"/>
      <c r="EC59" s="659"/>
      <c r="ED59" s="659"/>
      <c r="EE59" s="659"/>
      <c r="EF59" s="659"/>
      <c r="EG59" s="659"/>
      <c r="EH59" s="659"/>
      <c r="EI59" s="659"/>
      <c r="EJ59" s="659"/>
      <c r="EK59" s="659"/>
      <c r="EL59" s="659"/>
      <c r="EM59" s="659"/>
      <c r="EN59" s="659"/>
      <c r="EO59" s="659"/>
      <c r="EP59" s="662"/>
      <c r="EQ59" s="671">
        <f t="shared" ref="EQ59" si="14">DC59+DG59+DK59+DO59+DS59+DW59+EA59+EE59+EI59+EM59</f>
        <v>0</v>
      </c>
      <c r="ER59" s="672"/>
      <c r="ES59" s="673"/>
    </row>
    <row r="60" spans="1:150" s="98" customFormat="1" ht="69.95" customHeight="1" x14ac:dyDescent="0.2">
      <c r="A60" s="754" t="s">
        <v>11</v>
      </c>
      <c r="B60" s="87" t="s">
        <v>192</v>
      </c>
      <c r="C60" s="378" t="s">
        <v>210</v>
      </c>
      <c r="D60" s="378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674">
        <f t="shared" ref="Z60" si="15">EQ60*30</f>
        <v>120</v>
      </c>
      <c r="AA60" s="675"/>
      <c r="AB60" s="675"/>
      <c r="AC60" s="676"/>
      <c r="AD60" s="680"/>
      <c r="AE60" s="681"/>
      <c r="AF60" s="682"/>
      <c r="AG60" s="695">
        <f t="shared" ref="AG60" si="16">SUM(AL60:BE61)</f>
        <v>16</v>
      </c>
      <c r="AH60" s="696"/>
      <c r="AI60" s="696"/>
      <c r="AJ60" s="696"/>
      <c r="AK60" s="697"/>
      <c r="AL60" s="695">
        <v>8</v>
      </c>
      <c r="AM60" s="696"/>
      <c r="AN60" s="696"/>
      <c r="AO60" s="696"/>
      <c r="AP60" s="697"/>
      <c r="AQ60" s="695"/>
      <c r="AR60" s="696"/>
      <c r="AS60" s="696"/>
      <c r="AT60" s="696"/>
      <c r="AU60" s="697"/>
      <c r="AV60" s="695">
        <v>8</v>
      </c>
      <c r="AW60" s="696"/>
      <c r="AX60" s="696"/>
      <c r="AY60" s="696"/>
      <c r="AZ60" s="697"/>
      <c r="BA60" s="695"/>
      <c r="BB60" s="696"/>
      <c r="BC60" s="696"/>
      <c r="BD60" s="696"/>
      <c r="BE60" s="697"/>
      <c r="BF60" s="695"/>
      <c r="BG60" s="696"/>
      <c r="BH60" s="696"/>
      <c r="BI60" s="696"/>
      <c r="BJ60" s="697"/>
      <c r="BK60" s="674">
        <f t="shared" ref="BK60" si="17">Z60-AG60</f>
        <v>104</v>
      </c>
      <c r="BL60" s="675"/>
      <c r="BM60" s="675"/>
      <c r="BN60" s="701"/>
      <c r="BO60" s="693"/>
      <c r="BP60" s="681"/>
      <c r="BQ60" s="681"/>
      <c r="BR60" s="681"/>
      <c r="BS60" s="659"/>
      <c r="BT60" s="659"/>
      <c r="BU60" s="659"/>
      <c r="BV60" s="659"/>
      <c r="BW60" s="659"/>
      <c r="BX60" s="659"/>
      <c r="BY60" s="659"/>
      <c r="BZ60" s="659"/>
      <c r="CA60" s="659">
        <v>5</v>
      </c>
      <c r="CB60" s="659"/>
      <c r="CC60" s="659"/>
      <c r="CD60" s="659"/>
      <c r="CE60" s="659"/>
      <c r="CF60" s="659"/>
      <c r="CG60" s="659"/>
      <c r="CH60" s="659"/>
      <c r="CI60" s="659"/>
      <c r="CJ60" s="659"/>
      <c r="CK60" s="659"/>
      <c r="CL60" s="659"/>
      <c r="CM60" s="659"/>
      <c r="CN60" s="659"/>
      <c r="CO60" s="659"/>
      <c r="CP60" s="659"/>
      <c r="CQ60" s="659"/>
      <c r="CR60" s="659"/>
      <c r="CS60" s="659"/>
      <c r="CT60" s="659"/>
      <c r="CU60" s="659"/>
      <c r="CV60" s="659"/>
      <c r="CW60" s="659"/>
      <c r="CX60" s="659"/>
      <c r="CY60" s="659"/>
      <c r="CZ60" s="659"/>
      <c r="DA60" s="659"/>
      <c r="DB60" s="662"/>
      <c r="DC60" s="663"/>
      <c r="DD60" s="659"/>
      <c r="DE60" s="659"/>
      <c r="DF60" s="659"/>
      <c r="DG60" s="659"/>
      <c r="DH60" s="659"/>
      <c r="DI60" s="659"/>
      <c r="DJ60" s="659"/>
      <c r="DK60" s="659"/>
      <c r="DL60" s="659"/>
      <c r="DM60" s="659"/>
      <c r="DN60" s="659"/>
      <c r="DO60" s="659">
        <v>4</v>
      </c>
      <c r="DP60" s="659"/>
      <c r="DQ60" s="659"/>
      <c r="DR60" s="659"/>
      <c r="DS60" s="659"/>
      <c r="DT60" s="659"/>
      <c r="DU60" s="659"/>
      <c r="DV60" s="659"/>
      <c r="DW60" s="659"/>
      <c r="DX60" s="659"/>
      <c r="DY60" s="659"/>
      <c r="DZ60" s="659"/>
      <c r="EA60" s="659"/>
      <c r="EB60" s="659"/>
      <c r="EC60" s="659"/>
      <c r="ED60" s="659"/>
      <c r="EE60" s="659"/>
      <c r="EF60" s="659"/>
      <c r="EG60" s="659"/>
      <c r="EH60" s="659"/>
      <c r="EI60" s="659"/>
      <c r="EJ60" s="659"/>
      <c r="EK60" s="659"/>
      <c r="EL60" s="659"/>
      <c r="EM60" s="659"/>
      <c r="EN60" s="659"/>
      <c r="EO60" s="659"/>
      <c r="EP60" s="662"/>
      <c r="EQ60" s="671">
        <f t="shared" ref="EQ60" si="18">EM60+EI60+EE60+EA60+DW60+DS60+DO60+DK60+DG60+DC60</f>
        <v>4</v>
      </c>
      <c r="ER60" s="672"/>
      <c r="ES60" s="673"/>
    </row>
    <row r="61" spans="1:150" s="98" customFormat="1" ht="69.95" customHeight="1" x14ac:dyDescent="0.2">
      <c r="A61" s="755"/>
      <c r="B61" s="87" t="s">
        <v>211</v>
      </c>
      <c r="C61" s="378" t="s">
        <v>150</v>
      </c>
      <c r="D61" s="378"/>
      <c r="E61" s="378"/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8"/>
      <c r="R61" s="378"/>
      <c r="S61" s="378"/>
      <c r="T61" s="378"/>
      <c r="U61" s="378"/>
      <c r="V61" s="378"/>
      <c r="W61" s="378"/>
      <c r="X61" s="378"/>
      <c r="Y61" s="378"/>
      <c r="Z61" s="677"/>
      <c r="AA61" s="678"/>
      <c r="AB61" s="678"/>
      <c r="AC61" s="679"/>
      <c r="AD61" s="683"/>
      <c r="AE61" s="684"/>
      <c r="AF61" s="685"/>
      <c r="AG61" s="698"/>
      <c r="AH61" s="699"/>
      <c r="AI61" s="699"/>
      <c r="AJ61" s="699"/>
      <c r="AK61" s="700"/>
      <c r="AL61" s="698"/>
      <c r="AM61" s="699"/>
      <c r="AN61" s="699"/>
      <c r="AO61" s="699"/>
      <c r="AP61" s="700"/>
      <c r="AQ61" s="698"/>
      <c r="AR61" s="699"/>
      <c r="AS61" s="699"/>
      <c r="AT61" s="699"/>
      <c r="AU61" s="700"/>
      <c r="AV61" s="698"/>
      <c r="AW61" s="699"/>
      <c r="AX61" s="699"/>
      <c r="AY61" s="699"/>
      <c r="AZ61" s="700"/>
      <c r="BA61" s="698"/>
      <c r="BB61" s="699"/>
      <c r="BC61" s="699"/>
      <c r="BD61" s="699"/>
      <c r="BE61" s="700"/>
      <c r="BF61" s="698"/>
      <c r="BG61" s="699"/>
      <c r="BH61" s="699"/>
      <c r="BI61" s="699"/>
      <c r="BJ61" s="700"/>
      <c r="BK61" s="677"/>
      <c r="BL61" s="678"/>
      <c r="BM61" s="678"/>
      <c r="BN61" s="702"/>
      <c r="BO61" s="694"/>
      <c r="BP61" s="684"/>
      <c r="BQ61" s="684"/>
      <c r="BR61" s="684"/>
      <c r="BS61" s="659"/>
      <c r="BT61" s="659"/>
      <c r="BU61" s="659"/>
      <c r="BV61" s="659"/>
      <c r="BW61" s="659"/>
      <c r="BX61" s="659"/>
      <c r="BY61" s="659"/>
      <c r="BZ61" s="659"/>
      <c r="CA61" s="659"/>
      <c r="CB61" s="659"/>
      <c r="CC61" s="659"/>
      <c r="CD61" s="659"/>
      <c r="CE61" s="659"/>
      <c r="CF61" s="659"/>
      <c r="CG61" s="659"/>
      <c r="CH61" s="659"/>
      <c r="CI61" s="659"/>
      <c r="CJ61" s="659"/>
      <c r="CK61" s="659"/>
      <c r="CL61" s="659"/>
      <c r="CM61" s="659"/>
      <c r="CN61" s="659"/>
      <c r="CO61" s="659"/>
      <c r="CP61" s="659"/>
      <c r="CQ61" s="659"/>
      <c r="CR61" s="659"/>
      <c r="CS61" s="659"/>
      <c r="CT61" s="659"/>
      <c r="CU61" s="659"/>
      <c r="CV61" s="659"/>
      <c r="CW61" s="659"/>
      <c r="CX61" s="659"/>
      <c r="CY61" s="659"/>
      <c r="CZ61" s="659"/>
      <c r="DA61" s="659"/>
      <c r="DB61" s="662"/>
      <c r="DC61" s="663"/>
      <c r="DD61" s="659"/>
      <c r="DE61" s="659"/>
      <c r="DF61" s="659"/>
      <c r="DG61" s="659"/>
      <c r="DH61" s="659"/>
      <c r="DI61" s="659"/>
      <c r="DJ61" s="659"/>
      <c r="DK61" s="659"/>
      <c r="DL61" s="659"/>
      <c r="DM61" s="659"/>
      <c r="DN61" s="659"/>
      <c r="DO61" s="659"/>
      <c r="DP61" s="659"/>
      <c r="DQ61" s="659"/>
      <c r="DR61" s="659"/>
      <c r="DS61" s="659"/>
      <c r="DT61" s="659"/>
      <c r="DU61" s="659"/>
      <c r="DV61" s="659"/>
      <c r="DW61" s="659"/>
      <c r="DX61" s="659"/>
      <c r="DY61" s="659"/>
      <c r="DZ61" s="659"/>
      <c r="EA61" s="659"/>
      <c r="EB61" s="659"/>
      <c r="EC61" s="659"/>
      <c r="ED61" s="659"/>
      <c r="EE61" s="659"/>
      <c r="EF61" s="659"/>
      <c r="EG61" s="659"/>
      <c r="EH61" s="659"/>
      <c r="EI61" s="659"/>
      <c r="EJ61" s="659"/>
      <c r="EK61" s="659"/>
      <c r="EL61" s="659"/>
      <c r="EM61" s="659"/>
      <c r="EN61" s="659"/>
      <c r="EO61" s="659"/>
      <c r="EP61" s="662"/>
      <c r="EQ61" s="671">
        <f t="shared" ref="EQ61" si="19">DC61+DG61+DK61+DO61+DS61+DW61+EA61+EE61+EI61+EM61</f>
        <v>0</v>
      </c>
      <c r="ER61" s="672"/>
      <c r="ES61" s="673"/>
    </row>
    <row r="62" spans="1:150" s="98" customFormat="1" ht="69.95" customHeight="1" x14ac:dyDescent="0.2">
      <c r="A62" s="754" t="s">
        <v>39</v>
      </c>
      <c r="B62" s="87" t="s">
        <v>166</v>
      </c>
      <c r="C62" s="426" t="s">
        <v>165</v>
      </c>
      <c r="D62" s="426"/>
      <c r="E62" s="426"/>
      <c r="F62" s="426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  <c r="Z62" s="674">
        <f t="shared" ref="Z62" si="20">EQ62*30</f>
        <v>120</v>
      </c>
      <c r="AA62" s="675"/>
      <c r="AB62" s="675"/>
      <c r="AC62" s="676"/>
      <c r="AD62" s="680"/>
      <c r="AE62" s="681"/>
      <c r="AF62" s="682"/>
      <c r="AG62" s="695">
        <f t="shared" ref="AG62" si="21">SUM(AL62:BE63)</f>
        <v>16</v>
      </c>
      <c r="AH62" s="696"/>
      <c r="AI62" s="696"/>
      <c r="AJ62" s="696"/>
      <c r="AK62" s="697"/>
      <c r="AL62" s="695">
        <v>8</v>
      </c>
      <c r="AM62" s="696"/>
      <c r="AN62" s="696"/>
      <c r="AO62" s="696"/>
      <c r="AP62" s="697"/>
      <c r="AQ62" s="695"/>
      <c r="AR62" s="696"/>
      <c r="AS62" s="696"/>
      <c r="AT62" s="696"/>
      <c r="AU62" s="697"/>
      <c r="AV62" s="695">
        <v>8</v>
      </c>
      <c r="AW62" s="696"/>
      <c r="AX62" s="696"/>
      <c r="AY62" s="696"/>
      <c r="AZ62" s="697"/>
      <c r="BA62" s="695"/>
      <c r="BB62" s="696"/>
      <c r="BC62" s="696"/>
      <c r="BD62" s="696"/>
      <c r="BE62" s="697"/>
      <c r="BF62" s="695"/>
      <c r="BG62" s="696"/>
      <c r="BH62" s="696"/>
      <c r="BI62" s="696"/>
      <c r="BJ62" s="697"/>
      <c r="BK62" s="674">
        <f t="shared" ref="BK62" si="22">Z62-AG62</f>
        <v>104</v>
      </c>
      <c r="BL62" s="675"/>
      <c r="BM62" s="675"/>
      <c r="BN62" s="701"/>
      <c r="BO62" s="693"/>
      <c r="BP62" s="681"/>
      <c r="BQ62" s="681"/>
      <c r="BR62" s="681"/>
      <c r="BS62" s="659"/>
      <c r="BT62" s="659"/>
      <c r="BU62" s="659"/>
      <c r="BV62" s="659"/>
      <c r="BW62" s="659"/>
      <c r="BX62" s="659"/>
      <c r="BY62" s="659"/>
      <c r="BZ62" s="659"/>
      <c r="CA62" s="659">
        <v>5</v>
      </c>
      <c r="CB62" s="659"/>
      <c r="CC62" s="659"/>
      <c r="CD62" s="659"/>
      <c r="CE62" s="659"/>
      <c r="CF62" s="659"/>
      <c r="CG62" s="659"/>
      <c r="CH62" s="659"/>
      <c r="CI62" s="659"/>
      <c r="CJ62" s="659"/>
      <c r="CK62" s="659"/>
      <c r="CL62" s="659"/>
      <c r="CM62" s="659"/>
      <c r="CN62" s="659"/>
      <c r="CO62" s="659"/>
      <c r="CP62" s="659"/>
      <c r="CQ62" s="659"/>
      <c r="CR62" s="659"/>
      <c r="CS62" s="659"/>
      <c r="CT62" s="659"/>
      <c r="CU62" s="659"/>
      <c r="CV62" s="659"/>
      <c r="CW62" s="659"/>
      <c r="CX62" s="659"/>
      <c r="CY62" s="659"/>
      <c r="CZ62" s="659"/>
      <c r="DA62" s="659"/>
      <c r="DB62" s="662"/>
      <c r="DC62" s="663"/>
      <c r="DD62" s="659"/>
      <c r="DE62" s="659"/>
      <c r="DF62" s="659"/>
      <c r="DG62" s="659"/>
      <c r="DH62" s="659"/>
      <c r="DI62" s="659"/>
      <c r="DJ62" s="659"/>
      <c r="DK62" s="659"/>
      <c r="DL62" s="659"/>
      <c r="DM62" s="659"/>
      <c r="DN62" s="659"/>
      <c r="DO62" s="659">
        <v>4</v>
      </c>
      <c r="DP62" s="659"/>
      <c r="DQ62" s="659"/>
      <c r="DR62" s="659"/>
      <c r="DS62" s="659"/>
      <c r="DT62" s="659"/>
      <c r="DU62" s="659"/>
      <c r="DV62" s="659"/>
      <c r="DW62" s="659"/>
      <c r="DX62" s="659"/>
      <c r="DY62" s="659"/>
      <c r="DZ62" s="659"/>
      <c r="EA62" s="659"/>
      <c r="EB62" s="659"/>
      <c r="EC62" s="659"/>
      <c r="ED62" s="659"/>
      <c r="EE62" s="659"/>
      <c r="EF62" s="659"/>
      <c r="EG62" s="659"/>
      <c r="EH62" s="659"/>
      <c r="EI62" s="659"/>
      <c r="EJ62" s="659"/>
      <c r="EK62" s="659"/>
      <c r="EL62" s="659"/>
      <c r="EM62" s="659"/>
      <c r="EN62" s="659"/>
      <c r="EO62" s="659"/>
      <c r="EP62" s="662"/>
      <c r="EQ62" s="671">
        <f t="shared" ref="EQ62" si="23">EM62+EI62+EE62+EA62+DW62+DS62+DO62+DK62+DG62+DC62</f>
        <v>4</v>
      </c>
      <c r="ER62" s="672"/>
      <c r="ES62" s="673"/>
    </row>
    <row r="63" spans="1:150" s="98" customFormat="1" ht="69.95" customHeight="1" x14ac:dyDescent="0.2">
      <c r="A63" s="755"/>
      <c r="B63" s="87" t="s">
        <v>168</v>
      </c>
      <c r="C63" s="426" t="s">
        <v>167</v>
      </c>
      <c r="D63" s="426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  <c r="Z63" s="677"/>
      <c r="AA63" s="678"/>
      <c r="AB63" s="678"/>
      <c r="AC63" s="679"/>
      <c r="AD63" s="683"/>
      <c r="AE63" s="684"/>
      <c r="AF63" s="685"/>
      <c r="AG63" s="698"/>
      <c r="AH63" s="699"/>
      <c r="AI63" s="699"/>
      <c r="AJ63" s="699"/>
      <c r="AK63" s="700"/>
      <c r="AL63" s="698"/>
      <c r="AM63" s="699"/>
      <c r="AN63" s="699"/>
      <c r="AO63" s="699"/>
      <c r="AP63" s="700"/>
      <c r="AQ63" s="698"/>
      <c r="AR63" s="699"/>
      <c r="AS63" s="699"/>
      <c r="AT63" s="699"/>
      <c r="AU63" s="700"/>
      <c r="AV63" s="698"/>
      <c r="AW63" s="699"/>
      <c r="AX63" s="699"/>
      <c r="AY63" s="699"/>
      <c r="AZ63" s="700"/>
      <c r="BA63" s="698"/>
      <c r="BB63" s="699"/>
      <c r="BC63" s="699"/>
      <c r="BD63" s="699"/>
      <c r="BE63" s="700"/>
      <c r="BF63" s="698"/>
      <c r="BG63" s="699"/>
      <c r="BH63" s="699"/>
      <c r="BI63" s="699"/>
      <c r="BJ63" s="700"/>
      <c r="BK63" s="677"/>
      <c r="BL63" s="678"/>
      <c r="BM63" s="678"/>
      <c r="BN63" s="702"/>
      <c r="BO63" s="694"/>
      <c r="BP63" s="684"/>
      <c r="BQ63" s="684"/>
      <c r="BR63" s="684"/>
      <c r="BS63" s="659"/>
      <c r="BT63" s="659"/>
      <c r="BU63" s="659"/>
      <c r="BV63" s="659"/>
      <c r="BW63" s="659"/>
      <c r="BX63" s="659"/>
      <c r="BY63" s="659"/>
      <c r="BZ63" s="659"/>
      <c r="CA63" s="659"/>
      <c r="CB63" s="659"/>
      <c r="CC63" s="659"/>
      <c r="CD63" s="659"/>
      <c r="CE63" s="659"/>
      <c r="CF63" s="659"/>
      <c r="CG63" s="659"/>
      <c r="CH63" s="659"/>
      <c r="CI63" s="659"/>
      <c r="CJ63" s="659"/>
      <c r="CK63" s="659"/>
      <c r="CL63" s="659"/>
      <c r="CM63" s="659"/>
      <c r="CN63" s="659"/>
      <c r="CO63" s="659"/>
      <c r="CP63" s="659"/>
      <c r="CQ63" s="659"/>
      <c r="CR63" s="659"/>
      <c r="CS63" s="659"/>
      <c r="CT63" s="659"/>
      <c r="CU63" s="659"/>
      <c r="CV63" s="659"/>
      <c r="CW63" s="659"/>
      <c r="CX63" s="659"/>
      <c r="CY63" s="659"/>
      <c r="CZ63" s="659"/>
      <c r="DA63" s="659"/>
      <c r="DB63" s="662"/>
      <c r="DC63" s="663"/>
      <c r="DD63" s="659"/>
      <c r="DE63" s="659"/>
      <c r="DF63" s="659"/>
      <c r="DG63" s="659"/>
      <c r="DH63" s="659"/>
      <c r="DI63" s="659"/>
      <c r="DJ63" s="659"/>
      <c r="DK63" s="659"/>
      <c r="DL63" s="659"/>
      <c r="DM63" s="659"/>
      <c r="DN63" s="659"/>
      <c r="DO63" s="659"/>
      <c r="DP63" s="659"/>
      <c r="DQ63" s="659"/>
      <c r="DR63" s="659"/>
      <c r="DS63" s="659"/>
      <c r="DT63" s="659"/>
      <c r="DU63" s="659"/>
      <c r="DV63" s="659"/>
      <c r="DW63" s="659"/>
      <c r="DX63" s="659"/>
      <c r="DY63" s="659"/>
      <c r="DZ63" s="659"/>
      <c r="EA63" s="659"/>
      <c r="EB63" s="659"/>
      <c r="EC63" s="659"/>
      <c r="ED63" s="659"/>
      <c r="EE63" s="659"/>
      <c r="EF63" s="659"/>
      <c r="EG63" s="659"/>
      <c r="EH63" s="659"/>
      <c r="EI63" s="659"/>
      <c r="EJ63" s="659"/>
      <c r="EK63" s="659"/>
      <c r="EL63" s="659"/>
      <c r="EM63" s="659"/>
      <c r="EN63" s="659"/>
      <c r="EO63" s="659"/>
      <c r="EP63" s="662"/>
      <c r="EQ63" s="671">
        <f t="shared" ref="EQ63" si="24">DC63+DG63+DK63+DO63+DS63+DW63+EA63+EE63+EI63+EM63</f>
        <v>0</v>
      </c>
      <c r="ER63" s="672"/>
      <c r="ES63" s="673"/>
    </row>
    <row r="64" spans="1:150" s="98" customFormat="1" ht="90" customHeight="1" x14ac:dyDescent="0.2">
      <c r="A64" s="754" t="s">
        <v>40</v>
      </c>
      <c r="B64" s="87" t="s">
        <v>170</v>
      </c>
      <c r="C64" s="426" t="s">
        <v>169</v>
      </c>
      <c r="D64" s="426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  <c r="Z64" s="674">
        <f t="shared" ref="Z64" si="25">EQ64*30</f>
        <v>60</v>
      </c>
      <c r="AA64" s="675"/>
      <c r="AB64" s="675"/>
      <c r="AC64" s="676"/>
      <c r="AD64" s="680"/>
      <c r="AE64" s="681"/>
      <c r="AF64" s="682"/>
      <c r="AG64" s="695">
        <f t="shared" ref="AG64" si="26">SUM(AL64:BE65)</f>
        <v>8</v>
      </c>
      <c r="AH64" s="696"/>
      <c r="AI64" s="696"/>
      <c r="AJ64" s="696"/>
      <c r="AK64" s="697"/>
      <c r="AL64" s="695">
        <v>4</v>
      </c>
      <c r="AM64" s="696"/>
      <c r="AN64" s="696"/>
      <c r="AO64" s="696"/>
      <c r="AP64" s="697"/>
      <c r="AQ64" s="695">
        <v>4</v>
      </c>
      <c r="AR64" s="696"/>
      <c r="AS64" s="696"/>
      <c r="AT64" s="696"/>
      <c r="AU64" s="697"/>
      <c r="AV64" s="695"/>
      <c r="AW64" s="696"/>
      <c r="AX64" s="696"/>
      <c r="AY64" s="696"/>
      <c r="AZ64" s="697"/>
      <c r="BA64" s="695"/>
      <c r="BB64" s="696"/>
      <c r="BC64" s="696"/>
      <c r="BD64" s="696"/>
      <c r="BE64" s="697"/>
      <c r="BF64" s="695"/>
      <c r="BG64" s="696"/>
      <c r="BH64" s="696"/>
      <c r="BI64" s="696"/>
      <c r="BJ64" s="697"/>
      <c r="BK64" s="674">
        <f t="shared" ref="BK64" si="27">Z64-AG64</f>
        <v>52</v>
      </c>
      <c r="BL64" s="675"/>
      <c r="BM64" s="675"/>
      <c r="BN64" s="701"/>
      <c r="BO64" s="693"/>
      <c r="BP64" s="681"/>
      <c r="BQ64" s="681"/>
      <c r="BR64" s="681"/>
      <c r="BS64" s="659"/>
      <c r="BT64" s="659"/>
      <c r="BU64" s="659"/>
      <c r="BV64" s="659"/>
      <c r="BW64" s="659"/>
      <c r="BX64" s="659"/>
      <c r="BY64" s="659"/>
      <c r="BZ64" s="659"/>
      <c r="CA64" s="659">
        <v>3</v>
      </c>
      <c r="CB64" s="659"/>
      <c r="CC64" s="659"/>
      <c r="CD64" s="659"/>
      <c r="CE64" s="659"/>
      <c r="CF64" s="659"/>
      <c r="CG64" s="659"/>
      <c r="CH64" s="659"/>
      <c r="CI64" s="659"/>
      <c r="CJ64" s="659"/>
      <c r="CK64" s="659"/>
      <c r="CL64" s="659"/>
      <c r="CM64" s="659"/>
      <c r="CN64" s="659"/>
      <c r="CO64" s="659"/>
      <c r="CP64" s="659"/>
      <c r="CQ64" s="659"/>
      <c r="CR64" s="659"/>
      <c r="CS64" s="659"/>
      <c r="CT64" s="659"/>
      <c r="CU64" s="659"/>
      <c r="CV64" s="659"/>
      <c r="CW64" s="659"/>
      <c r="CX64" s="659"/>
      <c r="CY64" s="659"/>
      <c r="CZ64" s="659"/>
      <c r="DA64" s="659"/>
      <c r="DB64" s="662"/>
      <c r="DC64" s="663"/>
      <c r="DD64" s="659"/>
      <c r="DE64" s="659"/>
      <c r="DF64" s="659"/>
      <c r="DG64" s="659"/>
      <c r="DH64" s="659"/>
      <c r="DI64" s="659"/>
      <c r="DJ64" s="659"/>
      <c r="DK64" s="659"/>
      <c r="DL64" s="659"/>
      <c r="DM64" s="659"/>
      <c r="DN64" s="659"/>
      <c r="DO64" s="659">
        <v>2</v>
      </c>
      <c r="DP64" s="659"/>
      <c r="DQ64" s="659"/>
      <c r="DR64" s="659"/>
      <c r="DS64" s="659"/>
      <c r="DT64" s="659"/>
      <c r="DU64" s="659"/>
      <c r="DV64" s="659"/>
      <c r="DW64" s="659"/>
      <c r="DX64" s="659"/>
      <c r="DY64" s="659"/>
      <c r="DZ64" s="659"/>
      <c r="EA64" s="659"/>
      <c r="EB64" s="659"/>
      <c r="EC64" s="659"/>
      <c r="ED64" s="659"/>
      <c r="EE64" s="659"/>
      <c r="EF64" s="659"/>
      <c r="EG64" s="659"/>
      <c r="EH64" s="659"/>
      <c r="EI64" s="659"/>
      <c r="EJ64" s="659"/>
      <c r="EK64" s="659"/>
      <c r="EL64" s="659"/>
      <c r="EM64" s="659"/>
      <c r="EN64" s="659"/>
      <c r="EO64" s="659"/>
      <c r="EP64" s="662"/>
      <c r="EQ64" s="671">
        <f t="shared" ref="EQ64" si="28">EM64+EI64+EE64+EA64+DW64+DS64+DO64+DK64+DG64+DC64</f>
        <v>2</v>
      </c>
      <c r="ER64" s="672"/>
      <c r="ES64" s="673"/>
    </row>
    <row r="65" spans="1:149" s="98" customFormat="1" ht="69.95" customHeight="1" x14ac:dyDescent="0.2">
      <c r="A65" s="755"/>
      <c r="B65" s="87" t="s">
        <v>152</v>
      </c>
      <c r="C65" s="426" t="s">
        <v>171</v>
      </c>
      <c r="D65" s="426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  <c r="Z65" s="677"/>
      <c r="AA65" s="678"/>
      <c r="AB65" s="678"/>
      <c r="AC65" s="679"/>
      <c r="AD65" s="683"/>
      <c r="AE65" s="684"/>
      <c r="AF65" s="685"/>
      <c r="AG65" s="698"/>
      <c r="AH65" s="699"/>
      <c r="AI65" s="699"/>
      <c r="AJ65" s="699"/>
      <c r="AK65" s="700"/>
      <c r="AL65" s="698"/>
      <c r="AM65" s="699"/>
      <c r="AN65" s="699"/>
      <c r="AO65" s="699"/>
      <c r="AP65" s="700"/>
      <c r="AQ65" s="698"/>
      <c r="AR65" s="699"/>
      <c r="AS65" s="699"/>
      <c r="AT65" s="699"/>
      <c r="AU65" s="700"/>
      <c r="AV65" s="698"/>
      <c r="AW65" s="699"/>
      <c r="AX65" s="699"/>
      <c r="AY65" s="699"/>
      <c r="AZ65" s="700"/>
      <c r="BA65" s="698"/>
      <c r="BB65" s="699"/>
      <c r="BC65" s="699"/>
      <c r="BD65" s="699"/>
      <c r="BE65" s="700"/>
      <c r="BF65" s="698"/>
      <c r="BG65" s="699"/>
      <c r="BH65" s="699"/>
      <c r="BI65" s="699"/>
      <c r="BJ65" s="700"/>
      <c r="BK65" s="677"/>
      <c r="BL65" s="678"/>
      <c r="BM65" s="678"/>
      <c r="BN65" s="702"/>
      <c r="BO65" s="694"/>
      <c r="BP65" s="684"/>
      <c r="BQ65" s="684"/>
      <c r="BR65" s="684"/>
      <c r="BS65" s="659"/>
      <c r="BT65" s="659"/>
      <c r="BU65" s="659"/>
      <c r="BV65" s="659"/>
      <c r="BW65" s="659"/>
      <c r="BX65" s="659"/>
      <c r="BY65" s="659"/>
      <c r="BZ65" s="659"/>
      <c r="CA65" s="659"/>
      <c r="CB65" s="659"/>
      <c r="CC65" s="659"/>
      <c r="CD65" s="659"/>
      <c r="CE65" s="659"/>
      <c r="CF65" s="659"/>
      <c r="CG65" s="659"/>
      <c r="CH65" s="659"/>
      <c r="CI65" s="659"/>
      <c r="CJ65" s="659"/>
      <c r="CK65" s="659"/>
      <c r="CL65" s="659"/>
      <c r="CM65" s="659"/>
      <c r="CN65" s="659"/>
      <c r="CO65" s="659"/>
      <c r="CP65" s="659"/>
      <c r="CQ65" s="659"/>
      <c r="CR65" s="659"/>
      <c r="CS65" s="659"/>
      <c r="CT65" s="659"/>
      <c r="CU65" s="659"/>
      <c r="CV65" s="659"/>
      <c r="CW65" s="659"/>
      <c r="CX65" s="659"/>
      <c r="CY65" s="659"/>
      <c r="CZ65" s="659"/>
      <c r="DA65" s="659"/>
      <c r="DB65" s="662"/>
      <c r="DC65" s="663"/>
      <c r="DD65" s="659"/>
      <c r="DE65" s="659"/>
      <c r="DF65" s="659"/>
      <c r="DG65" s="659"/>
      <c r="DH65" s="659"/>
      <c r="DI65" s="659"/>
      <c r="DJ65" s="659"/>
      <c r="DK65" s="659"/>
      <c r="DL65" s="659"/>
      <c r="DM65" s="659"/>
      <c r="DN65" s="659"/>
      <c r="DO65" s="659"/>
      <c r="DP65" s="659"/>
      <c r="DQ65" s="659"/>
      <c r="DR65" s="659"/>
      <c r="DS65" s="659"/>
      <c r="DT65" s="659"/>
      <c r="DU65" s="659"/>
      <c r="DV65" s="659"/>
      <c r="DW65" s="659"/>
      <c r="DX65" s="659"/>
      <c r="DY65" s="659"/>
      <c r="DZ65" s="659"/>
      <c r="EA65" s="659"/>
      <c r="EB65" s="659"/>
      <c r="EC65" s="659"/>
      <c r="ED65" s="659"/>
      <c r="EE65" s="659"/>
      <c r="EF65" s="659"/>
      <c r="EG65" s="659"/>
      <c r="EH65" s="659"/>
      <c r="EI65" s="659"/>
      <c r="EJ65" s="659"/>
      <c r="EK65" s="659"/>
      <c r="EL65" s="659"/>
      <c r="EM65" s="659"/>
      <c r="EN65" s="659"/>
      <c r="EO65" s="659"/>
      <c r="EP65" s="662"/>
      <c r="EQ65" s="671">
        <f t="shared" ref="EQ65" si="29">DC65+DG65+DK65+DO65+DS65+DW65+EA65+EE65+EI65+EM65</f>
        <v>0</v>
      </c>
      <c r="ER65" s="672"/>
      <c r="ES65" s="673"/>
    </row>
    <row r="66" spans="1:149" s="98" customFormat="1" ht="69.95" customHeight="1" x14ac:dyDescent="0.2">
      <c r="A66" s="754" t="s">
        <v>41</v>
      </c>
      <c r="B66" s="128" t="s">
        <v>209</v>
      </c>
      <c r="C66" s="426" t="s">
        <v>172</v>
      </c>
      <c r="D66" s="426"/>
      <c r="E66" s="426"/>
      <c r="F66" s="426"/>
      <c r="G66" s="426"/>
      <c r="H66" s="426"/>
      <c r="I66" s="426"/>
      <c r="J66" s="426"/>
      <c r="K66" s="426"/>
      <c r="L66" s="426"/>
      <c r="M66" s="426"/>
      <c r="N66" s="426"/>
      <c r="O66" s="426"/>
      <c r="P66" s="426"/>
      <c r="Q66" s="426"/>
      <c r="R66" s="426"/>
      <c r="S66" s="426"/>
      <c r="T66" s="426"/>
      <c r="U66" s="426"/>
      <c r="V66" s="426"/>
      <c r="W66" s="426"/>
      <c r="X66" s="426"/>
      <c r="Y66" s="426"/>
      <c r="Z66" s="674">
        <f t="shared" ref="Z66" si="30">EQ66*30</f>
        <v>120</v>
      </c>
      <c r="AA66" s="675"/>
      <c r="AB66" s="675"/>
      <c r="AC66" s="676"/>
      <c r="AD66" s="680"/>
      <c r="AE66" s="681"/>
      <c r="AF66" s="682"/>
      <c r="AG66" s="695">
        <f t="shared" ref="AG66" si="31">SUM(AL66:BE67)</f>
        <v>16</v>
      </c>
      <c r="AH66" s="696"/>
      <c r="AI66" s="696"/>
      <c r="AJ66" s="696"/>
      <c r="AK66" s="697"/>
      <c r="AL66" s="695">
        <v>8</v>
      </c>
      <c r="AM66" s="696"/>
      <c r="AN66" s="696"/>
      <c r="AO66" s="696"/>
      <c r="AP66" s="697"/>
      <c r="AQ66" s="695">
        <v>8</v>
      </c>
      <c r="AR66" s="696"/>
      <c r="AS66" s="696"/>
      <c r="AT66" s="696"/>
      <c r="AU66" s="697"/>
      <c r="AV66" s="695"/>
      <c r="AW66" s="696"/>
      <c r="AX66" s="696"/>
      <c r="AY66" s="696"/>
      <c r="AZ66" s="697"/>
      <c r="BA66" s="695"/>
      <c r="BB66" s="696"/>
      <c r="BC66" s="696"/>
      <c r="BD66" s="696"/>
      <c r="BE66" s="697"/>
      <c r="BF66" s="695"/>
      <c r="BG66" s="696"/>
      <c r="BH66" s="696"/>
      <c r="BI66" s="696"/>
      <c r="BJ66" s="697"/>
      <c r="BK66" s="674">
        <f t="shared" ref="BK66" si="32">Z66-AG66</f>
        <v>104</v>
      </c>
      <c r="BL66" s="675"/>
      <c r="BM66" s="675"/>
      <c r="BN66" s="701"/>
      <c r="BO66" s="693"/>
      <c r="BP66" s="681"/>
      <c r="BQ66" s="681"/>
      <c r="BR66" s="681"/>
      <c r="BS66" s="659"/>
      <c r="BT66" s="659"/>
      <c r="BU66" s="659"/>
      <c r="BV66" s="659"/>
      <c r="BW66" s="659"/>
      <c r="BX66" s="659"/>
      <c r="BY66" s="659"/>
      <c r="BZ66" s="659"/>
      <c r="CA66" s="659"/>
      <c r="CB66" s="659"/>
      <c r="CC66" s="659"/>
      <c r="CD66" s="659"/>
      <c r="CE66" s="659">
        <v>5</v>
      </c>
      <c r="CF66" s="659"/>
      <c r="CG66" s="659"/>
      <c r="CH66" s="659"/>
      <c r="CI66" s="659"/>
      <c r="CJ66" s="659"/>
      <c r="CK66" s="659"/>
      <c r="CL66" s="659"/>
      <c r="CM66" s="659"/>
      <c r="CN66" s="659"/>
      <c r="CO66" s="659"/>
      <c r="CP66" s="659"/>
      <c r="CQ66" s="659"/>
      <c r="CR66" s="659"/>
      <c r="CS66" s="659"/>
      <c r="CT66" s="659"/>
      <c r="CU66" s="659"/>
      <c r="CV66" s="659"/>
      <c r="CW66" s="659"/>
      <c r="CX66" s="659"/>
      <c r="CY66" s="659"/>
      <c r="CZ66" s="659"/>
      <c r="DA66" s="659"/>
      <c r="DB66" s="662"/>
      <c r="DC66" s="663"/>
      <c r="DD66" s="659"/>
      <c r="DE66" s="659"/>
      <c r="DF66" s="659"/>
      <c r="DG66" s="659"/>
      <c r="DH66" s="659"/>
      <c r="DI66" s="659"/>
      <c r="DJ66" s="659"/>
      <c r="DK66" s="659"/>
      <c r="DL66" s="659"/>
      <c r="DM66" s="659"/>
      <c r="DN66" s="659"/>
      <c r="DO66" s="659"/>
      <c r="DP66" s="659"/>
      <c r="DQ66" s="659"/>
      <c r="DR66" s="659"/>
      <c r="DS66" s="659">
        <v>4</v>
      </c>
      <c r="DT66" s="659"/>
      <c r="DU66" s="659"/>
      <c r="DV66" s="659"/>
      <c r="DW66" s="659"/>
      <c r="DX66" s="659"/>
      <c r="DY66" s="659"/>
      <c r="DZ66" s="659"/>
      <c r="EA66" s="659"/>
      <c r="EB66" s="659"/>
      <c r="EC66" s="659"/>
      <c r="ED66" s="659"/>
      <c r="EE66" s="659"/>
      <c r="EF66" s="659"/>
      <c r="EG66" s="659"/>
      <c r="EH66" s="659"/>
      <c r="EI66" s="659"/>
      <c r="EJ66" s="659"/>
      <c r="EK66" s="659"/>
      <c r="EL66" s="659"/>
      <c r="EM66" s="659"/>
      <c r="EN66" s="659"/>
      <c r="EO66" s="659"/>
      <c r="EP66" s="662"/>
      <c r="EQ66" s="671">
        <f t="shared" ref="EQ66" si="33">EM66+EI66+EE66+EA66+DW66+DS66+DO66+DK66+DG66+DC66</f>
        <v>4</v>
      </c>
      <c r="ER66" s="672"/>
      <c r="ES66" s="673"/>
    </row>
    <row r="67" spans="1:149" s="98" customFormat="1" ht="69.95" customHeight="1" x14ac:dyDescent="0.2">
      <c r="A67" s="755"/>
      <c r="B67" s="128" t="s">
        <v>174</v>
      </c>
      <c r="C67" s="426" t="s">
        <v>173</v>
      </c>
      <c r="D67" s="426"/>
      <c r="E67" s="426"/>
      <c r="F67" s="426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  <c r="Z67" s="677"/>
      <c r="AA67" s="678"/>
      <c r="AB67" s="678"/>
      <c r="AC67" s="679"/>
      <c r="AD67" s="683"/>
      <c r="AE67" s="684"/>
      <c r="AF67" s="685"/>
      <c r="AG67" s="698"/>
      <c r="AH67" s="699"/>
      <c r="AI67" s="699"/>
      <c r="AJ67" s="699"/>
      <c r="AK67" s="700"/>
      <c r="AL67" s="698"/>
      <c r="AM67" s="699"/>
      <c r="AN67" s="699"/>
      <c r="AO67" s="699"/>
      <c r="AP67" s="700"/>
      <c r="AQ67" s="698"/>
      <c r="AR67" s="699"/>
      <c r="AS67" s="699"/>
      <c r="AT67" s="699"/>
      <c r="AU67" s="700"/>
      <c r="AV67" s="698"/>
      <c r="AW67" s="699"/>
      <c r="AX67" s="699"/>
      <c r="AY67" s="699"/>
      <c r="AZ67" s="700"/>
      <c r="BA67" s="698"/>
      <c r="BB67" s="699"/>
      <c r="BC67" s="699"/>
      <c r="BD67" s="699"/>
      <c r="BE67" s="700"/>
      <c r="BF67" s="698"/>
      <c r="BG67" s="699"/>
      <c r="BH67" s="699"/>
      <c r="BI67" s="699"/>
      <c r="BJ67" s="700"/>
      <c r="BK67" s="677"/>
      <c r="BL67" s="678"/>
      <c r="BM67" s="678"/>
      <c r="BN67" s="702"/>
      <c r="BO67" s="694"/>
      <c r="BP67" s="684"/>
      <c r="BQ67" s="684"/>
      <c r="BR67" s="684"/>
      <c r="BS67" s="659"/>
      <c r="BT67" s="659"/>
      <c r="BU67" s="659"/>
      <c r="BV67" s="659"/>
      <c r="BW67" s="659"/>
      <c r="BX67" s="659"/>
      <c r="BY67" s="659"/>
      <c r="BZ67" s="659"/>
      <c r="CA67" s="659"/>
      <c r="CB67" s="659"/>
      <c r="CC67" s="659"/>
      <c r="CD67" s="659"/>
      <c r="CE67" s="659"/>
      <c r="CF67" s="659"/>
      <c r="CG67" s="659"/>
      <c r="CH67" s="659"/>
      <c r="CI67" s="659"/>
      <c r="CJ67" s="659"/>
      <c r="CK67" s="659"/>
      <c r="CL67" s="659"/>
      <c r="CM67" s="659"/>
      <c r="CN67" s="659"/>
      <c r="CO67" s="659"/>
      <c r="CP67" s="659"/>
      <c r="CQ67" s="659"/>
      <c r="CR67" s="659"/>
      <c r="CS67" s="659"/>
      <c r="CT67" s="659"/>
      <c r="CU67" s="659"/>
      <c r="CV67" s="659"/>
      <c r="CW67" s="659"/>
      <c r="CX67" s="659"/>
      <c r="CY67" s="659"/>
      <c r="CZ67" s="659"/>
      <c r="DA67" s="659"/>
      <c r="DB67" s="662"/>
      <c r="DC67" s="663"/>
      <c r="DD67" s="659"/>
      <c r="DE67" s="659"/>
      <c r="DF67" s="659"/>
      <c r="DG67" s="659"/>
      <c r="DH67" s="659"/>
      <c r="DI67" s="659"/>
      <c r="DJ67" s="659"/>
      <c r="DK67" s="659"/>
      <c r="DL67" s="659"/>
      <c r="DM67" s="659"/>
      <c r="DN67" s="659"/>
      <c r="DO67" s="659"/>
      <c r="DP67" s="659"/>
      <c r="DQ67" s="659"/>
      <c r="DR67" s="659"/>
      <c r="DS67" s="659"/>
      <c r="DT67" s="659"/>
      <c r="DU67" s="659"/>
      <c r="DV67" s="659"/>
      <c r="DW67" s="659"/>
      <c r="DX67" s="659"/>
      <c r="DY67" s="659"/>
      <c r="DZ67" s="659"/>
      <c r="EA67" s="659"/>
      <c r="EB67" s="659"/>
      <c r="EC67" s="659"/>
      <c r="ED67" s="659"/>
      <c r="EE67" s="659"/>
      <c r="EF67" s="659"/>
      <c r="EG67" s="659"/>
      <c r="EH67" s="659"/>
      <c r="EI67" s="659"/>
      <c r="EJ67" s="659"/>
      <c r="EK67" s="659"/>
      <c r="EL67" s="659"/>
      <c r="EM67" s="659"/>
      <c r="EN67" s="659"/>
      <c r="EO67" s="659"/>
      <c r="EP67" s="662"/>
      <c r="EQ67" s="671">
        <f t="shared" ref="EQ67" si="34">DC67+DG67+DK67+DO67+DS67+DW67+EA67+EE67+EI67+EM67</f>
        <v>0</v>
      </c>
      <c r="ER67" s="672"/>
      <c r="ES67" s="673"/>
    </row>
    <row r="68" spans="1:149" s="98" customFormat="1" ht="69.95" customHeight="1" x14ac:dyDescent="0.2">
      <c r="A68" s="754" t="s">
        <v>42</v>
      </c>
      <c r="B68" s="141" t="s">
        <v>176</v>
      </c>
      <c r="C68" s="426" t="s">
        <v>175</v>
      </c>
      <c r="D68" s="426"/>
      <c r="E68" s="426"/>
      <c r="F68" s="426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  <c r="Z68" s="674">
        <f t="shared" ref="Z68" si="35">EQ68*30</f>
        <v>240</v>
      </c>
      <c r="AA68" s="675"/>
      <c r="AB68" s="675"/>
      <c r="AC68" s="676"/>
      <c r="AD68" s="680"/>
      <c r="AE68" s="681"/>
      <c r="AF68" s="682"/>
      <c r="AG68" s="695">
        <f t="shared" ref="AG68" si="36">SUM(AL68:BE69)</f>
        <v>32</v>
      </c>
      <c r="AH68" s="696"/>
      <c r="AI68" s="696"/>
      <c r="AJ68" s="696"/>
      <c r="AK68" s="697"/>
      <c r="AL68" s="695">
        <v>16</v>
      </c>
      <c r="AM68" s="696"/>
      <c r="AN68" s="696"/>
      <c r="AO68" s="696"/>
      <c r="AP68" s="697"/>
      <c r="AQ68" s="695">
        <v>16</v>
      </c>
      <c r="AR68" s="696"/>
      <c r="AS68" s="696"/>
      <c r="AT68" s="696"/>
      <c r="AU68" s="697"/>
      <c r="AV68" s="695"/>
      <c r="AW68" s="696"/>
      <c r="AX68" s="696"/>
      <c r="AY68" s="696"/>
      <c r="AZ68" s="697"/>
      <c r="BA68" s="695"/>
      <c r="BB68" s="696"/>
      <c r="BC68" s="696"/>
      <c r="BD68" s="696"/>
      <c r="BE68" s="697"/>
      <c r="BF68" s="695"/>
      <c r="BG68" s="696"/>
      <c r="BH68" s="696"/>
      <c r="BI68" s="696"/>
      <c r="BJ68" s="697"/>
      <c r="BK68" s="674">
        <f t="shared" ref="BK68" si="37">Z68-AG68</f>
        <v>208</v>
      </c>
      <c r="BL68" s="675"/>
      <c r="BM68" s="675"/>
      <c r="BN68" s="701"/>
      <c r="BO68" s="693"/>
      <c r="BP68" s="681"/>
      <c r="BQ68" s="681"/>
      <c r="BR68" s="681"/>
      <c r="BS68" s="659"/>
      <c r="BT68" s="659"/>
      <c r="BU68" s="659"/>
      <c r="BV68" s="659"/>
      <c r="BW68" s="659"/>
      <c r="BX68" s="659"/>
      <c r="BY68" s="659"/>
      <c r="BZ68" s="659"/>
      <c r="CA68" s="659"/>
      <c r="CB68" s="659"/>
      <c r="CC68" s="659"/>
      <c r="CD68" s="659"/>
      <c r="CE68" s="659">
        <v>5</v>
      </c>
      <c r="CF68" s="659"/>
      <c r="CG68" s="659"/>
      <c r="CH68" s="659"/>
      <c r="CI68" s="659">
        <v>5</v>
      </c>
      <c r="CJ68" s="659"/>
      <c r="CK68" s="659"/>
      <c r="CL68" s="659"/>
      <c r="CM68" s="659"/>
      <c r="CN68" s="659"/>
      <c r="CO68" s="659"/>
      <c r="CP68" s="659"/>
      <c r="CQ68" s="659"/>
      <c r="CR68" s="659"/>
      <c r="CS68" s="659"/>
      <c r="CT68" s="659"/>
      <c r="CU68" s="659"/>
      <c r="CV68" s="659"/>
      <c r="CW68" s="659"/>
      <c r="CX68" s="659"/>
      <c r="CY68" s="659"/>
      <c r="CZ68" s="659"/>
      <c r="DA68" s="659"/>
      <c r="DB68" s="662"/>
      <c r="DC68" s="663"/>
      <c r="DD68" s="659"/>
      <c r="DE68" s="659"/>
      <c r="DF68" s="659"/>
      <c r="DG68" s="659"/>
      <c r="DH68" s="659"/>
      <c r="DI68" s="659"/>
      <c r="DJ68" s="659"/>
      <c r="DK68" s="659"/>
      <c r="DL68" s="659"/>
      <c r="DM68" s="659"/>
      <c r="DN68" s="659"/>
      <c r="DO68" s="659"/>
      <c r="DP68" s="659"/>
      <c r="DQ68" s="659"/>
      <c r="DR68" s="659"/>
      <c r="DS68" s="659">
        <v>4</v>
      </c>
      <c r="DT68" s="659"/>
      <c r="DU68" s="659"/>
      <c r="DV68" s="659"/>
      <c r="DW68" s="659">
        <v>4</v>
      </c>
      <c r="DX68" s="659"/>
      <c r="DY68" s="659"/>
      <c r="DZ68" s="659"/>
      <c r="EA68" s="659"/>
      <c r="EB68" s="659"/>
      <c r="EC68" s="659"/>
      <c r="ED68" s="659"/>
      <c r="EE68" s="659"/>
      <c r="EF68" s="659"/>
      <c r="EG68" s="659"/>
      <c r="EH68" s="659"/>
      <c r="EI68" s="659"/>
      <c r="EJ68" s="659"/>
      <c r="EK68" s="659"/>
      <c r="EL68" s="659"/>
      <c r="EM68" s="659"/>
      <c r="EN68" s="659"/>
      <c r="EO68" s="659"/>
      <c r="EP68" s="662"/>
      <c r="EQ68" s="671">
        <f t="shared" ref="EQ68" si="38">EM68+EI68+EE68+EA68+DW68+DS68+DO68+DK68+DG68+DC68</f>
        <v>8</v>
      </c>
      <c r="ER68" s="672"/>
      <c r="ES68" s="673"/>
    </row>
    <row r="69" spans="1:149" s="98" customFormat="1" ht="69.95" customHeight="1" x14ac:dyDescent="0.2">
      <c r="A69" s="755"/>
      <c r="B69" s="141" t="s">
        <v>178</v>
      </c>
      <c r="C69" s="426" t="s">
        <v>177</v>
      </c>
      <c r="D69" s="426"/>
      <c r="E69" s="426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Z69" s="677"/>
      <c r="AA69" s="678"/>
      <c r="AB69" s="678"/>
      <c r="AC69" s="679"/>
      <c r="AD69" s="683"/>
      <c r="AE69" s="684"/>
      <c r="AF69" s="685"/>
      <c r="AG69" s="698"/>
      <c r="AH69" s="699"/>
      <c r="AI69" s="699"/>
      <c r="AJ69" s="699"/>
      <c r="AK69" s="700"/>
      <c r="AL69" s="698"/>
      <c r="AM69" s="699"/>
      <c r="AN69" s="699"/>
      <c r="AO69" s="699"/>
      <c r="AP69" s="700"/>
      <c r="AQ69" s="698"/>
      <c r="AR69" s="699"/>
      <c r="AS69" s="699"/>
      <c r="AT69" s="699"/>
      <c r="AU69" s="700"/>
      <c r="AV69" s="698"/>
      <c r="AW69" s="699"/>
      <c r="AX69" s="699"/>
      <c r="AY69" s="699"/>
      <c r="AZ69" s="700"/>
      <c r="BA69" s="698"/>
      <c r="BB69" s="699"/>
      <c r="BC69" s="699"/>
      <c r="BD69" s="699"/>
      <c r="BE69" s="700"/>
      <c r="BF69" s="698"/>
      <c r="BG69" s="699"/>
      <c r="BH69" s="699"/>
      <c r="BI69" s="699"/>
      <c r="BJ69" s="700"/>
      <c r="BK69" s="677"/>
      <c r="BL69" s="678"/>
      <c r="BM69" s="678"/>
      <c r="BN69" s="702"/>
      <c r="BO69" s="694"/>
      <c r="BP69" s="684"/>
      <c r="BQ69" s="684"/>
      <c r="BR69" s="684"/>
      <c r="BS69" s="659"/>
      <c r="BT69" s="659"/>
      <c r="BU69" s="659"/>
      <c r="BV69" s="659"/>
      <c r="BW69" s="659"/>
      <c r="BX69" s="659"/>
      <c r="BY69" s="659"/>
      <c r="BZ69" s="659"/>
      <c r="CA69" s="659"/>
      <c r="CB69" s="659"/>
      <c r="CC69" s="659"/>
      <c r="CD69" s="659"/>
      <c r="CE69" s="659"/>
      <c r="CF69" s="659"/>
      <c r="CG69" s="659"/>
      <c r="CH69" s="659"/>
      <c r="CI69" s="659"/>
      <c r="CJ69" s="659"/>
      <c r="CK69" s="659"/>
      <c r="CL69" s="659"/>
      <c r="CM69" s="659"/>
      <c r="CN69" s="659"/>
      <c r="CO69" s="659"/>
      <c r="CP69" s="659"/>
      <c r="CQ69" s="659"/>
      <c r="CR69" s="659"/>
      <c r="CS69" s="659"/>
      <c r="CT69" s="659"/>
      <c r="CU69" s="659"/>
      <c r="CV69" s="659"/>
      <c r="CW69" s="659"/>
      <c r="CX69" s="659"/>
      <c r="CY69" s="659"/>
      <c r="CZ69" s="659"/>
      <c r="DA69" s="659"/>
      <c r="DB69" s="662"/>
      <c r="DC69" s="663"/>
      <c r="DD69" s="659"/>
      <c r="DE69" s="659"/>
      <c r="DF69" s="659"/>
      <c r="DG69" s="659"/>
      <c r="DH69" s="659"/>
      <c r="DI69" s="659"/>
      <c r="DJ69" s="659"/>
      <c r="DK69" s="659"/>
      <c r="DL69" s="659"/>
      <c r="DM69" s="659"/>
      <c r="DN69" s="659"/>
      <c r="DO69" s="659"/>
      <c r="DP69" s="659"/>
      <c r="DQ69" s="659"/>
      <c r="DR69" s="659"/>
      <c r="DS69" s="659"/>
      <c r="DT69" s="659"/>
      <c r="DU69" s="659"/>
      <c r="DV69" s="659"/>
      <c r="DW69" s="659"/>
      <c r="DX69" s="659"/>
      <c r="DY69" s="659"/>
      <c r="DZ69" s="659"/>
      <c r="EA69" s="659"/>
      <c r="EB69" s="659"/>
      <c r="EC69" s="659"/>
      <c r="ED69" s="659"/>
      <c r="EE69" s="659"/>
      <c r="EF69" s="659"/>
      <c r="EG69" s="659"/>
      <c r="EH69" s="659"/>
      <c r="EI69" s="659"/>
      <c r="EJ69" s="659"/>
      <c r="EK69" s="659"/>
      <c r="EL69" s="659"/>
      <c r="EM69" s="659"/>
      <c r="EN69" s="659"/>
      <c r="EO69" s="659"/>
      <c r="EP69" s="662"/>
      <c r="EQ69" s="671">
        <f t="shared" ref="EQ69" si="39">DC69+DG69+DK69+DO69+DS69+DW69+EA69+EE69+EI69+EM69</f>
        <v>0</v>
      </c>
      <c r="ER69" s="672"/>
      <c r="ES69" s="673"/>
    </row>
    <row r="70" spans="1:149" s="98" customFormat="1" ht="69.95" customHeight="1" x14ac:dyDescent="0.2">
      <c r="A70" s="754" t="s">
        <v>205</v>
      </c>
      <c r="B70" s="141" t="s">
        <v>180</v>
      </c>
      <c r="C70" s="426" t="s">
        <v>179</v>
      </c>
      <c r="D70" s="426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Z70" s="674">
        <f t="shared" ref="Z70" si="40">EQ70*30</f>
        <v>240</v>
      </c>
      <c r="AA70" s="675"/>
      <c r="AB70" s="675"/>
      <c r="AC70" s="676"/>
      <c r="AD70" s="680"/>
      <c r="AE70" s="681"/>
      <c r="AF70" s="682"/>
      <c r="AG70" s="695">
        <f t="shared" ref="AG70" si="41">SUM(AL70:BE71)</f>
        <v>32</v>
      </c>
      <c r="AH70" s="696"/>
      <c r="AI70" s="696"/>
      <c r="AJ70" s="696"/>
      <c r="AK70" s="697"/>
      <c r="AL70" s="695">
        <v>16</v>
      </c>
      <c r="AM70" s="696"/>
      <c r="AN70" s="696"/>
      <c r="AO70" s="696"/>
      <c r="AP70" s="697"/>
      <c r="AQ70" s="695">
        <v>16</v>
      </c>
      <c r="AR70" s="696"/>
      <c r="AS70" s="696"/>
      <c r="AT70" s="696"/>
      <c r="AU70" s="697"/>
      <c r="AV70" s="695"/>
      <c r="AW70" s="696"/>
      <c r="AX70" s="696"/>
      <c r="AY70" s="696"/>
      <c r="AZ70" s="697"/>
      <c r="BA70" s="695"/>
      <c r="BB70" s="696"/>
      <c r="BC70" s="696"/>
      <c r="BD70" s="696"/>
      <c r="BE70" s="697"/>
      <c r="BF70" s="695"/>
      <c r="BG70" s="696"/>
      <c r="BH70" s="696"/>
      <c r="BI70" s="696"/>
      <c r="BJ70" s="697"/>
      <c r="BK70" s="674">
        <f t="shared" ref="BK70" si="42">Z70-AG70</f>
        <v>208</v>
      </c>
      <c r="BL70" s="675"/>
      <c r="BM70" s="675"/>
      <c r="BN70" s="701"/>
      <c r="BO70" s="693"/>
      <c r="BP70" s="681"/>
      <c r="BQ70" s="681"/>
      <c r="BR70" s="681"/>
      <c r="BS70" s="659"/>
      <c r="BT70" s="659"/>
      <c r="BU70" s="659"/>
      <c r="BV70" s="659"/>
      <c r="BW70" s="659"/>
      <c r="BX70" s="659"/>
      <c r="BY70" s="659"/>
      <c r="BZ70" s="659"/>
      <c r="CA70" s="659"/>
      <c r="CB70" s="659"/>
      <c r="CC70" s="659"/>
      <c r="CD70" s="659"/>
      <c r="CE70" s="659">
        <v>5</v>
      </c>
      <c r="CF70" s="659"/>
      <c r="CG70" s="659"/>
      <c r="CH70" s="659"/>
      <c r="CI70" s="659">
        <v>5</v>
      </c>
      <c r="CJ70" s="659"/>
      <c r="CK70" s="659"/>
      <c r="CL70" s="659"/>
      <c r="CM70" s="659"/>
      <c r="CN70" s="659"/>
      <c r="CO70" s="659"/>
      <c r="CP70" s="659"/>
      <c r="CQ70" s="659"/>
      <c r="CR70" s="659"/>
      <c r="CS70" s="659"/>
      <c r="CT70" s="659"/>
      <c r="CU70" s="659"/>
      <c r="CV70" s="659"/>
      <c r="CW70" s="659"/>
      <c r="CX70" s="659"/>
      <c r="CY70" s="659"/>
      <c r="CZ70" s="659"/>
      <c r="DA70" s="659"/>
      <c r="DB70" s="662"/>
      <c r="DC70" s="663"/>
      <c r="DD70" s="659"/>
      <c r="DE70" s="659"/>
      <c r="DF70" s="659"/>
      <c r="DG70" s="659"/>
      <c r="DH70" s="659"/>
      <c r="DI70" s="659"/>
      <c r="DJ70" s="659"/>
      <c r="DK70" s="659"/>
      <c r="DL70" s="659"/>
      <c r="DM70" s="659"/>
      <c r="DN70" s="659"/>
      <c r="DO70" s="659"/>
      <c r="DP70" s="659"/>
      <c r="DQ70" s="659"/>
      <c r="DR70" s="659"/>
      <c r="DS70" s="659">
        <v>4</v>
      </c>
      <c r="DT70" s="659"/>
      <c r="DU70" s="659"/>
      <c r="DV70" s="659"/>
      <c r="DW70" s="659">
        <v>4</v>
      </c>
      <c r="DX70" s="659"/>
      <c r="DY70" s="659"/>
      <c r="DZ70" s="659"/>
      <c r="EA70" s="659"/>
      <c r="EB70" s="659"/>
      <c r="EC70" s="659"/>
      <c r="ED70" s="659"/>
      <c r="EE70" s="659"/>
      <c r="EF70" s="659"/>
      <c r="EG70" s="659"/>
      <c r="EH70" s="659"/>
      <c r="EI70" s="659"/>
      <c r="EJ70" s="659"/>
      <c r="EK70" s="659"/>
      <c r="EL70" s="659"/>
      <c r="EM70" s="659"/>
      <c r="EN70" s="659"/>
      <c r="EO70" s="659"/>
      <c r="EP70" s="662"/>
      <c r="EQ70" s="671">
        <f t="shared" ref="EQ70" si="43">EM70+EI70+EE70+EA70+DW70+DS70+DO70+DK70+DG70+DC70</f>
        <v>8</v>
      </c>
      <c r="ER70" s="672"/>
      <c r="ES70" s="673"/>
    </row>
    <row r="71" spans="1:149" s="98" customFormat="1" ht="69.95" customHeight="1" x14ac:dyDescent="0.2">
      <c r="A71" s="755"/>
      <c r="B71" s="141" t="s">
        <v>182</v>
      </c>
      <c r="C71" s="426" t="s">
        <v>181</v>
      </c>
      <c r="D71" s="426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  <c r="Z71" s="677"/>
      <c r="AA71" s="678"/>
      <c r="AB71" s="678"/>
      <c r="AC71" s="679"/>
      <c r="AD71" s="683"/>
      <c r="AE71" s="684"/>
      <c r="AF71" s="685"/>
      <c r="AG71" s="698"/>
      <c r="AH71" s="699"/>
      <c r="AI71" s="699"/>
      <c r="AJ71" s="699"/>
      <c r="AK71" s="700"/>
      <c r="AL71" s="698"/>
      <c r="AM71" s="699"/>
      <c r="AN71" s="699"/>
      <c r="AO71" s="699"/>
      <c r="AP71" s="700"/>
      <c r="AQ71" s="698"/>
      <c r="AR71" s="699"/>
      <c r="AS71" s="699"/>
      <c r="AT71" s="699"/>
      <c r="AU71" s="700"/>
      <c r="AV71" s="698"/>
      <c r="AW71" s="699"/>
      <c r="AX71" s="699"/>
      <c r="AY71" s="699"/>
      <c r="AZ71" s="700"/>
      <c r="BA71" s="698"/>
      <c r="BB71" s="699"/>
      <c r="BC71" s="699"/>
      <c r="BD71" s="699"/>
      <c r="BE71" s="700"/>
      <c r="BF71" s="698"/>
      <c r="BG71" s="699"/>
      <c r="BH71" s="699"/>
      <c r="BI71" s="699"/>
      <c r="BJ71" s="700"/>
      <c r="BK71" s="677"/>
      <c r="BL71" s="678"/>
      <c r="BM71" s="678"/>
      <c r="BN71" s="702"/>
      <c r="BO71" s="694"/>
      <c r="BP71" s="684"/>
      <c r="BQ71" s="684"/>
      <c r="BR71" s="684"/>
      <c r="BS71" s="659"/>
      <c r="BT71" s="659"/>
      <c r="BU71" s="659"/>
      <c r="BV71" s="659"/>
      <c r="BW71" s="659"/>
      <c r="BX71" s="659"/>
      <c r="BY71" s="659"/>
      <c r="BZ71" s="659"/>
      <c r="CA71" s="659"/>
      <c r="CB71" s="659"/>
      <c r="CC71" s="659"/>
      <c r="CD71" s="659"/>
      <c r="CE71" s="659"/>
      <c r="CF71" s="659"/>
      <c r="CG71" s="659"/>
      <c r="CH71" s="659"/>
      <c r="CI71" s="659"/>
      <c r="CJ71" s="659"/>
      <c r="CK71" s="659"/>
      <c r="CL71" s="659"/>
      <c r="CM71" s="659"/>
      <c r="CN71" s="659"/>
      <c r="CO71" s="659"/>
      <c r="CP71" s="659"/>
      <c r="CQ71" s="659"/>
      <c r="CR71" s="659"/>
      <c r="CS71" s="659"/>
      <c r="CT71" s="659"/>
      <c r="CU71" s="659"/>
      <c r="CV71" s="659"/>
      <c r="CW71" s="659"/>
      <c r="CX71" s="659"/>
      <c r="CY71" s="659"/>
      <c r="CZ71" s="659"/>
      <c r="DA71" s="659"/>
      <c r="DB71" s="662"/>
      <c r="DC71" s="663"/>
      <c r="DD71" s="659"/>
      <c r="DE71" s="659"/>
      <c r="DF71" s="659"/>
      <c r="DG71" s="659"/>
      <c r="DH71" s="659"/>
      <c r="DI71" s="659"/>
      <c r="DJ71" s="659"/>
      <c r="DK71" s="659"/>
      <c r="DL71" s="659"/>
      <c r="DM71" s="659"/>
      <c r="DN71" s="659"/>
      <c r="DO71" s="659"/>
      <c r="DP71" s="659"/>
      <c r="DQ71" s="659"/>
      <c r="DR71" s="659"/>
      <c r="DS71" s="659"/>
      <c r="DT71" s="659"/>
      <c r="DU71" s="659"/>
      <c r="DV71" s="659"/>
      <c r="DW71" s="659"/>
      <c r="DX71" s="659"/>
      <c r="DY71" s="659"/>
      <c r="DZ71" s="659"/>
      <c r="EA71" s="659"/>
      <c r="EB71" s="659"/>
      <c r="EC71" s="659"/>
      <c r="ED71" s="659"/>
      <c r="EE71" s="659"/>
      <c r="EF71" s="659"/>
      <c r="EG71" s="659"/>
      <c r="EH71" s="659"/>
      <c r="EI71" s="659"/>
      <c r="EJ71" s="659"/>
      <c r="EK71" s="659"/>
      <c r="EL71" s="659"/>
      <c r="EM71" s="659"/>
      <c r="EN71" s="659"/>
      <c r="EO71" s="659"/>
      <c r="EP71" s="662"/>
      <c r="EQ71" s="671">
        <f t="shared" ref="EQ71" si="44">DC71+DG71+DK71+DO71+DS71+DW71+EA71+EE71+EI71+EM71</f>
        <v>0</v>
      </c>
      <c r="ER71" s="672"/>
      <c r="ES71" s="673"/>
    </row>
    <row r="72" spans="1:149" s="98" customFormat="1" ht="69.95" customHeight="1" x14ac:dyDescent="0.2">
      <c r="A72" s="754" t="s">
        <v>43</v>
      </c>
      <c r="B72" s="141" t="s">
        <v>183</v>
      </c>
      <c r="C72" s="426" t="s">
        <v>165</v>
      </c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  <c r="Z72" s="674">
        <f t="shared" ref="Z72" si="45">EQ72*30</f>
        <v>240</v>
      </c>
      <c r="AA72" s="675"/>
      <c r="AB72" s="675"/>
      <c r="AC72" s="676"/>
      <c r="AD72" s="680"/>
      <c r="AE72" s="681"/>
      <c r="AF72" s="682"/>
      <c r="AG72" s="695">
        <f t="shared" ref="AG72" si="46">SUM(AL72:BE73)</f>
        <v>32</v>
      </c>
      <c r="AH72" s="696"/>
      <c r="AI72" s="696"/>
      <c r="AJ72" s="696"/>
      <c r="AK72" s="697"/>
      <c r="AL72" s="695">
        <v>16</v>
      </c>
      <c r="AM72" s="696"/>
      <c r="AN72" s="696"/>
      <c r="AO72" s="696"/>
      <c r="AP72" s="697"/>
      <c r="AQ72" s="695">
        <v>16</v>
      </c>
      <c r="AR72" s="696"/>
      <c r="AS72" s="696"/>
      <c r="AT72" s="696"/>
      <c r="AU72" s="697"/>
      <c r="AV72" s="695"/>
      <c r="AW72" s="696"/>
      <c r="AX72" s="696"/>
      <c r="AY72" s="696"/>
      <c r="AZ72" s="697"/>
      <c r="BA72" s="695"/>
      <c r="BB72" s="696"/>
      <c r="BC72" s="696"/>
      <c r="BD72" s="696"/>
      <c r="BE72" s="697"/>
      <c r="BF72" s="695"/>
      <c r="BG72" s="696"/>
      <c r="BH72" s="696"/>
      <c r="BI72" s="696"/>
      <c r="BJ72" s="697"/>
      <c r="BK72" s="674">
        <f t="shared" ref="BK72" si="47">Z72-AG72</f>
        <v>208</v>
      </c>
      <c r="BL72" s="675"/>
      <c r="BM72" s="675"/>
      <c r="BN72" s="701"/>
      <c r="BO72" s="693"/>
      <c r="BP72" s="681"/>
      <c r="BQ72" s="681"/>
      <c r="BR72" s="681"/>
      <c r="BS72" s="659"/>
      <c r="BT72" s="659"/>
      <c r="BU72" s="659"/>
      <c r="BV72" s="659"/>
      <c r="BW72" s="659"/>
      <c r="BX72" s="659"/>
      <c r="BY72" s="659"/>
      <c r="BZ72" s="659"/>
      <c r="CA72" s="659"/>
      <c r="CB72" s="659"/>
      <c r="CC72" s="659"/>
      <c r="CD72" s="659"/>
      <c r="CE72" s="659"/>
      <c r="CF72" s="659"/>
      <c r="CG72" s="659"/>
      <c r="CH72" s="659"/>
      <c r="CI72" s="659">
        <v>5</v>
      </c>
      <c r="CJ72" s="659"/>
      <c r="CK72" s="659"/>
      <c r="CL72" s="659"/>
      <c r="CM72" s="659">
        <v>4</v>
      </c>
      <c r="CN72" s="659"/>
      <c r="CO72" s="659"/>
      <c r="CP72" s="659"/>
      <c r="CQ72" s="659"/>
      <c r="CR72" s="659"/>
      <c r="CS72" s="659"/>
      <c r="CT72" s="659"/>
      <c r="CU72" s="659"/>
      <c r="CV72" s="659"/>
      <c r="CW72" s="659"/>
      <c r="CX72" s="659"/>
      <c r="CY72" s="659"/>
      <c r="CZ72" s="659"/>
      <c r="DA72" s="659"/>
      <c r="DB72" s="662"/>
      <c r="DC72" s="663"/>
      <c r="DD72" s="659"/>
      <c r="DE72" s="659"/>
      <c r="DF72" s="659"/>
      <c r="DG72" s="659"/>
      <c r="DH72" s="659"/>
      <c r="DI72" s="659"/>
      <c r="DJ72" s="659"/>
      <c r="DK72" s="659"/>
      <c r="DL72" s="659"/>
      <c r="DM72" s="659"/>
      <c r="DN72" s="659"/>
      <c r="DO72" s="659"/>
      <c r="DP72" s="659"/>
      <c r="DQ72" s="659"/>
      <c r="DR72" s="659"/>
      <c r="DS72" s="659"/>
      <c r="DT72" s="659"/>
      <c r="DU72" s="659"/>
      <c r="DV72" s="659"/>
      <c r="DW72" s="659">
        <v>4</v>
      </c>
      <c r="DX72" s="659"/>
      <c r="DY72" s="659"/>
      <c r="DZ72" s="659"/>
      <c r="EA72" s="659">
        <v>4</v>
      </c>
      <c r="EB72" s="659"/>
      <c r="EC72" s="659"/>
      <c r="ED72" s="659"/>
      <c r="EE72" s="659"/>
      <c r="EF72" s="659"/>
      <c r="EG72" s="659"/>
      <c r="EH72" s="659"/>
      <c r="EI72" s="659"/>
      <c r="EJ72" s="659"/>
      <c r="EK72" s="659"/>
      <c r="EL72" s="659"/>
      <c r="EM72" s="659"/>
      <c r="EN72" s="659"/>
      <c r="EO72" s="659"/>
      <c r="EP72" s="662"/>
      <c r="EQ72" s="671">
        <f t="shared" ref="EQ72" si="48">EM72+EI72+EE72+EA72+DW72+DS72+DO72+DK72+DG72+DC72</f>
        <v>8</v>
      </c>
      <c r="ER72" s="672"/>
      <c r="ES72" s="673"/>
    </row>
    <row r="73" spans="1:149" s="98" customFormat="1" ht="69.95" customHeight="1" x14ac:dyDescent="0.2">
      <c r="A73" s="755"/>
      <c r="B73" s="141" t="s">
        <v>185</v>
      </c>
      <c r="C73" s="426" t="s">
        <v>184</v>
      </c>
      <c r="D73" s="426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  <c r="Z73" s="677"/>
      <c r="AA73" s="678"/>
      <c r="AB73" s="678"/>
      <c r="AC73" s="679"/>
      <c r="AD73" s="683"/>
      <c r="AE73" s="684"/>
      <c r="AF73" s="685"/>
      <c r="AG73" s="698"/>
      <c r="AH73" s="699"/>
      <c r="AI73" s="699"/>
      <c r="AJ73" s="699"/>
      <c r="AK73" s="700"/>
      <c r="AL73" s="698"/>
      <c r="AM73" s="699"/>
      <c r="AN73" s="699"/>
      <c r="AO73" s="699"/>
      <c r="AP73" s="700"/>
      <c r="AQ73" s="698"/>
      <c r="AR73" s="699"/>
      <c r="AS73" s="699"/>
      <c r="AT73" s="699"/>
      <c r="AU73" s="700"/>
      <c r="AV73" s="698"/>
      <c r="AW73" s="699"/>
      <c r="AX73" s="699"/>
      <c r="AY73" s="699"/>
      <c r="AZ73" s="700"/>
      <c r="BA73" s="698"/>
      <c r="BB73" s="699"/>
      <c r="BC73" s="699"/>
      <c r="BD73" s="699"/>
      <c r="BE73" s="700"/>
      <c r="BF73" s="698"/>
      <c r="BG73" s="699"/>
      <c r="BH73" s="699"/>
      <c r="BI73" s="699"/>
      <c r="BJ73" s="700"/>
      <c r="BK73" s="677"/>
      <c r="BL73" s="678"/>
      <c r="BM73" s="678"/>
      <c r="BN73" s="702"/>
      <c r="BO73" s="694"/>
      <c r="BP73" s="684"/>
      <c r="BQ73" s="684"/>
      <c r="BR73" s="684"/>
      <c r="BS73" s="659"/>
      <c r="BT73" s="659"/>
      <c r="BU73" s="659"/>
      <c r="BV73" s="659"/>
      <c r="BW73" s="659"/>
      <c r="BX73" s="659"/>
      <c r="BY73" s="659"/>
      <c r="BZ73" s="659"/>
      <c r="CA73" s="659"/>
      <c r="CB73" s="659"/>
      <c r="CC73" s="659"/>
      <c r="CD73" s="659"/>
      <c r="CE73" s="659"/>
      <c r="CF73" s="659"/>
      <c r="CG73" s="659"/>
      <c r="CH73" s="659"/>
      <c r="CI73" s="659"/>
      <c r="CJ73" s="659"/>
      <c r="CK73" s="659"/>
      <c r="CL73" s="659"/>
      <c r="CM73" s="659"/>
      <c r="CN73" s="659"/>
      <c r="CO73" s="659"/>
      <c r="CP73" s="659"/>
      <c r="CQ73" s="659"/>
      <c r="CR73" s="659"/>
      <c r="CS73" s="659"/>
      <c r="CT73" s="659"/>
      <c r="CU73" s="659"/>
      <c r="CV73" s="659"/>
      <c r="CW73" s="659"/>
      <c r="CX73" s="659"/>
      <c r="CY73" s="659"/>
      <c r="CZ73" s="659"/>
      <c r="DA73" s="659"/>
      <c r="DB73" s="662"/>
      <c r="DC73" s="663"/>
      <c r="DD73" s="659"/>
      <c r="DE73" s="659"/>
      <c r="DF73" s="659"/>
      <c r="DG73" s="659"/>
      <c r="DH73" s="659"/>
      <c r="DI73" s="659"/>
      <c r="DJ73" s="659"/>
      <c r="DK73" s="659"/>
      <c r="DL73" s="659"/>
      <c r="DM73" s="659"/>
      <c r="DN73" s="659"/>
      <c r="DO73" s="659"/>
      <c r="DP73" s="659"/>
      <c r="DQ73" s="659"/>
      <c r="DR73" s="659"/>
      <c r="DS73" s="659"/>
      <c r="DT73" s="659"/>
      <c r="DU73" s="659"/>
      <c r="DV73" s="659"/>
      <c r="DW73" s="659"/>
      <c r="DX73" s="659"/>
      <c r="DY73" s="659"/>
      <c r="DZ73" s="659"/>
      <c r="EA73" s="659"/>
      <c r="EB73" s="659"/>
      <c r="EC73" s="659"/>
      <c r="ED73" s="659"/>
      <c r="EE73" s="659"/>
      <c r="EF73" s="659"/>
      <c r="EG73" s="659"/>
      <c r="EH73" s="659"/>
      <c r="EI73" s="659"/>
      <c r="EJ73" s="659"/>
      <c r="EK73" s="659"/>
      <c r="EL73" s="659"/>
      <c r="EM73" s="659"/>
      <c r="EN73" s="659"/>
      <c r="EO73" s="659"/>
      <c r="EP73" s="662"/>
      <c r="EQ73" s="671">
        <f t="shared" ref="EQ73" si="49">DC73+DG73+DK73+DO73+DS73+DW73+EA73+EE73+EI73+EM73</f>
        <v>0</v>
      </c>
      <c r="ER73" s="672"/>
      <c r="ES73" s="673"/>
    </row>
    <row r="74" spans="1:149" s="98" customFormat="1" ht="69.95" customHeight="1" x14ac:dyDescent="0.2">
      <c r="A74" s="754" t="s">
        <v>44</v>
      </c>
      <c r="B74" s="128" t="s">
        <v>187</v>
      </c>
      <c r="C74" s="426" t="s">
        <v>186</v>
      </c>
      <c r="D74" s="426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Z74" s="674">
        <f t="shared" ref="Z74" si="50">EQ74*30</f>
        <v>180</v>
      </c>
      <c r="AA74" s="675"/>
      <c r="AB74" s="675"/>
      <c r="AC74" s="676"/>
      <c r="AD74" s="680"/>
      <c r="AE74" s="681"/>
      <c r="AF74" s="682"/>
      <c r="AG74" s="695">
        <f t="shared" ref="AG74" si="51">SUM(AL74:BE75)</f>
        <v>22</v>
      </c>
      <c r="AH74" s="696"/>
      <c r="AI74" s="696"/>
      <c r="AJ74" s="696"/>
      <c r="AK74" s="697"/>
      <c r="AL74" s="695">
        <v>12</v>
      </c>
      <c r="AM74" s="696"/>
      <c r="AN74" s="696"/>
      <c r="AO74" s="696"/>
      <c r="AP74" s="697"/>
      <c r="AQ74" s="695">
        <v>10</v>
      </c>
      <c r="AR74" s="696"/>
      <c r="AS74" s="696"/>
      <c r="AT74" s="696"/>
      <c r="AU74" s="697"/>
      <c r="AV74" s="695"/>
      <c r="AW74" s="696"/>
      <c r="AX74" s="696"/>
      <c r="AY74" s="696"/>
      <c r="AZ74" s="697"/>
      <c r="BA74" s="695"/>
      <c r="BB74" s="696"/>
      <c r="BC74" s="696"/>
      <c r="BD74" s="696"/>
      <c r="BE74" s="697"/>
      <c r="BF74" s="695"/>
      <c r="BG74" s="696"/>
      <c r="BH74" s="696"/>
      <c r="BI74" s="696"/>
      <c r="BJ74" s="697"/>
      <c r="BK74" s="674">
        <f t="shared" ref="BK74" si="52">Z74-AG74</f>
        <v>158</v>
      </c>
      <c r="BL74" s="675"/>
      <c r="BM74" s="675"/>
      <c r="BN74" s="701"/>
      <c r="BO74" s="693"/>
      <c r="BP74" s="681"/>
      <c r="BQ74" s="681"/>
      <c r="BR74" s="681"/>
      <c r="BS74" s="659"/>
      <c r="BT74" s="659"/>
      <c r="BU74" s="659"/>
      <c r="BV74" s="659"/>
      <c r="BW74" s="659"/>
      <c r="BX74" s="659"/>
      <c r="BY74" s="659"/>
      <c r="BZ74" s="659"/>
      <c r="CA74" s="659"/>
      <c r="CB74" s="659"/>
      <c r="CC74" s="659"/>
      <c r="CD74" s="659"/>
      <c r="CE74" s="659"/>
      <c r="CF74" s="659"/>
      <c r="CG74" s="659"/>
      <c r="CH74" s="659"/>
      <c r="CI74" s="659"/>
      <c r="CJ74" s="659"/>
      <c r="CK74" s="659"/>
      <c r="CL74" s="659"/>
      <c r="CM74" s="659">
        <v>5</v>
      </c>
      <c r="CN74" s="659"/>
      <c r="CO74" s="659"/>
      <c r="CP74" s="659"/>
      <c r="CQ74" s="659"/>
      <c r="CR74" s="659"/>
      <c r="CS74" s="659"/>
      <c r="CT74" s="659"/>
      <c r="CU74" s="659"/>
      <c r="CV74" s="659"/>
      <c r="CW74" s="659"/>
      <c r="CX74" s="659"/>
      <c r="CY74" s="659"/>
      <c r="CZ74" s="659"/>
      <c r="DA74" s="659"/>
      <c r="DB74" s="662"/>
      <c r="DC74" s="663"/>
      <c r="DD74" s="659"/>
      <c r="DE74" s="659"/>
      <c r="DF74" s="659"/>
      <c r="DG74" s="659"/>
      <c r="DH74" s="659"/>
      <c r="DI74" s="659"/>
      <c r="DJ74" s="659"/>
      <c r="DK74" s="659"/>
      <c r="DL74" s="659"/>
      <c r="DM74" s="659"/>
      <c r="DN74" s="659"/>
      <c r="DO74" s="659"/>
      <c r="DP74" s="659"/>
      <c r="DQ74" s="659"/>
      <c r="DR74" s="659"/>
      <c r="DS74" s="659"/>
      <c r="DT74" s="659"/>
      <c r="DU74" s="659"/>
      <c r="DV74" s="659"/>
      <c r="DW74" s="659"/>
      <c r="DX74" s="659"/>
      <c r="DY74" s="659"/>
      <c r="DZ74" s="659"/>
      <c r="EA74" s="659">
        <v>6</v>
      </c>
      <c r="EB74" s="659"/>
      <c r="EC74" s="659"/>
      <c r="ED74" s="659"/>
      <c r="EE74" s="659"/>
      <c r="EF74" s="659"/>
      <c r="EG74" s="659"/>
      <c r="EH74" s="659"/>
      <c r="EI74" s="659"/>
      <c r="EJ74" s="659"/>
      <c r="EK74" s="659"/>
      <c r="EL74" s="659"/>
      <c r="EM74" s="659"/>
      <c r="EN74" s="659"/>
      <c r="EO74" s="659"/>
      <c r="EP74" s="662"/>
      <c r="EQ74" s="671">
        <f t="shared" ref="EQ74" si="53">EM74+EI74+EE74+EA74+DW74+DS74+DO74+DK74+DG74+DC74</f>
        <v>6</v>
      </c>
      <c r="ER74" s="672"/>
      <c r="ES74" s="673"/>
    </row>
    <row r="75" spans="1:149" s="98" customFormat="1" ht="69.95" customHeight="1" x14ac:dyDescent="0.2">
      <c r="A75" s="755"/>
      <c r="B75" s="87" t="s">
        <v>189</v>
      </c>
      <c r="C75" s="426" t="s">
        <v>188</v>
      </c>
      <c r="D75" s="426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  <c r="Z75" s="677"/>
      <c r="AA75" s="678"/>
      <c r="AB75" s="678"/>
      <c r="AC75" s="679"/>
      <c r="AD75" s="683"/>
      <c r="AE75" s="684"/>
      <c r="AF75" s="685"/>
      <c r="AG75" s="698"/>
      <c r="AH75" s="699"/>
      <c r="AI75" s="699"/>
      <c r="AJ75" s="699"/>
      <c r="AK75" s="700"/>
      <c r="AL75" s="698"/>
      <c r="AM75" s="699"/>
      <c r="AN75" s="699"/>
      <c r="AO75" s="699"/>
      <c r="AP75" s="700"/>
      <c r="AQ75" s="698"/>
      <c r="AR75" s="699"/>
      <c r="AS75" s="699"/>
      <c r="AT75" s="699"/>
      <c r="AU75" s="700"/>
      <c r="AV75" s="698"/>
      <c r="AW75" s="699"/>
      <c r="AX75" s="699"/>
      <c r="AY75" s="699"/>
      <c r="AZ75" s="700"/>
      <c r="BA75" s="698"/>
      <c r="BB75" s="699"/>
      <c r="BC75" s="699"/>
      <c r="BD75" s="699"/>
      <c r="BE75" s="700"/>
      <c r="BF75" s="698"/>
      <c r="BG75" s="699"/>
      <c r="BH75" s="699"/>
      <c r="BI75" s="699"/>
      <c r="BJ75" s="700"/>
      <c r="BK75" s="677"/>
      <c r="BL75" s="678"/>
      <c r="BM75" s="678"/>
      <c r="BN75" s="702"/>
      <c r="BO75" s="694"/>
      <c r="BP75" s="684"/>
      <c r="BQ75" s="684"/>
      <c r="BR75" s="684"/>
      <c r="BS75" s="659"/>
      <c r="BT75" s="659"/>
      <c r="BU75" s="659"/>
      <c r="BV75" s="659"/>
      <c r="BW75" s="659"/>
      <c r="BX75" s="659"/>
      <c r="BY75" s="659"/>
      <c r="BZ75" s="659"/>
      <c r="CA75" s="659"/>
      <c r="CB75" s="659"/>
      <c r="CC75" s="659"/>
      <c r="CD75" s="659"/>
      <c r="CE75" s="659"/>
      <c r="CF75" s="659"/>
      <c r="CG75" s="659"/>
      <c r="CH75" s="659"/>
      <c r="CI75" s="659"/>
      <c r="CJ75" s="659"/>
      <c r="CK75" s="659"/>
      <c r="CL75" s="659"/>
      <c r="CM75" s="659"/>
      <c r="CN75" s="659"/>
      <c r="CO75" s="659"/>
      <c r="CP75" s="659"/>
      <c r="CQ75" s="659"/>
      <c r="CR75" s="659"/>
      <c r="CS75" s="659"/>
      <c r="CT75" s="659"/>
      <c r="CU75" s="659"/>
      <c r="CV75" s="659"/>
      <c r="CW75" s="659"/>
      <c r="CX75" s="659"/>
      <c r="CY75" s="659"/>
      <c r="CZ75" s="659"/>
      <c r="DA75" s="659"/>
      <c r="DB75" s="662"/>
      <c r="DC75" s="663"/>
      <c r="DD75" s="659"/>
      <c r="DE75" s="659"/>
      <c r="DF75" s="659"/>
      <c r="DG75" s="659"/>
      <c r="DH75" s="659"/>
      <c r="DI75" s="659"/>
      <c r="DJ75" s="659"/>
      <c r="DK75" s="659"/>
      <c r="DL75" s="659"/>
      <c r="DM75" s="659"/>
      <c r="DN75" s="659"/>
      <c r="DO75" s="659"/>
      <c r="DP75" s="659"/>
      <c r="DQ75" s="659"/>
      <c r="DR75" s="659"/>
      <c r="DS75" s="659"/>
      <c r="DT75" s="659"/>
      <c r="DU75" s="659"/>
      <c r="DV75" s="659"/>
      <c r="DW75" s="659"/>
      <c r="DX75" s="659"/>
      <c r="DY75" s="659"/>
      <c r="DZ75" s="659"/>
      <c r="EA75" s="659"/>
      <c r="EB75" s="659"/>
      <c r="EC75" s="659"/>
      <c r="ED75" s="659"/>
      <c r="EE75" s="659"/>
      <c r="EF75" s="659"/>
      <c r="EG75" s="659"/>
      <c r="EH75" s="659"/>
      <c r="EI75" s="659"/>
      <c r="EJ75" s="659"/>
      <c r="EK75" s="659"/>
      <c r="EL75" s="659"/>
      <c r="EM75" s="659"/>
      <c r="EN75" s="659"/>
      <c r="EO75" s="659"/>
      <c r="EP75" s="662"/>
      <c r="EQ75" s="671">
        <f t="shared" ref="EQ75" si="54">DC75+DG75+DK75+DO75+DS75+DW75+EA75+EE75+EI75+EM75</f>
        <v>0</v>
      </c>
      <c r="ER75" s="672"/>
      <c r="ES75" s="673"/>
    </row>
    <row r="76" spans="1:149" s="98" customFormat="1" ht="69.95" customHeight="1" x14ac:dyDescent="0.2">
      <c r="A76" s="754" t="s">
        <v>206</v>
      </c>
      <c r="B76" s="87" t="s">
        <v>191</v>
      </c>
      <c r="C76" s="426" t="s">
        <v>190</v>
      </c>
      <c r="D76" s="426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Z76" s="674">
        <f t="shared" ref="Z76" si="55">EQ76*30</f>
        <v>120</v>
      </c>
      <c r="AA76" s="675"/>
      <c r="AB76" s="675"/>
      <c r="AC76" s="676"/>
      <c r="AD76" s="680"/>
      <c r="AE76" s="681"/>
      <c r="AF76" s="682"/>
      <c r="AG76" s="695">
        <f t="shared" ref="AG76" si="56">SUM(AL76:BE77)</f>
        <v>16</v>
      </c>
      <c r="AH76" s="696"/>
      <c r="AI76" s="696"/>
      <c r="AJ76" s="696"/>
      <c r="AK76" s="697"/>
      <c r="AL76" s="695">
        <v>8</v>
      </c>
      <c r="AM76" s="696"/>
      <c r="AN76" s="696"/>
      <c r="AO76" s="696"/>
      <c r="AP76" s="697"/>
      <c r="AQ76" s="695">
        <v>8</v>
      </c>
      <c r="AR76" s="696"/>
      <c r="AS76" s="696"/>
      <c r="AT76" s="696"/>
      <c r="AU76" s="697"/>
      <c r="AV76" s="695"/>
      <c r="AW76" s="696"/>
      <c r="AX76" s="696"/>
      <c r="AY76" s="696"/>
      <c r="AZ76" s="697"/>
      <c r="BA76" s="695"/>
      <c r="BB76" s="696"/>
      <c r="BC76" s="696"/>
      <c r="BD76" s="696"/>
      <c r="BE76" s="697"/>
      <c r="BF76" s="695"/>
      <c r="BG76" s="696"/>
      <c r="BH76" s="696"/>
      <c r="BI76" s="696"/>
      <c r="BJ76" s="697"/>
      <c r="BK76" s="674">
        <f t="shared" ref="BK76" si="57">Z76-AG76</f>
        <v>104</v>
      </c>
      <c r="BL76" s="675"/>
      <c r="BM76" s="675"/>
      <c r="BN76" s="701"/>
      <c r="BO76" s="693"/>
      <c r="BP76" s="681"/>
      <c r="BQ76" s="681"/>
      <c r="BR76" s="681"/>
      <c r="BS76" s="659"/>
      <c r="BT76" s="659"/>
      <c r="BU76" s="659"/>
      <c r="BV76" s="659"/>
      <c r="BW76" s="659"/>
      <c r="BX76" s="659"/>
      <c r="BY76" s="659"/>
      <c r="BZ76" s="659"/>
      <c r="CA76" s="659"/>
      <c r="CB76" s="659"/>
      <c r="CC76" s="659"/>
      <c r="CD76" s="659"/>
      <c r="CE76" s="659"/>
      <c r="CF76" s="659"/>
      <c r="CG76" s="659"/>
      <c r="CH76" s="659"/>
      <c r="CI76" s="659"/>
      <c r="CJ76" s="659"/>
      <c r="CK76" s="659"/>
      <c r="CL76" s="659"/>
      <c r="CM76" s="659">
        <v>6</v>
      </c>
      <c r="CN76" s="659"/>
      <c r="CO76" s="659"/>
      <c r="CP76" s="659"/>
      <c r="CQ76" s="659"/>
      <c r="CR76" s="659"/>
      <c r="CS76" s="659"/>
      <c r="CT76" s="659"/>
      <c r="CU76" s="659"/>
      <c r="CV76" s="659"/>
      <c r="CW76" s="659"/>
      <c r="CX76" s="659"/>
      <c r="CY76" s="659"/>
      <c r="CZ76" s="659"/>
      <c r="DA76" s="659"/>
      <c r="DB76" s="662"/>
      <c r="DC76" s="663"/>
      <c r="DD76" s="659"/>
      <c r="DE76" s="659"/>
      <c r="DF76" s="659"/>
      <c r="DG76" s="659"/>
      <c r="DH76" s="659"/>
      <c r="DI76" s="659"/>
      <c r="DJ76" s="659"/>
      <c r="DK76" s="659"/>
      <c r="DL76" s="659"/>
      <c r="DM76" s="659"/>
      <c r="DN76" s="659"/>
      <c r="DO76" s="659"/>
      <c r="DP76" s="659"/>
      <c r="DQ76" s="659"/>
      <c r="DR76" s="659"/>
      <c r="DS76" s="659"/>
      <c r="DT76" s="659"/>
      <c r="DU76" s="659"/>
      <c r="DV76" s="659"/>
      <c r="DW76" s="659"/>
      <c r="DX76" s="659"/>
      <c r="DY76" s="659"/>
      <c r="DZ76" s="659"/>
      <c r="EA76" s="659">
        <v>4</v>
      </c>
      <c r="EB76" s="659"/>
      <c r="EC76" s="659"/>
      <c r="ED76" s="659"/>
      <c r="EE76" s="659"/>
      <c r="EF76" s="659"/>
      <c r="EG76" s="659"/>
      <c r="EH76" s="659"/>
      <c r="EI76" s="659"/>
      <c r="EJ76" s="659"/>
      <c r="EK76" s="659"/>
      <c r="EL76" s="659"/>
      <c r="EM76" s="659"/>
      <c r="EN76" s="659"/>
      <c r="EO76" s="659"/>
      <c r="EP76" s="662"/>
      <c r="EQ76" s="671">
        <f t="shared" ref="EQ76" si="58">EM76+EI76+EE76+EA76+DW76+DS76+DO76+DK76+DG76+DC76</f>
        <v>4</v>
      </c>
      <c r="ER76" s="672"/>
      <c r="ES76" s="673"/>
    </row>
    <row r="77" spans="1:149" s="98" customFormat="1" ht="90" customHeight="1" x14ac:dyDescent="0.2">
      <c r="A77" s="755"/>
      <c r="B77" s="87" t="s">
        <v>164</v>
      </c>
      <c r="C77" s="426" t="s">
        <v>163</v>
      </c>
      <c r="D77" s="426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  <c r="Z77" s="677"/>
      <c r="AA77" s="678"/>
      <c r="AB77" s="678"/>
      <c r="AC77" s="679"/>
      <c r="AD77" s="683"/>
      <c r="AE77" s="684"/>
      <c r="AF77" s="685"/>
      <c r="AG77" s="698"/>
      <c r="AH77" s="699"/>
      <c r="AI77" s="699"/>
      <c r="AJ77" s="699"/>
      <c r="AK77" s="700"/>
      <c r="AL77" s="698"/>
      <c r="AM77" s="699"/>
      <c r="AN77" s="699"/>
      <c r="AO77" s="699"/>
      <c r="AP77" s="700"/>
      <c r="AQ77" s="698"/>
      <c r="AR77" s="699"/>
      <c r="AS77" s="699"/>
      <c r="AT77" s="699"/>
      <c r="AU77" s="700"/>
      <c r="AV77" s="698"/>
      <c r="AW77" s="699"/>
      <c r="AX77" s="699"/>
      <c r="AY77" s="699"/>
      <c r="AZ77" s="700"/>
      <c r="BA77" s="698"/>
      <c r="BB77" s="699"/>
      <c r="BC77" s="699"/>
      <c r="BD77" s="699"/>
      <c r="BE77" s="700"/>
      <c r="BF77" s="698"/>
      <c r="BG77" s="699"/>
      <c r="BH77" s="699"/>
      <c r="BI77" s="699"/>
      <c r="BJ77" s="700"/>
      <c r="BK77" s="677"/>
      <c r="BL77" s="678"/>
      <c r="BM77" s="678"/>
      <c r="BN77" s="702"/>
      <c r="BO77" s="694"/>
      <c r="BP77" s="684"/>
      <c r="BQ77" s="684"/>
      <c r="BR77" s="684"/>
      <c r="BS77" s="659"/>
      <c r="BT77" s="659"/>
      <c r="BU77" s="659"/>
      <c r="BV77" s="659"/>
      <c r="BW77" s="659"/>
      <c r="BX77" s="659"/>
      <c r="BY77" s="659"/>
      <c r="BZ77" s="659"/>
      <c r="CA77" s="659"/>
      <c r="CB77" s="659"/>
      <c r="CC77" s="659"/>
      <c r="CD77" s="659"/>
      <c r="CE77" s="659"/>
      <c r="CF77" s="659"/>
      <c r="CG77" s="659"/>
      <c r="CH77" s="659"/>
      <c r="CI77" s="659"/>
      <c r="CJ77" s="659"/>
      <c r="CK77" s="659"/>
      <c r="CL77" s="659"/>
      <c r="CM77" s="659"/>
      <c r="CN77" s="659"/>
      <c r="CO77" s="659"/>
      <c r="CP77" s="659"/>
      <c r="CQ77" s="659"/>
      <c r="CR77" s="659"/>
      <c r="CS77" s="659"/>
      <c r="CT77" s="659"/>
      <c r="CU77" s="659"/>
      <c r="CV77" s="659"/>
      <c r="CW77" s="659"/>
      <c r="CX77" s="659"/>
      <c r="CY77" s="659"/>
      <c r="CZ77" s="659"/>
      <c r="DA77" s="659"/>
      <c r="DB77" s="662"/>
      <c r="DC77" s="663"/>
      <c r="DD77" s="659"/>
      <c r="DE77" s="659"/>
      <c r="DF77" s="659"/>
      <c r="DG77" s="659"/>
      <c r="DH77" s="659"/>
      <c r="DI77" s="659"/>
      <c r="DJ77" s="659"/>
      <c r="DK77" s="659"/>
      <c r="DL77" s="659"/>
      <c r="DM77" s="659"/>
      <c r="DN77" s="659"/>
      <c r="DO77" s="659"/>
      <c r="DP77" s="659"/>
      <c r="DQ77" s="659"/>
      <c r="DR77" s="659"/>
      <c r="DS77" s="659"/>
      <c r="DT77" s="659"/>
      <c r="DU77" s="659"/>
      <c r="DV77" s="659"/>
      <c r="DW77" s="659"/>
      <c r="DX77" s="659"/>
      <c r="DY77" s="659"/>
      <c r="DZ77" s="659"/>
      <c r="EA77" s="659"/>
      <c r="EB77" s="659"/>
      <c r="EC77" s="659"/>
      <c r="ED77" s="659"/>
      <c r="EE77" s="659"/>
      <c r="EF77" s="659"/>
      <c r="EG77" s="659"/>
      <c r="EH77" s="659"/>
      <c r="EI77" s="659"/>
      <c r="EJ77" s="659"/>
      <c r="EK77" s="659"/>
      <c r="EL77" s="659"/>
      <c r="EM77" s="659"/>
      <c r="EN77" s="659"/>
      <c r="EO77" s="659"/>
      <c r="EP77" s="662"/>
      <c r="EQ77" s="671">
        <f t="shared" ref="EQ77" si="59">DC77+DG77+DK77+DO77+DS77+DW77+EA77+EE77+EI77+EM77</f>
        <v>0</v>
      </c>
      <c r="ER77" s="672"/>
      <c r="ES77" s="673"/>
    </row>
    <row r="78" spans="1:149" s="98" customFormat="1" ht="90" customHeight="1" x14ac:dyDescent="0.2">
      <c r="A78" s="754" t="s">
        <v>207</v>
      </c>
      <c r="B78" s="87" t="s">
        <v>194</v>
      </c>
      <c r="C78" s="426" t="s">
        <v>193</v>
      </c>
      <c r="D78" s="426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  <c r="Z78" s="674">
        <f t="shared" ref="Z78" si="60">EQ78*30</f>
        <v>240</v>
      </c>
      <c r="AA78" s="675"/>
      <c r="AB78" s="675"/>
      <c r="AC78" s="676"/>
      <c r="AD78" s="680"/>
      <c r="AE78" s="681"/>
      <c r="AF78" s="682"/>
      <c r="AG78" s="695">
        <f t="shared" ref="AG78" si="61">SUM(AL78:BE79)</f>
        <v>32</v>
      </c>
      <c r="AH78" s="696"/>
      <c r="AI78" s="696"/>
      <c r="AJ78" s="696"/>
      <c r="AK78" s="697"/>
      <c r="AL78" s="695">
        <v>16</v>
      </c>
      <c r="AM78" s="696"/>
      <c r="AN78" s="696"/>
      <c r="AO78" s="696"/>
      <c r="AP78" s="697"/>
      <c r="AQ78" s="695">
        <v>16</v>
      </c>
      <c r="AR78" s="696"/>
      <c r="AS78" s="696"/>
      <c r="AT78" s="696"/>
      <c r="AU78" s="697"/>
      <c r="AV78" s="695"/>
      <c r="AW78" s="696"/>
      <c r="AX78" s="696"/>
      <c r="AY78" s="696"/>
      <c r="AZ78" s="697"/>
      <c r="BA78" s="695"/>
      <c r="BB78" s="696"/>
      <c r="BC78" s="696"/>
      <c r="BD78" s="696"/>
      <c r="BE78" s="697"/>
      <c r="BF78" s="695"/>
      <c r="BG78" s="696"/>
      <c r="BH78" s="696"/>
      <c r="BI78" s="696"/>
      <c r="BJ78" s="697"/>
      <c r="BK78" s="674">
        <f t="shared" ref="BK78" si="62">Z78-AG78</f>
        <v>208</v>
      </c>
      <c r="BL78" s="675"/>
      <c r="BM78" s="675"/>
      <c r="BN78" s="701"/>
      <c r="BO78" s="693"/>
      <c r="BP78" s="681"/>
      <c r="BQ78" s="681"/>
      <c r="BR78" s="681"/>
      <c r="BS78" s="659"/>
      <c r="BT78" s="659"/>
      <c r="BU78" s="659"/>
      <c r="BV78" s="659"/>
      <c r="BW78" s="659"/>
      <c r="BX78" s="659"/>
      <c r="BY78" s="659"/>
      <c r="BZ78" s="659"/>
      <c r="CA78" s="659"/>
      <c r="CB78" s="659"/>
      <c r="CC78" s="659"/>
      <c r="CD78" s="659"/>
      <c r="CE78" s="659"/>
      <c r="CF78" s="659"/>
      <c r="CG78" s="659"/>
      <c r="CH78" s="659"/>
      <c r="CI78" s="659"/>
      <c r="CJ78" s="659"/>
      <c r="CK78" s="659"/>
      <c r="CL78" s="659"/>
      <c r="CM78" s="659"/>
      <c r="CN78" s="659"/>
      <c r="CO78" s="659"/>
      <c r="CP78" s="659"/>
      <c r="CQ78" s="659">
        <v>5</v>
      </c>
      <c r="CR78" s="659"/>
      <c r="CS78" s="659"/>
      <c r="CT78" s="659"/>
      <c r="CU78" s="659">
        <v>5</v>
      </c>
      <c r="CV78" s="659"/>
      <c r="CW78" s="659"/>
      <c r="CX78" s="659"/>
      <c r="CY78" s="659"/>
      <c r="CZ78" s="659"/>
      <c r="DA78" s="659"/>
      <c r="DB78" s="662"/>
      <c r="DC78" s="663"/>
      <c r="DD78" s="659"/>
      <c r="DE78" s="659"/>
      <c r="DF78" s="659"/>
      <c r="DG78" s="659"/>
      <c r="DH78" s="659"/>
      <c r="DI78" s="659"/>
      <c r="DJ78" s="659"/>
      <c r="DK78" s="659"/>
      <c r="DL78" s="659"/>
      <c r="DM78" s="659"/>
      <c r="DN78" s="659"/>
      <c r="DO78" s="659"/>
      <c r="DP78" s="659"/>
      <c r="DQ78" s="659"/>
      <c r="DR78" s="659"/>
      <c r="DS78" s="659"/>
      <c r="DT78" s="659"/>
      <c r="DU78" s="659"/>
      <c r="DV78" s="659"/>
      <c r="DW78" s="659"/>
      <c r="DX78" s="659"/>
      <c r="DY78" s="659"/>
      <c r="DZ78" s="659"/>
      <c r="EA78" s="659"/>
      <c r="EB78" s="659"/>
      <c r="EC78" s="659"/>
      <c r="ED78" s="659"/>
      <c r="EE78" s="659">
        <v>4</v>
      </c>
      <c r="EF78" s="659"/>
      <c r="EG78" s="659"/>
      <c r="EH78" s="659"/>
      <c r="EI78" s="659">
        <v>4</v>
      </c>
      <c r="EJ78" s="659"/>
      <c r="EK78" s="659"/>
      <c r="EL78" s="659"/>
      <c r="EM78" s="659"/>
      <c r="EN78" s="659"/>
      <c r="EO78" s="659"/>
      <c r="EP78" s="662"/>
      <c r="EQ78" s="671">
        <f t="shared" ref="EQ78" si="63">EM78+EI78+EE78+EA78+DW78+DS78+DO78+DK78+DG78+DC78</f>
        <v>8</v>
      </c>
      <c r="ER78" s="672"/>
      <c r="ES78" s="673"/>
    </row>
    <row r="79" spans="1:149" s="98" customFormat="1" ht="69.95" customHeight="1" x14ac:dyDescent="0.2">
      <c r="A79" s="755"/>
      <c r="B79" s="87" t="s">
        <v>196</v>
      </c>
      <c r="C79" s="426" t="s">
        <v>195</v>
      </c>
      <c r="D79" s="426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  <c r="Z79" s="677"/>
      <c r="AA79" s="678"/>
      <c r="AB79" s="678"/>
      <c r="AC79" s="679"/>
      <c r="AD79" s="683"/>
      <c r="AE79" s="684"/>
      <c r="AF79" s="685"/>
      <c r="AG79" s="698"/>
      <c r="AH79" s="699"/>
      <c r="AI79" s="699"/>
      <c r="AJ79" s="699"/>
      <c r="AK79" s="700"/>
      <c r="AL79" s="698"/>
      <c r="AM79" s="699"/>
      <c r="AN79" s="699"/>
      <c r="AO79" s="699"/>
      <c r="AP79" s="700"/>
      <c r="AQ79" s="698"/>
      <c r="AR79" s="699"/>
      <c r="AS79" s="699"/>
      <c r="AT79" s="699"/>
      <c r="AU79" s="700"/>
      <c r="AV79" s="698"/>
      <c r="AW79" s="699"/>
      <c r="AX79" s="699"/>
      <c r="AY79" s="699"/>
      <c r="AZ79" s="700"/>
      <c r="BA79" s="698"/>
      <c r="BB79" s="699"/>
      <c r="BC79" s="699"/>
      <c r="BD79" s="699"/>
      <c r="BE79" s="700"/>
      <c r="BF79" s="698"/>
      <c r="BG79" s="699"/>
      <c r="BH79" s="699"/>
      <c r="BI79" s="699"/>
      <c r="BJ79" s="700"/>
      <c r="BK79" s="677"/>
      <c r="BL79" s="678"/>
      <c r="BM79" s="678"/>
      <c r="BN79" s="702"/>
      <c r="BO79" s="694"/>
      <c r="BP79" s="684"/>
      <c r="BQ79" s="684"/>
      <c r="BR79" s="684"/>
      <c r="BS79" s="659"/>
      <c r="BT79" s="659"/>
      <c r="BU79" s="659"/>
      <c r="BV79" s="659"/>
      <c r="BW79" s="659"/>
      <c r="BX79" s="659"/>
      <c r="BY79" s="659"/>
      <c r="BZ79" s="659"/>
      <c r="CA79" s="659"/>
      <c r="CB79" s="659"/>
      <c r="CC79" s="659"/>
      <c r="CD79" s="659"/>
      <c r="CE79" s="659"/>
      <c r="CF79" s="659"/>
      <c r="CG79" s="659"/>
      <c r="CH79" s="659"/>
      <c r="CI79" s="659"/>
      <c r="CJ79" s="659"/>
      <c r="CK79" s="659"/>
      <c r="CL79" s="659"/>
      <c r="CM79" s="659"/>
      <c r="CN79" s="659"/>
      <c r="CO79" s="659"/>
      <c r="CP79" s="659"/>
      <c r="CQ79" s="659"/>
      <c r="CR79" s="659"/>
      <c r="CS79" s="659"/>
      <c r="CT79" s="659"/>
      <c r="CU79" s="659"/>
      <c r="CV79" s="659"/>
      <c r="CW79" s="659"/>
      <c r="CX79" s="659"/>
      <c r="CY79" s="659"/>
      <c r="CZ79" s="659"/>
      <c r="DA79" s="659"/>
      <c r="DB79" s="662"/>
      <c r="DC79" s="663"/>
      <c r="DD79" s="659"/>
      <c r="DE79" s="659"/>
      <c r="DF79" s="659"/>
      <c r="DG79" s="659"/>
      <c r="DH79" s="659"/>
      <c r="DI79" s="659"/>
      <c r="DJ79" s="659"/>
      <c r="DK79" s="659"/>
      <c r="DL79" s="659"/>
      <c r="DM79" s="659"/>
      <c r="DN79" s="659"/>
      <c r="DO79" s="659"/>
      <c r="DP79" s="659"/>
      <c r="DQ79" s="659"/>
      <c r="DR79" s="659"/>
      <c r="DS79" s="659"/>
      <c r="DT79" s="659"/>
      <c r="DU79" s="659"/>
      <c r="DV79" s="659"/>
      <c r="DW79" s="659"/>
      <c r="DX79" s="659"/>
      <c r="DY79" s="659"/>
      <c r="DZ79" s="659"/>
      <c r="EA79" s="659"/>
      <c r="EB79" s="659"/>
      <c r="EC79" s="659"/>
      <c r="ED79" s="659"/>
      <c r="EE79" s="659"/>
      <c r="EF79" s="659"/>
      <c r="EG79" s="659"/>
      <c r="EH79" s="659"/>
      <c r="EI79" s="659"/>
      <c r="EJ79" s="659"/>
      <c r="EK79" s="659"/>
      <c r="EL79" s="659"/>
      <c r="EM79" s="659"/>
      <c r="EN79" s="659"/>
      <c r="EO79" s="659"/>
      <c r="EP79" s="662"/>
      <c r="EQ79" s="671">
        <f t="shared" ref="EQ79" si="64">DC79+DG79+DK79+DO79+DS79+DW79+EA79+EE79+EI79+EM79</f>
        <v>0</v>
      </c>
      <c r="ER79" s="672"/>
      <c r="ES79" s="673"/>
    </row>
    <row r="80" spans="1:149" s="98" customFormat="1" ht="69.95" customHeight="1" x14ac:dyDescent="0.2">
      <c r="A80" s="754" t="s">
        <v>208</v>
      </c>
      <c r="B80" s="88" t="s">
        <v>198</v>
      </c>
      <c r="C80" s="378" t="s">
        <v>197</v>
      </c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8"/>
      <c r="P80" s="378"/>
      <c r="Q80" s="378"/>
      <c r="R80" s="378"/>
      <c r="S80" s="378"/>
      <c r="T80" s="378"/>
      <c r="U80" s="378"/>
      <c r="V80" s="378"/>
      <c r="W80" s="378"/>
      <c r="X80" s="378"/>
      <c r="Y80" s="378"/>
      <c r="Z80" s="674">
        <f t="shared" ref="Z80" si="65">EQ80*30</f>
        <v>240</v>
      </c>
      <c r="AA80" s="675"/>
      <c r="AB80" s="675"/>
      <c r="AC80" s="676"/>
      <c r="AD80" s="680"/>
      <c r="AE80" s="681"/>
      <c r="AF80" s="682"/>
      <c r="AG80" s="695">
        <f t="shared" ref="AG80" si="66">SUM(AL80:BE81)</f>
        <v>32</v>
      </c>
      <c r="AH80" s="696"/>
      <c r="AI80" s="696"/>
      <c r="AJ80" s="696"/>
      <c r="AK80" s="697"/>
      <c r="AL80" s="695">
        <v>16</v>
      </c>
      <c r="AM80" s="696"/>
      <c r="AN80" s="696"/>
      <c r="AO80" s="696"/>
      <c r="AP80" s="697"/>
      <c r="AQ80" s="695">
        <v>16</v>
      </c>
      <c r="AR80" s="696"/>
      <c r="AS80" s="696"/>
      <c r="AT80" s="696"/>
      <c r="AU80" s="697"/>
      <c r="AV80" s="695"/>
      <c r="AW80" s="696"/>
      <c r="AX80" s="696"/>
      <c r="AY80" s="696"/>
      <c r="AZ80" s="697"/>
      <c r="BA80" s="695"/>
      <c r="BB80" s="696"/>
      <c r="BC80" s="696"/>
      <c r="BD80" s="696"/>
      <c r="BE80" s="697"/>
      <c r="BF80" s="695"/>
      <c r="BG80" s="696"/>
      <c r="BH80" s="696"/>
      <c r="BI80" s="696"/>
      <c r="BJ80" s="697"/>
      <c r="BK80" s="674">
        <f t="shared" ref="BK80" si="67">Z80-AG80</f>
        <v>208</v>
      </c>
      <c r="BL80" s="675"/>
      <c r="BM80" s="675"/>
      <c r="BN80" s="701"/>
      <c r="BO80" s="693"/>
      <c r="BP80" s="681"/>
      <c r="BQ80" s="681"/>
      <c r="BR80" s="681"/>
      <c r="BS80" s="659"/>
      <c r="BT80" s="659"/>
      <c r="BU80" s="659"/>
      <c r="BV80" s="659"/>
      <c r="BW80" s="659"/>
      <c r="BX80" s="659"/>
      <c r="BY80" s="659"/>
      <c r="BZ80" s="659"/>
      <c r="CA80" s="659"/>
      <c r="CB80" s="659"/>
      <c r="CC80" s="659"/>
      <c r="CD80" s="659"/>
      <c r="CE80" s="659"/>
      <c r="CF80" s="659"/>
      <c r="CG80" s="659"/>
      <c r="CH80" s="659"/>
      <c r="CI80" s="659"/>
      <c r="CJ80" s="659"/>
      <c r="CK80" s="659"/>
      <c r="CL80" s="659"/>
      <c r="CM80" s="659"/>
      <c r="CN80" s="659"/>
      <c r="CO80" s="659"/>
      <c r="CP80" s="659"/>
      <c r="CQ80" s="659">
        <v>5</v>
      </c>
      <c r="CR80" s="659"/>
      <c r="CS80" s="659"/>
      <c r="CT80" s="659"/>
      <c r="CU80" s="659">
        <v>5</v>
      </c>
      <c r="CV80" s="659"/>
      <c r="CW80" s="659"/>
      <c r="CX80" s="659"/>
      <c r="CY80" s="659"/>
      <c r="CZ80" s="659"/>
      <c r="DA80" s="659"/>
      <c r="DB80" s="662"/>
      <c r="DC80" s="663"/>
      <c r="DD80" s="659"/>
      <c r="DE80" s="659"/>
      <c r="DF80" s="659"/>
      <c r="DG80" s="659"/>
      <c r="DH80" s="659"/>
      <c r="DI80" s="659"/>
      <c r="DJ80" s="659"/>
      <c r="DK80" s="659"/>
      <c r="DL80" s="659"/>
      <c r="DM80" s="659"/>
      <c r="DN80" s="659"/>
      <c r="DO80" s="659"/>
      <c r="DP80" s="659"/>
      <c r="DQ80" s="659"/>
      <c r="DR80" s="659"/>
      <c r="DS80" s="659"/>
      <c r="DT80" s="659"/>
      <c r="DU80" s="659"/>
      <c r="DV80" s="659"/>
      <c r="DW80" s="659"/>
      <c r="DX80" s="659"/>
      <c r="DY80" s="659"/>
      <c r="DZ80" s="659"/>
      <c r="EA80" s="659"/>
      <c r="EB80" s="659"/>
      <c r="EC80" s="659"/>
      <c r="ED80" s="659"/>
      <c r="EE80" s="659">
        <v>4</v>
      </c>
      <c r="EF80" s="659"/>
      <c r="EG80" s="659"/>
      <c r="EH80" s="659"/>
      <c r="EI80" s="659">
        <v>4</v>
      </c>
      <c r="EJ80" s="659"/>
      <c r="EK80" s="659"/>
      <c r="EL80" s="659"/>
      <c r="EM80" s="659"/>
      <c r="EN80" s="659"/>
      <c r="EO80" s="659"/>
      <c r="EP80" s="662"/>
      <c r="EQ80" s="671">
        <f t="shared" ref="EQ80" si="68">EM80+EI80+EE80+EA80+DW80+DS80+DO80+DK80+DG80+DC80</f>
        <v>8</v>
      </c>
      <c r="ER80" s="672"/>
      <c r="ES80" s="673"/>
    </row>
    <row r="81" spans="1:162" s="98" customFormat="1" ht="99.95" customHeight="1" x14ac:dyDescent="0.2">
      <c r="A81" s="755"/>
      <c r="B81" s="88" t="s">
        <v>200</v>
      </c>
      <c r="C81" s="378" t="s">
        <v>199</v>
      </c>
      <c r="D81" s="378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  <c r="R81" s="378"/>
      <c r="S81" s="378"/>
      <c r="T81" s="378"/>
      <c r="U81" s="378"/>
      <c r="V81" s="378"/>
      <c r="W81" s="378"/>
      <c r="X81" s="378"/>
      <c r="Y81" s="378"/>
      <c r="Z81" s="677"/>
      <c r="AA81" s="678"/>
      <c r="AB81" s="678"/>
      <c r="AC81" s="679"/>
      <c r="AD81" s="683"/>
      <c r="AE81" s="684"/>
      <c r="AF81" s="685"/>
      <c r="AG81" s="698"/>
      <c r="AH81" s="699"/>
      <c r="AI81" s="699"/>
      <c r="AJ81" s="699"/>
      <c r="AK81" s="700"/>
      <c r="AL81" s="698"/>
      <c r="AM81" s="699"/>
      <c r="AN81" s="699"/>
      <c r="AO81" s="699"/>
      <c r="AP81" s="700"/>
      <c r="AQ81" s="698"/>
      <c r="AR81" s="699"/>
      <c r="AS81" s="699"/>
      <c r="AT81" s="699"/>
      <c r="AU81" s="700"/>
      <c r="AV81" s="698"/>
      <c r="AW81" s="699"/>
      <c r="AX81" s="699"/>
      <c r="AY81" s="699"/>
      <c r="AZ81" s="700"/>
      <c r="BA81" s="698"/>
      <c r="BB81" s="699"/>
      <c r="BC81" s="699"/>
      <c r="BD81" s="699"/>
      <c r="BE81" s="700"/>
      <c r="BF81" s="698"/>
      <c r="BG81" s="699"/>
      <c r="BH81" s="699"/>
      <c r="BI81" s="699"/>
      <c r="BJ81" s="700"/>
      <c r="BK81" s="677"/>
      <c r="BL81" s="678"/>
      <c r="BM81" s="678"/>
      <c r="BN81" s="702"/>
      <c r="BO81" s="694"/>
      <c r="BP81" s="684"/>
      <c r="BQ81" s="684"/>
      <c r="BR81" s="684"/>
      <c r="BS81" s="659"/>
      <c r="BT81" s="659"/>
      <c r="BU81" s="659"/>
      <c r="BV81" s="659"/>
      <c r="BW81" s="659"/>
      <c r="BX81" s="659"/>
      <c r="BY81" s="659"/>
      <c r="BZ81" s="659"/>
      <c r="CA81" s="659"/>
      <c r="CB81" s="659"/>
      <c r="CC81" s="659"/>
      <c r="CD81" s="659"/>
      <c r="CE81" s="659"/>
      <c r="CF81" s="659"/>
      <c r="CG81" s="659"/>
      <c r="CH81" s="659"/>
      <c r="CI81" s="659"/>
      <c r="CJ81" s="659"/>
      <c r="CK81" s="659"/>
      <c r="CL81" s="659"/>
      <c r="CM81" s="659"/>
      <c r="CN81" s="659"/>
      <c r="CO81" s="659"/>
      <c r="CP81" s="659"/>
      <c r="CQ81" s="659"/>
      <c r="CR81" s="659"/>
      <c r="CS81" s="659"/>
      <c r="CT81" s="659"/>
      <c r="CU81" s="659"/>
      <c r="CV81" s="659"/>
      <c r="CW81" s="659"/>
      <c r="CX81" s="659"/>
      <c r="CY81" s="659"/>
      <c r="CZ81" s="659"/>
      <c r="DA81" s="659"/>
      <c r="DB81" s="662"/>
      <c r="DC81" s="663"/>
      <c r="DD81" s="659"/>
      <c r="DE81" s="659"/>
      <c r="DF81" s="659"/>
      <c r="DG81" s="659"/>
      <c r="DH81" s="659"/>
      <c r="DI81" s="659"/>
      <c r="DJ81" s="659"/>
      <c r="DK81" s="659"/>
      <c r="DL81" s="659"/>
      <c r="DM81" s="659"/>
      <c r="DN81" s="659"/>
      <c r="DO81" s="659"/>
      <c r="DP81" s="659"/>
      <c r="DQ81" s="659"/>
      <c r="DR81" s="659"/>
      <c r="DS81" s="659"/>
      <c r="DT81" s="659"/>
      <c r="DU81" s="659"/>
      <c r="DV81" s="659"/>
      <c r="DW81" s="659"/>
      <c r="DX81" s="659"/>
      <c r="DY81" s="659"/>
      <c r="DZ81" s="659"/>
      <c r="EA81" s="659"/>
      <c r="EB81" s="659"/>
      <c r="EC81" s="659"/>
      <c r="ED81" s="659"/>
      <c r="EE81" s="659"/>
      <c r="EF81" s="659"/>
      <c r="EG81" s="659"/>
      <c r="EH81" s="659"/>
      <c r="EI81" s="659"/>
      <c r="EJ81" s="659"/>
      <c r="EK81" s="659"/>
      <c r="EL81" s="659"/>
      <c r="EM81" s="659"/>
      <c r="EN81" s="659"/>
      <c r="EO81" s="659"/>
      <c r="EP81" s="662"/>
      <c r="EQ81" s="671">
        <f t="shared" ref="EQ81" si="69">DC81+DG81+DK81+DO81+DS81+DW81+EA81+EE81+EI81+EM81</f>
        <v>0</v>
      </c>
      <c r="ER81" s="672"/>
      <c r="ES81" s="673"/>
    </row>
    <row r="82" spans="1:162" ht="60" customHeight="1" x14ac:dyDescent="0.2">
      <c r="A82" s="62"/>
      <c r="B82" s="63"/>
      <c r="C82" s="690" t="s">
        <v>84</v>
      </c>
      <c r="D82" s="690"/>
      <c r="E82" s="690"/>
      <c r="F82" s="690"/>
      <c r="G82" s="690"/>
      <c r="H82" s="690"/>
      <c r="I82" s="690"/>
      <c r="J82" s="690"/>
      <c r="K82" s="690"/>
      <c r="L82" s="690"/>
      <c r="M82" s="690"/>
      <c r="N82" s="690"/>
      <c r="O82" s="690"/>
      <c r="P82" s="690"/>
      <c r="Q82" s="690"/>
      <c r="R82" s="690"/>
      <c r="S82" s="690"/>
      <c r="T82" s="690"/>
      <c r="U82" s="690"/>
      <c r="V82" s="690"/>
      <c r="W82" s="690"/>
      <c r="X82" s="690"/>
      <c r="Y82" s="690"/>
      <c r="Z82" s="644">
        <f>Z57+Z36</f>
        <v>6030</v>
      </c>
      <c r="AA82" s="645"/>
      <c r="AB82" s="645"/>
      <c r="AC82" s="646"/>
      <c r="AD82" s="642"/>
      <c r="AE82" s="642"/>
      <c r="AF82" s="647"/>
      <c r="AG82" s="686">
        <f>AG57+AG36</f>
        <v>838</v>
      </c>
      <c r="AH82" s="687"/>
      <c r="AI82" s="687"/>
      <c r="AJ82" s="687"/>
      <c r="AK82" s="687"/>
      <c r="AL82" s="686">
        <f>AL57+AL36</f>
        <v>434</v>
      </c>
      <c r="AM82" s="687"/>
      <c r="AN82" s="687"/>
      <c r="AO82" s="687"/>
      <c r="AP82" s="687"/>
      <c r="AQ82" s="686">
        <f>AQ57+AQ36</f>
        <v>260</v>
      </c>
      <c r="AR82" s="687"/>
      <c r="AS82" s="687"/>
      <c r="AT82" s="687"/>
      <c r="AU82" s="687"/>
      <c r="AV82" s="686">
        <f>AV57+AV36</f>
        <v>144</v>
      </c>
      <c r="AW82" s="687"/>
      <c r="AX82" s="687"/>
      <c r="AY82" s="687"/>
      <c r="AZ82" s="687"/>
      <c r="BA82" s="686">
        <f>BA57+BA36</f>
        <v>0</v>
      </c>
      <c r="BB82" s="687"/>
      <c r="BC82" s="687"/>
      <c r="BD82" s="687"/>
      <c r="BE82" s="687"/>
      <c r="BF82" s="686">
        <f>BF57+BF36</f>
        <v>0</v>
      </c>
      <c r="BG82" s="687"/>
      <c r="BH82" s="687"/>
      <c r="BI82" s="687"/>
      <c r="BJ82" s="687"/>
      <c r="BK82" s="688">
        <f>BK57+BK36</f>
        <v>5192</v>
      </c>
      <c r="BL82" s="689"/>
      <c r="BM82" s="689"/>
      <c r="BN82" s="689"/>
      <c r="BO82" s="650">
        <f>BO57+BO36</f>
        <v>34</v>
      </c>
      <c r="BP82" s="647"/>
      <c r="BQ82" s="647"/>
      <c r="BR82" s="647"/>
      <c r="BS82" s="647">
        <f>BS57+BS36</f>
        <v>36</v>
      </c>
      <c r="BT82" s="647"/>
      <c r="BU82" s="647"/>
      <c r="BV82" s="647"/>
      <c r="BW82" s="647">
        <f>BW57+BW36</f>
        <v>30</v>
      </c>
      <c r="BX82" s="647"/>
      <c r="BY82" s="647"/>
      <c r="BZ82" s="647"/>
      <c r="CA82" s="647">
        <f>CA57+CA36</f>
        <v>32</v>
      </c>
      <c r="CB82" s="647"/>
      <c r="CC82" s="647"/>
      <c r="CD82" s="647"/>
      <c r="CE82" s="647">
        <f>CE57+CE36</f>
        <v>30</v>
      </c>
      <c r="CF82" s="647"/>
      <c r="CG82" s="647"/>
      <c r="CH82" s="647"/>
      <c r="CI82" s="647">
        <f>CI57+CI36</f>
        <v>30</v>
      </c>
      <c r="CJ82" s="647"/>
      <c r="CK82" s="647"/>
      <c r="CL82" s="647"/>
      <c r="CM82" s="647">
        <f>CM57+CM36</f>
        <v>20</v>
      </c>
      <c r="CN82" s="647"/>
      <c r="CO82" s="647"/>
      <c r="CP82" s="647"/>
      <c r="CQ82" s="647">
        <f>CQ57+CQ36</f>
        <v>20</v>
      </c>
      <c r="CR82" s="647"/>
      <c r="CS82" s="647"/>
      <c r="CT82" s="647"/>
      <c r="CU82" s="647">
        <f>CU57+CU36</f>
        <v>25</v>
      </c>
      <c r="CV82" s="647"/>
      <c r="CW82" s="647"/>
      <c r="CX82" s="647"/>
      <c r="CY82" s="647">
        <f>CY57+CY36</f>
        <v>0</v>
      </c>
      <c r="CZ82" s="647"/>
      <c r="DA82" s="647"/>
      <c r="DB82" s="649"/>
      <c r="DC82" s="650">
        <f>DC57+DC36</f>
        <v>26</v>
      </c>
      <c r="DD82" s="647"/>
      <c r="DE82" s="647"/>
      <c r="DF82" s="647"/>
      <c r="DG82" s="652">
        <f>DG57+DG36</f>
        <v>21</v>
      </c>
      <c r="DH82" s="647"/>
      <c r="DI82" s="647"/>
      <c r="DJ82" s="647"/>
      <c r="DK82" s="652">
        <f>DK57+DK36</f>
        <v>26</v>
      </c>
      <c r="DL82" s="647"/>
      <c r="DM82" s="647"/>
      <c r="DN82" s="647"/>
      <c r="DO82" s="652">
        <f>DO57+DO36</f>
        <v>24</v>
      </c>
      <c r="DP82" s="647"/>
      <c r="DQ82" s="647"/>
      <c r="DR82" s="647"/>
      <c r="DS82" s="652">
        <f>DS57+DS36</f>
        <v>24</v>
      </c>
      <c r="DT82" s="647"/>
      <c r="DU82" s="647"/>
      <c r="DV82" s="647"/>
      <c r="DW82" s="652">
        <f>DW57+DW36</f>
        <v>24</v>
      </c>
      <c r="DX82" s="647"/>
      <c r="DY82" s="647"/>
      <c r="DZ82" s="647"/>
      <c r="EA82" s="652">
        <f>EA57+EA36</f>
        <v>20</v>
      </c>
      <c r="EB82" s="647"/>
      <c r="EC82" s="647"/>
      <c r="ED82" s="647"/>
      <c r="EE82" s="652">
        <f>EE57+EE36</f>
        <v>16</v>
      </c>
      <c r="EF82" s="647"/>
      <c r="EG82" s="647"/>
      <c r="EH82" s="647"/>
      <c r="EI82" s="652">
        <f>EI57+EI36</f>
        <v>20</v>
      </c>
      <c r="EJ82" s="647"/>
      <c r="EK82" s="647"/>
      <c r="EL82" s="647"/>
      <c r="EM82" s="652">
        <f>EM57+EM36</f>
        <v>0</v>
      </c>
      <c r="EN82" s="647"/>
      <c r="EO82" s="647"/>
      <c r="EP82" s="648"/>
      <c r="EQ82" s="655">
        <f>EQ57+EQ36</f>
        <v>201</v>
      </c>
      <c r="ER82" s="656"/>
      <c r="ES82" s="657"/>
    </row>
    <row r="83" spans="1:162" s="98" customFormat="1" ht="60" customHeight="1" x14ac:dyDescent="0.2">
      <c r="A83" s="99"/>
      <c r="B83" s="100"/>
      <c r="C83" s="709" t="s">
        <v>85</v>
      </c>
      <c r="D83" s="709"/>
      <c r="E83" s="709"/>
      <c r="F83" s="709"/>
      <c r="G83" s="709"/>
      <c r="H83" s="709"/>
      <c r="I83" s="709"/>
      <c r="J83" s="709"/>
      <c r="K83" s="709"/>
      <c r="L83" s="709"/>
      <c r="M83" s="709"/>
      <c r="N83" s="709"/>
      <c r="O83" s="709"/>
      <c r="P83" s="709"/>
      <c r="Q83" s="709"/>
      <c r="R83" s="709"/>
      <c r="S83" s="709"/>
      <c r="T83" s="709"/>
      <c r="U83" s="709"/>
      <c r="V83" s="709"/>
      <c r="W83" s="709"/>
      <c r="X83" s="709"/>
      <c r="Y83" s="709"/>
      <c r="Z83" s="658">
        <f t="shared" ref="Z83" si="70">EQ83*30</f>
        <v>1080</v>
      </c>
      <c r="AA83" s="658"/>
      <c r="AB83" s="658"/>
      <c r="AC83" s="658"/>
      <c r="AD83" s="710"/>
      <c r="AE83" s="710"/>
      <c r="AF83" s="710"/>
      <c r="AG83" s="661">
        <f t="shared" ref="AG83:AG84" si="71">AL83+AQ83+AV83+BA83+BF83</f>
        <v>0</v>
      </c>
      <c r="AH83" s="661"/>
      <c r="AI83" s="661"/>
      <c r="AJ83" s="661"/>
      <c r="AK83" s="661"/>
      <c r="AL83" s="691"/>
      <c r="AM83" s="692"/>
      <c r="AN83" s="692"/>
      <c r="AO83" s="692"/>
      <c r="AP83" s="711"/>
      <c r="AQ83" s="661"/>
      <c r="AR83" s="661"/>
      <c r="AS83" s="661"/>
      <c r="AT83" s="661"/>
      <c r="AU83" s="661"/>
      <c r="AV83" s="661"/>
      <c r="AW83" s="661"/>
      <c r="AX83" s="661"/>
      <c r="AY83" s="661"/>
      <c r="AZ83" s="661"/>
      <c r="BA83" s="661"/>
      <c r="BB83" s="661"/>
      <c r="BC83" s="661"/>
      <c r="BD83" s="661"/>
      <c r="BE83" s="661"/>
      <c r="BF83" s="661"/>
      <c r="BG83" s="661"/>
      <c r="BH83" s="661"/>
      <c r="BI83" s="661"/>
      <c r="BJ83" s="661"/>
      <c r="BK83" s="691"/>
      <c r="BL83" s="692"/>
      <c r="BM83" s="692"/>
      <c r="BN83" s="692"/>
      <c r="BO83" s="671"/>
      <c r="BP83" s="672"/>
      <c r="BQ83" s="672"/>
      <c r="BR83" s="672"/>
      <c r="BS83" s="672"/>
      <c r="BT83" s="672"/>
      <c r="BU83" s="672"/>
      <c r="BV83" s="672"/>
      <c r="BW83" s="672"/>
      <c r="BX83" s="672"/>
      <c r="BY83" s="672"/>
      <c r="BZ83" s="672"/>
      <c r="CA83" s="672"/>
      <c r="CB83" s="672"/>
      <c r="CC83" s="672"/>
      <c r="CD83" s="672"/>
      <c r="CE83" s="672"/>
      <c r="CF83" s="672"/>
      <c r="CG83" s="672"/>
      <c r="CH83" s="672"/>
      <c r="CI83" s="672"/>
      <c r="CJ83" s="672"/>
      <c r="CK83" s="672"/>
      <c r="CL83" s="672"/>
      <c r="CM83" s="672"/>
      <c r="CN83" s="672"/>
      <c r="CO83" s="672"/>
      <c r="CP83" s="672"/>
      <c r="CQ83" s="672"/>
      <c r="CR83" s="672"/>
      <c r="CS83" s="672"/>
      <c r="CT83" s="672"/>
      <c r="CU83" s="672"/>
      <c r="CV83" s="672"/>
      <c r="CW83" s="672"/>
      <c r="CX83" s="672"/>
      <c r="CY83" s="672"/>
      <c r="CZ83" s="672"/>
      <c r="DA83" s="672"/>
      <c r="DB83" s="673"/>
      <c r="DC83" s="671"/>
      <c r="DD83" s="672"/>
      <c r="DE83" s="672"/>
      <c r="DF83" s="672"/>
      <c r="DG83" s="672"/>
      <c r="DH83" s="672"/>
      <c r="DI83" s="672"/>
      <c r="DJ83" s="672"/>
      <c r="DK83" s="659">
        <v>3</v>
      </c>
      <c r="DL83" s="659"/>
      <c r="DM83" s="659"/>
      <c r="DN83" s="659"/>
      <c r="DO83" s="659"/>
      <c r="DP83" s="659"/>
      <c r="DQ83" s="659"/>
      <c r="DR83" s="659"/>
      <c r="DS83" s="659">
        <v>3</v>
      </c>
      <c r="DT83" s="659"/>
      <c r="DU83" s="659"/>
      <c r="DV83" s="659"/>
      <c r="DW83" s="659"/>
      <c r="DX83" s="659"/>
      <c r="DY83" s="659"/>
      <c r="DZ83" s="659"/>
      <c r="EA83" s="659">
        <v>6</v>
      </c>
      <c r="EB83" s="659"/>
      <c r="EC83" s="659"/>
      <c r="ED83" s="659"/>
      <c r="EE83" s="659">
        <v>6</v>
      </c>
      <c r="EF83" s="659"/>
      <c r="EG83" s="659"/>
      <c r="EH83" s="659"/>
      <c r="EI83" s="659">
        <v>6</v>
      </c>
      <c r="EJ83" s="659"/>
      <c r="EK83" s="659"/>
      <c r="EL83" s="659"/>
      <c r="EM83" s="659">
        <v>12</v>
      </c>
      <c r="EN83" s="659"/>
      <c r="EO83" s="659"/>
      <c r="EP83" s="662"/>
      <c r="EQ83" s="666">
        <f t="shared" ref="EQ83:EQ86" si="72">DC83+DG83+DK83+DO83+DS83+DW83+EA83+EE83+EI83+EM83</f>
        <v>36</v>
      </c>
      <c r="ER83" s="667"/>
      <c r="ES83" s="668"/>
      <c r="ET83" s="173" t="s">
        <v>263</v>
      </c>
    </row>
    <row r="84" spans="1:162" ht="60" customHeight="1" x14ac:dyDescent="0.2">
      <c r="A84" s="59"/>
      <c r="B84" s="61"/>
      <c r="C84" s="511" t="s">
        <v>18</v>
      </c>
      <c r="D84" s="511"/>
      <c r="E84" s="511"/>
      <c r="F84" s="511"/>
      <c r="G84" s="511"/>
      <c r="H84" s="511"/>
      <c r="I84" s="511"/>
      <c r="J84" s="511"/>
      <c r="K84" s="511"/>
      <c r="L84" s="511"/>
      <c r="M84" s="511"/>
      <c r="N84" s="511"/>
      <c r="O84" s="511"/>
      <c r="P84" s="511"/>
      <c r="Q84" s="511"/>
      <c r="R84" s="511"/>
      <c r="S84" s="511"/>
      <c r="T84" s="511"/>
      <c r="U84" s="511"/>
      <c r="V84" s="511"/>
      <c r="W84" s="511"/>
      <c r="X84" s="511"/>
      <c r="Y84" s="511"/>
      <c r="Z84" s="618">
        <f t="shared" ref="Z84" si="73">EQ84*30</f>
        <v>90</v>
      </c>
      <c r="AA84" s="618"/>
      <c r="AB84" s="618"/>
      <c r="AC84" s="618"/>
      <c r="AD84" s="486"/>
      <c r="AE84" s="486"/>
      <c r="AF84" s="621"/>
      <c r="AG84" s="705">
        <f t="shared" si="71"/>
        <v>0</v>
      </c>
      <c r="AH84" s="705"/>
      <c r="AI84" s="705"/>
      <c r="AJ84" s="705"/>
      <c r="AK84" s="705"/>
      <c r="AL84" s="706"/>
      <c r="AM84" s="707"/>
      <c r="AN84" s="707"/>
      <c r="AO84" s="707"/>
      <c r="AP84" s="708"/>
      <c r="AQ84" s="705"/>
      <c r="AR84" s="705"/>
      <c r="AS84" s="705"/>
      <c r="AT84" s="705"/>
      <c r="AU84" s="705"/>
      <c r="AV84" s="705"/>
      <c r="AW84" s="705"/>
      <c r="AX84" s="705"/>
      <c r="AY84" s="705"/>
      <c r="AZ84" s="705"/>
      <c r="BA84" s="705"/>
      <c r="BB84" s="705"/>
      <c r="BC84" s="705"/>
      <c r="BD84" s="705"/>
      <c r="BE84" s="705"/>
      <c r="BF84" s="705"/>
      <c r="BG84" s="705"/>
      <c r="BH84" s="705"/>
      <c r="BI84" s="705"/>
      <c r="BJ84" s="705"/>
      <c r="BK84" s="749"/>
      <c r="BL84" s="707"/>
      <c r="BM84" s="707"/>
      <c r="BN84" s="707"/>
      <c r="BO84" s="620"/>
      <c r="BP84" s="621"/>
      <c r="BQ84" s="621"/>
      <c r="BR84" s="621"/>
      <c r="BS84" s="621"/>
      <c r="BT84" s="621"/>
      <c r="BU84" s="621"/>
      <c r="BV84" s="621"/>
      <c r="BW84" s="621"/>
      <c r="BX84" s="621"/>
      <c r="BY84" s="621"/>
      <c r="BZ84" s="621"/>
      <c r="CA84" s="621"/>
      <c r="CB84" s="621"/>
      <c r="CC84" s="621"/>
      <c r="CD84" s="621"/>
      <c r="CE84" s="621"/>
      <c r="CF84" s="621"/>
      <c r="CG84" s="621"/>
      <c r="CH84" s="621"/>
      <c r="CI84" s="621"/>
      <c r="CJ84" s="621"/>
      <c r="CK84" s="621"/>
      <c r="CL84" s="621"/>
      <c r="CM84" s="621"/>
      <c r="CN84" s="621"/>
      <c r="CO84" s="621"/>
      <c r="CP84" s="621"/>
      <c r="CQ84" s="621"/>
      <c r="CR84" s="621"/>
      <c r="CS84" s="621"/>
      <c r="CT84" s="621"/>
      <c r="CU84" s="621"/>
      <c r="CV84" s="621"/>
      <c r="CW84" s="621"/>
      <c r="CX84" s="621"/>
      <c r="CY84" s="621"/>
      <c r="CZ84" s="621"/>
      <c r="DA84" s="621"/>
      <c r="DB84" s="622"/>
      <c r="DC84" s="620"/>
      <c r="DD84" s="621"/>
      <c r="DE84" s="621"/>
      <c r="DF84" s="621"/>
      <c r="DG84" s="621"/>
      <c r="DH84" s="621"/>
      <c r="DI84" s="621"/>
      <c r="DJ84" s="621"/>
      <c r="DK84" s="653"/>
      <c r="DL84" s="653"/>
      <c r="DM84" s="653"/>
      <c r="DN84" s="653"/>
      <c r="DO84" s="653"/>
      <c r="DP84" s="653"/>
      <c r="DQ84" s="653"/>
      <c r="DR84" s="653"/>
      <c r="DS84" s="653"/>
      <c r="DT84" s="653"/>
      <c r="DU84" s="653"/>
      <c r="DV84" s="653"/>
      <c r="DW84" s="653"/>
      <c r="DX84" s="653"/>
      <c r="DY84" s="653"/>
      <c r="DZ84" s="653"/>
      <c r="EA84" s="653"/>
      <c r="EB84" s="653"/>
      <c r="EC84" s="653"/>
      <c r="ED84" s="653"/>
      <c r="EE84" s="653"/>
      <c r="EF84" s="653"/>
      <c r="EG84" s="653"/>
      <c r="EH84" s="653"/>
      <c r="EI84" s="653"/>
      <c r="EJ84" s="653"/>
      <c r="EK84" s="653"/>
      <c r="EL84" s="653"/>
      <c r="EM84" s="653">
        <v>3</v>
      </c>
      <c r="EN84" s="653"/>
      <c r="EO84" s="653"/>
      <c r="EP84" s="654"/>
      <c r="EQ84" s="626">
        <f t="shared" si="72"/>
        <v>3</v>
      </c>
      <c r="ER84" s="627"/>
      <c r="ES84" s="619"/>
    </row>
    <row r="85" spans="1:162" s="98" customFormat="1" ht="60" customHeight="1" x14ac:dyDescent="0.2">
      <c r="A85" s="101"/>
      <c r="B85" s="102"/>
      <c r="C85" s="746" t="s">
        <v>84</v>
      </c>
      <c r="D85" s="746"/>
      <c r="E85" s="746"/>
      <c r="F85" s="746"/>
      <c r="G85" s="746"/>
      <c r="H85" s="746"/>
      <c r="I85" s="746"/>
      <c r="J85" s="746"/>
      <c r="K85" s="746"/>
      <c r="L85" s="746"/>
      <c r="M85" s="746"/>
      <c r="N85" s="746"/>
      <c r="O85" s="746"/>
      <c r="P85" s="746"/>
      <c r="Q85" s="746"/>
      <c r="R85" s="746"/>
      <c r="S85" s="746"/>
      <c r="T85" s="746"/>
      <c r="U85" s="746"/>
      <c r="V85" s="746"/>
      <c r="W85" s="746"/>
      <c r="X85" s="746"/>
      <c r="Y85" s="746"/>
      <c r="Z85" s="747">
        <f>Z83+Z84</f>
        <v>1170</v>
      </c>
      <c r="AA85" s="747"/>
      <c r="AB85" s="747"/>
      <c r="AC85" s="747"/>
      <c r="AD85" s="748">
        <f>AD83+AD84</f>
        <v>0</v>
      </c>
      <c r="AE85" s="748"/>
      <c r="AF85" s="704"/>
      <c r="AG85" s="747">
        <f>AG83+AG84</f>
        <v>0</v>
      </c>
      <c r="AH85" s="747"/>
      <c r="AI85" s="747"/>
      <c r="AJ85" s="747"/>
      <c r="AK85" s="747"/>
      <c r="AL85" s="747">
        <f t="shared" ref="AL85" si="74">AL83+AL84</f>
        <v>0</v>
      </c>
      <c r="AM85" s="747"/>
      <c r="AN85" s="747"/>
      <c r="AO85" s="747"/>
      <c r="AP85" s="747"/>
      <c r="AQ85" s="747">
        <f t="shared" ref="AQ85" si="75">AQ83+AQ84</f>
        <v>0</v>
      </c>
      <c r="AR85" s="747"/>
      <c r="AS85" s="747"/>
      <c r="AT85" s="747"/>
      <c r="AU85" s="747"/>
      <c r="AV85" s="747">
        <f t="shared" ref="AV85" si="76">AV83+AV84</f>
        <v>0</v>
      </c>
      <c r="AW85" s="747"/>
      <c r="AX85" s="747"/>
      <c r="AY85" s="747"/>
      <c r="AZ85" s="747"/>
      <c r="BA85" s="747">
        <f t="shared" ref="BA85" si="77">BA83+BA84</f>
        <v>0</v>
      </c>
      <c r="BB85" s="747"/>
      <c r="BC85" s="747"/>
      <c r="BD85" s="747"/>
      <c r="BE85" s="747"/>
      <c r="BF85" s="747">
        <f t="shared" ref="BF85" si="78">BF83+BF84</f>
        <v>0</v>
      </c>
      <c r="BG85" s="747"/>
      <c r="BH85" s="747"/>
      <c r="BI85" s="747"/>
      <c r="BJ85" s="747"/>
      <c r="BK85" s="726">
        <f>BK83+BK84</f>
        <v>0</v>
      </c>
      <c r="BL85" s="727"/>
      <c r="BM85" s="727"/>
      <c r="BN85" s="727"/>
      <c r="BO85" s="703">
        <f t="shared" ref="BO85:CY85" si="79">BO83+BO84</f>
        <v>0</v>
      </c>
      <c r="BP85" s="704"/>
      <c r="BQ85" s="704"/>
      <c r="BR85" s="704"/>
      <c r="BS85" s="704">
        <f t="shared" si="79"/>
        <v>0</v>
      </c>
      <c r="BT85" s="704"/>
      <c r="BU85" s="704"/>
      <c r="BV85" s="704"/>
      <c r="BW85" s="704">
        <f t="shared" si="79"/>
        <v>0</v>
      </c>
      <c r="BX85" s="704"/>
      <c r="BY85" s="704"/>
      <c r="BZ85" s="704"/>
      <c r="CA85" s="704">
        <f t="shared" si="79"/>
        <v>0</v>
      </c>
      <c r="CB85" s="704"/>
      <c r="CC85" s="704"/>
      <c r="CD85" s="704"/>
      <c r="CE85" s="704">
        <f t="shared" si="79"/>
        <v>0</v>
      </c>
      <c r="CF85" s="704"/>
      <c r="CG85" s="704"/>
      <c r="CH85" s="704"/>
      <c r="CI85" s="704">
        <f t="shared" si="79"/>
        <v>0</v>
      </c>
      <c r="CJ85" s="704"/>
      <c r="CK85" s="704"/>
      <c r="CL85" s="704"/>
      <c r="CM85" s="704">
        <f t="shared" si="79"/>
        <v>0</v>
      </c>
      <c r="CN85" s="704"/>
      <c r="CO85" s="704"/>
      <c r="CP85" s="704"/>
      <c r="CQ85" s="704">
        <f t="shared" si="79"/>
        <v>0</v>
      </c>
      <c r="CR85" s="704"/>
      <c r="CS85" s="704"/>
      <c r="CT85" s="704"/>
      <c r="CU85" s="704">
        <f t="shared" si="79"/>
        <v>0</v>
      </c>
      <c r="CV85" s="704"/>
      <c r="CW85" s="704"/>
      <c r="CX85" s="704"/>
      <c r="CY85" s="704">
        <f t="shared" si="79"/>
        <v>0</v>
      </c>
      <c r="CZ85" s="704"/>
      <c r="DA85" s="704"/>
      <c r="DB85" s="750"/>
      <c r="DC85" s="703">
        <f>DC83+DC84</f>
        <v>0</v>
      </c>
      <c r="DD85" s="704"/>
      <c r="DE85" s="704"/>
      <c r="DF85" s="704"/>
      <c r="DG85" s="704">
        <f>DG83+DG84</f>
        <v>0</v>
      </c>
      <c r="DH85" s="704"/>
      <c r="DI85" s="704"/>
      <c r="DJ85" s="704"/>
      <c r="DK85" s="704">
        <f t="shared" ref="DK85" si="80">DK83+DK84</f>
        <v>3</v>
      </c>
      <c r="DL85" s="704"/>
      <c r="DM85" s="704"/>
      <c r="DN85" s="704"/>
      <c r="DO85" s="704">
        <f t="shared" ref="DO85" si="81">DO83+DO84</f>
        <v>0</v>
      </c>
      <c r="DP85" s="704"/>
      <c r="DQ85" s="704"/>
      <c r="DR85" s="704"/>
      <c r="DS85" s="704">
        <f t="shared" ref="DS85" si="82">DS83+DS84</f>
        <v>3</v>
      </c>
      <c r="DT85" s="704"/>
      <c r="DU85" s="704"/>
      <c r="DV85" s="704"/>
      <c r="DW85" s="704">
        <f t="shared" ref="DW85" si="83">DW83+DW84</f>
        <v>0</v>
      </c>
      <c r="DX85" s="704"/>
      <c r="DY85" s="704"/>
      <c r="DZ85" s="704"/>
      <c r="EA85" s="704">
        <f t="shared" ref="EA85" si="84">EA83+EA84</f>
        <v>6</v>
      </c>
      <c r="EB85" s="704"/>
      <c r="EC85" s="704"/>
      <c r="ED85" s="704"/>
      <c r="EE85" s="704">
        <f t="shared" ref="EE85" si="85">EE83+EE84</f>
        <v>6</v>
      </c>
      <c r="EF85" s="704"/>
      <c r="EG85" s="704"/>
      <c r="EH85" s="704"/>
      <c r="EI85" s="704">
        <f t="shared" ref="EI85" si="86">EI83+EI84</f>
        <v>6</v>
      </c>
      <c r="EJ85" s="704"/>
      <c r="EK85" s="704"/>
      <c r="EL85" s="704"/>
      <c r="EM85" s="704">
        <f t="shared" ref="EM85" si="87">EM83+EM84</f>
        <v>15</v>
      </c>
      <c r="EN85" s="704"/>
      <c r="EO85" s="704"/>
      <c r="EP85" s="753"/>
      <c r="EQ85" s="655">
        <f t="shared" si="72"/>
        <v>39</v>
      </c>
      <c r="ER85" s="656"/>
      <c r="ES85" s="657"/>
    </row>
    <row r="86" spans="1:162" s="98" customFormat="1" ht="60" customHeight="1" x14ac:dyDescent="0.2">
      <c r="A86" s="64"/>
      <c r="B86" s="65"/>
      <c r="C86" s="720" t="s">
        <v>22</v>
      </c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0"/>
      <c r="P86" s="720"/>
      <c r="Q86" s="720"/>
      <c r="R86" s="720"/>
      <c r="S86" s="720"/>
      <c r="T86" s="720"/>
      <c r="U86" s="720"/>
      <c r="V86" s="720"/>
      <c r="W86" s="720"/>
      <c r="X86" s="720"/>
      <c r="Y86" s="720"/>
      <c r="Z86" s="716">
        <f>Z85+Z82</f>
        <v>7200</v>
      </c>
      <c r="AA86" s="717"/>
      <c r="AB86" s="717"/>
      <c r="AC86" s="717"/>
      <c r="AD86" s="721">
        <f>AD82+AD85</f>
        <v>0</v>
      </c>
      <c r="AE86" s="721"/>
      <c r="AF86" s="721"/>
      <c r="AG86" s="716">
        <f>AG82+AG85</f>
        <v>838</v>
      </c>
      <c r="AH86" s="717"/>
      <c r="AI86" s="717"/>
      <c r="AJ86" s="717"/>
      <c r="AK86" s="717"/>
      <c r="AL86" s="716">
        <f t="shared" ref="AL86" si="88">AL82+AL85</f>
        <v>434</v>
      </c>
      <c r="AM86" s="717"/>
      <c r="AN86" s="717"/>
      <c r="AO86" s="717"/>
      <c r="AP86" s="717"/>
      <c r="AQ86" s="716">
        <f t="shared" ref="AQ86" si="89">AQ82+AQ85</f>
        <v>260</v>
      </c>
      <c r="AR86" s="717"/>
      <c r="AS86" s="717"/>
      <c r="AT86" s="717"/>
      <c r="AU86" s="717"/>
      <c r="AV86" s="716">
        <f t="shared" ref="AV86" si="90">AV82+AV85</f>
        <v>144</v>
      </c>
      <c r="AW86" s="717"/>
      <c r="AX86" s="717"/>
      <c r="AY86" s="717"/>
      <c r="AZ86" s="717"/>
      <c r="BA86" s="716">
        <f t="shared" ref="BA86" si="91">BA82+BA85</f>
        <v>0</v>
      </c>
      <c r="BB86" s="717"/>
      <c r="BC86" s="717"/>
      <c r="BD86" s="717"/>
      <c r="BE86" s="717"/>
      <c r="BF86" s="716">
        <f t="shared" ref="BF86" si="92">BF82+BF85</f>
        <v>0</v>
      </c>
      <c r="BG86" s="717"/>
      <c r="BH86" s="717"/>
      <c r="BI86" s="717"/>
      <c r="BJ86" s="717"/>
      <c r="BK86" s="718">
        <f>BK82+BK85</f>
        <v>5192</v>
      </c>
      <c r="BL86" s="719"/>
      <c r="BM86" s="719"/>
      <c r="BN86" s="719"/>
      <c r="BO86" s="725">
        <f t="shared" ref="BO86:CY86" si="93">+BO85+BO82</f>
        <v>34</v>
      </c>
      <c r="BP86" s="723"/>
      <c r="BQ86" s="723"/>
      <c r="BR86" s="723"/>
      <c r="BS86" s="722">
        <f t="shared" si="93"/>
        <v>36</v>
      </c>
      <c r="BT86" s="723"/>
      <c r="BU86" s="723"/>
      <c r="BV86" s="723"/>
      <c r="BW86" s="722">
        <f t="shared" si="93"/>
        <v>30</v>
      </c>
      <c r="BX86" s="723"/>
      <c r="BY86" s="723"/>
      <c r="BZ86" s="723"/>
      <c r="CA86" s="722">
        <f t="shared" si="93"/>
        <v>32</v>
      </c>
      <c r="CB86" s="723"/>
      <c r="CC86" s="723"/>
      <c r="CD86" s="723"/>
      <c r="CE86" s="722">
        <f t="shared" si="93"/>
        <v>30</v>
      </c>
      <c r="CF86" s="723"/>
      <c r="CG86" s="723"/>
      <c r="CH86" s="723"/>
      <c r="CI86" s="722">
        <f t="shared" si="93"/>
        <v>30</v>
      </c>
      <c r="CJ86" s="723"/>
      <c r="CK86" s="723"/>
      <c r="CL86" s="723"/>
      <c r="CM86" s="722">
        <f t="shared" si="93"/>
        <v>20</v>
      </c>
      <c r="CN86" s="723"/>
      <c r="CO86" s="723"/>
      <c r="CP86" s="723"/>
      <c r="CQ86" s="722">
        <f t="shared" si="93"/>
        <v>20</v>
      </c>
      <c r="CR86" s="723"/>
      <c r="CS86" s="723"/>
      <c r="CT86" s="723"/>
      <c r="CU86" s="722">
        <f t="shared" si="93"/>
        <v>25</v>
      </c>
      <c r="CV86" s="723"/>
      <c r="CW86" s="723"/>
      <c r="CX86" s="723"/>
      <c r="CY86" s="722">
        <f t="shared" si="93"/>
        <v>0</v>
      </c>
      <c r="CZ86" s="723"/>
      <c r="DA86" s="723"/>
      <c r="DB86" s="724"/>
      <c r="DC86" s="725">
        <f>+DC85+DC82</f>
        <v>26</v>
      </c>
      <c r="DD86" s="723"/>
      <c r="DE86" s="723"/>
      <c r="DF86" s="723"/>
      <c r="DG86" s="722">
        <f t="shared" ref="DG86" si="94">+DG85+DG82</f>
        <v>21</v>
      </c>
      <c r="DH86" s="723"/>
      <c r="DI86" s="723"/>
      <c r="DJ86" s="723"/>
      <c r="DK86" s="722">
        <f t="shared" ref="DK86" si="95">+DK85+DK82</f>
        <v>29</v>
      </c>
      <c r="DL86" s="723"/>
      <c r="DM86" s="723"/>
      <c r="DN86" s="723"/>
      <c r="DO86" s="722">
        <f t="shared" ref="DO86" si="96">+DO85+DO82</f>
        <v>24</v>
      </c>
      <c r="DP86" s="723"/>
      <c r="DQ86" s="723"/>
      <c r="DR86" s="723"/>
      <c r="DS86" s="722">
        <f t="shared" ref="DS86" si="97">+DS85+DS82</f>
        <v>27</v>
      </c>
      <c r="DT86" s="723"/>
      <c r="DU86" s="723"/>
      <c r="DV86" s="723"/>
      <c r="DW86" s="722">
        <f t="shared" ref="DW86" si="98">+DW85+DW82</f>
        <v>24</v>
      </c>
      <c r="DX86" s="723"/>
      <c r="DY86" s="723"/>
      <c r="DZ86" s="723"/>
      <c r="EA86" s="722">
        <f t="shared" ref="EA86" si="99">+EA85+EA82</f>
        <v>26</v>
      </c>
      <c r="EB86" s="723"/>
      <c r="EC86" s="723"/>
      <c r="ED86" s="723"/>
      <c r="EE86" s="722">
        <f t="shared" ref="EE86" si="100">+EE85+EE82</f>
        <v>22</v>
      </c>
      <c r="EF86" s="723"/>
      <c r="EG86" s="723"/>
      <c r="EH86" s="723"/>
      <c r="EI86" s="722">
        <f t="shared" ref="EI86" si="101">+EI85+EI82</f>
        <v>26</v>
      </c>
      <c r="EJ86" s="723"/>
      <c r="EK86" s="723"/>
      <c r="EL86" s="723"/>
      <c r="EM86" s="722">
        <f t="shared" ref="EM86" si="102">+EM85+EM82</f>
        <v>15</v>
      </c>
      <c r="EN86" s="723"/>
      <c r="EO86" s="723"/>
      <c r="EP86" s="752"/>
      <c r="EQ86" s="728">
        <f t="shared" si="72"/>
        <v>240</v>
      </c>
      <c r="ER86" s="716"/>
      <c r="ES86" s="729"/>
    </row>
    <row r="87" spans="1:162" ht="45" customHeight="1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66"/>
      <c r="ER87" s="66"/>
      <c r="ES87" s="67"/>
    </row>
    <row r="88" spans="1:162" s="31" customFormat="1" ht="78.75" customHeight="1" x14ac:dyDescent="0.65">
      <c r="A88" s="34"/>
      <c r="B88" s="185" t="s">
        <v>98</v>
      </c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743"/>
      <c r="AA88" s="743"/>
      <c r="AB88" s="743"/>
      <c r="AC88" s="735"/>
      <c r="AD88" s="116"/>
      <c r="AE88" s="116"/>
      <c r="AF88" s="114"/>
      <c r="AG88" s="116"/>
      <c r="AH88" s="116"/>
      <c r="AI88" s="116"/>
      <c r="AJ88" s="114"/>
      <c r="AK88" s="116"/>
      <c r="AL88" s="116"/>
      <c r="AM88" s="116"/>
      <c r="AN88" s="114"/>
      <c r="AO88" s="116"/>
      <c r="AP88" s="116"/>
      <c r="AQ88" s="116"/>
      <c r="AR88" s="114"/>
      <c r="AS88" s="116"/>
      <c r="AT88" s="116"/>
      <c r="AU88" s="116"/>
      <c r="AV88" s="114"/>
      <c r="AW88" s="116"/>
      <c r="AX88" s="116"/>
      <c r="AY88" s="116"/>
      <c r="AZ88" s="114"/>
      <c r="BA88" s="116"/>
      <c r="BB88" s="116"/>
      <c r="BC88" s="116"/>
      <c r="BD88" s="114"/>
      <c r="BE88" s="114"/>
      <c r="BF88" s="114"/>
      <c r="BG88" s="114"/>
      <c r="BH88" s="114"/>
      <c r="BI88" s="114"/>
      <c r="BJ88" s="114"/>
      <c r="BK88" s="116"/>
      <c r="BL88" s="116"/>
      <c r="BM88" s="116"/>
      <c r="BN88" s="114"/>
      <c r="BO88" s="116"/>
      <c r="BP88" s="114"/>
      <c r="BQ88" s="114"/>
      <c r="BR88" s="114"/>
      <c r="BS88" s="116"/>
      <c r="BT88" s="114"/>
      <c r="BU88" s="114"/>
      <c r="BV88" s="114"/>
      <c r="BW88" s="116"/>
      <c r="BX88" s="114"/>
      <c r="BY88" s="114"/>
      <c r="BZ88" s="114"/>
      <c r="CA88" s="116"/>
      <c r="CB88" s="114"/>
      <c r="CC88" s="114"/>
      <c r="CD88" s="114"/>
      <c r="CE88" s="116"/>
      <c r="CF88" s="114"/>
      <c r="CG88" s="114"/>
      <c r="CH88" s="114"/>
      <c r="CI88" s="116"/>
      <c r="CJ88" s="114"/>
      <c r="CK88" s="114"/>
      <c r="CL88" s="114"/>
      <c r="CM88" s="116"/>
      <c r="CN88" s="114"/>
      <c r="CO88" s="114"/>
      <c r="CP88" s="114"/>
      <c r="CQ88" s="116"/>
      <c r="CR88" s="114"/>
      <c r="CS88" s="114"/>
      <c r="CT88" s="114"/>
      <c r="CU88" s="116"/>
      <c r="CV88" s="114"/>
      <c r="CW88" s="114"/>
      <c r="CX88" s="114"/>
      <c r="CY88" s="116"/>
      <c r="CZ88" s="114"/>
      <c r="DA88" s="114"/>
      <c r="DB88" s="114"/>
      <c r="DC88" s="116"/>
      <c r="DD88" s="114"/>
      <c r="DE88" s="114"/>
      <c r="DF88" s="114"/>
      <c r="DG88" s="116"/>
      <c r="DH88" s="114"/>
      <c r="DI88" s="114"/>
      <c r="DJ88" s="114"/>
      <c r="DK88" s="116"/>
      <c r="DL88" s="114"/>
      <c r="DM88" s="114"/>
      <c r="DN88" s="114"/>
      <c r="DO88" s="116"/>
      <c r="DP88" s="114"/>
      <c r="DQ88" s="114"/>
      <c r="DR88" s="114"/>
      <c r="DS88" s="116"/>
      <c r="DT88" s="114"/>
      <c r="DU88" s="114"/>
      <c r="DV88" s="114"/>
      <c r="DW88" s="116"/>
      <c r="DX88" s="114"/>
      <c r="DY88" s="114"/>
      <c r="DZ88" s="114"/>
      <c r="EA88" s="116"/>
      <c r="EB88" s="114"/>
      <c r="EC88" s="114"/>
      <c r="ED88" s="114"/>
      <c r="EE88" s="116"/>
      <c r="EF88" s="114"/>
      <c r="EG88" s="114"/>
      <c r="EH88" s="114"/>
      <c r="EI88" s="116"/>
      <c r="EJ88" s="114"/>
      <c r="EK88" s="114"/>
      <c r="EL88" s="114"/>
      <c r="EM88" s="116"/>
      <c r="EN88" s="114"/>
      <c r="EO88" s="114"/>
      <c r="EP88" s="114"/>
      <c r="EQ88" s="117"/>
      <c r="ER88" s="117"/>
      <c r="ES88" s="118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</row>
    <row r="89" spans="1:162" s="31" customFormat="1" ht="108.75" customHeight="1" x14ac:dyDescent="0.65">
      <c r="A89" s="32"/>
      <c r="B89" s="742" t="s">
        <v>219</v>
      </c>
      <c r="C89" s="742"/>
      <c r="D89" s="742"/>
      <c r="E89" s="742"/>
      <c r="F89" s="742"/>
      <c r="G89" s="742"/>
      <c r="H89" s="742"/>
      <c r="I89" s="742"/>
      <c r="J89" s="742"/>
      <c r="K89" s="742"/>
      <c r="L89" s="742"/>
      <c r="M89" s="742"/>
      <c r="N89" s="742"/>
      <c r="O89" s="742"/>
      <c r="P89" s="742"/>
      <c r="Q89" s="742"/>
      <c r="R89" s="742"/>
      <c r="S89" s="742"/>
      <c r="T89" s="742"/>
      <c r="U89" s="742"/>
      <c r="V89" s="742"/>
      <c r="W89" s="742"/>
      <c r="X89" s="742"/>
      <c r="Y89" s="742"/>
      <c r="Z89" s="742"/>
      <c r="AA89" s="742"/>
      <c r="AB89" s="742"/>
      <c r="AC89" s="742"/>
      <c r="AD89" s="742"/>
      <c r="AE89" s="742"/>
      <c r="AF89" s="742"/>
      <c r="AG89" s="742"/>
      <c r="AH89" s="742"/>
      <c r="AI89" s="742"/>
      <c r="AJ89" s="742"/>
      <c r="AK89" s="742"/>
      <c r="AL89" s="742"/>
      <c r="AM89" s="742"/>
      <c r="AN89" s="742"/>
      <c r="AO89" s="742"/>
      <c r="AP89" s="742"/>
      <c r="AQ89" s="742"/>
      <c r="AR89" s="742"/>
      <c r="AS89" s="742"/>
      <c r="AT89" s="742"/>
      <c r="AU89" s="742"/>
      <c r="AV89" s="742"/>
      <c r="AW89" s="742"/>
      <c r="AX89" s="742"/>
      <c r="AY89" s="742"/>
      <c r="AZ89" s="742"/>
      <c r="BA89" s="742"/>
      <c r="BB89" s="742"/>
      <c r="BC89" s="742"/>
      <c r="BD89" s="742"/>
      <c r="BE89" s="742"/>
      <c r="BF89" s="742"/>
      <c r="BG89" s="742"/>
      <c r="BH89" s="742"/>
      <c r="BI89" s="742"/>
      <c r="BJ89" s="742"/>
      <c r="BK89" s="742"/>
      <c r="BL89" s="742"/>
      <c r="BM89" s="742"/>
      <c r="BN89" s="742"/>
      <c r="BO89" s="742"/>
      <c r="BP89" s="742"/>
      <c r="BQ89" s="742"/>
      <c r="BR89" s="742"/>
      <c r="BS89" s="742"/>
      <c r="BT89" s="742"/>
      <c r="BU89" s="742"/>
      <c r="BV89" s="742"/>
      <c r="BW89" s="742"/>
      <c r="BX89" s="742"/>
      <c r="BY89" s="742"/>
      <c r="BZ89" s="742"/>
      <c r="CA89" s="742"/>
      <c r="CB89" s="742"/>
      <c r="CC89" s="742"/>
      <c r="CD89" s="742"/>
      <c r="CE89" s="742"/>
      <c r="CF89" s="742"/>
      <c r="CG89" s="742"/>
      <c r="CH89" s="742"/>
      <c r="CI89" s="742"/>
      <c r="CJ89" s="742"/>
      <c r="CK89" s="742"/>
      <c r="CL89" s="742"/>
      <c r="CM89" s="742"/>
      <c r="CN89" s="742"/>
      <c r="CO89" s="742"/>
      <c r="CP89" s="742"/>
      <c r="CQ89" s="742"/>
      <c r="CR89" s="742"/>
      <c r="CS89" s="742"/>
      <c r="CT89" s="742"/>
      <c r="CU89" s="742"/>
      <c r="CV89" s="742"/>
      <c r="CW89" s="742"/>
      <c r="CX89" s="742"/>
      <c r="CY89" s="742"/>
      <c r="CZ89" s="742"/>
      <c r="DA89" s="742"/>
      <c r="DB89" s="742"/>
      <c r="DC89" s="742"/>
      <c r="DD89" s="742"/>
      <c r="DE89" s="742"/>
      <c r="DF89" s="742"/>
      <c r="DG89" s="742"/>
      <c r="DH89" s="742"/>
      <c r="DI89" s="742"/>
      <c r="DJ89" s="742"/>
      <c r="DK89" s="742"/>
      <c r="DL89" s="742"/>
      <c r="DM89" s="742"/>
      <c r="DN89" s="742"/>
      <c r="DO89" s="742"/>
      <c r="DP89" s="742"/>
      <c r="DQ89" s="742"/>
      <c r="DR89" s="742"/>
      <c r="DS89" s="742"/>
      <c r="DT89" s="742"/>
      <c r="DU89" s="742"/>
      <c r="DV89" s="742"/>
      <c r="DW89" s="742"/>
      <c r="DX89" s="742"/>
      <c r="DY89" s="742"/>
      <c r="DZ89" s="742"/>
      <c r="EA89" s="742"/>
      <c r="EB89" s="742"/>
      <c r="EC89" s="742"/>
      <c r="ED89" s="742"/>
      <c r="EE89" s="742"/>
      <c r="EF89" s="742"/>
      <c r="EG89" s="742"/>
      <c r="EH89" s="742"/>
      <c r="EI89" s="742"/>
      <c r="EJ89" s="742"/>
      <c r="EK89" s="742"/>
      <c r="EL89" s="742"/>
      <c r="EM89" s="742"/>
      <c r="EN89" s="742"/>
      <c r="EO89" s="742"/>
      <c r="EP89" s="742"/>
      <c r="EQ89" s="742"/>
      <c r="ER89" s="742"/>
      <c r="ES89" s="742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</row>
    <row r="90" spans="1:162" s="31" customFormat="1" ht="84.75" customHeight="1" x14ac:dyDescent="0.65">
      <c r="A90" s="32"/>
      <c r="B90" s="599" t="s">
        <v>220</v>
      </c>
      <c r="C90" s="599"/>
      <c r="D90" s="599"/>
      <c r="E90" s="599"/>
      <c r="F90" s="599"/>
      <c r="G90" s="599"/>
      <c r="H90" s="599"/>
      <c r="I90" s="599"/>
      <c r="J90" s="599"/>
      <c r="K90" s="599"/>
      <c r="L90" s="599"/>
      <c r="M90" s="599"/>
      <c r="N90" s="599"/>
      <c r="O90" s="599"/>
      <c r="P90" s="599"/>
      <c r="Q90" s="599"/>
      <c r="R90" s="599"/>
      <c r="S90" s="599"/>
      <c r="T90" s="599"/>
      <c r="U90" s="599"/>
      <c r="V90" s="599"/>
      <c r="W90" s="599"/>
      <c r="X90" s="599"/>
      <c r="Y90" s="599"/>
      <c r="Z90" s="599"/>
      <c r="AA90" s="599"/>
      <c r="AB90" s="599"/>
      <c r="AC90" s="599"/>
      <c r="AD90" s="599"/>
      <c r="AE90" s="599"/>
      <c r="AF90" s="599"/>
      <c r="AG90" s="599"/>
      <c r="AH90" s="599"/>
      <c r="AI90" s="599"/>
      <c r="AJ90" s="599"/>
      <c r="AK90" s="599"/>
      <c r="AL90" s="599"/>
      <c r="AM90" s="599"/>
      <c r="AN90" s="599"/>
      <c r="AO90" s="599"/>
      <c r="AP90" s="599"/>
      <c r="AQ90" s="599"/>
      <c r="AR90" s="599"/>
      <c r="AS90" s="599"/>
      <c r="AT90" s="599"/>
      <c r="AU90" s="599"/>
      <c r="AV90" s="599"/>
      <c r="AW90" s="599"/>
      <c r="AX90" s="599"/>
      <c r="AY90" s="599"/>
      <c r="AZ90" s="599"/>
      <c r="BA90" s="599"/>
      <c r="BB90" s="599"/>
      <c r="BC90" s="599"/>
      <c r="BD90" s="599"/>
      <c r="BE90" s="599"/>
      <c r="BF90" s="599"/>
      <c r="BG90" s="599"/>
      <c r="BH90" s="599"/>
      <c r="BI90" s="599"/>
      <c r="BJ90" s="599"/>
      <c r="BK90" s="599"/>
      <c r="BL90" s="599"/>
      <c r="BM90" s="599"/>
      <c r="BN90" s="599"/>
      <c r="BO90" s="599"/>
      <c r="BP90" s="599"/>
      <c r="BQ90" s="599"/>
      <c r="BR90" s="599"/>
      <c r="BS90" s="599"/>
      <c r="BT90" s="599"/>
      <c r="BU90" s="599"/>
      <c r="BV90" s="599"/>
      <c r="BW90" s="599"/>
      <c r="BX90" s="599"/>
      <c r="BY90" s="599"/>
      <c r="BZ90" s="599"/>
      <c r="CA90" s="599"/>
      <c r="CB90" s="599"/>
      <c r="CC90" s="599"/>
      <c r="CD90" s="599"/>
      <c r="CE90" s="599"/>
      <c r="CF90" s="599"/>
      <c r="CG90" s="599"/>
      <c r="CH90" s="599"/>
      <c r="CI90" s="599"/>
      <c r="CJ90" s="599"/>
      <c r="CK90" s="599"/>
      <c r="CL90" s="599"/>
      <c r="CM90" s="599"/>
      <c r="CN90" s="599"/>
      <c r="CO90" s="599"/>
      <c r="CP90" s="599"/>
      <c r="CQ90" s="599"/>
      <c r="CR90" s="599"/>
      <c r="CS90" s="599"/>
      <c r="CT90" s="599"/>
      <c r="CU90" s="599"/>
      <c r="CV90" s="599"/>
      <c r="CW90" s="599"/>
      <c r="CX90" s="599"/>
      <c r="CY90" s="599"/>
      <c r="CZ90" s="599"/>
      <c r="DA90" s="599"/>
      <c r="DB90" s="599"/>
      <c r="DC90" s="599"/>
      <c r="DD90" s="599"/>
      <c r="DE90" s="599"/>
      <c r="DF90" s="599"/>
      <c r="DG90" s="599"/>
      <c r="DH90" s="599"/>
      <c r="DI90" s="599"/>
      <c r="DJ90" s="599"/>
      <c r="DK90" s="599"/>
      <c r="DL90" s="599"/>
      <c r="DM90" s="599"/>
      <c r="DN90" s="599"/>
      <c r="DO90" s="599"/>
      <c r="DP90" s="599"/>
      <c r="DQ90" s="599"/>
      <c r="DR90" s="599"/>
      <c r="DS90" s="599"/>
      <c r="DT90" s="599"/>
      <c r="DU90" s="599"/>
      <c r="DV90" s="599"/>
      <c r="DW90" s="599"/>
      <c r="DX90" s="599"/>
      <c r="DY90" s="599"/>
      <c r="DZ90" s="599"/>
      <c r="EA90" s="599"/>
      <c r="EB90" s="599"/>
      <c r="EC90" s="599"/>
      <c r="ED90" s="599"/>
      <c r="EE90" s="599"/>
      <c r="EF90" s="599"/>
      <c r="EG90" s="599"/>
      <c r="EH90" s="599"/>
      <c r="EI90" s="599"/>
      <c r="EJ90" s="599"/>
      <c r="EK90" s="599"/>
      <c r="EL90" s="599"/>
      <c r="EM90" s="599"/>
      <c r="EN90" s="599"/>
      <c r="EO90" s="599"/>
      <c r="EP90" s="599"/>
      <c r="EQ90" s="599"/>
      <c r="ER90" s="599"/>
      <c r="ES90" s="599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</row>
    <row r="91" spans="1:162" s="31" customFormat="1" ht="60.75" customHeight="1" x14ac:dyDescent="0.65">
      <c r="A91" s="32"/>
      <c r="B91" s="599" t="s">
        <v>221</v>
      </c>
      <c r="C91" s="599"/>
      <c r="D91" s="599"/>
      <c r="E91" s="599"/>
      <c r="F91" s="599"/>
      <c r="G91" s="599"/>
      <c r="H91" s="599"/>
      <c r="I91" s="599"/>
      <c r="J91" s="599"/>
      <c r="K91" s="599"/>
      <c r="L91" s="599"/>
      <c r="M91" s="599"/>
      <c r="N91" s="599"/>
      <c r="O91" s="599"/>
      <c r="P91" s="599"/>
      <c r="Q91" s="599"/>
      <c r="R91" s="599"/>
      <c r="S91" s="599"/>
      <c r="T91" s="599"/>
      <c r="U91" s="599"/>
      <c r="V91" s="599"/>
      <c r="W91" s="599"/>
      <c r="X91" s="599"/>
      <c r="Y91" s="599"/>
      <c r="Z91" s="599"/>
      <c r="AA91" s="599"/>
      <c r="AB91" s="599"/>
      <c r="AC91" s="599"/>
      <c r="AD91" s="599"/>
      <c r="AE91" s="599"/>
      <c r="AF91" s="599"/>
      <c r="AG91" s="599"/>
      <c r="AH91" s="599"/>
      <c r="AI91" s="599"/>
      <c r="AJ91" s="599"/>
      <c r="AK91" s="599"/>
      <c r="AL91" s="599"/>
      <c r="AM91" s="599"/>
      <c r="AN91" s="599"/>
      <c r="AO91" s="599"/>
      <c r="AP91" s="599"/>
      <c r="AQ91" s="599"/>
      <c r="AR91" s="599"/>
      <c r="AS91" s="599"/>
      <c r="AT91" s="599"/>
      <c r="AU91" s="599"/>
      <c r="AV91" s="599"/>
      <c r="AW91" s="599"/>
      <c r="AX91" s="599"/>
      <c r="AY91" s="599"/>
      <c r="AZ91" s="599"/>
      <c r="BA91" s="599"/>
      <c r="BB91" s="599"/>
      <c r="BC91" s="599"/>
      <c r="BD91" s="599"/>
      <c r="BE91" s="599"/>
      <c r="BF91" s="599"/>
      <c r="BG91" s="599"/>
      <c r="BH91" s="599"/>
      <c r="BI91" s="599"/>
      <c r="BJ91" s="599"/>
      <c r="BK91" s="599"/>
      <c r="BL91" s="599"/>
      <c r="BM91" s="599"/>
      <c r="BN91" s="599"/>
      <c r="BO91" s="599"/>
      <c r="BP91" s="599"/>
      <c r="BQ91" s="599"/>
      <c r="BR91" s="599"/>
      <c r="BS91" s="599"/>
      <c r="BT91" s="599"/>
      <c r="BU91" s="599"/>
      <c r="BV91" s="599"/>
      <c r="BW91" s="599"/>
      <c r="BX91" s="599"/>
      <c r="BY91" s="599"/>
      <c r="BZ91" s="599"/>
      <c r="CA91" s="599"/>
      <c r="CB91" s="599"/>
      <c r="CC91" s="599"/>
      <c r="CD91" s="599"/>
      <c r="CE91" s="599"/>
      <c r="CF91" s="599"/>
      <c r="CG91" s="599"/>
      <c r="CH91" s="599"/>
      <c r="CI91" s="599"/>
      <c r="CJ91" s="599"/>
      <c r="CK91" s="599"/>
      <c r="CL91" s="599"/>
      <c r="CM91" s="599"/>
      <c r="CN91" s="599"/>
      <c r="CO91" s="599"/>
      <c r="CP91" s="599"/>
      <c r="CQ91" s="599"/>
      <c r="CR91" s="599"/>
      <c r="CS91" s="599"/>
      <c r="CT91" s="599"/>
      <c r="CU91" s="599"/>
      <c r="CV91" s="599"/>
      <c r="CW91" s="599"/>
      <c r="CX91" s="599"/>
      <c r="CY91" s="599"/>
      <c r="CZ91" s="599"/>
      <c r="DA91" s="599"/>
      <c r="DB91" s="599"/>
      <c r="DC91" s="599"/>
      <c r="DD91" s="599"/>
      <c r="DE91" s="599"/>
      <c r="DF91" s="599"/>
      <c r="DG91" s="599"/>
      <c r="DH91" s="599"/>
      <c r="DI91" s="599"/>
      <c r="DJ91" s="599"/>
      <c r="DK91" s="599"/>
      <c r="DL91" s="599"/>
      <c r="DM91" s="599"/>
      <c r="DN91" s="599"/>
      <c r="DO91" s="599"/>
      <c r="DP91" s="599"/>
      <c r="DQ91" s="599"/>
      <c r="DR91" s="599"/>
      <c r="DS91" s="599"/>
      <c r="DT91" s="599"/>
      <c r="DU91" s="599"/>
      <c r="DV91" s="599"/>
      <c r="DW91" s="599"/>
      <c r="DX91" s="599"/>
      <c r="DY91" s="599"/>
      <c r="DZ91" s="599"/>
      <c r="EA91" s="599"/>
      <c r="EB91" s="599"/>
      <c r="EC91" s="599"/>
      <c r="ED91" s="599"/>
      <c r="EE91" s="599"/>
      <c r="EF91" s="599"/>
      <c r="EG91" s="599"/>
      <c r="EH91" s="599"/>
      <c r="EI91" s="599"/>
      <c r="EJ91" s="599"/>
      <c r="EK91" s="599"/>
      <c r="EL91" s="599"/>
      <c r="EM91" s="599"/>
      <c r="EN91" s="599"/>
      <c r="EO91" s="599"/>
      <c r="EP91" s="599"/>
      <c r="EQ91" s="599"/>
      <c r="ER91" s="599"/>
      <c r="ES91" s="599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</row>
    <row r="92" spans="1:162" s="31" customFormat="1" ht="60.75" customHeight="1" x14ac:dyDescent="0.7">
      <c r="A92" s="33"/>
      <c r="B92" s="119"/>
      <c r="C92" s="120"/>
      <c r="D92" s="120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75"/>
      <c r="DR92" s="76"/>
      <c r="DS92" s="77"/>
      <c r="DT92" s="77"/>
      <c r="DU92" s="77"/>
      <c r="DV92" s="77"/>
      <c r="DW92" s="77"/>
      <c r="DX92" s="77"/>
      <c r="DY92" s="77"/>
      <c r="DZ92" s="77"/>
      <c r="EA92" s="77"/>
      <c r="EB92" s="77"/>
      <c r="EC92" s="77"/>
      <c r="ED92" s="77"/>
      <c r="EE92" s="77"/>
      <c r="EF92" s="77"/>
      <c r="EG92" s="77"/>
      <c r="EH92" s="78"/>
      <c r="EI92" s="77"/>
      <c r="EJ92" s="77"/>
      <c r="EK92" s="77"/>
      <c r="EL92" s="77"/>
      <c r="EM92" s="77"/>
      <c r="EN92" s="77"/>
      <c r="EO92" s="77"/>
      <c r="EP92" s="78"/>
      <c r="EQ92" s="77"/>
      <c r="ER92" s="77"/>
      <c r="ES92" s="77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</row>
    <row r="93" spans="1:162" s="28" customFormat="1" ht="30" customHeight="1" x14ac:dyDescent="0.7">
      <c r="A93" s="33"/>
      <c r="B93" s="119"/>
      <c r="C93" s="120"/>
      <c r="D93" s="120"/>
      <c r="E93" s="741"/>
      <c r="F93" s="741"/>
      <c r="G93" s="741"/>
      <c r="H93" s="741"/>
      <c r="I93" s="741"/>
      <c r="J93" s="741"/>
      <c r="K93" s="741"/>
      <c r="L93" s="741"/>
      <c r="M93" s="741"/>
      <c r="N93" s="741"/>
      <c r="O93" s="741"/>
      <c r="P93" s="741"/>
      <c r="Q93" s="741"/>
      <c r="R93" s="741"/>
      <c r="S93" s="741"/>
      <c r="T93" s="741"/>
      <c r="U93" s="741"/>
      <c r="V93" s="741"/>
      <c r="W93" s="741"/>
      <c r="X93" s="741"/>
      <c r="Y93" s="741"/>
      <c r="Z93" s="741"/>
      <c r="AA93" s="741"/>
      <c r="AB93" s="741"/>
      <c r="AC93" s="741"/>
      <c r="AD93" s="741"/>
      <c r="AE93" s="741"/>
      <c r="AF93" s="741"/>
      <c r="AG93" s="741"/>
      <c r="AH93" s="741"/>
      <c r="AI93" s="741"/>
      <c r="AJ93" s="741"/>
      <c r="AK93" s="741"/>
      <c r="AL93" s="741"/>
      <c r="AM93" s="741"/>
      <c r="AN93" s="741"/>
      <c r="AO93" s="741"/>
      <c r="AP93" s="741"/>
      <c r="AQ93" s="741"/>
      <c r="AR93" s="741"/>
      <c r="AS93" s="741"/>
      <c r="AT93" s="741"/>
      <c r="AU93" s="741"/>
      <c r="AV93" s="741"/>
      <c r="AW93" s="741"/>
      <c r="AX93" s="741"/>
      <c r="AY93" s="741"/>
      <c r="AZ93" s="741"/>
      <c r="BA93" s="741"/>
      <c r="BB93" s="741"/>
      <c r="BC93" s="741"/>
      <c r="BD93" s="741"/>
      <c r="BE93" s="741"/>
      <c r="BF93" s="741"/>
      <c r="BG93" s="741"/>
      <c r="BH93" s="741"/>
      <c r="BI93" s="741"/>
      <c r="BJ93" s="741"/>
      <c r="BK93" s="741"/>
      <c r="BL93" s="741"/>
      <c r="BM93" s="741"/>
      <c r="BN93" s="741"/>
      <c r="BO93" s="741"/>
      <c r="BP93" s="741"/>
      <c r="BQ93" s="741"/>
      <c r="BR93" s="741"/>
      <c r="BS93" s="741"/>
      <c r="BT93" s="741"/>
      <c r="BU93" s="741"/>
      <c r="BV93" s="741"/>
      <c r="BW93" s="741"/>
      <c r="BX93" s="741"/>
      <c r="BY93" s="741"/>
      <c r="BZ93" s="741"/>
      <c r="CA93" s="741"/>
      <c r="CB93" s="741"/>
      <c r="CC93" s="741"/>
      <c r="CD93" s="741"/>
      <c r="CE93" s="741"/>
      <c r="CF93" s="741"/>
      <c r="CG93" s="741"/>
      <c r="CH93" s="741"/>
      <c r="CI93" s="741"/>
      <c r="CJ93" s="741"/>
      <c r="CK93" s="741"/>
      <c r="CL93" s="741"/>
      <c r="CM93" s="741"/>
      <c r="CN93" s="741"/>
      <c r="CO93" s="741"/>
      <c r="CP93" s="741"/>
      <c r="CQ93" s="741"/>
      <c r="CR93" s="741"/>
      <c r="CS93" s="741"/>
      <c r="CT93" s="741"/>
      <c r="CU93" s="741"/>
      <c r="CV93" s="741"/>
      <c r="CW93" s="741"/>
      <c r="CX93" s="741"/>
      <c r="CY93" s="741"/>
      <c r="CZ93" s="741"/>
      <c r="DA93" s="741"/>
      <c r="DB93" s="741"/>
      <c r="DC93" s="741"/>
      <c r="DD93" s="741"/>
      <c r="DE93" s="741"/>
      <c r="DF93" s="741"/>
      <c r="DG93" s="741"/>
      <c r="DH93" s="741"/>
      <c r="DI93" s="741"/>
      <c r="DJ93" s="741"/>
      <c r="DK93" s="741"/>
      <c r="DL93" s="741"/>
      <c r="DM93" s="741"/>
      <c r="DN93" s="741"/>
      <c r="DO93" s="741"/>
      <c r="DP93" s="741"/>
      <c r="DQ93" s="75"/>
      <c r="DR93" s="76"/>
      <c r="DS93" s="77"/>
      <c r="DT93" s="77"/>
      <c r="DU93" s="77"/>
      <c r="DV93" s="77"/>
      <c r="DW93" s="77"/>
      <c r="DX93" s="77"/>
      <c r="DY93" s="77"/>
      <c r="DZ93" s="77"/>
      <c r="EA93" s="77"/>
      <c r="EB93" s="77"/>
      <c r="EC93" s="77"/>
      <c r="ED93" s="77"/>
      <c r="EE93" s="77"/>
      <c r="EF93" s="77"/>
      <c r="EG93" s="77"/>
      <c r="EH93" s="78"/>
      <c r="EI93" s="77"/>
      <c r="EJ93" s="77"/>
      <c r="EK93" s="77"/>
      <c r="EL93" s="77"/>
      <c r="EM93" s="77"/>
      <c r="EN93" s="77"/>
      <c r="EO93" s="77"/>
      <c r="EP93" s="78"/>
      <c r="EQ93" s="77"/>
      <c r="ER93" s="77"/>
      <c r="ES93" s="77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</row>
    <row r="94" spans="1:162" s="28" customFormat="1" ht="107.25" customHeight="1" x14ac:dyDescent="0.7">
      <c r="A94" s="32"/>
      <c r="B94" s="122"/>
      <c r="C94" s="608" t="s">
        <v>99</v>
      </c>
      <c r="D94" s="608"/>
      <c r="E94" s="608"/>
      <c r="F94" s="608"/>
      <c r="G94" s="608"/>
      <c r="H94" s="608"/>
      <c r="I94" s="608"/>
      <c r="J94" s="608"/>
      <c r="K94" s="608"/>
      <c r="L94" s="608"/>
      <c r="M94" s="608"/>
      <c r="N94" s="608"/>
      <c r="O94" s="608"/>
      <c r="P94" s="608"/>
      <c r="Q94" s="608"/>
      <c r="R94" s="608"/>
      <c r="S94" s="608"/>
      <c r="T94" s="608"/>
      <c r="U94" s="608"/>
      <c r="V94" s="608"/>
      <c r="W94" s="608"/>
      <c r="X94" s="608"/>
      <c r="Y94" s="608"/>
      <c r="Z94" s="608"/>
      <c r="AA94" s="608"/>
      <c r="AB94" s="608"/>
      <c r="AC94" s="608"/>
      <c r="AD94" s="608"/>
      <c r="AE94" s="593" t="s">
        <v>100</v>
      </c>
      <c r="AF94" s="594"/>
      <c r="AG94" s="594"/>
      <c r="AH94" s="594"/>
      <c r="AI94" s="594"/>
      <c r="AJ94" s="594"/>
      <c r="AK94" s="594"/>
      <c r="AL94" s="595"/>
      <c r="AM94" s="596" t="s">
        <v>101</v>
      </c>
      <c r="AN94" s="597"/>
      <c r="AO94" s="597"/>
      <c r="AP94" s="597"/>
      <c r="AQ94" s="597"/>
      <c r="AR94" s="597"/>
      <c r="AS94" s="597"/>
      <c r="AT94" s="598"/>
      <c r="AU94" s="574" t="s">
        <v>102</v>
      </c>
      <c r="AV94" s="575"/>
      <c r="AW94" s="575"/>
      <c r="AX94" s="575"/>
      <c r="AY94" s="575"/>
      <c r="AZ94" s="575"/>
      <c r="BA94" s="575"/>
      <c r="BB94" s="575"/>
      <c r="BC94" s="575"/>
      <c r="BD94" s="575"/>
      <c r="BE94" s="575"/>
      <c r="BF94" s="575"/>
      <c r="BG94" s="575"/>
      <c r="BH94" s="575"/>
      <c r="BI94" s="575"/>
      <c r="BJ94" s="575"/>
      <c r="BK94" s="575"/>
      <c r="BL94" s="575"/>
      <c r="BM94" s="575"/>
      <c r="BN94" s="575"/>
      <c r="BO94" s="575"/>
      <c r="BP94" s="575"/>
      <c r="BQ94" s="575"/>
      <c r="BR94" s="575"/>
      <c r="BS94" s="575"/>
      <c r="BT94" s="575"/>
      <c r="BU94" s="575"/>
      <c r="BV94" s="575"/>
      <c r="BW94" s="575"/>
      <c r="BX94" s="575"/>
      <c r="BY94" s="575"/>
      <c r="BZ94" s="575"/>
      <c r="CA94" s="575"/>
      <c r="CB94" s="575"/>
      <c r="CC94" s="575"/>
      <c r="CD94" s="575"/>
      <c r="CE94" s="575"/>
      <c r="CF94" s="575"/>
      <c r="CG94" s="575"/>
      <c r="CH94" s="576"/>
      <c r="CI94" s="124"/>
      <c r="CJ94" s="124"/>
      <c r="CK94" s="124"/>
      <c r="CL94" s="124"/>
      <c r="CM94" s="182"/>
      <c r="CN94" s="744" t="s">
        <v>227</v>
      </c>
      <c r="CO94" s="744"/>
      <c r="CP94" s="744"/>
      <c r="CQ94" s="744"/>
      <c r="CR94" s="744"/>
      <c r="CS94" s="744"/>
      <c r="CT94" s="744"/>
      <c r="CU94" s="744"/>
      <c r="CV94" s="744"/>
      <c r="CW94" s="744"/>
      <c r="CX94" s="744"/>
      <c r="CY94" s="744"/>
      <c r="CZ94" s="744"/>
      <c r="DA94" s="744"/>
      <c r="DB94" s="744"/>
      <c r="DC94" s="744"/>
      <c r="DD94" s="744"/>
      <c r="DE94" s="744"/>
      <c r="DF94" s="744"/>
      <c r="DG94" s="744"/>
      <c r="DH94" s="744"/>
      <c r="DI94" s="744"/>
      <c r="DJ94" s="744"/>
      <c r="DK94" s="744"/>
      <c r="DL94" s="744"/>
      <c r="DM94" s="744"/>
      <c r="DN94" s="744"/>
      <c r="DO94" s="744"/>
      <c r="DP94" s="744"/>
      <c r="DQ94" s="744"/>
      <c r="DR94" s="744"/>
      <c r="DS94" s="744"/>
      <c r="DT94" s="744"/>
      <c r="DU94" s="744"/>
      <c r="DV94" s="744"/>
      <c r="DW94" s="744"/>
      <c r="DX94" s="744"/>
      <c r="DY94" s="744"/>
      <c r="DZ94" s="744"/>
      <c r="EA94" s="744"/>
      <c r="EB94" s="744"/>
      <c r="EC94" s="744"/>
      <c r="ED94" s="745"/>
      <c r="EE94" s="79"/>
      <c r="EF94" s="79"/>
      <c r="EG94" s="79"/>
      <c r="EH94" s="79"/>
      <c r="EI94" s="79"/>
      <c r="EJ94" s="79"/>
      <c r="EK94" s="79"/>
      <c r="EL94" s="79"/>
      <c r="EM94" s="79"/>
      <c r="EN94" s="79"/>
      <c r="EO94" s="79"/>
      <c r="EP94" s="79"/>
      <c r="EQ94" s="79"/>
      <c r="ER94" s="79"/>
      <c r="ES94" s="79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</row>
    <row r="95" spans="1:162" s="29" customFormat="1" ht="80.099999999999994" customHeight="1" x14ac:dyDescent="0.7">
      <c r="A95" s="32"/>
      <c r="B95" s="122"/>
      <c r="C95" s="604" t="s">
        <v>103</v>
      </c>
      <c r="D95" s="604"/>
      <c r="E95" s="604"/>
      <c r="F95" s="604"/>
      <c r="G95" s="604"/>
      <c r="H95" s="604"/>
      <c r="I95" s="604"/>
      <c r="J95" s="604"/>
      <c r="K95" s="604"/>
      <c r="L95" s="604"/>
      <c r="M95" s="604"/>
      <c r="N95" s="604"/>
      <c r="O95" s="604"/>
      <c r="P95" s="604"/>
      <c r="Q95" s="604"/>
      <c r="R95" s="604"/>
      <c r="S95" s="604"/>
      <c r="T95" s="604"/>
      <c r="U95" s="604"/>
      <c r="V95" s="604"/>
      <c r="W95" s="604"/>
      <c r="X95" s="604"/>
      <c r="Y95" s="604"/>
      <c r="Z95" s="604"/>
      <c r="AA95" s="604"/>
      <c r="AB95" s="604"/>
      <c r="AC95" s="604"/>
      <c r="AD95" s="604"/>
      <c r="AE95" s="600" t="s">
        <v>139</v>
      </c>
      <c r="AF95" s="601"/>
      <c r="AG95" s="601"/>
      <c r="AH95" s="601"/>
      <c r="AI95" s="601"/>
      <c r="AJ95" s="601"/>
      <c r="AK95" s="601"/>
      <c r="AL95" s="602"/>
      <c r="AM95" s="600" t="s">
        <v>114</v>
      </c>
      <c r="AN95" s="601"/>
      <c r="AO95" s="601"/>
      <c r="AP95" s="601"/>
      <c r="AQ95" s="601"/>
      <c r="AR95" s="601"/>
      <c r="AS95" s="601"/>
      <c r="AT95" s="602"/>
      <c r="AU95" s="731" t="s">
        <v>120</v>
      </c>
      <c r="AV95" s="732"/>
      <c r="AW95" s="732"/>
      <c r="AX95" s="732"/>
      <c r="AY95" s="732"/>
      <c r="AZ95" s="732"/>
      <c r="BA95" s="732"/>
      <c r="BB95" s="732"/>
      <c r="BC95" s="732"/>
      <c r="BD95" s="732"/>
      <c r="BE95" s="732"/>
      <c r="BF95" s="732"/>
      <c r="BG95" s="732"/>
      <c r="BH95" s="732"/>
      <c r="BI95" s="732"/>
      <c r="BJ95" s="732"/>
      <c r="BK95" s="732"/>
      <c r="BL95" s="732"/>
      <c r="BM95" s="732"/>
      <c r="BN95" s="732"/>
      <c r="BO95" s="732"/>
      <c r="BP95" s="732"/>
      <c r="BQ95" s="732"/>
      <c r="BR95" s="732"/>
      <c r="BS95" s="732"/>
      <c r="BT95" s="732"/>
      <c r="BU95" s="732"/>
      <c r="BV95" s="732"/>
      <c r="BW95" s="732"/>
      <c r="BX95" s="732"/>
      <c r="BY95" s="732"/>
      <c r="BZ95" s="732"/>
      <c r="CA95" s="732"/>
      <c r="CB95" s="732"/>
      <c r="CC95" s="732"/>
      <c r="CD95" s="732"/>
      <c r="CE95" s="732"/>
      <c r="CF95" s="732"/>
      <c r="CG95" s="732"/>
      <c r="CH95" s="733"/>
      <c r="CI95" s="124"/>
      <c r="CJ95" s="124"/>
      <c r="CK95" s="124"/>
      <c r="CL95" s="124"/>
      <c r="CM95" s="712" t="s">
        <v>232</v>
      </c>
      <c r="CN95" s="713"/>
      <c r="CO95" s="713"/>
      <c r="CP95" s="713"/>
      <c r="CQ95" s="713"/>
      <c r="CR95" s="713"/>
      <c r="CS95" s="713"/>
      <c r="CT95" s="713"/>
      <c r="CU95" s="713"/>
      <c r="CV95" s="713"/>
      <c r="CW95" s="713"/>
      <c r="CX95" s="713"/>
      <c r="CY95" s="713"/>
      <c r="CZ95" s="713"/>
      <c r="DA95" s="713"/>
      <c r="DB95" s="713"/>
      <c r="DC95" s="713"/>
      <c r="DD95" s="713"/>
      <c r="DE95" s="713"/>
      <c r="DF95" s="713"/>
      <c r="DG95" s="713"/>
      <c r="DH95" s="713"/>
      <c r="DI95" s="713"/>
      <c r="DJ95" s="713"/>
      <c r="DK95" s="713"/>
      <c r="DL95" s="713"/>
      <c r="DM95" s="713"/>
      <c r="DN95" s="713"/>
      <c r="DO95" s="713"/>
      <c r="DP95" s="713"/>
      <c r="DQ95" s="713"/>
      <c r="DR95" s="713"/>
      <c r="DS95" s="713"/>
      <c r="DT95" s="713"/>
      <c r="DU95" s="713"/>
      <c r="DV95" s="713"/>
      <c r="DW95" s="713"/>
      <c r="DX95" s="713"/>
      <c r="DY95" s="713"/>
      <c r="DZ95" s="713"/>
      <c r="EA95" s="713"/>
      <c r="EB95" s="713"/>
      <c r="EC95" s="713"/>
      <c r="ED95" s="714"/>
      <c r="EE95" s="79"/>
      <c r="EF95" s="79"/>
      <c r="EG95" s="79"/>
      <c r="EH95" s="79"/>
      <c r="EI95" s="79"/>
      <c r="EJ95" s="79"/>
      <c r="EK95" s="79"/>
      <c r="EL95" s="79"/>
      <c r="EM95" s="79"/>
      <c r="EN95" s="79"/>
      <c r="EO95" s="79"/>
      <c r="EP95" s="79"/>
      <c r="EQ95" s="79"/>
      <c r="ER95" s="79"/>
      <c r="ES95" s="79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</row>
    <row r="96" spans="1:162" s="29" customFormat="1" ht="80.099999999999994" customHeight="1" x14ac:dyDescent="0.7">
      <c r="A96" s="32"/>
      <c r="B96" s="122"/>
      <c r="C96" s="603" t="s">
        <v>140</v>
      </c>
      <c r="D96" s="603"/>
      <c r="E96" s="603"/>
      <c r="F96" s="603"/>
      <c r="G96" s="603"/>
      <c r="H96" s="603"/>
      <c r="I96" s="603"/>
      <c r="J96" s="603"/>
      <c r="K96" s="603"/>
      <c r="L96" s="603"/>
      <c r="M96" s="603"/>
      <c r="N96" s="603"/>
      <c r="O96" s="603"/>
      <c r="P96" s="603"/>
      <c r="Q96" s="603"/>
      <c r="R96" s="603"/>
      <c r="S96" s="603"/>
      <c r="T96" s="603"/>
      <c r="U96" s="603"/>
      <c r="V96" s="603"/>
      <c r="W96" s="603"/>
      <c r="X96" s="603"/>
      <c r="Y96" s="603"/>
      <c r="Z96" s="603"/>
      <c r="AA96" s="603"/>
      <c r="AB96" s="603"/>
      <c r="AC96" s="603"/>
      <c r="AD96" s="603"/>
      <c r="AE96" s="600" t="s">
        <v>143</v>
      </c>
      <c r="AF96" s="601"/>
      <c r="AG96" s="601"/>
      <c r="AH96" s="601"/>
      <c r="AI96" s="601"/>
      <c r="AJ96" s="601"/>
      <c r="AK96" s="601"/>
      <c r="AL96" s="602"/>
      <c r="AM96" s="600" t="s">
        <v>115</v>
      </c>
      <c r="AN96" s="601"/>
      <c r="AO96" s="601"/>
      <c r="AP96" s="601"/>
      <c r="AQ96" s="601"/>
      <c r="AR96" s="601"/>
      <c r="AS96" s="601"/>
      <c r="AT96" s="602"/>
      <c r="AU96" s="734"/>
      <c r="AV96" s="735"/>
      <c r="AW96" s="735"/>
      <c r="AX96" s="735"/>
      <c r="AY96" s="735"/>
      <c r="AZ96" s="735"/>
      <c r="BA96" s="735"/>
      <c r="BB96" s="735"/>
      <c r="BC96" s="735"/>
      <c r="BD96" s="735"/>
      <c r="BE96" s="735"/>
      <c r="BF96" s="735"/>
      <c r="BG96" s="735"/>
      <c r="BH96" s="735"/>
      <c r="BI96" s="735"/>
      <c r="BJ96" s="735"/>
      <c r="BK96" s="735"/>
      <c r="BL96" s="735"/>
      <c r="BM96" s="735"/>
      <c r="BN96" s="735"/>
      <c r="BO96" s="735"/>
      <c r="BP96" s="735"/>
      <c r="BQ96" s="735"/>
      <c r="BR96" s="735"/>
      <c r="BS96" s="735"/>
      <c r="BT96" s="735"/>
      <c r="BU96" s="735"/>
      <c r="BV96" s="735"/>
      <c r="BW96" s="735"/>
      <c r="BX96" s="735"/>
      <c r="BY96" s="735"/>
      <c r="BZ96" s="735"/>
      <c r="CA96" s="735"/>
      <c r="CB96" s="735"/>
      <c r="CC96" s="735"/>
      <c r="CD96" s="735"/>
      <c r="CE96" s="735"/>
      <c r="CF96" s="735"/>
      <c r="CG96" s="735"/>
      <c r="CH96" s="736"/>
      <c r="CI96" s="124"/>
      <c r="CJ96" s="124"/>
      <c r="CK96" s="124"/>
      <c r="CL96" s="124"/>
      <c r="CM96" s="712" t="s">
        <v>224</v>
      </c>
      <c r="CN96" s="713"/>
      <c r="CO96" s="713"/>
      <c r="CP96" s="713"/>
      <c r="CQ96" s="713"/>
      <c r="CR96" s="713"/>
      <c r="CS96" s="713"/>
      <c r="CT96" s="713"/>
      <c r="CU96" s="713"/>
      <c r="CV96" s="713"/>
      <c r="CW96" s="713"/>
      <c r="CX96" s="713"/>
      <c r="CY96" s="713"/>
      <c r="CZ96" s="713"/>
      <c r="DA96" s="713"/>
      <c r="DB96" s="713"/>
      <c r="DC96" s="713"/>
      <c r="DD96" s="713"/>
      <c r="DE96" s="713"/>
      <c r="DF96" s="713"/>
      <c r="DG96" s="713"/>
      <c r="DH96" s="713"/>
      <c r="DI96" s="713"/>
      <c r="DJ96" s="713"/>
      <c r="DK96" s="713"/>
      <c r="DL96" s="713"/>
      <c r="DM96" s="713"/>
      <c r="DN96" s="713"/>
      <c r="DO96" s="713"/>
      <c r="DP96" s="713"/>
      <c r="DQ96" s="713"/>
      <c r="DR96" s="713"/>
      <c r="DS96" s="713"/>
      <c r="DT96" s="713"/>
      <c r="DU96" s="713"/>
      <c r="DV96" s="713"/>
      <c r="DW96" s="713"/>
      <c r="DX96" s="713"/>
      <c r="DY96" s="713"/>
      <c r="DZ96" s="713"/>
      <c r="EA96" s="713"/>
      <c r="EB96" s="713"/>
      <c r="EC96" s="713"/>
      <c r="ED96" s="714"/>
      <c r="EE96" s="79"/>
      <c r="EF96" s="79"/>
      <c r="EG96" s="79"/>
      <c r="EH96" s="79"/>
      <c r="EI96" s="79"/>
      <c r="EJ96" s="79"/>
      <c r="EK96" s="79"/>
      <c r="EL96" s="79"/>
      <c r="EM96" s="79"/>
      <c r="EN96" s="79"/>
      <c r="EO96" s="79"/>
      <c r="EP96" s="79"/>
      <c r="EQ96" s="79"/>
      <c r="ER96" s="79"/>
      <c r="ES96" s="79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</row>
    <row r="97" spans="1:162" s="29" customFormat="1" ht="80.099999999999994" customHeight="1" x14ac:dyDescent="0.7">
      <c r="A97" s="32"/>
      <c r="B97" s="122"/>
      <c r="C97" s="603" t="s">
        <v>104</v>
      </c>
      <c r="D97" s="603"/>
      <c r="E97" s="603"/>
      <c r="F97" s="603"/>
      <c r="G97" s="603"/>
      <c r="H97" s="603"/>
      <c r="I97" s="603"/>
      <c r="J97" s="603"/>
      <c r="K97" s="603"/>
      <c r="L97" s="603"/>
      <c r="M97" s="603"/>
      <c r="N97" s="603"/>
      <c r="O97" s="603"/>
      <c r="P97" s="603"/>
      <c r="Q97" s="603"/>
      <c r="R97" s="603"/>
      <c r="S97" s="603"/>
      <c r="T97" s="603"/>
      <c r="U97" s="603"/>
      <c r="V97" s="603"/>
      <c r="W97" s="603"/>
      <c r="X97" s="603"/>
      <c r="Y97" s="603"/>
      <c r="Z97" s="603"/>
      <c r="AA97" s="603"/>
      <c r="AB97" s="603"/>
      <c r="AC97" s="603"/>
      <c r="AD97" s="603"/>
      <c r="AE97" s="600" t="s">
        <v>141</v>
      </c>
      <c r="AF97" s="601"/>
      <c r="AG97" s="601"/>
      <c r="AH97" s="601"/>
      <c r="AI97" s="601"/>
      <c r="AJ97" s="601"/>
      <c r="AK97" s="601"/>
      <c r="AL97" s="602"/>
      <c r="AM97" s="600" t="s">
        <v>116</v>
      </c>
      <c r="AN97" s="601"/>
      <c r="AO97" s="601"/>
      <c r="AP97" s="601"/>
      <c r="AQ97" s="601"/>
      <c r="AR97" s="601"/>
      <c r="AS97" s="601"/>
      <c r="AT97" s="602"/>
      <c r="AU97" s="734"/>
      <c r="AV97" s="735"/>
      <c r="AW97" s="735"/>
      <c r="AX97" s="735"/>
      <c r="AY97" s="735"/>
      <c r="AZ97" s="735"/>
      <c r="BA97" s="735"/>
      <c r="BB97" s="735"/>
      <c r="BC97" s="735"/>
      <c r="BD97" s="735"/>
      <c r="BE97" s="735"/>
      <c r="BF97" s="735"/>
      <c r="BG97" s="735"/>
      <c r="BH97" s="735"/>
      <c r="BI97" s="735"/>
      <c r="BJ97" s="735"/>
      <c r="BK97" s="735"/>
      <c r="BL97" s="735"/>
      <c r="BM97" s="735"/>
      <c r="BN97" s="735"/>
      <c r="BO97" s="735"/>
      <c r="BP97" s="735"/>
      <c r="BQ97" s="735"/>
      <c r="BR97" s="735"/>
      <c r="BS97" s="735"/>
      <c r="BT97" s="735"/>
      <c r="BU97" s="735"/>
      <c r="BV97" s="735"/>
      <c r="BW97" s="735"/>
      <c r="BX97" s="735"/>
      <c r="BY97" s="735"/>
      <c r="BZ97" s="735"/>
      <c r="CA97" s="735"/>
      <c r="CB97" s="735"/>
      <c r="CC97" s="735"/>
      <c r="CD97" s="735"/>
      <c r="CE97" s="735"/>
      <c r="CF97" s="735"/>
      <c r="CG97" s="735"/>
      <c r="CH97" s="736"/>
      <c r="CI97" s="124"/>
      <c r="CJ97" s="124"/>
      <c r="CK97" s="124"/>
      <c r="CL97" s="124"/>
      <c r="CM97" s="178"/>
      <c r="CN97" s="179"/>
      <c r="CO97" s="179"/>
      <c r="CP97" s="179"/>
      <c r="CQ97" s="179"/>
      <c r="CR97" s="179"/>
      <c r="CS97" s="179"/>
      <c r="CT97" s="179"/>
      <c r="CU97" s="179"/>
      <c r="CV97" s="179"/>
      <c r="CW97" s="179"/>
      <c r="CX97" s="179"/>
      <c r="CY97" s="179"/>
      <c r="CZ97" s="179"/>
      <c r="DA97" s="179"/>
      <c r="DB97" s="179"/>
      <c r="DC97" s="179"/>
      <c r="DD97" s="179"/>
      <c r="DE97" s="179"/>
      <c r="DF97" s="179"/>
      <c r="DG97" s="179"/>
      <c r="DH97" s="179"/>
      <c r="DI97" s="179"/>
      <c r="DJ97" s="179"/>
      <c r="DK97" s="179"/>
      <c r="DL97" s="179"/>
      <c r="DM97" s="179"/>
      <c r="DN97" s="179"/>
      <c r="DO97" s="179"/>
      <c r="DP97" s="179"/>
      <c r="DQ97" s="180"/>
      <c r="DR97" s="180"/>
      <c r="DS97" s="180"/>
      <c r="DT97" s="180"/>
      <c r="DU97" s="180"/>
      <c r="DV97" s="180"/>
      <c r="DW97" s="180"/>
      <c r="DX97" s="180"/>
      <c r="DY97" s="180"/>
      <c r="DZ97" s="180"/>
      <c r="EA97" s="180"/>
      <c r="EB97" s="180"/>
      <c r="EC97" s="180"/>
      <c r="ED97" s="181"/>
      <c r="EE97" s="79"/>
      <c r="EF97" s="79"/>
      <c r="EG97" s="79"/>
      <c r="EH97" s="79"/>
      <c r="EI97" s="79"/>
      <c r="EJ97" s="79"/>
      <c r="EK97" s="79"/>
      <c r="EL97" s="79"/>
      <c r="EM97" s="79"/>
      <c r="EN97" s="79"/>
      <c r="EO97" s="79"/>
      <c r="EP97" s="79"/>
      <c r="EQ97" s="79"/>
      <c r="ER97" s="79"/>
      <c r="ES97" s="79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</row>
    <row r="98" spans="1:162" s="29" customFormat="1" ht="80.099999999999994" customHeight="1" x14ac:dyDescent="0.7">
      <c r="A98" s="32"/>
      <c r="B98" s="122"/>
      <c r="C98" s="603" t="s">
        <v>105</v>
      </c>
      <c r="D98" s="603"/>
      <c r="E98" s="603"/>
      <c r="F98" s="603"/>
      <c r="G98" s="603"/>
      <c r="H98" s="603"/>
      <c r="I98" s="603"/>
      <c r="J98" s="603"/>
      <c r="K98" s="603"/>
      <c r="L98" s="603"/>
      <c r="M98" s="603"/>
      <c r="N98" s="603"/>
      <c r="O98" s="603"/>
      <c r="P98" s="603"/>
      <c r="Q98" s="603"/>
      <c r="R98" s="603"/>
      <c r="S98" s="603"/>
      <c r="T98" s="603"/>
      <c r="U98" s="603"/>
      <c r="V98" s="603"/>
      <c r="W98" s="603"/>
      <c r="X98" s="603"/>
      <c r="Y98" s="603"/>
      <c r="Z98" s="603"/>
      <c r="AA98" s="603"/>
      <c r="AB98" s="603"/>
      <c r="AC98" s="603"/>
      <c r="AD98" s="603"/>
      <c r="AE98" s="600" t="s">
        <v>142</v>
      </c>
      <c r="AF98" s="601"/>
      <c r="AG98" s="601"/>
      <c r="AH98" s="601"/>
      <c r="AI98" s="601"/>
      <c r="AJ98" s="601"/>
      <c r="AK98" s="601"/>
      <c r="AL98" s="602"/>
      <c r="AM98" s="600" t="s">
        <v>117</v>
      </c>
      <c r="AN98" s="601"/>
      <c r="AO98" s="601"/>
      <c r="AP98" s="601"/>
      <c r="AQ98" s="601"/>
      <c r="AR98" s="601"/>
      <c r="AS98" s="601"/>
      <c r="AT98" s="602"/>
      <c r="AU98" s="734"/>
      <c r="AV98" s="735"/>
      <c r="AW98" s="735"/>
      <c r="AX98" s="735"/>
      <c r="AY98" s="735"/>
      <c r="AZ98" s="735"/>
      <c r="BA98" s="735"/>
      <c r="BB98" s="735"/>
      <c r="BC98" s="735"/>
      <c r="BD98" s="735"/>
      <c r="BE98" s="735"/>
      <c r="BF98" s="735"/>
      <c r="BG98" s="735"/>
      <c r="BH98" s="735"/>
      <c r="BI98" s="735"/>
      <c r="BJ98" s="735"/>
      <c r="BK98" s="735"/>
      <c r="BL98" s="735"/>
      <c r="BM98" s="735"/>
      <c r="BN98" s="735"/>
      <c r="BO98" s="735"/>
      <c r="BP98" s="735"/>
      <c r="BQ98" s="735"/>
      <c r="BR98" s="735"/>
      <c r="BS98" s="735"/>
      <c r="BT98" s="735"/>
      <c r="BU98" s="735"/>
      <c r="BV98" s="735"/>
      <c r="BW98" s="735"/>
      <c r="BX98" s="735"/>
      <c r="BY98" s="735"/>
      <c r="BZ98" s="735"/>
      <c r="CA98" s="735"/>
      <c r="CB98" s="735"/>
      <c r="CC98" s="735"/>
      <c r="CD98" s="735"/>
      <c r="CE98" s="735"/>
      <c r="CF98" s="735"/>
      <c r="CG98" s="735"/>
      <c r="CH98" s="736"/>
      <c r="CI98" s="124"/>
      <c r="CJ98" s="124"/>
      <c r="CK98" s="124"/>
      <c r="CL98" s="124"/>
      <c r="CM98" s="174"/>
      <c r="CN98" s="175"/>
      <c r="CO98" s="175"/>
      <c r="CP98" s="175"/>
      <c r="CQ98" s="175"/>
      <c r="CR98" s="175"/>
      <c r="CS98" s="175"/>
      <c r="CT98" s="175"/>
      <c r="CU98" s="175"/>
      <c r="CV98" s="175"/>
      <c r="CW98" s="175"/>
      <c r="CX98" s="175"/>
      <c r="CY98" s="175"/>
      <c r="CZ98" s="175"/>
      <c r="DA98" s="175"/>
      <c r="DB98" s="175"/>
      <c r="DC98" s="175"/>
      <c r="DD98" s="175"/>
      <c r="DE98" s="175"/>
      <c r="DF98" s="175"/>
      <c r="DG98" s="175"/>
      <c r="DH98" s="175"/>
      <c r="DI98" s="175"/>
      <c r="DJ98" s="175"/>
      <c r="DK98" s="175"/>
      <c r="DL98" s="175"/>
      <c r="DM98" s="175"/>
      <c r="DN98" s="175"/>
      <c r="DO98" s="175"/>
      <c r="DP98" s="175"/>
      <c r="DQ98" s="176"/>
      <c r="DR98" s="176"/>
      <c r="DS98" s="176"/>
      <c r="DT98" s="176"/>
      <c r="DU98" s="176"/>
      <c r="DV98" s="176"/>
      <c r="DW98" s="176"/>
      <c r="DX98" s="176"/>
      <c r="DY98" s="176"/>
      <c r="DZ98" s="176"/>
      <c r="EA98" s="176"/>
      <c r="EB98" s="176"/>
      <c r="EC98" s="176"/>
      <c r="ED98" s="177"/>
      <c r="EE98" s="79"/>
      <c r="EF98" s="79"/>
      <c r="EG98" s="79"/>
      <c r="EH98" s="79"/>
      <c r="EI98" s="79"/>
      <c r="EJ98" s="79"/>
      <c r="EK98" s="79"/>
      <c r="EL98" s="79"/>
      <c r="EM98" s="79"/>
      <c r="EN98" s="79"/>
      <c r="EO98" s="79"/>
      <c r="EP98" s="79"/>
      <c r="EQ98" s="79"/>
      <c r="ER98" s="79"/>
      <c r="ES98" s="79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</row>
    <row r="99" spans="1:162" s="29" customFormat="1" ht="80.099999999999994" customHeight="1" x14ac:dyDescent="0.7">
      <c r="A99" s="32"/>
      <c r="B99" s="122"/>
      <c r="C99" s="604" t="s">
        <v>106</v>
      </c>
      <c r="D99" s="604"/>
      <c r="E99" s="604"/>
      <c r="F99" s="604"/>
      <c r="G99" s="604"/>
      <c r="H99" s="604"/>
      <c r="I99" s="604"/>
      <c r="J99" s="604"/>
      <c r="K99" s="604"/>
      <c r="L99" s="604"/>
      <c r="M99" s="604"/>
      <c r="N99" s="604"/>
      <c r="O99" s="604"/>
      <c r="P99" s="604"/>
      <c r="Q99" s="604"/>
      <c r="R99" s="604"/>
      <c r="S99" s="604"/>
      <c r="T99" s="604"/>
      <c r="U99" s="604"/>
      <c r="V99" s="604"/>
      <c r="W99" s="604"/>
      <c r="X99" s="604"/>
      <c r="Y99" s="604"/>
      <c r="Z99" s="604"/>
      <c r="AA99" s="604"/>
      <c r="AB99" s="604"/>
      <c r="AC99" s="604"/>
      <c r="AD99" s="604"/>
      <c r="AE99" s="600"/>
      <c r="AF99" s="601"/>
      <c r="AG99" s="601"/>
      <c r="AH99" s="601"/>
      <c r="AI99" s="601"/>
      <c r="AJ99" s="601"/>
      <c r="AK99" s="601"/>
      <c r="AL99" s="602"/>
      <c r="AM99" s="600" t="s">
        <v>116</v>
      </c>
      <c r="AN99" s="601"/>
      <c r="AO99" s="601"/>
      <c r="AP99" s="601"/>
      <c r="AQ99" s="601"/>
      <c r="AR99" s="601"/>
      <c r="AS99" s="601"/>
      <c r="AT99" s="602"/>
      <c r="AU99" s="734"/>
      <c r="AV99" s="735"/>
      <c r="AW99" s="735"/>
      <c r="AX99" s="735"/>
      <c r="AY99" s="735"/>
      <c r="AZ99" s="735"/>
      <c r="BA99" s="735"/>
      <c r="BB99" s="735"/>
      <c r="BC99" s="735"/>
      <c r="BD99" s="735"/>
      <c r="BE99" s="735"/>
      <c r="BF99" s="735"/>
      <c r="BG99" s="735"/>
      <c r="BH99" s="735"/>
      <c r="BI99" s="735"/>
      <c r="BJ99" s="735"/>
      <c r="BK99" s="735"/>
      <c r="BL99" s="735"/>
      <c r="BM99" s="735"/>
      <c r="BN99" s="735"/>
      <c r="BO99" s="735"/>
      <c r="BP99" s="735"/>
      <c r="BQ99" s="735"/>
      <c r="BR99" s="735"/>
      <c r="BS99" s="735"/>
      <c r="BT99" s="735"/>
      <c r="BU99" s="735"/>
      <c r="BV99" s="735"/>
      <c r="BW99" s="735"/>
      <c r="BX99" s="735"/>
      <c r="BY99" s="735"/>
      <c r="BZ99" s="735"/>
      <c r="CA99" s="735"/>
      <c r="CB99" s="735"/>
      <c r="CC99" s="735"/>
      <c r="CD99" s="735"/>
      <c r="CE99" s="735"/>
      <c r="CF99" s="735"/>
      <c r="CG99" s="735"/>
      <c r="CH99" s="736"/>
      <c r="CI99" s="124"/>
      <c r="CJ99" s="124"/>
      <c r="CK99" s="124"/>
      <c r="CL99" s="124"/>
      <c r="CM99" s="124"/>
      <c r="CN99" s="124"/>
      <c r="CO99" s="124"/>
      <c r="CP99" s="124"/>
      <c r="CQ99" s="124"/>
      <c r="CR99" s="124"/>
      <c r="CS99" s="124"/>
      <c r="CT99" s="124"/>
      <c r="CU99" s="124"/>
      <c r="CV99" s="124"/>
      <c r="CW99" s="124"/>
      <c r="CX99" s="124"/>
      <c r="CY99" s="124"/>
      <c r="CZ99" s="124"/>
      <c r="DA99" s="124"/>
      <c r="DB99" s="124"/>
      <c r="DC99" s="124"/>
      <c r="DD99" s="124"/>
      <c r="DE99" s="124"/>
      <c r="DF99" s="124"/>
      <c r="DG99" s="124"/>
      <c r="DH99" s="124"/>
      <c r="DI99" s="124"/>
      <c r="DJ99" s="124"/>
      <c r="DK99" s="124"/>
      <c r="DL99" s="124"/>
      <c r="DM99" s="124"/>
      <c r="DN99" s="124"/>
      <c r="DO99" s="124"/>
      <c r="DP99" s="124"/>
      <c r="DQ99" s="79"/>
      <c r="DR99" s="79"/>
      <c r="DS99" s="79"/>
      <c r="DT99" s="79"/>
      <c r="DU99" s="79"/>
      <c r="DV99" s="79"/>
      <c r="DW99" s="79"/>
      <c r="DX99" s="79"/>
      <c r="DY99" s="79"/>
      <c r="DZ99" s="79"/>
      <c r="EA99" s="79"/>
      <c r="EB99" s="79"/>
      <c r="EC99" s="79"/>
      <c r="ED99" s="79"/>
      <c r="EE99" s="79"/>
      <c r="EF99" s="79"/>
      <c r="EG99" s="79"/>
      <c r="EH99" s="79"/>
      <c r="EI99" s="79"/>
      <c r="EJ99" s="79"/>
      <c r="EK99" s="79"/>
      <c r="EL99" s="79"/>
      <c r="EM99" s="79"/>
      <c r="EN99" s="79"/>
      <c r="EO99" s="79"/>
      <c r="EP99" s="79"/>
      <c r="EQ99" s="79"/>
      <c r="ER99" s="79"/>
      <c r="ES99" s="79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</row>
    <row r="100" spans="1:162" s="29" customFormat="1" ht="80.099999999999994" customHeight="1" x14ac:dyDescent="0.7">
      <c r="A100" s="32"/>
      <c r="B100" s="122"/>
      <c r="C100" s="603" t="s">
        <v>107</v>
      </c>
      <c r="D100" s="603"/>
      <c r="E100" s="603"/>
      <c r="F100" s="603"/>
      <c r="G100" s="603"/>
      <c r="H100" s="603"/>
      <c r="I100" s="603"/>
      <c r="J100" s="603"/>
      <c r="K100" s="603"/>
      <c r="L100" s="603"/>
      <c r="M100" s="603"/>
      <c r="N100" s="603"/>
      <c r="O100" s="603"/>
      <c r="P100" s="603"/>
      <c r="Q100" s="603"/>
      <c r="R100" s="603"/>
      <c r="S100" s="603"/>
      <c r="T100" s="603"/>
      <c r="U100" s="603"/>
      <c r="V100" s="603"/>
      <c r="W100" s="603"/>
      <c r="X100" s="603"/>
      <c r="Y100" s="603"/>
      <c r="Z100" s="603"/>
      <c r="AA100" s="603"/>
      <c r="AB100" s="603"/>
      <c r="AC100" s="603"/>
      <c r="AD100" s="603"/>
      <c r="AE100" s="600" t="s">
        <v>144</v>
      </c>
      <c r="AF100" s="601"/>
      <c r="AG100" s="601"/>
      <c r="AH100" s="601"/>
      <c r="AI100" s="601"/>
      <c r="AJ100" s="601"/>
      <c r="AK100" s="601"/>
      <c r="AL100" s="602"/>
      <c r="AM100" s="600" t="s">
        <v>118</v>
      </c>
      <c r="AN100" s="601"/>
      <c r="AO100" s="601"/>
      <c r="AP100" s="601"/>
      <c r="AQ100" s="601"/>
      <c r="AR100" s="601"/>
      <c r="AS100" s="601"/>
      <c r="AT100" s="602"/>
      <c r="AU100" s="734"/>
      <c r="AV100" s="735"/>
      <c r="AW100" s="735"/>
      <c r="AX100" s="735"/>
      <c r="AY100" s="735"/>
      <c r="AZ100" s="735"/>
      <c r="BA100" s="735"/>
      <c r="BB100" s="735"/>
      <c r="BC100" s="735"/>
      <c r="BD100" s="735"/>
      <c r="BE100" s="735"/>
      <c r="BF100" s="735"/>
      <c r="BG100" s="735"/>
      <c r="BH100" s="735"/>
      <c r="BI100" s="735"/>
      <c r="BJ100" s="735"/>
      <c r="BK100" s="735"/>
      <c r="BL100" s="735"/>
      <c r="BM100" s="735"/>
      <c r="BN100" s="735"/>
      <c r="BO100" s="735"/>
      <c r="BP100" s="735"/>
      <c r="BQ100" s="735"/>
      <c r="BR100" s="735"/>
      <c r="BS100" s="735"/>
      <c r="BT100" s="735"/>
      <c r="BU100" s="735"/>
      <c r="BV100" s="735"/>
      <c r="BW100" s="735"/>
      <c r="BX100" s="735"/>
      <c r="BY100" s="735"/>
      <c r="BZ100" s="735"/>
      <c r="CA100" s="735"/>
      <c r="CB100" s="735"/>
      <c r="CC100" s="735"/>
      <c r="CD100" s="735"/>
      <c r="CE100" s="735"/>
      <c r="CF100" s="735"/>
      <c r="CG100" s="735"/>
      <c r="CH100" s="736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  <c r="CU100" s="124"/>
      <c r="CV100" s="124"/>
      <c r="CW100" s="124"/>
      <c r="CX100" s="124"/>
      <c r="CY100" s="124"/>
      <c r="CZ100" s="124"/>
      <c r="DA100" s="124"/>
      <c r="DB100" s="124"/>
      <c r="DC100" s="124"/>
      <c r="DD100" s="124"/>
      <c r="DE100" s="124"/>
      <c r="DF100" s="124"/>
      <c r="DG100" s="124"/>
      <c r="DH100" s="124"/>
      <c r="DI100" s="124"/>
      <c r="DJ100" s="124"/>
      <c r="DK100" s="124"/>
      <c r="DL100" s="124"/>
      <c r="DM100" s="124"/>
      <c r="DN100" s="124"/>
      <c r="DO100" s="124"/>
      <c r="DP100" s="124"/>
      <c r="DQ100" s="79"/>
      <c r="DR100" s="79"/>
      <c r="DS100" s="79"/>
      <c r="DT100" s="79"/>
      <c r="DU100" s="79"/>
      <c r="DV100" s="79"/>
      <c r="DW100" s="79"/>
      <c r="DX100" s="79"/>
      <c r="DY100" s="79"/>
      <c r="DZ100" s="79"/>
      <c r="EA100" s="79"/>
      <c r="EB100" s="79"/>
      <c r="EC100" s="79"/>
      <c r="ED100" s="79"/>
      <c r="EE100" s="79"/>
      <c r="EF100" s="79"/>
      <c r="EG100" s="79"/>
      <c r="EH100" s="79"/>
      <c r="EI100" s="79"/>
      <c r="EJ100" s="79"/>
      <c r="EK100" s="79"/>
      <c r="EL100" s="79"/>
      <c r="EM100" s="79"/>
      <c r="EN100" s="79"/>
      <c r="EO100" s="79"/>
      <c r="EP100" s="79"/>
      <c r="EQ100" s="79"/>
      <c r="ER100" s="79"/>
      <c r="ES100" s="79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</row>
    <row r="101" spans="1:162" s="29" customFormat="1" ht="80.099999999999994" customHeight="1" x14ac:dyDescent="0.7">
      <c r="A101" s="32"/>
      <c r="B101" s="122"/>
      <c r="C101" s="605" t="s">
        <v>21</v>
      </c>
      <c r="D101" s="605"/>
      <c r="E101" s="605"/>
      <c r="F101" s="605"/>
      <c r="G101" s="605"/>
      <c r="H101" s="605"/>
      <c r="I101" s="605"/>
      <c r="J101" s="605"/>
      <c r="K101" s="605"/>
      <c r="L101" s="605"/>
      <c r="M101" s="605"/>
      <c r="N101" s="605"/>
      <c r="O101" s="605"/>
      <c r="P101" s="605"/>
      <c r="Q101" s="605"/>
      <c r="R101" s="605"/>
      <c r="S101" s="605"/>
      <c r="T101" s="605"/>
      <c r="U101" s="605"/>
      <c r="V101" s="605"/>
      <c r="W101" s="605"/>
      <c r="X101" s="605"/>
      <c r="Y101" s="605"/>
      <c r="Z101" s="605"/>
      <c r="AA101" s="605"/>
      <c r="AB101" s="605"/>
      <c r="AC101" s="605"/>
      <c r="AD101" s="605"/>
      <c r="AE101" s="593" t="s">
        <v>145</v>
      </c>
      <c r="AF101" s="594"/>
      <c r="AG101" s="594"/>
      <c r="AH101" s="594"/>
      <c r="AI101" s="594"/>
      <c r="AJ101" s="594"/>
      <c r="AK101" s="594"/>
      <c r="AL101" s="595"/>
      <c r="AM101" s="600"/>
      <c r="AN101" s="601"/>
      <c r="AO101" s="601"/>
      <c r="AP101" s="601"/>
      <c r="AQ101" s="601"/>
      <c r="AR101" s="601"/>
      <c r="AS101" s="601"/>
      <c r="AT101" s="602"/>
      <c r="AU101" s="737"/>
      <c r="AV101" s="738"/>
      <c r="AW101" s="738"/>
      <c r="AX101" s="738"/>
      <c r="AY101" s="738"/>
      <c r="AZ101" s="738"/>
      <c r="BA101" s="738"/>
      <c r="BB101" s="738"/>
      <c r="BC101" s="738"/>
      <c r="BD101" s="738"/>
      <c r="BE101" s="738"/>
      <c r="BF101" s="738"/>
      <c r="BG101" s="738"/>
      <c r="BH101" s="738"/>
      <c r="BI101" s="738"/>
      <c r="BJ101" s="738"/>
      <c r="BK101" s="738"/>
      <c r="BL101" s="738"/>
      <c r="BM101" s="738"/>
      <c r="BN101" s="738"/>
      <c r="BO101" s="738"/>
      <c r="BP101" s="738"/>
      <c r="BQ101" s="738"/>
      <c r="BR101" s="738"/>
      <c r="BS101" s="738"/>
      <c r="BT101" s="738"/>
      <c r="BU101" s="738"/>
      <c r="BV101" s="738"/>
      <c r="BW101" s="738"/>
      <c r="BX101" s="738"/>
      <c r="BY101" s="738"/>
      <c r="BZ101" s="738"/>
      <c r="CA101" s="738"/>
      <c r="CB101" s="738"/>
      <c r="CC101" s="738"/>
      <c r="CD101" s="738"/>
      <c r="CE101" s="738"/>
      <c r="CF101" s="738"/>
      <c r="CG101" s="738"/>
      <c r="CH101" s="739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124"/>
      <c r="DD101" s="124"/>
      <c r="DE101" s="124"/>
      <c r="DF101" s="124"/>
      <c r="DG101" s="124"/>
      <c r="DH101" s="124"/>
      <c r="DI101" s="124"/>
      <c r="DJ101" s="124"/>
      <c r="DK101" s="124"/>
      <c r="DL101" s="124"/>
      <c r="DM101" s="124"/>
      <c r="DN101" s="124"/>
      <c r="DO101" s="124"/>
      <c r="DP101" s="124"/>
      <c r="DQ101" s="79"/>
      <c r="DR101" s="79"/>
      <c r="DS101" s="79"/>
      <c r="DT101" s="79"/>
      <c r="DU101" s="79"/>
      <c r="DV101" s="79"/>
      <c r="DW101" s="79"/>
      <c r="DX101" s="79"/>
      <c r="DY101" s="79"/>
      <c r="DZ101" s="79"/>
      <c r="EA101" s="79"/>
      <c r="EB101" s="79"/>
      <c r="EC101" s="79"/>
      <c r="ED101" s="79"/>
      <c r="EE101" s="79"/>
      <c r="EF101" s="79"/>
      <c r="EG101" s="79"/>
      <c r="EH101" s="79"/>
      <c r="EI101" s="79"/>
      <c r="EJ101" s="79"/>
      <c r="EK101" s="79"/>
      <c r="EL101" s="79"/>
      <c r="EM101" s="79"/>
      <c r="EN101" s="79"/>
      <c r="EO101" s="79"/>
      <c r="EP101" s="79"/>
      <c r="EQ101" s="79"/>
      <c r="ER101" s="79"/>
      <c r="ES101" s="79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</row>
    <row r="102" spans="1:162" s="29" customFormat="1" ht="50.25" x14ac:dyDescent="0.7">
      <c r="A102" s="32"/>
      <c r="B102" s="122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5"/>
      <c r="X102" s="125"/>
      <c r="Y102" s="125"/>
      <c r="Z102" s="126"/>
      <c r="AA102" s="126"/>
      <c r="AB102" s="126"/>
      <c r="AC102" s="126"/>
      <c r="AD102" s="124"/>
      <c r="AE102" s="124"/>
      <c r="AF102" s="124"/>
      <c r="AG102" s="124"/>
      <c r="AH102" s="124"/>
      <c r="AI102" s="124"/>
      <c r="AJ102" s="124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5"/>
      <c r="BJ102" s="125"/>
      <c r="BK102" s="125"/>
      <c r="BL102" s="125"/>
      <c r="BM102" s="125"/>
      <c r="BN102" s="125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  <c r="CU102" s="124"/>
      <c r="CV102" s="124"/>
      <c r="CW102" s="124"/>
      <c r="CX102" s="124"/>
      <c r="CY102" s="124"/>
      <c r="CZ102" s="124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4"/>
      <c r="DP102" s="124"/>
      <c r="DQ102" s="79"/>
      <c r="DR102" s="79"/>
      <c r="DS102" s="79"/>
      <c r="DT102" s="79"/>
      <c r="DU102" s="79"/>
      <c r="DV102" s="79"/>
      <c r="DW102" s="79"/>
      <c r="DX102" s="79"/>
      <c r="DY102" s="79"/>
      <c r="DZ102" s="79"/>
      <c r="EA102" s="79"/>
      <c r="EB102" s="79"/>
      <c r="EC102" s="79"/>
      <c r="ED102" s="79"/>
      <c r="EE102" s="79"/>
      <c r="EF102" s="79"/>
      <c r="EG102" s="79"/>
      <c r="EH102" s="79"/>
      <c r="EI102" s="79"/>
      <c r="EJ102" s="79"/>
      <c r="EK102" s="79"/>
      <c r="EL102" s="79"/>
      <c r="EM102" s="79"/>
      <c r="EN102" s="79"/>
      <c r="EO102" s="79"/>
      <c r="EP102" s="79"/>
      <c r="EQ102" s="79"/>
      <c r="ER102" s="79"/>
      <c r="ES102" s="79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</row>
    <row r="103" spans="1:162" ht="99.95" customHeight="1" x14ac:dyDescent="0.7">
      <c r="A103" s="32"/>
      <c r="B103" s="715" t="s">
        <v>255</v>
      </c>
      <c r="C103" s="715"/>
      <c r="D103" s="715"/>
      <c r="E103" s="715"/>
      <c r="F103" s="715"/>
      <c r="G103" s="715"/>
      <c r="H103" s="715"/>
      <c r="I103" s="715"/>
      <c r="J103" s="715"/>
      <c r="K103" s="715"/>
      <c r="L103" s="715"/>
      <c r="M103" s="715"/>
      <c r="N103" s="715"/>
      <c r="O103" s="715"/>
      <c r="P103" s="715"/>
      <c r="Q103" s="715"/>
      <c r="R103" s="715"/>
      <c r="S103" s="715"/>
      <c r="T103" s="715"/>
      <c r="U103" s="715"/>
      <c r="V103" s="715"/>
      <c r="W103" s="715"/>
      <c r="X103" s="715"/>
      <c r="Y103" s="740" t="s">
        <v>121</v>
      </c>
      <c r="Z103" s="740"/>
      <c r="AA103" s="740"/>
      <c r="AB103" s="740"/>
      <c r="AC103" s="740"/>
      <c r="AD103" s="740"/>
      <c r="AE103" s="740"/>
      <c r="AF103" s="740"/>
      <c r="AG103" s="740"/>
      <c r="AH103" s="740"/>
      <c r="AI103" s="740"/>
      <c r="AJ103" s="740"/>
      <c r="AK103" s="740"/>
      <c r="AL103" s="740"/>
      <c r="AM103" s="740"/>
      <c r="AN103" s="740"/>
      <c r="AO103" s="740"/>
      <c r="AP103" s="740"/>
      <c r="AQ103" s="740"/>
      <c r="AR103" s="740"/>
      <c r="AS103" s="740"/>
      <c r="AT103" s="740"/>
      <c r="AU103" s="740"/>
      <c r="AV103" s="599"/>
      <c r="AW103" s="599"/>
      <c r="AX103" s="599"/>
      <c r="AY103" s="599"/>
      <c r="AZ103" s="599"/>
      <c r="BA103" s="599"/>
      <c r="BB103" s="599"/>
      <c r="BC103" s="599"/>
      <c r="BD103" s="599"/>
      <c r="BE103" s="599"/>
      <c r="BF103" s="599"/>
      <c r="BG103" s="599"/>
      <c r="BH103" s="599"/>
      <c r="BI103" s="599"/>
      <c r="BJ103" s="599"/>
      <c r="BK103" s="599"/>
      <c r="BL103" s="599"/>
      <c r="BM103" s="599"/>
      <c r="BN103" s="599"/>
      <c r="BO103" s="599"/>
      <c r="BP103" s="599"/>
      <c r="BQ103" s="599"/>
      <c r="BR103" s="599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  <c r="CU103" s="124"/>
      <c r="CV103" s="124"/>
      <c r="CW103" s="124"/>
      <c r="CX103" s="124"/>
      <c r="CY103" s="124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4"/>
      <c r="DP103" s="124"/>
      <c r="DQ103" s="79"/>
      <c r="DR103" s="79"/>
      <c r="DS103" s="79"/>
      <c r="DT103" s="79"/>
      <c r="DU103" s="79"/>
      <c r="DV103" s="79"/>
      <c r="DW103" s="79"/>
      <c r="DX103" s="79"/>
      <c r="DY103" s="79"/>
      <c r="DZ103" s="79"/>
      <c r="EA103" s="79"/>
      <c r="EB103" s="79"/>
      <c r="EC103" s="79"/>
      <c r="ED103" s="79"/>
      <c r="EE103" s="79"/>
      <c r="EF103" s="79"/>
      <c r="EG103" s="79"/>
      <c r="EH103" s="79"/>
      <c r="EI103" s="79"/>
      <c r="EJ103" s="79"/>
      <c r="EK103" s="79"/>
      <c r="EL103" s="79"/>
      <c r="EM103" s="79"/>
      <c r="EN103" s="79"/>
      <c r="EO103" s="79"/>
      <c r="EP103" s="79"/>
      <c r="EQ103" s="79"/>
      <c r="ER103" s="79"/>
      <c r="ES103" s="79"/>
    </row>
    <row r="104" spans="1:162" ht="63.75" x14ac:dyDescent="0.7">
      <c r="A104" s="32"/>
      <c r="B104" s="715"/>
      <c r="C104" s="715"/>
      <c r="D104" s="715"/>
      <c r="E104" s="715"/>
      <c r="F104" s="715"/>
      <c r="G104" s="715"/>
      <c r="H104" s="715"/>
      <c r="I104" s="715"/>
      <c r="J104" s="715"/>
      <c r="K104" s="715"/>
      <c r="L104" s="715"/>
      <c r="M104" s="715"/>
      <c r="N104" s="715"/>
      <c r="O104" s="715"/>
      <c r="P104" s="715"/>
      <c r="Q104" s="715"/>
      <c r="R104" s="715"/>
      <c r="S104" s="715"/>
      <c r="T104" s="715"/>
      <c r="U104" s="715"/>
      <c r="V104" s="715"/>
      <c r="W104" s="715"/>
      <c r="X104" s="715"/>
      <c r="Y104" s="599"/>
      <c r="Z104" s="599"/>
      <c r="AA104" s="599"/>
      <c r="AB104" s="599"/>
      <c r="AC104" s="599"/>
      <c r="AD104" s="599"/>
      <c r="AE104" s="599"/>
      <c r="AF104" s="599"/>
      <c r="AG104" s="599"/>
      <c r="AH104" s="599"/>
      <c r="AI104" s="599"/>
      <c r="AJ104" s="599"/>
      <c r="AK104" s="599"/>
      <c r="AL104" s="599"/>
      <c r="AM104" s="599"/>
      <c r="AN104" s="599"/>
      <c r="AO104" s="599"/>
      <c r="AP104" s="599"/>
      <c r="AQ104" s="599"/>
      <c r="AR104" s="599"/>
      <c r="AS104" s="599"/>
      <c r="AT104" s="599"/>
      <c r="AU104" s="599"/>
      <c r="AV104" s="599"/>
      <c r="AW104" s="599"/>
      <c r="AX104" s="599"/>
      <c r="AY104" s="599"/>
      <c r="AZ104" s="599"/>
      <c r="BA104" s="599"/>
      <c r="BB104" s="599"/>
      <c r="BC104" s="599"/>
      <c r="BD104" s="599"/>
      <c r="BE104" s="599"/>
      <c r="BF104" s="599"/>
      <c r="BG104" s="599"/>
      <c r="BH104" s="599"/>
      <c r="BI104" s="599"/>
      <c r="BJ104" s="599"/>
      <c r="BK104" s="599"/>
      <c r="BL104" s="599"/>
      <c r="BM104" s="599"/>
      <c r="BN104" s="599"/>
      <c r="BO104" s="599"/>
      <c r="BP104" s="599"/>
      <c r="BQ104" s="599"/>
      <c r="BR104" s="599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  <c r="CU104" s="124"/>
      <c r="CV104" s="124"/>
      <c r="CW104" s="124"/>
      <c r="CX104" s="124"/>
      <c r="CY104" s="124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4"/>
      <c r="DP104" s="124"/>
      <c r="DQ104" s="79"/>
      <c r="DR104" s="79"/>
      <c r="DS104" s="79"/>
      <c r="DT104" s="79"/>
      <c r="DU104" s="79"/>
      <c r="DV104" s="79"/>
      <c r="DW104" s="79"/>
      <c r="DX104" s="79"/>
      <c r="DY104" s="79"/>
      <c r="DZ104" s="79"/>
      <c r="EA104" s="79"/>
      <c r="EB104" s="79"/>
      <c r="EC104" s="79"/>
      <c r="ED104" s="79"/>
      <c r="EE104" s="79"/>
      <c r="EF104" s="79"/>
      <c r="EG104" s="79"/>
      <c r="EH104" s="79"/>
      <c r="EI104" s="79"/>
      <c r="EJ104" s="79"/>
      <c r="EK104" s="79"/>
      <c r="EL104" s="79"/>
      <c r="EM104" s="79"/>
      <c r="EN104" s="79"/>
      <c r="EO104" s="79"/>
      <c r="EP104" s="79"/>
      <c r="EQ104" s="79"/>
      <c r="ER104" s="79"/>
      <c r="ES104" s="79"/>
    </row>
    <row r="105" spans="1:162" ht="99.95" customHeight="1" x14ac:dyDescent="0.7">
      <c r="A105" s="32"/>
      <c r="B105" s="715" t="s">
        <v>256</v>
      </c>
      <c r="C105" s="715"/>
      <c r="D105" s="715"/>
      <c r="E105" s="715"/>
      <c r="F105" s="715"/>
      <c r="G105" s="715"/>
      <c r="H105" s="715"/>
      <c r="I105" s="715"/>
      <c r="J105" s="715"/>
      <c r="K105" s="715"/>
      <c r="L105" s="715"/>
      <c r="M105" s="715"/>
      <c r="N105" s="715"/>
      <c r="O105" s="715"/>
      <c r="P105" s="715"/>
      <c r="Q105" s="715"/>
      <c r="R105" s="715"/>
      <c r="S105" s="715"/>
      <c r="T105" s="715"/>
      <c r="U105" s="715"/>
      <c r="V105" s="715"/>
      <c r="W105" s="715"/>
      <c r="X105" s="715"/>
      <c r="Y105" s="740" t="s">
        <v>121</v>
      </c>
      <c r="Z105" s="740"/>
      <c r="AA105" s="740"/>
      <c r="AB105" s="740"/>
      <c r="AC105" s="740"/>
      <c r="AD105" s="740"/>
      <c r="AE105" s="740"/>
      <c r="AF105" s="740"/>
      <c r="AG105" s="740"/>
      <c r="AH105" s="740"/>
      <c r="AI105" s="740"/>
      <c r="AJ105" s="740"/>
      <c r="AK105" s="740"/>
      <c r="AL105" s="740"/>
      <c r="AM105" s="740"/>
      <c r="AN105" s="740"/>
      <c r="AO105" s="740"/>
      <c r="AP105" s="740"/>
      <c r="AQ105" s="740"/>
      <c r="AR105" s="740"/>
      <c r="AS105" s="740"/>
      <c r="AT105" s="740"/>
      <c r="AU105" s="740"/>
      <c r="AV105" s="599"/>
      <c r="AW105" s="599"/>
      <c r="AX105" s="599"/>
      <c r="AY105" s="599"/>
      <c r="AZ105" s="599"/>
      <c r="BA105" s="599"/>
      <c r="BB105" s="599"/>
      <c r="BC105" s="599"/>
      <c r="BD105" s="599"/>
      <c r="BE105" s="599"/>
      <c r="BF105" s="599"/>
      <c r="BG105" s="599"/>
      <c r="BH105" s="599"/>
      <c r="BI105" s="599"/>
      <c r="BJ105" s="599"/>
      <c r="BK105" s="599"/>
      <c r="BL105" s="599"/>
      <c r="BM105" s="599"/>
      <c r="BN105" s="599"/>
      <c r="BO105" s="599"/>
      <c r="BP105" s="599"/>
      <c r="BQ105" s="599"/>
      <c r="BR105" s="599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  <c r="CF105" s="124"/>
      <c r="CG105" s="124"/>
      <c r="CH105" s="124"/>
      <c r="CI105" s="124"/>
      <c r="CJ105" s="124"/>
      <c r="CK105" s="124"/>
      <c r="CL105" s="124"/>
      <c r="CM105" s="124"/>
      <c r="CN105" s="124"/>
      <c r="CO105" s="124"/>
      <c r="CP105" s="124"/>
      <c r="CQ105" s="124"/>
      <c r="CR105" s="124"/>
      <c r="CS105" s="124"/>
      <c r="CT105" s="124"/>
      <c r="CU105" s="124"/>
      <c r="CV105" s="124"/>
      <c r="CW105" s="124"/>
      <c r="CX105" s="124"/>
      <c r="CY105" s="124"/>
      <c r="CZ105" s="124"/>
      <c r="DA105" s="124"/>
      <c r="DB105" s="124"/>
      <c r="DC105" s="124"/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79"/>
      <c r="DR105" s="79"/>
      <c r="DS105" s="79"/>
      <c r="DT105" s="79"/>
      <c r="DU105" s="79"/>
      <c r="DV105" s="79"/>
      <c r="DW105" s="79"/>
      <c r="DX105" s="79"/>
      <c r="DY105" s="79"/>
      <c r="DZ105" s="79"/>
      <c r="EA105" s="79"/>
      <c r="EB105" s="79"/>
      <c r="EC105" s="79"/>
      <c r="ED105" s="79"/>
      <c r="EE105" s="79"/>
      <c r="EF105" s="79"/>
      <c r="EG105" s="79"/>
      <c r="EH105" s="79"/>
      <c r="EI105" s="79"/>
      <c r="EJ105" s="79"/>
      <c r="EK105" s="79"/>
      <c r="EL105" s="79"/>
      <c r="EM105" s="79"/>
      <c r="EN105" s="79"/>
      <c r="EO105" s="79"/>
      <c r="EP105" s="79"/>
      <c r="EQ105" s="79"/>
      <c r="ER105" s="79"/>
      <c r="ES105" s="79"/>
    </row>
    <row r="106" spans="1:162" ht="63.75" x14ac:dyDescent="0.7">
      <c r="A106" s="32"/>
      <c r="B106" s="715"/>
      <c r="C106" s="715"/>
      <c r="D106" s="715"/>
      <c r="E106" s="715"/>
      <c r="F106" s="715"/>
      <c r="G106" s="715"/>
      <c r="H106" s="715"/>
      <c r="I106" s="715"/>
      <c r="J106" s="715"/>
      <c r="K106" s="715"/>
      <c r="L106" s="715"/>
      <c r="M106" s="715"/>
      <c r="N106" s="715"/>
      <c r="O106" s="715"/>
      <c r="P106" s="715"/>
      <c r="Q106" s="715"/>
      <c r="R106" s="715"/>
      <c r="S106" s="715"/>
      <c r="T106" s="715"/>
      <c r="U106" s="715"/>
      <c r="V106" s="715"/>
      <c r="W106" s="715"/>
      <c r="X106" s="715"/>
      <c r="Y106" s="599"/>
      <c r="Z106" s="599"/>
      <c r="AA106" s="599"/>
      <c r="AB106" s="599"/>
      <c r="AC106" s="599"/>
      <c r="AD106" s="599"/>
      <c r="AE106" s="599"/>
      <c r="AF106" s="599"/>
      <c r="AG106" s="599"/>
      <c r="AH106" s="599"/>
      <c r="AI106" s="599"/>
      <c r="AJ106" s="599"/>
      <c r="AK106" s="599"/>
      <c r="AL106" s="599"/>
      <c r="AM106" s="599"/>
      <c r="AN106" s="599"/>
      <c r="AO106" s="599"/>
      <c r="AP106" s="599"/>
      <c r="AQ106" s="599"/>
      <c r="AR106" s="599"/>
      <c r="AS106" s="599"/>
      <c r="AT106" s="599"/>
      <c r="AU106" s="599"/>
      <c r="AV106" s="599"/>
      <c r="AW106" s="599"/>
      <c r="AX106" s="599"/>
      <c r="AY106" s="599"/>
      <c r="AZ106" s="599"/>
      <c r="BA106" s="599"/>
      <c r="BB106" s="599"/>
      <c r="BC106" s="599"/>
      <c r="BD106" s="599"/>
      <c r="BE106" s="599"/>
      <c r="BF106" s="599"/>
      <c r="BG106" s="599"/>
      <c r="BH106" s="599"/>
      <c r="BI106" s="599"/>
      <c r="BJ106" s="599"/>
      <c r="BK106" s="599"/>
      <c r="BL106" s="599"/>
      <c r="BM106" s="599"/>
      <c r="BN106" s="599"/>
      <c r="BO106" s="599"/>
      <c r="BP106" s="599"/>
      <c r="BQ106" s="599"/>
      <c r="BR106" s="599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/>
      <c r="CN106" s="124"/>
      <c r="CO106" s="124"/>
      <c r="CP106" s="124"/>
      <c r="CQ106" s="124"/>
      <c r="CR106" s="124"/>
      <c r="CS106" s="124"/>
      <c r="CT106" s="124"/>
      <c r="CU106" s="124"/>
      <c r="CV106" s="124"/>
      <c r="CW106" s="124"/>
      <c r="CX106" s="124"/>
      <c r="CY106" s="124"/>
      <c r="CZ106" s="124"/>
      <c r="DA106" s="124"/>
      <c r="DB106" s="124"/>
      <c r="DC106" s="124"/>
      <c r="DD106" s="124"/>
      <c r="DE106" s="124"/>
      <c r="DF106" s="124"/>
      <c r="DG106" s="124"/>
      <c r="DH106" s="124"/>
      <c r="DI106" s="124"/>
      <c r="DJ106" s="124"/>
      <c r="DK106" s="124"/>
      <c r="DL106" s="124"/>
      <c r="DM106" s="124"/>
      <c r="DN106" s="124"/>
      <c r="DO106" s="124"/>
      <c r="DP106" s="124"/>
      <c r="DQ106" s="79"/>
      <c r="DR106" s="79"/>
      <c r="DS106" s="79"/>
      <c r="DT106" s="79"/>
      <c r="DU106" s="79"/>
      <c r="DV106" s="79"/>
      <c r="DW106" s="79"/>
      <c r="DX106" s="79"/>
      <c r="DY106" s="79"/>
      <c r="DZ106" s="79"/>
      <c r="EA106" s="79"/>
      <c r="EB106" s="79"/>
      <c r="EC106" s="79"/>
      <c r="ED106" s="79"/>
      <c r="EE106" s="79"/>
      <c r="EF106" s="79"/>
      <c r="EG106" s="79"/>
      <c r="EH106" s="79"/>
      <c r="EI106" s="79"/>
      <c r="EJ106" s="79"/>
      <c r="EK106" s="79"/>
      <c r="EL106" s="79"/>
      <c r="EM106" s="79"/>
      <c r="EN106" s="79"/>
      <c r="EO106" s="79"/>
      <c r="EP106" s="79"/>
      <c r="EQ106" s="79"/>
      <c r="ER106" s="79"/>
      <c r="ES106" s="79"/>
    </row>
    <row r="107" spans="1:162" ht="99.95" customHeight="1" x14ac:dyDescent="0.7">
      <c r="A107" s="32"/>
      <c r="B107" s="715" t="s">
        <v>223</v>
      </c>
      <c r="C107" s="715"/>
      <c r="D107" s="715"/>
      <c r="E107" s="715"/>
      <c r="F107" s="715"/>
      <c r="G107" s="715"/>
      <c r="H107" s="715"/>
      <c r="I107" s="715"/>
      <c r="J107" s="715"/>
      <c r="K107" s="715"/>
      <c r="L107" s="715"/>
      <c r="M107" s="715"/>
      <c r="N107" s="715"/>
      <c r="O107" s="715"/>
      <c r="P107" s="715"/>
      <c r="Q107" s="715"/>
      <c r="R107" s="715"/>
      <c r="S107" s="715"/>
      <c r="T107" s="715"/>
      <c r="U107" s="715"/>
      <c r="V107" s="715"/>
      <c r="W107" s="715"/>
      <c r="X107" s="715"/>
      <c r="Y107" s="740" t="s">
        <v>121</v>
      </c>
      <c r="Z107" s="740"/>
      <c r="AA107" s="740"/>
      <c r="AB107" s="740"/>
      <c r="AC107" s="740"/>
      <c r="AD107" s="740"/>
      <c r="AE107" s="740"/>
      <c r="AF107" s="740"/>
      <c r="AG107" s="740"/>
      <c r="AH107" s="740"/>
      <c r="AI107" s="740"/>
      <c r="AJ107" s="740"/>
      <c r="AK107" s="740"/>
      <c r="AL107" s="740"/>
      <c r="AM107" s="740"/>
      <c r="AN107" s="740"/>
      <c r="AO107" s="740"/>
      <c r="AP107" s="740"/>
      <c r="AQ107" s="740"/>
      <c r="AR107" s="740"/>
      <c r="AS107" s="740"/>
      <c r="AT107" s="740"/>
      <c r="AU107" s="740"/>
      <c r="AV107" s="599"/>
      <c r="AW107" s="599"/>
      <c r="AX107" s="599"/>
      <c r="AY107" s="599"/>
      <c r="AZ107" s="599"/>
      <c r="BA107" s="599"/>
      <c r="BB107" s="599"/>
      <c r="BC107" s="599"/>
      <c r="BD107" s="599"/>
      <c r="BE107" s="599"/>
      <c r="BF107" s="599"/>
      <c r="BG107" s="599"/>
      <c r="BH107" s="599"/>
      <c r="BI107" s="599"/>
      <c r="BJ107" s="599"/>
      <c r="BK107" s="599"/>
      <c r="BL107" s="599"/>
      <c r="BM107" s="599"/>
      <c r="BN107" s="599"/>
      <c r="BO107" s="599"/>
      <c r="BP107" s="599"/>
      <c r="BQ107" s="599"/>
      <c r="BR107" s="599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/>
      <c r="CN107" s="124"/>
      <c r="CO107" s="124"/>
      <c r="CP107" s="124"/>
      <c r="CQ107" s="124"/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124"/>
      <c r="DD107" s="124"/>
      <c r="DE107" s="124"/>
      <c r="DF107" s="124"/>
      <c r="DG107" s="124"/>
      <c r="DH107" s="124"/>
      <c r="DI107" s="124"/>
      <c r="DJ107" s="124"/>
      <c r="DK107" s="124"/>
      <c r="DL107" s="124"/>
      <c r="DM107" s="124"/>
      <c r="DN107" s="124"/>
      <c r="DO107" s="124"/>
      <c r="DP107" s="124"/>
      <c r="DQ107" s="79"/>
      <c r="DR107" s="79"/>
      <c r="DS107" s="79"/>
      <c r="DT107" s="79"/>
      <c r="DU107" s="79"/>
      <c r="DV107" s="79"/>
      <c r="DW107" s="79"/>
      <c r="DX107" s="79"/>
      <c r="DY107" s="79"/>
      <c r="DZ107" s="79"/>
      <c r="EA107" s="79"/>
      <c r="EB107" s="79"/>
      <c r="EC107" s="79"/>
      <c r="ED107" s="79"/>
      <c r="EE107" s="79"/>
      <c r="EF107" s="79"/>
      <c r="EG107" s="79"/>
      <c r="EH107" s="79"/>
      <c r="EI107" s="79"/>
      <c r="EJ107" s="79"/>
      <c r="EK107" s="79"/>
      <c r="EL107" s="79"/>
      <c r="EM107" s="79"/>
      <c r="EN107" s="79"/>
      <c r="EO107" s="79"/>
      <c r="EP107" s="79"/>
      <c r="EQ107" s="79"/>
      <c r="ER107" s="79"/>
      <c r="ES107" s="79"/>
    </row>
    <row r="108" spans="1:162" ht="63.75" x14ac:dyDescent="0.85">
      <c r="A108" s="15"/>
      <c r="B108" s="183"/>
      <c r="C108" s="183"/>
      <c r="D108" s="183"/>
      <c r="E108" s="183"/>
      <c r="F108" s="183"/>
      <c r="G108" s="183"/>
      <c r="H108" s="183"/>
      <c r="I108" s="183"/>
      <c r="J108" s="183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"/>
      <c r="Z108" s="4"/>
      <c r="AA108" s="4"/>
      <c r="AB108" s="4"/>
      <c r="AC108" s="4"/>
      <c r="AD108" s="18"/>
      <c r="AE108" s="18"/>
      <c r="AF108" s="18"/>
      <c r="AG108" s="18"/>
      <c r="AH108" s="18"/>
      <c r="AI108" s="18"/>
      <c r="AJ108" s="18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5"/>
      <c r="AW108" s="19"/>
      <c r="AX108" s="19"/>
      <c r="AY108" s="19"/>
      <c r="AZ108" s="19"/>
      <c r="BA108" s="19"/>
      <c r="BB108" s="19"/>
      <c r="BC108" s="19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20"/>
      <c r="DD108" s="20"/>
      <c r="DE108" s="20"/>
      <c r="DF108" s="20"/>
      <c r="DG108" s="20"/>
      <c r="DH108" s="20"/>
      <c r="DI108" s="20"/>
      <c r="DJ108" s="20"/>
      <c r="DK108" s="20"/>
      <c r="DL108" s="1"/>
      <c r="DM108" s="1"/>
      <c r="DN108" s="1"/>
      <c r="DO108" s="1"/>
      <c r="DP108" s="1"/>
      <c r="DQ108" s="1"/>
      <c r="DR108" s="1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</row>
    <row r="109" spans="1:162" ht="99.95" customHeight="1" x14ac:dyDescent="0.2">
      <c r="A109" s="21"/>
      <c r="B109" s="715" t="s">
        <v>222</v>
      </c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5"/>
      <c r="P109" s="715"/>
      <c r="Q109" s="715"/>
      <c r="R109" s="715"/>
      <c r="S109" s="715"/>
      <c r="T109" s="715"/>
      <c r="U109" s="715"/>
      <c r="V109" s="715"/>
      <c r="W109" s="715"/>
      <c r="X109" s="715"/>
      <c r="Y109" s="740" t="s">
        <v>121</v>
      </c>
      <c r="Z109" s="740"/>
      <c r="AA109" s="740"/>
      <c r="AB109" s="740"/>
      <c r="AC109" s="740"/>
      <c r="AD109" s="740"/>
      <c r="AE109" s="740"/>
      <c r="AF109" s="740"/>
      <c r="AG109" s="740"/>
      <c r="AH109" s="740"/>
      <c r="AI109" s="740"/>
      <c r="AJ109" s="740"/>
      <c r="AK109" s="740"/>
      <c r="AL109" s="740"/>
      <c r="AM109" s="740"/>
      <c r="AN109" s="740"/>
      <c r="AO109" s="740"/>
      <c r="AP109" s="740"/>
      <c r="AQ109" s="740"/>
      <c r="AR109" s="740"/>
      <c r="AS109" s="740"/>
      <c r="AT109" s="740"/>
      <c r="AU109" s="740"/>
      <c r="AV109" s="95"/>
      <c r="AW109" s="95"/>
      <c r="AX109" s="95"/>
      <c r="AY109" s="95"/>
      <c r="AZ109" s="95"/>
      <c r="BA109" s="95"/>
      <c r="BB109" s="95"/>
      <c r="BC109" s="95"/>
      <c r="BD109" s="95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95"/>
      <c r="BP109" s="519"/>
      <c r="BQ109" s="519"/>
      <c r="BR109" s="519"/>
      <c r="BS109" s="519"/>
      <c r="BT109" s="519"/>
      <c r="BU109" s="519"/>
      <c r="BV109" s="519"/>
      <c r="BW109" s="519"/>
      <c r="BX109" s="519"/>
      <c r="BY109" s="519"/>
      <c r="BZ109" s="519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95"/>
      <c r="CR109" s="95"/>
      <c r="CS109" s="95"/>
      <c r="CT109" s="95"/>
      <c r="CU109" s="95"/>
      <c r="CV109" s="95"/>
      <c r="CW109" s="95"/>
      <c r="CX109" s="95"/>
      <c r="CY109" s="95"/>
      <c r="CZ109" s="95"/>
      <c r="DA109" s="95"/>
      <c r="DB109" s="95"/>
      <c r="DC109" s="95"/>
      <c r="DD109" s="95"/>
      <c r="DE109" s="95"/>
      <c r="DF109" s="95"/>
      <c r="DG109" s="95"/>
      <c r="DH109" s="95"/>
      <c r="DI109" s="95"/>
      <c r="DJ109" s="95"/>
      <c r="DK109" s="95"/>
      <c r="DL109" s="95"/>
      <c r="DM109" s="95"/>
      <c r="DN109" s="89"/>
      <c r="DO109" s="95"/>
      <c r="DP109" s="95"/>
      <c r="DQ109" s="38"/>
      <c r="DR109" s="38"/>
      <c r="DS109" s="7"/>
      <c r="DT109" s="7"/>
      <c r="DU109" s="7"/>
      <c r="DV109" s="7"/>
      <c r="DW109" s="7"/>
      <c r="DX109" s="7"/>
      <c r="DY109" s="7"/>
      <c r="DZ109" s="27"/>
      <c r="EA109" s="27"/>
      <c r="EB109" s="21"/>
      <c r="EC109" s="21"/>
      <c r="ED109" s="21"/>
      <c r="EE109" s="21"/>
      <c r="EF109" s="21"/>
      <c r="EG109" s="21"/>
      <c r="EH109" s="21"/>
      <c r="EI109" s="27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</row>
    <row r="110" spans="1:162" ht="45" x14ac:dyDescent="0.2">
      <c r="A110" s="21"/>
      <c r="B110" s="21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38"/>
      <c r="BP110" s="519"/>
      <c r="BQ110" s="519"/>
      <c r="BR110" s="519"/>
      <c r="BS110" s="519"/>
      <c r="BT110" s="519"/>
      <c r="BU110" s="519"/>
      <c r="BV110" s="519"/>
      <c r="BW110" s="519"/>
      <c r="BX110" s="519"/>
      <c r="BY110" s="519"/>
      <c r="BZ110" s="519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12"/>
      <c r="DO110" s="38"/>
      <c r="DP110" s="38"/>
      <c r="DQ110" s="38"/>
      <c r="DR110" s="38"/>
      <c r="DS110" s="7"/>
      <c r="DT110" s="7"/>
      <c r="DU110" s="7"/>
      <c r="DV110" s="7"/>
      <c r="DW110" s="7"/>
      <c r="DX110" s="7"/>
      <c r="DY110" s="7"/>
      <c r="DZ110" s="27"/>
      <c r="EA110" s="27"/>
      <c r="EB110" s="21"/>
      <c r="EC110" s="21"/>
      <c r="ED110" s="21"/>
      <c r="EE110" s="21"/>
      <c r="EF110" s="21"/>
      <c r="EG110" s="21"/>
      <c r="EH110" s="21"/>
      <c r="EI110" s="27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</row>
    <row r="111" spans="1:162" ht="45" x14ac:dyDescent="0.2">
      <c r="A111" s="21"/>
      <c r="B111" s="21"/>
      <c r="C111" s="38"/>
      <c r="D111" s="38"/>
      <c r="E111" s="38"/>
      <c r="F111" s="38"/>
      <c r="G111" s="38"/>
      <c r="H111" s="38"/>
      <c r="I111" s="38"/>
      <c r="J111" s="38"/>
      <c r="K111" s="730"/>
      <c r="L111" s="730"/>
      <c r="M111" s="730"/>
      <c r="N111" s="730"/>
      <c r="O111" s="730"/>
      <c r="P111" s="730"/>
      <c r="Q111" s="730"/>
      <c r="R111" s="730"/>
      <c r="S111" s="730"/>
      <c r="T111" s="730"/>
      <c r="U111" s="730"/>
      <c r="V111" s="730"/>
      <c r="W111" s="730"/>
      <c r="X111" s="730"/>
      <c r="Y111" s="730"/>
      <c r="Z111" s="730"/>
      <c r="AA111" s="730"/>
      <c r="AB111" s="730"/>
      <c r="AC111" s="730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38"/>
      <c r="BP111" s="519"/>
      <c r="BQ111" s="519"/>
      <c r="BR111" s="519"/>
      <c r="BS111" s="519"/>
      <c r="BT111" s="519"/>
      <c r="BU111" s="519"/>
      <c r="BV111" s="519"/>
      <c r="BW111" s="519"/>
      <c r="BX111" s="519"/>
      <c r="BY111" s="519"/>
      <c r="BZ111" s="519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12"/>
      <c r="DO111" s="38"/>
      <c r="DP111" s="38"/>
      <c r="DQ111" s="38"/>
      <c r="DR111" s="38"/>
      <c r="DS111" s="7"/>
      <c r="DT111" s="7"/>
      <c r="DU111" s="7"/>
      <c r="DV111" s="7"/>
      <c r="DW111" s="7"/>
      <c r="DX111" s="7"/>
      <c r="DY111" s="7"/>
      <c r="DZ111" s="27"/>
      <c r="EA111" s="27"/>
      <c r="EB111" s="21"/>
      <c r="EC111" s="21"/>
      <c r="ED111" s="21"/>
      <c r="EE111" s="21"/>
      <c r="EF111" s="21"/>
      <c r="EG111" s="21"/>
      <c r="EH111" s="21"/>
      <c r="EI111" s="27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</row>
    <row r="112" spans="1:162" ht="45" x14ac:dyDescent="0.2">
      <c r="A112" s="21"/>
      <c r="B112" s="21"/>
      <c r="C112" s="38"/>
      <c r="D112" s="38"/>
      <c r="E112" s="38"/>
      <c r="F112" s="38"/>
      <c r="G112" s="38"/>
      <c r="H112" s="38"/>
      <c r="I112" s="38"/>
      <c r="J112" s="38"/>
      <c r="K112" s="730"/>
      <c r="L112" s="730"/>
      <c r="M112" s="730"/>
      <c r="N112" s="730"/>
      <c r="O112" s="730"/>
      <c r="P112" s="730"/>
      <c r="Q112" s="730"/>
      <c r="R112" s="730"/>
      <c r="S112" s="730"/>
      <c r="T112" s="730"/>
      <c r="U112" s="730"/>
      <c r="V112" s="730"/>
      <c r="W112" s="730"/>
      <c r="X112" s="730"/>
      <c r="Y112" s="730"/>
      <c r="Z112" s="730"/>
      <c r="AA112" s="730"/>
      <c r="AB112" s="730"/>
      <c r="AC112" s="730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38"/>
      <c r="BP112" s="519"/>
      <c r="BQ112" s="519"/>
      <c r="BR112" s="519"/>
      <c r="BS112" s="519"/>
      <c r="BT112" s="519"/>
      <c r="BU112" s="519"/>
      <c r="BV112" s="519"/>
      <c r="BW112" s="519"/>
      <c r="BX112" s="519"/>
      <c r="BY112" s="519"/>
      <c r="BZ112" s="519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12"/>
      <c r="DO112" s="38"/>
      <c r="DP112" s="38"/>
      <c r="DQ112" s="38"/>
      <c r="DR112" s="38"/>
      <c r="DS112" s="7"/>
      <c r="DT112" s="7"/>
      <c r="DU112" s="7"/>
      <c r="DV112" s="7"/>
      <c r="DW112" s="7"/>
      <c r="DX112" s="7"/>
      <c r="DY112" s="7"/>
      <c r="DZ112" s="27"/>
      <c r="EA112" s="27"/>
      <c r="EB112" s="21"/>
      <c r="EC112" s="21"/>
      <c r="ED112" s="21"/>
      <c r="EE112" s="21"/>
      <c r="EF112" s="21"/>
      <c r="EG112" s="21"/>
      <c r="EH112" s="21"/>
      <c r="EI112" s="27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</row>
    <row r="113" spans="1:149" ht="25.5" x14ac:dyDescent="0.2">
      <c r="A113" s="21"/>
      <c r="B113" s="21"/>
      <c r="C113" s="7"/>
      <c r="D113" s="7"/>
      <c r="E113" s="7"/>
      <c r="F113" s="7"/>
      <c r="G113" s="6"/>
      <c r="H113" s="6"/>
      <c r="I113" s="6"/>
      <c r="J113" s="6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6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21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27"/>
      <c r="EA113" s="27"/>
      <c r="EB113" s="21"/>
      <c r="EC113" s="21"/>
      <c r="ED113" s="21"/>
      <c r="EE113" s="21"/>
      <c r="EF113" s="21"/>
      <c r="EG113" s="21"/>
      <c r="EH113" s="21"/>
      <c r="EI113" s="27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</row>
  </sheetData>
  <mergeCells count="1516">
    <mergeCell ref="EY22:FA22"/>
    <mergeCell ref="FB22:FG22"/>
    <mergeCell ref="FI22:FK22"/>
    <mergeCell ref="FL22:FQ22"/>
    <mergeCell ref="FS22:FU22"/>
    <mergeCell ref="FV22:GA22"/>
    <mergeCell ref="GC22:GE22"/>
    <mergeCell ref="GF22:GK22"/>
    <mergeCell ref="GM22:GO22"/>
    <mergeCell ref="GP22:GU22"/>
    <mergeCell ref="GW22:GY22"/>
    <mergeCell ref="GZ22:HE22"/>
    <mergeCell ref="HG22:HI22"/>
    <mergeCell ref="HJ22:HO22"/>
    <mergeCell ref="EX19:EY19"/>
    <mergeCell ref="GZ19:HA19"/>
    <mergeCell ref="HB19:HC19"/>
    <mergeCell ref="HD19:HE19"/>
    <mergeCell ref="HF19:HG19"/>
    <mergeCell ref="HH19:HI19"/>
    <mergeCell ref="HJ19:HK19"/>
    <mergeCell ref="HL19:HM19"/>
    <mergeCell ref="HN19:HO19"/>
    <mergeCell ref="HP19:HQ19"/>
    <mergeCell ref="EX20:GY20"/>
    <mergeCell ref="GZ20:HA20"/>
    <mergeCell ref="HB20:HC20"/>
    <mergeCell ref="HD20:HE20"/>
    <mergeCell ref="HF20:HG20"/>
    <mergeCell ref="HH20:HI20"/>
    <mergeCell ref="HJ20:HK20"/>
    <mergeCell ref="HL20:HM20"/>
    <mergeCell ref="HN20:HO20"/>
    <mergeCell ref="HP20:HQ20"/>
    <mergeCell ref="EX17:EY17"/>
    <mergeCell ref="GZ17:HA17"/>
    <mergeCell ref="HB17:HC17"/>
    <mergeCell ref="HD17:HE17"/>
    <mergeCell ref="HF17:HG17"/>
    <mergeCell ref="HH17:HI17"/>
    <mergeCell ref="HJ17:HK17"/>
    <mergeCell ref="HL17:HM17"/>
    <mergeCell ref="HN17:HO17"/>
    <mergeCell ref="HP17:HQ17"/>
    <mergeCell ref="EX18:EY18"/>
    <mergeCell ref="GZ18:HA18"/>
    <mergeCell ref="HB18:HC18"/>
    <mergeCell ref="HD18:HE18"/>
    <mergeCell ref="HF18:HG18"/>
    <mergeCell ref="HH18:HI18"/>
    <mergeCell ref="HJ18:HK18"/>
    <mergeCell ref="HL18:HM18"/>
    <mergeCell ref="HN18:HO18"/>
    <mergeCell ref="HP18:HQ18"/>
    <mergeCell ref="EX15:EY15"/>
    <mergeCell ref="GZ15:HA15"/>
    <mergeCell ref="HB15:HC15"/>
    <mergeCell ref="HD15:HE15"/>
    <mergeCell ref="HF15:HG15"/>
    <mergeCell ref="HH15:HI15"/>
    <mergeCell ref="HJ15:HK15"/>
    <mergeCell ref="HL15:HM15"/>
    <mergeCell ref="HN15:HO15"/>
    <mergeCell ref="HP15:HQ15"/>
    <mergeCell ref="EX16:EY16"/>
    <mergeCell ref="GZ16:HA16"/>
    <mergeCell ref="HB16:HC16"/>
    <mergeCell ref="HD16:HE16"/>
    <mergeCell ref="HF16:HG16"/>
    <mergeCell ref="HH16:HI16"/>
    <mergeCell ref="HJ16:HK16"/>
    <mergeCell ref="HL16:HM16"/>
    <mergeCell ref="HN16:HO16"/>
    <mergeCell ref="HP16:HQ16"/>
    <mergeCell ref="EX9:EY14"/>
    <mergeCell ref="EZ9:GY12"/>
    <mergeCell ref="GZ9:HM9"/>
    <mergeCell ref="HN9:HO14"/>
    <mergeCell ref="HP9:HQ14"/>
    <mergeCell ref="GZ10:HA14"/>
    <mergeCell ref="HB10:HM10"/>
    <mergeCell ref="HB11:HC14"/>
    <mergeCell ref="HD11:HE14"/>
    <mergeCell ref="HF11:HG14"/>
    <mergeCell ref="HH11:HI14"/>
    <mergeCell ref="HJ11:HK14"/>
    <mergeCell ref="HL11:HM14"/>
    <mergeCell ref="EZ13:FD13"/>
    <mergeCell ref="FE13:FH13"/>
    <mergeCell ref="FI13:FM13"/>
    <mergeCell ref="FN13:FQ13"/>
    <mergeCell ref="FR13:FV13"/>
    <mergeCell ref="FW13:FZ13"/>
    <mergeCell ref="GA13:GE13"/>
    <mergeCell ref="GF13:GI13"/>
    <mergeCell ref="GJ13:GM13"/>
    <mergeCell ref="GN13:GQ13"/>
    <mergeCell ref="GR13:GU13"/>
    <mergeCell ref="GV13:GY13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Q78:AU79"/>
    <mergeCell ref="AV78:AZ79"/>
    <mergeCell ref="BA78:BE79"/>
    <mergeCell ref="BF78:BJ79"/>
    <mergeCell ref="BK78:BN79"/>
    <mergeCell ref="Z64:AC65"/>
    <mergeCell ref="AD64:AF65"/>
    <mergeCell ref="AG64:AK65"/>
    <mergeCell ref="AL64:AP65"/>
    <mergeCell ref="AQ64:AU65"/>
    <mergeCell ref="AV64:AZ65"/>
    <mergeCell ref="BA64:BE65"/>
    <mergeCell ref="BF64:BJ65"/>
    <mergeCell ref="BK64:BN65"/>
    <mergeCell ref="C59:Y59"/>
    <mergeCell ref="Z60:AC61"/>
    <mergeCell ref="AD60:AF61"/>
    <mergeCell ref="AG60:AK61"/>
    <mergeCell ref="AL60:AP61"/>
    <mergeCell ref="AQ60:AU61"/>
    <mergeCell ref="EI78:EL79"/>
    <mergeCell ref="DK78:DN79"/>
    <mergeCell ref="EM78:EP79"/>
    <mergeCell ref="EQ78:ES79"/>
    <mergeCell ref="C79:Y79"/>
    <mergeCell ref="CY76:DB77"/>
    <mergeCell ref="DC76:DF77"/>
    <mergeCell ref="DG76:DJ77"/>
    <mergeCell ref="DK76:DN77"/>
    <mergeCell ref="DS76:DV77"/>
    <mergeCell ref="DW76:DZ77"/>
    <mergeCell ref="EA76:ED77"/>
    <mergeCell ref="EE76:EH77"/>
    <mergeCell ref="EI76:EL77"/>
    <mergeCell ref="EM76:EP77"/>
    <mergeCell ref="EQ76:ES77"/>
    <mergeCell ref="C77:Y77"/>
    <mergeCell ref="C78:Y78"/>
    <mergeCell ref="Z78:AC79"/>
    <mergeCell ref="AD78:AF79"/>
    <mergeCell ref="AG78:AK79"/>
    <mergeCell ref="AL78:AP79"/>
    <mergeCell ref="BO78:BR79"/>
    <mergeCell ref="BS78:BV79"/>
    <mergeCell ref="BW78:BZ79"/>
    <mergeCell ref="CA78:CD79"/>
    <mergeCell ref="CE78:CH79"/>
    <mergeCell ref="CI78:CL79"/>
    <mergeCell ref="CM78:CP79"/>
    <mergeCell ref="CQ78:CT79"/>
    <mergeCell ref="CU78:CX79"/>
    <mergeCell ref="CY78:DB79"/>
    <mergeCell ref="BW76:BZ77"/>
    <mergeCell ref="CA76:CD77"/>
    <mergeCell ref="CE76:CH77"/>
    <mergeCell ref="CI76:CL77"/>
    <mergeCell ref="CM76:CP77"/>
    <mergeCell ref="CQ76:CT77"/>
    <mergeCell ref="CU76:CX77"/>
    <mergeCell ref="DO76:DR77"/>
    <mergeCell ref="DO78:DR79"/>
    <mergeCell ref="DS78:DV79"/>
    <mergeCell ref="DW78:DZ79"/>
    <mergeCell ref="EA78:ED79"/>
    <mergeCell ref="EE78:EH79"/>
    <mergeCell ref="DC74:DF75"/>
    <mergeCell ref="DG74:DJ75"/>
    <mergeCell ref="DK74:DN75"/>
    <mergeCell ref="DO74:DR75"/>
    <mergeCell ref="DS74:DV75"/>
    <mergeCell ref="DW74:DZ75"/>
    <mergeCell ref="EA74:ED75"/>
    <mergeCell ref="EE74:EH75"/>
    <mergeCell ref="DC78:DF79"/>
    <mergeCell ref="DG78:DJ79"/>
    <mergeCell ref="EI72:EL73"/>
    <mergeCell ref="EM72:EP73"/>
    <mergeCell ref="EQ72:ES73"/>
    <mergeCell ref="C73:Y73"/>
    <mergeCell ref="C74:Y74"/>
    <mergeCell ref="Z74:AC75"/>
    <mergeCell ref="AD74:AF75"/>
    <mergeCell ref="AG74:AK75"/>
    <mergeCell ref="AL74:AP75"/>
    <mergeCell ref="AQ74:AU75"/>
    <mergeCell ref="AV74:AZ75"/>
    <mergeCell ref="BA74:BE75"/>
    <mergeCell ref="BF74:BJ75"/>
    <mergeCell ref="BK74:BN75"/>
    <mergeCell ref="BO74:BR75"/>
    <mergeCell ref="BS74:BV75"/>
    <mergeCell ref="BW74:BZ75"/>
    <mergeCell ref="CA74:CD75"/>
    <mergeCell ref="CE74:CH75"/>
    <mergeCell ref="CI74:CL75"/>
    <mergeCell ref="CM74:CP75"/>
    <mergeCell ref="CQ74:CT75"/>
    <mergeCell ref="CU74:CX75"/>
    <mergeCell ref="CY74:DB75"/>
    <mergeCell ref="EQ74:ES75"/>
    <mergeCell ref="C75:Y75"/>
    <mergeCell ref="EM74:EP75"/>
    <mergeCell ref="EI74:EL75"/>
    <mergeCell ref="EI70:EL71"/>
    <mergeCell ref="EM70:EP71"/>
    <mergeCell ref="EQ70:ES71"/>
    <mergeCell ref="C71:Y71"/>
    <mergeCell ref="C72:Y72"/>
    <mergeCell ref="Z72:AC73"/>
    <mergeCell ref="AD72:AF73"/>
    <mergeCell ref="AG72:AK73"/>
    <mergeCell ref="AL72:AP73"/>
    <mergeCell ref="AQ72:AU73"/>
    <mergeCell ref="AV72:AZ73"/>
    <mergeCell ref="BA72:BE73"/>
    <mergeCell ref="BF72:BJ73"/>
    <mergeCell ref="BK72:BN73"/>
    <mergeCell ref="BO72:BR73"/>
    <mergeCell ref="BS72:BV73"/>
    <mergeCell ref="BW72:BZ73"/>
    <mergeCell ref="CA72:CD73"/>
    <mergeCell ref="CE72:CH73"/>
    <mergeCell ref="CI72:CL73"/>
    <mergeCell ref="CM72:CP73"/>
    <mergeCell ref="CQ72:CT73"/>
    <mergeCell ref="CU72:CX73"/>
    <mergeCell ref="CY72:DB73"/>
    <mergeCell ref="DC72:DF73"/>
    <mergeCell ref="DG72:DJ73"/>
    <mergeCell ref="DK72:DN73"/>
    <mergeCell ref="DO72:DR73"/>
    <mergeCell ref="DS72:DV73"/>
    <mergeCell ref="DW72:DZ73"/>
    <mergeCell ref="EA72:ED73"/>
    <mergeCell ref="EE72:EH73"/>
    <mergeCell ref="EI68:EL69"/>
    <mergeCell ref="EM68:EP69"/>
    <mergeCell ref="EQ68:ES69"/>
    <mergeCell ref="C69:Y69"/>
    <mergeCell ref="C70:Y70"/>
    <mergeCell ref="Z70:AC71"/>
    <mergeCell ref="AD70:AF71"/>
    <mergeCell ref="AG70:AK71"/>
    <mergeCell ref="AL70:AP71"/>
    <mergeCell ref="AQ70:AU71"/>
    <mergeCell ref="AV70:AZ71"/>
    <mergeCell ref="BA70:BE71"/>
    <mergeCell ref="BF70:BJ71"/>
    <mergeCell ref="BK70:BN71"/>
    <mergeCell ref="BO70:BR71"/>
    <mergeCell ref="BS70:BV71"/>
    <mergeCell ref="BW70:BZ71"/>
    <mergeCell ref="CA70:CD71"/>
    <mergeCell ref="CE70:CH71"/>
    <mergeCell ref="CI70:CL71"/>
    <mergeCell ref="CM70:CP71"/>
    <mergeCell ref="CQ70:CT71"/>
    <mergeCell ref="CU70:CX71"/>
    <mergeCell ref="CY70:DB71"/>
    <mergeCell ref="DC70:DF71"/>
    <mergeCell ref="DG70:DJ71"/>
    <mergeCell ref="DK70:DN71"/>
    <mergeCell ref="DO70:DR71"/>
    <mergeCell ref="DS70:DV71"/>
    <mergeCell ref="DW70:DZ71"/>
    <mergeCell ref="EA70:ED71"/>
    <mergeCell ref="EE70:EH71"/>
    <mergeCell ref="EE66:EH67"/>
    <mergeCell ref="EI66:EL67"/>
    <mergeCell ref="EM66:EP67"/>
    <mergeCell ref="EQ66:ES67"/>
    <mergeCell ref="C68:Y68"/>
    <mergeCell ref="Z68:AC69"/>
    <mergeCell ref="AD68:AF69"/>
    <mergeCell ref="AG68:AK69"/>
    <mergeCell ref="AL68:AP69"/>
    <mergeCell ref="AQ68:AU69"/>
    <mergeCell ref="AV68:AZ69"/>
    <mergeCell ref="BA68:BE69"/>
    <mergeCell ref="BF68:BJ69"/>
    <mergeCell ref="BK68:BN69"/>
    <mergeCell ref="BO68:BR69"/>
    <mergeCell ref="BS68:BV69"/>
    <mergeCell ref="BW68:BZ69"/>
    <mergeCell ref="CA68:CD69"/>
    <mergeCell ref="CE68:CH69"/>
    <mergeCell ref="CI68:CL69"/>
    <mergeCell ref="CM68:CP69"/>
    <mergeCell ref="CQ68:CT69"/>
    <mergeCell ref="CU68:CX69"/>
    <mergeCell ref="CY68:DB69"/>
    <mergeCell ref="DC68:DF69"/>
    <mergeCell ref="DG68:DJ69"/>
    <mergeCell ref="DK68:DN69"/>
    <mergeCell ref="DO68:DR69"/>
    <mergeCell ref="DS68:DV69"/>
    <mergeCell ref="DW68:DZ69"/>
    <mergeCell ref="EA68:ED69"/>
    <mergeCell ref="EE68:EH69"/>
    <mergeCell ref="EA64:ED65"/>
    <mergeCell ref="EE64:EH65"/>
    <mergeCell ref="EI64:EL65"/>
    <mergeCell ref="EM64:EP65"/>
    <mergeCell ref="EQ64:ES65"/>
    <mergeCell ref="Z62:AC63"/>
    <mergeCell ref="Z66:AC67"/>
    <mergeCell ref="AD66:AF67"/>
    <mergeCell ref="AG66:AK67"/>
    <mergeCell ref="AL66:AP67"/>
    <mergeCell ref="AQ66:AU67"/>
    <mergeCell ref="AV66:AZ67"/>
    <mergeCell ref="BA66:BE67"/>
    <mergeCell ref="BF66:BJ67"/>
    <mergeCell ref="BK66:BN67"/>
    <mergeCell ref="BO66:BR67"/>
    <mergeCell ref="BS66:BV67"/>
    <mergeCell ref="BW66:BZ67"/>
    <mergeCell ref="CA66:CD67"/>
    <mergeCell ref="CE66:CH67"/>
    <mergeCell ref="CI66:CL67"/>
    <mergeCell ref="CM66:CP67"/>
    <mergeCell ref="CQ66:CT67"/>
    <mergeCell ref="CU66:CX67"/>
    <mergeCell ref="CY66:DB67"/>
    <mergeCell ref="DC66:DF67"/>
    <mergeCell ref="DG66:DJ67"/>
    <mergeCell ref="DK66:DN67"/>
    <mergeCell ref="DO66:DR67"/>
    <mergeCell ref="DS66:DV67"/>
    <mergeCell ref="DW66:DZ67"/>
    <mergeCell ref="EA66:ED67"/>
    <mergeCell ref="CE62:CH63"/>
    <mergeCell ref="CI62:CL63"/>
    <mergeCell ref="CM62:CP63"/>
    <mergeCell ref="CQ62:CT63"/>
    <mergeCell ref="CU64:CX65"/>
    <mergeCell ref="CY64:DB65"/>
    <mergeCell ref="DC64:DF65"/>
    <mergeCell ref="DG64:DJ65"/>
    <mergeCell ref="BW64:BZ65"/>
    <mergeCell ref="CA64:CD65"/>
    <mergeCell ref="CE64:CH65"/>
    <mergeCell ref="CI64:CL65"/>
    <mergeCell ref="CM64:CP65"/>
    <mergeCell ref="CQ64:CT65"/>
    <mergeCell ref="DO64:DR65"/>
    <mergeCell ref="DS64:DV65"/>
    <mergeCell ref="DW64:DZ65"/>
    <mergeCell ref="EQ58:ES59"/>
    <mergeCell ref="CQ60:CT61"/>
    <mergeCell ref="CU60:CX61"/>
    <mergeCell ref="CY60:DB61"/>
    <mergeCell ref="DC60:DF61"/>
    <mergeCell ref="DG60:DJ61"/>
    <mergeCell ref="DK60:DN61"/>
    <mergeCell ref="DO60:DR61"/>
    <mergeCell ref="DS60:DV61"/>
    <mergeCell ref="DW60:DZ61"/>
    <mergeCell ref="EA60:ED61"/>
    <mergeCell ref="EE60:EH61"/>
    <mergeCell ref="EI60:EL61"/>
    <mergeCell ref="EM60:EP61"/>
    <mergeCell ref="EQ60:ES61"/>
    <mergeCell ref="CQ58:CT59"/>
    <mergeCell ref="EQ62:ES63"/>
    <mergeCell ref="DG58:DJ59"/>
    <mergeCell ref="DK58:DN59"/>
    <mergeCell ref="CY58:DB59"/>
    <mergeCell ref="DC58:DF59"/>
    <mergeCell ref="EI62:EL63"/>
    <mergeCell ref="DW62:DZ63"/>
    <mergeCell ref="EA62:ED63"/>
    <mergeCell ref="EE62:EH63"/>
    <mergeCell ref="AD62:AF63"/>
    <mergeCell ref="DK64:DN65"/>
    <mergeCell ref="AV60:AZ61"/>
    <mergeCell ref="BA60:BE61"/>
    <mergeCell ref="BF60:BJ61"/>
    <mergeCell ref="BK60:BN61"/>
    <mergeCell ref="BO60:BR61"/>
    <mergeCell ref="BS60:BV61"/>
    <mergeCell ref="BW60:BZ61"/>
    <mergeCell ref="CA60:CD61"/>
    <mergeCell ref="CE60:CH61"/>
    <mergeCell ref="CI60:CL61"/>
    <mergeCell ref="CM60:CP61"/>
    <mergeCell ref="BA58:BE59"/>
    <mergeCell ref="BF58:BJ59"/>
    <mergeCell ref="BK58:BN59"/>
    <mergeCell ref="BO58:BR59"/>
    <mergeCell ref="BS58:BV59"/>
    <mergeCell ref="BW58:BZ59"/>
    <mergeCell ref="CA58:CD59"/>
    <mergeCell ref="CE58:CH59"/>
    <mergeCell ref="CI58:CL59"/>
    <mergeCell ref="CM58:CP59"/>
    <mergeCell ref="AQ62:AU63"/>
    <mergeCell ref="AV62:AZ63"/>
    <mergeCell ref="BA62:BE63"/>
    <mergeCell ref="BF62:BJ63"/>
    <mergeCell ref="BK62:BN63"/>
    <mergeCell ref="BO62:BR63"/>
    <mergeCell ref="BS62:BV63"/>
    <mergeCell ref="BW62:BZ63"/>
    <mergeCell ref="CA62:CD63"/>
    <mergeCell ref="EM55:EP55"/>
    <mergeCell ref="AG58:AK59"/>
    <mergeCell ref="AL58:AP59"/>
    <mergeCell ref="AQ58:AU59"/>
    <mergeCell ref="AV58:AZ59"/>
    <mergeCell ref="DO58:DR59"/>
    <mergeCell ref="EI54:EL54"/>
    <mergeCell ref="EM54:EP54"/>
    <mergeCell ref="EQ54:ES54"/>
    <mergeCell ref="Z80:AC81"/>
    <mergeCell ref="AD80:AF81"/>
    <mergeCell ref="AG80:AK81"/>
    <mergeCell ref="AL80:AP81"/>
    <mergeCell ref="AQ80:AU81"/>
    <mergeCell ref="AV80:AZ81"/>
    <mergeCell ref="BA80:BE81"/>
    <mergeCell ref="BF80:BJ81"/>
    <mergeCell ref="BK80:BN81"/>
    <mergeCell ref="BO80:BR81"/>
    <mergeCell ref="BS80:BV81"/>
    <mergeCell ref="BW80:BZ81"/>
    <mergeCell ref="CA80:CD81"/>
    <mergeCell ref="CE80:CH81"/>
    <mergeCell ref="CI80:CL81"/>
    <mergeCell ref="CM80:CP81"/>
    <mergeCell ref="CQ80:CT81"/>
    <mergeCell ref="CU80:CX81"/>
    <mergeCell ref="CY80:DB81"/>
    <mergeCell ref="DC80:DF81"/>
    <mergeCell ref="DG80:DJ81"/>
    <mergeCell ref="DK80:DN81"/>
    <mergeCell ref="DO80:DR81"/>
    <mergeCell ref="Z55:AC55"/>
    <mergeCell ref="BF56:BJ56"/>
    <mergeCell ref="BK56:BN56"/>
    <mergeCell ref="AG62:AK63"/>
    <mergeCell ref="AL62:AP63"/>
    <mergeCell ref="EE80:EH81"/>
    <mergeCell ref="EI80:EL81"/>
    <mergeCell ref="EM80:EP81"/>
    <mergeCell ref="C54:Y54"/>
    <mergeCell ref="Z54:AC54"/>
    <mergeCell ref="AD54:AF54"/>
    <mergeCell ref="AG54:AK54"/>
    <mergeCell ref="AL54:AP54"/>
    <mergeCell ref="AQ54:AU54"/>
    <mergeCell ref="AV54:AZ54"/>
    <mergeCell ref="BA54:BE54"/>
    <mergeCell ref="BF54:BJ54"/>
    <mergeCell ref="BK54:BN54"/>
    <mergeCell ref="BO54:BR54"/>
    <mergeCell ref="BS54:BV54"/>
    <mergeCell ref="BW54:BZ54"/>
    <mergeCell ref="CA54:CD54"/>
    <mergeCell ref="CE54:CH54"/>
    <mergeCell ref="CI54:CL54"/>
    <mergeCell ref="CM54:CP54"/>
    <mergeCell ref="DK55:DN55"/>
    <mergeCell ref="DO55:DR55"/>
    <mergeCell ref="DS55:DV55"/>
    <mergeCell ref="DW55:DZ55"/>
    <mergeCell ref="EA55:ED55"/>
    <mergeCell ref="EE55:EH55"/>
    <mergeCell ref="EI55:EL55"/>
    <mergeCell ref="DG55:DJ55"/>
    <mergeCell ref="AV55:AZ55"/>
    <mergeCell ref="BA55:BE55"/>
    <mergeCell ref="BF55:BJ55"/>
    <mergeCell ref="BK55:BN55"/>
    <mergeCell ref="BO55:BR55"/>
    <mergeCell ref="BS55:BV55"/>
    <mergeCell ref="BW55:BZ55"/>
    <mergeCell ref="CA55:CD55"/>
    <mergeCell ref="CE55:CH55"/>
    <mergeCell ref="CI55:CL55"/>
    <mergeCell ref="CM55:CP55"/>
    <mergeCell ref="CQ55:CT55"/>
    <mergeCell ref="CU55:CX55"/>
    <mergeCell ref="CY55:DB55"/>
    <mergeCell ref="DC55:DF55"/>
    <mergeCell ref="C56:Y56"/>
    <mergeCell ref="Z56:AC56"/>
    <mergeCell ref="AD56:AF56"/>
    <mergeCell ref="AG56:AK56"/>
    <mergeCell ref="AL56:AP56"/>
    <mergeCell ref="AQ56:AU56"/>
    <mergeCell ref="BO56:BR56"/>
    <mergeCell ref="BS56:BV56"/>
    <mergeCell ref="BW56:BZ56"/>
    <mergeCell ref="CA56:CD56"/>
    <mergeCell ref="CE56:CH56"/>
    <mergeCell ref="CI56:CL56"/>
    <mergeCell ref="CM56:CP56"/>
    <mergeCell ref="AV56:AZ56"/>
    <mergeCell ref="BA56:BE56"/>
    <mergeCell ref="C55:Y55"/>
    <mergeCell ref="DK53:DN53"/>
    <mergeCell ref="EA53:ED53"/>
    <mergeCell ref="EE53:EH53"/>
    <mergeCell ref="EI53:EL53"/>
    <mergeCell ref="EM53:EP53"/>
    <mergeCell ref="EQ53:ES53"/>
    <mergeCell ref="CQ56:CT56"/>
    <mergeCell ref="CU56:CX56"/>
    <mergeCell ref="CY56:DB56"/>
    <mergeCell ref="DC56:DF56"/>
    <mergeCell ref="CQ54:CT54"/>
    <mergeCell ref="CU54:CX54"/>
    <mergeCell ref="CY54:DB54"/>
    <mergeCell ref="DC54:DF54"/>
    <mergeCell ref="DG54:DJ54"/>
    <mergeCell ref="DK54:DN54"/>
    <mergeCell ref="DO54:DR54"/>
    <mergeCell ref="DS54:DV54"/>
    <mergeCell ref="DW54:DZ54"/>
    <mergeCell ref="EA54:ED54"/>
    <mergeCell ref="EE54:EH54"/>
    <mergeCell ref="EQ55:ES55"/>
    <mergeCell ref="DG56:DJ56"/>
    <mergeCell ref="DK56:DN56"/>
    <mergeCell ref="DO56:DR56"/>
    <mergeCell ref="EA56:ED56"/>
    <mergeCell ref="EE56:EH56"/>
    <mergeCell ref="EI56:EL56"/>
    <mergeCell ref="EM56:EP56"/>
    <mergeCell ref="EQ56:ES56"/>
    <mergeCell ref="DS56:DV56"/>
    <mergeCell ref="DW56:DZ56"/>
    <mergeCell ref="C53:Y53"/>
    <mergeCell ref="Z53:AC53"/>
    <mergeCell ref="AD53:AF53"/>
    <mergeCell ref="AG53:AK53"/>
    <mergeCell ref="AL53:AP53"/>
    <mergeCell ref="AQ53:AU53"/>
    <mergeCell ref="AV53:AZ53"/>
    <mergeCell ref="BA53:BE53"/>
    <mergeCell ref="BF53:BJ53"/>
    <mergeCell ref="BK53:BN53"/>
    <mergeCell ref="BO53:BR53"/>
    <mergeCell ref="BS53:BV53"/>
    <mergeCell ref="BW53:BZ53"/>
    <mergeCell ref="CA53:CD53"/>
    <mergeCell ref="CE53:CH53"/>
    <mergeCell ref="CI53:CL53"/>
    <mergeCell ref="CM53:CP53"/>
    <mergeCell ref="AD55:AF55"/>
    <mergeCell ref="AG55:AK55"/>
    <mergeCell ref="AL55:AP55"/>
    <mergeCell ref="AQ55:AU55"/>
    <mergeCell ref="DG53:DJ53"/>
    <mergeCell ref="EQ50:ES50"/>
    <mergeCell ref="C52:Y52"/>
    <mergeCell ref="Z52:AC52"/>
    <mergeCell ref="AD52:AF52"/>
    <mergeCell ref="AG52:AK52"/>
    <mergeCell ref="AL52:AP52"/>
    <mergeCell ref="AQ52:AU52"/>
    <mergeCell ref="AV52:AZ52"/>
    <mergeCell ref="BA52:BE52"/>
    <mergeCell ref="BF52:BJ52"/>
    <mergeCell ref="BK52:BN52"/>
    <mergeCell ref="BO52:BR52"/>
    <mergeCell ref="BS52:BV52"/>
    <mergeCell ref="BW52:BZ52"/>
    <mergeCell ref="CA52:CD52"/>
    <mergeCell ref="CE52:CH52"/>
    <mergeCell ref="CI52:CL52"/>
    <mergeCell ref="CM52:CP52"/>
    <mergeCell ref="CQ52:CT52"/>
    <mergeCell ref="CU52:CX52"/>
    <mergeCell ref="CY52:DB52"/>
    <mergeCell ref="DC52:DF52"/>
    <mergeCell ref="DG52:DJ52"/>
    <mergeCell ref="DK52:DN52"/>
    <mergeCell ref="DO52:DR52"/>
    <mergeCell ref="DS52:DV52"/>
    <mergeCell ref="EI52:EL52"/>
    <mergeCell ref="EQ52:ES52"/>
    <mergeCell ref="EE86:EH86"/>
    <mergeCell ref="EI86:EL86"/>
    <mergeCell ref="EM86:EP86"/>
    <mergeCell ref="BO35:BR35"/>
    <mergeCell ref="BS35:BV35"/>
    <mergeCell ref="BW35:BZ35"/>
    <mergeCell ref="CQ35:CT35"/>
    <mergeCell ref="CU35:CX35"/>
    <mergeCell ref="EM84:EP84"/>
    <mergeCell ref="DC85:DF85"/>
    <mergeCell ref="DG85:DJ85"/>
    <mergeCell ref="DK85:DN85"/>
    <mergeCell ref="DO85:DR85"/>
    <mergeCell ref="DS85:DV85"/>
    <mergeCell ref="DW85:DZ85"/>
    <mergeCell ref="EA85:ED85"/>
    <mergeCell ref="EE85:EH85"/>
    <mergeCell ref="EI85:EL85"/>
    <mergeCell ref="EM85:EP85"/>
    <mergeCell ref="EE84:EH84"/>
    <mergeCell ref="EI84:EL84"/>
    <mergeCell ref="EE82:EH82"/>
    <mergeCell ref="EI82:EL82"/>
    <mergeCell ref="EM82:EP82"/>
    <mergeCell ref="DC83:DF83"/>
    <mergeCell ref="DG83:DJ83"/>
    <mergeCell ref="DO53:DR53"/>
    <mergeCell ref="DS53:DV53"/>
    <mergeCell ref="DG50:DJ50"/>
    <mergeCell ref="DC53:DF53"/>
    <mergeCell ref="DW52:DZ52"/>
    <mergeCell ref="DO50:DR50"/>
    <mergeCell ref="EA83:ED83"/>
    <mergeCell ref="EE83:EH83"/>
    <mergeCell ref="EI83:EL83"/>
    <mergeCell ref="EM83:EP83"/>
    <mergeCell ref="DW82:DZ82"/>
    <mergeCell ref="EA82:ED82"/>
    <mergeCell ref="DC57:DF57"/>
    <mergeCell ref="DG57:DJ57"/>
    <mergeCell ref="DK57:DN57"/>
    <mergeCell ref="DO57:DR57"/>
    <mergeCell ref="DS57:DV57"/>
    <mergeCell ref="DW57:DZ57"/>
    <mergeCell ref="EA57:ED57"/>
    <mergeCell ref="EE57:EH57"/>
    <mergeCell ref="EI57:EL57"/>
    <mergeCell ref="EM57:EP57"/>
    <mergeCell ref="DS58:DV59"/>
    <mergeCell ref="DW58:DZ59"/>
    <mergeCell ref="EA58:ED59"/>
    <mergeCell ref="EE58:EH59"/>
    <mergeCell ref="EI58:EL59"/>
    <mergeCell ref="EM58:EP59"/>
    <mergeCell ref="DC62:DF63"/>
    <mergeCell ref="DG62:DJ63"/>
    <mergeCell ref="DK62:DN63"/>
    <mergeCell ref="DO62:DR63"/>
    <mergeCell ref="DS62:DV63"/>
    <mergeCell ref="EA52:ED52"/>
    <mergeCell ref="EE52:EH52"/>
    <mergeCell ref="EM52:EP52"/>
    <mergeCell ref="DW53:DZ53"/>
    <mergeCell ref="DC44:DF44"/>
    <mergeCell ref="DG44:DJ44"/>
    <mergeCell ref="DK44:DN44"/>
    <mergeCell ref="DO44:DR44"/>
    <mergeCell ref="DS44:DV44"/>
    <mergeCell ref="DW44:DZ44"/>
    <mergeCell ref="EA44:ED44"/>
    <mergeCell ref="EE44:EH44"/>
    <mergeCell ref="EI44:EL44"/>
    <mergeCell ref="EM44:EP44"/>
    <mergeCell ref="DC42:DF42"/>
    <mergeCell ref="EE48:EH48"/>
    <mergeCell ref="EI48:EL48"/>
    <mergeCell ref="EM48:EP48"/>
    <mergeCell ref="EM49:EP49"/>
    <mergeCell ref="DC51:DF51"/>
    <mergeCell ref="DG51:DJ51"/>
    <mergeCell ref="DK51:DN51"/>
    <mergeCell ref="DO51:DR51"/>
    <mergeCell ref="DS51:DV51"/>
    <mergeCell ref="DW51:DZ51"/>
    <mergeCell ref="EA51:ED51"/>
    <mergeCell ref="EE51:EH51"/>
    <mergeCell ref="EI51:EL51"/>
    <mergeCell ref="EM51:EP51"/>
    <mergeCell ref="DW50:DZ50"/>
    <mergeCell ref="EA50:ED50"/>
    <mergeCell ref="EE50:EH50"/>
    <mergeCell ref="EI50:EL50"/>
    <mergeCell ref="EE49:EH49"/>
    <mergeCell ref="EI49:EL49"/>
    <mergeCell ref="DK50:DN50"/>
    <mergeCell ref="EE45:EH45"/>
    <mergeCell ref="EI45:EL45"/>
    <mergeCell ref="DC48:DF48"/>
    <mergeCell ref="DG48:DJ48"/>
    <mergeCell ref="DK48:DN48"/>
    <mergeCell ref="DO48:DR48"/>
    <mergeCell ref="DS48:DV48"/>
    <mergeCell ref="DW48:DZ48"/>
    <mergeCell ref="EA48:ED48"/>
    <mergeCell ref="BW85:BZ85"/>
    <mergeCell ref="CA85:CD85"/>
    <mergeCell ref="CE85:CH85"/>
    <mergeCell ref="CI85:CL85"/>
    <mergeCell ref="CM85:CP85"/>
    <mergeCell ref="CQ85:CT85"/>
    <mergeCell ref="CU85:CX85"/>
    <mergeCell ref="CY85:DB85"/>
    <mergeCell ref="CI82:CL82"/>
    <mergeCell ref="CM82:CP82"/>
    <mergeCell ref="CQ82:CT82"/>
    <mergeCell ref="CU82:CX82"/>
    <mergeCell ref="DS50:DV50"/>
    <mergeCell ref="CE48:CH48"/>
    <mergeCell ref="CI48:CL48"/>
    <mergeCell ref="CM48:CP48"/>
    <mergeCell ref="CQ48:CT48"/>
    <mergeCell ref="CU48:CX48"/>
    <mergeCell ref="CY48:DB48"/>
    <mergeCell ref="BW51:BZ51"/>
    <mergeCell ref="CA51:CD51"/>
    <mergeCell ref="CE51:CH51"/>
    <mergeCell ref="CI51:CL51"/>
    <mergeCell ref="EM38:EP38"/>
    <mergeCell ref="EE39:EH39"/>
    <mergeCell ref="EI39:EL39"/>
    <mergeCell ref="EM39:EP39"/>
    <mergeCell ref="DC40:DF40"/>
    <mergeCell ref="DG40:DJ40"/>
    <mergeCell ref="DK40:DN40"/>
    <mergeCell ref="DO40:DR40"/>
    <mergeCell ref="DS40:DV40"/>
    <mergeCell ref="DW40:DZ40"/>
    <mergeCell ref="EA40:ED40"/>
    <mergeCell ref="EE40:EH40"/>
    <mergeCell ref="EI40:EL40"/>
    <mergeCell ref="EM40:EP40"/>
    <mergeCell ref="DC38:DF38"/>
    <mergeCell ref="DG38:DJ38"/>
    <mergeCell ref="DK38:DN38"/>
    <mergeCell ref="DO38:DR38"/>
    <mergeCell ref="EI38:EL38"/>
    <mergeCell ref="CM51:CP51"/>
    <mergeCell ref="CQ51:CT51"/>
    <mergeCell ref="CU51:CX51"/>
    <mergeCell ref="CY51:DB51"/>
    <mergeCell ref="BW57:BZ57"/>
    <mergeCell ref="CA57:CD57"/>
    <mergeCell ref="CE57:CH57"/>
    <mergeCell ref="CI57:CL57"/>
    <mergeCell ref="CM57:CP57"/>
    <mergeCell ref="CQ57:CT57"/>
    <mergeCell ref="BW50:BZ50"/>
    <mergeCell ref="CA50:CD50"/>
    <mergeCell ref="CE50:CH50"/>
    <mergeCell ref="CI50:CL50"/>
    <mergeCell ref="BW48:BZ48"/>
    <mergeCell ref="CA48:CD48"/>
    <mergeCell ref="CE42:CH42"/>
    <mergeCell ref="CI42:CL42"/>
    <mergeCell ref="CM42:CP42"/>
    <mergeCell ref="CQ42:CT42"/>
    <mergeCell ref="CU42:CX42"/>
    <mergeCell ref="CY42:DB42"/>
    <mergeCell ref="BW44:BZ44"/>
    <mergeCell ref="CA44:CD44"/>
    <mergeCell ref="CE44:CH44"/>
    <mergeCell ref="CI44:CL44"/>
    <mergeCell ref="CM44:CP44"/>
    <mergeCell ref="CQ44:CT44"/>
    <mergeCell ref="CU44:CX44"/>
    <mergeCell ref="CY44:DB44"/>
    <mergeCell ref="BW46:BZ46"/>
    <mergeCell ref="CA46:CD46"/>
    <mergeCell ref="CE46:CH46"/>
    <mergeCell ref="CI46:CL46"/>
    <mergeCell ref="CM46:CP46"/>
    <mergeCell ref="CQ46:CT46"/>
    <mergeCell ref="CU46:CX46"/>
    <mergeCell ref="CY46:DB46"/>
    <mergeCell ref="BW42:BZ42"/>
    <mergeCell ref="CA42:CD42"/>
    <mergeCell ref="CA43:CD43"/>
    <mergeCell ref="CE43:CH43"/>
    <mergeCell ref="BS84:BV84"/>
    <mergeCell ref="BW84:BZ84"/>
    <mergeCell ref="CA84:CD84"/>
    <mergeCell ref="CE84:CH84"/>
    <mergeCell ref="EQ84:ES84"/>
    <mergeCell ref="CY82:DB82"/>
    <mergeCell ref="DC82:DF82"/>
    <mergeCell ref="EQ51:ES51"/>
    <mergeCell ref="EQ48:ES48"/>
    <mergeCell ref="EQ49:ES49"/>
    <mergeCell ref="CY47:DB47"/>
    <mergeCell ref="DC47:DF47"/>
    <mergeCell ref="EM46:EP46"/>
    <mergeCell ref="EE47:EH47"/>
    <mergeCell ref="EI47:EL47"/>
    <mergeCell ref="EM47:EP47"/>
    <mergeCell ref="EQ44:ES44"/>
    <mergeCell ref="EQ42:ES42"/>
    <mergeCell ref="DW43:DZ43"/>
    <mergeCell ref="EA43:ED43"/>
    <mergeCell ref="CI43:CL43"/>
    <mergeCell ref="CM43:CP43"/>
    <mergeCell ref="BS82:BV82"/>
    <mergeCell ref="BW82:BZ82"/>
    <mergeCell ref="CA82:CD82"/>
    <mergeCell ref="CE82:CH82"/>
    <mergeCell ref="EQ82:ES82"/>
    <mergeCell ref="DG82:DJ82"/>
    <mergeCell ref="DK82:DN82"/>
    <mergeCell ref="DO82:DR82"/>
    <mergeCell ref="DS82:DV82"/>
    <mergeCell ref="BW83:BZ83"/>
    <mergeCell ref="CA83:CD83"/>
    <mergeCell ref="CE83:CH83"/>
    <mergeCell ref="CI83:CL83"/>
    <mergeCell ref="CM83:CP83"/>
    <mergeCell ref="CQ83:CT83"/>
    <mergeCell ref="CU83:CX83"/>
    <mergeCell ref="CY83:DB83"/>
    <mergeCell ref="DS83:DV83"/>
    <mergeCell ref="DW83:DZ83"/>
    <mergeCell ref="DK83:DN83"/>
    <mergeCell ref="DO83:DR83"/>
    <mergeCell ref="BK51:BN51"/>
    <mergeCell ref="CQ53:CT53"/>
    <mergeCell ref="CU53:CX53"/>
    <mergeCell ref="CY53:DB53"/>
    <mergeCell ref="EM50:EP50"/>
    <mergeCell ref="CM50:CP50"/>
    <mergeCell ref="CQ50:CT50"/>
    <mergeCell ref="CU50:CX50"/>
    <mergeCell ref="CY50:DB50"/>
    <mergeCell ref="DC50:DF50"/>
    <mergeCell ref="E93:DP93"/>
    <mergeCell ref="B89:ES89"/>
    <mergeCell ref="B90:ES90"/>
    <mergeCell ref="B91:ES91"/>
    <mergeCell ref="Z88:AC88"/>
    <mergeCell ref="AE95:AL95"/>
    <mergeCell ref="AM95:AT95"/>
    <mergeCell ref="CN94:ED94"/>
    <mergeCell ref="CM95:ED95"/>
    <mergeCell ref="C85:Y85"/>
    <mergeCell ref="Z85:AC85"/>
    <mergeCell ref="AD85:AF85"/>
    <mergeCell ref="AG85:AK85"/>
    <mergeCell ref="AL85:AP85"/>
    <mergeCell ref="AQ85:AU85"/>
    <mergeCell ref="AV85:AZ85"/>
    <mergeCell ref="BA85:BE85"/>
    <mergeCell ref="BF85:BJ85"/>
    <mergeCell ref="AV84:AZ84"/>
    <mergeCell ref="BA84:BE84"/>
    <mergeCell ref="BF84:BJ84"/>
    <mergeCell ref="BK84:BN84"/>
    <mergeCell ref="AE96:AL96"/>
    <mergeCell ref="AM96:AT96"/>
    <mergeCell ref="K111:AC111"/>
    <mergeCell ref="BP111:BZ111"/>
    <mergeCell ref="K112:AC112"/>
    <mergeCell ref="BP112:BZ112"/>
    <mergeCell ref="BP109:BZ109"/>
    <mergeCell ref="BP110:BZ110"/>
    <mergeCell ref="AE97:AL97"/>
    <mergeCell ref="AM97:AT97"/>
    <mergeCell ref="AE98:AL98"/>
    <mergeCell ref="AM98:AT98"/>
    <mergeCell ref="AE99:AL99"/>
    <mergeCell ref="AM99:AT99"/>
    <mergeCell ref="AE100:AL100"/>
    <mergeCell ref="AM100:AT100"/>
    <mergeCell ref="AU95:CH101"/>
    <mergeCell ref="B103:X103"/>
    <mergeCell ref="Y103:AU103"/>
    <mergeCell ref="B109:X109"/>
    <mergeCell ref="Y109:AU109"/>
    <mergeCell ref="Y104:AU104"/>
    <mergeCell ref="AV104:BR104"/>
    <mergeCell ref="B105:X105"/>
    <mergeCell ref="Y105:AU105"/>
    <mergeCell ref="AV105:BR105"/>
    <mergeCell ref="B106:X106"/>
    <mergeCell ref="Y106:AU106"/>
    <mergeCell ref="AV106:BR106"/>
    <mergeCell ref="B107:X107"/>
    <mergeCell ref="Y107:AU107"/>
    <mergeCell ref="AV107:BR107"/>
    <mergeCell ref="CM96:ED96"/>
    <mergeCell ref="B104:X104"/>
    <mergeCell ref="AV86:AZ86"/>
    <mergeCell ref="BA86:BE86"/>
    <mergeCell ref="BF86:BJ86"/>
    <mergeCell ref="BK86:BN86"/>
    <mergeCell ref="EQ85:ES85"/>
    <mergeCell ref="C86:Y86"/>
    <mergeCell ref="Z86:AC86"/>
    <mergeCell ref="AD86:AF86"/>
    <mergeCell ref="AG86:AK86"/>
    <mergeCell ref="AL86:AP86"/>
    <mergeCell ref="AQ86:AU86"/>
    <mergeCell ref="DG86:DJ86"/>
    <mergeCell ref="DK86:DN86"/>
    <mergeCell ref="DO86:DR86"/>
    <mergeCell ref="DS86:DV86"/>
    <mergeCell ref="DW86:DZ86"/>
    <mergeCell ref="EA86:ED86"/>
    <mergeCell ref="CI86:CL86"/>
    <mergeCell ref="CM86:CP86"/>
    <mergeCell ref="CQ86:CT86"/>
    <mergeCell ref="CU86:CX86"/>
    <mergeCell ref="CY86:DB86"/>
    <mergeCell ref="DC86:DF86"/>
    <mergeCell ref="BK85:BN85"/>
    <mergeCell ref="BO86:BR86"/>
    <mergeCell ref="BS86:BV86"/>
    <mergeCell ref="BW86:BZ86"/>
    <mergeCell ref="CA86:CD86"/>
    <mergeCell ref="CE86:CH86"/>
    <mergeCell ref="EQ86:ES86"/>
    <mergeCell ref="BO85:BR85"/>
    <mergeCell ref="BS85:BV85"/>
    <mergeCell ref="EQ83:ES83"/>
    <mergeCell ref="C84:Y84"/>
    <mergeCell ref="Z84:AC84"/>
    <mergeCell ref="AD84:AF84"/>
    <mergeCell ref="AG84:AK84"/>
    <mergeCell ref="AL84:AP84"/>
    <mergeCell ref="AQ84:AU84"/>
    <mergeCell ref="DG84:DJ84"/>
    <mergeCell ref="DK84:DN84"/>
    <mergeCell ref="DO84:DR84"/>
    <mergeCell ref="DS84:DV84"/>
    <mergeCell ref="DW84:DZ84"/>
    <mergeCell ref="EA84:ED84"/>
    <mergeCell ref="CI84:CL84"/>
    <mergeCell ref="CM84:CP84"/>
    <mergeCell ref="CQ84:CT84"/>
    <mergeCell ref="CU84:CX84"/>
    <mergeCell ref="CY84:DB84"/>
    <mergeCell ref="DC84:DF84"/>
    <mergeCell ref="C83:Y83"/>
    <mergeCell ref="Z83:AC83"/>
    <mergeCell ref="AD83:AF83"/>
    <mergeCell ref="AG83:AK83"/>
    <mergeCell ref="AL83:AP83"/>
    <mergeCell ref="AQ83:AU83"/>
    <mergeCell ref="AV83:AZ83"/>
    <mergeCell ref="BA83:BE83"/>
    <mergeCell ref="BF83:BJ83"/>
    <mergeCell ref="BO84:BR84"/>
    <mergeCell ref="AV82:AZ82"/>
    <mergeCell ref="BA82:BE82"/>
    <mergeCell ref="BF82:BJ82"/>
    <mergeCell ref="BK82:BN82"/>
    <mergeCell ref="BO83:BR83"/>
    <mergeCell ref="BS83:BV83"/>
    <mergeCell ref="C82:Y82"/>
    <mergeCell ref="Z82:AC82"/>
    <mergeCell ref="AD82:AF82"/>
    <mergeCell ref="AG82:AK82"/>
    <mergeCell ref="AL82:AP82"/>
    <mergeCell ref="AQ82:AU82"/>
    <mergeCell ref="BK83:BN83"/>
    <mergeCell ref="C67:Y67"/>
    <mergeCell ref="C66:Y66"/>
    <mergeCell ref="C65:Y65"/>
    <mergeCell ref="C64:Y64"/>
    <mergeCell ref="BO64:BR65"/>
    <mergeCell ref="BS64:BV65"/>
    <mergeCell ref="C76:Y76"/>
    <mergeCell ref="Z76:AC77"/>
    <mergeCell ref="AD76:AF77"/>
    <mergeCell ref="AG76:AK77"/>
    <mergeCell ref="AL76:AP77"/>
    <mergeCell ref="AQ76:AU77"/>
    <mergeCell ref="AV76:AZ77"/>
    <mergeCell ref="BA76:BE77"/>
    <mergeCell ref="BF76:BJ77"/>
    <mergeCell ref="BK76:BN77"/>
    <mergeCell ref="BO76:BR77"/>
    <mergeCell ref="BS76:BV77"/>
    <mergeCell ref="BO82:BR82"/>
    <mergeCell ref="C63:Y63"/>
    <mergeCell ref="C62:Y62"/>
    <mergeCell ref="CU62:CX63"/>
    <mergeCell ref="CY62:DB63"/>
    <mergeCell ref="EM62:EP63"/>
    <mergeCell ref="C61:Y61"/>
    <mergeCell ref="C60:Y60"/>
    <mergeCell ref="C81:Y81"/>
    <mergeCell ref="EQ57:ES57"/>
    <mergeCell ref="C80:Y80"/>
    <mergeCell ref="BK57:BN57"/>
    <mergeCell ref="C57:Y57"/>
    <mergeCell ref="Z57:AC57"/>
    <mergeCell ref="AD57:AF57"/>
    <mergeCell ref="AG57:AK57"/>
    <mergeCell ref="AL57:AP57"/>
    <mergeCell ref="AQ57:AU57"/>
    <mergeCell ref="AV57:AZ57"/>
    <mergeCell ref="BA57:BE57"/>
    <mergeCell ref="BF57:BJ57"/>
    <mergeCell ref="BO57:BR57"/>
    <mergeCell ref="BS57:BV57"/>
    <mergeCell ref="CU57:CX57"/>
    <mergeCell ref="CY57:DB57"/>
    <mergeCell ref="EQ80:ES81"/>
    <mergeCell ref="C58:Y58"/>
    <mergeCell ref="Z58:AC59"/>
    <mergeCell ref="AD58:AF59"/>
    <mergeCell ref="DS80:DV81"/>
    <mergeCell ref="DW80:DZ81"/>
    <mergeCell ref="EA80:ED81"/>
    <mergeCell ref="CU58:CX59"/>
    <mergeCell ref="C51:Y51"/>
    <mergeCell ref="Z51:AC51"/>
    <mergeCell ref="AD51:AF51"/>
    <mergeCell ref="AG51:AK51"/>
    <mergeCell ref="AL51:AP51"/>
    <mergeCell ref="AQ51:AU51"/>
    <mergeCell ref="AV51:AZ51"/>
    <mergeCell ref="BA51:BE51"/>
    <mergeCell ref="BF51:BJ51"/>
    <mergeCell ref="AV49:AZ49"/>
    <mergeCell ref="BA49:BE49"/>
    <mergeCell ref="BF49:BJ49"/>
    <mergeCell ref="BK49:BN49"/>
    <mergeCell ref="BO51:BR51"/>
    <mergeCell ref="BS51:BV51"/>
    <mergeCell ref="C50:Y50"/>
    <mergeCell ref="Z50:AC50"/>
    <mergeCell ref="AD50:AF50"/>
    <mergeCell ref="AG50:AK50"/>
    <mergeCell ref="AL50:AP50"/>
    <mergeCell ref="AQ50:AU50"/>
    <mergeCell ref="AV50:AZ50"/>
    <mergeCell ref="BA50:BE50"/>
    <mergeCell ref="BF50:BJ50"/>
    <mergeCell ref="BK50:BN50"/>
    <mergeCell ref="BO50:BR50"/>
    <mergeCell ref="BS50:BV50"/>
    <mergeCell ref="C49:Y49"/>
    <mergeCell ref="Z49:AC49"/>
    <mergeCell ref="AD49:AF49"/>
    <mergeCell ref="AG49:AK49"/>
    <mergeCell ref="AL49:AP49"/>
    <mergeCell ref="AQ49:AU49"/>
    <mergeCell ref="DG49:DJ49"/>
    <mergeCell ref="DK49:DN49"/>
    <mergeCell ref="DO49:DR49"/>
    <mergeCell ref="DS49:DV49"/>
    <mergeCell ref="DW49:DZ49"/>
    <mergeCell ref="EA49:ED49"/>
    <mergeCell ref="CI49:CL49"/>
    <mergeCell ref="CM49:CP49"/>
    <mergeCell ref="CQ49:CT49"/>
    <mergeCell ref="CU49:CX49"/>
    <mergeCell ref="CY49:DB49"/>
    <mergeCell ref="DC49:DF49"/>
    <mergeCell ref="BK48:BN48"/>
    <mergeCell ref="BO49:BR49"/>
    <mergeCell ref="BS49:BV49"/>
    <mergeCell ref="BW49:BZ49"/>
    <mergeCell ref="CA49:CD49"/>
    <mergeCell ref="CE49:CH49"/>
    <mergeCell ref="C48:Y48"/>
    <mergeCell ref="Z48:AC48"/>
    <mergeCell ref="AD48:AF48"/>
    <mergeCell ref="AG48:AK48"/>
    <mergeCell ref="AL48:AP48"/>
    <mergeCell ref="AQ48:AU48"/>
    <mergeCell ref="AV48:AZ48"/>
    <mergeCell ref="BA48:BE48"/>
    <mergeCell ref="BF48:BJ48"/>
    <mergeCell ref="AV47:AZ47"/>
    <mergeCell ref="BA47:BE47"/>
    <mergeCell ref="BF47:BJ47"/>
    <mergeCell ref="BK47:BN47"/>
    <mergeCell ref="BO48:BR48"/>
    <mergeCell ref="BS48:BV48"/>
    <mergeCell ref="EQ46:ES46"/>
    <mergeCell ref="C47:Y47"/>
    <mergeCell ref="Z47:AC47"/>
    <mergeCell ref="AD47:AF47"/>
    <mergeCell ref="AG47:AK47"/>
    <mergeCell ref="AL47:AP47"/>
    <mergeCell ref="AQ47:AU47"/>
    <mergeCell ref="DG47:DJ47"/>
    <mergeCell ref="DK47:DN47"/>
    <mergeCell ref="DO47:DR47"/>
    <mergeCell ref="DS47:DV47"/>
    <mergeCell ref="DW47:DZ47"/>
    <mergeCell ref="EA47:ED47"/>
    <mergeCell ref="CI47:CL47"/>
    <mergeCell ref="CM47:CP47"/>
    <mergeCell ref="CQ47:CT47"/>
    <mergeCell ref="CU47:CX47"/>
    <mergeCell ref="BK46:BN46"/>
    <mergeCell ref="BO47:BR47"/>
    <mergeCell ref="BS47:BV47"/>
    <mergeCell ref="BW47:BZ47"/>
    <mergeCell ref="CA47:CD47"/>
    <mergeCell ref="CE47:CH47"/>
    <mergeCell ref="EQ47:ES47"/>
    <mergeCell ref="C46:Y46"/>
    <mergeCell ref="Z46:AC46"/>
    <mergeCell ref="AD46:AF46"/>
    <mergeCell ref="AG46:AK46"/>
    <mergeCell ref="AL46:AP46"/>
    <mergeCell ref="AQ46:AU46"/>
    <mergeCell ref="AV46:AZ46"/>
    <mergeCell ref="BA46:BE46"/>
    <mergeCell ref="BF46:BJ46"/>
    <mergeCell ref="AV45:AZ45"/>
    <mergeCell ref="BA45:BE45"/>
    <mergeCell ref="BF45:BJ45"/>
    <mergeCell ref="BK45:BN45"/>
    <mergeCell ref="BO46:BR46"/>
    <mergeCell ref="BS46:BV46"/>
    <mergeCell ref="EM45:EP45"/>
    <mergeCell ref="DC46:DF46"/>
    <mergeCell ref="DG46:DJ46"/>
    <mergeCell ref="DK46:DN46"/>
    <mergeCell ref="DO46:DR46"/>
    <mergeCell ref="DS46:DV46"/>
    <mergeCell ref="DW46:DZ46"/>
    <mergeCell ref="EA46:ED46"/>
    <mergeCell ref="EE46:EH46"/>
    <mergeCell ref="EI46:EL46"/>
    <mergeCell ref="C45:Y45"/>
    <mergeCell ref="Z45:AC45"/>
    <mergeCell ref="AD45:AF45"/>
    <mergeCell ref="AG45:AK45"/>
    <mergeCell ref="AL45:AP45"/>
    <mergeCell ref="AQ45:AU45"/>
    <mergeCell ref="DG45:DJ45"/>
    <mergeCell ref="DK45:DN45"/>
    <mergeCell ref="DO45:DR45"/>
    <mergeCell ref="DS45:DV45"/>
    <mergeCell ref="DW45:DZ45"/>
    <mergeCell ref="EA45:ED45"/>
    <mergeCell ref="CI45:CL45"/>
    <mergeCell ref="CM45:CP45"/>
    <mergeCell ref="CQ45:CT45"/>
    <mergeCell ref="CU45:CX45"/>
    <mergeCell ref="CY45:DB45"/>
    <mergeCell ref="DC45:DF45"/>
    <mergeCell ref="BK44:BN44"/>
    <mergeCell ref="BO45:BR45"/>
    <mergeCell ref="BS45:BV45"/>
    <mergeCell ref="BW45:BZ45"/>
    <mergeCell ref="CA45:CD45"/>
    <mergeCell ref="CE45:CH45"/>
    <mergeCell ref="EQ45:ES45"/>
    <mergeCell ref="C44:Y44"/>
    <mergeCell ref="Z44:AC44"/>
    <mergeCell ref="AD44:AF44"/>
    <mergeCell ref="AG44:AK44"/>
    <mergeCell ref="AL44:AP44"/>
    <mergeCell ref="AQ44:AU44"/>
    <mergeCell ref="AV44:AZ44"/>
    <mergeCell ref="BA44:BE44"/>
    <mergeCell ref="BF44:BJ44"/>
    <mergeCell ref="AV43:AZ43"/>
    <mergeCell ref="BA43:BE43"/>
    <mergeCell ref="BF43:BJ43"/>
    <mergeCell ref="BK43:BN43"/>
    <mergeCell ref="BO44:BR44"/>
    <mergeCell ref="BS44:BV44"/>
    <mergeCell ref="C43:Y43"/>
    <mergeCell ref="Z43:AC43"/>
    <mergeCell ref="AD43:AF43"/>
    <mergeCell ref="AG43:AK43"/>
    <mergeCell ref="AL43:AP43"/>
    <mergeCell ref="AQ43:AU43"/>
    <mergeCell ref="DG43:DJ43"/>
    <mergeCell ref="DK43:DN43"/>
    <mergeCell ref="DO43:DR43"/>
    <mergeCell ref="DS43:DV43"/>
    <mergeCell ref="CQ43:CT43"/>
    <mergeCell ref="CU43:CX43"/>
    <mergeCell ref="CY43:DB43"/>
    <mergeCell ref="DC43:DF43"/>
    <mergeCell ref="BK42:BN42"/>
    <mergeCell ref="BO43:BR43"/>
    <mergeCell ref="BS43:BV43"/>
    <mergeCell ref="BW43:BZ43"/>
    <mergeCell ref="EQ43:ES43"/>
    <mergeCell ref="C42:Y42"/>
    <mergeCell ref="Z42:AC42"/>
    <mergeCell ref="AD42:AF42"/>
    <mergeCell ref="AG42:AK42"/>
    <mergeCell ref="AL42:AP42"/>
    <mergeCell ref="AQ42:AU42"/>
    <mergeCell ref="AV42:AZ42"/>
    <mergeCell ref="BA42:BE42"/>
    <mergeCell ref="BF42:BJ42"/>
    <mergeCell ref="DG42:DJ42"/>
    <mergeCell ref="DK42:DN42"/>
    <mergeCell ref="DO42:DR42"/>
    <mergeCell ref="DS42:DV42"/>
    <mergeCell ref="DW42:DZ42"/>
    <mergeCell ref="EA42:ED42"/>
    <mergeCell ref="EE42:EH42"/>
    <mergeCell ref="EI42:EL42"/>
    <mergeCell ref="EM42:EP42"/>
    <mergeCell ref="EE43:EH43"/>
    <mergeCell ref="EI43:EL43"/>
    <mergeCell ref="EM43:EP43"/>
    <mergeCell ref="AV41:AZ41"/>
    <mergeCell ref="BA41:BE41"/>
    <mergeCell ref="BF41:BJ41"/>
    <mergeCell ref="BK41:BN41"/>
    <mergeCell ref="BO42:BR42"/>
    <mergeCell ref="BS42:BV42"/>
    <mergeCell ref="EQ40:ES40"/>
    <mergeCell ref="C41:Y41"/>
    <mergeCell ref="Z41:AC41"/>
    <mergeCell ref="AD41:AF41"/>
    <mergeCell ref="AG41:AK41"/>
    <mergeCell ref="AL41:AP41"/>
    <mergeCell ref="AQ41:AU41"/>
    <mergeCell ref="DG41:DJ41"/>
    <mergeCell ref="DK41:DN41"/>
    <mergeCell ref="DO41:DR41"/>
    <mergeCell ref="DS41:DV41"/>
    <mergeCell ref="DW41:DZ41"/>
    <mergeCell ref="EA41:ED41"/>
    <mergeCell ref="CI41:CL41"/>
    <mergeCell ref="CM41:CP41"/>
    <mergeCell ref="CQ41:CT41"/>
    <mergeCell ref="CU41:CX41"/>
    <mergeCell ref="CY41:DB41"/>
    <mergeCell ref="DC41:DF41"/>
    <mergeCell ref="BK40:BN40"/>
    <mergeCell ref="BO41:BR41"/>
    <mergeCell ref="BS41:BV41"/>
    <mergeCell ref="BW41:BZ41"/>
    <mergeCell ref="CA41:CD41"/>
    <mergeCell ref="CE41:CH41"/>
    <mergeCell ref="EQ41:ES41"/>
    <mergeCell ref="C40:Y40"/>
    <mergeCell ref="Z40:AC40"/>
    <mergeCell ref="AD40:AF40"/>
    <mergeCell ref="AG40:AK40"/>
    <mergeCell ref="AL40:AP40"/>
    <mergeCell ref="AQ40:AU40"/>
    <mergeCell ref="AV40:AZ40"/>
    <mergeCell ref="BA40:BE40"/>
    <mergeCell ref="BF40:BJ40"/>
    <mergeCell ref="BW40:BZ40"/>
    <mergeCell ref="CA40:CD40"/>
    <mergeCell ref="CE40:CH40"/>
    <mergeCell ref="CI40:CL40"/>
    <mergeCell ref="CM40:CP40"/>
    <mergeCell ref="CQ40:CT40"/>
    <mergeCell ref="CU40:CX40"/>
    <mergeCell ref="CY40:DB40"/>
    <mergeCell ref="EE41:EH41"/>
    <mergeCell ref="EI41:EL41"/>
    <mergeCell ref="EM41:EP41"/>
    <mergeCell ref="AV39:AZ39"/>
    <mergeCell ref="BA39:BE39"/>
    <mergeCell ref="BF39:BJ39"/>
    <mergeCell ref="BK39:BN39"/>
    <mergeCell ref="BO40:BR40"/>
    <mergeCell ref="BS40:BV40"/>
    <mergeCell ref="EQ38:ES38"/>
    <mergeCell ref="C39:Y39"/>
    <mergeCell ref="Z39:AC39"/>
    <mergeCell ref="AD39:AF39"/>
    <mergeCell ref="AG39:AK39"/>
    <mergeCell ref="AL39:AP39"/>
    <mergeCell ref="AQ39:AU39"/>
    <mergeCell ref="DG39:DJ39"/>
    <mergeCell ref="DK39:DN39"/>
    <mergeCell ref="DO39:DR39"/>
    <mergeCell ref="DS39:DV39"/>
    <mergeCell ref="DW39:DZ39"/>
    <mergeCell ref="EA39:ED39"/>
    <mergeCell ref="CI39:CL39"/>
    <mergeCell ref="CM39:CP39"/>
    <mergeCell ref="CQ39:CT39"/>
    <mergeCell ref="CU39:CX39"/>
    <mergeCell ref="CY39:DB39"/>
    <mergeCell ref="DC39:DF39"/>
    <mergeCell ref="BK38:BN38"/>
    <mergeCell ref="BO39:BR39"/>
    <mergeCell ref="BS39:BV39"/>
    <mergeCell ref="BW39:BZ39"/>
    <mergeCell ref="CA39:CD39"/>
    <mergeCell ref="CE39:CH39"/>
    <mergeCell ref="EQ39:ES39"/>
    <mergeCell ref="C38:Y38"/>
    <mergeCell ref="Z38:AC38"/>
    <mergeCell ref="AD38:AF38"/>
    <mergeCell ref="AG38:AK38"/>
    <mergeCell ref="AL38:AP38"/>
    <mergeCell ref="AQ38:AU38"/>
    <mergeCell ref="AV38:AZ38"/>
    <mergeCell ref="BA38:BE38"/>
    <mergeCell ref="BF38:BJ38"/>
    <mergeCell ref="AV37:AZ37"/>
    <mergeCell ref="BA37:BE37"/>
    <mergeCell ref="BF37:BJ37"/>
    <mergeCell ref="BK37:BN37"/>
    <mergeCell ref="BO38:BR38"/>
    <mergeCell ref="BS38:BV38"/>
    <mergeCell ref="EE37:EH37"/>
    <mergeCell ref="EI37:EL37"/>
    <mergeCell ref="BW38:BZ38"/>
    <mergeCell ref="CA38:CD38"/>
    <mergeCell ref="CE38:CH38"/>
    <mergeCell ref="CI38:CL38"/>
    <mergeCell ref="CM38:CP38"/>
    <mergeCell ref="CQ38:CT38"/>
    <mergeCell ref="CU38:CX38"/>
    <mergeCell ref="CY38:DB38"/>
    <mergeCell ref="DS38:DV38"/>
    <mergeCell ref="DW38:DZ38"/>
    <mergeCell ref="EA38:ED38"/>
    <mergeCell ref="EE38:EH38"/>
    <mergeCell ref="EM37:EP37"/>
    <mergeCell ref="EQ36:ES36"/>
    <mergeCell ref="C37:Y37"/>
    <mergeCell ref="Z37:AC37"/>
    <mergeCell ref="AD37:AF37"/>
    <mergeCell ref="AG37:AK37"/>
    <mergeCell ref="AL37:AP37"/>
    <mergeCell ref="AQ37:AU37"/>
    <mergeCell ref="DG37:DJ37"/>
    <mergeCell ref="DK37:DN37"/>
    <mergeCell ref="DO37:DR37"/>
    <mergeCell ref="DS37:DV37"/>
    <mergeCell ref="DW37:DZ37"/>
    <mergeCell ref="EA37:ED37"/>
    <mergeCell ref="CI37:CL37"/>
    <mergeCell ref="CM37:CP37"/>
    <mergeCell ref="CQ37:CT37"/>
    <mergeCell ref="CU37:CX37"/>
    <mergeCell ref="CY37:DB37"/>
    <mergeCell ref="DC37:DF37"/>
    <mergeCell ref="BK36:BN36"/>
    <mergeCell ref="BO37:BR37"/>
    <mergeCell ref="BS37:BV37"/>
    <mergeCell ref="BW37:BZ37"/>
    <mergeCell ref="CA37:CD37"/>
    <mergeCell ref="CE37:CH37"/>
    <mergeCell ref="EQ37:ES37"/>
    <mergeCell ref="BO36:BR36"/>
    <mergeCell ref="BS36:BV36"/>
    <mergeCell ref="EQ35:ES35"/>
    <mergeCell ref="C36:Y36"/>
    <mergeCell ref="Z36:AC36"/>
    <mergeCell ref="AD36:AF36"/>
    <mergeCell ref="AG36:AK36"/>
    <mergeCell ref="AL36:AP36"/>
    <mergeCell ref="AQ36:AU36"/>
    <mergeCell ref="AV36:AZ36"/>
    <mergeCell ref="BA36:BE36"/>
    <mergeCell ref="BF36:BJ36"/>
    <mergeCell ref="DS36:DV36"/>
    <mergeCell ref="DW36:DZ36"/>
    <mergeCell ref="EA36:ED36"/>
    <mergeCell ref="EE36:EH36"/>
    <mergeCell ref="EI36:EL36"/>
    <mergeCell ref="EM36:EP36"/>
    <mergeCell ref="CU36:CX36"/>
    <mergeCell ref="CY36:DB36"/>
    <mergeCell ref="DC36:DF36"/>
    <mergeCell ref="DG36:DJ36"/>
    <mergeCell ref="DK36:DN36"/>
    <mergeCell ref="DO36:DR36"/>
    <mergeCell ref="BW36:BZ36"/>
    <mergeCell ref="CA36:CD36"/>
    <mergeCell ref="CE36:CH36"/>
    <mergeCell ref="CI36:CL36"/>
    <mergeCell ref="CM36:CP36"/>
    <mergeCell ref="CQ36:CT36"/>
    <mergeCell ref="AV35:AZ35"/>
    <mergeCell ref="BA35:BE35"/>
    <mergeCell ref="BF35:BJ35"/>
    <mergeCell ref="BK35:BN35"/>
    <mergeCell ref="C35:Y35"/>
    <mergeCell ref="Z35:AC35"/>
    <mergeCell ref="AD35:AF35"/>
    <mergeCell ref="AG35:AK35"/>
    <mergeCell ref="AL35:AP35"/>
    <mergeCell ref="AQ35:AU35"/>
    <mergeCell ref="DW35:DZ35"/>
    <mergeCell ref="EA35:ED35"/>
    <mergeCell ref="EE35:EH35"/>
    <mergeCell ref="EI35:EL35"/>
    <mergeCell ref="EM35:EP35"/>
    <mergeCell ref="CY35:DB35"/>
    <mergeCell ref="DC35:DF35"/>
    <mergeCell ref="DG35:DJ35"/>
    <mergeCell ref="DK35:DN35"/>
    <mergeCell ref="DO35:DR35"/>
    <mergeCell ref="DS35:DV35"/>
    <mergeCell ref="CA35:CD35"/>
    <mergeCell ref="CE35:CH35"/>
    <mergeCell ref="CI35:CL35"/>
    <mergeCell ref="CM35:CP35"/>
    <mergeCell ref="EQ27:ES33"/>
    <mergeCell ref="Z28:AF34"/>
    <mergeCell ref="AG28:BJ28"/>
    <mergeCell ref="BK28:BN34"/>
    <mergeCell ref="AQ29:AU34"/>
    <mergeCell ref="AV29:AZ34"/>
    <mergeCell ref="BA29:BE34"/>
    <mergeCell ref="BF29:BJ34"/>
    <mergeCell ref="EQ34:ES34"/>
    <mergeCell ref="DK34:DN34"/>
    <mergeCell ref="DO34:DR34"/>
    <mergeCell ref="EI34:EL34"/>
    <mergeCell ref="EM34:EP34"/>
    <mergeCell ref="BO28:BV28"/>
    <mergeCell ref="BW28:CD28"/>
    <mergeCell ref="CE28:CL28"/>
    <mergeCell ref="CM28:CT28"/>
    <mergeCell ref="CU28:DB28"/>
    <mergeCell ref="DC28:DJ28"/>
    <mergeCell ref="DS34:DV34"/>
    <mergeCell ref="DW34:DZ34"/>
    <mergeCell ref="EA34:ED34"/>
    <mergeCell ref="EE34:EH34"/>
    <mergeCell ref="CM34:CP34"/>
    <mergeCell ref="CQ34:CT34"/>
    <mergeCell ref="CU34:CX34"/>
    <mergeCell ref="CY34:DB34"/>
    <mergeCell ref="DC34:DF34"/>
    <mergeCell ref="DG34:DJ34"/>
    <mergeCell ref="BO29:DB29"/>
    <mergeCell ref="DC29:EP29"/>
    <mergeCell ref="EI32:EL32"/>
    <mergeCell ref="AG29:AK34"/>
    <mergeCell ref="AL29:AP34"/>
    <mergeCell ref="DC32:DF32"/>
    <mergeCell ref="DG32:DJ32"/>
    <mergeCell ref="BO32:BR32"/>
    <mergeCell ref="BS32:BV32"/>
    <mergeCell ref="BW32:BZ32"/>
    <mergeCell ref="CA32:CD32"/>
    <mergeCell ref="CE32:CH32"/>
    <mergeCell ref="CI32:CL32"/>
    <mergeCell ref="EM32:EP32"/>
    <mergeCell ref="BO33:DB33"/>
    <mergeCell ref="DC33:EP33"/>
    <mergeCell ref="BO34:BR34"/>
    <mergeCell ref="BS34:BV34"/>
    <mergeCell ref="BW34:BZ34"/>
    <mergeCell ref="CA34:CD34"/>
    <mergeCell ref="CE34:CH34"/>
    <mergeCell ref="CI34:CL34"/>
    <mergeCell ref="DK32:DN32"/>
    <mergeCell ref="DO32:DR32"/>
    <mergeCell ref="DS32:DV32"/>
    <mergeCell ref="DW32:DZ32"/>
    <mergeCell ref="EA32:ED32"/>
    <mergeCell ref="EE32:EH32"/>
    <mergeCell ref="CM32:CP32"/>
    <mergeCell ref="CQ32:CT32"/>
    <mergeCell ref="CU32:CX32"/>
    <mergeCell ref="CY32:DB32"/>
    <mergeCell ref="DC27:EP27"/>
    <mergeCell ref="DK28:DR28"/>
    <mergeCell ref="DS28:DZ28"/>
    <mergeCell ref="DK30:DR30"/>
    <mergeCell ref="DS30:DZ30"/>
    <mergeCell ref="EA30:EH30"/>
    <mergeCell ref="EI30:EP30"/>
    <mergeCell ref="BO31:DB31"/>
    <mergeCell ref="DC31:EP31"/>
    <mergeCell ref="BO30:BV30"/>
    <mergeCell ref="BW30:CD30"/>
    <mergeCell ref="CE30:CL30"/>
    <mergeCell ref="CM30:CT30"/>
    <mergeCell ref="CU30:DB30"/>
    <mergeCell ref="DC30:DJ30"/>
    <mergeCell ref="EA28:EH28"/>
    <mergeCell ref="EI28:EP28"/>
    <mergeCell ref="A8:ES8"/>
    <mergeCell ref="AE94:AL94"/>
    <mergeCell ref="AM94:AT94"/>
    <mergeCell ref="AU94:CH94"/>
    <mergeCell ref="AV103:BR103"/>
    <mergeCell ref="AM101:AT101"/>
    <mergeCell ref="C98:AD98"/>
    <mergeCell ref="C99:AD99"/>
    <mergeCell ref="C100:AD100"/>
    <mergeCell ref="C101:AD101"/>
    <mergeCell ref="A1:ES1"/>
    <mergeCell ref="DJ4:ES4"/>
    <mergeCell ref="DJ3:ES3"/>
    <mergeCell ref="DJ5:ES5"/>
    <mergeCell ref="DJ6:ES6"/>
    <mergeCell ref="AB2:CX2"/>
    <mergeCell ref="AB3:CX3"/>
    <mergeCell ref="AB4:CX4"/>
    <mergeCell ref="AB5:CX5"/>
    <mergeCell ref="AB6:CX6"/>
    <mergeCell ref="AB7:CX7"/>
    <mergeCell ref="A26:ES26"/>
    <mergeCell ref="C94:AD94"/>
    <mergeCell ref="C95:AD95"/>
    <mergeCell ref="C96:AD96"/>
    <mergeCell ref="C97:AD97"/>
    <mergeCell ref="AE101:AL101"/>
    <mergeCell ref="A27:A34"/>
    <mergeCell ref="B27:B34"/>
    <mergeCell ref="C27:Y34"/>
    <mergeCell ref="Z27:BN27"/>
    <mergeCell ref="BO27:DB27"/>
  </mergeCells>
  <printOptions horizontalCentered="1"/>
  <pageMargins left="0.5" right="0.5" top="0.75" bottom="0.25" header="0.118110236220472" footer="0.118110236220472"/>
  <pageSetup paperSize="9" scale="18" fitToHeight="0" orientation="landscape" r:id="rId1"/>
  <rowBreaks count="3" manualBreakCount="3">
    <brk id="47" max="148" man="1"/>
    <brk id="86" max="148" man="1"/>
    <brk id="110" max="148" man="1"/>
  </rowBreaks>
  <ignoredErrors>
    <ignoredError sqref="Z82 AG82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T119"/>
  <sheetViews>
    <sheetView tabSelected="1" view="pageBreakPreview" topLeftCell="A51" zoomScale="20" zoomScaleNormal="25" zoomScaleSheetLayoutView="20" workbookViewId="0">
      <selection activeCell="A72" sqref="A72:EI73"/>
    </sheetView>
  </sheetViews>
  <sheetFormatPr defaultColWidth="9.140625" defaultRowHeight="15.75" x14ac:dyDescent="0.25"/>
  <cols>
    <col min="1" max="1" width="17.28515625" style="14" customWidth="1"/>
    <col min="2" max="2" width="42.140625" style="14" customWidth="1"/>
    <col min="3" max="9" width="5" style="11" customWidth="1"/>
    <col min="10" max="10" width="6.140625" style="11" customWidth="1"/>
    <col min="11" max="13" width="5" style="11" customWidth="1"/>
    <col min="14" max="14" width="7.28515625" style="11" customWidth="1"/>
    <col min="15" max="18" width="5" style="11" customWidth="1"/>
    <col min="19" max="19" width="7.28515625" style="11" customWidth="1"/>
    <col min="20" max="20" width="5" style="11" customWidth="1"/>
    <col min="21" max="21" width="7.85546875" style="11" customWidth="1"/>
    <col min="22" max="22" width="5" style="11" customWidth="1"/>
    <col min="23" max="23" width="5" style="24" customWidth="1"/>
    <col min="24" max="24" width="7.28515625" style="24" customWidth="1"/>
    <col min="25" max="25" width="8" style="24" customWidth="1"/>
    <col min="26" max="30" width="6.7109375" style="25" customWidth="1"/>
    <col min="31" max="35" width="6.7109375" style="8" customWidth="1"/>
    <col min="36" max="39" width="5.42578125" style="8" customWidth="1"/>
    <col min="40" max="51" width="5.42578125" style="2" customWidth="1"/>
    <col min="52" max="63" width="5.42578125" style="8" customWidth="1"/>
    <col min="64" max="69" width="5.42578125" style="24" customWidth="1"/>
    <col min="70" max="149" width="5.42578125" style="8" customWidth="1"/>
    <col min="150" max="153" width="5.42578125" style="13" customWidth="1"/>
    <col min="154" max="154" width="4.28515625" style="13" customWidth="1"/>
    <col min="155" max="155" width="63.42578125" style="191" customWidth="1"/>
    <col min="156" max="156" width="9.140625" style="13"/>
    <col min="157" max="157" width="13.85546875" style="13" bestFit="1" customWidth="1"/>
    <col min="158" max="16384" width="9.140625" style="13"/>
  </cols>
  <sheetData>
    <row r="1" spans="1:228" ht="72" customHeight="1" x14ac:dyDescent="0.2">
      <c r="A1" s="361" t="s">
        <v>234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  <c r="AQ1" s="361"/>
      <c r="AR1" s="361"/>
      <c r="AS1" s="361"/>
      <c r="AT1" s="361"/>
      <c r="AU1" s="361"/>
      <c r="AV1" s="361"/>
      <c r="AW1" s="361"/>
      <c r="AX1" s="361"/>
      <c r="AY1" s="361"/>
      <c r="AZ1" s="361"/>
      <c r="BA1" s="361"/>
      <c r="BB1" s="361"/>
      <c r="BC1" s="361"/>
      <c r="BD1" s="361"/>
      <c r="BE1" s="361"/>
      <c r="BF1" s="361"/>
      <c r="BG1" s="361"/>
      <c r="BH1" s="361"/>
      <c r="BI1" s="361"/>
      <c r="BJ1" s="361"/>
      <c r="BK1" s="361"/>
      <c r="BL1" s="361"/>
      <c r="BM1" s="361"/>
      <c r="BN1" s="361"/>
      <c r="BO1" s="361"/>
      <c r="BP1" s="361"/>
      <c r="BQ1" s="361"/>
      <c r="BR1" s="361"/>
      <c r="BS1" s="361"/>
      <c r="BT1" s="361"/>
      <c r="BU1" s="361"/>
      <c r="BV1" s="361"/>
      <c r="BW1" s="361"/>
      <c r="BX1" s="361"/>
      <c r="BY1" s="361"/>
      <c r="BZ1" s="361"/>
      <c r="CA1" s="361"/>
      <c r="CB1" s="361"/>
      <c r="CC1" s="361"/>
      <c r="CD1" s="361"/>
      <c r="CE1" s="361"/>
      <c r="CF1" s="361"/>
      <c r="CG1" s="361"/>
      <c r="CH1" s="361"/>
      <c r="CI1" s="361"/>
      <c r="CJ1" s="361"/>
      <c r="CK1" s="361"/>
      <c r="CL1" s="361"/>
      <c r="CM1" s="361"/>
      <c r="CN1" s="361"/>
      <c r="CO1" s="361"/>
      <c r="CP1" s="361"/>
      <c r="CQ1" s="361"/>
      <c r="CR1" s="361"/>
      <c r="CS1" s="361"/>
      <c r="CT1" s="361"/>
      <c r="CU1" s="361"/>
      <c r="CV1" s="361"/>
      <c r="CW1" s="361"/>
      <c r="CX1" s="361"/>
      <c r="CY1" s="361"/>
      <c r="CZ1" s="361"/>
      <c r="DA1" s="361"/>
      <c r="DB1" s="361"/>
      <c r="DC1" s="361"/>
      <c r="DD1" s="361"/>
      <c r="DE1" s="361"/>
      <c r="DF1" s="361"/>
      <c r="DG1" s="361"/>
      <c r="DH1" s="361"/>
      <c r="DI1" s="361"/>
      <c r="DJ1" s="361"/>
      <c r="DK1" s="361"/>
      <c r="DL1" s="361"/>
      <c r="DM1" s="361"/>
      <c r="DN1" s="361"/>
      <c r="DO1" s="361"/>
      <c r="DP1" s="361"/>
      <c r="DQ1" s="361"/>
      <c r="DR1" s="361"/>
      <c r="DS1" s="361"/>
      <c r="DT1" s="361"/>
      <c r="DU1" s="361"/>
      <c r="DV1" s="361"/>
      <c r="DW1" s="361"/>
      <c r="DX1" s="361"/>
      <c r="DY1" s="361"/>
      <c r="DZ1" s="361"/>
      <c r="EA1" s="361"/>
      <c r="EB1" s="361"/>
      <c r="EC1" s="361"/>
      <c r="ED1" s="361"/>
      <c r="EE1" s="361"/>
      <c r="EF1" s="361"/>
      <c r="EG1" s="361"/>
      <c r="EH1" s="361"/>
      <c r="EI1" s="361"/>
      <c r="EJ1" s="361"/>
      <c r="EK1" s="361"/>
      <c r="EL1" s="361"/>
      <c r="EM1" s="361"/>
      <c r="EN1" s="361"/>
      <c r="EO1" s="361"/>
      <c r="EP1" s="361"/>
      <c r="EQ1" s="361"/>
      <c r="ER1" s="361"/>
      <c r="ES1" s="361"/>
      <c r="ET1" s="361"/>
      <c r="EU1" s="361"/>
      <c r="EV1" s="361"/>
      <c r="EW1" s="361"/>
      <c r="EX1" s="361"/>
      <c r="EY1" s="188"/>
    </row>
    <row r="2" spans="1:228" ht="81.75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263"/>
      <c r="R2" s="263"/>
      <c r="S2" s="263"/>
      <c r="T2" s="263"/>
      <c r="U2" s="263"/>
      <c r="V2" s="110"/>
      <c r="W2" s="108"/>
      <c r="X2" s="109"/>
      <c r="Y2" s="109"/>
      <c r="Z2" s="362" t="s">
        <v>253</v>
      </c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362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  <c r="BM2" s="362"/>
      <c r="BN2" s="362"/>
      <c r="BO2" s="362"/>
      <c r="BP2" s="362"/>
      <c r="BQ2" s="362"/>
      <c r="BR2" s="362"/>
      <c r="BS2" s="362"/>
      <c r="BT2" s="362"/>
      <c r="BU2" s="362"/>
      <c r="BV2" s="362"/>
      <c r="BW2" s="362"/>
      <c r="BX2" s="362"/>
      <c r="BY2" s="362"/>
      <c r="BZ2" s="362"/>
      <c r="CA2" s="362"/>
      <c r="CB2" s="362"/>
      <c r="CC2" s="362"/>
      <c r="CD2" s="362"/>
      <c r="CE2" s="362"/>
      <c r="CF2" s="362"/>
      <c r="CG2" s="362"/>
      <c r="CH2" s="362"/>
      <c r="CI2" s="362"/>
      <c r="CJ2" s="362"/>
      <c r="CK2" s="362"/>
      <c r="CL2" s="362"/>
      <c r="CM2" s="362"/>
      <c r="CN2" s="362"/>
      <c r="CO2" s="362"/>
      <c r="CP2" s="362"/>
      <c r="CQ2" s="362"/>
      <c r="CR2" s="362"/>
      <c r="CS2" s="362"/>
      <c r="CT2" s="362"/>
      <c r="CU2" s="362"/>
      <c r="CV2" s="362"/>
      <c r="CW2" s="362"/>
      <c r="CX2" s="362"/>
      <c r="CY2" s="362"/>
      <c r="CZ2" s="362"/>
      <c r="DA2" s="362"/>
      <c r="DB2" s="362"/>
      <c r="DC2" s="362"/>
      <c r="DD2" s="362"/>
      <c r="DE2" s="362"/>
      <c r="DF2" s="362"/>
      <c r="DG2" s="362"/>
      <c r="DH2" s="263"/>
      <c r="DI2" s="263"/>
      <c r="DJ2" s="263"/>
      <c r="DK2" s="263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259"/>
    </row>
    <row r="3" spans="1:228" ht="81.75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263"/>
      <c r="R3" s="263"/>
      <c r="S3" s="263"/>
      <c r="T3" s="263"/>
      <c r="U3" s="263"/>
      <c r="W3" s="146"/>
      <c r="X3" s="146"/>
      <c r="Y3" s="146"/>
      <c r="Z3" s="363" t="s">
        <v>274</v>
      </c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363"/>
      <c r="BW3" s="363"/>
      <c r="BX3" s="363"/>
      <c r="BY3" s="363"/>
      <c r="BZ3" s="363"/>
      <c r="CA3" s="363"/>
      <c r="CB3" s="363"/>
      <c r="CC3" s="363"/>
      <c r="CD3" s="363"/>
      <c r="CE3" s="363"/>
      <c r="CF3" s="363"/>
      <c r="CG3" s="363"/>
      <c r="CH3" s="363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363"/>
      <c r="CZ3" s="363"/>
      <c r="DA3" s="363"/>
      <c r="DB3" s="363"/>
      <c r="DC3" s="363"/>
      <c r="DD3" s="363"/>
      <c r="DE3" s="363"/>
      <c r="DF3" s="363"/>
      <c r="DG3" s="363"/>
      <c r="DH3" s="146"/>
      <c r="DI3" s="146"/>
      <c r="DJ3" s="146"/>
      <c r="DK3" s="146"/>
      <c r="DL3" s="56"/>
      <c r="DM3" s="56"/>
      <c r="DN3" s="56"/>
      <c r="DO3" s="364" t="s">
        <v>217</v>
      </c>
      <c r="DP3" s="364"/>
      <c r="DQ3" s="364"/>
      <c r="DR3" s="364"/>
      <c r="DS3" s="364"/>
      <c r="DT3" s="364"/>
      <c r="DU3" s="364"/>
      <c r="DV3" s="364"/>
      <c r="DW3" s="364"/>
      <c r="DX3" s="364"/>
      <c r="DY3" s="364"/>
      <c r="DZ3" s="364"/>
      <c r="EA3" s="364"/>
      <c r="EB3" s="364"/>
      <c r="EC3" s="364"/>
      <c r="ED3" s="364"/>
      <c r="EE3" s="364"/>
      <c r="EF3" s="364"/>
      <c r="EG3" s="364"/>
      <c r="EH3" s="364"/>
      <c r="EI3" s="364"/>
      <c r="EJ3" s="364"/>
      <c r="EK3" s="364"/>
      <c r="EL3" s="364"/>
      <c r="EM3" s="364"/>
      <c r="EN3" s="364"/>
      <c r="EO3" s="364"/>
      <c r="EP3" s="364"/>
      <c r="EQ3" s="364"/>
      <c r="ER3" s="364"/>
      <c r="ES3" s="364"/>
      <c r="ET3" s="364"/>
      <c r="EU3" s="364"/>
      <c r="EV3" s="364"/>
      <c r="EW3" s="364"/>
      <c r="EX3" s="364"/>
      <c r="EY3" s="259"/>
    </row>
    <row r="4" spans="1:228" ht="81.75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R4" s="146"/>
      <c r="S4" s="146"/>
      <c r="T4" s="146"/>
      <c r="U4" s="146"/>
      <c r="V4" s="146"/>
      <c r="W4" s="146"/>
      <c r="X4" s="146"/>
      <c r="Y4" s="146"/>
      <c r="Z4" s="363" t="s">
        <v>245</v>
      </c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/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/>
      <c r="CV4" s="363"/>
      <c r="CW4" s="363"/>
      <c r="CX4" s="363"/>
      <c r="CY4" s="363"/>
      <c r="CZ4" s="363"/>
      <c r="DA4" s="363"/>
      <c r="DB4" s="363"/>
      <c r="DC4" s="363"/>
      <c r="DD4" s="363"/>
      <c r="DE4" s="363"/>
      <c r="DF4" s="363"/>
      <c r="DG4" s="363"/>
      <c r="DH4" s="146"/>
      <c r="DI4" s="146"/>
      <c r="DJ4" s="146"/>
      <c r="DK4" s="262"/>
      <c r="DL4" s="56"/>
      <c r="DM4" s="56"/>
      <c r="DN4" s="56"/>
      <c r="DO4" s="364" t="s">
        <v>244</v>
      </c>
      <c r="DP4" s="364"/>
      <c r="DQ4" s="364"/>
      <c r="DR4" s="364"/>
      <c r="DS4" s="364"/>
      <c r="DT4" s="364"/>
      <c r="DU4" s="364"/>
      <c r="DV4" s="364"/>
      <c r="DW4" s="364"/>
      <c r="DX4" s="364"/>
      <c r="DY4" s="364"/>
      <c r="DZ4" s="364"/>
      <c r="EA4" s="364"/>
      <c r="EB4" s="364"/>
      <c r="EC4" s="364"/>
      <c r="ED4" s="364"/>
      <c r="EE4" s="364"/>
      <c r="EF4" s="364"/>
      <c r="EG4" s="364"/>
      <c r="EH4" s="364"/>
      <c r="EI4" s="364"/>
      <c r="EJ4" s="364"/>
      <c r="EK4" s="364"/>
      <c r="EL4" s="364"/>
      <c r="EM4" s="364"/>
      <c r="EN4" s="364"/>
      <c r="EO4" s="364"/>
      <c r="EP4" s="364"/>
      <c r="EQ4" s="364"/>
      <c r="ER4" s="364"/>
      <c r="ES4" s="364"/>
      <c r="ET4" s="364"/>
      <c r="EU4" s="364"/>
      <c r="EV4" s="364"/>
      <c r="EW4" s="364"/>
      <c r="EX4" s="364"/>
      <c r="EY4" s="189"/>
    </row>
    <row r="5" spans="1:228" ht="83.25" x14ac:dyDescent="0.25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11"/>
      <c r="R5" s="111"/>
      <c r="S5" s="111"/>
      <c r="T5" s="111"/>
      <c r="U5" s="111"/>
      <c r="V5" s="111"/>
      <c r="X5" s="147"/>
      <c r="Y5" s="147"/>
      <c r="Z5" s="364" t="s">
        <v>13</v>
      </c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364"/>
      <c r="CK5" s="364"/>
      <c r="CL5" s="364"/>
      <c r="CM5" s="364"/>
      <c r="CN5" s="364"/>
      <c r="CO5" s="364"/>
      <c r="CP5" s="364"/>
      <c r="CQ5" s="364"/>
      <c r="CR5" s="364"/>
      <c r="CS5" s="364"/>
      <c r="CT5" s="364"/>
      <c r="CU5" s="364"/>
      <c r="CV5" s="364"/>
      <c r="CW5" s="364"/>
      <c r="CX5" s="364"/>
      <c r="CY5" s="364"/>
      <c r="CZ5" s="364"/>
      <c r="DA5" s="364"/>
      <c r="DB5" s="364"/>
      <c r="DC5" s="364"/>
      <c r="DD5" s="364"/>
      <c r="DE5" s="364"/>
      <c r="DF5" s="364"/>
      <c r="DG5" s="364"/>
      <c r="DH5" s="147"/>
      <c r="DI5" s="147"/>
      <c r="DJ5" s="147"/>
      <c r="DK5" s="263"/>
      <c r="DL5" s="56"/>
      <c r="DM5" s="56"/>
      <c r="DN5" s="56"/>
      <c r="DO5" s="364" t="s">
        <v>233</v>
      </c>
      <c r="DP5" s="364"/>
      <c r="DQ5" s="364"/>
      <c r="DR5" s="364"/>
      <c r="DS5" s="364"/>
      <c r="DT5" s="364"/>
      <c r="DU5" s="364"/>
      <c r="DV5" s="364"/>
      <c r="DW5" s="364"/>
      <c r="DX5" s="364"/>
      <c r="DY5" s="364"/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  <c r="EV5" s="364"/>
      <c r="EW5" s="364"/>
      <c r="EX5" s="364"/>
      <c r="EY5" s="190"/>
    </row>
    <row r="6" spans="1:228" ht="81.75" x14ac:dyDescent="0.25">
      <c r="A6" s="42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R6" s="147"/>
      <c r="S6" s="147"/>
      <c r="T6" s="147"/>
      <c r="V6" s="147"/>
      <c r="W6" s="147"/>
      <c r="X6" s="147"/>
      <c r="Y6" s="147"/>
      <c r="Z6" s="364" t="s">
        <v>247</v>
      </c>
      <c r="AA6" s="364"/>
      <c r="AB6" s="364"/>
      <c r="AC6" s="364"/>
      <c r="AD6" s="364"/>
      <c r="AE6" s="364"/>
      <c r="AF6" s="364"/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4"/>
      <c r="BM6" s="364"/>
      <c r="BN6" s="364"/>
      <c r="BO6" s="364"/>
      <c r="BP6" s="364"/>
      <c r="BQ6" s="364"/>
      <c r="BR6" s="364"/>
      <c r="BS6" s="364"/>
      <c r="BT6" s="364"/>
      <c r="BU6" s="364"/>
      <c r="BV6" s="364"/>
      <c r="BW6" s="364"/>
      <c r="BX6" s="364"/>
      <c r="BY6" s="364"/>
      <c r="BZ6" s="364"/>
      <c r="CA6" s="364"/>
      <c r="CB6" s="364"/>
      <c r="CC6" s="364"/>
      <c r="CD6" s="364"/>
      <c r="CE6" s="364"/>
      <c r="CF6" s="364"/>
      <c r="CG6" s="364"/>
      <c r="CH6" s="364"/>
      <c r="CI6" s="364"/>
      <c r="CJ6" s="364"/>
      <c r="CK6" s="364"/>
      <c r="CL6" s="364"/>
      <c r="CM6" s="364"/>
      <c r="CN6" s="364"/>
      <c r="CO6" s="364"/>
      <c r="CP6" s="364"/>
      <c r="CQ6" s="364"/>
      <c r="CR6" s="364"/>
      <c r="CS6" s="364"/>
      <c r="CT6" s="364"/>
      <c r="CU6" s="364"/>
      <c r="CV6" s="364"/>
      <c r="CW6" s="364"/>
      <c r="CX6" s="364"/>
      <c r="CY6" s="364"/>
      <c r="CZ6" s="364"/>
      <c r="DA6" s="364"/>
      <c r="DB6" s="364"/>
      <c r="DC6" s="364"/>
      <c r="DD6" s="364"/>
      <c r="DE6" s="364"/>
      <c r="DF6" s="364"/>
      <c r="DG6" s="364"/>
      <c r="DH6" s="147"/>
      <c r="DI6" s="147"/>
      <c r="DJ6" s="147"/>
      <c r="DK6" s="147"/>
      <c r="DL6" s="104"/>
      <c r="DM6" s="104"/>
      <c r="DN6" s="104"/>
      <c r="DO6" s="364" t="s">
        <v>218</v>
      </c>
      <c r="DP6" s="364"/>
      <c r="DQ6" s="364"/>
      <c r="DR6" s="364"/>
      <c r="DS6" s="364"/>
      <c r="DT6" s="364"/>
      <c r="DU6" s="364"/>
      <c r="DV6" s="364"/>
      <c r="DW6" s="364"/>
      <c r="DX6" s="364"/>
      <c r="DY6" s="364"/>
      <c r="DZ6" s="364"/>
      <c r="EA6" s="364"/>
      <c r="EB6" s="364"/>
      <c r="EC6" s="364"/>
      <c r="ED6" s="36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  <c r="ET6" s="364"/>
      <c r="EU6" s="364"/>
      <c r="EV6" s="364"/>
      <c r="EW6" s="364"/>
      <c r="EX6" s="364"/>
      <c r="EY6" s="190"/>
    </row>
    <row r="7" spans="1:228" ht="83.25" x14ac:dyDescent="1.1499999999999999">
      <c r="A7" s="39"/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R7" s="147"/>
      <c r="S7" s="147"/>
      <c r="T7" s="147"/>
      <c r="U7" s="147"/>
      <c r="V7" s="147"/>
      <c r="W7" s="147"/>
      <c r="X7" s="147"/>
      <c r="Y7" s="147"/>
      <c r="Z7" s="364" t="s">
        <v>248</v>
      </c>
      <c r="AA7" s="364"/>
      <c r="AB7" s="364"/>
      <c r="AC7" s="364"/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4"/>
      <c r="BL7" s="364"/>
      <c r="BM7" s="364"/>
      <c r="BN7" s="364"/>
      <c r="BO7" s="364"/>
      <c r="BP7" s="364"/>
      <c r="BQ7" s="364"/>
      <c r="BR7" s="364"/>
      <c r="BS7" s="364"/>
      <c r="BT7" s="364"/>
      <c r="BU7" s="364"/>
      <c r="BV7" s="364"/>
      <c r="BW7" s="364"/>
      <c r="BX7" s="364"/>
      <c r="BY7" s="364"/>
      <c r="BZ7" s="364"/>
      <c r="CA7" s="364"/>
      <c r="CB7" s="364"/>
      <c r="CC7" s="364"/>
      <c r="CD7" s="364"/>
      <c r="CE7" s="364"/>
      <c r="CF7" s="364"/>
      <c r="CG7" s="364"/>
      <c r="CH7" s="364"/>
      <c r="CI7" s="364"/>
      <c r="CJ7" s="364"/>
      <c r="CK7" s="364"/>
      <c r="CL7" s="364"/>
      <c r="CM7" s="364"/>
      <c r="CN7" s="364"/>
      <c r="CO7" s="364"/>
      <c r="CP7" s="364"/>
      <c r="CQ7" s="364"/>
      <c r="CR7" s="364"/>
      <c r="CS7" s="364"/>
      <c r="CT7" s="364"/>
      <c r="CU7" s="364"/>
      <c r="CV7" s="364"/>
      <c r="CW7" s="364"/>
      <c r="CX7" s="364"/>
      <c r="CY7" s="364"/>
      <c r="CZ7" s="364"/>
      <c r="DA7" s="364"/>
      <c r="DB7" s="364"/>
      <c r="DC7" s="364"/>
      <c r="DD7" s="364"/>
      <c r="DE7" s="364"/>
      <c r="DF7" s="364"/>
      <c r="DG7" s="364"/>
      <c r="DH7" s="147"/>
      <c r="DI7" s="147"/>
      <c r="DJ7" s="147"/>
      <c r="DK7" s="147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04"/>
      <c r="DZ7" s="104"/>
      <c r="EA7" s="104"/>
      <c r="EB7" s="104"/>
      <c r="EC7" s="111"/>
      <c r="ED7" s="111"/>
      <c r="EE7" s="111"/>
      <c r="EF7" s="111"/>
      <c r="EG7" s="111"/>
      <c r="EH7" s="111"/>
      <c r="EI7" s="111"/>
      <c r="EJ7" s="111"/>
      <c r="EK7" s="111"/>
      <c r="EL7" s="111"/>
      <c r="EM7" s="103"/>
      <c r="EN7" s="103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89"/>
    </row>
    <row r="8" spans="1:228" ht="69" x14ac:dyDescent="0.2">
      <c r="A8" s="365" t="s">
        <v>249</v>
      </c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5"/>
      <c r="AP8" s="365"/>
      <c r="AQ8" s="365"/>
      <c r="AR8" s="365"/>
      <c r="AS8" s="365"/>
      <c r="AT8" s="365"/>
      <c r="AU8" s="365"/>
      <c r="AV8" s="365"/>
      <c r="AW8" s="365"/>
      <c r="AX8" s="365"/>
      <c r="AY8" s="365"/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5"/>
      <c r="BR8" s="365"/>
      <c r="BS8" s="365"/>
      <c r="BT8" s="365"/>
      <c r="BU8" s="365"/>
      <c r="BV8" s="365"/>
      <c r="BW8" s="365"/>
      <c r="BX8" s="365"/>
      <c r="BY8" s="365"/>
      <c r="BZ8" s="365"/>
      <c r="CA8" s="365"/>
      <c r="CB8" s="365"/>
      <c r="CC8" s="365"/>
      <c r="CD8" s="365"/>
      <c r="CE8" s="365"/>
      <c r="CF8" s="365"/>
      <c r="CG8" s="365"/>
      <c r="CH8" s="365"/>
      <c r="CI8" s="365"/>
      <c r="CJ8" s="365"/>
      <c r="CK8" s="365"/>
      <c r="CL8" s="365"/>
      <c r="CM8" s="365"/>
      <c r="CN8" s="365"/>
      <c r="CO8" s="365"/>
      <c r="CP8" s="365"/>
      <c r="CQ8" s="365"/>
      <c r="CR8" s="365"/>
      <c r="CS8" s="365"/>
      <c r="CT8" s="365"/>
      <c r="CU8" s="365"/>
      <c r="CV8" s="365"/>
      <c r="CW8" s="365"/>
      <c r="CX8" s="365"/>
      <c r="CY8" s="365"/>
      <c r="CZ8" s="365"/>
      <c r="DA8" s="365"/>
      <c r="DB8" s="365"/>
      <c r="DC8" s="365"/>
      <c r="DD8" s="365"/>
      <c r="DE8" s="365"/>
      <c r="DF8" s="365"/>
      <c r="DG8" s="365"/>
      <c r="DH8" s="365"/>
      <c r="DI8" s="365"/>
      <c r="DJ8" s="365"/>
      <c r="DK8" s="365"/>
      <c r="DL8" s="365"/>
      <c r="DM8" s="365"/>
      <c r="DN8" s="365"/>
      <c r="DO8" s="365"/>
      <c r="DP8" s="365"/>
      <c r="DQ8" s="365"/>
      <c r="DR8" s="365"/>
      <c r="DS8" s="365"/>
      <c r="DT8" s="365"/>
      <c r="DU8" s="365"/>
      <c r="DV8" s="365"/>
      <c r="DW8" s="365"/>
      <c r="DX8" s="365"/>
      <c r="DY8" s="365"/>
      <c r="DZ8" s="365"/>
      <c r="EA8" s="365"/>
      <c r="EB8" s="365"/>
      <c r="EC8" s="365"/>
      <c r="ED8" s="365"/>
      <c r="EE8" s="365"/>
      <c r="EF8" s="365"/>
      <c r="EG8" s="365"/>
      <c r="EH8" s="365"/>
      <c r="EI8" s="365"/>
      <c r="EJ8" s="365"/>
      <c r="EK8" s="365"/>
      <c r="EL8" s="365"/>
      <c r="EM8" s="365"/>
      <c r="EN8" s="365"/>
      <c r="EO8" s="365"/>
      <c r="EP8" s="365"/>
      <c r="EQ8" s="365"/>
      <c r="ER8" s="365"/>
      <c r="ES8" s="365"/>
      <c r="ET8" s="365"/>
      <c r="EU8" s="365"/>
      <c r="EV8" s="365"/>
      <c r="EW8" s="365"/>
      <c r="EX8" s="365"/>
    </row>
    <row r="9" spans="1:228" ht="30" customHeight="1" x14ac:dyDescent="0.4">
      <c r="C9" s="46"/>
      <c r="D9" s="46"/>
      <c r="E9" s="7"/>
      <c r="F9" s="8"/>
      <c r="G9" s="47"/>
      <c r="H9" s="47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EA9" s="7"/>
      <c r="EB9" s="7"/>
      <c r="EC9" s="7"/>
      <c r="ED9" s="7"/>
      <c r="EE9" s="7"/>
      <c r="EF9" s="7"/>
      <c r="EG9" s="7"/>
      <c r="EH9" s="7"/>
      <c r="EI9" s="51"/>
      <c r="EJ9" s="51"/>
      <c r="EK9" s="51"/>
      <c r="EL9" s="48"/>
      <c r="EM9" s="48"/>
      <c r="EN9" s="48"/>
      <c r="EO9" s="48"/>
      <c r="EP9" s="48"/>
      <c r="EQ9" s="51"/>
      <c r="ER9" s="51"/>
      <c r="ES9" s="51"/>
    </row>
    <row r="10" spans="1:228" ht="69" customHeight="1" x14ac:dyDescent="0.4">
      <c r="C10" s="204"/>
      <c r="D10" s="205"/>
      <c r="E10" s="205"/>
      <c r="F10" s="205"/>
      <c r="G10" s="205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  <c r="CI10" s="206"/>
      <c r="CJ10" s="206"/>
      <c r="CK10" s="206"/>
      <c r="CL10" s="206"/>
      <c r="CM10" s="206"/>
      <c r="CN10" s="206"/>
      <c r="CO10" s="206"/>
      <c r="CP10" s="206"/>
      <c r="CQ10" s="206"/>
      <c r="CR10" s="206"/>
      <c r="CS10" s="206"/>
      <c r="CT10" s="206"/>
      <c r="CU10" s="206"/>
      <c r="CV10" s="206"/>
      <c r="CW10" s="206"/>
      <c r="CX10" s="206"/>
      <c r="CY10" s="206"/>
      <c r="CZ10" s="206"/>
      <c r="DA10" s="206"/>
      <c r="DB10" s="206"/>
      <c r="DC10" s="206"/>
      <c r="DD10" s="206"/>
      <c r="DE10" s="206"/>
      <c r="DF10" s="206"/>
      <c r="DG10" s="206"/>
      <c r="DH10" s="206"/>
      <c r="DI10" s="206"/>
      <c r="DJ10" s="206"/>
      <c r="DK10" s="206"/>
      <c r="DL10" s="206"/>
      <c r="DM10" s="206"/>
      <c r="DN10" s="207"/>
      <c r="DO10" s="207"/>
      <c r="DP10" s="207"/>
      <c r="DQ10" s="207"/>
      <c r="DR10" s="207"/>
      <c r="DS10" s="207"/>
      <c r="DT10" s="207"/>
      <c r="DU10" s="207"/>
      <c r="DV10" s="207"/>
      <c r="DW10" s="207"/>
      <c r="DX10" s="207"/>
      <c r="DY10" s="207"/>
      <c r="DZ10" s="207"/>
      <c r="EA10" s="207"/>
      <c r="EB10" s="207"/>
      <c r="EC10" s="207"/>
      <c r="ED10" s="207"/>
      <c r="EE10" s="207"/>
      <c r="EF10" s="207"/>
      <c r="EG10" s="207"/>
      <c r="EH10" s="207"/>
      <c r="EI10" s="207"/>
      <c r="EJ10" s="208"/>
      <c r="EK10" s="208"/>
      <c r="EL10" s="208"/>
      <c r="EM10" s="208"/>
      <c r="EN10" s="208"/>
      <c r="EO10" s="208"/>
      <c r="EP10" s="208"/>
      <c r="EQ10" s="209"/>
      <c r="ER10" s="209"/>
      <c r="ES10" s="209"/>
      <c r="ET10" s="51"/>
      <c r="FA10" s="561" t="s">
        <v>23</v>
      </c>
      <c r="FB10" s="561"/>
      <c r="FC10" s="347" t="s">
        <v>264</v>
      </c>
      <c r="FD10" s="347"/>
      <c r="FE10" s="347"/>
      <c r="FF10" s="347"/>
      <c r="FG10" s="347"/>
      <c r="FH10" s="347"/>
      <c r="FI10" s="347"/>
      <c r="FJ10" s="347"/>
      <c r="FK10" s="347"/>
      <c r="FL10" s="347"/>
      <c r="FM10" s="347"/>
      <c r="FN10" s="347"/>
      <c r="FO10" s="347"/>
      <c r="FP10" s="347"/>
      <c r="FQ10" s="347"/>
      <c r="FR10" s="347"/>
      <c r="FS10" s="347"/>
      <c r="FT10" s="347"/>
      <c r="FU10" s="347"/>
      <c r="FV10" s="347"/>
      <c r="FW10" s="347"/>
      <c r="FX10" s="347"/>
      <c r="FY10" s="347"/>
      <c r="FZ10" s="347"/>
      <c r="GA10" s="347"/>
      <c r="GB10" s="347"/>
      <c r="GC10" s="347"/>
      <c r="GD10" s="347"/>
      <c r="GE10" s="347"/>
      <c r="GF10" s="347"/>
      <c r="GG10" s="347"/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  <c r="GY10" s="347"/>
      <c r="GZ10" s="347"/>
      <c r="HA10" s="347"/>
      <c r="HB10" s="347"/>
      <c r="HC10" s="347" t="s">
        <v>20</v>
      </c>
      <c r="HD10" s="347"/>
      <c r="HE10" s="347"/>
      <c r="HF10" s="347"/>
      <c r="HG10" s="347"/>
      <c r="HH10" s="347"/>
      <c r="HI10" s="347"/>
      <c r="HJ10" s="347"/>
      <c r="HK10" s="347"/>
      <c r="HL10" s="347"/>
      <c r="HM10" s="347"/>
      <c r="HN10" s="347"/>
      <c r="HO10" s="347"/>
      <c r="HP10" s="347"/>
      <c r="HQ10" s="561" t="s">
        <v>265</v>
      </c>
      <c r="HR10" s="561"/>
      <c r="HS10" s="561" t="s">
        <v>22</v>
      </c>
      <c r="HT10" s="561"/>
    </row>
    <row r="11" spans="1:228" ht="42" customHeight="1" x14ac:dyDescent="0.4">
      <c r="C11" s="204"/>
      <c r="D11" s="205"/>
      <c r="E11" s="205"/>
      <c r="F11" s="205"/>
      <c r="G11" s="205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  <c r="CI11" s="206"/>
      <c r="CJ11" s="206"/>
      <c r="CK11" s="206"/>
      <c r="CL11" s="206"/>
      <c r="CM11" s="206"/>
      <c r="CN11" s="206"/>
      <c r="CO11" s="206"/>
      <c r="CP11" s="206"/>
      <c r="CQ11" s="206"/>
      <c r="CR11" s="206"/>
      <c r="CS11" s="206"/>
      <c r="CT11" s="206"/>
      <c r="CU11" s="206"/>
      <c r="CV11" s="206"/>
      <c r="CW11" s="206"/>
      <c r="CX11" s="206"/>
      <c r="CY11" s="206"/>
      <c r="CZ11" s="206"/>
      <c r="DA11" s="206"/>
      <c r="DB11" s="206"/>
      <c r="DC11" s="206"/>
      <c r="DD11" s="206"/>
      <c r="DE11" s="206"/>
      <c r="DF11" s="206"/>
      <c r="DG11" s="206"/>
      <c r="DH11" s="206"/>
      <c r="DI11" s="206"/>
      <c r="DJ11" s="206"/>
      <c r="DK11" s="206"/>
      <c r="DL11" s="206"/>
      <c r="DM11" s="206"/>
      <c r="DN11" s="208"/>
      <c r="DO11" s="208"/>
      <c r="DP11" s="208"/>
      <c r="DQ11" s="208"/>
      <c r="DR11" s="210"/>
      <c r="DS11" s="210"/>
      <c r="DT11" s="210"/>
      <c r="DU11" s="210"/>
      <c r="DV11" s="210"/>
      <c r="DW11" s="210"/>
      <c r="DX11" s="210"/>
      <c r="DY11" s="210"/>
      <c r="DZ11" s="210"/>
      <c r="EA11" s="210"/>
      <c r="EB11" s="210"/>
      <c r="EC11" s="210"/>
      <c r="ED11" s="210"/>
      <c r="EE11" s="210"/>
      <c r="EF11" s="210"/>
      <c r="EG11" s="210"/>
      <c r="EH11" s="210"/>
      <c r="EI11" s="210"/>
      <c r="EJ11" s="208"/>
      <c r="EK11" s="208"/>
      <c r="EL11" s="208"/>
      <c r="EM11" s="208"/>
      <c r="EN11" s="208"/>
      <c r="EO11" s="208"/>
      <c r="EP11" s="208"/>
      <c r="EQ11" s="209"/>
      <c r="ER11" s="209"/>
      <c r="ES11" s="209"/>
      <c r="ET11" s="51"/>
      <c r="FA11" s="561"/>
      <c r="FB11" s="561"/>
      <c r="FC11" s="347"/>
      <c r="FD11" s="347"/>
      <c r="FE11" s="347"/>
      <c r="FF11" s="347"/>
      <c r="FG11" s="347"/>
      <c r="FH11" s="347"/>
      <c r="FI11" s="347"/>
      <c r="FJ11" s="347"/>
      <c r="FK11" s="347"/>
      <c r="FL11" s="347"/>
      <c r="FM11" s="347"/>
      <c r="FN11" s="347"/>
      <c r="FO11" s="347"/>
      <c r="FP11" s="347"/>
      <c r="FQ11" s="347"/>
      <c r="FR11" s="347"/>
      <c r="FS11" s="347"/>
      <c r="FT11" s="347"/>
      <c r="FU11" s="347"/>
      <c r="FV11" s="347"/>
      <c r="FW11" s="347"/>
      <c r="FX11" s="347"/>
      <c r="FY11" s="347"/>
      <c r="FZ11" s="347"/>
      <c r="GA11" s="347"/>
      <c r="GB11" s="347"/>
      <c r="GC11" s="347"/>
      <c r="GD11" s="347"/>
      <c r="GE11" s="347"/>
      <c r="GF11" s="347"/>
      <c r="GG11" s="347"/>
      <c r="GH11" s="347"/>
      <c r="GI11" s="347"/>
      <c r="GJ11" s="347"/>
      <c r="GK11" s="347"/>
      <c r="GL11" s="347"/>
      <c r="GM11" s="347"/>
      <c r="GN11" s="347"/>
      <c r="GO11" s="347"/>
      <c r="GP11" s="347"/>
      <c r="GQ11" s="347"/>
      <c r="GR11" s="347"/>
      <c r="GS11" s="347"/>
      <c r="GT11" s="347"/>
      <c r="GU11" s="347"/>
      <c r="GV11" s="347"/>
      <c r="GW11" s="347"/>
      <c r="GX11" s="347"/>
      <c r="GY11" s="347"/>
      <c r="GZ11" s="347"/>
      <c r="HA11" s="347"/>
      <c r="HB11" s="347"/>
      <c r="HC11" s="561" t="s">
        <v>21</v>
      </c>
      <c r="HD11" s="561"/>
      <c r="HE11" s="347" t="s">
        <v>86</v>
      </c>
      <c r="HF11" s="347"/>
      <c r="HG11" s="347"/>
      <c r="HH11" s="347"/>
      <c r="HI11" s="347"/>
      <c r="HJ11" s="347"/>
      <c r="HK11" s="347"/>
      <c r="HL11" s="347"/>
      <c r="HM11" s="347"/>
      <c r="HN11" s="347"/>
      <c r="HO11" s="347"/>
      <c r="HP11" s="347"/>
      <c r="HQ11" s="561"/>
      <c r="HR11" s="561"/>
      <c r="HS11" s="561"/>
      <c r="HT11" s="561"/>
    </row>
    <row r="12" spans="1:228" ht="69.95" customHeight="1" x14ac:dyDescent="0.4">
      <c r="C12" s="204"/>
      <c r="D12" s="205"/>
      <c r="E12" s="205"/>
      <c r="F12" s="205"/>
      <c r="G12" s="205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  <c r="CI12" s="206"/>
      <c r="CJ12" s="206"/>
      <c r="CK12" s="206"/>
      <c r="CL12" s="206"/>
      <c r="CM12" s="206"/>
      <c r="CN12" s="206"/>
      <c r="CO12" s="206"/>
      <c r="CP12" s="206"/>
      <c r="CQ12" s="206"/>
      <c r="CR12" s="206"/>
      <c r="CS12" s="206"/>
      <c r="CT12" s="206"/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6"/>
      <c r="DL12" s="206"/>
      <c r="DM12" s="206"/>
      <c r="DN12" s="208"/>
      <c r="DO12" s="208"/>
      <c r="DP12" s="208"/>
      <c r="DQ12" s="208"/>
      <c r="DR12" s="208"/>
      <c r="DS12" s="208"/>
      <c r="DT12" s="208"/>
      <c r="DU12" s="208"/>
      <c r="DV12" s="208"/>
      <c r="DW12" s="208"/>
      <c r="DX12" s="208"/>
      <c r="DY12" s="208"/>
      <c r="DZ12" s="208"/>
      <c r="EA12" s="208"/>
      <c r="EB12" s="208"/>
      <c r="EC12" s="208"/>
      <c r="ED12" s="208"/>
      <c r="EE12" s="208"/>
      <c r="EF12" s="208"/>
      <c r="EG12" s="211"/>
      <c r="EH12" s="211"/>
      <c r="EI12" s="211"/>
      <c r="EJ12" s="208"/>
      <c r="EK12" s="208"/>
      <c r="EL12" s="208"/>
      <c r="EM12" s="208"/>
      <c r="EN12" s="208"/>
      <c r="EO12" s="208"/>
      <c r="EP12" s="208"/>
      <c r="EQ12" s="209"/>
      <c r="ER12" s="209"/>
      <c r="ES12" s="209"/>
      <c r="ET12" s="51"/>
      <c r="FA12" s="561"/>
      <c r="FB12" s="561"/>
      <c r="FC12" s="347"/>
      <c r="FD12" s="347"/>
      <c r="FE12" s="347"/>
      <c r="FF12" s="347"/>
      <c r="FG12" s="347"/>
      <c r="FH12" s="347"/>
      <c r="FI12" s="347"/>
      <c r="FJ12" s="347"/>
      <c r="FK12" s="347"/>
      <c r="FL12" s="347"/>
      <c r="FM12" s="347"/>
      <c r="FN12" s="347"/>
      <c r="FO12" s="347"/>
      <c r="FP12" s="347"/>
      <c r="FQ12" s="347"/>
      <c r="FR12" s="347"/>
      <c r="FS12" s="347"/>
      <c r="FT12" s="347"/>
      <c r="FU12" s="347"/>
      <c r="FV12" s="347"/>
      <c r="FW12" s="347"/>
      <c r="FX12" s="347"/>
      <c r="FY12" s="347"/>
      <c r="FZ12" s="347"/>
      <c r="GA12" s="347"/>
      <c r="GB12" s="347"/>
      <c r="GC12" s="347"/>
      <c r="GD12" s="347"/>
      <c r="GE12" s="347"/>
      <c r="GF12" s="347"/>
      <c r="GG12" s="347"/>
      <c r="GH12" s="347"/>
      <c r="GI12" s="347"/>
      <c r="GJ12" s="347"/>
      <c r="GK12" s="347"/>
      <c r="GL12" s="347"/>
      <c r="GM12" s="347"/>
      <c r="GN12" s="347"/>
      <c r="GO12" s="347"/>
      <c r="GP12" s="347"/>
      <c r="GQ12" s="347"/>
      <c r="GR12" s="347"/>
      <c r="GS12" s="347"/>
      <c r="GT12" s="347"/>
      <c r="GU12" s="347"/>
      <c r="GV12" s="347"/>
      <c r="GW12" s="347"/>
      <c r="GX12" s="347"/>
      <c r="GY12" s="347"/>
      <c r="GZ12" s="347"/>
      <c r="HA12" s="347"/>
      <c r="HB12" s="347"/>
      <c r="HC12" s="561"/>
      <c r="HD12" s="561"/>
      <c r="HE12" s="562" t="s">
        <v>266</v>
      </c>
      <c r="HF12" s="563"/>
      <c r="HG12" s="562" t="s">
        <v>17</v>
      </c>
      <c r="HH12" s="563"/>
      <c r="HI12" s="562" t="s">
        <v>267</v>
      </c>
      <c r="HJ12" s="563"/>
      <c r="HK12" s="562" t="s">
        <v>15</v>
      </c>
      <c r="HL12" s="563"/>
      <c r="HM12" s="562" t="s">
        <v>18</v>
      </c>
      <c r="HN12" s="563"/>
      <c r="HO12" s="568" t="s">
        <v>320</v>
      </c>
      <c r="HP12" s="569"/>
      <c r="HQ12" s="561"/>
      <c r="HR12" s="561"/>
      <c r="HS12" s="561"/>
      <c r="HT12" s="561"/>
    </row>
    <row r="13" spans="1:228" ht="69.95" customHeight="1" x14ac:dyDescent="0.4">
      <c r="C13" s="204"/>
      <c r="D13" s="205"/>
      <c r="E13" s="205"/>
      <c r="F13" s="205"/>
      <c r="G13" s="205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11"/>
      <c r="EH13" s="211"/>
      <c r="EI13" s="211"/>
      <c r="EJ13" s="208"/>
      <c r="EK13" s="208"/>
      <c r="EL13" s="208"/>
      <c r="EM13" s="208"/>
      <c r="EN13" s="208"/>
      <c r="EO13" s="208"/>
      <c r="EP13" s="208"/>
      <c r="EQ13" s="209"/>
      <c r="ER13" s="209"/>
      <c r="ES13" s="209"/>
      <c r="ET13" s="51"/>
      <c r="FA13" s="561"/>
      <c r="FB13" s="561"/>
      <c r="FC13" s="347"/>
      <c r="FD13" s="347"/>
      <c r="FE13" s="347"/>
      <c r="FF13" s="347"/>
      <c r="FG13" s="347"/>
      <c r="FH13" s="347"/>
      <c r="FI13" s="347"/>
      <c r="FJ13" s="347"/>
      <c r="FK13" s="347"/>
      <c r="FL13" s="347"/>
      <c r="FM13" s="347"/>
      <c r="FN13" s="347"/>
      <c r="FO13" s="347"/>
      <c r="FP13" s="347"/>
      <c r="FQ13" s="347"/>
      <c r="FR13" s="347"/>
      <c r="FS13" s="347"/>
      <c r="FT13" s="347"/>
      <c r="FU13" s="347"/>
      <c r="FV13" s="347"/>
      <c r="FW13" s="347"/>
      <c r="FX13" s="347"/>
      <c r="FY13" s="347"/>
      <c r="FZ13" s="347"/>
      <c r="GA13" s="347"/>
      <c r="GB13" s="347"/>
      <c r="GC13" s="347"/>
      <c r="GD13" s="347"/>
      <c r="GE13" s="347"/>
      <c r="GF13" s="347"/>
      <c r="GG13" s="347"/>
      <c r="GH13" s="347"/>
      <c r="GI13" s="347"/>
      <c r="GJ13" s="347"/>
      <c r="GK13" s="347"/>
      <c r="GL13" s="347"/>
      <c r="GM13" s="347"/>
      <c r="GN13" s="347"/>
      <c r="GO13" s="347"/>
      <c r="GP13" s="347"/>
      <c r="GQ13" s="347"/>
      <c r="GR13" s="347"/>
      <c r="GS13" s="347"/>
      <c r="GT13" s="347"/>
      <c r="GU13" s="347"/>
      <c r="GV13" s="347"/>
      <c r="GW13" s="347"/>
      <c r="GX13" s="347"/>
      <c r="GY13" s="347"/>
      <c r="GZ13" s="347"/>
      <c r="HA13" s="347"/>
      <c r="HB13" s="347"/>
      <c r="HC13" s="561"/>
      <c r="HD13" s="561"/>
      <c r="HE13" s="564"/>
      <c r="HF13" s="565"/>
      <c r="HG13" s="564"/>
      <c r="HH13" s="565"/>
      <c r="HI13" s="564"/>
      <c r="HJ13" s="565"/>
      <c r="HK13" s="564"/>
      <c r="HL13" s="565"/>
      <c r="HM13" s="564"/>
      <c r="HN13" s="565"/>
      <c r="HO13" s="570"/>
      <c r="HP13" s="571"/>
      <c r="HQ13" s="561"/>
      <c r="HR13" s="561"/>
      <c r="HS13" s="561"/>
      <c r="HT13" s="561"/>
    </row>
    <row r="14" spans="1:228" ht="69.95" customHeight="1" x14ac:dyDescent="0.4">
      <c r="C14" s="204"/>
      <c r="D14" s="205"/>
      <c r="E14" s="205"/>
      <c r="F14" s="205"/>
      <c r="G14" s="205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6"/>
      <c r="DL14" s="206"/>
      <c r="DM14" s="206"/>
      <c r="DN14" s="208"/>
      <c r="DO14" s="208"/>
      <c r="DP14" s="208"/>
      <c r="DQ14" s="208"/>
      <c r="DR14" s="208"/>
      <c r="DS14" s="208"/>
      <c r="DT14" s="208"/>
      <c r="DU14" s="208"/>
      <c r="DV14" s="208"/>
      <c r="DW14" s="208"/>
      <c r="DX14" s="208"/>
      <c r="DY14" s="208"/>
      <c r="DZ14" s="208"/>
      <c r="EA14" s="208"/>
      <c r="EB14" s="208"/>
      <c r="EC14" s="208"/>
      <c r="ED14" s="208"/>
      <c r="EE14" s="208"/>
      <c r="EF14" s="208"/>
      <c r="EG14" s="211"/>
      <c r="EH14" s="211"/>
      <c r="EI14" s="211"/>
      <c r="EJ14" s="208"/>
      <c r="EK14" s="208"/>
      <c r="EL14" s="208"/>
      <c r="EM14" s="208"/>
      <c r="EN14" s="208"/>
      <c r="EO14" s="208"/>
      <c r="EP14" s="208"/>
      <c r="EQ14" s="209"/>
      <c r="ER14" s="209"/>
      <c r="ES14" s="209"/>
      <c r="ET14" s="51"/>
      <c r="FA14" s="561"/>
      <c r="FB14" s="561"/>
      <c r="FC14" s="574" t="s">
        <v>269</v>
      </c>
      <c r="FD14" s="575"/>
      <c r="FE14" s="575"/>
      <c r="FF14" s="575"/>
      <c r="FG14" s="576"/>
      <c r="FH14" s="574" t="s">
        <v>270</v>
      </c>
      <c r="FI14" s="575"/>
      <c r="FJ14" s="575"/>
      <c r="FK14" s="576"/>
      <c r="FL14" s="574" t="s">
        <v>46</v>
      </c>
      <c r="FM14" s="575"/>
      <c r="FN14" s="575"/>
      <c r="FO14" s="575"/>
      <c r="FP14" s="576"/>
      <c r="FQ14" s="574" t="s">
        <v>47</v>
      </c>
      <c r="FR14" s="575"/>
      <c r="FS14" s="575"/>
      <c r="FT14" s="576"/>
      <c r="FU14" s="574" t="s">
        <v>48</v>
      </c>
      <c r="FV14" s="575"/>
      <c r="FW14" s="575"/>
      <c r="FX14" s="575"/>
      <c r="FY14" s="576"/>
      <c r="FZ14" s="574" t="s">
        <v>49</v>
      </c>
      <c r="GA14" s="575"/>
      <c r="GB14" s="575"/>
      <c r="GC14" s="576"/>
      <c r="GD14" s="574" t="s">
        <v>50</v>
      </c>
      <c r="GE14" s="575"/>
      <c r="GF14" s="575"/>
      <c r="GG14" s="575"/>
      <c r="GH14" s="576"/>
      <c r="GI14" s="574" t="s">
        <v>51</v>
      </c>
      <c r="GJ14" s="575"/>
      <c r="GK14" s="575"/>
      <c r="GL14" s="576"/>
      <c r="GM14" s="574" t="s">
        <v>52</v>
      </c>
      <c r="GN14" s="575"/>
      <c r="GO14" s="575"/>
      <c r="GP14" s="576"/>
      <c r="GQ14" s="574" t="s">
        <v>53</v>
      </c>
      <c r="GR14" s="575"/>
      <c r="GS14" s="575"/>
      <c r="GT14" s="576"/>
      <c r="GU14" s="574" t="s">
        <v>271</v>
      </c>
      <c r="GV14" s="575"/>
      <c r="GW14" s="575"/>
      <c r="GX14" s="576"/>
      <c r="GY14" s="574" t="s">
        <v>54</v>
      </c>
      <c r="GZ14" s="575"/>
      <c r="HA14" s="575"/>
      <c r="HB14" s="576"/>
      <c r="HC14" s="561"/>
      <c r="HD14" s="561"/>
      <c r="HE14" s="564"/>
      <c r="HF14" s="565"/>
      <c r="HG14" s="564"/>
      <c r="HH14" s="565"/>
      <c r="HI14" s="564"/>
      <c r="HJ14" s="565"/>
      <c r="HK14" s="564"/>
      <c r="HL14" s="565"/>
      <c r="HM14" s="564"/>
      <c r="HN14" s="565"/>
      <c r="HO14" s="570"/>
      <c r="HP14" s="571"/>
      <c r="HQ14" s="561"/>
      <c r="HR14" s="561"/>
      <c r="HS14" s="561"/>
      <c r="HT14" s="561"/>
    </row>
    <row r="15" spans="1:228" ht="69.95" customHeight="1" x14ac:dyDescent="0.4">
      <c r="C15" s="204"/>
      <c r="D15" s="205"/>
      <c r="E15" s="205"/>
      <c r="F15" s="205"/>
      <c r="G15" s="205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12"/>
      <c r="CI15" s="212"/>
      <c r="CJ15" s="212"/>
      <c r="CK15" s="212"/>
      <c r="CL15" s="212"/>
      <c r="CM15" s="212"/>
      <c r="CN15" s="212"/>
      <c r="CO15" s="212"/>
      <c r="CP15" s="212"/>
      <c r="CQ15" s="212"/>
      <c r="CR15" s="212"/>
      <c r="CS15" s="212"/>
      <c r="CT15" s="212"/>
      <c r="CU15" s="212"/>
      <c r="CV15" s="212"/>
      <c r="CW15" s="212"/>
      <c r="CX15" s="212"/>
      <c r="CY15" s="212"/>
      <c r="CZ15" s="212"/>
      <c r="DA15" s="212"/>
      <c r="DB15" s="212"/>
      <c r="DC15" s="212"/>
      <c r="DD15" s="212"/>
      <c r="DE15" s="212"/>
      <c r="DF15" s="212"/>
      <c r="DG15" s="212"/>
      <c r="DH15" s="212"/>
      <c r="DI15" s="212"/>
      <c r="DJ15" s="212"/>
      <c r="DK15" s="212"/>
      <c r="DL15" s="212"/>
      <c r="DM15" s="212"/>
      <c r="DN15" s="208"/>
      <c r="DO15" s="208"/>
      <c r="DP15" s="208"/>
      <c r="DQ15" s="208"/>
      <c r="DR15" s="208"/>
      <c r="DS15" s="208"/>
      <c r="DT15" s="208"/>
      <c r="DU15" s="208"/>
      <c r="DV15" s="208"/>
      <c r="DW15" s="208"/>
      <c r="DX15" s="208"/>
      <c r="DY15" s="208"/>
      <c r="DZ15" s="208"/>
      <c r="EA15" s="208"/>
      <c r="EB15" s="208"/>
      <c r="EC15" s="208"/>
      <c r="ED15" s="208"/>
      <c r="EE15" s="208"/>
      <c r="EF15" s="208"/>
      <c r="EG15" s="211"/>
      <c r="EH15" s="211"/>
      <c r="EI15" s="211"/>
      <c r="EJ15" s="208"/>
      <c r="EK15" s="208"/>
      <c r="EL15" s="208"/>
      <c r="EM15" s="208"/>
      <c r="EN15" s="208"/>
      <c r="EO15" s="208"/>
      <c r="EP15" s="208"/>
      <c r="EQ15" s="209"/>
      <c r="ER15" s="209"/>
      <c r="ES15" s="209"/>
      <c r="ET15" s="51"/>
      <c r="FA15" s="561"/>
      <c r="FB15" s="561"/>
      <c r="FC15" s="253">
        <v>1</v>
      </c>
      <c r="FD15" s="253">
        <v>2</v>
      </c>
      <c r="FE15" s="253">
        <v>3</v>
      </c>
      <c r="FF15" s="253">
        <v>4</v>
      </c>
      <c r="FG15" s="253">
        <v>5</v>
      </c>
      <c r="FH15" s="253">
        <v>6</v>
      </c>
      <c r="FI15" s="253">
        <v>7</v>
      </c>
      <c r="FJ15" s="253">
        <v>8</v>
      </c>
      <c r="FK15" s="253">
        <v>9</v>
      </c>
      <c r="FL15" s="253">
        <v>10</v>
      </c>
      <c r="FM15" s="253">
        <v>11</v>
      </c>
      <c r="FN15" s="253">
        <v>12</v>
      </c>
      <c r="FO15" s="253">
        <v>13</v>
      </c>
      <c r="FP15" s="253">
        <v>14</v>
      </c>
      <c r="FQ15" s="253">
        <v>15</v>
      </c>
      <c r="FR15" s="253">
        <v>16</v>
      </c>
      <c r="FS15" s="253">
        <v>17</v>
      </c>
      <c r="FT15" s="253">
        <v>18</v>
      </c>
      <c r="FU15" s="253">
        <v>19</v>
      </c>
      <c r="FV15" s="253">
        <v>20</v>
      </c>
      <c r="FW15" s="253">
        <v>21</v>
      </c>
      <c r="FX15" s="253">
        <v>22</v>
      </c>
      <c r="FY15" s="253">
        <v>23</v>
      </c>
      <c r="FZ15" s="253">
        <v>24</v>
      </c>
      <c r="GA15" s="253">
        <v>25</v>
      </c>
      <c r="GB15" s="253">
        <v>26</v>
      </c>
      <c r="GC15" s="253">
        <v>27</v>
      </c>
      <c r="GD15" s="253">
        <v>28</v>
      </c>
      <c r="GE15" s="253">
        <v>29</v>
      </c>
      <c r="GF15" s="253">
        <v>30</v>
      </c>
      <c r="GG15" s="253">
        <v>31</v>
      </c>
      <c r="GH15" s="253">
        <v>32</v>
      </c>
      <c r="GI15" s="253">
        <v>33</v>
      </c>
      <c r="GJ15" s="253">
        <v>34</v>
      </c>
      <c r="GK15" s="253">
        <v>35</v>
      </c>
      <c r="GL15" s="253">
        <v>36</v>
      </c>
      <c r="GM15" s="253">
        <v>37</v>
      </c>
      <c r="GN15" s="253">
        <v>38</v>
      </c>
      <c r="GO15" s="253">
        <v>39</v>
      </c>
      <c r="GP15" s="253">
        <v>40</v>
      </c>
      <c r="GQ15" s="253">
        <v>41</v>
      </c>
      <c r="GR15" s="253">
        <v>42</v>
      </c>
      <c r="GS15" s="253">
        <v>43</v>
      </c>
      <c r="GT15" s="253">
        <v>44</v>
      </c>
      <c r="GU15" s="253">
        <v>45</v>
      </c>
      <c r="GV15" s="253">
        <v>46</v>
      </c>
      <c r="GW15" s="253">
        <v>47</v>
      </c>
      <c r="GX15" s="253">
        <v>48</v>
      </c>
      <c r="GY15" s="253">
        <v>49</v>
      </c>
      <c r="GZ15" s="253">
        <v>50</v>
      </c>
      <c r="HA15" s="253">
        <v>51</v>
      </c>
      <c r="HB15" s="253">
        <v>52</v>
      </c>
      <c r="HC15" s="561"/>
      <c r="HD15" s="561"/>
      <c r="HE15" s="566"/>
      <c r="HF15" s="567"/>
      <c r="HG15" s="566"/>
      <c r="HH15" s="567"/>
      <c r="HI15" s="566"/>
      <c r="HJ15" s="567"/>
      <c r="HK15" s="566"/>
      <c r="HL15" s="567"/>
      <c r="HM15" s="566"/>
      <c r="HN15" s="567"/>
      <c r="HO15" s="572"/>
      <c r="HP15" s="573"/>
      <c r="HQ15" s="561"/>
      <c r="HR15" s="561"/>
      <c r="HS15" s="561"/>
      <c r="HT15" s="561"/>
    </row>
    <row r="16" spans="1:228" ht="60" customHeight="1" x14ac:dyDescent="0.4">
      <c r="C16" s="204"/>
      <c r="D16" s="205"/>
      <c r="E16" s="205"/>
      <c r="F16" s="205"/>
      <c r="G16" s="205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  <c r="CE16" s="213"/>
      <c r="CF16" s="213"/>
      <c r="CG16" s="213"/>
      <c r="CH16" s="213"/>
      <c r="CI16" s="213"/>
      <c r="CJ16" s="213"/>
      <c r="CK16" s="213"/>
      <c r="CL16" s="213"/>
      <c r="CM16" s="213"/>
      <c r="CN16" s="213"/>
      <c r="CO16" s="213"/>
      <c r="CP16" s="213"/>
      <c r="CQ16" s="213"/>
      <c r="CR16" s="213"/>
      <c r="CS16" s="213"/>
      <c r="CT16" s="213"/>
      <c r="CU16" s="213"/>
      <c r="CV16" s="213"/>
      <c r="CW16" s="213"/>
      <c r="CX16" s="213"/>
      <c r="CY16" s="213"/>
      <c r="CZ16" s="213"/>
      <c r="DA16" s="213"/>
      <c r="DB16" s="213"/>
      <c r="DC16" s="213"/>
      <c r="DD16" s="213"/>
      <c r="DE16" s="213"/>
      <c r="DF16" s="213"/>
      <c r="DG16" s="213"/>
      <c r="DH16" s="213"/>
      <c r="DI16" s="213"/>
      <c r="DJ16" s="213"/>
      <c r="DK16" s="213"/>
      <c r="DL16" s="213"/>
      <c r="DM16" s="213"/>
      <c r="DN16" s="208"/>
      <c r="DO16" s="208"/>
      <c r="DP16" s="208"/>
      <c r="DQ16" s="208"/>
      <c r="DR16" s="208"/>
      <c r="DS16" s="208"/>
      <c r="DT16" s="208"/>
      <c r="DU16" s="208"/>
      <c r="DV16" s="208"/>
      <c r="DW16" s="208"/>
      <c r="DX16" s="208"/>
      <c r="DY16" s="208"/>
      <c r="DZ16" s="208"/>
      <c r="EA16" s="208"/>
      <c r="EB16" s="208"/>
      <c r="EC16" s="208"/>
      <c r="ED16" s="208"/>
      <c r="EE16" s="208"/>
      <c r="EF16" s="208"/>
      <c r="EG16" s="211"/>
      <c r="EH16" s="211"/>
      <c r="EI16" s="211"/>
      <c r="EJ16" s="208"/>
      <c r="EK16" s="208"/>
      <c r="EL16" s="208"/>
      <c r="EM16" s="208"/>
      <c r="EN16" s="208"/>
      <c r="EO16" s="208"/>
      <c r="EP16" s="208"/>
      <c r="EQ16" s="209"/>
      <c r="ER16" s="209"/>
      <c r="ES16" s="209"/>
      <c r="ET16" s="51"/>
      <c r="FA16" s="347" t="s">
        <v>0</v>
      </c>
      <c r="FB16" s="347"/>
      <c r="FC16" s="253" t="s">
        <v>55</v>
      </c>
      <c r="FD16" s="253" t="s">
        <v>45</v>
      </c>
      <c r="FE16" s="253" t="s">
        <v>45</v>
      </c>
      <c r="FF16" s="253"/>
      <c r="FG16" s="253"/>
      <c r="FH16" s="253"/>
      <c r="FI16" s="253"/>
      <c r="FJ16" s="253"/>
      <c r="FK16" s="253"/>
      <c r="FL16" s="253"/>
      <c r="FM16" s="253"/>
      <c r="FN16" s="253"/>
      <c r="FO16" s="253"/>
      <c r="FP16" s="253"/>
      <c r="FQ16" s="253"/>
      <c r="FR16" s="253"/>
      <c r="FS16" s="253"/>
      <c r="FT16" s="253"/>
      <c r="FU16" s="253" t="s">
        <v>55</v>
      </c>
      <c r="FV16" s="253" t="s">
        <v>55</v>
      </c>
      <c r="FW16" s="253" t="s">
        <v>56</v>
      </c>
      <c r="FX16" s="253" t="s">
        <v>56</v>
      </c>
      <c r="FY16" s="253" t="s">
        <v>55</v>
      </c>
      <c r="FZ16" s="253" t="s">
        <v>55</v>
      </c>
      <c r="GA16" s="253"/>
      <c r="GB16" s="253"/>
      <c r="GC16" s="253"/>
      <c r="GD16" s="253"/>
      <c r="GE16" s="253"/>
      <c r="GF16" s="253"/>
      <c r="GG16" s="253"/>
      <c r="GH16" s="253"/>
      <c r="GI16" s="253" t="s">
        <v>57</v>
      </c>
      <c r="GJ16" s="253" t="s">
        <v>57</v>
      </c>
      <c r="GK16" s="253" t="s">
        <v>57</v>
      </c>
      <c r="GL16" s="253"/>
      <c r="GM16" s="253"/>
      <c r="GN16" s="253"/>
      <c r="GO16" s="253"/>
      <c r="GP16" s="253"/>
      <c r="GQ16" s="253"/>
      <c r="GR16" s="253"/>
      <c r="GS16" s="253" t="s">
        <v>56</v>
      </c>
      <c r="GT16" s="253" t="s">
        <v>56</v>
      </c>
      <c r="GU16" s="253" t="s">
        <v>55</v>
      </c>
      <c r="GV16" s="253" t="s">
        <v>55</v>
      </c>
      <c r="GW16" s="253" t="s">
        <v>55</v>
      </c>
      <c r="GX16" s="253" t="s">
        <v>55</v>
      </c>
      <c r="GY16" s="253" t="s">
        <v>55</v>
      </c>
      <c r="GZ16" s="253" t="s">
        <v>55</v>
      </c>
      <c r="HA16" s="253" t="s">
        <v>55</v>
      </c>
      <c r="HB16" s="253" t="s">
        <v>55</v>
      </c>
      <c r="HC16" s="577">
        <f>SUM(HE16:HP16)</f>
        <v>39</v>
      </c>
      <c r="HD16" s="578"/>
      <c r="HE16" s="577">
        <v>30</v>
      </c>
      <c r="HF16" s="578"/>
      <c r="HG16" s="577">
        <v>4</v>
      </c>
      <c r="HH16" s="578"/>
      <c r="HI16" s="577">
        <v>2</v>
      </c>
      <c r="HJ16" s="578"/>
      <c r="HK16" s="577">
        <v>3</v>
      </c>
      <c r="HL16" s="578"/>
      <c r="HM16" s="577">
        <v>0</v>
      </c>
      <c r="HN16" s="578"/>
      <c r="HO16" s="577">
        <v>0</v>
      </c>
      <c r="HP16" s="578"/>
      <c r="HQ16" s="577">
        <v>13</v>
      </c>
      <c r="HR16" s="578"/>
      <c r="HS16" s="579">
        <f>HC16+HQ16</f>
        <v>52</v>
      </c>
      <c r="HT16" s="579"/>
    </row>
    <row r="17" spans="1:228" ht="54" customHeight="1" x14ac:dyDescent="0.4">
      <c r="C17" s="204"/>
      <c r="D17" s="213"/>
      <c r="E17" s="213"/>
      <c r="F17" s="213"/>
      <c r="G17" s="213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  <c r="CR17" s="212"/>
      <c r="CS17" s="212"/>
      <c r="CT17" s="212"/>
      <c r="CU17" s="212"/>
      <c r="CV17" s="212"/>
      <c r="CW17" s="212"/>
      <c r="CX17" s="212"/>
      <c r="CY17" s="212"/>
      <c r="CZ17" s="212"/>
      <c r="DA17" s="212"/>
      <c r="DB17" s="212"/>
      <c r="DC17" s="212"/>
      <c r="DD17" s="212"/>
      <c r="DE17" s="212"/>
      <c r="DF17" s="212"/>
      <c r="DG17" s="212"/>
      <c r="DH17" s="212"/>
      <c r="DI17" s="212"/>
      <c r="DJ17" s="212"/>
      <c r="DK17" s="212"/>
      <c r="DL17" s="212"/>
      <c r="DM17" s="212"/>
      <c r="DN17" s="213"/>
      <c r="DO17" s="213"/>
      <c r="DP17" s="213"/>
      <c r="DQ17" s="213"/>
      <c r="DR17" s="214"/>
      <c r="DS17" s="214"/>
      <c r="DT17" s="214"/>
      <c r="DU17" s="214"/>
      <c r="DV17" s="214"/>
      <c r="DW17" s="214"/>
      <c r="DX17" s="214"/>
      <c r="DY17" s="214"/>
      <c r="DZ17" s="214"/>
      <c r="EA17" s="214"/>
      <c r="EB17" s="214"/>
      <c r="EC17" s="214"/>
      <c r="ED17" s="214"/>
      <c r="EE17" s="214"/>
      <c r="EF17" s="214"/>
      <c r="EG17" s="214"/>
      <c r="EH17" s="214"/>
      <c r="EI17" s="214"/>
      <c r="EJ17" s="214"/>
      <c r="EK17" s="214"/>
      <c r="EL17" s="214"/>
      <c r="EM17" s="207"/>
      <c r="EN17" s="207"/>
      <c r="EO17" s="207"/>
      <c r="EP17" s="207"/>
      <c r="EQ17" s="209"/>
      <c r="ER17" s="209"/>
      <c r="ES17" s="209"/>
      <c r="ET17" s="51"/>
      <c r="FA17" s="347" t="s">
        <v>1</v>
      </c>
      <c r="FB17" s="347"/>
      <c r="FC17" s="253" t="s">
        <v>55</v>
      </c>
      <c r="FD17" s="253" t="s">
        <v>45</v>
      </c>
      <c r="FE17" s="241"/>
      <c r="FF17" s="241"/>
      <c r="FG17" s="241"/>
      <c r="FH17" s="241"/>
      <c r="FI17" s="241"/>
      <c r="FJ17" s="241"/>
      <c r="FK17" s="241"/>
      <c r="FL17" s="241"/>
      <c r="FM17" s="241"/>
      <c r="FN17" s="241"/>
      <c r="FO17" s="241"/>
      <c r="FP17" s="241"/>
      <c r="FQ17" s="241"/>
      <c r="FR17" s="241"/>
      <c r="FS17" s="241"/>
      <c r="FT17" s="253" t="s">
        <v>55</v>
      </c>
      <c r="FU17" s="253" t="s">
        <v>55</v>
      </c>
      <c r="FV17" s="253" t="s">
        <v>56</v>
      </c>
      <c r="FW17" s="253" t="s">
        <v>56</v>
      </c>
      <c r="FX17" s="253" t="s">
        <v>55</v>
      </c>
      <c r="FY17" s="253" t="s">
        <v>55</v>
      </c>
      <c r="FZ17" s="241"/>
      <c r="GA17" s="241"/>
      <c r="GB17" s="241"/>
      <c r="GC17" s="241"/>
      <c r="GD17" s="241"/>
      <c r="GE17" s="241"/>
      <c r="GF17" s="241"/>
      <c r="GG17" s="241"/>
      <c r="GH17" s="241"/>
      <c r="GI17" s="241"/>
      <c r="GJ17" s="241"/>
      <c r="GK17" s="241"/>
      <c r="GL17" s="241"/>
      <c r="GM17" s="241"/>
      <c r="GN17" s="241"/>
      <c r="GO17" s="253" t="s">
        <v>56</v>
      </c>
      <c r="GP17" s="253" t="s">
        <v>56</v>
      </c>
      <c r="GQ17" s="253" t="s">
        <v>55</v>
      </c>
      <c r="GR17" s="253" t="s">
        <v>55</v>
      </c>
      <c r="GS17" s="253" t="s">
        <v>55</v>
      </c>
      <c r="GT17" s="253" t="s">
        <v>55</v>
      </c>
      <c r="GU17" s="253" t="s">
        <v>55</v>
      </c>
      <c r="GV17" s="253" t="s">
        <v>55</v>
      </c>
      <c r="GW17" s="253" t="s">
        <v>55</v>
      </c>
      <c r="GX17" s="253" t="s">
        <v>55</v>
      </c>
      <c r="GY17" s="253" t="s">
        <v>55</v>
      </c>
      <c r="GZ17" s="253" t="s">
        <v>55</v>
      </c>
      <c r="HA17" s="253" t="s">
        <v>55</v>
      </c>
      <c r="HB17" s="253" t="s">
        <v>55</v>
      </c>
      <c r="HC17" s="577">
        <f>SUM(HE17:HP17)</f>
        <v>35</v>
      </c>
      <c r="HD17" s="578"/>
      <c r="HE17" s="577">
        <v>0</v>
      </c>
      <c r="HF17" s="578"/>
      <c r="HG17" s="577">
        <v>4</v>
      </c>
      <c r="HH17" s="578"/>
      <c r="HI17" s="577">
        <v>1</v>
      </c>
      <c r="HJ17" s="578"/>
      <c r="HK17" s="577">
        <v>0</v>
      </c>
      <c r="HL17" s="578"/>
      <c r="HM17" s="577">
        <v>0</v>
      </c>
      <c r="HN17" s="578"/>
      <c r="HO17" s="577">
        <v>30</v>
      </c>
      <c r="HP17" s="578"/>
      <c r="HQ17" s="577">
        <v>17</v>
      </c>
      <c r="HR17" s="578"/>
      <c r="HS17" s="579">
        <f>HC17+HQ17</f>
        <v>52</v>
      </c>
      <c r="HT17" s="579"/>
    </row>
    <row r="18" spans="1:228" ht="54" customHeight="1" x14ac:dyDescent="0.4">
      <c r="C18" s="204"/>
      <c r="D18" s="213"/>
      <c r="E18" s="213"/>
      <c r="F18" s="213"/>
      <c r="G18" s="213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2"/>
      <c r="CV18" s="212"/>
      <c r="CW18" s="212"/>
      <c r="CX18" s="212"/>
      <c r="CY18" s="212"/>
      <c r="CZ18" s="212"/>
      <c r="DA18" s="212"/>
      <c r="DB18" s="212"/>
      <c r="DC18" s="212"/>
      <c r="DD18" s="212"/>
      <c r="DE18" s="212"/>
      <c r="DF18" s="212"/>
      <c r="DG18" s="212"/>
      <c r="DH18" s="212"/>
      <c r="DI18" s="212"/>
      <c r="DJ18" s="212"/>
      <c r="DK18" s="212"/>
      <c r="DL18" s="212"/>
      <c r="DM18" s="212"/>
      <c r="DN18" s="213"/>
      <c r="DO18" s="213"/>
      <c r="DP18" s="213"/>
      <c r="DQ18" s="213"/>
      <c r="DR18" s="214"/>
      <c r="DS18" s="214"/>
      <c r="DT18" s="214"/>
      <c r="DU18" s="214"/>
      <c r="DV18" s="214"/>
      <c r="DW18" s="214"/>
      <c r="DX18" s="214"/>
      <c r="DY18" s="214"/>
      <c r="DZ18" s="214"/>
      <c r="EA18" s="214"/>
      <c r="EB18" s="214"/>
      <c r="EC18" s="214"/>
      <c r="ED18" s="214"/>
      <c r="EE18" s="214"/>
      <c r="EF18" s="214"/>
      <c r="EG18" s="214"/>
      <c r="EH18" s="214"/>
      <c r="EI18" s="214"/>
      <c r="EJ18" s="214"/>
      <c r="EK18" s="214"/>
      <c r="EL18" s="214"/>
      <c r="EM18" s="207"/>
      <c r="EN18" s="207"/>
      <c r="EO18" s="207"/>
      <c r="EP18" s="207"/>
      <c r="EQ18" s="209"/>
      <c r="ER18" s="209"/>
      <c r="ES18" s="209"/>
      <c r="ET18" s="51"/>
      <c r="FA18" s="347" t="s">
        <v>2</v>
      </c>
      <c r="FB18" s="347"/>
      <c r="FC18" s="253" t="s">
        <v>55</v>
      </c>
      <c r="FD18" s="253" t="s">
        <v>45</v>
      </c>
      <c r="FE18" s="241"/>
      <c r="FF18" s="241"/>
      <c r="FG18" s="241"/>
      <c r="FH18" s="241"/>
      <c r="FI18" s="241"/>
      <c r="FJ18" s="241"/>
      <c r="FK18" s="241"/>
      <c r="FL18" s="241"/>
      <c r="FM18" s="241"/>
      <c r="FN18" s="241"/>
      <c r="FO18" s="241"/>
      <c r="FP18" s="241"/>
      <c r="FQ18" s="241"/>
      <c r="FR18" s="241"/>
      <c r="FS18" s="241"/>
      <c r="FT18" s="253" t="s">
        <v>55</v>
      </c>
      <c r="FU18" s="253" t="s">
        <v>55</v>
      </c>
      <c r="FV18" s="253" t="s">
        <v>56</v>
      </c>
      <c r="FW18" s="253" t="s">
        <v>56</v>
      </c>
      <c r="FX18" s="253" t="s">
        <v>55</v>
      </c>
      <c r="FY18" s="253" t="s">
        <v>55</v>
      </c>
      <c r="FZ18" s="241"/>
      <c r="GA18" s="241"/>
      <c r="GB18" s="241"/>
      <c r="GC18" s="241"/>
      <c r="GD18" s="241"/>
      <c r="GE18" s="241"/>
      <c r="GF18" s="241"/>
      <c r="GG18" s="241"/>
      <c r="GH18" s="241"/>
      <c r="GI18" s="241"/>
      <c r="GJ18" s="241"/>
      <c r="GK18" s="241"/>
      <c r="GL18" s="241"/>
      <c r="GM18" s="241"/>
      <c r="GN18" s="241"/>
      <c r="GO18" s="253" t="s">
        <v>56</v>
      </c>
      <c r="GP18" s="253" t="s">
        <v>56</v>
      </c>
      <c r="GQ18" s="253" t="s">
        <v>55</v>
      </c>
      <c r="GR18" s="253" t="s">
        <v>55</v>
      </c>
      <c r="GS18" s="253" t="s">
        <v>55</v>
      </c>
      <c r="GT18" s="253" t="s">
        <v>55</v>
      </c>
      <c r="GU18" s="253" t="s">
        <v>55</v>
      </c>
      <c r="GV18" s="253" t="s">
        <v>55</v>
      </c>
      <c r="GW18" s="253" t="s">
        <v>55</v>
      </c>
      <c r="GX18" s="253" t="s">
        <v>55</v>
      </c>
      <c r="GY18" s="253" t="s">
        <v>55</v>
      </c>
      <c r="GZ18" s="253" t="s">
        <v>55</v>
      </c>
      <c r="HA18" s="253" t="s">
        <v>55</v>
      </c>
      <c r="HB18" s="253" t="s">
        <v>55</v>
      </c>
      <c r="HC18" s="577">
        <f>SUM(HE18:HP18)</f>
        <v>35</v>
      </c>
      <c r="HD18" s="578"/>
      <c r="HE18" s="577">
        <v>0</v>
      </c>
      <c r="HF18" s="578"/>
      <c r="HG18" s="577">
        <v>4</v>
      </c>
      <c r="HH18" s="578"/>
      <c r="HI18" s="577">
        <v>1</v>
      </c>
      <c r="HJ18" s="578"/>
      <c r="HK18" s="577">
        <v>0</v>
      </c>
      <c r="HL18" s="578"/>
      <c r="HM18" s="577">
        <v>0</v>
      </c>
      <c r="HN18" s="578"/>
      <c r="HO18" s="577">
        <v>30</v>
      </c>
      <c r="HP18" s="578"/>
      <c r="HQ18" s="577">
        <v>17</v>
      </c>
      <c r="HR18" s="578"/>
      <c r="HS18" s="579">
        <f>HC18+HQ18</f>
        <v>52</v>
      </c>
      <c r="HT18" s="579"/>
    </row>
    <row r="19" spans="1:228" ht="54" customHeight="1" x14ac:dyDescent="0.4">
      <c r="C19" s="204"/>
      <c r="D19" s="213"/>
      <c r="E19" s="213"/>
      <c r="F19" s="213"/>
      <c r="G19" s="213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  <c r="CO19" s="212"/>
      <c r="CP19" s="212"/>
      <c r="CQ19" s="212"/>
      <c r="CR19" s="212"/>
      <c r="CS19" s="212"/>
      <c r="CT19" s="212"/>
      <c r="CU19" s="212"/>
      <c r="CV19" s="212"/>
      <c r="CW19" s="212"/>
      <c r="CX19" s="212"/>
      <c r="CY19" s="212"/>
      <c r="CZ19" s="212"/>
      <c r="DA19" s="212"/>
      <c r="DB19" s="212"/>
      <c r="DC19" s="212"/>
      <c r="DD19" s="212"/>
      <c r="DE19" s="212"/>
      <c r="DF19" s="212"/>
      <c r="DG19" s="212"/>
      <c r="DH19" s="212"/>
      <c r="DI19" s="212"/>
      <c r="DJ19" s="212"/>
      <c r="DK19" s="212"/>
      <c r="DL19" s="212"/>
      <c r="DM19" s="212"/>
      <c r="DN19" s="213"/>
      <c r="DO19" s="213"/>
      <c r="DP19" s="213"/>
      <c r="DQ19" s="213"/>
      <c r="DR19" s="214"/>
      <c r="DS19" s="214"/>
      <c r="DT19" s="214"/>
      <c r="DU19" s="214"/>
      <c r="DV19" s="214"/>
      <c r="DW19" s="214"/>
      <c r="DX19" s="214"/>
      <c r="DY19" s="214"/>
      <c r="DZ19" s="214"/>
      <c r="EA19" s="214"/>
      <c r="EB19" s="214"/>
      <c r="EC19" s="214"/>
      <c r="ED19" s="214"/>
      <c r="EE19" s="214"/>
      <c r="EF19" s="214"/>
      <c r="EG19" s="214"/>
      <c r="EH19" s="214"/>
      <c r="EI19" s="214"/>
      <c r="EJ19" s="214"/>
      <c r="EK19" s="214"/>
      <c r="EL19" s="214"/>
      <c r="EM19" s="207"/>
      <c r="EN19" s="207"/>
      <c r="EO19" s="207"/>
      <c r="EP19" s="207"/>
      <c r="EQ19" s="209"/>
      <c r="ER19" s="209"/>
      <c r="ES19" s="209"/>
      <c r="ET19" s="51"/>
      <c r="FA19" s="347" t="s">
        <v>3</v>
      </c>
      <c r="FB19" s="347"/>
      <c r="FC19" s="253" t="s">
        <v>55</v>
      </c>
      <c r="FD19" s="253" t="s">
        <v>45</v>
      </c>
      <c r="FE19" s="241"/>
      <c r="FF19" s="241"/>
      <c r="FG19" s="241"/>
      <c r="FH19" s="241"/>
      <c r="FI19" s="241"/>
      <c r="FJ19" s="241"/>
      <c r="FK19" s="241"/>
      <c r="FL19" s="241"/>
      <c r="FM19" s="241"/>
      <c r="FN19" s="241"/>
      <c r="FO19" s="241"/>
      <c r="FP19" s="241"/>
      <c r="FQ19" s="241"/>
      <c r="FR19" s="241"/>
      <c r="FS19" s="241"/>
      <c r="FT19" s="253" t="s">
        <v>55</v>
      </c>
      <c r="FU19" s="253" t="s">
        <v>55</v>
      </c>
      <c r="FV19" s="253" t="s">
        <v>56</v>
      </c>
      <c r="FW19" s="253" t="s">
        <v>56</v>
      </c>
      <c r="FX19" s="253" t="s">
        <v>55</v>
      </c>
      <c r="FY19" s="253" t="s">
        <v>55</v>
      </c>
      <c r="FZ19" s="241"/>
      <c r="GA19" s="241"/>
      <c r="GB19" s="241"/>
      <c r="GC19" s="241"/>
      <c r="GD19" s="241"/>
      <c r="GE19" s="241"/>
      <c r="GF19" s="241"/>
      <c r="GG19" s="241"/>
      <c r="GH19" s="241"/>
      <c r="GI19" s="241"/>
      <c r="GJ19" s="241"/>
      <c r="GK19" s="241"/>
      <c r="GL19" s="241"/>
      <c r="GM19" s="241"/>
      <c r="GN19" s="241"/>
      <c r="GO19" s="253" t="s">
        <v>56</v>
      </c>
      <c r="GP19" s="253" t="s">
        <v>56</v>
      </c>
      <c r="GQ19" s="253" t="s">
        <v>19</v>
      </c>
      <c r="GR19" s="253" t="s">
        <v>19</v>
      </c>
      <c r="GS19" s="253" t="s">
        <v>55</v>
      </c>
      <c r="GT19" s="253" t="s">
        <v>55</v>
      </c>
      <c r="GU19" s="253" t="s">
        <v>55</v>
      </c>
      <c r="GV19" s="253" t="s">
        <v>55</v>
      </c>
      <c r="GW19" s="253" t="s">
        <v>55</v>
      </c>
      <c r="GX19" s="253" t="s">
        <v>55</v>
      </c>
      <c r="GY19" s="253"/>
      <c r="GZ19" s="253"/>
      <c r="HA19" s="253"/>
      <c r="HB19" s="253"/>
      <c r="HC19" s="577">
        <f>SUM(HE19:HP19)</f>
        <v>37</v>
      </c>
      <c r="HD19" s="578"/>
      <c r="HE19" s="577">
        <v>0</v>
      </c>
      <c r="HF19" s="578"/>
      <c r="HG19" s="577">
        <v>4</v>
      </c>
      <c r="HH19" s="578"/>
      <c r="HI19" s="577">
        <v>1</v>
      </c>
      <c r="HJ19" s="578"/>
      <c r="HK19" s="577">
        <v>0</v>
      </c>
      <c r="HL19" s="578"/>
      <c r="HM19" s="577">
        <v>2</v>
      </c>
      <c r="HN19" s="578"/>
      <c r="HO19" s="577">
        <v>30</v>
      </c>
      <c r="HP19" s="578"/>
      <c r="HQ19" s="577">
        <v>11</v>
      </c>
      <c r="HR19" s="578"/>
      <c r="HS19" s="579">
        <f>HC19+HQ19</f>
        <v>48</v>
      </c>
      <c r="HT19" s="579"/>
    </row>
    <row r="20" spans="1:228" ht="54" customHeight="1" x14ac:dyDescent="0.4">
      <c r="C20" s="204"/>
      <c r="D20" s="213"/>
      <c r="E20" s="213"/>
      <c r="F20" s="213"/>
      <c r="G20" s="213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  <c r="CO20" s="212"/>
      <c r="CP20" s="212"/>
      <c r="CQ20" s="212"/>
      <c r="CR20" s="212"/>
      <c r="CS20" s="212"/>
      <c r="CT20" s="212"/>
      <c r="CU20" s="212"/>
      <c r="CV20" s="212"/>
      <c r="CW20" s="212"/>
      <c r="CX20" s="212"/>
      <c r="CY20" s="212"/>
      <c r="CZ20" s="212"/>
      <c r="DA20" s="212"/>
      <c r="DB20" s="212"/>
      <c r="DC20" s="212"/>
      <c r="DD20" s="212"/>
      <c r="DE20" s="212"/>
      <c r="DF20" s="212"/>
      <c r="DG20" s="212"/>
      <c r="DH20" s="212"/>
      <c r="DI20" s="212"/>
      <c r="DJ20" s="212"/>
      <c r="DK20" s="212"/>
      <c r="DL20" s="212"/>
      <c r="DM20" s="212"/>
      <c r="DN20" s="213"/>
      <c r="DO20" s="213"/>
      <c r="DP20" s="213"/>
      <c r="DQ20" s="213"/>
      <c r="DR20" s="214"/>
      <c r="DS20" s="214"/>
      <c r="DT20" s="214"/>
      <c r="DU20" s="214"/>
      <c r="DV20" s="214"/>
      <c r="DW20" s="214"/>
      <c r="DX20" s="214"/>
      <c r="DY20" s="214"/>
      <c r="DZ20" s="214"/>
      <c r="EA20" s="214"/>
      <c r="EB20" s="214"/>
      <c r="EC20" s="214"/>
      <c r="ED20" s="214"/>
      <c r="EE20" s="214"/>
      <c r="EF20" s="214"/>
      <c r="EG20" s="214"/>
      <c r="EH20" s="214"/>
      <c r="EI20" s="214"/>
      <c r="EJ20" s="214"/>
      <c r="EK20" s="214"/>
      <c r="EL20" s="214"/>
      <c r="EM20" s="207"/>
      <c r="EN20" s="207"/>
      <c r="EO20" s="207"/>
      <c r="EP20" s="207"/>
      <c r="EQ20" s="209"/>
      <c r="ER20" s="209"/>
      <c r="ES20" s="209"/>
      <c r="ET20" s="51"/>
      <c r="FA20" s="583" t="s">
        <v>24</v>
      </c>
      <c r="FB20" s="583"/>
      <c r="FC20" s="583"/>
      <c r="FD20" s="583"/>
      <c r="FE20" s="583"/>
      <c r="FF20" s="583"/>
      <c r="FG20" s="583"/>
      <c r="FH20" s="583"/>
      <c r="FI20" s="583"/>
      <c r="FJ20" s="583"/>
      <c r="FK20" s="583"/>
      <c r="FL20" s="583"/>
      <c r="FM20" s="583"/>
      <c r="FN20" s="583"/>
      <c r="FO20" s="583"/>
      <c r="FP20" s="583"/>
      <c r="FQ20" s="583"/>
      <c r="FR20" s="583"/>
      <c r="FS20" s="583"/>
      <c r="FT20" s="583"/>
      <c r="FU20" s="583"/>
      <c r="FV20" s="583"/>
      <c r="FW20" s="583"/>
      <c r="FX20" s="583"/>
      <c r="FY20" s="583"/>
      <c r="FZ20" s="583"/>
      <c r="GA20" s="583"/>
      <c r="GB20" s="583"/>
      <c r="GC20" s="583"/>
      <c r="GD20" s="583"/>
      <c r="GE20" s="583"/>
      <c r="GF20" s="583"/>
      <c r="GG20" s="583"/>
      <c r="GH20" s="583"/>
      <c r="GI20" s="583"/>
      <c r="GJ20" s="583"/>
      <c r="GK20" s="583"/>
      <c r="GL20" s="583"/>
      <c r="GM20" s="583"/>
      <c r="GN20" s="583"/>
      <c r="GO20" s="583"/>
      <c r="GP20" s="583"/>
      <c r="GQ20" s="583"/>
      <c r="GR20" s="583"/>
      <c r="GS20" s="583"/>
      <c r="GT20" s="583"/>
      <c r="GU20" s="583"/>
      <c r="GV20" s="583"/>
      <c r="GW20" s="583"/>
      <c r="GX20" s="583"/>
      <c r="GY20" s="583"/>
      <c r="GZ20" s="583"/>
      <c r="HA20" s="583"/>
      <c r="HB20" s="583"/>
      <c r="HC20" s="577">
        <f>SUM(HC16:HD19)</f>
        <v>146</v>
      </c>
      <c r="HD20" s="578"/>
      <c r="HE20" s="577">
        <f>SUM(HE16:HF19)</f>
        <v>30</v>
      </c>
      <c r="HF20" s="578"/>
      <c r="HG20" s="577">
        <f>SUM(HG16:HH19)</f>
        <v>16</v>
      </c>
      <c r="HH20" s="578"/>
      <c r="HI20" s="577">
        <f>SUM(HI16:HJ19)</f>
        <v>5</v>
      </c>
      <c r="HJ20" s="578"/>
      <c r="HK20" s="577">
        <f>SUM(HK16:HL19)</f>
        <v>3</v>
      </c>
      <c r="HL20" s="578"/>
      <c r="HM20" s="577">
        <f>SUM(HM16:HN19)</f>
        <v>2</v>
      </c>
      <c r="HN20" s="578"/>
      <c r="HO20" s="577">
        <f>SUM(HO16:HP19)</f>
        <v>90</v>
      </c>
      <c r="HP20" s="578"/>
      <c r="HQ20" s="577">
        <f>SUM(HQ16:HR19)</f>
        <v>58</v>
      </c>
      <c r="HR20" s="578"/>
      <c r="HS20" s="577">
        <f>SUM(HS16:HT19)</f>
        <v>204</v>
      </c>
      <c r="HT20" s="578"/>
    </row>
    <row r="21" spans="1:228" ht="57" customHeight="1" thickBot="1" x14ac:dyDescent="0.75">
      <c r="C21" s="204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  <c r="CE21" s="213"/>
      <c r="CF21" s="213"/>
      <c r="CG21" s="213"/>
      <c r="CH21" s="213"/>
      <c r="CI21" s="213"/>
      <c r="CJ21" s="213"/>
      <c r="CK21" s="213"/>
      <c r="CL21" s="213"/>
      <c r="CM21" s="213"/>
      <c r="CN21" s="213"/>
      <c r="CO21" s="213"/>
      <c r="CP21" s="213"/>
      <c r="CQ21" s="213"/>
      <c r="CR21" s="213"/>
      <c r="CS21" s="213"/>
      <c r="CT21" s="213"/>
      <c r="CU21" s="213"/>
      <c r="CV21" s="213"/>
      <c r="CW21" s="213"/>
      <c r="CX21" s="213"/>
      <c r="CY21" s="213"/>
      <c r="CZ21" s="213"/>
      <c r="DA21" s="213"/>
      <c r="DB21" s="213"/>
      <c r="DC21" s="213"/>
      <c r="DD21" s="213"/>
      <c r="DE21" s="213"/>
      <c r="DF21" s="213"/>
      <c r="DG21" s="213"/>
      <c r="DH21" s="213"/>
      <c r="DI21" s="213"/>
      <c r="DJ21" s="213"/>
      <c r="DK21" s="213"/>
      <c r="DL21" s="213"/>
      <c r="DM21" s="213"/>
      <c r="DN21" s="213"/>
      <c r="DO21" s="213"/>
      <c r="DP21" s="213"/>
      <c r="DQ21" s="213"/>
      <c r="DR21" s="213"/>
      <c r="DS21" s="213"/>
      <c r="DT21" s="213"/>
      <c r="DU21" s="213"/>
      <c r="DV21" s="213"/>
      <c r="DW21" s="213"/>
      <c r="DX21" s="213"/>
      <c r="DY21" s="213"/>
      <c r="DZ21" s="213"/>
      <c r="EA21" s="213"/>
      <c r="EB21" s="213"/>
      <c r="EC21" s="213"/>
      <c r="ED21" s="213"/>
      <c r="EE21" s="213"/>
      <c r="EF21" s="213"/>
      <c r="EG21" s="213"/>
      <c r="EH21" s="213"/>
      <c r="EI21" s="213"/>
      <c r="EJ21" s="213"/>
      <c r="EK21" s="213"/>
      <c r="EL21" s="213"/>
      <c r="EM21" s="207"/>
      <c r="EN21" s="207"/>
      <c r="EO21" s="207"/>
      <c r="EP21" s="207"/>
      <c r="EQ21" s="209"/>
      <c r="ER21" s="209"/>
      <c r="ES21" s="209"/>
      <c r="ET21" s="51"/>
      <c r="FA21" s="124"/>
      <c r="FB21" s="124"/>
      <c r="FC21" s="124"/>
      <c r="FD21" s="124"/>
      <c r="FE21" s="124"/>
      <c r="FF21" s="124"/>
      <c r="FG21" s="124"/>
      <c r="FH21" s="124"/>
      <c r="FI21" s="124"/>
      <c r="FJ21" s="124"/>
      <c r="FK21" s="124"/>
      <c r="FL21" s="124"/>
      <c r="FM21" s="124"/>
      <c r="FN21" s="124"/>
      <c r="FO21" s="124"/>
      <c r="FP21" s="124"/>
      <c r="FQ21" s="124"/>
      <c r="FR21" s="124"/>
      <c r="FS21" s="124"/>
      <c r="FT21" s="124"/>
      <c r="FU21" s="124"/>
      <c r="FV21" s="124"/>
      <c r="FW21" s="124"/>
      <c r="FX21" s="124"/>
      <c r="FY21" s="124"/>
      <c r="FZ21" s="124"/>
      <c r="GA21" s="124"/>
      <c r="GB21" s="124"/>
      <c r="GC21" s="124"/>
      <c r="GD21" s="124"/>
      <c r="GE21" s="124"/>
      <c r="GF21" s="124"/>
      <c r="GG21" s="124"/>
      <c r="GH21" s="124"/>
      <c r="GI21" s="124"/>
      <c r="GJ21" s="124"/>
      <c r="GK21" s="124"/>
      <c r="GL21" s="124"/>
      <c r="GM21" s="124"/>
      <c r="GN21" s="124"/>
      <c r="GO21" s="124"/>
      <c r="GP21" s="124"/>
      <c r="GQ21" s="124"/>
      <c r="GR21" s="124"/>
      <c r="GS21" s="124"/>
      <c r="GT21" s="124"/>
      <c r="GU21" s="124"/>
      <c r="GV21" s="124"/>
      <c r="GW21" s="124"/>
      <c r="GX21" s="124"/>
      <c r="GY21" s="124"/>
      <c r="GZ21" s="124"/>
      <c r="HA21" s="124"/>
      <c r="HB21" s="124"/>
      <c r="HC21" s="124"/>
      <c r="HD21" s="124"/>
      <c r="HE21" s="124"/>
      <c r="HF21" s="124"/>
      <c r="HG21" s="124"/>
      <c r="HH21" s="124"/>
      <c r="HI21" s="124"/>
      <c r="HJ21" s="124"/>
      <c r="HK21" s="124"/>
      <c r="HL21" s="124"/>
      <c r="HM21" s="124"/>
      <c r="HN21" s="124"/>
      <c r="HO21" s="124"/>
      <c r="HP21" s="124"/>
      <c r="HQ21" s="124"/>
      <c r="HR21" s="124"/>
      <c r="HS21" s="124"/>
      <c r="HT21" s="124"/>
    </row>
    <row r="22" spans="1:228" ht="90" customHeight="1" thickBot="1" x14ac:dyDescent="0.45">
      <c r="C22" s="204"/>
      <c r="D22" s="204"/>
      <c r="E22" s="215"/>
      <c r="F22" s="216"/>
      <c r="G22" s="217"/>
      <c r="H22" s="217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19"/>
      <c r="BC22" s="219"/>
      <c r="BD22" s="220"/>
      <c r="BE22" s="220"/>
      <c r="BF22" s="220"/>
      <c r="BG22" s="220"/>
      <c r="BH22" s="220"/>
      <c r="BI22" s="220"/>
      <c r="BJ22" s="220"/>
      <c r="BK22" s="220"/>
      <c r="BL22" s="220"/>
      <c r="BM22" s="220"/>
      <c r="BN22" s="220"/>
      <c r="BO22" s="220"/>
      <c r="BP22" s="220"/>
      <c r="BQ22" s="220"/>
      <c r="BR22" s="220"/>
      <c r="BS22" s="220"/>
      <c r="BT22" s="220"/>
      <c r="BU22" s="220"/>
      <c r="BV22" s="220"/>
      <c r="BW22" s="220"/>
      <c r="BX22" s="220"/>
      <c r="BY22" s="219"/>
      <c r="BZ22" s="219"/>
      <c r="CA22" s="219"/>
      <c r="CB22" s="219"/>
      <c r="CC22" s="219"/>
      <c r="CD22" s="219"/>
      <c r="CE22" s="219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6"/>
      <c r="CY22" s="216"/>
      <c r="CZ22" s="216"/>
      <c r="DA22" s="216"/>
      <c r="DB22" s="216"/>
      <c r="DC22" s="216"/>
      <c r="DD22" s="216"/>
      <c r="DE22" s="216"/>
      <c r="DF22" s="216"/>
      <c r="DG22" s="216"/>
      <c r="DH22" s="216"/>
      <c r="DI22" s="216"/>
      <c r="DJ22" s="216"/>
      <c r="DK22" s="216"/>
      <c r="DL22" s="216"/>
      <c r="DM22" s="216"/>
      <c r="DN22" s="216"/>
      <c r="DO22" s="216"/>
      <c r="DP22" s="216"/>
      <c r="DQ22" s="216"/>
      <c r="DR22" s="216"/>
      <c r="DS22" s="216"/>
      <c r="DT22" s="216"/>
      <c r="DU22" s="216"/>
      <c r="DV22" s="216"/>
      <c r="DW22" s="216"/>
      <c r="DX22" s="216"/>
      <c r="DY22" s="216"/>
      <c r="DZ22" s="216"/>
      <c r="EA22" s="215"/>
      <c r="EB22" s="215"/>
      <c r="EC22" s="215"/>
      <c r="ED22" s="215"/>
      <c r="EE22" s="215"/>
      <c r="EF22" s="215"/>
      <c r="EG22" s="215"/>
      <c r="EH22" s="215"/>
      <c r="EI22" s="209"/>
      <c r="EJ22" s="209"/>
      <c r="EK22" s="209"/>
      <c r="EL22" s="218"/>
      <c r="EM22" s="218"/>
      <c r="EN22" s="218"/>
      <c r="EO22" s="218"/>
      <c r="EP22" s="218"/>
      <c r="EQ22" s="209"/>
      <c r="ER22" s="209"/>
      <c r="ES22" s="209"/>
      <c r="FA22" s="203"/>
      <c r="FB22" s="584"/>
      <c r="FC22" s="585"/>
      <c r="FD22" s="586"/>
      <c r="FE22" s="587" t="s">
        <v>266</v>
      </c>
      <c r="FF22" s="588"/>
      <c r="FG22" s="588"/>
      <c r="FH22" s="588"/>
      <c r="FI22" s="588"/>
      <c r="FJ22" s="589"/>
      <c r="FK22" s="203"/>
      <c r="FL22" s="590"/>
      <c r="FM22" s="591"/>
      <c r="FN22" s="592"/>
      <c r="FO22" s="587" t="s">
        <v>272</v>
      </c>
      <c r="FP22" s="588"/>
      <c r="FQ22" s="588"/>
      <c r="FR22" s="588"/>
      <c r="FS22" s="588"/>
      <c r="FT22" s="589"/>
      <c r="FU22" s="203"/>
      <c r="FV22" s="584" t="s">
        <v>57</v>
      </c>
      <c r="FW22" s="585"/>
      <c r="FX22" s="586"/>
      <c r="FY22" s="587" t="s">
        <v>15</v>
      </c>
      <c r="FZ22" s="588"/>
      <c r="GA22" s="588"/>
      <c r="GB22" s="588"/>
      <c r="GC22" s="588"/>
      <c r="GD22" s="589"/>
      <c r="GE22" s="203"/>
      <c r="GF22" s="584" t="s">
        <v>45</v>
      </c>
      <c r="GG22" s="585"/>
      <c r="GH22" s="586"/>
      <c r="GI22" s="587" t="s">
        <v>16</v>
      </c>
      <c r="GJ22" s="588"/>
      <c r="GK22" s="588"/>
      <c r="GL22" s="588"/>
      <c r="GM22" s="588"/>
      <c r="GN22" s="589"/>
      <c r="GO22" s="203"/>
      <c r="GP22" s="584" t="s">
        <v>56</v>
      </c>
      <c r="GQ22" s="585"/>
      <c r="GR22" s="586"/>
      <c r="GS22" s="587" t="s">
        <v>17</v>
      </c>
      <c r="GT22" s="588"/>
      <c r="GU22" s="588"/>
      <c r="GV22" s="588"/>
      <c r="GW22" s="588"/>
      <c r="GX22" s="589"/>
      <c r="GY22" s="203"/>
      <c r="GZ22" s="584" t="s">
        <v>19</v>
      </c>
      <c r="HA22" s="585"/>
      <c r="HB22" s="586"/>
      <c r="HC22" s="587" t="s">
        <v>18</v>
      </c>
      <c r="HD22" s="588"/>
      <c r="HE22" s="588"/>
      <c r="HF22" s="588"/>
      <c r="HG22" s="588"/>
      <c r="HH22" s="589"/>
      <c r="HI22" s="203"/>
      <c r="HJ22" s="584" t="s">
        <v>55</v>
      </c>
      <c r="HK22" s="585"/>
      <c r="HL22" s="586"/>
      <c r="HM22" s="587" t="s">
        <v>273</v>
      </c>
      <c r="HN22" s="588"/>
      <c r="HO22" s="588"/>
      <c r="HP22" s="588"/>
      <c r="HQ22" s="588"/>
      <c r="HR22" s="589"/>
      <c r="HS22" s="203"/>
      <c r="HT22" s="203"/>
    </row>
    <row r="23" spans="1:228" s="9" customFormat="1" ht="18" customHeight="1" x14ac:dyDescent="0.2">
      <c r="A23" s="260"/>
      <c r="B23" s="260"/>
      <c r="C23" s="221"/>
      <c r="D23" s="221"/>
      <c r="E23" s="221"/>
      <c r="F23" s="221"/>
      <c r="G23" s="221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3"/>
      <c r="V23" s="223"/>
      <c r="W23" s="223"/>
      <c r="X23" s="221"/>
      <c r="Y23" s="221"/>
      <c r="Z23" s="221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5"/>
      <c r="BA23" s="225"/>
      <c r="BB23" s="225"/>
      <c r="BC23" s="225"/>
      <c r="BD23" s="225"/>
      <c r="BE23" s="225"/>
      <c r="BF23" s="226"/>
      <c r="BG23" s="223"/>
      <c r="BH23" s="224"/>
      <c r="BI23" s="224"/>
      <c r="BJ23" s="224"/>
      <c r="BK23" s="224"/>
      <c r="BL23" s="224"/>
      <c r="BM23" s="224"/>
      <c r="BN23" s="224"/>
      <c r="BO23" s="224"/>
      <c r="BP23" s="224"/>
      <c r="BQ23" s="224"/>
      <c r="BR23" s="224"/>
      <c r="BS23" s="224"/>
      <c r="BT23" s="224"/>
      <c r="BU23" s="224"/>
      <c r="BV23" s="224"/>
      <c r="BW23" s="225"/>
      <c r="BX23" s="225"/>
      <c r="BY23" s="225"/>
      <c r="BZ23" s="225"/>
      <c r="CA23" s="225"/>
      <c r="CB23" s="224"/>
      <c r="CC23" s="224"/>
      <c r="CD23" s="224"/>
      <c r="CE23" s="224"/>
      <c r="CF23" s="224"/>
      <c r="CG23" s="224"/>
      <c r="CH23" s="224"/>
      <c r="CI23" s="224"/>
      <c r="CJ23" s="224"/>
      <c r="CK23" s="224"/>
      <c r="CL23" s="224"/>
      <c r="CM23" s="224"/>
      <c r="CN23" s="224"/>
      <c r="CO23" s="224"/>
      <c r="CP23" s="224"/>
      <c r="CQ23" s="224"/>
      <c r="CR23" s="224"/>
      <c r="CS23" s="224"/>
      <c r="CT23" s="221"/>
      <c r="CU23" s="221"/>
      <c r="CV23" s="221"/>
      <c r="CW23" s="221"/>
      <c r="CX23" s="221"/>
      <c r="CY23" s="224"/>
      <c r="CZ23" s="224"/>
      <c r="DA23" s="224"/>
      <c r="DB23" s="224"/>
      <c r="DC23" s="224"/>
      <c r="DD23" s="224"/>
      <c r="DE23" s="224"/>
      <c r="DF23" s="224"/>
      <c r="DG23" s="224"/>
      <c r="DH23" s="224"/>
      <c r="DI23" s="224"/>
      <c r="DJ23" s="224"/>
      <c r="DK23" s="224"/>
      <c r="DL23" s="221"/>
      <c r="DM23" s="221"/>
      <c r="DN23" s="221"/>
      <c r="DO23" s="221"/>
      <c r="DP23" s="221"/>
      <c r="DQ23" s="224"/>
      <c r="DR23" s="224"/>
      <c r="DS23" s="224"/>
      <c r="DT23" s="224"/>
      <c r="DU23" s="224"/>
      <c r="DV23" s="224"/>
      <c r="DW23" s="224"/>
      <c r="DX23" s="224"/>
      <c r="DY23" s="224"/>
      <c r="DZ23" s="224"/>
      <c r="EA23" s="224"/>
      <c r="EB23" s="224"/>
      <c r="EC23" s="221"/>
      <c r="ED23" s="221"/>
      <c r="EE23" s="221"/>
      <c r="EF23" s="221"/>
      <c r="EG23" s="221"/>
      <c r="EH23" s="224"/>
      <c r="EI23" s="224"/>
      <c r="EJ23" s="224"/>
      <c r="EK23" s="224"/>
      <c r="EL23" s="224"/>
      <c r="EM23" s="224"/>
      <c r="EN23" s="224"/>
      <c r="EO23" s="224"/>
      <c r="EP23" s="224"/>
      <c r="EQ23" s="224"/>
      <c r="ER23" s="224"/>
      <c r="ES23" s="224"/>
      <c r="EY23" s="261"/>
      <c r="FA23" s="203"/>
      <c r="FB23" s="203"/>
      <c r="FC23" s="203"/>
      <c r="FD23" s="203"/>
      <c r="FE23" s="203"/>
      <c r="FF23" s="203"/>
      <c r="FG23" s="203"/>
      <c r="FH23" s="203"/>
      <c r="FI23" s="203"/>
      <c r="FJ23" s="203"/>
      <c r="FK23" s="203"/>
      <c r="FL23" s="203"/>
      <c r="FM23" s="203"/>
      <c r="FN23" s="203"/>
      <c r="FO23" s="203"/>
      <c r="FP23" s="203"/>
      <c r="FQ23" s="203"/>
      <c r="FR23" s="203"/>
      <c r="FS23" s="203"/>
      <c r="FT23" s="203"/>
      <c r="FU23" s="203"/>
      <c r="FV23" s="203"/>
      <c r="FW23" s="203"/>
      <c r="FX23" s="203"/>
      <c r="FY23" s="203"/>
      <c r="FZ23" s="203"/>
      <c r="GA23" s="203"/>
      <c r="GB23" s="203"/>
      <c r="GC23" s="203"/>
      <c r="GD23" s="203"/>
      <c r="GE23" s="203"/>
      <c r="GF23" s="203"/>
      <c r="GG23" s="203"/>
      <c r="GH23" s="203"/>
      <c r="GI23" s="203"/>
      <c r="GJ23" s="203"/>
      <c r="GK23" s="203"/>
      <c r="GL23" s="203"/>
      <c r="GM23" s="203"/>
      <c r="GN23" s="203"/>
      <c r="GO23" s="203"/>
      <c r="GP23" s="203"/>
      <c r="GQ23" s="203"/>
      <c r="GR23" s="203"/>
      <c r="GS23" s="203"/>
      <c r="GT23" s="203"/>
      <c r="GU23" s="203"/>
      <c r="GV23" s="203"/>
      <c r="GW23" s="203"/>
      <c r="GX23" s="203"/>
      <c r="GY23" s="203"/>
      <c r="GZ23" s="203"/>
      <c r="HA23" s="203"/>
      <c r="HB23" s="203"/>
      <c r="HC23" s="203"/>
      <c r="HD23" s="203"/>
      <c r="HE23" s="203"/>
      <c r="HF23" s="203"/>
      <c r="HG23" s="203"/>
      <c r="HH23" s="203"/>
      <c r="HI23" s="203"/>
      <c r="HJ23" s="203"/>
      <c r="HK23" s="203"/>
      <c r="HL23" s="203"/>
      <c r="HM23" s="203"/>
      <c r="HN23" s="203"/>
      <c r="HO23" s="203"/>
      <c r="HP23" s="203"/>
      <c r="HQ23" s="203"/>
      <c r="HR23" s="203"/>
      <c r="HS23" s="203"/>
      <c r="HT23" s="203"/>
    </row>
    <row r="24" spans="1:228" s="9" customFormat="1" ht="53.25" customHeight="1" x14ac:dyDescent="0.2">
      <c r="A24" s="260"/>
      <c r="B24" s="260"/>
      <c r="C24" s="221"/>
      <c r="D24" s="221"/>
      <c r="E24" s="221"/>
      <c r="F24" s="221"/>
      <c r="G24" s="221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3"/>
      <c r="V24" s="223"/>
      <c r="W24" s="223"/>
      <c r="X24" s="221"/>
      <c r="Y24" s="221"/>
      <c r="Z24" s="221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5"/>
      <c r="BA24" s="225"/>
      <c r="BB24" s="225"/>
      <c r="BC24" s="225"/>
      <c r="BD24" s="225"/>
      <c r="BE24" s="225"/>
      <c r="BF24" s="226"/>
      <c r="BG24" s="223"/>
      <c r="BH24" s="224"/>
      <c r="BI24" s="224"/>
      <c r="BJ24" s="224"/>
      <c r="BK24" s="224"/>
      <c r="BL24" s="224"/>
      <c r="BM24" s="224"/>
      <c r="BN24" s="224"/>
      <c r="BO24" s="224"/>
      <c r="BP24" s="224"/>
      <c r="BQ24" s="224"/>
      <c r="BR24" s="224"/>
      <c r="BS24" s="224"/>
      <c r="BT24" s="224"/>
      <c r="BU24" s="224"/>
      <c r="BV24" s="224"/>
      <c r="BW24" s="225"/>
      <c r="BX24" s="225"/>
      <c r="BY24" s="225"/>
      <c r="BZ24" s="225"/>
      <c r="CA24" s="225"/>
      <c r="CB24" s="224"/>
      <c r="CC24" s="224"/>
      <c r="CD24" s="224"/>
      <c r="CE24" s="224"/>
      <c r="CF24" s="224"/>
      <c r="CG24" s="224"/>
      <c r="CH24" s="224"/>
      <c r="CI24" s="224"/>
      <c r="CJ24" s="224"/>
      <c r="CK24" s="224"/>
      <c r="CL24" s="224"/>
      <c r="CM24" s="224"/>
      <c r="CN24" s="224"/>
      <c r="CO24" s="224"/>
      <c r="CP24" s="224"/>
      <c r="CQ24" s="224"/>
      <c r="CR24" s="224"/>
      <c r="CS24" s="224"/>
      <c r="CT24" s="221"/>
      <c r="CU24" s="221"/>
      <c r="CV24" s="221"/>
      <c r="CW24" s="221"/>
      <c r="CX24" s="221"/>
      <c r="CY24" s="224"/>
      <c r="CZ24" s="224"/>
      <c r="DA24" s="224"/>
      <c r="DB24" s="224"/>
      <c r="DC24" s="224"/>
      <c r="DD24" s="224"/>
      <c r="DE24" s="224"/>
      <c r="DF24" s="224"/>
      <c r="DG24" s="224"/>
      <c r="DH24" s="224"/>
      <c r="DI24" s="224"/>
      <c r="DJ24" s="224"/>
      <c r="DK24" s="224"/>
      <c r="DL24" s="221"/>
      <c r="DM24" s="221"/>
      <c r="DN24" s="221"/>
      <c r="DO24" s="221"/>
      <c r="DP24" s="221"/>
      <c r="DQ24" s="224"/>
      <c r="DR24" s="224"/>
      <c r="DS24" s="224"/>
      <c r="DT24" s="224"/>
      <c r="DU24" s="224"/>
      <c r="DV24" s="224"/>
      <c r="DW24" s="224"/>
      <c r="DX24" s="224"/>
      <c r="DY24" s="224"/>
      <c r="DZ24" s="224"/>
      <c r="EA24" s="224"/>
      <c r="EB24" s="224"/>
      <c r="EC24" s="221"/>
      <c r="ED24" s="221"/>
      <c r="EE24" s="221"/>
      <c r="EF24" s="221"/>
      <c r="EG24" s="221"/>
      <c r="EH24" s="224"/>
      <c r="EI24" s="224"/>
      <c r="EJ24" s="224"/>
      <c r="EK24" s="224"/>
      <c r="EL24" s="224"/>
      <c r="EM24" s="224"/>
      <c r="EN24" s="224"/>
      <c r="EO24" s="224"/>
      <c r="EP24" s="224"/>
      <c r="EQ24" s="224"/>
      <c r="ER24" s="224"/>
      <c r="ES24" s="224"/>
      <c r="EY24" s="261"/>
    </row>
    <row r="25" spans="1:228" s="10" customFormat="1" ht="15" customHeight="1" x14ac:dyDescent="0.25">
      <c r="A25" s="54"/>
      <c r="B25" s="54"/>
      <c r="C25" s="227"/>
      <c r="D25" s="227"/>
      <c r="E25" s="227"/>
      <c r="F25" s="228"/>
      <c r="G25" s="228"/>
      <c r="H25" s="228"/>
      <c r="I25" s="228"/>
      <c r="J25" s="228"/>
      <c r="K25" s="228"/>
      <c r="L25" s="228"/>
      <c r="M25" s="228"/>
      <c r="N25" s="227"/>
      <c r="O25" s="227"/>
      <c r="P25" s="227"/>
      <c r="Q25" s="227"/>
      <c r="R25" s="229"/>
      <c r="S25" s="229"/>
      <c r="T25" s="227"/>
      <c r="U25" s="227"/>
      <c r="V25" s="227"/>
      <c r="W25" s="230"/>
      <c r="X25" s="230"/>
      <c r="Y25" s="230"/>
      <c r="Z25" s="231"/>
      <c r="AA25" s="231"/>
      <c r="AB25" s="231"/>
      <c r="AC25" s="232"/>
      <c r="AD25" s="232"/>
      <c r="AE25" s="109"/>
      <c r="AF25" s="109"/>
      <c r="AG25" s="109"/>
      <c r="AH25" s="109"/>
      <c r="AI25" s="109"/>
      <c r="AJ25" s="109"/>
      <c r="AK25" s="109"/>
      <c r="AL25" s="109"/>
      <c r="AM25" s="233"/>
      <c r="AN25" s="234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  <c r="AZ25" s="233"/>
      <c r="BA25" s="233"/>
      <c r="BB25" s="233"/>
      <c r="BC25" s="109"/>
      <c r="BD25" s="109"/>
      <c r="BE25" s="109"/>
      <c r="BF25" s="109"/>
      <c r="BG25" s="233"/>
      <c r="BH25" s="233"/>
      <c r="BI25" s="233"/>
      <c r="BJ25" s="233"/>
      <c r="BK25" s="235"/>
      <c r="BL25" s="230"/>
      <c r="BM25" s="236"/>
      <c r="BN25" s="236"/>
      <c r="BO25" s="236"/>
      <c r="BP25" s="236"/>
      <c r="BQ25" s="230"/>
      <c r="BR25" s="233"/>
      <c r="BS25" s="233"/>
      <c r="BT25" s="233"/>
      <c r="BU25" s="233"/>
      <c r="BV25" s="233"/>
      <c r="BW25" s="233"/>
      <c r="BX25" s="233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37"/>
      <c r="DA25" s="237"/>
      <c r="DB25" s="237"/>
      <c r="DC25" s="237"/>
      <c r="DD25" s="237"/>
      <c r="DE25" s="237"/>
      <c r="DF25" s="233"/>
      <c r="DG25" s="233"/>
      <c r="DH25" s="233"/>
      <c r="DI25" s="233"/>
      <c r="DJ25" s="233"/>
      <c r="DK25" s="233"/>
      <c r="DL25" s="233"/>
      <c r="DM25" s="237"/>
      <c r="DN25" s="237"/>
      <c r="DO25" s="237"/>
      <c r="DP25" s="237"/>
      <c r="DQ25" s="237"/>
      <c r="DR25" s="237"/>
      <c r="DS25" s="237"/>
      <c r="DT25" s="237"/>
      <c r="DU25" s="237"/>
      <c r="DV25" s="237"/>
      <c r="DW25" s="237"/>
      <c r="DX25" s="237"/>
      <c r="DY25" s="237"/>
      <c r="DZ25" s="237"/>
      <c r="EA25" s="237"/>
      <c r="EB25" s="237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Q25" s="237"/>
      <c r="ER25" s="237"/>
      <c r="ES25" s="237"/>
      <c r="EY25" s="191"/>
    </row>
    <row r="26" spans="1:228" ht="69.75" thickBot="1" x14ac:dyDescent="0.25">
      <c r="A26" s="365" t="s">
        <v>250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5"/>
      <c r="Q26" s="365"/>
      <c r="R26" s="365"/>
      <c r="S26" s="365"/>
      <c r="T26" s="365"/>
      <c r="U26" s="365"/>
      <c r="V26" s="365"/>
      <c r="W26" s="365"/>
      <c r="X26" s="365"/>
      <c r="Y26" s="365"/>
      <c r="Z26" s="365"/>
      <c r="AA26" s="365"/>
      <c r="AB26" s="365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65"/>
      <c r="AN26" s="365"/>
      <c r="AO26" s="365"/>
      <c r="AP26" s="365"/>
      <c r="AQ26" s="365"/>
      <c r="AR26" s="365"/>
      <c r="AS26" s="365"/>
      <c r="AT26" s="365"/>
      <c r="AU26" s="365"/>
      <c r="AV26" s="365"/>
      <c r="AW26" s="365"/>
      <c r="AX26" s="365"/>
      <c r="AY26" s="365"/>
      <c r="AZ26" s="365"/>
      <c r="BA26" s="365"/>
      <c r="BB26" s="365"/>
      <c r="BC26" s="365"/>
      <c r="BD26" s="365"/>
      <c r="BE26" s="365"/>
      <c r="BF26" s="365"/>
      <c r="BG26" s="365"/>
      <c r="BH26" s="365"/>
      <c r="BI26" s="365"/>
      <c r="BJ26" s="365"/>
      <c r="BK26" s="365"/>
      <c r="BL26" s="365"/>
      <c r="BM26" s="365"/>
      <c r="BN26" s="365"/>
      <c r="BO26" s="365"/>
      <c r="BP26" s="365"/>
      <c r="BQ26" s="365"/>
      <c r="BR26" s="365"/>
      <c r="BS26" s="365"/>
      <c r="BT26" s="365"/>
      <c r="BU26" s="365"/>
      <c r="BV26" s="365"/>
      <c r="BW26" s="365"/>
      <c r="BX26" s="365"/>
      <c r="BY26" s="365"/>
      <c r="BZ26" s="365"/>
      <c r="CA26" s="365"/>
      <c r="CB26" s="365"/>
      <c r="CC26" s="365"/>
      <c r="CD26" s="365"/>
      <c r="CE26" s="365"/>
      <c r="CF26" s="365"/>
      <c r="CG26" s="365"/>
      <c r="CH26" s="365"/>
      <c r="CI26" s="365"/>
      <c r="CJ26" s="365"/>
      <c r="CK26" s="365"/>
      <c r="CL26" s="365"/>
      <c r="CM26" s="365"/>
      <c r="CN26" s="365"/>
      <c r="CO26" s="365"/>
      <c r="CP26" s="365"/>
      <c r="CQ26" s="365"/>
      <c r="CR26" s="365"/>
      <c r="CS26" s="365"/>
      <c r="CT26" s="365"/>
      <c r="CU26" s="365"/>
      <c r="CV26" s="365"/>
      <c r="CW26" s="365"/>
      <c r="CX26" s="365"/>
      <c r="CY26" s="365"/>
      <c r="CZ26" s="365"/>
      <c r="DA26" s="365"/>
      <c r="DB26" s="365"/>
      <c r="DC26" s="365"/>
      <c r="DD26" s="365"/>
      <c r="DE26" s="365"/>
      <c r="DF26" s="365"/>
      <c r="DG26" s="365"/>
      <c r="DH26" s="365"/>
      <c r="DI26" s="365"/>
      <c r="DJ26" s="365"/>
      <c r="DK26" s="365"/>
      <c r="DL26" s="365"/>
      <c r="DM26" s="365"/>
      <c r="DN26" s="365"/>
      <c r="DO26" s="365"/>
      <c r="DP26" s="365"/>
      <c r="DQ26" s="365"/>
      <c r="DR26" s="365"/>
      <c r="DS26" s="365"/>
      <c r="DT26" s="365"/>
      <c r="DU26" s="365"/>
      <c r="DV26" s="365"/>
      <c r="DW26" s="365"/>
      <c r="DX26" s="365"/>
      <c r="DY26" s="365"/>
      <c r="DZ26" s="365"/>
      <c r="EA26" s="365"/>
      <c r="EB26" s="365"/>
      <c r="EC26" s="365"/>
      <c r="ED26" s="365"/>
      <c r="EE26" s="365"/>
      <c r="EF26" s="365"/>
      <c r="EG26" s="365"/>
      <c r="EH26" s="365"/>
      <c r="EI26" s="365"/>
      <c r="EJ26" s="365"/>
      <c r="EK26" s="365"/>
      <c r="EL26" s="365"/>
      <c r="EM26" s="365"/>
      <c r="EN26" s="365"/>
      <c r="EO26" s="365"/>
      <c r="EP26" s="365"/>
      <c r="EQ26" s="365"/>
      <c r="ER26" s="365"/>
      <c r="ES26" s="365"/>
      <c r="ET26" s="365"/>
      <c r="EU26" s="365"/>
      <c r="EV26" s="365"/>
      <c r="EW26" s="365"/>
      <c r="EX26" s="365"/>
    </row>
    <row r="27" spans="1:228" s="80" customFormat="1" ht="123.75" customHeight="1" thickTop="1" x14ac:dyDescent="0.45">
      <c r="A27" s="369" t="s">
        <v>25</v>
      </c>
      <c r="B27" s="785" t="s">
        <v>321</v>
      </c>
      <c r="C27" s="474" t="s">
        <v>344</v>
      </c>
      <c r="D27" s="474"/>
      <c r="E27" s="474"/>
      <c r="F27" s="474"/>
      <c r="G27" s="474"/>
      <c r="H27" s="474"/>
      <c r="I27" s="474"/>
      <c r="J27" s="474"/>
      <c r="K27" s="474"/>
      <c r="L27" s="474"/>
      <c r="M27" s="474"/>
      <c r="N27" s="474"/>
      <c r="O27" s="474"/>
      <c r="P27" s="474"/>
      <c r="Q27" s="474"/>
      <c r="R27" s="474"/>
      <c r="S27" s="474"/>
      <c r="T27" s="474"/>
      <c r="U27" s="474"/>
      <c r="V27" s="474"/>
      <c r="W27" s="474"/>
      <c r="X27" s="474"/>
      <c r="Y27" s="474"/>
      <c r="Z27" s="468" t="s">
        <v>241</v>
      </c>
      <c r="AA27" s="469"/>
      <c r="AB27" s="469"/>
      <c r="AC27" s="469"/>
      <c r="AD27" s="469"/>
      <c r="AE27" s="469"/>
      <c r="AF27" s="469"/>
      <c r="AG27" s="469"/>
      <c r="AH27" s="469"/>
      <c r="AI27" s="469"/>
      <c r="AJ27" s="469"/>
      <c r="AK27" s="469"/>
      <c r="AL27" s="469"/>
      <c r="AM27" s="469"/>
      <c r="AN27" s="469"/>
      <c r="AO27" s="469"/>
      <c r="AP27" s="469"/>
      <c r="AQ27" s="469"/>
      <c r="AR27" s="469"/>
      <c r="AS27" s="469"/>
      <c r="AT27" s="469"/>
      <c r="AU27" s="469"/>
      <c r="AV27" s="469"/>
      <c r="AW27" s="469"/>
      <c r="AX27" s="469"/>
      <c r="AY27" s="469"/>
      <c r="AZ27" s="469"/>
      <c r="BA27" s="469"/>
      <c r="BB27" s="469"/>
      <c r="BC27" s="469"/>
      <c r="BD27" s="469"/>
      <c r="BE27" s="469"/>
      <c r="BF27" s="469"/>
      <c r="BG27" s="469"/>
      <c r="BH27" s="469"/>
      <c r="BI27" s="469"/>
      <c r="BJ27" s="469"/>
      <c r="BK27" s="469"/>
      <c r="BL27" s="469"/>
      <c r="BM27" s="469"/>
      <c r="BN27" s="470"/>
      <c r="BO27" s="470"/>
      <c r="BP27" s="470"/>
      <c r="BQ27" s="471"/>
      <c r="BR27" s="480" t="s">
        <v>251</v>
      </c>
      <c r="BS27" s="481"/>
      <c r="BT27" s="481"/>
      <c r="BU27" s="481"/>
      <c r="BV27" s="481"/>
      <c r="BW27" s="481"/>
      <c r="BX27" s="481"/>
      <c r="BY27" s="481"/>
      <c r="BZ27" s="481"/>
      <c r="CA27" s="481"/>
      <c r="CB27" s="481"/>
      <c r="CC27" s="481"/>
      <c r="CD27" s="481"/>
      <c r="CE27" s="481"/>
      <c r="CF27" s="481"/>
      <c r="CG27" s="481"/>
      <c r="CH27" s="481"/>
      <c r="CI27" s="481"/>
      <c r="CJ27" s="481"/>
      <c r="CK27" s="481"/>
      <c r="CL27" s="481"/>
      <c r="CM27" s="481"/>
      <c r="CN27" s="481"/>
      <c r="CO27" s="481"/>
      <c r="CP27" s="481"/>
      <c r="CQ27" s="481"/>
      <c r="CR27" s="481"/>
      <c r="CS27" s="481"/>
      <c r="CT27" s="481"/>
      <c r="CU27" s="481"/>
      <c r="CV27" s="481"/>
      <c r="CW27" s="481"/>
      <c r="CX27" s="481"/>
      <c r="CY27" s="481"/>
      <c r="CZ27" s="481"/>
      <c r="DA27" s="481"/>
      <c r="DB27" s="481"/>
      <c r="DC27" s="481"/>
      <c r="DD27" s="481"/>
      <c r="DE27" s="482"/>
      <c r="DF27" s="480" t="s">
        <v>252</v>
      </c>
      <c r="DG27" s="481"/>
      <c r="DH27" s="481"/>
      <c r="DI27" s="481"/>
      <c r="DJ27" s="481"/>
      <c r="DK27" s="481"/>
      <c r="DL27" s="481"/>
      <c r="DM27" s="481"/>
      <c r="DN27" s="481"/>
      <c r="DO27" s="481"/>
      <c r="DP27" s="481"/>
      <c r="DQ27" s="481"/>
      <c r="DR27" s="481"/>
      <c r="DS27" s="481"/>
      <c r="DT27" s="481"/>
      <c r="DU27" s="481"/>
      <c r="DV27" s="481"/>
      <c r="DW27" s="481"/>
      <c r="DX27" s="481"/>
      <c r="DY27" s="481"/>
      <c r="DZ27" s="481"/>
      <c r="EA27" s="481"/>
      <c r="EB27" s="481"/>
      <c r="EC27" s="481"/>
      <c r="ED27" s="481"/>
      <c r="EE27" s="481"/>
      <c r="EF27" s="481"/>
      <c r="EG27" s="481"/>
      <c r="EH27" s="481"/>
      <c r="EI27" s="481"/>
      <c r="EJ27" s="481"/>
      <c r="EK27" s="481"/>
      <c r="EL27" s="481"/>
      <c r="EM27" s="481"/>
      <c r="EN27" s="481"/>
      <c r="EO27" s="481"/>
      <c r="EP27" s="481"/>
      <c r="EQ27" s="481"/>
      <c r="ER27" s="481"/>
      <c r="ES27" s="482"/>
      <c r="ET27" s="441" t="s">
        <v>35</v>
      </c>
      <c r="EU27" s="442"/>
      <c r="EV27" s="786"/>
      <c r="EW27" s="786"/>
      <c r="EX27" s="443"/>
      <c r="EY27" s="192"/>
    </row>
    <row r="28" spans="1:228" s="81" customFormat="1" ht="69" customHeight="1" x14ac:dyDescent="0.45">
      <c r="A28" s="370"/>
      <c r="B28" s="466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2" t="s">
        <v>61</v>
      </c>
      <c r="AA28" s="473"/>
      <c r="AB28" s="473"/>
      <c r="AC28" s="473"/>
      <c r="AD28" s="473"/>
      <c r="AE28" s="473"/>
      <c r="AF28" s="473"/>
      <c r="AG28" s="473"/>
      <c r="AH28" s="473"/>
      <c r="AI28" s="473"/>
      <c r="AJ28" s="472" t="s">
        <v>62</v>
      </c>
      <c r="AK28" s="473"/>
      <c r="AL28" s="473"/>
      <c r="AM28" s="473"/>
      <c r="AN28" s="473"/>
      <c r="AO28" s="473"/>
      <c r="AP28" s="473"/>
      <c r="AQ28" s="473"/>
      <c r="AR28" s="473"/>
      <c r="AS28" s="473"/>
      <c r="AT28" s="473"/>
      <c r="AU28" s="473"/>
      <c r="AV28" s="473"/>
      <c r="AW28" s="473"/>
      <c r="AX28" s="473"/>
      <c r="AY28" s="473"/>
      <c r="AZ28" s="473"/>
      <c r="BA28" s="473"/>
      <c r="BB28" s="473"/>
      <c r="BC28" s="473"/>
      <c r="BD28" s="473"/>
      <c r="BE28" s="473"/>
      <c r="BF28" s="473"/>
      <c r="BG28" s="473"/>
      <c r="BH28" s="473"/>
      <c r="BI28" s="473"/>
      <c r="BJ28" s="473"/>
      <c r="BK28" s="473"/>
      <c r="BL28" s="473"/>
      <c r="BM28" s="473"/>
      <c r="BN28" s="445" t="s">
        <v>26</v>
      </c>
      <c r="BO28" s="445"/>
      <c r="BP28" s="445"/>
      <c r="BQ28" s="446"/>
      <c r="BR28" s="436" t="s">
        <v>27</v>
      </c>
      <c r="BS28" s="434"/>
      <c r="BT28" s="434"/>
      <c r="BU28" s="434"/>
      <c r="BV28" s="434"/>
      <c r="BW28" s="434"/>
      <c r="BX28" s="434"/>
      <c r="BY28" s="434"/>
      <c r="BZ28" s="434"/>
      <c r="CA28" s="434"/>
      <c r="CB28" s="434" t="s">
        <v>28</v>
      </c>
      <c r="CC28" s="434"/>
      <c r="CD28" s="434"/>
      <c r="CE28" s="434"/>
      <c r="CF28" s="434"/>
      <c r="CG28" s="434"/>
      <c r="CH28" s="434"/>
      <c r="CI28" s="434"/>
      <c r="CJ28" s="434"/>
      <c r="CK28" s="434"/>
      <c r="CL28" s="434" t="s">
        <v>29</v>
      </c>
      <c r="CM28" s="434"/>
      <c r="CN28" s="434"/>
      <c r="CO28" s="434"/>
      <c r="CP28" s="434"/>
      <c r="CQ28" s="434"/>
      <c r="CR28" s="434"/>
      <c r="CS28" s="434"/>
      <c r="CT28" s="434"/>
      <c r="CU28" s="434"/>
      <c r="CV28" s="434" t="s">
        <v>68</v>
      </c>
      <c r="CW28" s="434"/>
      <c r="CX28" s="434"/>
      <c r="CY28" s="434"/>
      <c r="CZ28" s="434"/>
      <c r="DA28" s="434"/>
      <c r="DB28" s="434"/>
      <c r="DC28" s="434"/>
      <c r="DD28" s="434"/>
      <c r="DE28" s="435"/>
      <c r="DF28" s="436" t="s">
        <v>27</v>
      </c>
      <c r="DG28" s="434"/>
      <c r="DH28" s="434"/>
      <c r="DI28" s="434"/>
      <c r="DJ28" s="434"/>
      <c r="DK28" s="434"/>
      <c r="DL28" s="434"/>
      <c r="DM28" s="434"/>
      <c r="DN28" s="434"/>
      <c r="DO28" s="434"/>
      <c r="DP28" s="434" t="s">
        <v>28</v>
      </c>
      <c r="DQ28" s="434"/>
      <c r="DR28" s="434"/>
      <c r="DS28" s="434"/>
      <c r="DT28" s="434"/>
      <c r="DU28" s="434"/>
      <c r="DV28" s="434"/>
      <c r="DW28" s="434"/>
      <c r="DX28" s="434"/>
      <c r="DY28" s="434"/>
      <c r="DZ28" s="434" t="s">
        <v>29</v>
      </c>
      <c r="EA28" s="434"/>
      <c r="EB28" s="434"/>
      <c r="EC28" s="434"/>
      <c r="ED28" s="434"/>
      <c r="EE28" s="434"/>
      <c r="EF28" s="434"/>
      <c r="EG28" s="434"/>
      <c r="EH28" s="434"/>
      <c r="EI28" s="434"/>
      <c r="EJ28" s="434" t="s">
        <v>68</v>
      </c>
      <c r="EK28" s="434"/>
      <c r="EL28" s="434"/>
      <c r="EM28" s="434"/>
      <c r="EN28" s="434"/>
      <c r="EO28" s="434"/>
      <c r="EP28" s="434"/>
      <c r="EQ28" s="434"/>
      <c r="ER28" s="434"/>
      <c r="ES28" s="435"/>
      <c r="ET28" s="444"/>
      <c r="EU28" s="445"/>
      <c r="EV28" s="787"/>
      <c r="EW28" s="787"/>
      <c r="EX28" s="446"/>
      <c r="EY28" s="192"/>
    </row>
    <row r="29" spans="1:228" s="81" customFormat="1" ht="60" customHeight="1" x14ac:dyDescent="0.45">
      <c r="A29" s="370"/>
      <c r="B29" s="466"/>
      <c r="C29" s="475"/>
      <c r="D29" s="475"/>
      <c r="E29" s="475"/>
      <c r="F29" s="475"/>
      <c r="G29" s="475"/>
      <c r="H29" s="475"/>
      <c r="I29" s="475"/>
      <c r="J29" s="475"/>
      <c r="K29" s="475"/>
      <c r="L29" s="475"/>
      <c r="M29" s="475"/>
      <c r="N29" s="475"/>
      <c r="O29" s="475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7"/>
      <c r="AA29" s="478"/>
      <c r="AB29" s="478"/>
      <c r="AC29" s="478"/>
      <c r="AD29" s="478"/>
      <c r="AE29" s="478"/>
      <c r="AF29" s="478"/>
      <c r="AG29" s="478"/>
      <c r="AH29" s="478"/>
      <c r="AI29" s="478"/>
      <c r="AJ29" s="455" t="s">
        <v>21</v>
      </c>
      <c r="AK29" s="456"/>
      <c r="AL29" s="456"/>
      <c r="AM29" s="456"/>
      <c r="AN29" s="457"/>
      <c r="AO29" s="455" t="s">
        <v>63</v>
      </c>
      <c r="AP29" s="456"/>
      <c r="AQ29" s="456"/>
      <c r="AR29" s="456"/>
      <c r="AS29" s="457"/>
      <c r="AT29" s="455" t="s">
        <v>64</v>
      </c>
      <c r="AU29" s="456"/>
      <c r="AV29" s="456"/>
      <c r="AW29" s="456"/>
      <c r="AX29" s="457"/>
      <c r="AY29" s="455" t="s">
        <v>65</v>
      </c>
      <c r="AZ29" s="456"/>
      <c r="BA29" s="456"/>
      <c r="BB29" s="456"/>
      <c r="BC29" s="457"/>
      <c r="BD29" s="455" t="s">
        <v>66</v>
      </c>
      <c r="BE29" s="456"/>
      <c r="BF29" s="456"/>
      <c r="BG29" s="456"/>
      <c r="BH29" s="457"/>
      <c r="BI29" s="455" t="s">
        <v>67</v>
      </c>
      <c r="BJ29" s="456"/>
      <c r="BK29" s="456"/>
      <c r="BL29" s="456"/>
      <c r="BM29" s="456"/>
      <c r="BN29" s="445"/>
      <c r="BO29" s="445"/>
      <c r="BP29" s="445"/>
      <c r="BQ29" s="446"/>
      <c r="BR29" s="436" t="s">
        <v>31</v>
      </c>
      <c r="BS29" s="434"/>
      <c r="BT29" s="434"/>
      <c r="BU29" s="434"/>
      <c r="BV29" s="434"/>
      <c r="BW29" s="434"/>
      <c r="BX29" s="434"/>
      <c r="BY29" s="434"/>
      <c r="BZ29" s="434"/>
      <c r="CA29" s="434"/>
      <c r="CB29" s="434"/>
      <c r="CC29" s="434"/>
      <c r="CD29" s="434"/>
      <c r="CE29" s="434"/>
      <c r="CF29" s="434"/>
      <c r="CG29" s="434"/>
      <c r="CH29" s="434"/>
      <c r="CI29" s="434"/>
      <c r="CJ29" s="434"/>
      <c r="CK29" s="434"/>
      <c r="CL29" s="434"/>
      <c r="CM29" s="434"/>
      <c r="CN29" s="434"/>
      <c r="CO29" s="434"/>
      <c r="CP29" s="434"/>
      <c r="CQ29" s="434"/>
      <c r="CR29" s="434"/>
      <c r="CS29" s="434"/>
      <c r="CT29" s="434"/>
      <c r="CU29" s="434"/>
      <c r="CV29" s="434"/>
      <c r="CW29" s="434"/>
      <c r="CX29" s="434"/>
      <c r="CY29" s="434"/>
      <c r="CZ29" s="434"/>
      <c r="DA29" s="434"/>
      <c r="DB29" s="434"/>
      <c r="DC29" s="434"/>
      <c r="DD29" s="434"/>
      <c r="DE29" s="435"/>
      <c r="DF29" s="436" t="s">
        <v>31</v>
      </c>
      <c r="DG29" s="434"/>
      <c r="DH29" s="434"/>
      <c r="DI29" s="434"/>
      <c r="DJ29" s="434"/>
      <c r="DK29" s="434"/>
      <c r="DL29" s="434"/>
      <c r="DM29" s="434"/>
      <c r="DN29" s="434"/>
      <c r="DO29" s="434"/>
      <c r="DP29" s="434"/>
      <c r="DQ29" s="434"/>
      <c r="DR29" s="434"/>
      <c r="DS29" s="434"/>
      <c r="DT29" s="434"/>
      <c r="DU29" s="434"/>
      <c r="DV29" s="434"/>
      <c r="DW29" s="434"/>
      <c r="DX29" s="434"/>
      <c r="DY29" s="434"/>
      <c r="DZ29" s="434"/>
      <c r="EA29" s="434"/>
      <c r="EB29" s="434"/>
      <c r="EC29" s="434"/>
      <c r="ED29" s="434"/>
      <c r="EE29" s="434"/>
      <c r="EF29" s="434"/>
      <c r="EG29" s="434"/>
      <c r="EH29" s="434"/>
      <c r="EI29" s="434"/>
      <c r="EJ29" s="434"/>
      <c r="EK29" s="434"/>
      <c r="EL29" s="434"/>
      <c r="EM29" s="434"/>
      <c r="EN29" s="434"/>
      <c r="EO29" s="434"/>
      <c r="EP29" s="434"/>
      <c r="EQ29" s="434"/>
      <c r="ER29" s="434"/>
      <c r="ES29" s="435"/>
      <c r="ET29" s="444"/>
      <c r="EU29" s="445"/>
      <c r="EV29" s="787"/>
      <c r="EW29" s="787"/>
      <c r="EX29" s="446"/>
      <c r="EY29" s="192"/>
    </row>
    <row r="30" spans="1:228" s="81" customFormat="1" ht="51" customHeight="1" x14ac:dyDescent="0.45">
      <c r="A30" s="370"/>
      <c r="B30" s="466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475"/>
      <c r="N30" s="475"/>
      <c r="O30" s="475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7"/>
      <c r="AA30" s="478"/>
      <c r="AB30" s="478"/>
      <c r="AC30" s="478"/>
      <c r="AD30" s="478"/>
      <c r="AE30" s="478"/>
      <c r="AF30" s="478"/>
      <c r="AG30" s="478"/>
      <c r="AH30" s="478"/>
      <c r="AI30" s="478"/>
      <c r="AJ30" s="458"/>
      <c r="AK30" s="459"/>
      <c r="AL30" s="459"/>
      <c r="AM30" s="459"/>
      <c r="AN30" s="460"/>
      <c r="AO30" s="458"/>
      <c r="AP30" s="459"/>
      <c r="AQ30" s="459"/>
      <c r="AR30" s="459"/>
      <c r="AS30" s="460"/>
      <c r="AT30" s="458"/>
      <c r="AU30" s="459"/>
      <c r="AV30" s="459"/>
      <c r="AW30" s="459"/>
      <c r="AX30" s="460"/>
      <c r="AY30" s="458"/>
      <c r="AZ30" s="459"/>
      <c r="BA30" s="459"/>
      <c r="BB30" s="459"/>
      <c r="BC30" s="460"/>
      <c r="BD30" s="458"/>
      <c r="BE30" s="459"/>
      <c r="BF30" s="459"/>
      <c r="BG30" s="459"/>
      <c r="BH30" s="460"/>
      <c r="BI30" s="458"/>
      <c r="BJ30" s="459"/>
      <c r="BK30" s="459"/>
      <c r="BL30" s="459"/>
      <c r="BM30" s="459"/>
      <c r="BN30" s="445"/>
      <c r="BO30" s="445"/>
      <c r="BP30" s="445"/>
      <c r="BQ30" s="446"/>
      <c r="BR30" s="436">
        <v>30</v>
      </c>
      <c r="BS30" s="434"/>
      <c r="BT30" s="434"/>
      <c r="BU30" s="434"/>
      <c r="BV30" s="434"/>
      <c r="BW30" s="434"/>
      <c r="BX30" s="434"/>
      <c r="BY30" s="434"/>
      <c r="BZ30" s="434"/>
      <c r="CA30" s="434"/>
      <c r="CB30" s="434">
        <v>30</v>
      </c>
      <c r="CC30" s="434"/>
      <c r="CD30" s="434"/>
      <c r="CE30" s="434"/>
      <c r="CF30" s="434"/>
      <c r="CG30" s="434"/>
      <c r="CH30" s="434"/>
      <c r="CI30" s="434"/>
      <c r="CJ30" s="434"/>
      <c r="CK30" s="434"/>
      <c r="CL30" s="434">
        <v>30</v>
      </c>
      <c r="CM30" s="434"/>
      <c r="CN30" s="434"/>
      <c r="CO30" s="434"/>
      <c r="CP30" s="434"/>
      <c r="CQ30" s="434"/>
      <c r="CR30" s="434"/>
      <c r="CS30" s="434"/>
      <c r="CT30" s="434"/>
      <c r="CU30" s="434"/>
      <c r="CV30" s="434">
        <v>30</v>
      </c>
      <c r="CW30" s="434"/>
      <c r="CX30" s="434"/>
      <c r="CY30" s="434"/>
      <c r="CZ30" s="434"/>
      <c r="DA30" s="434"/>
      <c r="DB30" s="434"/>
      <c r="DC30" s="434"/>
      <c r="DD30" s="434"/>
      <c r="DE30" s="435"/>
      <c r="DF30" s="436">
        <v>30</v>
      </c>
      <c r="DG30" s="434"/>
      <c r="DH30" s="434"/>
      <c r="DI30" s="434"/>
      <c r="DJ30" s="434"/>
      <c r="DK30" s="434"/>
      <c r="DL30" s="434"/>
      <c r="DM30" s="434"/>
      <c r="DN30" s="434"/>
      <c r="DO30" s="434"/>
      <c r="DP30" s="434">
        <v>30</v>
      </c>
      <c r="DQ30" s="434"/>
      <c r="DR30" s="434"/>
      <c r="DS30" s="434"/>
      <c r="DT30" s="434"/>
      <c r="DU30" s="434"/>
      <c r="DV30" s="434"/>
      <c r="DW30" s="434"/>
      <c r="DX30" s="434"/>
      <c r="DY30" s="434"/>
      <c r="DZ30" s="434">
        <v>30</v>
      </c>
      <c r="EA30" s="434"/>
      <c r="EB30" s="434"/>
      <c r="EC30" s="434"/>
      <c r="ED30" s="434"/>
      <c r="EE30" s="434"/>
      <c r="EF30" s="434"/>
      <c r="EG30" s="434"/>
      <c r="EH30" s="434"/>
      <c r="EI30" s="434"/>
      <c r="EJ30" s="434">
        <v>30</v>
      </c>
      <c r="EK30" s="434"/>
      <c r="EL30" s="434"/>
      <c r="EM30" s="434"/>
      <c r="EN30" s="434"/>
      <c r="EO30" s="434"/>
      <c r="EP30" s="434"/>
      <c r="EQ30" s="434"/>
      <c r="ER30" s="434"/>
      <c r="ES30" s="435"/>
      <c r="ET30" s="444"/>
      <c r="EU30" s="445"/>
      <c r="EV30" s="787"/>
      <c r="EW30" s="787"/>
      <c r="EX30" s="446"/>
      <c r="EY30" s="192"/>
    </row>
    <row r="31" spans="1:228" s="81" customFormat="1" ht="68.25" customHeight="1" x14ac:dyDescent="0.45">
      <c r="A31" s="370"/>
      <c r="B31" s="466"/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7"/>
      <c r="AA31" s="478"/>
      <c r="AB31" s="478"/>
      <c r="AC31" s="478"/>
      <c r="AD31" s="478"/>
      <c r="AE31" s="478"/>
      <c r="AF31" s="478"/>
      <c r="AG31" s="478"/>
      <c r="AH31" s="478"/>
      <c r="AI31" s="478"/>
      <c r="AJ31" s="458"/>
      <c r="AK31" s="459"/>
      <c r="AL31" s="459"/>
      <c r="AM31" s="459"/>
      <c r="AN31" s="460"/>
      <c r="AO31" s="458"/>
      <c r="AP31" s="459"/>
      <c r="AQ31" s="459"/>
      <c r="AR31" s="459"/>
      <c r="AS31" s="460"/>
      <c r="AT31" s="458"/>
      <c r="AU31" s="459"/>
      <c r="AV31" s="459"/>
      <c r="AW31" s="459"/>
      <c r="AX31" s="460"/>
      <c r="AY31" s="458"/>
      <c r="AZ31" s="459"/>
      <c r="BA31" s="459"/>
      <c r="BB31" s="459"/>
      <c r="BC31" s="460"/>
      <c r="BD31" s="458"/>
      <c r="BE31" s="459"/>
      <c r="BF31" s="459"/>
      <c r="BG31" s="459"/>
      <c r="BH31" s="460"/>
      <c r="BI31" s="458"/>
      <c r="BJ31" s="459"/>
      <c r="BK31" s="459"/>
      <c r="BL31" s="459"/>
      <c r="BM31" s="459"/>
      <c r="BN31" s="445"/>
      <c r="BO31" s="445"/>
      <c r="BP31" s="445"/>
      <c r="BQ31" s="446"/>
      <c r="BR31" s="436" t="s">
        <v>32</v>
      </c>
      <c r="BS31" s="434"/>
      <c r="BT31" s="434"/>
      <c r="BU31" s="434"/>
      <c r="BV31" s="434"/>
      <c r="BW31" s="434"/>
      <c r="BX31" s="434"/>
      <c r="BY31" s="434"/>
      <c r="BZ31" s="434"/>
      <c r="CA31" s="434"/>
      <c r="CB31" s="434"/>
      <c r="CC31" s="434"/>
      <c r="CD31" s="434"/>
      <c r="CE31" s="434"/>
      <c r="CF31" s="434"/>
      <c r="CG31" s="434"/>
      <c r="CH31" s="434"/>
      <c r="CI31" s="434"/>
      <c r="CJ31" s="434"/>
      <c r="CK31" s="434"/>
      <c r="CL31" s="434"/>
      <c r="CM31" s="434"/>
      <c r="CN31" s="434"/>
      <c r="CO31" s="434"/>
      <c r="CP31" s="434"/>
      <c r="CQ31" s="434"/>
      <c r="CR31" s="434"/>
      <c r="CS31" s="434"/>
      <c r="CT31" s="434"/>
      <c r="CU31" s="434"/>
      <c r="CV31" s="434"/>
      <c r="CW31" s="434"/>
      <c r="CX31" s="434"/>
      <c r="CY31" s="434"/>
      <c r="CZ31" s="434"/>
      <c r="DA31" s="434"/>
      <c r="DB31" s="434"/>
      <c r="DC31" s="434"/>
      <c r="DD31" s="434"/>
      <c r="DE31" s="435"/>
      <c r="DF31" s="436" t="s">
        <v>32</v>
      </c>
      <c r="DG31" s="434"/>
      <c r="DH31" s="434"/>
      <c r="DI31" s="434"/>
      <c r="DJ31" s="434"/>
      <c r="DK31" s="434"/>
      <c r="DL31" s="434"/>
      <c r="DM31" s="434"/>
      <c r="DN31" s="434"/>
      <c r="DO31" s="434"/>
      <c r="DP31" s="434"/>
      <c r="DQ31" s="434"/>
      <c r="DR31" s="434"/>
      <c r="DS31" s="434"/>
      <c r="DT31" s="434"/>
      <c r="DU31" s="434"/>
      <c r="DV31" s="434"/>
      <c r="DW31" s="434"/>
      <c r="DX31" s="434"/>
      <c r="DY31" s="434"/>
      <c r="DZ31" s="434"/>
      <c r="EA31" s="434"/>
      <c r="EB31" s="434"/>
      <c r="EC31" s="434"/>
      <c r="ED31" s="434"/>
      <c r="EE31" s="434"/>
      <c r="EF31" s="434"/>
      <c r="EG31" s="434"/>
      <c r="EH31" s="434"/>
      <c r="EI31" s="434"/>
      <c r="EJ31" s="434"/>
      <c r="EK31" s="434"/>
      <c r="EL31" s="434"/>
      <c r="EM31" s="434"/>
      <c r="EN31" s="434"/>
      <c r="EO31" s="434"/>
      <c r="EP31" s="434"/>
      <c r="EQ31" s="434"/>
      <c r="ER31" s="434"/>
      <c r="ES31" s="435"/>
      <c r="ET31" s="444"/>
      <c r="EU31" s="445"/>
      <c r="EV31" s="787"/>
      <c r="EW31" s="787"/>
      <c r="EX31" s="446"/>
      <c r="EY31" s="192"/>
    </row>
    <row r="32" spans="1:228" s="81" customFormat="1" ht="48" customHeight="1" x14ac:dyDescent="0.45">
      <c r="A32" s="370"/>
      <c r="B32" s="466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475"/>
      <c r="N32" s="475"/>
      <c r="O32" s="475"/>
      <c r="P32" s="475"/>
      <c r="Q32" s="475"/>
      <c r="R32" s="475"/>
      <c r="S32" s="475"/>
      <c r="T32" s="475"/>
      <c r="U32" s="475"/>
      <c r="V32" s="475"/>
      <c r="W32" s="475"/>
      <c r="X32" s="475"/>
      <c r="Y32" s="475"/>
      <c r="Z32" s="477"/>
      <c r="AA32" s="478"/>
      <c r="AB32" s="478"/>
      <c r="AC32" s="478"/>
      <c r="AD32" s="478"/>
      <c r="AE32" s="478"/>
      <c r="AF32" s="478"/>
      <c r="AG32" s="478"/>
      <c r="AH32" s="478"/>
      <c r="AI32" s="478"/>
      <c r="AJ32" s="458"/>
      <c r="AK32" s="459"/>
      <c r="AL32" s="459"/>
      <c r="AM32" s="459"/>
      <c r="AN32" s="460"/>
      <c r="AO32" s="458"/>
      <c r="AP32" s="459"/>
      <c r="AQ32" s="459"/>
      <c r="AR32" s="459"/>
      <c r="AS32" s="460"/>
      <c r="AT32" s="458"/>
      <c r="AU32" s="459"/>
      <c r="AV32" s="459"/>
      <c r="AW32" s="459"/>
      <c r="AX32" s="460"/>
      <c r="AY32" s="458"/>
      <c r="AZ32" s="459"/>
      <c r="BA32" s="459"/>
      <c r="BB32" s="459"/>
      <c r="BC32" s="460"/>
      <c r="BD32" s="458"/>
      <c r="BE32" s="459"/>
      <c r="BF32" s="459"/>
      <c r="BG32" s="459"/>
      <c r="BH32" s="460"/>
      <c r="BI32" s="458"/>
      <c r="BJ32" s="459"/>
      <c r="BK32" s="459"/>
      <c r="BL32" s="459"/>
      <c r="BM32" s="459"/>
      <c r="BN32" s="445"/>
      <c r="BO32" s="445"/>
      <c r="BP32" s="445"/>
      <c r="BQ32" s="446"/>
      <c r="BR32" s="436">
        <v>1</v>
      </c>
      <c r="BS32" s="434"/>
      <c r="BT32" s="434"/>
      <c r="BU32" s="434"/>
      <c r="BV32" s="434"/>
      <c r="BW32" s="434">
        <v>2</v>
      </c>
      <c r="BX32" s="434"/>
      <c r="BY32" s="434"/>
      <c r="BZ32" s="434"/>
      <c r="CA32" s="434"/>
      <c r="CB32" s="434">
        <v>3</v>
      </c>
      <c r="CC32" s="434"/>
      <c r="CD32" s="434"/>
      <c r="CE32" s="434"/>
      <c r="CF32" s="434"/>
      <c r="CG32" s="434">
        <v>4</v>
      </c>
      <c r="CH32" s="434"/>
      <c r="CI32" s="434"/>
      <c r="CJ32" s="434"/>
      <c r="CK32" s="434"/>
      <c r="CL32" s="434">
        <v>5</v>
      </c>
      <c r="CM32" s="434"/>
      <c r="CN32" s="434"/>
      <c r="CO32" s="434"/>
      <c r="CP32" s="434"/>
      <c r="CQ32" s="434">
        <v>6</v>
      </c>
      <c r="CR32" s="434"/>
      <c r="CS32" s="434"/>
      <c r="CT32" s="434"/>
      <c r="CU32" s="434"/>
      <c r="CV32" s="434">
        <v>7</v>
      </c>
      <c r="CW32" s="434"/>
      <c r="CX32" s="434"/>
      <c r="CY32" s="434"/>
      <c r="CZ32" s="434"/>
      <c r="DA32" s="434">
        <v>8</v>
      </c>
      <c r="DB32" s="434"/>
      <c r="DC32" s="434"/>
      <c r="DD32" s="434"/>
      <c r="DE32" s="435"/>
      <c r="DF32" s="436">
        <v>1</v>
      </c>
      <c r="DG32" s="434"/>
      <c r="DH32" s="434"/>
      <c r="DI32" s="434"/>
      <c r="DJ32" s="434"/>
      <c r="DK32" s="434">
        <v>2</v>
      </c>
      <c r="DL32" s="434"/>
      <c r="DM32" s="434"/>
      <c r="DN32" s="434"/>
      <c r="DO32" s="434"/>
      <c r="DP32" s="434">
        <v>3</v>
      </c>
      <c r="DQ32" s="434"/>
      <c r="DR32" s="434"/>
      <c r="DS32" s="434"/>
      <c r="DT32" s="434"/>
      <c r="DU32" s="434">
        <v>4</v>
      </c>
      <c r="DV32" s="434"/>
      <c r="DW32" s="434"/>
      <c r="DX32" s="434"/>
      <c r="DY32" s="434"/>
      <c r="DZ32" s="434">
        <v>5</v>
      </c>
      <c r="EA32" s="434"/>
      <c r="EB32" s="434"/>
      <c r="EC32" s="434"/>
      <c r="ED32" s="434"/>
      <c r="EE32" s="434">
        <v>6</v>
      </c>
      <c r="EF32" s="434"/>
      <c r="EG32" s="434"/>
      <c r="EH32" s="434"/>
      <c r="EI32" s="434"/>
      <c r="EJ32" s="434">
        <v>7</v>
      </c>
      <c r="EK32" s="434"/>
      <c r="EL32" s="434"/>
      <c r="EM32" s="434"/>
      <c r="EN32" s="434"/>
      <c r="EO32" s="434">
        <v>8</v>
      </c>
      <c r="EP32" s="434"/>
      <c r="EQ32" s="434"/>
      <c r="ER32" s="434"/>
      <c r="ES32" s="435"/>
      <c r="ET32" s="444"/>
      <c r="EU32" s="445"/>
      <c r="EV32" s="787"/>
      <c r="EW32" s="787"/>
      <c r="EX32" s="446"/>
      <c r="EY32" s="192"/>
    </row>
    <row r="33" spans="1:166" s="81" customFormat="1" ht="77.25" customHeight="1" x14ac:dyDescent="0.45">
      <c r="A33" s="370"/>
      <c r="B33" s="466"/>
      <c r="C33" s="475"/>
      <c r="D33" s="475"/>
      <c r="E33" s="475"/>
      <c r="F33" s="475"/>
      <c r="G33" s="475"/>
      <c r="H33" s="475"/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7"/>
      <c r="AA33" s="478"/>
      <c r="AB33" s="478"/>
      <c r="AC33" s="478"/>
      <c r="AD33" s="478"/>
      <c r="AE33" s="478"/>
      <c r="AF33" s="478"/>
      <c r="AG33" s="478"/>
      <c r="AH33" s="478"/>
      <c r="AI33" s="478"/>
      <c r="AJ33" s="458"/>
      <c r="AK33" s="459"/>
      <c r="AL33" s="459"/>
      <c r="AM33" s="459"/>
      <c r="AN33" s="460"/>
      <c r="AO33" s="458"/>
      <c r="AP33" s="459"/>
      <c r="AQ33" s="459"/>
      <c r="AR33" s="459"/>
      <c r="AS33" s="460"/>
      <c r="AT33" s="458"/>
      <c r="AU33" s="459"/>
      <c r="AV33" s="459"/>
      <c r="AW33" s="459"/>
      <c r="AX33" s="460"/>
      <c r="AY33" s="458"/>
      <c r="AZ33" s="459"/>
      <c r="BA33" s="459"/>
      <c r="BB33" s="459"/>
      <c r="BC33" s="460"/>
      <c r="BD33" s="458"/>
      <c r="BE33" s="459"/>
      <c r="BF33" s="459"/>
      <c r="BG33" s="459"/>
      <c r="BH33" s="460"/>
      <c r="BI33" s="458"/>
      <c r="BJ33" s="459"/>
      <c r="BK33" s="459"/>
      <c r="BL33" s="459"/>
      <c r="BM33" s="459"/>
      <c r="BN33" s="445"/>
      <c r="BO33" s="445"/>
      <c r="BP33" s="445"/>
      <c r="BQ33" s="446"/>
      <c r="BR33" s="436" t="s">
        <v>33</v>
      </c>
      <c r="BS33" s="434"/>
      <c r="BT33" s="434"/>
      <c r="BU33" s="434"/>
      <c r="BV33" s="434"/>
      <c r="BW33" s="434"/>
      <c r="BX33" s="434"/>
      <c r="BY33" s="434"/>
      <c r="BZ33" s="434"/>
      <c r="CA33" s="434"/>
      <c r="CB33" s="434"/>
      <c r="CC33" s="434"/>
      <c r="CD33" s="434"/>
      <c r="CE33" s="434"/>
      <c r="CF33" s="434"/>
      <c r="CG33" s="434"/>
      <c r="CH33" s="434"/>
      <c r="CI33" s="434"/>
      <c r="CJ33" s="434"/>
      <c r="CK33" s="434"/>
      <c r="CL33" s="434"/>
      <c r="CM33" s="434"/>
      <c r="CN33" s="434"/>
      <c r="CO33" s="434"/>
      <c r="CP33" s="434"/>
      <c r="CQ33" s="434"/>
      <c r="CR33" s="434"/>
      <c r="CS33" s="434"/>
      <c r="CT33" s="434"/>
      <c r="CU33" s="434"/>
      <c r="CV33" s="434"/>
      <c r="CW33" s="434"/>
      <c r="CX33" s="434"/>
      <c r="CY33" s="434"/>
      <c r="CZ33" s="434"/>
      <c r="DA33" s="434"/>
      <c r="DB33" s="434"/>
      <c r="DC33" s="434"/>
      <c r="DD33" s="434"/>
      <c r="DE33" s="435"/>
      <c r="DF33" s="436" t="s">
        <v>345</v>
      </c>
      <c r="DG33" s="434"/>
      <c r="DH33" s="434"/>
      <c r="DI33" s="434"/>
      <c r="DJ33" s="434"/>
      <c r="DK33" s="434"/>
      <c r="DL33" s="434"/>
      <c r="DM33" s="434"/>
      <c r="DN33" s="434"/>
      <c r="DO33" s="434"/>
      <c r="DP33" s="434"/>
      <c r="DQ33" s="434"/>
      <c r="DR33" s="434"/>
      <c r="DS33" s="434"/>
      <c r="DT33" s="434"/>
      <c r="DU33" s="434"/>
      <c r="DV33" s="434"/>
      <c r="DW33" s="434"/>
      <c r="DX33" s="434"/>
      <c r="DY33" s="434"/>
      <c r="DZ33" s="434"/>
      <c r="EA33" s="434"/>
      <c r="EB33" s="434"/>
      <c r="EC33" s="434"/>
      <c r="ED33" s="434"/>
      <c r="EE33" s="434"/>
      <c r="EF33" s="434"/>
      <c r="EG33" s="434"/>
      <c r="EH33" s="434"/>
      <c r="EI33" s="434"/>
      <c r="EJ33" s="434"/>
      <c r="EK33" s="434"/>
      <c r="EL33" s="434"/>
      <c r="EM33" s="434"/>
      <c r="EN33" s="434"/>
      <c r="EO33" s="434"/>
      <c r="EP33" s="434"/>
      <c r="EQ33" s="434"/>
      <c r="ER33" s="434"/>
      <c r="ES33" s="435"/>
      <c r="ET33" s="444"/>
      <c r="EU33" s="445"/>
      <c r="EV33" s="787"/>
      <c r="EW33" s="787"/>
      <c r="EX33" s="446"/>
      <c r="EY33" s="192"/>
    </row>
    <row r="34" spans="1:166" s="81" customFormat="1" ht="69" customHeight="1" x14ac:dyDescent="0.45">
      <c r="A34" s="371"/>
      <c r="B34" s="467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34" t="s">
        <v>69</v>
      </c>
      <c r="AA34" s="434"/>
      <c r="AB34" s="434"/>
      <c r="AC34" s="434"/>
      <c r="AD34" s="434"/>
      <c r="AE34" s="434" t="s">
        <v>70</v>
      </c>
      <c r="AF34" s="434"/>
      <c r="AG34" s="434"/>
      <c r="AH34" s="434"/>
      <c r="AI34" s="434"/>
      <c r="AJ34" s="461"/>
      <c r="AK34" s="462"/>
      <c r="AL34" s="462"/>
      <c r="AM34" s="462"/>
      <c r="AN34" s="463"/>
      <c r="AO34" s="461"/>
      <c r="AP34" s="462"/>
      <c r="AQ34" s="462"/>
      <c r="AR34" s="462"/>
      <c r="AS34" s="463"/>
      <c r="AT34" s="461"/>
      <c r="AU34" s="462"/>
      <c r="AV34" s="462"/>
      <c r="AW34" s="462"/>
      <c r="AX34" s="463"/>
      <c r="AY34" s="461"/>
      <c r="AZ34" s="462"/>
      <c r="BA34" s="462"/>
      <c r="BB34" s="462"/>
      <c r="BC34" s="463"/>
      <c r="BD34" s="461"/>
      <c r="BE34" s="462"/>
      <c r="BF34" s="462"/>
      <c r="BG34" s="462"/>
      <c r="BH34" s="463"/>
      <c r="BI34" s="461"/>
      <c r="BJ34" s="462"/>
      <c r="BK34" s="462"/>
      <c r="BL34" s="462"/>
      <c r="BM34" s="462"/>
      <c r="BN34" s="445"/>
      <c r="BO34" s="445"/>
      <c r="BP34" s="445"/>
      <c r="BQ34" s="446"/>
      <c r="BR34" s="436">
        <v>15</v>
      </c>
      <c r="BS34" s="434"/>
      <c r="BT34" s="434"/>
      <c r="BU34" s="434"/>
      <c r="BV34" s="434"/>
      <c r="BW34" s="434">
        <v>15</v>
      </c>
      <c r="BX34" s="434"/>
      <c r="BY34" s="434"/>
      <c r="BZ34" s="434"/>
      <c r="CA34" s="434"/>
      <c r="CB34" s="434">
        <v>15</v>
      </c>
      <c r="CC34" s="434"/>
      <c r="CD34" s="434"/>
      <c r="CE34" s="434"/>
      <c r="CF34" s="434"/>
      <c r="CG34" s="434">
        <v>15</v>
      </c>
      <c r="CH34" s="434"/>
      <c r="CI34" s="434"/>
      <c r="CJ34" s="434"/>
      <c r="CK34" s="434"/>
      <c r="CL34" s="434">
        <v>15</v>
      </c>
      <c r="CM34" s="434"/>
      <c r="CN34" s="434"/>
      <c r="CO34" s="434"/>
      <c r="CP34" s="434"/>
      <c r="CQ34" s="434">
        <v>15</v>
      </c>
      <c r="CR34" s="434"/>
      <c r="CS34" s="434"/>
      <c r="CT34" s="434"/>
      <c r="CU34" s="434"/>
      <c r="CV34" s="434">
        <v>15</v>
      </c>
      <c r="CW34" s="434"/>
      <c r="CX34" s="434"/>
      <c r="CY34" s="434"/>
      <c r="CZ34" s="434"/>
      <c r="DA34" s="434">
        <v>15</v>
      </c>
      <c r="DB34" s="434"/>
      <c r="DC34" s="434"/>
      <c r="DD34" s="434"/>
      <c r="DE34" s="435"/>
      <c r="DF34" s="436">
        <f>DF92</f>
        <v>30</v>
      </c>
      <c r="DG34" s="434"/>
      <c r="DH34" s="434"/>
      <c r="DI34" s="434"/>
      <c r="DJ34" s="434"/>
      <c r="DK34" s="437">
        <f t="shared" ref="DK34" si="0">DK92</f>
        <v>30</v>
      </c>
      <c r="DL34" s="434"/>
      <c r="DM34" s="434"/>
      <c r="DN34" s="434"/>
      <c r="DO34" s="434"/>
      <c r="DP34" s="437">
        <f t="shared" ref="DP34" si="1">DP92</f>
        <v>30</v>
      </c>
      <c r="DQ34" s="434"/>
      <c r="DR34" s="434"/>
      <c r="DS34" s="434"/>
      <c r="DT34" s="434"/>
      <c r="DU34" s="437">
        <f t="shared" ref="DU34" si="2">DU92</f>
        <v>30</v>
      </c>
      <c r="DV34" s="434"/>
      <c r="DW34" s="434"/>
      <c r="DX34" s="434"/>
      <c r="DY34" s="434"/>
      <c r="DZ34" s="437">
        <f t="shared" ref="DZ34" si="3">DZ92</f>
        <v>30</v>
      </c>
      <c r="EA34" s="434"/>
      <c r="EB34" s="434"/>
      <c r="EC34" s="434"/>
      <c r="ED34" s="434"/>
      <c r="EE34" s="437">
        <f t="shared" ref="EE34" si="4">EE92</f>
        <v>30</v>
      </c>
      <c r="EF34" s="434"/>
      <c r="EG34" s="434"/>
      <c r="EH34" s="434"/>
      <c r="EI34" s="434"/>
      <c r="EJ34" s="437">
        <f t="shared" ref="EJ34" si="5">EJ92</f>
        <v>30</v>
      </c>
      <c r="EK34" s="434"/>
      <c r="EL34" s="434"/>
      <c r="EM34" s="434"/>
      <c r="EN34" s="434"/>
      <c r="EO34" s="437">
        <f t="shared" ref="EO34" si="6">EO92</f>
        <v>30</v>
      </c>
      <c r="EP34" s="434"/>
      <c r="EQ34" s="434"/>
      <c r="ER34" s="434"/>
      <c r="ES34" s="435"/>
      <c r="ET34" s="447">
        <f>DF34+DK34+DP34+DU34+DZ34+EJ34+EE34+EO34</f>
        <v>240</v>
      </c>
      <c r="EU34" s="448"/>
      <c r="EV34" s="788"/>
      <c r="EW34" s="788"/>
      <c r="EX34" s="449"/>
      <c r="EY34" s="192"/>
    </row>
    <row r="35" spans="1:166" s="256" customFormat="1" ht="59.25" customHeight="1" thickBot="1" x14ac:dyDescent="0.25">
      <c r="A35" s="337">
        <v>1</v>
      </c>
      <c r="B35" s="329"/>
      <c r="C35" s="574">
        <v>2</v>
      </c>
      <c r="D35" s="575"/>
      <c r="E35" s="575"/>
      <c r="F35" s="575"/>
      <c r="G35" s="575"/>
      <c r="H35" s="575"/>
      <c r="I35" s="575"/>
      <c r="J35" s="575"/>
      <c r="K35" s="575"/>
      <c r="L35" s="575"/>
      <c r="M35" s="575"/>
      <c r="N35" s="575"/>
      <c r="O35" s="575"/>
      <c r="P35" s="575"/>
      <c r="Q35" s="575"/>
      <c r="R35" s="575"/>
      <c r="S35" s="575"/>
      <c r="T35" s="575"/>
      <c r="U35" s="575"/>
      <c r="V35" s="575"/>
      <c r="W35" s="575"/>
      <c r="X35" s="575"/>
      <c r="Y35" s="576"/>
      <c r="Z35" s="342">
        <v>3</v>
      </c>
      <c r="AA35" s="342"/>
      <c r="AB35" s="342"/>
      <c r="AC35" s="342"/>
      <c r="AD35" s="342"/>
      <c r="AE35" s="789">
        <v>4</v>
      </c>
      <c r="AF35" s="790"/>
      <c r="AG35" s="790"/>
      <c r="AH35" s="790"/>
      <c r="AI35" s="790"/>
      <c r="AJ35" s="789">
        <v>5</v>
      </c>
      <c r="AK35" s="790"/>
      <c r="AL35" s="790"/>
      <c r="AM35" s="790"/>
      <c r="AN35" s="791"/>
      <c r="AO35" s="789">
        <v>6</v>
      </c>
      <c r="AP35" s="790"/>
      <c r="AQ35" s="790"/>
      <c r="AR35" s="790"/>
      <c r="AS35" s="791"/>
      <c r="AT35" s="789">
        <v>7</v>
      </c>
      <c r="AU35" s="790"/>
      <c r="AV35" s="790"/>
      <c r="AW35" s="790"/>
      <c r="AX35" s="791"/>
      <c r="AY35" s="789">
        <v>8</v>
      </c>
      <c r="AZ35" s="790"/>
      <c r="BA35" s="790"/>
      <c r="BB35" s="790"/>
      <c r="BC35" s="791"/>
      <c r="BD35" s="789">
        <v>9</v>
      </c>
      <c r="BE35" s="790"/>
      <c r="BF35" s="790"/>
      <c r="BG35" s="790"/>
      <c r="BH35" s="791"/>
      <c r="BI35" s="789">
        <v>10</v>
      </c>
      <c r="BJ35" s="790"/>
      <c r="BK35" s="790"/>
      <c r="BL35" s="790"/>
      <c r="BM35" s="791"/>
      <c r="BN35" s="797">
        <v>11</v>
      </c>
      <c r="BO35" s="798"/>
      <c r="BP35" s="798"/>
      <c r="BQ35" s="799"/>
      <c r="BR35" s="796">
        <v>12</v>
      </c>
      <c r="BS35" s="347"/>
      <c r="BT35" s="347"/>
      <c r="BU35" s="347"/>
      <c r="BV35" s="347"/>
      <c r="BW35" s="347">
        <v>13</v>
      </c>
      <c r="BX35" s="347"/>
      <c r="BY35" s="347"/>
      <c r="BZ35" s="347"/>
      <c r="CA35" s="347"/>
      <c r="CB35" s="347">
        <v>14</v>
      </c>
      <c r="CC35" s="347"/>
      <c r="CD35" s="347"/>
      <c r="CE35" s="347"/>
      <c r="CF35" s="347"/>
      <c r="CG35" s="347">
        <v>15</v>
      </c>
      <c r="CH35" s="347"/>
      <c r="CI35" s="347"/>
      <c r="CJ35" s="347"/>
      <c r="CK35" s="347"/>
      <c r="CL35" s="347">
        <v>16</v>
      </c>
      <c r="CM35" s="347"/>
      <c r="CN35" s="347"/>
      <c r="CO35" s="347"/>
      <c r="CP35" s="347"/>
      <c r="CQ35" s="347">
        <v>17</v>
      </c>
      <c r="CR35" s="347"/>
      <c r="CS35" s="347"/>
      <c r="CT35" s="347"/>
      <c r="CU35" s="347"/>
      <c r="CV35" s="347">
        <v>18</v>
      </c>
      <c r="CW35" s="347"/>
      <c r="CX35" s="347"/>
      <c r="CY35" s="347"/>
      <c r="CZ35" s="347"/>
      <c r="DA35" s="347">
        <v>19</v>
      </c>
      <c r="DB35" s="347"/>
      <c r="DC35" s="347"/>
      <c r="DD35" s="347"/>
      <c r="DE35" s="343"/>
      <c r="DF35" s="796">
        <v>20</v>
      </c>
      <c r="DG35" s="347"/>
      <c r="DH35" s="347"/>
      <c r="DI35" s="347"/>
      <c r="DJ35" s="347"/>
      <c r="DK35" s="347">
        <v>21</v>
      </c>
      <c r="DL35" s="347"/>
      <c r="DM35" s="347"/>
      <c r="DN35" s="347"/>
      <c r="DO35" s="347"/>
      <c r="DP35" s="347">
        <v>22</v>
      </c>
      <c r="DQ35" s="347"/>
      <c r="DR35" s="347"/>
      <c r="DS35" s="347"/>
      <c r="DT35" s="347"/>
      <c r="DU35" s="347">
        <v>23</v>
      </c>
      <c r="DV35" s="347"/>
      <c r="DW35" s="347"/>
      <c r="DX35" s="347"/>
      <c r="DY35" s="347"/>
      <c r="DZ35" s="347">
        <v>24</v>
      </c>
      <c r="EA35" s="347"/>
      <c r="EB35" s="347"/>
      <c r="EC35" s="347"/>
      <c r="ED35" s="347"/>
      <c r="EE35" s="347">
        <v>25</v>
      </c>
      <c r="EF35" s="347"/>
      <c r="EG35" s="347"/>
      <c r="EH35" s="347"/>
      <c r="EI35" s="347"/>
      <c r="EJ35" s="347">
        <v>26</v>
      </c>
      <c r="EK35" s="347"/>
      <c r="EL35" s="347"/>
      <c r="EM35" s="347"/>
      <c r="EN35" s="347"/>
      <c r="EO35" s="347">
        <v>27</v>
      </c>
      <c r="EP35" s="347"/>
      <c r="EQ35" s="347"/>
      <c r="ER35" s="347"/>
      <c r="ES35" s="343"/>
      <c r="ET35" s="341">
        <v>28</v>
      </c>
      <c r="EU35" s="342"/>
      <c r="EV35" s="789"/>
      <c r="EW35" s="789"/>
      <c r="EX35" s="343"/>
      <c r="EY35" s="258"/>
    </row>
    <row r="36" spans="1:166" s="82" customFormat="1" ht="60" customHeight="1" x14ac:dyDescent="0.2">
      <c r="A36" s="165" t="s">
        <v>88</v>
      </c>
      <c r="B36" s="143"/>
      <c r="C36" s="819" t="s">
        <v>36</v>
      </c>
      <c r="D36" s="819"/>
      <c r="E36" s="819"/>
      <c r="F36" s="819"/>
      <c r="G36" s="819"/>
      <c r="H36" s="819"/>
      <c r="I36" s="819"/>
      <c r="J36" s="819"/>
      <c r="K36" s="819"/>
      <c r="L36" s="819"/>
      <c r="M36" s="819"/>
      <c r="N36" s="819"/>
      <c r="O36" s="819"/>
      <c r="P36" s="819"/>
      <c r="Q36" s="819"/>
      <c r="R36" s="819"/>
      <c r="S36" s="819"/>
      <c r="T36" s="819"/>
      <c r="U36" s="819"/>
      <c r="V36" s="819"/>
      <c r="W36" s="819"/>
      <c r="X36" s="819"/>
      <c r="Y36" s="819"/>
      <c r="Z36" s="812">
        <f>SUM(Z37:AD52)</f>
        <v>3330</v>
      </c>
      <c r="AA36" s="812"/>
      <c r="AB36" s="812"/>
      <c r="AC36" s="812"/>
      <c r="AD36" s="812"/>
      <c r="AE36" s="792">
        <f>Z36/$Z$92*100</f>
        <v>46.25</v>
      </c>
      <c r="AF36" s="792"/>
      <c r="AG36" s="792"/>
      <c r="AH36" s="792"/>
      <c r="AI36" s="792"/>
      <c r="AJ36" s="793">
        <f>SUM(AJ37:AN52)</f>
        <v>1340</v>
      </c>
      <c r="AK36" s="794"/>
      <c r="AL36" s="794"/>
      <c r="AM36" s="794"/>
      <c r="AN36" s="795"/>
      <c r="AO36" s="793">
        <f>SUM(AO37:AS52)</f>
        <v>644</v>
      </c>
      <c r="AP36" s="794"/>
      <c r="AQ36" s="794"/>
      <c r="AR36" s="794"/>
      <c r="AS36" s="795"/>
      <c r="AT36" s="793">
        <f>SUM(AT37:AX52)</f>
        <v>332</v>
      </c>
      <c r="AU36" s="794"/>
      <c r="AV36" s="794"/>
      <c r="AW36" s="794"/>
      <c r="AX36" s="795"/>
      <c r="AY36" s="793">
        <f>SUM(AY37:BC52)</f>
        <v>364</v>
      </c>
      <c r="AZ36" s="794"/>
      <c r="BA36" s="794"/>
      <c r="BB36" s="794"/>
      <c r="BC36" s="795"/>
      <c r="BD36" s="793">
        <f>SUM(BD37:BH52)</f>
        <v>0</v>
      </c>
      <c r="BE36" s="794"/>
      <c r="BF36" s="794"/>
      <c r="BG36" s="794"/>
      <c r="BH36" s="795"/>
      <c r="BI36" s="793">
        <f>SUM(BI37:BM52)</f>
        <v>0</v>
      </c>
      <c r="BJ36" s="794"/>
      <c r="BK36" s="794"/>
      <c r="BL36" s="794"/>
      <c r="BM36" s="795"/>
      <c r="BN36" s="812">
        <f>SUM(BN37:BQ52)</f>
        <v>1990</v>
      </c>
      <c r="BO36" s="812"/>
      <c r="BP36" s="812"/>
      <c r="BQ36" s="813"/>
      <c r="BR36" s="811">
        <f>SUM(BR37:BV52)</f>
        <v>17</v>
      </c>
      <c r="BS36" s="800"/>
      <c r="BT36" s="800"/>
      <c r="BU36" s="800"/>
      <c r="BV36" s="800"/>
      <c r="BW36" s="800">
        <f>SUM(BW37:CA52)</f>
        <v>8</v>
      </c>
      <c r="BX36" s="800"/>
      <c r="BY36" s="800"/>
      <c r="BZ36" s="800"/>
      <c r="CA36" s="800"/>
      <c r="CB36" s="800">
        <f>SUM(CB37:CF52)</f>
        <v>14</v>
      </c>
      <c r="CC36" s="800"/>
      <c r="CD36" s="800"/>
      <c r="CE36" s="800"/>
      <c r="CF36" s="800"/>
      <c r="CG36" s="800">
        <f>SUM(CG37:CK52)</f>
        <v>18</v>
      </c>
      <c r="CH36" s="800"/>
      <c r="CI36" s="800"/>
      <c r="CJ36" s="800"/>
      <c r="CK36" s="800"/>
      <c r="CL36" s="800">
        <f>SUM(CL37:CP52)</f>
        <v>12</v>
      </c>
      <c r="CM36" s="800"/>
      <c r="CN36" s="800"/>
      <c r="CO36" s="800"/>
      <c r="CP36" s="800"/>
      <c r="CQ36" s="800">
        <f>SUM(CQ37:CU52)</f>
        <v>14</v>
      </c>
      <c r="CR36" s="800"/>
      <c r="CS36" s="800"/>
      <c r="CT36" s="800"/>
      <c r="CU36" s="800"/>
      <c r="CV36" s="800">
        <f>SUM(CV37:CZ52)</f>
        <v>9</v>
      </c>
      <c r="CW36" s="800"/>
      <c r="CX36" s="800"/>
      <c r="CY36" s="800"/>
      <c r="CZ36" s="800"/>
      <c r="DA36" s="800">
        <f>SUM(DA37:DE52)</f>
        <v>8</v>
      </c>
      <c r="DB36" s="800"/>
      <c r="DC36" s="800"/>
      <c r="DD36" s="800"/>
      <c r="DE36" s="801"/>
      <c r="DF36" s="811">
        <f>SUM(DF37:DJ52)</f>
        <v>22</v>
      </c>
      <c r="DG36" s="800"/>
      <c r="DH36" s="800"/>
      <c r="DI36" s="800"/>
      <c r="DJ36" s="800"/>
      <c r="DK36" s="800">
        <f>SUM(DK37:DO52)</f>
        <v>9</v>
      </c>
      <c r="DL36" s="800"/>
      <c r="DM36" s="800"/>
      <c r="DN36" s="800"/>
      <c r="DO36" s="800"/>
      <c r="DP36" s="800">
        <f>SUM(DP37:DT52)</f>
        <v>14</v>
      </c>
      <c r="DQ36" s="800"/>
      <c r="DR36" s="800"/>
      <c r="DS36" s="800"/>
      <c r="DT36" s="800"/>
      <c r="DU36" s="800">
        <f>SUM(DU37:DY52)</f>
        <v>18</v>
      </c>
      <c r="DV36" s="800"/>
      <c r="DW36" s="800"/>
      <c r="DX36" s="800"/>
      <c r="DY36" s="800"/>
      <c r="DZ36" s="800">
        <f>SUM(DZ37:ED52)</f>
        <v>12</v>
      </c>
      <c r="EA36" s="800"/>
      <c r="EB36" s="800"/>
      <c r="EC36" s="800"/>
      <c r="ED36" s="800"/>
      <c r="EE36" s="800">
        <f>SUM(EE37:EI52)</f>
        <v>14</v>
      </c>
      <c r="EF36" s="800"/>
      <c r="EG36" s="800"/>
      <c r="EH36" s="800"/>
      <c r="EI36" s="800"/>
      <c r="EJ36" s="800">
        <f>SUM(EJ37:EN52)</f>
        <v>12</v>
      </c>
      <c r="EK36" s="800"/>
      <c r="EL36" s="800"/>
      <c r="EM36" s="800"/>
      <c r="EN36" s="800"/>
      <c r="EO36" s="800">
        <f>SUM(EO37:ES52)</f>
        <v>10</v>
      </c>
      <c r="EP36" s="800"/>
      <c r="EQ36" s="800"/>
      <c r="ER36" s="800"/>
      <c r="ES36" s="801"/>
      <c r="ET36" s="802">
        <f>SUM(ET37:EX52)</f>
        <v>111</v>
      </c>
      <c r="EU36" s="803"/>
      <c r="EV36" s="804"/>
      <c r="EW36" s="804"/>
      <c r="EX36" s="805"/>
      <c r="EY36" s="193"/>
      <c r="FA36" s="580" t="s">
        <v>277</v>
      </c>
      <c r="FB36" s="581"/>
      <c r="FC36" s="582"/>
    </row>
    <row r="37" spans="1:166" s="83" customFormat="1" ht="84.95" customHeight="1" x14ac:dyDescent="0.2">
      <c r="A37" s="166" t="s">
        <v>89</v>
      </c>
      <c r="B37" s="60" t="s">
        <v>129</v>
      </c>
      <c r="C37" s="806" t="s">
        <v>76</v>
      </c>
      <c r="D37" s="806"/>
      <c r="E37" s="806"/>
      <c r="F37" s="806"/>
      <c r="G37" s="806"/>
      <c r="H37" s="806"/>
      <c r="I37" s="806"/>
      <c r="J37" s="806"/>
      <c r="K37" s="806"/>
      <c r="L37" s="806"/>
      <c r="M37" s="806"/>
      <c r="N37" s="806"/>
      <c r="O37" s="806"/>
      <c r="P37" s="806"/>
      <c r="Q37" s="806"/>
      <c r="R37" s="806"/>
      <c r="S37" s="806"/>
      <c r="T37" s="806"/>
      <c r="U37" s="806"/>
      <c r="V37" s="806"/>
      <c r="W37" s="806"/>
      <c r="X37" s="806"/>
      <c r="Y37" s="806"/>
      <c r="Z37" s="807">
        <f>+ET37*30</f>
        <v>120</v>
      </c>
      <c r="AA37" s="807"/>
      <c r="AB37" s="807"/>
      <c r="AC37" s="807"/>
      <c r="AD37" s="807"/>
      <c r="AE37" s="808"/>
      <c r="AF37" s="808"/>
      <c r="AG37" s="808"/>
      <c r="AH37" s="808"/>
      <c r="AI37" s="808"/>
      <c r="AJ37" s="809">
        <f>SUM(AO37:BH37)</f>
        <v>60</v>
      </c>
      <c r="AK37" s="809"/>
      <c r="AL37" s="809"/>
      <c r="AM37" s="809"/>
      <c r="AN37" s="809"/>
      <c r="AO37" s="810">
        <v>30</v>
      </c>
      <c r="AP37" s="810"/>
      <c r="AQ37" s="810"/>
      <c r="AR37" s="810"/>
      <c r="AS37" s="810"/>
      <c r="AT37" s="810"/>
      <c r="AU37" s="810"/>
      <c r="AV37" s="810"/>
      <c r="AW37" s="810"/>
      <c r="AX37" s="810"/>
      <c r="AY37" s="810">
        <v>30</v>
      </c>
      <c r="AZ37" s="810"/>
      <c r="BA37" s="810"/>
      <c r="BB37" s="810"/>
      <c r="BC37" s="810"/>
      <c r="BD37" s="820"/>
      <c r="BE37" s="820"/>
      <c r="BF37" s="820"/>
      <c r="BG37" s="820"/>
      <c r="BH37" s="820"/>
      <c r="BI37" s="820"/>
      <c r="BJ37" s="820"/>
      <c r="BK37" s="820"/>
      <c r="BL37" s="820"/>
      <c r="BM37" s="820"/>
      <c r="BN37" s="807">
        <f t="shared" ref="BN37:BN52" si="7">Z37-AJ37</f>
        <v>60</v>
      </c>
      <c r="BO37" s="807"/>
      <c r="BP37" s="807"/>
      <c r="BQ37" s="818"/>
      <c r="BR37" s="821">
        <v>4</v>
      </c>
      <c r="BS37" s="808"/>
      <c r="BT37" s="808"/>
      <c r="BU37" s="808"/>
      <c r="BV37" s="808"/>
      <c r="BW37" s="808"/>
      <c r="BX37" s="808"/>
      <c r="BY37" s="808"/>
      <c r="BZ37" s="808"/>
      <c r="CA37" s="808"/>
      <c r="CB37" s="808"/>
      <c r="CC37" s="808"/>
      <c r="CD37" s="808"/>
      <c r="CE37" s="808"/>
      <c r="CF37" s="808"/>
      <c r="CG37" s="808"/>
      <c r="CH37" s="808"/>
      <c r="CI37" s="808"/>
      <c r="CJ37" s="808"/>
      <c r="CK37" s="808"/>
      <c r="CL37" s="808"/>
      <c r="CM37" s="808"/>
      <c r="CN37" s="808"/>
      <c r="CO37" s="808"/>
      <c r="CP37" s="808"/>
      <c r="CQ37" s="808"/>
      <c r="CR37" s="808"/>
      <c r="CS37" s="808"/>
      <c r="CT37" s="808"/>
      <c r="CU37" s="808"/>
      <c r="CV37" s="808"/>
      <c r="CW37" s="808"/>
      <c r="CX37" s="808"/>
      <c r="CY37" s="808"/>
      <c r="CZ37" s="808"/>
      <c r="DA37" s="808"/>
      <c r="DB37" s="808"/>
      <c r="DC37" s="808"/>
      <c r="DD37" s="808"/>
      <c r="DE37" s="814"/>
      <c r="DF37" s="821">
        <v>4</v>
      </c>
      <c r="DG37" s="808"/>
      <c r="DH37" s="808"/>
      <c r="DI37" s="808"/>
      <c r="DJ37" s="808"/>
      <c r="DK37" s="808"/>
      <c r="DL37" s="808"/>
      <c r="DM37" s="808"/>
      <c r="DN37" s="808"/>
      <c r="DO37" s="808"/>
      <c r="DP37" s="808"/>
      <c r="DQ37" s="808"/>
      <c r="DR37" s="808"/>
      <c r="DS37" s="808"/>
      <c r="DT37" s="808"/>
      <c r="DU37" s="808"/>
      <c r="DV37" s="808"/>
      <c r="DW37" s="808"/>
      <c r="DX37" s="808"/>
      <c r="DY37" s="808"/>
      <c r="DZ37" s="808"/>
      <c r="EA37" s="808"/>
      <c r="EB37" s="808"/>
      <c r="EC37" s="808"/>
      <c r="ED37" s="808"/>
      <c r="EE37" s="808"/>
      <c r="EF37" s="808"/>
      <c r="EG37" s="808"/>
      <c r="EH37" s="808"/>
      <c r="EI37" s="808"/>
      <c r="EJ37" s="808"/>
      <c r="EK37" s="808"/>
      <c r="EL37" s="808"/>
      <c r="EM37" s="808"/>
      <c r="EN37" s="808"/>
      <c r="EO37" s="808"/>
      <c r="EP37" s="808"/>
      <c r="EQ37" s="808"/>
      <c r="ER37" s="808"/>
      <c r="ES37" s="814"/>
      <c r="ET37" s="815">
        <f>SUM(DF37:ES37)</f>
        <v>4</v>
      </c>
      <c r="EU37" s="816"/>
      <c r="EV37" s="817"/>
      <c r="EW37" s="817"/>
      <c r="EX37" s="818"/>
      <c r="EY37" s="194"/>
      <c r="FA37" s="264">
        <v>4</v>
      </c>
      <c r="FB37" s="243"/>
      <c r="FC37" s="265"/>
      <c r="FE37" s="194" t="s">
        <v>279</v>
      </c>
      <c r="FJ37" s="83">
        <v>4</v>
      </c>
    </row>
    <row r="38" spans="1:166" s="83" customFormat="1" ht="99.95" customHeight="1" x14ac:dyDescent="0.2">
      <c r="A38" s="166" t="s">
        <v>90</v>
      </c>
      <c r="B38" s="60" t="s">
        <v>125</v>
      </c>
      <c r="C38" s="823" t="s">
        <v>37</v>
      </c>
      <c r="D38" s="823"/>
      <c r="E38" s="823"/>
      <c r="F38" s="823"/>
      <c r="G38" s="823"/>
      <c r="H38" s="823"/>
      <c r="I38" s="823"/>
      <c r="J38" s="823"/>
      <c r="K38" s="823"/>
      <c r="L38" s="823"/>
      <c r="M38" s="823"/>
      <c r="N38" s="823"/>
      <c r="O38" s="823"/>
      <c r="P38" s="823"/>
      <c r="Q38" s="823"/>
      <c r="R38" s="823"/>
      <c r="S38" s="823"/>
      <c r="T38" s="823"/>
      <c r="U38" s="823"/>
      <c r="V38" s="823"/>
      <c r="W38" s="823"/>
      <c r="X38" s="823"/>
      <c r="Y38" s="823"/>
      <c r="Z38" s="807">
        <f t="shared" ref="Z38:Z52" si="8">+ET38*30</f>
        <v>120</v>
      </c>
      <c r="AA38" s="807"/>
      <c r="AB38" s="807"/>
      <c r="AC38" s="807"/>
      <c r="AD38" s="807"/>
      <c r="AE38" s="808"/>
      <c r="AF38" s="808"/>
      <c r="AG38" s="808"/>
      <c r="AH38" s="808"/>
      <c r="AI38" s="808"/>
      <c r="AJ38" s="809">
        <f t="shared" ref="AJ38:AJ52" si="9">SUM(AO38:BH38)</f>
        <v>48</v>
      </c>
      <c r="AK38" s="809"/>
      <c r="AL38" s="809"/>
      <c r="AM38" s="809"/>
      <c r="AN38" s="809"/>
      <c r="AO38" s="810">
        <v>30</v>
      </c>
      <c r="AP38" s="810"/>
      <c r="AQ38" s="810"/>
      <c r="AR38" s="810"/>
      <c r="AS38" s="810"/>
      <c r="AT38" s="810"/>
      <c r="AU38" s="810"/>
      <c r="AV38" s="810"/>
      <c r="AW38" s="810"/>
      <c r="AX38" s="810"/>
      <c r="AY38" s="810">
        <v>18</v>
      </c>
      <c r="AZ38" s="810"/>
      <c r="BA38" s="810"/>
      <c r="BB38" s="810"/>
      <c r="BC38" s="810"/>
      <c r="BD38" s="820"/>
      <c r="BE38" s="820"/>
      <c r="BF38" s="820"/>
      <c r="BG38" s="820"/>
      <c r="BH38" s="820"/>
      <c r="BI38" s="820"/>
      <c r="BJ38" s="820"/>
      <c r="BK38" s="820"/>
      <c r="BL38" s="820"/>
      <c r="BM38" s="820"/>
      <c r="BN38" s="807">
        <f t="shared" si="7"/>
        <v>72</v>
      </c>
      <c r="BO38" s="807"/>
      <c r="BP38" s="807"/>
      <c r="BQ38" s="818"/>
      <c r="BR38" s="821">
        <v>3</v>
      </c>
      <c r="BS38" s="808"/>
      <c r="BT38" s="808"/>
      <c r="BU38" s="808"/>
      <c r="BV38" s="808"/>
      <c r="BW38" s="808"/>
      <c r="BX38" s="808"/>
      <c r="BY38" s="808"/>
      <c r="BZ38" s="808"/>
      <c r="CA38" s="808"/>
      <c r="CB38" s="808"/>
      <c r="CC38" s="808"/>
      <c r="CD38" s="808"/>
      <c r="CE38" s="808"/>
      <c r="CF38" s="808"/>
      <c r="CG38" s="808"/>
      <c r="CH38" s="808"/>
      <c r="CI38" s="808"/>
      <c r="CJ38" s="808"/>
      <c r="CK38" s="808"/>
      <c r="CL38" s="808"/>
      <c r="CM38" s="808"/>
      <c r="CN38" s="808"/>
      <c r="CO38" s="808"/>
      <c r="CP38" s="808"/>
      <c r="CQ38" s="808"/>
      <c r="CR38" s="808"/>
      <c r="CS38" s="808"/>
      <c r="CT38" s="808"/>
      <c r="CU38" s="808"/>
      <c r="CV38" s="808"/>
      <c r="CW38" s="808"/>
      <c r="CX38" s="808"/>
      <c r="CY38" s="808"/>
      <c r="CZ38" s="808"/>
      <c r="DA38" s="808"/>
      <c r="DB38" s="808"/>
      <c r="DC38" s="808"/>
      <c r="DD38" s="808"/>
      <c r="DE38" s="814"/>
      <c r="DF38" s="821">
        <v>4</v>
      </c>
      <c r="DG38" s="808"/>
      <c r="DH38" s="808"/>
      <c r="DI38" s="808"/>
      <c r="DJ38" s="808"/>
      <c r="DK38" s="808"/>
      <c r="DL38" s="808"/>
      <c r="DM38" s="808"/>
      <c r="DN38" s="808"/>
      <c r="DO38" s="808"/>
      <c r="DP38" s="808"/>
      <c r="DQ38" s="808"/>
      <c r="DR38" s="808"/>
      <c r="DS38" s="808"/>
      <c r="DT38" s="808"/>
      <c r="DU38" s="808"/>
      <c r="DV38" s="808"/>
      <c r="DW38" s="808"/>
      <c r="DX38" s="808"/>
      <c r="DY38" s="808"/>
      <c r="DZ38" s="808"/>
      <c r="EA38" s="808"/>
      <c r="EB38" s="808"/>
      <c r="EC38" s="808"/>
      <c r="ED38" s="808"/>
      <c r="EE38" s="808"/>
      <c r="EF38" s="808"/>
      <c r="EG38" s="808"/>
      <c r="EH38" s="808"/>
      <c r="EI38" s="808"/>
      <c r="EJ38" s="808"/>
      <c r="EK38" s="808"/>
      <c r="EL38" s="808"/>
      <c r="EM38" s="808"/>
      <c r="EN38" s="808"/>
      <c r="EO38" s="808"/>
      <c r="EP38" s="808"/>
      <c r="EQ38" s="808"/>
      <c r="ER38" s="808"/>
      <c r="ES38" s="814"/>
      <c r="ET38" s="815">
        <f t="shared" ref="ET38:ET51" si="10">SUM(DF38:ES38)</f>
        <v>4</v>
      </c>
      <c r="EU38" s="816"/>
      <c r="EV38" s="817"/>
      <c r="EW38" s="817"/>
      <c r="EX38" s="818"/>
      <c r="EY38" s="194"/>
      <c r="FA38" s="264">
        <v>4</v>
      </c>
      <c r="FB38" s="243"/>
      <c r="FC38" s="265"/>
      <c r="FE38" s="194" t="s">
        <v>280</v>
      </c>
      <c r="FJ38" s="83">
        <v>4</v>
      </c>
    </row>
    <row r="39" spans="1:166" s="83" customFormat="1" ht="84.95" customHeight="1" x14ac:dyDescent="0.2">
      <c r="A39" s="166" t="s">
        <v>91</v>
      </c>
      <c r="B39" s="60" t="s">
        <v>71</v>
      </c>
      <c r="C39" s="806" t="s">
        <v>77</v>
      </c>
      <c r="D39" s="806"/>
      <c r="E39" s="806"/>
      <c r="F39" s="806"/>
      <c r="G39" s="806"/>
      <c r="H39" s="806"/>
      <c r="I39" s="806"/>
      <c r="J39" s="806"/>
      <c r="K39" s="806"/>
      <c r="L39" s="806"/>
      <c r="M39" s="806"/>
      <c r="N39" s="806"/>
      <c r="O39" s="806"/>
      <c r="P39" s="806"/>
      <c r="Q39" s="806"/>
      <c r="R39" s="806"/>
      <c r="S39" s="806"/>
      <c r="T39" s="806"/>
      <c r="U39" s="806"/>
      <c r="V39" s="806"/>
      <c r="W39" s="806"/>
      <c r="X39" s="806"/>
      <c r="Y39" s="806"/>
      <c r="Z39" s="807">
        <f t="shared" si="8"/>
        <v>120</v>
      </c>
      <c r="AA39" s="807"/>
      <c r="AB39" s="807"/>
      <c r="AC39" s="807"/>
      <c r="AD39" s="807"/>
      <c r="AE39" s="808"/>
      <c r="AF39" s="808"/>
      <c r="AG39" s="808"/>
      <c r="AH39" s="808"/>
      <c r="AI39" s="808"/>
      <c r="AJ39" s="809">
        <f t="shared" si="9"/>
        <v>60</v>
      </c>
      <c r="AK39" s="809"/>
      <c r="AL39" s="809"/>
      <c r="AM39" s="809"/>
      <c r="AN39" s="809"/>
      <c r="AO39" s="822">
        <v>30</v>
      </c>
      <c r="AP39" s="822"/>
      <c r="AQ39" s="822"/>
      <c r="AR39" s="822"/>
      <c r="AS39" s="822"/>
      <c r="AT39" s="822"/>
      <c r="AU39" s="822"/>
      <c r="AV39" s="822"/>
      <c r="AW39" s="822"/>
      <c r="AX39" s="822"/>
      <c r="AY39" s="810">
        <v>30</v>
      </c>
      <c r="AZ39" s="810"/>
      <c r="BA39" s="810"/>
      <c r="BB39" s="810"/>
      <c r="BC39" s="810"/>
      <c r="BD39" s="820"/>
      <c r="BE39" s="820"/>
      <c r="BF39" s="820"/>
      <c r="BG39" s="820"/>
      <c r="BH39" s="820"/>
      <c r="BI39" s="820"/>
      <c r="BJ39" s="820"/>
      <c r="BK39" s="820"/>
      <c r="BL39" s="820"/>
      <c r="BM39" s="820"/>
      <c r="BN39" s="807">
        <f t="shared" si="7"/>
        <v>60</v>
      </c>
      <c r="BO39" s="807"/>
      <c r="BP39" s="807"/>
      <c r="BQ39" s="818"/>
      <c r="BR39" s="821">
        <v>4</v>
      </c>
      <c r="BS39" s="808"/>
      <c r="BT39" s="808"/>
      <c r="BU39" s="808"/>
      <c r="BV39" s="808"/>
      <c r="BW39" s="808"/>
      <c r="BX39" s="808"/>
      <c r="BY39" s="808"/>
      <c r="BZ39" s="808"/>
      <c r="CA39" s="808"/>
      <c r="CB39" s="808"/>
      <c r="CC39" s="808"/>
      <c r="CD39" s="808"/>
      <c r="CE39" s="808"/>
      <c r="CF39" s="808"/>
      <c r="CG39" s="808"/>
      <c r="CH39" s="808"/>
      <c r="CI39" s="808"/>
      <c r="CJ39" s="808"/>
      <c r="CK39" s="808"/>
      <c r="CL39" s="808"/>
      <c r="CM39" s="808"/>
      <c r="CN39" s="808"/>
      <c r="CO39" s="808"/>
      <c r="CP39" s="808"/>
      <c r="CQ39" s="808"/>
      <c r="CR39" s="808"/>
      <c r="CS39" s="808"/>
      <c r="CT39" s="808"/>
      <c r="CU39" s="808"/>
      <c r="CV39" s="808"/>
      <c r="CW39" s="808"/>
      <c r="CX39" s="808"/>
      <c r="CY39" s="808"/>
      <c r="CZ39" s="808"/>
      <c r="DA39" s="808"/>
      <c r="DB39" s="808"/>
      <c r="DC39" s="808"/>
      <c r="DD39" s="808"/>
      <c r="DE39" s="814"/>
      <c r="DF39" s="821">
        <v>4</v>
      </c>
      <c r="DG39" s="808"/>
      <c r="DH39" s="808"/>
      <c r="DI39" s="808"/>
      <c r="DJ39" s="808"/>
      <c r="DK39" s="808"/>
      <c r="DL39" s="808"/>
      <c r="DM39" s="808"/>
      <c r="DN39" s="808"/>
      <c r="DO39" s="808"/>
      <c r="DP39" s="808"/>
      <c r="DQ39" s="808"/>
      <c r="DR39" s="808"/>
      <c r="DS39" s="808"/>
      <c r="DT39" s="808"/>
      <c r="DU39" s="808"/>
      <c r="DV39" s="808"/>
      <c r="DW39" s="808"/>
      <c r="DX39" s="808"/>
      <c r="DY39" s="808"/>
      <c r="DZ39" s="808"/>
      <c r="EA39" s="808"/>
      <c r="EB39" s="808"/>
      <c r="EC39" s="808"/>
      <c r="ED39" s="808"/>
      <c r="EE39" s="808"/>
      <c r="EF39" s="808"/>
      <c r="EG39" s="808"/>
      <c r="EH39" s="808"/>
      <c r="EI39" s="808"/>
      <c r="EJ39" s="808"/>
      <c r="EK39" s="808"/>
      <c r="EL39" s="808"/>
      <c r="EM39" s="808"/>
      <c r="EN39" s="808"/>
      <c r="EO39" s="808"/>
      <c r="EP39" s="808"/>
      <c r="EQ39" s="808"/>
      <c r="ER39" s="808"/>
      <c r="ES39" s="814"/>
      <c r="ET39" s="815">
        <f t="shared" si="10"/>
        <v>4</v>
      </c>
      <c r="EU39" s="816"/>
      <c r="EV39" s="817"/>
      <c r="EW39" s="817"/>
      <c r="EX39" s="818"/>
      <c r="EY39" s="194"/>
      <c r="FA39" s="264">
        <v>8</v>
      </c>
      <c r="FB39" s="243"/>
      <c r="FC39" s="265"/>
      <c r="FE39" s="194" t="s">
        <v>281</v>
      </c>
      <c r="FJ39" s="83">
        <v>6</v>
      </c>
    </row>
    <row r="40" spans="1:166" s="83" customFormat="1" ht="84.95" customHeight="1" x14ac:dyDescent="0.2">
      <c r="A40" s="166" t="s">
        <v>92</v>
      </c>
      <c r="B40" s="60" t="s">
        <v>126</v>
      </c>
      <c r="C40" s="806" t="s">
        <v>78</v>
      </c>
      <c r="D40" s="806"/>
      <c r="E40" s="806"/>
      <c r="F40" s="806"/>
      <c r="G40" s="806"/>
      <c r="H40" s="806"/>
      <c r="I40" s="806"/>
      <c r="J40" s="806"/>
      <c r="K40" s="806"/>
      <c r="L40" s="806"/>
      <c r="M40" s="806"/>
      <c r="N40" s="806"/>
      <c r="O40" s="806"/>
      <c r="P40" s="806"/>
      <c r="Q40" s="806"/>
      <c r="R40" s="806"/>
      <c r="S40" s="806"/>
      <c r="T40" s="806"/>
      <c r="U40" s="806"/>
      <c r="V40" s="806"/>
      <c r="W40" s="806"/>
      <c r="X40" s="806"/>
      <c r="Y40" s="806"/>
      <c r="Z40" s="824">
        <f t="shared" si="8"/>
        <v>300</v>
      </c>
      <c r="AA40" s="824"/>
      <c r="AB40" s="824"/>
      <c r="AC40" s="824"/>
      <c r="AD40" s="824"/>
      <c r="AE40" s="825"/>
      <c r="AF40" s="825"/>
      <c r="AG40" s="825"/>
      <c r="AH40" s="825"/>
      <c r="AI40" s="825"/>
      <c r="AJ40" s="809">
        <f t="shared" si="9"/>
        <v>92</v>
      </c>
      <c r="AK40" s="809"/>
      <c r="AL40" s="809"/>
      <c r="AM40" s="809"/>
      <c r="AN40" s="809"/>
      <c r="AO40" s="826">
        <v>46</v>
      </c>
      <c r="AP40" s="826"/>
      <c r="AQ40" s="826"/>
      <c r="AR40" s="826"/>
      <c r="AS40" s="826"/>
      <c r="AT40" s="826"/>
      <c r="AU40" s="826"/>
      <c r="AV40" s="826"/>
      <c r="AW40" s="826"/>
      <c r="AX40" s="826"/>
      <c r="AY40" s="826">
        <v>46</v>
      </c>
      <c r="AZ40" s="826"/>
      <c r="BA40" s="826"/>
      <c r="BB40" s="826"/>
      <c r="BC40" s="826"/>
      <c r="BD40" s="829"/>
      <c r="BE40" s="829"/>
      <c r="BF40" s="829"/>
      <c r="BG40" s="829"/>
      <c r="BH40" s="829"/>
      <c r="BI40" s="829"/>
      <c r="BJ40" s="829"/>
      <c r="BK40" s="829"/>
      <c r="BL40" s="829"/>
      <c r="BM40" s="829"/>
      <c r="BN40" s="807">
        <f t="shared" si="7"/>
        <v>208</v>
      </c>
      <c r="BO40" s="807"/>
      <c r="BP40" s="807"/>
      <c r="BQ40" s="818"/>
      <c r="BR40" s="828">
        <v>6</v>
      </c>
      <c r="BS40" s="825"/>
      <c r="BT40" s="825"/>
      <c r="BU40" s="825"/>
      <c r="BV40" s="825"/>
      <c r="BW40" s="825"/>
      <c r="BX40" s="825"/>
      <c r="BY40" s="825"/>
      <c r="BZ40" s="825"/>
      <c r="CA40" s="825"/>
      <c r="CB40" s="825"/>
      <c r="CC40" s="825"/>
      <c r="CD40" s="825"/>
      <c r="CE40" s="825"/>
      <c r="CF40" s="825"/>
      <c r="CG40" s="825"/>
      <c r="CH40" s="825"/>
      <c r="CI40" s="825"/>
      <c r="CJ40" s="825"/>
      <c r="CK40" s="825"/>
      <c r="CL40" s="825"/>
      <c r="CM40" s="825"/>
      <c r="CN40" s="825"/>
      <c r="CO40" s="825"/>
      <c r="CP40" s="825"/>
      <c r="CQ40" s="825"/>
      <c r="CR40" s="825"/>
      <c r="CS40" s="825"/>
      <c r="CT40" s="825"/>
      <c r="CU40" s="825"/>
      <c r="CV40" s="825"/>
      <c r="CW40" s="825"/>
      <c r="CX40" s="825"/>
      <c r="CY40" s="825"/>
      <c r="CZ40" s="825"/>
      <c r="DA40" s="825"/>
      <c r="DB40" s="825"/>
      <c r="DC40" s="825"/>
      <c r="DD40" s="825"/>
      <c r="DE40" s="827"/>
      <c r="DF40" s="828">
        <v>10</v>
      </c>
      <c r="DG40" s="825"/>
      <c r="DH40" s="825"/>
      <c r="DI40" s="825"/>
      <c r="DJ40" s="825"/>
      <c r="DK40" s="825"/>
      <c r="DL40" s="825"/>
      <c r="DM40" s="825"/>
      <c r="DN40" s="825"/>
      <c r="DO40" s="825"/>
      <c r="DP40" s="825"/>
      <c r="DQ40" s="825"/>
      <c r="DR40" s="825"/>
      <c r="DS40" s="825"/>
      <c r="DT40" s="825"/>
      <c r="DU40" s="825"/>
      <c r="DV40" s="825"/>
      <c r="DW40" s="825"/>
      <c r="DX40" s="825"/>
      <c r="DY40" s="825"/>
      <c r="DZ40" s="825"/>
      <c r="EA40" s="825"/>
      <c r="EB40" s="825"/>
      <c r="EC40" s="825"/>
      <c r="ED40" s="825"/>
      <c r="EE40" s="825"/>
      <c r="EF40" s="825"/>
      <c r="EG40" s="825"/>
      <c r="EH40" s="825"/>
      <c r="EI40" s="825"/>
      <c r="EJ40" s="825"/>
      <c r="EK40" s="825"/>
      <c r="EL40" s="825"/>
      <c r="EM40" s="825"/>
      <c r="EN40" s="825"/>
      <c r="EO40" s="825"/>
      <c r="EP40" s="825"/>
      <c r="EQ40" s="825"/>
      <c r="ER40" s="825"/>
      <c r="ES40" s="827"/>
      <c r="ET40" s="815">
        <f t="shared" si="10"/>
        <v>10</v>
      </c>
      <c r="EU40" s="816"/>
      <c r="EV40" s="817"/>
      <c r="EW40" s="817"/>
      <c r="EX40" s="818"/>
      <c r="EY40" s="194"/>
      <c r="FA40" s="264">
        <v>7</v>
      </c>
      <c r="FB40" s="243"/>
      <c r="FC40" s="265"/>
      <c r="FE40" s="194"/>
    </row>
    <row r="41" spans="1:166" s="83" customFormat="1" ht="84.95" customHeight="1" x14ac:dyDescent="0.2">
      <c r="A41" s="166" t="s">
        <v>93</v>
      </c>
      <c r="B41" s="60" t="s">
        <v>72</v>
      </c>
      <c r="C41" s="806" t="s">
        <v>79</v>
      </c>
      <c r="D41" s="806"/>
      <c r="E41" s="806"/>
      <c r="F41" s="806"/>
      <c r="G41" s="806"/>
      <c r="H41" s="806"/>
      <c r="I41" s="806"/>
      <c r="J41" s="806"/>
      <c r="K41" s="806"/>
      <c r="L41" s="806"/>
      <c r="M41" s="806"/>
      <c r="N41" s="806"/>
      <c r="O41" s="806"/>
      <c r="P41" s="806"/>
      <c r="Q41" s="806"/>
      <c r="R41" s="806"/>
      <c r="S41" s="806"/>
      <c r="T41" s="806"/>
      <c r="U41" s="806"/>
      <c r="V41" s="806"/>
      <c r="W41" s="806"/>
      <c r="X41" s="806"/>
      <c r="Y41" s="806"/>
      <c r="Z41" s="824">
        <f t="shared" si="8"/>
        <v>120</v>
      </c>
      <c r="AA41" s="824"/>
      <c r="AB41" s="824"/>
      <c r="AC41" s="824"/>
      <c r="AD41" s="824"/>
      <c r="AE41" s="825"/>
      <c r="AF41" s="825"/>
      <c r="AG41" s="825"/>
      <c r="AH41" s="825"/>
      <c r="AI41" s="825"/>
      <c r="AJ41" s="809">
        <f t="shared" si="9"/>
        <v>60</v>
      </c>
      <c r="AK41" s="809"/>
      <c r="AL41" s="809"/>
      <c r="AM41" s="809"/>
      <c r="AN41" s="809"/>
      <c r="AO41" s="826">
        <v>30</v>
      </c>
      <c r="AP41" s="826"/>
      <c r="AQ41" s="826"/>
      <c r="AR41" s="826"/>
      <c r="AS41" s="826"/>
      <c r="AT41" s="826"/>
      <c r="AU41" s="826"/>
      <c r="AV41" s="826"/>
      <c r="AW41" s="826"/>
      <c r="AX41" s="826"/>
      <c r="AY41" s="826">
        <v>30</v>
      </c>
      <c r="AZ41" s="826"/>
      <c r="BA41" s="826"/>
      <c r="BB41" s="826"/>
      <c r="BC41" s="826"/>
      <c r="BD41" s="829"/>
      <c r="BE41" s="829"/>
      <c r="BF41" s="829"/>
      <c r="BG41" s="829"/>
      <c r="BH41" s="829"/>
      <c r="BI41" s="829"/>
      <c r="BJ41" s="829"/>
      <c r="BK41" s="829"/>
      <c r="BL41" s="829"/>
      <c r="BM41" s="829"/>
      <c r="BN41" s="807">
        <f t="shared" si="7"/>
        <v>60</v>
      </c>
      <c r="BO41" s="807"/>
      <c r="BP41" s="807"/>
      <c r="BQ41" s="818"/>
      <c r="BR41" s="828"/>
      <c r="BS41" s="825"/>
      <c r="BT41" s="825"/>
      <c r="BU41" s="825"/>
      <c r="BV41" s="825"/>
      <c r="BW41" s="825">
        <v>4</v>
      </c>
      <c r="BX41" s="825"/>
      <c r="BY41" s="825"/>
      <c r="BZ41" s="825"/>
      <c r="CA41" s="825"/>
      <c r="CB41" s="825"/>
      <c r="CC41" s="825"/>
      <c r="CD41" s="825"/>
      <c r="CE41" s="825"/>
      <c r="CF41" s="825"/>
      <c r="CG41" s="825"/>
      <c r="CH41" s="825"/>
      <c r="CI41" s="825"/>
      <c r="CJ41" s="825"/>
      <c r="CK41" s="825"/>
      <c r="CL41" s="825"/>
      <c r="CM41" s="825"/>
      <c r="CN41" s="825"/>
      <c r="CO41" s="825"/>
      <c r="CP41" s="825"/>
      <c r="CQ41" s="825"/>
      <c r="CR41" s="825"/>
      <c r="CS41" s="825"/>
      <c r="CT41" s="825"/>
      <c r="CU41" s="825"/>
      <c r="CV41" s="825"/>
      <c r="CW41" s="825"/>
      <c r="CX41" s="825"/>
      <c r="CY41" s="825"/>
      <c r="CZ41" s="825"/>
      <c r="DA41" s="825"/>
      <c r="DB41" s="825"/>
      <c r="DC41" s="825"/>
      <c r="DD41" s="825"/>
      <c r="DE41" s="827"/>
      <c r="DF41" s="828"/>
      <c r="DG41" s="825"/>
      <c r="DH41" s="825"/>
      <c r="DI41" s="825"/>
      <c r="DJ41" s="825"/>
      <c r="DK41" s="825">
        <v>4</v>
      </c>
      <c r="DL41" s="825"/>
      <c r="DM41" s="825"/>
      <c r="DN41" s="825"/>
      <c r="DO41" s="825"/>
      <c r="DP41" s="825"/>
      <c r="DQ41" s="825"/>
      <c r="DR41" s="825"/>
      <c r="DS41" s="825"/>
      <c r="DT41" s="825"/>
      <c r="DU41" s="825"/>
      <c r="DV41" s="825"/>
      <c r="DW41" s="825"/>
      <c r="DX41" s="825"/>
      <c r="DY41" s="825"/>
      <c r="DZ41" s="825"/>
      <c r="EA41" s="825"/>
      <c r="EB41" s="825"/>
      <c r="EC41" s="825"/>
      <c r="ED41" s="825"/>
      <c r="EE41" s="825"/>
      <c r="EF41" s="825"/>
      <c r="EG41" s="825"/>
      <c r="EH41" s="825"/>
      <c r="EI41" s="825"/>
      <c r="EJ41" s="825"/>
      <c r="EK41" s="825"/>
      <c r="EL41" s="825"/>
      <c r="EM41" s="825"/>
      <c r="EN41" s="825"/>
      <c r="EO41" s="825"/>
      <c r="EP41" s="825"/>
      <c r="EQ41" s="825"/>
      <c r="ER41" s="825"/>
      <c r="ES41" s="827"/>
      <c r="ET41" s="815">
        <f t="shared" si="10"/>
        <v>4</v>
      </c>
      <c r="EU41" s="816"/>
      <c r="EV41" s="817"/>
      <c r="EW41" s="817"/>
      <c r="EX41" s="818"/>
      <c r="EY41" s="194"/>
      <c r="FA41" s="264">
        <v>8</v>
      </c>
      <c r="FB41" s="243"/>
      <c r="FC41" s="265"/>
      <c r="FE41" s="194"/>
    </row>
    <row r="42" spans="1:166" s="83" customFormat="1" ht="84.95" customHeight="1" x14ac:dyDescent="0.2">
      <c r="A42" s="166" t="s">
        <v>94</v>
      </c>
      <c r="B42" s="60" t="s">
        <v>131</v>
      </c>
      <c r="C42" s="806" t="s">
        <v>334</v>
      </c>
      <c r="D42" s="806"/>
      <c r="E42" s="806"/>
      <c r="F42" s="806"/>
      <c r="G42" s="806"/>
      <c r="H42" s="806"/>
      <c r="I42" s="806"/>
      <c r="J42" s="806"/>
      <c r="K42" s="806"/>
      <c r="L42" s="806"/>
      <c r="M42" s="806"/>
      <c r="N42" s="806"/>
      <c r="O42" s="806"/>
      <c r="P42" s="806"/>
      <c r="Q42" s="806"/>
      <c r="R42" s="806"/>
      <c r="S42" s="806"/>
      <c r="T42" s="806"/>
      <c r="U42" s="806"/>
      <c r="V42" s="806"/>
      <c r="W42" s="806"/>
      <c r="X42" s="806"/>
      <c r="Y42" s="806"/>
      <c r="Z42" s="824">
        <f t="shared" si="8"/>
        <v>240</v>
      </c>
      <c r="AA42" s="824"/>
      <c r="AB42" s="824"/>
      <c r="AC42" s="824"/>
      <c r="AD42" s="824"/>
      <c r="AE42" s="830"/>
      <c r="AF42" s="830"/>
      <c r="AG42" s="830"/>
      <c r="AH42" s="830"/>
      <c r="AI42" s="830"/>
      <c r="AJ42" s="809">
        <f t="shared" si="9"/>
        <v>96</v>
      </c>
      <c r="AK42" s="809"/>
      <c r="AL42" s="809"/>
      <c r="AM42" s="809"/>
      <c r="AN42" s="809"/>
      <c r="AO42" s="826"/>
      <c r="AP42" s="826"/>
      <c r="AQ42" s="826"/>
      <c r="AR42" s="826"/>
      <c r="AS42" s="826"/>
      <c r="AT42" s="826">
        <v>48</v>
      </c>
      <c r="AU42" s="826"/>
      <c r="AV42" s="826"/>
      <c r="AW42" s="826"/>
      <c r="AX42" s="826"/>
      <c r="AY42" s="826">
        <v>48</v>
      </c>
      <c r="AZ42" s="826"/>
      <c r="BA42" s="826"/>
      <c r="BB42" s="826"/>
      <c r="BC42" s="826"/>
      <c r="BD42" s="829"/>
      <c r="BE42" s="829"/>
      <c r="BF42" s="829"/>
      <c r="BG42" s="829"/>
      <c r="BH42" s="829"/>
      <c r="BI42" s="829"/>
      <c r="BJ42" s="829"/>
      <c r="BK42" s="829"/>
      <c r="BL42" s="829"/>
      <c r="BM42" s="829"/>
      <c r="BN42" s="807">
        <f t="shared" si="7"/>
        <v>144</v>
      </c>
      <c r="BO42" s="807"/>
      <c r="BP42" s="807"/>
      <c r="BQ42" s="818"/>
      <c r="BR42" s="828"/>
      <c r="BS42" s="825"/>
      <c r="BT42" s="825"/>
      <c r="BU42" s="825"/>
      <c r="BV42" s="825"/>
      <c r="BW42" s="825"/>
      <c r="BX42" s="825"/>
      <c r="BY42" s="825"/>
      <c r="BZ42" s="825"/>
      <c r="CA42" s="825"/>
      <c r="CB42" s="825">
        <v>4</v>
      </c>
      <c r="CC42" s="825"/>
      <c r="CD42" s="825"/>
      <c r="CE42" s="825"/>
      <c r="CF42" s="825"/>
      <c r="CG42" s="825">
        <v>4</v>
      </c>
      <c r="CH42" s="825"/>
      <c r="CI42" s="825"/>
      <c r="CJ42" s="825"/>
      <c r="CK42" s="825"/>
      <c r="CL42" s="825"/>
      <c r="CM42" s="825"/>
      <c r="CN42" s="825"/>
      <c r="CO42" s="825"/>
      <c r="CP42" s="825"/>
      <c r="CQ42" s="825"/>
      <c r="CR42" s="825"/>
      <c r="CS42" s="825"/>
      <c r="CT42" s="825"/>
      <c r="CU42" s="825"/>
      <c r="CV42" s="825"/>
      <c r="CW42" s="825"/>
      <c r="CX42" s="825"/>
      <c r="CY42" s="825"/>
      <c r="CZ42" s="825"/>
      <c r="DA42" s="825"/>
      <c r="DB42" s="825"/>
      <c r="DC42" s="825"/>
      <c r="DD42" s="825"/>
      <c r="DE42" s="827"/>
      <c r="DF42" s="828"/>
      <c r="DG42" s="825"/>
      <c r="DH42" s="825"/>
      <c r="DI42" s="825"/>
      <c r="DJ42" s="825"/>
      <c r="DK42" s="825"/>
      <c r="DL42" s="825"/>
      <c r="DM42" s="825"/>
      <c r="DN42" s="825"/>
      <c r="DO42" s="825"/>
      <c r="DP42" s="825">
        <v>4</v>
      </c>
      <c r="DQ42" s="825"/>
      <c r="DR42" s="825"/>
      <c r="DS42" s="825"/>
      <c r="DT42" s="825"/>
      <c r="DU42" s="825">
        <v>4</v>
      </c>
      <c r="DV42" s="825"/>
      <c r="DW42" s="825"/>
      <c r="DX42" s="825"/>
      <c r="DY42" s="825"/>
      <c r="DZ42" s="825"/>
      <c r="EA42" s="825"/>
      <c r="EB42" s="825"/>
      <c r="EC42" s="825"/>
      <c r="ED42" s="825"/>
      <c r="EE42" s="825"/>
      <c r="EF42" s="825"/>
      <c r="EG42" s="825"/>
      <c r="EH42" s="825"/>
      <c r="EI42" s="825"/>
      <c r="EJ42" s="825"/>
      <c r="EK42" s="825"/>
      <c r="EL42" s="825"/>
      <c r="EM42" s="825"/>
      <c r="EN42" s="825"/>
      <c r="EO42" s="825"/>
      <c r="EP42" s="825"/>
      <c r="EQ42" s="825"/>
      <c r="ER42" s="825"/>
      <c r="ES42" s="827"/>
      <c r="ET42" s="815">
        <f t="shared" si="10"/>
        <v>8</v>
      </c>
      <c r="EU42" s="816"/>
      <c r="EV42" s="817"/>
      <c r="EW42" s="817"/>
      <c r="EX42" s="818"/>
      <c r="EY42" s="194"/>
      <c r="FA42" s="264">
        <v>3</v>
      </c>
      <c r="FB42" s="243"/>
      <c r="FC42" s="265"/>
      <c r="FE42" s="194"/>
    </row>
    <row r="43" spans="1:166" s="305" customFormat="1" ht="84.95" customHeight="1" x14ac:dyDescent="0.2">
      <c r="A43" s="167" t="s">
        <v>95</v>
      </c>
      <c r="B43" s="97" t="s">
        <v>154</v>
      </c>
      <c r="C43" s="806" t="s">
        <v>153</v>
      </c>
      <c r="D43" s="806"/>
      <c r="E43" s="806"/>
      <c r="F43" s="806"/>
      <c r="G43" s="806"/>
      <c r="H43" s="806"/>
      <c r="I43" s="806"/>
      <c r="J43" s="806"/>
      <c r="K43" s="806"/>
      <c r="L43" s="806"/>
      <c r="M43" s="806"/>
      <c r="N43" s="806"/>
      <c r="O43" s="806"/>
      <c r="P43" s="806"/>
      <c r="Q43" s="806"/>
      <c r="R43" s="806"/>
      <c r="S43" s="806"/>
      <c r="T43" s="806"/>
      <c r="U43" s="806"/>
      <c r="V43" s="806"/>
      <c r="W43" s="806"/>
      <c r="X43" s="806"/>
      <c r="Y43" s="806"/>
      <c r="Z43" s="824">
        <f t="shared" si="8"/>
        <v>480</v>
      </c>
      <c r="AA43" s="824"/>
      <c r="AB43" s="824"/>
      <c r="AC43" s="824"/>
      <c r="AD43" s="824"/>
      <c r="AE43" s="825"/>
      <c r="AF43" s="825"/>
      <c r="AG43" s="825"/>
      <c r="AH43" s="825"/>
      <c r="AI43" s="825"/>
      <c r="AJ43" s="831">
        <f t="shared" si="9"/>
        <v>192</v>
      </c>
      <c r="AK43" s="831"/>
      <c r="AL43" s="831"/>
      <c r="AM43" s="831"/>
      <c r="AN43" s="831"/>
      <c r="AO43" s="826">
        <v>96</v>
      </c>
      <c r="AP43" s="826"/>
      <c r="AQ43" s="826"/>
      <c r="AR43" s="826"/>
      <c r="AS43" s="826"/>
      <c r="AT43" s="826">
        <v>48</v>
      </c>
      <c r="AU43" s="826"/>
      <c r="AV43" s="826"/>
      <c r="AW43" s="826"/>
      <c r="AX43" s="826"/>
      <c r="AY43" s="826">
        <v>48</v>
      </c>
      <c r="AZ43" s="826"/>
      <c r="BA43" s="826"/>
      <c r="BB43" s="826"/>
      <c r="BC43" s="826"/>
      <c r="BD43" s="829"/>
      <c r="BE43" s="829"/>
      <c r="BF43" s="829"/>
      <c r="BG43" s="829"/>
      <c r="BH43" s="829"/>
      <c r="BI43" s="829" t="s">
        <v>229</v>
      </c>
      <c r="BJ43" s="829"/>
      <c r="BK43" s="829"/>
      <c r="BL43" s="829"/>
      <c r="BM43" s="829"/>
      <c r="BN43" s="824">
        <f t="shared" si="7"/>
        <v>288</v>
      </c>
      <c r="BO43" s="824"/>
      <c r="BP43" s="824"/>
      <c r="BQ43" s="835"/>
      <c r="BR43" s="828"/>
      <c r="BS43" s="825"/>
      <c r="BT43" s="825"/>
      <c r="BU43" s="825"/>
      <c r="BV43" s="825"/>
      <c r="BW43" s="825"/>
      <c r="BX43" s="825"/>
      <c r="BY43" s="825"/>
      <c r="BZ43" s="825"/>
      <c r="CA43" s="825"/>
      <c r="CB43" s="825">
        <v>4</v>
      </c>
      <c r="CC43" s="825"/>
      <c r="CD43" s="825"/>
      <c r="CE43" s="825"/>
      <c r="CF43" s="825"/>
      <c r="CG43" s="825">
        <v>4</v>
      </c>
      <c r="CH43" s="825"/>
      <c r="CI43" s="825"/>
      <c r="CJ43" s="825"/>
      <c r="CK43" s="825"/>
      <c r="CL43" s="825">
        <v>4</v>
      </c>
      <c r="CM43" s="825"/>
      <c r="CN43" s="825"/>
      <c r="CO43" s="825"/>
      <c r="CP43" s="825"/>
      <c r="CQ43" s="825">
        <v>4</v>
      </c>
      <c r="CR43" s="825"/>
      <c r="CS43" s="825"/>
      <c r="CT43" s="825"/>
      <c r="CU43" s="825"/>
      <c r="CV43" s="825"/>
      <c r="CW43" s="825"/>
      <c r="CX43" s="825"/>
      <c r="CY43" s="825"/>
      <c r="CZ43" s="825"/>
      <c r="DA43" s="825"/>
      <c r="DB43" s="825"/>
      <c r="DC43" s="825"/>
      <c r="DD43" s="825"/>
      <c r="DE43" s="827"/>
      <c r="DF43" s="828"/>
      <c r="DG43" s="825"/>
      <c r="DH43" s="825"/>
      <c r="DI43" s="825"/>
      <c r="DJ43" s="825"/>
      <c r="DK43" s="825"/>
      <c r="DL43" s="825"/>
      <c r="DM43" s="825"/>
      <c r="DN43" s="825"/>
      <c r="DO43" s="825"/>
      <c r="DP43" s="825">
        <v>4</v>
      </c>
      <c r="DQ43" s="825"/>
      <c r="DR43" s="825"/>
      <c r="DS43" s="825"/>
      <c r="DT43" s="825"/>
      <c r="DU43" s="825">
        <v>4</v>
      </c>
      <c r="DV43" s="825"/>
      <c r="DW43" s="825"/>
      <c r="DX43" s="825"/>
      <c r="DY43" s="825"/>
      <c r="DZ43" s="825">
        <v>4</v>
      </c>
      <c r="EA43" s="825"/>
      <c r="EB43" s="825"/>
      <c r="EC43" s="825"/>
      <c r="ED43" s="825"/>
      <c r="EE43" s="825">
        <v>4</v>
      </c>
      <c r="EF43" s="825"/>
      <c r="EG43" s="825"/>
      <c r="EH43" s="825"/>
      <c r="EI43" s="825"/>
      <c r="EJ43" s="825"/>
      <c r="EK43" s="825"/>
      <c r="EL43" s="825"/>
      <c r="EM43" s="825"/>
      <c r="EN43" s="825"/>
      <c r="EO43" s="825"/>
      <c r="EP43" s="825"/>
      <c r="EQ43" s="825"/>
      <c r="ER43" s="825"/>
      <c r="ES43" s="827"/>
      <c r="ET43" s="832">
        <f t="shared" si="10"/>
        <v>16</v>
      </c>
      <c r="EU43" s="833"/>
      <c r="EV43" s="834"/>
      <c r="EW43" s="834"/>
      <c r="EX43" s="835"/>
      <c r="EY43" s="304"/>
      <c r="FA43" s="311">
        <v>22</v>
      </c>
      <c r="FB43" s="307"/>
      <c r="FC43" s="308"/>
      <c r="FE43" s="309"/>
    </row>
    <row r="44" spans="1:166" s="310" customFormat="1" ht="99.95" customHeight="1" x14ac:dyDescent="0.2">
      <c r="A44" s="167" t="s">
        <v>96</v>
      </c>
      <c r="B44" s="97" t="s">
        <v>328</v>
      </c>
      <c r="C44" s="823" t="s">
        <v>87</v>
      </c>
      <c r="D44" s="823"/>
      <c r="E44" s="823"/>
      <c r="F44" s="823"/>
      <c r="G44" s="823"/>
      <c r="H44" s="823"/>
      <c r="I44" s="823"/>
      <c r="J44" s="823"/>
      <c r="K44" s="823"/>
      <c r="L44" s="823"/>
      <c r="M44" s="823"/>
      <c r="N44" s="823"/>
      <c r="O44" s="823"/>
      <c r="P44" s="823"/>
      <c r="Q44" s="823"/>
      <c r="R44" s="823"/>
      <c r="S44" s="823"/>
      <c r="T44" s="823"/>
      <c r="U44" s="823"/>
      <c r="V44" s="823"/>
      <c r="W44" s="823"/>
      <c r="X44" s="823"/>
      <c r="Y44" s="823"/>
      <c r="Z44" s="824">
        <f t="shared" si="8"/>
        <v>120</v>
      </c>
      <c r="AA44" s="824"/>
      <c r="AB44" s="824"/>
      <c r="AC44" s="824"/>
      <c r="AD44" s="824"/>
      <c r="AE44" s="825"/>
      <c r="AF44" s="825"/>
      <c r="AG44" s="825"/>
      <c r="AH44" s="825"/>
      <c r="AI44" s="825"/>
      <c r="AJ44" s="831">
        <f t="shared" si="9"/>
        <v>48</v>
      </c>
      <c r="AK44" s="831"/>
      <c r="AL44" s="831"/>
      <c r="AM44" s="831"/>
      <c r="AN44" s="831"/>
      <c r="AO44" s="826">
        <v>32</v>
      </c>
      <c r="AP44" s="826"/>
      <c r="AQ44" s="826"/>
      <c r="AR44" s="826"/>
      <c r="AS44" s="826"/>
      <c r="AT44" s="826">
        <v>8</v>
      </c>
      <c r="AU44" s="826"/>
      <c r="AV44" s="826"/>
      <c r="AW44" s="826"/>
      <c r="AX44" s="826"/>
      <c r="AY44" s="826">
        <v>8</v>
      </c>
      <c r="AZ44" s="826"/>
      <c r="BA44" s="826"/>
      <c r="BB44" s="826"/>
      <c r="BC44" s="826"/>
      <c r="BD44" s="829"/>
      <c r="BE44" s="829"/>
      <c r="BF44" s="829"/>
      <c r="BG44" s="829"/>
      <c r="BH44" s="829"/>
      <c r="BI44" s="829"/>
      <c r="BJ44" s="829"/>
      <c r="BK44" s="829"/>
      <c r="BL44" s="829"/>
      <c r="BM44" s="829"/>
      <c r="BN44" s="824">
        <f t="shared" si="7"/>
        <v>72</v>
      </c>
      <c r="BO44" s="824"/>
      <c r="BP44" s="824"/>
      <c r="BQ44" s="835"/>
      <c r="BR44" s="828"/>
      <c r="BS44" s="825"/>
      <c r="BT44" s="825"/>
      <c r="BU44" s="825"/>
      <c r="BV44" s="825"/>
      <c r="BW44" s="825"/>
      <c r="BX44" s="825"/>
      <c r="BY44" s="825"/>
      <c r="BZ44" s="825"/>
      <c r="CA44" s="825"/>
      <c r="CB44" s="825"/>
      <c r="CC44" s="825"/>
      <c r="CD44" s="825"/>
      <c r="CE44" s="825"/>
      <c r="CF44" s="825"/>
      <c r="CG44" s="825">
        <v>4</v>
      </c>
      <c r="CH44" s="825"/>
      <c r="CI44" s="825"/>
      <c r="CJ44" s="825"/>
      <c r="CK44" s="825"/>
      <c r="CL44" s="825"/>
      <c r="CM44" s="825"/>
      <c r="CN44" s="825"/>
      <c r="CO44" s="825"/>
      <c r="CP44" s="825"/>
      <c r="CQ44" s="825"/>
      <c r="CR44" s="825"/>
      <c r="CS44" s="825"/>
      <c r="CT44" s="825"/>
      <c r="CU44" s="825"/>
      <c r="CV44" s="825"/>
      <c r="CW44" s="825"/>
      <c r="CX44" s="825"/>
      <c r="CY44" s="825"/>
      <c r="CZ44" s="825"/>
      <c r="DA44" s="825"/>
      <c r="DB44" s="825"/>
      <c r="DC44" s="825"/>
      <c r="DD44" s="825"/>
      <c r="DE44" s="827"/>
      <c r="DF44" s="828"/>
      <c r="DG44" s="825"/>
      <c r="DH44" s="825"/>
      <c r="DI44" s="825"/>
      <c r="DJ44" s="825"/>
      <c r="DK44" s="825"/>
      <c r="DL44" s="825"/>
      <c r="DM44" s="825"/>
      <c r="DN44" s="825"/>
      <c r="DO44" s="825"/>
      <c r="DP44" s="825"/>
      <c r="DQ44" s="825"/>
      <c r="DR44" s="825"/>
      <c r="DS44" s="825"/>
      <c r="DT44" s="825"/>
      <c r="DU44" s="825">
        <v>4</v>
      </c>
      <c r="DV44" s="825"/>
      <c r="DW44" s="825"/>
      <c r="DX44" s="825"/>
      <c r="DY44" s="825"/>
      <c r="DZ44" s="825"/>
      <c r="EA44" s="825"/>
      <c r="EB44" s="825"/>
      <c r="EC44" s="825"/>
      <c r="ED44" s="825"/>
      <c r="EE44" s="825"/>
      <c r="EF44" s="825"/>
      <c r="EG44" s="825"/>
      <c r="EH44" s="825"/>
      <c r="EI44" s="825"/>
      <c r="EJ44" s="825"/>
      <c r="EK44" s="825"/>
      <c r="EL44" s="825"/>
      <c r="EM44" s="825"/>
      <c r="EN44" s="825"/>
      <c r="EO44" s="825"/>
      <c r="EP44" s="825"/>
      <c r="EQ44" s="825"/>
      <c r="ER44" s="825"/>
      <c r="ES44" s="827"/>
      <c r="ET44" s="832">
        <f t="shared" si="10"/>
        <v>4</v>
      </c>
      <c r="EU44" s="833"/>
      <c r="EV44" s="834"/>
      <c r="EW44" s="834"/>
      <c r="EX44" s="835"/>
      <c r="EY44" s="309"/>
      <c r="FA44" s="311">
        <v>4</v>
      </c>
      <c r="FB44" s="312"/>
      <c r="FC44" s="313"/>
      <c r="FE44" s="309"/>
    </row>
    <row r="45" spans="1:166" s="130" customFormat="1" ht="84.95" customHeight="1" x14ac:dyDescent="0.2">
      <c r="A45" s="167" t="s">
        <v>97</v>
      </c>
      <c r="B45" s="97" t="s">
        <v>133</v>
      </c>
      <c r="C45" s="806" t="s">
        <v>124</v>
      </c>
      <c r="D45" s="806"/>
      <c r="E45" s="806"/>
      <c r="F45" s="806"/>
      <c r="G45" s="806"/>
      <c r="H45" s="806"/>
      <c r="I45" s="806"/>
      <c r="J45" s="806"/>
      <c r="K45" s="806"/>
      <c r="L45" s="806"/>
      <c r="M45" s="806"/>
      <c r="N45" s="806"/>
      <c r="O45" s="806"/>
      <c r="P45" s="806"/>
      <c r="Q45" s="806"/>
      <c r="R45" s="806"/>
      <c r="S45" s="806"/>
      <c r="T45" s="806"/>
      <c r="U45" s="806"/>
      <c r="V45" s="806"/>
      <c r="W45" s="806"/>
      <c r="X45" s="806"/>
      <c r="Y45" s="806"/>
      <c r="Z45" s="824">
        <f t="shared" si="8"/>
        <v>180</v>
      </c>
      <c r="AA45" s="824"/>
      <c r="AB45" s="824"/>
      <c r="AC45" s="824"/>
      <c r="AD45" s="824"/>
      <c r="AE45" s="825"/>
      <c r="AF45" s="825"/>
      <c r="AG45" s="825"/>
      <c r="AH45" s="825"/>
      <c r="AI45" s="825"/>
      <c r="AJ45" s="831">
        <f t="shared" si="9"/>
        <v>72</v>
      </c>
      <c r="AK45" s="831"/>
      <c r="AL45" s="831"/>
      <c r="AM45" s="831"/>
      <c r="AN45" s="831"/>
      <c r="AO45" s="826">
        <v>44</v>
      </c>
      <c r="AP45" s="826"/>
      <c r="AQ45" s="826"/>
      <c r="AR45" s="826"/>
      <c r="AS45" s="826"/>
      <c r="AT45" s="826">
        <v>28</v>
      </c>
      <c r="AU45" s="826"/>
      <c r="AV45" s="826"/>
      <c r="AW45" s="826"/>
      <c r="AX45" s="826"/>
      <c r="AY45" s="826"/>
      <c r="AZ45" s="826"/>
      <c r="BA45" s="826"/>
      <c r="BB45" s="826"/>
      <c r="BC45" s="826"/>
      <c r="BD45" s="829"/>
      <c r="BE45" s="829"/>
      <c r="BF45" s="829"/>
      <c r="BG45" s="829"/>
      <c r="BH45" s="829"/>
      <c r="BI45" s="829"/>
      <c r="BJ45" s="829"/>
      <c r="BK45" s="829"/>
      <c r="BL45" s="829"/>
      <c r="BM45" s="829"/>
      <c r="BN45" s="824">
        <f t="shared" si="7"/>
        <v>108</v>
      </c>
      <c r="BO45" s="824"/>
      <c r="BP45" s="824"/>
      <c r="BQ45" s="835"/>
      <c r="BR45" s="828"/>
      <c r="BS45" s="825"/>
      <c r="BT45" s="825"/>
      <c r="BU45" s="825"/>
      <c r="BV45" s="825"/>
      <c r="BW45" s="825"/>
      <c r="BX45" s="825"/>
      <c r="BY45" s="825"/>
      <c r="BZ45" s="825"/>
      <c r="CA45" s="825"/>
      <c r="CB45" s="825">
        <v>4</v>
      </c>
      <c r="CC45" s="825"/>
      <c r="CD45" s="825"/>
      <c r="CE45" s="825"/>
      <c r="CF45" s="825"/>
      <c r="CG45" s="825">
        <v>2</v>
      </c>
      <c r="CH45" s="825"/>
      <c r="CI45" s="825"/>
      <c r="CJ45" s="825"/>
      <c r="CK45" s="825"/>
      <c r="CL45" s="825"/>
      <c r="CM45" s="825"/>
      <c r="CN45" s="825"/>
      <c r="CO45" s="825"/>
      <c r="CP45" s="825"/>
      <c r="CQ45" s="825"/>
      <c r="CR45" s="825"/>
      <c r="CS45" s="825"/>
      <c r="CT45" s="825"/>
      <c r="CU45" s="825"/>
      <c r="CV45" s="825"/>
      <c r="CW45" s="825"/>
      <c r="CX45" s="825"/>
      <c r="CY45" s="825"/>
      <c r="CZ45" s="825"/>
      <c r="DA45" s="825"/>
      <c r="DB45" s="825"/>
      <c r="DC45" s="825"/>
      <c r="DD45" s="825"/>
      <c r="DE45" s="827"/>
      <c r="DF45" s="828"/>
      <c r="DG45" s="825"/>
      <c r="DH45" s="825"/>
      <c r="DI45" s="825"/>
      <c r="DJ45" s="825"/>
      <c r="DK45" s="825"/>
      <c r="DL45" s="825"/>
      <c r="DM45" s="825"/>
      <c r="DN45" s="825"/>
      <c r="DO45" s="825"/>
      <c r="DP45" s="825">
        <v>4</v>
      </c>
      <c r="DQ45" s="825"/>
      <c r="DR45" s="825"/>
      <c r="DS45" s="825"/>
      <c r="DT45" s="825"/>
      <c r="DU45" s="825">
        <v>2</v>
      </c>
      <c r="DV45" s="825"/>
      <c r="DW45" s="825"/>
      <c r="DX45" s="825"/>
      <c r="DY45" s="825"/>
      <c r="DZ45" s="825"/>
      <c r="EA45" s="825"/>
      <c r="EB45" s="825"/>
      <c r="EC45" s="825"/>
      <c r="ED45" s="825"/>
      <c r="EE45" s="825"/>
      <c r="EF45" s="825"/>
      <c r="EG45" s="825"/>
      <c r="EH45" s="825"/>
      <c r="EI45" s="825"/>
      <c r="EJ45" s="825"/>
      <c r="EK45" s="825"/>
      <c r="EL45" s="825"/>
      <c r="EM45" s="825"/>
      <c r="EN45" s="825"/>
      <c r="EO45" s="825"/>
      <c r="EP45" s="825"/>
      <c r="EQ45" s="825"/>
      <c r="ER45" s="825"/>
      <c r="ES45" s="827"/>
      <c r="ET45" s="832">
        <f t="shared" si="10"/>
        <v>6</v>
      </c>
      <c r="EU45" s="833"/>
      <c r="EV45" s="834"/>
      <c r="EW45" s="834"/>
      <c r="EX45" s="835"/>
      <c r="EY45" s="196"/>
      <c r="FA45" s="272">
        <v>6</v>
      </c>
      <c r="FB45" s="303"/>
      <c r="FC45" s="273"/>
      <c r="FE45" s="196"/>
    </row>
    <row r="46" spans="1:166" s="310" customFormat="1" ht="84.95" customHeight="1" x14ac:dyDescent="0.2">
      <c r="A46" s="167" t="s">
        <v>4</v>
      </c>
      <c r="B46" s="97" t="s">
        <v>276</v>
      </c>
      <c r="C46" s="806" t="s">
        <v>156</v>
      </c>
      <c r="D46" s="806"/>
      <c r="E46" s="806"/>
      <c r="F46" s="806"/>
      <c r="G46" s="806"/>
      <c r="H46" s="806"/>
      <c r="I46" s="806"/>
      <c r="J46" s="806"/>
      <c r="K46" s="806"/>
      <c r="L46" s="806"/>
      <c r="M46" s="806"/>
      <c r="N46" s="806"/>
      <c r="O46" s="806"/>
      <c r="P46" s="806"/>
      <c r="Q46" s="806"/>
      <c r="R46" s="806"/>
      <c r="S46" s="806"/>
      <c r="T46" s="806"/>
      <c r="U46" s="806"/>
      <c r="V46" s="806"/>
      <c r="W46" s="806"/>
      <c r="X46" s="806"/>
      <c r="Y46" s="806"/>
      <c r="Z46" s="824">
        <f t="shared" si="8"/>
        <v>420</v>
      </c>
      <c r="AA46" s="824"/>
      <c r="AB46" s="824"/>
      <c r="AC46" s="824"/>
      <c r="AD46" s="824"/>
      <c r="AE46" s="825"/>
      <c r="AF46" s="825"/>
      <c r="AG46" s="825"/>
      <c r="AH46" s="825"/>
      <c r="AI46" s="825"/>
      <c r="AJ46" s="831">
        <f t="shared" si="9"/>
        <v>168</v>
      </c>
      <c r="AK46" s="831"/>
      <c r="AL46" s="831"/>
      <c r="AM46" s="831"/>
      <c r="AN46" s="831"/>
      <c r="AO46" s="826">
        <v>84</v>
      </c>
      <c r="AP46" s="826"/>
      <c r="AQ46" s="826"/>
      <c r="AR46" s="826"/>
      <c r="AS46" s="826"/>
      <c r="AT46" s="826">
        <v>84</v>
      </c>
      <c r="AU46" s="826"/>
      <c r="AV46" s="826"/>
      <c r="AW46" s="826"/>
      <c r="AX46" s="826"/>
      <c r="AY46" s="826"/>
      <c r="AZ46" s="826"/>
      <c r="BA46" s="826"/>
      <c r="BB46" s="826"/>
      <c r="BC46" s="826"/>
      <c r="BD46" s="829"/>
      <c r="BE46" s="829"/>
      <c r="BF46" s="829"/>
      <c r="BG46" s="829"/>
      <c r="BH46" s="829"/>
      <c r="BI46" s="829" t="s">
        <v>229</v>
      </c>
      <c r="BJ46" s="829"/>
      <c r="BK46" s="829"/>
      <c r="BL46" s="829"/>
      <c r="BM46" s="829"/>
      <c r="BN46" s="824">
        <f t="shared" si="7"/>
        <v>252</v>
      </c>
      <c r="BO46" s="824"/>
      <c r="BP46" s="824"/>
      <c r="BQ46" s="835"/>
      <c r="BR46" s="828"/>
      <c r="BS46" s="825"/>
      <c r="BT46" s="825"/>
      <c r="BU46" s="825"/>
      <c r="BV46" s="825"/>
      <c r="BW46" s="825"/>
      <c r="BX46" s="825"/>
      <c r="BY46" s="825"/>
      <c r="BZ46" s="825"/>
      <c r="CA46" s="825"/>
      <c r="CB46" s="825">
        <v>2</v>
      </c>
      <c r="CC46" s="825"/>
      <c r="CD46" s="825"/>
      <c r="CE46" s="825"/>
      <c r="CF46" s="825"/>
      <c r="CG46" s="825">
        <v>4</v>
      </c>
      <c r="CH46" s="825"/>
      <c r="CI46" s="825"/>
      <c r="CJ46" s="825"/>
      <c r="CK46" s="825"/>
      <c r="CL46" s="825">
        <v>4</v>
      </c>
      <c r="CM46" s="825"/>
      <c r="CN46" s="825"/>
      <c r="CO46" s="825"/>
      <c r="CP46" s="825"/>
      <c r="CQ46" s="825">
        <v>4</v>
      </c>
      <c r="CR46" s="825"/>
      <c r="CS46" s="825"/>
      <c r="CT46" s="825"/>
      <c r="CU46" s="825"/>
      <c r="CV46" s="825"/>
      <c r="CW46" s="825"/>
      <c r="CX46" s="825"/>
      <c r="CY46" s="825"/>
      <c r="CZ46" s="825"/>
      <c r="DA46" s="825"/>
      <c r="DB46" s="825"/>
      <c r="DC46" s="825"/>
      <c r="DD46" s="825"/>
      <c r="DE46" s="827"/>
      <c r="DF46" s="828"/>
      <c r="DG46" s="825"/>
      <c r="DH46" s="825"/>
      <c r="DI46" s="825"/>
      <c r="DJ46" s="825"/>
      <c r="DK46" s="825"/>
      <c r="DL46" s="825"/>
      <c r="DM46" s="825"/>
      <c r="DN46" s="825"/>
      <c r="DO46" s="825"/>
      <c r="DP46" s="825">
        <v>2</v>
      </c>
      <c r="DQ46" s="825"/>
      <c r="DR46" s="825"/>
      <c r="DS46" s="825"/>
      <c r="DT46" s="825"/>
      <c r="DU46" s="825">
        <v>4</v>
      </c>
      <c r="DV46" s="825"/>
      <c r="DW46" s="825"/>
      <c r="DX46" s="825"/>
      <c r="DY46" s="825"/>
      <c r="DZ46" s="825">
        <v>4</v>
      </c>
      <c r="EA46" s="825"/>
      <c r="EB46" s="825"/>
      <c r="EC46" s="825"/>
      <c r="ED46" s="825"/>
      <c r="EE46" s="825">
        <v>4</v>
      </c>
      <c r="EF46" s="825"/>
      <c r="EG46" s="825"/>
      <c r="EH46" s="825"/>
      <c r="EI46" s="825"/>
      <c r="EJ46" s="825"/>
      <c r="EK46" s="825"/>
      <c r="EL46" s="825"/>
      <c r="EM46" s="825"/>
      <c r="EN46" s="825"/>
      <c r="EO46" s="825"/>
      <c r="EP46" s="825"/>
      <c r="EQ46" s="825"/>
      <c r="ER46" s="825"/>
      <c r="ES46" s="827"/>
      <c r="ET46" s="832">
        <f t="shared" si="10"/>
        <v>14</v>
      </c>
      <c r="EU46" s="833"/>
      <c r="EV46" s="834"/>
      <c r="EW46" s="834"/>
      <c r="EX46" s="835"/>
      <c r="EY46" s="309"/>
      <c r="FA46" s="311">
        <v>12</v>
      </c>
      <c r="FB46" s="312"/>
      <c r="FC46" s="313"/>
      <c r="FE46" s="309"/>
    </row>
    <row r="47" spans="1:166" s="315" customFormat="1" ht="99.95" customHeight="1" x14ac:dyDescent="0.2">
      <c r="A47" s="167" t="s">
        <v>5</v>
      </c>
      <c r="B47" s="322" t="s">
        <v>319</v>
      </c>
      <c r="C47" s="823" t="s">
        <v>157</v>
      </c>
      <c r="D47" s="823"/>
      <c r="E47" s="823"/>
      <c r="F47" s="823"/>
      <c r="G47" s="823"/>
      <c r="H47" s="823"/>
      <c r="I47" s="823"/>
      <c r="J47" s="823"/>
      <c r="K47" s="823"/>
      <c r="L47" s="823"/>
      <c r="M47" s="823"/>
      <c r="N47" s="823"/>
      <c r="O47" s="823"/>
      <c r="P47" s="823"/>
      <c r="Q47" s="823"/>
      <c r="R47" s="823"/>
      <c r="S47" s="823"/>
      <c r="T47" s="823"/>
      <c r="U47" s="823"/>
      <c r="V47" s="823"/>
      <c r="W47" s="823"/>
      <c r="X47" s="823"/>
      <c r="Y47" s="823"/>
      <c r="Z47" s="824">
        <f t="shared" si="8"/>
        <v>300</v>
      </c>
      <c r="AA47" s="824"/>
      <c r="AB47" s="824"/>
      <c r="AC47" s="824"/>
      <c r="AD47" s="824"/>
      <c r="AE47" s="825"/>
      <c r="AF47" s="825"/>
      <c r="AG47" s="825"/>
      <c r="AH47" s="825"/>
      <c r="AI47" s="825"/>
      <c r="AJ47" s="831">
        <f t="shared" si="9"/>
        <v>120</v>
      </c>
      <c r="AK47" s="831"/>
      <c r="AL47" s="831"/>
      <c r="AM47" s="831"/>
      <c r="AN47" s="831"/>
      <c r="AO47" s="826">
        <v>60</v>
      </c>
      <c r="AP47" s="826"/>
      <c r="AQ47" s="826"/>
      <c r="AR47" s="826"/>
      <c r="AS47" s="826"/>
      <c r="AT47" s="826">
        <v>20</v>
      </c>
      <c r="AU47" s="826"/>
      <c r="AV47" s="826"/>
      <c r="AW47" s="826"/>
      <c r="AX47" s="826"/>
      <c r="AY47" s="826">
        <v>40</v>
      </c>
      <c r="AZ47" s="826"/>
      <c r="BA47" s="826"/>
      <c r="BB47" s="826"/>
      <c r="BC47" s="826"/>
      <c r="BD47" s="829"/>
      <c r="BE47" s="829"/>
      <c r="BF47" s="829"/>
      <c r="BG47" s="829"/>
      <c r="BH47" s="829"/>
      <c r="BI47" s="829" t="s">
        <v>229</v>
      </c>
      <c r="BJ47" s="829"/>
      <c r="BK47" s="829"/>
      <c r="BL47" s="829"/>
      <c r="BM47" s="829"/>
      <c r="BN47" s="824">
        <f t="shared" si="7"/>
        <v>180</v>
      </c>
      <c r="BO47" s="824"/>
      <c r="BP47" s="824"/>
      <c r="BQ47" s="835"/>
      <c r="BR47" s="828"/>
      <c r="BS47" s="825"/>
      <c r="BT47" s="825"/>
      <c r="BU47" s="825"/>
      <c r="BV47" s="825"/>
      <c r="BW47" s="825"/>
      <c r="BX47" s="825"/>
      <c r="BY47" s="825"/>
      <c r="BZ47" s="825"/>
      <c r="CA47" s="825"/>
      <c r="CB47" s="825"/>
      <c r="CC47" s="825"/>
      <c r="CD47" s="825"/>
      <c r="CE47" s="825"/>
      <c r="CF47" s="825"/>
      <c r="CG47" s="825"/>
      <c r="CH47" s="825"/>
      <c r="CI47" s="825"/>
      <c r="CJ47" s="825"/>
      <c r="CK47" s="825"/>
      <c r="CL47" s="825">
        <v>4</v>
      </c>
      <c r="CM47" s="825"/>
      <c r="CN47" s="825"/>
      <c r="CO47" s="825"/>
      <c r="CP47" s="825"/>
      <c r="CQ47" s="825">
        <v>6</v>
      </c>
      <c r="CR47" s="825"/>
      <c r="CS47" s="825"/>
      <c r="CT47" s="825"/>
      <c r="CU47" s="825"/>
      <c r="CV47" s="825"/>
      <c r="CW47" s="825"/>
      <c r="CX47" s="825"/>
      <c r="CY47" s="825"/>
      <c r="CZ47" s="825"/>
      <c r="DA47" s="825"/>
      <c r="DB47" s="825"/>
      <c r="DC47" s="825"/>
      <c r="DD47" s="825"/>
      <c r="DE47" s="827"/>
      <c r="DF47" s="828"/>
      <c r="DG47" s="825"/>
      <c r="DH47" s="825"/>
      <c r="DI47" s="825"/>
      <c r="DJ47" s="825"/>
      <c r="DK47" s="825"/>
      <c r="DL47" s="825"/>
      <c r="DM47" s="825"/>
      <c r="DN47" s="825"/>
      <c r="DO47" s="825"/>
      <c r="DP47" s="825"/>
      <c r="DQ47" s="825"/>
      <c r="DR47" s="825"/>
      <c r="DS47" s="825"/>
      <c r="DT47" s="825"/>
      <c r="DU47" s="825"/>
      <c r="DV47" s="825"/>
      <c r="DW47" s="825"/>
      <c r="DX47" s="825"/>
      <c r="DY47" s="825"/>
      <c r="DZ47" s="825">
        <v>4</v>
      </c>
      <c r="EA47" s="825"/>
      <c r="EB47" s="825"/>
      <c r="EC47" s="825"/>
      <c r="ED47" s="825"/>
      <c r="EE47" s="825">
        <v>6</v>
      </c>
      <c r="EF47" s="825"/>
      <c r="EG47" s="825"/>
      <c r="EH47" s="825"/>
      <c r="EI47" s="825"/>
      <c r="EJ47" s="825"/>
      <c r="EK47" s="825"/>
      <c r="EL47" s="825"/>
      <c r="EM47" s="825"/>
      <c r="EN47" s="825"/>
      <c r="EO47" s="825"/>
      <c r="EP47" s="825"/>
      <c r="EQ47" s="825"/>
      <c r="ER47" s="825"/>
      <c r="ES47" s="827"/>
      <c r="ET47" s="832">
        <f t="shared" si="10"/>
        <v>10</v>
      </c>
      <c r="EU47" s="833"/>
      <c r="EV47" s="834"/>
      <c r="EW47" s="834"/>
      <c r="EX47" s="835"/>
      <c r="EY47" s="314" t="s">
        <v>239</v>
      </c>
      <c r="FA47" s="316">
        <v>8</v>
      </c>
      <c r="FB47" s="317"/>
      <c r="FC47" s="318"/>
    </row>
    <row r="48" spans="1:166" s="130" customFormat="1" ht="99.95" customHeight="1" x14ac:dyDescent="0.2">
      <c r="A48" s="167" t="s">
        <v>6</v>
      </c>
      <c r="B48" s="97" t="s">
        <v>309</v>
      </c>
      <c r="C48" s="823" t="s">
        <v>158</v>
      </c>
      <c r="D48" s="823"/>
      <c r="E48" s="823"/>
      <c r="F48" s="823"/>
      <c r="G48" s="823"/>
      <c r="H48" s="823"/>
      <c r="I48" s="823"/>
      <c r="J48" s="823"/>
      <c r="K48" s="823"/>
      <c r="L48" s="823"/>
      <c r="M48" s="823"/>
      <c r="N48" s="823"/>
      <c r="O48" s="823"/>
      <c r="P48" s="823"/>
      <c r="Q48" s="823"/>
      <c r="R48" s="823"/>
      <c r="S48" s="823"/>
      <c r="T48" s="823"/>
      <c r="U48" s="823"/>
      <c r="V48" s="823"/>
      <c r="W48" s="823"/>
      <c r="X48" s="823"/>
      <c r="Y48" s="823"/>
      <c r="Z48" s="824">
        <f t="shared" si="8"/>
        <v>60</v>
      </c>
      <c r="AA48" s="824"/>
      <c r="AB48" s="824"/>
      <c r="AC48" s="824"/>
      <c r="AD48" s="824"/>
      <c r="AE48" s="825"/>
      <c r="AF48" s="825"/>
      <c r="AG48" s="825"/>
      <c r="AH48" s="825"/>
      <c r="AI48" s="825"/>
      <c r="AJ48" s="831">
        <f t="shared" si="9"/>
        <v>24</v>
      </c>
      <c r="AK48" s="831"/>
      <c r="AL48" s="831"/>
      <c r="AM48" s="831"/>
      <c r="AN48" s="831"/>
      <c r="AO48" s="826">
        <v>12</v>
      </c>
      <c r="AP48" s="826"/>
      <c r="AQ48" s="826"/>
      <c r="AR48" s="826"/>
      <c r="AS48" s="826"/>
      <c r="AT48" s="826"/>
      <c r="AU48" s="826"/>
      <c r="AV48" s="826"/>
      <c r="AW48" s="826"/>
      <c r="AX48" s="826"/>
      <c r="AY48" s="826">
        <v>12</v>
      </c>
      <c r="AZ48" s="826"/>
      <c r="BA48" s="826"/>
      <c r="BB48" s="826"/>
      <c r="BC48" s="826"/>
      <c r="BD48" s="829"/>
      <c r="BE48" s="829"/>
      <c r="BF48" s="829"/>
      <c r="BG48" s="829"/>
      <c r="BH48" s="829"/>
      <c r="BI48" s="829"/>
      <c r="BJ48" s="829"/>
      <c r="BK48" s="829"/>
      <c r="BL48" s="829"/>
      <c r="BM48" s="829"/>
      <c r="BN48" s="824">
        <f t="shared" si="7"/>
        <v>36</v>
      </c>
      <c r="BO48" s="824"/>
      <c r="BP48" s="824"/>
      <c r="BQ48" s="835"/>
      <c r="BR48" s="828"/>
      <c r="BS48" s="825"/>
      <c r="BT48" s="825"/>
      <c r="BU48" s="825"/>
      <c r="BV48" s="825"/>
      <c r="BW48" s="825"/>
      <c r="BX48" s="825"/>
      <c r="BY48" s="825"/>
      <c r="BZ48" s="825"/>
      <c r="CA48" s="825"/>
      <c r="CB48" s="825"/>
      <c r="CC48" s="825"/>
      <c r="CD48" s="825"/>
      <c r="CE48" s="825"/>
      <c r="CF48" s="825"/>
      <c r="CG48" s="825"/>
      <c r="CH48" s="825"/>
      <c r="CI48" s="825"/>
      <c r="CJ48" s="825"/>
      <c r="CK48" s="825"/>
      <c r="CL48" s="825"/>
      <c r="CM48" s="825"/>
      <c r="CN48" s="825"/>
      <c r="CO48" s="825"/>
      <c r="CP48" s="825"/>
      <c r="CQ48" s="825"/>
      <c r="CR48" s="825"/>
      <c r="CS48" s="825"/>
      <c r="CT48" s="825"/>
      <c r="CU48" s="825"/>
      <c r="CV48" s="825"/>
      <c r="CW48" s="825"/>
      <c r="CX48" s="825"/>
      <c r="CY48" s="825"/>
      <c r="CZ48" s="825"/>
      <c r="DA48" s="825">
        <v>2</v>
      </c>
      <c r="DB48" s="825"/>
      <c r="DC48" s="825"/>
      <c r="DD48" s="825"/>
      <c r="DE48" s="827"/>
      <c r="DF48" s="828"/>
      <c r="DG48" s="825"/>
      <c r="DH48" s="825"/>
      <c r="DI48" s="825"/>
      <c r="DJ48" s="825"/>
      <c r="DK48" s="825"/>
      <c r="DL48" s="825"/>
      <c r="DM48" s="825"/>
      <c r="DN48" s="825"/>
      <c r="DO48" s="825"/>
      <c r="DP48" s="825"/>
      <c r="DQ48" s="825"/>
      <c r="DR48" s="825"/>
      <c r="DS48" s="825"/>
      <c r="DT48" s="825"/>
      <c r="DU48" s="825"/>
      <c r="DV48" s="825"/>
      <c r="DW48" s="825"/>
      <c r="DX48" s="825"/>
      <c r="DY48" s="825"/>
      <c r="DZ48" s="825"/>
      <c r="EA48" s="825"/>
      <c r="EB48" s="825"/>
      <c r="EC48" s="825"/>
      <c r="ED48" s="825"/>
      <c r="EE48" s="825"/>
      <c r="EF48" s="825"/>
      <c r="EG48" s="825"/>
      <c r="EH48" s="825"/>
      <c r="EI48" s="825"/>
      <c r="EJ48" s="825"/>
      <c r="EK48" s="825"/>
      <c r="EL48" s="825"/>
      <c r="EM48" s="825"/>
      <c r="EN48" s="825"/>
      <c r="EO48" s="825">
        <v>2</v>
      </c>
      <c r="EP48" s="825"/>
      <c r="EQ48" s="825"/>
      <c r="ER48" s="825"/>
      <c r="ES48" s="827"/>
      <c r="ET48" s="832">
        <f t="shared" si="10"/>
        <v>2</v>
      </c>
      <c r="EU48" s="833"/>
      <c r="EV48" s="834"/>
      <c r="EW48" s="834"/>
      <c r="EX48" s="835"/>
      <c r="EY48" s="196"/>
      <c r="FA48" s="272">
        <v>2</v>
      </c>
      <c r="FB48" s="303"/>
      <c r="FC48" s="273"/>
    </row>
    <row r="49" spans="1:159" s="239" customFormat="1" ht="84.95" customHeight="1" x14ac:dyDescent="0.2">
      <c r="A49" s="167" t="s">
        <v>7</v>
      </c>
      <c r="B49" s="97" t="s">
        <v>335</v>
      </c>
      <c r="C49" s="806" t="s">
        <v>159</v>
      </c>
      <c r="D49" s="806"/>
      <c r="E49" s="806"/>
      <c r="F49" s="806"/>
      <c r="G49" s="806"/>
      <c r="H49" s="806"/>
      <c r="I49" s="806"/>
      <c r="J49" s="806"/>
      <c r="K49" s="806"/>
      <c r="L49" s="806"/>
      <c r="M49" s="806"/>
      <c r="N49" s="806"/>
      <c r="O49" s="806"/>
      <c r="P49" s="806"/>
      <c r="Q49" s="806"/>
      <c r="R49" s="806"/>
      <c r="S49" s="806"/>
      <c r="T49" s="806"/>
      <c r="U49" s="806"/>
      <c r="V49" s="806"/>
      <c r="W49" s="806"/>
      <c r="X49" s="806"/>
      <c r="Y49" s="806"/>
      <c r="Z49" s="824">
        <f t="shared" si="8"/>
        <v>240</v>
      </c>
      <c r="AA49" s="824"/>
      <c r="AB49" s="824"/>
      <c r="AC49" s="824"/>
      <c r="AD49" s="824"/>
      <c r="AE49" s="825"/>
      <c r="AF49" s="825"/>
      <c r="AG49" s="825"/>
      <c r="AH49" s="825"/>
      <c r="AI49" s="825"/>
      <c r="AJ49" s="831">
        <f t="shared" si="9"/>
        <v>96</v>
      </c>
      <c r="AK49" s="831"/>
      <c r="AL49" s="831"/>
      <c r="AM49" s="831"/>
      <c r="AN49" s="831"/>
      <c r="AO49" s="826">
        <v>48</v>
      </c>
      <c r="AP49" s="826"/>
      <c r="AQ49" s="826"/>
      <c r="AR49" s="826"/>
      <c r="AS49" s="826"/>
      <c r="AT49" s="826">
        <v>48</v>
      </c>
      <c r="AU49" s="826"/>
      <c r="AV49" s="826"/>
      <c r="AW49" s="826"/>
      <c r="AX49" s="826"/>
      <c r="AY49" s="826"/>
      <c r="AZ49" s="826"/>
      <c r="BA49" s="826"/>
      <c r="BB49" s="826"/>
      <c r="BC49" s="826"/>
      <c r="BD49" s="829"/>
      <c r="BE49" s="829"/>
      <c r="BF49" s="829"/>
      <c r="BG49" s="829"/>
      <c r="BH49" s="829"/>
      <c r="BI49" s="829"/>
      <c r="BJ49" s="829"/>
      <c r="BK49" s="829"/>
      <c r="BL49" s="829"/>
      <c r="BM49" s="829"/>
      <c r="BN49" s="824">
        <f t="shared" si="7"/>
        <v>144</v>
      </c>
      <c r="BO49" s="824"/>
      <c r="BP49" s="824"/>
      <c r="BQ49" s="835"/>
      <c r="BR49" s="828"/>
      <c r="BS49" s="825"/>
      <c r="BT49" s="825"/>
      <c r="BU49" s="825"/>
      <c r="BV49" s="825"/>
      <c r="BW49" s="825"/>
      <c r="BX49" s="825"/>
      <c r="BY49" s="825"/>
      <c r="BZ49" s="825"/>
      <c r="CA49" s="825"/>
      <c r="CB49" s="825"/>
      <c r="CC49" s="825"/>
      <c r="CD49" s="825"/>
      <c r="CE49" s="825"/>
      <c r="CF49" s="825"/>
      <c r="CG49" s="825"/>
      <c r="CH49" s="825"/>
      <c r="CI49" s="825"/>
      <c r="CJ49" s="825"/>
      <c r="CK49" s="825"/>
      <c r="CL49" s="825"/>
      <c r="CM49" s="825"/>
      <c r="CN49" s="825"/>
      <c r="CO49" s="825"/>
      <c r="CP49" s="825"/>
      <c r="CQ49" s="825"/>
      <c r="CR49" s="825"/>
      <c r="CS49" s="825"/>
      <c r="CT49" s="825"/>
      <c r="CU49" s="825"/>
      <c r="CV49" s="825">
        <v>3</v>
      </c>
      <c r="CW49" s="825"/>
      <c r="CX49" s="825"/>
      <c r="CY49" s="825"/>
      <c r="CZ49" s="825"/>
      <c r="DA49" s="825">
        <v>3</v>
      </c>
      <c r="DB49" s="825"/>
      <c r="DC49" s="825"/>
      <c r="DD49" s="825"/>
      <c r="DE49" s="827"/>
      <c r="DF49" s="828"/>
      <c r="DG49" s="825"/>
      <c r="DH49" s="825"/>
      <c r="DI49" s="825"/>
      <c r="DJ49" s="825"/>
      <c r="DK49" s="825"/>
      <c r="DL49" s="825"/>
      <c r="DM49" s="825"/>
      <c r="DN49" s="825"/>
      <c r="DO49" s="825"/>
      <c r="DP49" s="825"/>
      <c r="DQ49" s="825"/>
      <c r="DR49" s="825"/>
      <c r="DS49" s="825"/>
      <c r="DT49" s="825"/>
      <c r="DU49" s="825"/>
      <c r="DV49" s="825"/>
      <c r="DW49" s="825"/>
      <c r="DX49" s="825"/>
      <c r="DY49" s="825"/>
      <c r="DZ49" s="825"/>
      <c r="EA49" s="825"/>
      <c r="EB49" s="825"/>
      <c r="EC49" s="825"/>
      <c r="ED49" s="825"/>
      <c r="EE49" s="825"/>
      <c r="EF49" s="825"/>
      <c r="EG49" s="825"/>
      <c r="EH49" s="825"/>
      <c r="EI49" s="825"/>
      <c r="EJ49" s="825">
        <v>4</v>
      </c>
      <c r="EK49" s="825"/>
      <c r="EL49" s="825"/>
      <c r="EM49" s="825"/>
      <c r="EN49" s="825"/>
      <c r="EO49" s="825">
        <v>4</v>
      </c>
      <c r="EP49" s="825"/>
      <c r="EQ49" s="825"/>
      <c r="ER49" s="825"/>
      <c r="ES49" s="827"/>
      <c r="ET49" s="832">
        <f t="shared" si="10"/>
        <v>8</v>
      </c>
      <c r="EU49" s="833"/>
      <c r="EV49" s="834"/>
      <c r="EW49" s="834"/>
      <c r="EX49" s="835"/>
      <c r="EY49" s="196"/>
      <c r="FA49" s="274">
        <v>10</v>
      </c>
      <c r="FB49" s="275"/>
      <c r="FC49" s="276"/>
    </row>
    <row r="50" spans="1:159" s="239" customFormat="1" ht="99.95" customHeight="1" x14ac:dyDescent="0.2">
      <c r="A50" s="167" t="s">
        <v>202</v>
      </c>
      <c r="B50" s="97" t="s">
        <v>318</v>
      </c>
      <c r="C50" s="823" t="s">
        <v>160</v>
      </c>
      <c r="D50" s="823"/>
      <c r="E50" s="823"/>
      <c r="F50" s="823"/>
      <c r="G50" s="823"/>
      <c r="H50" s="823"/>
      <c r="I50" s="823"/>
      <c r="J50" s="823"/>
      <c r="K50" s="823"/>
      <c r="L50" s="823"/>
      <c r="M50" s="823"/>
      <c r="N50" s="823"/>
      <c r="O50" s="823"/>
      <c r="P50" s="823"/>
      <c r="Q50" s="823"/>
      <c r="R50" s="823"/>
      <c r="S50" s="823"/>
      <c r="T50" s="823"/>
      <c r="U50" s="823"/>
      <c r="V50" s="823"/>
      <c r="W50" s="823"/>
      <c r="X50" s="823"/>
      <c r="Y50" s="823"/>
      <c r="Z50" s="824">
        <f t="shared" si="8"/>
        <v>240</v>
      </c>
      <c r="AA50" s="824"/>
      <c r="AB50" s="824"/>
      <c r="AC50" s="824"/>
      <c r="AD50" s="824"/>
      <c r="AE50" s="825"/>
      <c r="AF50" s="825"/>
      <c r="AG50" s="825"/>
      <c r="AH50" s="825"/>
      <c r="AI50" s="825"/>
      <c r="AJ50" s="831">
        <f t="shared" si="9"/>
        <v>96</v>
      </c>
      <c r="AK50" s="831"/>
      <c r="AL50" s="831"/>
      <c r="AM50" s="831"/>
      <c r="AN50" s="831"/>
      <c r="AO50" s="826">
        <v>48</v>
      </c>
      <c r="AP50" s="826"/>
      <c r="AQ50" s="826"/>
      <c r="AR50" s="826"/>
      <c r="AS50" s="826"/>
      <c r="AT50" s="826">
        <v>24</v>
      </c>
      <c r="AU50" s="826"/>
      <c r="AV50" s="826"/>
      <c r="AW50" s="826"/>
      <c r="AX50" s="826"/>
      <c r="AY50" s="826">
        <v>24</v>
      </c>
      <c r="AZ50" s="826"/>
      <c r="BA50" s="826"/>
      <c r="BB50" s="826"/>
      <c r="BC50" s="826"/>
      <c r="BD50" s="829"/>
      <c r="BE50" s="829"/>
      <c r="BF50" s="829"/>
      <c r="BG50" s="829"/>
      <c r="BH50" s="829"/>
      <c r="BI50" s="829"/>
      <c r="BJ50" s="829"/>
      <c r="BK50" s="829"/>
      <c r="BL50" s="829"/>
      <c r="BM50" s="829"/>
      <c r="BN50" s="824">
        <f t="shared" si="7"/>
        <v>144</v>
      </c>
      <c r="BO50" s="824"/>
      <c r="BP50" s="824"/>
      <c r="BQ50" s="835"/>
      <c r="BR50" s="828"/>
      <c r="BS50" s="825"/>
      <c r="BT50" s="825"/>
      <c r="BU50" s="825"/>
      <c r="BV50" s="825"/>
      <c r="BW50" s="825"/>
      <c r="BX50" s="825"/>
      <c r="BY50" s="825"/>
      <c r="BZ50" s="825"/>
      <c r="CA50" s="825"/>
      <c r="CB50" s="825"/>
      <c r="CC50" s="825"/>
      <c r="CD50" s="825"/>
      <c r="CE50" s="825"/>
      <c r="CF50" s="825"/>
      <c r="CG50" s="825"/>
      <c r="CH50" s="825"/>
      <c r="CI50" s="825"/>
      <c r="CJ50" s="825"/>
      <c r="CK50" s="825"/>
      <c r="CL50" s="825"/>
      <c r="CM50" s="825"/>
      <c r="CN50" s="825"/>
      <c r="CO50" s="825"/>
      <c r="CP50" s="825"/>
      <c r="CQ50" s="825"/>
      <c r="CR50" s="825"/>
      <c r="CS50" s="825"/>
      <c r="CT50" s="825"/>
      <c r="CU50" s="825"/>
      <c r="CV50" s="825">
        <v>3</v>
      </c>
      <c r="CW50" s="825"/>
      <c r="CX50" s="825"/>
      <c r="CY50" s="825"/>
      <c r="CZ50" s="825"/>
      <c r="DA50" s="825">
        <v>3</v>
      </c>
      <c r="DB50" s="825"/>
      <c r="DC50" s="825"/>
      <c r="DD50" s="825"/>
      <c r="DE50" s="827"/>
      <c r="DF50" s="828"/>
      <c r="DG50" s="825"/>
      <c r="DH50" s="825"/>
      <c r="DI50" s="825"/>
      <c r="DJ50" s="825"/>
      <c r="DK50" s="825"/>
      <c r="DL50" s="825"/>
      <c r="DM50" s="825"/>
      <c r="DN50" s="825"/>
      <c r="DO50" s="825"/>
      <c r="DP50" s="825"/>
      <c r="DQ50" s="825"/>
      <c r="DR50" s="825"/>
      <c r="DS50" s="825"/>
      <c r="DT50" s="825"/>
      <c r="DU50" s="825"/>
      <c r="DV50" s="825"/>
      <c r="DW50" s="825"/>
      <c r="DX50" s="825"/>
      <c r="DY50" s="825"/>
      <c r="DZ50" s="825"/>
      <c r="EA50" s="825"/>
      <c r="EB50" s="825"/>
      <c r="EC50" s="825"/>
      <c r="ED50" s="825"/>
      <c r="EE50" s="825"/>
      <c r="EF50" s="825"/>
      <c r="EG50" s="825"/>
      <c r="EH50" s="825"/>
      <c r="EI50" s="825"/>
      <c r="EJ50" s="825">
        <v>4</v>
      </c>
      <c r="EK50" s="825"/>
      <c r="EL50" s="825"/>
      <c r="EM50" s="825"/>
      <c r="EN50" s="825"/>
      <c r="EO50" s="825">
        <v>4</v>
      </c>
      <c r="EP50" s="825"/>
      <c r="EQ50" s="825"/>
      <c r="ER50" s="825"/>
      <c r="ES50" s="827"/>
      <c r="ET50" s="832">
        <f t="shared" si="10"/>
        <v>8</v>
      </c>
      <c r="EU50" s="833"/>
      <c r="EV50" s="834"/>
      <c r="EW50" s="834"/>
      <c r="EX50" s="835"/>
      <c r="EY50" s="196"/>
      <c r="FA50" s="274">
        <v>8</v>
      </c>
      <c r="FB50" s="275"/>
      <c r="FC50" s="276"/>
    </row>
    <row r="51" spans="1:159" s="85" customFormat="1" ht="84.95" customHeight="1" x14ac:dyDescent="0.2">
      <c r="A51" s="167" t="s">
        <v>8</v>
      </c>
      <c r="B51" s="141" t="s">
        <v>306</v>
      </c>
      <c r="C51" s="933" t="s">
        <v>279</v>
      </c>
      <c r="D51" s="934"/>
      <c r="E51" s="934"/>
      <c r="F51" s="934"/>
      <c r="G51" s="934"/>
      <c r="H51" s="934"/>
      <c r="I51" s="934"/>
      <c r="J51" s="934"/>
      <c r="K51" s="934"/>
      <c r="L51" s="934"/>
      <c r="M51" s="934"/>
      <c r="N51" s="934"/>
      <c r="O51" s="934"/>
      <c r="P51" s="934"/>
      <c r="Q51" s="934"/>
      <c r="R51" s="934"/>
      <c r="S51" s="934"/>
      <c r="T51" s="934"/>
      <c r="U51" s="934"/>
      <c r="V51" s="934"/>
      <c r="W51" s="934"/>
      <c r="X51" s="934"/>
      <c r="Y51" s="935"/>
      <c r="Z51" s="847">
        <f t="shared" si="8"/>
        <v>120</v>
      </c>
      <c r="AA51" s="848"/>
      <c r="AB51" s="848"/>
      <c r="AC51" s="848"/>
      <c r="AD51" s="942"/>
      <c r="AE51" s="836"/>
      <c r="AF51" s="837"/>
      <c r="AG51" s="837"/>
      <c r="AH51" s="837"/>
      <c r="AI51" s="837"/>
      <c r="AJ51" s="939">
        <f t="shared" si="9"/>
        <v>48</v>
      </c>
      <c r="AK51" s="940"/>
      <c r="AL51" s="940"/>
      <c r="AM51" s="940"/>
      <c r="AN51" s="941"/>
      <c r="AO51" s="936">
        <v>24</v>
      </c>
      <c r="AP51" s="937"/>
      <c r="AQ51" s="937"/>
      <c r="AR51" s="937"/>
      <c r="AS51" s="938"/>
      <c r="AT51" s="936">
        <v>24</v>
      </c>
      <c r="AU51" s="937"/>
      <c r="AV51" s="937"/>
      <c r="AW51" s="937"/>
      <c r="AX51" s="938"/>
      <c r="AY51" s="936"/>
      <c r="AZ51" s="937"/>
      <c r="BA51" s="937"/>
      <c r="BB51" s="937"/>
      <c r="BC51" s="938"/>
      <c r="BD51" s="844"/>
      <c r="BE51" s="845"/>
      <c r="BF51" s="845"/>
      <c r="BG51" s="845"/>
      <c r="BH51" s="846"/>
      <c r="BI51" s="844"/>
      <c r="BJ51" s="845"/>
      <c r="BK51" s="845"/>
      <c r="BL51" s="845"/>
      <c r="BM51" s="846"/>
      <c r="BN51" s="847">
        <f t="shared" si="7"/>
        <v>72</v>
      </c>
      <c r="BO51" s="848"/>
      <c r="BP51" s="848"/>
      <c r="BQ51" s="849"/>
      <c r="BR51" s="843"/>
      <c r="BS51" s="837"/>
      <c r="BT51" s="837"/>
      <c r="BU51" s="837"/>
      <c r="BV51" s="842"/>
      <c r="BW51" s="836"/>
      <c r="BX51" s="837"/>
      <c r="BY51" s="837"/>
      <c r="BZ51" s="837"/>
      <c r="CA51" s="842"/>
      <c r="CB51" s="836"/>
      <c r="CC51" s="837"/>
      <c r="CD51" s="837"/>
      <c r="CE51" s="837"/>
      <c r="CF51" s="842"/>
      <c r="CG51" s="836"/>
      <c r="CH51" s="837"/>
      <c r="CI51" s="837"/>
      <c r="CJ51" s="837"/>
      <c r="CK51" s="842"/>
      <c r="CL51" s="836"/>
      <c r="CM51" s="837"/>
      <c r="CN51" s="837"/>
      <c r="CO51" s="837"/>
      <c r="CP51" s="842"/>
      <c r="CQ51" s="836"/>
      <c r="CR51" s="837"/>
      <c r="CS51" s="837"/>
      <c r="CT51" s="837"/>
      <c r="CU51" s="842"/>
      <c r="CV51" s="836">
        <v>3</v>
      </c>
      <c r="CW51" s="837"/>
      <c r="CX51" s="837"/>
      <c r="CY51" s="837"/>
      <c r="CZ51" s="842"/>
      <c r="DA51" s="836"/>
      <c r="DB51" s="837"/>
      <c r="DC51" s="837"/>
      <c r="DD51" s="837"/>
      <c r="DE51" s="838"/>
      <c r="DF51" s="843"/>
      <c r="DG51" s="837"/>
      <c r="DH51" s="837"/>
      <c r="DI51" s="837"/>
      <c r="DJ51" s="842"/>
      <c r="DK51" s="836"/>
      <c r="DL51" s="837"/>
      <c r="DM51" s="837"/>
      <c r="DN51" s="837"/>
      <c r="DO51" s="842"/>
      <c r="DP51" s="836"/>
      <c r="DQ51" s="837"/>
      <c r="DR51" s="837"/>
      <c r="DS51" s="837"/>
      <c r="DT51" s="842"/>
      <c r="DU51" s="836"/>
      <c r="DV51" s="837"/>
      <c r="DW51" s="837"/>
      <c r="DX51" s="837"/>
      <c r="DY51" s="842"/>
      <c r="DZ51" s="836"/>
      <c r="EA51" s="837"/>
      <c r="EB51" s="837"/>
      <c r="EC51" s="837"/>
      <c r="ED51" s="842"/>
      <c r="EE51" s="836"/>
      <c r="EF51" s="837"/>
      <c r="EG51" s="837"/>
      <c r="EH51" s="837"/>
      <c r="EI51" s="842"/>
      <c r="EJ51" s="836">
        <v>4</v>
      </c>
      <c r="EK51" s="837"/>
      <c r="EL51" s="837"/>
      <c r="EM51" s="837"/>
      <c r="EN51" s="842"/>
      <c r="EO51" s="836"/>
      <c r="EP51" s="837"/>
      <c r="EQ51" s="837"/>
      <c r="ER51" s="837"/>
      <c r="ES51" s="838"/>
      <c r="ET51" s="839">
        <f t="shared" si="10"/>
        <v>4</v>
      </c>
      <c r="EU51" s="840"/>
      <c r="EV51" s="840"/>
      <c r="EW51" s="840"/>
      <c r="EX51" s="841"/>
      <c r="EY51" s="194"/>
      <c r="FA51" s="266"/>
      <c r="FB51" s="267"/>
      <c r="FC51" s="268"/>
    </row>
    <row r="52" spans="1:159" s="85" customFormat="1" ht="84.95" customHeight="1" x14ac:dyDescent="0.2">
      <c r="A52" s="167" t="s">
        <v>9</v>
      </c>
      <c r="B52" s="141" t="s">
        <v>128</v>
      </c>
      <c r="C52" s="850" t="s">
        <v>123</v>
      </c>
      <c r="D52" s="850"/>
      <c r="E52" s="850"/>
      <c r="F52" s="850"/>
      <c r="G52" s="850"/>
      <c r="H52" s="850"/>
      <c r="I52" s="850"/>
      <c r="J52" s="850"/>
      <c r="K52" s="850"/>
      <c r="L52" s="850"/>
      <c r="M52" s="850"/>
      <c r="N52" s="850"/>
      <c r="O52" s="850"/>
      <c r="P52" s="850"/>
      <c r="Q52" s="850"/>
      <c r="R52" s="850"/>
      <c r="S52" s="850"/>
      <c r="T52" s="850"/>
      <c r="U52" s="850"/>
      <c r="V52" s="850"/>
      <c r="W52" s="850"/>
      <c r="X52" s="850"/>
      <c r="Y52" s="850"/>
      <c r="Z52" s="824">
        <f t="shared" si="8"/>
        <v>150</v>
      </c>
      <c r="AA52" s="824"/>
      <c r="AB52" s="824"/>
      <c r="AC52" s="824"/>
      <c r="AD52" s="824"/>
      <c r="AE52" s="825"/>
      <c r="AF52" s="825"/>
      <c r="AG52" s="825"/>
      <c r="AH52" s="825"/>
      <c r="AI52" s="825"/>
      <c r="AJ52" s="831">
        <f t="shared" si="9"/>
        <v>60</v>
      </c>
      <c r="AK52" s="831"/>
      <c r="AL52" s="831"/>
      <c r="AM52" s="831"/>
      <c r="AN52" s="831"/>
      <c r="AO52" s="826">
        <v>30</v>
      </c>
      <c r="AP52" s="826"/>
      <c r="AQ52" s="826"/>
      <c r="AR52" s="826"/>
      <c r="AS52" s="826"/>
      <c r="AT52" s="826"/>
      <c r="AU52" s="826"/>
      <c r="AV52" s="826"/>
      <c r="AW52" s="826"/>
      <c r="AX52" s="826"/>
      <c r="AY52" s="826">
        <v>30</v>
      </c>
      <c r="AZ52" s="826"/>
      <c r="BA52" s="826"/>
      <c r="BB52" s="826"/>
      <c r="BC52" s="826"/>
      <c r="BD52" s="829"/>
      <c r="BE52" s="829"/>
      <c r="BF52" s="829"/>
      <c r="BG52" s="829"/>
      <c r="BH52" s="829"/>
      <c r="BI52" s="829"/>
      <c r="BJ52" s="829"/>
      <c r="BK52" s="829"/>
      <c r="BL52" s="829"/>
      <c r="BM52" s="829"/>
      <c r="BN52" s="824">
        <f t="shared" si="7"/>
        <v>90</v>
      </c>
      <c r="BO52" s="824"/>
      <c r="BP52" s="824"/>
      <c r="BQ52" s="835"/>
      <c r="BR52" s="828"/>
      <c r="BS52" s="825"/>
      <c r="BT52" s="825"/>
      <c r="BU52" s="825"/>
      <c r="BV52" s="825"/>
      <c r="BW52" s="825">
        <v>4</v>
      </c>
      <c r="BX52" s="825"/>
      <c r="BY52" s="825"/>
      <c r="BZ52" s="825"/>
      <c r="CA52" s="825"/>
      <c r="CB52" s="825"/>
      <c r="CC52" s="825"/>
      <c r="CD52" s="825"/>
      <c r="CE52" s="825"/>
      <c r="CF52" s="825"/>
      <c r="CG52" s="825"/>
      <c r="CH52" s="825"/>
      <c r="CI52" s="825"/>
      <c r="CJ52" s="825"/>
      <c r="CK52" s="825"/>
      <c r="CL52" s="825"/>
      <c r="CM52" s="825"/>
      <c r="CN52" s="825"/>
      <c r="CO52" s="825"/>
      <c r="CP52" s="825"/>
      <c r="CQ52" s="825"/>
      <c r="CR52" s="825"/>
      <c r="CS52" s="825"/>
      <c r="CT52" s="825"/>
      <c r="CU52" s="825"/>
      <c r="CV52" s="825"/>
      <c r="CW52" s="825"/>
      <c r="CX52" s="825"/>
      <c r="CY52" s="825"/>
      <c r="CZ52" s="825"/>
      <c r="DA52" s="825"/>
      <c r="DB52" s="825"/>
      <c r="DC52" s="825"/>
      <c r="DD52" s="825"/>
      <c r="DE52" s="827"/>
      <c r="DF52" s="828"/>
      <c r="DG52" s="825"/>
      <c r="DH52" s="825"/>
      <c r="DI52" s="825"/>
      <c r="DJ52" s="825"/>
      <c r="DK52" s="825">
        <v>5</v>
      </c>
      <c r="DL52" s="825"/>
      <c r="DM52" s="825"/>
      <c r="DN52" s="825"/>
      <c r="DO52" s="825"/>
      <c r="DP52" s="825"/>
      <c r="DQ52" s="825"/>
      <c r="DR52" s="825"/>
      <c r="DS52" s="825"/>
      <c r="DT52" s="825"/>
      <c r="DU52" s="825"/>
      <c r="DV52" s="825"/>
      <c r="DW52" s="825"/>
      <c r="DX52" s="825"/>
      <c r="DY52" s="825"/>
      <c r="DZ52" s="825"/>
      <c r="EA52" s="825"/>
      <c r="EB52" s="825"/>
      <c r="EC52" s="825"/>
      <c r="ED52" s="825"/>
      <c r="EE52" s="825"/>
      <c r="EF52" s="825"/>
      <c r="EG52" s="825"/>
      <c r="EH52" s="825"/>
      <c r="EI52" s="825"/>
      <c r="EJ52" s="825"/>
      <c r="EK52" s="825"/>
      <c r="EL52" s="825"/>
      <c r="EM52" s="825"/>
      <c r="EN52" s="825"/>
      <c r="EO52" s="825"/>
      <c r="EP52" s="825"/>
      <c r="EQ52" s="825"/>
      <c r="ER52" s="825"/>
      <c r="ES52" s="827"/>
      <c r="ET52" s="832">
        <f>SUM(DF52:ES52)</f>
        <v>5</v>
      </c>
      <c r="EU52" s="833"/>
      <c r="EV52" s="834"/>
      <c r="EW52" s="834"/>
      <c r="EX52" s="835"/>
      <c r="EY52" s="194" t="s">
        <v>278</v>
      </c>
      <c r="FA52" s="266">
        <v>4</v>
      </c>
      <c r="FB52" s="267"/>
      <c r="FC52" s="268"/>
    </row>
    <row r="53" spans="1:159" s="83" customFormat="1" ht="80.099999999999994" customHeight="1" x14ac:dyDescent="0.2">
      <c r="A53" s="165" t="s">
        <v>38</v>
      </c>
      <c r="B53" s="143"/>
      <c r="C53" s="819" t="s">
        <v>83</v>
      </c>
      <c r="D53" s="819"/>
      <c r="E53" s="819"/>
      <c r="F53" s="819"/>
      <c r="G53" s="819"/>
      <c r="H53" s="819"/>
      <c r="I53" s="819"/>
      <c r="J53" s="819"/>
      <c r="K53" s="819"/>
      <c r="L53" s="819"/>
      <c r="M53" s="819"/>
      <c r="N53" s="819"/>
      <c r="O53" s="819"/>
      <c r="P53" s="819"/>
      <c r="Q53" s="819"/>
      <c r="R53" s="819"/>
      <c r="S53" s="819"/>
      <c r="T53" s="819"/>
      <c r="U53" s="819"/>
      <c r="V53" s="819"/>
      <c r="W53" s="819"/>
      <c r="X53" s="819"/>
      <c r="Y53" s="819"/>
      <c r="Z53" s="812">
        <f>SUM(Z54:AD87)</f>
        <v>2640</v>
      </c>
      <c r="AA53" s="812"/>
      <c r="AB53" s="812"/>
      <c r="AC53" s="812"/>
      <c r="AD53" s="812"/>
      <c r="AE53" s="792">
        <f>Z53/$Z$92*100</f>
        <v>36.666666666666664</v>
      </c>
      <c r="AF53" s="792"/>
      <c r="AG53" s="792"/>
      <c r="AH53" s="792"/>
      <c r="AI53" s="792"/>
      <c r="AJ53" s="793">
        <f>SUM(AJ54:AN87)</f>
        <v>1102</v>
      </c>
      <c r="AK53" s="794"/>
      <c r="AL53" s="794"/>
      <c r="AM53" s="794"/>
      <c r="AN53" s="795"/>
      <c r="AO53" s="793">
        <f>SUM(AO54:AS87)</f>
        <v>354</v>
      </c>
      <c r="AP53" s="794"/>
      <c r="AQ53" s="794"/>
      <c r="AR53" s="794"/>
      <c r="AS53" s="795"/>
      <c r="AT53" s="793">
        <f>SUM(AT54:AX87)</f>
        <v>642</v>
      </c>
      <c r="AU53" s="794"/>
      <c r="AV53" s="794"/>
      <c r="AW53" s="794"/>
      <c r="AX53" s="795"/>
      <c r="AY53" s="793">
        <f>SUM(AY54:BC87)</f>
        <v>106</v>
      </c>
      <c r="AZ53" s="794"/>
      <c r="BA53" s="794"/>
      <c r="BB53" s="794"/>
      <c r="BC53" s="795"/>
      <c r="BD53" s="793">
        <f>SUM(BD54:BH87)</f>
        <v>0</v>
      </c>
      <c r="BE53" s="794"/>
      <c r="BF53" s="794"/>
      <c r="BG53" s="794"/>
      <c r="BH53" s="795"/>
      <c r="BI53" s="793">
        <f>SUM(BI54:BM87)</f>
        <v>0</v>
      </c>
      <c r="BJ53" s="794"/>
      <c r="BK53" s="794"/>
      <c r="BL53" s="794"/>
      <c r="BM53" s="795"/>
      <c r="BN53" s="812">
        <f>SUM(BN54:BQ87)</f>
        <v>1538</v>
      </c>
      <c r="BO53" s="812"/>
      <c r="BP53" s="812"/>
      <c r="BQ53" s="813"/>
      <c r="BR53" s="811"/>
      <c r="BS53" s="800"/>
      <c r="BT53" s="800"/>
      <c r="BU53" s="800"/>
      <c r="BV53" s="800"/>
      <c r="BW53" s="800"/>
      <c r="BX53" s="800"/>
      <c r="BY53" s="800"/>
      <c r="BZ53" s="800"/>
      <c r="CA53" s="800"/>
      <c r="CB53" s="800">
        <f>SUM(CB54:CF87)</f>
        <v>10</v>
      </c>
      <c r="CC53" s="800"/>
      <c r="CD53" s="800"/>
      <c r="CE53" s="800"/>
      <c r="CF53" s="800"/>
      <c r="CG53" s="800">
        <f>SUM(CG54:CK87)</f>
        <v>6</v>
      </c>
      <c r="CH53" s="800"/>
      <c r="CI53" s="800"/>
      <c r="CJ53" s="800"/>
      <c r="CK53" s="800"/>
      <c r="CL53" s="800">
        <f>SUM(CL54:CP87)</f>
        <v>11</v>
      </c>
      <c r="CM53" s="800"/>
      <c r="CN53" s="800"/>
      <c r="CO53" s="800"/>
      <c r="CP53" s="800"/>
      <c r="CQ53" s="800">
        <f>SUM(CQ54:CU87)</f>
        <v>10</v>
      </c>
      <c r="CR53" s="800"/>
      <c r="CS53" s="800"/>
      <c r="CT53" s="800"/>
      <c r="CU53" s="800"/>
      <c r="CV53" s="800">
        <f>SUM(CV54:CZ87)</f>
        <v>9</v>
      </c>
      <c r="CW53" s="800"/>
      <c r="CX53" s="800"/>
      <c r="CY53" s="800"/>
      <c r="CZ53" s="800"/>
      <c r="DA53" s="800">
        <f>SUM(DA54:DE87)</f>
        <v>10</v>
      </c>
      <c r="DB53" s="800"/>
      <c r="DC53" s="800"/>
      <c r="DD53" s="800"/>
      <c r="DE53" s="801"/>
      <c r="DF53" s="811">
        <f>SUM(DF54:DJ87)</f>
        <v>8</v>
      </c>
      <c r="DG53" s="800"/>
      <c r="DH53" s="800"/>
      <c r="DI53" s="800"/>
      <c r="DJ53" s="800"/>
      <c r="DK53" s="800">
        <f>SUM(DK54:DO87)</f>
        <v>18</v>
      </c>
      <c r="DL53" s="800"/>
      <c r="DM53" s="800"/>
      <c r="DN53" s="800"/>
      <c r="DO53" s="800"/>
      <c r="DP53" s="800">
        <f>SUM(DP54:DT87)</f>
        <v>10</v>
      </c>
      <c r="DQ53" s="800"/>
      <c r="DR53" s="800"/>
      <c r="DS53" s="800"/>
      <c r="DT53" s="800"/>
      <c r="DU53" s="800">
        <f>SUM(DU54:DY87)</f>
        <v>6</v>
      </c>
      <c r="DV53" s="800"/>
      <c r="DW53" s="800"/>
      <c r="DX53" s="800"/>
      <c r="DY53" s="800"/>
      <c r="DZ53" s="800">
        <f>SUM(DZ54:ED87)</f>
        <v>12</v>
      </c>
      <c r="EA53" s="800"/>
      <c r="EB53" s="800"/>
      <c r="EC53" s="800"/>
      <c r="ED53" s="800"/>
      <c r="EE53" s="800">
        <f>SUM(EE54:EI87)</f>
        <v>10</v>
      </c>
      <c r="EF53" s="800"/>
      <c r="EG53" s="800"/>
      <c r="EH53" s="800"/>
      <c r="EI53" s="800"/>
      <c r="EJ53" s="800">
        <f>SUM(EJ54:EN87)</f>
        <v>12</v>
      </c>
      <c r="EK53" s="800"/>
      <c r="EL53" s="800"/>
      <c r="EM53" s="800"/>
      <c r="EN53" s="800"/>
      <c r="EO53" s="800">
        <f>SUM(EO54:ES87)</f>
        <v>12</v>
      </c>
      <c r="EP53" s="800"/>
      <c r="EQ53" s="800"/>
      <c r="ER53" s="800"/>
      <c r="ES53" s="801"/>
      <c r="ET53" s="802">
        <f>SUM(ET54:EX87)</f>
        <v>88</v>
      </c>
      <c r="EU53" s="803"/>
      <c r="EV53" s="804"/>
      <c r="EW53" s="804"/>
      <c r="EX53" s="805"/>
      <c r="EY53" s="195"/>
      <c r="FA53" s="264"/>
      <c r="FB53" s="243"/>
      <c r="FC53" s="265"/>
    </row>
    <row r="54" spans="1:159" s="315" customFormat="1" ht="84.95" customHeight="1" x14ac:dyDescent="0.2">
      <c r="A54" s="555" t="s">
        <v>10</v>
      </c>
      <c r="B54" s="141" t="s">
        <v>212</v>
      </c>
      <c r="C54" s="850" t="s">
        <v>213</v>
      </c>
      <c r="D54" s="850"/>
      <c r="E54" s="850"/>
      <c r="F54" s="850"/>
      <c r="G54" s="850"/>
      <c r="H54" s="850"/>
      <c r="I54" s="850"/>
      <c r="J54" s="850"/>
      <c r="K54" s="850"/>
      <c r="L54" s="850"/>
      <c r="M54" s="850"/>
      <c r="N54" s="850"/>
      <c r="O54" s="850"/>
      <c r="P54" s="850"/>
      <c r="Q54" s="850"/>
      <c r="R54" s="850"/>
      <c r="S54" s="850"/>
      <c r="T54" s="850"/>
      <c r="U54" s="850"/>
      <c r="V54" s="850"/>
      <c r="W54" s="850"/>
      <c r="X54" s="850"/>
      <c r="Y54" s="850"/>
      <c r="Z54" s="851">
        <f>ET54*30</f>
        <v>240</v>
      </c>
      <c r="AA54" s="852"/>
      <c r="AB54" s="852"/>
      <c r="AC54" s="852"/>
      <c r="AD54" s="853"/>
      <c r="AE54" s="857"/>
      <c r="AF54" s="858"/>
      <c r="AG54" s="858"/>
      <c r="AH54" s="858"/>
      <c r="AI54" s="858"/>
      <c r="AJ54" s="861">
        <f>SUM(AO54:BH55)</f>
        <v>102</v>
      </c>
      <c r="AK54" s="862"/>
      <c r="AL54" s="862"/>
      <c r="AM54" s="862"/>
      <c r="AN54" s="863"/>
      <c r="AO54" s="861"/>
      <c r="AP54" s="862"/>
      <c r="AQ54" s="862"/>
      <c r="AR54" s="862"/>
      <c r="AS54" s="863"/>
      <c r="AT54" s="861">
        <v>102</v>
      </c>
      <c r="AU54" s="862"/>
      <c r="AV54" s="862"/>
      <c r="AW54" s="862"/>
      <c r="AX54" s="863"/>
      <c r="AY54" s="861"/>
      <c r="AZ54" s="862"/>
      <c r="BA54" s="862"/>
      <c r="BB54" s="862"/>
      <c r="BC54" s="863"/>
      <c r="BD54" s="861"/>
      <c r="BE54" s="862"/>
      <c r="BF54" s="862"/>
      <c r="BG54" s="862"/>
      <c r="BH54" s="863"/>
      <c r="BI54" s="861"/>
      <c r="BJ54" s="862"/>
      <c r="BK54" s="862"/>
      <c r="BL54" s="862"/>
      <c r="BM54" s="863"/>
      <c r="BN54" s="851">
        <f>Z54-AJ54</f>
        <v>138</v>
      </c>
      <c r="BO54" s="852"/>
      <c r="BP54" s="852"/>
      <c r="BQ54" s="879"/>
      <c r="BR54" s="881"/>
      <c r="BS54" s="858"/>
      <c r="BT54" s="858"/>
      <c r="BU54" s="858"/>
      <c r="BV54" s="858"/>
      <c r="BW54" s="825"/>
      <c r="BX54" s="825"/>
      <c r="BY54" s="825"/>
      <c r="BZ54" s="825"/>
      <c r="CA54" s="825"/>
      <c r="CB54" s="825"/>
      <c r="CC54" s="825"/>
      <c r="CD54" s="825"/>
      <c r="CE54" s="825"/>
      <c r="CF54" s="825"/>
      <c r="CG54" s="825">
        <v>2</v>
      </c>
      <c r="CH54" s="825"/>
      <c r="CI54" s="825"/>
      <c r="CJ54" s="825"/>
      <c r="CK54" s="825"/>
      <c r="CL54" s="825">
        <v>4</v>
      </c>
      <c r="CM54" s="825"/>
      <c r="CN54" s="825"/>
      <c r="CO54" s="825"/>
      <c r="CP54" s="825"/>
      <c r="CQ54" s="825">
        <v>2</v>
      </c>
      <c r="CR54" s="825"/>
      <c r="CS54" s="825"/>
      <c r="CT54" s="825"/>
      <c r="CU54" s="825"/>
      <c r="CV54" s="825"/>
      <c r="CW54" s="825"/>
      <c r="CX54" s="825"/>
      <c r="CY54" s="825"/>
      <c r="CZ54" s="825"/>
      <c r="DA54" s="857"/>
      <c r="DB54" s="858"/>
      <c r="DC54" s="858"/>
      <c r="DD54" s="858"/>
      <c r="DE54" s="877"/>
      <c r="DF54" s="828"/>
      <c r="DG54" s="825"/>
      <c r="DH54" s="825"/>
      <c r="DI54" s="825"/>
      <c r="DJ54" s="825"/>
      <c r="DK54" s="825"/>
      <c r="DL54" s="825"/>
      <c r="DM54" s="825"/>
      <c r="DN54" s="825"/>
      <c r="DO54" s="825"/>
      <c r="DP54" s="825"/>
      <c r="DQ54" s="825"/>
      <c r="DR54" s="825"/>
      <c r="DS54" s="825"/>
      <c r="DT54" s="825"/>
      <c r="DU54" s="825">
        <v>2</v>
      </c>
      <c r="DV54" s="825"/>
      <c r="DW54" s="825"/>
      <c r="DX54" s="825"/>
      <c r="DY54" s="825"/>
      <c r="DZ54" s="825">
        <v>4</v>
      </c>
      <c r="EA54" s="825"/>
      <c r="EB54" s="825"/>
      <c r="EC54" s="825"/>
      <c r="ED54" s="825"/>
      <c r="EE54" s="857">
        <v>2</v>
      </c>
      <c r="EF54" s="858"/>
      <c r="EG54" s="858"/>
      <c r="EH54" s="858"/>
      <c r="EI54" s="875"/>
      <c r="EJ54" s="825"/>
      <c r="EK54" s="825"/>
      <c r="EL54" s="825"/>
      <c r="EM54" s="825"/>
      <c r="EN54" s="825"/>
      <c r="EO54" s="825"/>
      <c r="EP54" s="825"/>
      <c r="EQ54" s="825"/>
      <c r="ER54" s="825"/>
      <c r="ES54" s="827"/>
      <c r="ET54" s="867">
        <f>SUM(DF54:ES55)</f>
        <v>8</v>
      </c>
      <c r="EU54" s="868"/>
      <c r="EV54" s="869"/>
      <c r="EW54" s="869"/>
      <c r="EX54" s="870"/>
      <c r="EY54" s="319"/>
      <c r="FA54" s="316"/>
      <c r="FB54" s="317"/>
      <c r="FC54" s="318"/>
    </row>
    <row r="55" spans="1:159" s="239" customFormat="1" ht="84.95" customHeight="1" x14ac:dyDescent="0.2">
      <c r="A55" s="556"/>
      <c r="B55" s="141" t="s">
        <v>339</v>
      </c>
      <c r="C55" s="850" t="s">
        <v>150</v>
      </c>
      <c r="D55" s="850"/>
      <c r="E55" s="850"/>
      <c r="F55" s="850"/>
      <c r="G55" s="850"/>
      <c r="H55" s="850"/>
      <c r="I55" s="850"/>
      <c r="J55" s="850"/>
      <c r="K55" s="850"/>
      <c r="L55" s="850"/>
      <c r="M55" s="850"/>
      <c r="N55" s="850"/>
      <c r="O55" s="850"/>
      <c r="P55" s="850"/>
      <c r="Q55" s="850"/>
      <c r="R55" s="850"/>
      <c r="S55" s="850"/>
      <c r="T55" s="850"/>
      <c r="U55" s="850"/>
      <c r="V55" s="850"/>
      <c r="W55" s="850"/>
      <c r="X55" s="850"/>
      <c r="Y55" s="850"/>
      <c r="Z55" s="854"/>
      <c r="AA55" s="855"/>
      <c r="AB55" s="855"/>
      <c r="AC55" s="855"/>
      <c r="AD55" s="856"/>
      <c r="AE55" s="859"/>
      <c r="AF55" s="860"/>
      <c r="AG55" s="860"/>
      <c r="AH55" s="860"/>
      <c r="AI55" s="860"/>
      <c r="AJ55" s="864"/>
      <c r="AK55" s="865"/>
      <c r="AL55" s="865"/>
      <c r="AM55" s="865"/>
      <c r="AN55" s="866"/>
      <c r="AO55" s="864"/>
      <c r="AP55" s="865"/>
      <c r="AQ55" s="865"/>
      <c r="AR55" s="865"/>
      <c r="AS55" s="866"/>
      <c r="AT55" s="864"/>
      <c r="AU55" s="865"/>
      <c r="AV55" s="865"/>
      <c r="AW55" s="865"/>
      <c r="AX55" s="866"/>
      <c r="AY55" s="864"/>
      <c r="AZ55" s="865"/>
      <c r="BA55" s="865"/>
      <c r="BB55" s="865"/>
      <c r="BC55" s="866"/>
      <c r="BD55" s="864"/>
      <c r="BE55" s="865"/>
      <c r="BF55" s="865"/>
      <c r="BG55" s="865"/>
      <c r="BH55" s="866"/>
      <c r="BI55" s="864"/>
      <c r="BJ55" s="865"/>
      <c r="BK55" s="865"/>
      <c r="BL55" s="865"/>
      <c r="BM55" s="866"/>
      <c r="BN55" s="854"/>
      <c r="BO55" s="855"/>
      <c r="BP55" s="855"/>
      <c r="BQ55" s="880"/>
      <c r="BR55" s="882"/>
      <c r="BS55" s="860"/>
      <c r="BT55" s="860"/>
      <c r="BU55" s="860"/>
      <c r="BV55" s="860"/>
      <c r="BW55" s="825"/>
      <c r="BX55" s="825"/>
      <c r="BY55" s="825"/>
      <c r="BZ55" s="825"/>
      <c r="CA55" s="825"/>
      <c r="CB55" s="825"/>
      <c r="CC55" s="825"/>
      <c r="CD55" s="825"/>
      <c r="CE55" s="825"/>
      <c r="CF55" s="825"/>
      <c r="CG55" s="825"/>
      <c r="CH55" s="825"/>
      <c r="CI55" s="825"/>
      <c r="CJ55" s="825"/>
      <c r="CK55" s="825"/>
      <c r="CL55" s="825"/>
      <c r="CM55" s="825"/>
      <c r="CN55" s="825"/>
      <c r="CO55" s="825"/>
      <c r="CP55" s="825"/>
      <c r="CQ55" s="825"/>
      <c r="CR55" s="825"/>
      <c r="CS55" s="825"/>
      <c r="CT55" s="825"/>
      <c r="CU55" s="825"/>
      <c r="CV55" s="825"/>
      <c r="CW55" s="825"/>
      <c r="CX55" s="825"/>
      <c r="CY55" s="825"/>
      <c r="CZ55" s="825"/>
      <c r="DA55" s="859"/>
      <c r="DB55" s="860"/>
      <c r="DC55" s="860"/>
      <c r="DD55" s="860"/>
      <c r="DE55" s="878"/>
      <c r="DF55" s="828"/>
      <c r="DG55" s="825"/>
      <c r="DH55" s="825"/>
      <c r="DI55" s="825"/>
      <c r="DJ55" s="825"/>
      <c r="DK55" s="825"/>
      <c r="DL55" s="825"/>
      <c r="DM55" s="825"/>
      <c r="DN55" s="825"/>
      <c r="DO55" s="825"/>
      <c r="DP55" s="825"/>
      <c r="DQ55" s="825"/>
      <c r="DR55" s="825"/>
      <c r="DS55" s="825"/>
      <c r="DT55" s="825"/>
      <c r="DU55" s="825"/>
      <c r="DV55" s="825"/>
      <c r="DW55" s="825"/>
      <c r="DX55" s="825"/>
      <c r="DY55" s="825"/>
      <c r="DZ55" s="825"/>
      <c r="EA55" s="825"/>
      <c r="EB55" s="825"/>
      <c r="EC55" s="825"/>
      <c r="ED55" s="825"/>
      <c r="EE55" s="859"/>
      <c r="EF55" s="860"/>
      <c r="EG55" s="860"/>
      <c r="EH55" s="860"/>
      <c r="EI55" s="876"/>
      <c r="EJ55" s="825"/>
      <c r="EK55" s="825"/>
      <c r="EL55" s="825"/>
      <c r="EM55" s="825"/>
      <c r="EN55" s="825"/>
      <c r="EO55" s="825"/>
      <c r="EP55" s="825"/>
      <c r="EQ55" s="825"/>
      <c r="ER55" s="825"/>
      <c r="ES55" s="827"/>
      <c r="ET55" s="867">
        <f t="shared" ref="ET55" si="11">DF55+DK55+DP55+DU55+DZ55+EJ55+EE55+EO55</f>
        <v>0</v>
      </c>
      <c r="EU55" s="868"/>
      <c r="EV55" s="869"/>
      <c r="EW55" s="869"/>
      <c r="EX55" s="870"/>
      <c r="EY55" s="240"/>
      <c r="FA55" s="274"/>
      <c r="FB55" s="275"/>
      <c r="FC55" s="276"/>
    </row>
    <row r="56" spans="1:159" s="305" customFormat="1" ht="84.95" customHeight="1" x14ac:dyDescent="0.2">
      <c r="A56" s="555" t="s">
        <v>11</v>
      </c>
      <c r="B56" s="141" t="s">
        <v>192</v>
      </c>
      <c r="C56" s="850" t="s">
        <v>210</v>
      </c>
      <c r="D56" s="850"/>
      <c r="E56" s="850"/>
      <c r="F56" s="850"/>
      <c r="G56" s="850"/>
      <c r="H56" s="850"/>
      <c r="I56" s="850"/>
      <c r="J56" s="850"/>
      <c r="K56" s="850"/>
      <c r="L56" s="850"/>
      <c r="M56" s="850"/>
      <c r="N56" s="850"/>
      <c r="O56" s="850"/>
      <c r="P56" s="850"/>
      <c r="Q56" s="850"/>
      <c r="R56" s="850"/>
      <c r="S56" s="850"/>
      <c r="T56" s="850"/>
      <c r="U56" s="850"/>
      <c r="V56" s="850"/>
      <c r="W56" s="850"/>
      <c r="X56" s="850"/>
      <c r="Y56" s="850"/>
      <c r="Z56" s="851">
        <f t="shared" ref="Z56" si="12">+ET56*30</f>
        <v>120</v>
      </c>
      <c r="AA56" s="852"/>
      <c r="AB56" s="852"/>
      <c r="AC56" s="852"/>
      <c r="AD56" s="853"/>
      <c r="AE56" s="871"/>
      <c r="AF56" s="872"/>
      <c r="AG56" s="872"/>
      <c r="AH56" s="872"/>
      <c r="AI56" s="872"/>
      <c r="AJ56" s="861">
        <f t="shared" ref="AJ56" si="13">SUM(AO56:BH57)</f>
        <v>48</v>
      </c>
      <c r="AK56" s="862"/>
      <c r="AL56" s="862"/>
      <c r="AM56" s="862"/>
      <c r="AN56" s="863"/>
      <c r="AO56" s="861">
        <v>28</v>
      </c>
      <c r="AP56" s="862"/>
      <c r="AQ56" s="862"/>
      <c r="AR56" s="862"/>
      <c r="AS56" s="863"/>
      <c r="AT56" s="861">
        <v>20</v>
      </c>
      <c r="AU56" s="862"/>
      <c r="AV56" s="862"/>
      <c r="AW56" s="862"/>
      <c r="AX56" s="863"/>
      <c r="AY56" s="861"/>
      <c r="AZ56" s="862"/>
      <c r="BA56" s="862"/>
      <c r="BB56" s="862"/>
      <c r="BC56" s="863"/>
      <c r="BD56" s="331"/>
      <c r="BE56" s="332"/>
      <c r="BF56" s="332"/>
      <c r="BG56" s="332"/>
      <c r="BH56" s="333"/>
      <c r="BI56" s="861"/>
      <c r="BJ56" s="862"/>
      <c r="BK56" s="862"/>
      <c r="BL56" s="862"/>
      <c r="BM56" s="863"/>
      <c r="BN56" s="851">
        <f>Z56-AJ56</f>
        <v>72</v>
      </c>
      <c r="BO56" s="852"/>
      <c r="BP56" s="852"/>
      <c r="BQ56" s="879"/>
      <c r="BR56" s="881"/>
      <c r="BS56" s="858"/>
      <c r="BT56" s="858"/>
      <c r="BU56" s="858"/>
      <c r="BV56" s="858"/>
      <c r="BW56" s="825"/>
      <c r="BX56" s="825"/>
      <c r="BY56" s="825"/>
      <c r="BZ56" s="825"/>
      <c r="CA56" s="825"/>
      <c r="CB56" s="825">
        <v>4</v>
      </c>
      <c r="CC56" s="825"/>
      <c r="CD56" s="825"/>
      <c r="CE56" s="825"/>
      <c r="CF56" s="825"/>
      <c r="CG56" s="825"/>
      <c r="CH56" s="825"/>
      <c r="CI56" s="825"/>
      <c r="CJ56" s="825"/>
      <c r="CK56" s="825"/>
      <c r="CL56" s="825"/>
      <c r="CM56" s="825"/>
      <c r="CN56" s="825"/>
      <c r="CO56" s="825"/>
      <c r="CP56" s="825"/>
      <c r="CQ56" s="825"/>
      <c r="CR56" s="825"/>
      <c r="CS56" s="825"/>
      <c r="CT56" s="825"/>
      <c r="CU56" s="825"/>
      <c r="CV56" s="825"/>
      <c r="CW56" s="825"/>
      <c r="CX56" s="825"/>
      <c r="CY56" s="825"/>
      <c r="CZ56" s="825"/>
      <c r="DA56" s="857"/>
      <c r="DB56" s="858"/>
      <c r="DC56" s="858"/>
      <c r="DD56" s="858"/>
      <c r="DE56" s="877"/>
      <c r="DF56" s="828"/>
      <c r="DG56" s="825"/>
      <c r="DH56" s="825"/>
      <c r="DI56" s="825"/>
      <c r="DJ56" s="825"/>
      <c r="DK56" s="825"/>
      <c r="DL56" s="825"/>
      <c r="DM56" s="825"/>
      <c r="DN56" s="825"/>
      <c r="DO56" s="825"/>
      <c r="DP56" s="825">
        <v>4</v>
      </c>
      <c r="DQ56" s="825"/>
      <c r="DR56" s="825"/>
      <c r="DS56" s="825"/>
      <c r="DT56" s="825"/>
      <c r="DU56" s="825"/>
      <c r="DV56" s="825"/>
      <c r="DW56" s="825"/>
      <c r="DX56" s="825"/>
      <c r="DY56" s="825"/>
      <c r="DZ56" s="825"/>
      <c r="EA56" s="825"/>
      <c r="EB56" s="825"/>
      <c r="EC56" s="825"/>
      <c r="ED56" s="825"/>
      <c r="EE56" s="857"/>
      <c r="EF56" s="858"/>
      <c r="EG56" s="858"/>
      <c r="EH56" s="858"/>
      <c r="EI56" s="875"/>
      <c r="EJ56" s="825"/>
      <c r="EK56" s="825"/>
      <c r="EL56" s="825"/>
      <c r="EM56" s="825"/>
      <c r="EN56" s="825"/>
      <c r="EO56" s="825"/>
      <c r="EP56" s="825"/>
      <c r="EQ56" s="825"/>
      <c r="ER56" s="825"/>
      <c r="ES56" s="827"/>
      <c r="ET56" s="867">
        <f t="shared" ref="ET56" si="14">SUM(DF56:ES57)</f>
        <v>4</v>
      </c>
      <c r="EU56" s="868"/>
      <c r="EV56" s="869"/>
      <c r="EW56" s="869"/>
      <c r="EX56" s="870"/>
      <c r="EY56" s="304"/>
      <c r="FA56" s="306"/>
      <c r="FB56" s="307"/>
      <c r="FC56" s="308"/>
    </row>
    <row r="57" spans="1:159" s="129" customFormat="1" ht="99.95" customHeight="1" x14ac:dyDescent="0.2">
      <c r="A57" s="556"/>
      <c r="B57" s="141" t="s">
        <v>149</v>
      </c>
      <c r="C57" s="850" t="s">
        <v>162</v>
      </c>
      <c r="D57" s="850"/>
      <c r="E57" s="850"/>
      <c r="F57" s="850"/>
      <c r="G57" s="850"/>
      <c r="H57" s="850"/>
      <c r="I57" s="850"/>
      <c r="J57" s="850"/>
      <c r="K57" s="850"/>
      <c r="L57" s="850"/>
      <c r="M57" s="850"/>
      <c r="N57" s="850"/>
      <c r="O57" s="850"/>
      <c r="P57" s="850"/>
      <c r="Q57" s="850"/>
      <c r="R57" s="850"/>
      <c r="S57" s="850"/>
      <c r="T57" s="850"/>
      <c r="U57" s="850"/>
      <c r="V57" s="850"/>
      <c r="W57" s="850"/>
      <c r="X57" s="850"/>
      <c r="Y57" s="850"/>
      <c r="Z57" s="854"/>
      <c r="AA57" s="855"/>
      <c r="AB57" s="855"/>
      <c r="AC57" s="855"/>
      <c r="AD57" s="856"/>
      <c r="AE57" s="873"/>
      <c r="AF57" s="874"/>
      <c r="AG57" s="874"/>
      <c r="AH57" s="874"/>
      <c r="AI57" s="874"/>
      <c r="AJ57" s="864"/>
      <c r="AK57" s="865"/>
      <c r="AL57" s="865"/>
      <c r="AM57" s="865"/>
      <c r="AN57" s="866"/>
      <c r="AO57" s="864"/>
      <c r="AP57" s="865"/>
      <c r="AQ57" s="865"/>
      <c r="AR57" s="865"/>
      <c r="AS57" s="866"/>
      <c r="AT57" s="864"/>
      <c r="AU57" s="865"/>
      <c r="AV57" s="865"/>
      <c r="AW57" s="865"/>
      <c r="AX57" s="866"/>
      <c r="AY57" s="864"/>
      <c r="AZ57" s="865"/>
      <c r="BA57" s="865"/>
      <c r="BB57" s="865"/>
      <c r="BC57" s="866"/>
      <c r="BD57" s="334"/>
      <c r="BE57" s="335"/>
      <c r="BF57" s="335"/>
      <c r="BG57" s="335"/>
      <c r="BH57" s="336"/>
      <c r="BI57" s="864"/>
      <c r="BJ57" s="865"/>
      <c r="BK57" s="865"/>
      <c r="BL57" s="865"/>
      <c r="BM57" s="866"/>
      <c r="BN57" s="854"/>
      <c r="BO57" s="855"/>
      <c r="BP57" s="855"/>
      <c r="BQ57" s="880"/>
      <c r="BR57" s="882"/>
      <c r="BS57" s="860"/>
      <c r="BT57" s="860"/>
      <c r="BU57" s="860"/>
      <c r="BV57" s="860"/>
      <c r="BW57" s="825"/>
      <c r="BX57" s="825"/>
      <c r="BY57" s="825"/>
      <c r="BZ57" s="825"/>
      <c r="CA57" s="825"/>
      <c r="CB57" s="825"/>
      <c r="CC57" s="825"/>
      <c r="CD57" s="825"/>
      <c r="CE57" s="825"/>
      <c r="CF57" s="825"/>
      <c r="CG57" s="825"/>
      <c r="CH57" s="825"/>
      <c r="CI57" s="825"/>
      <c r="CJ57" s="825"/>
      <c r="CK57" s="825"/>
      <c r="CL57" s="825"/>
      <c r="CM57" s="825"/>
      <c r="CN57" s="825"/>
      <c r="CO57" s="825"/>
      <c r="CP57" s="825"/>
      <c r="CQ57" s="825"/>
      <c r="CR57" s="825"/>
      <c r="CS57" s="825"/>
      <c r="CT57" s="825"/>
      <c r="CU57" s="825"/>
      <c r="CV57" s="825"/>
      <c r="CW57" s="825"/>
      <c r="CX57" s="825"/>
      <c r="CY57" s="825"/>
      <c r="CZ57" s="825"/>
      <c r="DA57" s="859"/>
      <c r="DB57" s="860"/>
      <c r="DC57" s="860"/>
      <c r="DD57" s="860"/>
      <c r="DE57" s="878"/>
      <c r="DF57" s="828"/>
      <c r="DG57" s="825"/>
      <c r="DH57" s="825"/>
      <c r="DI57" s="825"/>
      <c r="DJ57" s="825"/>
      <c r="DK57" s="825"/>
      <c r="DL57" s="825"/>
      <c r="DM57" s="825"/>
      <c r="DN57" s="825"/>
      <c r="DO57" s="825"/>
      <c r="DP57" s="825"/>
      <c r="DQ57" s="825"/>
      <c r="DR57" s="825"/>
      <c r="DS57" s="825"/>
      <c r="DT57" s="825"/>
      <c r="DU57" s="825"/>
      <c r="DV57" s="825"/>
      <c r="DW57" s="825"/>
      <c r="DX57" s="825"/>
      <c r="DY57" s="825"/>
      <c r="DZ57" s="825"/>
      <c r="EA57" s="825"/>
      <c r="EB57" s="825"/>
      <c r="EC57" s="825"/>
      <c r="ED57" s="825"/>
      <c r="EE57" s="859"/>
      <c r="EF57" s="860"/>
      <c r="EG57" s="860"/>
      <c r="EH57" s="860"/>
      <c r="EI57" s="876"/>
      <c r="EJ57" s="825"/>
      <c r="EK57" s="825"/>
      <c r="EL57" s="825"/>
      <c r="EM57" s="825"/>
      <c r="EN57" s="825"/>
      <c r="EO57" s="825"/>
      <c r="EP57" s="825"/>
      <c r="EQ57" s="825"/>
      <c r="ER57" s="825"/>
      <c r="ES57" s="827"/>
      <c r="ET57" s="867">
        <f t="shared" ref="ET57" si="15">DF57+DK57+DP57+DU57+DZ57+EJ57+EE57+EO57</f>
        <v>0</v>
      </c>
      <c r="EU57" s="868"/>
      <c r="EV57" s="869"/>
      <c r="EW57" s="869"/>
      <c r="EX57" s="870"/>
      <c r="EY57" s="197"/>
      <c r="FA57" s="269"/>
      <c r="FB57" s="270"/>
      <c r="FC57" s="271"/>
    </row>
    <row r="58" spans="1:159" s="129" customFormat="1" ht="84.95" customHeight="1" x14ac:dyDescent="0.2">
      <c r="A58" s="555" t="s">
        <v>39</v>
      </c>
      <c r="B58" s="141" t="s">
        <v>166</v>
      </c>
      <c r="C58" s="823" t="s">
        <v>165</v>
      </c>
      <c r="D58" s="823"/>
      <c r="E58" s="823"/>
      <c r="F58" s="823"/>
      <c r="G58" s="823"/>
      <c r="H58" s="823"/>
      <c r="I58" s="823"/>
      <c r="J58" s="823"/>
      <c r="K58" s="823"/>
      <c r="L58" s="823"/>
      <c r="M58" s="823"/>
      <c r="N58" s="823"/>
      <c r="O58" s="823"/>
      <c r="P58" s="823"/>
      <c r="Q58" s="823"/>
      <c r="R58" s="823"/>
      <c r="S58" s="823"/>
      <c r="T58" s="823"/>
      <c r="U58" s="823"/>
      <c r="V58" s="823"/>
      <c r="W58" s="823"/>
      <c r="X58" s="823"/>
      <c r="Y58" s="823"/>
      <c r="Z58" s="851">
        <f t="shared" ref="Z58" si="16">+ET58*30</f>
        <v>180</v>
      </c>
      <c r="AA58" s="852"/>
      <c r="AB58" s="852"/>
      <c r="AC58" s="852"/>
      <c r="AD58" s="853"/>
      <c r="AE58" s="857"/>
      <c r="AF58" s="858"/>
      <c r="AG58" s="858"/>
      <c r="AH58" s="858"/>
      <c r="AI58" s="858"/>
      <c r="AJ58" s="861">
        <f t="shared" ref="AJ58" si="17">SUM(AO58:BH59)</f>
        <v>72</v>
      </c>
      <c r="AK58" s="862"/>
      <c r="AL58" s="862"/>
      <c r="AM58" s="862"/>
      <c r="AN58" s="863"/>
      <c r="AO58" s="861">
        <v>36</v>
      </c>
      <c r="AP58" s="862"/>
      <c r="AQ58" s="862"/>
      <c r="AR58" s="862"/>
      <c r="AS58" s="863"/>
      <c r="AT58" s="861">
        <v>36</v>
      </c>
      <c r="AU58" s="862"/>
      <c r="AV58" s="862"/>
      <c r="AW58" s="862"/>
      <c r="AX58" s="863"/>
      <c r="AY58" s="861"/>
      <c r="AZ58" s="862"/>
      <c r="BA58" s="862"/>
      <c r="BB58" s="862"/>
      <c r="BC58" s="863"/>
      <c r="BD58" s="861"/>
      <c r="BE58" s="862"/>
      <c r="BF58" s="862"/>
      <c r="BG58" s="862"/>
      <c r="BH58" s="863"/>
      <c r="BI58" s="861"/>
      <c r="BJ58" s="862"/>
      <c r="BK58" s="862"/>
      <c r="BL58" s="862"/>
      <c r="BM58" s="863"/>
      <c r="BN58" s="851">
        <f>Z58-AJ58</f>
        <v>108</v>
      </c>
      <c r="BO58" s="852"/>
      <c r="BP58" s="852"/>
      <c r="BQ58" s="879"/>
      <c r="BR58" s="881"/>
      <c r="BS58" s="858"/>
      <c r="BT58" s="858"/>
      <c r="BU58" s="858"/>
      <c r="BV58" s="858"/>
      <c r="BW58" s="825"/>
      <c r="BX58" s="825"/>
      <c r="BY58" s="825"/>
      <c r="BZ58" s="825"/>
      <c r="CA58" s="825"/>
      <c r="CB58" s="825">
        <v>4</v>
      </c>
      <c r="CC58" s="825"/>
      <c r="CD58" s="825"/>
      <c r="CE58" s="825"/>
      <c r="CF58" s="825"/>
      <c r="CG58" s="825">
        <v>2</v>
      </c>
      <c r="CH58" s="825"/>
      <c r="CI58" s="825"/>
      <c r="CJ58" s="825"/>
      <c r="CK58" s="825"/>
      <c r="CL58" s="825"/>
      <c r="CM58" s="825"/>
      <c r="CN58" s="825"/>
      <c r="CO58" s="825"/>
      <c r="CP58" s="825"/>
      <c r="CQ58" s="825"/>
      <c r="CR58" s="825"/>
      <c r="CS58" s="825"/>
      <c r="CT58" s="825"/>
      <c r="CU58" s="825"/>
      <c r="CV58" s="825"/>
      <c r="CW58" s="825"/>
      <c r="CX58" s="825"/>
      <c r="CY58" s="825"/>
      <c r="CZ58" s="825"/>
      <c r="DA58" s="857"/>
      <c r="DB58" s="858"/>
      <c r="DC58" s="858"/>
      <c r="DD58" s="858"/>
      <c r="DE58" s="877"/>
      <c r="DF58" s="828"/>
      <c r="DG58" s="825"/>
      <c r="DH58" s="825"/>
      <c r="DI58" s="825"/>
      <c r="DJ58" s="825"/>
      <c r="DK58" s="825"/>
      <c r="DL58" s="825"/>
      <c r="DM58" s="825"/>
      <c r="DN58" s="825"/>
      <c r="DO58" s="825"/>
      <c r="DP58" s="825">
        <v>4</v>
      </c>
      <c r="DQ58" s="825"/>
      <c r="DR58" s="825"/>
      <c r="DS58" s="825"/>
      <c r="DT58" s="825"/>
      <c r="DU58" s="825">
        <v>2</v>
      </c>
      <c r="DV58" s="825"/>
      <c r="DW58" s="825"/>
      <c r="DX58" s="825"/>
      <c r="DY58" s="825"/>
      <c r="DZ58" s="825"/>
      <c r="EA58" s="825"/>
      <c r="EB58" s="825"/>
      <c r="EC58" s="825"/>
      <c r="ED58" s="825"/>
      <c r="EE58" s="857"/>
      <c r="EF58" s="858"/>
      <c r="EG58" s="858"/>
      <c r="EH58" s="858"/>
      <c r="EI58" s="875"/>
      <c r="EJ58" s="825"/>
      <c r="EK58" s="825"/>
      <c r="EL58" s="825"/>
      <c r="EM58" s="825"/>
      <c r="EN58" s="825"/>
      <c r="EO58" s="825"/>
      <c r="EP58" s="825"/>
      <c r="EQ58" s="825"/>
      <c r="ER58" s="825"/>
      <c r="ES58" s="827"/>
      <c r="ET58" s="867">
        <f t="shared" ref="ET58" si="18">SUM(DF58:ES59)</f>
        <v>6</v>
      </c>
      <c r="EU58" s="868"/>
      <c r="EV58" s="869"/>
      <c r="EW58" s="869"/>
      <c r="EX58" s="870"/>
      <c r="EY58" s="197"/>
      <c r="FA58" s="269"/>
      <c r="FB58" s="270"/>
      <c r="FC58" s="271"/>
    </row>
    <row r="59" spans="1:159" s="129" customFormat="1" ht="84.95" customHeight="1" x14ac:dyDescent="0.2">
      <c r="A59" s="556"/>
      <c r="B59" s="141" t="s">
        <v>168</v>
      </c>
      <c r="C59" s="823" t="s">
        <v>167</v>
      </c>
      <c r="D59" s="823"/>
      <c r="E59" s="823"/>
      <c r="F59" s="823"/>
      <c r="G59" s="823"/>
      <c r="H59" s="823"/>
      <c r="I59" s="823"/>
      <c r="J59" s="823"/>
      <c r="K59" s="823"/>
      <c r="L59" s="823"/>
      <c r="M59" s="823"/>
      <c r="N59" s="823"/>
      <c r="O59" s="823"/>
      <c r="P59" s="823"/>
      <c r="Q59" s="823"/>
      <c r="R59" s="823"/>
      <c r="S59" s="823"/>
      <c r="T59" s="823"/>
      <c r="U59" s="823"/>
      <c r="V59" s="823"/>
      <c r="W59" s="823"/>
      <c r="X59" s="823"/>
      <c r="Y59" s="823"/>
      <c r="Z59" s="854"/>
      <c r="AA59" s="855"/>
      <c r="AB59" s="855"/>
      <c r="AC59" s="855"/>
      <c r="AD59" s="856"/>
      <c r="AE59" s="859"/>
      <c r="AF59" s="860"/>
      <c r="AG59" s="860"/>
      <c r="AH59" s="860"/>
      <c r="AI59" s="860"/>
      <c r="AJ59" s="864"/>
      <c r="AK59" s="865"/>
      <c r="AL59" s="865"/>
      <c r="AM59" s="865"/>
      <c r="AN59" s="866"/>
      <c r="AO59" s="864"/>
      <c r="AP59" s="865"/>
      <c r="AQ59" s="865"/>
      <c r="AR59" s="865"/>
      <c r="AS59" s="866"/>
      <c r="AT59" s="864"/>
      <c r="AU59" s="865"/>
      <c r="AV59" s="865"/>
      <c r="AW59" s="865"/>
      <c r="AX59" s="866"/>
      <c r="AY59" s="864"/>
      <c r="AZ59" s="865"/>
      <c r="BA59" s="865"/>
      <c r="BB59" s="865"/>
      <c r="BC59" s="866"/>
      <c r="BD59" s="864"/>
      <c r="BE59" s="865"/>
      <c r="BF59" s="865"/>
      <c r="BG59" s="865"/>
      <c r="BH59" s="866"/>
      <c r="BI59" s="864"/>
      <c r="BJ59" s="865"/>
      <c r="BK59" s="865"/>
      <c r="BL59" s="865"/>
      <c r="BM59" s="866"/>
      <c r="BN59" s="854"/>
      <c r="BO59" s="855"/>
      <c r="BP59" s="855"/>
      <c r="BQ59" s="880"/>
      <c r="BR59" s="882"/>
      <c r="BS59" s="860"/>
      <c r="BT59" s="860"/>
      <c r="BU59" s="860"/>
      <c r="BV59" s="860"/>
      <c r="BW59" s="825"/>
      <c r="BX59" s="825"/>
      <c r="BY59" s="825"/>
      <c r="BZ59" s="825"/>
      <c r="CA59" s="825"/>
      <c r="CB59" s="825"/>
      <c r="CC59" s="825"/>
      <c r="CD59" s="825"/>
      <c r="CE59" s="825"/>
      <c r="CF59" s="825"/>
      <c r="CG59" s="825"/>
      <c r="CH59" s="825"/>
      <c r="CI59" s="825"/>
      <c r="CJ59" s="825"/>
      <c r="CK59" s="825"/>
      <c r="CL59" s="825"/>
      <c r="CM59" s="825"/>
      <c r="CN59" s="825"/>
      <c r="CO59" s="825"/>
      <c r="CP59" s="825"/>
      <c r="CQ59" s="825"/>
      <c r="CR59" s="825"/>
      <c r="CS59" s="825"/>
      <c r="CT59" s="825"/>
      <c r="CU59" s="825"/>
      <c r="CV59" s="825"/>
      <c r="CW59" s="825"/>
      <c r="CX59" s="825"/>
      <c r="CY59" s="825"/>
      <c r="CZ59" s="825"/>
      <c r="DA59" s="859"/>
      <c r="DB59" s="860"/>
      <c r="DC59" s="860"/>
      <c r="DD59" s="860"/>
      <c r="DE59" s="878"/>
      <c r="DF59" s="828"/>
      <c r="DG59" s="825"/>
      <c r="DH59" s="825"/>
      <c r="DI59" s="825"/>
      <c r="DJ59" s="825"/>
      <c r="DK59" s="825"/>
      <c r="DL59" s="825"/>
      <c r="DM59" s="825"/>
      <c r="DN59" s="825"/>
      <c r="DO59" s="825"/>
      <c r="DP59" s="825"/>
      <c r="DQ59" s="825"/>
      <c r="DR59" s="825"/>
      <c r="DS59" s="825"/>
      <c r="DT59" s="825"/>
      <c r="DU59" s="825"/>
      <c r="DV59" s="825"/>
      <c r="DW59" s="825"/>
      <c r="DX59" s="825"/>
      <c r="DY59" s="825"/>
      <c r="DZ59" s="825"/>
      <c r="EA59" s="825"/>
      <c r="EB59" s="825"/>
      <c r="EC59" s="825"/>
      <c r="ED59" s="825"/>
      <c r="EE59" s="859"/>
      <c r="EF59" s="860"/>
      <c r="EG59" s="860"/>
      <c r="EH59" s="860"/>
      <c r="EI59" s="876"/>
      <c r="EJ59" s="825"/>
      <c r="EK59" s="825"/>
      <c r="EL59" s="825"/>
      <c r="EM59" s="825"/>
      <c r="EN59" s="825"/>
      <c r="EO59" s="825"/>
      <c r="EP59" s="825"/>
      <c r="EQ59" s="825"/>
      <c r="ER59" s="825"/>
      <c r="ES59" s="827"/>
      <c r="ET59" s="867">
        <f t="shared" ref="ET59" si="19">DF59+DK59+DP59+DU59+DZ59+EJ59+EE59+EO59</f>
        <v>0</v>
      </c>
      <c r="EU59" s="868"/>
      <c r="EV59" s="869"/>
      <c r="EW59" s="869"/>
      <c r="EX59" s="870"/>
      <c r="EY59" s="197"/>
      <c r="FA59" s="269"/>
      <c r="FB59" s="270"/>
      <c r="FC59" s="271"/>
    </row>
    <row r="60" spans="1:159" s="129" customFormat="1" ht="99.95" customHeight="1" x14ac:dyDescent="0.2">
      <c r="A60" s="555" t="s">
        <v>40</v>
      </c>
      <c r="B60" s="97" t="s">
        <v>127</v>
      </c>
      <c r="C60" s="823" t="s">
        <v>122</v>
      </c>
      <c r="D60" s="823"/>
      <c r="E60" s="823"/>
      <c r="F60" s="823"/>
      <c r="G60" s="823"/>
      <c r="H60" s="823"/>
      <c r="I60" s="823"/>
      <c r="J60" s="823"/>
      <c r="K60" s="823"/>
      <c r="L60" s="823"/>
      <c r="M60" s="823"/>
      <c r="N60" s="823"/>
      <c r="O60" s="823"/>
      <c r="P60" s="823"/>
      <c r="Q60" s="823"/>
      <c r="R60" s="823"/>
      <c r="S60" s="823"/>
      <c r="T60" s="823"/>
      <c r="U60" s="823"/>
      <c r="V60" s="823"/>
      <c r="W60" s="823"/>
      <c r="X60" s="823"/>
      <c r="Y60" s="823"/>
      <c r="Z60" s="851">
        <f t="shared" ref="Z60" si="20">+ET60*30</f>
        <v>120</v>
      </c>
      <c r="AA60" s="852"/>
      <c r="AB60" s="852"/>
      <c r="AC60" s="852"/>
      <c r="AD60" s="853"/>
      <c r="AE60" s="857"/>
      <c r="AF60" s="858"/>
      <c r="AG60" s="858"/>
      <c r="AH60" s="858"/>
      <c r="AI60" s="858"/>
      <c r="AJ60" s="861">
        <f t="shared" ref="AJ60" si="21">SUM(AO60:BH61)</f>
        <v>58</v>
      </c>
      <c r="AK60" s="862"/>
      <c r="AL60" s="862"/>
      <c r="AM60" s="862"/>
      <c r="AN60" s="863"/>
      <c r="AO60" s="861">
        <v>28</v>
      </c>
      <c r="AP60" s="862"/>
      <c r="AQ60" s="862"/>
      <c r="AR60" s="862"/>
      <c r="AS60" s="863"/>
      <c r="AT60" s="861"/>
      <c r="AU60" s="862"/>
      <c r="AV60" s="862"/>
      <c r="AW60" s="862"/>
      <c r="AX60" s="863"/>
      <c r="AY60" s="861">
        <v>30</v>
      </c>
      <c r="AZ60" s="862"/>
      <c r="BA60" s="862"/>
      <c r="BB60" s="862"/>
      <c r="BC60" s="863"/>
      <c r="BD60" s="861"/>
      <c r="BE60" s="862"/>
      <c r="BF60" s="862"/>
      <c r="BG60" s="862"/>
      <c r="BH60" s="863"/>
      <c r="BI60" s="861"/>
      <c r="BJ60" s="862"/>
      <c r="BK60" s="862"/>
      <c r="BL60" s="862"/>
      <c r="BM60" s="863"/>
      <c r="BN60" s="851">
        <f>Z60-AJ60</f>
        <v>62</v>
      </c>
      <c r="BO60" s="852"/>
      <c r="BP60" s="852"/>
      <c r="BQ60" s="879"/>
      <c r="BR60" s="881"/>
      <c r="BS60" s="858"/>
      <c r="BT60" s="858"/>
      <c r="BU60" s="858"/>
      <c r="BV60" s="858"/>
      <c r="BW60" s="825">
        <v>4</v>
      </c>
      <c r="BX60" s="825"/>
      <c r="BY60" s="825"/>
      <c r="BZ60" s="825"/>
      <c r="CA60" s="825"/>
      <c r="CB60" s="825"/>
      <c r="CC60" s="825"/>
      <c r="CD60" s="825"/>
      <c r="CE60" s="825"/>
      <c r="CF60" s="825"/>
      <c r="CG60" s="825"/>
      <c r="CH60" s="825"/>
      <c r="CI60" s="825"/>
      <c r="CJ60" s="825"/>
      <c r="CK60" s="825"/>
      <c r="CL60" s="825"/>
      <c r="CM60" s="825"/>
      <c r="CN60" s="825"/>
      <c r="CO60" s="825"/>
      <c r="CP60" s="825"/>
      <c r="CQ60" s="825"/>
      <c r="CR60" s="825"/>
      <c r="CS60" s="825"/>
      <c r="CT60" s="825"/>
      <c r="CU60" s="825"/>
      <c r="CV60" s="825"/>
      <c r="CW60" s="825"/>
      <c r="CX60" s="825"/>
      <c r="CY60" s="825"/>
      <c r="CZ60" s="825"/>
      <c r="DA60" s="857"/>
      <c r="DB60" s="858"/>
      <c r="DC60" s="858"/>
      <c r="DD60" s="858"/>
      <c r="DE60" s="877"/>
      <c r="DF60" s="828"/>
      <c r="DG60" s="825"/>
      <c r="DH60" s="825"/>
      <c r="DI60" s="825"/>
      <c r="DJ60" s="825"/>
      <c r="DK60" s="825">
        <v>4</v>
      </c>
      <c r="DL60" s="825"/>
      <c r="DM60" s="825"/>
      <c r="DN60" s="825"/>
      <c r="DO60" s="825"/>
      <c r="DP60" s="825"/>
      <c r="DQ60" s="825"/>
      <c r="DR60" s="825"/>
      <c r="DS60" s="825"/>
      <c r="DT60" s="825"/>
      <c r="DU60" s="825"/>
      <c r="DV60" s="825"/>
      <c r="DW60" s="825"/>
      <c r="DX60" s="825"/>
      <c r="DY60" s="825"/>
      <c r="DZ60" s="825"/>
      <c r="EA60" s="825"/>
      <c r="EB60" s="825"/>
      <c r="EC60" s="825"/>
      <c r="ED60" s="825"/>
      <c r="EE60" s="825"/>
      <c r="EF60" s="825"/>
      <c r="EG60" s="825"/>
      <c r="EH60" s="825"/>
      <c r="EI60" s="825"/>
      <c r="EJ60" s="825"/>
      <c r="EK60" s="825"/>
      <c r="EL60" s="825"/>
      <c r="EM60" s="825"/>
      <c r="EN60" s="825"/>
      <c r="EO60" s="825"/>
      <c r="EP60" s="825"/>
      <c r="EQ60" s="825"/>
      <c r="ER60" s="825"/>
      <c r="ES60" s="827"/>
      <c r="ET60" s="867">
        <f t="shared" ref="ET60" si="22">SUM(DF60:ES61)</f>
        <v>4</v>
      </c>
      <c r="EU60" s="868"/>
      <c r="EV60" s="869"/>
      <c r="EW60" s="869"/>
      <c r="EX60" s="870"/>
      <c r="EY60" s="197" t="s">
        <v>291</v>
      </c>
      <c r="FA60" s="269"/>
      <c r="FB60" s="270"/>
      <c r="FC60" s="271"/>
    </row>
    <row r="61" spans="1:159" s="129" customFormat="1" ht="84.95" customHeight="1" x14ac:dyDescent="0.2">
      <c r="A61" s="556"/>
      <c r="B61" s="141" t="s">
        <v>305</v>
      </c>
      <c r="C61" s="823" t="s">
        <v>287</v>
      </c>
      <c r="D61" s="823"/>
      <c r="E61" s="823"/>
      <c r="F61" s="823"/>
      <c r="G61" s="823"/>
      <c r="H61" s="823"/>
      <c r="I61" s="823"/>
      <c r="J61" s="823"/>
      <c r="K61" s="823"/>
      <c r="L61" s="823"/>
      <c r="M61" s="823"/>
      <c r="N61" s="823"/>
      <c r="O61" s="823"/>
      <c r="P61" s="823"/>
      <c r="Q61" s="823"/>
      <c r="R61" s="823"/>
      <c r="S61" s="823"/>
      <c r="T61" s="823"/>
      <c r="U61" s="823"/>
      <c r="V61" s="823"/>
      <c r="W61" s="823"/>
      <c r="X61" s="823"/>
      <c r="Y61" s="823"/>
      <c r="Z61" s="854"/>
      <c r="AA61" s="855"/>
      <c r="AB61" s="855"/>
      <c r="AC61" s="855"/>
      <c r="AD61" s="856"/>
      <c r="AE61" s="859"/>
      <c r="AF61" s="860"/>
      <c r="AG61" s="860"/>
      <c r="AH61" s="860"/>
      <c r="AI61" s="860"/>
      <c r="AJ61" s="864"/>
      <c r="AK61" s="865"/>
      <c r="AL61" s="865"/>
      <c r="AM61" s="865"/>
      <c r="AN61" s="866"/>
      <c r="AO61" s="864"/>
      <c r="AP61" s="865"/>
      <c r="AQ61" s="865"/>
      <c r="AR61" s="865"/>
      <c r="AS61" s="866"/>
      <c r="AT61" s="864"/>
      <c r="AU61" s="865"/>
      <c r="AV61" s="865"/>
      <c r="AW61" s="865"/>
      <c r="AX61" s="866"/>
      <c r="AY61" s="864"/>
      <c r="AZ61" s="865"/>
      <c r="BA61" s="865"/>
      <c r="BB61" s="865"/>
      <c r="BC61" s="866"/>
      <c r="BD61" s="864"/>
      <c r="BE61" s="865"/>
      <c r="BF61" s="865"/>
      <c r="BG61" s="865"/>
      <c r="BH61" s="866"/>
      <c r="BI61" s="864"/>
      <c r="BJ61" s="865"/>
      <c r="BK61" s="865"/>
      <c r="BL61" s="865"/>
      <c r="BM61" s="866"/>
      <c r="BN61" s="854"/>
      <c r="BO61" s="855"/>
      <c r="BP61" s="855"/>
      <c r="BQ61" s="880"/>
      <c r="BR61" s="882"/>
      <c r="BS61" s="860"/>
      <c r="BT61" s="860"/>
      <c r="BU61" s="860"/>
      <c r="BV61" s="860"/>
      <c r="BW61" s="825"/>
      <c r="BX61" s="825"/>
      <c r="BY61" s="825"/>
      <c r="BZ61" s="825"/>
      <c r="CA61" s="825"/>
      <c r="CB61" s="825"/>
      <c r="CC61" s="825"/>
      <c r="CD61" s="825"/>
      <c r="CE61" s="825"/>
      <c r="CF61" s="825"/>
      <c r="CG61" s="825"/>
      <c r="CH61" s="825"/>
      <c r="CI61" s="825"/>
      <c r="CJ61" s="825"/>
      <c r="CK61" s="825"/>
      <c r="CL61" s="825"/>
      <c r="CM61" s="825"/>
      <c r="CN61" s="825"/>
      <c r="CO61" s="825"/>
      <c r="CP61" s="825"/>
      <c r="CQ61" s="825"/>
      <c r="CR61" s="825"/>
      <c r="CS61" s="825"/>
      <c r="CT61" s="825"/>
      <c r="CU61" s="825"/>
      <c r="CV61" s="825"/>
      <c r="CW61" s="825"/>
      <c r="CX61" s="825"/>
      <c r="CY61" s="825"/>
      <c r="CZ61" s="825"/>
      <c r="DA61" s="859"/>
      <c r="DB61" s="860"/>
      <c r="DC61" s="860"/>
      <c r="DD61" s="860"/>
      <c r="DE61" s="878"/>
      <c r="DF61" s="828"/>
      <c r="DG61" s="825"/>
      <c r="DH61" s="825"/>
      <c r="DI61" s="825"/>
      <c r="DJ61" s="825"/>
      <c r="DK61" s="825"/>
      <c r="DL61" s="825"/>
      <c r="DM61" s="825"/>
      <c r="DN61" s="825"/>
      <c r="DO61" s="825"/>
      <c r="DP61" s="825"/>
      <c r="DQ61" s="825"/>
      <c r="DR61" s="825"/>
      <c r="DS61" s="825"/>
      <c r="DT61" s="825"/>
      <c r="DU61" s="825"/>
      <c r="DV61" s="825"/>
      <c r="DW61" s="825"/>
      <c r="DX61" s="825"/>
      <c r="DY61" s="825"/>
      <c r="DZ61" s="825"/>
      <c r="EA61" s="825"/>
      <c r="EB61" s="825"/>
      <c r="EC61" s="825"/>
      <c r="ED61" s="825"/>
      <c r="EE61" s="825"/>
      <c r="EF61" s="825"/>
      <c r="EG61" s="825"/>
      <c r="EH61" s="825"/>
      <c r="EI61" s="825"/>
      <c r="EJ61" s="825"/>
      <c r="EK61" s="825"/>
      <c r="EL61" s="825"/>
      <c r="EM61" s="825"/>
      <c r="EN61" s="825"/>
      <c r="EO61" s="825"/>
      <c r="EP61" s="825"/>
      <c r="EQ61" s="825"/>
      <c r="ER61" s="825"/>
      <c r="ES61" s="827"/>
      <c r="ET61" s="867">
        <f t="shared" ref="ET61" si="23">DF61+DK61+DP61+DU61+DZ61+EJ61+EE61+EO61</f>
        <v>0</v>
      </c>
      <c r="EU61" s="868"/>
      <c r="EV61" s="869"/>
      <c r="EW61" s="869"/>
      <c r="EX61" s="870"/>
      <c r="EY61" s="197"/>
      <c r="FA61" s="269"/>
      <c r="FB61" s="270"/>
      <c r="FC61" s="271"/>
    </row>
    <row r="62" spans="1:159" s="305" customFormat="1" ht="84.95" customHeight="1" x14ac:dyDescent="0.2">
      <c r="A62" s="555" t="s">
        <v>41</v>
      </c>
      <c r="B62" s="141" t="s">
        <v>148</v>
      </c>
      <c r="C62" s="850" t="s">
        <v>288</v>
      </c>
      <c r="D62" s="850"/>
      <c r="E62" s="850"/>
      <c r="F62" s="850"/>
      <c r="G62" s="850"/>
      <c r="H62" s="850"/>
      <c r="I62" s="850"/>
      <c r="J62" s="850"/>
      <c r="K62" s="850"/>
      <c r="L62" s="850"/>
      <c r="M62" s="850"/>
      <c r="N62" s="850"/>
      <c r="O62" s="850"/>
      <c r="P62" s="850"/>
      <c r="Q62" s="850"/>
      <c r="R62" s="850"/>
      <c r="S62" s="850"/>
      <c r="T62" s="850"/>
      <c r="U62" s="850"/>
      <c r="V62" s="850"/>
      <c r="W62" s="850"/>
      <c r="X62" s="850"/>
      <c r="Y62" s="850"/>
      <c r="Z62" s="851">
        <f t="shared" ref="Z62" si="24">+ET62*30</f>
        <v>240</v>
      </c>
      <c r="AA62" s="852"/>
      <c r="AB62" s="852"/>
      <c r="AC62" s="852"/>
      <c r="AD62" s="853"/>
      <c r="AE62" s="857"/>
      <c r="AF62" s="858"/>
      <c r="AG62" s="858"/>
      <c r="AH62" s="858"/>
      <c r="AI62" s="858"/>
      <c r="AJ62" s="861">
        <f t="shared" ref="AJ62" si="25">SUM(AO62:BH63)</f>
        <v>120</v>
      </c>
      <c r="AK62" s="862"/>
      <c r="AL62" s="862"/>
      <c r="AM62" s="862"/>
      <c r="AN62" s="863"/>
      <c r="AO62" s="861"/>
      <c r="AP62" s="862"/>
      <c r="AQ62" s="862"/>
      <c r="AR62" s="862"/>
      <c r="AS62" s="863"/>
      <c r="AT62" s="861">
        <v>120</v>
      </c>
      <c r="AU62" s="862"/>
      <c r="AV62" s="862"/>
      <c r="AW62" s="862"/>
      <c r="AX62" s="863"/>
      <c r="AY62" s="861"/>
      <c r="AZ62" s="862"/>
      <c r="BA62" s="862"/>
      <c r="BB62" s="862"/>
      <c r="BC62" s="863"/>
      <c r="BD62" s="861"/>
      <c r="BE62" s="862"/>
      <c r="BF62" s="862"/>
      <c r="BG62" s="862"/>
      <c r="BH62" s="863"/>
      <c r="BI62" s="861"/>
      <c r="BJ62" s="862"/>
      <c r="BK62" s="862"/>
      <c r="BL62" s="862"/>
      <c r="BM62" s="863"/>
      <c r="BN62" s="851">
        <f>Z62-AJ62</f>
        <v>120</v>
      </c>
      <c r="BO62" s="852"/>
      <c r="BP62" s="852"/>
      <c r="BQ62" s="879"/>
      <c r="BR62" s="881">
        <v>4</v>
      </c>
      <c r="BS62" s="858"/>
      <c r="BT62" s="858"/>
      <c r="BU62" s="858"/>
      <c r="BV62" s="858"/>
      <c r="BW62" s="825">
        <v>4</v>
      </c>
      <c r="BX62" s="825"/>
      <c r="BY62" s="825"/>
      <c r="BZ62" s="825"/>
      <c r="CA62" s="825"/>
      <c r="CB62" s="825"/>
      <c r="CC62" s="825"/>
      <c r="CD62" s="825"/>
      <c r="CE62" s="825"/>
      <c r="CF62" s="825"/>
      <c r="CG62" s="825"/>
      <c r="CH62" s="825"/>
      <c r="CI62" s="825"/>
      <c r="CJ62" s="825"/>
      <c r="CK62" s="825"/>
      <c r="CL62" s="825"/>
      <c r="CM62" s="825"/>
      <c r="CN62" s="825"/>
      <c r="CO62" s="825"/>
      <c r="CP62" s="825"/>
      <c r="CQ62" s="825"/>
      <c r="CR62" s="825"/>
      <c r="CS62" s="825"/>
      <c r="CT62" s="825"/>
      <c r="CU62" s="825"/>
      <c r="CV62" s="825"/>
      <c r="CW62" s="825"/>
      <c r="CX62" s="825"/>
      <c r="CY62" s="825"/>
      <c r="CZ62" s="825"/>
      <c r="DA62" s="857"/>
      <c r="DB62" s="858"/>
      <c r="DC62" s="858"/>
      <c r="DD62" s="858"/>
      <c r="DE62" s="877"/>
      <c r="DF62" s="828">
        <v>4</v>
      </c>
      <c r="DG62" s="825"/>
      <c r="DH62" s="825"/>
      <c r="DI62" s="825"/>
      <c r="DJ62" s="825"/>
      <c r="DK62" s="825">
        <v>4</v>
      </c>
      <c r="DL62" s="825"/>
      <c r="DM62" s="825"/>
      <c r="DN62" s="825"/>
      <c r="DO62" s="825"/>
      <c r="DP62" s="825"/>
      <c r="DQ62" s="825"/>
      <c r="DR62" s="825"/>
      <c r="DS62" s="825"/>
      <c r="DT62" s="825"/>
      <c r="DU62" s="825"/>
      <c r="DV62" s="825"/>
      <c r="DW62" s="825"/>
      <c r="DX62" s="825"/>
      <c r="DY62" s="825"/>
      <c r="DZ62" s="825"/>
      <c r="EA62" s="825"/>
      <c r="EB62" s="825"/>
      <c r="EC62" s="825"/>
      <c r="ED62" s="825"/>
      <c r="EE62" s="825"/>
      <c r="EF62" s="825"/>
      <c r="EG62" s="825"/>
      <c r="EH62" s="825"/>
      <c r="EI62" s="825"/>
      <c r="EJ62" s="825"/>
      <c r="EK62" s="825"/>
      <c r="EL62" s="825"/>
      <c r="EM62" s="825"/>
      <c r="EN62" s="825"/>
      <c r="EO62" s="825"/>
      <c r="EP62" s="825"/>
      <c r="EQ62" s="825"/>
      <c r="ER62" s="825"/>
      <c r="ES62" s="827"/>
      <c r="ET62" s="867">
        <f t="shared" ref="ET62" si="26">SUM(DF62:ES63)</f>
        <v>8</v>
      </c>
      <c r="EU62" s="868"/>
      <c r="EV62" s="869"/>
      <c r="EW62" s="869"/>
      <c r="EX62" s="870"/>
      <c r="EY62" s="304" t="s">
        <v>291</v>
      </c>
      <c r="FA62" s="306"/>
      <c r="FB62" s="307"/>
      <c r="FC62" s="308"/>
    </row>
    <row r="63" spans="1:159" s="129" customFormat="1" ht="84.95" customHeight="1" x14ac:dyDescent="0.2">
      <c r="A63" s="556"/>
      <c r="B63" s="141" t="s">
        <v>294</v>
      </c>
      <c r="C63" s="823" t="s">
        <v>289</v>
      </c>
      <c r="D63" s="823"/>
      <c r="E63" s="823"/>
      <c r="F63" s="823"/>
      <c r="G63" s="823"/>
      <c r="H63" s="823"/>
      <c r="I63" s="823"/>
      <c r="J63" s="823"/>
      <c r="K63" s="823"/>
      <c r="L63" s="823"/>
      <c r="M63" s="823"/>
      <c r="N63" s="823"/>
      <c r="O63" s="823"/>
      <c r="P63" s="823"/>
      <c r="Q63" s="823"/>
      <c r="R63" s="823"/>
      <c r="S63" s="823"/>
      <c r="T63" s="823"/>
      <c r="U63" s="823"/>
      <c r="V63" s="823"/>
      <c r="W63" s="823"/>
      <c r="X63" s="823"/>
      <c r="Y63" s="823"/>
      <c r="Z63" s="854"/>
      <c r="AA63" s="855"/>
      <c r="AB63" s="855"/>
      <c r="AC63" s="855"/>
      <c r="AD63" s="856"/>
      <c r="AE63" s="859"/>
      <c r="AF63" s="860"/>
      <c r="AG63" s="860"/>
      <c r="AH63" s="860"/>
      <c r="AI63" s="860"/>
      <c r="AJ63" s="864"/>
      <c r="AK63" s="865"/>
      <c r="AL63" s="865"/>
      <c r="AM63" s="865"/>
      <c r="AN63" s="866"/>
      <c r="AO63" s="864"/>
      <c r="AP63" s="865"/>
      <c r="AQ63" s="865"/>
      <c r="AR63" s="865"/>
      <c r="AS63" s="866"/>
      <c r="AT63" s="864"/>
      <c r="AU63" s="865"/>
      <c r="AV63" s="865"/>
      <c r="AW63" s="865"/>
      <c r="AX63" s="866"/>
      <c r="AY63" s="864"/>
      <c r="AZ63" s="865"/>
      <c r="BA63" s="865"/>
      <c r="BB63" s="865"/>
      <c r="BC63" s="866"/>
      <c r="BD63" s="864"/>
      <c r="BE63" s="865"/>
      <c r="BF63" s="865"/>
      <c r="BG63" s="865"/>
      <c r="BH63" s="866"/>
      <c r="BI63" s="864"/>
      <c r="BJ63" s="865"/>
      <c r="BK63" s="865"/>
      <c r="BL63" s="865"/>
      <c r="BM63" s="866"/>
      <c r="BN63" s="854"/>
      <c r="BO63" s="855"/>
      <c r="BP63" s="855"/>
      <c r="BQ63" s="880"/>
      <c r="BR63" s="882"/>
      <c r="BS63" s="860"/>
      <c r="BT63" s="860"/>
      <c r="BU63" s="860"/>
      <c r="BV63" s="860"/>
      <c r="BW63" s="825"/>
      <c r="BX63" s="825"/>
      <c r="BY63" s="825"/>
      <c r="BZ63" s="825"/>
      <c r="CA63" s="825"/>
      <c r="CB63" s="825"/>
      <c r="CC63" s="825"/>
      <c r="CD63" s="825"/>
      <c r="CE63" s="825"/>
      <c r="CF63" s="825"/>
      <c r="CG63" s="825"/>
      <c r="CH63" s="825"/>
      <c r="CI63" s="825"/>
      <c r="CJ63" s="825"/>
      <c r="CK63" s="825"/>
      <c r="CL63" s="825"/>
      <c r="CM63" s="825"/>
      <c r="CN63" s="825"/>
      <c r="CO63" s="825"/>
      <c r="CP63" s="825"/>
      <c r="CQ63" s="825"/>
      <c r="CR63" s="825"/>
      <c r="CS63" s="825"/>
      <c r="CT63" s="825"/>
      <c r="CU63" s="825"/>
      <c r="CV63" s="825"/>
      <c r="CW63" s="825"/>
      <c r="CX63" s="825"/>
      <c r="CY63" s="825"/>
      <c r="CZ63" s="825"/>
      <c r="DA63" s="859"/>
      <c r="DB63" s="860"/>
      <c r="DC63" s="860"/>
      <c r="DD63" s="860"/>
      <c r="DE63" s="878"/>
      <c r="DF63" s="828"/>
      <c r="DG63" s="825"/>
      <c r="DH63" s="825"/>
      <c r="DI63" s="825"/>
      <c r="DJ63" s="825"/>
      <c r="DK63" s="825"/>
      <c r="DL63" s="825"/>
      <c r="DM63" s="825"/>
      <c r="DN63" s="825"/>
      <c r="DO63" s="825"/>
      <c r="DP63" s="825"/>
      <c r="DQ63" s="825"/>
      <c r="DR63" s="825"/>
      <c r="DS63" s="825"/>
      <c r="DT63" s="825"/>
      <c r="DU63" s="825"/>
      <c r="DV63" s="825"/>
      <c r="DW63" s="825"/>
      <c r="DX63" s="825"/>
      <c r="DY63" s="825"/>
      <c r="DZ63" s="825"/>
      <c r="EA63" s="825"/>
      <c r="EB63" s="825"/>
      <c r="EC63" s="825"/>
      <c r="ED63" s="825"/>
      <c r="EE63" s="825"/>
      <c r="EF63" s="825"/>
      <c r="EG63" s="825"/>
      <c r="EH63" s="825"/>
      <c r="EI63" s="825"/>
      <c r="EJ63" s="825"/>
      <c r="EK63" s="825"/>
      <c r="EL63" s="825"/>
      <c r="EM63" s="825"/>
      <c r="EN63" s="825"/>
      <c r="EO63" s="825"/>
      <c r="EP63" s="825"/>
      <c r="EQ63" s="825"/>
      <c r="ER63" s="825"/>
      <c r="ES63" s="827"/>
      <c r="ET63" s="867">
        <f t="shared" ref="ET63" si="27">DF63+DK63+DP63+DU63+DZ63+EJ63+EE63+EO63</f>
        <v>0</v>
      </c>
      <c r="EU63" s="868"/>
      <c r="EV63" s="869"/>
      <c r="EW63" s="869"/>
      <c r="EX63" s="870"/>
      <c r="EY63" s="197"/>
      <c r="FA63" s="269"/>
      <c r="FB63" s="270"/>
      <c r="FC63" s="271"/>
    </row>
    <row r="64" spans="1:159" s="129" customFormat="1" ht="84.95" customHeight="1" x14ac:dyDescent="0.2">
      <c r="A64" s="555" t="s">
        <v>42</v>
      </c>
      <c r="B64" s="141" t="s">
        <v>300</v>
      </c>
      <c r="C64" s="850" t="s">
        <v>282</v>
      </c>
      <c r="D64" s="850"/>
      <c r="E64" s="850"/>
      <c r="F64" s="850"/>
      <c r="G64" s="850"/>
      <c r="H64" s="850"/>
      <c r="I64" s="850"/>
      <c r="J64" s="850"/>
      <c r="K64" s="850"/>
      <c r="L64" s="850"/>
      <c r="M64" s="850"/>
      <c r="N64" s="850"/>
      <c r="O64" s="850"/>
      <c r="P64" s="850"/>
      <c r="Q64" s="850"/>
      <c r="R64" s="850"/>
      <c r="S64" s="850"/>
      <c r="T64" s="850"/>
      <c r="U64" s="850"/>
      <c r="V64" s="850"/>
      <c r="W64" s="850"/>
      <c r="X64" s="850"/>
      <c r="Y64" s="850"/>
      <c r="Z64" s="851">
        <f t="shared" ref="Z64" si="28">+ET64*30</f>
        <v>120</v>
      </c>
      <c r="AA64" s="852"/>
      <c r="AB64" s="852"/>
      <c r="AC64" s="852"/>
      <c r="AD64" s="853"/>
      <c r="AE64" s="857"/>
      <c r="AF64" s="858"/>
      <c r="AG64" s="858"/>
      <c r="AH64" s="858"/>
      <c r="AI64" s="858"/>
      <c r="AJ64" s="861">
        <f t="shared" ref="AJ64" si="29">SUM(AO64:BH65)</f>
        <v>46</v>
      </c>
      <c r="AK64" s="862"/>
      <c r="AL64" s="862"/>
      <c r="AM64" s="862"/>
      <c r="AN64" s="863"/>
      <c r="AO64" s="861">
        <v>16</v>
      </c>
      <c r="AP64" s="862"/>
      <c r="AQ64" s="862"/>
      <c r="AR64" s="862"/>
      <c r="AS64" s="863"/>
      <c r="AT64" s="861"/>
      <c r="AU64" s="862"/>
      <c r="AV64" s="862"/>
      <c r="AW64" s="862"/>
      <c r="AX64" s="863"/>
      <c r="AY64" s="861">
        <v>30</v>
      </c>
      <c r="AZ64" s="862"/>
      <c r="BA64" s="862"/>
      <c r="BB64" s="862"/>
      <c r="BC64" s="863"/>
      <c r="BD64" s="861"/>
      <c r="BE64" s="862"/>
      <c r="BF64" s="862"/>
      <c r="BG64" s="862"/>
      <c r="BH64" s="863"/>
      <c r="BI64" s="861"/>
      <c r="BJ64" s="862"/>
      <c r="BK64" s="862"/>
      <c r="BL64" s="862"/>
      <c r="BM64" s="863"/>
      <c r="BN64" s="851">
        <f>Z64-AJ64</f>
        <v>74</v>
      </c>
      <c r="BO64" s="852"/>
      <c r="BP64" s="852"/>
      <c r="BQ64" s="879"/>
      <c r="BR64" s="881">
        <v>3</v>
      </c>
      <c r="BS64" s="858"/>
      <c r="BT64" s="858"/>
      <c r="BU64" s="858"/>
      <c r="BV64" s="858"/>
      <c r="BW64" s="825"/>
      <c r="BX64" s="825"/>
      <c r="BY64" s="825"/>
      <c r="BZ64" s="825"/>
      <c r="CA64" s="825"/>
      <c r="CB64" s="825"/>
      <c r="CC64" s="825"/>
      <c r="CD64" s="825"/>
      <c r="CE64" s="825"/>
      <c r="CF64" s="825"/>
      <c r="CG64" s="825"/>
      <c r="CH64" s="825"/>
      <c r="CI64" s="825"/>
      <c r="CJ64" s="825"/>
      <c r="CK64" s="825"/>
      <c r="CL64" s="825"/>
      <c r="CM64" s="825"/>
      <c r="CN64" s="825"/>
      <c r="CO64" s="825"/>
      <c r="CP64" s="825"/>
      <c r="CQ64" s="825"/>
      <c r="CR64" s="825"/>
      <c r="CS64" s="825"/>
      <c r="CT64" s="825"/>
      <c r="CU64" s="825"/>
      <c r="CV64" s="825"/>
      <c r="CW64" s="825"/>
      <c r="CX64" s="825"/>
      <c r="CY64" s="825"/>
      <c r="CZ64" s="825"/>
      <c r="DA64" s="857"/>
      <c r="DB64" s="858"/>
      <c r="DC64" s="858"/>
      <c r="DD64" s="858"/>
      <c r="DE64" s="877"/>
      <c r="DF64" s="828">
        <v>4</v>
      </c>
      <c r="DG64" s="825"/>
      <c r="DH64" s="825"/>
      <c r="DI64" s="825"/>
      <c r="DJ64" s="825"/>
      <c r="DK64" s="825"/>
      <c r="DL64" s="825"/>
      <c r="DM64" s="825"/>
      <c r="DN64" s="825"/>
      <c r="DO64" s="825"/>
      <c r="DP64" s="825"/>
      <c r="DQ64" s="825"/>
      <c r="DR64" s="825"/>
      <c r="DS64" s="825"/>
      <c r="DT64" s="825"/>
      <c r="DU64" s="825"/>
      <c r="DV64" s="825"/>
      <c r="DW64" s="825"/>
      <c r="DX64" s="825"/>
      <c r="DY64" s="825"/>
      <c r="DZ64" s="825"/>
      <c r="EA64" s="825"/>
      <c r="EB64" s="825"/>
      <c r="EC64" s="825"/>
      <c r="ED64" s="825"/>
      <c r="EE64" s="825"/>
      <c r="EF64" s="825"/>
      <c r="EG64" s="825"/>
      <c r="EH64" s="825"/>
      <c r="EI64" s="825"/>
      <c r="EJ64" s="825"/>
      <c r="EK64" s="825"/>
      <c r="EL64" s="825"/>
      <c r="EM64" s="825"/>
      <c r="EN64" s="825"/>
      <c r="EO64" s="825"/>
      <c r="EP64" s="825"/>
      <c r="EQ64" s="825"/>
      <c r="ER64" s="825"/>
      <c r="ES64" s="827"/>
      <c r="ET64" s="867">
        <f t="shared" ref="ET64" si="30">SUM(DF64:ES65)</f>
        <v>4</v>
      </c>
      <c r="EU64" s="868"/>
      <c r="EV64" s="869"/>
      <c r="EW64" s="869"/>
      <c r="EX64" s="870"/>
      <c r="EY64" s="197" t="s">
        <v>291</v>
      </c>
      <c r="FA64" s="269"/>
      <c r="FB64" s="270"/>
      <c r="FC64" s="271"/>
    </row>
    <row r="65" spans="1:159" s="129" customFormat="1" ht="84.95" customHeight="1" x14ac:dyDescent="0.2">
      <c r="A65" s="556"/>
      <c r="B65" s="141" t="s">
        <v>295</v>
      </c>
      <c r="C65" s="823" t="s">
        <v>290</v>
      </c>
      <c r="D65" s="823"/>
      <c r="E65" s="823"/>
      <c r="F65" s="823"/>
      <c r="G65" s="823"/>
      <c r="H65" s="823"/>
      <c r="I65" s="823"/>
      <c r="J65" s="823"/>
      <c r="K65" s="823"/>
      <c r="L65" s="823"/>
      <c r="M65" s="823"/>
      <c r="N65" s="823"/>
      <c r="O65" s="823"/>
      <c r="P65" s="823"/>
      <c r="Q65" s="823"/>
      <c r="R65" s="823"/>
      <c r="S65" s="823"/>
      <c r="T65" s="823"/>
      <c r="U65" s="823"/>
      <c r="V65" s="823"/>
      <c r="W65" s="823"/>
      <c r="X65" s="823"/>
      <c r="Y65" s="823"/>
      <c r="Z65" s="854"/>
      <c r="AA65" s="855"/>
      <c r="AB65" s="855"/>
      <c r="AC65" s="855"/>
      <c r="AD65" s="856"/>
      <c r="AE65" s="859"/>
      <c r="AF65" s="860"/>
      <c r="AG65" s="860"/>
      <c r="AH65" s="860"/>
      <c r="AI65" s="860"/>
      <c r="AJ65" s="864"/>
      <c r="AK65" s="865"/>
      <c r="AL65" s="865"/>
      <c r="AM65" s="865"/>
      <c r="AN65" s="866"/>
      <c r="AO65" s="864"/>
      <c r="AP65" s="865"/>
      <c r="AQ65" s="865"/>
      <c r="AR65" s="865"/>
      <c r="AS65" s="866"/>
      <c r="AT65" s="864"/>
      <c r="AU65" s="865"/>
      <c r="AV65" s="865"/>
      <c r="AW65" s="865"/>
      <c r="AX65" s="866"/>
      <c r="AY65" s="864"/>
      <c r="AZ65" s="865"/>
      <c r="BA65" s="865"/>
      <c r="BB65" s="865"/>
      <c r="BC65" s="866"/>
      <c r="BD65" s="864"/>
      <c r="BE65" s="865"/>
      <c r="BF65" s="865"/>
      <c r="BG65" s="865"/>
      <c r="BH65" s="866"/>
      <c r="BI65" s="864"/>
      <c r="BJ65" s="865"/>
      <c r="BK65" s="865"/>
      <c r="BL65" s="865"/>
      <c r="BM65" s="866"/>
      <c r="BN65" s="854"/>
      <c r="BO65" s="855"/>
      <c r="BP65" s="855"/>
      <c r="BQ65" s="880"/>
      <c r="BR65" s="882"/>
      <c r="BS65" s="860"/>
      <c r="BT65" s="860"/>
      <c r="BU65" s="860"/>
      <c r="BV65" s="860"/>
      <c r="BW65" s="825"/>
      <c r="BX65" s="825"/>
      <c r="BY65" s="825"/>
      <c r="BZ65" s="825"/>
      <c r="CA65" s="825"/>
      <c r="CB65" s="825"/>
      <c r="CC65" s="825"/>
      <c r="CD65" s="825"/>
      <c r="CE65" s="825"/>
      <c r="CF65" s="825"/>
      <c r="CG65" s="825"/>
      <c r="CH65" s="825"/>
      <c r="CI65" s="825"/>
      <c r="CJ65" s="825"/>
      <c r="CK65" s="825"/>
      <c r="CL65" s="825"/>
      <c r="CM65" s="825"/>
      <c r="CN65" s="825"/>
      <c r="CO65" s="825"/>
      <c r="CP65" s="825"/>
      <c r="CQ65" s="825"/>
      <c r="CR65" s="825"/>
      <c r="CS65" s="825"/>
      <c r="CT65" s="825"/>
      <c r="CU65" s="825"/>
      <c r="CV65" s="825"/>
      <c r="CW65" s="825"/>
      <c r="CX65" s="825"/>
      <c r="CY65" s="825"/>
      <c r="CZ65" s="825"/>
      <c r="DA65" s="859"/>
      <c r="DB65" s="860"/>
      <c r="DC65" s="860"/>
      <c r="DD65" s="860"/>
      <c r="DE65" s="878"/>
      <c r="DF65" s="828"/>
      <c r="DG65" s="825"/>
      <c r="DH65" s="825"/>
      <c r="DI65" s="825"/>
      <c r="DJ65" s="825"/>
      <c r="DK65" s="825"/>
      <c r="DL65" s="825"/>
      <c r="DM65" s="825"/>
      <c r="DN65" s="825"/>
      <c r="DO65" s="825"/>
      <c r="DP65" s="825"/>
      <c r="DQ65" s="825"/>
      <c r="DR65" s="825"/>
      <c r="DS65" s="825"/>
      <c r="DT65" s="825"/>
      <c r="DU65" s="825"/>
      <c r="DV65" s="825"/>
      <c r="DW65" s="825"/>
      <c r="DX65" s="825"/>
      <c r="DY65" s="825"/>
      <c r="DZ65" s="825"/>
      <c r="EA65" s="825"/>
      <c r="EB65" s="825"/>
      <c r="EC65" s="825"/>
      <c r="ED65" s="825"/>
      <c r="EE65" s="825"/>
      <c r="EF65" s="825"/>
      <c r="EG65" s="825"/>
      <c r="EH65" s="825"/>
      <c r="EI65" s="825"/>
      <c r="EJ65" s="825"/>
      <c r="EK65" s="825"/>
      <c r="EL65" s="825"/>
      <c r="EM65" s="825"/>
      <c r="EN65" s="825"/>
      <c r="EO65" s="825"/>
      <c r="EP65" s="825"/>
      <c r="EQ65" s="825"/>
      <c r="ER65" s="825"/>
      <c r="ES65" s="827"/>
      <c r="ET65" s="867">
        <f t="shared" ref="ET65" si="31">DF65+DK65+DP65+DU65+DZ65+EJ65+EE65+EO65</f>
        <v>0</v>
      </c>
      <c r="EU65" s="868"/>
      <c r="EV65" s="869"/>
      <c r="EW65" s="869"/>
      <c r="EX65" s="870"/>
      <c r="EY65" s="197"/>
      <c r="FA65" s="269"/>
      <c r="FB65" s="270"/>
      <c r="FC65" s="271"/>
    </row>
    <row r="66" spans="1:159" s="305" customFormat="1" ht="84.95" customHeight="1" x14ac:dyDescent="0.2">
      <c r="A66" s="555" t="s">
        <v>205</v>
      </c>
      <c r="B66" s="141" t="s">
        <v>299</v>
      </c>
      <c r="C66" s="850" t="s">
        <v>204</v>
      </c>
      <c r="D66" s="850"/>
      <c r="E66" s="850"/>
      <c r="F66" s="850"/>
      <c r="G66" s="850"/>
      <c r="H66" s="850"/>
      <c r="I66" s="850"/>
      <c r="J66" s="850"/>
      <c r="K66" s="850"/>
      <c r="L66" s="850"/>
      <c r="M66" s="850"/>
      <c r="N66" s="850"/>
      <c r="O66" s="850"/>
      <c r="P66" s="850"/>
      <c r="Q66" s="850"/>
      <c r="R66" s="850"/>
      <c r="S66" s="850"/>
      <c r="T66" s="850"/>
      <c r="U66" s="850"/>
      <c r="V66" s="850"/>
      <c r="W66" s="850"/>
      <c r="X66" s="850"/>
      <c r="Y66" s="850"/>
      <c r="Z66" s="851">
        <f t="shared" ref="Z66" si="32">+ET66*30</f>
        <v>120</v>
      </c>
      <c r="AA66" s="852"/>
      <c r="AB66" s="852"/>
      <c r="AC66" s="852"/>
      <c r="AD66" s="853"/>
      <c r="AE66" s="857"/>
      <c r="AF66" s="858"/>
      <c r="AG66" s="858"/>
      <c r="AH66" s="858"/>
      <c r="AI66" s="858"/>
      <c r="AJ66" s="861">
        <f t="shared" ref="AJ66" si="33">SUM(AO66:BH67)</f>
        <v>60</v>
      </c>
      <c r="AK66" s="862"/>
      <c r="AL66" s="862"/>
      <c r="AM66" s="862"/>
      <c r="AN66" s="863"/>
      <c r="AO66" s="861">
        <v>30</v>
      </c>
      <c r="AP66" s="862"/>
      <c r="AQ66" s="862"/>
      <c r="AR66" s="862"/>
      <c r="AS66" s="863"/>
      <c r="AT66" s="861"/>
      <c r="AU66" s="862"/>
      <c r="AV66" s="862"/>
      <c r="AW66" s="862"/>
      <c r="AX66" s="863"/>
      <c r="AY66" s="861">
        <v>30</v>
      </c>
      <c r="AZ66" s="862"/>
      <c r="BA66" s="862"/>
      <c r="BB66" s="862"/>
      <c r="BC66" s="863"/>
      <c r="BD66" s="861"/>
      <c r="BE66" s="862"/>
      <c r="BF66" s="862"/>
      <c r="BG66" s="862"/>
      <c r="BH66" s="863"/>
      <c r="BI66" s="861"/>
      <c r="BJ66" s="862"/>
      <c r="BK66" s="862"/>
      <c r="BL66" s="862"/>
      <c r="BM66" s="863"/>
      <c r="BN66" s="851">
        <f>Z66-AJ66</f>
        <v>60</v>
      </c>
      <c r="BO66" s="852"/>
      <c r="BP66" s="852"/>
      <c r="BQ66" s="879"/>
      <c r="BR66" s="881"/>
      <c r="BS66" s="858"/>
      <c r="BT66" s="858"/>
      <c r="BU66" s="858"/>
      <c r="BV66" s="858"/>
      <c r="BW66" s="825">
        <v>4</v>
      </c>
      <c r="BX66" s="825"/>
      <c r="BY66" s="825"/>
      <c r="BZ66" s="825"/>
      <c r="CA66" s="825"/>
      <c r="CB66" s="825"/>
      <c r="CC66" s="825"/>
      <c r="CD66" s="825"/>
      <c r="CE66" s="825"/>
      <c r="CF66" s="825"/>
      <c r="CG66" s="825"/>
      <c r="CH66" s="825"/>
      <c r="CI66" s="825"/>
      <c r="CJ66" s="825"/>
      <c r="CK66" s="825"/>
      <c r="CL66" s="825"/>
      <c r="CM66" s="825"/>
      <c r="CN66" s="825"/>
      <c r="CO66" s="825"/>
      <c r="CP66" s="825"/>
      <c r="CQ66" s="825"/>
      <c r="CR66" s="825"/>
      <c r="CS66" s="825"/>
      <c r="CT66" s="825"/>
      <c r="CU66" s="825"/>
      <c r="CV66" s="825"/>
      <c r="CW66" s="825"/>
      <c r="CX66" s="825"/>
      <c r="CY66" s="825"/>
      <c r="CZ66" s="825"/>
      <c r="DA66" s="857"/>
      <c r="DB66" s="858"/>
      <c r="DC66" s="858"/>
      <c r="DD66" s="858"/>
      <c r="DE66" s="877"/>
      <c r="DF66" s="828"/>
      <c r="DG66" s="825"/>
      <c r="DH66" s="825"/>
      <c r="DI66" s="825"/>
      <c r="DJ66" s="825"/>
      <c r="DK66" s="825">
        <v>4</v>
      </c>
      <c r="DL66" s="825"/>
      <c r="DM66" s="825"/>
      <c r="DN66" s="825"/>
      <c r="DO66" s="825"/>
      <c r="DP66" s="825"/>
      <c r="DQ66" s="825"/>
      <c r="DR66" s="825"/>
      <c r="DS66" s="825"/>
      <c r="DT66" s="825"/>
      <c r="DU66" s="825"/>
      <c r="DV66" s="825"/>
      <c r="DW66" s="825"/>
      <c r="DX66" s="825"/>
      <c r="DY66" s="825"/>
      <c r="DZ66" s="825"/>
      <c r="EA66" s="825"/>
      <c r="EB66" s="825"/>
      <c r="EC66" s="825"/>
      <c r="ED66" s="825"/>
      <c r="EE66" s="825"/>
      <c r="EF66" s="825"/>
      <c r="EG66" s="825"/>
      <c r="EH66" s="825"/>
      <c r="EI66" s="825"/>
      <c r="EJ66" s="825"/>
      <c r="EK66" s="825"/>
      <c r="EL66" s="825"/>
      <c r="EM66" s="825"/>
      <c r="EN66" s="825"/>
      <c r="EO66" s="825"/>
      <c r="EP66" s="825"/>
      <c r="EQ66" s="825"/>
      <c r="ER66" s="825"/>
      <c r="ES66" s="827"/>
      <c r="ET66" s="867">
        <f t="shared" ref="ET66" si="34">SUM(DF66:ES67)</f>
        <v>4</v>
      </c>
      <c r="EU66" s="868"/>
      <c r="EV66" s="869"/>
      <c r="EW66" s="869"/>
      <c r="EX66" s="870"/>
      <c r="EY66" s="304" t="s">
        <v>291</v>
      </c>
      <c r="FA66" s="306"/>
      <c r="FB66" s="307"/>
      <c r="FC66" s="308"/>
    </row>
    <row r="67" spans="1:159" s="129" customFormat="1" ht="84.95" customHeight="1" x14ac:dyDescent="0.2">
      <c r="A67" s="556"/>
      <c r="B67" s="141" t="s">
        <v>296</v>
      </c>
      <c r="C67" s="823" t="s">
        <v>292</v>
      </c>
      <c r="D67" s="823"/>
      <c r="E67" s="823"/>
      <c r="F67" s="823"/>
      <c r="G67" s="823"/>
      <c r="H67" s="823"/>
      <c r="I67" s="823"/>
      <c r="J67" s="823"/>
      <c r="K67" s="823"/>
      <c r="L67" s="823"/>
      <c r="M67" s="823"/>
      <c r="N67" s="823"/>
      <c r="O67" s="823"/>
      <c r="P67" s="823"/>
      <c r="Q67" s="823"/>
      <c r="R67" s="823"/>
      <c r="S67" s="823"/>
      <c r="T67" s="823"/>
      <c r="U67" s="823"/>
      <c r="V67" s="823"/>
      <c r="W67" s="823"/>
      <c r="X67" s="823"/>
      <c r="Y67" s="823"/>
      <c r="Z67" s="854"/>
      <c r="AA67" s="855"/>
      <c r="AB67" s="855"/>
      <c r="AC67" s="855"/>
      <c r="AD67" s="856"/>
      <c r="AE67" s="859"/>
      <c r="AF67" s="860"/>
      <c r="AG67" s="860"/>
      <c r="AH67" s="860"/>
      <c r="AI67" s="860"/>
      <c r="AJ67" s="864"/>
      <c r="AK67" s="865"/>
      <c r="AL67" s="865"/>
      <c r="AM67" s="865"/>
      <c r="AN67" s="866"/>
      <c r="AO67" s="864"/>
      <c r="AP67" s="865"/>
      <c r="AQ67" s="865"/>
      <c r="AR67" s="865"/>
      <c r="AS67" s="866"/>
      <c r="AT67" s="864"/>
      <c r="AU67" s="865"/>
      <c r="AV67" s="865"/>
      <c r="AW67" s="865"/>
      <c r="AX67" s="866"/>
      <c r="AY67" s="864"/>
      <c r="AZ67" s="865"/>
      <c r="BA67" s="865"/>
      <c r="BB67" s="865"/>
      <c r="BC67" s="866"/>
      <c r="BD67" s="864"/>
      <c r="BE67" s="865"/>
      <c r="BF67" s="865"/>
      <c r="BG67" s="865"/>
      <c r="BH67" s="866"/>
      <c r="BI67" s="864"/>
      <c r="BJ67" s="865"/>
      <c r="BK67" s="865"/>
      <c r="BL67" s="865"/>
      <c r="BM67" s="866"/>
      <c r="BN67" s="854"/>
      <c r="BO67" s="855"/>
      <c r="BP67" s="855"/>
      <c r="BQ67" s="880"/>
      <c r="BR67" s="882"/>
      <c r="BS67" s="860"/>
      <c r="BT67" s="860"/>
      <c r="BU67" s="860"/>
      <c r="BV67" s="860"/>
      <c r="BW67" s="825"/>
      <c r="BX67" s="825"/>
      <c r="BY67" s="825"/>
      <c r="BZ67" s="825"/>
      <c r="CA67" s="825"/>
      <c r="CB67" s="825"/>
      <c r="CC67" s="825"/>
      <c r="CD67" s="825"/>
      <c r="CE67" s="825"/>
      <c r="CF67" s="825"/>
      <c r="CG67" s="825"/>
      <c r="CH67" s="825"/>
      <c r="CI67" s="825"/>
      <c r="CJ67" s="825"/>
      <c r="CK67" s="825"/>
      <c r="CL67" s="825"/>
      <c r="CM67" s="825"/>
      <c r="CN67" s="825"/>
      <c r="CO67" s="825"/>
      <c r="CP67" s="825"/>
      <c r="CQ67" s="825"/>
      <c r="CR67" s="825"/>
      <c r="CS67" s="825"/>
      <c r="CT67" s="825"/>
      <c r="CU67" s="825"/>
      <c r="CV67" s="825"/>
      <c r="CW67" s="825"/>
      <c r="CX67" s="825"/>
      <c r="CY67" s="825"/>
      <c r="CZ67" s="825"/>
      <c r="DA67" s="859"/>
      <c r="DB67" s="860"/>
      <c r="DC67" s="860"/>
      <c r="DD67" s="860"/>
      <c r="DE67" s="878"/>
      <c r="DF67" s="828"/>
      <c r="DG67" s="825"/>
      <c r="DH67" s="825"/>
      <c r="DI67" s="825"/>
      <c r="DJ67" s="825"/>
      <c r="DK67" s="825"/>
      <c r="DL67" s="825"/>
      <c r="DM67" s="825"/>
      <c r="DN67" s="825"/>
      <c r="DO67" s="825"/>
      <c r="DP67" s="825"/>
      <c r="DQ67" s="825"/>
      <c r="DR67" s="825"/>
      <c r="DS67" s="825"/>
      <c r="DT67" s="825"/>
      <c r="DU67" s="825"/>
      <c r="DV67" s="825"/>
      <c r="DW67" s="825"/>
      <c r="DX67" s="825"/>
      <c r="DY67" s="825"/>
      <c r="DZ67" s="825"/>
      <c r="EA67" s="825"/>
      <c r="EB67" s="825"/>
      <c r="EC67" s="825"/>
      <c r="ED67" s="825"/>
      <c r="EE67" s="825"/>
      <c r="EF67" s="825"/>
      <c r="EG67" s="825"/>
      <c r="EH67" s="825"/>
      <c r="EI67" s="825"/>
      <c r="EJ67" s="825"/>
      <c r="EK67" s="825"/>
      <c r="EL67" s="825"/>
      <c r="EM67" s="825"/>
      <c r="EN67" s="825"/>
      <c r="EO67" s="825"/>
      <c r="EP67" s="825"/>
      <c r="EQ67" s="825"/>
      <c r="ER67" s="825"/>
      <c r="ES67" s="827"/>
      <c r="ET67" s="867">
        <f t="shared" ref="ET67" si="35">DF67+DK67+DP67+DU67+DZ67+EJ67+EE67+EO67</f>
        <v>0</v>
      </c>
      <c r="EU67" s="868"/>
      <c r="EV67" s="869"/>
      <c r="EW67" s="869"/>
      <c r="EX67" s="870"/>
      <c r="EY67" s="197"/>
      <c r="FA67" s="269"/>
      <c r="FB67" s="270"/>
      <c r="FC67" s="271"/>
    </row>
    <row r="68" spans="1:159" s="129" customFormat="1" ht="99.95" customHeight="1" x14ac:dyDescent="0.2">
      <c r="A68" s="555" t="s">
        <v>43</v>
      </c>
      <c r="B68" s="141" t="s">
        <v>298</v>
      </c>
      <c r="C68" s="850" t="s">
        <v>337</v>
      </c>
      <c r="D68" s="850"/>
      <c r="E68" s="850"/>
      <c r="F68" s="850"/>
      <c r="G68" s="850"/>
      <c r="H68" s="850"/>
      <c r="I68" s="850"/>
      <c r="J68" s="850"/>
      <c r="K68" s="850"/>
      <c r="L68" s="850"/>
      <c r="M68" s="850"/>
      <c r="N68" s="850"/>
      <c r="O68" s="850"/>
      <c r="P68" s="850"/>
      <c r="Q68" s="850"/>
      <c r="R68" s="850"/>
      <c r="S68" s="850"/>
      <c r="T68" s="850"/>
      <c r="U68" s="850"/>
      <c r="V68" s="850"/>
      <c r="W68" s="850"/>
      <c r="X68" s="850"/>
      <c r="Y68" s="850"/>
      <c r="Z68" s="851">
        <f t="shared" ref="Z68" si="36">+ET68*30</f>
        <v>180</v>
      </c>
      <c r="AA68" s="852"/>
      <c r="AB68" s="852"/>
      <c r="AC68" s="852"/>
      <c r="AD68" s="853"/>
      <c r="AE68" s="857"/>
      <c r="AF68" s="858"/>
      <c r="AG68" s="858"/>
      <c r="AH68" s="858"/>
      <c r="AI68" s="858"/>
      <c r="AJ68" s="861">
        <f t="shared" ref="AJ68" si="37">SUM(AO68:BH69)</f>
        <v>60</v>
      </c>
      <c r="AK68" s="862"/>
      <c r="AL68" s="862"/>
      <c r="AM68" s="862"/>
      <c r="AN68" s="863"/>
      <c r="AO68" s="861">
        <v>30</v>
      </c>
      <c r="AP68" s="862"/>
      <c r="AQ68" s="862"/>
      <c r="AR68" s="862"/>
      <c r="AS68" s="863"/>
      <c r="AT68" s="861">
        <v>30</v>
      </c>
      <c r="AU68" s="862"/>
      <c r="AV68" s="862"/>
      <c r="AW68" s="862"/>
      <c r="AX68" s="863"/>
      <c r="AY68" s="861"/>
      <c r="AZ68" s="862"/>
      <c r="BA68" s="862"/>
      <c r="BB68" s="862"/>
      <c r="BC68" s="863"/>
      <c r="BD68" s="861"/>
      <c r="BE68" s="862"/>
      <c r="BF68" s="862"/>
      <c r="BG68" s="862"/>
      <c r="BH68" s="863"/>
      <c r="BI68" s="861"/>
      <c r="BJ68" s="862"/>
      <c r="BK68" s="862"/>
      <c r="BL68" s="862"/>
      <c r="BM68" s="863"/>
      <c r="BN68" s="851">
        <f>Z68-AJ68</f>
        <v>120</v>
      </c>
      <c r="BO68" s="852"/>
      <c r="BP68" s="852"/>
      <c r="BQ68" s="879"/>
      <c r="BR68" s="881"/>
      <c r="BS68" s="858"/>
      <c r="BT68" s="858"/>
      <c r="BU68" s="858"/>
      <c r="BV68" s="858"/>
      <c r="BW68" s="825">
        <v>4</v>
      </c>
      <c r="BX68" s="825"/>
      <c r="BY68" s="825"/>
      <c r="BZ68" s="825"/>
      <c r="CA68" s="825"/>
      <c r="CB68" s="825"/>
      <c r="CC68" s="825"/>
      <c r="CD68" s="825"/>
      <c r="CE68" s="825"/>
      <c r="CF68" s="825"/>
      <c r="CG68" s="825"/>
      <c r="CH68" s="825"/>
      <c r="CI68" s="825"/>
      <c r="CJ68" s="825"/>
      <c r="CK68" s="825"/>
      <c r="CL68" s="825"/>
      <c r="CM68" s="825"/>
      <c r="CN68" s="825"/>
      <c r="CO68" s="825"/>
      <c r="CP68" s="825"/>
      <c r="CQ68" s="825"/>
      <c r="CR68" s="825"/>
      <c r="CS68" s="825"/>
      <c r="CT68" s="825"/>
      <c r="CU68" s="825"/>
      <c r="CV68" s="825"/>
      <c r="CW68" s="825"/>
      <c r="CX68" s="825"/>
      <c r="CY68" s="825"/>
      <c r="CZ68" s="825"/>
      <c r="DA68" s="857"/>
      <c r="DB68" s="858"/>
      <c r="DC68" s="858"/>
      <c r="DD68" s="858"/>
      <c r="DE68" s="877"/>
      <c r="DF68" s="828"/>
      <c r="DG68" s="825"/>
      <c r="DH68" s="825"/>
      <c r="DI68" s="825"/>
      <c r="DJ68" s="825"/>
      <c r="DK68" s="825">
        <v>6</v>
      </c>
      <c r="DL68" s="825"/>
      <c r="DM68" s="825"/>
      <c r="DN68" s="825"/>
      <c r="DO68" s="825"/>
      <c r="DP68" s="825"/>
      <c r="DQ68" s="825"/>
      <c r="DR68" s="825"/>
      <c r="DS68" s="825"/>
      <c r="DT68" s="825"/>
      <c r="DU68" s="825"/>
      <c r="DV68" s="825"/>
      <c r="DW68" s="825"/>
      <c r="DX68" s="825"/>
      <c r="DY68" s="825"/>
      <c r="DZ68" s="825"/>
      <c r="EA68" s="825"/>
      <c r="EB68" s="825"/>
      <c r="EC68" s="825"/>
      <c r="ED68" s="825"/>
      <c r="EE68" s="825"/>
      <c r="EF68" s="825"/>
      <c r="EG68" s="825"/>
      <c r="EH68" s="825"/>
      <c r="EI68" s="825"/>
      <c r="EJ68" s="825"/>
      <c r="EK68" s="825"/>
      <c r="EL68" s="825"/>
      <c r="EM68" s="825"/>
      <c r="EN68" s="825"/>
      <c r="EO68" s="825"/>
      <c r="EP68" s="825"/>
      <c r="EQ68" s="825"/>
      <c r="ER68" s="825"/>
      <c r="ES68" s="827"/>
      <c r="ET68" s="867">
        <f t="shared" ref="ET68" si="38">SUM(DF68:ES69)</f>
        <v>6</v>
      </c>
      <c r="EU68" s="868"/>
      <c r="EV68" s="869"/>
      <c r="EW68" s="869"/>
      <c r="EX68" s="870"/>
      <c r="EY68" s="197" t="s">
        <v>291</v>
      </c>
      <c r="FA68" s="269"/>
      <c r="FB68" s="270"/>
      <c r="FC68" s="271"/>
    </row>
    <row r="69" spans="1:159" s="129" customFormat="1" ht="99.95" customHeight="1" x14ac:dyDescent="0.2">
      <c r="A69" s="556"/>
      <c r="B69" s="141" t="s">
        <v>297</v>
      </c>
      <c r="C69" s="823" t="s">
        <v>293</v>
      </c>
      <c r="D69" s="823"/>
      <c r="E69" s="823"/>
      <c r="F69" s="823"/>
      <c r="G69" s="823"/>
      <c r="H69" s="823"/>
      <c r="I69" s="823"/>
      <c r="J69" s="823"/>
      <c r="K69" s="823"/>
      <c r="L69" s="823"/>
      <c r="M69" s="823"/>
      <c r="N69" s="823"/>
      <c r="O69" s="823"/>
      <c r="P69" s="823"/>
      <c r="Q69" s="823"/>
      <c r="R69" s="823"/>
      <c r="S69" s="823"/>
      <c r="T69" s="823"/>
      <c r="U69" s="823"/>
      <c r="V69" s="823"/>
      <c r="W69" s="823"/>
      <c r="X69" s="823"/>
      <c r="Y69" s="823"/>
      <c r="Z69" s="854"/>
      <c r="AA69" s="855"/>
      <c r="AB69" s="855"/>
      <c r="AC69" s="855"/>
      <c r="AD69" s="856"/>
      <c r="AE69" s="859"/>
      <c r="AF69" s="860"/>
      <c r="AG69" s="860"/>
      <c r="AH69" s="860"/>
      <c r="AI69" s="860"/>
      <c r="AJ69" s="864"/>
      <c r="AK69" s="865"/>
      <c r="AL69" s="865"/>
      <c r="AM69" s="865"/>
      <c r="AN69" s="866"/>
      <c r="AO69" s="864"/>
      <c r="AP69" s="865"/>
      <c r="AQ69" s="865"/>
      <c r="AR69" s="865"/>
      <c r="AS69" s="866"/>
      <c r="AT69" s="864"/>
      <c r="AU69" s="865"/>
      <c r="AV69" s="865"/>
      <c r="AW69" s="865"/>
      <c r="AX69" s="866"/>
      <c r="AY69" s="864"/>
      <c r="AZ69" s="865"/>
      <c r="BA69" s="865"/>
      <c r="BB69" s="865"/>
      <c r="BC69" s="866"/>
      <c r="BD69" s="864"/>
      <c r="BE69" s="865"/>
      <c r="BF69" s="865"/>
      <c r="BG69" s="865"/>
      <c r="BH69" s="866"/>
      <c r="BI69" s="864"/>
      <c r="BJ69" s="865"/>
      <c r="BK69" s="865"/>
      <c r="BL69" s="865"/>
      <c r="BM69" s="866"/>
      <c r="BN69" s="854"/>
      <c r="BO69" s="855"/>
      <c r="BP69" s="855"/>
      <c r="BQ69" s="880"/>
      <c r="BR69" s="882"/>
      <c r="BS69" s="860"/>
      <c r="BT69" s="860"/>
      <c r="BU69" s="860"/>
      <c r="BV69" s="860"/>
      <c r="BW69" s="825"/>
      <c r="BX69" s="825"/>
      <c r="BY69" s="825"/>
      <c r="BZ69" s="825"/>
      <c r="CA69" s="825"/>
      <c r="CB69" s="825"/>
      <c r="CC69" s="825"/>
      <c r="CD69" s="825"/>
      <c r="CE69" s="825"/>
      <c r="CF69" s="825"/>
      <c r="CG69" s="825"/>
      <c r="CH69" s="825"/>
      <c r="CI69" s="825"/>
      <c r="CJ69" s="825"/>
      <c r="CK69" s="825"/>
      <c r="CL69" s="825"/>
      <c r="CM69" s="825"/>
      <c r="CN69" s="825"/>
      <c r="CO69" s="825"/>
      <c r="CP69" s="825"/>
      <c r="CQ69" s="825"/>
      <c r="CR69" s="825"/>
      <c r="CS69" s="825"/>
      <c r="CT69" s="825"/>
      <c r="CU69" s="825"/>
      <c r="CV69" s="825"/>
      <c r="CW69" s="825"/>
      <c r="CX69" s="825"/>
      <c r="CY69" s="825"/>
      <c r="CZ69" s="825"/>
      <c r="DA69" s="859"/>
      <c r="DB69" s="860"/>
      <c r="DC69" s="860"/>
      <c r="DD69" s="860"/>
      <c r="DE69" s="878"/>
      <c r="DF69" s="828"/>
      <c r="DG69" s="825"/>
      <c r="DH69" s="825"/>
      <c r="DI69" s="825"/>
      <c r="DJ69" s="825"/>
      <c r="DK69" s="825"/>
      <c r="DL69" s="825"/>
      <c r="DM69" s="825"/>
      <c r="DN69" s="825"/>
      <c r="DO69" s="825"/>
      <c r="DP69" s="825"/>
      <c r="DQ69" s="825"/>
      <c r="DR69" s="825"/>
      <c r="DS69" s="825"/>
      <c r="DT69" s="825"/>
      <c r="DU69" s="825"/>
      <c r="DV69" s="825"/>
      <c r="DW69" s="825"/>
      <c r="DX69" s="825"/>
      <c r="DY69" s="825"/>
      <c r="DZ69" s="825"/>
      <c r="EA69" s="825"/>
      <c r="EB69" s="825"/>
      <c r="EC69" s="825"/>
      <c r="ED69" s="825"/>
      <c r="EE69" s="825"/>
      <c r="EF69" s="825"/>
      <c r="EG69" s="825"/>
      <c r="EH69" s="825"/>
      <c r="EI69" s="825"/>
      <c r="EJ69" s="825"/>
      <c r="EK69" s="825"/>
      <c r="EL69" s="825"/>
      <c r="EM69" s="825"/>
      <c r="EN69" s="825"/>
      <c r="EO69" s="825"/>
      <c r="EP69" s="825"/>
      <c r="EQ69" s="825"/>
      <c r="ER69" s="825"/>
      <c r="ES69" s="827"/>
      <c r="ET69" s="867">
        <f t="shared" ref="ET69" si="39">DF69+DK69+DP69+DU69+DZ69+EJ69+EE69+EO69</f>
        <v>0</v>
      </c>
      <c r="EU69" s="868"/>
      <c r="EV69" s="869"/>
      <c r="EW69" s="869"/>
      <c r="EX69" s="870"/>
      <c r="EY69" s="197"/>
      <c r="FA69" s="269"/>
      <c r="FB69" s="270"/>
      <c r="FC69" s="271"/>
    </row>
    <row r="70" spans="1:159" s="129" customFormat="1" ht="99.95" customHeight="1" x14ac:dyDescent="0.2">
      <c r="A70" s="555" t="s">
        <v>44</v>
      </c>
      <c r="B70" s="141" t="s">
        <v>170</v>
      </c>
      <c r="C70" s="823" t="s">
        <v>169</v>
      </c>
      <c r="D70" s="823"/>
      <c r="E70" s="823"/>
      <c r="F70" s="823"/>
      <c r="G70" s="823"/>
      <c r="H70" s="823"/>
      <c r="I70" s="823"/>
      <c r="J70" s="823"/>
      <c r="K70" s="823"/>
      <c r="L70" s="823"/>
      <c r="M70" s="823"/>
      <c r="N70" s="823"/>
      <c r="O70" s="823"/>
      <c r="P70" s="823"/>
      <c r="Q70" s="823"/>
      <c r="R70" s="823"/>
      <c r="S70" s="823"/>
      <c r="T70" s="823"/>
      <c r="U70" s="823"/>
      <c r="V70" s="823"/>
      <c r="W70" s="823"/>
      <c r="X70" s="823"/>
      <c r="Y70" s="823"/>
      <c r="Z70" s="851">
        <f t="shared" ref="Z70" si="40">+ET70*30</f>
        <v>60</v>
      </c>
      <c r="AA70" s="852"/>
      <c r="AB70" s="852"/>
      <c r="AC70" s="852"/>
      <c r="AD70" s="853"/>
      <c r="AE70" s="857"/>
      <c r="AF70" s="858"/>
      <c r="AG70" s="858"/>
      <c r="AH70" s="858"/>
      <c r="AI70" s="858"/>
      <c r="AJ70" s="861">
        <f t="shared" ref="AJ70" si="41">SUM(AO70:BH71)</f>
        <v>26</v>
      </c>
      <c r="AK70" s="862"/>
      <c r="AL70" s="862"/>
      <c r="AM70" s="862"/>
      <c r="AN70" s="863"/>
      <c r="AO70" s="861">
        <v>10</v>
      </c>
      <c r="AP70" s="862"/>
      <c r="AQ70" s="862"/>
      <c r="AR70" s="862"/>
      <c r="AS70" s="863"/>
      <c r="AT70" s="861">
        <v>16</v>
      </c>
      <c r="AU70" s="862"/>
      <c r="AV70" s="862"/>
      <c r="AW70" s="862"/>
      <c r="AX70" s="863"/>
      <c r="AY70" s="861"/>
      <c r="AZ70" s="862"/>
      <c r="BA70" s="862"/>
      <c r="BB70" s="862"/>
      <c r="BC70" s="863"/>
      <c r="BD70" s="861"/>
      <c r="BE70" s="862"/>
      <c r="BF70" s="862"/>
      <c r="BG70" s="862"/>
      <c r="BH70" s="863"/>
      <c r="BI70" s="861"/>
      <c r="BJ70" s="862"/>
      <c r="BK70" s="862"/>
      <c r="BL70" s="862"/>
      <c r="BM70" s="863"/>
      <c r="BN70" s="851">
        <f>Z70-AJ70</f>
        <v>34</v>
      </c>
      <c r="BO70" s="852"/>
      <c r="BP70" s="852"/>
      <c r="BQ70" s="879"/>
      <c r="BR70" s="881"/>
      <c r="BS70" s="858"/>
      <c r="BT70" s="858"/>
      <c r="BU70" s="858"/>
      <c r="BV70" s="858"/>
      <c r="BW70" s="825"/>
      <c r="BX70" s="825"/>
      <c r="BY70" s="825"/>
      <c r="BZ70" s="825"/>
      <c r="CA70" s="825"/>
      <c r="CB70" s="825">
        <v>2</v>
      </c>
      <c r="CC70" s="825"/>
      <c r="CD70" s="825"/>
      <c r="CE70" s="825"/>
      <c r="CF70" s="825"/>
      <c r="CG70" s="825"/>
      <c r="CH70" s="825"/>
      <c r="CI70" s="825"/>
      <c r="CJ70" s="825"/>
      <c r="CK70" s="825"/>
      <c r="CL70" s="825"/>
      <c r="CM70" s="825"/>
      <c r="CN70" s="825"/>
      <c r="CO70" s="825"/>
      <c r="CP70" s="825"/>
      <c r="CQ70" s="825"/>
      <c r="CR70" s="825"/>
      <c r="CS70" s="825"/>
      <c r="CT70" s="825"/>
      <c r="CU70" s="825"/>
      <c r="CV70" s="825"/>
      <c r="CW70" s="825"/>
      <c r="CX70" s="825"/>
      <c r="CY70" s="825"/>
      <c r="CZ70" s="825"/>
      <c r="DA70" s="857"/>
      <c r="DB70" s="858"/>
      <c r="DC70" s="858"/>
      <c r="DD70" s="858"/>
      <c r="DE70" s="877"/>
      <c r="DF70" s="828"/>
      <c r="DG70" s="825"/>
      <c r="DH70" s="825"/>
      <c r="DI70" s="825"/>
      <c r="DJ70" s="825"/>
      <c r="DK70" s="825"/>
      <c r="DL70" s="825"/>
      <c r="DM70" s="825"/>
      <c r="DN70" s="825"/>
      <c r="DO70" s="825"/>
      <c r="DP70" s="825">
        <v>2</v>
      </c>
      <c r="DQ70" s="825"/>
      <c r="DR70" s="825"/>
      <c r="DS70" s="825"/>
      <c r="DT70" s="825"/>
      <c r="DU70" s="825"/>
      <c r="DV70" s="825"/>
      <c r="DW70" s="825"/>
      <c r="DX70" s="825"/>
      <c r="DY70" s="825"/>
      <c r="DZ70" s="825"/>
      <c r="EA70" s="825"/>
      <c r="EB70" s="825"/>
      <c r="EC70" s="825"/>
      <c r="ED70" s="825"/>
      <c r="EE70" s="825"/>
      <c r="EF70" s="825"/>
      <c r="EG70" s="825"/>
      <c r="EH70" s="825"/>
      <c r="EI70" s="825"/>
      <c r="EJ70" s="825"/>
      <c r="EK70" s="825"/>
      <c r="EL70" s="825"/>
      <c r="EM70" s="825"/>
      <c r="EN70" s="825"/>
      <c r="EO70" s="825"/>
      <c r="EP70" s="825"/>
      <c r="EQ70" s="825"/>
      <c r="ER70" s="825"/>
      <c r="ES70" s="827"/>
      <c r="ET70" s="867">
        <f t="shared" ref="ET70" si="42">SUM(DF70:ES71)</f>
        <v>2</v>
      </c>
      <c r="EU70" s="868"/>
      <c r="EV70" s="869"/>
      <c r="EW70" s="869"/>
      <c r="EX70" s="870"/>
      <c r="EY70" s="197"/>
      <c r="FA70" s="269"/>
      <c r="FB70" s="270"/>
      <c r="FC70" s="271"/>
    </row>
    <row r="71" spans="1:159" s="129" customFormat="1" ht="84.95" customHeight="1" x14ac:dyDescent="0.2">
      <c r="A71" s="556"/>
      <c r="B71" s="141" t="s">
        <v>152</v>
      </c>
      <c r="C71" s="823" t="s">
        <v>171</v>
      </c>
      <c r="D71" s="823"/>
      <c r="E71" s="823"/>
      <c r="F71" s="823"/>
      <c r="G71" s="823"/>
      <c r="H71" s="823"/>
      <c r="I71" s="823"/>
      <c r="J71" s="823"/>
      <c r="K71" s="823"/>
      <c r="L71" s="823"/>
      <c r="M71" s="823"/>
      <c r="N71" s="823"/>
      <c r="O71" s="823"/>
      <c r="P71" s="823"/>
      <c r="Q71" s="823"/>
      <c r="R71" s="823"/>
      <c r="S71" s="823"/>
      <c r="T71" s="823"/>
      <c r="U71" s="823"/>
      <c r="V71" s="823"/>
      <c r="W71" s="823"/>
      <c r="X71" s="823"/>
      <c r="Y71" s="823"/>
      <c r="Z71" s="854"/>
      <c r="AA71" s="855"/>
      <c r="AB71" s="855"/>
      <c r="AC71" s="855"/>
      <c r="AD71" s="856"/>
      <c r="AE71" s="859"/>
      <c r="AF71" s="860"/>
      <c r="AG71" s="860"/>
      <c r="AH71" s="860"/>
      <c r="AI71" s="860"/>
      <c r="AJ71" s="864"/>
      <c r="AK71" s="865"/>
      <c r="AL71" s="865"/>
      <c r="AM71" s="865"/>
      <c r="AN71" s="866"/>
      <c r="AO71" s="864"/>
      <c r="AP71" s="865"/>
      <c r="AQ71" s="865"/>
      <c r="AR71" s="865"/>
      <c r="AS71" s="866"/>
      <c r="AT71" s="864"/>
      <c r="AU71" s="865"/>
      <c r="AV71" s="865"/>
      <c r="AW71" s="865"/>
      <c r="AX71" s="866"/>
      <c r="AY71" s="864"/>
      <c r="AZ71" s="865"/>
      <c r="BA71" s="865"/>
      <c r="BB71" s="865"/>
      <c r="BC71" s="866"/>
      <c r="BD71" s="864"/>
      <c r="BE71" s="865"/>
      <c r="BF71" s="865"/>
      <c r="BG71" s="865"/>
      <c r="BH71" s="866"/>
      <c r="BI71" s="864"/>
      <c r="BJ71" s="865"/>
      <c r="BK71" s="865"/>
      <c r="BL71" s="865"/>
      <c r="BM71" s="866"/>
      <c r="BN71" s="854"/>
      <c r="BO71" s="855"/>
      <c r="BP71" s="855"/>
      <c r="BQ71" s="880"/>
      <c r="BR71" s="882"/>
      <c r="BS71" s="860"/>
      <c r="BT71" s="860"/>
      <c r="BU71" s="860"/>
      <c r="BV71" s="860"/>
      <c r="BW71" s="825"/>
      <c r="BX71" s="825"/>
      <c r="BY71" s="825"/>
      <c r="BZ71" s="825"/>
      <c r="CA71" s="825"/>
      <c r="CB71" s="825"/>
      <c r="CC71" s="825"/>
      <c r="CD71" s="825"/>
      <c r="CE71" s="825"/>
      <c r="CF71" s="825"/>
      <c r="CG71" s="825"/>
      <c r="CH71" s="825"/>
      <c r="CI71" s="825"/>
      <c r="CJ71" s="825"/>
      <c r="CK71" s="825"/>
      <c r="CL71" s="825"/>
      <c r="CM71" s="825"/>
      <c r="CN71" s="825"/>
      <c r="CO71" s="825"/>
      <c r="CP71" s="825"/>
      <c r="CQ71" s="825"/>
      <c r="CR71" s="825"/>
      <c r="CS71" s="825"/>
      <c r="CT71" s="825"/>
      <c r="CU71" s="825"/>
      <c r="CV71" s="825"/>
      <c r="CW71" s="825"/>
      <c r="CX71" s="825"/>
      <c r="CY71" s="825"/>
      <c r="CZ71" s="825"/>
      <c r="DA71" s="859"/>
      <c r="DB71" s="860"/>
      <c r="DC71" s="860"/>
      <c r="DD71" s="860"/>
      <c r="DE71" s="878"/>
      <c r="DF71" s="828"/>
      <c r="DG71" s="825"/>
      <c r="DH71" s="825"/>
      <c r="DI71" s="825"/>
      <c r="DJ71" s="825"/>
      <c r="DK71" s="825"/>
      <c r="DL71" s="825"/>
      <c r="DM71" s="825"/>
      <c r="DN71" s="825"/>
      <c r="DO71" s="825"/>
      <c r="DP71" s="825"/>
      <c r="DQ71" s="825"/>
      <c r="DR71" s="825"/>
      <c r="DS71" s="825"/>
      <c r="DT71" s="825"/>
      <c r="DU71" s="825"/>
      <c r="DV71" s="825"/>
      <c r="DW71" s="825"/>
      <c r="DX71" s="825"/>
      <c r="DY71" s="825"/>
      <c r="DZ71" s="825"/>
      <c r="EA71" s="825"/>
      <c r="EB71" s="825"/>
      <c r="EC71" s="825"/>
      <c r="ED71" s="825"/>
      <c r="EE71" s="825"/>
      <c r="EF71" s="825"/>
      <c r="EG71" s="825"/>
      <c r="EH71" s="825"/>
      <c r="EI71" s="825"/>
      <c r="EJ71" s="825"/>
      <c r="EK71" s="825"/>
      <c r="EL71" s="825"/>
      <c r="EM71" s="825"/>
      <c r="EN71" s="825"/>
      <c r="EO71" s="825"/>
      <c r="EP71" s="825"/>
      <c r="EQ71" s="825"/>
      <c r="ER71" s="825"/>
      <c r="ES71" s="827"/>
      <c r="ET71" s="867">
        <f t="shared" ref="ET71" si="43">DF71+DK71+DP71+DU71+DZ71+EJ71+EE71+EO71</f>
        <v>0</v>
      </c>
      <c r="EU71" s="868"/>
      <c r="EV71" s="869"/>
      <c r="EW71" s="869"/>
      <c r="EX71" s="870"/>
      <c r="EY71" s="197"/>
      <c r="FA71" s="269"/>
      <c r="FB71" s="270"/>
      <c r="FC71" s="271"/>
    </row>
    <row r="72" spans="1:159" s="305" customFormat="1" ht="84.95" customHeight="1" x14ac:dyDescent="0.2">
      <c r="A72" s="555" t="s">
        <v>206</v>
      </c>
      <c r="B72" s="141" t="s">
        <v>214</v>
      </c>
      <c r="C72" s="850" t="s">
        <v>215</v>
      </c>
      <c r="D72" s="850"/>
      <c r="E72" s="850"/>
      <c r="F72" s="850"/>
      <c r="G72" s="850"/>
      <c r="H72" s="850"/>
      <c r="I72" s="850"/>
      <c r="J72" s="850"/>
      <c r="K72" s="850"/>
      <c r="L72" s="850"/>
      <c r="M72" s="850"/>
      <c r="N72" s="850"/>
      <c r="O72" s="850"/>
      <c r="P72" s="850"/>
      <c r="Q72" s="850"/>
      <c r="R72" s="850"/>
      <c r="S72" s="850"/>
      <c r="T72" s="850"/>
      <c r="U72" s="850"/>
      <c r="V72" s="850"/>
      <c r="W72" s="850"/>
      <c r="X72" s="850"/>
      <c r="Y72" s="850"/>
      <c r="Z72" s="851">
        <f t="shared" ref="Z72" si="44">+ET72*30</f>
        <v>240</v>
      </c>
      <c r="AA72" s="852"/>
      <c r="AB72" s="852"/>
      <c r="AC72" s="852"/>
      <c r="AD72" s="853"/>
      <c r="AE72" s="857"/>
      <c r="AF72" s="858"/>
      <c r="AG72" s="858"/>
      <c r="AH72" s="858"/>
      <c r="AI72" s="858"/>
      <c r="AJ72" s="861">
        <f t="shared" ref="AJ72" si="45">SUM(AO72:BH73)</f>
        <v>102</v>
      </c>
      <c r="AK72" s="862"/>
      <c r="AL72" s="862"/>
      <c r="AM72" s="862"/>
      <c r="AN72" s="863"/>
      <c r="AO72" s="861"/>
      <c r="AP72" s="862"/>
      <c r="AQ72" s="862"/>
      <c r="AR72" s="862"/>
      <c r="AS72" s="863"/>
      <c r="AT72" s="861">
        <v>102</v>
      </c>
      <c r="AU72" s="862"/>
      <c r="AV72" s="862"/>
      <c r="AW72" s="862"/>
      <c r="AX72" s="863"/>
      <c r="AY72" s="861"/>
      <c r="AZ72" s="862"/>
      <c r="BA72" s="862"/>
      <c r="BB72" s="862"/>
      <c r="BC72" s="863"/>
      <c r="BD72" s="861"/>
      <c r="BE72" s="862"/>
      <c r="BF72" s="862"/>
      <c r="BG72" s="862"/>
      <c r="BH72" s="863"/>
      <c r="BI72" s="861"/>
      <c r="BJ72" s="862"/>
      <c r="BK72" s="862"/>
      <c r="BL72" s="862"/>
      <c r="BM72" s="863"/>
      <c r="BN72" s="851">
        <f>Z72-AJ72</f>
        <v>138</v>
      </c>
      <c r="BO72" s="852"/>
      <c r="BP72" s="852"/>
      <c r="BQ72" s="879"/>
      <c r="BR72" s="881"/>
      <c r="BS72" s="858"/>
      <c r="BT72" s="858"/>
      <c r="BU72" s="858"/>
      <c r="BV72" s="858"/>
      <c r="BW72" s="825"/>
      <c r="BX72" s="825"/>
      <c r="BY72" s="825"/>
      <c r="BZ72" s="825"/>
      <c r="CA72" s="825"/>
      <c r="CB72" s="825"/>
      <c r="CC72" s="825"/>
      <c r="CD72" s="825"/>
      <c r="CE72" s="825"/>
      <c r="CF72" s="825"/>
      <c r="CG72" s="825">
        <v>2</v>
      </c>
      <c r="CH72" s="825"/>
      <c r="CI72" s="825"/>
      <c r="CJ72" s="825"/>
      <c r="CK72" s="825"/>
      <c r="CL72" s="825">
        <v>3</v>
      </c>
      <c r="CM72" s="825"/>
      <c r="CN72" s="825"/>
      <c r="CO72" s="825"/>
      <c r="CP72" s="825"/>
      <c r="CQ72" s="825">
        <v>2</v>
      </c>
      <c r="CR72" s="825"/>
      <c r="CS72" s="825"/>
      <c r="CT72" s="825"/>
      <c r="CU72" s="825"/>
      <c r="CV72" s="825"/>
      <c r="CW72" s="825"/>
      <c r="CX72" s="825"/>
      <c r="CY72" s="825"/>
      <c r="CZ72" s="825"/>
      <c r="DA72" s="857"/>
      <c r="DB72" s="858"/>
      <c r="DC72" s="858"/>
      <c r="DD72" s="858"/>
      <c r="DE72" s="877"/>
      <c r="DF72" s="828"/>
      <c r="DG72" s="825"/>
      <c r="DH72" s="825"/>
      <c r="DI72" s="825"/>
      <c r="DJ72" s="825"/>
      <c r="DK72" s="825"/>
      <c r="DL72" s="825"/>
      <c r="DM72" s="825"/>
      <c r="DN72" s="825"/>
      <c r="DO72" s="825"/>
      <c r="DP72" s="825"/>
      <c r="DQ72" s="825"/>
      <c r="DR72" s="825"/>
      <c r="DS72" s="825"/>
      <c r="DT72" s="825"/>
      <c r="DU72" s="825">
        <v>2</v>
      </c>
      <c r="DV72" s="825"/>
      <c r="DW72" s="825"/>
      <c r="DX72" s="825"/>
      <c r="DY72" s="825"/>
      <c r="DZ72" s="825">
        <v>4</v>
      </c>
      <c r="EA72" s="825"/>
      <c r="EB72" s="825"/>
      <c r="EC72" s="825"/>
      <c r="ED72" s="825"/>
      <c r="EE72" s="825">
        <v>2</v>
      </c>
      <c r="EF72" s="825"/>
      <c r="EG72" s="825"/>
      <c r="EH72" s="825"/>
      <c r="EI72" s="825"/>
      <c r="EJ72" s="825"/>
      <c r="EK72" s="825"/>
      <c r="EL72" s="825"/>
      <c r="EM72" s="825"/>
      <c r="EN72" s="825"/>
      <c r="EO72" s="825"/>
      <c r="EP72" s="825"/>
      <c r="EQ72" s="825"/>
      <c r="ER72" s="825"/>
      <c r="ES72" s="827"/>
      <c r="ET72" s="867">
        <f t="shared" ref="ET72" si="46">SUM(DF72:ES73)</f>
        <v>8</v>
      </c>
      <c r="EU72" s="868"/>
      <c r="EV72" s="869"/>
      <c r="EW72" s="869"/>
      <c r="EX72" s="870"/>
      <c r="EY72" s="304"/>
      <c r="FA72" s="306"/>
      <c r="FB72" s="307"/>
      <c r="FC72" s="308"/>
    </row>
    <row r="73" spans="1:159" s="129" customFormat="1" ht="84.95" customHeight="1" x14ac:dyDescent="0.2">
      <c r="A73" s="556"/>
      <c r="B73" s="141" t="s">
        <v>174</v>
      </c>
      <c r="C73" s="823" t="s">
        <v>173</v>
      </c>
      <c r="D73" s="823"/>
      <c r="E73" s="823"/>
      <c r="F73" s="823"/>
      <c r="G73" s="823"/>
      <c r="H73" s="823"/>
      <c r="I73" s="823"/>
      <c r="J73" s="823"/>
      <c r="K73" s="823"/>
      <c r="L73" s="823"/>
      <c r="M73" s="823"/>
      <c r="N73" s="823"/>
      <c r="O73" s="823"/>
      <c r="P73" s="823"/>
      <c r="Q73" s="823"/>
      <c r="R73" s="823"/>
      <c r="S73" s="823"/>
      <c r="T73" s="823"/>
      <c r="U73" s="823"/>
      <c r="V73" s="823"/>
      <c r="W73" s="823"/>
      <c r="X73" s="823"/>
      <c r="Y73" s="823"/>
      <c r="Z73" s="854"/>
      <c r="AA73" s="855"/>
      <c r="AB73" s="855"/>
      <c r="AC73" s="855"/>
      <c r="AD73" s="856"/>
      <c r="AE73" s="859"/>
      <c r="AF73" s="860"/>
      <c r="AG73" s="860"/>
      <c r="AH73" s="860"/>
      <c r="AI73" s="860"/>
      <c r="AJ73" s="864"/>
      <c r="AK73" s="865"/>
      <c r="AL73" s="865"/>
      <c r="AM73" s="865"/>
      <c r="AN73" s="866"/>
      <c r="AO73" s="864"/>
      <c r="AP73" s="865"/>
      <c r="AQ73" s="865"/>
      <c r="AR73" s="865"/>
      <c r="AS73" s="866"/>
      <c r="AT73" s="864"/>
      <c r="AU73" s="865"/>
      <c r="AV73" s="865"/>
      <c r="AW73" s="865"/>
      <c r="AX73" s="866"/>
      <c r="AY73" s="864"/>
      <c r="AZ73" s="865"/>
      <c r="BA73" s="865"/>
      <c r="BB73" s="865"/>
      <c r="BC73" s="866"/>
      <c r="BD73" s="864"/>
      <c r="BE73" s="865"/>
      <c r="BF73" s="865"/>
      <c r="BG73" s="865"/>
      <c r="BH73" s="866"/>
      <c r="BI73" s="864"/>
      <c r="BJ73" s="865"/>
      <c r="BK73" s="865"/>
      <c r="BL73" s="865"/>
      <c r="BM73" s="866"/>
      <c r="BN73" s="854"/>
      <c r="BO73" s="855"/>
      <c r="BP73" s="855"/>
      <c r="BQ73" s="880"/>
      <c r="BR73" s="882"/>
      <c r="BS73" s="860"/>
      <c r="BT73" s="860"/>
      <c r="BU73" s="860"/>
      <c r="BV73" s="860"/>
      <c r="BW73" s="825"/>
      <c r="BX73" s="825"/>
      <c r="BY73" s="825"/>
      <c r="BZ73" s="825"/>
      <c r="CA73" s="825"/>
      <c r="CB73" s="825"/>
      <c r="CC73" s="825"/>
      <c r="CD73" s="825"/>
      <c r="CE73" s="825"/>
      <c r="CF73" s="825"/>
      <c r="CG73" s="825"/>
      <c r="CH73" s="825"/>
      <c r="CI73" s="825"/>
      <c r="CJ73" s="825"/>
      <c r="CK73" s="825"/>
      <c r="CL73" s="825"/>
      <c r="CM73" s="825"/>
      <c r="CN73" s="825"/>
      <c r="CO73" s="825"/>
      <c r="CP73" s="825"/>
      <c r="CQ73" s="825"/>
      <c r="CR73" s="825"/>
      <c r="CS73" s="825"/>
      <c r="CT73" s="825"/>
      <c r="CU73" s="825"/>
      <c r="CV73" s="825"/>
      <c r="CW73" s="825"/>
      <c r="CX73" s="825"/>
      <c r="CY73" s="825"/>
      <c r="CZ73" s="825"/>
      <c r="DA73" s="859"/>
      <c r="DB73" s="860"/>
      <c r="DC73" s="860"/>
      <c r="DD73" s="860"/>
      <c r="DE73" s="878"/>
      <c r="DF73" s="828"/>
      <c r="DG73" s="825"/>
      <c r="DH73" s="825"/>
      <c r="DI73" s="825"/>
      <c r="DJ73" s="825"/>
      <c r="DK73" s="825"/>
      <c r="DL73" s="825"/>
      <c r="DM73" s="825"/>
      <c r="DN73" s="825"/>
      <c r="DO73" s="825"/>
      <c r="DP73" s="825"/>
      <c r="DQ73" s="825"/>
      <c r="DR73" s="825"/>
      <c r="DS73" s="825"/>
      <c r="DT73" s="825"/>
      <c r="DU73" s="825"/>
      <c r="DV73" s="825"/>
      <c r="DW73" s="825"/>
      <c r="DX73" s="825"/>
      <c r="DY73" s="825"/>
      <c r="DZ73" s="825"/>
      <c r="EA73" s="825"/>
      <c r="EB73" s="825"/>
      <c r="EC73" s="825"/>
      <c r="ED73" s="825"/>
      <c r="EE73" s="825"/>
      <c r="EF73" s="825"/>
      <c r="EG73" s="825"/>
      <c r="EH73" s="825"/>
      <c r="EI73" s="825"/>
      <c r="EJ73" s="825"/>
      <c r="EK73" s="825"/>
      <c r="EL73" s="825"/>
      <c r="EM73" s="825"/>
      <c r="EN73" s="825"/>
      <c r="EO73" s="825"/>
      <c r="EP73" s="825"/>
      <c r="EQ73" s="825"/>
      <c r="ER73" s="825"/>
      <c r="ES73" s="827"/>
      <c r="ET73" s="867">
        <f t="shared" ref="ET73" si="47">DF73+DK73+DP73+DU73+DZ73+EJ73+EE73+EO73</f>
        <v>0</v>
      </c>
      <c r="EU73" s="868"/>
      <c r="EV73" s="869"/>
      <c r="EW73" s="869"/>
      <c r="EX73" s="870"/>
      <c r="EY73" s="197"/>
      <c r="FA73" s="269"/>
      <c r="FB73" s="270"/>
      <c r="FC73" s="271"/>
    </row>
    <row r="74" spans="1:159" s="129" customFormat="1" ht="84.95" customHeight="1" x14ac:dyDescent="0.2">
      <c r="A74" s="555" t="s">
        <v>207</v>
      </c>
      <c r="B74" s="141" t="s">
        <v>176</v>
      </c>
      <c r="C74" s="823" t="s">
        <v>175</v>
      </c>
      <c r="D74" s="823"/>
      <c r="E74" s="823"/>
      <c r="F74" s="823"/>
      <c r="G74" s="823"/>
      <c r="H74" s="823"/>
      <c r="I74" s="823"/>
      <c r="J74" s="823"/>
      <c r="K74" s="823"/>
      <c r="L74" s="823"/>
      <c r="M74" s="823"/>
      <c r="N74" s="823"/>
      <c r="O74" s="823"/>
      <c r="P74" s="823"/>
      <c r="Q74" s="823"/>
      <c r="R74" s="823"/>
      <c r="S74" s="823"/>
      <c r="T74" s="823"/>
      <c r="U74" s="823"/>
      <c r="V74" s="823"/>
      <c r="W74" s="823"/>
      <c r="X74" s="823"/>
      <c r="Y74" s="823"/>
      <c r="Z74" s="851">
        <f t="shared" ref="Z74" si="48">+ET74*30</f>
        <v>180</v>
      </c>
      <c r="AA74" s="852"/>
      <c r="AB74" s="852"/>
      <c r="AC74" s="852"/>
      <c r="AD74" s="853"/>
      <c r="AE74" s="857"/>
      <c r="AF74" s="858"/>
      <c r="AG74" s="858"/>
      <c r="AH74" s="858"/>
      <c r="AI74" s="858"/>
      <c r="AJ74" s="861">
        <f t="shared" ref="AJ74" si="49">SUM(AO74:BH75)</f>
        <v>72</v>
      </c>
      <c r="AK74" s="862"/>
      <c r="AL74" s="862"/>
      <c r="AM74" s="862"/>
      <c r="AN74" s="863"/>
      <c r="AO74" s="861">
        <v>36</v>
      </c>
      <c r="AP74" s="862"/>
      <c r="AQ74" s="862"/>
      <c r="AR74" s="862"/>
      <c r="AS74" s="863"/>
      <c r="AT74" s="861">
        <v>36</v>
      </c>
      <c r="AU74" s="862"/>
      <c r="AV74" s="862"/>
      <c r="AW74" s="862"/>
      <c r="AX74" s="863"/>
      <c r="AY74" s="861"/>
      <c r="AZ74" s="862"/>
      <c r="BA74" s="862"/>
      <c r="BB74" s="862"/>
      <c r="BC74" s="863"/>
      <c r="BD74" s="861"/>
      <c r="BE74" s="862"/>
      <c r="BF74" s="862"/>
      <c r="BG74" s="862"/>
      <c r="BH74" s="863"/>
      <c r="BI74" s="861"/>
      <c r="BJ74" s="862"/>
      <c r="BK74" s="862"/>
      <c r="BL74" s="862"/>
      <c r="BM74" s="863"/>
      <c r="BN74" s="851">
        <f>Z74-AJ74</f>
        <v>108</v>
      </c>
      <c r="BO74" s="852"/>
      <c r="BP74" s="852"/>
      <c r="BQ74" s="879"/>
      <c r="BR74" s="881"/>
      <c r="BS74" s="858"/>
      <c r="BT74" s="858"/>
      <c r="BU74" s="858"/>
      <c r="BV74" s="858"/>
      <c r="BW74" s="825"/>
      <c r="BX74" s="825"/>
      <c r="BY74" s="825"/>
      <c r="BZ74" s="825"/>
      <c r="CA74" s="825"/>
      <c r="CB74" s="825"/>
      <c r="CC74" s="825"/>
      <c r="CD74" s="825"/>
      <c r="CE74" s="825"/>
      <c r="CF74" s="825"/>
      <c r="CG74" s="825"/>
      <c r="CH74" s="825"/>
      <c r="CI74" s="825"/>
      <c r="CJ74" s="825"/>
      <c r="CK74" s="825"/>
      <c r="CL74" s="825">
        <v>2</v>
      </c>
      <c r="CM74" s="825"/>
      <c r="CN74" s="825"/>
      <c r="CO74" s="825"/>
      <c r="CP74" s="825"/>
      <c r="CQ74" s="825"/>
      <c r="CR74" s="825"/>
      <c r="CS74" s="825"/>
      <c r="CT74" s="825"/>
      <c r="CU74" s="825"/>
      <c r="CV74" s="825">
        <v>3</v>
      </c>
      <c r="CW74" s="825"/>
      <c r="CX74" s="825"/>
      <c r="CY74" s="825"/>
      <c r="CZ74" s="825"/>
      <c r="DA74" s="857"/>
      <c r="DB74" s="858"/>
      <c r="DC74" s="858"/>
      <c r="DD74" s="858"/>
      <c r="DE74" s="877"/>
      <c r="DF74" s="828"/>
      <c r="DG74" s="825"/>
      <c r="DH74" s="825"/>
      <c r="DI74" s="825"/>
      <c r="DJ74" s="825"/>
      <c r="DK74" s="825"/>
      <c r="DL74" s="825"/>
      <c r="DM74" s="825"/>
      <c r="DN74" s="825"/>
      <c r="DO74" s="825"/>
      <c r="DP74" s="825"/>
      <c r="DQ74" s="825"/>
      <c r="DR74" s="825"/>
      <c r="DS74" s="825"/>
      <c r="DT74" s="825"/>
      <c r="DU74" s="825"/>
      <c r="DV74" s="825"/>
      <c r="DW74" s="825"/>
      <c r="DX74" s="825"/>
      <c r="DY74" s="825"/>
      <c r="DZ74" s="825">
        <v>2</v>
      </c>
      <c r="EA74" s="825"/>
      <c r="EB74" s="825"/>
      <c r="EC74" s="825"/>
      <c r="ED74" s="825"/>
      <c r="EE74" s="825"/>
      <c r="EF74" s="825"/>
      <c r="EG74" s="825"/>
      <c r="EH74" s="825"/>
      <c r="EI74" s="825"/>
      <c r="EJ74" s="825">
        <v>4</v>
      </c>
      <c r="EK74" s="825"/>
      <c r="EL74" s="825"/>
      <c r="EM74" s="825"/>
      <c r="EN74" s="825"/>
      <c r="EO74" s="825"/>
      <c r="EP74" s="825"/>
      <c r="EQ74" s="825"/>
      <c r="ER74" s="825"/>
      <c r="ES74" s="827"/>
      <c r="ET74" s="867">
        <f t="shared" ref="ET74" si="50">SUM(DF74:ES75)</f>
        <v>6</v>
      </c>
      <c r="EU74" s="868"/>
      <c r="EV74" s="869"/>
      <c r="EW74" s="869"/>
      <c r="EX74" s="870"/>
      <c r="EY74" s="197"/>
      <c r="FA74" s="269"/>
      <c r="FB74" s="270"/>
      <c r="FC74" s="271"/>
    </row>
    <row r="75" spans="1:159" s="305" customFormat="1" ht="84.95" customHeight="1" x14ac:dyDescent="0.2">
      <c r="A75" s="556"/>
      <c r="B75" s="141" t="s">
        <v>340</v>
      </c>
      <c r="C75" s="823" t="s">
        <v>177</v>
      </c>
      <c r="D75" s="823"/>
      <c r="E75" s="823"/>
      <c r="F75" s="823"/>
      <c r="G75" s="823"/>
      <c r="H75" s="823"/>
      <c r="I75" s="823"/>
      <c r="J75" s="823"/>
      <c r="K75" s="823"/>
      <c r="L75" s="823"/>
      <c r="M75" s="823"/>
      <c r="N75" s="823"/>
      <c r="O75" s="823"/>
      <c r="P75" s="823"/>
      <c r="Q75" s="823"/>
      <c r="R75" s="823"/>
      <c r="S75" s="823"/>
      <c r="T75" s="823"/>
      <c r="U75" s="823"/>
      <c r="V75" s="823"/>
      <c r="W75" s="823"/>
      <c r="X75" s="823"/>
      <c r="Y75" s="823"/>
      <c r="Z75" s="854"/>
      <c r="AA75" s="855"/>
      <c r="AB75" s="855"/>
      <c r="AC75" s="855"/>
      <c r="AD75" s="856"/>
      <c r="AE75" s="859"/>
      <c r="AF75" s="860"/>
      <c r="AG75" s="860"/>
      <c r="AH75" s="860"/>
      <c r="AI75" s="860"/>
      <c r="AJ75" s="864"/>
      <c r="AK75" s="865"/>
      <c r="AL75" s="865"/>
      <c r="AM75" s="865"/>
      <c r="AN75" s="866"/>
      <c r="AO75" s="864"/>
      <c r="AP75" s="865"/>
      <c r="AQ75" s="865"/>
      <c r="AR75" s="865"/>
      <c r="AS75" s="866"/>
      <c r="AT75" s="864"/>
      <c r="AU75" s="865"/>
      <c r="AV75" s="865"/>
      <c r="AW75" s="865"/>
      <c r="AX75" s="866"/>
      <c r="AY75" s="864"/>
      <c r="AZ75" s="865"/>
      <c r="BA75" s="865"/>
      <c r="BB75" s="865"/>
      <c r="BC75" s="866"/>
      <c r="BD75" s="864"/>
      <c r="BE75" s="865"/>
      <c r="BF75" s="865"/>
      <c r="BG75" s="865"/>
      <c r="BH75" s="866"/>
      <c r="BI75" s="864"/>
      <c r="BJ75" s="865"/>
      <c r="BK75" s="865"/>
      <c r="BL75" s="865"/>
      <c r="BM75" s="866"/>
      <c r="BN75" s="854"/>
      <c r="BO75" s="855"/>
      <c r="BP75" s="855"/>
      <c r="BQ75" s="880"/>
      <c r="BR75" s="882"/>
      <c r="BS75" s="860"/>
      <c r="BT75" s="860"/>
      <c r="BU75" s="860"/>
      <c r="BV75" s="860"/>
      <c r="BW75" s="825"/>
      <c r="BX75" s="825"/>
      <c r="BY75" s="825"/>
      <c r="BZ75" s="825"/>
      <c r="CA75" s="825"/>
      <c r="CB75" s="825"/>
      <c r="CC75" s="825"/>
      <c r="CD75" s="825"/>
      <c r="CE75" s="825"/>
      <c r="CF75" s="825"/>
      <c r="CG75" s="825"/>
      <c r="CH75" s="825"/>
      <c r="CI75" s="825"/>
      <c r="CJ75" s="825"/>
      <c r="CK75" s="825"/>
      <c r="CL75" s="825"/>
      <c r="CM75" s="825"/>
      <c r="CN75" s="825"/>
      <c r="CO75" s="825"/>
      <c r="CP75" s="825"/>
      <c r="CQ75" s="825"/>
      <c r="CR75" s="825"/>
      <c r="CS75" s="825"/>
      <c r="CT75" s="825"/>
      <c r="CU75" s="825"/>
      <c r="CV75" s="825"/>
      <c r="CW75" s="825"/>
      <c r="CX75" s="825"/>
      <c r="CY75" s="825"/>
      <c r="CZ75" s="825"/>
      <c r="DA75" s="859"/>
      <c r="DB75" s="860"/>
      <c r="DC75" s="860"/>
      <c r="DD75" s="860"/>
      <c r="DE75" s="878"/>
      <c r="DF75" s="828"/>
      <c r="DG75" s="825"/>
      <c r="DH75" s="825"/>
      <c r="DI75" s="825"/>
      <c r="DJ75" s="825"/>
      <c r="DK75" s="825"/>
      <c r="DL75" s="825"/>
      <c r="DM75" s="825"/>
      <c r="DN75" s="825"/>
      <c r="DO75" s="825"/>
      <c r="DP75" s="825"/>
      <c r="DQ75" s="825"/>
      <c r="DR75" s="825"/>
      <c r="DS75" s="825"/>
      <c r="DT75" s="825"/>
      <c r="DU75" s="825"/>
      <c r="DV75" s="825"/>
      <c r="DW75" s="825"/>
      <c r="DX75" s="825"/>
      <c r="DY75" s="825"/>
      <c r="DZ75" s="825"/>
      <c r="EA75" s="825"/>
      <c r="EB75" s="825"/>
      <c r="EC75" s="825"/>
      <c r="ED75" s="825"/>
      <c r="EE75" s="825"/>
      <c r="EF75" s="825"/>
      <c r="EG75" s="825"/>
      <c r="EH75" s="825"/>
      <c r="EI75" s="825"/>
      <c r="EJ75" s="825"/>
      <c r="EK75" s="825"/>
      <c r="EL75" s="825"/>
      <c r="EM75" s="825"/>
      <c r="EN75" s="825"/>
      <c r="EO75" s="825"/>
      <c r="EP75" s="825"/>
      <c r="EQ75" s="825"/>
      <c r="ER75" s="825"/>
      <c r="ES75" s="827"/>
      <c r="ET75" s="867">
        <f t="shared" ref="ET75" si="51">DF75+DK75+DP75+DU75+DZ75+EJ75+EE75+EO75</f>
        <v>0</v>
      </c>
      <c r="EU75" s="868"/>
      <c r="EV75" s="869"/>
      <c r="EW75" s="869"/>
      <c r="EX75" s="870"/>
      <c r="EY75" s="304"/>
      <c r="FA75" s="306"/>
      <c r="FB75" s="307"/>
      <c r="FC75" s="308"/>
    </row>
    <row r="76" spans="1:159" s="305" customFormat="1" ht="84.95" customHeight="1" x14ac:dyDescent="0.2">
      <c r="A76" s="555" t="s">
        <v>208</v>
      </c>
      <c r="B76" s="141" t="s">
        <v>180</v>
      </c>
      <c r="C76" s="823" t="s">
        <v>179</v>
      </c>
      <c r="D76" s="823"/>
      <c r="E76" s="823"/>
      <c r="F76" s="823"/>
      <c r="G76" s="823"/>
      <c r="H76" s="823"/>
      <c r="I76" s="823"/>
      <c r="J76" s="823"/>
      <c r="K76" s="823"/>
      <c r="L76" s="823"/>
      <c r="M76" s="823"/>
      <c r="N76" s="823"/>
      <c r="O76" s="823"/>
      <c r="P76" s="823"/>
      <c r="Q76" s="823"/>
      <c r="R76" s="823"/>
      <c r="S76" s="823"/>
      <c r="T76" s="823"/>
      <c r="U76" s="823"/>
      <c r="V76" s="823"/>
      <c r="W76" s="823"/>
      <c r="X76" s="823"/>
      <c r="Y76" s="823"/>
      <c r="Z76" s="851">
        <f t="shared" ref="Z76" si="52">+ET76*30</f>
        <v>180</v>
      </c>
      <c r="AA76" s="852"/>
      <c r="AB76" s="852"/>
      <c r="AC76" s="852"/>
      <c r="AD76" s="853"/>
      <c r="AE76" s="857"/>
      <c r="AF76" s="858"/>
      <c r="AG76" s="858"/>
      <c r="AH76" s="858"/>
      <c r="AI76" s="858"/>
      <c r="AJ76" s="861">
        <f t="shared" ref="AJ76" si="53">SUM(AO76:BH77)</f>
        <v>72</v>
      </c>
      <c r="AK76" s="862"/>
      <c r="AL76" s="862"/>
      <c r="AM76" s="862"/>
      <c r="AN76" s="863"/>
      <c r="AO76" s="861">
        <v>36</v>
      </c>
      <c r="AP76" s="862"/>
      <c r="AQ76" s="862"/>
      <c r="AR76" s="862"/>
      <c r="AS76" s="863"/>
      <c r="AT76" s="861">
        <v>36</v>
      </c>
      <c r="AU76" s="862"/>
      <c r="AV76" s="862"/>
      <c r="AW76" s="862"/>
      <c r="AX76" s="863"/>
      <c r="AY76" s="861"/>
      <c r="AZ76" s="862"/>
      <c r="BA76" s="862"/>
      <c r="BB76" s="862"/>
      <c r="BC76" s="863"/>
      <c r="BD76" s="861"/>
      <c r="BE76" s="862"/>
      <c r="BF76" s="862"/>
      <c r="BG76" s="862"/>
      <c r="BH76" s="863"/>
      <c r="BI76" s="861"/>
      <c r="BJ76" s="862"/>
      <c r="BK76" s="862"/>
      <c r="BL76" s="862"/>
      <c r="BM76" s="863"/>
      <c r="BN76" s="851">
        <f>Z76-AJ76</f>
        <v>108</v>
      </c>
      <c r="BO76" s="852"/>
      <c r="BP76" s="852"/>
      <c r="BQ76" s="879"/>
      <c r="BR76" s="881"/>
      <c r="BS76" s="858"/>
      <c r="BT76" s="858"/>
      <c r="BU76" s="858"/>
      <c r="BV76" s="858"/>
      <c r="BW76" s="825"/>
      <c r="BX76" s="825"/>
      <c r="BY76" s="825"/>
      <c r="BZ76" s="825"/>
      <c r="CA76" s="825"/>
      <c r="CB76" s="825"/>
      <c r="CC76" s="825"/>
      <c r="CD76" s="825"/>
      <c r="CE76" s="825"/>
      <c r="CF76" s="825"/>
      <c r="CG76" s="825"/>
      <c r="CH76" s="825"/>
      <c r="CI76" s="825"/>
      <c r="CJ76" s="825"/>
      <c r="CK76" s="825"/>
      <c r="CL76" s="825">
        <v>2</v>
      </c>
      <c r="CM76" s="825"/>
      <c r="CN76" s="825"/>
      <c r="CO76" s="825"/>
      <c r="CP76" s="825"/>
      <c r="CQ76" s="825" t="s">
        <v>348</v>
      </c>
      <c r="CR76" s="825"/>
      <c r="CS76" s="825"/>
      <c r="CT76" s="825"/>
      <c r="CU76" s="825"/>
      <c r="CV76" s="825">
        <v>3</v>
      </c>
      <c r="CW76" s="825"/>
      <c r="CX76" s="825"/>
      <c r="CY76" s="825"/>
      <c r="CZ76" s="825"/>
      <c r="DA76" s="857"/>
      <c r="DB76" s="858"/>
      <c r="DC76" s="858"/>
      <c r="DD76" s="858"/>
      <c r="DE76" s="877"/>
      <c r="DF76" s="828"/>
      <c r="DG76" s="825"/>
      <c r="DH76" s="825"/>
      <c r="DI76" s="825"/>
      <c r="DJ76" s="825"/>
      <c r="DK76" s="825"/>
      <c r="DL76" s="825"/>
      <c r="DM76" s="825"/>
      <c r="DN76" s="825"/>
      <c r="DO76" s="825"/>
      <c r="DP76" s="825"/>
      <c r="DQ76" s="825"/>
      <c r="DR76" s="825"/>
      <c r="DS76" s="825"/>
      <c r="DT76" s="825"/>
      <c r="DU76" s="825"/>
      <c r="DV76" s="825"/>
      <c r="DW76" s="825"/>
      <c r="DX76" s="825"/>
      <c r="DY76" s="825"/>
      <c r="DZ76" s="825">
        <v>2</v>
      </c>
      <c r="EA76" s="825"/>
      <c r="EB76" s="825"/>
      <c r="EC76" s="825"/>
      <c r="ED76" s="825"/>
      <c r="EE76" s="825"/>
      <c r="EF76" s="825"/>
      <c r="EG76" s="825"/>
      <c r="EH76" s="825"/>
      <c r="EI76" s="825"/>
      <c r="EJ76" s="825">
        <v>4</v>
      </c>
      <c r="EK76" s="825"/>
      <c r="EL76" s="825"/>
      <c r="EM76" s="825"/>
      <c r="EN76" s="825"/>
      <c r="EO76" s="825"/>
      <c r="EP76" s="825"/>
      <c r="EQ76" s="825"/>
      <c r="ER76" s="825"/>
      <c r="ES76" s="827"/>
      <c r="ET76" s="867">
        <f t="shared" ref="ET76" si="54">SUM(DF76:ES77)</f>
        <v>6</v>
      </c>
      <c r="EU76" s="868"/>
      <c r="EV76" s="869"/>
      <c r="EW76" s="869"/>
      <c r="EX76" s="870"/>
      <c r="EY76" s="304"/>
      <c r="FA76" s="306"/>
      <c r="FB76" s="307"/>
      <c r="FC76" s="308"/>
    </row>
    <row r="77" spans="1:159" s="129" customFormat="1" ht="84.95" customHeight="1" x14ac:dyDescent="0.2">
      <c r="A77" s="556"/>
      <c r="B77" s="141" t="s">
        <v>182</v>
      </c>
      <c r="C77" s="823" t="s">
        <v>181</v>
      </c>
      <c r="D77" s="823"/>
      <c r="E77" s="823"/>
      <c r="F77" s="823"/>
      <c r="G77" s="823"/>
      <c r="H77" s="823"/>
      <c r="I77" s="823"/>
      <c r="J77" s="823"/>
      <c r="K77" s="823"/>
      <c r="L77" s="823"/>
      <c r="M77" s="823"/>
      <c r="N77" s="823"/>
      <c r="O77" s="823"/>
      <c r="P77" s="823"/>
      <c r="Q77" s="823"/>
      <c r="R77" s="823"/>
      <c r="S77" s="823"/>
      <c r="T77" s="823"/>
      <c r="U77" s="823"/>
      <c r="V77" s="823"/>
      <c r="W77" s="823"/>
      <c r="X77" s="823"/>
      <c r="Y77" s="823"/>
      <c r="Z77" s="854"/>
      <c r="AA77" s="855"/>
      <c r="AB77" s="855"/>
      <c r="AC77" s="855"/>
      <c r="AD77" s="856"/>
      <c r="AE77" s="859"/>
      <c r="AF77" s="860"/>
      <c r="AG77" s="860"/>
      <c r="AH77" s="860"/>
      <c r="AI77" s="860"/>
      <c r="AJ77" s="864"/>
      <c r="AK77" s="865"/>
      <c r="AL77" s="865"/>
      <c r="AM77" s="865"/>
      <c r="AN77" s="866"/>
      <c r="AO77" s="864"/>
      <c r="AP77" s="865"/>
      <c r="AQ77" s="865"/>
      <c r="AR77" s="865"/>
      <c r="AS77" s="866"/>
      <c r="AT77" s="864"/>
      <c r="AU77" s="865"/>
      <c r="AV77" s="865"/>
      <c r="AW77" s="865"/>
      <c r="AX77" s="866"/>
      <c r="AY77" s="864"/>
      <c r="AZ77" s="865"/>
      <c r="BA77" s="865"/>
      <c r="BB77" s="865"/>
      <c r="BC77" s="866"/>
      <c r="BD77" s="864"/>
      <c r="BE77" s="865"/>
      <c r="BF77" s="865"/>
      <c r="BG77" s="865"/>
      <c r="BH77" s="866"/>
      <c r="BI77" s="864"/>
      <c r="BJ77" s="865"/>
      <c r="BK77" s="865"/>
      <c r="BL77" s="865"/>
      <c r="BM77" s="866"/>
      <c r="BN77" s="854"/>
      <c r="BO77" s="855"/>
      <c r="BP77" s="855"/>
      <c r="BQ77" s="880"/>
      <c r="BR77" s="882"/>
      <c r="BS77" s="860"/>
      <c r="BT77" s="860"/>
      <c r="BU77" s="860"/>
      <c r="BV77" s="860"/>
      <c r="BW77" s="825"/>
      <c r="BX77" s="825"/>
      <c r="BY77" s="825"/>
      <c r="BZ77" s="825"/>
      <c r="CA77" s="825"/>
      <c r="CB77" s="825"/>
      <c r="CC77" s="825"/>
      <c r="CD77" s="825"/>
      <c r="CE77" s="825"/>
      <c r="CF77" s="825"/>
      <c r="CG77" s="825"/>
      <c r="CH77" s="825"/>
      <c r="CI77" s="825"/>
      <c r="CJ77" s="825"/>
      <c r="CK77" s="825"/>
      <c r="CL77" s="825"/>
      <c r="CM77" s="825"/>
      <c r="CN77" s="825"/>
      <c r="CO77" s="825"/>
      <c r="CP77" s="825"/>
      <c r="CQ77" s="825"/>
      <c r="CR77" s="825"/>
      <c r="CS77" s="825"/>
      <c r="CT77" s="825"/>
      <c r="CU77" s="825"/>
      <c r="CV77" s="825"/>
      <c r="CW77" s="825"/>
      <c r="CX77" s="825"/>
      <c r="CY77" s="825"/>
      <c r="CZ77" s="825"/>
      <c r="DA77" s="859"/>
      <c r="DB77" s="860"/>
      <c r="DC77" s="860"/>
      <c r="DD77" s="860"/>
      <c r="DE77" s="878"/>
      <c r="DF77" s="828"/>
      <c r="DG77" s="825"/>
      <c r="DH77" s="825"/>
      <c r="DI77" s="825"/>
      <c r="DJ77" s="825"/>
      <c r="DK77" s="825"/>
      <c r="DL77" s="825"/>
      <c r="DM77" s="825"/>
      <c r="DN77" s="825"/>
      <c r="DO77" s="825"/>
      <c r="DP77" s="825"/>
      <c r="DQ77" s="825"/>
      <c r="DR77" s="825"/>
      <c r="DS77" s="825"/>
      <c r="DT77" s="825"/>
      <c r="DU77" s="825"/>
      <c r="DV77" s="825"/>
      <c r="DW77" s="825"/>
      <c r="DX77" s="825"/>
      <c r="DY77" s="825"/>
      <c r="DZ77" s="825"/>
      <c r="EA77" s="825"/>
      <c r="EB77" s="825"/>
      <c r="EC77" s="825"/>
      <c r="ED77" s="825"/>
      <c r="EE77" s="825"/>
      <c r="EF77" s="825"/>
      <c r="EG77" s="825"/>
      <c r="EH77" s="825"/>
      <c r="EI77" s="825"/>
      <c r="EJ77" s="825"/>
      <c r="EK77" s="825"/>
      <c r="EL77" s="825"/>
      <c r="EM77" s="825"/>
      <c r="EN77" s="825"/>
      <c r="EO77" s="825"/>
      <c r="EP77" s="825"/>
      <c r="EQ77" s="825"/>
      <c r="ER77" s="825"/>
      <c r="ES77" s="827"/>
      <c r="ET77" s="867">
        <f t="shared" ref="ET77" si="55">DF77+DK77+DP77+DU77+DZ77+EJ77+EE77+EO77</f>
        <v>0</v>
      </c>
      <c r="EU77" s="868"/>
      <c r="EV77" s="869"/>
      <c r="EW77" s="869"/>
      <c r="EX77" s="870"/>
      <c r="EY77" s="197"/>
      <c r="FA77" s="269"/>
      <c r="FB77" s="270"/>
      <c r="FC77" s="271"/>
    </row>
    <row r="78" spans="1:159" s="129" customFormat="1" ht="84.95" customHeight="1" x14ac:dyDescent="0.2">
      <c r="A78" s="555" t="s">
        <v>311</v>
      </c>
      <c r="B78" s="141" t="s">
        <v>347</v>
      </c>
      <c r="C78" s="823" t="s">
        <v>346</v>
      </c>
      <c r="D78" s="823"/>
      <c r="E78" s="823"/>
      <c r="F78" s="823"/>
      <c r="G78" s="823"/>
      <c r="H78" s="823"/>
      <c r="I78" s="823"/>
      <c r="J78" s="823"/>
      <c r="K78" s="823"/>
      <c r="L78" s="823"/>
      <c r="M78" s="823"/>
      <c r="N78" s="823"/>
      <c r="O78" s="823"/>
      <c r="P78" s="823"/>
      <c r="Q78" s="823"/>
      <c r="R78" s="823"/>
      <c r="S78" s="823"/>
      <c r="T78" s="823"/>
      <c r="U78" s="823"/>
      <c r="V78" s="823"/>
      <c r="W78" s="823"/>
      <c r="X78" s="823"/>
      <c r="Y78" s="823"/>
      <c r="Z78" s="851">
        <f t="shared" ref="Z78" si="56">+ET78*30</f>
        <v>60</v>
      </c>
      <c r="AA78" s="852"/>
      <c r="AB78" s="852"/>
      <c r="AC78" s="852"/>
      <c r="AD78" s="853"/>
      <c r="AE78" s="857"/>
      <c r="AF78" s="858"/>
      <c r="AG78" s="858"/>
      <c r="AH78" s="858"/>
      <c r="AI78" s="858"/>
      <c r="AJ78" s="861">
        <f t="shared" ref="AJ78" si="57">SUM(AO78:BH79)</f>
        <v>24</v>
      </c>
      <c r="AK78" s="862"/>
      <c r="AL78" s="862"/>
      <c r="AM78" s="862"/>
      <c r="AN78" s="863"/>
      <c r="AO78" s="861">
        <v>12</v>
      </c>
      <c r="AP78" s="862"/>
      <c r="AQ78" s="862"/>
      <c r="AR78" s="862"/>
      <c r="AS78" s="863"/>
      <c r="AT78" s="861">
        <v>12</v>
      </c>
      <c r="AU78" s="862"/>
      <c r="AV78" s="862"/>
      <c r="AW78" s="862"/>
      <c r="AX78" s="863"/>
      <c r="AY78" s="861"/>
      <c r="AZ78" s="862"/>
      <c r="BA78" s="862"/>
      <c r="BB78" s="862"/>
      <c r="BC78" s="863"/>
      <c r="BD78" s="861"/>
      <c r="BE78" s="862"/>
      <c r="BF78" s="862"/>
      <c r="BG78" s="862"/>
      <c r="BH78" s="863"/>
      <c r="BI78" s="861"/>
      <c r="BJ78" s="862"/>
      <c r="BK78" s="862"/>
      <c r="BL78" s="862"/>
      <c r="BM78" s="863"/>
      <c r="BN78" s="851">
        <f>Z78-AJ78</f>
        <v>36</v>
      </c>
      <c r="BO78" s="852"/>
      <c r="BP78" s="852"/>
      <c r="BQ78" s="879"/>
      <c r="BR78" s="881"/>
      <c r="BS78" s="858"/>
      <c r="BT78" s="858"/>
      <c r="BU78" s="858"/>
      <c r="BV78" s="858"/>
      <c r="BW78" s="825"/>
      <c r="BX78" s="825"/>
      <c r="BY78" s="825"/>
      <c r="BZ78" s="825"/>
      <c r="CA78" s="825"/>
      <c r="CB78" s="825"/>
      <c r="CC78" s="825"/>
      <c r="CD78" s="825"/>
      <c r="CE78" s="825"/>
      <c r="CF78" s="825"/>
      <c r="CG78" s="825"/>
      <c r="CH78" s="825"/>
      <c r="CI78" s="825"/>
      <c r="CJ78" s="825"/>
      <c r="CK78" s="825"/>
      <c r="CL78" s="825"/>
      <c r="CM78" s="825"/>
      <c r="CN78" s="825"/>
      <c r="CO78" s="825"/>
      <c r="CP78" s="825"/>
      <c r="CQ78" s="825">
        <v>2</v>
      </c>
      <c r="CR78" s="825"/>
      <c r="CS78" s="825"/>
      <c r="CT78" s="825"/>
      <c r="CU78" s="825"/>
      <c r="CV78" s="825"/>
      <c r="CW78" s="825"/>
      <c r="CX78" s="825"/>
      <c r="CY78" s="825"/>
      <c r="CZ78" s="825"/>
      <c r="DA78" s="857"/>
      <c r="DB78" s="858"/>
      <c r="DC78" s="858"/>
      <c r="DD78" s="858"/>
      <c r="DE78" s="877"/>
      <c r="DF78" s="828"/>
      <c r="DG78" s="825"/>
      <c r="DH78" s="825"/>
      <c r="DI78" s="825"/>
      <c r="DJ78" s="825"/>
      <c r="DK78" s="825"/>
      <c r="DL78" s="825"/>
      <c r="DM78" s="825"/>
      <c r="DN78" s="825"/>
      <c r="DO78" s="825"/>
      <c r="DP78" s="825"/>
      <c r="DQ78" s="825"/>
      <c r="DR78" s="825"/>
      <c r="DS78" s="825"/>
      <c r="DT78" s="825"/>
      <c r="DU78" s="825"/>
      <c r="DV78" s="825"/>
      <c r="DW78" s="825"/>
      <c r="DX78" s="825"/>
      <c r="DY78" s="825"/>
      <c r="DZ78" s="825"/>
      <c r="EA78" s="825"/>
      <c r="EB78" s="825"/>
      <c r="EC78" s="825"/>
      <c r="ED78" s="825"/>
      <c r="EE78" s="825">
        <v>2</v>
      </c>
      <c r="EF78" s="825"/>
      <c r="EG78" s="825"/>
      <c r="EH78" s="825"/>
      <c r="EI78" s="825"/>
      <c r="EJ78" s="825"/>
      <c r="EK78" s="825"/>
      <c r="EL78" s="825"/>
      <c r="EM78" s="825"/>
      <c r="EN78" s="825"/>
      <c r="EO78" s="825"/>
      <c r="EP78" s="825"/>
      <c r="EQ78" s="825"/>
      <c r="ER78" s="825"/>
      <c r="ES78" s="827"/>
      <c r="ET78" s="867">
        <f t="shared" ref="ET78" si="58">SUM(DF78:ES79)</f>
        <v>2</v>
      </c>
      <c r="EU78" s="868"/>
      <c r="EV78" s="869"/>
      <c r="EW78" s="869"/>
      <c r="EX78" s="870"/>
      <c r="EY78" s="197"/>
      <c r="FA78" s="269"/>
      <c r="FB78" s="270"/>
      <c r="FC78" s="271"/>
    </row>
    <row r="79" spans="1:159" s="305" customFormat="1" ht="99.95" customHeight="1" x14ac:dyDescent="0.2">
      <c r="A79" s="556"/>
      <c r="B79" s="141" t="s">
        <v>185</v>
      </c>
      <c r="C79" s="823" t="s">
        <v>163</v>
      </c>
      <c r="D79" s="823"/>
      <c r="E79" s="823"/>
      <c r="F79" s="823"/>
      <c r="G79" s="823"/>
      <c r="H79" s="823"/>
      <c r="I79" s="823"/>
      <c r="J79" s="823"/>
      <c r="K79" s="823"/>
      <c r="L79" s="823"/>
      <c r="M79" s="823"/>
      <c r="N79" s="823"/>
      <c r="O79" s="823"/>
      <c r="P79" s="823"/>
      <c r="Q79" s="823"/>
      <c r="R79" s="823"/>
      <c r="S79" s="823"/>
      <c r="T79" s="823"/>
      <c r="U79" s="823"/>
      <c r="V79" s="823"/>
      <c r="W79" s="823"/>
      <c r="X79" s="823"/>
      <c r="Y79" s="823"/>
      <c r="Z79" s="854"/>
      <c r="AA79" s="855"/>
      <c r="AB79" s="855"/>
      <c r="AC79" s="855"/>
      <c r="AD79" s="856"/>
      <c r="AE79" s="859"/>
      <c r="AF79" s="860"/>
      <c r="AG79" s="860"/>
      <c r="AH79" s="860"/>
      <c r="AI79" s="860"/>
      <c r="AJ79" s="864"/>
      <c r="AK79" s="865"/>
      <c r="AL79" s="865"/>
      <c r="AM79" s="865"/>
      <c r="AN79" s="866"/>
      <c r="AO79" s="864"/>
      <c r="AP79" s="865"/>
      <c r="AQ79" s="865"/>
      <c r="AR79" s="865"/>
      <c r="AS79" s="866"/>
      <c r="AT79" s="864"/>
      <c r="AU79" s="865"/>
      <c r="AV79" s="865"/>
      <c r="AW79" s="865"/>
      <c r="AX79" s="866"/>
      <c r="AY79" s="864"/>
      <c r="AZ79" s="865"/>
      <c r="BA79" s="865"/>
      <c r="BB79" s="865"/>
      <c r="BC79" s="866"/>
      <c r="BD79" s="864"/>
      <c r="BE79" s="865"/>
      <c r="BF79" s="865"/>
      <c r="BG79" s="865"/>
      <c r="BH79" s="866"/>
      <c r="BI79" s="864"/>
      <c r="BJ79" s="865"/>
      <c r="BK79" s="865"/>
      <c r="BL79" s="865"/>
      <c r="BM79" s="866"/>
      <c r="BN79" s="854"/>
      <c r="BO79" s="855"/>
      <c r="BP79" s="855"/>
      <c r="BQ79" s="880"/>
      <c r="BR79" s="882"/>
      <c r="BS79" s="860"/>
      <c r="BT79" s="860"/>
      <c r="BU79" s="860"/>
      <c r="BV79" s="860"/>
      <c r="BW79" s="825"/>
      <c r="BX79" s="825"/>
      <c r="BY79" s="825"/>
      <c r="BZ79" s="825"/>
      <c r="CA79" s="825"/>
      <c r="CB79" s="825"/>
      <c r="CC79" s="825"/>
      <c r="CD79" s="825"/>
      <c r="CE79" s="825"/>
      <c r="CF79" s="825"/>
      <c r="CG79" s="825"/>
      <c r="CH79" s="825"/>
      <c r="CI79" s="825"/>
      <c r="CJ79" s="825"/>
      <c r="CK79" s="825"/>
      <c r="CL79" s="825"/>
      <c r="CM79" s="825"/>
      <c r="CN79" s="825"/>
      <c r="CO79" s="825"/>
      <c r="CP79" s="825"/>
      <c r="CQ79" s="825"/>
      <c r="CR79" s="825"/>
      <c r="CS79" s="825"/>
      <c r="CT79" s="825"/>
      <c r="CU79" s="825"/>
      <c r="CV79" s="825"/>
      <c r="CW79" s="825"/>
      <c r="CX79" s="825"/>
      <c r="CY79" s="825"/>
      <c r="CZ79" s="825"/>
      <c r="DA79" s="859"/>
      <c r="DB79" s="860"/>
      <c r="DC79" s="860"/>
      <c r="DD79" s="860"/>
      <c r="DE79" s="878"/>
      <c r="DF79" s="828"/>
      <c r="DG79" s="825"/>
      <c r="DH79" s="825"/>
      <c r="DI79" s="825"/>
      <c r="DJ79" s="825"/>
      <c r="DK79" s="825"/>
      <c r="DL79" s="825"/>
      <c r="DM79" s="825"/>
      <c r="DN79" s="825"/>
      <c r="DO79" s="825"/>
      <c r="DP79" s="825"/>
      <c r="DQ79" s="825"/>
      <c r="DR79" s="825"/>
      <c r="DS79" s="825"/>
      <c r="DT79" s="825"/>
      <c r="DU79" s="825"/>
      <c r="DV79" s="825"/>
      <c r="DW79" s="825"/>
      <c r="DX79" s="825"/>
      <c r="DY79" s="825"/>
      <c r="DZ79" s="825"/>
      <c r="EA79" s="825"/>
      <c r="EB79" s="825"/>
      <c r="EC79" s="825"/>
      <c r="ED79" s="825"/>
      <c r="EE79" s="825"/>
      <c r="EF79" s="825"/>
      <c r="EG79" s="825"/>
      <c r="EH79" s="825"/>
      <c r="EI79" s="825"/>
      <c r="EJ79" s="825"/>
      <c r="EK79" s="825"/>
      <c r="EL79" s="825"/>
      <c r="EM79" s="825"/>
      <c r="EN79" s="825"/>
      <c r="EO79" s="825"/>
      <c r="EP79" s="825"/>
      <c r="EQ79" s="825"/>
      <c r="ER79" s="825"/>
      <c r="ES79" s="827"/>
      <c r="ET79" s="867">
        <f t="shared" ref="ET79" si="59">DF79+DK79+DP79+DU79+DZ79+EJ79+EE79+EO79</f>
        <v>0</v>
      </c>
      <c r="EU79" s="868"/>
      <c r="EV79" s="869"/>
      <c r="EW79" s="869"/>
      <c r="EX79" s="870"/>
      <c r="EY79" s="304"/>
      <c r="FA79" s="306"/>
      <c r="FB79" s="307"/>
      <c r="FC79" s="308"/>
    </row>
    <row r="80" spans="1:159" s="305" customFormat="1" ht="84.95" customHeight="1" x14ac:dyDescent="0.2">
      <c r="A80" s="555" t="s">
        <v>312</v>
      </c>
      <c r="B80" s="141" t="s">
        <v>187</v>
      </c>
      <c r="C80" s="823" t="s">
        <v>186</v>
      </c>
      <c r="D80" s="823"/>
      <c r="E80" s="823"/>
      <c r="F80" s="823"/>
      <c r="G80" s="823"/>
      <c r="H80" s="823"/>
      <c r="I80" s="823"/>
      <c r="J80" s="823"/>
      <c r="K80" s="823"/>
      <c r="L80" s="823"/>
      <c r="M80" s="823"/>
      <c r="N80" s="823"/>
      <c r="O80" s="823"/>
      <c r="P80" s="823"/>
      <c r="Q80" s="823"/>
      <c r="R80" s="823"/>
      <c r="S80" s="823"/>
      <c r="T80" s="823"/>
      <c r="U80" s="823"/>
      <c r="V80" s="823"/>
      <c r="W80" s="823"/>
      <c r="X80" s="823"/>
      <c r="Y80" s="823"/>
      <c r="Z80" s="851">
        <f t="shared" ref="Z80" si="60">+ET80*30</f>
        <v>120</v>
      </c>
      <c r="AA80" s="852"/>
      <c r="AB80" s="852"/>
      <c r="AC80" s="852"/>
      <c r="AD80" s="853"/>
      <c r="AE80" s="857"/>
      <c r="AF80" s="858"/>
      <c r="AG80" s="858"/>
      <c r="AH80" s="858"/>
      <c r="AI80" s="858"/>
      <c r="AJ80" s="861">
        <f t="shared" ref="AJ80" si="61">SUM(AO80:BH81)</f>
        <v>48</v>
      </c>
      <c r="AK80" s="862"/>
      <c r="AL80" s="862"/>
      <c r="AM80" s="862"/>
      <c r="AN80" s="863"/>
      <c r="AO80" s="861">
        <v>24</v>
      </c>
      <c r="AP80" s="862"/>
      <c r="AQ80" s="862"/>
      <c r="AR80" s="862"/>
      <c r="AS80" s="863"/>
      <c r="AT80" s="861">
        <v>24</v>
      </c>
      <c r="AU80" s="862"/>
      <c r="AV80" s="862"/>
      <c r="AW80" s="862"/>
      <c r="AX80" s="863"/>
      <c r="AY80" s="861"/>
      <c r="AZ80" s="862"/>
      <c r="BA80" s="862"/>
      <c r="BB80" s="862"/>
      <c r="BC80" s="863"/>
      <c r="BD80" s="861"/>
      <c r="BE80" s="862"/>
      <c r="BF80" s="862"/>
      <c r="BG80" s="862"/>
      <c r="BH80" s="863"/>
      <c r="BI80" s="861"/>
      <c r="BJ80" s="862"/>
      <c r="BK80" s="862"/>
      <c r="BL80" s="862"/>
      <c r="BM80" s="863"/>
      <c r="BN80" s="851">
        <f>Z80-AJ80</f>
        <v>72</v>
      </c>
      <c r="BO80" s="852"/>
      <c r="BP80" s="852"/>
      <c r="BQ80" s="879"/>
      <c r="BR80" s="881"/>
      <c r="BS80" s="858"/>
      <c r="BT80" s="858"/>
      <c r="BU80" s="858"/>
      <c r="BV80" s="858"/>
      <c r="BW80" s="825"/>
      <c r="BX80" s="825"/>
      <c r="BY80" s="825"/>
      <c r="BZ80" s="825"/>
      <c r="CA80" s="825"/>
      <c r="CB80" s="825"/>
      <c r="CC80" s="825"/>
      <c r="CD80" s="825"/>
      <c r="CE80" s="825"/>
      <c r="CF80" s="825"/>
      <c r="CG80" s="825"/>
      <c r="CH80" s="825"/>
      <c r="CI80" s="825"/>
      <c r="CJ80" s="825"/>
      <c r="CK80" s="825"/>
      <c r="CL80" s="825"/>
      <c r="CM80" s="825"/>
      <c r="CN80" s="825"/>
      <c r="CO80" s="825"/>
      <c r="CP80" s="825"/>
      <c r="CQ80" s="825">
        <v>4</v>
      </c>
      <c r="CR80" s="825"/>
      <c r="CS80" s="825"/>
      <c r="CT80" s="825"/>
      <c r="CU80" s="825"/>
      <c r="CV80" s="825"/>
      <c r="CW80" s="825"/>
      <c r="CX80" s="825"/>
      <c r="CY80" s="825"/>
      <c r="CZ80" s="825"/>
      <c r="DA80" s="857"/>
      <c r="DB80" s="858"/>
      <c r="DC80" s="858"/>
      <c r="DD80" s="858"/>
      <c r="DE80" s="877"/>
      <c r="DF80" s="828"/>
      <c r="DG80" s="825"/>
      <c r="DH80" s="825"/>
      <c r="DI80" s="825"/>
      <c r="DJ80" s="825"/>
      <c r="DK80" s="825"/>
      <c r="DL80" s="825"/>
      <c r="DM80" s="825"/>
      <c r="DN80" s="825"/>
      <c r="DO80" s="825"/>
      <c r="DP80" s="825"/>
      <c r="DQ80" s="825"/>
      <c r="DR80" s="825"/>
      <c r="DS80" s="825"/>
      <c r="DT80" s="825"/>
      <c r="DU80" s="825"/>
      <c r="DV80" s="825"/>
      <c r="DW80" s="825"/>
      <c r="DX80" s="825"/>
      <c r="DY80" s="825"/>
      <c r="DZ80" s="825"/>
      <c r="EA80" s="825"/>
      <c r="EB80" s="825"/>
      <c r="EC80" s="825"/>
      <c r="ED80" s="825"/>
      <c r="EE80" s="825">
        <v>4</v>
      </c>
      <c r="EF80" s="825"/>
      <c r="EG80" s="825"/>
      <c r="EH80" s="825"/>
      <c r="EI80" s="825"/>
      <c r="EJ80" s="825"/>
      <c r="EK80" s="825"/>
      <c r="EL80" s="825"/>
      <c r="EM80" s="825"/>
      <c r="EN80" s="825"/>
      <c r="EO80" s="825"/>
      <c r="EP80" s="825"/>
      <c r="EQ80" s="825"/>
      <c r="ER80" s="825"/>
      <c r="ES80" s="827"/>
      <c r="ET80" s="867">
        <f t="shared" ref="ET80" si="62">SUM(DF80:ES81)</f>
        <v>4</v>
      </c>
      <c r="EU80" s="868"/>
      <c r="EV80" s="869"/>
      <c r="EW80" s="869"/>
      <c r="EX80" s="870"/>
      <c r="EY80" s="304"/>
      <c r="FA80" s="306"/>
      <c r="FB80" s="307"/>
      <c r="FC80" s="308"/>
    </row>
    <row r="81" spans="1:167" s="129" customFormat="1" ht="84.95" customHeight="1" x14ac:dyDescent="0.2">
      <c r="A81" s="556"/>
      <c r="B81" s="141" t="s">
        <v>189</v>
      </c>
      <c r="C81" s="823" t="s">
        <v>188</v>
      </c>
      <c r="D81" s="823"/>
      <c r="E81" s="823"/>
      <c r="F81" s="823"/>
      <c r="G81" s="823"/>
      <c r="H81" s="823"/>
      <c r="I81" s="823"/>
      <c r="J81" s="823"/>
      <c r="K81" s="823"/>
      <c r="L81" s="823"/>
      <c r="M81" s="823"/>
      <c r="N81" s="823"/>
      <c r="O81" s="823"/>
      <c r="P81" s="823"/>
      <c r="Q81" s="823"/>
      <c r="R81" s="823"/>
      <c r="S81" s="823"/>
      <c r="T81" s="823"/>
      <c r="U81" s="823"/>
      <c r="V81" s="823"/>
      <c r="W81" s="823"/>
      <c r="X81" s="823"/>
      <c r="Y81" s="823"/>
      <c r="Z81" s="854"/>
      <c r="AA81" s="855"/>
      <c r="AB81" s="855"/>
      <c r="AC81" s="855"/>
      <c r="AD81" s="856"/>
      <c r="AE81" s="859"/>
      <c r="AF81" s="860"/>
      <c r="AG81" s="860"/>
      <c r="AH81" s="860"/>
      <c r="AI81" s="860"/>
      <c r="AJ81" s="864"/>
      <c r="AK81" s="865"/>
      <c r="AL81" s="865"/>
      <c r="AM81" s="865"/>
      <c r="AN81" s="866"/>
      <c r="AO81" s="864"/>
      <c r="AP81" s="865"/>
      <c r="AQ81" s="865"/>
      <c r="AR81" s="865"/>
      <c r="AS81" s="866"/>
      <c r="AT81" s="864"/>
      <c r="AU81" s="865"/>
      <c r="AV81" s="865"/>
      <c r="AW81" s="865"/>
      <c r="AX81" s="866"/>
      <c r="AY81" s="864"/>
      <c r="AZ81" s="865"/>
      <c r="BA81" s="865"/>
      <c r="BB81" s="865"/>
      <c r="BC81" s="866"/>
      <c r="BD81" s="864"/>
      <c r="BE81" s="865"/>
      <c r="BF81" s="865"/>
      <c r="BG81" s="865"/>
      <c r="BH81" s="866"/>
      <c r="BI81" s="864"/>
      <c r="BJ81" s="865"/>
      <c r="BK81" s="865"/>
      <c r="BL81" s="865"/>
      <c r="BM81" s="866"/>
      <c r="BN81" s="854"/>
      <c r="BO81" s="855"/>
      <c r="BP81" s="855"/>
      <c r="BQ81" s="880"/>
      <c r="BR81" s="882"/>
      <c r="BS81" s="860"/>
      <c r="BT81" s="860"/>
      <c r="BU81" s="860"/>
      <c r="BV81" s="860"/>
      <c r="BW81" s="825"/>
      <c r="BX81" s="825"/>
      <c r="BY81" s="825"/>
      <c r="BZ81" s="825"/>
      <c r="CA81" s="825"/>
      <c r="CB81" s="825"/>
      <c r="CC81" s="825"/>
      <c r="CD81" s="825"/>
      <c r="CE81" s="825"/>
      <c r="CF81" s="825"/>
      <c r="CG81" s="825"/>
      <c r="CH81" s="825"/>
      <c r="CI81" s="825"/>
      <c r="CJ81" s="825"/>
      <c r="CK81" s="825"/>
      <c r="CL81" s="825"/>
      <c r="CM81" s="825"/>
      <c r="CN81" s="825"/>
      <c r="CO81" s="825"/>
      <c r="CP81" s="825"/>
      <c r="CQ81" s="825"/>
      <c r="CR81" s="825"/>
      <c r="CS81" s="825"/>
      <c r="CT81" s="825"/>
      <c r="CU81" s="825"/>
      <c r="CV81" s="825"/>
      <c r="CW81" s="825"/>
      <c r="CX81" s="825"/>
      <c r="CY81" s="825"/>
      <c r="CZ81" s="825"/>
      <c r="DA81" s="883"/>
      <c r="DB81" s="884"/>
      <c r="DC81" s="884"/>
      <c r="DD81" s="884"/>
      <c r="DE81" s="885"/>
      <c r="DF81" s="828"/>
      <c r="DG81" s="825"/>
      <c r="DH81" s="825"/>
      <c r="DI81" s="825"/>
      <c r="DJ81" s="825"/>
      <c r="DK81" s="825"/>
      <c r="DL81" s="825"/>
      <c r="DM81" s="825"/>
      <c r="DN81" s="825"/>
      <c r="DO81" s="825"/>
      <c r="DP81" s="825"/>
      <c r="DQ81" s="825"/>
      <c r="DR81" s="825"/>
      <c r="DS81" s="825"/>
      <c r="DT81" s="825"/>
      <c r="DU81" s="825"/>
      <c r="DV81" s="825"/>
      <c r="DW81" s="825"/>
      <c r="DX81" s="825"/>
      <c r="DY81" s="825"/>
      <c r="DZ81" s="825"/>
      <c r="EA81" s="825"/>
      <c r="EB81" s="825"/>
      <c r="EC81" s="825"/>
      <c r="ED81" s="825"/>
      <c r="EE81" s="825"/>
      <c r="EF81" s="825"/>
      <c r="EG81" s="825"/>
      <c r="EH81" s="825"/>
      <c r="EI81" s="825"/>
      <c r="EJ81" s="825"/>
      <c r="EK81" s="825"/>
      <c r="EL81" s="825"/>
      <c r="EM81" s="825"/>
      <c r="EN81" s="825"/>
      <c r="EO81" s="825"/>
      <c r="EP81" s="825"/>
      <c r="EQ81" s="825"/>
      <c r="ER81" s="825"/>
      <c r="ES81" s="827"/>
      <c r="ET81" s="867">
        <f t="shared" ref="ET81" si="63">DF81+DK81+DP81+DU81+DZ81+EJ81+EE81+EO81</f>
        <v>0</v>
      </c>
      <c r="EU81" s="868"/>
      <c r="EV81" s="869"/>
      <c r="EW81" s="869"/>
      <c r="EX81" s="870"/>
      <c r="EY81" s="197"/>
      <c r="FA81" s="269"/>
      <c r="FB81" s="270"/>
      <c r="FC81" s="271"/>
    </row>
    <row r="82" spans="1:167" s="129" customFormat="1" ht="84.95" customHeight="1" x14ac:dyDescent="0.2">
      <c r="A82" s="555" t="s">
        <v>313</v>
      </c>
      <c r="B82" s="141" t="s">
        <v>285</v>
      </c>
      <c r="C82" s="823" t="s">
        <v>283</v>
      </c>
      <c r="D82" s="823"/>
      <c r="E82" s="823"/>
      <c r="F82" s="823"/>
      <c r="G82" s="823"/>
      <c r="H82" s="823"/>
      <c r="I82" s="823"/>
      <c r="J82" s="823"/>
      <c r="K82" s="823"/>
      <c r="L82" s="823"/>
      <c r="M82" s="823"/>
      <c r="N82" s="823"/>
      <c r="O82" s="823"/>
      <c r="P82" s="823"/>
      <c r="Q82" s="823"/>
      <c r="R82" s="823"/>
      <c r="S82" s="823"/>
      <c r="T82" s="823"/>
      <c r="U82" s="823"/>
      <c r="V82" s="823"/>
      <c r="W82" s="823"/>
      <c r="X82" s="823"/>
      <c r="Y82" s="823"/>
      <c r="Z82" s="851">
        <f t="shared" ref="Z82" si="64">+ET82*30</f>
        <v>120</v>
      </c>
      <c r="AA82" s="852"/>
      <c r="AB82" s="852"/>
      <c r="AC82" s="852"/>
      <c r="AD82" s="853"/>
      <c r="AE82" s="857"/>
      <c r="AF82" s="858"/>
      <c r="AG82" s="858"/>
      <c r="AH82" s="858"/>
      <c r="AI82" s="858"/>
      <c r="AJ82" s="861">
        <f t="shared" ref="AJ82" si="65">SUM(AO82:BH83)</f>
        <v>48</v>
      </c>
      <c r="AK82" s="862"/>
      <c r="AL82" s="862"/>
      <c r="AM82" s="862"/>
      <c r="AN82" s="863"/>
      <c r="AO82" s="861">
        <v>32</v>
      </c>
      <c r="AP82" s="862"/>
      <c r="AQ82" s="862"/>
      <c r="AR82" s="862"/>
      <c r="AS82" s="863"/>
      <c r="AT82" s="861"/>
      <c r="AU82" s="862"/>
      <c r="AV82" s="862"/>
      <c r="AW82" s="862"/>
      <c r="AX82" s="863"/>
      <c r="AY82" s="861">
        <v>16</v>
      </c>
      <c r="AZ82" s="862"/>
      <c r="BA82" s="862"/>
      <c r="BB82" s="862"/>
      <c r="BC82" s="863"/>
      <c r="BD82" s="861"/>
      <c r="BE82" s="862"/>
      <c r="BF82" s="862"/>
      <c r="BG82" s="862"/>
      <c r="BH82" s="863"/>
      <c r="BI82" s="861"/>
      <c r="BJ82" s="862"/>
      <c r="BK82" s="862"/>
      <c r="BL82" s="862"/>
      <c r="BM82" s="863"/>
      <c r="BN82" s="851">
        <f>Z82-AJ82</f>
        <v>72</v>
      </c>
      <c r="BO82" s="852"/>
      <c r="BP82" s="852"/>
      <c r="BQ82" s="879"/>
      <c r="BR82" s="881"/>
      <c r="BS82" s="858"/>
      <c r="BT82" s="858"/>
      <c r="BU82" s="858"/>
      <c r="BV82" s="858"/>
      <c r="BW82" s="825"/>
      <c r="BX82" s="825"/>
      <c r="BY82" s="825"/>
      <c r="BZ82" s="825"/>
      <c r="CA82" s="825"/>
      <c r="CB82" s="825"/>
      <c r="CC82" s="825"/>
      <c r="CD82" s="825"/>
      <c r="CE82" s="825"/>
      <c r="CF82" s="825"/>
      <c r="CG82" s="825"/>
      <c r="CH82" s="825"/>
      <c r="CI82" s="825"/>
      <c r="CJ82" s="825"/>
      <c r="CK82" s="825"/>
      <c r="CL82" s="825"/>
      <c r="CM82" s="825"/>
      <c r="CN82" s="825"/>
      <c r="CO82" s="825"/>
      <c r="CP82" s="825"/>
      <c r="CQ82" s="825"/>
      <c r="CR82" s="825"/>
      <c r="CS82" s="825"/>
      <c r="CT82" s="825"/>
      <c r="CU82" s="825"/>
      <c r="CV82" s="857">
        <v>3</v>
      </c>
      <c r="CW82" s="858"/>
      <c r="CX82" s="858"/>
      <c r="CY82" s="858"/>
      <c r="CZ82" s="875"/>
      <c r="DA82" s="857"/>
      <c r="DB82" s="858"/>
      <c r="DC82" s="858"/>
      <c r="DD82" s="858"/>
      <c r="DE82" s="877"/>
      <c r="DF82" s="828"/>
      <c r="DG82" s="825"/>
      <c r="DH82" s="825"/>
      <c r="DI82" s="825"/>
      <c r="DJ82" s="825"/>
      <c r="DK82" s="825"/>
      <c r="DL82" s="825"/>
      <c r="DM82" s="825"/>
      <c r="DN82" s="825"/>
      <c r="DO82" s="825"/>
      <c r="DP82" s="825"/>
      <c r="DQ82" s="825"/>
      <c r="DR82" s="825"/>
      <c r="DS82" s="825"/>
      <c r="DT82" s="825"/>
      <c r="DU82" s="825"/>
      <c r="DV82" s="825"/>
      <c r="DW82" s="825"/>
      <c r="DX82" s="825"/>
      <c r="DY82" s="825"/>
      <c r="DZ82" s="825"/>
      <c r="EA82" s="825"/>
      <c r="EB82" s="825"/>
      <c r="EC82" s="825"/>
      <c r="ED82" s="825"/>
      <c r="EE82" s="825"/>
      <c r="EF82" s="825"/>
      <c r="EG82" s="825"/>
      <c r="EH82" s="825"/>
      <c r="EI82" s="825"/>
      <c r="EJ82" s="825">
        <v>4</v>
      </c>
      <c r="EK82" s="825"/>
      <c r="EL82" s="825"/>
      <c r="EM82" s="825"/>
      <c r="EN82" s="825"/>
      <c r="EO82" s="825"/>
      <c r="EP82" s="825"/>
      <c r="EQ82" s="825"/>
      <c r="ER82" s="825"/>
      <c r="ES82" s="827"/>
      <c r="ET82" s="867">
        <f t="shared" ref="ET82" si="66">SUM(DF82:ES83)</f>
        <v>4</v>
      </c>
      <c r="EU82" s="868"/>
      <c r="EV82" s="869"/>
      <c r="EW82" s="869"/>
      <c r="EX82" s="870"/>
      <c r="EY82" s="197"/>
      <c r="FA82" s="269"/>
      <c r="FB82" s="270"/>
      <c r="FC82" s="271"/>
    </row>
    <row r="83" spans="1:167" s="129" customFormat="1" ht="84.95" customHeight="1" x14ac:dyDescent="0.2">
      <c r="A83" s="556"/>
      <c r="B83" s="141" t="s">
        <v>303</v>
      </c>
      <c r="C83" s="823" t="s">
        <v>301</v>
      </c>
      <c r="D83" s="823"/>
      <c r="E83" s="823"/>
      <c r="F83" s="823"/>
      <c r="G83" s="823"/>
      <c r="H83" s="823"/>
      <c r="I83" s="823"/>
      <c r="J83" s="823"/>
      <c r="K83" s="823"/>
      <c r="L83" s="823"/>
      <c r="M83" s="823"/>
      <c r="N83" s="823"/>
      <c r="O83" s="823"/>
      <c r="P83" s="823"/>
      <c r="Q83" s="823"/>
      <c r="R83" s="823"/>
      <c r="S83" s="823"/>
      <c r="T83" s="823"/>
      <c r="U83" s="823"/>
      <c r="V83" s="823"/>
      <c r="W83" s="823"/>
      <c r="X83" s="823"/>
      <c r="Y83" s="823"/>
      <c r="Z83" s="854"/>
      <c r="AA83" s="855"/>
      <c r="AB83" s="855"/>
      <c r="AC83" s="855"/>
      <c r="AD83" s="856"/>
      <c r="AE83" s="859"/>
      <c r="AF83" s="860"/>
      <c r="AG83" s="860"/>
      <c r="AH83" s="860"/>
      <c r="AI83" s="860"/>
      <c r="AJ83" s="864"/>
      <c r="AK83" s="865"/>
      <c r="AL83" s="865"/>
      <c r="AM83" s="865"/>
      <c r="AN83" s="866"/>
      <c r="AO83" s="864"/>
      <c r="AP83" s="865"/>
      <c r="AQ83" s="865"/>
      <c r="AR83" s="865"/>
      <c r="AS83" s="866"/>
      <c r="AT83" s="864"/>
      <c r="AU83" s="865"/>
      <c r="AV83" s="865"/>
      <c r="AW83" s="865"/>
      <c r="AX83" s="866"/>
      <c r="AY83" s="864"/>
      <c r="AZ83" s="865"/>
      <c r="BA83" s="865"/>
      <c r="BB83" s="865"/>
      <c r="BC83" s="866"/>
      <c r="BD83" s="864"/>
      <c r="BE83" s="865"/>
      <c r="BF83" s="865"/>
      <c r="BG83" s="865"/>
      <c r="BH83" s="866"/>
      <c r="BI83" s="864"/>
      <c r="BJ83" s="865"/>
      <c r="BK83" s="865"/>
      <c r="BL83" s="865"/>
      <c r="BM83" s="866"/>
      <c r="BN83" s="854"/>
      <c r="BO83" s="855"/>
      <c r="BP83" s="855"/>
      <c r="BQ83" s="880"/>
      <c r="BR83" s="882"/>
      <c r="BS83" s="860"/>
      <c r="BT83" s="860"/>
      <c r="BU83" s="860"/>
      <c r="BV83" s="860"/>
      <c r="BW83" s="825"/>
      <c r="BX83" s="825"/>
      <c r="BY83" s="825"/>
      <c r="BZ83" s="825"/>
      <c r="CA83" s="825"/>
      <c r="CB83" s="825"/>
      <c r="CC83" s="825"/>
      <c r="CD83" s="825"/>
      <c r="CE83" s="825"/>
      <c r="CF83" s="825"/>
      <c r="CG83" s="825"/>
      <c r="CH83" s="825"/>
      <c r="CI83" s="825"/>
      <c r="CJ83" s="825"/>
      <c r="CK83" s="825"/>
      <c r="CL83" s="825"/>
      <c r="CM83" s="825"/>
      <c r="CN83" s="825"/>
      <c r="CO83" s="825"/>
      <c r="CP83" s="825"/>
      <c r="CQ83" s="825"/>
      <c r="CR83" s="825"/>
      <c r="CS83" s="825"/>
      <c r="CT83" s="825"/>
      <c r="CU83" s="825"/>
      <c r="CV83" s="859"/>
      <c r="CW83" s="860"/>
      <c r="CX83" s="860"/>
      <c r="CY83" s="860"/>
      <c r="CZ83" s="876"/>
      <c r="DA83" s="859"/>
      <c r="DB83" s="860"/>
      <c r="DC83" s="860"/>
      <c r="DD83" s="860"/>
      <c r="DE83" s="878"/>
      <c r="DF83" s="828"/>
      <c r="DG83" s="825"/>
      <c r="DH83" s="825"/>
      <c r="DI83" s="825"/>
      <c r="DJ83" s="825"/>
      <c r="DK83" s="825"/>
      <c r="DL83" s="825"/>
      <c r="DM83" s="825"/>
      <c r="DN83" s="825"/>
      <c r="DO83" s="825"/>
      <c r="DP83" s="825"/>
      <c r="DQ83" s="825"/>
      <c r="DR83" s="825"/>
      <c r="DS83" s="825"/>
      <c r="DT83" s="825"/>
      <c r="DU83" s="825"/>
      <c r="DV83" s="825"/>
      <c r="DW83" s="825"/>
      <c r="DX83" s="825"/>
      <c r="DY83" s="825"/>
      <c r="DZ83" s="825"/>
      <c r="EA83" s="825"/>
      <c r="EB83" s="825"/>
      <c r="EC83" s="825"/>
      <c r="ED83" s="825"/>
      <c r="EE83" s="825"/>
      <c r="EF83" s="825"/>
      <c r="EG83" s="825"/>
      <c r="EH83" s="825"/>
      <c r="EI83" s="825"/>
      <c r="EJ83" s="825"/>
      <c r="EK83" s="825"/>
      <c r="EL83" s="825"/>
      <c r="EM83" s="825"/>
      <c r="EN83" s="825"/>
      <c r="EO83" s="825"/>
      <c r="EP83" s="825"/>
      <c r="EQ83" s="825"/>
      <c r="ER83" s="825"/>
      <c r="ES83" s="827"/>
      <c r="ET83" s="867">
        <f t="shared" ref="ET83" si="67">DF83+DK83+DP83+DU83+DZ83+EJ83+EE83+EO83</f>
        <v>0</v>
      </c>
      <c r="EU83" s="868"/>
      <c r="EV83" s="869"/>
      <c r="EW83" s="869"/>
      <c r="EX83" s="870"/>
      <c r="EY83" s="197"/>
      <c r="FA83" s="269"/>
      <c r="FB83" s="270"/>
      <c r="FC83" s="271"/>
    </row>
    <row r="84" spans="1:167" s="129" customFormat="1" ht="99.95" customHeight="1" x14ac:dyDescent="0.2">
      <c r="A84" s="555" t="s">
        <v>314</v>
      </c>
      <c r="B84" s="141" t="s">
        <v>286</v>
      </c>
      <c r="C84" s="823" t="s">
        <v>284</v>
      </c>
      <c r="D84" s="823"/>
      <c r="E84" s="823"/>
      <c r="F84" s="823"/>
      <c r="G84" s="823"/>
      <c r="H84" s="823"/>
      <c r="I84" s="823"/>
      <c r="J84" s="823"/>
      <c r="K84" s="823"/>
      <c r="L84" s="823"/>
      <c r="M84" s="823"/>
      <c r="N84" s="823"/>
      <c r="O84" s="823"/>
      <c r="P84" s="823"/>
      <c r="Q84" s="823"/>
      <c r="R84" s="823"/>
      <c r="S84" s="823"/>
      <c r="T84" s="823"/>
      <c r="U84" s="823"/>
      <c r="V84" s="823"/>
      <c r="W84" s="823"/>
      <c r="X84" s="823"/>
      <c r="Y84" s="823"/>
      <c r="Z84" s="851">
        <f t="shared" ref="Z84" si="68">+ET84*30</f>
        <v>180</v>
      </c>
      <c r="AA84" s="852"/>
      <c r="AB84" s="852"/>
      <c r="AC84" s="852"/>
      <c r="AD84" s="853"/>
      <c r="AE84" s="857"/>
      <c r="AF84" s="858"/>
      <c r="AG84" s="858"/>
      <c r="AH84" s="858"/>
      <c r="AI84" s="858"/>
      <c r="AJ84" s="861">
        <f t="shared" ref="AJ84" si="69">SUM(AO84:BH85)</f>
        <v>72</v>
      </c>
      <c r="AK84" s="862"/>
      <c r="AL84" s="862"/>
      <c r="AM84" s="862"/>
      <c r="AN84" s="863"/>
      <c r="AO84" s="861"/>
      <c r="AP84" s="862"/>
      <c r="AQ84" s="862"/>
      <c r="AR84" s="862"/>
      <c r="AS84" s="863"/>
      <c r="AT84" s="861">
        <v>72</v>
      </c>
      <c r="AU84" s="862"/>
      <c r="AV84" s="862"/>
      <c r="AW84" s="862"/>
      <c r="AX84" s="863"/>
      <c r="AY84" s="861"/>
      <c r="AZ84" s="862"/>
      <c r="BA84" s="862"/>
      <c r="BB84" s="862"/>
      <c r="BC84" s="863"/>
      <c r="BD84" s="861"/>
      <c r="BE84" s="862"/>
      <c r="BF84" s="862"/>
      <c r="BG84" s="862"/>
      <c r="BH84" s="863"/>
      <c r="BI84" s="861"/>
      <c r="BJ84" s="862"/>
      <c r="BK84" s="862"/>
      <c r="BL84" s="862"/>
      <c r="BM84" s="863"/>
      <c r="BN84" s="851">
        <f>Z84-AJ84</f>
        <v>108</v>
      </c>
      <c r="BO84" s="852"/>
      <c r="BP84" s="852"/>
      <c r="BQ84" s="879"/>
      <c r="BR84" s="881"/>
      <c r="BS84" s="858"/>
      <c r="BT84" s="858"/>
      <c r="BU84" s="858"/>
      <c r="BV84" s="858"/>
      <c r="BW84" s="825"/>
      <c r="BX84" s="825"/>
      <c r="BY84" s="825"/>
      <c r="BZ84" s="825"/>
      <c r="CA84" s="825"/>
      <c r="CB84" s="825"/>
      <c r="CC84" s="825"/>
      <c r="CD84" s="825"/>
      <c r="CE84" s="825"/>
      <c r="CF84" s="825"/>
      <c r="CG84" s="825"/>
      <c r="CH84" s="825"/>
      <c r="CI84" s="825"/>
      <c r="CJ84" s="825"/>
      <c r="CK84" s="825"/>
      <c r="CL84" s="825"/>
      <c r="CM84" s="825"/>
      <c r="CN84" s="825"/>
      <c r="CO84" s="825"/>
      <c r="CP84" s="825"/>
      <c r="CQ84" s="825"/>
      <c r="CR84" s="825"/>
      <c r="CS84" s="825"/>
      <c r="CT84" s="825"/>
      <c r="CU84" s="825"/>
      <c r="CV84" s="857"/>
      <c r="CW84" s="858"/>
      <c r="CX84" s="858"/>
      <c r="CY84" s="858"/>
      <c r="CZ84" s="875"/>
      <c r="DA84" s="857">
        <v>5</v>
      </c>
      <c r="DB84" s="858"/>
      <c r="DC84" s="858"/>
      <c r="DD84" s="858"/>
      <c r="DE84" s="877"/>
      <c r="DF84" s="828"/>
      <c r="DG84" s="825"/>
      <c r="DH84" s="825"/>
      <c r="DI84" s="825"/>
      <c r="DJ84" s="825"/>
      <c r="DK84" s="825"/>
      <c r="DL84" s="825"/>
      <c r="DM84" s="825"/>
      <c r="DN84" s="825"/>
      <c r="DO84" s="825"/>
      <c r="DP84" s="825"/>
      <c r="DQ84" s="825"/>
      <c r="DR84" s="825"/>
      <c r="DS84" s="825"/>
      <c r="DT84" s="825"/>
      <c r="DU84" s="825"/>
      <c r="DV84" s="825"/>
      <c r="DW84" s="825"/>
      <c r="DX84" s="825"/>
      <c r="DY84" s="825"/>
      <c r="DZ84" s="825"/>
      <c r="EA84" s="825"/>
      <c r="EB84" s="825"/>
      <c r="EC84" s="825"/>
      <c r="ED84" s="825"/>
      <c r="EE84" s="825"/>
      <c r="EF84" s="825"/>
      <c r="EG84" s="825"/>
      <c r="EH84" s="825"/>
      <c r="EI84" s="825"/>
      <c r="EJ84" s="825"/>
      <c r="EK84" s="825"/>
      <c r="EL84" s="825"/>
      <c r="EM84" s="825"/>
      <c r="EN84" s="825"/>
      <c r="EO84" s="825">
        <v>6</v>
      </c>
      <c r="EP84" s="825"/>
      <c r="EQ84" s="825"/>
      <c r="ER84" s="825"/>
      <c r="ES84" s="827"/>
      <c r="ET84" s="867">
        <f t="shared" ref="ET84" si="70">SUM(DF84:ES85)</f>
        <v>6</v>
      </c>
      <c r="EU84" s="868"/>
      <c r="EV84" s="869"/>
      <c r="EW84" s="869"/>
      <c r="EX84" s="870"/>
      <c r="EY84" s="197"/>
      <c r="FA84" s="269"/>
      <c r="FB84" s="270"/>
      <c r="FC84" s="271"/>
    </row>
    <row r="85" spans="1:167" s="129" customFormat="1" ht="84.95" customHeight="1" x14ac:dyDescent="0.2">
      <c r="A85" s="556"/>
      <c r="B85" s="141" t="s">
        <v>304</v>
      </c>
      <c r="C85" s="823" t="s">
        <v>184</v>
      </c>
      <c r="D85" s="823"/>
      <c r="E85" s="823"/>
      <c r="F85" s="823"/>
      <c r="G85" s="823"/>
      <c r="H85" s="823"/>
      <c r="I85" s="823"/>
      <c r="J85" s="823"/>
      <c r="K85" s="823"/>
      <c r="L85" s="823"/>
      <c r="M85" s="823"/>
      <c r="N85" s="823"/>
      <c r="O85" s="823"/>
      <c r="P85" s="823"/>
      <c r="Q85" s="823"/>
      <c r="R85" s="823"/>
      <c r="S85" s="823"/>
      <c r="T85" s="823"/>
      <c r="U85" s="823"/>
      <c r="V85" s="823"/>
      <c r="W85" s="823"/>
      <c r="X85" s="823"/>
      <c r="Y85" s="823"/>
      <c r="Z85" s="854"/>
      <c r="AA85" s="855"/>
      <c r="AB85" s="855"/>
      <c r="AC85" s="855"/>
      <c r="AD85" s="856"/>
      <c r="AE85" s="859"/>
      <c r="AF85" s="860"/>
      <c r="AG85" s="860"/>
      <c r="AH85" s="860"/>
      <c r="AI85" s="860"/>
      <c r="AJ85" s="864"/>
      <c r="AK85" s="865"/>
      <c r="AL85" s="865"/>
      <c r="AM85" s="865"/>
      <c r="AN85" s="866"/>
      <c r="AO85" s="864"/>
      <c r="AP85" s="865"/>
      <c r="AQ85" s="865"/>
      <c r="AR85" s="865"/>
      <c r="AS85" s="866"/>
      <c r="AT85" s="864"/>
      <c r="AU85" s="865"/>
      <c r="AV85" s="865"/>
      <c r="AW85" s="865"/>
      <c r="AX85" s="866"/>
      <c r="AY85" s="864"/>
      <c r="AZ85" s="865"/>
      <c r="BA85" s="865"/>
      <c r="BB85" s="865"/>
      <c r="BC85" s="866"/>
      <c r="BD85" s="864"/>
      <c r="BE85" s="865"/>
      <c r="BF85" s="865"/>
      <c r="BG85" s="865"/>
      <c r="BH85" s="866"/>
      <c r="BI85" s="864"/>
      <c r="BJ85" s="865"/>
      <c r="BK85" s="865"/>
      <c r="BL85" s="865"/>
      <c r="BM85" s="866"/>
      <c r="BN85" s="854"/>
      <c r="BO85" s="855"/>
      <c r="BP85" s="855"/>
      <c r="BQ85" s="880"/>
      <c r="BR85" s="882"/>
      <c r="BS85" s="860"/>
      <c r="BT85" s="860"/>
      <c r="BU85" s="860"/>
      <c r="BV85" s="860"/>
      <c r="BW85" s="825"/>
      <c r="BX85" s="825"/>
      <c r="BY85" s="825"/>
      <c r="BZ85" s="825"/>
      <c r="CA85" s="825"/>
      <c r="CB85" s="825"/>
      <c r="CC85" s="825"/>
      <c r="CD85" s="825"/>
      <c r="CE85" s="825"/>
      <c r="CF85" s="825"/>
      <c r="CG85" s="825"/>
      <c r="CH85" s="825"/>
      <c r="CI85" s="825"/>
      <c r="CJ85" s="825"/>
      <c r="CK85" s="825"/>
      <c r="CL85" s="825"/>
      <c r="CM85" s="825"/>
      <c r="CN85" s="825"/>
      <c r="CO85" s="825"/>
      <c r="CP85" s="825"/>
      <c r="CQ85" s="825"/>
      <c r="CR85" s="825"/>
      <c r="CS85" s="825"/>
      <c r="CT85" s="825"/>
      <c r="CU85" s="825"/>
      <c r="CV85" s="859"/>
      <c r="CW85" s="860"/>
      <c r="CX85" s="860"/>
      <c r="CY85" s="860"/>
      <c r="CZ85" s="876"/>
      <c r="DA85" s="859"/>
      <c r="DB85" s="860"/>
      <c r="DC85" s="860"/>
      <c r="DD85" s="860"/>
      <c r="DE85" s="878"/>
      <c r="DF85" s="828"/>
      <c r="DG85" s="825"/>
      <c r="DH85" s="825"/>
      <c r="DI85" s="825"/>
      <c r="DJ85" s="825"/>
      <c r="DK85" s="825"/>
      <c r="DL85" s="825"/>
      <c r="DM85" s="825"/>
      <c r="DN85" s="825"/>
      <c r="DO85" s="825"/>
      <c r="DP85" s="825"/>
      <c r="DQ85" s="825"/>
      <c r="DR85" s="825"/>
      <c r="DS85" s="825"/>
      <c r="DT85" s="825"/>
      <c r="DU85" s="825"/>
      <c r="DV85" s="825"/>
      <c r="DW85" s="825"/>
      <c r="DX85" s="825"/>
      <c r="DY85" s="825"/>
      <c r="DZ85" s="825"/>
      <c r="EA85" s="825"/>
      <c r="EB85" s="825"/>
      <c r="EC85" s="825"/>
      <c r="ED85" s="825"/>
      <c r="EE85" s="825"/>
      <c r="EF85" s="825"/>
      <c r="EG85" s="825"/>
      <c r="EH85" s="825"/>
      <c r="EI85" s="825"/>
      <c r="EJ85" s="825"/>
      <c r="EK85" s="825"/>
      <c r="EL85" s="825"/>
      <c r="EM85" s="825"/>
      <c r="EN85" s="825"/>
      <c r="EO85" s="825"/>
      <c r="EP85" s="825"/>
      <c r="EQ85" s="825"/>
      <c r="ER85" s="825"/>
      <c r="ES85" s="827"/>
      <c r="ET85" s="867">
        <f t="shared" ref="ET85" si="71">DF85+DK85+DP85+DU85+DZ85+EJ85+EE85+EO85</f>
        <v>0</v>
      </c>
      <c r="EU85" s="868"/>
      <c r="EV85" s="869"/>
      <c r="EW85" s="869"/>
      <c r="EX85" s="870"/>
      <c r="EY85" s="197"/>
      <c r="FA85" s="269"/>
      <c r="FB85" s="270"/>
      <c r="FC85" s="271"/>
    </row>
    <row r="86" spans="1:167" s="129" customFormat="1" ht="84.95" customHeight="1" x14ac:dyDescent="0.2">
      <c r="A86" s="555" t="s">
        <v>315</v>
      </c>
      <c r="B86" s="141" t="s">
        <v>191</v>
      </c>
      <c r="C86" s="823" t="s">
        <v>190</v>
      </c>
      <c r="D86" s="823"/>
      <c r="E86" s="823"/>
      <c r="F86" s="823"/>
      <c r="G86" s="823"/>
      <c r="H86" s="823"/>
      <c r="I86" s="823"/>
      <c r="J86" s="823"/>
      <c r="K86" s="823"/>
      <c r="L86" s="823"/>
      <c r="M86" s="823"/>
      <c r="N86" s="823"/>
      <c r="O86" s="823"/>
      <c r="P86" s="823"/>
      <c r="Q86" s="823"/>
      <c r="R86" s="823"/>
      <c r="S86" s="823"/>
      <c r="T86" s="823"/>
      <c r="U86" s="823"/>
      <c r="V86" s="823"/>
      <c r="W86" s="823"/>
      <c r="X86" s="823"/>
      <c r="Y86" s="823"/>
      <c r="Z86" s="851">
        <f t="shared" ref="Z86" si="72">+ET86*30</f>
        <v>180</v>
      </c>
      <c r="AA86" s="852"/>
      <c r="AB86" s="852"/>
      <c r="AC86" s="852"/>
      <c r="AD86" s="853"/>
      <c r="AE86" s="857"/>
      <c r="AF86" s="858"/>
      <c r="AG86" s="858"/>
      <c r="AH86" s="858"/>
      <c r="AI86" s="858"/>
      <c r="AJ86" s="861">
        <f t="shared" ref="AJ86" si="73">SUM(AO86:BH87)</f>
        <v>72</v>
      </c>
      <c r="AK86" s="862"/>
      <c r="AL86" s="862"/>
      <c r="AM86" s="862"/>
      <c r="AN86" s="863"/>
      <c r="AO86" s="861">
        <v>36</v>
      </c>
      <c r="AP86" s="862"/>
      <c r="AQ86" s="862"/>
      <c r="AR86" s="862"/>
      <c r="AS86" s="863"/>
      <c r="AT86" s="861">
        <v>36</v>
      </c>
      <c r="AU86" s="862"/>
      <c r="AV86" s="862"/>
      <c r="AW86" s="862"/>
      <c r="AX86" s="863"/>
      <c r="AY86" s="861"/>
      <c r="AZ86" s="862"/>
      <c r="BA86" s="862"/>
      <c r="BB86" s="862"/>
      <c r="BC86" s="863"/>
      <c r="BD86" s="861"/>
      <c r="BE86" s="862"/>
      <c r="BF86" s="862"/>
      <c r="BG86" s="862"/>
      <c r="BH86" s="863"/>
      <c r="BI86" s="861"/>
      <c r="BJ86" s="862"/>
      <c r="BK86" s="862"/>
      <c r="BL86" s="862"/>
      <c r="BM86" s="863"/>
      <c r="BN86" s="851">
        <f>Z86-AJ86</f>
        <v>108</v>
      </c>
      <c r="BO86" s="852"/>
      <c r="BP86" s="852"/>
      <c r="BQ86" s="879"/>
      <c r="BR86" s="881"/>
      <c r="BS86" s="858"/>
      <c r="BT86" s="858"/>
      <c r="BU86" s="858"/>
      <c r="BV86" s="858"/>
      <c r="BW86" s="825"/>
      <c r="BX86" s="825"/>
      <c r="BY86" s="825"/>
      <c r="BZ86" s="825"/>
      <c r="CA86" s="825"/>
      <c r="CB86" s="825"/>
      <c r="CC86" s="825"/>
      <c r="CD86" s="825"/>
      <c r="CE86" s="825"/>
      <c r="CF86" s="825"/>
      <c r="CG86" s="825"/>
      <c r="CH86" s="825"/>
      <c r="CI86" s="825"/>
      <c r="CJ86" s="825"/>
      <c r="CK86" s="825"/>
      <c r="CL86" s="825"/>
      <c r="CM86" s="825"/>
      <c r="CN86" s="825"/>
      <c r="CO86" s="825"/>
      <c r="CP86" s="825"/>
      <c r="CQ86" s="825"/>
      <c r="CR86" s="825"/>
      <c r="CS86" s="825"/>
      <c r="CT86" s="825"/>
      <c r="CU86" s="825"/>
      <c r="CV86" s="857"/>
      <c r="CW86" s="858"/>
      <c r="CX86" s="858"/>
      <c r="CY86" s="858"/>
      <c r="CZ86" s="875"/>
      <c r="DA86" s="857">
        <v>5</v>
      </c>
      <c r="DB86" s="858"/>
      <c r="DC86" s="858"/>
      <c r="DD86" s="858"/>
      <c r="DE86" s="877"/>
      <c r="DF86" s="828"/>
      <c r="DG86" s="825"/>
      <c r="DH86" s="825"/>
      <c r="DI86" s="825"/>
      <c r="DJ86" s="825"/>
      <c r="DK86" s="825"/>
      <c r="DL86" s="825"/>
      <c r="DM86" s="825"/>
      <c r="DN86" s="825"/>
      <c r="DO86" s="825"/>
      <c r="DP86" s="825"/>
      <c r="DQ86" s="825"/>
      <c r="DR86" s="825"/>
      <c r="DS86" s="825"/>
      <c r="DT86" s="825"/>
      <c r="DU86" s="825"/>
      <c r="DV86" s="825"/>
      <c r="DW86" s="825"/>
      <c r="DX86" s="825"/>
      <c r="DY86" s="825"/>
      <c r="DZ86" s="825"/>
      <c r="EA86" s="825"/>
      <c r="EB86" s="825"/>
      <c r="EC86" s="825"/>
      <c r="ED86" s="825"/>
      <c r="EE86" s="825"/>
      <c r="EF86" s="825"/>
      <c r="EG86" s="825"/>
      <c r="EH86" s="825"/>
      <c r="EI86" s="825"/>
      <c r="EJ86" s="825"/>
      <c r="EK86" s="825"/>
      <c r="EL86" s="825"/>
      <c r="EM86" s="825"/>
      <c r="EN86" s="825"/>
      <c r="EO86" s="825">
        <v>6</v>
      </c>
      <c r="EP86" s="825"/>
      <c r="EQ86" s="825"/>
      <c r="ER86" s="825"/>
      <c r="ES86" s="827"/>
      <c r="ET86" s="867">
        <f t="shared" ref="ET86" si="74">SUM(DF86:ES87)</f>
        <v>6</v>
      </c>
      <c r="EU86" s="868"/>
      <c r="EV86" s="869"/>
      <c r="EW86" s="869"/>
      <c r="EX86" s="870"/>
      <c r="EY86" s="197"/>
      <c r="FA86" s="269"/>
      <c r="FB86" s="270"/>
      <c r="FC86" s="271"/>
    </row>
    <row r="87" spans="1:167" s="129" customFormat="1" ht="84.95" customHeight="1" x14ac:dyDescent="0.2">
      <c r="A87" s="556"/>
      <c r="B87" s="141" t="s">
        <v>196</v>
      </c>
      <c r="C87" s="823" t="s">
        <v>195</v>
      </c>
      <c r="D87" s="823"/>
      <c r="E87" s="823"/>
      <c r="F87" s="823"/>
      <c r="G87" s="823"/>
      <c r="H87" s="823"/>
      <c r="I87" s="823"/>
      <c r="J87" s="823"/>
      <c r="K87" s="823"/>
      <c r="L87" s="823"/>
      <c r="M87" s="823"/>
      <c r="N87" s="823"/>
      <c r="O87" s="823"/>
      <c r="P87" s="823"/>
      <c r="Q87" s="823"/>
      <c r="R87" s="823"/>
      <c r="S87" s="823"/>
      <c r="T87" s="823"/>
      <c r="U87" s="823"/>
      <c r="V87" s="823"/>
      <c r="W87" s="823"/>
      <c r="X87" s="823"/>
      <c r="Y87" s="823"/>
      <c r="Z87" s="854"/>
      <c r="AA87" s="855"/>
      <c r="AB87" s="855"/>
      <c r="AC87" s="855"/>
      <c r="AD87" s="856"/>
      <c r="AE87" s="859"/>
      <c r="AF87" s="860"/>
      <c r="AG87" s="860"/>
      <c r="AH87" s="860"/>
      <c r="AI87" s="860"/>
      <c r="AJ87" s="864"/>
      <c r="AK87" s="865"/>
      <c r="AL87" s="865"/>
      <c r="AM87" s="865"/>
      <c r="AN87" s="866"/>
      <c r="AO87" s="864"/>
      <c r="AP87" s="865"/>
      <c r="AQ87" s="865"/>
      <c r="AR87" s="865"/>
      <c r="AS87" s="866"/>
      <c r="AT87" s="864"/>
      <c r="AU87" s="865"/>
      <c r="AV87" s="865"/>
      <c r="AW87" s="865"/>
      <c r="AX87" s="866"/>
      <c r="AY87" s="864"/>
      <c r="AZ87" s="865"/>
      <c r="BA87" s="865"/>
      <c r="BB87" s="865"/>
      <c r="BC87" s="866"/>
      <c r="BD87" s="864"/>
      <c r="BE87" s="865"/>
      <c r="BF87" s="865"/>
      <c r="BG87" s="865"/>
      <c r="BH87" s="866"/>
      <c r="BI87" s="864"/>
      <c r="BJ87" s="865"/>
      <c r="BK87" s="865"/>
      <c r="BL87" s="865"/>
      <c r="BM87" s="866"/>
      <c r="BN87" s="854"/>
      <c r="BO87" s="855"/>
      <c r="BP87" s="855"/>
      <c r="BQ87" s="880"/>
      <c r="BR87" s="882"/>
      <c r="BS87" s="860"/>
      <c r="BT87" s="860"/>
      <c r="BU87" s="860"/>
      <c r="BV87" s="860"/>
      <c r="BW87" s="825"/>
      <c r="BX87" s="825"/>
      <c r="BY87" s="825"/>
      <c r="BZ87" s="825"/>
      <c r="CA87" s="825"/>
      <c r="CB87" s="825"/>
      <c r="CC87" s="825"/>
      <c r="CD87" s="825"/>
      <c r="CE87" s="825"/>
      <c r="CF87" s="825"/>
      <c r="CG87" s="825"/>
      <c r="CH87" s="825"/>
      <c r="CI87" s="825"/>
      <c r="CJ87" s="825"/>
      <c r="CK87" s="825"/>
      <c r="CL87" s="825"/>
      <c r="CM87" s="825"/>
      <c r="CN87" s="825"/>
      <c r="CO87" s="825"/>
      <c r="CP87" s="825"/>
      <c r="CQ87" s="825"/>
      <c r="CR87" s="825"/>
      <c r="CS87" s="825"/>
      <c r="CT87" s="825"/>
      <c r="CU87" s="825"/>
      <c r="CV87" s="859"/>
      <c r="CW87" s="860"/>
      <c r="CX87" s="860"/>
      <c r="CY87" s="860"/>
      <c r="CZ87" s="876"/>
      <c r="DA87" s="859"/>
      <c r="DB87" s="860"/>
      <c r="DC87" s="860"/>
      <c r="DD87" s="860"/>
      <c r="DE87" s="878"/>
      <c r="DF87" s="828"/>
      <c r="DG87" s="825"/>
      <c r="DH87" s="825"/>
      <c r="DI87" s="825"/>
      <c r="DJ87" s="825"/>
      <c r="DK87" s="825"/>
      <c r="DL87" s="825"/>
      <c r="DM87" s="825"/>
      <c r="DN87" s="825"/>
      <c r="DO87" s="825"/>
      <c r="DP87" s="825"/>
      <c r="DQ87" s="825"/>
      <c r="DR87" s="825"/>
      <c r="DS87" s="825"/>
      <c r="DT87" s="825"/>
      <c r="DU87" s="825"/>
      <c r="DV87" s="825"/>
      <c r="DW87" s="825"/>
      <c r="DX87" s="825"/>
      <c r="DY87" s="825"/>
      <c r="DZ87" s="825"/>
      <c r="EA87" s="825"/>
      <c r="EB87" s="825"/>
      <c r="EC87" s="825"/>
      <c r="ED87" s="825"/>
      <c r="EE87" s="825"/>
      <c r="EF87" s="825"/>
      <c r="EG87" s="825"/>
      <c r="EH87" s="825"/>
      <c r="EI87" s="825"/>
      <c r="EJ87" s="825"/>
      <c r="EK87" s="825"/>
      <c r="EL87" s="825"/>
      <c r="EM87" s="825"/>
      <c r="EN87" s="825"/>
      <c r="EO87" s="825"/>
      <c r="EP87" s="825"/>
      <c r="EQ87" s="825"/>
      <c r="ER87" s="825"/>
      <c r="ES87" s="827"/>
      <c r="ET87" s="867">
        <f t="shared" ref="ET87" si="75">DF87+DK87+DP87+DU87+DZ87+EJ87+EE87+EO87</f>
        <v>0</v>
      </c>
      <c r="EU87" s="868"/>
      <c r="EV87" s="869"/>
      <c r="EW87" s="869"/>
      <c r="EX87" s="870"/>
      <c r="EY87" s="197"/>
      <c r="FA87" s="269"/>
      <c r="FB87" s="270"/>
      <c r="FC87" s="271"/>
    </row>
    <row r="88" spans="1:167" s="84" customFormat="1" ht="84.95" customHeight="1" x14ac:dyDescent="0.45">
      <c r="A88" s="168"/>
      <c r="B88" s="63"/>
      <c r="C88" s="886" t="s">
        <v>84</v>
      </c>
      <c r="D88" s="886"/>
      <c r="E88" s="886"/>
      <c r="F88" s="886"/>
      <c r="G88" s="886"/>
      <c r="H88" s="886"/>
      <c r="I88" s="886"/>
      <c r="J88" s="886"/>
      <c r="K88" s="886"/>
      <c r="L88" s="886"/>
      <c r="M88" s="886"/>
      <c r="N88" s="886"/>
      <c r="O88" s="886"/>
      <c r="P88" s="886"/>
      <c r="Q88" s="886"/>
      <c r="R88" s="886"/>
      <c r="S88" s="886"/>
      <c r="T88" s="886"/>
      <c r="U88" s="886"/>
      <c r="V88" s="886"/>
      <c r="W88" s="886"/>
      <c r="X88" s="886"/>
      <c r="Y88" s="886"/>
      <c r="Z88" s="793">
        <f>Z53+Z36</f>
        <v>5970</v>
      </c>
      <c r="AA88" s="794"/>
      <c r="AB88" s="794"/>
      <c r="AC88" s="794"/>
      <c r="AD88" s="795"/>
      <c r="AE88" s="792">
        <f>Z88/$Z$92*100</f>
        <v>82.916666666666671</v>
      </c>
      <c r="AF88" s="792"/>
      <c r="AG88" s="792"/>
      <c r="AH88" s="792"/>
      <c r="AI88" s="792"/>
      <c r="AJ88" s="803">
        <f>AJ53+AJ36</f>
        <v>2442</v>
      </c>
      <c r="AK88" s="887"/>
      <c r="AL88" s="887"/>
      <c r="AM88" s="887"/>
      <c r="AN88" s="887"/>
      <c r="AO88" s="803">
        <f>AO53+AO36</f>
        <v>998</v>
      </c>
      <c r="AP88" s="887"/>
      <c r="AQ88" s="887"/>
      <c r="AR88" s="887"/>
      <c r="AS88" s="887"/>
      <c r="AT88" s="803">
        <f>AT53+AT36</f>
        <v>974</v>
      </c>
      <c r="AU88" s="887"/>
      <c r="AV88" s="887"/>
      <c r="AW88" s="887"/>
      <c r="AX88" s="887"/>
      <c r="AY88" s="803">
        <f>AY53+AY36</f>
        <v>470</v>
      </c>
      <c r="AZ88" s="887"/>
      <c r="BA88" s="887"/>
      <c r="BB88" s="887"/>
      <c r="BC88" s="887"/>
      <c r="BD88" s="803">
        <f>BD53+BD36</f>
        <v>0</v>
      </c>
      <c r="BE88" s="887"/>
      <c r="BF88" s="887"/>
      <c r="BG88" s="887"/>
      <c r="BH88" s="887"/>
      <c r="BI88" s="803">
        <f>BI53+BI36</f>
        <v>0</v>
      </c>
      <c r="BJ88" s="887"/>
      <c r="BK88" s="887"/>
      <c r="BL88" s="887"/>
      <c r="BM88" s="887"/>
      <c r="BN88" s="804">
        <f>BN53+BN36</f>
        <v>3528</v>
      </c>
      <c r="BO88" s="896"/>
      <c r="BP88" s="896"/>
      <c r="BQ88" s="897"/>
      <c r="BR88" s="811">
        <f>BR53+BR36</f>
        <v>17</v>
      </c>
      <c r="BS88" s="800"/>
      <c r="BT88" s="800"/>
      <c r="BU88" s="800"/>
      <c r="BV88" s="800"/>
      <c r="BW88" s="893">
        <f>BW53+BW36</f>
        <v>8</v>
      </c>
      <c r="BX88" s="894"/>
      <c r="BY88" s="894"/>
      <c r="BZ88" s="894"/>
      <c r="CA88" s="888"/>
      <c r="CB88" s="893">
        <f>CB53+CB36</f>
        <v>24</v>
      </c>
      <c r="CC88" s="894"/>
      <c r="CD88" s="894"/>
      <c r="CE88" s="894"/>
      <c r="CF88" s="888"/>
      <c r="CG88" s="893">
        <f>CG53+CG36</f>
        <v>24</v>
      </c>
      <c r="CH88" s="894"/>
      <c r="CI88" s="894"/>
      <c r="CJ88" s="894"/>
      <c r="CK88" s="888"/>
      <c r="CL88" s="893">
        <f>CL53+CL36</f>
        <v>23</v>
      </c>
      <c r="CM88" s="894"/>
      <c r="CN88" s="894"/>
      <c r="CO88" s="894"/>
      <c r="CP88" s="888"/>
      <c r="CQ88" s="893">
        <f>CQ53+CQ36</f>
        <v>24</v>
      </c>
      <c r="CR88" s="894"/>
      <c r="CS88" s="894"/>
      <c r="CT88" s="894"/>
      <c r="CU88" s="888"/>
      <c r="CV88" s="893">
        <f>CV53+CV36</f>
        <v>18</v>
      </c>
      <c r="CW88" s="894"/>
      <c r="CX88" s="894"/>
      <c r="CY88" s="894"/>
      <c r="CZ88" s="888"/>
      <c r="DA88" s="893">
        <f>DA53+DA36</f>
        <v>18</v>
      </c>
      <c r="DB88" s="894"/>
      <c r="DC88" s="894"/>
      <c r="DD88" s="894"/>
      <c r="DE88" s="895"/>
      <c r="DF88" s="811">
        <f>DF53+DF36</f>
        <v>30</v>
      </c>
      <c r="DG88" s="800"/>
      <c r="DH88" s="800"/>
      <c r="DI88" s="800"/>
      <c r="DJ88" s="800"/>
      <c r="DK88" s="888">
        <f>DK53+DK36</f>
        <v>27</v>
      </c>
      <c r="DL88" s="800"/>
      <c r="DM88" s="800"/>
      <c r="DN88" s="800"/>
      <c r="DO88" s="800"/>
      <c r="DP88" s="888">
        <f>DP53+DP36</f>
        <v>24</v>
      </c>
      <c r="DQ88" s="800"/>
      <c r="DR88" s="800"/>
      <c r="DS88" s="800"/>
      <c r="DT88" s="800"/>
      <c r="DU88" s="888">
        <f>DU53+DU36</f>
        <v>24</v>
      </c>
      <c r="DV88" s="800"/>
      <c r="DW88" s="800"/>
      <c r="DX88" s="800"/>
      <c r="DY88" s="800"/>
      <c r="DZ88" s="888">
        <f>DZ53+DZ36</f>
        <v>24</v>
      </c>
      <c r="EA88" s="800"/>
      <c r="EB88" s="800"/>
      <c r="EC88" s="800"/>
      <c r="ED88" s="800"/>
      <c r="EE88" s="888">
        <f>EE53+EE36</f>
        <v>24</v>
      </c>
      <c r="EF88" s="800"/>
      <c r="EG88" s="800"/>
      <c r="EH88" s="800"/>
      <c r="EI88" s="800"/>
      <c r="EJ88" s="888">
        <f>EJ53+EJ36</f>
        <v>24</v>
      </c>
      <c r="EK88" s="800"/>
      <c r="EL88" s="800"/>
      <c r="EM88" s="800"/>
      <c r="EN88" s="800"/>
      <c r="EO88" s="888">
        <f>EO53+EO36</f>
        <v>22</v>
      </c>
      <c r="EP88" s="800"/>
      <c r="EQ88" s="800"/>
      <c r="ER88" s="800"/>
      <c r="ES88" s="801"/>
      <c r="ET88" s="802">
        <f>ET53+ET36</f>
        <v>199</v>
      </c>
      <c r="EU88" s="803"/>
      <c r="EV88" s="804"/>
      <c r="EW88" s="804"/>
      <c r="EX88" s="805"/>
      <c r="EY88" s="199"/>
      <c r="FA88" s="277"/>
      <c r="FB88" s="278"/>
      <c r="FC88" s="279"/>
    </row>
    <row r="89" spans="1:167" s="85" customFormat="1" ht="99.95" customHeight="1" x14ac:dyDescent="0.2">
      <c r="A89" s="166"/>
      <c r="B89" s="61"/>
      <c r="C89" s="902" t="s">
        <v>85</v>
      </c>
      <c r="D89" s="902"/>
      <c r="E89" s="902"/>
      <c r="F89" s="902"/>
      <c r="G89" s="902"/>
      <c r="H89" s="902"/>
      <c r="I89" s="902"/>
      <c r="J89" s="902"/>
      <c r="K89" s="902"/>
      <c r="L89" s="902"/>
      <c r="M89" s="902"/>
      <c r="N89" s="902"/>
      <c r="O89" s="902"/>
      <c r="P89" s="902"/>
      <c r="Q89" s="902"/>
      <c r="R89" s="902"/>
      <c r="S89" s="902"/>
      <c r="T89" s="902"/>
      <c r="U89" s="902"/>
      <c r="V89" s="902"/>
      <c r="W89" s="902"/>
      <c r="X89" s="902"/>
      <c r="Y89" s="902"/>
      <c r="Z89" s="807">
        <f>+ET89*30</f>
        <v>1230</v>
      </c>
      <c r="AA89" s="807"/>
      <c r="AB89" s="807"/>
      <c r="AC89" s="807"/>
      <c r="AD89" s="807"/>
      <c r="AE89" s="889"/>
      <c r="AF89" s="889"/>
      <c r="AG89" s="889"/>
      <c r="AH89" s="889"/>
      <c r="AI89" s="889"/>
      <c r="AJ89" s="810">
        <f t="shared" ref="AJ89:AJ90" si="76">AO89+AT89+AY89+BD89+BI89</f>
        <v>0</v>
      </c>
      <c r="AK89" s="810"/>
      <c r="AL89" s="810"/>
      <c r="AM89" s="810"/>
      <c r="AN89" s="810"/>
      <c r="AO89" s="890"/>
      <c r="AP89" s="891"/>
      <c r="AQ89" s="891"/>
      <c r="AR89" s="891"/>
      <c r="AS89" s="892"/>
      <c r="AT89" s="810"/>
      <c r="AU89" s="810"/>
      <c r="AV89" s="810"/>
      <c r="AW89" s="810"/>
      <c r="AX89" s="810"/>
      <c r="AY89" s="810"/>
      <c r="AZ89" s="810"/>
      <c r="BA89" s="810"/>
      <c r="BB89" s="810"/>
      <c r="BC89" s="810"/>
      <c r="BD89" s="810"/>
      <c r="BE89" s="810"/>
      <c r="BF89" s="810"/>
      <c r="BG89" s="810"/>
      <c r="BH89" s="810"/>
      <c r="BI89" s="810"/>
      <c r="BJ89" s="810"/>
      <c r="BK89" s="810"/>
      <c r="BL89" s="810"/>
      <c r="BM89" s="810"/>
      <c r="BN89" s="890"/>
      <c r="BO89" s="891"/>
      <c r="BP89" s="891"/>
      <c r="BQ89" s="906"/>
      <c r="BR89" s="907"/>
      <c r="BS89" s="904"/>
      <c r="BT89" s="904"/>
      <c r="BU89" s="904"/>
      <c r="BV89" s="904"/>
      <c r="BW89" s="904"/>
      <c r="BX89" s="904"/>
      <c r="BY89" s="904"/>
      <c r="BZ89" s="904"/>
      <c r="CA89" s="904"/>
      <c r="CB89" s="904"/>
      <c r="CC89" s="904"/>
      <c r="CD89" s="904"/>
      <c r="CE89" s="904"/>
      <c r="CF89" s="904"/>
      <c r="CG89" s="904"/>
      <c r="CH89" s="904"/>
      <c r="CI89" s="904"/>
      <c r="CJ89" s="904"/>
      <c r="CK89" s="904"/>
      <c r="CL89" s="904"/>
      <c r="CM89" s="904"/>
      <c r="CN89" s="904"/>
      <c r="CO89" s="904"/>
      <c r="CP89" s="904"/>
      <c r="CQ89" s="904"/>
      <c r="CR89" s="904"/>
      <c r="CS89" s="904"/>
      <c r="CT89" s="904"/>
      <c r="CU89" s="904"/>
      <c r="CV89" s="904"/>
      <c r="CW89" s="904"/>
      <c r="CX89" s="904"/>
      <c r="CY89" s="904"/>
      <c r="CZ89" s="904"/>
      <c r="DA89" s="904"/>
      <c r="DB89" s="904"/>
      <c r="DC89" s="904"/>
      <c r="DD89" s="904"/>
      <c r="DE89" s="905"/>
      <c r="DF89" s="821"/>
      <c r="DG89" s="808"/>
      <c r="DH89" s="808"/>
      <c r="DI89" s="808"/>
      <c r="DJ89" s="808"/>
      <c r="DK89" s="808">
        <v>3</v>
      </c>
      <c r="DL89" s="808"/>
      <c r="DM89" s="808"/>
      <c r="DN89" s="808"/>
      <c r="DO89" s="808"/>
      <c r="DP89" s="898">
        <v>6</v>
      </c>
      <c r="DQ89" s="899"/>
      <c r="DR89" s="899"/>
      <c r="DS89" s="899"/>
      <c r="DT89" s="900"/>
      <c r="DU89" s="898">
        <v>6</v>
      </c>
      <c r="DV89" s="899"/>
      <c r="DW89" s="899"/>
      <c r="DX89" s="899"/>
      <c r="DY89" s="900"/>
      <c r="DZ89" s="898">
        <v>6</v>
      </c>
      <c r="EA89" s="899"/>
      <c r="EB89" s="899"/>
      <c r="EC89" s="899"/>
      <c r="ED89" s="900"/>
      <c r="EE89" s="898">
        <v>6</v>
      </c>
      <c r="EF89" s="899"/>
      <c r="EG89" s="899"/>
      <c r="EH89" s="899"/>
      <c r="EI89" s="900"/>
      <c r="EJ89" s="898">
        <v>6</v>
      </c>
      <c r="EK89" s="899"/>
      <c r="EL89" s="899"/>
      <c r="EM89" s="899"/>
      <c r="EN89" s="900"/>
      <c r="EO89" s="898">
        <v>8</v>
      </c>
      <c r="EP89" s="899"/>
      <c r="EQ89" s="899"/>
      <c r="ER89" s="899"/>
      <c r="ES89" s="901"/>
      <c r="ET89" s="815">
        <f t="shared" ref="ET89:ET90" si="77">DF89+DK89+DP89+DU89+DZ89+EJ89+EE89+EO89</f>
        <v>41</v>
      </c>
      <c r="EU89" s="816"/>
      <c r="EV89" s="817"/>
      <c r="EW89" s="817"/>
      <c r="EX89" s="818"/>
      <c r="EY89" s="198"/>
      <c r="FA89" s="266"/>
      <c r="FB89" s="267"/>
      <c r="FC89" s="268"/>
    </row>
    <row r="90" spans="1:167" s="84" customFormat="1" ht="84.95" customHeight="1" x14ac:dyDescent="0.45">
      <c r="A90" s="166"/>
      <c r="B90" s="61"/>
      <c r="C90" s="902" t="s">
        <v>18</v>
      </c>
      <c r="D90" s="902"/>
      <c r="E90" s="902"/>
      <c r="F90" s="902"/>
      <c r="G90" s="902"/>
      <c r="H90" s="902"/>
      <c r="I90" s="902"/>
      <c r="J90" s="902"/>
      <c r="K90" s="902"/>
      <c r="L90" s="902"/>
      <c r="M90" s="902"/>
      <c r="N90" s="902"/>
      <c r="O90" s="902"/>
      <c r="P90" s="902"/>
      <c r="Q90" s="902"/>
      <c r="R90" s="902"/>
      <c r="S90" s="902"/>
      <c r="T90" s="902"/>
      <c r="U90" s="902"/>
      <c r="V90" s="902"/>
      <c r="W90" s="902"/>
      <c r="X90" s="902"/>
      <c r="Y90" s="902"/>
      <c r="Z90" s="807">
        <f t="shared" ref="Z90" si="78">(DF90+DK90+DP90+DU90+DZ90+EE90+EJ90+EO90)*30</f>
        <v>0</v>
      </c>
      <c r="AA90" s="807"/>
      <c r="AB90" s="807"/>
      <c r="AC90" s="807"/>
      <c r="AD90" s="807"/>
      <c r="AE90" s="903"/>
      <c r="AF90" s="903"/>
      <c r="AG90" s="903"/>
      <c r="AH90" s="903"/>
      <c r="AI90" s="903"/>
      <c r="AJ90" s="810">
        <f t="shared" si="76"/>
        <v>0</v>
      </c>
      <c r="AK90" s="810"/>
      <c r="AL90" s="810"/>
      <c r="AM90" s="810"/>
      <c r="AN90" s="810"/>
      <c r="AO90" s="890"/>
      <c r="AP90" s="891"/>
      <c r="AQ90" s="891"/>
      <c r="AR90" s="891"/>
      <c r="AS90" s="892"/>
      <c r="AT90" s="810"/>
      <c r="AU90" s="810"/>
      <c r="AV90" s="810"/>
      <c r="AW90" s="810"/>
      <c r="AX90" s="810"/>
      <c r="AY90" s="810"/>
      <c r="AZ90" s="810"/>
      <c r="BA90" s="810"/>
      <c r="BB90" s="810"/>
      <c r="BC90" s="810"/>
      <c r="BD90" s="810"/>
      <c r="BE90" s="810"/>
      <c r="BF90" s="810"/>
      <c r="BG90" s="810"/>
      <c r="BH90" s="810"/>
      <c r="BI90" s="810"/>
      <c r="BJ90" s="810"/>
      <c r="BK90" s="810"/>
      <c r="BL90" s="810"/>
      <c r="BM90" s="810"/>
      <c r="BN90" s="890"/>
      <c r="BO90" s="891"/>
      <c r="BP90" s="891"/>
      <c r="BQ90" s="906"/>
      <c r="BR90" s="907"/>
      <c r="BS90" s="904"/>
      <c r="BT90" s="904"/>
      <c r="BU90" s="904"/>
      <c r="BV90" s="904"/>
      <c r="BW90" s="904"/>
      <c r="BX90" s="904"/>
      <c r="BY90" s="904"/>
      <c r="BZ90" s="904"/>
      <c r="CA90" s="904"/>
      <c r="CB90" s="904"/>
      <c r="CC90" s="904"/>
      <c r="CD90" s="904"/>
      <c r="CE90" s="904"/>
      <c r="CF90" s="904"/>
      <c r="CG90" s="904"/>
      <c r="CH90" s="904"/>
      <c r="CI90" s="904"/>
      <c r="CJ90" s="904"/>
      <c r="CK90" s="904"/>
      <c r="CL90" s="904"/>
      <c r="CM90" s="904"/>
      <c r="CN90" s="904"/>
      <c r="CO90" s="904"/>
      <c r="CP90" s="904"/>
      <c r="CQ90" s="904"/>
      <c r="CR90" s="904"/>
      <c r="CS90" s="904"/>
      <c r="CT90" s="904"/>
      <c r="CU90" s="904"/>
      <c r="CV90" s="904"/>
      <c r="CW90" s="904"/>
      <c r="CX90" s="904"/>
      <c r="CY90" s="904"/>
      <c r="CZ90" s="904"/>
      <c r="DA90" s="904"/>
      <c r="DB90" s="904"/>
      <c r="DC90" s="904"/>
      <c r="DD90" s="904"/>
      <c r="DE90" s="905"/>
      <c r="DF90" s="821"/>
      <c r="DG90" s="808"/>
      <c r="DH90" s="808"/>
      <c r="DI90" s="808"/>
      <c r="DJ90" s="808"/>
      <c r="DK90" s="808"/>
      <c r="DL90" s="808"/>
      <c r="DM90" s="808"/>
      <c r="DN90" s="808"/>
      <c r="DO90" s="808"/>
      <c r="DP90" s="808"/>
      <c r="DQ90" s="808"/>
      <c r="DR90" s="808"/>
      <c r="DS90" s="808"/>
      <c r="DT90" s="808"/>
      <c r="DU90" s="808"/>
      <c r="DV90" s="808"/>
      <c r="DW90" s="808"/>
      <c r="DX90" s="808"/>
      <c r="DY90" s="808"/>
      <c r="DZ90" s="808"/>
      <c r="EA90" s="808"/>
      <c r="EB90" s="808"/>
      <c r="EC90" s="808"/>
      <c r="ED90" s="808"/>
      <c r="EE90" s="808"/>
      <c r="EF90" s="808"/>
      <c r="EG90" s="808"/>
      <c r="EH90" s="808"/>
      <c r="EI90" s="808"/>
      <c r="EJ90" s="808"/>
      <c r="EK90" s="808"/>
      <c r="EL90" s="808"/>
      <c r="EM90" s="808"/>
      <c r="EN90" s="808"/>
      <c r="EO90" s="808"/>
      <c r="EP90" s="808"/>
      <c r="EQ90" s="808"/>
      <c r="ER90" s="808"/>
      <c r="ES90" s="814"/>
      <c r="ET90" s="815">
        <f t="shared" si="77"/>
        <v>0</v>
      </c>
      <c r="EU90" s="816"/>
      <c r="EV90" s="817"/>
      <c r="EW90" s="817"/>
      <c r="EX90" s="818"/>
      <c r="EY90" s="199"/>
      <c r="FA90" s="277"/>
      <c r="FB90" s="278"/>
      <c r="FC90" s="279"/>
    </row>
    <row r="91" spans="1:167" s="84" customFormat="1" ht="84.95" customHeight="1" x14ac:dyDescent="0.45">
      <c r="A91" s="168"/>
      <c r="B91" s="63"/>
      <c r="C91" s="886" t="s">
        <v>84</v>
      </c>
      <c r="D91" s="886"/>
      <c r="E91" s="886"/>
      <c r="F91" s="886"/>
      <c r="G91" s="886"/>
      <c r="H91" s="886"/>
      <c r="I91" s="886"/>
      <c r="J91" s="886"/>
      <c r="K91" s="886"/>
      <c r="L91" s="886"/>
      <c r="M91" s="886"/>
      <c r="N91" s="886"/>
      <c r="O91" s="886"/>
      <c r="P91" s="886"/>
      <c r="Q91" s="886"/>
      <c r="R91" s="886"/>
      <c r="S91" s="886"/>
      <c r="T91" s="886"/>
      <c r="U91" s="886"/>
      <c r="V91" s="886"/>
      <c r="W91" s="886"/>
      <c r="X91" s="886"/>
      <c r="Y91" s="886"/>
      <c r="Z91" s="887">
        <f>Z89+Z90</f>
        <v>1230</v>
      </c>
      <c r="AA91" s="887"/>
      <c r="AB91" s="887"/>
      <c r="AC91" s="887"/>
      <c r="AD91" s="887"/>
      <c r="AE91" s="792">
        <f>Z91/$Z$92*100</f>
        <v>17.083333333333332</v>
      </c>
      <c r="AF91" s="792"/>
      <c r="AG91" s="792"/>
      <c r="AH91" s="792"/>
      <c r="AI91" s="792"/>
      <c r="AJ91" s="887">
        <f>AJ89+AJ90</f>
        <v>0</v>
      </c>
      <c r="AK91" s="887"/>
      <c r="AL91" s="887"/>
      <c r="AM91" s="887"/>
      <c r="AN91" s="887"/>
      <c r="AO91" s="908">
        <f>AO89+AO90</f>
        <v>0</v>
      </c>
      <c r="AP91" s="896"/>
      <c r="AQ91" s="896"/>
      <c r="AR91" s="896"/>
      <c r="AS91" s="909"/>
      <c r="AT91" s="908">
        <f t="shared" ref="AT91" si="79">AT89+AT90</f>
        <v>0</v>
      </c>
      <c r="AU91" s="896"/>
      <c r="AV91" s="896"/>
      <c r="AW91" s="896"/>
      <c r="AX91" s="909"/>
      <c r="AY91" s="908">
        <f t="shared" ref="AY91" si="80">AY89+AY90</f>
        <v>0</v>
      </c>
      <c r="AZ91" s="896"/>
      <c r="BA91" s="896"/>
      <c r="BB91" s="896"/>
      <c r="BC91" s="909"/>
      <c r="BD91" s="908">
        <f t="shared" ref="BD91" si="81">BD89+BD90</f>
        <v>0</v>
      </c>
      <c r="BE91" s="896"/>
      <c r="BF91" s="896"/>
      <c r="BG91" s="896"/>
      <c r="BH91" s="909"/>
      <c r="BI91" s="908">
        <f t="shared" ref="BI91" si="82">BI89+BI90</f>
        <v>0</v>
      </c>
      <c r="BJ91" s="896"/>
      <c r="BK91" s="896"/>
      <c r="BL91" s="896"/>
      <c r="BM91" s="909"/>
      <c r="BN91" s="908">
        <f>BN89+BN90</f>
        <v>0</v>
      </c>
      <c r="BO91" s="896"/>
      <c r="BP91" s="896"/>
      <c r="BQ91" s="897"/>
      <c r="BR91" s="811">
        <f>BR89+BR90</f>
        <v>0</v>
      </c>
      <c r="BS91" s="800"/>
      <c r="BT91" s="800"/>
      <c r="BU91" s="800"/>
      <c r="BV91" s="800"/>
      <c r="BW91" s="800">
        <f>BW89+BW90</f>
        <v>0</v>
      </c>
      <c r="BX91" s="800"/>
      <c r="BY91" s="800"/>
      <c r="BZ91" s="800"/>
      <c r="CA91" s="800"/>
      <c r="CB91" s="800">
        <f t="shared" ref="CB91" si="83">CB89+CB90</f>
        <v>0</v>
      </c>
      <c r="CC91" s="800"/>
      <c r="CD91" s="800"/>
      <c r="CE91" s="800"/>
      <c r="CF91" s="800"/>
      <c r="CG91" s="800">
        <f t="shared" ref="CG91" si="84">CG89+CG90</f>
        <v>0</v>
      </c>
      <c r="CH91" s="800"/>
      <c r="CI91" s="800"/>
      <c r="CJ91" s="800"/>
      <c r="CK91" s="800"/>
      <c r="CL91" s="800">
        <f t="shared" ref="CL91" si="85">CL89+CL90</f>
        <v>0</v>
      </c>
      <c r="CM91" s="800"/>
      <c r="CN91" s="800"/>
      <c r="CO91" s="800"/>
      <c r="CP91" s="800"/>
      <c r="CQ91" s="800">
        <f t="shared" ref="CQ91" si="86">CQ89+CQ90</f>
        <v>0</v>
      </c>
      <c r="CR91" s="800"/>
      <c r="CS91" s="800"/>
      <c r="CT91" s="800"/>
      <c r="CU91" s="800"/>
      <c r="CV91" s="800">
        <f t="shared" ref="CV91" si="87">CV89+CV90</f>
        <v>0</v>
      </c>
      <c r="CW91" s="800"/>
      <c r="CX91" s="800"/>
      <c r="CY91" s="800"/>
      <c r="CZ91" s="800"/>
      <c r="DA91" s="800">
        <f t="shared" ref="DA91" si="88">DA89+DA90</f>
        <v>0</v>
      </c>
      <c r="DB91" s="800"/>
      <c r="DC91" s="800"/>
      <c r="DD91" s="800"/>
      <c r="DE91" s="801"/>
      <c r="DF91" s="811">
        <f>DF89+DF90</f>
        <v>0</v>
      </c>
      <c r="DG91" s="800"/>
      <c r="DH91" s="800"/>
      <c r="DI91" s="800"/>
      <c r="DJ91" s="800"/>
      <c r="DK91" s="888">
        <f t="shared" ref="DK91" si="89">DK89+DK90</f>
        <v>3</v>
      </c>
      <c r="DL91" s="800"/>
      <c r="DM91" s="800"/>
      <c r="DN91" s="800"/>
      <c r="DO91" s="800"/>
      <c r="DP91" s="888">
        <f t="shared" ref="DP91" si="90">DP89+DP90</f>
        <v>6</v>
      </c>
      <c r="DQ91" s="800"/>
      <c r="DR91" s="800"/>
      <c r="DS91" s="800"/>
      <c r="DT91" s="800"/>
      <c r="DU91" s="888">
        <f t="shared" ref="DU91" si="91">DU89+DU90</f>
        <v>6</v>
      </c>
      <c r="DV91" s="800"/>
      <c r="DW91" s="800"/>
      <c r="DX91" s="800"/>
      <c r="DY91" s="800"/>
      <c r="DZ91" s="888">
        <f t="shared" ref="DZ91" si="92">DZ89+DZ90</f>
        <v>6</v>
      </c>
      <c r="EA91" s="800"/>
      <c r="EB91" s="800"/>
      <c r="EC91" s="800"/>
      <c r="ED91" s="800"/>
      <c r="EE91" s="888">
        <f t="shared" ref="EE91" si="93">EE89+EE90</f>
        <v>6</v>
      </c>
      <c r="EF91" s="800"/>
      <c r="EG91" s="800"/>
      <c r="EH91" s="800"/>
      <c r="EI91" s="800"/>
      <c r="EJ91" s="888">
        <f t="shared" ref="EJ91" si="94">EJ89+EJ90</f>
        <v>6</v>
      </c>
      <c r="EK91" s="800"/>
      <c r="EL91" s="800"/>
      <c r="EM91" s="800"/>
      <c r="EN91" s="800"/>
      <c r="EO91" s="888">
        <f t="shared" ref="EO91" si="95">EO89+EO90</f>
        <v>8</v>
      </c>
      <c r="EP91" s="800"/>
      <c r="EQ91" s="800"/>
      <c r="ER91" s="800"/>
      <c r="ES91" s="801"/>
      <c r="ET91" s="802">
        <f>ET89+ET90</f>
        <v>41</v>
      </c>
      <c r="EU91" s="803"/>
      <c r="EV91" s="804"/>
      <c r="EW91" s="804"/>
      <c r="EX91" s="805"/>
      <c r="EY91" s="199"/>
      <c r="FA91" s="277"/>
      <c r="FB91" s="278"/>
      <c r="FC91" s="279"/>
    </row>
    <row r="92" spans="1:167" s="85" customFormat="1" ht="84.95" customHeight="1" thickBot="1" x14ac:dyDescent="0.25">
      <c r="A92" s="169"/>
      <c r="B92" s="170"/>
      <c r="C92" s="910" t="s">
        <v>22</v>
      </c>
      <c r="D92" s="910"/>
      <c r="E92" s="910"/>
      <c r="F92" s="910"/>
      <c r="G92" s="910"/>
      <c r="H92" s="910"/>
      <c r="I92" s="910"/>
      <c r="J92" s="910"/>
      <c r="K92" s="910"/>
      <c r="L92" s="910"/>
      <c r="M92" s="910"/>
      <c r="N92" s="910"/>
      <c r="O92" s="910"/>
      <c r="P92" s="910"/>
      <c r="Q92" s="910"/>
      <c r="R92" s="910"/>
      <c r="S92" s="910"/>
      <c r="T92" s="910"/>
      <c r="U92" s="910"/>
      <c r="V92" s="910"/>
      <c r="W92" s="910"/>
      <c r="X92" s="910"/>
      <c r="Y92" s="910"/>
      <c r="Z92" s="911">
        <f>Z91+Z88</f>
        <v>7200</v>
      </c>
      <c r="AA92" s="912"/>
      <c r="AB92" s="912"/>
      <c r="AC92" s="912"/>
      <c r="AD92" s="912"/>
      <c r="AE92" s="913">
        <f>AE88+AE91</f>
        <v>100</v>
      </c>
      <c r="AF92" s="913"/>
      <c r="AG92" s="913"/>
      <c r="AH92" s="913"/>
      <c r="AI92" s="913"/>
      <c r="AJ92" s="914">
        <f>AJ88+AJ91</f>
        <v>2442</v>
      </c>
      <c r="AK92" s="915"/>
      <c r="AL92" s="915"/>
      <c r="AM92" s="915"/>
      <c r="AN92" s="916"/>
      <c r="AO92" s="914">
        <f t="shared" ref="AO92" si="96">AO88+AO91</f>
        <v>998</v>
      </c>
      <c r="AP92" s="915"/>
      <c r="AQ92" s="915"/>
      <c r="AR92" s="915"/>
      <c r="AS92" s="916"/>
      <c r="AT92" s="914">
        <f t="shared" ref="AT92" si="97">AT88+AT91</f>
        <v>974</v>
      </c>
      <c r="AU92" s="915"/>
      <c r="AV92" s="915"/>
      <c r="AW92" s="915"/>
      <c r="AX92" s="916"/>
      <c r="AY92" s="914">
        <f t="shared" ref="AY92" si="98">AY88+AY91</f>
        <v>470</v>
      </c>
      <c r="AZ92" s="915"/>
      <c r="BA92" s="915"/>
      <c r="BB92" s="915"/>
      <c r="BC92" s="916"/>
      <c r="BD92" s="914">
        <f t="shared" ref="BD92" si="99">BD88+BD91</f>
        <v>0</v>
      </c>
      <c r="BE92" s="915"/>
      <c r="BF92" s="915"/>
      <c r="BG92" s="915"/>
      <c r="BH92" s="916"/>
      <c r="BI92" s="914">
        <f t="shared" ref="BI92" si="100">BI88+BI91</f>
        <v>0</v>
      </c>
      <c r="BJ92" s="915"/>
      <c r="BK92" s="915"/>
      <c r="BL92" s="915"/>
      <c r="BM92" s="916"/>
      <c r="BN92" s="914">
        <f>BN88+BN91</f>
        <v>3528</v>
      </c>
      <c r="BO92" s="923"/>
      <c r="BP92" s="923"/>
      <c r="BQ92" s="924"/>
      <c r="BR92" s="922">
        <f>BR88+BR91</f>
        <v>17</v>
      </c>
      <c r="BS92" s="917"/>
      <c r="BT92" s="917"/>
      <c r="BU92" s="917"/>
      <c r="BV92" s="925"/>
      <c r="BW92" s="917">
        <f t="shared" ref="BW92" si="101">BW88+BW91</f>
        <v>8</v>
      </c>
      <c r="BX92" s="917"/>
      <c r="BY92" s="917"/>
      <c r="BZ92" s="917"/>
      <c r="CA92" s="917"/>
      <c r="CB92" s="917">
        <f t="shared" ref="CB92" si="102">CB88+CB91</f>
        <v>24</v>
      </c>
      <c r="CC92" s="917"/>
      <c r="CD92" s="917"/>
      <c r="CE92" s="917"/>
      <c r="CF92" s="917"/>
      <c r="CG92" s="917">
        <f t="shared" ref="CG92" si="103">CG88+CG91</f>
        <v>24</v>
      </c>
      <c r="CH92" s="917"/>
      <c r="CI92" s="917"/>
      <c r="CJ92" s="917"/>
      <c r="CK92" s="917"/>
      <c r="CL92" s="917">
        <f t="shared" ref="CL92" si="104">CL88+CL91</f>
        <v>23</v>
      </c>
      <c r="CM92" s="917"/>
      <c r="CN92" s="917"/>
      <c r="CO92" s="917"/>
      <c r="CP92" s="917"/>
      <c r="CQ92" s="917">
        <f t="shared" ref="CQ92" si="105">CQ88+CQ91</f>
        <v>24</v>
      </c>
      <c r="CR92" s="917"/>
      <c r="CS92" s="917"/>
      <c r="CT92" s="917"/>
      <c r="CU92" s="917"/>
      <c r="CV92" s="917">
        <f t="shared" ref="CV92" si="106">CV88+CV91</f>
        <v>18</v>
      </c>
      <c r="CW92" s="917"/>
      <c r="CX92" s="917"/>
      <c r="CY92" s="917"/>
      <c r="CZ92" s="917"/>
      <c r="DA92" s="921">
        <f t="shared" ref="DA92" si="107">DA88+DA91</f>
        <v>18</v>
      </c>
      <c r="DB92" s="917"/>
      <c r="DC92" s="917"/>
      <c r="DD92" s="917"/>
      <c r="DE92" s="918"/>
      <c r="DF92" s="922">
        <f>DF91+DF88</f>
        <v>30</v>
      </c>
      <c r="DG92" s="917"/>
      <c r="DH92" s="917"/>
      <c r="DI92" s="917"/>
      <c r="DJ92" s="917"/>
      <c r="DK92" s="917">
        <f>DK91+DK88</f>
        <v>30</v>
      </c>
      <c r="DL92" s="917"/>
      <c r="DM92" s="917"/>
      <c r="DN92" s="917"/>
      <c r="DO92" s="917"/>
      <c r="DP92" s="917">
        <f t="shared" ref="DP92" si="108">DP91+DP88</f>
        <v>30</v>
      </c>
      <c r="DQ92" s="917"/>
      <c r="DR92" s="917"/>
      <c r="DS92" s="917"/>
      <c r="DT92" s="917"/>
      <c r="DU92" s="917">
        <f t="shared" ref="DU92" si="109">DU91+DU88</f>
        <v>30</v>
      </c>
      <c r="DV92" s="917"/>
      <c r="DW92" s="917"/>
      <c r="DX92" s="917"/>
      <c r="DY92" s="917"/>
      <c r="DZ92" s="917">
        <f t="shared" ref="DZ92" si="110">DZ91+DZ88</f>
        <v>30</v>
      </c>
      <c r="EA92" s="917"/>
      <c r="EB92" s="917"/>
      <c r="EC92" s="917"/>
      <c r="ED92" s="917"/>
      <c r="EE92" s="917">
        <f t="shared" ref="EE92" si="111">EE91+EE88</f>
        <v>30</v>
      </c>
      <c r="EF92" s="917"/>
      <c r="EG92" s="917"/>
      <c r="EH92" s="917"/>
      <c r="EI92" s="917"/>
      <c r="EJ92" s="917">
        <f t="shared" ref="EJ92" si="112">EJ91+EJ88</f>
        <v>30</v>
      </c>
      <c r="EK92" s="917"/>
      <c r="EL92" s="917"/>
      <c r="EM92" s="917"/>
      <c r="EN92" s="917"/>
      <c r="EO92" s="917">
        <f t="shared" ref="EO92" si="113">EO91+EO88</f>
        <v>30</v>
      </c>
      <c r="EP92" s="917"/>
      <c r="EQ92" s="917"/>
      <c r="ER92" s="917"/>
      <c r="ES92" s="918"/>
      <c r="ET92" s="919">
        <f>ET91+ET88</f>
        <v>240</v>
      </c>
      <c r="EU92" s="911"/>
      <c r="EV92" s="914"/>
      <c r="EW92" s="914"/>
      <c r="EX92" s="920"/>
      <c r="EY92" s="198"/>
      <c r="FA92" s="280"/>
      <c r="FB92" s="281"/>
      <c r="FC92" s="282"/>
    </row>
    <row r="93" spans="1:167" s="86" customFormat="1" ht="140.1" customHeight="1" thickTop="1" x14ac:dyDescent="0.65">
      <c r="A93" s="256"/>
      <c r="B93" s="131" t="s">
        <v>98</v>
      </c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550"/>
      <c r="AA93" s="550"/>
      <c r="AB93" s="550"/>
      <c r="AC93" s="550"/>
      <c r="AD93" s="551"/>
      <c r="AE93" s="255"/>
      <c r="AF93" s="255"/>
      <c r="AG93" s="328"/>
      <c r="AH93" s="328"/>
      <c r="AI93" s="320"/>
      <c r="AJ93" s="255"/>
      <c r="AK93" s="255"/>
      <c r="AL93" s="255"/>
      <c r="AM93" s="256"/>
      <c r="AN93" s="255"/>
      <c r="AO93" s="255"/>
      <c r="AP93" s="255"/>
      <c r="AQ93" s="256"/>
      <c r="AR93" s="255"/>
      <c r="AS93" s="255"/>
      <c r="AT93" s="255"/>
      <c r="AU93" s="256"/>
      <c r="AV93" s="255"/>
      <c r="AW93" s="255"/>
      <c r="AX93" s="255"/>
      <c r="AY93" s="256"/>
      <c r="AZ93" s="255"/>
      <c r="BA93" s="255"/>
      <c r="BB93" s="255"/>
      <c r="BC93" s="256"/>
      <c r="BD93" s="255"/>
      <c r="BE93" s="255"/>
      <c r="BF93" s="255"/>
      <c r="BG93" s="256"/>
      <c r="BH93" s="256"/>
      <c r="BI93" s="256"/>
      <c r="BJ93" s="256"/>
      <c r="BK93" s="256"/>
      <c r="BL93" s="256"/>
      <c r="BM93" s="256"/>
      <c r="BN93" s="255"/>
      <c r="BO93" s="255"/>
      <c r="BP93" s="255"/>
      <c r="BQ93" s="256"/>
      <c r="BR93" s="255"/>
      <c r="BS93" s="256"/>
      <c r="BT93" s="256"/>
      <c r="BU93" s="256"/>
      <c r="BV93" s="255"/>
      <c r="BW93" s="256"/>
      <c r="BX93" s="256"/>
      <c r="BY93" s="256"/>
      <c r="BZ93" s="255"/>
      <c r="CA93" s="256"/>
      <c r="CB93" s="256"/>
      <c r="CC93" s="256"/>
      <c r="CD93" s="255"/>
      <c r="CE93" s="256"/>
      <c r="CF93" s="256"/>
      <c r="CG93" s="256"/>
      <c r="CH93" s="255"/>
      <c r="CI93" s="256"/>
      <c r="CJ93" s="256"/>
      <c r="CK93" s="256"/>
      <c r="CL93" s="255"/>
      <c r="CM93" s="256"/>
      <c r="CN93" s="256"/>
      <c r="CO93" s="256"/>
      <c r="CP93" s="255"/>
      <c r="CQ93" s="256"/>
      <c r="CR93" s="256"/>
      <c r="CS93" s="256"/>
      <c r="CT93" s="255"/>
      <c r="CU93" s="256"/>
      <c r="CV93" s="256"/>
      <c r="CW93" s="256"/>
      <c r="CX93" s="255"/>
      <c r="CY93" s="256"/>
      <c r="CZ93" s="256"/>
      <c r="DA93" s="256"/>
      <c r="DB93" s="255"/>
      <c r="DC93" s="256"/>
      <c r="DD93" s="256"/>
      <c r="DE93" s="256"/>
      <c r="DF93" s="255"/>
      <c r="DG93" s="256"/>
      <c r="DH93" s="256"/>
      <c r="DI93" s="256"/>
      <c r="DJ93" s="255"/>
      <c r="DK93" s="256"/>
      <c r="DL93" s="256"/>
      <c r="DM93" s="256"/>
      <c r="DN93" s="255"/>
      <c r="DO93" s="256"/>
      <c r="DP93" s="256"/>
      <c r="DQ93" s="256"/>
      <c r="DR93" s="255"/>
      <c r="DS93" s="256"/>
      <c r="DT93" s="256"/>
      <c r="DU93" s="256"/>
      <c r="DV93" s="255"/>
      <c r="DW93" s="256"/>
      <c r="DX93" s="256"/>
      <c r="DY93" s="256"/>
      <c r="DZ93" s="255"/>
      <c r="EA93" s="256"/>
      <c r="EB93" s="256"/>
      <c r="EC93" s="256"/>
      <c r="ED93" s="255"/>
      <c r="EE93" s="256"/>
      <c r="EF93" s="256"/>
      <c r="EG93" s="256"/>
      <c r="EH93" s="255"/>
      <c r="EI93" s="256"/>
      <c r="EJ93" s="256"/>
      <c r="EK93" s="256"/>
      <c r="EL93" s="255"/>
      <c r="EM93" s="256"/>
      <c r="EN93" s="256"/>
      <c r="EO93" s="256"/>
      <c r="EP93" s="255"/>
      <c r="EQ93" s="256"/>
      <c r="ER93" s="256"/>
      <c r="ES93" s="256"/>
      <c r="ET93" s="69"/>
      <c r="EU93" s="69"/>
      <c r="EV93" s="69"/>
      <c r="EW93" s="69"/>
      <c r="EX93" s="260"/>
      <c r="EY93" s="200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</row>
    <row r="94" spans="1:167" s="86" customFormat="1" ht="140.1" customHeight="1" x14ac:dyDescent="0.65">
      <c r="A94" s="256"/>
      <c r="B94" s="509" t="s">
        <v>235</v>
      </c>
      <c r="C94" s="509"/>
      <c r="D94" s="509"/>
      <c r="E94" s="509"/>
      <c r="F94" s="509"/>
      <c r="G94" s="509"/>
      <c r="H94" s="509"/>
      <c r="I94" s="509"/>
      <c r="J94" s="509"/>
      <c r="K94" s="509"/>
      <c r="L94" s="509"/>
      <c r="M94" s="509"/>
      <c r="N94" s="509"/>
      <c r="O94" s="509"/>
      <c r="P94" s="509"/>
      <c r="Q94" s="509"/>
      <c r="R94" s="509"/>
      <c r="S94" s="509"/>
      <c r="T94" s="509"/>
      <c r="U94" s="509"/>
      <c r="V94" s="509"/>
      <c r="W94" s="509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09"/>
      <c r="AK94" s="509"/>
      <c r="AL94" s="509"/>
      <c r="AM94" s="509"/>
      <c r="AN94" s="509"/>
      <c r="AO94" s="509"/>
      <c r="AP94" s="509"/>
      <c r="AQ94" s="509"/>
      <c r="AR94" s="509"/>
      <c r="AS94" s="509"/>
      <c r="AT94" s="509"/>
      <c r="AU94" s="509"/>
      <c r="AV94" s="509"/>
      <c r="AW94" s="509"/>
      <c r="AX94" s="509"/>
      <c r="AY94" s="509"/>
      <c r="AZ94" s="509"/>
      <c r="BA94" s="509"/>
      <c r="BB94" s="509"/>
      <c r="BC94" s="509"/>
      <c r="BD94" s="509"/>
      <c r="BE94" s="509"/>
      <c r="BF94" s="509"/>
      <c r="BG94" s="509"/>
      <c r="BH94" s="509"/>
      <c r="BI94" s="509"/>
      <c r="BJ94" s="509"/>
      <c r="BK94" s="509"/>
      <c r="BL94" s="509"/>
      <c r="BM94" s="509"/>
      <c r="BN94" s="509"/>
      <c r="BO94" s="509"/>
      <c r="BP94" s="509"/>
      <c r="BQ94" s="509"/>
      <c r="BR94" s="509"/>
      <c r="BS94" s="509"/>
      <c r="BT94" s="509"/>
      <c r="BU94" s="509"/>
      <c r="BV94" s="509"/>
      <c r="BW94" s="509"/>
      <c r="BX94" s="509"/>
      <c r="BY94" s="509"/>
      <c r="BZ94" s="509"/>
      <c r="CA94" s="509"/>
      <c r="CB94" s="509"/>
      <c r="CC94" s="509"/>
      <c r="CD94" s="509"/>
      <c r="CE94" s="509"/>
      <c r="CF94" s="509"/>
      <c r="CG94" s="509"/>
      <c r="CH94" s="509"/>
      <c r="CI94" s="509"/>
      <c r="CJ94" s="509"/>
      <c r="CK94" s="509"/>
      <c r="CL94" s="509"/>
      <c r="CM94" s="509"/>
      <c r="CN94" s="509"/>
      <c r="CO94" s="509"/>
      <c r="CP94" s="509"/>
      <c r="CQ94" s="509"/>
      <c r="CR94" s="509"/>
      <c r="CS94" s="509"/>
      <c r="CT94" s="509"/>
      <c r="CU94" s="509"/>
      <c r="CV94" s="509"/>
      <c r="CW94" s="509"/>
      <c r="CX94" s="509"/>
      <c r="CY94" s="509"/>
      <c r="CZ94" s="509"/>
      <c r="DA94" s="509"/>
      <c r="DB94" s="509"/>
      <c r="DC94" s="509"/>
      <c r="DD94" s="509"/>
      <c r="DE94" s="509"/>
      <c r="DF94" s="509"/>
      <c r="DG94" s="509"/>
      <c r="DH94" s="509"/>
      <c r="DI94" s="509"/>
      <c r="DJ94" s="509"/>
      <c r="DK94" s="509"/>
      <c r="DL94" s="509"/>
      <c r="DM94" s="509"/>
      <c r="DN94" s="509"/>
      <c r="DO94" s="509"/>
      <c r="DP94" s="509"/>
      <c r="DQ94" s="509"/>
      <c r="DR94" s="509"/>
      <c r="DS94" s="509"/>
      <c r="DT94" s="509"/>
      <c r="DU94" s="509"/>
      <c r="DV94" s="509"/>
      <c r="DW94" s="509"/>
      <c r="DX94" s="509"/>
      <c r="DY94" s="509"/>
      <c r="DZ94" s="509"/>
      <c r="EA94" s="509"/>
      <c r="EB94" s="509"/>
      <c r="EC94" s="509"/>
      <c r="ED94" s="509"/>
      <c r="EE94" s="509"/>
      <c r="EF94" s="509"/>
      <c r="EG94" s="509"/>
      <c r="EH94" s="509"/>
      <c r="EI94" s="509"/>
      <c r="EJ94" s="509"/>
      <c r="EK94" s="509"/>
      <c r="EL94" s="509"/>
      <c r="EM94" s="509"/>
      <c r="EN94" s="509"/>
      <c r="EO94" s="509"/>
      <c r="EP94" s="509"/>
      <c r="EQ94" s="509"/>
      <c r="ER94" s="509"/>
      <c r="ES94" s="509"/>
      <c r="ET94" s="509"/>
      <c r="EU94" s="509"/>
      <c r="EV94" s="509"/>
      <c r="EW94" s="509"/>
      <c r="EX94" s="509"/>
      <c r="EY94" s="200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</row>
    <row r="95" spans="1:167" s="86" customFormat="1" ht="140.1" customHeight="1" x14ac:dyDescent="0.65">
      <c r="A95" s="3"/>
      <c r="B95" s="509" t="s">
        <v>236</v>
      </c>
      <c r="C95" s="509"/>
      <c r="D95" s="509"/>
      <c r="E95" s="509"/>
      <c r="F95" s="509"/>
      <c r="G95" s="509"/>
      <c r="H95" s="509"/>
      <c r="I95" s="509"/>
      <c r="J95" s="509"/>
      <c r="K95" s="509"/>
      <c r="L95" s="509"/>
      <c r="M95" s="509"/>
      <c r="N95" s="509"/>
      <c r="O95" s="509"/>
      <c r="P95" s="509"/>
      <c r="Q95" s="509"/>
      <c r="R95" s="509"/>
      <c r="S95" s="509"/>
      <c r="T95" s="509"/>
      <c r="U95" s="509"/>
      <c r="V95" s="509"/>
      <c r="W95" s="509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09"/>
      <c r="AK95" s="509"/>
      <c r="AL95" s="509"/>
      <c r="AM95" s="509"/>
      <c r="AN95" s="509"/>
      <c r="AO95" s="509"/>
      <c r="AP95" s="509"/>
      <c r="AQ95" s="509"/>
      <c r="AR95" s="509"/>
      <c r="AS95" s="509"/>
      <c r="AT95" s="509"/>
      <c r="AU95" s="509"/>
      <c r="AV95" s="509"/>
      <c r="AW95" s="509"/>
      <c r="AX95" s="509"/>
      <c r="AY95" s="509"/>
      <c r="AZ95" s="509"/>
      <c r="BA95" s="509"/>
      <c r="BB95" s="509"/>
      <c r="BC95" s="509"/>
      <c r="BD95" s="509"/>
      <c r="BE95" s="509"/>
      <c r="BF95" s="509"/>
      <c r="BG95" s="509"/>
      <c r="BH95" s="509"/>
      <c r="BI95" s="509"/>
      <c r="BJ95" s="509"/>
      <c r="BK95" s="509"/>
      <c r="BL95" s="509"/>
      <c r="BM95" s="509"/>
      <c r="BN95" s="509"/>
      <c r="BO95" s="509"/>
      <c r="BP95" s="509"/>
      <c r="BQ95" s="509"/>
      <c r="BR95" s="509"/>
      <c r="BS95" s="509"/>
      <c r="BT95" s="509"/>
      <c r="BU95" s="509"/>
      <c r="BV95" s="509"/>
      <c r="BW95" s="509"/>
      <c r="BX95" s="509"/>
      <c r="BY95" s="509"/>
      <c r="BZ95" s="509"/>
      <c r="CA95" s="509"/>
      <c r="CB95" s="509"/>
      <c r="CC95" s="509"/>
      <c r="CD95" s="509"/>
      <c r="CE95" s="509"/>
      <c r="CF95" s="509"/>
      <c r="CG95" s="509"/>
      <c r="CH95" s="509"/>
      <c r="CI95" s="509"/>
      <c r="CJ95" s="509"/>
      <c r="CK95" s="509"/>
      <c r="CL95" s="509"/>
      <c r="CM95" s="509"/>
      <c r="CN95" s="509"/>
      <c r="CO95" s="509"/>
      <c r="CP95" s="509"/>
      <c r="CQ95" s="509"/>
      <c r="CR95" s="509"/>
      <c r="CS95" s="509"/>
      <c r="CT95" s="509"/>
      <c r="CU95" s="509"/>
      <c r="CV95" s="509"/>
      <c r="CW95" s="509"/>
      <c r="CX95" s="509"/>
      <c r="CY95" s="509"/>
      <c r="CZ95" s="509"/>
      <c r="DA95" s="509"/>
      <c r="DB95" s="509"/>
      <c r="DC95" s="509"/>
      <c r="DD95" s="509"/>
      <c r="DE95" s="509"/>
      <c r="DF95" s="509"/>
      <c r="DG95" s="509"/>
      <c r="DH95" s="509"/>
      <c r="DI95" s="509"/>
      <c r="DJ95" s="509"/>
      <c r="DK95" s="509"/>
      <c r="DL95" s="509"/>
      <c r="DM95" s="509"/>
      <c r="DN95" s="509"/>
      <c r="DO95" s="509"/>
      <c r="DP95" s="509"/>
      <c r="DQ95" s="509"/>
      <c r="DR95" s="509"/>
      <c r="DS95" s="509"/>
      <c r="DT95" s="509"/>
      <c r="DU95" s="509"/>
      <c r="DV95" s="509"/>
      <c r="DW95" s="509"/>
      <c r="DX95" s="509"/>
      <c r="DY95" s="509"/>
      <c r="DZ95" s="509"/>
      <c r="EA95" s="509"/>
      <c r="EB95" s="509"/>
      <c r="EC95" s="509"/>
      <c r="ED95" s="509"/>
      <c r="EE95" s="509"/>
      <c r="EF95" s="509"/>
      <c r="EG95" s="509"/>
      <c r="EH95" s="509"/>
      <c r="EI95" s="509"/>
      <c r="EJ95" s="509"/>
      <c r="EK95" s="509"/>
      <c r="EL95" s="509"/>
      <c r="EM95" s="509"/>
      <c r="EN95" s="509"/>
      <c r="EO95" s="509"/>
      <c r="EP95" s="509"/>
      <c r="EQ95" s="509"/>
      <c r="ER95" s="509"/>
      <c r="ES95" s="509"/>
      <c r="ET95" s="509"/>
      <c r="EU95" s="509"/>
      <c r="EV95" s="509"/>
      <c r="EW95" s="509"/>
      <c r="EX95" s="509"/>
      <c r="EY95" s="200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</row>
    <row r="96" spans="1:167" s="86" customFormat="1" ht="140.1" customHeight="1" x14ac:dyDescent="0.65">
      <c r="A96" s="3"/>
      <c r="B96" s="538" t="s">
        <v>237</v>
      </c>
      <c r="C96" s="538"/>
      <c r="D96" s="538"/>
      <c r="E96" s="538"/>
      <c r="F96" s="538"/>
      <c r="G96" s="538"/>
      <c r="H96" s="538"/>
      <c r="I96" s="538"/>
      <c r="J96" s="538"/>
      <c r="K96" s="538"/>
      <c r="L96" s="538"/>
      <c r="M96" s="538"/>
      <c r="N96" s="538"/>
      <c r="O96" s="538"/>
      <c r="P96" s="538"/>
      <c r="Q96" s="538"/>
      <c r="R96" s="538"/>
      <c r="S96" s="538"/>
      <c r="T96" s="538"/>
      <c r="U96" s="538"/>
      <c r="V96" s="538"/>
      <c r="W96" s="538"/>
      <c r="X96" s="538"/>
      <c r="Y96" s="538"/>
      <c r="Z96" s="538"/>
      <c r="AA96" s="538"/>
      <c r="AB96" s="538"/>
      <c r="AC96" s="538"/>
      <c r="AD96" s="538"/>
      <c r="AE96" s="538"/>
      <c r="AF96" s="538"/>
      <c r="AG96" s="538"/>
      <c r="AH96" s="538"/>
      <c r="AI96" s="538"/>
      <c r="AJ96" s="538"/>
      <c r="AK96" s="538"/>
      <c r="AL96" s="538"/>
      <c r="AM96" s="538"/>
      <c r="AN96" s="538"/>
      <c r="AO96" s="538"/>
      <c r="AP96" s="538"/>
      <c r="AQ96" s="538"/>
      <c r="AR96" s="538"/>
      <c r="AS96" s="538"/>
      <c r="AT96" s="538"/>
      <c r="AU96" s="538"/>
      <c r="AV96" s="538"/>
      <c r="AW96" s="538"/>
      <c r="AX96" s="538"/>
      <c r="AY96" s="538"/>
      <c r="AZ96" s="538"/>
      <c r="BA96" s="538"/>
      <c r="BB96" s="538"/>
      <c r="BC96" s="538"/>
      <c r="BD96" s="538"/>
      <c r="BE96" s="538"/>
      <c r="BF96" s="538"/>
      <c r="BG96" s="538"/>
      <c r="BH96" s="538"/>
      <c r="BI96" s="538"/>
      <c r="BJ96" s="538"/>
      <c r="BK96" s="538"/>
      <c r="BL96" s="538"/>
      <c r="BM96" s="538"/>
      <c r="BN96" s="538"/>
      <c r="BO96" s="538"/>
      <c r="BP96" s="538"/>
      <c r="BQ96" s="538"/>
      <c r="BR96" s="538"/>
      <c r="BS96" s="538"/>
      <c r="BT96" s="538"/>
      <c r="BU96" s="538"/>
      <c r="BV96" s="538"/>
      <c r="BW96" s="538"/>
      <c r="BX96" s="538"/>
      <c r="BY96" s="538"/>
      <c r="BZ96" s="538"/>
      <c r="CA96" s="538"/>
      <c r="CB96" s="538"/>
      <c r="CC96" s="538"/>
      <c r="CD96" s="538"/>
      <c r="CE96" s="538"/>
      <c r="CF96" s="538"/>
      <c r="CG96" s="538"/>
      <c r="CH96" s="538"/>
      <c r="CI96" s="538"/>
      <c r="CJ96" s="538"/>
      <c r="CK96" s="538"/>
      <c r="CL96" s="538"/>
      <c r="CM96" s="538"/>
      <c r="CN96" s="538"/>
      <c r="CO96" s="538"/>
      <c r="CP96" s="538"/>
      <c r="CQ96" s="538"/>
      <c r="CR96" s="538"/>
      <c r="CS96" s="538"/>
      <c r="CT96" s="538"/>
      <c r="CU96" s="538"/>
      <c r="CV96" s="538"/>
      <c r="CW96" s="538"/>
      <c r="CX96" s="538"/>
      <c r="CY96" s="538"/>
      <c r="CZ96" s="538"/>
      <c r="DA96" s="538"/>
      <c r="DB96" s="538"/>
      <c r="DC96" s="538"/>
      <c r="DD96" s="538"/>
      <c r="DE96" s="538"/>
      <c r="DF96" s="538"/>
      <c r="DG96" s="538"/>
      <c r="DH96" s="538"/>
      <c r="DI96" s="538"/>
      <c r="DJ96" s="538"/>
      <c r="DK96" s="538"/>
      <c r="DL96" s="538"/>
      <c r="DM96" s="538"/>
      <c r="DN96" s="538"/>
      <c r="DO96" s="538"/>
      <c r="DP96" s="538"/>
      <c r="DQ96" s="538"/>
      <c r="DR96" s="538"/>
      <c r="DS96" s="538"/>
      <c r="DT96" s="538"/>
      <c r="DU96" s="538"/>
      <c r="DV96" s="538"/>
      <c r="DW96" s="538"/>
      <c r="DX96" s="538"/>
      <c r="DY96" s="538"/>
      <c r="DZ96" s="538"/>
      <c r="EA96" s="538"/>
      <c r="EB96" s="538"/>
      <c r="EC96" s="538"/>
      <c r="ED96" s="538"/>
      <c r="EE96" s="538"/>
      <c r="EF96" s="538"/>
      <c r="EG96" s="538"/>
      <c r="EH96" s="538"/>
      <c r="EI96" s="538"/>
      <c r="EJ96" s="538"/>
      <c r="EK96" s="538"/>
      <c r="EL96" s="538"/>
      <c r="EM96" s="538"/>
      <c r="EN96" s="538"/>
      <c r="EO96" s="538"/>
      <c r="EP96" s="538"/>
      <c r="EQ96" s="538"/>
      <c r="ER96" s="538"/>
      <c r="ES96" s="538"/>
      <c r="ET96" s="538"/>
      <c r="EU96" s="538"/>
      <c r="EV96" s="538"/>
      <c r="EW96" s="538"/>
      <c r="EX96" s="538"/>
      <c r="EY96" s="200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</row>
    <row r="97" spans="1:167" s="86" customFormat="1" ht="140.1" customHeight="1" x14ac:dyDescent="0.65">
      <c r="A97" s="3"/>
      <c r="B97" s="538" t="s">
        <v>238</v>
      </c>
      <c r="C97" s="538"/>
      <c r="D97" s="538"/>
      <c r="E97" s="538"/>
      <c r="F97" s="538"/>
      <c r="G97" s="538"/>
      <c r="H97" s="538"/>
      <c r="I97" s="538"/>
      <c r="J97" s="538"/>
      <c r="K97" s="538"/>
      <c r="L97" s="538"/>
      <c r="M97" s="538"/>
      <c r="N97" s="538"/>
      <c r="O97" s="538"/>
      <c r="P97" s="538"/>
      <c r="Q97" s="538"/>
      <c r="R97" s="538"/>
      <c r="S97" s="538"/>
      <c r="T97" s="538"/>
      <c r="U97" s="538"/>
      <c r="V97" s="538"/>
      <c r="W97" s="538"/>
      <c r="X97" s="538"/>
      <c r="Y97" s="538"/>
      <c r="Z97" s="538"/>
      <c r="AA97" s="538"/>
      <c r="AB97" s="538"/>
      <c r="AC97" s="538"/>
      <c r="AD97" s="538"/>
      <c r="AE97" s="538"/>
      <c r="AF97" s="538"/>
      <c r="AG97" s="538"/>
      <c r="AH97" s="538"/>
      <c r="AI97" s="538"/>
      <c r="AJ97" s="538"/>
      <c r="AK97" s="538"/>
      <c r="AL97" s="538"/>
      <c r="AM97" s="538"/>
      <c r="AN97" s="538"/>
      <c r="AO97" s="538"/>
      <c r="AP97" s="538"/>
      <c r="AQ97" s="538"/>
      <c r="AR97" s="538"/>
      <c r="AS97" s="538"/>
      <c r="AT97" s="538"/>
      <c r="AU97" s="538"/>
      <c r="AV97" s="538"/>
      <c r="AW97" s="538"/>
      <c r="AX97" s="538"/>
      <c r="AY97" s="538"/>
      <c r="AZ97" s="538"/>
      <c r="BA97" s="538"/>
      <c r="BB97" s="538"/>
      <c r="BC97" s="538"/>
      <c r="BD97" s="538"/>
      <c r="BE97" s="538"/>
      <c r="BF97" s="538"/>
      <c r="BG97" s="538"/>
      <c r="BH97" s="538"/>
      <c r="BI97" s="538"/>
      <c r="BJ97" s="538"/>
      <c r="BK97" s="538"/>
      <c r="BL97" s="538"/>
      <c r="BM97" s="538"/>
      <c r="BN97" s="538"/>
      <c r="BO97" s="538"/>
      <c r="BP97" s="538"/>
      <c r="BQ97" s="538"/>
      <c r="BR97" s="538"/>
      <c r="BS97" s="538"/>
      <c r="BT97" s="538"/>
      <c r="BU97" s="538"/>
      <c r="BV97" s="538"/>
      <c r="BW97" s="538"/>
      <c r="BX97" s="538"/>
      <c r="BY97" s="538"/>
      <c r="BZ97" s="538"/>
      <c r="CA97" s="538"/>
      <c r="CB97" s="538"/>
      <c r="CC97" s="538"/>
      <c r="CD97" s="538"/>
      <c r="CE97" s="538"/>
      <c r="CF97" s="538"/>
      <c r="CG97" s="538"/>
      <c r="CH97" s="538"/>
      <c r="CI97" s="538"/>
      <c r="CJ97" s="538"/>
      <c r="CK97" s="538"/>
      <c r="CL97" s="538"/>
      <c r="CM97" s="538"/>
      <c r="CN97" s="538"/>
      <c r="CO97" s="538"/>
      <c r="CP97" s="538"/>
      <c r="CQ97" s="538"/>
      <c r="CR97" s="538"/>
      <c r="CS97" s="538"/>
      <c r="CT97" s="538"/>
      <c r="CU97" s="538"/>
      <c r="CV97" s="538"/>
      <c r="CW97" s="538"/>
      <c r="CX97" s="538"/>
      <c r="CY97" s="538"/>
      <c r="CZ97" s="538"/>
      <c r="DA97" s="538"/>
      <c r="DB97" s="538"/>
      <c r="DC97" s="538"/>
      <c r="DD97" s="538"/>
      <c r="DE97" s="538"/>
      <c r="DF97" s="538"/>
      <c r="DG97" s="538"/>
      <c r="DH97" s="538"/>
      <c r="DI97" s="538"/>
      <c r="DJ97" s="538"/>
      <c r="DK97" s="538"/>
      <c r="DL97" s="538"/>
      <c r="DM97" s="538"/>
      <c r="DN97" s="538"/>
      <c r="DO97" s="538"/>
      <c r="DP97" s="538"/>
      <c r="DQ97" s="538"/>
      <c r="DR97" s="538"/>
      <c r="DS97" s="538"/>
      <c r="DT97" s="538"/>
      <c r="DU97" s="538"/>
      <c r="DV97" s="538"/>
      <c r="DW97" s="538"/>
      <c r="DX97" s="538"/>
      <c r="DY97" s="538"/>
      <c r="DZ97" s="538"/>
      <c r="EA97" s="538"/>
      <c r="EB97" s="538"/>
      <c r="EC97" s="538"/>
      <c r="ED97" s="538"/>
      <c r="EE97" s="538"/>
      <c r="EF97" s="538"/>
      <c r="EG97" s="538"/>
      <c r="EH97" s="538"/>
      <c r="EI97" s="538"/>
      <c r="EJ97" s="538"/>
      <c r="EK97" s="538"/>
      <c r="EL97" s="538"/>
      <c r="EM97" s="538"/>
      <c r="EN97" s="538"/>
      <c r="EO97" s="538"/>
      <c r="EP97" s="538"/>
      <c r="EQ97" s="538"/>
      <c r="ER97" s="538"/>
      <c r="ES97" s="538"/>
      <c r="ET97" s="538"/>
      <c r="EU97" s="538"/>
      <c r="EV97" s="538"/>
      <c r="EW97" s="538"/>
      <c r="EX97" s="538"/>
      <c r="EY97" s="200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</row>
    <row r="98" spans="1:167" s="86" customFormat="1" ht="140.1" customHeight="1" x14ac:dyDescent="0.65">
      <c r="A98" s="3"/>
      <c r="B98" s="538" t="s">
        <v>302</v>
      </c>
      <c r="C98" s="538"/>
      <c r="D98" s="538"/>
      <c r="E98" s="538"/>
      <c r="F98" s="538"/>
      <c r="G98" s="538"/>
      <c r="H98" s="538"/>
      <c r="I98" s="538"/>
      <c r="J98" s="538"/>
      <c r="K98" s="538"/>
      <c r="L98" s="538"/>
      <c r="M98" s="538"/>
      <c r="N98" s="538"/>
      <c r="O98" s="538"/>
      <c r="P98" s="538"/>
      <c r="Q98" s="538"/>
      <c r="R98" s="538"/>
      <c r="S98" s="538"/>
      <c r="T98" s="538"/>
      <c r="U98" s="538"/>
      <c r="V98" s="538"/>
      <c r="W98" s="538"/>
      <c r="X98" s="538"/>
      <c r="Y98" s="538"/>
      <c r="Z98" s="538"/>
      <c r="AA98" s="538"/>
      <c r="AB98" s="538"/>
      <c r="AC98" s="538"/>
      <c r="AD98" s="538"/>
      <c r="AE98" s="538"/>
      <c r="AF98" s="538"/>
      <c r="AG98" s="538"/>
      <c r="AH98" s="538"/>
      <c r="AI98" s="538"/>
      <c r="AJ98" s="538"/>
      <c r="AK98" s="538"/>
      <c r="AL98" s="538"/>
      <c r="AM98" s="538"/>
      <c r="AN98" s="538"/>
      <c r="AO98" s="538"/>
      <c r="AP98" s="538"/>
      <c r="AQ98" s="538"/>
      <c r="AR98" s="538"/>
      <c r="AS98" s="538"/>
      <c r="AT98" s="538"/>
      <c r="AU98" s="538"/>
      <c r="AV98" s="538"/>
      <c r="AW98" s="538"/>
      <c r="AX98" s="538"/>
      <c r="AY98" s="538"/>
      <c r="AZ98" s="538"/>
      <c r="BA98" s="538"/>
      <c r="BB98" s="538"/>
      <c r="BC98" s="538"/>
      <c r="BD98" s="538"/>
      <c r="BE98" s="538"/>
      <c r="BF98" s="538"/>
      <c r="BG98" s="538"/>
      <c r="BH98" s="538"/>
      <c r="BI98" s="538"/>
      <c r="BJ98" s="538"/>
      <c r="BK98" s="538"/>
      <c r="BL98" s="538"/>
      <c r="BM98" s="538"/>
      <c r="BN98" s="538"/>
      <c r="BO98" s="538"/>
      <c r="BP98" s="538"/>
      <c r="BQ98" s="538"/>
      <c r="BR98" s="538"/>
      <c r="BS98" s="538"/>
      <c r="BT98" s="538"/>
      <c r="BU98" s="538"/>
      <c r="BV98" s="538"/>
      <c r="BW98" s="538"/>
      <c r="BX98" s="538"/>
      <c r="BY98" s="538"/>
      <c r="BZ98" s="538"/>
      <c r="CA98" s="538"/>
      <c r="CB98" s="538"/>
      <c r="CC98" s="538"/>
      <c r="CD98" s="538"/>
      <c r="CE98" s="538"/>
      <c r="CF98" s="538"/>
      <c r="CG98" s="538"/>
      <c r="CH98" s="538"/>
      <c r="CI98" s="538"/>
      <c r="CJ98" s="538"/>
      <c r="CK98" s="538"/>
      <c r="CL98" s="538"/>
      <c r="CM98" s="538"/>
      <c r="CN98" s="538"/>
      <c r="CO98" s="538"/>
      <c r="CP98" s="538"/>
      <c r="CQ98" s="538"/>
      <c r="CR98" s="538"/>
      <c r="CS98" s="538"/>
      <c r="CT98" s="538"/>
      <c r="CU98" s="538"/>
      <c r="CV98" s="538"/>
      <c r="CW98" s="538"/>
      <c r="CX98" s="538"/>
      <c r="CY98" s="538"/>
      <c r="CZ98" s="538"/>
      <c r="DA98" s="538"/>
      <c r="DB98" s="538"/>
      <c r="DC98" s="538"/>
      <c r="DD98" s="538"/>
      <c r="DE98" s="538"/>
      <c r="DF98" s="538"/>
      <c r="DG98" s="538"/>
      <c r="DH98" s="538"/>
      <c r="DI98" s="538"/>
      <c r="DJ98" s="538"/>
      <c r="DK98" s="538"/>
      <c r="DL98" s="538"/>
      <c r="DM98" s="538"/>
      <c r="DN98" s="538"/>
      <c r="DO98" s="538"/>
      <c r="DP98" s="538"/>
      <c r="DQ98" s="538"/>
      <c r="DR98" s="538"/>
      <c r="DS98" s="538"/>
      <c r="DT98" s="538"/>
      <c r="DU98" s="538"/>
      <c r="DV98" s="538"/>
      <c r="DW98" s="538"/>
      <c r="DX98" s="538"/>
      <c r="DY98" s="538"/>
      <c r="DZ98" s="538"/>
      <c r="EA98" s="538"/>
      <c r="EB98" s="538"/>
      <c r="EC98" s="538"/>
      <c r="ED98" s="538"/>
      <c r="EE98" s="538"/>
      <c r="EF98" s="538"/>
      <c r="EG98" s="538"/>
      <c r="EH98" s="538"/>
      <c r="EI98" s="538"/>
      <c r="EJ98" s="538"/>
      <c r="EK98" s="538"/>
      <c r="EL98" s="538"/>
      <c r="EM98" s="538"/>
      <c r="EN98" s="538"/>
      <c r="EO98" s="538"/>
      <c r="EP98" s="538"/>
      <c r="EQ98" s="538"/>
      <c r="ER98" s="538"/>
      <c r="ES98" s="538"/>
      <c r="ET98" s="538"/>
      <c r="EU98" s="538"/>
      <c r="EV98" s="538"/>
      <c r="EW98" s="538"/>
      <c r="EX98" s="538"/>
      <c r="EY98" s="200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</row>
    <row r="99" spans="1:167" s="8" customFormat="1" ht="54.75" customHeight="1" x14ac:dyDescent="0.65">
      <c r="A99" s="70"/>
      <c r="B99" s="70"/>
      <c r="C99" s="16"/>
      <c r="D99" s="16"/>
      <c r="E99" s="539"/>
      <c r="F99" s="539"/>
      <c r="G99" s="539"/>
      <c r="H99" s="539"/>
      <c r="I99" s="539"/>
      <c r="J99" s="539"/>
      <c r="K99" s="539"/>
      <c r="L99" s="539"/>
      <c r="M99" s="539"/>
      <c r="N99" s="539"/>
      <c r="O99" s="539"/>
      <c r="P99" s="539"/>
      <c r="Q99" s="539"/>
      <c r="R99" s="539"/>
      <c r="S99" s="539"/>
      <c r="T99" s="539"/>
      <c r="U99" s="539"/>
      <c r="V99" s="539"/>
      <c r="W99" s="539"/>
      <c r="X99" s="539"/>
      <c r="Y99" s="539"/>
      <c r="Z99" s="539"/>
      <c r="AA99" s="539"/>
      <c r="AB99" s="539"/>
      <c r="AC99" s="539"/>
      <c r="AD99" s="539"/>
      <c r="AE99" s="539"/>
      <c r="AF99" s="539"/>
      <c r="AG99" s="539"/>
      <c r="AH99" s="539"/>
      <c r="AI99" s="539"/>
      <c r="AJ99" s="539"/>
      <c r="AK99" s="539"/>
      <c r="AL99" s="539"/>
      <c r="AM99" s="539"/>
      <c r="AN99" s="539"/>
      <c r="AO99" s="539"/>
      <c r="AP99" s="539"/>
      <c r="AQ99" s="539"/>
      <c r="AR99" s="539"/>
      <c r="AS99" s="539"/>
      <c r="AT99" s="539"/>
      <c r="AU99" s="539"/>
      <c r="AV99" s="539"/>
      <c r="AW99" s="539"/>
      <c r="AX99" s="539"/>
      <c r="AY99" s="539"/>
      <c r="AZ99" s="539"/>
      <c r="BA99" s="539"/>
      <c r="BB99" s="539"/>
      <c r="BC99" s="539"/>
      <c r="BD99" s="539"/>
      <c r="BE99" s="539"/>
      <c r="BF99" s="539"/>
      <c r="BG99" s="539"/>
      <c r="BH99" s="539"/>
      <c r="BI99" s="539"/>
      <c r="BJ99" s="539"/>
      <c r="BK99" s="539"/>
      <c r="BL99" s="539"/>
      <c r="BM99" s="539"/>
      <c r="BN99" s="539"/>
      <c r="BO99" s="539"/>
      <c r="BP99" s="539"/>
      <c r="BQ99" s="539"/>
      <c r="BR99" s="539"/>
      <c r="BS99" s="539"/>
      <c r="BT99" s="539"/>
      <c r="BU99" s="539"/>
      <c r="BV99" s="539"/>
      <c r="BW99" s="539"/>
      <c r="BX99" s="539"/>
      <c r="BY99" s="539"/>
      <c r="BZ99" s="539"/>
      <c r="CA99" s="539"/>
      <c r="CB99" s="539"/>
      <c r="CC99" s="539"/>
      <c r="CD99" s="539"/>
      <c r="CE99" s="539"/>
      <c r="CF99" s="539"/>
      <c r="CG99" s="539"/>
      <c r="CH99" s="539"/>
      <c r="CI99" s="539"/>
      <c r="CJ99" s="539"/>
      <c r="CK99" s="539"/>
      <c r="CL99" s="539"/>
      <c r="CM99" s="539"/>
      <c r="CN99" s="539"/>
      <c r="CO99" s="539"/>
      <c r="CP99" s="539"/>
      <c r="CQ99" s="539"/>
      <c r="CR99" s="539"/>
      <c r="CS99" s="539"/>
      <c r="CT99" s="539"/>
      <c r="CU99" s="539"/>
      <c r="CV99" s="539"/>
      <c r="CW99" s="539"/>
      <c r="CX99" s="539"/>
      <c r="CY99" s="539"/>
      <c r="CZ99" s="539"/>
      <c r="DA99" s="539"/>
      <c r="DB99" s="539"/>
      <c r="DC99" s="539"/>
      <c r="DD99" s="539"/>
      <c r="DE99" s="539"/>
      <c r="DF99" s="539"/>
      <c r="DG99" s="539"/>
      <c r="DH99" s="539"/>
      <c r="DI99" s="539"/>
      <c r="DJ99" s="539"/>
      <c r="DK99" s="539"/>
      <c r="DL99" s="539"/>
      <c r="DM99" s="539"/>
      <c r="DN99" s="539"/>
      <c r="DO99" s="539"/>
      <c r="DP99" s="539"/>
      <c r="DQ99" s="539"/>
      <c r="DR99" s="539"/>
      <c r="DS99" s="539"/>
      <c r="DT99" s="257"/>
      <c r="DU99" s="17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  <c r="EH99" s="71"/>
      <c r="EI99" s="71"/>
      <c r="EJ99" s="71"/>
      <c r="EK99" s="9"/>
      <c r="EL99" s="71"/>
      <c r="EM99" s="71"/>
      <c r="EN99" s="71"/>
      <c r="EO99" s="71"/>
      <c r="EP99" s="71"/>
      <c r="EQ99" s="71"/>
      <c r="ER99" s="71"/>
      <c r="ES99" s="9"/>
      <c r="ET99" s="71"/>
      <c r="EU99" s="71"/>
      <c r="EV99" s="71"/>
      <c r="EW99" s="71"/>
      <c r="EX99" s="71"/>
      <c r="EY99" s="200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</row>
    <row r="100" spans="1:167" ht="120" customHeight="1" x14ac:dyDescent="0.65">
      <c r="A100" s="3"/>
      <c r="B100" s="3"/>
      <c r="C100" s="72"/>
      <c r="D100" s="558" t="s">
        <v>99</v>
      </c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58"/>
      <c r="AB100" s="558"/>
      <c r="AC100" s="558"/>
      <c r="AD100" s="558"/>
      <c r="AE100" s="558"/>
      <c r="AF100" s="543" t="s">
        <v>100</v>
      </c>
      <c r="AG100" s="544"/>
      <c r="AH100" s="544"/>
      <c r="AI100" s="544"/>
      <c r="AJ100" s="544"/>
      <c r="AK100" s="544"/>
      <c r="AL100" s="544"/>
      <c r="AM100" s="544"/>
      <c r="AN100" s="544"/>
      <c r="AO100" s="545"/>
      <c r="AP100" s="546" t="s">
        <v>101</v>
      </c>
      <c r="AQ100" s="547"/>
      <c r="AR100" s="547"/>
      <c r="AS100" s="547"/>
      <c r="AT100" s="547"/>
      <c r="AU100" s="547"/>
      <c r="AV100" s="547"/>
      <c r="AW100" s="548"/>
      <c r="AX100" s="526" t="s">
        <v>102</v>
      </c>
      <c r="AY100" s="527"/>
      <c r="AZ100" s="527"/>
      <c r="BA100" s="527"/>
      <c r="BB100" s="527"/>
      <c r="BC100" s="527"/>
      <c r="BD100" s="527"/>
      <c r="BE100" s="527"/>
      <c r="BF100" s="527"/>
      <c r="BG100" s="527"/>
      <c r="BH100" s="527"/>
      <c r="BI100" s="527"/>
      <c r="BJ100" s="527"/>
      <c r="BK100" s="527"/>
      <c r="BL100" s="527"/>
      <c r="BM100" s="527"/>
      <c r="BN100" s="527"/>
      <c r="BO100" s="527"/>
      <c r="BP100" s="527"/>
      <c r="BQ100" s="527"/>
      <c r="BR100" s="527"/>
      <c r="BS100" s="527"/>
      <c r="BT100" s="527"/>
      <c r="BU100" s="527"/>
      <c r="BV100" s="527"/>
      <c r="BW100" s="527"/>
      <c r="BX100" s="527"/>
      <c r="BY100" s="527"/>
      <c r="BZ100" s="527"/>
      <c r="CA100" s="527"/>
      <c r="CB100" s="527"/>
      <c r="CC100" s="527"/>
      <c r="CD100" s="527"/>
      <c r="CE100" s="527"/>
      <c r="CF100" s="527"/>
      <c r="CG100" s="527"/>
      <c r="CH100" s="527"/>
      <c r="CI100" s="527"/>
      <c r="CJ100" s="527"/>
      <c r="CK100" s="528"/>
      <c r="CL100" s="1"/>
      <c r="CM100" s="1"/>
      <c r="CN100" s="1"/>
      <c r="CO100" s="1"/>
      <c r="CP100" s="296"/>
      <c r="CQ100" s="296"/>
      <c r="CR100" s="296"/>
      <c r="CS100" s="296"/>
      <c r="CT100" s="296"/>
      <c r="CU100" s="296"/>
      <c r="CV100" s="296"/>
      <c r="CW100" s="296"/>
      <c r="CX100" s="296"/>
      <c r="CY100" s="296"/>
      <c r="CZ100" s="296"/>
      <c r="DA100" s="296"/>
      <c r="DB100" s="296"/>
      <c r="DC100" s="296"/>
      <c r="DD100" s="296"/>
      <c r="DE100" s="296"/>
      <c r="DF100" s="296"/>
      <c r="DG100" s="296"/>
      <c r="DH100" s="296"/>
      <c r="DI100" s="296"/>
      <c r="DJ100" s="296"/>
      <c r="DK100" s="296"/>
      <c r="DL100" s="296"/>
      <c r="DM100" s="296"/>
      <c r="DN100" s="296"/>
      <c r="DO100" s="296"/>
      <c r="DP100" s="296"/>
      <c r="DQ100" s="296"/>
      <c r="DR100" s="296"/>
      <c r="DS100" s="296"/>
      <c r="DT100" s="296"/>
      <c r="DU100" s="296"/>
      <c r="DV100" s="296"/>
      <c r="DW100" s="296"/>
      <c r="DX100" s="296"/>
      <c r="DY100" s="296"/>
      <c r="DZ100" s="296"/>
      <c r="EA100" s="296"/>
      <c r="EB100" s="296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200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</row>
    <row r="101" spans="1:167" s="134" customFormat="1" ht="120" customHeight="1" x14ac:dyDescent="0.85">
      <c r="A101" s="132"/>
      <c r="B101" s="132"/>
      <c r="C101" s="133"/>
      <c r="D101" s="557" t="s">
        <v>103</v>
      </c>
      <c r="E101" s="557"/>
      <c r="F101" s="557"/>
      <c r="G101" s="557"/>
      <c r="H101" s="557"/>
      <c r="I101" s="557"/>
      <c r="J101" s="557"/>
      <c r="K101" s="557"/>
      <c r="L101" s="557"/>
      <c r="M101" s="557"/>
      <c r="N101" s="557"/>
      <c r="O101" s="557"/>
      <c r="P101" s="557"/>
      <c r="Q101" s="557"/>
      <c r="R101" s="557"/>
      <c r="S101" s="557"/>
      <c r="T101" s="557"/>
      <c r="U101" s="557"/>
      <c r="V101" s="557"/>
      <c r="W101" s="557"/>
      <c r="X101" s="557"/>
      <c r="Y101" s="557"/>
      <c r="Z101" s="557"/>
      <c r="AA101" s="557"/>
      <c r="AB101" s="557"/>
      <c r="AC101" s="557"/>
      <c r="AD101" s="557"/>
      <c r="AE101" s="557"/>
      <c r="AF101" s="926">
        <f>HE20</f>
        <v>30</v>
      </c>
      <c r="AG101" s="926"/>
      <c r="AH101" s="926"/>
      <c r="AI101" s="926"/>
      <c r="AJ101" s="926"/>
      <c r="AK101" s="926"/>
      <c r="AL101" s="926"/>
      <c r="AM101" s="926"/>
      <c r="AN101" s="926"/>
      <c r="AO101" s="927"/>
      <c r="AP101" s="516" t="s">
        <v>322</v>
      </c>
      <c r="AQ101" s="517"/>
      <c r="AR101" s="517"/>
      <c r="AS101" s="517"/>
      <c r="AT101" s="517"/>
      <c r="AU101" s="517"/>
      <c r="AV101" s="517"/>
      <c r="AW101" s="518"/>
      <c r="AX101" s="529" t="s">
        <v>120</v>
      </c>
      <c r="AY101" s="530"/>
      <c r="AZ101" s="530"/>
      <c r="BA101" s="530"/>
      <c r="BB101" s="530"/>
      <c r="BC101" s="530"/>
      <c r="BD101" s="530"/>
      <c r="BE101" s="530"/>
      <c r="BF101" s="530"/>
      <c r="BG101" s="530"/>
      <c r="BH101" s="530"/>
      <c r="BI101" s="530"/>
      <c r="BJ101" s="530"/>
      <c r="BK101" s="530"/>
      <c r="BL101" s="530"/>
      <c r="BM101" s="530"/>
      <c r="BN101" s="530"/>
      <c r="BO101" s="530"/>
      <c r="BP101" s="530"/>
      <c r="BQ101" s="530"/>
      <c r="BR101" s="530"/>
      <c r="BS101" s="530"/>
      <c r="BT101" s="530"/>
      <c r="BU101" s="530"/>
      <c r="BV101" s="530"/>
      <c r="BW101" s="530"/>
      <c r="BX101" s="530"/>
      <c r="BY101" s="530"/>
      <c r="BZ101" s="530"/>
      <c r="CA101" s="530"/>
      <c r="CB101" s="530"/>
      <c r="CC101" s="530"/>
      <c r="CD101" s="530"/>
      <c r="CE101" s="530"/>
      <c r="CF101" s="530"/>
      <c r="CG101" s="530"/>
      <c r="CH101" s="530"/>
      <c r="CI101" s="530"/>
      <c r="CJ101" s="530"/>
      <c r="CK101" s="531"/>
      <c r="CP101" s="929" t="s">
        <v>324</v>
      </c>
      <c r="CQ101" s="929"/>
      <c r="CR101" s="929"/>
      <c r="CS101" s="929"/>
      <c r="CT101" s="929"/>
      <c r="CU101" s="929"/>
      <c r="CV101" s="929"/>
      <c r="CW101" s="929"/>
      <c r="CX101" s="929"/>
      <c r="CY101" s="929"/>
      <c r="CZ101" s="929"/>
      <c r="DA101" s="929"/>
      <c r="DB101" s="929"/>
      <c r="DC101" s="929"/>
      <c r="DD101" s="929"/>
      <c r="DE101" s="929"/>
      <c r="DF101" s="929"/>
      <c r="DG101" s="929"/>
      <c r="DH101" s="929"/>
      <c r="DI101" s="929"/>
      <c r="DJ101" s="929"/>
      <c r="DK101" s="929"/>
      <c r="DL101" s="929"/>
      <c r="DM101" s="929"/>
      <c r="DN101" s="929"/>
      <c r="DO101" s="929"/>
      <c r="DP101" s="929"/>
      <c r="DQ101" s="929"/>
      <c r="DR101" s="929"/>
      <c r="DS101" s="929"/>
      <c r="DT101" s="929"/>
      <c r="DU101" s="929"/>
      <c r="DV101" s="929"/>
      <c r="DW101" s="929"/>
      <c r="DX101" s="929"/>
      <c r="DY101" s="929"/>
      <c r="DZ101" s="929"/>
      <c r="EA101" s="929"/>
      <c r="EB101" s="929"/>
      <c r="EC101" s="929"/>
      <c r="ED101" s="929"/>
      <c r="EE101" s="929"/>
      <c r="EF101" s="929"/>
      <c r="EG101" s="929"/>
      <c r="EH101" s="929"/>
      <c r="EI101" s="929"/>
      <c r="EJ101" s="929"/>
      <c r="EK101" s="929"/>
      <c r="EL101" s="929"/>
      <c r="EM101" s="929"/>
      <c r="EN101" s="929"/>
      <c r="EO101" s="929"/>
      <c r="EP101" s="929"/>
      <c r="EQ101" s="929"/>
      <c r="ER101" s="929"/>
      <c r="ES101" s="929"/>
      <c r="EY101" s="201"/>
    </row>
    <row r="102" spans="1:167" s="134" customFormat="1" ht="120" customHeight="1" x14ac:dyDescent="0.85">
      <c r="A102" s="132"/>
      <c r="B102" s="132"/>
      <c r="C102" s="133"/>
      <c r="D102" s="559" t="s">
        <v>336</v>
      </c>
      <c r="E102" s="559"/>
      <c r="F102" s="559"/>
      <c r="G102" s="559"/>
      <c r="H102" s="559"/>
      <c r="I102" s="559"/>
      <c r="J102" s="559"/>
      <c r="K102" s="559"/>
      <c r="L102" s="559"/>
      <c r="M102" s="559"/>
      <c r="N102" s="559"/>
      <c r="O102" s="559"/>
      <c r="P102" s="559"/>
      <c r="Q102" s="559"/>
      <c r="R102" s="559"/>
      <c r="S102" s="559"/>
      <c r="T102" s="559"/>
      <c r="U102" s="559"/>
      <c r="V102" s="559"/>
      <c r="W102" s="559"/>
      <c r="X102" s="559"/>
      <c r="Y102" s="559"/>
      <c r="Z102" s="559"/>
      <c r="AA102" s="559"/>
      <c r="AB102" s="559"/>
      <c r="AC102" s="559"/>
      <c r="AD102" s="559"/>
      <c r="AE102" s="559"/>
      <c r="AF102" s="928">
        <f>HO20</f>
        <v>90</v>
      </c>
      <c r="AG102" s="926"/>
      <c r="AH102" s="926"/>
      <c r="AI102" s="926"/>
      <c r="AJ102" s="926"/>
      <c r="AK102" s="926"/>
      <c r="AL102" s="926"/>
      <c r="AM102" s="926"/>
      <c r="AN102" s="926"/>
      <c r="AO102" s="927"/>
      <c r="AP102" s="516" t="s">
        <v>115</v>
      </c>
      <c r="AQ102" s="517"/>
      <c r="AR102" s="517"/>
      <c r="AS102" s="517"/>
      <c r="AT102" s="517"/>
      <c r="AU102" s="517"/>
      <c r="AV102" s="517"/>
      <c r="AW102" s="518"/>
      <c r="AX102" s="532"/>
      <c r="AY102" s="533"/>
      <c r="AZ102" s="533"/>
      <c r="BA102" s="533"/>
      <c r="BB102" s="533"/>
      <c r="BC102" s="533"/>
      <c r="BD102" s="533"/>
      <c r="BE102" s="533"/>
      <c r="BF102" s="533"/>
      <c r="BG102" s="533"/>
      <c r="BH102" s="533"/>
      <c r="BI102" s="533"/>
      <c r="BJ102" s="533"/>
      <c r="BK102" s="533"/>
      <c r="BL102" s="533"/>
      <c r="BM102" s="533"/>
      <c r="BN102" s="533"/>
      <c r="BO102" s="533"/>
      <c r="BP102" s="533"/>
      <c r="BQ102" s="533"/>
      <c r="BR102" s="533"/>
      <c r="BS102" s="533"/>
      <c r="BT102" s="533"/>
      <c r="BU102" s="533"/>
      <c r="BV102" s="533"/>
      <c r="BW102" s="533"/>
      <c r="BX102" s="533"/>
      <c r="BY102" s="533"/>
      <c r="BZ102" s="533"/>
      <c r="CA102" s="533"/>
      <c r="CB102" s="533"/>
      <c r="CC102" s="533"/>
      <c r="CD102" s="533"/>
      <c r="CE102" s="533"/>
      <c r="CF102" s="533"/>
      <c r="CG102" s="533"/>
      <c r="CH102" s="533"/>
      <c r="CI102" s="533"/>
      <c r="CJ102" s="533"/>
      <c r="CK102" s="534"/>
      <c r="CP102" s="929"/>
      <c r="CQ102" s="929"/>
      <c r="CR102" s="929"/>
      <c r="CS102" s="929"/>
      <c r="CT102" s="929"/>
      <c r="CU102" s="929"/>
      <c r="CV102" s="929"/>
      <c r="CW102" s="929"/>
      <c r="CX102" s="929"/>
      <c r="CY102" s="929"/>
      <c r="CZ102" s="929"/>
      <c r="DA102" s="929"/>
      <c r="DB102" s="929"/>
      <c r="DC102" s="929"/>
      <c r="DD102" s="929"/>
      <c r="DE102" s="929"/>
      <c r="DF102" s="929"/>
      <c r="DG102" s="929"/>
      <c r="DH102" s="929"/>
      <c r="DI102" s="929"/>
      <c r="DJ102" s="929"/>
      <c r="DK102" s="929"/>
      <c r="DL102" s="929"/>
      <c r="DM102" s="929"/>
      <c r="DN102" s="929"/>
      <c r="DO102" s="929"/>
      <c r="DP102" s="929"/>
      <c r="DQ102" s="929"/>
      <c r="DR102" s="929"/>
      <c r="DS102" s="929"/>
      <c r="DT102" s="929"/>
      <c r="DU102" s="929"/>
      <c r="DV102" s="929"/>
      <c r="DW102" s="929"/>
      <c r="DX102" s="929"/>
      <c r="DY102" s="929"/>
      <c r="DZ102" s="929"/>
      <c r="EA102" s="929"/>
      <c r="EB102" s="929"/>
      <c r="EC102" s="929"/>
      <c r="ED102" s="929"/>
      <c r="EE102" s="929"/>
      <c r="EF102" s="929"/>
      <c r="EG102" s="929"/>
      <c r="EH102" s="929"/>
      <c r="EI102" s="929"/>
      <c r="EJ102" s="929"/>
      <c r="EK102" s="929"/>
      <c r="EL102" s="929"/>
      <c r="EM102" s="929"/>
      <c r="EN102" s="929"/>
      <c r="EO102" s="929"/>
      <c r="EP102" s="929"/>
      <c r="EQ102" s="929"/>
      <c r="ER102" s="929"/>
      <c r="ES102" s="929"/>
      <c r="EY102" s="201"/>
    </row>
    <row r="103" spans="1:167" s="134" customFormat="1" ht="120" customHeight="1" x14ac:dyDescent="0.85">
      <c r="A103" s="132"/>
      <c r="B103" s="132"/>
      <c r="C103" s="133"/>
      <c r="D103" s="559" t="s">
        <v>104</v>
      </c>
      <c r="E103" s="559"/>
      <c r="F103" s="559"/>
      <c r="G103" s="559"/>
      <c r="H103" s="559"/>
      <c r="I103" s="559"/>
      <c r="J103" s="559"/>
      <c r="K103" s="559"/>
      <c r="L103" s="559"/>
      <c r="M103" s="559"/>
      <c r="N103" s="559"/>
      <c r="O103" s="559"/>
      <c r="P103" s="559"/>
      <c r="Q103" s="559"/>
      <c r="R103" s="559"/>
      <c r="S103" s="559"/>
      <c r="T103" s="559"/>
      <c r="U103" s="559"/>
      <c r="V103" s="559"/>
      <c r="W103" s="559"/>
      <c r="X103" s="559"/>
      <c r="Y103" s="559"/>
      <c r="Z103" s="559"/>
      <c r="AA103" s="559"/>
      <c r="AB103" s="559"/>
      <c r="AC103" s="559"/>
      <c r="AD103" s="559"/>
      <c r="AE103" s="559"/>
      <c r="AF103" s="928">
        <f>HG20</f>
        <v>16</v>
      </c>
      <c r="AG103" s="926"/>
      <c r="AH103" s="926"/>
      <c r="AI103" s="926"/>
      <c r="AJ103" s="926"/>
      <c r="AK103" s="926"/>
      <c r="AL103" s="926"/>
      <c r="AM103" s="926"/>
      <c r="AN103" s="926"/>
      <c r="AO103" s="927"/>
      <c r="AP103" s="516" t="s">
        <v>116</v>
      </c>
      <c r="AQ103" s="517"/>
      <c r="AR103" s="517"/>
      <c r="AS103" s="517"/>
      <c r="AT103" s="517"/>
      <c r="AU103" s="517"/>
      <c r="AV103" s="517"/>
      <c r="AW103" s="518"/>
      <c r="AX103" s="532"/>
      <c r="AY103" s="533"/>
      <c r="AZ103" s="533"/>
      <c r="BA103" s="533"/>
      <c r="BB103" s="533"/>
      <c r="BC103" s="533"/>
      <c r="BD103" s="533"/>
      <c r="BE103" s="533"/>
      <c r="BF103" s="533"/>
      <c r="BG103" s="533"/>
      <c r="BH103" s="533"/>
      <c r="BI103" s="533"/>
      <c r="BJ103" s="533"/>
      <c r="BK103" s="533"/>
      <c r="BL103" s="533"/>
      <c r="BM103" s="533"/>
      <c r="BN103" s="533"/>
      <c r="BO103" s="533"/>
      <c r="BP103" s="533"/>
      <c r="BQ103" s="533"/>
      <c r="BR103" s="533"/>
      <c r="BS103" s="533"/>
      <c r="BT103" s="533"/>
      <c r="BU103" s="533"/>
      <c r="BV103" s="533"/>
      <c r="BW103" s="533"/>
      <c r="BX103" s="533"/>
      <c r="BY103" s="533"/>
      <c r="BZ103" s="533"/>
      <c r="CA103" s="533"/>
      <c r="CB103" s="533"/>
      <c r="CC103" s="533"/>
      <c r="CD103" s="533"/>
      <c r="CE103" s="533"/>
      <c r="CF103" s="533"/>
      <c r="CG103" s="533"/>
      <c r="CH103" s="533"/>
      <c r="CI103" s="533"/>
      <c r="CJ103" s="533"/>
      <c r="CK103" s="534"/>
      <c r="CP103" s="929"/>
      <c r="CQ103" s="929"/>
      <c r="CR103" s="929"/>
      <c r="CS103" s="929"/>
      <c r="CT103" s="929"/>
      <c r="CU103" s="929"/>
      <c r="CV103" s="929"/>
      <c r="CW103" s="929"/>
      <c r="CX103" s="929"/>
      <c r="CY103" s="929"/>
      <c r="CZ103" s="929"/>
      <c r="DA103" s="929"/>
      <c r="DB103" s="929"/>
      <c r="DC103" s="929"/>
      <c r="DD103" s="929"/>
      <c r="DE103" s="929"/>
      <c r="DF103" s="929"/>
      <c r="DG103" s="929"/>
      <c r="DH103" s="929"/>
      <c r="DI103" s="929"/>
      <c r="DJ103" s="929"/>
      <c r="DK103" s="929"/>
      <c r="DL103" s="929"/>
      <c r="DM103" s="929"/>
      <c r="DN103" s="929"/>
      <c r="DO103" s="929"/>
      <c r="DP103" s="929"/>
      <c r="DQ103" s="929"/>
      <c r="DR103" s="929"/>
      <c r="DS103" s="929"/>
      <c r="DT103" s="929"/>
      <c r="DU103" s="929"/>
      <c r="DV103" s="929"/>
      <c r="DW103" s="929"/>
      <c r="DX103" s="929"/>
      <c r="DY103" s="929"/>
      <c r="DZ103" s="929"/>
      <c r="EA103" s="929"/>
      <c r="EB103" s="929"/>
      <c r="EC103" s="929"/>
      <c r="ED103" s="929"/>
      <c r="EE103" s="929"/>
      <c r="EF103" s="929"/>
      <c r="EG103" s="929"/>
      <c r="EH103" s="929"/>
      <c r="EI103" s="929"/>
      <c r="EJ103" s="929"/>
      <c r="EK103" s="929"/>
      <c r="EL103" s="929"/>
      <c r="EM103" s="929"/>
      <c r="EN103" s="929"/>
      <c r="EO103" s="929"/>
      <c r="EP103" s="929"/>
      <c r="EQ103" s="929"/>
      <c r="ER103" s="929"/>
      <c r="ES103" s="929"/>
      <c r="EY103" s="201"/>
    </row>
    <row r="104" spans="1:167" s="134" customFormat="1" ht="120" customHeight="1" x14ac:dyDescent="0.85">
      <c r="A104" s="132"/>
      <c r="B104" s="132"/>
      <c r="C104" s="133"/>
      <c r="D104" s="559" t="s">
        <v>105</v>
      </c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59"/>
      <c r="P104" s="559"/>
      <c r="Q104" s="559"/>
      <c r="R104" s="559"/>
      <c r="S104" s="559"/>
      <c r="T104" s="559"/>
      <c r="U104" s="559"/>
      <c r="V104" s="559"/>
      <c r="W104" s="559"/>
      <c r="X104" s="559"/>
      <c r="Y104" s="559"/>
      <c r="Z104" s="559"/>
      <c r="AA104" s="559"/>
      <c r="AB104" s="559"/>
      <c r="AC104" s="559"/>
      <c r="AD104" s="559"/>
      <c r="AE104" s="559"/>
      <c r="AF104" s="928">
        <f>HM20</f>
        <v>2</v>
      </c>
      <c r="AG104" s="926"/>
      <c r="AH104" s="926"/>
      <c r="AI104" s="926"/>
      <c r="AJ104" s="926"/>
      <c r="AK104" s="926"/>
      <c r="AL104" s="926"/>
      <c r="AM104" s="926"/>
      <c r="AN104" s="926"/>
      <c r="AO104" s="927"/>
      <c r="AP104" s="516" t="s">
        <v>117</v>
      </c>
      <c r="AQ104" s="517"/>
      <c r="AR104" s="517"/>
      <c r="AS104" s="517"/>
      <c r="AT104" s="517"/>
      <c r="AU104" s="517"/>
      <c r="AV104" s="517"/>
      <c r="AW104" s="518"/>
      <c r="AX104" s="532"/>
      <c r="AY104" s="533"/>
      <c r="AZ104" s="533"/>
      <c r="BA104" s="533"/>
      <c r="BB104" s="533"/>
      <c r="BC104" s="533"/>
      <c r="BD104" s="533"/>
      <c r="BE104" s="533"/>
      <c r="BF104" s="533"/>
      <c r="BG104" s="533"/>
      <c r="BH104" s="533"/>
      <c r="BI104" s="533"/>
      <c r="BJ104" s="533"/>
      <c r="BK104" s="533"/>
      <c r="BL104" s="533"/>
      <c r="BM104" s="533"/>
      <c r="BN104" s="533"/>
      <c r="BO104" s="533"/>
      <c r="BP104" s="533"/>
      <c r="BQ104" s="533"/>
      <c r="BR104" s="533"/>
      <c r="BS104" s="533"/>
      <c r="BT104" s="533"/>
      <c r="BU104" s="533"/>
      <c r="BV104" s="533"/>
      <c r="BW104" s="533"/>
      <c r="BX104" s="533"/>
      <c r="BY104" s="533"/>
      <c r="BZ104" s="533"/>
      <c r="CA104" s="533"/>
      <c r="CB104" s="533"/>
      <c r="CC104" s="533"/>
      <c r="CD104" s="533"/>
      <c r="CE104" s="533"/>
      <c r="CF104" s="533"/>
      <c r="CG104" s="533"/>
      <c r="CH104" s="533"/>
      <c r="CI104" s="533"/>
      <c r="CJ104" s="533"/>
      <c r="CK104" s="534"/>
      <c r="CP104" s="929"/>
      <c r="CQ104" s="929"/>
      <c r="CR104" s="929"/>
      <c r="CS104" s="929"/>
      <c r="CT104" s="929"/>
      <c r="CU104" s="929"/>
      <c r="CV104" s="929"/>
      <c r="CW104" s="929"/>
      <c r="CX104" s="929"/>
      <c r="CY104" s="929"/>
      <c r="CZ104" s="929"/>
      <c r="DA104" s="929"/>
      <c r="DB104" s="929"/>
      <c r="DC104" s="929"/>
      <c r="DD104" s="929"/>
      <c r="DE104" s="929"/>
      <c r="DF104" s="929"/>
      <c r="DG104" s="929"/>
      <c r="DH104" s="929"/>
      <c r="DI104" s="929"/>
      <c r="DJ104" s="929"/>
      <c r="DK104" s="929"/>
      <c r="DL104" s="929"/>
      <c r="DM104" s="929"/>
      <c r="DN104" s="929"/>
      <c r="DO104" s="929"/>
      <c r="DP104" s="929"/>
      <c r="DQ104" s="929"/>
      <c r="DR104" s="929"/>
      <c r="DS104" s="929"/>
      <c r="DT104" s="929"/>
      <c r="DU104" s="929"/>
      <c r="DV104" s="929"/>
      <c r="DW104" s="929"/>
      <c r="DX104" s="929"/>
      <c r="DY104" s="929"/>
      <c r="DZ104" s="929"/>
      <c r="EA104" s="929"/>
      <c r="EB104" s="929"/>
      <c r="EC104" s="929"/>
      <c r="ED104" s="929"/>
      <c r="EE104" s="929"/>
      <c r="EF104" s="929"/>
      <c r="EG104" s="929"/>
      <c r="EH104" s="929"/>
      <c r="EI104" s="929"/>
      <c r="EJ104" s="929"/>
      <c r="EK104" s="929"/>
      <c r="EL104" s="929"/>
      <c r="EM104" s="929"/>
      <c r="EN104" s="929"/>
      <c r="EO104" s="929"/>
      <c r="EP104" s="929"/>
      <c r="EQ104" s="929"/>
      <c r="ER104" s="929"/>
      <c r="ES104" s="929"/>
      <c r="EY104" s="201"/>
    </row>
    <row r="105" spans="1:167" s="134" customFormat="1" ht="120" customHeight="1" x14ac:dyDescent="0.85">
      <c r="A105" s="132"/>
      <c r="B105" s="132"/>
      <c r="C105" s="133"/>
      <c r="D105" s="516" t="s">
        <v>106</v>
      </c>
      <c r="E105" s="517"/>
      <c r="F105" s="517"/>
      <c r="G105" s="517"/>
      <c r="H105" s="517"/>
      <c r="I105" s="517"/>
      <c r="J105" s="517"/>
      <c r="K105" s="517"/>
      <c r="L105" s="517"/>
      <c r="M105" s="517"/>
      <c r="N105" s="517"/>
      <c r="O105" s="517"/>
      <c r="P105" s="517"/>
      <c r="Q105" s="517"/>
      <c r="R105" s="517"/>
      <c r="S105" s="517"/>
      <c r="T105" s="517"/>
      <c r="U105" s="517"/>
      <c r="V105" s="517"/>
      <c r="W105" s="517"/>
      <c r="X105" s="517"/>
      <c r="Y105" s="517"/>
      <c r="Z105" s="517"/>
      <c r="AA105" s="517"/>
      <c r="AB105" s="517"/>
      <c r="AC105" s="517"/>
      <c r="AD105" s="517"/>
      <c r="AE105" s="518"/>
      <c r="AF105" s="928">
        <f>HQ20</f>
        <v>58</v>
      </c>
      <c r="AG105" s="926"/>
      <c r="AH105" s="926"/>
      <c r="AI105" s="926"/>
      <c r="AJ105" s="926"/>
      <c r="AK105" s="926"/>
      <c r="AL105" s="926"/>
      <c r="AM105" s="926"/>
      <c r="AN105" s="926"/>
      <c r="AO105" s="927"/>
      <c r="AP105" s="516" t="s">
        <v>116</v>
      </c>
      <c r="AQ105" s="517"/>
      <c r="AR105" s="517"/>
      <c r="AS105" s="517"/>
      <c r="AT105" s="517"/>
      <c r="AU105" s="517"/>
      <c r="AV105" s="517"/>
      <c r="AW105" s="518"/>
      <c r="AX105" s="532"/>
      <c r="AY105" s="533"/>
      <c r="AZ105" s="533"/>
      <c r="BA105" s="533"/>
      <c r="BB105" s="533"/>
      <c r="BC105" s="533"/>
      <c r="BD105" s="533"/>
      <c r="BE105" s="533"/>
      <c r="BF105" s="533"/>
      <c r="BG105" s="533"/>
      <c r="BH105" s="533"/>
      <c r="BI105" s="533"/>
      <c r="BJ105" s="533"/>
      <c r="BK105" s="533"/>
      <c r="BL105" s="533"/>
      <c r="BM105" s="533"/>
      <c r="BN105" s="533"/>
      <c r="BO105" s="533"/>
      <c r="BP105" s="533"/>
      <c r="BQ105" s="533"/>
      <c r="BR105" s="533"/>
      <c r="BS105" s="533"/>
      <c r="BT105" s="533"/>
      <c r="BU105" s="533"/>
      <c r="BV105" s="533"/>
      <c r="BW105" s="533"/>
      <c r="BX105" s="533"/>
      <c r="BY105" s="533"/>
      <c r="BZ105" s="533"/>
      <c r="CA105" s="533"/>
      <c r="CB105" s="533"/>
      <c r="CC105" s="533"/>
      <c r="CD105" s="533"/>
      <c r="CE105" s="533"/>
      <c r="CF105" s="533"/>
      <c r="CG105" s="533"/>
      <c r="CH105" s="533"/>
      <c r="CI105" s="533"/>
      <c r="CJ105" s="533"/>
      <c r="CK105" s="534"/>
      <c r="CP105" s="929"/>
      <c r="CQ105" s="929"/>
      <c r="CR105" s="929"/>
      <c r="CS105" s="929"/>
      <c r="CT105" s="929"/>
      <c r="CU105" s="929"/>
      <c r="CV105" s="929"/>
      <c r="CW105" s="929"/>
      <c r="CX105" s="929"/>
      <c r="CY105" s="929"/>
      <c r="CZ105" s="929"/>
      <c r="DA105" s="929"/>
      <c r="DB105" s="929"/>
      <c r="DC105" s="929"/>
      <c r="DD105" s="929"/>
      <c r="DE105" s="929"/>
      <c r="DF105" s="929"/>
      <c r="DG105" s="929"/>
      <c r="DH105" s="929"/>
      <c r="DI105" s="929"/>
      <c r="DJ105" s="929"/>
      <c r="DK105" s="929"/>
      <c r="DL105" s="929"/>
      <c r="DM105" s="929"/>
      <c r="DN105" s="929"/>
      <c r="DO105" s="929"/>
      <c r="DP105" s="929"/>
      <c r="DQ105" s="929"/>
      <c r="DR105" s="929"/>
      <c r="DS105" s="929"/>
      <c r="DT105" s="929"/>
      <c r="DU105" s="929"/>
      <c r="DV105" s="929"/>
      <c r="DW105" s="929"/>
      <c r="DX105" s="929"/>
      <c r="DY105" s="929"/>
      <c r="DZ105" s="929"/>
      <c r="EA105" s="929"/>
      <c r="EB105" s="929"/>
      <c r="EC105" s="929"/>
      <c r="ED105" s="929"/>
      <c r="EE105" s="929"/>
      <c r="EF105" s="929"/>
      <c r="EG105" s="929"/>
      <c r="EH105" s="929"/>
      <c r="EI105" s="929"/>
      <c r="EJ105" s="929"/>
      <c r="EK105" s="929"/>
      <c r="EL105" s="929"/>
      <c r="EM105" s="929"/>
      <c r="EN105" s="929"/>
      <c r="EO105" s="929"/>
      <c r="EP105" s="929"/>
      <c r="EQ105" s="929"/>
      <c r="ER105" s="929"/>
      <c r="ES105" s="929"/>
      <c r="EY105" s="201"/>
    </row>
    <row r="106" spans="1:167" s="134" customFormat="1" ht="120" customHeight="1" x14ac:dyDescent="0.85">
      <c r="A106" s="132"/>
      <c r="B106" s="132"/>
      <c r="C106" s="133"/>
      <c r="D106" s="516" t="s">
        <v>15</v>
      </c>
      <c r="E106" s="517"/>
      <c r="F106" s="517"/>
      <c r="G106" s="517"/>
      <c r="H106" s="517"/>
      <c r="I106" s="517"/>
      <c r="J106" s="517"/>
      <c r="K106" s="517"/>
      <c r="L106" s="517"/>
      <c r="M106" s="517"/>
      <c r="N106" s="517"/>
      <c r="O106" s="517"/>
      <c r="P106" s="517"/>
      <c r="Q106" s="517"/>
      <c r="R106" s="517"/>
      <c r="S106" s="517"/>
      <c r="T106" s="517"/>
      <c r="U106" s="517"/>
      <c r="V106" s="517"/>
      <c r="W106" s="517"/>
      <c r="X106" s="517"/>
      <c r="Y106" s="517"/>
      <c r="Z106" s="517"/>
      <c r="AA106" s="517"/>
      <c r="AB106" s="517"/>
      <c r="AC106" s="517"/>
      <c r="AD106" s="517"/>
      <c r="AE106" s="518"/>
      <c r="AF106" s="928">
        <f>HK20</f>
        <v>3</v>
      </c>
      <c r="AG106" s="926"/>
      <c r="AH106" s="926"/>
      <c r="AI106" s="926"/>
      <c r="AJ106" s="926"/>
      <c r="AK106" s="926"/>
      <c r="AL106" s="926"/>
      <c r="AM106" s="926"/>
      <c r="AN106" s="926"/>
      <c r="AO106" s="927"/>
      <c r="AP106" s="516" t="s">
        <v>142</v>
      </c>
      <c r="AQ106" s="517"/>
      <c r="AR106" s="517"/>
      <c r="AS106" s="517"/>
      <c r="AT106" s="517"/>
      <c r="AU106" s="517"/>
      <c r="AV106" s="517"/>
      <c r="AW106" s="518"/>
      <c r="AX106" s="532"/>
      <c r="AY106" s="533"/>
      <c r="AZ106" s="533"/>
      <c r="BA106" s="533"/>
      <c r="BB106" s="533"/>
      <c r="BC106" s="533"/>
      <c r="BD106" s="533"/>
      <c r="BE106" s="533"/>
      <c r="BF106" s="533"/>
      <c r="BG106" s="533"/>
      <c r="BH106" s="533"/>
      <c r="BI106" s="533"/>
      <c r="BJ106" s="533"/>
      <c r="BK106" s="533"/>
      <c r="BL106" s="533"/>
      <c r="BM106" s="533"/>
      <c r="BN106" s="533"/>
      <c r="BO106" s="533"/>
      <c r="BP106" s="533"/>
      <c r="BQ106" s="533"/>
      <c r="BR106" s="533"/>
      <c r="BS106" s="533"/>
      <c r="BT106" s="533"/>
      <c r="BU106" s="533"/>
      <c r="BV106" s="533"/>
      <c r="BW106" s="533"/>
      <c r="BX106" s="533"/>
      <c r="BY106" s="533"/>
      <c r="BZ106" s="533"/>
      <c r="CA106" s="533"/>
      <c r="CB106" s="533"/>
      <c r="CC106" s="533"/>
      <c r="CD106" s="533"/>
      <c r="CE106" s="533"/>
      <c r="CF106" s="533"/>
      <c r="CG106" s="533"/>
      <c r="CH106" s="533"/>
      <c r="CI106" s="533"/>
      <c r="CJ106" s="533"/>
      <c r="CK106" s="534"/>
      <c r="CP106" s="929"/>
      <c r="CQ106" s="929"/>
      <c r="CR106" s="929"/>
      <c r="CS106" s="929"/>
      <c r="CT106" s="929"/>
      <c r="CU106" s="929"/>
      <c r="CV106" s="929"/>
      <c r="CW106" s="929"/>
      <c r="CX106" s="929"/>
      <c r="CY106" s="929"/>
      <c r="CZ106" s="929"/>
      <c r="DA106" s="929"/>
      <c r="DB106" s="929"/>
      <c r="DC106" s="929"/>
      <c r="DD106" s="929"/>
      <c r="DE106" s="929"/>
      <c r="DF106" s="929"/>
      <c r="DG106" s="929"/>
      <c r="DH106" s="929"/>
      <c r="DI106" s="929"/>
      <c r="DJ106" s="929"/>
      <c r="DK106" s="929"/>
      <c r="DL106" s="929"/>
      <c r="DM106" s="929"/>
      <c r="DN106" s="929"/>
      <c r="DO106" s="929"/>
      <c r="DP106" s="929"/>
      <c r="DQ106" s="929"/>
      <c r="DR106" s="929"/>
      <c r="DS106" s="929"/>
      <c r="DT106" s="929"/>
      <c r="DU106" s="929"/>
      <c r="DV106" s="929"/>
      <c r="DW106" s="929"/>
      <c r="DX106" s="929"/>
      <c r="DY106" s="929"/>
      <c r="DZ106" s="929"/>
      <c r="EA106" s="929"/>
      <c r="EB106" s="929"/>
      <c r="EC106" s="929"/>
      <c r="ED106" s="929"/>
      <c r="EE106" s="929"/>
      <c r="EF106" s="929"/>
      <c r="EG106" s="929"/>
      <c r="EH106" s="929"/>
      <c r="EI106" s="929"/>
      <c r="EJ106" s="929"/>
      <c r="EK106" s="929"/>
      <c r="EL106" s="929"/>
      <c r="EM106" s="929"/>
      <c r="EN106" s="929"/>
      <c r="EO106" s="929"/>
      <c r="EP106" s="929"/>
      <c r="EQ106" s="929"/>
      <c r="ER106" s="929"/>
      <c r="ES106" s="929"/>
      <c r="EY106" s="201"/>
    </row>
    <row r="107" spans="1:167" s="134" customFormat="1" ht="120" customHeight="1" x14ac:dyDescent="0.85">
      <c r="A107" s="132"/>
      <c r="B107" s="132"/>
      <c r="C107" s="133"/>
      <c r="D107" s="559" t="s">
        <v>107</v>
      </c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59"/>
      <c r="AB107" s="559"/>
      <c r="AC107" s="559"/>
      <c r="AD107" s="559"/>
      <c r="AE107" s="559"/>
      <c r="AF107" s="928">
        <f>HI20</f>
        <v>5</v>
      </c>
      <c r="AG107" s="926"/>
      <c r="AH107" s="926"/>
      <c r="AI107" s="926"/>
      <c r="AJ107" s="926"/>
      <c r="AK107" s="926"/>
      <c r="AL107" s="926"/>
      <c r="AM107" s="926"/>
      <c r="AN107" s="926"/>
      <c r="AO107" s="927"/>
      <c r="AP107" s="516" t="s">
        <v>323</v>
      </c>
      <c r="AQ107" s="517"/>
      <c r="AR107" s="517"/>
      <c r="AS107" s="517"/>
      <c r="AT107" s="517"/>
      <c r="AU107" s="517"/>
      <c r="AV107" s="517"/>
      <c r="AW107" s="518"/>
      <c r="AX107" s="532"/>
      <c r="AY107" s="533"/>
      <c r="AZ107" s="533"/>
      <c r="BA107" s="533"/>
      <c r="BB107" s="533"/>
      <c r="BC107" s="533"/>
      <c r="BD107" s="533"/>
      <c r="BE107" s="533"/>
      <c r="BF107" s="533"/>
      <c r="BG107" s="533"/>
      <c r="BH107" s="533"/>
      <c r="BI107" s="533"/>
      <c r="BJ107" s="533"/>
      <c r="BK107" s="533"/>
      <c r="BL107" s="533"/>
      <c r="BM107" s="533"/>
      <c r="BN107" s="533"/>
      <c r="BO107" s="533"/>
      <c r="BP107" s="533"/>
      <c r="BQ107" s="533"/>
      <c r="BR107" s="533"/>
      <c r="BS107" s="533"/>
      <c r="BT107" s="533"/>
      <c r="BU107" s="533"/>
      <c r="BV107" s="533"/>
      <c r="BW107" s="533"/>
      <c r="BX107" s="533"/>
      <c r="BY107" s="533"/>
      <c r="BZ107" s="533"/>
      <c r="CA107" s="533"/>
      <c r="CB107" s="533"/>
      <c r="CC107" s="533"/>
      <c r="CD107" s="533"/>
      <c r="CE107" s="533"/>
      <c r="CF107" s="533"/>
      <c r="CG107" s="533"/>
      <c r="CH107" s="533"/>
      <c r="CI107" s="533"/>
      <c r="CJ107" s="533"/>
      <c r="CK107" s="534"/>
      <c r="CP107" s="929"/>
      <c r="CQ107" s="929"/>
      <c r="CR107" s="929"/>
      <c r="CS107" s="929"/>
      <c r="CT107" s="929"/>
      <c r="CU107" s="929"/>
      <c r="CV107" s="929"/>
      <c r="CW107" s="929"/>
      <c r="CX107" s="929"/>
      <c r="CY107" s="929"/>
      <c r="CZ107" s="929"/>
      <c r="DA107" s="929"/>
      <c r="DB107" s="929"/>
      <c r="DC107" s="929"/>
      <c r="DD107" s="929"/>
      <c r="DE107" s="929"/>
      <c r="DF107" s="929"/>
      <c r="DG107" s="929"/>
      <c r="DH107" s="929"/>
      <c r="DI107" s="929"/>
      <c r="DJ107" s="929"/>
      <c r="DK107" s="929"/>
      <c r="DL107" s="929"/>
      <c r="DM107" s="929"/>
      <c r="DN107" s="929"/>
      <c r="DO107" s="929"/>
      <c r="DP107" s="929"/>
      <c r="DQ107" s="929"/>
      <c r="DR107" s="929"/>
      <c r="DS107" s="929"/>
      <c r="DT107" s="929"/>
      <c r="DU107" s="929"/>
      <c r="DV107" s="929"/>
      <c r="DW107" s="929"/>
      <c r="DX107" s="929"/>
      <c r="DY107" s="929"/>
      <c r="DZ107" s="929"/>
      <c r="EA107" s="929"/>
      <c r="EB107" s="929"/>
      <c r="EC107" s="929"/>
      <c r="ED107" s="929"/>
      <c r="EE107" s="929"/>
      <c r="EF107" s="929"/>
      <c r="EG107" s="929"/>
      <c r="EH107" s="929"/>
      <c r="EI107" s="929"/>
      <c r="EJ107" s="929"/>
      <c r="EK107" s="929"/>
      <c r="EL107" s="929"/>
      <c r="EM107" s="929"/>
      <c r="EN107" s="929"/>
      <c r="EO107" s="929"/>
      <c r="EP107" s="929"/>
      <c r="EQ107" s="929"/>
      <c r="ER107" s="929"/>
      <c r="ES107" s="929"/>
      <c r="EY107" s="201"/>
    </row>
    <row r="108" spans="1:167" s="134" customFormat="1" ht="120" customHeight="1" x14ac:dyDescent="0.85">
      <c r="A108" s="132"/>
      <c r="B108" s="132"/>
      <c r="D108" s="560" t="s">
        <v>21</v>
      </c>
      <c r="E108" s="560"/>
      <c r="F108" s="560"/>
      <c r="G108" s="560"/>
      <c r="H108" s="560"/>
      <c r="I108" s="560"/>
      <c r="J108" s="560"/>
      <c r="K108" s="560"/>
      <c r="L108" s="560"/>
      <c r="M108" s="560"/>
      <c r="N108" s="560"/>
      <c r="O108" s="560"/>
      <c r="P108" s="560"/>
      <c r="Q108" s="560"/>
      <c r="R108" s="560"/>
      <c r="S108" s="560"/>
      <c r="T108" s="560"/>
      <c r="U108" s="560"/>
      <c r="V108" s="560"/>
      <c r="W108" s="560"/>
      <c r="X108" s="560"/>
      <c r="Y108" s="560"/>
      <c r="Z108" s="560"/>
      <c r="AA108" s="560"/>
      <c r="AB108" s="560"/>
      <c r="AC108" s="560"/>
      <c r="AD108" s="560"/>
      <c r="AE108" s="560"/>
      <c r="AF108" s="930">
        <f>SUM(AF101:AO107)</f>
        <v>204</v>
      </c>
      <c r="AG108" s="931"/>
      <c r="AH108" s="931"/>
      <c r="AI108" s="931"/>
      <c r="AJ108" s="931"/>
      <c r="AK108" s="931"/>
      <c r="AL108" s="931"/>
      <c r="AM108" s="931"/>
      <c r="AN108" s="931"/>
      <c r="AO108" s="932"/>
      <c r="AP108" s="516"/>
      <c r="AQ108" s="517"/>
      <c r="AR108" s="517"/>
      <c r="AS108" s="517"/>
      <c r="AT108" s="517"/>
      <c r="AU108" s="517"/>
      <c r="AV108" s="517"/>
      <c r="AW108" s="518"/>
      <c r="AX108" s="535"/>
      <c r="AY108" s="536"/>
      <c r="AZ108" s="536"/>
      <c r="BA108" s="536"/>
      <c r="BB108" s="536"/>
      <c r="BC108" s="536"/>
      <c r="BD108" s="536"/>
      <c r="BE108" s="536"/>
      <c r="BF108" s="536"/>
      <c r="BG108" s="536"/>
      <c r="BH108" s="536"/>
      <c r="BI108" s="536"/>
      <c r="BJ108" s="536"/>
      <c r="BK108" s="536"/>
      <c r="BL108" s="536"/>
      <c r="BM108" s="536"/>
      <c r="BN108" s="536"/>
      <c r="BO108" s="536"/>
      <c r="BP108" s="536"/>
      <c r="BQ108" s="536"/>
      <c r="BR108" s="536"/>
      <c r="BS108" s="536"/>
      <c r="BT108" s="536"/>
      <c r="BU108" s="536"/>
      <c r="BV108" s="536"/>
      <c r="BW108" s="536"/>
      <c r="BX108" s="536"/>
      <c r="BY108" s="536"/>
      <c r="BZ108" s="536"/>
      <c r="CA108" s="536"/>
      <c r="CB108" s="536"/>
      <c r="CC108" s="536"/>
      <c r="CD108" s="536"/>
      <c r="CE108" s="536"/>
      <c r="CF108" s="536"/>
      <c r="CG108" s="536"/>
      <c r="CH108" s="536"/>
      <c r="CI108" s="536"/>
      <c r="CJ108" s="536"/>
      <c r="CK108" s="537"/>
      <c r="CP108" s="929"/>
      <c r="CQ108" s="929"/>
      <c r="CR108" s="929"/>
      <c r="CS108" s="929"/>
      <c r="CT108" s="929"/>
      <c r="CU108" s="929"/>
      <c r="CV108" s="929"/>
      <c r="CW108" s="929"/>
      <c r="CX108" s="929"/>
      <c r="CY108" s="929"/>
      <c r="CZ108" s="929"/>
      <c r="DA108" s="929"/>
      <c r="DB108" s="929"/>
      <c r="DC108" s="929"/>
      <c r="DD108" s="929"/>
      <c r="DE108" s="929"/>
      <c r="DF108" s="929"/>
      <c r="DG108" s="929"/>
      <c r="DH108" s="929"/>
      <c r="DI108" s="929"/>
      <c r="DJ108" s="929"/>
      <c r="DK108" s="929"/>
      <c r="DL108" s="929"/>
      <c r="DM108" s="929"/>
      <c r="DN108" s="929"/>
      <c r="DO108" s="929"/>
      <c r="DP108" s="929"/>
      <c r="DQ108" s="929"/>
      <c r="DR108" s="929"/>
      <c r="DS108" s="929"/>
      <c r="DT108" s="929"/>
      <c r="DU108" s="929"/>
      <c r="DV108" s="929"/>
      <c r="DW108" s="929"/>
      <c r="DX108" s="929"/>
      <c r="DY108" s="929"/>
      <c r="DZ108" s="929"/>
      <c r="EA108" s="929"/>
      <c r="EB108" s="929"/>
      <c r="EC108" s="929"/>
      <c r="ED108" s="929"/>
      <c r="EE108" s="929"/>
      <c r="EF108" s="929"/>
      <c r="EG108" s="929"/>
      <c r="EH108" s="929"/>
      <c r="EI108" s="929"/>
      <c r="EJ108" s="929"/>
      <c r="EK108" s="929"/>
      <c r="EL108" s="929"/>
      <c r="EM108" s="929"/>
      <c r="EN108" s="929"/>
      <c r="EO108" s="929"/>
      <c r="EP108" s="929"/>
      <c r="EQ108" s="929"/>
      <c r="ER108" s="929"/>
      <c r="ES108" s="929"/>
      <c r="EY108" s="201"/>
    </row>
    <row r="109" spans="1:167" ht="120" customHeight="1" x14ac:dyDescent="0.65">
      <c r="A109" s="3"/>
      <c r="B109" s="3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3"/>
      <c r="X109" s="73"/>
      <c r="Y109" s="73"/>
      <c r="Z109" s="74"/>
      <c r="AA109" s="74"/>
      <c r="AB109" s="74"/>
      <c r="AC109" s="74"/>
      <c r="AD109" s="74"/>
      <c r="AE109" s="1"/>
      <c r="AF109" s="1"/>
      <c r="AG109" s="1"/>
      <c r="AH109" s="1"/>
      <c r="AI109" s="1"/>
      <c r="AJ109" s="1"/>
      <c r="AK109" s="1"/>
      <c r="AL109" s="1"/>
      <c r="AM109" s="1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73"/>
      <c r="BM109" s="73"/>
      <c r="BN109" s="73"/>
      <c r="BO109" s="73"/>
      <c r="BP109" s="73"/>
      <c r="BQ109" s="73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200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</row>
    <row r="110" spans="1:167" ht="120" customHeight="1" x14ac:dyDescent="0.65">
      <c r="A110" s="3"/>
      <c r="B110" s="520" t="s">
        <v>255</v>
      </c>
      <c r="C110" s="520"/>
      <c r="D110" s="520"/>
      <c r="E110" s="520"/>
      <c r="F110" s="520"/>
      <c r="G110" s="520"/>
      <c r="H110" s="520"/>
      <c r="I110" s="520"/>
      <c r="J110" s="520"/>
      <c r="K110" s="520"/>
      <c r="L110" s="520"/>
      <c r="M110" s="520"/>
      <c r="N110" s="520"/>
      <c r="O110" s="520"/>
      <c r="P110" s="520"/>
      <c r="Q110" s="520"/>
      <c r="R110" s="520"/>
      <c r="S110" s="520"/>
      <c r="T110" s="520"/>
      <c r="U110" s="520"/>
      <c r="V110" s="520"/>
      <c r="W110" s="520"/>
      <c r="X110" s="520"/>
      <c r="Y110" s="521" t="s">
        <v>325</v>
      </c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294"/>
      <c r="AM110" s="294"/>
      <c r="AN110" s="521" t="s">
        <v>326</v>
      </c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21"/>
      <c r="BC110" s="521"/>
      <c r="BD110" s="521"/>
      <c r="BE110" s="521"/>
      <c r="BF110" s="521"/>
      <c r="BG110" s="521"/>
      <c r="BH110" s="521"/>
      <c r="BI110" s="521"/>
      <c r="BJ110" s="521"/>
      <c r="BK110" s="521"/>
      <c r="BL110" s="521"/>
      <c r="BM110" s="521"/>
      <c r="BN110" s="521"/>
      <c r="BO110" s="521"/>
      <c r="BP110" s="521"/>
      <c r="BQ110" s="521"/>
      <c r="BR110" s="521"/>
      <c r="BS110" s="521"/>
      <c r="BT110" s="521"/>
      <c r="BU110" s="521"/>
      <c r="BV110" s="521"/>
      <c r="BW110" s="521"/>
      <c r="BX110" s="521"/>
      <c r="BY110" s="521"/>
      <c r="BZ110" s="521"/>
      <c r="CA110" s="521"/>
      <c r="CB110" s="521"/>
      <c r="CC110" s="521"/>
      <c r="CD110" s="521"/>
      <c r="CE110" s="521"/>
      <c r="CF110" s="521"/>
      <c r="CG110" s="521"/>
      <c r="CH110" s="521"/>
      <c r="CI110" s="521"/>
      <c r="CJ110" s="521"/>
      <c r="CK110" s="52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</row>
    <row r="111" spans="1:167" ht="120" customHeight="1" x14ac:dyDescent="0.65">
      <c r="A111" s="3"/>
      <c r="B111" s="520"/>
      <c r="C111" s="520"/>
      <c r="D111" s="520"/>
      <c r="E111" s="520"/>
      <c r="F111" s="520"/>
      <c r="G111" s="520"/>
      <c r="H111" s="520"/>
      <c r="I111" s="520"/>
      <c r="J111" s="520"/>
      <c r="K111" s="520"/>
      <c r="L111" s="520"/>
      <c r="M111" s="520"/>
      <c r="N111" s="520"/>
      <c r="O111" s="520"/>
      <c r="P111" s="520"/>
      <c r="Q111" s="520"/>
      <c r="R111" s="520"/>
      <c r="S111" s="520"/>
      <c r="T111" s="520"/>
      <c r="U111" s="520"/>
      <c r="V111" s="520"/>
      <c r="W111" s="520"/>
      <c r="X111" s="520"/>
      <c r="Y111" s="294"/>
      <c r="Z111" s="294"/>
      <c r="AA111" s="294"/>
      <c r="AB111" s="330"/>
      <c r="AC111" s="294"/>
      <c r="AD111" s="294"/>
      <c r="AE111" s="294"/>
      <c r="AF111" s="294"/>
      <c r="AG111" s="330"/>
      <c r="AH111" s="330"/>
      <c r="AI111" s="321"/>
      <c r="AJ111" s="294"/>
      <c r="AK111" s="294"/>
      <c r="AL111" s="294"/>
      <c r="AM111" s="294"/>
      <c r="AN111" s="294"/>
      <c r="AO111" s="294"/>
      <c r="AP111" s="294"/>
      <c r="AQ111" s="294"/>
      <c r="AR111" s="294"/>
      <c r="AS111" s="294"/>
      <c r="AT111" s="294"/>
      <c r="AU111" s="294"/>
      <c r="AV111" s="294"/>
      <c r="AW111" s="294"/>
      <c r="AX111" s="294"/>
      <c r="AY111" s="294"/>
      <c r="AZ111" s="294"/>
      <c r="BA111" s="294"/>
      <c r="BB111" s="294"/>
      <c r="BC111" s="294"/>
      <c r="BD111" s="294"/>
      <c r="BE111" s="294"/>
      <c r="BF111" s="294"/>
      <c r="BG111" s="294"/>
      <c r="BH111" s="294"/>
      <c r="BI111" s="294"/>
      <c r="BJ111" s="294"/>
      <c r="BK111" s="294"/>
      <c r="BL111" s="294"/>
      <c r="BM111" s="294"/>
      <c r="BN111" s="294"/>
      <c r="BO111" s="294"/>
      <c r="BP111" s="294"/>
      <c r="BQ111" s="294"/>
      <c r="BR111" s="294"/>
      <c r="BS111" s="294"/>
      <c r="BT111" s="294"/>
      <c r="BU111" s="294"/>
      <c r="BV111" s="297"/>
      <c r="BW111" s="297"/>
      <c r="BX111" s="297"/>
      <c r="BY111" s="297"/>
      <c r="BZ111" s="297"/>
      <c r="CA111" s="297"/>
      <c r="CB111" s="297"/>
      <c r="CC111" s="297"/>
      <c r="CD111" s="297"/>
      <c r="CE111" s="297"/>
      <c r="CF111" s="297"/>
      <c r="CG111" s="297"/>
      <c r="CH111" s="297"/>
      <c r="CI111" s="297"/>
      <c r="CJ111" s="297"/>
      <c r="CK111" s="297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</row>
    <row r="112" spans="1:167" ht="120" customHeight="1" x14ac:dyDescent="0.65">
      <c r="A112" s="3"/>
      <c r="B112" s="520" t="s">
        <v>256</v>
      </c>
      <c r="C112" s="520"/>
      <c r="D112" s="520"/>
      <c r="E112" s="520"/>
      <c r="F112" s="520"/>
      <c r="G112" s="520"/>
      <c r="H112" s="520"/>
      <c r="I112" s="520"/>
      <c r="J112" s="520"/>
      <c r="K112" s="520"/>
      <c r="L112" s="520"/>
      <c r="M112" s="520"/>
      <c r="N112" s="520"/>
      <c r="O112" s="520"/>
      <c r="P112" s="520"/>
      <c r="Q112" s="520"/>
      <c r="R112" s="520"/>
      <c r="S112" s="520"/>
      <c r="T112" s="520"/>
      <c r="U112" s="520"/>
      <c r="V112" s="520"/>
      <c r="W112" s="520"/>
      <c r="X112" s="520"/>
      <c r="Y112" s="521" t="s">
        <v>325</v>
      </c>
      <c r="Z112" s="521"/>
      <c r="AA112" s="521"/>
      <c r="AB112" s="521"/>
      <c r="AC112" s="521"/>
      <c r="AD112" s="521"/>
      <c r="AE112" s="521"/>
      <c r="AF112" s="521"/>
      <c r="AG112" s="521"/>
      <c r="AH112" s="521"/>
      <c r="AI112" s="521"/>
      <c r="AJ112" s="521"/>
      <c r="AK112" s="521"/>
      <c r="AL112" s="294"/>
      <c r="AM112" s="294"/>
      <c r="AN112" s="521" t="s">
        <v>326</v>
      </c>
      <c r="AO112" s="521"/>
      <c r="AP112" s="521"/>
      <c r="AQ112" s="521"/>
      <c r="AR112" s="521"/>
      <c r="AS112" s="521"/>
      <c r="AT112" s="521"/>
      <c r="AU112" s="521"/>
      <c r="AV112" s="521"/>
      <c r="AW112" s="521"/>
      <c r="AX112" s="521"/>
      <c r="AY112" s="521"/>
      <c r="AZ112" s="521"/>
      <c r="BA112" s="521"/>
      <c r="BB112" s="521"/>
      <c r="BC112" s="521"/>
      <c r="BD112" s="521"/>
      <c r="BE112" s="521"/>
      <c r="BF112" s="521"/>
      <c r="BG112" s="521"/>
      <c r="BH112" s="521"/>
      <c r="BI112" s="521"/>
      <c r="BJ112" s="521"/>
      <c r="BK112" s="521"/>
      <c r="BL112" s="521"/>
      <c r="BM112" s="521"/>
      <c r="BN112" s="521"/>
      <c r="BO112" s="521"/>
      <c r="BP112" s="521"/>
      <c r="BQ112" s="521"/>
      <c r="BR112" s="521"/>
      <c r="BS112" s="521"/>
      <c r="BT112" s="521"/>
      <c r="BU112" s="521"/>
      <c r="BV112" s="521"/>
      <c r="BW112" s="521"/>
      <c r="BX112" s="521"/>
      <c r="BY112" s="521"/>
      <c r="BZ112" s="521"/>
      <c r="CA112" s="521"/>
      <c r="CB112" s="521"/>
      <c r="CC112" s="521"/>
      <c r="CD112" s="521"/>
      <c r="CE112" s="521"/>
      <c r="CF112" s="521"/>
      <c r="CG112" s="521"/>
      <c r="CH112" s="521"/>
      <c r="CI112" s="521"/>
      <c r="CJ112" s="521"/>
      <c r="CK112" s="52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EY112" s="13"/>
    </row>
    <row r="113" spans="1:155" ht="120" customHeight="1" x14ac:dyDescent="0.65">
      <c r="A113" s="3"/>
      <c r="B113" s="520"/>
      <c r="C113" s="520"/>
      <c r="D113" s="520"/>
      <c r="E113" s="520"/>
      <c r="F113" s="520"/>
      <c r="G113" s="520"/>
      <c r="H113" s="520"/>
      <c r="I113" s="520"/>
      <c r="J113" s="520"/>
      <c r="K113" s="520"/>
      <c r="L113" s="520"/>
      <c r="M113" s="520"/>
      <c r="N113" s="520"/>
      <c r="O113" s="520"/>
      <c r="P113" s="520"/>
      <c r="Q113" s="520"/>
      <c r="R113" s="520"/>
      <c r="S113" s="520"/>
      <c r="T113" s="520"/>
      <c r="U113" s="520"/>
      <c r="V113" s="520"/>
      <c r="W113" s="520"/>
      <c r="X113" s="520"/>
      <c r="Y113" s="294"/>
      <c r="Z113" s="294"/>
      <c r="AA113" s="294"/>
      <c r="AB113" s="330"/>
      <c r="AC113" s="294"/>
      <c r="AD113" s="294"/>
      <c r="AE113" s="294"/>
      <c r="AF113" s="294"/>
      <c r="AG113" s="330"/>
      <c r="AH113" s="330"/>
      <c r="AI113" s="321"/>
      <c r="AJ113" s="294"/>
      <c r="AK113" s="294"/>
      <c r="AL113" s="294"/>
      <c r="AM113" s="294"/>
      <c r="AN113" s="294"/>
      <c r="AO113" s="294"/>
      <c r="AP113" s="294"/>
      <c r="AQ113" s="294"/>
      <c r="AR113" s="294"/>
      <c r="AS113" s="294"/>
      <c r="AT113" s="294"/>
      <c r="AU113" s="294"/>
      <c r="AV113" s="294"/>
      <c r="AW113" s="294"/>
      <c r="AX113" s="294"/>
      <c r="AY113" s="294"/>
      <c r="AZ113" s="294"/>
      <c r="BA113" s="294"/>
      <c r="BB113" s="294"/>
      <c r="BC113" s="294"/>
      <c r="BD113" s="294"/>
      <c r="BE113" s="294"/>
      <c r="BF113" s="294"/>
      <c r="BG113" s="294"/>
      <c r="BH113" s="294"/>
      <c r="BI113" s="294"/>
      <c r="BJ113" s="294"/>
      <c r="BK113" s="294"/>
      <c r="BL113" s="294"/>
      <c r="BM113" s="294"/>
      <c r="BN113" s="294"/>
      <c r="BO113" s="294"/>
      <c r="BP113" s="294"/>
      <c r="BQ113" s="294"/>
      <c r="BR113" s="294"/>
      <c r="BS113" s="294"/>
      <c r="BT113" s="294"/>
      <c r="BU113" s="294"/>
      <c r="BV113" s="297"/>
      <c r="BW113" s="297"/>
      <c r="BX113" s="297"/>
      <c r="BY113" s="297"/>
      <c r="BZ113" s="297"/>
      <c r="CA113" s="297"/>
      <c r="CB113" s="297"/>
      <c r="CC113" s="297"/>
      <c r="CD113" s="297"/>
      <c r="CE113" s="297"/>
      <c r="CF113" s="297"/>
      <c r="CG113" s="297"/>
      <c r="CH113" s="297"/>
      <c r="CI113" s="297"/>
      <c r="CJ113" s="297"/>
      <c r="CK113" s="297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EY113" s="13"/>
    </row>
    <row r="114" spans="1:155" ht="120" customHeight="1" x14ac:dyDescent="0.65">
      <c r="A114" s="3"/>
      <c r="B114" s="520" t="s">
        <v>223</v>
      </c>
      <c r="C114" s="520"/>
      <c r="D114" s="520"/>
      <c r="E114" s="520"/>
      <c r="F114" s="520"/>
      <c r="G114" s="520"/>
      <c r="H114" s="520"/>
      <c r="I114" s="520"/>
      <c r="J114" s="520"/>
      <c r="K114" s="520"/>
      <c r="L114" s="520"/>
      <c r="M114" s="520"/>
      <c r="N114" s="520"/>
      <c r="O114" s="520"/>
      <c r="P114" s="520"/>
      <c r="Q114" s="520"/>
      <c r="R114" s="520"/>
      <c r="S114" s="520"/>
      <c r="T114" s="520"/>
      <c r="U114" s="520"/>
      <c r="V114" s="520"/>
      <c r="W114" s="520"/>
      <c r="X114" s="520"/>
      <c r="Y114" s="521" t="s">
        <v>325</v>
      </c>
      <c r="Z114" s="521"/>
      <c r="AA114" s="521"/>
      <c r="AB114" s="521"/>
      <c r="AC114" s="521"/>
      <c r="AD114" s="521"/>
      <c r="AE114" s="521"/>
      <c r="AF114" s="521"/>
      <c r="AG114" s="521"/>
      <c r="AH114" s="521"/>
      <c r="AI114" s="521"/>
      <c r="AJ114" s="521"/>
      <c r="AK114" s="521"/>
      <c r="AL114" s="294"/>
      <c r="AM114" s="294"/>
      <c r="AN114" s="521" t="s">
        <v>326</v>
      </c>
      <c r="AO114" s="521"/>
      <c r="AP114" s="521"/>
      <c r="AQ114" s="521"/>
      <c r="AR114" s="521"/>
      <c r="AS114" s="521"/>
      <c r="AT114" s="521"/>
      <c r="AU114" s="521"/>
      <c r="AV114" s="521"/>
      <c r="AW114" s="521"/>
      <c r="AX114" s="521"/>
      <c r="AY114" s="521"/>
      <c r="AZ114" s="521"/>
      <c r="BA114" s="521"/>
      <c r="BB114" s="521"/>
      <c r="BC114" s="521"/>
      <c r="BD114" s="521"/>
      <c r="BE114" s="521"/>
      <c r="BF114" s="521"/>
      <c r="BG114" s="521"/>
      <c r="BH114" s="521"/>
      <c r="BI114" s="521"/>
      <c r="BJ114" s="521"/>
      <c r="BK114" s="521"/>
      <c r="BL114" s="521"/>
      <c r="BM114" s="521"/>
      <c r="BN114" s="521"/>
      <c r="BO114" s="521"/>
      <c r="BP114" s="521"/>
      <c r="BQ114" s="521"/>
      <c r="BR114" s="521"/>
      <c r="BS114" s="521"/>
      <c r="BT114" s="521"/>
      <c r="BU114" s="521"/>
      <c r="BV114" s="521"/>
      <c r="BW114" s="521"/>
      <c r="BX114" s="521"/>
      <c r="BY114" s="521"/>
      <c r="BZ114" s="521"/>
      <c r="CA114" s="521"/>
      <c r="CB114" s="521"/>
      <c r="CC114" s="521"/>
      <c r="CD114" s="521"/>
      <c r="CE114" s="521"/>
      <c r="CF114" s="521"/>
      <c r="CG114" s="521"/>
      <c r="CH114" s="521"/>
      <c r="CI114" s="521"/>
      <c r="CJ114" s="521"/>
      <c r="CK114" s="52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EY114" s="13"/>
    </row>
    <row r="115" spans="1:155" ht="120" customHeight="1" x14ac:dyDescent="0.65">
      <c r="A115" s="3"/>
      <c r="B115" s="520"/>
      <c r="C115" s="520"/>
      <c r="D115" s="520"/>
      <c r="E115" s="520"/>
      <c r="F115" s="520"/>
      <c r="G115" s="520"/>
      <c r="H115" s="520"/>
      <c r="I115" s="520"/>
      <c r="J115" s="520"/>
      <c r="K115" s="520"/>
      <c r="L115" s="520"/>
      <c r="M115" s="520"/>
      <c r="N115" s="520"/>
      <c r="O115" s="520"/>
      <c r="P115" s="520"/>
      <c r="Q115" s="520"/>
      <c r="R115" s="520"/>
      <c r="S115" s="520"/>
      <c r="T115" s="520"/>
      <c r="U115" s="520"/>
      <c r="V115" s="520"/>
      <c r="W115" s="520"/>
      <c r="X115" s="520"/>
      <c r="Y115" s="294"/>
      <c r="Z115" s="294"/>
      <c r="AA115" s="294"/>
      <c r="AB115" s="330"/>
      <c r="AC115" s="294"/>
      <c r="AD115" s="294"/>
      <c r="AE115" s="294"/>
      <c r="AF115" s="294"/>
      <c r="AG115" s="330"/>
      <c r="AH115" s="330"/>
      <c r="AI115" s="321"/>
      <c r="AJ115" s="294"/>
      <c r="AK115" s="294"/>
      <c r="AL115" s="294"/>
      <c r="AM115" s="294"/>
      <c r="AN115" s="294"/>
      <c r="AO115" s="294"/>
      <c r="AP115" s="294"/>
      <c r="AQ115" s="294"/>
      <c r="AR115" s="294"/>
      <c r="AS115" s="294"/>
      <c r="AT115" s="294"/>
      <c r="AU115" s="294"/>
      <c r="AV115" s="294"/>
      <c r="AW115" s="294"/>
      <c r="AX115" s="294"/>
      <c r="AY115" s="294"/>
      <c r="AZ115" s="294"/>
      <c r="BA115" s="294"/>
      <c r="BB115" s="294"/>
      <c r="BC115" s="294"/>
      <c r="BD115" s="294"/>
      <c r="BE115" s="294"/>
      <c r="BF115" s="294"/>
      <c r="BG115" s="294"/>
      <c r="BH115" s="294"/>
      <c r="BI115" s="294"/>
      <c r="BJ115" s="294"/>
      <c r="BK115" s="294"/>
      <c r="BL115" s="294"/>
      <c r="BM115" s="294"/>
      <c r="BN115" s="294"/>
      <c r="BO115" s="294"/>
      <c r="BP115" s="294"/>
      <c r="BQ115" s="294"/>
      <c r="BR115" s="294"/>
      <c r="BS115" s="294"/>
      <c r="BT115" s="294"/>
      <c r="BU115" s="294"/>
      <c r="BV115" s="297"/>
      <c r="BW115" s="297"/>
      <c r="BX115" s="297"/>
      <c r="BY115" s="297"/>
      <c r="BZ115" s="297"/>
      <c r="CA115" s="297"/>
      <c r="CB115" s="297"/>
      <c r="CC115" s="297"/>
      <c r="CD115" s="297"/>
      <c r="CE115" s="297"/>
      <c r="CF115" s="297"/>
      <c r="CG115" s="297"/>
      <c r="CH115" s="297"/>
      <c r="CI115" s="297"/>
      <c r="CJ115" s="297"/>
      <c r="CK115" s="297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EY115" s="13"/>
    </row>
    <row r="116" spans="1:155" ht="120" customHeight="1" x14ac:dyDescent="0.65">
      <c r="A116" s="3"/>
      <c r="B116" s="520" t="s">
        <v>222</v>
      </c>
      <c r="C116" s="520"/>
      <c r="D116" s="520"/>
      <c r="E116" s="520"/>
      <c r="F116" s="520"/>
      <c r="G116" s="520"/>
      <c r="H116" s="520"/>
      <c r="I116" s="520"/>
      <c r="J116" s="520"/>
      <c r="K116" s="520"/>
      <c r="L116" s="520"/>
      <c r="M116" s="520"/>
      <c r="N116" s="520"/>
      <c r="O116" s="520"/>
      <c r="P116" s="520"/>
      <c r="Q116" s="520"/>
      <c r="R116" s="520"/>
      <c r="S116" s="520"/>
      <c r="T116" s="520"/>
      <c r="U116" s="520"/>
      <c r="V116" s="520"/>
      <c r="W116" s="520"/>
      <c r="X116" s="520"/>
      <c r="Y116" s="521" t="s">
        <v>325</v>
      </c>
      <c r="Z116" s="521"/>
      <c r="AA116" s="521"/>
      <c r="AB116" s="521"/>
      <c r="AC116" s="521"/>
      <c r="AD116" s="521"/>
      <c r="AE116" s="521"/>
      <c r="AF116" s="521"/>
      <c r="AG116" s="521"/>
      <c r="AH116" s="521"/>
      <c r="AI116" s="521"/>
      <c r="AJ116" s="521"/>
      <c r="AK116" s="521"/>
      <c r="AL116" s="294"/>
      <c r="AM116" s="294"/>
      <c r="AN116" s="521" t="s">
        <v>326</v>
      </c>
      <c r="AO116" s="521"/>
      <c r="AP116" s="521"/>
      <c r="AQ116" s="521"/>
      <c r="AR116" s="521"/>
      <c r="AS116" s="521"/>
      <c r="AT116" s="521"/>
      <c r="AU116" s="521"/>
      <c r="AV116" s="521"/>
      <c r="AW116" s="521"/>
      <c r="AX116" s="521"/>
      <c r="AY116" s="521"/>
      <c r="AZ116" s="521"/>
      <c r="BA116" s="521"/>
      <c r="BB116" s="521"/>
      <c r="BC116" s="521"/>
      <c r="BD116" s="521"/>
      <c r="BE116" s="521"/>
      <c r="BF116" s="521"/>
      <c r="BG116" s="521"/>
      <c r="BH116" s="521"/>
      <c r="BI116" s="521"/>
      <c r="BJ116" s="521"/>
      <c r="BK116" s="521"/>
      <c r="BL116" s="521"/>
      <c r="BM116" s="521"/>
      <c r="BN116" s="521"/>
      <c r="BO116" s="521"/>
      <c r="BP116" s="521"/>
      <c r="BQ116" s="521"/>
      <c r="BR116" s="521"/>
      <c r="BS116" s="521"/>
      <c r="BT116" s="521"/>
      <c r="BU116" s="521"/>
      <c r="BV116" s="521"/>
      <c r="BW116" s="521"/>
      <c r="BX116" s="521"/>
      <c r="BY116" s="521"/>
      <c r="BZ116" s="521"/>
      <c r="CA116" s="521"/>
      <c r="CB116" s="521"/>
      <c r="CC116" s="521"/>
      <c r="CD116" s="521"/>
      <c r="CE116" s="521"/>
      <c r="CF116" s="521"/>
      <c r="CG116" s="521"/>
      <c r="CH116" s="521"/>
      <c r="CI116" s="521"/>
      <c r="CJ116" s="521"/>
      <c r="CK116" s="52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EY116" s="13"/>
    </row>
    <row r="117" spans="1:155" ht="45.75" x14ac:dyDescent="0.65">
      <c r="A117" s="3"/>
      <c r="B117" s="522"/>
      <c r="C117" s="522"/>
      <c r="D117" s="522"/>
      <c r="E117" s="522"/>
      <c r="F117" s="522"/>
      <c r="G117" s="522"/>
      <c r="H117" s="522"/>
      <c r="I117" s="522"/>
      <c r="J117" s="522"/>
      <c r="K117" s="522"/>
      <c r="L117" s="522"/>
      <c r="M117" s="522"/>
      <c r="N117" s="522"/>
      <c r="O117" s="522"/>
      <c r="P117" s="522"/>
      <c r="Q117" s="522"/>
      <c r="R117" s="522"/>
      <c r="S117" s="522"/>
      <c r="T117" s="522"/>
      <c r="U117" s="522"/>
      <c r="V117" s="522"/>
      <c r="W117" s="522"/>
      <c r="X117" s="522"/>
      <c r="Y117" s="519"/>
      <c r="Z117" s="519"/>
      <c r="AA117" s="519"/>
      <c r="AB117" s="519"/>
      <c r="AC117" s="519"/>
      <c r="AD117" s="519"/>
      <c r="AE117" s="519"/>
      <c r="AF117" s="519"/>
      <c r="AG117" s="519"/>
      <c r="AH117" s="519"/>
      <c r="AI117" s="519"/>
      <c r="AJ117" s="519"/>
      <c r="AK117" s="519"/>
      <c r="AL117" s="519"/>
      <c r="AM117" s="519"/>
      <c r="AN117" s="519"/>
      <c r="AO117" s="519"/>
      <c r="AP117" s="519"/>
      <c r="AQ117" s="519"/>
      <c r="AR117" s="519"/>
      <c r="AS117" s="519"/>
      <c r="AT117" s="519"/>
      <c r="AU117" s="519"/>
      <c r="AV117" s="519"/>
      <c r="AW117" s="519"/>
      <c r="AX117" s="519"/>
      <c r="AY117" s="519"/>
      <c r="AZ117" s="519"/>
      <c r="BA117" s="519"/>
      <c r="BB117" s="519"/>
      <c r="BC117" s="519"/>
      <c r="BD117" s="519"/>
      <c r="BE117" s="519"/>
      <c r="BF117" s="519"/>
      <c r="BG117" s="519"/>
      <c r="BH117" s="519"/>
      <c r="BI117" s="519"/>
      <c r="BJ117" s="519"/>
      <c r="BK117" s="519"/>
      <c r="BL117" s="519"/>
      <c r="BM117" s="519"/>
      <c r="BN117" s="519"/>
      <c r="BO117" s="519"/>
      <c r="BP117" s="519"/>
      <c r="BQ117" s="519"/>
      <c r="BR117" s="519"/>
      <c r="BS117" s="519"/>
      <c r="BT117" s="519"/>
      <c r="BU117" s="519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155" ht="45.75" x14ac:dyDescent="0.6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73"/>
      <c r="BM118" s="73"/>
      <c r="BN118" s="73"/>
      <c r="BO118" s="73"/>
      <c r="BP118" s="73"/>
      <c r="BQ118" s="73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155" ht="45.75" x14ac:dyDescent="0.65">
      <c r="A119" s="3"/>
      <c r="B119" s="3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3"/>
      <c r="X119" s="73"/>
      <c r="Y119" s="73"/>
      <c r="Z119" s="74"/>
      <c r="AA119" s="74"/>
      <c r="AB119" s="74"/>
      <c r="AC119" s="74"/>
      <c r="AD119" s="74"/>
      <c r="AE119" s="1"/>
      <c r="AF119" s="1"/>
      <c r="AG119" s="1"/>
      <c r="AH119" s="1"/>
      <c r="AI119" s="1"/>
      <c r="AJ119" s="1"/>
      <c r="AK119" s="1"/>
      <c r="AL119" s="1"/>
      <c r="AM119" s="1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73"/>
      <c r="BM119" s="73"/>
      <c r="BN119" s="73"/>
      <c r="BO119" s="73"/>
      <c r="BP119" s="73"/>
      <c r="BQ119" s="73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</sheetData>
  <mergeCells count="1371">
    <mergeCell ref="DZ84:ED85"/>
    <mergeCell ref="EE84:EI85"/>
    <mergeCell ref="EJ84:EN85"/>
    <mergeCell ref="EO84:ES85"/>
    <mergeCell ref="ET84:EX85"/>
    <mergeCell ref="C85:Y85"/>
    <mergeCell ref="CV84:CZ85"/>
    <mergeCell ref="DA84:DE85"/>
    <mergeCell ref="DF84:DJ85"/>
    <mergeCell ref="DK84:DO85"/>
    <mergeCell ref="DP84:DT85"/>
    <mergeCell ref="DU84:DY85"/>
    <mergeCell ref="BR84:BV85"/>
    <mergeCell ref="BW84:CA85"/>
    <mergeCell ref="CB84:CF85"/>
    <mergeCell ref="CG84:CK85"/>
    <mergeCell ref="CL84:CP85"/>
    <mergeCell ref="CQ84:CU85"/>
    <mergeCell ref="AO84:AS85"/>
    <mergeCell ref="AT84:AX85"/>
    <mergeCell ref="AY84:BC85"/>
    <mergeCell ref="BD84:BH85"/>
    <mergeCell ref="BI84:BM85"/>
    <mergeCell ref="BN84:BQ85"/>
    <mergeCell ref="EE82:EI83"/>
    <mergeCell ref="EJ82:EN83"/>
    <mergeCell ref="EO82:ES83"/>
    <mergeCell ref="ET82:EX83"/>
    <mergeCell ref="C83:Y83"/>
    <mergeCell ref="A84:A85"/>
    <mergeCell ref="C84:Y84"/>
    <mergeCell ref="Z84:AD85"/>
    <mergeCell ref="AE84:AI85"/>
    <mergeCell ref="AJ84:AN85"/>
    <mergeCell ref="DA82:DE83"/>
    <mergeCell ref="DF82:DJ83"/>
    <mergeCell ref="DK82:DO83"/>
    <mergeCell ref="DP82:DT83"/>
    <mergeCell ref="DU82:DY83"/>
    <mergeCell ref="DZ82:ED83"/>
    <mergeCell ref="BW82:CA83"/>
    <mergeCell ref="CB82:CF83"/>
    <mergeCell ref="CG82:CK83"/>
    <mergeCell ref="CL82:CP83"/>
    <mergeCell ref="CQ82:CU83"/>
    <mergeCell ref="CV82:CZ83"/>
    <mergeCell ref="AT82:AX83"/>
    <mergeCell ref="AY82:BC83"/>
    <mergeCell ref="BD82:BH83"/>
    <mergeCell ref="BI82:BM83"/>
    <mergeCell ref="BN82:BQ83"/>
    <mergeCell ref="BR82:BV83"/>
    <mergeCell ref="A82:A83"/>
    <mergeCell ref="C82:Y82"/>
    <mergeCell ref="Z82:AD83"/>
    <mergeCell ref="AE82:AI83"/>
    <mergeCell ref="C51:Y51"/>
    <mergeCell ref="AY51:BC51"/>
    <mergeCell ref="AT51:AX51"/>
    <mergeCell ref="AO51:AS51"/>
    <mergeCell ref="AJ51:AN51"/>
    <mergeCell ref="AE51:AI51"/>
    <mergeCell ref="Z51:AD51"/>
    <mergeCell ref="DZ68:ED69"/>
    <mergeCell ref="EE68:EI69"/>
    <mergeCell ref="EJ68:EN69"/>
    <mergeCell ref="EO68:ES69"/>
    <mergeCell ref="ET68:EX69"/>
    <mergeCell ref="C69:Y69"/>
    <mergeCell ref="CV68:CZ69"/>
    <mergeCell ref="DA68:DE69"/>
    <mergeCell ref="DF68:DJ69"/>
    <mergeCell ref="DK68:DO69"/>
    <mergeCell ref="DP68:DT69"/>
    <mergeCell ref="DU68:DY69"/>
    <mergeCell ref="BR68:BV69"/>
    <mergeCell ref="BW68:CA69"/>
    <mergeCell ref="CB68:CF69"/>
    <mergeCell ref="CG68:CK69"/>
    <mergeCell ref="CL68:CP69"/>
    <mergeCell ref="CQ68:CU69"/>
    <mergeCell ref="AO68:AS69"/>
    <mergeCell ref="AT68:AX69"/>
    <mergeCell ref="AY68:BC69"/>
    <mergeCell ref="BD68:BH69"/>
    <mergeCell ref="BI68:BM69"/>
    <mergeCell ref="EE66:EI67"/>
    <mergeCell ref="EJ66:EN67"/>
    <mergeCell ref="EO66:ES67"/>
    <mergeCell ref="ET66:EX67"/>
    <mergeCell ref="C67:Y67"/>
    <mergeCell ref="A68:A69"/>
    <mergeCell ref="C68:Y68"/>
    <mergeCell ref="Z68:AD69"/>
    <mergeCell ref="AE68:AI69"/>
    <mergeCell ref="AJ68:AN69"/>
    <mergeCell ref="DA66:DE67"/>
    <mergeCell ref="DF66:DJ67"/>
    <mergeCell ref="DK66:DO67"/>
    <mergeCell ref="DP66:DT67"/>
    <mergeCell ref="DU66:DY67"/>
    <mergeCell ref="DZ66:ED67"/>
    <mergeCell ref="BW66:CA67"/>
    <mergeCell ref="CB66:CF67"/>
    <mergeCell ref="CG66:CK67"/>
    <mergeCell ref="CL66:CP67"/>
    <mergeCell ref="CQ66:CU67"/>
    <mergeCell ref="CV66:CZ67"/>
    <mergeCell ref="AT66:AX67"/>
    <mergeCell ref="AY66:BC67"/>
    <mergeCell ref="BD66:BH67"/>
    <mergeCell ref="BI66:BM67"/>
    <mergeCell ref="BN66:BQ67"/>
    <mergeCell ref="BR66:BV67"/>
    <mergeCell ref="A66:A67"/>
    <mergeCell ref="C66:Y66"/>
    <mergeCell ref="Z66:AD67"/>
    <mergeCell ref="DZ64:ED65"/>
    <mergeCell ref="EE64:EI65"/>
    <mergeCell ref="EJ64:EN65"/>
    <mergeCell ref="EO64:ES65"/>
    <mergeCell ref="ET64:EX65"/>
    <mergeCell ref="C65:Y65"/>
    <mergeCell ref="CV64:CZ65"/>
    <mergeCell ref="DA64:DE65"/>
    <mergeCell ref="DF64:DJ65"/>
    <mergeCell ref="DK64:DO65"/>
    <mergeCell ref="DP64:DT65"/>
    <mergeCell ref="DU64:DY65"/>
    <mergeCell ref="BR64:BV65"/>
    <mergeCell ref="BW64:CA65"/>
    <mergeCell ref="CB64:CF65"/>
    <mergeCell ref="CG64:CK65"/>
    <mergeCell ref="CL64:CP65"/>
    <mergeCell ref="CQ64:CU65"/>
    <mergeCell ref="AO64:AS65"/>
    <mergeCell ref="AT64:AX65"/>
    <mergeCell ref="AY64:BC65"/>
    <mergeCell ref="BD64:BH65"/>
    <mergeCell ref="BI64:BM65"/>
    <mergeCell ref="BN64:BQ65"/>
    <mergeCell ref="DA62:DE63"/>
    <mergeCell ref="DF62:DJ63"/>
    <mergeCell ref="DK62:DO63"/>
    <mergeCell ref="DP62:DT63"/>
    <mergeCell ref="DU62:DY63"/>
    <mergeCell ref="DZ62:ED63"/>
    <mergeCell ref="BW62:CA63"/>
    <mergeCell ref="CB62:CF63"/>
    <mergeCell ref="CG62:CK63"/>
    <mergeCell ref="CL62:CP63"/>
    <mergeCell ref="CQ62:CU63"/>
    <mergeCell ref="CV62:CZ63"/>
    <mergeCell ref="AT62:AX63"/>
    <mergeCell ref="AY62:BC63"/>
    <mergeCell ref="BD62:BH63"/>
    <mergeCell ref="BI62:BM63"/>
    <mergeCell ref="BN62:BQ63"/>
    <mergeCell ref="BR62:BV63"/>
    <mergeCell ref="EJ60:EN61"/>
    <mergeCell ref="EO60:ES61"/>
    <mergeCell ref="ET60:EX61"/>
    <mergeCell ref="C61:Y61"/>
    <mergeCell ref="A62:A63"/>
    <mergeCell ref="C62:Y62"/>
    <mergeCell ref="Z62:AD63"/>
    <mergeCell ref="AE62:AI63"/>
    <mergeCell ref="AJ62:AN63"/>
    <mergeCell ref="AO62:AS63"/>
    <mergeCell ref="DF60:DJ61"/>
    <mergeCell ref="DK60:DO61"/>
    <mergeCell ref="DP60:DT61"/>
    <mergeCell ref="DU60:DY61"/>
    <mergeCell ref="DZ60:ED61"/>
    <mergeCell ref="EE60:EI61"/>
    <mergeCell ref="CB60:CF61"/>
    <mergeCell ref="CG60:CK61"/>
    <mergeCell ref="CL60:CP61"/>
    <mergeCell ref="CQ60:CU61"/>
    <mergeCell ref="CV60:CZ61"/>
    <mergeCell ref="DA60:DE61"/>
    <mergeCell ref="AY60:BC61"/>
    <mergeCell ref="BD60:BH61"/>
    <mergeCell ref="BI60:BM61"/>
    <mergeCell ref="BN60:BQ61"/>
    <mergeCell ref="BR60:BV61"/>
    <mergeCell ref="BW60:CA61"/>
    <mergeCell ref="EE62:EI63"/>
    <mergeCell ref="EJ62:EN63"/>
    <mergeCell ref="EO62:ES63"/>
    <mergeCell ref="ET62:EX63"/>
    <mergeCell ref="B117:X117"/>
    <mergeCell ref="Y117:AX117"/>
    <mergeCell ref="AY117:BU117"/>
    <mergeCell ref="A60:A61"/>
    <mergeCell ref="C60:Y60"/>
    <mergeCell ref="Z60:AD61"/>
    <mergeCell ref="AE60:AI61"/>
    <mergeCell ref="AJ60:AN61"/>
    <mergeCell ref="AO60:AS61"/>
    <mergeCell ref="AT60:AX61"/>
    <mergeCell ref="B115:X115"/>
    <mergeCell ref="B116:X116"/>
    <mergeCell ref="B113:X113"/>
    <mergeCell ref="B114:X114"/>
    <mergeCell ref="B111:X111"/>
    <mergeCell ref="B112:X112"/>
    <mergeCell ref="D108:AE108"/>
    <mergeCell ref="AF108:AO108"/>
    <mergeCell ref="AP108:AW108"/>
    <mergeCell ref="B110:X110"/>
    <mergeCell ref="C63:Y63"/>
    <mergeCell ref="A64:A65"/>
    <mergeCell ref="C64:Y64"/>
    <mergeCell ref="Z64:AD65"/>
    <mergeCell ref="AE64:AI65"/>
    <mergeCell ref="AJ64:AN65"/>
    <mergeCell ref="AE66:AI67"/>
    <mergeCell ref="AJ66:AN67"/>
    <mergeCell ref="AO66:AS67"/>
    <mergeCell ref="BN68:BQ69"/>
    <mergeCell ref="AO82:AS83"/>
    <mergeCell ref="D101:AE101"/>
    <mergeCell ref="AF101:AO101"/>
    <mergeCell ref="AP101:AW101"/>
    <mergeCell ref="AX101:CK108"/>
    <mergeCell ref="D104:AE104"/>
    <mergeCell ref="AF104:AO104"/>
    <mergeCell ref="Z93:AD93"/>
    <mergeCell ref="B94:EX94"/>
    <mergeCell ref="B95:EX95"/>
    <mergeCell ref="B96:EX96"/>
    <mergeCell ref="B98:EX98"/>
    <mergeCell ref="E99:DS99"/>
    <mergeCell ref="B97:EX97"/>
    <mergeCell ref="AP104:AW104"/>
    <mergeCell ref="D105:AE105"/>
    <mergeCell ref="AF105:AO105"/>
    <mergeCell ref="AP105:AW105"/>
    <mergeCell ref="D107:AE107"/>
    <mergeCell ref="AF107:AO107"/>
    <mergeCell ref="AP107:AW107"/>
    <mergeCell ref="D102:AE102"/>
    <mergeCell ref="AF102:AO102"/>
    <mergeCell ref="AP102:AW102"/>
    <mergeCell ref="D103:AE103"/>
    <mergeCell ref="AF103:AO103"/>
    <mergeCell ref="AP103:AW103"/>
    <mergeCell ref="D106:AE106"/>
    <mergeCell ref="AF106:AO106"/>
    <mergeCell ref="AP106:AW106"/>
    <mergeCell ref="CP101:ES108"/>
    <mergeCell ref="EO92:ES92"/>
    <mergeCell ref="ET92:EX92"/>
    <mergeCell ref="CQ92:CU92"/>
    <mergeCell ref="CV92:CZ92"/>
    <mergeCell ref="DA92:DE92"/>
    <mergeCell ref="DF92:DJ92"/>
    <mergeCell ref="DK92:DO92"/>
    <mergeCell ref="DP92:DT92"/>
    <mergeCell ref="BN92:BQ92"/>
    <mergeCell ref="BR92:BV92"/>
    <mergeCell ref="BW92:CA92"/>
    <mergeCell ref="CB92:CF92"/>
    <mergeCell ref="CG92:CK92"/>
    <mergeCell ref="CL92:CP92"/>
    <mergeCell ref="D100:AE100"/>
    <mergeCell ref="AF100:AO100"/>
    <mergeCell ref="AP100:AW100"/>
    <mergeCell ref="AX100:CK100"/>
    <mergeCell ref="ET91:EX91"/>
    <mergeCell ref="C92:Y92"/>
    <mergeCell ref="Z92:AD92"/>
    <mergeCell ref="AE92:AI92"/>
    <mergeCell ref="AJ92:AN92"/>
    <mergeCell ref="AO92:AS92"/>
    <mergeCell ref="AT92:AX92"/>
    <mergeCell ref="AY92:BC92"/>
    <mergeCell ref="BD92:BH92"/>
    <mergeCell ref="BI92:BM92"/>
    <mergeCell ref="DP91:DT91"/>
    <mergeCell ref="DU91:DY91"/>
    <mergeCell ref="DZ91:ED91"/>
    <mergeCell ref="EE91:EI91"/>
    <mergeCell ref="EJ91:EN91"/>
    <mergeCell ref="EO91:ES91"/>
    <mergeCell ref="CL91:CP91"/>
    <mergeCell ref="CQ91:CU91"/>
    <mergeCell ref="CV91:CZ91"/>
    <mergeCell ref="DA91:DE91"/>
    <mergeCell ref="DF91:DJ91"/>
    <mergeCell ref="DK91:DO91"/>
    <mergeCell ref="BI91:BM91"/>
    <mergeCell ref="BN91:BQ91"/>
    <mergeCell ref="BR91:BV91"/>
    <mergeCell ref="BW91:CA91"/>
    <mergeCell ref="CB91:CF91"/>
    <mergeCell ref="CG91:CK91"/>
    <mergeCell ref="DU92:DY92"/>
    <mergeCell ref="DZ92:ED92"/>
    <mergeCell ref="EE92:EI92"/>
    <mergeCell ref="EJ92:EN92"/>
    <mergeCell ref="C91:Y91"/>
    <mergeCell ref="Z91:AD91"/>
    <mergeCell ref="AE91:AI91"/>
    <mergeCell ref="AJ91:AN91"/>
    <mergeCell ref="AO91:AS91"/>
    <mergeCell ref="AT91:AX91"/>
    <mergeCell ref="AY91:BC91"/>
    <mergeCell ref="BD91:BH91"/>
    <mergeCell ref="DK90:DO90"/>
    <mergeCell ref="DP90:DT90"/>
    <mergeCell ref="DU90:DY90"/>
    <mergeCell ref="DZ90:ED90"/>
    <mergeCell ref="EE90:EI90"/>
    <mergeCell ref="EJ90:EN90"/>
    <mergeCell ref="CG90:CK90"/>
    <mergeCell ref="CL90:CP90"/>
    <mergeCell ref="CQ90:CU90"/>
    <mergeCell ref="CV90:CZ90"/>
    <mergeCell ref="DA90:DE90"/>
    <mergeCell ref="DF90:DJ90"/>
    <mergeCell ref="BD90:BH90"/>
    <mergeCell ref="BI90:BM90"/>
    <mergeCell ref="BN90:BQ90"/>
    <mergeCell ref="BR90:BV90"/>
    <mergeCell ref="BW90:CA90"/>
    <mergeCell ref="CB90:CF90"/>
    <mergeCell ref="EJ89:EN89"/>
    <mergeCell ref="EO89:ES89"/>
    <mergeCell ref="ET89:EX89"/>
    <mergeCell ref="C90:Y90"/>
    <mergeCell ref="Z90:AD90"/>
    <mergeCell ref="AE90:AI90"/>
    <mergeCell ref="AJ90:AN90"/>
    <mergeCell ref="AO90:AS90"/>
    <mergeCell ref="AT90:AX90"/>
    <mergeCell ref="AY90:BC90"/>
    <mergeCell ref="DF89:DJ89"/>
    <mergeCell ref="DK89:DO89"/>
    <mergeCell ref="DP89:DT89"/>
    <mergeCell ref="DU89:DY89"/>
    <mergeCell ref="DZ89:ED89"/>
    <mergeCell ref="EE89:EI89"/>
    <mergeCell ref="CB89:CF89"/>
    <mergeCell ref="CG89:CK89"/>
    <mergeCell ref="CL89:CP89"/>
    <mergeCell ref="CQ89:CU89"/>
    <mergeCell ref="CV89:CZ89"/>
    <mergeCell ref="DA89:DE89"/>
    <mergeCell ref="AY89:BC89"/>
    <mergeCell ref="BD89:BH89"/>
    <mergeCell ref="BI89:BM89"/>
    <mergeCell ref="BN89:BQ89"/>
    <mergeCell ref="BR89:BV89"/>
    <mergeCell ref="BW89:CA89"/>
    <mergeCell ref="EO90:ES90"/>
    <mergeCell ref="ET90:EX90"/>
    <mergeCell ref="C89:Y89"/>
    <mergeCell ref="Z89:AD89"/>
    <mergeCell ref="AE89:AI89"/>
    <mergeCell ref="AJ89:AN89"/>
    <mergeCell ref="AO89:AS89"/>
    <mergeCell ref="AT89:AX89"/>
    <mergeCell ref="DA88:DE88"/>
    <mergeCell ref="DF88:DJ88"/>
    <mergeCell ref="DK88:DO88"/>
    <mergeCell ref="DP88:DT88"/>
    <mergeCell ref="DU88:DY88"/>
    <mergeCell ref="DZ88:ED88"/>
    <mergeCell ref="BW88:CA88"/>
    <mergeCell ref="CB88:CF88"/>
    <mergeCell ref="CG88:CK88"/>
    <mergeCell ref="CL88:CP88"/>
    <mergeCell ref="CQ88:CU88"/>
    <mergeCell ref="CV88:CZ88"/>
    <mergeCell ref="AT88:AX88"/>
    <mergeCell ref="AY88:BC88"/>
    <mergeCell ref="BD88:BH88"/>
    <mergeCell ref="BI88:BM88"/>
    <mergeCell ref="BN88:BQ88"/>
    <mergeCell ref="BR88:BV88"/>
    <mergeCell ref="C88:Y88"/>
    <mergeCell ref="Z88:AD88"/>
    <mergeCell ref="AE88:AI88"/>
    <mergeCell ref="AJ88:AN88"/>
    <mergeCell ref="AO88:AS88"/>
    <mergeCell ref="EE88:EI88"/>
    <mergeCell ref="EJ88:EN88"/>
    <mergeCell ref="EO88:ES88"/>
    <mergeCell ref="ET88:EX88"/>
    <mergeCell ref="DA86:DE87"/>
    <mergeCell ref="DF86:DJ87"/>
    <mergeCell ref="DK86:DO87"/>
    <mergeCell ref="DP86:DT87"/>
    <mergeCell ref="DU86:DY87"/>
    <mergeCell ref="DZ86:ED87"/>
    <mergeCell ref="BW86:CA87"/>
    <mergeCell ref="CB86:CF87"/>
    <mergeCell ref="CG86:CK87"/>
    <mergeCell ref="CL86:CP87"/>
    <mergeCell ref="CQ86:CU87"/>
    <mergeCell ref="CV86:CZ87"/>
    <mergeCell ref="AT86:AX87"/>
    <mergeCell ref="AY86:BC87"/>
    <mergeCell ref="BD86:BH87"/>
    <mergeCell ref="BI86:BM87"/>
    <mergeCell ref="BN86:BQ87"/>
    <mergeCell ref="BR86:BV87"/>
    <mergeCell ref="EO86:ES87"/>
    <mergeCell ref="ET86:EX87"/>
    <mergeCell ref="C87:Y87"/>
    <mergeCell ref="A86:A87"/>
    <mergeCell ref="C86:Y86"/>
    <mergeCell ref="Z86:AD87"/>
    <mergeCell ref="AE86:AI87"/>
    <mergeCell ref="AJ86:AN87"/>
    <mergeCell ref="AO86:AS87"/>
    <mergeCell ref="DZ80:ED81"/>
    <mergeCell ref="EE80:EI81"/>
    <mergeCell ref="EJ80:EN81"/>
    <mergeCell ref="EO80:ES81"/>
    <mergeCell ref="ET80:EX81"/>
    <mergeCell ref="C81:Y81"/>
    <mergeCell ref="CV80:CZ81"/>
    <mergeCell ref="DA80:DE81"/>
    <mergeCell ref="DF80:DJ81"/>
    <mergeCell ref="DK80:DO81"/>
    <mergeCell ref="DP80:DT81"/>
    <mergeCell ref="DU80:DY81"/>
    <mergeCell ref="BR80:BV81"/>
    <mergeCell ref="BW80:CA81"/>
    <mergeCell ref="CB80:CF81"/>
    <mergeCell ref="CG80:CK81"/>
    <mergeCell ref="CL80:CP81"/>
    <mergeCell ref="CQ80:CU81"/>
    <mergeCell ref="AO80:AS81"/>
    <mergeCell ref="AT80:AX81"/>
    <mergeCell ref="AY80:BC81"/>
    <mergeCell ref="BD80:BH81"/>
    <mergeCell ref="BI80:BM81"/>
    <mergeCell ref="BN80:BQ81"/>
    <mergeCell ref="EE86:EI87"/>
    <mergeCell ref="EJ86:EN87"/>
    <mergeCell ref="AJ82:AN83"/>
    <mergeCell ref="A80:A81"/>
    <mergeCell ref="C80:Y80"/>
    <mergeCell ref="Z80:AD81"/>
    <mergeCell ref="AE80:AI81"/>
    <mergeCell ref="AJ80:AN81"/>
    <mergeCell ref="DA78:DE79"/>
    <mergeCell ref="DF78:DJ79"/>
    <mergeCell ref="DK78:DO79"/>
    <mergeCell ref="DP78:DT79"/>
    <mergeCell ref="DU78:DY79"/>
    <mergeCell ref="DZ78:ED79"/>
    <mergeCell ref="BW78:CA79"/>
    <mergeCell ref="CB78:CF79"/>
    <mergeCell ref="CG78:CK79"/>
    <mergeCell ref="CL78:CP79"/>
    <mergeCell ref="CQ78:CU79"/>
    <mergeCell ref="CV78:CZ79"/>
    <mergeCell ref="AT78:AX79"/>
    <mergeCell ref="AY78:BC79"/>
    <mergeCell ref="BD78:BH79"/>
    <mergeCell ref="BI78:BM79"/>
    <mergeCell ref="BN78:BQ79"/>
    <mergeCell ref="BR78:BV79"/>
    <mergeCell ref="A78:A79"/>
    <mergeCell ref="C78:Y78"/>
    <mergeCell ref="Z78:AD79"/>
    <mergeCell ref="AE78:AI79"/>
    <mergeCell ref="AJ78:AN79"/>
    <mergeCell ref="AO78:AS79"/>
    <mergeCell ref="DZ76:ED77"/>
    <mergeCell ref="EE76:EI77"/>
    <mergeCell ref="EJ76:EN77"/>
    <mergeCell ref="EO76:ES77"/>
    <mergeCell ref="ET76:EX77"/>
    <mergeCell ref="C77:Y77"/>
    <mergeCell ref="CV76:CZ77"/>
    <mergeCell ref="DA76:DE77"/>
    <mergeCell ref="DF76:DJ77"/>
    <mergeCell ref="DK76:DO77"/>
    <mergeCell ref="DP76:DT77"/>
    <mergeCell ref="DU76:DY77"/>
    <mergeCell ref="BR76:BV77"/>
    <mergeCell ref="BW76:CA77"/>
    <mergeCell ref="CB76:CF77"/>
    <mergeCell ref="CG76:CK77"/>
    <mergeCell ref="CL76:CP77"/>
    <mergeCell ref="CQ76:CU77"/>
    <mergeCell ref="AO76:AS77"/>
    <mergeCell ref="AT76:AX77"/>
    <mergeCell ref="AY76:BC77"/>
    <mergeCell ref="BD76:BH77"/>
    <mergeCell ref="BI76:BM77"/>
    <mergeCell ref="BN76:BQ77"/>
    <mergeCell ref="EE78:EI79"/>
    <mergeCell ref="EJ78:EN79"/>
    <mergeCell ref="EO78:ES79"/>
    <mergeCell ref="ET78:EX79"/>
    <mergeCell ref="C79:Y79"/>
    <mergeCell ref="A76:A77"/>
    <mergeCell ref="C76:Y76"/>
    <mergeCell ref="Z76:AD77"/>
    <mergeCell ref="AE76:AI77"/>
    <mergeCell ref="AJ76:AN77"/>
    <mergeCell ref="DA74:DE75"/>
    <mergeCell ref="DF74:DJ75"/>
    <mergeCell ref="DK74:DO75"/>
    <mergeCell ref="DP74:DT75"/>
    <mergeCell ref="DU74:DY75"/>
    <mergeCell ref="DZ74:ED75"/>
    <mergeCell ref="BW74:CA75"/>
    <mergeCell ref="CB74:CF75"/>
    <mergeCell ref="CG74:CK75"/>
    <mergeCell ref="CL74:CP75"/>
    <mergeCell ref="CQ74:CU75"/>
    <mergeCell ref="CV74:CZ75"/>
    <mergeCell ref="AT74:AX75"/>
    <mergeCell ref="AY74:BC75"/>
    <mergeCell ref="BD74:BH75"/>
    <mergeCell ref="BI74:BM75"/>
    <mergeCell ref="BN74:BQ75"/>
    <mergeCell ref="BR74:BV75"/>
    <mergeCell ref="A74:A75"/>
    <mergeCell ref="C74:Y74"/>
    <mergeCell ref="Z74:AD75"/>
    <mergeCell ref="AE74:AI75"/>
    <mergeCell ref="AJ74:AN75"/>
    <mergeCell ref="AO74:AS75"/>
    <mergeCell ref="ET72:EX73"/>
    <mergeCell ref="C73:Y73"/>
    <mergeCell ref="CV72:CZ73"/>
    <mergeCell ref="DA72:DE73"/>
    <mergeCell ref="DF72:DJ73"/>
    <mergeCell ref="DK72:DO73"/>
    <mergeCell ref="DP72:DT73"/>
    <mergeCell ref="DU72:DY73"/>
    <mergeCell ref="BR72:BV73"/>
    <mergeCell ref="BW72:CA73"/>
    <mergeCell ref="CB72:CF73"/>
    <mergeCell ref="CG72:CK73"/>
    <mergeCell ref="CL72:CP73"/>
    <mergeCell ref="CQ72:CU73"/>
    <mergeCell ref="AO72:AS73"/>
    <mergeCell ref="AT72:AX73"/>
    <mergeCell ref="AY72:BC73"/>
    <mergeCell ref="BD72:BH73"/>
    <mergeCell ref="BI72:BM73"/>
    <mergeCell ref="BN72:BQ73"/>
    <mergeCell ref="EE74:EI75"/>
    <mergeCell ref="EJ74:EN75"/>
    <mergeCell ref="EO74:ES75"/>
    <mergeCell ref="ET74:EX75"/>
    <mergeCell ref="C75:Y75"/>
    <mergeCell ref="EE72:EI73"/>
    <mergeCell ref="EJ72:EN73"/>
    <mergeCell ref="EO72:ES73"/>
    <mergeCell ref="A72:A73"/>
    <mergeCell ref="C72:Y72"/>
    <mergeCell ref="Z72:AD73"/>
    <mergeCell ref="AE72:AI73"/>
    <mergeCell ref="AJ72:AN73"/>
    <mergeCell ref="DA70:DE71"/>
    <mergeCell ref="DF70:DJ71"/>
    <mergeCell ref="DK70:DO71"/>
    <mergeCell ref="DP70:DT71"/>
    <mergeCell ref="DU70:DY71"/>
    <mergeCell ref="DZ70:ED71"/>
    <mergeCell ref="BW70:CA71"/>
    <mergeCell ref="CB70:CF71"/>
    <mergeCell ref="CG70:CK71"/>
    <mergeCell ref="CL70:CP71"/>
    <mergeCell ref="CQ70:CU71"/>
    <mergeCell ref="CV70:CZ71"/>
    <mergeCell ref="AT70:AX71"/>
    <mergeCell ref="AY70:BC71"/>
    <mergeCell ref="BD70:BH71"/>
    <mergeCell ref="BI70:BM71"/>
    <mergeCell ref="BN70:BQ71"/>
    <mergeCell ref="BR70:BV71"/>
    <mergeCell ref="DZ72:ED73"/>
    <mergeCell ref="EO58:ES59"/>
    <mergeCell ref="ET58:EX59"/>
    <mergeCell ref="C59:Y59"/>
    <mergeCell ref="A70:A71"/>
    <mergeCell ref="C70:Y70"/>
    <mergeCell ref="Z70:AD71"/>
    <mergeCell ref="AE70:AI71"/>
    <mergeCell ref="AJ70:AN71"/>
    <mergeCell ref="AO70:AS71"/>
    <mergeCell ref="DF58:DJ59"/>
    <mergeCell ref="DK58:DO59"/>
    <mergeCell ref="DP58:DT59"/>
    <mergeCell ref="DU58:DY59"/>
    <mergeCell ref="DZ58:ED59"/>
    <mergeCell ref="EE58:EI59"/>
    <mergeCell ref="CB58:CF59"/>
    <mergeCell ref="CG58:CK59"/>
    <mergeCell ref="CL58:CP59"/>
    <mergeCell ref="CQ58:CU59"/>
    <mergeCell ref="CV58:CZ59"/>
    <mergeCell ref="DA58:DE59"/>
    <mergeCell ref="AY58:BC59"/>
    <mergeCell ref="BD58:BH59"/>
    <mergeCell ref="BI58:BM59"/>
    <mergeCell ref="BN58:BQ59"/>
    <mergeCell ref="BR58:BV59"/>
    <mergeCell ref="BW58:CA59"/>
    <mergeCell ref="EE70:EI71"/>
    <mergeCell ref="EJ70:EN71"/>
    <mergeCell ref="EO70:ES71"/>
    <mergeCell ref="ET70:EX71"/>
    <mergeCell ref="C71:Y71"/>
    <mergeCell ref="A58:A59"/>
    <mergeCell ref="C58:Y58"/>
    <mergeCell ref="Z58:AD59"/>
    <mergeCell ref="AE58:AI59"/>
    <mergeCell ref="AJ58:AN59"/>
    <mergeCell ref="AO58:AS59"/>
    <mergeCell ref="AT58:AX59"/>
    <mergeCell ref="DK56:DO57"/>
    <mergeCell ref="DP56:DT57"/>
    <mergeCell ref="DU56:DY57"/>
    <mergeCell ref="DZ56:ED57"/>
    <mergeCell ref="EE56:EI57"/>
    <mergeCell ref="EJ56:EN57"/>
    <mergeCell ref="CG56:CK57"/>
    <mergeCell ref="CL56:CP57"/>
    <mergeCell ref="CQ56:CU57"/>
    <mergeCell ref="CV56:CZ57"/>
    <mergeCell ref="DA56:DE57"/>
    <mergeCell ref="DF56:DJ57"/>
    <mergeCell ref="AY56:BC57"/>
    <mergeCell ref="BI56:BM57"/>
    <mergeCell ref="BN56:BQ57"/>
    <mergeCell ref="BR56:BV57"/>
    <mergeCell ref="BW56:CA57"/>
    <mergeCell ref="CB56:CF57"/>
    <mergeCell ref="EJ58:EN59"/>
    <mergeCell ref="ET54:EX55"/>
    <mergeCell ref="C55:Y55"/>
    <mergeCell ref="A56:A57"/>
    <mergeCell ref="C56:Y56"/>
    <mergeCell ref="Z56:AD57"/>
    <mergeCell ref="AE56:AI57"/>
    <mergeCell ref="AJ56:AN57"/>
    <mergeCell ref="AO56:AS57"/>
    <mergeCell ref="AT56:AX57"/>
    <mergeCell ref="DK54:DO55"/>
    <mergeCell ref="DP54:DT55"/>
    <mergeCell ref="DU54:DY55"/>
    <mergeCell ref="DZ54:ED55"/>
    <mergeCell ref="EE54:EI55"/>
    <mergeCell ref="EJ54:EN55"/>
    <mergeCell ref="CG54:CK55"/>
    <mergeCell ref="CL54:CP55"/>
    <mergeCell ref="CQ54:CU55"/>
    <mergeCell ref="CV54:CZ55"/>
    <mergeCell ref="DA54:DE55"/>
    <mergeCell ref="DF54:DJ55"/>
    <mergeCell ref="BD54:BH55"/>
    <mergeCell ref="BI54:BM55"/>
    <mergeCell ref="BN54:BQ55"/>
    <mergeCell ref="BR54:BV55"/>
    <mergeCell ref="BW54:CA55"/>
    <mergeCell ref="CB54:CF55"/>
    <mergeCell ref="EO56:ES57"/>
    <mergeCell ref="ET56:EX57"/>
    <mergeCell ref="C57:Y57"/>
    <mergeCell ref="Z52:AD52"/>
    <mergeCell ref="AE52:AI52"/>
    <mergeCell ref="AJ52:AN52"/>
    <mergeCell ref="EO53:ES53"/>
    <mergeCell ref="ET53:EX53"/>
    <mergeCell ref="A54:A55"/>
    <mergeCell ref="C54:Y54"/>
    <mergeCell ref="Z54:AD55"/>
    <mergeCell ref="AE54:AI55"/>
    <mergeCell ref="AJ54:AN55"/>
    <mergeCell ref="AO54:AS55"/>
    <mergeCell ref="AT54:AX55"/>
    <mergeCell ref="AY54:BC55"/>
    <mergeCell ref="DK53:DO53"/>
    <mergeCell ref="DP53:DT53"/>
    <mergeCell ref="DU53:DY53"/>
    <mergeCell ref="DZ53:ED53"/>
    <mergeCell ref="EE53:EI53"/>
    <mergeCell ref="EJ53:EN53"/>
    <mergeCell ref="CG53:CK53"/>
    <mergeCell ref="CL53:CP53"/>
    <mergeCell ref="CQ53:CU53"/>
    <mergeCell ref="CV53:CZ53"/>
    <mergeCell ref="DA53:DE53"/>
    <mergeCell ref="DF53:DJ53"/>
    <mergeCell ref="BD53:BH53"/>
    <mergeCell ref="BI53:BM53"/>
    <mergeCell ref="BN53:BQ53"/>
    <mergeCell ref="BR53:BV53"/>
    <mergeCell ref="BW53:CA53"/>
    <mergeCell ref="CB53:CF53"/>
    <mergeCell ref="EO54:ES55"/>
    <mergeCell ref="BR51:BV51"/>
    <mergeCell ref="BW51:CA51"/>
    <mergeCell ref="CB51:CF51"/>
    <mergeCell ref="EJ52:EN52"/>
    <mergeCell ref="EO52:ES52"/>
    <mergeCell ref="ET52:EX52"/>
    <mergeCell ref="C53:Y53"/>
    <mergeCell ref="Z53:AD53"/>
    <mergeCell ref="AE53:AI53"/>
    <mergeCell ref="AJ53:AN53"/>
    <mergeCell ref="AO53:AS53"/>
    <mergeCell ref="AT53:AX53"/>
    <mergeCell ref="AY53:BC53"/>
    <mergeCell ref="DF52:DJ52"/>
    <mergeCell ref="DK52:DO52"/>
    <mergeCell ref="DP52:DT52"/>
    <mergeCell ref="DU52:DY52"/>
    <mergeCell ref="DZ52:ED52"/>
    <mergeCell ref="EE52:EI52"/>
    <mergeCell ref="CB52:CF52"/>
    <mergeCell ref="CG52:CK52"/>
    <mergeCell ref="CL52:CP52"/>
    <mergeCell ref="CQ52:CU52"/>
    <mergeCell ref="CV52:CZ52"/>
    <mergeCell ref="DA52:DE52"/>
    <mergeCell ref="AY52:BC52"/>
    <mergeCell ref="BD52:BH52"/>
    <mergeCell ref="BI52:BM52"/>
    <mergeCell ref="BN52:BQ52"/>
    <mergeCell ref="BR52:BV52"/>
    <mergeCell ref="BW52:CA52"/>
    <mergeCell ref="C52:Y52"/>
    <mergeCell ref="EE50:EI50"/>
    <mergeCell ref="CB50:CF50"/>
    <mergeCell ref="CG50:CK50"/>
    <mergeCell ref="CL50:CP50"/>
    <mergeCell ref="CQ50:CU50"/>
    <mergeCell ref="CV50:CZ50"/>
    <mergeCell ref="DA50:DE50"/>
    <mergeCell ref="AY50:BC50"/>
    <mergeCell ref="BD50:BH50"/>
    <mergeCell ref="BI50:BM50"/>
    <mergeCell ref="BN50:BQ50"/>
    <mergeCell ref="BR50:BV50"/>
    <mergeCell ref="BW50:CA50"/>
    <mergeCell ref="AO52:AS52"/>
    <mergeCell ref="AT52:AX52"/>
    <mergeCell ref="EO51:ES51"/>
    <mergeCell ref="ET51:EX51"/>
    <mergeCell ref="DK51:DO51"/>
    <mergeCell ref="DP51:DT51"/>
    <mergeCell ref="DU51:DY51"/>
    <mergeCell ref="DZ51:ED51"/>
    <mergeCell ref="EE51:EI51"/>
    <mergeCell ref="EJ51:EN51"/>
    <mergeCell ref="CG51:CK51"/>
    <mergeCell ref="CL51:CP51"/>
    <mergeCell ref="CQ51:CU51"/>
    <mergeCell ref="CV51:CZ51"/>
    <mergeCell ref="DA51:DE51"/>
    <mergeCell ref="DF51:DJ51"/>
    <mergeCell ref="BD51:BH51"/>
    <mergeCell ref="BI51:BM51"/>
    <mergeCell ref="BN51:BQ51"/>
    <mergeCell ref="C50:Y50"/>
    <mergeCell ref="Z50:AD50"/>
    <mergeCell ref="AE50:AI50"/>
    <mergeCell ref="AJ50:AN50"/>
    <mergeCell ref="AO50:AS50"/>
    <mergeCell ref="AT50:AX50"/>
    <mergeCell ref="DU49:DY49"/>
    <mergeCell ref="DZ49:ED49"/>
    <mergeCell ref="EE49:EI49"/>
    <mergeCell ref="EJ49:EN49"/>
    <mergeCell ref="EO49:ES49"/>
    <mergeCell ref="ET49:EX49"/>
    <mergeCell ref="CQ49:CU49"/>
    <mergeCell ref="CV49:CZ49"/>
    <mergeCell ref="DA49:DE49"/>
    <mergeCell ref="DF49:DJ49"/>
    <mergeCell ref="DK49:DO49"/>
    <mergeCell ref="DP49:DT49"/>
    <mergeCell ref="BN49:BQ49"/>
    <mergeCell ref="BR49:BV49"/>
    <mergeCell ref="BW49:CA49"/>
    <mergeCell ref="CB49:CF49"/>
    <mergeCell ref="CG49:CK49"/>
    <mergeCell ref="CL49:CP49"/>
    <mergeCell ref="EJ50:EN50"/>
    <mergeCell ref="EO50:ES50"/>
    <mergeCell ref="ET50:EX50"/>
    <mergeCell ref="DF50:DJ50"/>
    <mergeCell ref="DK50:DO50"/>
    <mergeCell ref="DP50:DT50"/>
    <mergeCell ref="DU50:DY50"/>
    <mergeCell ref="DZ50:ED50"/>
    <mergeCell ref="C49:Y49"/>
    <mergeCell ref="Z49:AD49"/>
    <mergeCell ref="AE49:AI49"/>
    <mergeCell ref="AJ49:AN49"/>
    <mergeCell ref="AO49:AS49"/>
    <mergeCell ref="AT49:AX49"/>
    <mergeCell ref="AY49:BC49"/>
    <mergeCell ref="BD49:BH49"/>
    <mergeCell ref="BI49:BM49"/>
    <mergeCell ref="DP48:DT48"/>
    <mergeCell ref="DU48:DY48"/>
    <mergeCell ref="DZ48:ED48"/>
    <mergeCell ref="EE48:EI48"/>
    <mergeCell ref="EJ48:EN48"/>
    <mergeCell ref="EO48:ES48"/>
    <mergeCell ref="CL48:CP48"/>
    <mergeCell ref="CQ48:CU48"/>
    <mergeCell ref="CV48:CZ48"/>
    <mergeCell ref="DA48:DE48"/>
    <mergeCell ref="DF48:DJ48"/>
    <mergeCell ref="DK48:DO48"/>
    <mergeCell ref="BI48:BM48"/>
    <mergeCell ref="BN48:BQ48"/>
    <mergeCell ref="BR48:BV48"/>
    <mergeCell ref="BW48:CA48"/>
    <mergeCell ref="CB48:CF48"/>
    <mergeCell ref="CG48:CK48"/>
    <mergeCell ref="EO47:ES47"/>
    <mergeCell ref="ET47:EX47"/>
    <mergeCell ref="C48:Y48"/>
    <mergeCell ref="Z48:AD48"/>
    <mergeCell ref="AE48:AI48"/>
    <mergeCell ref="AJ48:AN48"/>
    <mergeCell ref="AO48:AS48"/>
    <mergeCell ref="AT48:AX48"/>
    <mergeCell ref="AY48:BC48"/>
    <mergeCell ref="BD48:BH48"/>
    <mergeCell ref="DK47:DO47"/>
    <mergeCell ref="DP47:DT47"/>
    <mergeCell ref="DU47:DY47"/>
    <mergeCell ref="DZ47:ED47"/>
    <mergeCell ref="EE47:EI47"/>
    <mergeCell ref="EJ47:EN47"/>
    <mergeCell ref="CG47:CK47"/>
    <mergeCell ref="CL47:CP47"/>
    <mergeCell ref="CQ47:CU47"/>
    <mergeCell ref="CV47:CZ47"/>
    <mergeCell ref="DA47:DE47"/>
    <mergeCell ref="DF47:DJ47"/>
    <mergeCell ref="BD47:BH47"/>
    <mergeCell ref="BI47:BM47"/>
    <mergeCell ref="BN47:BQ47"/>
    <mergeCell ref="BR47:BV47"/>
    <mergeCell ref="BW47:CA47"/>
    <mergeCell ref="CB47:CF47"/>
    <mergeCell ref="ET48:EX48"/>
    <mergeCell ref="C47:Y47"/>
    <mergeCell ref="Z47:AD47"/>
    <mergeCell ref="AE47:AI47"/>
    <mergeCell ref="AJ47:AN47"/>
    <mergeCell ref="AO47:AS47"/>
    <mergeCell ref="AT47:AX47"/>
    <mergeCell ref="AY47:BC47"/>
    <mergeCell ref="DF46:DJ46"/>
    <mergeCell ref="DK46:DO46"/>
    <mergeCell ref="DP46:DT46"/>
    <mergeCell ref="DU46:DY46"/>
    <mergeCell ref="DZ46:ED46"/>
    <mergeCell ref="EE46:EI46"/>
    <mergeCell ref="CB46:CF46"/>
    <mergeCell ref="CG46:CK46"/>
    <mergeCell ref="CL46:CP46"/>
    <mergeCell ref="CQ46:CU46"/>
    <mergeCell ref="CV46:CZ46"/>
    <mergeCell ref="DA46:DE46"/>
    <mergeCell ref="AY46:BC46"/>
    <mergeCell ref="BD46:BH46"/>
    <mergeCell ref="BI46:BM46"/>
    <mergeCell ref="BN46:BQ46"/>
    <mergeCell ref="BR46:BV46"/>
    <mergeCell ref="BW46:CA46"/>
    <mergeCell ref="C46:Y46"/>
    <mergeCell ref="Z46:AD46"/>
    <mergeCell ref="AE46:AI46"/>
    <mergeCell ref="AJ46:AN46"/>
    <mergeCell ref="AO46:AS46"/>
    <mergeCell ref="AT46:AX46"/>
    <mergeCell ref="DU45:DY45"/>
    <mergeCell ref="DZ45:ED45"/>
    <mergeCell ref="EE45:EI45"/>
    <mergeCell ref="EJ45:EN45"/>
    <mergeCell ref="EO45:ES45"/>
    <mergeCell ref="ET45:EX45"/>
    <mergeCell ref="CQ45:CU45"/>
    <mergeCell ref="CV45:CZ45"/>
    <mergeCell ref="DA45:DE45"/>
    <mergeCell ref="DF45:DJ45"/>
    <mergeCell ref="DK45:DO45"/>
    <mergeCell ref="DP45:DT45"/>
    <mergeCell ref="BN45:BQ45"/>
    <mergeCell ref="BR45:BV45"/>
    <mergeCell ref="BW45:CA45"/>
    <mergeCell ref="CB45:CF45"/>
    <mergeCell ref="CG45:CK45"/>
    <mergeCell ref="CL45:CP45"/>
    <mergeCell ref="EJ46:EN46"/>
    <mergeCell ref="EO46:ES46"/>
    <mergeCell ref="ET46:EX46"/>
    <mergeCell ref="C45:Y45"/>
    <mergeCell ref="Z45:AD45"/>
    <mergeCell ref="AE45:AI45"/>
    <mergeCell ref="AJ45:AN45"/>
    <mergeCell ref="AO45:AS45"/>
    <mergeCell ref="AT45:AX45"/>
    <mergeCell ref="AY45:BC45"/>
    <mergeCell ref="BD45:BH45"/>
    <mergeCell ref="BI45:BM45"/>
    <mergeCell ref="DP44:DT44"/>
    <mergeCell ref="DU44:DY44"/>
    <mergeCell ref="DZ44:ED44"/>
    <mergeCell ref="EE44:EI44"/>
    <mergeCell ref="EJ44:EN44"/>
    <mergeCell ref="EO44:ES44"/>
    <mergeCell ref="CL44:CP44"/>
    <mergeCell ref="CQ44:CU44"/>
    <mergeCell ref="CV44:CZ44"/>
    <mergeCell ref="DA44:DE44"/>
    <mergeCell ref="DF44:DJ44"/>
    <mergeCell ref="DK44:DO44"/>
    <mergeCell ref="BI44:BM44"/>
    <mergeCell ref="BN44:BQ44"/>
    <mergeCell ref="BR44:BV44"/>
    <mergeCell ref="BW44:CA44"/>
    <mergeCell ref="CB44:CF44"/>
    <mergeCell ref="CG44:CK44"/>
    <mergeCell ref="EO43:ES43"/>
    <mergeCell ref="ET43:EX43"/>
    <mergeCell ref="C44:Y44"/>
    <mergeCell ref="Z44:AD44"/>
    <mergeCell ref="AE44:AI44"/>
    <mergeCell ref="AJ44:AN44"/>
    <mergeCell ref="AO44:AS44"/>
    <mergeCell ref="AT44:AX44"/>
    <mergeCell ref="AY44:BC44"/>
    <mergeCell ref="BD44:BH44"/>
    <mergeCell ref="DK43:DO43"/>
    <mergeCell ref="DP43:DT43"/>
    <mergeCell ref="DU43:DY43"/>
    <mergeCell ref="DZ43:ED43"/>
    <mergeCell ref="EE43:EI43"/>
    <mergeCell ref="EJ43:EN43"/>
    <mergeCell ref="CG43:CK43"/>
    <mergeCell ref="CL43:CP43"/>
    <mergeCell ref="CQ43:CU43"/>
    <mergeCell ref="CV43:CZ43"/>
    <mergeCell ref="DA43:DE43"/>
    <mergeCell ref="DF43:DJ43"/>
    <mergeCell ref="BD43:BH43"/>
    <mergeCell ref="BI43:BM43"/>
    <mergeCell ref="BN43:BQ43"/>
    <mergeCell ref="BR43:BV43"/>
    <mergeCell ref="BW43:CA43"/>
    <mergeCell ref="CB43:CF43"/>
    <mergeCell ref="ET44:EX44"/>
    <mergeCell ref="C43:Y43"/>
    <mergeCell ref="Z43:AD43"/>
    <mergeCell ref="AE43:AI43"/>
    <mergeCell ref="AJ43:AN43"/>
    <mergeCell ref="AO43:AS43"/>
    <mergeCell ref="AT43:AX43"/>
    <mergeCell ref="AY43:BC43"/>
    <mergeCell ref="DF42:DJ42"/>
    <mergeCell ref="DK42:DO42"/>
    <mergeCell ref="DP42:DT42"/>
    <mergeCell ref="DU42:DY42"/>
    <mergeCell ref="DZ42:ED42"/>
    <mergeCell ref="EE42:EI42"/>
    <mergeCell ref="CB42:CF42"/>
    <mergeCell ref="CG42:CK42"/>
    <mergeCell ref="CL42:CP42"/>
    <mergeCell ref="CQ42:CU42"/>
    <mergeCell ref="CV42:CZ42"/>
    <mergeCell ref="DA42:DE42"/>
    <mergeCell ref="AY42:BC42"/>
    <mergeCell ref="BD42:BH42"/>
    <mergeCell ref="BI42:BM42"/>
    <mergeCell ref="BN42:BQ42"/>
    <mergeCell ref="BR42:BV42"/>
    <mergeCell ref="BW42:CA42"/>
    <mergeCell ref="C42:Y42"/>
    <mergeCell ref="Z42:AD42"/>
    <mergeCell ref="AE42:AI42"/>
    <mergeCell ref="AJ42:AN42"/>
    <mergeCell ref="AO42:AS42"/>
    <mergeCell ref="AT42:AX42"/>
    <mergeCell ref="EO41:ES41"/>
    <mergeCell ref="ET41:EX41"/>
    <mergeCell ref="DK41:DO41"/>
    <mergeCell ref="DP41:DT41"/>
    <mergeCell ref="DU41:DY41"/>
    <mergeCell ref="DZ41:ED41"/>
    <mergeCell ref="EE41:EI41"/>
    <mergeCell ref="EJ41:EN41"/>
    <mergeCell ref="CG41:CK41"/>
    <mergeCell ref="CL41:CP41"/>
    <mergeCell ref="CQ41:CU41"/>
    <mergeCell ref="CV41:CZ41"/>
    <mergeCell ref="DA41:DE41"/>
    <mergeCell ref="DF41:DJ41"/>
    <mergeCell ref="BD41:BH41"/>
    <mergeCell ref="BI41:BM41"/>
    <mergeCell ref="BN41:BQ41"/>
    <mergeCell ref="BR41:BV41"/>
    <mergeCell ref="BW41:CA41"/>
    <mergeCell ref="CB41:CF41"/>
    <mergeCell ref="EJ42:EN42"/>
    <mergeCell ref="EO42:ES42"/>
    <mergeCell ref="ET42:EX42"/>
    <mergeCell ref="C41:Y41"/>
    <mergeCell ref="Z41:AD41"/>
    <mergeCell ref="AE41:AI41"/>
    <mergeCell ref="AJ41:AN41"/>
    <mergeCell ref="AO41:AS41"/>
    <mergeCell ref="AT41:AX41"/>
    <mergeCell ref="AY41:BC41"/>
    <mergeCell ref="DF40:DJ40"/>
    <mergeCell ref="DK40:DO40"/>
    <mergeCell ref="DP40:DT40"/>
    <mergeCell ref="DU40:DY40"/>
    <mergeCell ref="DZ40:ED40"/>
    <mergeCell ref="EE40:EI40"/>
    <mergeCell ref="CB40:CF40"/>
    <mergeCell ref="CG40:CK40"/>
    <mergeCell ref="CL40:CP40"/>
    <mergeCell ref="CQ40:CU40"/>
    <mergeCell ref="CV40:CZ40"/>
    <mergeCell ref="DA40:DE40"/>
    <mergeCell ref="AY40:BC40"/>
    <mergeCell ref="BD40:BH40"/>
    <mergeCell ref="BI40:BM40"/>
    <mergeCell ref="BN40:BQ40"/>
    <mergeCell ref="BR40:BV40"/>
    <mergeCell ref="BW40:CA40"/>
    <mergeCell ref="C40:Y40"/>
    <mergeCell ref="Z40:AD40"/>
    <mergeCell ref="AE40:AI40"/>
    <mergeCell ref="AJ40:AN40"/>
    <mergeCell ref="AO40:AS40"/>
    <mergeCell ref="AT40:AX40"/>
    <mergeCell ref="DU39:DY39"/>
    <mergeCell ref="DZ39:ED39"/>
    <mergeCell ref="EE39:EI39"/>
    <mergeCell ref="EJ39:EN39"/>
    <mergeCell ref="EO39:ES39"/>
    <mergeCell ref="ET39:EX39"/>
    <mergeCell ref="CQ39:CU39"/>
    <mergeCell ref="CV39:CZ39"/>
    <mergeCell ref="DA39:DE39"/>
    <mergeCell ref="DF39:DJ39"/>
    <mergeCell ref="DK39:DO39"/>
    <mergeCell ref="DP39:DT39"/>
    <mergeCell ref="BN39:BQ39"/>
    <mergeCell ref="BR39:BV39"/>
    <mergeCell ref="BW39:CA39"/>
    <mergeCell ref="CB39:CF39"/>
    <mergeCell ref="CG39:CK39"/>
    <mergeCell ref="CL39:CP39"/>
    <mergeCell ref="EJ40:EN40"/>
    <mergeCell ref="EO40:ES40"/>
    <mergeCell ref="ET40:EX40"/>
    <mergeCell ref="ET38:EX38"/>
    <mergeCell ref="C39:Y39"/>
    <mergeCell ref="Z39:AD39"/>
    <mergeCell ref="AE39:AI39"/>
    <mergeCell ref="AJ39:AN39"/>
    <mergeCell ref="AO39:AS39"/>
    <mergeCell ref="AT39:AX39"/>
    <mergeCell ref="AY39:BC39"/>
    <mergeCell ref="BD39:BH39"/>
    <mergeCell ref="BI39:BM39"/>
    <mergeCell ref="DP38:DT38"/>
    <mergeCell ref="DU38:DY38"/>
    <mergeCell ref="DZ38:ED38"/>
    <mergeCell ref="EE38:EI38"/>
    <mergeCell ref="EJ38:EN38"/>
    <mergeCell ref="EO38:ES38"/>
    <mergeCell ref="CL38:CP38"/>
    <mergeCell ref="CQ38:CU38"/>
    <mergeCell ref="CV38:CZ38"/>
    <mergeCell ref="DA38:DE38"/>
    <mergeCell ref="DF38:DJ38"/>
    <mergeCell ref="DK38:DO38"/>
    <mergeCell ref="BI38:BM38"/>
    <mergeCell ref="BN38:BQ38"/>
    <mergeCell ref="BR38:BV38"/>
    <mergeCell ref="BW38:CA38"/>
    <mergeCell ref="CB38:CF38"/>
    <mergeCell ref="CG38:CK38"/>
    <mergeCell ref="C38:Y38"/>
    <mergeCell ref="Z38:AD38"/>
    <mergeCell ref="AE38:AI38"/>
    <mergeCell ref="AJ38:AN38"/>
    <mergeCell ref="AO38:AS38"/>
    <mergeCell ref="AT38:AX38"/>
    <mergeCell ref="AY38:BC38"/>
    <mergeCell ref="BD38:BH38"/>
    <mergeCell ref="DK37:DO37"/>
    <mergeCell ref="DP37:DT37"/>
    <mergeCell ref="DU37:DY37"/>
    <mergeCell ref="DZ37:ED37"/>
    <mergeCell ref="EE37:EI37"/>
    <mergeCell ref="EJ37:EN37"/>
    <mergeCell ref="CG37:CK37"/>
    <mergeCell ref="CL37:CP37"/>
    <mergeCell ref="CQ37:CU37"/>
    <mergeCell ref="CV37:CZ37"/>
    <mergeCell ref="DA37:DE37"/>
    <mergeCell ref="DF37:DJ37"/>
    <mergeCell ref="BD37:BH37"/>
    <mergeCell ref="BI37:BM37"/>
    <mergeCell ref="BN37:BQ37"/>
    <mergeCell ref="BR37:BV37"/>
    <mergeCell ref="BW37:CA37"/>
    <mergeCell ref="CB37:CF37"/>
    <mergeCell ref="EO36:ES36"/>
    <mergeCell ref="ET36:EX36"/>
    <mergeCell ref="FA36:FC36"/>
    <mergeCell ref="C37:Y37"/>
    <mergeCell ref="Z37:AD37"/>
    <mergeCell ref="AE37:AI37"/>
    <mergeCell ref="AJ37:AN37"/>
    <mergeCell ref="AO37:AS37"/>
    <mergeCell ref="AT37:AX37"/>
    <mergeCell ref="AY37:BC37"/>
    <mergeCell ref="DK36:DO36"/>
    <mergeCell ref="DP36:DT36"/>
    <mergeCell ref="DU36:DY36"/>
    <mergeCell ref="DZ36:ED36"/>
    <mergeCell ref="EE36:EI36"/>
    <mergeCell ref="EJ36:EN36"/>
    <mergeCell ref="CG36:CK36"/>
    <mergeCell ref="CL36:CP36"/>
    <mergeCell ref="CQ36:CU36"/>
    <mergeCell ref="CV36:CZ36"/>
    <mergeCell ref="DA36:DE36"/>
    <mergeCell ref="DF36:DJ36"/>
    <mergeCell ref="BD36:BH36"/>
    <mergeCell ref="BI36:BM36"/>
    <mergeCell ref="BN36:BQ36"/>
    <mergeCell ref="BR36:BV36"/>
    <mergeCell ref="BW36:CA36"/>
    <mergeCell ref="CB36:CF36"/>
    <mergeCell ref="EO37:ES37"/>
    <mergeCell ref="ET37:EX37"/>
    <mergeCell ref="C36:Y36"/>
    <mergeCell ref="Z36:AD36"/>
    <mergeCell ref="AE36:AI36"/>
    <mergeCell ref="AJ36:AN36"/>
    <mergeCell ref="AO36:AS36"/>
    <mergeCell ref="AT36:AX36"/>
    <mergeCell ref="AY36:BC36"/>
    <mergeCell ref="DF35:DJ35"/>
    <mergeCell ref="DK35:DO35"/>
    <mergeCell ref="DP35:DT35"/>
    <mergeCell ref="DU35:DY35"/>
    <mergeCell ref="DZ35:ED35"/>
    <mergeCell ref="EE35:EI35"/>
    <mergeCell ref="CB35:CF35"/>
    <mergeCell ref="CG35:CK35"/>
    <mergeCell ref="CL35:CP35"/>
    <mergeCell ref="CQ35:CU35"/>
    <mergeCell ref="CV35:CZ35"/>
    <mergeCell ref="DA35:DE35"/>
    <mergeCell ref="AY35:BC35"/>
    <mergeCell ref="BD35:BH35"/>
    <mergeCell ref="BI35:BM35"/>
    <mergeCell ref="BN35:BQ35"/>
    <mergeCell ref="BR35:BV35"/>
    <mergeCell ref="BW35:CA35"/>
    <mergeCell ref="ET34:EX34"/>
    <mergeCell ref="C35:Y35"/>
    <mergeCell ref="Z35:AD35"/>
    <mergeCell ref="AE35:AI35"/>
    <mergeCell ref="AJ35:AN35"/>
    <mergeCell ref="AO35:AS35"/>
    <mergeCell ref="AT35:AX35"/>
    <mergeCell ref="DA34:DE34"/>
    <mergeCell ref="DF34:DJ34"/>
    <mergeCell ref="DK34:DO34"/>
    <mergeCell ref="DP34:DT34"/>
    <mergeCell ref="DU34:DY34"/>
    <mergeCell ref="DZ34:ED34"/>
    <mergeCell ref="EO32:ES32"/>
    <mergeCell ref="BR33:DE33"/>
    <mergeCell ref="DF33:ES33"/>
    <mergeCell ref="Z34:AD34"/>
    <mergeCell ref="AE34:AI34"/>
    <mergeCell ref="BR34:BV34"/>
    <mergeCell ref="BW34:CA34"/>
    <mergeCell ref="CB34:CF34"/>
    <mergeCell ref="CG34:CK34"/>
    <mergeCell ref="CL34:CP34"/>
    <mergeCell ref="DK32:DO32"/>
    <mergeCell ref="DP32:DT32"/>
    <mergeCell ref="DU32:DY32"/>
    <mergeCell ref="DZ32:ED32"/>
    <mergeCell ref="EE32:EI32"/>
    <mergeCell ref="EJ32:EN32"/>
    <mergeCell ref="EJ35:EN35"/>
    <mergeCell ref="EO35:ES35"/>
    <mergeCell ref="ET35:EX35"/>
    <mergeCell ref="CV28:DE28"/>
    <mergeCell ref="BR29:DE29"/>
    <mergeCell ref="BR31:DE31"/>
    <mergeCell ref="CQ34:CU34"/>
    <mergeCell ref="CV34:CZ34"/>
    <mergeCell ref="DF31:ES31"/>
    <mergeCell ref="BR32:BV32"/>
    <mergeCell ref="BW32:CA32"/>
    <mergeCell ref="CB32:CF32"/>
    <mergeCell ref="CG32:CK32"/>
    <mergeCell ref="CL32:CP32"/>
    <mergeCell ref="CQ32:CU32"/>
    <mergeCell ref="CV32:CZ32"/>
    <mergeCell ref="DA32:DE32"/>
    <mergeCell ref="DF32:DJ32"/>
    <mergeCell ref="DF29:ES29"/>
    <mergeCell ref="BR30:CA30"/>
    <mergeCell ref="CB30:CK30"/>
    <mergeCell ref="CL30:CU30"/>
    <mergeCell ref="CV30:DE30"/>
    <mergeCell ref="DF30:DO30"/>
    <mergeCell ref="DP30:DY30"/>
    <mergeCell ref="DZ30:EI30"/>
    <mergeCell ref="EJ30:ES30"/>
    <mergeCell ref="EE34:EI34"/>
    <mergeCell ref="EJ34:EN34"/>
    <mergeCell ref="EO34:ES34"/>
    <mergeCell ref="A26:EX26"/>
    <mergeCell ref="A27:A34"/>
    <mergeCell ref="B27:B34"/>
    <mergeCell ref="C27:Y34"/>
    <mergeCell ref="Z27:BQ27"/>
    <mergeCell ref="BR27:DE27"/>
    <mergeCell ref="DF27:ES27"/>
    <mergeCell ref="ET27:EX33"/>
    <mergeCell ref="Z28:AI33"/>
    <mergeCell ref="GI22:GN22"/>
    <mergeCell ref="GP22:GR22"/>
    <mergeCell ref="GS22:GX22"/>
    <mergeCell ref="GZ22:HB22"/>
    <mergeCell ref="HC22:HH22"/>
    <mergeCell ref="HJ22:HL22"/>
    <mergeCell ref="HO20:HP20"/>
    <mergeCell ref="HQ20:HR20"/>
    <mergeCell ref="DF28:DO28"/>
    <mergeCell ref="DP28:DY28"/>
    <mergeCell ref="DZ28:EI28"/>
    <mergeCell ref="EJ28:ES28"/>
    <mergeCell ref="AJ29:AN34"/>
    <mergeCell ref="AO29:AS34"/>
    <mergeCell ref="AT29:AX34"/>
    <mergeCell ref="AY29:BC34"/>
    <mergeCell ref="BD29:BH34"/>
    <mergeCell ref="BI29:BM34"/>
    <mergeCell ref="AJ28:BM28"/>
    <mergeCell ref="BN28:BQ34"/>
    <mergeCell ref="BR28:CA28"/>
    <mergeCell ref="CB28:CK28"/>
    <mergeCell ref="CL28:CU28"/>
    <mergeCell ref="HS20:HT20"/>
    <mergeCell ref="FB22:FD22"/>
    <mergeCell ref="FE22:FJ22"/>
    <mergeCell ref="FL22:FN22"/>
    <mergeCell ref="FO22:FT22"/>
    <mergeCell ref="FV22:FX22"/>
    <mergeCell ref="FY22:GD22"/>
    <mergeCell ref="GF22:GH22"/>
    <mergeCell ref="HO19:HP19"/>
    <mergeCell ref="HQ19:HR19"/>
    <mergeCell ref="HS19:HT19"/>
    <mergeCell ref="FA20:HB20"/>
    <mergeCell ref="HC20:HD20"/>
    <mergeCell ref="HE20:HF20"/>
    <mergeCell ref="HG20:HH20"/>
    <mergeCell ref="HI20:HJ20"/>
    <mergeCell ref="HK20:HL20"/>
    <mergeCell ref="HM20:HN20"/>
    <mergeCell ref="HM22:HR22"/>
    <mergeCell ref="HS18:HT18"/>
    <mergeCell ref="FA19:FB19"/>
    <mergeCell ref="HC19:HD19"/>
    <mergeCell ref="HE19:HF19"/>
    <mergeCell ref="HG19:HH19"/>
    <mergeCell ref="HI19:HJ19"/>
    <mergeCell ref="HK19:HL19"/>
    <mergeCell ref="HM19:HN19"/>
    <mergeCell ref="HO17:HP17"/>
    <mergeCell ref="HQ17:HR17"/>
    <mergeCell ref="HS17:HT17"/>
    <mergeCell ref="FA18:FB18"/>
    <mergeCell ref="HC18:HD18"/>
    <mergeCell ref="HE18:HF18"/>
    <mergeCell ref="HG18:HH18"/>
    <mergeCell ref="HI18:HJ18"/>
    <mergeCell ref="HK18:HL18"/>
    <mergeCell ref="HM18:HN18"/>
    <mergeCell ref="Z5:DG5"/>
    <mergeCell ref="DO5:EX5"/>
    <mergeCell ref="Z6:DG6"/>
    <mergeCell ref="DO6:EX6"/>
    <mergeCell ref="Z7:DG7"/>
    <mergeCell ref="A8:EX8"/>
    <mergeCell ref="A1:EX1"/>
    <mergeCell ref="Z2:DG2"/>
    <mergeCell ref="Z3:DG3"/>
    <mergeCell ref="DO3:EX3"/>
    <mergeCell ref="Z4:DG4"/>
    <mergeCell ref="DO4:EX4"/>
    <mergeCell ref="HO16:HP16"/>
    <mergeCell ref="HQ16:HR16"/>
    <mergeCell ref="HS16:HT16"/>
    <mergeCell ref="FA17:FB17"/>
    <mergeCell ref="HC17:HD17"/>
    <mergeCell ref="HE17:HF17"/>
    <mergeCell ref="HG17:HH17"/>
    <mergeCell ref="HI17:HJ17"/>
    <mergeCell ref="HK17:HL17"/>
    <mergeCell ref="HM17:HN17"/>
    <mergeCell ref="HC16:HD16"/>
    <mergeCell ref="HE16:HF16"/>
    <mergeCell ref="HG16:HH16"/>
    <mergeCell ref="HI16:HJ16"/>
    <mergeCell ref="HK16:HL16"/>
    <mergeCell ref="HM16:HN16"/>
    <mergeCell ref="GI14:GL14"/>
    <mergeCell ref="GM14:GP14"/>
    <mergeCell ref="GQ14:GT14"/>
    <mergeCell ref="GU14:GX14"/>
    <mergeCell ref="Y110:AK110"/>
    <mergeCell ref="AN110:CK110"/>
    <mergeCell ref="Y112:AK112"/>
    <mergeCell ref="AN112:CK112"/>
    <mergeCell ref="Y114:AK114"/>
    <mergeCell ref="AN114:CK114"/>
    <mergeCell ref="Y116:AK116"/>
    <mergeCell ref="AN116:CK116"/>
    <mergeCell ref="FA10:FB15"/>
    <mergeCell ref="FC10:HB13"/>
    <mergeCell ref="HC10:HP10"/>
    <mergeCell ref="HQ10:HR15"/>
    <mergeCell ref="HS10:HT15"/>
    <mergeCell ref="HC11:HD15"/>
    <mergeCell ref="HE11:HP11"/>
    <mergeCell ref="HE12:HF15"/>
    <mergeCell ref="HG12:HH15"/>
    <mergeCell ref="HI12:HJ15"/>
    <mergeCell ref="GY14:HB14"/>
    <mergeCell ref="FA16:FB16"/>
    <mergeCell ref="HK12:HL15"/>
    <mergeCell ref="HM12:HN15"/>
    <mergeCell ref="HO12:HP15"/>
    <mergeCell ref="FC14:FG14"/>
    <mergeCell ref="FH14:FK14"/>
    <mergeCell ref="FL14:FP14"/>
    <mergeCell ref="FQ14:FT14"/>
    <mergeCell ref="FU14:FY14"/>
    <mergeCell ref="FZ14:GC14"/>
    <mergeCell ref="GD14:GH14"/>
    <mergeCell ref="HO18:HP18"/>
    <mergeCell ref="HQ18:HR18"/>
  </mergeCells>
  <printOptions horizontalCentered="1"/>
  <pageMargins left="0.5" right="0" top="0.5" bottom="0" header="0" footer="0"/>
  <pageSetup paperSize="9" scale="15" fitToHeight="0" orientation="landscape" horizontalDpi="360" verticalDpi="360" r:id="rId1"/>
  <headerFooter alignWithMargins="0"/>
  <rowBreaks count="2" manualBreakCount="2">
    <brk id="50" max="153" man="1"/>
    <brk id="92" max="153" man="1"/>
  </rowBreaks>
  <ignoredErrors>
    <ignoredError sqref="AP106" numberStoredAsText="1"/>
    <ignoredError sqref="AJ74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Q118"/>
  <sheetViews>
    <sheetView view="pageBreakPreview" topLeftCell="A41" zoomScale="25" zoomScaleNormal="25" zoomScaleSheetLayoutView="25" workbookViewId="0">
      <selection activeCell="AW72" sqref="AW72:BA73"/>
    </sheetView>
  </sheetViews>
  <sheetFormatPr defaultColWidth="9.140625" defaultRowHeight="15.75" x14ac:dyDescent="0.25"/>
  <cols>
    <col min="1" max="1" width="17.28515625" style="14" customWidth="1"/>
    <col min="2" max="2" width="41.85546875" style="14" customWidth="1"/>
    <col min="3" max="22" width="5" style="11" customWidth="1"/>
    <col min="23" max="25" width="5" style="24" customWidth="1"/>
    <col min="26" max="29" width="5" style="25" customWidth="1"/>
    <col min="30" max="37" width="5" style="8" customWidth="1"/>
    <col min="38" max="49" width="5" style="2" customWidth="1"/>
    <col min="50" max="61" width="5" style="8" customWidth="1"/>
    <col min="62" max="67" width="5" style="24" customWidth="1"/>
    <col min="68" max="147" width="5" style="8" customWidth="1"/>
    <col min="148" max="151" width="5" style="13" customWidth="1"/>
    <col min="156" max="225" width="6.7109375" customWidth="1"/>
  </cols>
  <sheetData>
    <row r="1" spans="1:225" ht="101.25" x14ac:dyDescent="0.2">
      <c r="A1" s="606" t="s">
        <v>234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6"/>
      <c r="S1" s="606"/>
      <c r="T1" s="606"/>
      <c r="U1" s="606"/>
      <c r="V1" s="606"/>
      <c r="W1" s="606"/>
      <c r="X1" s="606"/>
      <c r="Y1" s="606"/>
      <c r="Z1" s="606"/>
      <c r="AA1" s="606"/>
      <c r="AB1" s="606"/>
      <c r="AC1" s="606"/>
      <c r="AD1" s="606"/>
      <c r="AE1" s="606"/>
      <c r="AF1" s="606"/>
      <c r="AG1" s="606"/>
      <c r="AH1" s="606"/>
      <c r="AI1" s="606"/>
      <c r="AJ1" s="606"/>
      <c r="AK1" s="606"/>
      <c r="AL1" s="606"/>
      <c r="AM1" s="606"/>
      <c r="AN1" s="606"/>
      <c r="AO1" s="606"/>
      <c r="AP1" s="606"/>
      <c r="AQ1" s="606"/>
      <c r="AR1" s="606"/>
      <c r="AS1" s="606"/>
      <c r="AT1" s="606"/>
      <c r="AU1" s="606"/>
      <c r="AV1" s="606"/>
      <c r="AW1" s="606"/>
      <c r="AX1" s="606"/>
      <c r="AY1" s="606"/>
      <c r="AZ1" s="606"/>
      <c r="BA1" s="606"/>
      <c r="BB1" s="606"/>
      <c r="BC1" s="606"/>
      <c r="BD1" s="606"/>
      <c r="BE1" s="606"/>
      <c r="BF1" s="606"/>
      <c r="BG1" s="606"/>
      <c r="BH1" s="606"/>
      <c r="BI1" s="606"/>
      <c r="BJ1" s="606"/>
      <c r="BK1" s="606"/>
      <c r="BL1" s="606"/>
      <c r="BM1" s="606"/>
      <c r="BN1" s="606"/>
      <c r="BO1" s="606"/>
      <c r="BP1" s="606"/>
      <c r="BQ1" s="606"/>
      <c r="BR1" s="606"/>
      <c r="BS1" s="606"/>
      <c r="BT1" s="606"/>
      <c r="BU1" s="606"/>
      <c r="BV1" s="606"/>
      <c r="BW1" s="606"/>
      <c r="BX1" s="606"/>
      <c r="BY1" s="606"/>
      <c r="BZ1" s="606"/>
      <c r="CA1" s="606"/>
      <c r="CB1" s="606"/>
      <c r="CC1" s="606"/>
      <c r="CD1" s="606"/>
      <c r="CE1" s="606"/>
      <c r="CF1" s="606"/>
      <c r="CG1" s="606"/>
      <c r="CH1" s="606"/>
      <c r="CI1" s="606"/>
      <c r="CJ1" s="606"/>
      <c r="CK1" s="606"/>
      <c r="CL1" s="606"/>
      <c r="CM1" s="606"/>
      <c r="CN1" s="606"/>
      <c r="CO1" s="606"/>
      <c r="CP1" s="606"/>
      <c r="CQ1" s="606"/>
      <c r="CR1" s="606"/>
      <c r="CS1" s="606"/>
      <c r="CT1" s="606"/>
      <c r="CU1" s="606"/>
      <c r="CV1" s="606"/>
      <c r="CW1" s="606"/>
      <c r="CX1" s="606"/>
      <c r="CY1" s="606"/>
      <c r="CZ1" s="606"/>
      <c r="DA1" s="606"/>
      <c r="DB1" s="606"/>
      <c r="DC1" s="606"/>
      <c r="DD1" s="606"/>
      <c r="DE1" s="606"/>
      <c r="DF1" s="606"/>
      <c r="DG1" s="606"/>
      <c r="DH1" s="606"/>
      <c r="DI1" s="606"/>
      <c r="DJ1" s="606"/>
      <c r="DK1" s="606"/>
      <c r="DL1" s="606"/>
      <c r="DM1" s="606"/>
      <c r="DN1" s="606"/>
      <c r="DO1" s="606"/>
      <c r="DP1" s="606"/>
      <c r="DQ1" s="606"/>
      <c r="DR1" s="606"/>
      <c r="DS1" s="606"/>
      <c r="DT1" s="606"/>
      <c r="DU1" s="606"/>
      <c r="DV1" s="606"/>
      <c r="DW1" s="606"/>
      <c r="DX1" s="606"/>
      <c r="DY1" s="606"/>
      <c r="DZ1" s="606"/>
      <c r="EA1" s="606"/>
      <c r="EB1" s="606"/>
      <c r="EC1" s="606"/>
      <c r="ED1" s="606"/>
      <c r="EE1" s="606"/>
      <c r="EF1" s="606"/>
      <c r="EG1" s="606"/>
      <c r="EH1" s="606"/>
      <c r="EI1" s="606"/>
      <c r="EJ1" s="606"/>
      <c r="EK1" s="606"/>
      <c r="EL1" s="606"/>
      <c r="EM1" s="606"/>
      <c r="EN1" s="606"/>
      <c r="EO1" s="606"/>
      <c r="EP1" s="606"/>
      <c r="EQ1" s="606"/>
      <c r="ER1" s="606"/>
      <c r="ES1" s="606"/>
      <c r="ET1" s="606"/>
      <c r="EU1" s="606"/>
    </row>
    <row r="2" spans="1:225" ht="81.75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284"/>
      <c r="P2" s="284"/>
      <c r="Q2" s="284"/>
      <c r="R2" s="284"/>
      <c r="S2" s="284"/>
      <c r="T2" s="110"/>
      <c r="U2" s="108"/>
      <c r="V2" s="109"/>
      <c r="W2" s="109"/>
      <c r="Y2" s="147"/>
      <c r="Z2" s="147"/>
      <c r="AA2" s="147"/>
      <c r="AB2" s="362" t="s">
        <v>246</v>
      </c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2"/>
      <c r="AP2" s="362"/>
      <c r="AQ2" s="362"/>
      <c r="AR2" s="362"/>
      <c r="AS2" s="362"/>
      <c r="AT2" s="362"/>
      <c r="AU2" s="362"/>
      <c r="AV2" s="362"/>
      <c r="AW2" s="362"/>
      <c r="AX2" s="362"/>
      <c r="AY2" s="362"/>
      <c r="AZ2" s="362"/>
      <c r="BA2" s="362"/>
      <c r="BB2" s="362"/>
      <c r="BC2" s="362"/>
      <c r="BD2" s="362"/>
      <c r="BE2" s="362"/>
      <c r="BF2" s="362"/>
      <c r="BG2" s="362"/>
      <c r="BH2" s="362"/>
      <c r="BI2" s="362"/>
      <c r="BJ2" s="362"/>
      <c r="BK2" s="362"/>
      <c r="BL2" s="362"/>
      <c r="BM2" s="362"/>
      <c r="BN2" s="362"/>
      <c r="BO2" s="362"/>
      <c r="BP2" s="362"/>
      <c r="BQ2" s="362"/>
      <c r="BR2" s="362"/>
      <c r="BS2" s="362"/>
      <c r="BT2" s="362"/>
      <c r="BU2" s="362"/>
      <c r="BV2" s="362"/>
      <c r="BW2" s="362"/>
      <c r="BX2" s="362"/>
      <c r="BY2" s="362"/>
      <c r="BZ2" s="362"/>
      <c r="CA2" s="362"/>
      <c r="CB2" s="362"/>
      <c r="CC2" s="362"/>
      <c r="CD2" s="362"/>
      <c r="CE2" s="362"/>
      <c r="CF2" s="362"/>
      <c r="CG2" s="362"/>
      <c r="CH2" s="362"/>
      <c r="CI2" s="362"/>
      <c r="CJ2" s="362"/>
      <c r="CK2" s="362"/>
      <c r="CL2" s="362"/>
      <c r="CM2" s="362"/>
      <c r="CN2" s="362"/>
      <c r="CO2" s="362"/>
      <c r="CP2" s="362"/>
      <c r="CQ2" s="362"/>
      <c r="CR2" s="362"/>
      <c r="CS2" s="362"/>
      <c r="CT2" s="362"/>
      <c r="CU2" s="362"/>
      <c r="CV2" s="362"/>
      <c r="CW2" s="362"/>
      <c r="CX2" s="362"/>
      <c r="CY2" s="362"/>
      <c r="CZ2" s="284"/>
      <c r="DA2" s="284"/>
      <c r="DB2" s="284"/>
      <c r="DC2" s="284"/>
      <c r="DD2" s="284"/>
      <c r="DE2" s="284"/>
      <c r="DF2" s="284"/>
      <c r="DG2" s="284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</row>
    <row r="3" spans="1:225" ht="69.95" customHeight="1" x14ac:dyDescent="0.25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284"/>
      <c r="P3" s="284"/>
      <c r="Q3" s="284"/>
      <c r="R3" s="284"/>
      <c r="S3" s="284"/>
      <c r="U3" s="146"/>
      <c r="V3" s="146"/>
      <c r="W3" s="146"/>
      <c r="Y3" s="146"/>
      <c r="Z3" s="146"/>
      <c r="AA3" s="146"/>
      <c r="AB3" s="363" t="s">
        <v>245</v>
      </c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363"/>
      <c r="BW3" s="363"/>
      <c r="BX3" s="363"/>
      <c r="BY3" s="363"/>
      <c r="BZ3" s="363"/>
      <c r="CA3" s="363"/>
      <c r="CB3" s="363"/>
      <c r="CC3" s="363"/>
      <c r="CD3" s="363"/>
      <c r="CE3" s="363"/>
      <c r="CF3" s="363"/>
      <c r="CG3" s="363"/>
      <c r="CH3" s="363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363"/>
      <c r="CZ3" s="146"/>
      <c r="DA3" s="146"/>
      <c r="DB3" s="146"/>
      <c r="DC3" s="146"/>
      <c r="DD3" s="146"/>
      <c r="DE3" s="146"/>
      <c r="DF3" s="146"/>
      <c r="DG3" s="146"/>
      <c r="DH3" s="56"/>
      <c r="DI3" s="56"/>
      <c r="DJ3" s="56"/>
      <c r="DK3" s="364" t="s">
        <v>217</v>
      </c>
      <c r="DL3" s="364"/>
      <c r="DM3" s="364"/>
      <c r="DN3" s="364"/>
      <c r="DO3" s="364"/>
      <c r="DP3" s="364"/>
      <c r="DQ3" s="364"/>
      <c r="DR3" s="364"/>
      <c r="DS3" s="364"/>
      <c r="DT3" s="364"/>
      <c r="DU3" s="364"/>
      <c r="DV3" s="364"/>
      <c r="DW3" s="364"/>
      <c r="DX3" s="364"/>
      <c r="DY3" s="364"/>
      <c r="DZ3" s="364"/>
      <c r="EA3" s="364"/>
      <c r="EB3" s="364"/>
      <c r="EC3" s="364"/>
      <c r="ED3" s="364"/>
      <c r="EE3" s="364"/>
      <c r="EF3" s="364"/>
      <c r="EG3" s="364"/>
      <c r="EH3" s="364"/>
      <c r="EI3" s="364"/>
      <c r="EJ3" s="364"/>
      <c r="EK3" s="364"/>
      <c r="EL3" s="364"/>
      <c r="EM3" s="364"/>
      <c r="EN3" s="364"/>
      <c r="EO3" s="364"/>
      <c r="EP3" s="364"/>
      <c r="EQ3" s="364"/>
      <c r="ER3" s="364"/>
      <c r="ES3" s="364"/>
      <c r="ET3" s="364"/>
      <c r="EU3" s="364"/>
    </row>
    <row r="4" spans="1:225" ht="69.95" customHeight="1" x14ac:dyDescent="0.2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P4" s="146"/>
      <c r="Q4" s="146"/>
      <c r="R4" s="146"/>
      <c r="S4" s="146"/>
      <c r="T4" s="146"/>
      <c r="U4" s="146"/>
      <c r="V4" s="146"/>
      <c r="W4" s="146"/>
      <c r="Y4" s="146"/>
      <c r="Z4" s="146"/>
      <c r="AA4" s="146"/>
      <c r="AB4" s="363" t="s">
        <v>260</v>
      </c>
      <c r="AC4" s="363"/>
      <c r="AD4" s="363"/>
      <c r="AE4" s="363"/>
      <c r="AF4" s="363"/>
      <c r="AG4" s="363"/>
      <c r="AH4" s="363"/>
      <c r="AI4" s="363"/>
      <c r="AJ4" s="363"/>
      <c r="AK4" s="363"/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/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/>
      <c r="CV4" s="363"/>
      <c r="CW4" s="363"/>
      <c r="CX4" s="363"/>
      <c r="CY4" s="363"/>
      <c r="CZ4" s="146"/>
      <c r="DA4" s="146"/>
      <c r="DB4" s="146"/>
      <c r="DC4" s="146"/>
      <c r="DD4" s="146"/>
      <c r="DE4" s="146"/>
      <c r="DF4" s="146"/>
      <c r="DG4" s="283"/>
      <c r="DH4" s="56"/>
      <c r="DI4" s="56"/>
      <c r="DJ4" s="56"/>
      <c r="DK4" s="364" t="s">
        <v>244</v>
      </c>
      <c r="DL4" s="364"/>
      <c r="DM4" s="364"/>
      <c r="DN4" s="364"/>
      <c r="DO4" s="364"/>
      <c r="DP4" s="364"/>
      <c r="DQ4" s="364"/>
      <c r="DR4" s="364"/>
      <c r="DS4" s="364"/>
      <c r="DT4" s="364"/>
      <c r="DU4" s="364"/>
      <c r="DV4" s="364"/>
      <c r="DW4" s="364"/>
      <c r="DX4" s="364"/>
      <c r="DY4" s="364"/>
      <c r="DZ4" s="364"/>
      <c r="EA4" s="364"/>
      <c r="EB4" s="364"/>
      <c r="EC4" s="364"/>
      <c r="ED4" s="364"/>
      <c r="EE4" s="364"/>
      <c r="EF4" s="364"/>
      <c r="EG4" s="364"/>
      <c r="EH4" s="364"/>
      <c r="EI4" s="364"/>
      <c r="EJ4" s="364"/>
      <c r="EK4" s="364"/>
      <c r="EL4" s="364"/>
      <c r="EM4" s="364"/>
      <c r="EN4" s="364"/>
      <c r="EO4" s="364"/>
      <c r="EP4" s="364"/>
      <c r="EQ4" s="364"/>
      <c r="ER4" s="364"/>
      <c r="ES4" s="364"/>
      <c r="ET4" s="364"/>
      <c r="EU4" s="364"/>
    </row>
    <row r="5" spans="1:225" ht="69.95" customHeight="1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111"/>
      <c r="P5" s="111"/>
      <c r="Q5" s="111"/>
      <c r="R5" s="111"/>
      <c r="S5" s="111"/>
      <c r="T5" s="111"/>
      <c r="V5" s="147"/>
      <c r="W5" s="147"/>
      <c r="Y5" s="147"/>
      <c r="Z5" s="147"/>
      <c r="AA5" s="147"/>
      <c r="AB5" s="364" t="s">
        <v>13</v>
      </c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364"/>
      <c r="CK5" s="364"/>
      <c r="CL5" s="364"/>
      <c r="CM5" s="364"/>
      <c r="CN5" s="364"/>
      <c r="CO5" s="364"/>
      <c r="CP5" s="364"/>
      <c r="CQ5" s="364"/>
      <c r="CR5" s="364"/>
      <c r="CS5" s="364"/>
      <c r="CT5" s="364"/>
      <c r="CU5" s="364"/>
      <c r="CV5" s="364"/>
      <c r="CW5" s="364"/>
      <c r="CX5" s="364"/>
      <c r="CY5" s="364"/>
      <c r="CZ5" s="147"/>
      <c r="DA5" s="147"/>
      <c r="DB5" s="147"/>
      <c r="DC5" s="147"/>
      <c r="DD5" s="147"/>
      <c r="DE5" s="147"/>
      <c r="DF5" s="147"/>
      <c r="DG5" s="284"/>
      <c r="DH5" s="56"/>
      <c r="DI5" s="56"/>
      <c r="DJ5" s="56"/>
      <c r="DK5" s="364" t="s">
        <v>230</v>
      </c>
      <c r="DL5" s="364"/>
      <c r="DM5" s="364"/>
      <c r="DN5" s="364"/>
      <c r="DO5" s="364"/>
      <c r="DP5" s="364"/>
      <c r="DQ5" s="364"/>
      <c r="DR5" s="364"/>
      <c r="DS5" s="364"/>
      <c r="DT5" s="364"/>
      <c r="DU5" s="364"/>
      <c r="DV5" s="364"/>
      <c r="DW5" s="364"/>
      <c r="DX5" s="364"/>
      <c r="DY5" s="364"/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</row>
    <row r="6" spans="1:225" ht="69.95" customHeight="1" x14ac:dyDescent="0.25">
      <c r="A6" s="53"/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P6" s="147"/>
      <c r="Q6" s="147"/>
      <c r="R6" s="147"/>
      <c r="S6" s="147"/>
      <c r="T6" s="147"/>
      <c r="U6" s="147"/>
      <c r="V6" s="147"/>
      <c r="W6" s="147"/>
      <c r="Y6" s="147"/>
      <c r="Z6" s="147"/>
      <c r="AA6" s="147"/>
      <c r="AB6" s="364" t="s">
        <v>259</v>
      </c>
      <c r="AC6" s="364"/>
      <c r="AD6" s="364"/>
      <c r="AE6" s="364"/>
      <c r="AF6" s="364"/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4"/>
      <c r="BM6" s="364"/>
      <c r="BN6" s="364"/>
      <c r="BO6" s="364"/>
      <c r="BP6" s="364"/>
      <c r="BQ6" s="364"/>
      <c r="BR6" s="364"/>
      <c r="BS6" s="364"/>
      <c r="BT6" s="364"/>
      <c r="BU6" s="364"/>
      <c r="BV6" s="364"/>
      <c r="BW6" s="364"/>
      <c r="BX6" s="364"/>
      <c r="BY6" s="364"/>
      <c r="BZ6" s="364"/>
      <c r="CA6" s="364"/>
      <c r="CB6" s="364"/>
      <c r="CC6" s="364"/>
      <c r="CD6" s="364"/>
      <c r="CE6" s="364"/>
      <c r="CF6" s="364"/>
      <c r="CG6" s="364"/>
      <c r="CH6" s="364"/>
      <c r="CI6" s="364"/>
      <c r="CJ6" s="364"/>
      <c r="CK6" s="364"/>
      <c r="CL6" s="364"/>
      <c r="CM6" s="364"/>
      <c r="CN6" s="364"/>
      <c r="CO6" s="364"/>
      <c r="CP6" s="364"/>
      <c r="CQ6" s="364"/>
      <c r="CR6" s="364"/>
      <c r="CS6" s="364"/>
      <c r="CT6" s="364"/>
      <c r="CU6" s="364"/>
      <c r="CV6" s="364"/>
      <c r="CW6" s="364"/>
      <c r="CX6" s="364"/>
      <c r="CY6" s="364"/>
      <c r="CZ6" s="147"/>
      <c r="DA6" s="147"/>
      <c r="DB6" s="147"/>
      <c r="DC6" s="147"/>
      <c r="DD6" s="147"/>
      <c r="DE6" s="147"/>
      <c r="DF6" s="147"/>
      <c r="DG6" s="147"/>
      <c r="DH6" s="104"/>
      <c r="DI6" s="104"/>
      <c r="DJ6" s="104"/>
      <c r="DK6" s="364" t="s">
        <v>218</v>
      </c>
      <c r="DL6" s="364"/>
      <c r="DM6" s="364"/>
      <c r="DN6" s="364"/>
      <c r="DO6" s="364"/>
      <c r="DP6" s="364"/>
      <c r="DQ6" s="364"/>
      <c r="DR6" s="364"/>
      <c r="DS6" s="364"/>
      <c r="DT6" s="364"/>
      <c r="DU6" s="364"/>
      <c r="DV6" s="364"/>
      <c r="DW6" s="364"/>
      <c r="DX6" s="364"/>
      <c r="DY6" s="364"/>
      <c r="DZ6" s="364"/>
      <c r="EA6" s="364"/>
      <c r="EB6" s="364"/>
      <c r="EC6" s="364"/>
      <c r="ED6" s="36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  <c r="ET6" s="364"/>
      <c r="EU6" s="364"/>
    </row>
    <row r="7" spans="1:225" ht="69.95" customHeight="1" x14ac:dyDescent="0.25">
      <c r="A7" s="93"/>
      <c r="B7" s="93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P7" s="147"/>
      <c r="Q7" s="147"/>
      <c r="R7" s="147"/>
      <c r="S7" s="147"/>
      <c r="T7" s="147"/>
      <c r="U7" s="147"/>
      <c r="V7" s="147"/>
      <c r="W7" s="147"/>
      <c r="Y7" s="147"/>
      <c r="Z7" s="147"/>
      <c r="AA7" s="147"/>
      <c r="AB7" s="364" t="s">
        <v>261</v>
      </c>
      <c r="AC7" s="364"/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4"/>
      <c r="BL7" s="364"/>
      <c r="BM7" s="364"/>
      <c r="BN7" s="364"/>
      <c r="BO7" s="364"/>
      <c r="BP7" s="364"/>
      <c r="BQ7" s="364"/>
      <c r="BR7" s="364"/>
      <c r="BS7" s="364"/>
      <c r="BT7" s="364"/>
      <c r="BU7" s="364"/>
      <c r="BV7" s="364"/>
      <c r="BW7" s="364"/>
      <c r="BX7" s="364"/>
      <c r="BY7" s="364"/>
      <c r="BZ7" s="364"/>
      <c r="CA7" s="364"/>
      <c r="CB7" s="364"/>
      <c r="CC7" s="364"/>
      <c r="CD7" s="364"/>
      <c r="CE7" s="364"/>
      <c r="CF7" s="364"/>
      <c r="CG7" s="364"/>
      <c r="CH7" s="364"/>
      <c r="CI7" s="364"/>
      <c r="CJ7" s="364"/>
      <c r="CK7" s="364"/>
      <c r="CL7" s="364"/>
      <c r="CM7" s="364"/>
      <c r="CN7" s="364"/>
      <c r="CO7" s="364"/>
      <c r="CP7" s="364"/>
      <c r="CQ7" s="364"/>
      <c r="CR7" s="364"/>
      <c r="CS7" s="364"/>
      <c r="CT7" s="364"/>
      <c r="CU7" s="364"/>
      <c r="CV7" s="364"/>
      <c r="CW7" s="364"/>
      <c r="CX7" s="364"/>
      <c r="CY7" s="364"/>
      <c r="CZ7" s="147"/>
      <c r="DA7" s="147"/>
      <c r="DB7" s="147"/>
      <c r="DC7" s="147"/>
      <c r="DD7" s="147"/>
      <c r="DE7" s="147"/>
      <c r="DF7" s="147"/>
      <c r="DG7" s="147"/>
      <c r="DH7" s="104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11"/>
      <c r="DZ7" s="111"/>
      <c r="EA7" s="111"/>
      <c r="EB7" s="111"/>
      <c r="EC7" s="111"/>
      <c r="ED7" s="111"/>
      <c r="EE7" s="111"/>
      <c r="EF7" s="111"/>
      <c r="EG7" s="111"/>
      <c r="EH7" s="111"/>
      <c r="EI7" s="103"/>
      <c r="EJ7" s="103"/>
      <c r="EK7" s="103"/>
      <c r="EL7" s="103"/>
      <c r="EM7" s="103"/>
      <c r="EN7" s="103"/>
      <c r="EO7" s="103"/>
      <c r="EP7" s="103"/>
      <c r="EQ7" s="103"/>
      <c r="ER7" s="103"/>
      <c r="ES7" s="103"/>
      <c r="ET7" s="103"/>
      <c r="EU7" s="103"/>
    </row>
    <row r="8" spans="1:225" ht="69" x14ac:dyDescent="0.2">
      <c r="A8" s="365" t="s">
        <v>249</v>
      </c>
      <c r="B8" s="365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5"/>
      <c r="AP8" s="365"/>
      <c r="AQ8" s="365"/>
      <c r="AR8" s="365"/>
      <c r="AS8" s="365"/>
      <c r="AT8" s="365"/>
      <c r="AU8" s="365"/>
      <c r="AV8" s="365"/>
      <c r="AW8" s="365"/>
      <c r="AX8" s="365"/>
      <c r="AY8" s="365"/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5"/>
      <c r="BR8" s="365"/>
      <c r="BS8" s="365"/>
      <c r="BT8" s="365"/>
      <c r="BU8" s="365"/>
      <c r="BV8" s="365"/>
      <c r="BW8" s="365"/>
      <c r="BX8" s="365"/>
      <c r="BY8" s="365"/>
      <c r="BZ8" s="365"/>
      <c r="CA8" s="365"/>
      <c r="CB8" s="365"/>
      <c r="CC8" s="365"/>
      <c r="CD8" s="365"/>
      <c r="CE8" s="365"/>
      <c r="CF8" s="365"/>
      <c r="CG8" s="365"/>
      <c r="CH8" s="365"/>
      <c r="CI8" s="365"/>
      <c r="CJ8" s="365"/>
      <c r="CK8" s="365"/>
      <c r="CL8" s="365"/>
      <c r="CM8" s="365"/>
      <c r="CN8" s="365"/>
      <c r="CO8" s="365"/>
      <c r="CP8" s="365"/>
      <c r="CQ8" s="365"/>
      <c r="CR8" s="365"/>
      <c r="CS8" s="365"/>
      <c r="CT8" s="365"/>
      <c r="CU8" s="365"/>
      <c r="CV8" s="365"/>
      <c r="CW8" s="365"/>
      <c r="CX8" s="365"/>
      <c r="CY8" s="365"/>
      <c r="CZ8" s="365"/>
      <c r="DA8" s="365"/>
      <c r="DB8" s="365"/>
      <c r="DC8" s="365"/>
      <c r="DD8" s="365"/>
      <c r="DE8" s="365"/>
      <c r="DF8" s="365"/>
      <c r="DG8" s="365"/>
      <c r="DH8" s="365"/>
      <c r="DI8" s="365"/>
      <c r="DJ8" s="365"/>
      <c r="DK8" s="365"/>
      <c r="DL8" s="365"/>
      <c r="DM8" s="365"/>
      <c r="DN8" s="365"/>
      <c r="DO8" s="365"/>
      <c r="DP8" s="365"/>
      <c r="DQ8" s="365"/>
      <c r="DR8" s="365"/>
      <c r="DS8" s="365"/>
      <c r="DT8" s="365"/>
      <c r="DU8" s="365"/>
      <c r="DV8" s="365"/>
      <c r="DW8" s="365"/>
      <c r="DX8" s="365"/>
      <c r="DY8" s="365"/>
      <c r="DZ8" s="365"/>
      <c r="EA8" s="365"/>
      <c r="EB8" s="365"/>
      <c r="EC8" s="365"/>
      <c r="ED8" s="365"/>
      <c r="EE8" s="365"/>
      <c r="EF8" s="365"/>
      <c r="EG8" s="365"/>
      <c r="EH8" s="365"/>
      <c r="EI8" s="365"/>
      <c r="EJ8" s="365"/>
      <c r="EK8" s="365"/>
      <c r="EL8" s="365"/>
      <c r="EM8" s="365"/>
      <c r="EN8" s="365"/>
      <c r="EO8" s="365"/>
      <c r="EP8" s="365"/>
      <c r="EQ8" s="365"/>
      <c r="ER8" s="365"/>
      <c r="ES8" s="365"/>
      <c r="ET8" s="365"/>
      <c r="EU8" s="365"/>
    </row>
    <row r="9" spans="1:225" ht="39.75" customHeight="1" x14ac:dyDescent="0.4">
      <c r="C9" s="46"/>
      <c r="D9" s="205"/>
      <c r="E9" s="205"/>
      <c r="F9" s="205"/>
      <c r="G9" s="205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4"/>
      <c r="BN9" s="244"/>
      <c r="BO9" s="244"/>
      <c r="BP9" s="244"/>
      <c r="BQ9" s="244"/>
      <c r="BR9" s="244"/>
      <c r="BS9" s="244"/>
      <c r="BT9" s="244"/>
      <c r="BU9" s="244"/>
      <c r="BV9" s="244"/>
      <c r="BW9" s="244"/>
      <c r="BX9" s="244"/>
      <c r="BY9" s="244"/>
      <c r="BZ9" s="244"/>
      <c r="CA9" s="244"/>
      <c r="CB9" s="244"/>
      <c r="CC9" s="244"/>
      <c r="CD9" s="244"/>
      <c r="CE9" s="244"/>
      <c r="CF9" s="244"/>
      <c r="CG9" s="244"/>
      <c r="CH9" s="244"/>
      <c r="CI9" s="244"/>
      <c r="CJ9" s="244"/>
      <c r="CK9" s="244"/>
      <c r="CL9" s="244"/>
      <c r="CM9" s="244"/>
      <c r="CN9" s="244"/>
      <c r="CO9" s="244"/>
      <c r="CP9" s="244"/>
      <c r="CQ9" s="244"/>
      <c r="CR9" s="244"/>
      <c r="CS9" s="244"/>
      <c r="CT9" s="244"/>
      <c r="CU9" s="244"/>
      <c r="CV9" s="244"/>
      <c r="CW9" s="244"/>
      <c r="CX9" s="244"/>
      <c r="CY9" s="244"/>
      <c r="CZ9" s="244"/>
      <c r="DA9" s="244"/>
      <c r="DB9" s="244"/>
      <c r="DC9" s="244"/>
      <c r="DD9" s="244"/>
      <c r="DE9" s="244"/>
      <c r="DF9" s="244"/>
      <c r="DG9" s="244"/>
      <c r="DH9" s="244"/>
      <c r="DI9" s="244"/>
      <c r="DJ9" s="244"/>
      <c r="DK9" s="244"/>
      <c r="DL9" s="207"/>
      <c r="DM9" s="207"/>
      <c r="DN9" s="207"/>
      <c r="DO9" s="207"/>
      <c r="DP9" s="207"/>
      <c r="DQ9" s="207"/>
      <c r="DR9" s="207"/>
      <c r="DS9" s="207"/>
      <c r="DT9" s="207"/>
      <c r="DU9" s="207"/>
      <c r="DV9" s="207"/>
      <c r="DW9" s="207"/>
      <c r="DX9" s="207"/>
      <c r="DY9" s="207"/>
      <c r="DZ9" s="207"/>
      <c r="EA9" s="207"/>
      <c r="EB9" s="207"/>
      <c r="EC9" s="207"/>
      <c r="ED9" s="207"/>
      <c r="EE9" s="208"/>
      <c r="EF9" s="208"/>
      <c r="EG9" s="208"/>
      <c r="EH9" s="208"/>
      <c r="EI9" s="208"/>
      <c r="EJ9" s="208"/>
      <c r="EK9" s="218"/>
      <c r="EL9" s="218"/>
      <c r="EM9" s="218"/>
      <c r="EN9" s="218"/>
      <c r="EO9" s="209"/>
      <c r="EP9" s="209"/>
      <c r="EQ9" s="209"/>
      <c r="EZ9" s="756" t="s">
        <v>23</v>
      </c>
      <c r="FA9" s="756"/>
      <c r="FB9" s="757" t="s">
        <v>264</v>
      </c>
      <c r="FC9" s="757"/>
      <c r="FD9" s="757"/>
      <c r="FE9" s="757"/>
      <c r="FF9" s="757"/>
      <c r="FG9" s="757"/>
      <c r="FH9" s="757"/>
      <c r="FI9" s="757"/>
      <c r="FJ9" s="757"/>
      <c r="FK9" s="757"/>
      <c r="FL9" s="757"/>
      <c r="FM9" s="757"/>
      <c r="FN9" s="757"/>
      <c r="FO9" s="757"/>
      <c r="FP9" s="757"/>
      <c r="FQ9" s="757"/>
      <c r="FR9" s="757"/>
      <c r="FS9" s="757"/>
      <c r="FT9" s="757"/>
      <c r="FU9" s="757"/>
      <c r="FV9" s="757"/>
      <c r="FW9" s="757"/>
      <c r="FX9" s="757"/>
      <c r="FY9" s="757"/>
      <c r="FZ9" s="757"/>
      <c r="GA9" s="757"/>
      <c r="GB9" s="757"/>
      <c r="GC9" s="757"/>
      <c r="GD9" s="757"/>
      <c r="GE9" s="757"/>
      <c r="GF9" s="757"/>
      <c r="GG9" s="757"/>
      <c r="GH9" s="757"/>
      <c r="GI9" s="757"/>
      <c r="GJ9" s="757"/>
      <c r="GK9" s="757"/>
      <c r="GL9" s="757"/>
      <c r="GM9" s="757"/>
      <c r="GN9" s="757"/>
      <c r="GO9" s="757"/>
      <c r="GP9" s="757"/>
      <c r="GQ9" s="757"/>
      <c r="GR9" s="757"/>
      <c r="GS9" s="757"/>
      <c r="GT9" s="757"/>
      <c r="GU9" s="757"/>
      <c r="GV9" s="757"/>
      <c r="GW9" s="757"/>
      <c r="GX9" s="757"/>
      <c r="GY9" s="757"/>
      <c r="GZ9" s="757"/>
      <c r="HA9" s="757"/>
      <c r="HB9" s="757" t="s">
        <v>20</v>
      </c>
      <c r="HC9" s="757"/>
      <c r="HD9" s="757"/>
      <c r="HE9" s="757"/>
      <c r="HF9" s="757"/>
      <c r="HG9" s="757"/>
      <c r="HH9" s="757"/>
      <c r="HI9" s="757"/>
      <c r="HJ9" s="757"/>
      <c r="HK9" s="757"/>
      <c r="HL9" s="757"/>
      <c r="HM9" s="757"/>
      <c r="HN9" s="758" t="s">
        <v>275</v>
      </c>
      <c r="HO9" s="759"/>
      <c r="HP9" s="756" t="s">
        <v>22</v>
      </c>
      <c r="HQ9" s="756"/>
    </row>
    <row r="10" spans="1:225" ht="39.75" customHeight="1" x14ac:dyDescent="0.4">
      <c r="C10" s="46"/>
      <c r="D10" s="205"/>
      <c r="E10" s="205"/>
      <c r="F10" s="205"/>
      <c r="G10" s="205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4"/>
      <c r="BN10" s="244"/>
      <c r="BO10" s="244"/>
      <c r="BP10" s="244"/>
      <c r="BQ10" s="244"/>
      <c r="BR10" s="244"/>
      <c r="BS10" s="244"/>
      <c r="BT10" s="244"/>
      <c r="BU10" s="244"/>
      <c r="BV10" s="244"/>
      <c r="BW10" s="244"/>
      <c r="BX10" s="244"/>
      <c r="BY10" s="244"/>
      <c r="BZ10" s="244"/>
      <c r="CA10" s="244"/>
      <c r="CB10" s="244"/>
      <c r="CC10" s="244"/>
      <c r="CD10" s="244"/>
      <c r="CE10" s="244"/>
      <c r="CF10" s="244"/>
      <c r="CG10" s="244"/>
      <c r="CH10" s="244"/>
      <c r="CI10" s="244"/>
      <c r="CJ10" s="244"/>
      <c r="CK10" s="244"/>
      <c r="CL10" s="244"/>
      <c r="CM10" s="244"/>
      <c r="CN10" s="244"/>
      <c r="CO10" s="244"/>
      <c r="CP10" s="244"/>
      <c r="CQ10" s="244"/>
      <c r="CR10" s="244"/>
      <c r="CS10" s="244"/>
      <c r="CT10" s="244"/>
      <c r="CU10" s="244"/>
      <c r="CV10" s="244"/>
      <c r="CW10" s="244"/>
      <c r="CX10" s="244"/>
      <c r="CY10" s="244"/>
      <c r="CZ10" s="244"/>
      <c r="DA10" s="244"/>
      <c r="DB10" s="244"/>
      <c r="DC10" s="244"/>
      <c r="DD10" s="244"/>
      <c r="DE10" s="244"/>
      <c r="DF10" s="244"/>
      <c r="DG10" s="244"/>
      <c r="DH10" s="244"/>
      <c r="DI10" s="244"/>
      <c r="DJ10" s="244"/>
      <c r="DK10" s="244"/>
      <c r="DL10" s="208"/>
      <c r="DM10" s="208"/>
      <c r="DN10" s="208"/>
      <c r="DO10" s="208"/>
      <c r="DP10" s="210"/>
      <c r="DQ10" s="210"/>
      <c r="DR10" s="210"/>
      <c r="DS10" s="210"/>
      <c r="DT10" s="210"/>
      <c r="DU10" s="210"/>
      <c r="DV10" s="210"/>
      <c r="DW10" s="210"/>
      <c r="DX10" s="210"/>
      <c r="DY10" s="210"/>
      <c r="DZ10" s="210"/>
      <c r="EA10" s="210"/>
      <c r="EB10" s="210"/>
      <c r="EC10" s="210"/>
      <c r="ED10" s="210"/>
      <c r="EE10" s="208"/>
      <c r="EF10" s="208"/>
      <c r="EG10" s="208"/>
      <c r="EH10" s="208"/>
      <c r="EI10" s="208"/>
      <c r="EJ10" s="208"/>
      <c r="EK10" s="218"/>
      <c r="EL10" s="218"/>
      <c r="EM10" s="218"/>
      <c r="EN10" s="218"/>
      <c r="EO10" s="209"/>
      <c r="EP10" s="209"/>
      <c r="EQ10" s="209"/>
      <c r="EZ10" s="756"/>
      <c r="FA10" s="756"/>
      <c r="FB10" s="757"/>
      <c r="FC10" s="757"/>
      <c r="FD10" s="757"/>
      <c r="FE10" s="757"/>
      <c r="FF10" s="757"/>
      <c r="FG10" s="757"/>
      <c r="FH10" s="757"/>
      <c r="FI10" s="757"/>
      <c r="FJ10" s="757"/>
      <c r="FK10" s="757"/>
      <c r="FL10" s="757"/>
      <c r="FM10" s="757"/>
      <c r="FN10" s="757"/>
      <c r="FO10" s="757"/>
      <c r="FP10" s="757"/>
      <c r="FQ10" s="757"/>
      <c r="FR10" s="757"/>
      <c r="FS10" s="757"/>
      <c r="FT10" s="757"/>
      <c r="FU10" s="757"/>
      <c r="FV10" s="757"/>
      <c r="FW10" s="757"/>
      <c r="FX10" s="757"/>
      <c r="FY10" s="757"/>
      <c r="FZ10" s="757"/>
      <c r="GA10" s="757"/>
      <c r="GB10" s="757"/>
      <c r="GC10" s="757"/>
      <c r="GD10" s="757"/>
      <c r="GE10" s="757"/>
      <c r="GF10" s="757"/>
      <c r="GG10" s="757"/>
      <c r="GH10" s="757"/>
      <c r="GI10" s="757"/>
      <c r="GJ10" s="757"/>
      <c r="GK10" s="757"/>
      <c r="GL10" s="757"/>
      <c r="GM10" s="757"/>
      <c r="GN10" s="757"/>
      <c r="GO10" s="757"/>
      <c r="GP10" s="757"/>
      <c r="GQ10" s="757"/>
      <c r="GR10" s="757"/>
      <c r="GS10" s="757"/>
      <c r="GT10" s="757"/>
      <c r="GU10" s="757"/>
      <c r="GV10" s="757"/>
      <c r="GW10" s="757"/>
      <c r="GX10" s="757"/>
      <c r="GY10" s="757"/>
      <c r="GZ10" s="757"/>
      <c r="HA10" s="757"/>
      <c r="HB10" s="756" t="s">
        <v>21</v>
      </c>
      <c r="HC10" s="756"/>
      <c r="HD10" s="757" t="s">
        <v>86</v>
      </c>
      <c r="HE10" s="757"/>
      <c r="HF10" s="757"/>
      <c r="HG10" s="757"/>
      <c r="HH10" s="757"/>
      <c r="HI10" s="757"/>
      <c r="HJ10" s="757"/>
      <c r="HK10" s="757"/>
      <c r="HL10" s="757"/>
      <c r="HM10" s="757"/>
      <c r="HN10" s="760"/>
      <c r="HO10" s="761"/>
      <c r="HP10" s="756"/>
      <c r="HQ10" s="756"/>
    </row>
    <row r="11" spans="1:225" ht="49.5" customHeight="1" x14ac:dyDescent="0.4">
      <c r="C11" s="46"/>
      <c r="D11" s="205"/>
      <c r="E11" s="205"/>
      <c r="F11" s="205"/>
      <c r="G11" s="205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4"/>
      <c r="BN11" s="244"/>
      <c r="BO11" s="244"/>
      <c r="BP11" s="244"/>
      <c r="BQ11" s="244"/>
      <c r="BR11" s="244"/>
      <c r="BS11" s="244"/>
      <c r="BT11" s="244"/>
      <c r="BU11" s="244"/>
      <c r="BV11" s="244"/>
      <c r="BW11" s="244"/>
      <c r="BX11" s="244"/>
      <c r="BY11" s="244"/>
      <c r="BZ11" s="244"/>
      <c r="CA11" s="244"/>
      <c r="CB11" s="244"/>
      <c r="CC11" s="244"/>
      <c r="CD11" s="244"/>
      <c r="CE11" s="244"/>
      <c r="CF11" s="244"/>
      <c r="CG11" s="244"/>
      <c r="CH11" s="244"/>
      <c r="CI11" s="244"/>
      <c r="CJ11" s="244"/>
      <c r="CK11" s="244"/>
      <c r="CL11" s="244"/>
      <c r="CM11" s="244"/>
      <c r="CN11" s="244"/>
      <c r="CO11" s="244"/>
      <c r="CP11" s="244"/>
      <c r="CQ11" s="244"/>
      <c r="CR11" s="244"/>
      <c r="CS11" s="244"/>
      <c r="CT11" s="244"/>
      <c r="CU11" s="244"/>
      <c r="CV11" s="244"/>
      <c r="CW11" s="244"/>
      <c r="CX11" s="244"/>
      <c r="CY11" s="244"/>
      <c r="CZ11" s="244"/>
      <c r="DA11" s="244"/>
      <c r="DB11" s="244"/>
      <c r="DC11" s="244"/>
      <c r="DD11" s="244"/>
      <c r="DE11" s="244"/>
      <c r="DF11" s="244"/>
      <c r="DG11" s="244"/>
      <c r="DH11" s="244"/>
      <c r="DI11" s="244"/>
      <c r="DJ11" s="244"/>
      <c r="DK11" s="244"/>
      <c r="DL11" s="208"/>
      <c r="DM11" s="208"/>
      <c r="DN11" s="208"/>
      <c r="DO11" s="208"/>
      <c r="DP11" s="208"/>
      <c r="DQ11" s="208"/>
      <c r="DR11" s="208"/>
      <c r="DS11" s="208"/>
      <c r="DT11" s="208"/>
      <c r="DU11" s="208"/>
      <c r="DV11" s="208"/>
      <c r="DW11" s="208"/>
      <c r="DX11" s="208"/>
      <c r="DY11" s="245"/>
      <c r="DZ11" s="245"/>
      <c r="EA11" s="245"/>
      <c r="EB11" s="208"/>
      <c r="EC11" s="208"/>
      <c r="ED11" s="208"/>
      <c r="EE11" s="208"/>
      <c r="EF11" s="208"/>
      <c r="EG11" s="208"/>
      <c r="EH11" s="208"/>
      <c r="EI11" s="208"/>
      <c r="EJ11" s="208"/>
      <c r="EK11" s="218"/>
      <c r="EL11" s="218"/>
      <c r="EM11" s="218"/>
      <c r="EN11" s="218"/>
      <c r="EO11" s="209"/>
      <c r="EP11" s="209"/>
      <c r="EQ11" s="209"/>
      <c r="EZ11" s="756"/>
      <c r="FA11" s="756"/>
      <c r="FB11" s="757"/>
      <c r="FC11" s="757"/>
      <c r="FD11" s="757"/>
      <c r="FE11" s="757"/>
      <c r="FF11" s="757"/>
      <c r="FG11" s="757"/>
      <c r="FH11" s="757"/>
      <c r="FI11" s="757"/>
      <c r="FJ11" s="757"/>
      <c r="FK11" s="757"/>
      <c r="FL11" s="757"/>
      <c r="FM11" s="757"/>
      <c r="FN11" s="757"/>
      <c r="FO11" s="757"/>
      <c r="FP11" s="757"/>
      <c r="FQ11" s="757"/>
      <c r="FR11" s="757"/>
      <c r="FS11" s="757"/>
      <c r="FT11" s="757"/>
      <c r="FU11" s="757"/>
      <c r="FV11" s="757"/>
      <c r="FW11" s="757"/>
      <c r="FX11" s="757"/>
      <c r="FY11" s="757"/>
      <c r="FZ11" s="757"/>
      <c r="GA11" s="757"/>
      <c r="GB11" s="757"/>
      <c r="GC11" s="757"/>
      <c r="GD11" s="757"/>
      <c r="GE11" s="757"/>
      <c r="GF11" s="757"/>
      <c r="GG11" s="757"/>
      <c r="GH11" s="757"/>
      <c r="GI11" s="757"/>
      <c r="GJ11" s="757"/>
      <c r="GK11" s="757"/>
      <c r="GL11" s="757"/>
      <c r="GM11" s="757"/>
      <c r="GN11" s="757"/>
      <c r="GO11" s="757"/>
      <c r="GP11" s="757"/>
      <c r="GQ11" s="757"/>
      <c r="GR11" s="757"/>
      <c r="GS11" s="757"/>
      <c r="GT11" s="757"/>
      <c r="GU11" s="757"/>
      <c r="GV11" s="757"/>
      <c r="GW11" s="757"/>
      <c r="GX11" s="757"/>
      <c r="GY11" s="757"/>
      <c r="GZ11" s="757"/>
      <c r="HA11" s="757"/>
      <c r="HB11" s="756"/>
      <c r="HC11" s="756"/>
      <c r="HD11" s="764" t="s">
        <v>266</v>
      </c>
      <c r="HE11" s="765"/>
      <c r="HF11" s="764" t="s">
        <v>17</v>
      </c>
      <c r="HG11" s="765"/>
      <c r="HH11" s="764" t="s">
        <v>267</v>
      </c>
      <c r="HI11" s="765"/>
      <c r="HJ11" s="764" t="s">
        <v>15</v>
      </c>
      <c r="HK11" s="765"/>
      <c r="HL11" s="764" t="s">
        <v>18</v>
      </c>
      <c r="HM11" s="765"/>
      <c r="HN11" s="760"/>
      <c r="HO11" s="761"/>
      <c r="HP11" s="756"/>
      <c r="HQ11" s="756"/>
    </row>
    <row r="12" spans="1:225" ht="50.1" customHeight="1" x14ac:dyDescent="0.4">
      <c r="C12" s="46"/>
      <c r="D12" s="205"/>
      <c r="E12" s="205"/>
      <c r="F12" s="205"/>
      <c r="G12" s="205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44"/>
      <c r="BR12" s="244"/>
      <c r="BS12" s="244"/>
      <c r="BT12" s="244"/>
      <c r="BU12" s="244"/>
      <c r="BV12" s="244"/>
      <c r="BW12" s="244"/>
      <c r="BX12" s="244"/>
      <c r="BY12" s="244"/>
      <c r="BZ12" s="244"/>
      <c r="CA12" s="244"/>
      <c r="CB12" s="244"/>
      <c r="CC12" s="244"/>
      <c r="CD12" s="244"/>
      <c r="CE12" s="244"/>
      <c r="CF12" s="244"/>
      <c r="CG12" s="244"/>
      <c r="CH12" s="244"/>
      <c r="CI12" s="244"/>
      <c r="CJ12" s="244"/>
      <c r="CK12" s="244"/>
      <c r="CL12" s="244"/>
      <c r="CM12" s="244"/>
      <c r="CN12" s="244"/>
      <c r="CO12" s="244"/>
      <c r="CP12" s="244"/>
      <c r="CQ12" s="244"/>
      <c r="CR12" s="244"/>
      <c r="CS12" s="244"/>
      <c r="CT12" s="244"/>
      <c r="CU12" s="244"/>
      <c r="CV12" s="244"/>
      <c r="CW12" s="244"/>
      <c r="CX12" s="244"/>
      <c r="CY12" s="244"/>
      <c r="CZ12" s="244"/>
      <c r="DA12" s="244"/>
      <c r="DB12" s="244"/>
      <c r="DC12" s="244"/>
      <c r="DD12" s="244"/>
      <c r="DE12" s="244"/>
      <c r="DF12" s="244"/>
      <c r="DG12" s="244"/>
      <c r="DH12" s="244"/>
      <c r="DI12" s="244"/>
      <c r="DJ12" s="244"/>
      <c r="DK12" s="244"/>
      <c r="DL12" s="208"/>
      <c r="DM12" s="208"/>
      <c r="DN12" s="208"/>
      <c r="DO12" s="208"/>
      <c r="DP12" s="208"/>
      <c r="DQ12" s="208"/>
      <c r="DR12" s="208"/>
      <c r="DS12" s="208"/>
      <c r="DT12" s="208"/>
      <c r="DU12" s="208"/>
      <c r="DV12" s="208"/>
      <c r="DW12" s="208"/>
      <c r="DX12" s="208"/>
      <c r="DY12" s="245"/>
      <c r="DZ12" s="245"/>
      <c r="EA12" s="245"/>
      <c r="EB12" s="208"/>
      <c r="EC12" s="208"/>
      <c r="ED12" s="208"/>
      <c r="EE12" s="208"/>
      <c r="EF12" s="208"/>
      <c r="EG12" s="208"/>
      <c r="EH12" s="208"/>
      <c r="EI12" s="208"/>
      <c r="EJ12" s="208"/>
      <c r="EK12" s="218"/>
      <c r="EL12" s="218"/>
      <c r="EM12" s="218"/>
      <c r="EN12" s="218"/>
      <c r="EO12" s="209"/>
      <c r="EP12" s="209"/>
      <c r="EQ12" s="209"/>
      <c r="EZ12" s="756"/>
      <c r="FA12" s="756"/>
      <c r="FB12" s="757"/>
      <c r="FC12" s="757"/>
      <c r="FD12" s="757"/>
      <c r="FE12" s="757"/>
      <c r="FF12" s="757"/>
      <c r="FG12" s="757"/>
      <c r="FH12" s="757"/>
      <c r="FI12" s="757"/>
      <c r="FJ12" s="757"/>
      <c r="FK12" s="757"/>
      <c r="FL12" s="757"/>
      <c r="FM12" s="757"/>
      <c r="FN12" s="757"/>
      <c r="FO12" s="757"/>
      <c r="FP12" s="757"/>
      <c r="FQ12" s="757"/>
      <c r="FR12" s="757"/>
      <c r="FS12" s="757"/>
      <c r="FT12" s="757"/>
      <c r="FU12" s="757"/>
      <c r="FV12" s="757"/>
      <c r="FW12" s="757"/>
      <c r="FX12" s="757"/>
      <c r="FY12" s="757"/>
      <c r="FZ12" s="757"/>
      <c r="GA12" s="757"/>
      <c r="GB12" s="757"/>
      <c r="GC12" s="757"/>
      <c r="GD12" s="757"/>
      <c r="GE12" s="757"/>
      <c r="GF12" s="757"/>
      <c r="GG12" s="757"/>
      <c r="GH12" s="757"/>
      <c r="GI12" s="757"/>
      <c r="GJ12" s="757"/>
      <c r="GK12" s="757"/>
      <c r="GL12" s="757"/>
      <c r="GM12" s="757"/>
      <c r="GN12" s="757"/>
      <c r="GO12" s="757"/>
      <c r="GP12" s="757"/>
      <c r="GQ12" s="757"/>
      <c r="GR12" s="757"/>
      <c r="GS12" s="757"/>
      <c r="GT12" s="757"/>
      <c r="GU12" s="757"/>
      <c r="GV12" s="757"/>
      <c r="GW12" s="757"/>
      <c r="GX12" s="757"/>
      <c r="GY12" s="757"/>
      <c r="GZ12" s="757"/>
      <c r="HA12" s="757"/>
      <c r="HB12" s="756"/>
      <c r="HC12" s="756"/>
      <c r="HD12" s="766"/>
      <c r="HE12" s="767"/>
      <c r="HF12" s="766"/>
      <c r="HG12" s="767"/>
      <c r="HH12" s="766"/>
      <c r="HI12" s="767"/>
      <c r="HJ12" s="766"/>
      <c r="HK12" s="767"/>
      <c r="HL12" s="766"/>
      <c r="HM12" s="767"/>
      <c r="HN12" s="760"/>
      <c r="HO12" s="761"/>
      <c r="HP12" s="756"/>
      <c r="HQ12" s="756"/>
    </row>
    <row r="13" spans="1:225" ht="50.1" customHeight="1" x14ac:dyDescent="0.4">
      <c r="C13" s="46"/>
      <c r="D13" s="205"/>
      <c r="E13" s="205"/>
      <c r="F13" s="205"/>
      <c r="G13" s="205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4"/>
      <c r="CS13" s="244"/>
      <c r="CT13" s="244"/>
      <c r="CU13" s="244"/>
      <c r="CV13" s="244"/>
      <c r="CW13" s="244"/>
      <c r="CX13" s="244"/>
      <c r="CY13" s="244"/>
      <c r="CZ13" s="244"/>
      <c r="DA13" s="244"/>
      <c r="DB13" s="244"/>
      <c r="DC13" s="244"/>
      <c r="DD13" s="244"/>
      <c r="DE13" s="244"/>
      <c r="DF13" s="244"/>
      <c r="DG13" s="244"/>
      <c r="DH13" s="244"/>
      <c r="DI13" s="244"/>
      <c r="DJ13" s="244"/>
      <c r="DK13" s="244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45"/>
      <c r="DZ13" s="245"/>
      <c r="EA13" s="245"/>
      <c r="EB13" s="208"/>
      <c r="EC13" s="208"/>
      <c r="ED13" s="208"/>
      <c r="EE13" s="208"/>
      <c r="EF13" s="208"/>
      <c r="EG13" s="208"/>
      <c r="EH13" s="208"/>
      <c r="EI13" s="208"/>
      <c r="EJ13" s="208"/>
      <c r="EK13" s="218"/>
      <c r="EL13" s="218"/>
      <c r="EM13" s="218"/>
      <c r="EN13" s="218"/>
      <c r="EO13" s="209"/>
      <c r="EP13" s="209"/>
      <c r="EQ13" s="209"/>
      <c r="EZ13" s="756"/>
      <c r="FA13" s="756"/>
      <c r="FB13" s="770" t="s">
        <v>269</v>
      </c>
      <c r="FC13" s="771"/>
      <c r="FD13" s="771"/>
      <c r="FE13" s="771"/>
      <c r="FF13" s="772"/>
      <c r="FG13" s="770" t="s">
        <v>270</v>
      </c>
      <c r="FH13" s="771"/>
      <c r="FI13" s="771"/>
      <c r="FJ13" s="772"/>
      <c r="FK13" s="770" t="s">
        <v>46</v>
      </c>
      <c r="FL13" s="771"/>
      <c r="FM13" s="771"/>
      <c r="FN13" s="771"/>
      <c r="FO13" s="772"/>
      <c r="FP13" s="770" t="s">
        <v>47</v>
      </c>
      <c r="FQ13" s="771"/>
      <c r="FR13" s="771"/>
      <c r="FS13" s="772"/>
      <c r="FT13" s="770" t="s">
        <v>48</v>
      </c>
      <c r="FU13" s="771"/>
      <c r="FV13" s="771"/>
      <c r="FW13" s="771"/>
      <c r="FX13" s="772"/>
      <c r="FY13" s="770" t="s">
        <v>49</v>
      </c>
      <c r="FZ13" s="771"/>
      <c r="GA13" s="771"/>
      <c r="GB13" s="772"/>
      <c r="GC13" s="770" t="s">
        <v>50</v>
      </c>
      <c r="GD13" s="771"/>
      <c r="GE13" s="771"/>
      <c r="GF13" s="771"/>
      <c r="GG13" s="772"/>
      <c r="GH13" s="770" t="s">
        <v>51</v>
      </c>
      <c r="GI13" s="771"/>
      <c r="GJ13" s="771"/>
      <c r="GK13" s="772"/>
      <c r="GL13" s="770" t="s">
        <v>52</v>
      </c>
      <c r="GM13" s="771"/>
      <c r="GN13" s="771"/>
      <c r="GO13" s="772"/>
      <c r="GP13" s="770" t="s">
        <v>53</v>
      </c>
      <c r="GQ13" s="771"/>
      <c r="GR13" s="771"/>
      <c r="GS13" s="772"/>
      <c r="GT13" s="770" t="s">
        <v>271</v>
      </c>
      <c r="GU13" s="771"/>
      <c r="GV13" s="771"/>
      <c r="GW13" s="772"/>
      <c r="GX13" s="770" t="s">
        <v>54</v>
      </c>
      <c r="GY13" s="771"/>
      <c r="GZ13" s="771"/>
      <c r="HA13" s="772"/>
      <c r="HB13" s="756"/>
      <c r="HC13" s="756"/>
      <c r="HD13" s="766"/>
      <c r="HE13" s="767"/>
      <c r="HF13" s="766"/>
      <c r="HG13" s="767"/>
      <c r="HH13" s="766"/>
      <c r="HI13" s="767"/>
      <c r="HJ13" s="766"/>
      <c r="HK13" s="767"/>
      <c r="HL13" s="766"/>
      <c r="HM13" s="767"/>
      <c r="HN13" s="760"/>
      <c r="HO13" s="761"/>
      <c r="HP13" s="756"/>
      <c r="HQ13" s="756"/>
    </row>
    <row r="14" spans="1:225" ht="50.1" customHeight="1" x14ac:dyDescent="0.4">
      <c r="C14" s="46"/>
      <c r="D14" s="205"/>
      <c r="E14" s="205"/>
      <c r="F14" s="205"/>
      <c r="G14" s="205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12"/>
      <c r="DL14" s="208"/>
      <c r="DM14" s="208"/>
      <c r="DN14" s="208"/>
      <c r="DO14" s="208"/>
      <c r="DP14" s="208"/>
      <c r="DQ14" s="208"/>
      <c r="DR14" s="208"/>
      <c r="DS14" s="208"/>
      <c r="DT14" s="208"/>
      <c r="DU14" s="208"/>
      <c r="DV14" s="208"/>
      <c r="DW14" s="208"/>
      <c r="DX14" s="208"/>
      <c r="DY14" s="245"/>
      <c r="DZ14" s="245"/>
      <c r="EA14" s="245"/>
      <c r="EB14" s="208"/>
      <c r="EC14" s="208"/>
      <c r="ED14" s="208"/>
      <c r="EE14" s="208"/>
      <c r="EF14" s="208"/>
      <c r="EG14" s="208"/>
      <c r="EH14" s="208"/>
      <c r="EI14" s="208"/>
      <c r="EJ14" s="208"/>
      <c r="EK14" s="218"/>
      <c r="EL14" s="218"/>
      <c r="EM14" s="218"/>
      <c r="EN14" s="218"/>
      <c r="EO14" s="209"/>
      <c r="EP14" s="209"/>
      <c r="EQ14" s="209"/>
      <c r="EZ14" s="756"/>
      <c r="FA14" s="756"/>
      <c r="FB14" s="293">
        <v>1</v>
      </c>
      <c r="FC14" s="293">
        <v>2</v>
      </c>
      <c r="FD14" s="293">
        <v>3</v>
      </c>
      <c r="FE14" s="293">
        <v>4</v>
      </c>
      <c r="FF14" s="293">
        <v>5</v>
      </c>
      <c r="FG14" s="293">
        <v>6</v>
      </c>
      <c r="FH14" s="293">
        <v>7</v>
      </c>
      <c r="FI14" s="293">
        <v>8</v>
      </c>
      <c r="FJ14" s="293">
        <v>9</v>
      </c>
      <c r="FK14" s="293">
        <v>10</v>
      </c>
      <c r="FL14" s="293">
        <v>11</v>
      </c>
      <c r="FM14" s="293">
        <v>12</v>
      </c>
      <c r="FN14" s="293">
        <v>13</v>
      </c>
      <c r="FO14" s="293">
        <v>14</v>
      </c>
      <c r="FP14" s="293">
        <v>15</v>
      </c>
      <c r="FQ14" s="293">
        <v>16</v>
      </c>
      <c r="FR14" s="293">
        <v>17</v>
      </c>
      <c r="FS14" s="293">
        <v>18</v>
      </c>
      <c r="FT14" s="293">
        <v>19</v>
      </c>
      <c r="FU14" s="293">
        <v>20</v>
      </c>
      <c r="FV14" s="293">
        <v>21</v>
      </c>
      <c r="FW14" s="293">
        <v>22</v>
      </c>
      <c r="FX14" s="293">
        <v>23</v>
      </c>
      <c r="FY14" s="293">
        <v>24</v>
      </c>
      <c r="FZ14" s="293">
        <v>25</v>
      </c>
      <c r="GA14" s="293">
        <v>26</v>
      </c>
      <c r="GB14" s="293">
        <v>27</v>
      </c>
      <c r="GC14" s="293">
        <v>28</v>
      </c>
      <c r="GD14" s="293">
        <v>29</v>
      </c>
      <c r="GE14" s="293">
        <v>30</v>
      </c>
      <c r="GF14" s="293">
        <v>31</v>
      </c>
      <c r="GG14" s="293">
        <v>32</v>
      </c>
      <c r="GH14" s="293">
        <v>33</v>
      </c>
      <c r="GI14" s="293">
        <v>34</v>
      </c>
      <c r="GJ14" s="293">
        <v>35</v>
      </c>
      <c r="GK14" s="293">
        <v>36</v>
      </c>
      <c r="GL14" s="293">
        <v>37</v>
      </c>
      <c r="GM14" s="293">
        <v>38</v>
      </c>
      <c r="GN14" s="293">
        <v>39</v>
      </c>
      <c r="GO14" s="293">
        <v>40</v>
      </c>
      <c r="GP14" s="293">
        <v>41</v>
      </c>
      <c r="GQ14" s="293">
        <v>42</v>
      </c>
      <c r="GR14" s="293">
        <v>43</v>
      </c>
      <c r="GS14" s="293">
        <v>44</v>
      </c>
      <c r="GT14" s="293">
        <v>45</v>
      </c>
      <c r="GU14" s="293">
        <v>46</v>
      </c>
      <c r="GV14" s="293">
        <v>47</v>
      </c>
      <c r="GW14" s="293">
        <v>48</v>
      </c>
      <c r="GX14" s="293">
        <v>49</v>
      </c>
      <c r="GY14" s="293">
        <v>50</v>
      </c>
      <c r="GZ14" s="293">
        <v>51</v>
      </c>
      <c r="HA14" s="293">
        <v>52</v>
      </c>
      <c r="HB14" s="756"/>
      <c r="HC14" s="756"/>
      <c r="HD14" s="768"/>
      <c r="HE14" s="769"/>
      <c r="HF14" s="768"/>
      <c r="HG14" s="769"/>
      <c r="HH14" s="768"/>
      <c r="HI14" s="769"/>
      <c r="HJ14" s="768"/>
      <c r="HK14" s="769"/>
      <c r="HL14" s="768"/>
      <c r="HM14" s="769"/>
      <c r="HN14" s="762"/>
      <c r="HO14" s="763"/>
      <c r="HP14" s="756"/>
      <c r="HQ14" s="756"/>
    </row>
    <row r="15" spans="1:225" ht="50.1" customHeight="1" x14ac:dyDescent="0.4">
      <c r="C15" s="46"/>
      <c r="D15" s="205"/>
      <c r="E15" s="205"/>
      <c r="F15" s="205"/>
      <c r="G15" s="205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  <c r="DB15" s="246"/>
      <c r="DC15" s="246"/>
      <c r="DD15" s="246"/>
      <c r="DE15" s="246"/>
      <c r="DF15" s="246"/>
      <c r="DG15" s="246"/>
      <c r="DH15" s="246"/>
      <c r="DI15" s="246"/>
      <c r="DJ15" s="246"/>
      <c r="DK15" s="246"/>
      <c r="DL15" s="208"/>
      <c r="DM15" s="208"/>
      <c r="DN15" s="208"/>
      <c r="DO15" s="208"/>
      <c r="DP15" s="208"/>
      <c r="DQ15" s="208"/>
      <c r="DR15" s="208"/>
      <c r="DS15" s="208"/>
      <c r="DT15" s="208"/>
      <c r="DU15" s="208"/>
      <c r="DV15" s="208"/>
      <c r="DW15" s="208"/>
      <c r="DX15" s="208"/>
      <c r="DY15" s="245"/>
      <c r="DZ15" s="245"/>
      <c r="EA15" s="245"/>
      <c r="EB15" s="208"/>
      <c r="EC15" s="208"/>
      <c r="ED15" s="208"/>
      <c r="EE15" s="208"/>
      <c r="EF15" s="208"/>
      <c r="EG15" s="208"/>
      <c r="EH15" s="208"/>
      <c r="EI15" s="208"/>
      <c r="EJ15" s="208"/>
      <c r="EK15" s="218"/>
      <c r="EL15" s="218"/>
      <c r="EM15" s="218"/>
      <c r="EN15" s="218"/>
      <c r="EO15" s="209"/>
      <c r="EP15" s="209"/>
      <c r="EQ15" s="209"/>
      <c r="EZ15" s="757" t="s">
        <v>0</v>
      </c>
      <c r="FA15" s="757"/>
      <c r="FB15" s="250"/>
      <c r="FC15" s="250"/>
      <c r="FD15" s="250"/>
      <c r="FE15" s="250"/>
      <c r="FF15" s="250"/>
      <c r="FG15" s="250"/>
      <c r="FH15" s="250"/>
      <c r="FI15" s="250"/>
      <c r="FJ15" s="250"/>
      <c r="FK15" s="250"/>
      <c r="FL15" s="250"/>
      <c r="FM15" s="250"/>
      <c r="FN15" s="250"/>
      <c r="FO15" s="250"/>
      <c r="FP15" s="250"/>
      <c r="FQ15" s="250"/>
      <c r="FR15" s="250" t="s">
        <v>55</v>
      </c>
      <c r="FS15" s="250" t="s">
        <v>55</v>
      </c>
      <c r="FT15" s="250" t="s">
        <v>45</v>
      </c>
      <c r="FU15" s="250" t="s">
        <v>14</v>
      </c>
      <c r="FV15" s="250" t="s">
        <v>14</v>
      </c>
      <c r="FW15" s="250" t="s">
        <v>14</v>
      </c>
      <c r="FX15" s="250" t="s">
        <v>56</v>
      </c>
      <c r="FY15" s="250" t="s">
        <v>56</v>
      </c>
      <c r="FZ15" s="250"/>
      <c r="GA15" s="250"/>
      <c r="GB15" s="250"/>
      <c r="GC15" s="250"/>
      <c r="GD15" s="250"/>
      <c r="GE15" s="250"/>
      <c r="GF15" s="250"/>
      <c r="GG15" s="250"/>
      <c r="GH15" s="250"/>
      <c r="GI15" s="250"/>
      <c r="GJ15" s="250"/>
      <c r="GK15" s="250"/>
      <c r="GL15" s="250"/>
      <c r="GM15" s="250"/>
      <c r="GN15" s="250"/>
      <c r="GO15" s="250"/>
      <c r="GP15" s="250" t="s">
        <v>14</v>
      </c>
      <c r="GQ15" s="250" t="s">
        <v>14</v>
      </c>
      <c r="GR15" s="250" t="s">
        <v>14</v>
      </c>
      <c r="GS15" s="250" t="s">
        <v>56</v>
      </c>
      <c r="GT15" s="250" t="s">
        <v>56</v>
      </c>
      <c r="GU15" s="250"/>
      <c r="GV15" s="250"/>
      <c r="GW15" s="250"/>
      <c r="GX15" s="250"/>
      <c r="GY15" s="250"/>
      <c r="GZ15" s="250"/>
      <c r="HA15" s="250"/>
      <c r="HB15" s="770">
        <f>SUM(HD15:HM15)</f>
        <v>11</v>
      </c>
      <c r="HC15" s="772"/>
      <c r="HD15" s="770">
        <v>6</v>
      </c>
      <c r="HE15" s="772"/>
      <c r="HF15" s="770">
        <v>4</v>
      </c>
      <c r="HG15" s="772"/>
      <c r="HH15" s="770">
        <v>1</v>
      </c>
      <c r="HI15" s="772"/>
      <c r="HJ15" s="770">
        <v>0</v>
      </c>
      <c r="HK15" s="772"/>
      <c r="HL15" s="770">
        <v>0</v>
      </c>
      <c r="HM15" s="772"/>
      <c r="HN15" s="770">
        <v>41</v>
      </c>
      <c r="HO15" s="772"/>
      <c r="HP15" s="757">
        <f>HB15+HN15</f>
        <v>52</v>
      </c>
      <c r="HQ15" s="757"/>
    </row>
    <row r="16" spans="1:225" ht="50.1" customHeight="1" x14ac:dyDescent="0.4">
      <c r="C16" s="46"/>
      <c r="D16" s="213"/>
      <c r="E16" s="213"/>
      <c r="F16" s="213"/>
      <c r="G16" s="213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2"/>
      <c r="CD16" s="212"/>
      <c r="CE16" s="212"/>
      <c r="CF16" s="212"/>
      <c r="CG16" s="212"/>
      <c r="CH16" s="212"/>
      <c r="CI16" s="212"/>
      <c r="CJ16" s="212"/>
      <c r="CK16" s="212"/>
      <c r="CL16" s="212"/>
      <c r="CM16" s="212"/>
      <c r="CN16" s="212"/>
      <c r="CO16" s="212"/>
      <c r="CP16" s="212"/>
      <c r="CQ16" s="212"/>
      <c r="CR16" s="212"/>
      <c r="CS16" s="212"/>
      <c r="CT16" s="212"/>
      <c r="CU16" s="212"/>
      <c r="CV16" s="212"/>
      <c r="CW16" s="212"/>
      <c r="CX16" s="212"/>
      <c r="CY16" s="212"/>
      <c r="CZ16" s="212"/>
      <c r="DA16" s="212"/>
      <c r="DB16" s="212"/>
      <c r="DC16" s="212"/>
      <c r="DD16" s="212"/>
      <c r="DE16" s="212"/>
      <c r="DF16" s="212"/>
      <c r="DG16" s="212"/>
      <c r="DH16" s="212"/>
      <c r="DI16" s="212"/>
      <c r="DJ16" s="212"/>
      <c r="DK16" s="212"/>
      <c r="DL16" s="213"/>
      <c r="DM16" s="213"/>
      <c r="DN16" s="213"/>
      <c r="DO16" s="213"/>
      <c r="DP16" s="214"/>
      <c r="DQ16" s="214"/>
      <c r="DR16" s="214"/>
      <c r="DS16" s="214"/>
      <c r="DT16" s="214"/>
      <c r="DU16" s="214"/>
      <c r="DV16" s="214"/>
      <c r="DW16" s="214"/>
      <c r="DX16" s="214"/>
      <c r="DY16" s="214"/>
      <c r="DZ16" s="214"/>
      <c r="EA16" s="214"/>
      <c r="EB16" s="214"/>
      <c r="EC16" s="214"/>
      <c r="ED16" s="214"/>
      <c r="EE16" s="213"/>
      <c r="EF16" s="213"/>
      <c r="EG16" s="213"/>
      <c r="EH16" s="213"/>
      <c r="EI16" s="213"/>
      <c r="EJ16" s="213"/>
      <c r="EK16" s="218"/>
      <c r="EL16" s="218"/>
      <c r="EM16" s="218"/>
      <c r="EN16" s="218"/>
      <c r="EO16" s="209"/>
      <c r="EP16" s="209"/>
      <c r="EQ16" s="209"/>
      <c r="EZ16" s="757" t="s">
        <v>1</v>
      </c>
      <c r="FA16" s="757"/>
      <c r="FB16" s="250"/>
      <c r="FC16" s="250"/>
      <c r="FD16" s="250"/>
      <c r="FE16" s="250"/>
      <c r="FF16" s="250"/>
      <c r="FG16" s="250"/>
      <c r="FH16" s="250"/>
      <c r="FI16" s="250"/>
      <c r="FJ16" s="250"/>
      <c r="FK16" s="250"/>
      <c r="FL16" s="250"/>
      <c r="FM16" s="250"/>
      <c r="FN16" s="250" t="s">
        <v>45</v>
      </c>
      <c r="FO16" s="250" t="s">
        <v>14</v>
      </c>
      <c r="FP16" s="250" t="s">
        <v>14</v>
      </c>
      <c r="FQ16" s="250" t="s">
        <v>14</v>
      </c>
      <c r="FR16" s="250" t="s">
        <v>55</v>
      </c>
      <c r="FS16" s="250" t="s">
        <v>55</v>
      </c>
      <c r="FT16" s="250" t="s">
        <v>56</v>
      </c>
      <c r="FU16" s="250" t="s">
        <v>57</v>
      </c>
      <c r="FV16" s="250" t="s">
        <v>57</v>
      </c>
      <c r="FW16" s="250" t="s">
        <v>57</v>
      </c>
      <c r="FX16" s="250"/>
      <c r="FY16" s="250"/>
      <c r="FZ16" s="250"/>
      <c r="GA16" s="250"/>
      <c r="GB16" s="250"/>
      <c r="GC16" s="250"/>
      <c r="GD16" s="250"/>
      <c r="GE16" s="250"/>
      <c r="GF16" s="250"/>
      <c r="GG16" s="250"/>
      <c r="GH16" s="250"/>
      <c r="GI16" s="250"/>
      <c r="GJ16" s="250"/>
      <c r="GK16" s="250"/>
      <c r="GL16" s="250"/>
      <c r="GM16" s="250" t="s">
        <v>14</v>
      </c>
      <c r="GN16" s="250" t="s">
        <v>14</v>
      </c>
      <c r="GO16" s="250" t="s">
        <v>14</v>
      </c>
      <c r="GP16" s="250" t="s">
        <v>56</v>
      </c>
      <c r="GQ16" s="250"/>
      <c r="GR16" s="250"/>
      <c r="GS16" s="250"/>
      <c r="GT16" s="250"/>
      <c r="GU16" s="250"/>
      <c r="GV16" s="250"/>
      <c r="GW16" s="250"/>
      <c r="GX16" s="250"/>
      <c r="GY16" s="250"/>
      <c r="GZ16" s="250"/>
      <c r="HA16" s="250"/>
      <c r="HB16" s="770">
        <f>SUM(HD16:HM16)</f>
        <v>12</v>
      </c>
      <c r="HC16" s="772"/>
      <c r="HD16" s="770">
        <v>6</v>
      </c>
      <c r="HE16" s="772"/>
      <c r="HF16" s="770">
        <v>2</v>
      </c>
      <c r="HG16" s="772"/>
      <c r="HH16" s="770">
        <v>1</v>
      </c>
      <c r="HI16" s="772"/>
      <c r="HJ16" s="770">
        <v>3</v>
      </c>
      <c r="HK16" s="772"/>
      <c r="HL16" s="770">
        <v>0</v>
      </c>
      <c r="HM16" s="772"/>
      <c r="HN16" s="770">
        <v>40</v>
      </c>
      <c r="HO16" s="772"/>
      <c r="HP16" s="757">
        <f>HB16+HN16</f>
        <v>52</v>
      </c>
      <c r="HQ16" s="757"/>
    </row>
    <row r="17" spans="1:225" ht="50.1" customHeight="1" x14ac:dyDescent="0.4">
      <c r="C17" s="46"/>
      <c r="D17" s="213"/>
      <c r="E17" s="213"/>
      <c r="F17" s="213"/>
      <c r="G17" s="213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  <c r="CR17" s="212"/>
      <c r="CS17" s="212"/>
      <c r="CT17" s="212"/>
      <c r="CU17" s="212"/>
      <c r="CV17" s="212"/>
      <c r="CW17" s="212"/>
      <c r="CX17" s="212"/>
      <c r="CY17" s="212"/>
      <c r="CZ17" s="212"/>
      <c r="DA17" s="212"/>
      <c r="DB17" s="212"/>
      <c r="DC17" s="212"/>
      <c r="DD17" s="212"/>
      <c r="DE17" s="212"/>
      <c r="DF17" s="212"/>
      <c r="DG17" s="212"/>
      <c r="DH17" s="212"/>
      <c r="DI17" s="212"/>
      <c r="DJ17" s="212"/>
      <c r="DK17" s="212"/>
      <c r="DL17" s="213"/>
      <c r="DM17" s="213"/>
      <c r="DN17" s="213"/>
      <c r="DO17" s="213"/>
      <c r="DP17" s="214"/>
      <c r="DQ17" s="214"/>
      <c r="DR17" s="214"/>
      <c r="DS17" s="214"/>
      <c r="DT17" s="214"/>
      <c r="DU17" s="214"/>
      <c r="DV17" s="214"/>
      <c r="DW17" s="214"/>
      <c r="DX17" s="214"/>
      <c r="DY17" s="214"/>
      <c r="DZ17" s="214"/>
      <c r="EA17" s="214"/>
      <c r="EB17" s="214"/>
      <c r="EC17" s="214"/>
      <c r="ED17" s="214"/>
      <c r="EE17" s="213"/>
      <c r="EF17" s="213"/>
      <c r="EG17" s="213"/>
      <c r="EH17" s="213"/>
      <c r="EI17" s="213"/>
      <c r="EJ17" s="213"/>
      <c r="EK17" s="218"/>
      <c r="EL17" s="218"/>
      <c r="EM17" s="218"/>
      <c r="EN17" s="218"/>
      <c r="EO17" s="209"/>
      <c r="EP17" s="209"/>
      <c r="EQ17" s="216"/>
      <c r="EZ17" s="757" t="s">
        <v>2</v>
      </c>
      <c r="FA17" s="757"/>
      <c r="FB17" s="250"/>
      <c r="FC17" s="250"/>
      <c r="FD17" s="250"/>
      <c r="FE17" s="250"/>
      <c r="FF17" s="250"/>
      <c r="FG17" s="250"/>
      <c r="FH17" s="250"/>
      <c r="FI17" s="250"/>
      <c r="FJ17" s="250"/>
      <c r="FK17" s="250"/>
      <c r="FL17" s="250"/>
      <c r="FM17" s="250"/>
      <c r="FN17" s="250" t="s">
        <v>45</v>
      </c>
      <c r="FO17" s="250" t="s">
        <v>14</v>
      </c>
      <c r="FP17" s="250" t="s">
        <v>14</v>
      </c>
      <c r="FQ17" s="250" t="s">
        <v>14</v>
      </c>
      <c r="FR17" s="250" t="s">
        <v>55</v>
      </c>
      <c r="FS17" s="250" t="s">
        <v>55</v>
      </c>
      <c r="FT17" s="250" t="s">
        <v>56</v>
      </c>
      <c r="FU17" s="250" t="s">
        <v>57</v>
      </c>
      <c r="FV17" s="250" t="s">
        <v>57</v>
      </c>
      <c r="FW17" s="250" t="s">
        <v>57</v>
      </c>
      <c r="FX17" s="250" t="s">
        <v>57</v>
      </c>
      <c r="FY17" s="250"/>
      <c r="FZ17" s="250"/>
      <c r="GA17" s="250"/>
      <c r="GB17" s="250"/>
      <c r="GC17" s="250"/>
      <c r="GD17" s="250"/>
      <c r="GE17" s="250"/>
      <c r="GF17" s="250"/>
      <c r="GG17" s="250"/>
      <c r="GH17" s="250"/>
      <c r="GI17" s="250"/>
      <c r="GJ17" s="250"/>
      <c r="GK17" s="250"/>
      <c r="GL17" s="250"/>
      <c r="GM17" s="250" t="s">
        <v>14</v>
      </c>
      <c r="GN17" s="250" t="s">
        <v>14</v>
      </c>
      <c r="GO17" s="250" t="s">
        <v>14</v>
      </c>
      <c r="GP17" s="250" t="s">
        <v>56</v>
      </c>
      <c r="GQ17" s="250"/>
      <c r="GR17" s="250"/>
      <c r="GS17" s="250"/>
      <c r="GT17" s="250"/>
      <c r="GU17" s="250"/>
      <c r="GV17" s="250"/>
      <c r="GW17" s="250"/>
      <c r="GX17" s="250"/>
      <c r="GY17" s="250"/>
      <c r="GZ17" s="250"/>
      <c r="HA17" s="250"/>
      <c r="HB17" s="770">
        <f>SUM(HD17:HM17)</f>
        <v>13</v>
      </c>
      <c r="HC17" s="772"/>
      <c r="HD17" s="770">
        <v>6</v>
      </c>
      <c r="HE17" s="772"/>
      <c r="HF17" s="770">
        <v>2</v>
      </c>
      <c r="HG17" s="772"/>
      <c r="HH17" s="770">
        <v>1</v>
      </c>
      <c r="HI17" s="772"/>
      <c r="HJ17" s="770">
        <v>4</v>
      </c>
      <c r="HK17" s="772"/>
      <c r="HL17" s="770">
        <v>0</v>
      </c>
      <c r="HM17" s="772"/>
      <c r="HN17" s="770">
        <v>39</v>
      </c>
      <c r="HO17" s="772"/>
      <c r="HP17" s="757">
        <f>HB17+HN17</f>
        <v>52</v>
      </c>
      <c r="HQ17" s="757"/>
    </row>
    <row r="18" spans="1:225" ht="50.1" customHeight="1" x14ac:dyDescent="0.4">
      <c r="C18" s="46"/>
      <c r="D18" s="213"/>
      <c r="E18" s="213"/>
      <c r="F18" s="213"/>
      <c r="G18" s="213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2"/>
      <c r="CV18" s="212"/>
      <c r="CW18" s="212"/>
      <c r="CX18" s="212"/>
      <c r="CY18" s="212"/>
      <c r="CZ18" s="212"/>
      <c r="DA18" s="212"/>
      <c r="DB18" s="212"/>
      <c r="DC18" s="212"/>
      <c r="DD18" s="212"/>
      <c r="DE18" s="212"/>
      <c r="DF18" s="212"/>
      <c r="DG18" s="212"/>
      <c r="DH18" s="212"/>
      <c r="DI18" s="212"/>
      <c r="DJ18" s="212"/>
      <c r="DK18" s="212"/>
      <c r="DL18" s="213"/>
      <c r="DM18" s="213"/>
      <c r="DN18" s="213"/>
      <c r="DO18" s="213"/>
      <c r="DP18" s="214"/>
      <c r="DQ18" s="214"/>
      <c r="DR18" s="214"/>
      <c r="DS18" s="214"/>
      <c r="DT18" s="214"/>
      <c r="DU18" s="214"/>
      <c r="DV18" s="214"/>
      <c r="DW18" s="214"/>
      <c r="DX18" s="214"/>
      <c r="DY18" s="214"/>
      <c r="DZ18" s="214"/>
      <c r="EA18" s="214"/>
      <c r="EB18" s="214"/>
      <c r="EC18" s="214"/>
      <c r="ED18" s="214"/>
      <c r="EE18" s="213"/>
      <c r="EF18" s="213"/>
      <c r="EG18" s="213"/>
      <c r="EH18" s="213"/>
      <c r="EI18" s="213"/>
      <c r="EJ18" s="213"/>
      <c r="EK18" s="218"/>
      <c r="EL18" s="218"/>
      <c r="EM18" s="218"/>
      <c r="EN18" s="218"/>
      <c r="EO18" s="209"/>
      <c r="EP18" s="209"/>
      <c r="EQ18" s="216"/>
      <c r="EZ18" s="757" t="s">
        <v>3</v>
      </c>
      <c r="FA18" s="757"/>
      <c r="FB18" s="250"/>
      <c r="FC18" s="250"/>
      <c r="FD18" s="250"/>
      <c r="FE18" s="250"/>
      <c r="FF18" s="250"/>
      <c r="FG18" s="250"/>
      <c r="FH18" s="250"/>
      <c r="FI18" s="250"/>
      <c r="FJ18" s="250"/>
      <c r="FK18" s="250"/>
      <c r="FL18" s="250"/>
      <c r="FM18" s="250"/>
      <c r="FN18" s="250" t="s">
        <v>45</v>
      </c>
      <c r="FO18" s="250" t="s">
        <v>14</v>
      </c>
      <c r="FP18" s="250" t="s">
        <v>14</v>
      </c>
      <c r="FQ18" s="250" t="s">
        <v>14</v>
      </c>
      <c r="FR18" s="250" t="s">
        <v>55</v>
      </c>
      <c r="FS18" s="250" t="s">
        <v>55</v>
      </c>
      <c r="FT18" s="250" t="s">
        <v>56</v>
      </c>
      <c r="FU18" s="250" t="s">
        <v>57</v>
      </c>
      <c r="FV18" s="250" t="s">
        <v>57</v>
      </c>
      <c r="FW18" s="250" t="s">
        <v>57</v>
      </c>
      <c r="FX18" s="250" t="s">
        <v>57</v>
      </c>
      <c r="FY18" s="250" t="s">
        <v>57</v>
      </c>
      <c r="FZ18" s="250"/>
      <c r="GA18" s="250"/>
      <c r="GB18" s="250"/>
      <c r="GC18" s="250"/>
      <c r="GD18" s="250"/>
      <c r="GE18" s="250"/>
      <c r="GF18" s="250"/>
      <c r="GG18" s="250"/>
      <c r="GH18" s="250"/>
      <c r="GI18" s="250"/>
      <c r="GJ18" s="250"/>
      <c r="GK18" s="250"/>
      <c r="GL18" s="250"/>
      <c r="GM18" s="250" t="s">
        <v>14</v>
      </c>
      <c r="GN18" s="250" t="s">
        <v>14</v>
      </c>
      <c r="GO18" s="250" t="s">
        <v>14</v>
      </c>
      <c r="GP18" s="250" t="s">
        <v>56</v>
      </c>
      <c r="GQ18" s="250" t="s">
        <v>57</v>
      </c>
      <c r="GR18" s="250" t="s">
        <v>57</v>
      </c>
      <c r="GS18" s="250" t="s">
        <v>57</v>
      </c>
      <c r="GT18" s="250" t="s">
        <v>57</v>
      </c>
      <c r="GU18" s="250" t="s">
        <v>57</v>
      </c>
      <c r="GV18" s="250" t="s">
        <v>57</v>
      </c>
      <c r="GW18" s="250"/>
      <c r="GX18" s="250"/>
      <c r="GY18" s="250"/>
      <c r="GZ18" s="250"/>
      <c r="HA18" s="250"/>
      <c r="HB18" s="770">
        <f>SUM(HD18:HM18)</f>
        <v>19</v>
      </c>
      <c r="HC18" s="772"/>
      <c r="HD18" s="770">
        <v>6</v>
      </c>
      <c r="HE18" s="772"/>
      <c r="HF18" s="770">
        <v>2</v>
      </c>
      <c r="HG18" s="772"/>
      <c r="HH18" s="770">
        <v>1</v>
      </c>
      <c r="HI18" s="772"/>
      <c r="HJ18" s="770">
        <v>10</v>
      </c>
      <c r="HK18" s="772"/>
      <c r="HL18" s="770">
        <v>0</v>
      </c>
      <c r="HM18" s="772"/>
      <c r="HN18" s="770">
        <v>33</v>
      </c>
      <c r="HO18" s="772"/>
      <c r="HP18" s="757">
        <f>HB18+HN18</f>
        <v>52</v>
      </c>
      <c r="HQ18" s="757"/>
    </row>
    <row r="19" spans="1:225" ht="50.1" customHeight="1" x14ac:dyDescent="0.4">
      <c r="C19" s="46"/>
      <c r="D19" s="213"/>
      <c r="E19" s="213"/>
      <c r="F19" s="213"/>
      <c r="G19" s="213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  <c r="CO19" s="212"/>
      <c r="CP19" s="212"/>
      <c r="CQ19" s="212"/>
      <c r="CR19" s="212"/>
      <c r="CS19" s="212"/>
      <c r="CT19" s="212"/>
      <c r="CU19" s="212"/>
      <c r="CV19" s="212"/>
      <c r="CW19" s="212"/>
      <c r="CX19" s="212"/>
      <c r="CY19" s="212"/>
      <c r="CZ19" s="212"/>
      <c r="DA19" s="212"/>
      <c r="DB19" s="212"/>
      <c r="DC19" s="212"/>
      <c r="DD19" s="212"/>
      <c r="DE19" s="212"/>
      <c r="DF19" s="212"/>
      <c r="DG19" s="212"/>
      <c r="DH19" s="212"/>
      <c r="DI19" s="212"/>
      <c r="DJ19" s="212"/>
      <c r="DK19" s="212"/>
      <c r="DL19" s="213"/>
      <c r="DM19" s="213"/>
      <c r="DN19" s="213"/>
      <c r="DO19" s="213"/>
      <c r="DP19" s="214"/>
      <c r="DQ19" s="214"/>
      <c r="DR19" s="214"/>
      <c r="DS19" s="214"/>
      <c r="DT19" s="214"/>
      <c r="DU19" s="214"/>
      <c r="DV19" s="214"/>
      <c r="DW19" s="214"/>
      <c r="DX19" s="214"/>
      <c r="DY19" s="214"/>
      <c r="DZ19" s="214"/>
      <c r="EA19" s="214"/>
      <c r="EB19" s="214"/>
      <c r="EC19" s="214"/>
      <c r="ED19" s="214"/>
      <c r="EE19" s="213"/>
      <c r="EF19" s="213"/>
      <c r="EG19" s="213"/>
      <c r="EH19" s="213"/>
      <c r="EI19" s="213"/>
      <c r="EJ19" s="213"/>
      <c r="EK19" s="218"/>
      <c r="EL19" s="218"/>
      <c r="EM19" s="218"/>
      <c r="EN19" s="218"/>
      <c r="EO19" s="209"/>
      <c r="EP19" s="209"/>
      <c r="EQ19" s="209"/>
      <c r="EZ19" s="757" t="s">
        <v>12</v>
      </c>
      <c r="FA19" s="757"/>
      <c r="FB19" s="250"/>
      <c r="FC19" s="250"/>
      <c r="FD19" s="250"/>
      <c r="FE19" s="250"/>
      <c r="FF19" s="250"/>
      <c r="FG19" s="250"/>
      <c r="FH19" s="250"/>
      <c r="FI19" s="250" t="s">
        <v>45</v>
      </c>
      <c r="FJ19" s="250" t="s">
        <v>14</v>
      </c>
      <c r="FK19" s="250" t="s">
        <v>14</v>
      </c>
      <c r="FL19" s="250" t="s">
        <v>14</v>
      </c>
      <c r="FM19" s="250" t="s">
        <v>56</v>
      </c>
      <c r="FN19" s="250" t="s">
        <v>57</v>
      </c>
      <c r="FO19" s="250" t="s">
        <v>57</v>
      </c>
      <c r="FP19" s="250" t="s">
        <v>57</v>
      </c>
      <c r="FQ19" s="250" t="s">
        <v>57</v>
      </c>
      <c r="FR19" s="250" t="s">
        <v>55</v>
      </c>
      <c r="FS19" s="250" t="s">
        <v>55</v>
      </c>
      <c r="FT19" s="250" t="s">
        <v>57</v>
      </c>
      <c r="FU19" s="250" t="s">
        <v>57</v>
      </c>
      <c r="FV19" s="250"/>
      <c r="FW19" s="250"/>
      <c r="FX19" s="250"/>
      <c r="FY19" s="250"/>
      <c r="FZ19" s="250"/>
      <c r="GA19" s="250"/>
      <c r="GB19" s="250"/>
      <c r="GC19" s="250"/>
      <c r="GD19" s="250"/>
      <c r="GE19" s="250"/>
      <c r="GF19" s="250"/>
      <c r="GG19" s="250" t="s">
        <v>14</v>
      </c>
      <c r="GH19" s="250" t="s">
        <v>14</v>
      </c>
      <c r="GI19" s="250" t="s">
        <v>14</v>
      </c>
      <c r="GJ19" s="250" t="s">
        <v>56</v>
      </c>
      <c r="GK19" s="250" t="s">
        <v>57</v>
      </c>
      <c r="GL19" s="250" t="s">
        <v>57</v>
      </c>
      <c r="GM19" s="250" t="s">
        <v>57</v>
      </c>
      <c r="GN19" s="250" t="s">
        <v>57</v>
      </c>
      <c r="GO19" s="250" t="s">
        <v>57</v>
      </c>
      <c r="GP19" s="250" t="s">
        <v>57</v>
      </c>
      <c r="GQ19" s="250" t="s">
        <v>57</v>
      </c>
      <c r="GR19" s="250" t="s">
        <v>57</v>
      </c>
      <c r="GS19" s="250" t="s">
        <v>19</v>
      </c>
      <c r="GT19" s="250" t="s">
        <v>19</v>
      </c>
      <c r="GU19" s="250"/>
      <c r="GV19" s="250"/>
      <c r="GW19" s="250"/>
      <c r="GX19" s="250"/>
      <c r="GY19" s="250"/>
      <c r="GZ19" s="250"/>
      <c r="HA19" s="250"/>
      <c r="HB19" s="770">
        <f>SUM(HD19:HM19)</f>
        <v>25</v>
      </c>
      <c r="HC19" s="772"/>
      <c r="HD19" s="770">
        <v>6</v>
      </c>
      <c r="HE19" s="772"/>
      <c r="HF19" s="770">
        <v>2</v>
      </c>
      <c r="HG19" s="772"/>
      <c r="HH19" s="770">
        <v>1</v>
      </c>
      <c r="HI19" s="772"/>
      <c r="HJ19" s="770">
        <v>14</v>
      </c>
      <c r="HK19" s="772"/>
      <c r="HL19" s="770">
        <v>2</v>
      </c>
      <c r="HM19" s="772"/>
      <c r="HN19" s="770">
        <v>23</v>
      </c>
      <c r="HO19" s="772"/>
      <c r="HP19" s="757">
        <f>HB19+HN19</f>
        <v>48</v>
      </c>
      <c r="HQ19" s="757"/>
    </row>
    <row r="20" spans="1:225" ht="50.1" customHeight="1" x14ac:dyDescent="0.4">
      <c r="C20" s="46"/>
      <c r="D20" s="213"/>
      <c r="E20" s="213"/>
      <c r="F20" s="213"/>
      <c r="G20" s="213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  <c r="CO20" s="212"/>
      <c r="CP20" s="212"/>
      <c r="CQ20" s="212"/>
      <c r="CR20" s="212"/>
      <c r="CS20" s="212"/>
      <c r="CT20" s="212"/>
      <c r="CU20" s="212"/>
      <c r="CV20" s="212"/>
      <c r="CW20" s="212"/>
      <c r="CX20" s="212"/>
      <c r="CY20" s="212"/>
      <c r="CZ20" s="212"/>
      <c r="DA20" s="212"/>
      <c r="DB20" s="212"/>
      <c r="DC20" s="212"/>
      <c r="DD20" s="212"/>
      <c r="DE20" s="212"/>
      <c r="DF20" s="212"/>
      <c r="DG20" s="212"/>
      <c r="DH20" s="212"/>
      <c r="DI20" s="212"/>
      <c r="DJ20" s="212"/>
      <c r="DK20" s="212"/>
      <c r="DL20" s="213"/>
      <c r="DM20" s="213"/>
      <c r="DN20" s="213"/>
      <c r="DO20" s="213"/>
      <c r="DP20" s="214"/>
      <c r="DQ20" s="214"/>
      <c r="DR20" s="214"/>
      <c r="DS20" s="214"/>
      <c r="DT20" s="214"/>
      <c r="DU20" s="214"/>
      <c r="DV20" s="214"/>
      <c r="DW20" s="214"/>
      <c r="DX20" s="214"/>
      <c r="DY20" s="214"/>
      <c r="DZ20" s="214"/>
      <c r="EA20" s="214"/>
      <c r="EB20" s="214"/>
      <c r="EC20" s="214"/>
      <c r="ED20" s="214"/>
      <c r="EE20" s="213"/>
      <c r="EF20" s="213"/>
      <c r="EG20" s="213"/>
      <c r="EH20" s="213"/>
      <c r="EI20" s="213"/>
      <c r="EJ20" s="213"/>
      <c r="EK20" s="218"/>
      <c r="EL20" s="218"/>
      <c r="EM20" s="218"/>
      <c r="EN20" s="218"/>
      <c r="EO20" s="209"/>
      <c r="EP20" s="209"/>
      <c r="EQ20" s="209"/>
      <c r="EZ20" s="773" t="s">
        <v>24</v>
      </c>
      <c r="FA20" s="774"/>
      <c r="FB20" s="774"/>
      <c r="FC20" s="774"/>
      <c r="FD20" s="774"/>
      <c r="FE20" s="774"/>
      <c r="FF20" s="774"/>
      <c r="FG20" s="774"/>
      <c r="FH20" s="774"/>
      <c r="FI20" s="774"/>
      <c r="FJ20" s="774"/>
      <c r="FK20" s="774"/>
      <c r="FL20" s="774"/>
      <c r="FM20" s="774"/>
      <c r="FN20" s="774"/>
      <c r="FO20" s="774"/>
      <c r="FP20" s="774"/>
      <c r="FQ20" s="774"/>
      <c r="FR20" s="774"/>
      <c r="FS20" s="774"/>
      <c r="FT20" s="774"/>
      <c r="FU20" s="774"/>
      <c r="FV20" s="774"/>
      <c r="FW20" s="774"/>
      <c r="FX20" s="774"/>
      <c r="FY20" s="774"/>
      <c r="FZ20" s="774"/>
      <c r="GA20" s="774"/>
      <c r="GB20" s="774"/>
      <c r="GC20" s="774"/>
      <c r="GD20" s="774"/>
      <c r="GE20" s="774"/>
      <c r="GF20" s="774"/>
      <c r="GG20" s="774"/>
      <c r="GH20" s="774"/>
      <c r="GI20" s="774"/>
      <c r="GJ20" s="774"/>
      <c r="GK20" s="774"/>
      <c r="GL20" s="774"/>
      <c r="GM20" s="774"/>
      <c r="GN20" s="774"/>
      <c r="GO20" s="774"/>
      <c r="GP20" s="774"/>
      <c r="GQ20" s="774"/>
      <c r="GR20" s="774"/>
      <c r="GS20" s="774"/>
      <c r="GT20" s="774"/>
      <c r="GU20" s="774"/>
      <c r="GV20" s="774"/>
      <c r="GW20" s="774"/>
      <c r="GX20" s="774"/>
      <c r="GY20" s="774"/>
      <c r="GZ20" s="774"/>
      <c r="HA20" s="775"/>
      <c r="HB20" s="770">
        <f>SUM(HB15:HC19)</f>
        <v>80</v>
      </c>
      <c r="HC20" s="772"/>
      <c r="HD20" s="770">
        <f>SUM(HD15:HE19)</f>
        <v>30</v>
      </c>
      <c r="HE20" s="772"/>
      <c r="HF20" s="770">
        <f>SUM(HF15:HG19)</f>
        <v>12</v>
      </c>
      <c r="HG20" s="772"/>
      <c r="HH20" s="770">
        <f>SUM(HH15:HI19)</f>
        <v>5</v>
      </c>
      <c r="HI20" s="772"/>
      <c r="HJ20" s="770">
        <f>SUM(HJ15:HK19)</f>
        <v>31</v>
      </c>
      <c r="HK20" s="772"/>
      <c r="HL20" s="770">
        <f>SUM(HL15:HM19)</f>
        <v>2</v>
      </c>
      <c r="HM20" s="772"/>
      <c r="HN20" s="770">
        <f>SUM(HN15:HO19)</f>
        <v>176</v>
      </c>
      <c r="HO20" s="772"/>
      <c r="HP20" s="770">
        <f>SUM(HP15:HQ19)</f>
        <v>256</v>
      </c>
      <c r="HQ20" s="772"/>
    </row>
    <row r="21" spans="1:225" ht="42.75" thickBot="1" x14ac:dyDescent="0.55000000000000004">
      <c r="C21" s="46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  <c r="CE21" s="213"/>
      <c r="CF21" s="213"/>
      <c r="CG21" s="213"/>
      <c r="CH21" s="213"/>
      <c r="CI21" s="213"/>
      <c r="CJ21" s="213"/>
      <c r="CK21" s="213"/>
      <c r="CL21" s="213"/>
      <c r="CM21" s="213"/>
      <c r="CN21" s="213"/>
      <c r="CO21" s="213"/>
      <c r="CP21" s="213"/>
      <c r="CQ21" s="213"/>
      <c r="CR21" s="213"/>
      <c r="CS21" s="213"/>
      <c r="CT21" s="213"/>
      <c r="CU21" s="213"/>
      <c r="CV21" s="213"/>
      <c r="CW21" s="213"/>
      <c r="CX21" s="213"/>
      <c r="CY21" s="213"/>
      <c r="CZ21" s="213"/>
      <c r="DA21" s="213"/>
      <c r="DB21" s="213"/>
      <c r="DC21" s="213"/>
      <c r="DD21" s="213"/>
      <c r="DE21" s="213"/>
      <c r="DF21" s="213"/>
      <c r="DG21" s="213"/>
      <c r="DH21" s="213"/>
      <c r="DI21" s="213"/>
      <c r="DJ21" s="213"/>
      <c r="DK21" s="213"/>
      <c r="DL21" s="213"/>
      <c r="DM21" s="213"/>
      <c r="DN21" s="213"/>
      <c r="DO21" s="213"/>
      <c r="DP21" s="213"/>
      <c r="DQ21" s="213"/>
      <c r="DR21" s="213"/>
      <c r="DS21" s="213"/>
      <c r="DT21" s="213"/>
      <c r="DU21" s="213"/>
      <c r="DV21" s="213"/>
      <c r="DW21" s="213"/>
      <c r="DX21" s="213"/>
      <c r="DY21" s="213"/>
      <c r="DZ21" s="213"/>
      <c r="EA21" s="213"/>
      <c r="EB21" s="213"/>
      <c r="EC21" s="213"/>
      <c r="ED21" s="213"/>
      <c r="EE21" s="213"/>
      <c r="EF21" s="213"/>
      <c r="EG21" s="213"/>
      <c r="EH21" s="213"/>
      <c r="EI21" s="213"/>
      <c r="EJ21" s="213"/>
      <c r="EK21" s="218"/>
      <c r="EL21" s="218"/>
      <c r="EM21" s="218"/>
      <c r="EN21" s="218"/>
      <c r="EO21" s="209"/>
      <c r="EP21" s="209"/>
      <c r="EQ21" s="209"/>
      <c r="EZ21" s="251"/>
      <c r="FA21" s="251"/>
      <c r="FB21" s="251"/>
      <c r="FC21" s="251"/>
      <c r="FD21" s="251"/>
      <c r="FE21" s="251"/>
      <c r="FF21" s="251"/>
      <c r="FG21" s="251"/>
      <c r="FH21" s="251"/>
      <c r="FI21" s="251"/>
      <c r="FJ21" s="251"/>
      <c r="FK21" s="251"/>
      <c r="FL21" s="251"/>
      <c r="FM21" s="251"/>
      <c r="FN21" s="251"/>
      <c r="FO21" s="251"/>
      <c r="FP21" s="251"/>
      <c r="FQ21" s="251"/>
      <c r="FR21" s="251"/>
      <c r="FS21" s="251"/>
      <c r="FT21" s="251"/>
      <c r="FU21" s="251"/>
      <c r="FV21" s="251"/>
      <c r="FW21" s="251"/>
      <c r="FX21" s="251"/>
      <c r="FY21" s="251"/>
      <c r="FZ21" s="251"/>
      <c r="GA21" s="251"/>
      <c r="GB21" s="251"/>
      <c r="GC21" s="251"/>
      <c r="GD21" s="251"/>
      <c r="GE21" s="251"/>
      <c r="GF21" s="251"/>
      <c r="GG21" s="251"/>
      <c r="GH21" s="251"/>
      <c r="GI21" s="251"/>
      <c r="GJ21" s="251"/>
      <c r="GK21" s="251"/>
      <c r="GL21" s="251"/>
      <c r="GM21" s="251"/>
      <c r="GN21" s="251"/>
      <c r="GO21" s="251"/>
      <c r="GP21" s="251"/>
      <c r="GQ21" s="251"/>
      <c r="GR21" s="251"/>
      <c r="GS21" s="251"/>
      <c r="GT21" s="251"/>
      <c r="GU21" s="251"/>
      <c r="GV21" s="251"/>
      <c r="GW21" s="251"/>
      <c r="GX21" s="251"/>
      <c r="GY21" s="251"/>
      <c r="GZ21" s="251"/>
      <c r="HA21" s="251"/>
      <c r="HB21" s="251"/>
      <c r="HC21" s="251"/>
      <c r="HD21" s="251"/>
      <c r="HE21" s="251"/>
      <c r="HF21" s="251"/>
      <c r="HG21" s="251"/>
      <c r="HH21" s="251"/>
      <c r="HI21" s="251"/>
      <c r="HJ21" s="251"/>
      <c r="HK21" s="251"/>
      <c r="HL21" s="251"/>
      <c r="HM21" s="251"/>
      <c r="HN21" s="251"/>
      <c r="HO21" s="251"/>
      <c r="HP21" s="251"/>
      <c r="HQ21" s="251"/>
    </row>
    <row r="22" spans="1:225" ht="120" customHeight="1" thickBot="1" x14ac:dyDescent="0.45">
      <c r="C22" s="46"/>
      <c r="D22" s="204"/>
      <c r="E22" s="215"/>
      <c r="F22" s="216"/>
      <c r="G22" s="217"/>
      <c r="H22" s="217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20"/>
      <c r="BC22" s="220"/>
      <c r="BD22" s="220"/>
      <c r="BE22" s="220"/>
      <c r="BF22" s="220"/>
      <c r="BG22" s="220"/>
      <c r="BH22" s="220"/>
      <c r="BI22" s="220"/>
      <c r="BJ22" s="220"/>
      <c r="BK22" s="220"/>
      <c r="BL22" s="220"/>
      <c r="BM22" s="220"/>
      <c r="BN22" s="220"/>
      <c r="BO22" s="220"/>
      <c r="BP22" s="220"/>
      <c r="BQ22" s="220"/>
      <c r="BR22" s="220"/>
      <c r="BS22" s="220"/>
      <c r="BT22" s="220"/>
      <c r="BU22" s="220"/>
      <c r="BV22" s="220"/>
      <c r="BW22" s="219"/>
      <c r="BX22" s="219"/>
      <c r="BY22" s="219"/>
      <c r="BZ22" s="219"/>
      <c r="CA22" s="219"/>
      <c r="CB22" s="219"/>
      <c r="CC22" s="219"/>
      <c r="CD22" s="219"/>
      <c r="CE22" s="219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6"/>
      <c r="CW22" s="216"/>
      <c r="CX22" s="216"/>
      <c r="CY22" s="216"/>
      <c r="CZ22" s="216"/>
      <c r="DA22" s="216"/>
      <c r="DB22" s="216"/>
      <c r="DC22" s="216"/>
      <c r="DD22" s="216"/>
      <c r="DE22" s="216"/>
      <c r="DF22" s="216"/>
      <c r="DG22" s="216"/>
      <c r="DH22" s="216"/>
      <c r="DI22" s="216"/>
      <c r="DJ22" s="216"/>
      <c r="DK22" s="216"/>
      <c r="DL22" s="216"/>
      <c r="DM22" s="216"/>
      <c r="DN22" s="216"/>
      <c r="DO22" s="216"/>
      <c r="DP22" s="216"/>
      <c r="DQ22" s="216"/>
      <c r="DR22" s="216"/>
      <c r="DS22" s="216"/>
      <c r="DT22" s="216"/>
      <c r="DU22" s="216"/>
      <c r="DV22" s="216"/>
      <c r="DW22" s="216"/>
      <c r="DX22" s="216"/>
      <c r="DY22" s="215"/>
      <c r="DZ22" s="215"/>
      <c r="EA22" s="215"/>
      <c r="EB22" s="215"/>
      <c r="EC22" s="215"/>
      <c r="ED22" s="215"/>
      <c r="EE22" s="215"/>
      <c r="EF22" s="215"/>
      <c r="EG22" s="209"/>
      <c r="EH22" s="209"/>
      <c r="EI22" s="209"/>
      <c r="EJ22" s="218"/>
      <c r="EK22" s="218"/>
      <c r="EL22" s="218"/>
      <c r="EM22" s="218"/>
      <c r="EN22" s="218"/>
      <c r="EO22" s="209"/>
      <c r="EP22" s="209"/>
      <c r="EQ22" s="209"/>
      <c r="EZ22" s="252"/>
      <c r="FA22" s="302"/>
      <c r="FB22" s="302"/>
      <c r="FC22" s="584"/>
      <c r="FD22" s="585"/>
      <c r="FE22" s="586"/>
      <c r="FF22" s="587" t="s">
        <v>266</v>
      </c>
      <c r="FG22" s="588"/>
      <c r="FH22" s="588"/>
      <c r="FI22" s="588"/>
      <c r="FJ22" s="588"/>
      <c r="FK22" s="589"/>
      <c r="FL22" s="13"/>
      <c r="FM22" s="13"/>
      <c r="FN22" s="584" t="s">
        <v>57</v>
      </c>
      <c r="FO22" s="585"/>
      <c r="FP22" s="586"/>
      <c r="FQ22" s="587" t="s">
        <v>15</v>
      </c>
      <c r="FR22" s="588"/>
      <c r="FS22" s="588"/>
      <c r="FT22" s="588"/>
      <c r="FU22" s="588"/>
      <c r="FV22" s="589"/>
      <c r="FW22" s="13"/>
      <c r="FX22" s="13"/>
      <c r="FY22" s="584" t="s">
        <v>45</v>
      </c>
      <c r="FZ22" s="585"/>
      <c r="GA22" s="586"/>
      <c r="GB22" s="587" t="s">
        <v>16</v>
      </c>
      <c r="GC22" s="588"/>
      <c r="GD22" s="588"/>
      <c r="GE22" s="588"/>
      <c r="GF22" s="588"/>
      <c r="GG22" s="589"/>
      <c r="GH22" s="13"/>
      <c r="GI22" s="13"/>
      <c r="GJ22" s="584" t="s">
        <v>56</v>
      </c>
      <c r="GK22" s="585"/>
      <c r="GL22" s="586"/>
      <c r="GM22" s="587" t="s">
        <v>17</v>
      </c>
      <c r="GN22" s="588"/>
      <c r="GO22" s="588"/>
      <c r="GP22" s="588"/>
      <c r="GQ22" s="588"/>
      <c r="GR22" s="589"/>
      <c r="GS22" s="13"/>
      <c r="GT22" s="13"/>
      <c r="GU22" s="584" t="s">
        <v>19</v>
      </c>
      <c r="GV22" s="585"/>
      <c r="GW22" s="586"/>
      <c r="GX22" s="587" t="s">
        <v>18</v>
      </c>
      <c r="GY22" s="588"/>
      <c r="GZ22" s="588"/>
      <c r="HA22" s="588"/>
      <c r="HB22" s="588"/>
      <c r="HC22" s="589"/>
      <c r="HD22" s="13"/>
      <c r="HE22" s="13"/>
      <c r="HG22" s="584" t="s">
        <v>55</v>
      </c>
      <c r="HH22" s="585"/>
      <c r="HI22" s="586"/>
      <c r="HJ22" s="587" t="s">
        <v>273</v>
      </c>
      <c r="HK22" s="588"/>
      <c r="HL22" s="588"/>
      <c r="HM22" s="588"/>
      <c r="HN22" s="588"/>
      <c r="HO22" s="589"/>
      <c r="HP22" s="252"/>
      <c r="HQ22" s="252"/>
    </row>
    <row r="23" spans="1:225" ht="17.25" customHeight="1" x14ac:dyDescent="0.25">
      <c r="A23" s="286"/>
      <c r="B23" s="286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23"/>
      <c r="V23" s="221"/>
      <c r="W23" s="221"/>
      <c r="X23" s="221"/>
      <c r="Y23" s="221"/>
      <c r="Z23" s="221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48"/>
      <c r="AP23" s="248"/>
      <c r="AQ23" s="248"/>
      <c r="AR23" s="248"/>
      <c r="AS23" s="248"/>
      <c r="AT23" s="248"/>
      <c r="AU23" s="248"/>
      <c r="AV23" s="248"/>
      <c r="AW23" s="224"/>
      <c r="AX23" s="225"/>
      <c r="AY23" s="225"/>
      <c r="AZ23" s="225"/>
      <c r="BA23" s="225"/>
      <c r="BB23" s="225"/>
      <c r="BC23" s="225"/>
      <c r="BD23" s="226"/>
      <c r="BE23" s="223"/>
      <c r="BF23" s="224"/>
      <c r="BG23" s="224"/>
      <c r="BH23" s="224"/>
      <c r="BI23" s="224"/>
      <c r="BJ23" s="224"/>
      <c r="BK23" s="224"/>
      <c r="BL23" s="224"/>
      <c r="BM23" s="224"/>
      <c r="BN23" s="224"/>
      <c r="BO23" s="224"/>
      <c r="BP23" s="224"/>
      <c r="BQ23" s="224"/>
      <c r="BR23" s="224"/>
      <c r="BS23" s="224"/>
      <c r="BT23" s="224"/>
      <c r="BU23" s="225"/>
      <c r="BV23" s="225"/>
      <c r="BW23" s="225"/>
      <c r="BX23" s="225"/>
      <c r="BY23" s="225"/>
      <c r="BZ23" s="224"/>
      <c r="CA23" s="224"/>
      <c r="CB23" s="224"/>
      <c r="CC23" s="224"/>
      <c r="CD23" s="224"/>
      <c r="CE23" s="224"/>
      <c r="CF23" s="224"/>
      <c r="CG23" s="224"/>
      <c r="CH23" s="224"/>
      <c r="CI23" s="224"/>
      <c r="CJ23" s="224"/>
      <c r="CK23" s="224"/>
      <c r="CL23" s="224"/>
      <c r="CM23" s="224"/>
      <c r="CN23" s="224"/>
      <c r="CO23" s="224"/>
      <c r="CP23" s="224"/>
      <c r="CQ23" s="224"/>
      <c r="CR23" s="221"/>
      <c r="CS23" s="221"/>
      <c r="CT23" s="221"/>
      <c r="CU23" s="221"/>
      <c r="CV23" s="221"/>
      <c r="CW23" s="224"/>
      <c r="CX23" s="224"/>
      <c r="CY23" s="224"/>
      <c r="CZ23" s="224"/>
      <c r="DA23" s="224"/>
      <c r="DB23" s="224"/>
      <c r="DC23" s="224"/>
      <c r="DD23" s="224"/>
      <c r="DE23" s="224"/>
      <c r="DF23" s="224"/>
      <c r="DG23" s="224"/>
      <c r="DH23" s="224"/>
      <c r="DI23" s="224"/>
      <c r="DJ23" s="221"/>
      <c r="DK23" s="221"/>
      <c r="DL23" s="221"/>
      <c r="DM23" s="221"/>
      <c r="DN23" s="221"/>
      <c r="DO23" s="224"/>
      <c r="DP23" s="224"/>
      <c r="DQ23" s="224"/>
      <c r="DR23" s="224"/>
      <c r="DS23" s="224"/>
      <c r="DT23" s="224"/>
      <c r="DU23" s="224"/>
      <c r="DV23" s="224"/>
      <c r="DW23" s="224"/>
      <c r="DX23" s="224"/>
      <c r="DY23" s="224"/>
      <c r="DZ23" s="224"/>
      <c r="EA23" s="221"/>
      <c r="EB23" s="221"/>
      <c r="EC23" s="221"/>
      <c r="ED23" s="221"/>
      <c r="EE23" s="221"/>
      <c r="EF23" s="224"/>
      <c r="EG23" s="224"/>
      <c r="EH23" s="224"/>
      <c r="EI23" s="224"/>
      <c r="EJ23" s="224"/>
      <c r="EK23" s="224"/>
      <c r="EL23" s="224"/>
      <c r="EM23" s="224"/>
      <c r="EN23" s="224"/>
      <c r="EO23" s="224"/>
      <c r="EP23" s="224"/>
      <c r="EQ23" s="224"/>
      <c r="ER23" s="9"/>
      <c r="ES23" s="9"/>
      <c r="ET23" s="9"/>
      <c r="EU23" s="9"/>
      <c r="EZ23" s="203"/>
      <c r="FA23" s="242"/>
      <c r="FB23" s="242"/>
      <c r="FC23" s="242"/>
      <c r="FD23" s="243"/>
      <c r="FE23" s="243"/>
      <c r="FF23" s="243"/>
      <c r="FG23" s="243"/>
      <c r="FH23" s="243"/>
      <c r="FI23" s="243"/>
      <c r="FJ23" s="203"/>
      <c r="FK23" s="242"/>
      <c r="FL23" s="242"/>
      <c r="FM23" s="242"/>
      <c r="FN23" s="243"/>
      <c r="FO23" s="243"/>
      <c r="FP23" s="243"/>
      <c r="FQ23" s="243"/>
      <c r="FR23" s="243"/>
      <c r="FS23" s="243"/>
      <c r="FT23" s="203"/>
      <c r="FU23" s="242"/>
      <c r="FV23" s="242"/>
      <c r="FW23" s="242"/>
      <c r="FX23" s="243"/>
      <c r="FY23" s="243"/>
      <c r="FZ23" s="243"/>
      <c r="GA23" s="243"/>
      <c r="GB23" s="243"/>
      <c r="GC23" s="243"/>
      <c r="GD23" s="203"/>
      <c r="GE23" s="242"/>
      <c r="GF23" s="242"/>
      <c r="GG23" s="242"/>
      <c r="GH23" s="243"/>
      <c r="GI23" s="243"/>
      <c r="GJ23" s="243"/>
      <c r="GK23" s="243"/>
      <c r="GL23" s="243"/>
      <c r="GM23" s="243"/>
      <c r="GN23" s="203"/>
      <c r="GO23" s="242"/>
      <c r="GP23" s="242"/>
      <c r="GQ23" s="242"/>
      <c r="GR23" s="243"/>
      <c r="GS23" s="243"/>
      <c r="GT23" s="243"/>
      <c r="GU23" s="243"/>
      <c r="GV23" s="243"/>
      <c r="GW23" s="243"/>
      <c r="GX23" s="203"/>
      <c r="GY23" s="242"/>
      <c r="GZ23" s="242"/>
      <c r="HA23" s="242"/>
      <c r="HB23" s="243"/>
      <c r="HC23" s="243"/>
      <c r="HD23" s="243"/>
      <c r="HE23" s="243"/>
      <c r="HF23" s="243"/>
      <c r="HG23" s="243"/>
      <c r="HH23" s="203"/>
      <c r="HI23" s="242"/>
      <c r="HJ23" s="242"/>
      <c r="HK23" s="242"/>
      <c r="HL23" s="243"/>
      <c r="HM23" s="243"/>
      <c r="HN23" s="243"/>
      <c r="HO23" s="243"/>
      <c r="HP23" s="203"/>
      <c r="HQ23" s="203"/>
    </row>
    <row r="24" spans="1:225" ht="45.75" x14ac:dyDescent="0.25">
      <c r="A24" s="286"/>
      <c r="B24" s="286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23"/>
      <c r="V24" s="221"/>
      <c r="W24" s="221"/>
      <c r="X24" s="221"/>
      <c r="Y24" s="221"/>
      <c r="Z24" s="221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48"/>
      <c r="AP24" s="248"/>
      <c r="AQ24" s="248"/>
      <c r="AR24" s="248"/>
      <c r="AS24" s="248"/>
      <c r="AT24" s="248"/>
      <c r="AU24" s="248"/>
      <c r="AV24" s="248"/>
      <c r="AW24" s="224"/>
      <c r="AX24" s="225"/>
      <c r="AY24" s="225"/>
      <c r="AZ24" s="225"/>
      <c r="BA24" s="225"/>
      <c r="BB24" s="225"/>
      <c r="BC24" s="225"/>
      <c r="BD24" s="226"/>
      <c r="BE24" s="223"/>
      <c r="BF24" s="224"/>
      <c r="BG24" s="224"/>
      <c r="BH24" s="224"/>
      <c r="BI24" s="224"/>
      <c r="BJ24" s="224"/>
      <c r="BK24" s="224"/>
      <c r="BL24" s="224"/>
      <c r="BM24" s="224"/>
      <c r="BN24" s="224"/>
      <c r="BO24" s="224"/>
      <c r="BP24" s="224"/>
      <c r="BQ24" s="224"/>
      <c r="BR24" s="224"/>
      <c r="BS24" s="224"/>
      <c r="BT24" s="224"/>
      <c r="BU24" s="225"/>
      <c r="BV24" s="225"/>
      <c r="BW24" s="225"/>
      <c r="BX24" s="225"/>
      <c r="BY24" s="225"/>
      <c r="BZ24" s="224"/>
      <c r="CA24" s="224"/>
      <c r="CB24" s="224"/>
      <c r="CC24" s="224"/>
      <c r="CD24" s="224"/>
      <c r="CE24" s="224"/>
      <c r="CF24" s="224"/>
      <c r="CG24" s="224"/>
      <c r="CH24" s="224"/>
      <c r="CI24" s="224"/>
      <c r="CJ24" s="224"/>
      <c r="CK24" s="224"/>
      <c r="CL24" s="224"/>
      <c r="CM24" s="224"/>
      <c r="CN24" s="224"/>
      <c r="CO24" s="224"/>
      <c r="CP24" s="224"/>
      <c r="CQ24" s="224"/>
      <c r="CR24" s="221"/>
      <c r="CS24" s="221"/>
      <c r="CT24" s="221"/>
      <c r="CU24" s="221"/>
      <c r="CV24" s="221"/>
      <c r="CW24" s="224"/>
      <c r="CX24" s="224"/>
      <c r="CY24" s="224"/>
      <c r="CZ24" s="224"/>
      <c r="DA24" s="224"/>
      <c r="DB24" s="224"/>
      <c r="DC24" s="224"/>
      <c r="DD24" s="224"/>
      <c r="DE24" s="224"/>
      <c r="DF24" s="224"/>
      <c r="DG24" s="224"/>
      <c r="DH24" s="224"/>
      <c r="DI24" s="224"/>
      <c r="DJ24" s="221"/>
      <c r="DK24" s="221"/>
      <c r="DL24" s="221"/>
      <c r="DM24" s="221"/>
      <c r="DN24" s="221"/>
      <c r="DO24" s="224"/>
      <c r="DP24" s="224"/>
      <c r="DQ24" s="224"/>
      <c r="DR24" s="224"/>
      <c r="DS24" s="224"/>
      <c r="DT24" s="224"/>
      <c r="DU24" s="224"/>
      <c r="DV24" s="224"/>
      <c r="DW24" s="224"/>
      <c r="DX24" s="224"/>
      <c r="DY24" s="224"/>
      <c r="DZ24" s="224"/>
      <c r="EA24" s="221"/>
      <c r="EB24" s="221"/>
      <c r="EC24" s="221"/>
      <c r="ED24" s="221"/>
      <c r="EE24" s="221"/>
      <c r="EF24" s="224"/>
      <c r="EG24" s="224"/>
      <c r="EH24" s="224"/>
      <c r="EI24" s="224"/>
      <c r="EJ24" s="224"/>
      <c r="EK24" s="224"/>
      <c r="EL24" s="224"/>
      <c r="EM24" s="224"/>
      <c r="EN24" s="224"/>
      <c r="EO24" s="224"/>
      <c r="EP24" s="224"/>
      <c r="EQ24" s="224"/>
      <c r="ER24" s="9"/>
      <c r="ES24" s="9"/>
      <c r="ET24" s="9"/>
      <c r="EU24" s="9"/>
    </row>
    <row r="25" spans="1:225" ht="42" x14ac:dyDescent="0.25">
      <c r="A25" s="54"/>
      <c r="B25" s="54"/>
      <c r="C25" s="55"/>
      <c r="D25" s="227"/>
      <c r="E25" s="227"/>
      <c r="F25" s="228"/>
      <c r="G25" s="228"/>
      <c r="H25" s="228"/>
      <c r="I25" s="228"/>
      <c r="J25" s="228"/>
      <c r="K25" s="228"/>
      <c r="L25" s="228"/>
      <c r="M25" s="228"/>
      <c r="N25" s="227"/>
      <c r="O25" s="227"/>
      <c r="P25" s="227"/>
      <c r="Q25" s="227"/>
      <c r="R25" s="229"/>
      <c r="S25" s="229"/>
      <c r="T25" s="227"/>
      <c r="U25" s="227"/>
      <c r="V25" s="227"/>
      <c r="W25" s="230"/>
      <c r="X25" s="230"/>
      <c r="Y25" s="230"/>
      <c r="Z25" s="231"/>
      <c r="AA25" s="231"/>
      <c r="AB25" s="232"/>
      <c r="AC25" s="232"/>
      <c r="AD25" s="109"/>
      <c r="AE25" s="109"/>
      <c r="AF25" s="109"/>
      <c r="AG25" s="233"/>
      <c r="AH25" s="109"/>
      <c r="AI25" s="109"/>
      <c r="AJ25" s="109"/>
      <c r="AK25" s="233"/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4"/>
      <c r="AW25" s="234"/>
      <c r="AX25" s="233"/>
      <c r="AY25" s="233"/>
      <c r="AZ25" s="233"/>
      <c r="BA25" s="109"/>
      <c r="BB25" s="109"/>
      <c r="BC25" s="109"/>
      <c r="BD25" s="109"/>
      <c r="BE25" s="233"/>
      <c r="BF25" s="233"/>
      <c r="BG25" s="233"/>
      <c r="BH25" s="233"/>
      <c r="BI25" s="235"/>
      <c r="BJ25" s="230"/>
      <c r="BK25" s="236"/>
      <c r="BL25" s="236"/>
      <c r="BM25" s="236"/>
      <c r="BN25" s="236"/>
      <c r="BO25" s="230"/>
      <c r="BP25" s="233"/>
      <c r="BQ25" s="233"/>
      <c r="BR25" s="233"/>
      <c r="BS25" s="233"/>
      <c r="BT25" s="233"/>
      <c r="BU25" s="233"/>
      <c r="BV25" s="233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37"/>
      <c r="DA25" s="237"/>
      <c r="DB25" s="237"/>
      <c r="DC25" s="237"/>
      <c r="DD25" s="233"/>
      <c r="DE25" s="233"/>
      <c r="DF25" s="233"/>
      <c r="DG25" s="233"/>
      <c r="DH25" s="233"/>
      <c r="DI25" s="233"/>
      <c r="DJ25" s="233"/>
      <c r="DK25" s="237"/>
      <c r="DL25" s="237"/>
      <c r="DM25" s="237"/>
      <c r="DN25" s="237"/>
      <c r="DO25" s="237"/>
      <c r="DP25" s="237"/>
      <c r="DQ25" s="237"/>
      <c r="DR25" s="237"/>
      <c r="DS25" s="237"/>
      <c r="DT25" s="237"/>
      <c r="DU25" s="237"/>
      <c r="DV25" s="237"/>
      <c r="DW25" s="237"/>
      <c r="DX25" s="237"/>
      <c r="DY25" s="237"/>
      <c r="DZ25" s="237"/>
      <c r="EA25" s="237"/>
      <c r="EB25" s="237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Q25" s="237"/>
      <c r="ER25" s="10"/>
      <c r="ES25" s="10"/>
      <c r="ET25" s="10"/>
      <c r="EU25" s="10"/>
    </row>
    <row r="26" spans="1:225" ht="60.75" customHeight="1" x14ac:dyDescent="0.2">
      <c r="A26" s="607" t="s">
        <v>231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607"/>
      <c r="AB26" s="607"/>
      <c r="AC26" s="607"/>
      <c r="AD26" s="607"/>
      <c r="AE26" s="607"/>
      <c r="AF26" s="607"/>
      <c r="AG26" s="607"/>
      <c r="AH26" s="607"/>
      <c r="AI26" s="607"/>
      <c r="AJ26" s="607"/>
      <c r="AK26" s="607"/>
      <c r="AL26" s="607"/>
      <c r="AM26" s="607"/>
      <c r="AN26" s="607"/>
      <c r="AO26" s="607"/>
      <c r="AP26" s="607"/>
      <c r="AQ26" s="607"/>
      <c r="AR26" s="607"/>
      <c r="AS26" s="607"/>
      <c r="AT26" s="607"/>
      <c r="AU26" s="607"/>
      <c r="AV26" s="607"/>
      <c r="AW26" s="607"/>
      <c r="AX26" s="607"/>
      <c r="AY26" s="607"/>
      <c r="AZ26" s="607"/>
      <c r="BA26" s="607"/>
      <c r="BB26" s="607"/>
      <c r="BC26" s="607"/>
      <c r="BD26" s="607"/>
      <c r="BE26" s="607"/>
      <c r="BF26" s="607"/>
      <c r="BG26" s="607"/>
      <c r="BH26" s="607"/>
      <c r="BI26" s="607"/>
      <c r="BJ26" s="607"/>
      <c r="BK26" s="607"/>
      <c r="BL26" s="607"/>
      <c r="BM26" s="607"/>
      <c r="BN26" s="607"/>
      <c r="BO26" s="607"/>
      <c r="BP26" s="607"/>
      <c r="BQ26" s="607"/>
      <c r="BR26" s="607"/>
      <c r="BS26" s="607"/>
      <c r="BT26" s="607"/>
      <c r="BU26" s="607"/>
      <c r="BV26" s="607"/>
      <c r="BW26" s="607"/>
      <c r="BX26" s="607"/>
      <c r="BY26" s="607"/>
      <c r="BZ26" s="607"/>
      <c r="CA26" s="607"/>
      <c r="CB26" s="607"/>
      <c r="CC26" s="607"/>
      <c r="CD26" s="607"/>
      <c r="CE26" s="607"/>
      <c r="CF26" s="607"/>
      <c r="CG26" s="607"/>
      <c r="CH26" s="607"/>
      <c r="CI26" s="607"/>
      <c r="CJ26" s="607"/>
      <c r="CK26" s="607"/>
      <c r="CL26" s="607"/>
      <c r="CM26" s="607"/>
      <c r="CN26" s="607"/>
      <c r="CO26" s="607"/>
      <c r="CP26" s="607"/>
      <c r="CQ26" s="607"/>
      <c r="CR26" s="607"/>
      <c r="CS26" s="607"/>
      <c r="CT26" s="607"/>
      <c r="CU26" s="607"/>
      <c r="CV26" s="607"/>
      <c r="CW26" s="607"/>
      <c r="CX26" s="607"/>
      <c r="CY26" s="607"/>
      <c r="CZ26" s="607"/>
      <c r="DA26" s="607"/>
      <c r="DB26" s="607"/>
      <c r="DC26" s="607"/>
      <c r="DD26" s="607"/>
      <c r="DE26" s="607"/>
      <c r="DF26" s="607"/>
      <c r="DG26" s="607"/>
      <c r="DH26" s="607"/>
      <c r="DI26" s="607"/>
      <c r="DJ26" s="607"/>
      <c r="DK26" s="607"/>
      <c r="DL26" s="607"/>
      <c r="DM26" s="607"/>
      <c r="DN26" s="607"/>
      <c r="DO26" s="607"/>
      <c r="DP26" s="607"/>
      <c r="DQ26" s="607"/>
      <c r="DR26" s="607"/>
      <c r="DS26" s="607"/>
      <c r="DT26" s="607"/>
      <c r="DU26" s="607"/>
      <c r="DV26" s="607"/>
      <c r="DW26" s="607"/>
      <c r="DX26" s="607"/>
      <c r="DY26" s="607"/>
      <c r="DZ26" s="607"/>
      <c r="EA26" s="607"/>
      <c r="EB26" s="607"/>
      <c r="EC26" s="607"/>
      <c r="ED26" s="607"/>
      <c r="EE26" s="607"/>
      <c r="EF26" s="607"/>
      <c r="EG26" s="607"/>
      <c r="EH26" s="607"/>
      <c r="EI26" s="607"/>
      <c r="EJ26" s="607"/>
      <c r="EK26" s="607"/>
      <c r="EL26" s="607"/>
      <c r="EM26" s="607"/>
      <c r="EN26" s="607"/>
      <c r="EO26" s="607"/>
      <c r="EP26" s="607"/>
      <c r="EQ26" s="607"/>
      <c r="ER26" s="607"/>
      <c r="ES26" s="607"/>
      <c r="ET26" s="607"/>
      <c r="EU26" s="607"/>
    </row>
    <row r="27" spans="1:225" ht="45" x14ac:dyDescent="0.2">
      <c r="A27" s="609" t="s">
        <v>25</v>
      </c>
      <c r="B27" s="612" t="s">
        <v>58</v>
      </c>
      <c r="C27" s="615" t="s">
        <v>59</v>
      </c>
      <c r="D27" s="615"/>
      <c r="E27" s="615"/>
      <c r="F27" s="615"/>
      <c r="G27" s="615"/>
      <c r="H27" s="615"/>
      <c r="I27" s="615"/>
      <c r="J27" s="615"/>
      <c r="K27" s="615"/>
      <c r="L27" s="615"/>
      <c r="M27" s="615"/>
      <c r="N27" s="615"/>
      <c r="O27" s="615"/>
      <c r="P27" s="615"/>
      <c r="Q27" s="615"/>
      <c r="R27" s="615"/>
      <c r="S27" s="615"/>
      <c r="T27" s="615"/>
      <c r="U27" s="615"/>
      <c r="V27" s="615"/>
      <c r="W27" s="615"/>
      <c r="X27" s="615"/>
      <c r="Y27" s="615"/>
      <c r="Z27" s="483" t="s">
        <v>241</v>
      </c>
      <c r="AA27" s="484"/>
      <c r="AB27" s="484"/>
      <c r="AC27" s="484"/>
      <c r="AD27" s="484"/>
      <c r="AE27" s="484"/>
      <c r="AF27" s="484"/>
      <c r="AG27" s="484"/>
      <c r="AH27" s="484"/>
      <c r="AI27" s="484"/>
      <c r="AJ27" s="484"/>
      <c r="AK27" s="484"/>
      <c r="AL27" s="484"/>
      <c r="AM27" s="484"/>
      <c r="AN27" s="484"/>
      <c r="AO27" s="484"/>
      <c r="AP27" s="484"/>
      <c r="AQ27" s="484"/>
      <c r="AR27" s="484"/>
      <c r="AS27" s="484"/>
      <c r="AT27" s="484"/>
      <c r="AU27" s="484"/>
      <c r="AV27" s="484"/>
      <c r="AW27" s="484"/>
      <c r="AX27" s="484"/>
      <c r="AY27" s="484"/>
      <c r="AZ27" s="484"/>
      <c r="BA27" s="484"/>
      <c r="BB27" s="484"/>
      <c r="BC27" s="484"/>
      <c r="BD27" s="484"/>
      <c r="BE27" s="484"/>
      <c r="BF27" s="484"/>
      <c r="BG27" s="484"/>
      <c r="BH27" s="484"/>
      <c r="BI27" s="484"/>
      <c r="BJ27" s="484"/>
      <c r="BK27" s="484"/>
      <c r="BL27" s="616"/>
      <c r="BM27" s="616"/>
      <c r="BN27" s="616"/>
      <c r="BO27" s="616"/>
      <c r="BP27" s="617" t="s">
        <v>242</v>
      </c>
      <c r="BQ27" s="618"/>
      <c r="BR27" s="618"/>
      <c r="BS27" s="618"/>
      <c r="BT27" s="618"/>
      <c r="BU27" s="618"/>
      <c r="BV27" s="618"/>
      <c r="BW27" s="618"/>
      <c r="BX27" s="618"/>
      <c r="BY27" s="618"/>
      <c r="BZ27" s="618"/>
      <c r="CA27" s="618"/>
      <c r="CB27" s="618"/>
      <c r="CC27" s="618"/>
      <c r="CD27" s="618"/>
      <c r="CE27" s="618"/>
      <c r="CF27" s="618"/>
      <c r="CG27" s="618"/>
      <c r="CH27" s="618"/>
      <c r="CI27" s="618"/>
      <c r="CJ27" s="618"/>
      <c r="CK27" s="618"/>
      <c r="CL27" s="618"/>
      <c r="CM27" s="618"/>
      <c r="CN27" s="618"/>
      <c r="CO27" s="618"/>
      <c r="CP27" s="618"/>
      <c r="CQ27" s="618"/>
      <c r="CR27" s="618"/>
      <c r="CS27" s="618"/>
      <c r="CT27" s="618"/>
      <c r="CU27" s="618"/>
      <c r="CV27" s="618"/>
      <c r="CW27" s="618"/>
      <c r="CX27" s="618"/>
      <c r="CY27" s="618"/>
      <c r="CZ27" s="618"/>
      <c r="DA27" s="618"/>
      <c r="DB27" s="618"/>
      <c r="DC27" s="619"/>
      <c r="DD27" s="620" t="s">
        <v>243</v>
      </c>
      <c r="DE27" s="621"/>
      <c r="DF27" s="621"/>
      <c r="DG27" s="621"/>
      <c r="DH27" s="621"/>
      <c r="DI27" s="621"/>
      <c r="DJ27" s="621"/>
      <c r="DK27" s="621"/>
      <c r="DL27" s="621"/>
      <c r="DM27" s="621"/>
      <c r="DN27" s="621"/>
      <c r="DO27" s="621"/>
      <c r="DP27" s="621"/>
      <c r="DQ27" s="621"/>
      <c r="DR27" s="621"/>
      <c r="DS27" s="621"/>
      <c r="DT27" s="621"/>
      <c r="DU27" s="621"/>
      <c r="DV27" s="621"/>
      <c r="DW27" s="621"/>
      <c r="DX27" s="621"/>
      <c r="DY27" s="621"/>
      <c r="DZ27" s="621"/>
      <c r="EA27" s="621"/>
      <c r="EB27" s="621"/>
      <c r="EC27" s="621"/>
      <c r="ED27" s="621"/>
      <c r="EE27" s="621"/>
      <c r="EF27" s="621"/>
      <c r="EG27" s="621"/>
      <c r="EH27" s="621"/>
      <c r="EI27" s="621"/>
      <c r="EJ27" s="621"/>
      <c r="EK27" s="621"/>
      <c r="EL27" s="621"/>
      <c r="EM27" s="621"/>
      <c r="EN27" s="621"/>
      <c r="EO27" s="621"/>
      <c r="EP27" s="621"/>
      <c r="EQ27" s="622"/>
      <c r="ER27" s="628" t="s">
        <v>35</v>
      </c>
      <c r="ES27" s="629"/>
      <c r="ET27" s="1002"/>
      <c r="EU27" s="630"/>
    </row>
    <row r="28" spans="1:225" ht="57.6" customHeight="1" x14ac:dyDescent="0.2">
      <c r="A28" s="610"/>
      <c r="B28" s="613"/>
      <c r="C28" s="615"/>
      <c r="D28" s="615"/>
      <c r="E28" s="615"/>
      <c r="F28" s="615"/>
      <c r="G28" s="615"/>
      <c r="H28" s="615"/>
      <c r="I28" s="615"/>
      <c r="J28" s="615"/>
      <c r="K28" s="615"/>
      <c r="L28" s="615"/>
      <c r="M28" s="615"/>
      <c r="N28" s="615"/>
      <c r="O28" s="615"/>
      <c r="P28" s="615"/>
      <c r="Q28" s="615"/>
      <c r="R28" s="615"/>
      <c r="S28" s="615"/>
      <c r="T28" s="615"/>
      <c r="U28" s="615"/>
      <c r="V28" s="615"/>
      <c r="W28" s="615"/>
      <c r="X28" s="615"/>
      <c r="Y28" s="615"/>
      <c r="Z28" s="631" t="s">
        <v>61</v>
      </c>
      <c r="AA28" s="616"/>
      <c r="AB28" s="616"/>
      <c r="AC28" s="616"/>
      <c r="AD28" s="616"/>
      <c r="AE28" s="616"/>
      <c r="AF28" s="616"/>
      <c r="AG28" s="632"/>
      <c r="AH28" s="631" t="s">
        <v>62</v>
      </c>
      <c r="AI28" s="616"/>
      <c r="AJ28" s="616"/>
      <c r="AK28" s="616"/>
      <c r="AL28" s="616"/>
      <c r="AM28" s="616"/>
      <c r="AN28" s="616"/>
      <c r="AO28" s="616"/>
      <c r="AP28" s="616"/>
      <c r="AQ28" s="616"/>
      <c r="AR28" s="616"/>
      <c r="AS28" s="616"/>
      <c r="AT28" s="616"/>
      <c r="AU28" s="616"/>
      <c r="AV28" s="616"/>
      <c r="AW28" s="616"/>
      <c r="AX28" s="616"/>
      <c r="AY28" s="616"/>
      <c r="AZ28" s="616"/>
      <c r="BA28" s="616"/>
      <c r="BB28" s="616"/>
      <c r="BC28" s="616"/>
      <c r="BD28" s="616"/>
      <c r="BE28" s="616"/>
      <c r="BF28" s="616"/>
      <c r="BG28" s="616"/>
      <c r="BH28" s="616"/>
      <c r="BI28" s="616"/>
      <c r="BJ28" s="616"/>
      <c r="BK28" s="616"/>
      <c r="BL28" s="638" t="s">
        <v>26</v>
      </c>
      <c r="BM28" s="638"/>
      <c r="BN28" s="638"/>
      <c r="BO28" s="639"/>
      <c r="BP28" s="620" t="s">
        <v>27</v>
      </c>
      <c r="BQ28" s="621"/>
      <c r="BR28" s="621"/>
      <c r="BS28" s="621"/>
      <c r="BT28" s="621"/>
      <c r="BU28" s="621"/>
      <c r="BV28" s="621"/>
      <c r="BW28" s="621"/>
      <c r="BX28" s="621" t="s">
        <v>28</v>
      </c>
      <c r="BY28" s="621"/>
      <c r="BZ28" s="621"/>
      <c r="CA28" s="621"/>
      <c r="CB28" s="621"/>
      <c r="CC28" s="621"/>
      <c r="CD28" s="621"/>
      <c r="CE28" s="621"/>
      <c r="CF28" s="621" t="s">
        <v>29</v>
      </c>
      <c r="CG28" s="621"/>
      <c r="CH28" s="621"/>
      <c r="CI28" s="621"/>
      <c r="CJ28" s="621"/>
      <c r="CK28" s="621"/>
      <c r="CL28" s="621"/>
      <c r="CM28" s="621"/>
      <c r="CN28" s="621" t="s">
        <v>68</v>
      </c>
      <c r="CO28" s="621"/>
      <c r="CP28" s="621"/>
      <c r="CQ28" s="621"/>
      <c r="CR28" s="621"/>
      <c r="CS28" s="621"/>
      <c r="CT28" s="621"/>
      <c r="CU28" s="621"/>
      <c r="CV28" s="621" t="s">
        <v>30</v>
      </c>
      <c r="CW28" s="621"/>
      <c r="CX28" s="621"/>
      <c r="CY28" s="621"/>
      <c r="CZ28" s="621"/>
      <c r="DA28" s="621"/>
      <c r="DB28" s="621"/>
      <c r="DC28" s="622"/>
      <c r="DD28" s="620" t="s">
        <v>27</v>
      </c>
      <c r="DE28" s="621"/>
      <c r="DF28" s="621"/>
      <c r="DG28" s="621"/>
      <c r="DH28" s="621"/>
      <c r="DI28" s="621"/>
      <c r="DJ28" s="621"/>
      <c r="DK28" s="621"/>
      <c r="DL28" s="621" t="s">
        <v>28</v>
      </c>
      <c r="DM28" s="621"/>
      <c r="DN28" s="621"/>
      <c r="DO28" s="621"/>
      <c r="DP28" s="621"/>
      <c r="DQ28" s="621"/>
      <c r="DR28" s="621"/>
      <c r="DS28" s="621"/>
      <c r="DT28" s="621" t="s">
        <v>29</v>
      </c>
      <c r="DU28" s="621"/>
      <c r="DV28" s="621"/>
      <c r="DW28" s="621"/>
      <c r="DX28" s="621"/>
      <c r="DY28" s="621"/>
      <c r="DZ28" s="621"/>
      <c r="EA28" s="621"/>
      <c r="EB28" s="621" t="s">
        <v>68</v>
      </c>
      <c r="EC28" s="621"/>
      <c r="ED28" s="621"/>
      <c r="EE28" s="621"/>
      <c r="EF28" s="621"/>
      <c r="EG28" s="621"/>
      <c r="EH28" s="621"/>
      <c r="EI28" s="621"/>
      <c r="EJ28" s="621" t="s">
        <v>30</v>
      </c>
      <c r="EK28" s="621"/>
      <c r="EL28" s="621"/>
      <c r="EM28" s="621"/>
      <c r="EN28" s="621"/>
      <c r="EO28" s="621"/>
      <c r="EP28" s="621"/>
      <c r="EQ28" s="622"/>
      <c r="ER28" s="628"/>
      <c r="ES28" s="629"/>
      <c r="ET28" s="1002"/>
      <c r="EU28" s="630"/>
    </row>
    <row r="29" spans="1:225" ht="48" customHeight="1" x14ac:dyDescent="0.2">
      <c r="A29" s="610"/>
      <c r="B29" s="613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615"/>
      <c r="N29" s="615"/>
      <c r="O29" s="615"/>
      <c r="P29" s="615"/>
      <c r="Q29" s="615"/>
      <c r="R29" s="615"/>
      <c r="S29" s="615"/>
      <c r="T29" s="615"/>
      <c r="U29" s="615"/>
      <c r="V29" s="615"/>
      <c r="W29" s="615"/>
      <c r="X29" s="615"/>
      <c r="Y29" s="615"/>
      <c r="Z29" s="633"/>
      <c r="AA29" s="551"/>
      <c r="AB29" s="551"/>
      <c r="AC29" s="551"/>
      <c r="AD29" s="551"/>
      <c r="AE29" s="551"/>
      <c r="AF29" s="551"/>
      <c r="AG29" s="634"/>
      <c r="AH29" s="568" t="s">
        <v>21</v>
      </c>
      <c r="AI29" s="623"/>
      <c r="AJ29" s="623"/>
      <c r="AK29" s="623"/>
      <c r="AL29" s="569"/>
      <c r="AM29" s="568" t="s">
        <v>63</v>
      </c>
      <c r="AN29" s="623"/>
      <c r="AO29" s="623"/>
      <c r="AP29" s="623"/>
      <c r="AQ29" s="569"/>
      <c r="AR29" s="568" t="s">
        <v>64</v>
      </c>
      <c r="AS29" s="623"/>
      <c r="AT29" s="623"/>
      <c r="AU29" s="623"/>
      <c r="AV29" s="569"/>
      <c r="AW29" s="568" t="s">
        <v>65</v>
      </c>
      <c r="AX29" s="623"/>
      <c r="AY29" s="623"/>
      <c r="AZ29" s="623"/>
      <c r="BA29" s="569"/>
      <c r="BB29" s="568" t="s">
        <v>66</v>
      </c>
      <c r="BC29" s="623"/>
      <c r="BD29" s="623"/>
      <c r="BE29" s="623"/>
      <c r="BF29" s="569"/>
      <c r="BG29" s="568" t="s">
        <v>67</v>
      </c>
      <c r="BH29" s="623"/>
      <c r="BI29" s="623"/>
      <c r="BJ29" s="623"/>
      <c r="BK29" s="623"/>
      <c r="BL29" s="638"/>
      <c r="BM29" s="638"/>
      <c r="BN29" s="638"/>
      <c r="BO29" s="639"/>
      <c r="BP29" s="620" t="s">
        <v>31</v>
      </c>
      <c r="BQ29" s="621"/>
      <c r="BR29" s="621"/>
      <c r="BS29" s="621"/>
      <c r="BT29" s="621"/>
      <c r="BU29" s="621"/>
      <c r="BV29" s="621"/>
      <c r="BW29" s="621"/>
      <c r="BX29" s="621"/>
      <c r="BY29" s="621"/>
      <c r="BZ29" s="621"/>
      <c r="CA29" s="621"/>
      <c r="CB29" s="621"/>
      <c r="CC29" s="621"/>
      <c r="CD29" s="621"/>
      <c r="CE29" s="621"/>
      <c r="CF29" s="621"/>
      <c r="CG29" s="621"/>
      <c r="CH29" s="621"/>
      <c r="CI29" s="621"/>
      <c r="CJ29" s="621"/>
      <c r="CK29" s="621"/>
      <c r="CL29" s="621"/>
      <c r="CM29" s="621"/>
      <c r="CN29" s="621"/>
      <c r="CO29" s="621"/>
      <c r="CP29" s="621"/>
      <c r="CQ29" s="621"/>
      <c r="CR29" s="621"/>
      <c r="CS29" s="621"/>
      <c r="CT29" s="621"/>
      <c r="CU29" s="621"/>
      <c r="CV29" s="621"/>
      <c r="CW29" s="621"/>
      <c r="CX29" s="621"/>
      <c r="CY29" s="621"/>
      <c r="CZ29" s="621"/>
      <c r="DA29" s="621"/>
      <c r="DB29" s="621"/>
      <c r="DC29" s="622"/>
      <c r="DD29" s="620" t="s">
        <v>31</v>
      </c>
      <c r="DE29" s="621"/>
      <c r="DF29" s="621"/>
      <c r="DG29" s="621"/>
      <c r="DH29" s="621"/>
      <c r="DI29" s="621"/>
      <c r="DJ29" s="621"/>
      <c r="DK29" s="621"/>
      <c r="DL29" s="621"/>
      <c r="DM29" s="621"/>
      <c r="DN29" s="621"/>
      <c r="DO29" s="621"/>
      <c r="DP29" s="621"/>
      <c r="DQ29" s="621"/>
      <c r="DR29" s="621"/>
      <c r="DS29" s="621"/>
      <c r="DT29" s="621"/>
      <c r="DU29" s="621"/>
      <c r="DV29" s="621"/>
      <c r="DW29" s="621"/>
      <c r="DX29" s="621"/>
      <c r="DY29" s="621"/>
      <c r="DZ29" s="621"/>
      <c r="EA29" s="621"/>
      <c r="EB29" s="621"/>
      <c r="EC29" s="621"/>
      <c r="ED29" s="621"/>
      <c r="EE29" s="621"/>
      <c r="EF29" s="621"/>
      <c r="EG29" s="621"/>
      <c r="EH29" s="621"/>
      <c r="EI29" s="621"/>
      <c r="EJ29" s="621"/>
      <c r="EK29" s="621"/>
      <c r="EL29" s="621"/>
      <c r="EM29" s="621"/>
      <c r="EN29" s="621"/>
      <c r="EO29" s="621"/>
      <c r="EP29" s="621"/>
      <c r="EQ29" s="622"/>
      <c r="ER29" s="628"/>
      <c r="ES29" s="629"/>
      <c r="ET29" s="1002"/>
      <c r="EU29" s="630"/>
    </row>
    <row r="30" spans="1:225" ht="45" x14ac:dyDescent="0.2">
      <c r="A30" s="610"/>
      <c r="B30" s="613"/>
      <c r="C30" s="615"/>
      <c r="D30" s="615"/>
      <c r="E30" s="615"/>
      <c r="F30" s="615"/>
      <c r="G30" s="615"/>
      <c r="H30" s="615"/>
      <c r="I30" s="615"/>
      <c r="J30" s="615"/>
      <c r="K30" s="615"/>
      <c r="L30" s="615"/>
      <c r="M30" s="615"/>
      <c r="N30" s="615"/>
      <c r="O30" s="615"/>
      <c r="P30" s="615"/>
      <c r="Q30" s="615"/>
      <c r="R30" s="615"/>
      <c r="S30" s="615"/>
      <c r="T30" s="615"/>
      <c r="U30" s="615"/>
      <c r="V30" s="615"/>
      <c r="W30" s="615"/>
      <c r="X30" s="615"/>
      <c r="Y30" s="615"/>
      <c r="Z30" s="633"/>
      <c r="AA30" s="551"/>
      <c r="AB30" s="551"/>
      <c r="AC30" s="551"/>
      <c r="AD30" s="551"/>
      <c r="AE30" s="551"/>
      <c r="AF30" s="551"/>
      <c r="AG30" s="634"/>
      <c r="AH30" s="570"/>
      <c r="AI30" s="624"/>
      <c r="AJ30" s="624"/>
      <c r="AK30" s="624"/>
      <c r="AL30" s="571"/>
      <c r="AM30" s="570"/>
      <c r="AN30" s="624"/>
      <c r="AO30" s="624"/>
      <c r="AP30" s="624"/>
      <c r="AQ30" s="571"/>
      <c r="AR30" s="570"/>
      <c r="AS30" s="624"/>
      <c r="AT30" s="624"/>
      <c r="AU30" s="624"/>
      <c r="AV30" s="571"/>
      <c r="AW30" s="570"/>
      <c r="AX30" s="624"/>
      <c r="AY30" s="624"/>
      <c r="AZ30" s="624"/>
      <c r="BA30" s="571"/>
      <c r="BB30" s="570"/>
      <c r="BC30" s="624"/>
      <c r="BD30" s="624"/>
      <c r="BE30" s="624"/>
      <c r="BF30" s="571"/>
      <c r="BG30" s="570"/>
      <c r="BH30" s="624"/>
      <c r="BI30" s="624"/>
      <c r="BJ30" s="624"/>
      <c r="BK30" s="624"/>
      <c r="BL30" s="638"/>
      <c r="BM30" s="638"/>
      <c r="BN30" s="638"/>
      <c r="BO30" s="639"/>
      <c r="BP30" s="620">
        <v>7</v>
      </c>
      <c r="BQ30" s="621"/>
      <c r="BR30" s="621"/>
      <c r="BS30" s="621"/>
      <c r="BT30" s="621"/>
      <c r="BU30" s="621"/>
      <c r="BV30" s="621"/>
      <c r="BW30" s="621"/>
      <c r="BX30" s="621">
        <v>6</v>
      </c>
      <c r="BY30" s="621"/>
      <c r="BZ30" s="621"/>
      <c r="CA30" s="621"/>
      <c r="CB30" s="621"/>
      <c r="CC30" s="621"/>
      <c r="CD30" s="621"/>
      <c r="CE30" s="621"/>
      <c r="CF30" s="621">
        <v>6</v>
      </c>
      <c r="CG30" s="621"/>
      <c r="CH30" s="621"/>
      <c r="CI30" s="621"/>
      <c r="CJ30" s="621"/>
      <c r="CK30" s="621"/>
      <c r="CL30" s="621"/>
      <c r="CM30" s="621"/>
      <c r="CN30" s="621">
        <v>6</v>
      </c>
      <c r="CO30" s="621"/>
      <c r="CP30" s="621"/>
      <c r="CQ30" s="621"/>
      <c r="CR30" s="621"/>
      <c r="CS30" s="621"/>
      <c r="CT30" s="621"/>
      <c r="CU30" s="621"/>
      <c r="CV30" s="621">
        <v>6</v>
      </c>
      <c r="CW30" s="621"/>
      <c r="CX30" s="621"/>
      <c r="CY30" s="621"/>
      <c r="CZ30" s="621"/>
      <c r="DA30" s="621"/>
      <c r="DB30" s="621"/>
      <c r="DC30" s="622"/>
      <c r="DD30" s="620">
        <v>7</v>
      </c>
      <c r="DE30" s="621"/>
      <c r="DF30" s="621"/>
      <c r="DG30" s="621"/>
      <c r="DH30" s="621"/>
      <c r="DI30" s="621"/>
      <c r="DJ30" s="621"/>
      <c r="DK30" s="621"/>
      <c r="DL30" s="621">
        <v>6</v>
      </c>
      <c r="DM30" s="621"/>
      <c r="DN30" s="621"/>
      <c r="DO30" s="621"/>
      <c r="DP30" s="621"/>
      <c r="DQ30" s="621"/>
      <c r="DR30" s="621"/>
      <c r="DS30" s="621"/>
      <c r="DT30" s="621">
        <v>6</v>
      </c>
      <c r="DU30" s="621"/>
      <c r="DV30" s="621"/>
      <c r="DW30" s="621"/>
      <c r="DX30" s="621"/>
      <c r="DY30" s="621"/>
      <c r="DZ30" s="621"/>
      <c r="EA30" s="621"/>
      <c r="EB30" s="621">
        <v>6</v>
      </c>
      <c r="EC30" s="621"/>
      <c r="ED30" s="621"/>
      <c r="EE30" s="621"/>
      <c r="EF30" s="621"/>
      <c r="EG30" s="621"/>
      <c r="EH30" s="621"/>
      <c r="EI30" s="621"/>
      <c r="EJ30" s="621">
        <v>6</v>
      </c>
      <c r="EK30" s="621"/>
      <c r="EL30" s="621"/>
      <c r="EM30" s="621"/>
      <c r="EN30" s="621"/>
      <c r="EO30" s="621"/>
      <c r="EP30" s="621"/>
      <c r="EQ30" s="622"/>
      <c r="ER30" s="628"/>
      <c r="ES30" s="629"/>
      <c r="ET30" s="1002"/>
      <c r="EU30" s="630"/>
    </row>
    <row r="31" spans="1:225" ht="45" x14ac:dyDescent="0.2">
      <c r="A31" s="610"/>
      <c r="B31" s="613"/>
      <c r="C31" s="615"/>
      <c r="D31" s="615"/>
      <c r="E31" s="615"/>
      <c r="F31" s="615"/>
      <c r="G31" s="615"/>
      <c r="H31" s="615"/>
      <c r="I31" s="615"/>
      <c r="J31" s="615"/>
      <c r="K31" s="615"/>
      <c r="L31" s="615"/>
      <c r="M31" s="615"/>
      <c r="N31" s="615"/>
      <c r="O31" s="615"/>
      <c r="P31" s="615"/>
      <c r="Q31" s="615"/>
      <c r="R31" s="615"/>
      <c r="S31" s="615"/>
      <c r="T31" s="615"/>
      <c r="U31" s="615"/>
      <c r="V31" s="615"/>
      <c r="W31" s="615"/>
      <c r="X31" s="615"/>
      <c r="Y31" s="615"/>
      <c r="Z31" s="633"/>
      <c r="AA31" s="551"/>
      <c r="AB31" s="551"/>
      <c r="AC31" s="551"/>
      <c r="AD31" s="551"/>
      <c r="AE31" s="551"/>
      <c r="AF31" s="551"/>
      <c r="AG31" s="634"/>
      <c r="AH31" s="570"/>
      <c r="AI31" s="624"/>
      <c r="AJ31" s="624"/>
      <c r="AK31" s="624"/>
      <c r="AL31" s="571"/>
      <c r="AM31" s="570"/>
      <c r="AN31" s="624"/>
      <c r="AO31" s="624"/>
      <c r="AP31" s="624"/>
      <c r="AQ31" s="571"/>
      <c r="AR31" s="570"/>
      <c r="AS31" s="624"/>
      <c r="AT31" s="624"/>
      <c r="AU31" s="624"/>
      <c r="AV31" s="571"/>
      <c r="AW31" s="570"/>
      <c r="AX31" s="624"/>
      <c r="AY31" s="624"/>
      <c r="AZ31" s="624"/>
      <c r="BA31" s="571"/>
      <c r="BB31" s="570"/>
      <c r="BC31" s="624"/>
      <c r="BD31" s="624"/>
      <c r="BE31" s="624"/>
      <c r="BF31" s="571"/>
      <c r="BG31" s="570"/>
      <c r="BH31" s="624"/>
      <c r="BI31" s="624"/>
      <c r="BJ31" s="624"/>
      <c r="BK31" s="624"/>
      <c r="BL31" s="638"/>
      <c r="BM31" s="638"/>
      <c r="BN31" s="638"/>
      <c r="BO31" s="639"/>
      <c r="BP31" s="620" t="s">
        <v>32</v>
      </c>
      <c r="BQ31" s="621"/>
      <c r="BR31" s="621"/>
      <c r="BS31" s="621"/>
      <c r="BT31" s="621"/>
      <c r="BU31" s="621"/>
      <c r="BV31" s="621"/>
      <c r="BW31" s="621"/>
      <c r="BX31" s="621"/>
      <c r="BY31" s="621"/>
      <c r="BZ31" s="621"/>
      <c r="CA31" s="621"/>
      <c r="CB31" s="621"/>
      <c r="CC31" s="621"/>
      <c r="CD31" s="621"/>
      <c r="CE31" s="621"/>
      <c r="CF31" s="621"/>
      <c r="CG31" s="621"/>
      <c r="CH31" s="621"/>
      <c r="CI31" s="621"/>
      <c r="CJ31" s="621"/>
      <c r="CK31" s="621"/>
      <c r="CL31" s="621"/>
      <c r="CM31" s="621"/>
      <c r="CN31" s="621"/>
      <c r="CO31" s="621"/>
      <c r="CP31" s="621"/>
      <c r="CQ31" s="621"/>
      <c r="CR31" s="621"/>
      <c r="CS31" s="621"/>
      <c r="CT31" s="621"/>
      <c r="CU31" s="621"/>
      <c r="CV31" s="621"/>
      <c r="CW31" s="621"/>
      <c r="CX31" s="621"/>
      <c r="CY31" s="621"/>
      <c r="CZ31" s="621"/>
      <c r="DA31" s="621"/>
      <c r="DB31" s="621"/>
      <c r="DC31" s="622"/>
      <c r="DD31" s="620" t="s">
        <v>32</v>
      </c>
      <c r="DE31" s="621"/>
      <c r="DF31" s="621"/>
      <c r="DG31" s="621"/>
      <c r="DH31" s="621"/>
      <c r="DI31" s="621"/>
      <c r="DJ31" s="621"/>
      <c r="DK31" s="621"/>
      <c r="DL31" s="621"/>
      <c r="DM31" s="621"/>
      <c r="DN31" s="621"/>
      <c r="DO31" s="621"/>
      <c r="DP31" s="621"/>
      <c r="DQ31" s="621"/>
      <c r="DR31" s="621"/>
      <c r="DS31" s="621"/>
      <c r="DT31" s="621"/>
      <c r="DU31" s="621"/>
      <c r="DV31" s="621"/>
      <c r="DW31" s="621"/>
      <c r="DX31" s="621"/>
      <c r="DY31" s="621"/>
      <c r="DZ31" s="621"/>
      <c r="EA31" s="621"/>
      <c r="EB31" s="621"/>
      <c r="EC31" s="621"/>
      <c r="ED31" s="621"/>
      <c r="EE31" s="621"/>
      <c r="EF31" s="621"/>
      <c r="EG31" s="621"/>
      <c r="EH31" s="621"/>
      <c r="EI31" s="621"/>
      <c r="EJ31" s="621"/>
      <c r="EK31" s="621"/>
      <c r="EL31" s="621"/>
      <c r="EM31" s="621"/>
      <c r="EN31" s="621"/>
      <c r="EO31" s="621"/>
      <c r="EP31" s="621"/>
      <c r="EQ31" s="622"/>
      <c r="ER31" s="628"/>
      <c r="ES31" s="629"/>
      <c r="ET31" s="1002"/>
      <c r="EU31" s="630"/>
    </row>
    <row r="32" spans="1:225" ht="45" x14ac:dyDescent="0.2">
      <c r="A32" s="610"/>
      <c r="B32" s="613"/>
      <c r="C32" s="615"/>
      <c r="D32" s="615"/>
      <c r="E32" s="615"/>
      <c r="F32" s="615"/>
      <c r="G32" s="615"/>
      <c r="H32" s="615"/>
      <c r="I32" s="615"/>
      <c r="J32" s="615"/>
      <c r="K32" s="615"/>
      <c r="L32" s="615"/>
      <c r="M32" s="615"/>
      <c r="N32" s="615"/>
      <c r="O32" s="615"/>
      <c r="P32" s="615"/>
      <c r="Q32" s="615"/>
      <c r="R32" s="615"/>
      <c r="S32" s="615"/>
      <c r="T32" s="615"/>
      <c r="U32" s="615"/>
      <c r="V32" s="615"/>
      <c r="W32" s="615"/>
      <c r="X32" s="615"/>
      <c r="Y32" s="615"/>
      <c r="Z32" s="633"/>
      <c r="AA32" s="551"/>
      <c r="AB32" s="551"/>
      <c r="AC32" s="551"/>
      <c r="AD32" s="551"/>
      <c r="AE32" s="551"/>
      <c r="AF32" s="551"/>
      <c r="AG32" s="634"/>
      <c r="AH32" s="570"/>
      <c r="AI32" s="624"/>
      <c r="AJ32" s="624"/>
      <c r="AK32" s="624"/>
      <c r="AL32" s="571"/>
      <c r="AM32" s="570"/>
      <c r="AN32" s="624"/>
      <c r="AO32" s="624"/>
      <c r="AP32" s="624"/>
      <c r="AQ32" s="571"/>
      <c r="AR32" s="570"/>
      <c r="AS32" s="624"/>
      <c r="AT32" s="624"/>
      <c r="AU32" s="624"/>
      <c r="AV32" s="571"/>
      <c r="AW32" s="570"/>
      <c r="AX32" s="624"/>
      <c r="AY32" s="624"/>
      <c r="AZ32" s="624"/>
      <c r="BA32" s="571"/>
      <c r="BB32" s="570"/>
      <c r="BC32" s="624"/>
      <c r="BD32" s="624"/>
      <c r="BE32" s="624"/>
      <c r="BF32" s="571"/>
      <c r="BG32" s="570"/>
      <c r="BH32" s="624"/>
      <c r="BI32" s="624"/>
      <c r="BJ32" s="624"/>
      <c r="BK32" s="624"/>
      <c r="BL32" s="638"/>
      <c r="BM32" s="638"/>
      <c r="BN32" s="638"/>
      <c r="BO32" s="639"/>
      <c r="BP32" s="620">
        <v>1</v>
      </c>
      <c r="BQ32" s="621"/>
      <c r="BR32" s="621"/>
      <c r="BS32" s="621"/>
      <c r="BT32" s="621">
        <v>2</v>
      </c>
      <c r="BU32" s="621"/>
      <c r="BV32" s="621"/>
      <c r="BW32" s="621"/>
      <c r="BX32" s="621">
        <v>3</v>
      </c>
      <c r="BY32" s="621"/>
      <c r="BZ32" s="621"/>
      <c r="CA32" s="621"/>
      <c r="CB32" s="621">
        <v>4</v>
      </c>
      <c r="CC32" s="621"/>
      <c r="CD32" s="621"/>
      <c r="CE32" s="621"/>
      <c r="CF32" s="621">
        <v>5</v>
      </c>
      <c r="CG32" s="621"/>
      <c r="CH32" s="621"/>
      <c r="CI32" s="621"/>
      <c r="CJ32" s="621">
        <v>6</v>
      </c>
      <c r="CK32" s="621"/>
      <c r="CL32" s="621"/>
      <c r="CM32" s="621"/>
      <c r="CN32" s="621">
        <v>7</v>
      </c>
      <c r="CO32" s="621"/>
      <c r="CP32" s="621"/>
      <c r="CQ32" s="621"/>
      <c r="CR32" s="621">
        <v>8</v>
      </c>
      <c r="CS32" s="621"/>
      <c r="CT32" s="621"/>
      <c r="CU32" s="621"/>
      <c r="CV32" s="621">
        <v>9</v>
      </c>
      <c r="CW32" s="621"/>
      <c r="CX32" s="621"/>
      <c r="CY32" s="621"/>
      <c r="CZ32" s="621">
        <v>10</v>
      </c>
      <c r="DA32" s="621"/>
      <c r="DB32" s="621"/>
      <c r="DC32" s="622"/>
      <c r="DD32" s="620">
        <v>1</v>
      </c>
      <c r="DE32" s="621"/>
      <c r="DF32" s="621"/>
      <c r="DG32" s="621"/>
      <c r="DH32" s="621">
        <v>2</v>
      </c>
      <c r="DI32" s="621"/>
      <c r="DJ32" s="621"/>
      <c r="DK32" s="621"/>
      <c r="DL32" s="621">
        <v>3</v>
      </c>
      <c r="DM32" s="621"/>
      <c r="DN32" s="621"/>
      <c r="DO32" s="621"/>
      <c r="DP32" s="621">
        <v>4</v>
      </c>
      <c r="DQ32" s="621"/>
      <c r="DR32" s="621"/>
      <c r="DS32" s="621"/>
      <c r="DT32" s="621">
        <v>5</v>
      </c>
      <c r="DU32" s="621"/>
      <c r="DV32" s="621"/>
      <c r="DW32" s="621"/>
      <c r="DX32" s="621">
        <v>6</v>
      </c>
      <c r="DY32" s="621"/>
      <c r="DZ32" s="621"/>
      <c r="EA32" s="621"/>
      <c r="EB32" s="621">
        <v>7</v>
      </c>
      <c r="EC32" s="621"/>
      <c r="ED32" s="621"/>
      <c r="EE32" s="621"/>
      <c r="EF32" s="621">
        <v>8</v>
      </c>
      <c r="EG32" s="621"/>
      <c r="EH32" s="621"/>
      <c r="EI32" s="621"/>
      <c r="EJ32" s="621">
        <v>9</v>
      </c>
      <c r="EK32" s="621"/>
      <c r="EL32" s="621"/>
      <c r="EM32" s="621"/>
      <c r="EN32" s="621">
        <v>10</v>
      </c>
      <c r="EO32" s="621"/>
      <c r="EP32" s="621"/>
      <c r="EQ32" s="622"/>
      <c r="ER32" s="628"/>
      <c r="ES32" s="629"/>
      <c r="ET32" s="1002"/>
      <c r="EU32" s="630"/>
    </row>
    <row r="33" spans="1:157" ht="93" customHeight="1" x14ac:dyDescent="0.2">
      <c r="A33" s="610"/>
      <c r="B33" s="613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615"/>
      <c r="Y33" s="615"/>
      <c r="Z33" s="633"/>
      <c r="AA33" s="551"/>
      <c r="AB33" s="551"/>
      <c r="AC33" s="551"/>
      <c r="AD33" s="551"/>
      <c r="AE33" s="551"/>
      <c r="AF33" s="551"/>
      <c r="AG33" s="634"/>
      <c r="AH33" s="570"/>
      <c r="AI33" s="624"/>
      <c r="AJ33" s="624"/>
      <c r="AK33" s="624"/>
      <c r="AL33" s="571"/>
      <c r="AM33" s="570"/>
      <c r="AN33" s="624"/>
      <c r="AO33" s="624"/>
      <c r="AP33" s="624"/>
      <c r="AQ33" s="571"/>
      <c r="AR33" s="570"/>
      <c r="AS33" s="624"/>
      <c r="AT33" s="624"/>
      <c r="AU33" s="624"/>
      <c r="AV33" s="571"/>
      <c r="AW33" s="570"/>
      <c r="AX33" s="624"/>
      <c r="AY33" s="624"/>
      <c r="AZ33" s="624"/>
      <c r="BA33" s="571"/>
      <c r="BB33" s="570"/>
      <c r="BC33" s="624"/>
      <c r="BD33" s="624"/>
      <c r="BE33" s="624"/>
      <c r="BF33" s="571"/>
      <c r="BG33" s="570"/>
      <c r="BH33" s="624"/>
      <c r="BI33" s="624"/>
      <c r="BJ33" s="624"/>
      <c r="BK33" s="624"/>
      <c r="BL33" s="638"/>
      <c r="BM33" s="638"/>
      <c r="BN33" s="638"/>
      <c r="BO33" s="639"/>
      <c r="BP33" s="620" t="s">
        <v>258</v>
      </c>
      <c r="BQ33" s="621"/>
      <c r="BR33" s="621"/>
      <c r="BS33" s="621"/>
      <c r="BT33" s="621"/>
      <c r="BU33" s="621"/>
      <c r="BV33" s="621"/>
      <c r="BW33" s="621"/>
      <c r="BX33" s="621"/>
      <c r="BY33" s="621"/>
      <c r="BZ33" s="621"/>
      <c r="CA33" s="621"/>
      <c r="CB33" s="621"/>
      <c r="CC33" s="621"/>
      <c r="CD33" s="621"/>
      <c r="CE33" s="621"/>
      <c r="CF33" s="621"/>
      <c r="CG33" s="621"/>
      <c r="CH33" s="621"/>
      <c r="CI33" s="621"/>
      <c r="CJ33" s="621"/>
      <c r="CK33" s="621"/>
      <c r="CL33" s="621"/>
      <c r="CM33" s="621"/>
      <c r="CN33" s="621"/>
      <c r="CO33" s="621"/>
      <c r="CP33" s="621"/>
      <c r="CQ33" s="621"/>
      <c r="CR33" s="621"/>
      <c r="CS33" s="621"/>
      <c r="CT33" s="621"/>
      <c r="CU33" s="621"/>
      <c r="CV33" s="621"/>
      <c r="CW33" s="621"/>
      <c r="CX33" s="621"/>
      <c r="CY33" s="621"/>
      <c r="CZ33" s="621"/>
      <c r="DA33" s="621"/>
      <c r="DB33" s="621"/>
      <c r="DC33" s="622"/>
      <c r="DD33" s="620" t="s">
        <v>34</v>
      </c>
      <c r="DE33" s="621"/>
      <c r="DF33" s="621"/>
      <c r="DG33" s="621"/>
      <c r="DH33" s="621"/>
      <c r="DI33" s="621"/>
      <c r="DJ33" s="621"/>
      <c r="DK33" s="621"/>
      <c r="DL33" s="621"/>
      <c r="DM33" s="621"/>
      <c r="DN33" s="621"/>
      <c r="DO33" s="621"/>
      <c r="DP33" s="621"/>
      <c r="DQ33" s="621"/>
      <c r="DR33" s="621"/>
      <c r="DS33" s="621"/>
      <c r="DT33" s="621"/>
      <c r="DU33" s="621"/>
      <c r="DV33" s="621"/>
      <c r="DW33" s="621"/>
      <c r="DX33" s="621"/>
      <c r="DY33" s="621"/>
      <c r="DZ33" s="621"/>
      <c r="EA33" s="621"/>
      <c r="EB33" s="621"/>
      <c r="EC33" s="621"/>
      <c r="ED33" s="621"/>
      <c r="EE33" s="621"/>
      <c r="EF33" s="621"/>
      <c r="EG33" s="621"/>
      <c r="EH33" s="621"/>
      <c r="EI33" s="621"/>
      <c r="EJ33" s="621"/>
      <c r="EK33" s="621"/>
      <c r="EL33" s="621"/>
      <c r="EM33" s="621"/>
      <c r="EN33" s="621"/>
      <c r="EO33" s="621"/>
      <c r="EP33" s="621"/>
      <c r="EQ33" s="622"/>
      <c r="ER33" s="628"/>
      <c r="ES33" s="629"/>
      <c r="ET33" s="1002"/>
      <c r="EU33" s="630"/>
    </row>
    <row r="34" spans="1:157" ht="45" x14ac:dyDescent="0.2">
      <c r="A34" s="611"/>
      <c r="B34" s="614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15"/>
      <c r="P34" s="615"/>
      <c r="Q34" s="615"/>
      <c r="R34" s="615"/>
      <c r="S34" s="615"/>
      <c r="T34" s="615"/>
      <c r="U34" s="615"/>
      <c r="V34" s="615"/>
      <c r="W34" s="615"/>
      <c r="X34" s="615"/>
      <c r="Y34" s="615"/>
      <c r="Z34" s="635"/>
      <c r="AA34" s="636"/>
      <c r="AB34" s="636"/>
      <c r="AC34" s="636"/>
      <c r="AD34" s="636"/>
      <c r="AE34" s="636"/>
      <c r="AF34" s="636"/>
      <c r="AG34" s="637"/>
      <c r="AH34" s="572"/>
      <c r="AI34" s="625"/>
      <c r="AJ34" s="625"/>
      <c r="AK34" s="625"/>
      <c r="AL34" s="573"/>
      <c r="AM34" s="572"/>
      <c r="AN34" s="625"/>
      <c r="AO34" s="625"/>
      <c r="AP34" s="625"/>
      <c r="AQ34" s="573"/>
      <c r="AR34" s="572"/>
      <c r="AS34" s="625"/>
      <c r="AT34" s="625"/>
      <c r="AU34" s="625"/>
      <c r="AV34" s="573"/>
      <c r="AW34" s="572"/>
      <c r="AX34" s="625"/>
      <c r="AY34" s="625"/>
      <c r="AZ34" s="625"/>
      <c r="BA34" s="573"/>
      <c r="BB34" s="572"/>
      <c r="BC34" s="625"/>
      <c r="BD34" s="625"/>
      <c r="BE34" s="625"/>
      <c r="BF34" s="573"/>
      <c r="BG34" s="572"/>
      <c r="BH34" s="625"/>
      <c r="BI34" s="625"/>
      <c r="BJ34" s="625"/>
      <c r="BK34" s="625"/>
      <c r="BL34" s="638"/>
      <c r="BM34" s="638"/>
      <c r="BN34" s="638"/>
      <c r="BO34" s="639"/>
      <c r="BP34" s="626">
        <v>4</v>
      </c>
      <c r="BQ34" s="618"/>
      <c r="BR34" s="618"/>
      <c r="BS34" s="618"/>
      <c r="BT34" s="627">
        <v>3</v>
      </c>
      <c r="BU34" s="618"/>
      <c r="BV34" s="618"/>
      <c r="BW34" s="618"/>
      <c r="BX34" s="627">
        <v>3</v>
      </c>
      <c r="BY34" s="618"/>
      <c r="BZ34" s="618"/>
      <c r="CA34" s="618"/>
      <c r="CB34" s="627">
        <v>3</v>
      </c>
      <c r="CC34" s="618"/>
      <c r="CD34" s="618"/>
      <c r="CE34" s="618"/>
      <c r="CF34" s="627">
        <v>3</v>
      </c>
      <c r="CG34" s="618"/>
      <c r="CH34" s="618"/>
      <c r="CI34" s="618"/>
      <c r="CJ34" s="627">
        <v>3</v>
      </c>
      <c r="CK34" s="618"/>
      <c r="CL34" s="618"/>
      <c r="CM34" s="618"/>
      <c r="CN34" s="627">
        <v>3</v>
      </c>
      <c r="CO34" s="618"/>
      <c r="CP34" s="618"/>
      <c r="CQ34" s="618"/>
      <c r="CR34" s="627">
        <v>3</v>
      </c>
      <c r="CS34" s="618"/>
      <c r="CT34" s="618"/>
      <c r="CU34" s="618"/>
      <c r="CV34" s="627">
        <v>3</v>
      </c>
      <c r="CW34" s="618"/>
      <c r="CX34" s="618"/>
      <c r="CY34" s="618"/>
      <c r="CZ34" s="621">
        <v>3</v>
      </c>
      <c r="DA34" s="621"/>
      <c r="DB34" s="621"/>
      <c r="DC34" s="622"/>
      <c r="DD34" s="626">
        <f>DD92</f>
        <v>26</v>
      </c>
      <c r="DE34" s="618"/>
      <c r="DF34" s="618"/>
      <c r="DG34" s="618"/>
      <c r="DH34" s="640">
        <f t="shared" ref="DH34" si="0">DH92</f>
        <v>21</v>
      </c>
      <c r="DI34" s="618"/>
      <c r="DJ34" s="618"/>
      <c r="DK34" s="618"/>
      <c r="DL34" s="640">
        <f t="shared" ref="DL34" si="1">DL92</f>
        <v>26</v>
      </c>
      <c r="DM34" s="618"/>
      <c r="DN34" s="618"/>
      <c r="DO34" s="618"/>
      <c r="DP34" s="640">
        <f t="shared" ref="DP34" si="2">DP92</f>
        <v>27</v>
      </c>
      <c r="DQ34" s="618"/>
      <c r="DR34" s="618"/>
      <c r="DS34" s="618"/>
      <c r="DT34" s="640">
        <f t="shared" ref="DT34" si="3">DT92</f>
        <v>26</v>
      </c>
      <c r="DU34" s="618"/>
      <c r="DV34" s="618"/>
      <c r="DW34" s="618"/>
      <c r="DX34" s="640">
        <f t="shared" ref="DX34" si="4">DX92</f>
        <v>20</v>
      </c>
      <c r="DY34" s="618"/>
      <c r="DZ34" s="618"/>
      <c r="EA34" s="618"/>
      <c r="EB34" s="640">
        <f t="shared" ref="EB34" si="5">EB92</f>
        <v>23</v>
      </c>
      <c r="EC34" s="618"/>
      <c r="ED34" s="618"/>
      <c r="EE34" s="618"/>
      <c r="EF34" s="640">
        <f t="shared" ref="EF34" si="6">EF92</f>
        <v>23</v>
      </c>
      <c r="EG34" s="618"/>
      <c r="EH34" s="618"/>
      <c r="EI34" s="618"/>
      <c r="EJ34" s="640">
        <f t="shared" ref="EJ34" si="7">EJ92</f>
        <v>25</v>
      </c>
      <c r="EK34" s="618"/>
      <c r="EL34" s="618"/>
      <c r="EM34" s="618"/>
      <c r="EN34" s="640">
        <f t="shared" ref="EN34" si="8">EN92</f>
        <v>23</v>
      </c>
      <c r="EO34" s="618"/>
      <c r="EP34" s="618"/>
      <c r="EQ34" s="619"/>
      <c r="ER34" s="626">
        <v>240</v>
      </c>
      <c r="ES34" s="627"/>
      <c r="ET34" s="954"/>
      <c r="EU34" s="619"/>
    </row>
    <row r="35" spans="1:157" ht="42" customHeight="1" x14ac:dyDescent="0.2">
      <c r="A35" s="287">
        <v>1</v>
      </c>
      <c r="B35" s="285"/>
      <c r="C35" s="483">
        <v>2</v>
      </c>
      <c r="D35" s="484"/>
      <c r="E35" s="484"/>
      <c r="F35" s="484"/>
      <c r="G35" s="484"/>
      <c r="H35" s="484"/>
      <c r="I35" s="484"/>
      <c r="J35" s="484"/>
      <c r="K35" s="484"/>
      <c r="L35" s="484"/>
      <c r="M35" s="484"/>
      <c r="N35" s="484"/>
      <c r="O35" s="484"/>
      <c r="P35" s="484"/>
      <c r="Q35" s="484"/>
      <c r="R35" s="484"/>
      <c r="S35" s="484"/>
      <c r="T35" s="484"/>
      <c r="U35" s="484"/>
      <c r="V35" s="484"/>
      <c r="W35" s="484"/>
      <c r="X35" s="484"/>
      <c r="Y35" s="485"/>
      <c r="Z35" s="486">
        <v>3</v>
      </c>
      <c r="AA35" s="486"/>
      <c r="AB35" s="486"/>
      <c r="AC35" s="486"/>
      <c r="AD35" s="438">
        <v>4</v>
      </c>
      <c r="AE35" s="439"/>
      <c r="AF35" s="439"/>
      <c r="AG35" s="440"/>
      <c r="AH35" s="438">
        <v>5</v>
      </c>
      <c r="AI35" s="439"/>
      <c r="AJ35" s="439"/>
      <c r="AK35" s="439"/>
      <c r="AL35" s="440"/>
      <c r="AM35" s="438">
        <v>6</v>
      </c>
      <c r="AN35" s="439"/>
      <c r="AO35" s="439"/>
      <c r="AP35" s="439"/>
      <c r="AQ35" s="440"/>
      <c r="AR35" s="438">
        <v>7</v>
      </c>
      <c r="AS35" s="439"/>
      <c r="AT35" s="439"/>
      <c r="AU35" s="439"/>
      <c r="AV35" s="440"/>
      <c r="AW35" s="438">
        <v>8</v>
      </c>
      <c r="AX35" s="439"/>
      <c r="AY35" s="439"/>
      <c r="AZ35" s="439"/>
      <c r="BA35" s="440"/>
      <c r="BB35" s="438">
        <v>9</v>
      </c>
      <c r="BC35" s="439"/>
      <c r="BD35" s="439"/>
      <c r="BE35" s="439"/>
      <c r="BF35" s="440"/>
      <c r="BG35" s="438">
        <v>10</v>
      </c>
      <c r="BH35" s="439"/>
      <c r="BI35" s="439"/>
      <c r="BJ35" s="439"/>
      <c r="BK35" s="440"/>
      <c r="BL35" s="450">
        <v>11</v>
      </c>
      <c r="BM35" s="451"/>
      <c r="BN35" s="451"/>
      <c r="BO35" s="451"/>
      <c r="BP35" s="641">
        <v>12</v>
      </c>
      <c r="BQ35" s="451"/>
      <c r="BR35" s="451"/>
      <c r="BS35" s="451"/>
      <c r="BT35" s="450">
        <v>13</v>
      </c>
      <c r="BU35" s="451"/>
      <c r="BV35" s="451"/>
      <c r="BW35" s="451"/>
      <c r="BX35" s="450">
        <v>14</v>
      </c>
      <c r="BY35" s="451"/>
      <c r="BZ35" s="451"/>
      <c r="CA35" s="451"/>
      <c r="CB35" s="450">
        <v>15</v>
      </c>
      <c r="CC35" s="451"/>
      <c r="CD35" s="451"/>
      <c r="CE35" s="451"/>
      <c r="CF35" s="450">
        <v>16</v>
      </c>
      <c r="CG35" s="451"/>
      <c r="CH35" s="451"/>
      <c r="CI35" s="451"/>
      <c r="CJ35" s="450">
        <v>17</v>
      </c>
      <c r="CK35" s="451"/>
      <c r="CL35" s="451"/>
      <c r="CM35" s="451"/>
      <c r="CN35" s="450">
        <v>18</v>
      </c>
      <c r="CO35" s="451"/>
      <c r="CP35" s="451"/>
      <c r="CQ35" s="451"/>
      <c r="CR35" s="450">
        <v>19</v>
      </c>
      <c r="CS35" s="451"/>
      <c r="CT35" s="451"/>
      <c r="CU35" s="451"/>
      <c r="CV35" s="450">
        <v>20</v>
      </c>
      <c r="CW35" s="451"/>
      <c r="CX35" s="451"/>
      <c r="CY35" s="451"/>
      <c r="CZ35" s="450">
        <v>21</v>
      </c>
      <c r="DA35" s="451"/>
      <c r="DB35" s="451"/>
      <c r="DC35" s="452"/>
      <c r="DD35" s="641">
        <v>22</v>
      </c>
      <c r="DE35" s="451"/>
      <c r="DF35" s="451"/>
      <c r="DG35" s="451"/>
      <c r="DH35" s="450">
        <v>23</v>
      </c>
      <c r="DI35" s="451"/>
      <c r="DJ35" s="451"/>
      <c r="DK35" s="451"/>
      <c r="DL35" s="450">
        <v>24</v>
      </c>
      <c r="DM35" s="451"/>
      <c r="DN35" s="451"/>
      <c r="DO35" s="451"/>
      <c r="DP35" s="450">
        <v>25</v>
      </c>
      <c r="DQ35" s="451"/>
      <c r="DR35" s="451"/>
      <c r="DS35" s="451"/>
      <c r="DT35" s="450">
        <v>26</v>
      </c>
      <c r="DU35" s="451"/>
      <c r="DV35" s="451"/>
      <c r="DW35" s="451"/>
      <c r="DX35" s="450">
        <v>27</v>
      </c>
      <c r="DY35" s="451"/>
      <c r="DZ35" s="451"/>
      <c r="EA35" s="451"/>
      <c r="EB35" s="450">
        <v>28</v>
      </c>
      <c r="EC35" s="451"/>
      <c r="ED35" s="451"/>
      <c r="EE35" s="451"/>
      <c r="EF35" s="450">
        <v>29</v>
      </c>
      <c r="EG35" s="451"/>
      <c r="EH35" s="451"/>
      <c r="EI35" s="451"/>
      <c r="EJ35" s="450">
        <v>30</v>
      </c>
      <c r="EK35" s="451"/>
      <c r="EL35" s="451"/>
      <c r="EM35" s="451"/>
      <c r="EN35" s="450">
        <v>31</v>
      </c>
      <c r="EO35" s="451"/>
      <c r="EP35" s="451"/>
      <c r="EQ35" s="452"/>
      <c r="ER35" s="430">
        <v>32</v>
      </c>
      <c r="ES35" s="431"/>
      <c r="ET35" s="1001"/>
      <c r="EU35" s="432"/>
    </row>
    <row r="36" spans="1:157" ht="60" customHeight="1" x14ac:dyDescent="0.2">
      <c r="A36" s="143" t="s">
        <v>88</v>
      </c>
      <c r="B36" s="143"/>
      <c r="C36" s="376" t="s">
        <v>36</v>
      </c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642">
        <f>SUM(Z37:AC52)</f>
        <v>3330</v>
      </c>
      <c r="AA36" s="642"/>
      <c r="AB36" s="642"/>
      <c r="AC36" s="642"/>
      <c r="AD36" s="643"/>
      <c r="AE36" s="643"/>
      <c r="AF36" s="643"/>
      <c r="AG36" s="643"/>
      <c r="AH36" s="644">
        <f>SUM(AH37:AL52)</f>
        <v>500</v>
      </c>
      <c r="AI36" s="645"/>
      <c r="AJ36" s="645"/>
      <c r="AK36" s="645"/>
      <c r="AL36" s="646"/>
      <c r="AM36" s="644">
        <f>SUM(AM37:AQ52)</f>
        <v>270</v>
      </c>
      <c r="AN36" s="645"/>
      <c r="AO36" s="645"/>
      <c r="AP36" s="645"/>
      <c r="AQ36" s="646"/>
      <c r="AR36" s="644">
        <f>SUM(AR37:AV52)</f>
        <v>114</v>
      </c>
      <c r="AS36" s="645"/>
      <c r="AT36" s="645"/>
      <c r="AU36" s="645"/>
      <c r="AV36" s="646"/>
      <c r="AW36" s="644">
        <f>SUM(AW37:BA52)</f>
        <v>116</v>
      </c>
      <c r="AX36" s="645"/>
      <c r="AY36" s="645"/>
      <c r="AZ36" s="645"/>
      <c r="BA36" s="646"/>
      <c r="BB36" s="644">
        <f>SUM(BB37:BF52)</f>
        <v>0</v>
      </c>
      <c r="BC36" s="645"/>
      <c r="BD36" s="645"/>
      <c r="BE36" s="645"/>
      <c r="BF36" s="646"/>
      <c r="BG36" s="644">
        <f>SUM(BG37:BK52)</f>
        <v>0</v>
      </c>
      <c r="BH36" s="645"/>
      <c r="BI36" s="645"/>
      <c r="BJ36" s="645"/>
      <c r="BK36" s="646"/>
      <c r="BL36" s="642">
        <f>SUM(BL37:BO52)</f>
        <v>2830</v>
      </c>
      <c r="BM36" s="642"/>
      <c r="BN36" s="642"/>
      <c r="BO36" s="644"/>
      <c r="BP36" s="650">
        <f>SUM(BP37:BS52)</f>
        <v>24</v>
      </c>
      <c r="BQ36" s="647"/>
      <c r="BR36" s="647"/>
      <c r="BS36" s="647"/>
      <c r="BT36" s="649">
        <f>SUM(BT37:BW52)</f>
        <v>22</v>
      </c>
      <c r="BU36" s="651"/>
      <c r="BV36" s="651"/>
      <c r="BW36" s="652"/>
      <c r="BX36" s="649">
        <f>SUM(BX37:CA52)</f>
        <v>18</v>
      </c>
      <c r="BY36" s="651"/>
      <c r="BZ36" s="651"/>
      <c r="CA36" s="652"/>
      <c r="CB36" s="649">
        <f>SUM(CB37:CE52)</f>
        <v>19</v>
      </c>
      <c r="CC36" s="651"/>
      <c r="CD36" s="651"/>
      <c r="CE36" s="652"/>
      <c r="CF36" s="647">
        <f>SUM(CF37:CI52)</f>
        <v>15</v>
      </c>
      <c r="CG36" s="647"/>
      <c r="CH36" s="647"/>
      <c r="CI36" s="647"/>
      <c r="CJ36" s="647">
        <f>SUM(CJ37:CM52)</f>
        <v>15</v>
      </c>
      <c r="CK36" s="647"/>
      <c r="CL36" s="647"/>
      <c r="CM36" s="647"/>
      <c r="CN36" s="647">
        <f>SUM(CN37:CQ52)</f>
        <v>5</v>
      </c>
      <c r="CO36" s="647"/>
      <c r="CP36" s="647"/>
      <c r="CQ36" s="647"/>
      <c r="CR36" s="647">
        <f>SUM(CR37:CU52)</f>
        <v>5</v>
      </c>
      <c r="CS36" s="647"/>
      <c r="CT36" s="647"/>
      <c r="CU36" s="647"/>
      <c r="CV36" s="647">
        <f>SUM(CV37:CY52)</f>
        <v>15</v>
      </c>
      <c r="CW36" s="647"/>
      <c r="CX36" s="647"/>
      <c r="CY36" s="647"/>
      <c r="CZ36" s="647">
        <f>SUM(CZ37:DC52)</f>
        <v>10</v>
      </c>
      <c r="DA36" s="647"/>
      <c r="DB36" s="647"/>
      <c r="DC36" s="649"/>
      <c r="DD36" s="650">
        <f>SUM(DD37:DG52)</f>
        <v>18</v>
      </c>
      <c r="DE36" s="647"/>
      <c r="DF36" s="647"/>
      <c r="DG36" s="647"/>
      <c r="DH36" s="647">
        <f>SUM(DH37:DK52)</f>
        <v>13</v>
      </c>
      <c r="DI36" s="647"/>
      <c r="DJ36" s="647"/>
      <c r="DK36" s="647"/>
      <c r="DL36" s="647">
        <f>SUM(DL37:DO52)</f>
        <v>14</v>
      </c>
      <c r="DM36" s="647"/>
      <c r="DN36" s="647"/>
      <c r="DO36" s="647"/>
      <c r="DP36" s="647">
        <f>SUM(DP37:DS52)</f>
        <v>14</v>
      </c>
      <c r="DQ36" s="647"/>
      <c r="DR36" s="647"/>
      <c r="DS36" s="647"/>
      <c r="DT36" s="647">
        <f>SUM(DT37:DW52)</f>
        <v>12</v>
      </c>
      <c r="DU36" s="647"/>
      <c r="DV36" s="647"/>
      <c r="DW36" s="647"/>
      <c r="DX36" s="647">
        <f>SUM(DX37:EA52)</f>
        <v>12</v>
      </c>
      <c r="DY36" s="647"/>
      <c r="DZ36" s="647"/>
      <c r="EA36" s="647"/>
      <c r="EB36" s="647">
        <f>SUM(EB37:EE52)</f>
        <v>6</v>
      </c>
      <c r="EC36" s="647"/>
      <c r="ED36" s="647"/>
      <c r="EE36" s="647"/>
      <c r="EF36" s="647">
        <f>SUM(EF37:EI52)</f>
        <v>4</v>
      </c>
      <c r="EG36" s="647"/>
      <c r="EH36" s="647"/>
      <c r="EI36" s="647"/>
      <c r="EJ36" s="647">
        <f>SUM(EJ37:EM52)</f>
        <v>10</v>
      </c>
      <c r="EK36" s="647"/>
      <c r="EL36" s="647"/>
      <c r="EM36" s="647"/>
      <c r="EN36" s="647">
        <f>SUM(EN37:EQ52)</f>
        <v>8</v>
      </c>
      <c r="EO36" s="647"/>
      <c r="EP36" s="647"/>
      <c r="EQ36" s="648"/>
      <c r="ER36" s="655">
        <f>SUM(ER37:EU52)</f>
        <v>111</v>
      </c>
      <c r="ES36" s="656"/>
      <c r="ET36" s="952"/>
      <c r="EU36" s="657"/>
    </row>
    <row r="37" spans="1:157" ht="69.95" customHeight="1" x14ac:dyDescent="0.2">
      <c r="A37" s="59" t="s">
        <v>89</v>
      </c>
      <c r="B37" s="97" t="s">
        <v>129</v>
      </c>
      <c r="C37" s="426" t="s">
        <v>76</v>
      </c>
      <c r="D37" s="426"/>
      <c r="E37" s="426"/>
      <c r="F37" s="426"/>
      <c r="G37" s="426"/>
      <c r="H37" s="426"/>
      <c r="I37" s="426"/>
      <c r="J37" s="426"/>
      <c r="K37" s="426"/>
      <c r="L37" s="426"/>
      <c r="M37" s="426"/>
      <c r="N37" s="426"/>
      <c r="O37" s="426"/>
      <c r="P37" s="426"/>
      <c r="Q37" s="426"/>
      <c r="R37" s="426"/>
      <c r="S37" s="426"/>
      <c r="T37" s="426"/>
      <c r="U37" s="426"/>
      <c r="V37" s="426"/>
      <c r="W37" s="426"/>
      <c r="X37" s="426"/>
      <c r="Y37" s="426"/>
      <c r="Z37" s="658">
        <f>ER37*30</f>
        <v>120</v>
      </c>
      <c r="AA37" s="658"/>
      <c r="AB37" s="658"/>
      <c r="AC37" s="658"/>
      <c r="AD37" s="659"/>
      <c r="AE37" s="659"/>
      <c r="AF37" s="659"/>
      <c r="AG37" s="659"/>
      <c r="AH37" s="660">
        <f>SUM(AM37:BF37)</f>
        <v>18</v>
      </c>
      <c r="AI37" s="660"/>
      <c r="AJ37" s="660"/>
      <c r="AK37" s="660"/>
      <c r="AL37" s="660"/>
      <c r="AM37" s="661">
        <v>12</v>
      </c>
      <c r="AN37" s="661"/>
      <c r="AO37" s="661"/>
      <c r="AP37" s="661"/>
      <c r="AQ37" s="661"/>
      <c r="AR37" s="661"/>
      <c r="AS37" s="661"/>
      <c r="AT37" s="661"/>
      <c r="AU37" s="661"/>
      <c r="AV37" s="661"/>
      <c r="AW37" s="661">
        <v>6</v>
      </c>
      <c r="AX37" s="661"/>
      <c r="AY37" s="661"/>
      <c r="AZ37" s="661"/>
      <c r="BA37" s="661"/>
      <c r="BB37" s="664"/>
      <c r="BC37" s="664"/>
      <c r="BD37" s="664"/>
      <c r="BE37" s="664"/>
      <c r="BF37" s="664"/>
      <c r="BG37" s="664"/>
      <c r="BH37" s="664"/>
      <c r="BI37" s="664"/>
      <c r="BJ37" s="664"/>
      <c r="BK37" s="664"/>
      <c r="BL37" s="658">
        <f>Z37-AH37</f>
        <v>102</v>
      </c>
      <c r="BM37" s="658"/>
      <c r="BN37" s="658"/>
      <c r="BO37" s="665"/>
      <c r="BP37" s="663"/>
      <c r="BQ37" s="659"/>
      <c r="BR37" s="659"/>
      <c r="BS37" s="659"/>
      <c r="BT37" s="659">
        <v>6</v>
      </c>
      <c r="BU37" s="659"/>
      <c r="BV37" s="659"/>
      <c r="BW37" s="659"/>
      <c r="BX37" s="659"/>
      <c r="BY37" s="659"/>
      <c r="BZ37" s="659"/>
      <c r="CA37" s="659"/>
      <c r="CB37" s="659"/>
      <c r="CC37" s="659"/>
      <c r="CD37" s="659"/>
      <c r="CE37" s="659"/>
      <c r="CF37" s="659"/>
      <c r="CG37" s="659"/>
      <c r="CH37" s="659"/>
      <c r="CI37" s="659"/>
      <c r="CJ37" s="659"/>
      <c r="CK37" s="659"/>
      <c r="CL37" s="659"/>
      <c r="CM37" s="659"/>
      <c r="CN37" s="659"/>
      <c r="CO37" s="659"/>
      <c r="CP37" s="659"/>
      <c r="CQ37" s="659"/>
      <c r="CR37" s="659"/>
      <c r="CS37" s="659"/>
      <c r="CT37" s="659"/>
      <c r="CU37" s="659"/>
      <c r="CV37" s="659"/>
      <c r="CW37" s="659"/>
      <c r="CX37" s="659"/>
      <c r="CY37" s="659"/>
      <c r="CZ37" s="659"/>
      <c r="DA37" s="659"/>
      <c r="DB37" s="659"/>
      <c r="DC37" s="662"/>
      <c r="DD37" s="663"/>
      <c r="DE37" s="659"/>
      <c r="DF37" s="659"/>
      <c r="DG37" s="659"/>
      <c r="DH37" s="659">
        <v>4</v>
      </c>
      <c r="DI37" s="659"/>
      <c r="DJ37" s="659"/>
      <c r="DK37" s="659"/>
      <c r="DL37" s="659"/>
      <c r="DM37" s="659"/>
      <c r="DN37" s="659"/>
      <c r="DO37" s="659"/>
      <c r="DP37" s="659"/>
      <c r="DQ37" s="659"/>
      <c r="DR37" s="659"/>
      <c r="DS37" s="659"/>
      <c r="DT37" s="659"/>
      <c r="DU37" s="659"/>
      <c r="DV37" s="659"/>
      <c r="DW37" s="659"/>
      <c r="DX37" s="659"/>
      <c r="DY37" s="659"/>
      <c r="DZ37" s="659"/>
      <c r="EA37" s="659"/>
      <c r="EB37" s="653"/>
      <c r="EC37" s="653"/>
      <c r="ED37" s="653"/>
      <c r="EE37" s="653"/>
      <c r="EF37" s="653"/>
      <c r="EG37" s="653"/>
      <c r="EH37" s="653"/>
      <c r="EI37" s="653"/>
      <c r="EJ37" s="653"/>
      <c r="EK37" s="653"/>
      <c r="EL37" s="653"/>
      <c r="EM37" s="653"/>
      <c r="EN37" s="653"/>
      <c r="EO37" s="653"/>
      <c r="EP37" s="653"/>
      <c r="EQ37" s="654"/>
      <c r="ER37" s="626">
        <f>DD37+DH37+DL37+DP37+DT37+DX37+EB37+EF37+EJ37+EN37</f>
        <v>4</v>
      </c>
      <c r="ES37" s="627"/>
      <c r="ET37" s="954"/>
      <c r="EU37" s="619"/>
    </row>
    <row r="38" spans="1:157" ht="90" customHeight="1" x14ac:dyDescent="0.2">
      <c r="A38" s="59" t="s">
        <v>90</v>
      </c>
      <c r="B38" s="97" t="s">
        <v>125</v>
      </c>
      <c r="C38" s="426" t="s">
        <v>37</v>
      </c>
      <c r="D38" s="426"/>
      <c r="E38" s="426"/>
      <c r="F38" s="426"/>
      <c r="G38" s="426"/>
      <c r="H38" s="426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6"/>
      <c r="U38" s="426"/>
      <c r="V38" s="426"/>
      <c r="W38" s="426"/>
      <c r="X38" s="426"/>
      <c r="Y38" s="426"/>
      <c r="Z38" s="658">
        <f t="shared" ref="Z38:Z52" si="9">ER38*30</f>
        <v>120</v>
      </c>
      <c r="AA38" s="658"/>
      <c r="AB38" s="658"/>
      <c r="AC38" s="658"/>
      <c r="AD38" s="659"/>
      <c r="AE38" s="659"/>
      <c r="AF38" s="659"/>
      <c r="AG38" s="659"/>
      <c r="AH38" s="660">
        <f t="shared" ref="AH38:AH52" si="10">SUM(AM38:BF38)</f>
        <v>24</v>
      </c>
      <c r="AI38" s="660"/>
      <c r="AJ38" s="660"/>
      <c r="AK38" s="660"/>
      <c r="AL38" s="660"/>
      <c r="AM38" s="661">
        <v>16</v>
      </c>
      <c r="AN38" s="661"/>
      <c r="AO38" s="661"/>
      <c r="AP38" s="661"/>
      <c r="AQ38" s="661"/>
      <c r="AR38" s="661"/>
      <c r="AS38" s="661"/>
      <c r="AT38" s="661"/>
      <c r="AU38" s="661"/>
      <c r="AV38" s="661"/>
      <c r="AW38" s="661">
        <v>8</v>
      </c>
      <c r="AX38" s="661"/>
      <c r="AY38" s="661"/>
      <c r="AZ38" s="661"/>
      <c r="BA38" s="661"/>
      <c r="BB38" s="664"/>
      <c r="BC38" s="664"/>
      <c r="BD38" s="664"/>
      <c r="BE38" s="664"/>
      <c r="BF38" s="664"/>
      <c r="BG38" s="664"/>
      <c r="BH38" s="664"/>
      <c r="BI38" s="664"/>
      <c r="BJ38" s="664"/>
      <c r="BK38" s="664"/>
      <c r="BL38" s="658">
        <f t="shared" ref="BL38:BL52" si="11">Z38-AH38</f>
        <v>96</v>
      </c>
      <c r="BM38" s="658"/>
      <c r="BN38" s="658"/>
      <c r="BO38" s="665"/>
      <c r="BP38" s="663">
        <v>6</v>
      </c>
      <c r="BQ38" s="659"/>
      <c r="BR38" s="659"/>
      <c r="BS38" s="659"/>
      <c r="BT38" s="659"/>
      <c r="BU38" s="659"/>
      <c r="BV38" s="659"/>
      <c r="BW38" s="659"/>
      <c r="BX38" s="659"/>
      <c r="BY38" s="659"/>
      <c r="BZ38" s="659"/>
      <c r="CA38" s="659"/>
      <c r="CB38" s="659"/>
      <c r="CC38" s="659"/>
      <c r="CD38" s="659"/>
      <c r="CE38" s="659"/>
      <c r="CF38" s="659"/>
      <c r="CG38" s="659"/>
      <c r="CH38" s="659"/>
      <c r="CI38" s="659"/>
      <c r="CJ38" s="659"/>
      <c r="CK38" s="659"/>
      <c r="CL38" s="659"/>
      <c r="CM38" s="659"/>
      <c r="CN38" s="659"/>
      <c r="CO38" s="659"/>
      <c r="CP38" s="659"/>
      <c r="CQ38" s="659"/>
      <c r="CR38" s="659"/>
      <c r="CS38" s="659"/>
      <c r="CT38" s="659"/>
      <c r="CU38" s="659"/>
      <c r="CV38" s="659"/>
      <c r="CW38" s="659"/>
      <c r="CX38" s="659"/>
      <c r="CY38" s="659"/>
      <c r="CZ38" s="659"/>
      <c r="DA38" s="659"/>
      <c r="DB38" s="659"/>
      <c r="DC38" s="662"/>
      <c r="DD38" s="663">
        <v>4</v>
      </c>
      <c r="DE38" s="659"/>
      <c r="DF38" s="659"/>
      <c r="DG38" s="659"/>
      <c r="DH38" s="659"/>
      <c r="DI38" s="659"/>
      <c r="DJ38" s="659"/>
      <c r="DK38" s="659"/>
      <c r="DL38" s="659"/>
      <c r="DM38" s="659"/>
      <c r="DN38" s="659"/>
      <c r="DO38" s="659"/>
      <c r="DP38" s="659"/>
      <c r="DQ38" s="659"/>
      <c r="DR38" s="659"/>
      <c r="DS38" s="659"/>
      <c r="DT38" s="659"/>
      <c r="DU38" s="659"/>
      <c r="DV38" s="659"/>
      <c r="DW38" s="659"/>
      <c r="DX38" s="659"/>
      <c r="DY38" s="659"/>
      <c r="DZ38" s="659"/>
      <c r="EA38" s="659"/>
      <c r="EB38" s="653"/>
      <c r="EC38" s="653"/>
      <c r="ED38" s="653"/>
      <c r="EE38" s="653"/>
      <c r="EF38" s="653"/>
      <c r="EG38" s="653"/>
      <c r="EH38" s="653"/>
      <c r="EI38" s="653"/>
      <c r="EJ38" s="653"/>
      <c r="EK38" s="653"/>
      <c r="EL38" s="653"/>
      <c r="EM38" s="653"/>
      <c r="EN38" s="653"/>
      <c r="EO38" s="653"/>
      <c r="EP38" s="653"/>
      <c r="EQ38" s="654"/>
      <c r="ER38" s="626">
        <f t="shared" ref="ER38:ER52" si="12">DD38+DH38+DL38+DP38+DT38+DX38+EB38+EF38+EJ38+EN38</f>
        <v>4</v>
      </c>
      <c r="ES38" s="627"/>
      <c r="ET38" s="954"/>
      <c r="EU38" s="619"/>
    </row>
    <row r="39" spans="1:157" ht="69.95" customHeight="1" x14ac:dyDescent="0.2">
      <c r="A39" s="59" t="s">
        <v>91</v>
      </c>
      <c r="B39" s="97" t="s">
        <v>71</v>
      </c>
      <c r="C39" s="426" t="s">
        <v>77</v>
      </c>
      <c r="D39" s="426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Z39" s="658">
        <f t="shared" si="9"/>
        <v>120</v>
      </c>
      <c r="AA39" s="658"/>
      <c r="AB39" s="658"/>
      <c r="AC39" s="658"/>
      <c r="AD39" s="659"/>
      <c r="AE39" s="659"/>
      <c r="AF39" s="659"/>
      <c r="AG39" s="659"/>
      <c r="AH39" s="660">
        <f t="shared" si="10"/>
        <v>24</v>
      </c>
      <c r="AI39" s="660"/>
      <c r="AJ39" s="660"/>
      <c r="AK39" s="660"/>
      <c r="AL39" s="660"/>
      <c r="AM39" s="661">
        <v>16</v>
      </c>
      <c r="AN39" s="661"/>
      <c r="AO39" s="661"/>
      <c r="AP39" s="661"/>
      <c r="AQ39" s="661"/>
      <c r="AR39" s="661"/>
      <c r="AS39" s="661"/>
      <c r="AT39" s="661"/>
      <c r="AU39" s="661"/>
      <c r="AV39" s="661"/>
      <c r="AW39" s="661">
        <v>8</v>
      </c>
      <c r="AX39" s="661"/>
      <c r="AY39" s="661"/>
      <c r="AZ39" s="661"/>
      <c r="BA39" s="661"/>
      <c r="BB39" s="664"/>
      <c r="BC39" s="664"/>
      <c r="BD39" s="664"/>
      <c r="BE39" s="664"/>
      <c r="BF39" s="664"/>
      <c r="BG39" s="664"/>
      <c r="BH39" s="664"/>
      <c r="BI39" s="664"/>
      <c r="BJ39" s="664"/>
      <c r="BK39" s="664"/>
      <c r="BL39" s="658">
        <f t="shared" si="11"/>
        <v>96</v>
      </c>
      <c r="BM39" s="658"/>
      <c r="BN39" s="658"/>
      <c r="BO39" s="665"/>
      <c r="BP39" s="663">
        <v>6</v>
      </c>
      <c r="BQ39" s="659"/>
      <c r="BR39" s="659"/>
      <c r="BS39" s="659"/>
      <c r="BT39" s="659"/>
      <c r="BU39" s="659"/>
      <c r="BV39" s="659"/>
      <c r="BW39" s="659"/>
      <c r="BX39" s="659"/>
      <c r="BY39" s="659"/>
      <c r="BZ39" s="659"/>
      <c r="CA39" s="659"/>
      <c r="CB39" s="659"/>
      <c r="CC39" s="659"/>
      <c r="CD39" s="659"/>
      <c r="CE39" s="659"/>
      <c r="CF39" s="659"/>
      <c r="CG39" s="659"/>
      <c r="CH39" s="659"/>
      <c r="CI39" s="659"/>
      <c r="CJ39" s="659"/>
      <c r="CK39" s="659"/>
      <c r="CL39" s="659"/>
      <c r="CM39" s="659"/>
      <c r="CN39" s="659"/>
      <c r="CO39" s="659"/>
      <c r="CP39" s="659"/>
      <c r="CQ39" s="659"/>
      <c r="CR39" s="659"/>
      <c r="CS39" s="659"/>
      <c r="CT39" s="659"/>
      <c r="CU39" s="659"/>
      <c r="CV39" s="659"/>
      <c r="CW39" s="659"/>
      <c r="CX39" s="659"/>
      <c r="CY39" s="659"/>
      <c r="CZ39" s="659"/>
      <c r="DA39" s="659"/>
      <c r="DB39" s="659"/>
      <c r="DC39" s="662"/>
      <c r="DD39" s="663">
        <v>4</v>
      </c>
      <c r="DE39" s="659"/>
      <c r="DF39" s="659"/>
      <c r="DG39" s="659"/>
      <c r="DH39" s="659"/>
      <c r="DI39" s="659"/>
      <c r="DJ39" s="659"/>
      <c r="DK39" s="659"/>
      <c r="DL39" s="659"/>
      <c r="DM39" s="659"/>
      <c r="DN39" s="659"/>
      <c r="DO39" s="659"/>
      <c r="DP39" s="659"/>
      <c r="DQ39" s="659"/>
      <c r="DR39" s="659"/>
      <c r="DS39" s="659"/>
      <c r="DT39" s="659"/>
      <c r="DU39" s="659"/>
      <c r="DV39" s="659"/>
      <c r="DW39" s="659"/>
      <c r="DX39" s="659"/>
      <c r="DY39" s="659"/>
      <c r="DZ39" s="659"/>
      <c r="EA39" s="659"/>
      <c r="EB39" s="653"/>
      <c r="EC39" s="653"/>
      <c r="ED39" s="653"/>
      <c r="EE39" s="653"/>
      <c r="EF39" s="653"/>
      <c r="EG39" s="653"/>
      <c r="EH39" s="653"/>
      <c r="EI39" s="653"/>
      <c r="EJ39" s="653"/>
      <c r="EK39" s="653"/>
      <c r="EL39" s="653"/>
      <c r="EM39" s="653"/>
      <c r="EN39" s="653"/>
      <c r="EO39" s="653"/>
      <c r="EP39" s="653"/>
      <c r="EQ39" s="654"/>
      <c r="ER39" s="626">
        <f t="shared" si="12"/>
        <v>4</v>
      </c>
      <c r="ES39" s="627"/>
      <c r="ET39" s="954"/>
      <c r="EU39" s="619"/>
    </row>
    <row r="40" spans="1:157" ht="69.95" customHeight="1" x14ac:dyDescent="0.2">
      <c r="A40" s="59" t="s">
        <v>92</v>
      </c>
      <c r="B40" s="97" t="s">
        <v>126</v>
      </c>
      <c r="C40" s="426" t="s">
        <v>78</v>
      </c>
      <c r="D40" s="426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Z40" s="658">
        <f t="shared" si="9"/>
        <v>300</v>
      </c>
      <c r="AA40" s="658"/>
      <c r="AB40" s="658"/>
      <c r="AC40" s="658"/>
      <c r="AD40" s="659"/>
      <c r="AE40" s="659"/>
      <c r="AF40" s="659"/>
      <c r="AG40" s="659"/>
      <c r="AH40" s="660">
        <f t="shared" si="10"/>
        <v>50</v>
      </c>
      <c r="AI40" s="660"/>
      <c r="AJ40" s="660"/>
      <c r="AK40" s="660"/>
      <c r="AL40" s="660"/>
      <c r="AM40" s="661">
        <v>32</v>
      </c>
      <c r="AN40" s="661"/>
      <c r="AO40" s="661"/>
      <c r="AP40" s="661"/>
      <c r="AQ40" s="661"/>
      <c r="AR40" s="661"/>
      <c r="AS40" s="661"/>
      <c r="AT40" s="661"/>
      <c r="AU40" s="661"/>
      <c r="AV40" s="661"/>
      <c r="AW40" s="661">
        <v>18</v>
      </c>
      <c r="AX40" s="661"/>
      <c r="AY40" s="661"/>
      <c r="AZ40" s="661"/>
      <c r="BA40" s="661"/>
      <c r="BB40" s="664"/>
      <c r="BC40" s="664"/>
      <c r="BD40" s="664"/>
      <c r="BE40" s="664"/>
      <c r="BF40" s="664"/>
      <c r="BG40" s="664"/>
      <c r="BH40" s="664"/>
      <c r="BI40" s="664"/>
      <c r="BJ40" s="664"/>
      <c r="BK40" s="664"/>
      <c r="BL40" s="658">
        <f t="shared" si="11"/>
        <v>250</v>
      </c>
      <c r="BM40" s="658"/>
      <c r="BN40" s="658"/>
      <c r="BO40" s="665"/>
      <c r="BP40" s="663">
        <v>12</v>
      </c>
      <c r="BQ40" s="659"/>
      <c r="BR40" s="659"/>
      <c r="BS40" s="659"/>
      <c r="BT40" s="659"/>
      <c r="BU40" s="659"/>
      <c r="BV40" s="659"/>
      <c r="BW40" s="659"/>
      <c r="BX40" s="659"/>
      <c r="BY40" s="659"/>
      <c r="BZ40" s="659"/>
      <c r="CA40" s="659"/>
      <c r="CB40" s="659"/>
      <c r="CC40" s="659"/>
      <c r="CD40" s="659"/>
      <c r="CE40" s="659"/>
      <c r="CF40" s="659"/>
      <c r="CG40" s="659"/>
      <c r="CH40" s="659"/>
      <c r="CI40" s="659"/>
      <c r="CJ40" s="659"/>
      <c r="CK40" s="659"/>
      <c r="CL40" s="659"/>
      <c r="CM40" s="659"/>
      <c r="CN40" s="659"/>
      <c r="CO40" s="659"/>
      <c r="CP40" s="659"/>
      <c r="CQ40" s="659"/>
      <c r="CR40" s="659"/>
      <c r="CS40" s="659"/>
      <c r="CT40" s="659"/>
      <c r="CU40" s="659"/>
      <c r="CV40" s="659"/>
      <c r="CW40" s="659"/>
      <c r="CX40" s="659"/>
      <c r="CY40" s="659"/>
      <c r="CZ40" s="659"/>
      <c r="DA40" s="659"/>
      <c r="DB40" s="659"/>
      <c r="DC40" s="662"/>
      <c r="DD40" s="663">
        <v>10</v>
      </c>
      <c r="DE40" s="659"/>
      <c r="DF40" s="659"/>
      <c r="DG40" s="659"/>
      <c r="DH40" s="659"/>
      <c r="DI40" s="659"/>
      <c r="DJ40" s="659"/>
      <c r="DK40" s="659"/>
      <c r="DL40" s="659"/>
      <c r="DM40" s="659"/>
      <c r="DN40" s="659"/>
      <c r="DO40" s="659"/>
      <c r="DP40" s="659"/>
      <c r="DQ40" s="659"/>
      <c r="DR40" s="659"/>
      <c r="DS40" s="659"/>
      <c r="DT40" s="659"/>
      <c r="DU40" s="659"/>
      <c r="DV40" s="659"/>
      <c r="DW40" s="659"/>
      <c r="DX40" s="659"/>
      <c r="DY40" s="659"/>
      <c r="DZ40" s="659"/>
      <c r="EA40" s="659"/>
      <c r="EB40" s="653"/>
      <c r="EC40" s="653"/>
      <c r="ED40" s="653"/>
      <c r="EE40" s="653"/>
      <c r="EF40" s="653"/>
      <c r="EG40" s="653"/>
      <c r="EH40" s="653"/>
      <c r="EI40" s="653"/>
      <c r="EJ40" s="653"/>
      <c r="EK40" s="653"/>
      <c r="EL40" s="653"/>
      <c r="EM40" s="653"/>
      <c r="EN40" s="653"/>
      <c r="EO40" s="653"/>
      <c r="EP40" s="653"/>
      <c r="EQ40" s="654"/>
      <c r="ER40" s="626">
        <f t="shared" si="12"/>
        <v>10</v>
      </c>
      <c r="ES40" s="627"/>
      <c r="ET40" s="954"/>
      <c r="EU40" s="619"/>
      <c r="EV40" s="172" t="s">
        <v>262</v>
      </c>
    </row>
    <row r="41" spans="1:157" ht="69.95" customHeight="1" x14ac:dyDescent="0.2">
      <c r="A41" s="59" t="s">
        <v>93</v>
      </c>
      <c r="B41" s="97" t="s">
        <v>72</v>
      </c>
      <c r="C41" s="426" t="s">
        <v>79</v>
      </c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  <c r="Z41" s="658">
        <f t="shared" si="9"/>
        <v>120</v>
      </c>
      <c r="AA41" s="658"/>
      <c r="AB41" s="658"/>
      <c r="AC41" s="658"/>
      <c r="AD41" s="659"/>
      <c r="AE41" s="659"/>
      <c r="AF41" s="659"/>
      <c r="AG41" s="659"/>
      <c r="AH41" s="660">
        <f t="shared" si="10"/>
        <v>24</v>
      </c>
      <c r="AI41" s="660"/>
      <c r="AJ41" s="660"/>
      <c r="AK41" s="660"/>
      <c r="AL41" s="660"/>
      <c r="AM41" s="661">
        <v>18</v>
      </c>
      <c r="AN41" s="661"/>
      <c r="AO41" s="661"/>
      <c r="AP41" s="661"/>
      <c r="AQ41" s="661"/>
      <c r="AR41" s="661"/>
      <c r="AS41" s="661"/>
      <c r="AT41" s="661"/>
      <c r="AU41" s="661"/>
      <c r="AV41" s="661"/>
      <c r="AW41" s="661">
        <v>6</v>
      </c>
      <c r="AX41" s="661"/>
      <c r="AY41" s="661"/>
      <c r="AZ41" s="661"/>
      <c r="BA41" s="661"/>
      <c r="BB41" s="664"/>
      <c r="BC41" s="664"/>
      <c r="BD41" s="664"/>
      <c r="BE41" s="664"/>
      <c r="BF41" s="664"/>
      <c r="BG41" s="664"/>
      <c r="BH41" s="664"/>
      <c r="BI41" s="664"/>
      <c r="BJ41" s="664"/>
      <c r="BK41" s="664"/>
      <c r="BL41" s="658">
        <f t="shared" si="11"/>
        <v>96</v>
      </c>
      <c r="BM41" s="658"/>
      <c r="BN41" s="658"/>
      <c r="BO41" s="665"/>
      <c r="BP41" s="663"/>
      <c r="BQ41" s="659"/>
      <c r="BR41" s="659"/>
      <c r="BS41" s="659"/>
      <c r="BT41" s="659">
        <v>8</v>
      </c>
      <c r="BU41" s="659"/>
      <c r="BV41" s="659"/>
      <c r="BW41" s="659"/>
      <c r="BX41" s="659"/>
      <c r="BY41" s="659"/>
      <c r="BZ41" s="659"/>
      <c r="CA41" s="659"/>
      <c r="CB41" s="659"/>
      <c r="CC41" s="659"/>
      <c r="CD41" s="659"/>
      <c r="CE41" s="659"/>
      <c r="CF41" s="659"/>
      <c r="CG41" s="659"/>
      <c r="CH41" s="659"/>
      <c r="CI41" s="659"/>
      <c r="CJ41" s="659"/>
      <c r="CK41" s="659"/>
      <c r="CL41" s="659"/>
      <c r="CM41" s="659"/>
      <c r="CN41" s="659"/>
      <c r="CO41" s="659"/>
      <c r="CP41" s="659"/>
      <c r="CQ41" s="659"/>
      <c r="CR41" s="659"/>
      <c r="CS41" s="659"/>
      <c r="CT41" s="659"/>
      <c r="CU41" s="659"/>
      <c r="CV41" s="659"/>
      <c r="CW41" s="659"/>
      <c r="CX41" s="659"/>
      <c r="CY41" s="659"/>
      <c r="CZ41" s="659"/>
      <c r="DA41" s="659"/>
      <c r="DB41" s="659"/>
      <c r="DC41" s="662"/>
      <c r="DD41" s="663"/>
      <c r="DE41" s="659"/>
      <c r="DF41" s="659"/>
      <c r="DG41" s="659"/>
      <c r="DH41" s="659">
        <v>4</v>
      </c>
      <c r="DI41" s="659"/>
      <c r="DJ41" s="659"/>
      <c r="DK41" s="659"/>
      <c r="DL41" s="659"/>
      <c r="DM41" s="659"/>
      <c r="DN41" s="659"/>
      <c r="DO41" s="659"/>
      <c r="DP41" s="659"/>
      <c r="DQ41" s="659"/>
      <c r="DR41" s="659"/>
      <c r="DS41" s="659"/>
      <c r="DT41" s="659"/>
      <c r="DU41" s="659"/>
      <c r="DV41" s="659"/>
      <c r="DW41" s="659"/>
      <c r="DX41" s="659"/>
      <c r="DY41" s="659"/>
      <c r="DZ41" s="659"/>
      <c r="EA41" s="659"/>
      <c r="EB41" s="653"/>
      <c r="EC41" s="653"/>
      <c r="ED41" s="653"/>
      <c r="EE41" s="653"/>
      <c r="EF41" s="653"/>
      <c r="EG41" s="653"/>
      <c r="EH41" s="653"/>
      <c r="EI41" s="653"/>
      <c r="EJ41" s="653"/>
      <c r="EK41" s="653"/>
      <c r="EL41" s="653"/>
      <c r="EM41" s="653"/>
      <c r="EN41" s="653"/>
      <c r="EO41" s="653"/>
      <c r="EP41" s="653"/>
      <c r="EQ41" s="654"/>
      <c r="ER41" s="626">
        <f t="shared" si="12"/>
        <v>4</v>
      </c>
      <c r="ES41" s="627"/>
      <c r="ET41" s="954"/>
      <c r="EU41" s="619"/>
      <c r="EV41" s="172" t="s">
        <v>262</v>
      </c>
    </row>
    <row r="42" spans="1:157" ht="69.95" customHeight="1" x14ac:dyDescent="0.2">
      <c r="A42" s="59" t="s">
        <v>94</v>
      </c>
      <c r="B42" s="97" t="s">
        <v>128</v>
      </c>
      <c r="C42" s="426" t="s">
        <v>123</v>
      </c>
      <c r="D42" s="426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Z42" s="658">
        <f t="shared" si="9"/>
        <v>150</v>
      </c>
      <c r="AA42" s="658"/>
      <c r="AB42" s="658"/>
      <c r="AC42" s="658"/>
      <c r="AD42" s="659"/>
      <c r="AE42" s="659"/>
      <c r="AF42" s="659"/>
      <c r="AG42" s="659"/>
      <c r="AH42" s="660">
        <f t="shared" si="10"/>
        <v>22</v>
      </c>
      <c r="AI42" s="660"/>
      <c r="AJ42" s="660"/>
      <c r="AK42" s="660"/>
      <c r="AL42" s="660"/>
      <c r="AM42" s="661">
        <v>12</v>
      </c>
      <c r="AN42" s="661"/>
      <c r="AO42" s="661"/>
      <c r="AP42" s="661"/>
      <c r="AQ42" s="661"/>
      <c r="AR42" s="661"/>
      <c r="AS42" s="661"/>
      <c r="AT42" s="661"/>
      <c r="AU42" s="661"/>
      <c r="AV42" s="661"/>
      <c r="AW42" s="661">
        <v>10</v>
      </c>
      <c r="AX42" s="661"/>
      <c r="AY42" s="661"/>
      <c r="AZ42" s="661"/>
      <c r="BA42" s="661"/>
      <c r="BB42" s="664"/>
      <c r="BC42" s="664"/>
      <c r="BD42" s="664"/>
      <c r="BE42" s="664"/>
      <c r="BF42" s="664"/>
      <c r="BG42" s="664"/>
      <c r="BH42" s="664"/>
      <c r="BI42" s="664"/>
      <c r="BJ42" s="664"/>
      <c r="BK42" s="664"/>
      <c r="BL42" s="658">
        <f t="shared" si="11"/>
        <v>128</v>
      </c>
      <c r="BM42" s="658"/>
      <c r="BN42" s="658"/>
      <c r="BO42" s="665"/>
      <c r="BP42" s="663"/>
      <c r="BQ42" s="659"/>
      <c r="BR42" s="659"/>
      <c r="BS42" s="659"/>
      <c r="BT42" s="659">
        <v>8</v>
      </c>
      <c r="BU42" s="659"/>
      <c r="BV42" s="659"/>
      <c r="BW42" s="659"/>
      <c r="BX42" s="659"/>
      <c r="BY42" s="659"/>
      <c r="BZ42" s="659"/>
      <c r="CA42" s="659"/>
      <c r="CB42" s="659"/>
      <c r="CC42" s="659"/>
      <c r="CD42" s="659"/>
      <c r="CE42" s="659"/>
      <c r="CF42" s="659"/>
      <c r="CG42" s="659"/>
      <c r="CH42" s="659"/>
      <c r="CI42" s="659"/>
      <c r="CJ42" s="659"/>
      <c r="CK42" s="659"/>
      <c r="CL42" s="659"/>
      <c r="CM42" s="659"/>
      <c r="CN42" s="659"/>
      <c r="CO42" s="659"/>
      <c r="CP42" s="659"/>
      <c r="CQ42" s="659"/>
      <c r="CR42" s="659"/>
      <c r="CS42" s="659"/>
      <c r="CT42" s="659"/>
      <c r="CU42" s="659"/>
      <c r="CV42" s="659"/>
      <c r="CW42" s="659"/>
      <c r="CX42" s="659"/>
      <c r="CY42" s="659"/>
      <c r="CZ42" s="659"/>
      <c r="DA42" s="659"/>
      <c r="DB42" s="659"/>
      <c r="DC42" s="662"/>
      <c r="DD42" s="663"/>
      <c r="DE42" s="659"/>
      <c r="DF42" s="659"/>
      <c r="DG42" s="659"/>
      <c r="DH42" s="659">
        <v>5</v>
      </c>
      <c r="DI42" s="659"/>
      <c r="DJ42" s="659"/>
      <c r="DK42" s="659"/>
      <c r="DL42" s="659"/>
      <c r="DM42" s="659"/>
      <c r="DN42" s="659"/>
      <c r="DO42" s="659"/>
      <c r="DP42" s="659"/>
      <c r="DQ42" s="659"/>
      <c r="DR42" s="659"/>
      <c r="DS42" s="659"/>
      <c r="DT42" s="659"/>
      <c r="DU42" s="659"/>
      <c r="DV42" s="659"/>
      <c r="DW42" s="659"/>
      <c r="DX42" s="659"/>
      <c r="DY42" s="659"/>
      <c r="DZ42" s="659"/>
      <c r="EA42" s="659"/>
      <c r="EB42" s="653"/>
      <c r="EC42" s="653"/>
      <c r="ED42" s="653"/>
      <c r="EE42" s="653"/>
      <c r="EF42" s="653"/>
      <c r="EG42" s="653"/>
      <c r="EH42" s="653"/>
      <c r="EI42" s="653"/>
      <c r="EJ42" s="653"/>
      <c r="EK42" s="653"/>
      <c r="EL42" s="653"/>
      <c r="EM42" s="653"/>
      <c r="EN42" s="653"/>
      <c r="EO42" s="653"/>
      <c r="EP42" s="653"/>
      <c r="EQ42" s="654"/>
      <c r="ER42" s="626">
        <f t="shared" si="12"/>
        <v>5</v>
      </c>
      <c r="ES42" s="627"/>
      <c r="ET42" s="954"/>
      <c r="EU42" s="619"/>
    </row>
    <row r="43" spans="1:157" ht="69.95" customHeight="1" x14ac:dyDescent="0.2">
      <c r="A43" s="59" t="s">
        <v>95</v>
      </c>
      <c r="B43" s="97" t="s">
        <v>131</v>
      </c>
      <c r="C43" s="426" t="s">
        <v>155</v>
      </c>
      <c r="D43" s="426"/>
      <c r="E43" s="426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  <c r="Z43" s="658">
        <f t="shared" si="9"/>
        <v>240</v>
      </c>
      <c r="AA43" s="658"/>
      <c r="AB43" s="658"/>
      <c r="AC43" s="658"/>
      <c r="AD43" s="659"/>
      <c r="AE43" s="659"/>
      <c r="AF43" s="659"/>
      <c r="AG43" s="659"/>
      <c r="AH43" s="660">
        <f t="shared" si="10"/>
        <v>34</v>
      </c>
      <c r="AI43" s="660"/>
      <c r="AJ43" s="660"/>
      <c r="AK43" s="660"/>
      <c r="AL43" s="660"/>
      <c r="AM43" s="661"/>
      <c r="AN43" s="661"/>
      <c r="AO43" s="661"/>
      <c r="AP43" s="661"/>
      <c r="AQ43" s="661"/>
      <c r="AR43" s="661">
        <v>20</v>
      </c>
      <c r="AS43" s="661"/>
      <c r="AT43" s="661"/>
      <c r="AU43" s="661"/>
      <c r="AV43" s="661"/>
      <c r="AW43" s="661">
        <v>14</v>
      </c>
      <c r="AX43" s="661"/>
      <c r="AY43" s="661"/>
      <c r="AZ43" s="661"/>
      <c r="BA43" s="661"/>
      <c r="BB43" s="664"/>
      <c r="BC43" s="664"/>
      <c r="BD43" s="664"/>
      <c r="BE43" s="664"/>
      <c r="BF43" s="664"/>
      <c r="BG43" s="664"/>
      <c r="BH43" s="664"/>
      <c r="BI43" s="664"/>
      <c r="BJ43" s="664"/>
      <c r="BK43" s="664"/>
      <c r="BL43" s="658">
        <f t="shared" si="11"/>
        <v>206</v>
      </c>
      <c r="BM43" s="658"/>
      <c r="BN43" s="658"/>
      <c r="BO43" s="665"/>
      <c r="BP43" s="663"/>
      <c r="BQ43" s="659"/>
      <c r="BR43" s="659"/>
      <c r="BS43" s="659"/>
      <c r="BT43" s="659"/>
      <c r="BU43" s="659"/>
      <c r="BV43" s="659"/>
      <c r="BW43" s="659"/>
      <c r="BX43" s="659">
        <v>6</v>
      </c>
      <c r="BY43" s="659"/>
      <c r="BZ43" s="659"/>
      <c r="CA43" s="659"/>
      <c r="CB43" s="659">
        <v>6</v>
      </c>
      <c r="CC43" s="659"/>
      <c r="CD43" s="659"/>
      <c r="CE43" s="659"/>
      <c r="CF43" s="659"/>
      <c r="CG43" s="659"/>
      <c r="CH43" s="659"/>
      <c r="CI43" s="659"/>
      <c r="CJ43" s="659"/>
      <c r="CK43" s="659"/>
      <c r="CL43" s="659"/>
      <c r="CM43" s="659"/>
      <c r="CN43" s="659"/>
      <c r="CO43" s="659"/>
      <c r="CP43" s="659"/>
      <c r="CQ43" s="659"/>
      <c r="CR43" s="659"/>
      <c r="CS43" s="659"/>
      <c r="CT43" s="659"/>
      <c r="CU43" s="659"/>
      <c r="CV43" s="659"/>
      <c r="CW43" s="659"/>
      <c r="CX43" s="659"/>
      <c r="CY43" s="659"/>
      <c r="CZ43" s="659"/>
      <c r="DA43" s="659"/>
      <c r="DB43" s="659"/>
      <c r="DC43" s="662"/>
      <c r="DD43" s="663"/>
      <c r="DE43" s="659"/>
      <c r="DF43" s="659"/>
      <c r="DG43" s="659"/>
      <c r="DH43" s="659"/>
      <c r="DI43" s="659"/>
      <c r="DJ43" s="659"/>
      <c r="DK43" s="659"/>
      <c r="DL43" s="659">
        <v>4</v>
      </c>
      <c r="DM43" s="659"/>
      <c r="DN43" s="659"/>
      <c r="DO43" s="659"/>
      <c r="DP43" s="659">
        <v>4</v>
      </c>
      <c r="DQ43" s="659"/>
      <c r="DR43" s="659"/>
      <c r="DS43" s="659"/>
      <c r="DT43" s="659"/>
      <c r="DU43" s="659"/>
      <c r="DV43" s="659"/>
      <c r="DW43" s="659"/>
      <c r="DX43" s="659"/>
      <c r="DY43" s="659"/>
      <c r="DZ43" s="659"/>
      <c r="EA43" s="659"/>
      <c r="EB43" s="653"/>
      <c r="EC43" s="653"/>
      <c r="ED43" s="653"/>
      <c r="EE43" s="653"/>
      <c r="EF43" s="653"/>
      <c r="EG43" s="653"/>
      <c r="EH43" s="653"/>
      <c r="EI43" s="653"/>
      <c r="EJ43" s="653"/>
      <c r="EK43" s="653"/>
      <c r="EL43" s="653"/>
      <c r="EM43" s="653"/>
      <c r="EN43" s="653"/>
      <c r="EO43" s="653"/>
      <c r="EP43" s="653"/>
      <c r="EQ43" s="654"/>
      <c r="ER43" s="626">
        <f t="shared" si="12"/>
        <v>8</v>
      </c>
      <c r="ES43" s="627"/>
      <c r="ET43" s="954"/>
      <c r="EU43" s="619"/>
      <c r="EV43" s="137" t="s">
        <v>216</v>
      </c>
      <c r="EW43" s="96"/>
      <c r="EX43" s="96"/>
      <c r="EY43" s="96"/>
      <c r="EZ43" s="96"/>
      <c r="FA43" s="96"/>
    </row>
    <row r="44" spans="1:157" s="98" customFormat="1" ht="69.95" customHeight="1" x14ac:dyDescent="0.2">
      <c r="A44" s="59" t="s">
        <v>96</v>
      </c>
      <c r="B44" s="97" t="s">
        <v>154</v>
      </c>
      <c r="C44" s="426" t="s">
        <v>153</v>
      </c>
      <c r="D44" s="426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Z44" s="658">
        <f t="shared" si="9"/>
        <v>480</v>
      </c>
      <c r="AA44" s="658"/>
      <c r="AB44" s="658"/>
      <c r="AC44" s="658"/>
      <c r="AD44" s="659"/>
      <c r="AE44" s="659"/>
      <c r="AF44" s="659"/>
      <c r="AG44" s="659"/>
      <c r="AH44" s="660">
        <f t="shared" si="10"/>
        <v>60</v>
      </c>
      <c r="AI44" s="660"/>
      <c r="AJ44" s="660"/>
      <c r="AK44" s="660"/>
      <c r="AL44" s="660"/>
      <c r="AM44" s="661">
        <v>34</v>
      </c>
      <c r="AN44" s="661"/>
      <c r="AO44" s="661"/>
      <c r="AP44" s="661"/>
      <c r="AQ44" s="661"/>
      <c r="AR44" s="661">
        <v>18</v>
      </c>
      <c r="AS44" s="661"/>
      <c r="AT44" s="661"/>
      <c r="AU44" s="661"/>
      <c r="AV44" s="661"/>
      <c r="AW44" s="661">
        <v>8</v>
      </c>
      <c r="AX44" s="661"/>
      <c r="AY44" s="661"/>
      <c r="AZ44" s="661"/>
      <c r="BA44" s="661"/>
      <c r="BB44" s="664"/>
      <c r="BC44" s="664"/>
      <c r="BD44" s="664"/>
      <c r="BE44" s="664"/>
      <c r="BF44" s="664"/>
      <c r="BG44" s="664" t="s">
        <v>229</v>
      </c>
      <c r="BH44" s="664"/>
      <c r="BI44" s="664"/>
      <c r="BJ44" s="664"/>
      <c r="BK44" s="664"/>
      <c r="BL44" s="658">
        <f t="shared" si="11"/>
        <v>420</v>
      </c>
      <c r="BM44" s="658"/>
      <c r="BN44" s="658"/>
      <c r="BO44" s="665"/>
      <c r="BP44" s="663"/>
      <c r="BQ44" s="659"/>
      <c r="BR44" s="659"/>
      <c r="BS44" s="659"/>
      <c r="BT44" s="659"/>
      <c r="BU44" s="659"/>
      <c r="BV44" s="659"/>
      <c r="BW44" s="659"/>
      <c r="BX44" s="659">
        <v>4</v>
      </c>
      <c r="BY44" s="659"/>
      <c r="BZ44" s="659"/>
      <c r="CA44" s="659"/>
      <c r="CB44" s="659">
        <v>5</v>
      </c>
      <c r="CC44" s="659"/>
      <c r="CD44" s="659"/>
      <c r="CE44" s="659"/>
      <c r="CF44" s="659">
        <v>5</v>
      </c>
      <c r="CG44" s="659"/>
      <c r="CH44" s="659"/>
      <c r="CI44" s="659"/>
      <c r="CJ44" s="659">
        <v>5</v>
      </c>
      <c r="CK44" s="659"/>
      <c r="CL44" s="659"/>
      <c r="CM44" s="659"/>
      <c r="CN44" s="659"/>
      <c r="CO44" s="659"/>
      <c r="CP44" s="659"/>
      <c r="CQ44" s="659"/>
      <c r="CR44" s="659"/>
      <c r="CS44" s="659"/>
      <c r="CT44" s="659"/>
      <c r="CU44" s="659"/>
      <c r="CV44" s="659"/>
      <c r="CW44" s="659"/>
      <c r="CX44" s="659"/>
      <c r="CY44" s="659"/>
      <c r="CZ44" s="659"/>
      <c r="DA44" s="659"/>
      <c r="DB44" s="659"/>
      <c r="DC44" s="662"/>
      <c r="DD44" s="663"/>
      <c r="DE44" s="659"/>
      <c r="DF44" s="659"/>
      <c r="DG44" s="659"/>
      <c r="DH44" s="659"/>
      <c r="DI44" s="659"/>
      <c r="DJ44" s="659"/>
      <c r="DK44" s="659"/>
      <c r="DL44" s="659">
        <v>4</v>
      </c>
      <c r="DM44" s="659"/>
      <c r="DN44" s="659"/>
      <c r="DO44" s="659"/>
      <c r="DP44" s="659">
        <v>4</v>
      </c>
      <c r="DQ44" s="659"/>
      <c r="DR44" s="659"/>
      <c r="DS44" s="659"/>
      <c r="DT44" s="659">
        <v>4</v>
      </c>
      <c r="DU44" s="659"/>
      <c r="DV44" s="659"/>
      <c r="DW44" s="659"/>
      <c r="DX44" s="659">
        <v>4</v>
      </c>
      <c r="DY44" s="659"/>
      <c r="DZ44" s="659"/>
      <c r="EA44" s="659"/>
      <c r="EB44" s="659"/>
      <c r="EC44" s="659"/>
      <c r="ED44" s="659"/>
      <c r="EE44" s="659"/>
      <c r="EF44" s="659"/>
      <c r="EG44" s="659"/>
      <c r="EH44" s="659"/>
      <c r="EI44" s="659"/>
      <c r="EJ44" s="659"/>
      <c r="EK44" s="659"/>
      <c r="EL44" s="659"/>
      <c r="EM44" s="659"/>
      <c r="EN44" s="659"/>
      <c r="EO44" s="659"/>
      <c r="EP44" s="659"/>
      <c r="EQ44" s="662"/>
      <c r="ER44" s="666">
        <f t="shared" si="12"/>
        <v>16</v>
      </c>
      <c r="ES44" s="667"/>
      <c r="ET44" s="953"/>
      <c r="EU44" s="668"/>
    </row>
    <row r="45" spans="1:157" s="98" customFormat="1" ht="90" customHeight="1" x14ac:dyDescent="0.2">
      <c r="A45" s="59" t="s">
        <v>97</v>
      </c>
      <c r="B45" s="97" t="s">
        <v>328</v>
      </c>
      <c r="C45" s="426" t="s">
        <v>87</v>
      </c>
      <c r="D45" s="426"/>
      <c r="E45" s="426"/>
      <c r="F45" s="426"/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  <c r="Z45" s="658">
        <f t="shared" si="9"/>
        <v>120</v>
      </c>
      <c r="AA45" s="658"/>
      <c r="AB45" s="658"/>
      <c r="AC45" s="658"/>
      <c r="AD45" s="659"/>
      <c r="AE45" s="659"/>
      <c r="AF45" s="659"/>
      <c r="AG45" s="659"/>
      <c r="AH45" s="660">
        <f t="shared" si="10"/>
        <v>16</v>
      </c>
      <c r="AI45" s="660"/>
      <c r="AJ45" s="660"/>
      <c r="AK45" s="660"/>
      <c r="AL45" s="660"/>
      <c r="AM45" s="661">
        <v>10</v>
      </c>
      <c r="AN45" s="661"/>
      <c r="AO45" s="661"/>
      <c r="AP45" s="661"/>
      <c r="AQ45" s="661"/>
      <c r="AR45" s="661">
        <v>6</v>
      </c>
      <c r="AS45" s="661"/>
      <c r="AT45" s="661"/>
      <c r="AU45" s="661"/>
      <c r="AV45" s="661"/>
      <c r="AW45" s="661"/>
      <c r="AX45" s="661"/>
      <c r="AY45" s="661"/>
      <c r="AZ45" s="661"/>
      <c r="BA45" s="661"/>
      <c r="BB45" s="664"/>
      <c r="BC45" s="664"/>
      <c r="BD45" s="664"/>
      <c r="BE45" s="664"/>
      <c r="BF45" s="664"/>
      <c r="BG45" s="664"/>
      <c r="BH45" s="664"/>
      <c r="BI45" s="664"/>
      <c r="BJ45" s="664"/>
      <c r="BK45" s="664"/>
      <c r="BL45" s="658">
        <f t="shared" si="11"/>
        <v>104</v>
      </c>
      <c r="BM45" s="658"/>
      <c r="BN45" s="658"/>
      <c r="BO45" s="665"/>
      <c r="BP45" s="663"/>
      <c r="BQ45" s="659"/>
      <c r="BR45" s="659"/>
      <c r="BS45" s="659"/>
      <c r="BT45" s="659"/>
      <c r="BU45" s="659"/>
      <c r="BV45" s="659"/>
      <c r="BW45" s="659"/>
      <c r="BX45" s="659"/>
      <c r="BY45" s="659"/>
      <c r="BZ45" s="659"/>
      <c r="CA45" s="659"/>
      <c r="CB45" s="659"/>
      <c r="CC45" s="659"/>
      <c r="CD45" s="659"/>
      <c r="CE45" s="659"/>
      <c r="CF45" s="659">
        <v>5</v>
      </c>
      <c r="CG45" s="659"/>
      <c r="CH45" s="659"/>
      <c r="CI45" s="659"/>
      <c r="CJ45" s="659"/>
      <c r="CK45" s="659"/>
      <c r="CL45" s="659"/>
      <c r="CM45" s="659"/>
      <c r="CN45" s="659"/>
      <c r="CO45" s="659"/>
      <c r="CP45" s="659"/>
      <c r="CQ45" s="659"/>
      <c r="CR45" s="659"/>
      <c r="CS45" s="659"/>
      <c r="CT45" s="659"/>
      <c r="CU45" s="659"/>
      <c r="CV45" s="659"/>
      <c r="CW45" s="659"/>
      <c r="CX45" s="659"/>
      <c r="CY45" s="659"/>
      <c r="CZ45" s="659"/>
      <c r="DA45" s="659"/>
      <c r="DB45" s="659"/>
      <c r="DC45" s="662"/>
      <c r="DD45" s="663"/>
      <c r="DE45" s="659"/>
      <c r="DF45" s="659"/>
      <c r="DG45" s="659"/>
      <c r="DH45" s="659"/>
      <c r="DI45" s="659"/>
      <c r="DJ45" s="659"/>
      <c r="DK45" s="659"/>
      <c r="DL45" s="659"/>
      <c r="DM45" s="659"/>
      <c r="DN45" s="659"/>
      <c r="DO45" s="659"/>
      <c r="DP45" s="659"/>
      <c r="DQ45" s="659"/>
      <c r="DR45" s="659"/>
      <c r="DS45" s="659"/>
      <c r="DT45" s="659">
        <v>4</v>
      </c>
      <c r="DU45" s="659"/>
      <c r="DV45" s="659"/>
      <c r="DW45" s="659"/>
      <c r="DX45" s="659"/>
      <c r="DY45" s="659"/>
      <c r="DZ45" s="659"/>
      <c r="EA45" s="659"/>
      <c r="EB45" s="659"/>
      <c r="EC45" s="659"/>
      <c r="ED45" s="659"/>
      <c r="EE45" s="659"/>
      <c r="EF45" s="659"/>
      <c r="EG45" s="659"/>
      <c r="EH45" s="659"/>
      <c r="EI45" s="659"/>
      <c r="EJ45" s="659"/>
      <c r="EK45" s="659"/>
      <c r="EL45" s="659"/>
      <c r="EM45" s="659"/>
      <c r="EN45" s="659"/>
      <c r="EO45" s="659"/>
      <c r="EP45" s="659"/>
      <c r="EQ45" s="662"/>
      <c r="ER45" s="666">
        <f t="shared" si="12"/>
        <v>4</v>
      </c>
      <c r="ES45" s="667"/>
      <c r="ET45" s="953"/>
      <c r="EU45" s="668"/>
    </row>
    <row r="46" spans="1:157" s="98" customFormat="1" ht="69.95" customHeight="1" x14ac:dyDescent="0.2">
      <c r="A46" s="59" t="s">
        <v>4</v>
      </c>
      <c r="B46" s="97" t="s">
        <v>133</v>
      </c>
      <c r="C46" s="426" t="s">
        <v>124</v>
      </c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Z46" s="658">
        <f t="shared" si="9"/>
        <v>180</v>
      </c>
      <c r="AA46" s="658"/>
      <c r="AB46" s="658"/>
      <c r="AC46" s="658"/>
      <c r="AD46" s="659"/>
      <c r="AE46" s="659"/>
      <c r="AF46" s="659"/>
      <c r="AG46" s="659"/>
      <c r="AH46" s="660">
        <f t="shared" si="10"/>
        <v>22</v>
      </c>
      <c r="AI46" s="660"/>
      <c r="AJ46" s="660"/>
      <c r="AK46" s="660"/>
      <c r="AL46" s="660"/>
      <c r="AM46" s="661">
        <v>14</v>
      </c>
      <c r="AN46" s="661"/>
      <c r="AO46" s="661"/>
      <c r="AP46" s="661"/>
      <c r="AQ46" s="661"/>
      <c r="AR46" s="661"/>
      <c r="AS46" s="661"/>
      <c r="AT46" s="661"/>
      <c r="AU46" s="661"/>
      <c r="AV46" s="661"/>
      <c r="AW46" s="661">
        <v>8</v>
      </c>
      <c r="AX46" s="661"/>
      <c r="AY46" s="661"/>
      <c r="AZ46" s="661"/>
      <c r="BA46" s="661"/>
      <c r="BB46" s="664"/>
      <c r="BC46" s="664"/>
      <c r="BD46" s="664"/>
      <c r="BE46" s="664"/>
      <c r="BF46" s="664"/>
      <c r="BG46" s="664"/>
      <c r="BH46" s="664"/>
      <c r="BI46" s="664"/>
      <c r="BJ46" s="664"/>
      <c r="BK46" s="664"/>
      <c r="BL46" s="658">
        <f t="shared" si="11"/>
        <v>158</v>
      </c>
      <c r="BM46" s="658"/>
      <c r="BN46" s="658"/>
      <c r="BO46" s="665"/>
      <c r="BP46" s="663"/>
      <c r="BQ46" s="659"/>
      <c r="BR46" s="659"/>
      <c r="BS46" s="659"/>
      <c r="BT46" s="659"/>
      <c r="BU46" s="659"/>
      <c r="BV46" s="659"/>
      <c r="BW46" s="659"/>
      <c r="BX46" s="659">
        <v>4</v>
      </c>
      <c r="BY46" s="659"/>
      <c r="BZ46" s="659"/>
      <c r="CA46" s="659"/>
      <c r="CB46" s="659">
        <v>3</v>
      </c>
      <c r="CC46" s="659"/>
      <c r="CD46" s="659"/>
      <c r="CE46" s="659"/>
      <c r="CF46" s="659"/>
      <c r="CG46" s="659"/>
      <c r="CH46" s="659"/>
      <c r="CI46" s="659"/>
      <c r="CJ46" s="659"/>
      <c r="CK46" s="659"/>
      <c r="CL46" s="659"/>
      <c r="CM46" s="659"/>
      <c r="CN46" s="659"/>
      <c r="CO46" s="659"/>
      <c r="CP46" s="659"/>
      <c r="CQ46" s="659"/>
      <c r="CR46" s="659"/>
      <c r="CS46" s="659"/>
      <c r="CT46" s="659"/>
      <c r="CU46" s="659"/>
      <c r="CV46" s="659"/>
      <c r="CW46" s="659"/>
      <c r="CX46" s="659"/>
      <c r="CY46" s="659"/>
      <c r="CZ46" s="659"/>
      <c r="DA46" s="659"/>
      <c r="DB46" s="659"/>
      <c r="DC46" s="662"/>
      <c r="DD46" s="663"/>
      <c r="DE46" s="659"/>
      <c r="DF46" s="659"/>
      <c r="DG46" s="659"/>
      <c r="DH46" s="659"/>
      <c r="DI46" s="659"/>
      <c r="DJ46" s="659"/>
      <c r="DK46" s="659"/>
      <c r="DL46" s="659">
        <v>4</v>
      </c>
      <c r="DM46" s="659"/>
      <c r="DN46" s="659"/>
      <c r="DO46" s="659"/>
      <c r="DP46" s="659">
        <v>2</v>
      </c>
      <c r="DQ46" s="659"/>
      <c r="DR46" s="659"/>
      <c r="DS46" s="659"/>
      <c r="DT46" s="659"/>
      <c r="DU46" s="659"/>
      <c r="DV46" s="659"/>
      <c r="DW46" s="659"/>
      <c r="DX46" s="659"/>
      <c r="DY46" s="659"/>
      <c r="DZ46" s="659"/>
      <c r="EA46" s="659"/>
      <c r="EB46" s="659"/>
      <c r="EC46" s="659"/>
      <c r="ED46" s="659"/>
      <c r="EE46" s="659"/>
      <c r="EF46" s="659"/>
      <c r="EG46" s="659"/>
      <c r="EH46" s="659"/>
      <c r="EI46" s="659"/>
      <c r="EJ46" s="659"/>
      <c r="EK46" s="659"/>
      <c r="EL46" s="659"/>
      <c r="EM46" s="659"/>
      <c r="EN46" s="659"/>
      <c r="EO46" s="659"/>
      <c r="EP46" s="659"/>
      <c r="EQ46" s="662"/>
      <c r="ER46" s="666">
        <f t="shared" si="12"/>
        <v>6</v>
      </c>
      <c r="ES46" s="667"/>
      <c r="ET46" s="953"/>
      <c r="EU46" s="668"/>
      <c r="EV46" s="136" t="s">
        <v>226</v>
      </c>
    </row>
    <row r="47" spans="1:157" s="98" customFormat="1" ht="69.95" customHeight="1" x14ac:dyDescent="0.2">
      <c r="A47" s="99" t="s">
        <v>5</v>
      </c>
      <c r="B47" s="97" t="s">
        <v>276</v>
      </c>
      <c r="C47" s="426" t="s">
        <v>156</v>
      </c>
      <c r="D47" s="426"/>
      <c r="E47" s="426"/>
      <c r="F47" s="426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  <c r="Z47" s="658">
        <f t="shared" si="9"/>
        <v>420</v>
      </c>
      <c r="AA47" s="658"/>
      <c r="AB47" s="658"/>
      <c r="AC47" s="658"/>
      <c r="AD47" s="659"/>
      <c r="AE47" s="659"/>
      <c r="AF47" s="659"/>
      <c r="AG47" s="659"/>
      <c r="AH47" s="660">
        <f t="shared" si="10"/>
        <v>56</v>
      </c>
      <c r="AI47" s="660"/>
      <c r="AJ47" s="660"/>
      <c r="AK47" s="660"/>
      <c r="AL47" s="660"/>
      <c r="AM47" s="661">
        <v>32</v>
      </c>
      <c r="AN47" s="661"/>
      <c r="AO47" s="661"/>
      <c r="AP47" s="661"/>
      <c r="AQ47" s="661"/>
      <c r="AR47" s="661">
        <v>12</v>
      </c>
      <c r="AS47" s="661"/>
      <c r="AT47" s="661"/>
      <c r="AU47" s="661"/>
      <c r="AV47" s="661"/>
      <c r="AW47" s="661">
        <v>12</v>
      </c>
      <c r="AX47" s="661"/>
      <c r="AY47" s="661"/>
      <c r="AZ47" s="661"/>
      <c r="BA47" s="661"/>
      <c r="BB47" s="664"/>
      <c r="BC47" s="664"/>
      <c r="BD47" s="664"/>
      <c r="BE47" s="664"/>
      <c r="BF47" s="664"/>
      <c r="BG47" s="664" t="s">
        <v>229</v>
      </c>
      <c r="BH47" s="664"/>
      <c r="BI47" s="664"/>
      <c r="BJ47" s="664"/>
      <c r="BK47" s="664"/>
      <c r="BL47" s="658">
        <f t="shared" si="11"/>
        <v>364</v>
      </c>
      <c r="BM47" s="658"/>
      <c r="BN47" s="658"/>
      <c r="BO47" s="665"/>
      <c r="BP47" s="663"/>
      <c r="BQ47" s="659"/>
      <c r="BR47" s="659"/>
      <c r="BS47" s="659"/>
      <c r="BT47" s="659"/>
      <c r="BU47" s="659"/>
      <c r="BV47" s="659"/>
      <c r="BW47" s="659"/>
      <c r="BX47" s="659">
        <v>4</v>
      </c>
      <c r="BY47" s="659"/>
      <c r="BZ47" s="659"/>
      <c r="CA47" s="659"/>
      <c r="CB47" s="659">
        <v>5</v>
      </c>
      <c r="CC47" s="659"/>
      <c r="CD47" s="659"/>
      <c r="CE47" s="659"/>
      <c r="CF47" s="659">
        <v>5</v>
      </c>
      <c r="CG47" s="659"/>
      <c r="CH47" s="659"/>
      <c r="CI47" s="659"/>
      <c r="CJ47" s="659">
        <v>5</v>
      </c>
      <c r="CK47" s="659"/>
      <c r="CL47" s="659"/>
      <c r="CM47" s="659"/>
      <c r="CN47" s="659"/>
      <c r="CO47" s="659"/>
      <c r="CP47" s="659"/>
      <c r="CQ47" s="659"/>
      <c r="CR47" s="659"/>
      <c r="CS47" s="659"/>
      <c r="CT47" s="659"/>
      <c r="CU47" s="659"/>
      <c r="CV47" s="659"/>
      <c r="CW47" s="659"/>
      <c r="CX47" s="659"/>
      <c r="CY47" s="659"/>
      <c r="CZ47" s="659"/>
      <c r="DA47" s="659"/>
      <c r="DB47" s="659"/>
      <c r="DC47" s="662"/>
      <c r="DD47" s="663"/>
      <c r="DE47" s="659"/>
      <c r="DF47" s="659"/>
      <c r="DG47" s="659"/>
      <c r="DH47" s="659"/>
      <c r="DI47" s="659"/>
      <c r="DJ47" s="659"/>
      <c r="DK47" s="659"/>
      <c r="DL47" s="659">
        <v>2</v>
      </c>
      <c r="DM47" s="659"/>
      <c r="DN47" s="659"/>
      <c r="DO47" s="659"/>
      <c r="DP47" s="659">
        <v>4</v>
      </c>
      <c r="DQ47" s="659"/>
      <c r="DR47" s="659"/>
      <c r="DS47" s="659"/>
      <c r="DT47" s="659">
        <v>4</v>
      </c>
      <c r="DU47" s="659"/>
      <c r="DV47" s="659"/>
      <c r="DW47" s="659"/>
      <c r="DX47" s="659">
        <v>4</v>
      </c>
      <c r="DY47" s="659"/>
      <c r="DZ47" s="659"/>
      <c r="EA47" s="659"/>
      <c r="EB47" s="659"/>
      <c r="EC47" s="659"/>
      <c r="ED47" s="659"/>
      <c r="EE47" s="659"/>
      <c r="EF47" s="659"/>
      <c r="EG47" s="659"/>
      <c r="EH47" s="659"/>
      <c r="EI47" s="659"/>
      <c r="EJ47" s="659"/>
      <c r="EK47" s="659"/>
      <c r="EL47" s="659"/>
      <c r="EM47" s="659"/>
      <c r="EN47" s="659"/>
      <c r="EO47" s="659"/>
      <c r="EP47" s="659"/>
      <c r="EQ47" s="662"/>
      <c r="ER47" s="666">
        <f t="shared" si="12"/>
        <v>14</v>
      </c>
      <c r="ES47" s="667"/>
      <c r="ET47" s="953"/>
      <c r="EU47" s="668"/>
      <c r="EV47" s="136" t="s">
        <v>228</v>
      </c>
      <c r="EZ47" s="186"/>
    </row>
    <row r="48" spans="1:157" s="324" customFormat="1" ht="99.95" customHeight="1" x14ac:dyDescent="0.2">
      <c r="A48" s="326" t="s">
        <v>6</v>
      </c>
      <c r="B48" s="327" t="s">
        <v>319</v>
      </c>
      <c r="C48" s="962" t="s">
        <v>157</v>
      </c>
      <c r="D48" s="962"/>
      <c r="E48" s="962"/>
      <c r="F48" s="962"/>
      <c r="G48" s="962"/>
      <c r="H48" s="962"/>
      <c r="I48" s="962"/>
      <c r="J48" s="962"/>
      <c r="K48" s="962"/>
      <c r="L48" s="962"/>
      <c r="M48" s="962"/>
      <c r="N48" s="962"/>
      <c r="O48" s="962"/>
      <c r="P48" s="962"/>
      <c r="Q48" s="962"/>
      <c r="R48" s="962"/>
      <c r="S48" s="962"/>
      <c r="T48" s="962"/>
      <c r="U48" s="962"/>
      <c r="V48" s="962"/>
      <c r="W48" s="962"/>
      <c r="X48" s="962"/>
      <c r="Y48" s="962"/>
      <c r="Z48" s="996">
        <f t="shared" si="9"/>
        <v>300</v>
      </c>
      <c r="AA48" s="996"/>
      <c r="AB48" s="996"/>
      <c r="AC48" s="996"/>
      <c r="AD48" s="956"/>
      <c r="AE48" s="956"/>
      <c r="AF48" s="956"/>
      <c r="AG48" s="956"/>
      <c r="AH48" s="998">
        <f t="shared" si="10"/>
        <v>38</v>
      </c>
      <c r="AI48" s="998"/>
      <c r="AJ48" s="998"/>
      <c r="AK48" s="998"/>
      <c r="AL48" s="998"/>
      <c r="AM48" s="999">
        <v>18</v>
      </c>
      <c r="AN48" s="999"/>
      <c r="AO48" s="999"/>
      <c r="AP48" s="999"/>
      <c r="AQ48" s="999"/>
      <c r="AR48" s="999">
        <v>10</v>
      </c>
      <c r="AS48" s="999"/>
      <c r="AT48" s="999"/>
      <c r="AU48" s="999"/>
      <c r="AV48" s="999"/>
      <c r="AW48" s="999">
        <v>10</v>
      </c>
      <c r="AX48" s="999"/>
      <c r="AY48" s="999"/>
      <c r="AZ48" s="999"/>
      <c r="BA48" s="999"/>
      <c r="BB48" s="1000"/>
      <c r="BC48" s="1000"/>
      <c r="BD48" s="1000"/>
      <c r="BE48" s="1000"/>
      <c r="BF48" s="1000"/>
      <c r="BG48" s="1000" t="s">
        <v>229</v>
      </c>
      <c r="BH48" s="1000"/>
      <c r="BI48" s="1000"/>
      <c r="BJ48" s="1000"/>
      <c r="BK48" s="1000"/>
      <c r="BL48" s="996">
        <f t="shared" si="11"/>
        <v>262</v>
      </c>
      <c r="BM48" s="996"/>
      <c r="BN48" s="996"/>
      <c r="BO48" s="997"/>
      <c r="BP48" s="963"/>
      <c r="BQ48" s="956"/>
      <c r="BR48" s="956"/>
      <c r="BS48" s="956"/>
      <c r="BT48" s="956"/>
      <c r="BU48" s="956"/>
      <c r="BV48" s="956"/>
      <c r="BW48" s="956"/>
      <c r="BX48" s="956"/>
      <c r="BY48" s="956"/>
      <c r="BZ48" s="956"/>
      <c r="CA48" s="956"/>
      <c r="CB48" s="956"/>
      <c r="CC48" s="956"/>
      <c r="CD48" s="956"/>
      <c r="CE48" s="956"/>
      <c r="CF48" s="956"/>
      <c r="CG48" s="956"/>
      <c r="CH48" s="956"/>
      <c r="CI48" s="956"/>
      <c r="CJ48" s="956">
        <v>5</v>
      </c>
      <c r="CK48" s="956"/>
      <c r="CL48" s="956"/>
      <c r="CM48" s="956"/>
      <c r="CN48" s="956">
        <v>5</v>
      </c>
      <c r="CO48" s="956"/>
      <c r="CP48" s="956"/>
      <c r="CQ48" s="956"/>
      <c r="CR48" s="956"/>
      <c r="CS48" s="956"/>
      <c r="CT48" s="956"/>
      <c r="CU48" s="956"/>
      <c r="CV48" s="956"/>
      <c r="CW48" s="956"/>
      <c r="CX48" s="956"/>
      <c r="CY48" s="956"/>
      <c r="CZ48" s="956"/>
      <c r="DA48" s="956"/>
      <c r="DB48" s="956"/>
      <c r="DC48" s="957"/>
      <c r="DD48" s="963"/>
      <c r="DE48" s="956"/>
      <c r="DF48" s="956"/>
      <c r="DG48" s="956"/>
      <c r="DH48" s="956"/>
      <c r="DI48" s="956"/>
      <c r="DJ48" s="956"/>
      <c r="DK48" s="956"/>
      <c r="DL48" s="956"/>
      <c r="DM48" s="956"/>
      <c r="DN48" s="956"/>
      <c r="DO48" s="956"/>
      <c r="DP48" s="956"/>
      <c r="DQ48" s="956"/>
      <c r="DR48" s="956"/>
      <c r="DS48" s="956"/>
      <c r="DT48" s="956"/>
      <c r="DU48" s="956"/>
      <c r="DV48" s="956"/>
      <c r="DW48" s="956"/>
      <c r="DX48" s="956">
        <v>4</v>
      </c>
      <c r="DY48" s="956"/>
      <c r="DZ48" s="956"/>
      <c r="EA48" s="956"/>
      <c r="EB48" s="956">
        <v>6</v>
      </c>
      <c r="EC48" s="956"/>
      <c r="ED48" s="956"/>
      <c r="EE48" s="956"/>
      <c r="EF48" s="956"/>
      <c r="EG48" s="956"/>
      <c r="EH48" s="956"/>
      <c r="EI48" s="956"/>
      <c r="EJ48" s="956"/>
      <c r="EK48" s="956"/>
      <c r="EL48" s="956"/>
      <c r="EM48" s="956"/>
      <c r="EN48" s="956"/>
      <c r="EO48" s="956"/>
      <c r="EP48" s="956"/>
      <c r="EQ48" s="957"/>
      <c r="ER48" s="992">
        <f t="shared" si="12"/>
        <v>10</v>
      </c>
      <c r="ES48" s="993"/>
      <c r="ET48" s="994"/>
      <c r="EU48" s="995"/>
    </row>
    <row r="49" spans="1:152" s="98" customFormat="1" ht="90" customHeight="1" x14ac:dyDescent="0.2">
      <c r="A49" s="99" t="s">
        <v>7</v>
      </c>
      <c r="B49" s="171" t="s">
        <v>135</v>
      </c>
      <c r="C49" s="426" t="s">
        <v>158</v>
      </c>
      <c r="D49" s="426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Z49" s="658">
        <f t="shared" si="9"/>
        <v>60</v>
      </c>
      <c r="AA49" s="658"/>
      <c r="AB49" s="658"/>
      <c r="AC49" s="658"/>
      <c r="AD49" s="659"/>
      <c r="AE49" s="659"/>
      <c r="AF49" s="659"/>
      <c r="AG49" s="659"/>
      <c r="AH49" s="660">
        <f t="shared" si="10"/>
        <v>16</v>
      </c>
      <c r="AI49" s="660"/>
      <c r="AJ49" s="660"/>
      <c r="AK49" s="660"/>
      <c r="AL49" s="660"/>
      <c r="AM49" s="661">
        <v>8</v>
      </c>
      <c r="AN49" s="661"/>
      <c r="AO49" s="661"/>
      <c r="AP49" s="661"/>
      <c r="AQ49" s="661"/>
      <c r="AR49" s="661"/>
      <c r="AS49" s="661"/>
      <c r="AT49" s="661"/>
      <c r="AU49" s="661"/>
      <c r="AV49" s="661"/>
      <c r="AW49" s="661">
        <v>8</v>
      </c>
      <c r="AX49" s="661"/>
      <c r="AY49" s="661"/>
      <c r="AZ49" s="661"/>
      <c r="BA49" s="661"/>
      <c r="BB49" s="664"/>
      <c r="BC49" s="664"/>
      <c r="BD49" s="664"/>
      <c r="BE49" s="664"/>
      <c r="BF49" s="664"/>
      <c r="BG49" s="664"/>
      <c r="BH49" s="664"/>
      <c r="BI49" s="664"/>
      <c r="BJ49" s="664"/>
      <c r="BK49" s="664"/>
      <c r="BL49" s="658">
        <f t="shared" si="11"/>
        <v>44</v>
      </c>
      <c r="BM49" s="658"/>
      <c r="BN49" s="658"/>
      <c r="BO49" s="665"/>
      <c r="BP49" s="663"/>
      <c r="BQ49" s="659"/>
      <c r="BR49" s="659"/>
      <c r="BS49" s="659"/>
      <c r="BT49" s="659"/>
      <c r="BU49" s="659"/>
      <c r="BV49" s="659"/>
      <c r="BW49" s="659"/>
      <c r="BX49" s="659"/>
      <c r="BY49" s="659"/>
      <c r="BZ49" s="659"/>
      <c r="CA49" s="659"/>
      <c r="CB49" s="659"/>
      <c r="CC49" s="659"/>
      <c r="CD49" s="659"/>
      <c r="CE49" s="659"/>
      <c r="CF49" s="659"/>
      <c r="CG49" s="659"/>
      <c r="CH49" s="659"/>
      <c r="CI49" s="659"/>
      <c r="CJ49" s="659"/>
      <c r="CK49" s="659"/>
      <c r="CL49" s="659"/>
      <c r="CM49" s="659"/>
      <c r="CN49" s="659"/>
      <c r="CO49" s="659"/>
      <c r="CP49" s="659"/>
      <c r="CQ49" s="659"/>
      <c r="CR49" s="659"/>
      <c r="CS49" s="659"/>
      <c r="CT49" s="659"/>
      <c r="CU49" s="659"/>
      <c r="CV49" s="659">
        <v>5</v>
      </c>
      <c r="CW49" s="659"/>
      <c r="CX49" s="659"/>
      <c r="CY49" s="659"/>
      <c r="CZ49" s="659"/>
      <c r="DA49" s="659"/>
      <c r="DB49" s="659"/>
      <c r="DC49" s="662"/>
      <c r="DD49" s="663"/>
      <c r="DE49" s="659"/>
      <c r="DF49" s="659"/>
      <c r="DG49" s="659"/>
      <c r="DH49" s="659"/>
      <c r="DI49" s="659"/>
      <c r="DJ49" s="659"/>
      <c r="DK49" s="659"/>
      <c r="DL49" s="659"/>
      <c r="DM49" s="659"/>
      <c r="DN49" s="659"/>
      <c r="DO49" s="659"/>
      <c r="DP49" s="659"/>
      <c r="DQ49" s="659"/>
      <c r="DR49" s="659"/>
      <c r="DS49" s="659"/>
      <c r="DT49" s="659"/>
      <c r="DU49" s="659"/>
      <c r="DV49" s="659"/>
      <c r="DW49" s="659"/>
      <c r="DX49" s="659"/>
      <c r="DY49" s="659"/>
      <c r="DZ49" s="659"/>
      <c r="EA49" s="659"/>
      <c r="EB49" s="659"/>
      <c r="EC49" s="659"/>
      <c r="ED49" s="659"/>
      <c r="EE49" s="659"/>
      <c r="EF49" s="659"/>
      <c r="EG49" s="659"/>
      <c r="EH49" s="659"/>
      <c r="EI49" s="659"/>
      <c r="EJ49" s="659">
        <v>2</v>
      </c>
      <c r="EK49" s="659"/>
      <c r="EL49" s="659"/>
      <c r="EM49" s="659"/>
      <c r="EN49" s="659"/>
      <c r="EO49" s="659"/>
      <c r="EP49" s="659"/>
      <c r="EQ49" s="662"/>
      <c r="ER49" s="666">
        <f t="shared" si="12"/>
        <v>2</v>
      </c>
      <c r="ES49" s="667"/>
      <c r="ET49" s="953"/>
      <c r="EU49" s="668"/>
    </row>
    <row r="50" spans="1:152" s="98" customFormat="1" ht="69.95" customHeight="1" x14ac:dyDescent="0.2">
      <c r="A50" s="99" t="s">
        <v>202</v>
      </c>
      <c r="B50" s="97" t="s">
        <v>341</v>
      </c>
      <c r="C50" s="426" t="s">
        <v>159</v>
      </c>
      <c r="D50" s="426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Z50" s="658">
        <f t="shared" si="9"/>
        <v>240</v>
      </c>
      <c r="AA50" s="658"/>
      <c r="AB50" s="658"/>
      <c r="AC50" s="658"/>
      <c r="AD50" s="659"/>
      <c r="AE50" s="659"/>
      <c r="AF50" s="659"/>
      <c r="AG50" s="659"/>
      <c r="AH50" s="660">
        <f t="shared" si="10"/>
        <v>32</v>
      </c>
      <c r="AI50" s="660"/>
      <c r="AJ50" s="660"/>
      <c r="AK50" s="660"/>
      <c r="AL50" s="660"/>
      <c r="AM50" s="661">
        <v>16</v>
      </c>
      <c r="AN50" s="661"/>
      <c r="AO50" s="661"/>
      <c r="AP50" s="661"/>
      <c r="AQ50" s="661"/>
      <c r="AR50" s="661">
        <v>16</v>
      </c>
      <c r="AS50" s="661"/>
      <c r="AT50" s="661"/>
      <c r="AU50" s="661"/>
      <c r="AV50" s="661"/>
      <c r="AW50" s="661"/>
      <c r="AX50" s="661"/>
      <c r="AY50" s="661"/>
      <c r="AZ50" s="661"/>
      <c r="BA50" s="661"/>
      <c r="BB50" s="664"/>
      <c r="BC50" s="664"/>
      <c r="BD50" s="664"/>
      <c r="BE50" s="664"/>
      <c r="BF50" s="664"/>
      <c r="BG50" s="664"/>
      <c r="BH50" s="664"/>
      <c r="BI50" s="664"/>
      <c r="BJ50" s="664"/>
      <c r="BK50" s="664"/>
      <c r="BL50" s="658">
        <f t="shared" si="11"/>
        <v>208</v>
      </c>
      <c r="BM50" s="658"/>
      <c r="BN50" s="658"/>
      <c r="BO50" s="665"/>
      <c r="BP50" s="663"/>
      <c r="BQ50" s="659"/>
      <c r="BR50" s="659"/>
      <c r="BS50" s="659"/>
      <c r="BT50" s="659"/>
      <c r="BU50" s="659"/>
      <c r="BV50" s="659"/>
      <c r="BW50" s="659"/>
      <c r="BX50" s="659"/>
      <c r="BY50" s="659"/>
      <c r="BZ50" s="659"/>
      <c r="CA50" s="659"/>
      <c r="CB50" s="659"/>
      <c r="CC50" s="659"/>
      <c r="CD50" s="659"/>
      <c r="CE50" s="659"/>
      <c r="CF50" s="659"/>
      <c r="CG50" s="659"/>
      <c r="CH50" s="659"/>
      <c r="CI50" s="659"/>
      <c r="CJ50" s="659"/>
      <c r="CK50" s="659"/>
      <c r="CL50" s="659"/>
      <c r="CM50" s="659"/>
      <c r="CN50" s="659"/>
      <c r="CO50" s="659"/>
      <c r="CP50" s="659"/>
      <c r="CQ50" s="659"/>
      <c r="CR50" s="659">
        <v>5</v>
      </c>
      <c r="CS50" s="659"/>
      <c r="CT50" s="659"/>
      <c r="CU50" s="659"/>
      <c r="CV50" s="659">
        <v>5</v>
      </c>
      <c r="CW50" s="659"/>
      <c r="CX50" s="659"/>
      <c r="CY50" s="659"/>
      <c r="CZ50" s="659"/>
      <c r="DA50" s="659"/>
      <c r="DB50" s="659"/>
      <c r="DC50" s="662"/>
      <c r="DD50" s="663"/>
      <c r="DE50" s="659"/>
      <c r="DF50" s="659"/>
      <c r="DG50" s="659"/>
      <c r="DH50" s="659"/>
      <c r="DI50" s="659"/>
      <c r="DJ50" s="659"/>
      <c r="DK50" s="659"/>
      <c r="DL50" s="659"/>
      <c r="DM50" s="659"/>
      <c r="DN50" s="659"/>
      <c r="DO50" s="659"/>
      <c r="DP50" s="659"/>
      <c r="DQ50" s="659"/>
      <c r="DR50" s="659"/>
      <c r="DS50" s="659"/>
      <c r="DT50" s="659"/>
      <c r="DU50" s="659"/>
      <c r="DV50" s="659"/>
      <c r="DW50" s="659"/>
      <c r="DX50" s="659"/>
      <c r="DY50" s="659"/>
      <c r="DZ50" s="659"/>
      <c r="EA50" s="659"/>
      <c r="EB50" s="659"/>
      <c r="EC50" s="659"/>
      <c r="ED50" s="659"/>
      <c r="EE50" s="659"/>
      <c r="EF50" s="659">
        <v>4</v>
      </c>
      <c r="EG50" s="659"/>
      <c r="EH50" s="659"/>
      <c r="EI50" s="659"/>
      <c r="EJ50" s="659">
        <v>4</v>
      </c>
      <c r="EK50" s="659"/>
      <c r="EL50" s="659"/>
      <c r="EM50" s="659"/>
      <c r="EN50" s="659"/>
      <c r="EO50" s="659"/>
      <c r="EP50" s="659"/>
      <c r="EQ50" s="662"/>
      <c r="ER50" s="666">
        <f t="shared" si="12"/>
        <v>8</v>
      </c>
      <c r="ES50" s="667"/>
      <c r="ET50" s="953"/>
      <c r="EU50" s="668"/>
    </row>
    <row r="51" spans="1:152" ht="69.95" customHeight="1" x14ac:dyDescent="0.2">
      <c r="A51" s="99" t="s">
        <v>8</v>
      </c>
      <c r="B51" s="140" t="s">
        <v>306</v>
      </c>
      <c r="C51" s="989" t="s">
        <v>279</v>
      </c>
      <c r="D51" s="990"/>
      <c r="E51" s="990"/>
      <c r="F51" s="990"/>
      <c r="G51" s="990"/>
      <c r="H51" s="990"/>
      <c r="I51" s="990"/>
      <c r="J51" s="990"/>
      <c r="K51" s="990"/>
      <c r="L51" s="990"/>
      <c r="M51" s="990"/>
      <c r="N51" s="990"/>
      <c r="O51" s="990"/>
      <c r="P51" s="990"/>
      <c r="Q51" s="990"/>
      <c r="R51" s="990"/>
      <c r="S51" s="990"/>
      <c r="T51" s="990"/>
      <c r="U51" s="990"/>
      <c r="V51" s="990"/>
      <c r="W51" s="990"/>
      <c r="X51" s="990"/>
      <c r="Y51" s="991"/>
      <c r="Z51" s="658">
        <f t="shared" ref="Z51" si="13">ER51*30</f>
        <v>120</v>
      </c>
      <c r="AA51" s="658"/>
      <c r="AB51" s="658"/>
      <c r="AC51" s="658"/>
      <c r="AD51" s="659"/>
      <c r="AE51" s="659"/>
      <c r="AF51" s="659"/>
      <c r="AG51" s="659"/>
      <c r="AH51" s="660">
        <f t="shared" ref="AH51" si="14">SUM(AM51:BF51)</f>
        <v>32</v>
      </c>
      <c r="AI51" s="660"/>
      <c r="AJ51" s="660"/>
      <c r="AK51" s="660"/>
      <c r="AL51" s="660"/>
      <c r="AM51" s="661">
        <v>16</v>
      </c>
      <c r="AN51" s="661"/>
      <c r="AO51" s="661"/>
      <c r="AP51" s="661"/>
      <c r="AQ51" s="661"/>
      <c r="AR51" s="661">
        <v>16</v>
      </c>
      <c r="AS51" s="661"/>
      <c r="AT51" s="661"/>
      <c r="AU51" s="661"/>
      <c r="AV51" s="661"/>
      <c r="AW51" s="661"/>
      <c r="AX51" s="661"/>
      <c r="AY51" s="661"/>
      <c r="AZ51" s="661"/>
      <c r="BA51" s="661"/>
      <c r="BB51" s="664"/>
      <c r="BC51" s="664"/>
      <c r="BD51" s="664"/>
      <c r="BE51" s="664"/>
      <c r="BF51" s="664"/>
      <c r="BG51" s="664"/>
      <c r="BH51" s="664"/>
      <c r="BI51" s="664"/>
      <c r="BJ51" s="664"/>
      <c r="BK51" s="664"/>
      <c r="BL51" s="658">
        <f t="shared" ref="BL51" si="15">Z51-AH51</f>
        <v>88</v>
      </c>
      <c r="BM51" s="658"/>
      <c r="BN51" s="658"/>
      <c r="BO51" s="665"/>
      <c r="BP51" s="663"/>
      <c r="BQ51" s="659"/>
      <c r="BR51" s="659"/>
      <c r="BS51" s="659"/>
      <c r="BT51" s="659"/>
      <c r="BU51" s="659"/>
      <c r="BV51" s="659"/>
      <c r="BW51" s="659"/>
      <c r="BX51" s="659"/>
      <c r="BY51" s="659"/>
      <c r="BZ51" s="659"/>
      <c r="CA51" s="659"/>
      <c r="CB51" s="659"/>
      <c r="CC51" s="659"/>
      <c r="CD51" s="659"/>
      <c r="CE51" s="659"/>
      <c r="CF51" s="659"/>
      <c r="CG51" s="659"/>
      <c r="CH51" s="659"/>
      <c r="CI51" s="659"/>
      <c r="CJ51" s="659"/>
      <c r="CK51" s="659"/>
      <c r="CL51" s="659"/>
      <c r="CM51" s="659"/>
      <c r="CN51" s="659"/>
      <c r="CO51" s="659"/>
      <c r="CP51" s="659"/>
      <c r="CQ51" s="659"/>
      <c r="CR51" s="659"/>
      <c r="CS51" s="659"/>
      <c r="CT51" s="659"/>
      <c r="CU51" s="659"/>
      <c r="CV51" s="659"/>
      <c r="CW51" s="659"/>
      <c r="CX51" s="659"/>
      <c r="CY51" s="659"/>
      <c r="CZ51" s="659">
        <v>5</v>
      </c>
      <c r="DA51" s="659"/>
      <c r="DB51" s="659"/>
      <c r="DC51" s="662"/>
      <c r="DD51" s="663"/>
      <c r="DE51" s="659"/>
      <c r="DF51" s="659"/>
      <c r="DG51" s="659"/>
      <c r="DH51" s="659"/>
      <c r="DI51" s="659"/>
      <c r="DJ51" s="659"/>
      <c r="DK51" s="659"/>
      <c r="DL51" s="659"/>
      <c r="DM51" s="659"/>
      <c r="DN51" s="659"/>
      <c r="DO51" s="659"/>
      <c r="DP51" s="659"/>
      <c r="DQ51" s="659"/>
      <c r="DR51" s="659"/>
      <c r="DS51" s="659"/>
      <c r="DT51" s="659"/>
      <c r="DU51" s="659"/>
      <c r="DV51" s="659"/>
      <c r="DW51" s="659"/>
      <c r="DX51" s="659"/>
      <c r="DY51" s="659"/>
      <c r="DZ51" s="659"/>
      <c r="EA51" s="659"/>
      <c r="EB51" s="653"/>
      <c r="EC51" s="653"/>
      <c r="ED51" s="653"/>
      <c r="EE51" s="653"/>
      <c r="EF51" s="653"/>
      <c r="EG51" s="653"/>
      <c r="EH51" s="653"/>
      <c r="EI51" s="653"/>
      <c r="EJ51" s="653"/>
      <c r="EK51" s="653"/>
      <c r="EL51" s="653"/>
      <c r="EM51" s="653"/>
      <c r="EN51" s="653">
        <v>4</v>
      </c>
      <c r="EO51" s="653"/>
      <c r="EP51" s="653"/>
      <c r="EQ51" s="654"/>
      <c r="ER51" s="626">
        <f t="shared" ref="ER51" si="16">DD51+DH51+DL51+DP51+DT51+DX51+EB51+EF51+EJ51+EN51</f>
        <v>4</v>
      </c>
      <c r="ES51" s="627"/>
      <c r="ET51" s="954"/>
      <c r="EU51" s="619"/>
    </row>
    <row r="52" spans="1:152" ht="90" customHeight="1" x14ac:dyDescent="0.2">
      <c r="A52" s="99" t="s">
        <v>9</v>
      </c>
      <c r="B52" s="97" t="s">
        <v>75</v>
      </c>
      <c r="C52" s="426" t="s">
        <v>160</v>
      </c>
      <c r="D52" s="426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Z52" s="658">
        <f t="shared" si="9"/>
        <v>240</v>
      </c>
      <c r="AA52" s="658"/>
      <c r="AB52" s="658"/>
      <c r="AC52" s="658"/>
      <c r="AD52" s="659"/>
      <c r="AE52" s="659"/>
      <c r="AF52" s="659"/>
      <c r="AG52" s="659"/>
      <c r="AH52" s="660">
        <f t="shared" si="10"/>
        <v>32</v>
      </c>
      <c r="AI52" s="660"/>
      <c r="AJ52" s="660"/>
      <c r="AK52" s="660"/>
      <c r="AL52" s="660"/>
      <c r="AM52" s="661">
        <v>16</v>
      </c>
      <c r="AN52" s="661"/>
      <c r="AO52" s="661"/>
      <c r="AP52" s="661"/>
      <c r="AQ52" s="661"/>
      <c r="AR52" s="661">
        <v>16</v>
      </c>
      <c r="AS52" s="661"/>
      <c r="AT52" s="661"/>
      <c r="AU52" s="661"/>
      <c r="AV52" s="661"/>
      <c r="AW52" s="661"/>
      <c r="AX52" s="661"/>
      <c r="AY52" s="661"/>
      <c r="AZ52" s="661"/>
      <c r="BA52" s="661"/>
      <c r="BB52" s="664"/>
      <c r="BC52" s="664"/>
      <c r="BD52" s="664"/>
      <c r="BE52" s="664"/>
      <c r="BF52" s="664"/>
      <c r="BG52" s="664"/>
      <c r="BH52" s="664"/>
      <c r="BI52" s="664"/>
      <c r="BJ52" s="664"/>
      <c r="BK52" s="664"/>
      <c r="BL52" s="658">
        <f t="shared" si="11"/>
        <v>208</v>
      </c>
      <c r="BM52" s="658"/>
      <c r="BN52" s="658"/>
      <c r="BO52" s="665"/>
      <c r="BP52" s="663"/>
      <c r="BQ52" s="659"/>
      <c r="BR52" s="659"/>
      <c r="BS52" s="659"/>
      <c r="BT52" s="659"/>
      <c r="BU52" s="659"/>
      <c r="BV52" s="659"/>
      <c r="BW52" s="659"/>
      <c r="BX52" s="659"/>
      <c r="BY52" s="659"/>
      <c r="BZ52" s="659"/>
      <c r="CA52" s="659"/>
      <c r="CB52" s="659"/>
      <c r="CC52" s="659"/>
      <c r="CD52" s="659"/>
      <c r="CE52" s="659"/>
      <c r="CF52" s="659"/>
      <c r="CG52" s="659"/>
      <c r="CH52" s="659"/>
      <c r="CI52" s="659"/>
      <c r="CJ52" s="659"/>
      <c r="CK52" s="659"/>
      <c r="CL52" s="659"/>
      <c r="CM52" s="659"/>
      <c r="CN52" s="659"/>
      <c r="CO52" s="659"/>
      <c r="CP52" s="659"/>
      <c r="CQ52" s="659"/>
      <c r="CR52" s="659"/>
      <c r="CS52" s="659"/>
      <c r="CT52" s="659"/>
      <c r="CU52" s="659"/>
      <c r="CV52" s="659">
        <v>5</v>
      </c>
      <c r="CW52" s="659"/>
      <c r="CX52" s="659"/>
      <c r="CY52" s="659"/>
      <c r="CZ52" s="659">
        <v>5</v>
      </c>
      <c r="DA52" s="659"/>
      <c r="DB52" s="659"/>
      <c r="DC52" s="662"/>
      <c r="DD52" s="663"/>
      <c r="DE52" s="659"/>
      <c r="DF52" s="659"/>
      <c r="DG52" s="659"/>
      <c r="DH52" s="659"/>
      <c r="DI52" s="659"/>
      <c r="DJ52" s="659"/>
      <c r="DK52" s="659"/>
      <c r="DL52" s="659"/>
      <c r="DM52" s="659"/>
      <c r="DN52" s="659"/>
      <c r="DO52" s="659"/>
      <c r="DP52" s="659"/>
      <c r="DQ52" s="659"/>
      <c r="DR52" s="659"/>
      <c r="DS52" s="659"/>
      <c r="DT52" s="659"/>
      <c r="DU52" s="659"/>
      <c r="DV52" s="659"/>
      <c r="DW52" s="659"/>
      <c r="DX52" s="659"/>
      <c r="DY52" s="659"/>
      <c r="DZ52" s="659"/>
      <c r="EA52" s="659"/>
      <c r="EB52" s="653"/>
      <c r="EC52" s="653"/>
      <c r="ED52" s="653"/>
      <c r="EE52" s="653"/>
      <c r="EF52" s="653"/>
      <c r="EG52" s="653"/>
      <c r="EH52" s="653"/>
      <c r="EI52" s="653"/>
      <c r="EJ52" s="653">
        <v>4</v>
      </c>
      <c r="EK52" s="653"/>
      <c r="EL52" s="653"/>
      <c r="EM52" s="653"/>
      <c r="EN52" s="653">
        <v>4</v>
      </c>
      <c r="EO52" s="653"/>
      <c r="EP52" s="653"/>
      <c r="EQ52" s="654"/>
      <c r="ER52" s="626">
        <f t="shared" si="12"/>
        <v>8</v>
      </c>
      <c r="ES52" s="627"/>
      <c r="ET52" s="954"/>
      <c r="EU52" s="619"/>
    </row>
    <row r="53" spans="1:152" ht="60" customHeight="1" x14ac:dyDescent="0.2">
      <c r="A53" s="143" t="s">
        <v>38</v>
      </c>
      <c r="B53" s="143"/>
      <c r="C53" s="670" t="s">
        <v>83</v>
      </c>
      <c r="D53" s="670"/>
      <c r="E53" s="670"/>
      <c r="F53" s="670"/>
      <c r="G53" s="670"/>
      <c r="H53" s="670"/>
      <c r="I53" s="670"/>
      <c r="J53" s="670"/>
      <c r="K53" s="670"/>
      <c r="L53" s="670"/>
      <c r="M53" s="670"/>
      <c r="N53" s="670"/>
      <c r="O53" s="670"/>
      <c r="P53" s="670"/>
      <c r="Q53" s="670"/>
      <c r="R53" s="670"/>
      <c r="S53" s="670"/>
      <c r="T53" s="670"/>
      <c r="U53" s="670"/>
      <c r="V53" s="670"/>
      <c r="W53" s="670"/>
      <c r="X53" s="670"/>
      <c r="Y53" s="670"/>
      <c r="Z53" s="642">
        <f>SUM(Z54:AC87)</f>
        <v>2640</v>
      </c>
      <c r="AA53" s="642"/>
      <c r="AB53" s="642"/>
      <c r="AC53" s="642"/>
      <c r="AD53" s="643"/>
      <c r="AE53" s="643"/>
      <c r="AF53" s="643"/>
      <c r="AG53" s="643"/>
      <c r="AH53" s="644">
        <f>SUM(AH54:AL87)</f>
        <v>376</v>
      </c>
      <c r="AI53" s="645"/>
      <c r="AJ53" s="645"/>
      <c r="AK53" s="645"/>
      <c r="AL53" s="646"/>
      <c r="AM53" s="644">
        <f>SUM(AM54:AQ87)</f>
        <v>174</v>
      </c>
      <c r="AN53" s="645"/>
      <c r="AO53" s="645"/>
      <c r="AP53" s="645"/>
      <c r="AQ53" s="646"/>
      <c r="AR53" s="644">
        <f>SUM(AR54:AV87)</f>
        <v>172</v>
      </c>
      <c r="AS53" s="645"/>
      <c r="AT53" s="645"/>
      <c r="AU53" s="645"/>
      <c r="AV53" s="646"/>
      <c r="AW53" s="644">
        <f>SUM(AW54:BA87)</f>
        <v>30</v>
      </c>
      <c r="AX53" s="645"/>
      <c r="AY53" s="645"/>
      <c r="AZ53" s="645"/>
      <c r="BA53" s="646"/>
      <c r="BB53" s="644">
        <f>SUM(BB54:BF87)</f>
        <v>0</v>
      </c>
      <c r="BC53" s="645"/>
      <c r="BD53" s="645"/>
      <c r="BE53" s="645"/>
      <c r="BF53" s="646"/>
      <c r="BG53" s="644">
        <f>SUM(BG54:BK87)</f>
        <v>0</v>
      </c>
      <c r="BH53" s="645"/>
      <c r="BI53" s="645"/>
      <c r="BJ53" s="645"/>
      <c r="BK53" s="646"/>
      <c r="BL53" s="642">
        <f>SUM(BL54:BO87)</f>
        <v>2264</v>
      </c>
      <c r="BM53" s="642"/>
      <c r="BN53" s="642"/>
      <c r="BO53" s="669"/>
      <c r="BP53" s="652">
        <f>SUM(BP54:BS87)</f>
        <v>13</v>
      </c>
      <c r="BQ53" s="647"/>
      <c r="BR53" s="647"/>
      <c r="BS53" s="647"/>
      <c r="BT53" s="647">
        <f>SUM(BT54:BW87)</f>
        <v>13</v>
      </c>
      <c r="BU53" s="647"/>
      <c r="BV53" s="647"/>
      <c r="BW53" s="647"/>
      <c r="BX53" s="647">
        <f>SUM(BX54:CA87)</f>
        <v>17</v>
      </c>
      <c r="BY53" s="647"/>
      <c r="BZ53" s="647"/>
      <c r="CA53" s="647"/>
      <c r="CB53" s="647">
        <f>SUM(CB54:CE87)</f>
        <v>15</v>
      </c>
      <c r="CC53" s="647"/>
      <c r="CD53" s="647"/>
      <c r="CE53" s="647"/>
      <c r="CF53" s="647">
        <f>SUM(CF54:CI87)</f>
        <v>15</v>
      </c>
      <c r="CG53" s="647"/>
      <c r="CH53" s="647"/>
      <c r="CI53" s="647"/>
      <c r="CJ53" s="647">
        <f>SUM(CJ54:CM87)</f>
        <v>15</v>
      </c>
      <c r="CK53" s="647"/>
      <c r="CL53" s="647"/>
      <c r="CM53" s="647"/>
      <c r="CN53" s="647">
        <f>SUM(CN54:CQ87)</f>
        <v>11</v>
      </c>
      <c r="CO53" s="647"/>
      <c r="CP53" s="647"/>
      <c r="CQ53" s="647"/>
      <c r="CR53" s="647">
        <f>SUM(CR54:CU87)</f>
        <v>13</v>
      </c>
      <c r="CS53" s="647"/>
      <c r="CT53" s="647"/>
      <c r="CU53" s="647"/>
      <c r="CV53" s="647">
        <f>SUM(CV54:CY87)</f>
        <v>7</v>
      </c>
      <c r="CW53" s="647"/>
      <c r="CX53" s="647"/>
      <c r="CY53" s="647"/>
      <c r="CZ53" s="647">
        <f>SUM(CZ54:DC87)</f>
        <v>7</v>
      </c>
      <c r="DA53" s="647"/>
      <c r="DB53" s="647"/>
      <c r="DC53" s="649"/>
      <c r="DD53" s="650">
        <f>SUM(DD54:DG87)</f>
        <v>8</v>
      </c>
      <c r="DE53" s="647"/>
      <c r="DF53" s="647"/>
      <c r="DG53" s="647"/>
      <c r="DH53" s="647">
        <f>SUM(DH54:DK87)</f>
        <v>8</v>
      </c>
      <c r="DI53" s="647"/>
      <c r="DJ53" s="647"/>
      <c r="DK53" s="647"/>
      <c r="DL53" s="647">
        <f>SUM(DL54:DO87)</f>
        <v>12</v>
      </c>
      <c r="DM53" s="647"/>
      <c r="DN53" s="647"/>
      <c r="DO53" s="647"/>
      <c r="DP53" s="647">
        <f>SUM(DP54:DS87)</f>
        <v>10</v>
      </c>
      <c r="DQ53" s="647"/>
      <c r="DR53" s="647"/>
      <c r="DS53" s="647"/>
      <c r="DT53" s="647">
        <f>SUM(DT54:DW87)</f>
        <v>10</v>
      </c>
      <c r="DU53" s="647"/>
      <c r="DV53" s="647"/>
      <c r="DW53" s="647"/>
      <c r="DX53" s="647">
        <f>SUM(DX54:EA87)</f>
        <v>8</v>
      </c>
      <c r="DY53" s="647"/>
      <c r="DZ53" s="647"/>
      <c r="EA53" s="647"/>
      <c r="EB53" s="647">
        <f>SUM(EB54:EE87)</f>
        <v>9</v>
      </c>
      <c r="EC53" s="647"/>
      <c r="ED53" s="647"/>
      <c r="EE53" s="647"/>
      <c r="EF53" s="647">
        <f>SUM(EF54:EI87)</f>
        <v>11</v>
      </c>
      <c r="EG53" s="647"/>
      <c r="EH53" s="647"/>
      <c r="EI53" s="647"/>
      <c r="EJ53" s="647">
        <f>SUM(EJ54:EM87)</f>
        <v>6</v>
      </c>
      <c r="EK53" s="647"/>
      <c r="EL53" s="647"/>
      <c r="EM53" s="647"/>
      <c r="EN53" s="647">
        <f>SUM(EN54:EQ87)</f>
        <v>6</v>
      </c>
      <c r="EO53" s="647"/>
      <c r="EP53" s="647"/>
      <c r="EQ53" s="648"/>
      <c r="ER53" s="655">
        <f>EN53+EJ53+EF53+EB53+DX53+DT53+DP53+DL53+DH53+DD53</f>
        <v>88</v>
      </c>
      <c r="ES53" s="656"/>
      <c r="ET53" s="952"/>
      <c r="EU53" s="657"/>
    </row>
    <row r="54" spans="1:152" s="324" customFormat="1" ht="99.95" customHeight="1" x14ac:dyDescent="0.65">
      <c r="A54" s="980" t="s">
        <v>10</v>
      </c>
      <c r="B54" s="323" t="s">
        <v>212</v>
      </c>
      <c r="C54" s="982" t="s">
        <v>333</v>
      </c>
      <c r="D54" s="982"/>
      <c r="E54" s="982"/>
      <c r="F54" s="982"/>
      <c r="G54" s="982"/>
      <c r="H54" s="982"/>
      <c r="I54" s="982"/>
      <c r="J54" s="982"/>
      <c r="K54" s="982"/>
      <c r="L54" s="982"/>
      <c r="M54" s="982"/>
      <c r="N54" s="982"/>
      <c r="O54" s="982"/>
      <c r="P54" s="982"/>
      <c r="Q54" s="982"/>
      <c r="R54" s="982"/>
      <c r="S54" s="982"/>
      <c r="T54" s="982"/>
      <c r="U54" s="982"/>
      <c r="V54" s="982"/>
      <c r="W54" s="982"/>
      <c r="X54" s="982"/>
      <c r="Y54" s="982"/>
      <c r="Z54" s="970">
        <f>ER54*30</f>
        <v>240</v>
      </c>
      <c r="AA54" s="971"/>
      <c r="AB54" s="971"/>
      <c r="AC54" s="983"/>
      <c r="AD54" s="985"/>
      <c r="AE54" s="977"/>
      <c r="AF54" s="977"/>
      <c r="AG54" s="986"/>
      <c r="AH54" s="964">
        <f>SUM(AM54:BF55)</f>
        <v>36</v>
      </c>
      <c r="AI54" s="965"/>
      <c r="AJ54" s="965"/>
      <c r="AK54" s="965"/>
      <c r="AL54" s="966"/>
      <c r="AM54" s="964">
        <v>20</v>
      </c>
      <c r="AN54" s="965"/>
      <c r="AO54" s="965"/>
      <c r="AP54" s="965"/>
      <c r="AQ54" s="966"/>
      <c r="AR54" s="964">
        <v>16</v>
      </c>
      <c r="AS54" s="965"/>
      <c r="AT54" s="965"/>
      <c r="AU54" s="965"/>
      <c r="AV54" s="966"/>
      <c r="AW54" s="964"/>
      <c r="AX54" s="965"/>
      <c r="AY54" s="965"/>
      <c r="AZ54" s="965"/>
      <c r="BA54" s="966"/>
      <c r="BB54" s="964"/>
      <c r="BC54" s="965"/>
      <c r="BD54" s="965"/>
      <c r="BE54" s="965"/>
      <c r="BF54" s="966"/>
      <c r="BG54" s="964"/>
      <c r="BH54" s="965"/>
      <c r="BI54" s="965"/>
      <c r="BJ54" s="965"/>
      <c r="BK54" s="966"/>
      <c r="BL54" s="970">
        <f>Z54-AH54</f>
        <v>204</v>
      </c>
      <c r="BM54" s="971"/>
      <c r="BN54" s="971"/>
      <c r="BO54" s="972"/>
      <c r="BP54" s="976"/>
      <c r="BQ54" s="977"/>
      <c r="BR54" s="977"/>
      <c r="BS54" s="977"/>
      <c r="BT54" s="956"/>
      <c r="BU54" s="956"/>
      <c r="BV54" s="956"/>
      <c r="BW54" s="956"/>
      <c r="BX54" s="956">
        <v>6</v>
      </c>
      <c r="BY54" s="956"/>
      <c r="BZ54" s="956"/>
      <c r="CA54" s="956"/>
      <c r="CB54" s="956"/>
      <c r="CC54" s="956"/>
      <c r="CD54" s="956"/>
      <c r="CE54" s="956"/>
      <c r="CF54" s="956"/>
      <c r="CG54" s="956"/>
      <c r="CH54" s="956"/>
      <c r="CI54" s="956"/>
      <c r="CJ54" s="956"/>
      <c r="CK54" s="956"/>
      <c r="CL54" s="956"/>
      <c r="CM54" s="956"/>
      <c r="CN54" s="956">
        <v>3</v>
      </c>
      <c r="CO54" s="956"/>
      <c r="CP54" s="956"/>
      <c r="CQ54" s="956"/>
      <c r="CR54" s="956">
        <v>3</v>
      </c>
      <c r="CS54" s="956"/>
      <c r="CT54" s="956"/>
      <c r="CU54" s="956"/>
      <c r="CV54" s="956"/>
      <c r="CW54" s="956"/>
      <c r="CX54" s="956"/>
      <c r="CY54" s="956"/>
      <c r="CZ54" s="956"/>
      <c r="DA54" s="956"/>
      <c r="DB54" s="956"/>
      <c r="DC54" s="957"/>
      <c r="DD54" s="963"/>
      <c r="DE54" s="956"/>
      <c r="DF54" s="956"/>
      <c r="DG54" s="956"/>
      <c r="DH54" s="956"/>
      <c r="DI54" s="956"/>
      <c r="DJ54" s="956"/>
      <c r="DK54" s="956"/>
      <c r="DL54" s="956">
        <v>2</v>
      </c>
      <c r="DM54" s="956"/>
      <c r="DN54" s="956"/>
      <c r="DO54" s="956"/>
      <c r="DP54" s="956"/>
      <c r="DQ54" s="956"/>
      <c r="DR54" s="956"/>
      <c r="DS54" s="956"/>
      <c r="DT54" s="956"/>
      <c r="DU54" s="956"/>
      <c r="DV54" s="956"/>
      <c r="DW54" s="956"/>
      <c r="DX54" s="956"/>
      <c r="DY54" s="956"/>
      <c r="DZ54" s="956"/>
      <c r="EA54" s="956"/>
      <c r="EB54" s="956">
        <v>3</v>
      </c>
      <c r="EC54" s="956"/>
      <c r="ED54" s="956"/>
      <c r="EE54" s="956"/>
      <c r="EF54" s="956">
        <v>3</v>
      </c>
      <c r="EG54" s="956"/>
      <c r="EH54" s="956"/>
      <c r="EI54" s="956"/>
      <c r="EJ54" s="956"/>
      <c r="EK54" s="956"/>
      <c r="EL54" s="956"/>
      <c r="EM54" s="956"/>
      <c r="EN54" s="956"/>
      <c r="EO54" s="956"/>
      <c r="EP54" s="956"/>
      <c r="EQ54" s="957"/>
      <c r="ER54" s="958">
        <f t="shared" ref="ER54" si="17">EN54+EJ54+EF54+EB54+DX54+DT54+DP54+DL54+DH54+DD54</f>
        <v>8</v>
      </c>
      <c r="ES54" s="959"/>
      <c r="ET54" s="960"/>
      <c r="EU54" s="961"/>
      <c r="EV54" s="325" t="s">
        <v>307</v>
      </c>
    </row>
    <row r="55" spans="1:152" s="324" customFormat="1" ht="69.95" customHeight="1" x14ac:dyDescent="0.65">
      <c r="A55" s="981"/>
      <c r="B55" s="323" t="s">
        <v>339</v>
      </c>
      <c r="C55" s="982" t="s">
        <v>150</v>
      </c>
      <c r="D55" s="982"/>
      <c r="E55" s="982"/>
      <c r="F55" s="982"/>
      <c r="G55" s="982"/>
      <c r="H55" s="982"/>
      <c r="I55" s="982"/>
      <c r="J55" s="982"/>
      <c r="K55" s="982"/>
      <c r="L55" s="982"/>
      <c r="M55" s="982"/>
      <c r="N55" s="982"/>
      <c r="O55" s="982"/>
      <c r="P55" s="982"/>
      <c r="Q55" s="982"/>
      <c r="R55" s="982"/>
      <c r="S55" s="982"/>
      <c r="T55" s="982"/>
      <c r="U55" s="982"/>
      <c r="V55" s="982"/>
      <c r="W55" s="982"/>
      <c r="X55" s="982"/>
      <c r="Y55" s="982"/>
      <c r="Z55" s="973"/>
      <c r="AA55" s="974"/>
      <c r="AB55" s="974"/>
      <c r="AC55" s="984"/>
      <c r="AD55" s="987"/>
      <c r="AE55" s="979"/>
      <c r="AF55" s="979"/>
      <c r="AG55" s="988"/>
      <c r="AH55" s="967"/>
      <c r="AI55" s="968"/>
      <c r="AJ55" s="968"/>
      <c r="AK55" s="968"/>
      <c r="AL55" s="969"/>
      <c r="AM55" s="967"/>
      <c r="AN55" s="968"/>
      <c r="AO55" s="968"/>
      <c r="AP55" s="968"/>
      <c r="AQ55" s="969"/>
      <c r="AR55" s="967"/>
      <c r="AS55" s="968"/>
      <c r="AT55" s="968"/>
      <c r="AU55" s="968"/>
      <c r="AV55" s="969"/>
      <c r="AW55" s="967"/>
      <c r="AX55" s="968"/>
      <c r="AY55" s="968"/>
      <c r="AZ55" s="968"/>
      <c r="BA55" s="969"/>
      <c r="BB55" s="967"/>
      <c r="BC55" s="968"/>
      <c r="BD55" s="968"/>
      <c r="BE55" s="968"/>
      <c r="BF55" s="969"/>
      <c r="BG55" s="967"/>
      <c r="BH55" s="968"/>
      <c r="BI55" s="968"/>
      <c r="BJ55" s="968"/>
      <c r="BK55" s="969"/>
      <c r="BL55" s="973"/>
      <c r="BM55" s="974"/>
      <c r="BN55" s="974"/>
      <c r="BO55" s="975"/>
      <c r="BP55" s="978"/>
      <c r="BQ55" s="979"/>
      <c r="BR55" s="979"/>
      <c r="BS55" s="979"/>
      <c r="BT55" s="956"/>
      <c r="BU55" s="956"/>
      <c r="BV55" s="956"/>
      <c r="BW55" s="956"/>
      <c r="BX55" s="956"/>
      <c r="BY55" s="956"/>
      <c r="BZ55" s="956"/>
      <c r="CA55" s="956"/>
      <c r="CB55" s="956"/>
      <c r="CC55" s="956"/>
      <c r="CD55" s="956"/>
      <c r="CE55" s="956"/>
      <c r="CF55" s="956"/>
      <c r="CG55" s="956"/>
      <c r="CH55" s="956"/>
      <c r="CI55" s="956"/>
      <c r="CJ55" s="956"/>
      <c r="CK55" s="956"/>
      <c r="CL55" s="956"/>
      <c r="CM55" s="956"/>
      <c r="CN55" s="956"/>
      <c r="CO55" s="956"/>
      <c r="CP55" s="956"/>
      <c r="CQ55" s="956"/>
      <c r="CR55" s="956"/>
      <c r="CS55" s="956"/>
      <c r="CT55" s="956"/>
      <c r="CU55" s="956"/>
      <c r="CV55" s="956"/>
      <c r="CW55" s="956"/>
      <c r="CX55" s="956"/>
      <c r="CY55" s="956"/>
      <c r="CZ55" s="956"/>
      <c r="DA55" s="956"/>
      <c r="DB55" s="956"/>
      <c r="DC55" s="957"/>
      <c r="DD55" s="963"/>
      <c r="DE55" s="956"/>
      <c r="DF55" s="956"/>
      <c r="DG55" s="956"/>
      <c r="DH55" s="956"/>
      <c r="DI55" s="956"/>
      <c r="DJ55" s="956"/>
      <c r="DK55" s="956"/>
      <c r="DL55" s="956"/>
      <c r="DM55" s="956"/>
      <c r="DN55" s="956"/>
      <c r="DO55" s="956"/>
      <c r="DP55" s="956"/>
      <c r="DQ55" s="956"/>
      <c r="DR55" s="956"/>
      <c r="DS55" s="956"/>
      <c r="DT55" s="956"/>
      <c r="DU55" s="956"/>
      <c r="DV55" s="956"/>
      <c r="DW55" s="956"/>
      <c r="DX55" s="956"/>
      <c r="DY55" s="956"/>
      <c r="DZ55" s="956"/>
      <c r="EA55" s="956"/>
      <c r="EB55" s="956"/>
      <c r="EC55" s="956"/>
      <c r="ED55" s="956"/>
      <c r="EE55" s="956"/>
      <c r="EF55" s="956"/>
      <c r="EG55" s="956"/>
      <c r="EH55" s="956"/>
      <c r="EI55" s="956"/>
      <c r="EJ55" s="956"/>
      <c r="EK55" s="956"/>
      <c r="EL55" s="956"/>
      <c r="EM55" s="956"/>
      <c r="EN55" s="956"/>
      <c r="EO55" s="956"/>
      <c r="EP55" s="956"/>
      <c r="EQ55" s="957"/>
      <c r="ER55" s="958">
        <f t="shared" ref="ER55" si="18">DD55+DH55+DL55+DP55+DT55+DX55+EB55+EF55+EJ55+EN55</f>
        <v>0</v>
      </c>
      <c r="ES55" s="959"/>
      <c r="ET55" s="960"/>
      <c r="EU55" s="961"/>
      <c r="EV55" s="325" t="s">
        <v>316</v>
      </c>
    </row>
    <row r="56" spans="1:152" s="98" customFormat="1" ht="69.75" customHeight="1" x14ac:dyDescent="0.2">
      <c r="A56" s="754" t="s">
        <v>11</v>
      </c>
      <c r="B56" s="141" t="s">
        <v>192</v>
      </c>
      <c r="C56" s="378" t="s">
        <v>210</v>
      </c>
      <c r="D56" s="378"/>
      <c r="E56" s="378"/>
      <c r="F56" s="378"/>
      <c r="G56" s="378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674">
        <f t="shared" ref="Z56" si="19">ER56*30</f>
        <v>120</v>
      </c>
      <c r="AA56" s="675"/>
      <c r="AB56" s="675"/>
      <c r="AC56" s="676"/>
      <c r="AD56" s="680"/>
      <c r="AE56" s="681"/>
      <c r="AF56" s="681"/>
      <c r="AG56" s="682"/>
      <c r="AH56" s="695">
        <f t="shared" ref="AH56" si="20">SUM(AM56:BF57)</f>
        <v>16</v>
      </c>
      <c r="AI56" s="696"/>
      <c r="AJ56" s="696"/>
      <c r="AK56" s="696"/>
      <c r="AL56" s="697"/>
      <c r="AM56" s="695">
        <v>8</v>
      </c>
      <c r="AN56" s="696"/>
      <c r="AO56" s="696"/>
      <c r="AP56" s="696"/>
      <c r="AQ56" s="697"/>
      <c r="AR56" s="695"/>
      <c r="AS56" s="696"/>
      <c r="AT56" s="696"/>
      <c r="AU56" s="696"/>
      <c r="AV56" s="697"/>
      <c r="AW56" s="695">
        <v>8</v>
      </c>
      <c r="AX56" s="696"/>
      <c r="AY56" s="696"/>
      <c r="AZ56" s="696"/>
      <c r="BA56" s="697"/>
      <c r="BB56" s="695"/>
      <c r="BC56" s="696"/>
      <c r="BD56" s="696"/>
      <c r="BE56" s="696"/>
      <c r="BF56" s="697"/>
      <c r="BG56" s="695"/>
      <c r="BH56" s="696"/>
      <c r="BI56" s="696"/>
      <c r="BJ56" s="696"/>
      <c r="BK56" s="697"/>
      <c r="BL56" s="674">
        <f t="shared" ref="BL56" si="21">Z56-AH56</f>
        <v>104</v>
      </c>
      <c r="BM56" s="675"/>
      <c r="BN56" s="675"/>
      <c r="BO56" s="701"/>
      <c r="BP56" s="693"/>
      <c r="BQ56" s="681"/>
      <c r="BR56" s="681"/>
      <c r="BS56" s="681"/>
      <c r="BT56" s="659"/>
      <c r="BU56" s="659"/>
      <c r="BV56" s="659"/>
      <c r="BW56" s="659"/>
      <c r="BX56" s="659"/>
      <c r="BY56" s="659"/>
      <c r="BZ56" s="659"/>
      <c r="CA56" s="659"/>
      <c r="CB56" s="659">
        <v>5</v>
      </c>
      <c r="CC56" s="659"/>
      <c r="CD56" s="659"/>
      <c r="CE56" s="659"/>
      <c r="CF56" s="659"/>
      <c r="CG56" s="659"/>
      <c r="CH56" s="659"/>
      <c r="CI56" s="659"/>
      <c r="CJ56" s="659"/>
      <c r="CK56" s="659"/>
      <c r="CL56" s="659"/>
      <c r="CM56" s="659"/>
      <c r="CN56" s="659"/>
      <c r="CO56" s="659"/>
      <c r="CP56" s="659"/>
      <c r="CQ56" s="659"/>
      <c r="CR56" s="659"/>
      <c r="CS56" s="659"/>
      <c r="CT56" s="659"/>
      <c r="CU56" s="659"/>
      <c r="CV56" s="659"/>
      <c r="CW56" s="659"/>
      <c r="CX56" s="659"/>
      <c r="CY56" s="659"/>
      <c r="CZ56" s="659"/>
      <c r="DA56" s="659"/>
      <c r="DB56" s="659"/>
      <c r="DC56" s="662"/>
      <c r="DD56" s="663"/>
      <c r="DE56" s="659"/>
      <c r="DF56" s="659"/>
      <c r="DG56" s="659"/>
      <c r="DH56" s="659"/>
      <c r="DI56" s="659"/>
      <c r="DJ56" s="659"/>
      <c r="DK56" s="659"/>
      <c r="DL56" s="659"/>
      <c r="DM56" s="659"/>
      <c r="DN56" s="659"/>
      <c r="DO56" s="659"/>
      <c r="DP56" s="659">
        <v>4</v>
      </c>
      <c r="DQ56" s="659"/>
      <c r="DR56" s="659"/>
      <c r="DS56" s="659"/>
      <c r="DT56" s="659"/>
      <c r="DU56" s="659"/>
      <c r="DV56" s="659"/>
      <c r="DW56" s="659"/>
      <c r="DX56" s="659"/>
      <c r="DY56" s="659"/>
      <c r="DZ56" s="659"/>
      <c r="EA56" s="659"/>
      <c r="EB56" s="659"/>
      <c r="EC56" s="659"/>
      <c r="ED56" s="659"/>
      <c r="EE56" s="659"/>
      <c r="EF56" s="659"/>
      <c r="EG56" s="659"/>
      <c r="EH56" s="659"/>
      <c r="EI56" s="659"/>
      <c r="EJ56" s="659"/>
      <c r="EK56" s="659"/>
      <c r="EL56" s="659"/>
      <c r="EM56" s="659"/>
      <c r="EN56" s="659"/>
      <c r="EO56" s="659"/>
      <c r="EP56" s="659"/>
      <c r="EQ56" s="662"/>
      <c r="ER56" s="671">
        <f t="shared" ref="ER56" si="22">EN56+EJ56+EF56+EB56+DX56+DT56+DP56+DL56+DH56+DD56</f>
        <v>4</v>
      </c>
      <c r="ES56" s="672"/>
      <c r="ET56" s="955"/>
      <c r="EU56" s="673"/>
    </row>
    <row r="57" spans="1:152" s="98" customFormat="1" ht="99.95" customHeight="1" x14ac:dyDescent="0.2">
      <c r="A57" s="755"/>
      <c r="B57" s="141" t="s">
        <v>149</v>
      </c>
      <c r="C57" s="378" t="s">
        <v>162</v>
      </c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677"/>
      <c r="AA57" s="678"/>
      <c r="AB57" s="678"/>
      <c r="AC57" s="679"/>
      <c r="AD57" s="683"/>
      <c r="AE57" s="684"/>
      <c r="AF57" s="684"/>
      <c r="AG57" s="685"/>
      <c r="AH57" s="698"/>
      <c r="AI57" s="699"/>
      <c r="AJ57" s="699"/>
      <c r="AK57" s="699"/>
      <c r="AL57" s="700"/>
      <c r="AM57" s="698"/>
      <c r="AN57" s="699"/>
      <c r="AO57" s="699"/>
      <c r="AP57" s="699"/>
      <c r="AQ57" s="700"/>
      <c r="AR57" s="698"/>
      <c r="AS57" s="699"/>
      <c r="AT57" s="699"/>
      <c r="AU57" s="699"/>
      <c r="AV57" s="700"/>
      <c r="AW57" s="698"/>
      <c r="AX57" s="699"/>
      <c r="AY57" s="699"/>
      <c r="AZ57" s="699"/>
      <c r="BA57" s="700"/>
      <c r="BB57" s="698"/>
      <c r="BC57" s="699"/>
      <c r="BD57" s="699"/>
      <c r="BE57" s="699"/>
      <c r="BF57" s="700"/>
      <c r="BG57" s="698"/>
      <c r="BH57" s="699"/>
      <c r="BI57" s="699"/>
      <c r="BJ57" s="699"/>
      <c r="BK57" s="700"/>
      <c r="BL57" s="677"/>
      <c r="BM57" s="678"/>
      <c r="BN57" s="678"/>
      <c r="BO57" s="702"/>
      <c r="BP57" s="694"/>
      <c r="BQ57" s="684"/>
      <c r="BR57" s="684"/>
      <c r="BS57" s="684"/>
      <c r="BT57" s="659"/>
      <c r="BU57" s="659"/>
      <c r="BV57" s="659"/>
      <c r="BW57" s="659"/>
      <c r="BX57" s="659"/>
      <c r="BY57" s="659"/>
      <c r="BZ57" s="659"/>
      <c r="CA57" s="659"/>
      <c r="CB57" s="659"/>
      <c r="CC57" s="659"/>
      <c r="CD57" s="659"/>
      <c r="CE57" s="659"/>
      <c r="CF57" s="659"/>
      <c r="CG57" s="659"/>
      <c r="CH57" s="659"/>
      <c r="CI57" s="659"/>
      <c r="CJ57" s="659"/>
      <c r="CK57" s="659"/>
      <c r="CL57" s="659"/>
      <c r="CM57" s="659"/>
      <c r="CN57" s="659"/>
      <c r="CO57" s="659"/>
      <c r="CP57" s="659"/>
      <c r="CQ57" s="659"/>
      <c r="CR57" s="659"/>
      <c r="CS57" s="659"/>
      <c r="CT57" s="659"/>
      <c r="CU57" s="659"/>
      <c r="CV57" s="659"/>
      <c r="CW57" s="659"/>
      <c r="CX57" s="659"/>
      <c r="CY57" s="659"/>
      <c r="CZ57" s="659"/>
      <c r="DA57" s="659"/>
      <c r="DB57" s="659"/>
      <c r="DC57" s="662"/>
      <c r="DD57" s="663"/>
      <c r="DE57" s="659"/>
      <c r="DF57" s="659"/>
      <c r="DG57" s="659"/>
      <c r="DH57" s="659"/>
      <c r="DI57" s="659"/>
      <c r="DJ57" s="659"/>
      <c r="DK57" s="659"/>
      <c r="DL57" s="659"/>
      <c r="DM57" s="659"/>
      <c r="DN57" s="659"/>
      <c r="DO57" s="659"/>
      <c r="DP57" s="659"/>
      <c r="DQ57" s="659"/>
      <c r="DR57" s="659"/>
      <c r="DS57" s="659"/>
      <c r="DT57" s="659"/>
      <c r="DU57" s="659"/>
      <c r="DV57" s="659"/>
      <c r="DW57" s="659"/>
      <c r="DX57" s="659"/>
      <c r="DY57" s="659"/>
      <c r="DZ57" s="659"/>
      <c r="EA57" s="659"/>
      <c r="EB57" s="659"/>
      <c r="EC57" s="659"/>
      <c r="ED57" s="659"/>
      <c r="EE57" s="659"/>
      <c r="EF57" s="659"/>
      <c r="EG57" s="659"/>
      <c r="EH57" s="659"/>
      <c r="EI57" s="659"/>
      <c r="EJ57" s="659"/>
      <c r="EK57" s="659"/>
      <c r="EL57" s="659"/>
      <c r="EM57" s="659"/>
      <c r="EN57" s="659"/>
      <c r="EO57" s="659"/>
      <c r="EP57" s="659"/>
      <c r="EQ57" s="662"/>
      <c r="ER57" s="671">
        <f t="shared" ref="ER57" si="23">DD57+DH57+DL57+DP57+DT57+DX57+EB57+EF57+EJ57+EN57</f>
        <v>0</v>
      </c>
      <c r="ES57" s="672"/>
      <c r="ET57" s="955"/>
      <c r="EU57" s="673"/>
    </row>
    <row r="58" spans="1:152" s="324" customFormat="1" ht="69.95" customHeight="1" x14ac:dyDescent="0.2">
      <c r="A58" s="980" t="s">
        <v>39</v>
      </c>
      <c r="B58" s="323" t="s">
        <v>166</v>
      </c>
      <c r="C58" s="962" t="s">
        <v>165</v>
      </c>
      <c r="D58" s="962"/>
      <c r="E58" s="962"/>
      <c r="F58" s="962"/>
      <c r="G58" s="962"/>
      <c r="H58" s="962"/>
      <c r="I58" s="962"/>
      <c r="J58" s="962"/>
      <c r="K58" s="962"/>
      <c r="L58" s="962"/>
      <c r="M58" s="962"/>
      <c r="N58" s="962"/>
      <c r="O58" s="962"/>
      <c r="P58" s="962"/>
      <c r="Q58" s="962"/>
      <c r="R58" s="962"/>
      <c r="S58" s="962"/>
      <c r="T58" s="962"/>
      <c r="U58" s="962"/>
      <c r="V58" s="962"/>
      <c r="W58" s="962"/>
      <c r="X58" s="962"/>
      <c r="Y58" s="962"/>
      <c r="Z58" s="970">
        <f t="shared" ref="Z58" si="24">ER58*30</f>
        <v>180</v>
      </c>
      <c r="AA58" s="971"/>
      <c r="AB58" s="971"/>
      <c r="AC58" s="983"/>
      <c r="AD58" s="985"/>
      <c r="AE58" s="977"/>
      <c r="AF58" s="977"/>
      <c r="AG58" s="986"/>
      <c r="AH58" s="964">
        <f t="shared" ref="AH58" si="25">SUM(AM58:BF59)</f>
        <v>24</v>
      </c>
      <c r="AI58" s="965"/>
      <c r="AJ58" s="965"/>
      <c r="AK58" s="965"/>
      <c r="AL58" s="966"/>
      <c r="AM58" s="964">
        <v>12</v>
      </c>
      <c r="AN58" s="965"/>
      <c r="AO58" s="965"/>
      <c r="AP58" s="965"/>
      <c r="AQ58" s="966"/>
      <c r="AR58" s="964">
        <v>12</v>
      </c>
      <c r="AS58" s="965"/>
      <c r="AT58" s="965"/>
      <c r="AU58" s="965"/>
      <c r="AV58" s="966"/>
      <c r="AW58" s="964"/>
      <c r="AX58" s="965"/>
      <c r="AY58" s="965"/>
      <c r="AZ58" s="965"/>
      <c r="BA58" s="966"/>
      <c r="BB58" s="964"/>
      <c r="BC58" s="965"/>
      <c r="BD58" s="965"/>
      <c r="BE58" s="965"/>
      <c r="BF58" s="966"/>
      <c r="BG58" s="964"/>
      <c r="BH58" s="965"/>
      <c r="BI58" s="965"/>
      <c r="BJ58" s="965"/>
      <c r="BK58" s="966"/>
      <c r="BL58" s="970">
        <f t="shared" ref="BL58" si="26">Z58-AH58</f>
        <v>156</v>
      </c>
      <c r="BM58" s="971"/>
      <c r="BN58" s="971"/>
      <c r="BO58" s="972"/>
      <c r="BP58" s="976"/>
      <c r="BQ58" s="977"/>
      <c r="BR58" s="977"/>
      <c r="BS58" s="977"/>
      <c r="BT58" s="956"/>
      <c r="BU58" s="956"/>
      <c r="BV58" s="956"/>
      <c r="BW58" s="956"/>
      <c r="BX58" s="956"/>
      <c r="BY58" s="956"/>
      <c r="BZ58" s="956"/>
      <c r="CA58" s="956"/>
      <c r="CB58" s="956">
        <v>5</v>
      </c>
      <c r="CC58" s="956"/>
      <c r="CD58" s="956"/>
      <c r="CE58" s="956"/>
      <c r="CF58" s="956"/>
      <c r="CG58" s="956"/>
      <c r="CH58" s="956"/>
      <c r="CI58" s="956"/>
      <c r="CJ58" s="956"/>
      <c r="CK58" s="956"/>
      <c r="CL58" s="956"/>
      <c r="CM58" s="956"/>
      <c r="CN58" s="956">
        <v>3</v>
      </c>
      <c r="CO58" s="956"/>
      <c r="CP58" s="956"/>
      <c r="CQ58" s="956"/>
      <c r="CR58" s="956"/>
      <c r="CS58" s="956"/>
      <c r="CT58" s="956"/>
      <c r="CU58" s="956"/>
      <c r="CV58" s="956"/>
      <c r="CW58" s="956"/>
      <c r="CX58" s="956"/>
      <c r="CY58" s="956"/>
      <c r="CZ58" s="956"/>
      <c r="DA58" s="956"/>
      <c r="DB58" s="956"/>
      <c r="DC58" s="957"/>
      <c r="DD58" s="963"/>
      <c r="DE58" s="956"/>
      <c r="DF58" s="956"/>
      <c r="DG58" s="956"/>
      <c r="DH58" s="956"/>
      <c r="DI58" s="956"/>
      <c r="DJ58" s="956"/>
      <c r="DK58" s="956"/>
      <c r="DL58" s="956"/>
      <c r="DM58" s="956"/>
      <c r="DN58" s="956"/>
      <c r="DO58" s="956"/>
      <c r="DP58" s="956">
        <v>4</v>
      </c>
      <c r="DQ58" s="956"/>
      <c r="DR58" s="956"/>
      <c r="DS58" s="956"/>
      <c r="DT58" s="956"/>
      <c r="DU58" s="956"/>
      <c r="DV58" s="956"/>
      <c r="DW58" s="956"/>
      <c r="DX58" s="956"/>
      <c r="DY58" s="956"/>
      <c r="DZ58" s="956"/>
      <c r="EA58" s="956"/>
      <c r="EB58" s="956">
        <v>2</v>
      </c>
      <c r="EC58" s="956"/>
      <c r="ED58" s="956"/>
      <c r="EE58" s="956"/>
      <c r="EF58" s="956"/>
      <c r="EG58" s="956"/>
      <c r="EH58" s="956"/>
      <c r="EI58" s="956"/>
      <c r="EJ58" s="956"/>
      <c r="EK58" s="956"/>
      <c r="EL58" s="956"/>
      <c r="EM58" s="956"/>
      <c r="EN58" s="956"/>
      <c r="EO58" s="956"/>
      <c r="EP58" s="956"/>
      <c r="EQ58" s="957"/>
      <c r="ER58" s="958">
        <f t="shared" ref="ER58" si="27">EN58+EJ58+EF58+EB58+DX58+DT58+DP58+DL58+DH58+DD58</f>
        <v>6</v>
      </c>
      <c r="ES58" s="959"/>
      <c r="ET58" s="960"/>
      <c r="EU58" s="961"/>
    </row>
    <row r="59" spans="1:152" s="324" customFormat="1" ht="69.95" customHeight="1" x14ac:dyDescent="0.2">
      <c r="A59" s="981"/>
      <c r="B59" s="323" t="s">
        <v>168</v>
      </c>
      <c r="C59" s="962" t="s">
        <v>167</v>
      </c>
      <c r="D59" s="962"/>
      <c r="E59" s="962"/>
      <c r="F59" s="962"/>
      <c r="G59" s="962"/>
      <c r="H59" s="962"/>
      <c r="I59" s="962"/>
      <c r="J59" s="962"/>
      <c r="K59" s="962"/>
      <c r="L59" s="962"/>
      <c r="M59" s="962"/>
      <c r="N59" s="962"/>
      <c r="O59" s="962"/>
      <c r="P59" s="962"/>
      <c r="Q59" s="962"/>
      <c r="R59" s="962"/>
      <c r="S59" s="962"/>
      <c r="T59" s="962"/>
      <c r="U59" s="962"/>
      <c r="V59" s="962"/>
      <c r="W59" s="962"/>
      <c r="X59" s="962"/>
      <c r="Y59" s="962"/>
      <c r="Z59" s="973"/>
      <c r="AA59" s="974"/>
      <c r="AB59" s="974"/>
      <c r="AC59" s="984"/>
      <c r="AD59" s="987"/>
      <c r="AE59" s="979"/>
      <c r="AF59" s="979"/>
      <c r="AG59" s="988"/>
      <c r="AH59" s="967"/>
      <c r="AI59" s="968"/>
      <c r="AJ59" s="968"/>
      <c r="AK59" s="968"/>
      <c r="AL59" s="969"/>
      <c r="AM59" s="967"/>
      <c r="AN59" s="968"/>
      <c r="AO59" s="968"/>
      <c r="AP59" s="968"/>
      <c r="AQ59" s="969"/>
      <c r="AR59" s="967"/>
      <c r="AS59" s="968"/>
      <c r="AT59" s="968"/>
      <c r="AU59" s="968"/>
      <c r="AV59" s="969"/>
      <c r="AW59" s="967"/>
      <c r="AX59" s="968"/>
      <c r="AY59" s="968"/>
      <c r="AZ59" s="968"/>
      <c r="BA59" s="969"/>
      <c r="BB59" s="967"/>
      <c r="BC59" s="968"/>
      <c r="BD59" s="968"/>
      <c r="BE59" s="968"/>
      <c r="BF59" s="969"/>
      <c r="BG59" s="967"/>
      <c r="BH59" s="968"/>
      <c r="BI59" s="968"/>
      <c r="BJ59" s="968"/>
      <c r="BK59" s="969"/>
      <c r="BL59" s="973"/>
      <c r="BM59" s="974"/>
      <c r="BN59" s="974"/>
      <c r="BO59" s="975"/>
      <c r="BP59" s="978"/>
      <c r="BQ59" s="979"/>
      <c r="BR59" s="979"/>
      <c r="BS59" s="979"/>
      <c r="BT59" s="956"/>
      <c r="BU59" s="956"/>
      <c r="BV59" s="956"/>
      <c r="BW59" s="956"/>
      <c r="BX59" s="956"/>
      <c r="BY59" s="956"/>
      <c r="BZ59" s="956"/>
      <c r="CA59" s="956"/>
      <c r="CB59" s="956"/>
      <c r="CC59" s="956"/>
      <c r="CD59" s="956"/>
      <c r="CE59" s="956"/>
      <c r="CF59" s="956"/>
      <c r="CG59" s="956"/>
      <c r="CH59" s="956"/>
      <c r="CI59" s="956"/>
      <c r="CJ59" s="956"/>
      <c r="CK59" s="956"/>
      <c r="CL59" s="956"/>
      <c r="CM59" s="956"/>
      <c r="CN59" s="956"/>
      <c r="CO59" s="956"/>
      <c r="CP59" s="956"/>
      <c r="CQ59" s="956"/>
      <c r="CR59" s="956"/>
      <c r="CS59" s="956"/>
      <c r="CT59" s="956"/>
      <c r="CU59" s="956"/>
      <c r="CV59" s="956"/>
      <c r="CW59" s="956"/>
      <c r="CX59" s="956"/>
      <c r="CY59" s="956"/>
      <c r="CZ59" s="956"/>
      <c r="DA59" s="956"/>
      <c r="DB59" s="956"/>
      <c r="DC59" s="957"/>
      <c r="DD59" s="963"/>
      <c r="DE59" s="956"/>
      <c r="DF59" s="956"/>
      <c r="DG59" s="956"/>
      <c r="DH59" s="956"/>
      <c r="DI59" s="956"/>
      <c r="DJ59" s="956"/>
      <c r="DK59" s="956"/>
      <c r="DL59" s="956"/>
      <c r="DM59" s="956"/>
      <c r="DN59" s="956"/>
      <c r="DO59" s="956"/>
      <c r="DP59" s="956"/>
      <c r="DQ59" s="956"/>
      <c r="DR59" s="956"/>
      <c r="DS59" s="956"/>
      <c r="DT59" s="956"/>
      <c r="DU59" s="956"/>
      <c r="DV59" s="956"/>
      <c r="DW59" s="956"/>
      <c r="DX59" s="956"/>
      <c r="DY59" s="956"/>
      <c r="DZ59" s="956"/>
      <c r="EA59" s="956"/>
      <c r="EB59" s="956"/>
      <c r="EC59" s="956"/>
      <c r="ED59" s="956"/>
      <c r="EE59" s="956"/>
      <c r="EF59" s="956"/>
      <c r="EG59" s="956"/>
      <c r="EH59" s="956"/>
      <c r="EI59" s="956"/>
      <c r="EJ59" s="956"/>
      <c r="EK59" s="956"/>
      <c r="EL59" s="956"/>
      <c r="EM59" s="956"/>
      <c r="EN59" s="956"/>
      <c r="EO59" s="956"/>
      <c r="EP59" s="956"/>
      <c r="EQ59" s="957"/>
      <c r="ER59" s="958">
        <f t="shared" ref="ER59" si="28">DD59+DH59+DL59+DP59+DT59+DX59+EB59+EF59+EJ59+EN59</f>
        <v>0</v>
      </c>
      <c r="ES59" s="959"/>
      <c r="ET59" s="960"/>
      <c r="EU59" s="961"/>
    </row>
    <row r="60" spans="1:152" s="98" customFormat="1" ht="99.95" customHeight="1" x14ac:dyDescent="0.2">
      <c r="A60" s="754" t="s">
        <v>40</v>
      </c>
      <c r="B60" s="97" t="s">
        <v>127</v>
      </c>
      <c r="C60" s="426" t="s">
        <v>122</v>
      </c>
      <c r="D60" s="426"/>
      <c r="E60" s="426"/>
      <c r="F60" s="426"/>
      <c r="G60" s="426"/>
      <c r="H60" s="426"/>
      <c r="I60" s="426"/>
      <c r="J60" s="426"/>
      <c r="K60" s="426"/>
      <c r="L60" s="426"/>
      <c r="M60" s="426"/>
      <c r="N60" s="426"/>
      <c r="O60" s="426"/>
      <c r="P60" s="426"/>
      <c r="Q60" s="426"/>
      <c r="R60" s="426"/>
      <c r="S60" s="426"/>
      <c r="T60" s="426"/>
      <c r="U60" s="426"/>
      <c r="V60" s="426"/>
      <c r="W60" s="426"/>
      <c r="X60" s="426"/>
      <c r="Y60" s="426"/>
      <c r="Z60" s="674">
        <f t="shared" ref="Z60" si="29">ER60*30</f>
        <v>120</v>
      </c>
      <c r="AA60" s="675"/>
      <c r="AB60" s="675"/>
      <c r="AC60" s="676"/>
      <c r="AD60" s="680"/>
      <c r="AE60" s="681"/>
      <c r="AF60" s="681"/>
      <c r="AG60" s="682"/>
      <c r="AH60" s="695">
        <f t="shared" ref="AH60" si="30">SUM(AM60:BF61)</f>
        <v>24</v>
      </c>
      <c r="AI60" s="696"/>
      <c r="AJ60" s="696"/>
      <c r="AK60" s="696"/>
      <c r="AL60" s="697"/>
      <c r="AM60" s="695">
        <v>12</v>
      </c>
      <c r="AN60" s="696"/>
      <c r="AO60" s="696"/>
      <c r="AP60" s="696"/>
      <c r="AQ60" s="697"/>
      <c r="AR60" s="695"/>
      <c r="AS60" s="696"/>
      <c r="AT60" s="696"/>
      <c r="AU60" s="696"/>
      <c r="AV60" s="697"/>
      <c r="AW60" s="695">
        <v>12</v>
      </c>
      <c r="AX60" s="696"/>
      <c r="AY60" s="696"/>
      <c r="AZ60" s="696"/>
      <c r="BA60" s="697"/>
      <c r="BB60" s="695"/>
      <c r="BC60" s="696"/>
      <c r="BD60" s="696"/>
      <c r="BE60" s="696"/>
      <c r="BF60" s="697"/>
      <c r="BG60" s="695"/>
      <c r="BH60" s="696"/>
      <c r="BI60" s="696"/>
      <c r="BJ60" s="696"/>
      <c r="BK60" s="697"/>
      <c r="BL60" s="674">
        <f t="shared" ref="BL60" si="31">Z60-AH60</f>
        <v>96</v>
      </c>
      <c r="BM60" s="675"/>
      <c r="BN60" s="675"/>
      <c r="BO60" s="701"/>
      <c r="BP60" s="693"/>
      <c r="BQ60" s="681"/>
      <c r="BR60" s="681"/>
      <c r="BS60" s="681"/>
      <c r="BT60" s="659">
        <v>8</v>
      </c>
      <c r="BU60" s="659"/>
      <c r="BV60" s="659"/>
      <c r="BW60" s="659"/>
      <c r="BX60" s="659"/>
      <c r="BY60" s="659"/>
      <c r="BZ60" s="659"/>
      <c r="CA60" s="659"/>
      <c r="CB60" s="659"/>
      <c r="CC60" s="659"/>
      <c r="CD60" s="659"/>
      <c r="CE60" s="659"/>
      <c r="CF60" s="659"/>
      <c r="CG60" s="659"/>
      <c r="CH60" s="659"/>
      <c r="CI60" s="659"/>
      <c r="CJ60" s="659"/>
      <c r="CK60" s="659"/>
      <c r="CL60" s="659"/>
      <c r="CM60" s="659"/>
      <c r="CN60" s="659"/>
      <c r="CO60" s="659"/>
      <c r="CP60" s="659"/>
      <c r="CQ60" s="659"/>
      <c r="CR60" s="659"/>
      <c r="CS60" s="659"/>
      <c r="CT60" s="659"/>
      <c r="CU60" s="659"/>
      <c r="CV60" s="659"/>
      <c r="CW60" s="659"/>
      <c r="CX60" s="659"/>
      <c r="CY60" s="659"/>
      <c r="CZ60" s="659"/>
      <c r="DA60" s="659"/>
      <c r="DB60" s="659"/>
      <c r="DC60" s="662"/>
      <c r="DD60" s="663"/>
      <c r="DE60" s="659"/>
      <c r="DF60" s="659"/>
      <c r="DG60" s="659"/>
      <c r="DH60" s="659">
        <v>4</v>
      </c>
      <c r="DI60" s="659"/>
      <c r="DJ60" s="659"/>
      <c r="DK60" s="659"/>
      <c r="DL60" s="659"/>
      <c r="DM60" s="659"/>
      <c r="DN60" s="659"/>
      <c r="DO60" s="659"/>
      <c r="DP60" s="659"/>
      <c r="DQ60" s="659"/>
      <c r="DR60" s="659"/>
      <c r="DS60" s="659"/>
      <c r="DT60" s="659"/>
      <c r="DU60" s="659"/>
      <c r="DV60" s="659"/>
      <c r="DW60" s="659"/>
      <c r="DX60" s="659"/>
      <c r="DY60" s="659"/>
      <c r="DZ60" s="659"/>
      <c r="EA60" s="659"/>
      <c r="EB60" s="659"/>
      <c r="EC60" s="659"/>
      <c r="ED60" s="659"/>
      <c r="EE60" s="659"/>
      <c r="EF60" s="659"/>
      <c r="EG60" s="659"/>
      <c r="EH60" s="659"/>
      <c r="EI60" s="659"/>
      <c r="EJ60" s="659"/>
      <c r="EK60" s="659"/>
      <c r="EL60" s="659"/>
      <c r="EM60" s="659"/>
      <c r="EN60" s="659"/>
      <c r="EO60" s="659"/>
      <c r="EP60" s="659"/>
      <c r="EQ60" s="662"/>
      <c r="ER60" s="671">
        <f t="shared" ref="ER60" si="32">EN60+EJ60+EF60+EB60+DX60+DT60+DP60+DL60+DH60+DD60</f>
        <v>4</v>
      </c>
      <c r="ES60" s="672"/>
      <c r="ET60" s="955"/>
      <c r="EU60" s="673"/>
    </row>
    <row r="61" spans="1:152" s="98" customFormat="1" ht="69.95" customHeight="1" x14ac:dyDescent="0.2">
      <c r="A61" s="755"/>
      <c r="B61" s="141" t="s">
        <v>305</v>
      </c>
      <c r="C61" s="426" t="s">
        <v>287</v>
      </c>
      <c r="D61" s="426"/>
      <c r="E61" s="426"/>
      <c r="F61" s="426"/>
      <c r="G61" s="426"/>
      <c r="H61" s="426"/>
      <c r="I61" s="426"/>
      <c r="J61" s="426"/>
      <c r="K61" s="426"/>
      <c r="L61" s="426"/>
      <c r="M61" s="426"/>
      <c r="N61" s="426"/>
      <c r="O61" s="426"/>
      <c r="P61" s="426"/>
      <c r="Q61" s="426"/>
      <c r="R61" s="426"/>
      <c r="S61" s="426"/>
      <c r="T61" s="426"/>
      <c r="U61" s="426"/>
      <c r="V61" s="426"/>
      <c r="W61" s="426"/>
      <c r="X61" s="426"/>
      <c r="Y61" s="426"/>
      <c r="Z61" s="677"/>
      <c r="AA61" s="678"/>
      <c r="AB61" s="678"/>
      <c r="AC61" s="679"/>
      <c r="AD61" s="683"/>
      <c r="AE61" s="684"/>
      <c r="AF61" s="684"/>
      <c r="AG61" s="685"/>
      <c r="AH61" s="698"/>
      <c r="AI61" s="699"/>
      <c r="AJ61" s="699"/>
      <c r="AK61" s="699"/>
      <c r="AL61" s="700"/>
      <c r="AM61" s="698"/>
      <c r="AN61" s="699"/>
      <c r="AO61" s="699"/>
      <c r="AP61" s="699"/>
      <c r="AQ61" s="700"/>
      <c r="AR61" s="698"/>
      <c r="AS61" s="699"/>
      <c r="AT61" s="699"/>
      <c r="AU61" s="699"/>
      <c r="AV61" s="700"/>
      <c r="AW61" s="698"/>
      <c r="AX61" s="699"/>
      <c r="AY61" s="699"/>
      <c r="AZ61" s="699"/>
      <c r="BA61" s="700"/>
      <c r="BB61" s="698"/>
      <c r="BC61" s="699"/>
      <c r="BD61" s="699"/>
      <c r="BE61" s="699"/>
      <c r="BF61" s="700"/>
      <c r="BG61" s="698"/>
      <c r="BH61" s="699"/>
      <c r="BI61" s="699"/>
      <c r="BJ61" s="699"/>
      <c r="BK61" s="700"/>
      <c r="BL61" s="677"/>
      <c r="BM61" s="678"/>
      <c r="BN61" s="678"/>
      <c r="BO61" s="702"/>
      <c r="BP61" s="694"/>
      <c r="BQ61" s="684"/>
      <c r="BR61" s="684"/>
      <c r="BS61" s="684"/>
      <c r="BT61" s="659"/>
      <c r="BU61" s="659"/>
      <c r="BV61" s="659"/>
      <c r="BW61" s="659"/>
      <c r="BX61" s="659"/>
      <c r="BY61" s="659"/>
      <c r="BZ61" s="659"/>
      <c r="CA61" s="659"/>
      <c r="CB61" s="659"/>
      <c r="CC61" s="659"/>
      <c r="CD61" s="659"/>
      <c r="CE61" s="659"/>
      <c r="CF61" s="659"/>
      <c r="CG61" s="659"/>
      <c r="CH61" s="659"/>
      <c r="CI61" s="659"/>
      <c r="CJ61" s="659"/>
      <c r="CK61" s="659"/>
      <c r="CL61" s="659"/>
      <c r="CM61" s="659"/>
      <c r="CN61" s="659"/>
      <c r="CO61" s="659"/>
      <c r="CP61" s="659"/>
      <c r="CQ61" s="659"/>
      <c r="CR61" s="659"/>
      <c r="CS61" s="659"/>
      <c r="CT61" s="659"/>
      <c r="CU61" s="659"/>
      <c r="CV61" s="659"/>
      <c r="CW61" s="659"/>
      <c r="CX61" s="659"/>
      <c r="CY61" s="659"/>
      <c r="CZ61" s="659"/>
      <c r="DA61" s="659"/>
      <c r="DB61" s="659"/>
      <c r="DC61" s="662"/>
      <c r="DD61" s="663"/>
      <c r="DE61" s="659"/>
      <c r="DF61" s="659"/>
      <c r="DG61" s="659"/>
      <c r="DH61" s="659"/>
      <c r="DI61" s="659"/>
      <c r="DJ61" s="659"/>
      <c r="DK61" s="659"/>
      <c r="DL61" s="659"/>
      <c r="DM61" s="659"/>
      <c r="DN61" s="659"/>
      <c r="DO61" s="659"/>
      <c r="DP61" s="659"/>
      <c r="DQ61" s="659"/>
      <c r="DR61" s="659"/>
      <c r="DS61" s="659"/>
      <c r="DT61" s="659"/>
      <c r="DU61" s="659"/>
      <c r="DV61" s="659"/>
      <c r="DW61" s="659"/>
      <c r="DX61" s="659"/>
      <c r="DY61" s="659"/>
      <c r="DZ61" s="659"/>
      <c r="EA61" s="659"/>
      <c r="EB61" s="659"/>
      <c r="EC61" s="659"/>
      <c r="ED61" s="659"/>
      <c r="EE61" s="659"/>
      <c r="EF61" s="659"/>
      <c r="EG61" s="659"/>
      <c r="EH61" s="659"/>
      <c r="EI61" s="659"/>
      <c r="EJ61" s="659"/>
      <c r="EK61" s="659"/>
      <c r="EL61" s="659"/>
      <c r="EM61" s="659"/>
      <c r="EN61" s="659"/>
      <c r="EO61" s="659"/>
      <c r="EP61" s="659"/>
      <c r="EQ61" s="662"/>
      <c r="ER61" s="671">
        <f t="shared" ref="ER61" si="33">DD61+DH61+DL61+DP61+DT61+DX61+EB61+EF61+EJ61+EN61</f>
        <v>0</v>
      </c>
      <c r="ES61" s="672"/>
      <c r="ET61" s="955"/>
      <c r="EU61" s="673"/>
    </row>
    <row r="62" spans="1:152" s="98" customFormat="1" ht="69.95" customHeight="1" x14ac:dyDescent="0.2">
      <c r="A62" s="754" t="s">
        <v>41</v>
      </c>
      <c r="B62" s="141" t="s">
        <v>134</v>
      </c>
      <c r="C62" s="378" t="s">
        <v>329</v>
      </c>
      <c r="D62" s="378"/>
      <c r="E62" s="378"/>
      <c r="F62" s="378"/>
      <c r="G62" s="378"/>
      <c r="H62" s="378"/>
      <c r="I62" s="378"/>
      <c r="J62" s="378"/>
      <c r="K62" s="378"/>
      <c r="L62" s="378"/>
      <c r="M62" s="378"/>
      <c r="N62" s="378"/>
      <c r="O62" s="378"/>
      <c r="P62" s="378"/>
      <c r="Q62" s="378"/>
      <c r="R62" s="378"/>
      <c r="S62" s="378"/>
      <c r="T62" s="378"/>
      <c r="U62" s="378"/>
      <c r="V62" s="378"/>
      <c r="W62" s="378"/>
      <c r="X62" s="378"/>
      <c r="Y62" s="378"/>
      <c r="Z62" s="674">
        <f t="shared" ref="Z62" si="34">ER62*30</f>
        <v>240</v>
      </c>
      <c r="AA62" s="675"/>
      <c r="AB62" s="675"/>
      <c r="AC62" s="676"/>
      <c r="AD62" s="680"/>
      <c r="AE62" s="681"/>
      <c r="AF62" s="681"/>
      <c r="AG62" s="682"/>
      <c r="AH62" s="695">
        <f t="shared" ref="AH62" si="35">SUM(AM62:BF63)</f>
        <v>32</v>
      </c>
      <c r="AI62" s="696"/>
      <c r="AJ62" s="696"/>
      <c r="AK62" s="696"/>
      <c r="AL62" s="697"/>
      <c r="AM62" s="695"/>
      <c r="AN62" s="696"/>
      <c r="AO62" s="696"/>
      <c r="AP62" s="696"/>
      <c r="AQ62" s="697"/>
      <c r="AR62" s="695">
        <v>32</v>
      </c>
      <c r="AS62" s="696"/>
      <c r="AT62" s="696"/>
      <c r="AU62" s="696"/>
      <c r="AV62" s="697"/>
      <c r="AW62" s="695"/>
      <c r="AX62" s="696"/>
      <c r="AY62" s="696"/>
      <c r="AZ62" s="696"/>
      <c r="BA62" s="697"/>
      <c r="BB62" s="695"/>
      <c r="BC62" s="696"/>
      <c r="BD62" s="696"/>
      <c r="BE62" s="696"/>
      <c r="BF62" s="697"/>
      <c r="BG62" s="695"/>
      <c r="BH62" s="696"/>
      <c r="BI62" s="696"/>
      <c r="BJ62" s="696"/>
      <c r="BK62" s="697"/>
      <c r="BL62" s="674">
        <f t="shared" ref="BL62" si="36">Z62-AH62</f>
        <v>208</v>
      </c>
      <c r="BM62" s="675"/>
      <c r="BN62" s="675"/>
      <c r="BO62" s="701"/>
      <c r="BP62" s="693">
        <v>5</v>
      </c>
      <c r="BQ62" s="681"/>
      <c r="BR62" s="681"/>
      <c r="BS62" s="681"/>
      <c r="BT62" s="659">
        <v>5</v>
      </c>
      <c r="BU62" s="659"/>
      <c r="BV62" s="659"/>
      <c r="BW62" s="659"/>
      <c r="BX62" s="659"/>
      <c r="BY62" s="659"/>
      <c r="BZ62" s="659"/>
      <c r="CA62" s="659"/>
      <c r="CB62" s="659"/>
      <c r="CC62" s="659"/>
      <c r="CD62" s="659"/>
      <c r="CE62" s="659"/>
      <c r="CF62" s="659"/>
      <c r="CG62" s="659"/>
      <c r="CH62" s="659"/>
      <c r="CI62" s="659"/>
      <c r="CJ62" s="659"/>
      <c r="CK62" s="659"/>
      <c r="CL62" s="659"/>
      <c r="CM62" s="659"/>
      <c r="CN62" s="659"/>
      <c r="CO62" s="659"/>
      <c r="CP62" s="659"/>
      <c r="CQ62" s="659"/>
      <c r="CR62" s="659"/>
      <c r="CS62" s="659"/>
      <c r="CT62" s="659"/>
      <c r="CU62" s="659"/>
      <c r="CV62" s="659"/>
      <c r="CW62" s="659"/>
      <c r="CX62" s="659"/>
      <c r="CY62" s="659"/>
      <c r="CZ62" s="659"/>
      <c r="DA62" s="659"/>
      <c r="DB62" s="659"/>
      <c r="DC62" s="662"/>
      <c r="DD62" s="663">
        <v>4</v>
      </c>
      <c r="DE62" s="659"/>
      <c r="DF62" s="659"/>
      <c r="DG62" s="659"/>
      <c r="DH62" s="659">
        <v>4</v>
      </c>
      <c r="DI62" s="659"/>
      <c r="DJ62" s="659"/>
      <c r="DK62" s="659"/>
      <c r="DL62" s="659"/>
      <c r="DM62" s="659"/>
      <c r="DN62" s="659"/>
      <c r="DO62" s="659"/>
      <c r="DP62" s="659"/>
      <c r="DQ62" s="659"/>
      <c r="DR62" s="659"/>
      <c r="DS62" s="659"/>
      <c r="DT62" s="659"/>
      <c r="DU62" s="659"/>
      <c r="DV62" s="659"/>
      <c r="DW62" s="659"/>
      <c r="DX62" s="659"/>
      <c r="DY62" s="659"/>
      <c r="DZ62" s="659"/>
      <c r="EA62" s="659"/>
      <c r="EB62" s="659"/>
      <c r="EC62" s="659"/>
      <c r="ED62" s="659"/>
      <c r="EE62" s="659"/>
      <c r="EF62" s="659"/>
      <c r="EG62" s="659"/>
      <c r="EH62" s="659"/>
      <c r="EI62" s="659"/>
      <c r="EJ62" s="659"/>
      <c r="EK62" s="659"/>
      <c r="EL62" s="659"/>
      <c r="EM62" s="659"/>
      <c r="EN62" s="659"/>
      <c r="EO62" s="659"/>
      <c r="EP62" s="659"/>
      <c r="EQ62" s="662"/>
      <c r="ER62" s="671">
        <f t="shared" ref="ER62" si="37">EN62+EJ62+EF62+EB62+DX62+DT62+DP62+DL62+DH62+DD62</f>
        <v>8</v>
      </c>
      <c r="ES62" s="672"/>
      <c r="ET62" s="955"/>
      <c r="EU62" s="673"/>
    </row>
    <row r="63" spans="1:152" s="98" customFormat="1" ht="69.95" customHeight="1" x14ac:dyDescent="0.2">
      <c r="A63" s="755"/>
      <c r="B63" s="141" t="s">
        <v>294</v>
      </c>
      <c r="C63" s="426" t="s">
        <v>289</v>
      </c>
      <c r="D63" s="426"/>
      <c r="E63" s="426"/>
      <c r="F63" s="426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  <c r="Z63" s="677"/>
      <c r="AA63" s="678"/>
      <c r="AB63" s="678"/>
      <c r="AC63" s="679"/>
      <c r="AD63" s="683"/>
      <c r="AE63" s="684"/>
      <c r="AF63" s="684"/>
      <c r="AG63" s="685"/>
      <c r="AH63" s="698"/>
      <c r="AI63" s="699"/>
      <c r="AJ63" s="699"/>
      <c r="AK63" s="699"/>
      <c r="AL63" s="700"/>
      <c r="AM63" s="698"/>
      <c r="AN63" s="699"/>
      <c r="AO63" s="699"/>
      <c r="AP63" s="699"/>
      <c r="AQ63" s="700"/>
      <c r="AR63" s="698"/>
      <c r="AS63" s="699"/>
      <c r="AT63" s="699"/>
      <c r="AU63" s="699"/>
      <c r="AV63" s="700"/>
      <c r="AW63" s="698"/>
      <c r="AX63" s="699"/>
      <c r="AY63" s="699"/>
      <c r="AZ63" s="699"/>
      <c r="BA63" s="700"/>
      <c r="BB63" s="698"/>
      <c r="BC63" s="699"/>
      <c r="BD63" s="699"/>
      <c r="BE63" s="699"/>
      <c r="BF63" s="700"/>
      <c r="BG63" s="698"/>
      <c r="BH63" s="699"/>
      <c r="BI63" s="699"/>
      <c r="BJ63" s="699"/>
      <c r="BK63" s="700"/>
      <c r="BL63" s="677"/>
      <c r="BM63" s="678"/>
      <c r="BN63" s="678"/>
      <c r="BO63" s="702"/>
      <c r="BP63" s="694"/>
      <c r="BQ63" s="684"/>
      <c r="BR63" s="684"/>
      <c r="BS63" s="684"/>
      <c r="BT63" s="659"/>
      <c r="BU63" s="659"/>
      <c r="BV63" s="659"/>
      <c r="BW63" s="659"/>
      <c r="BX63" s="659"/>
      <c r="BY63" s="659"/>
      <c r="BZ63" s="659"/>
      <c r="CA63" s="659"/>
      <c r="CB63" s="659"/>
      <c r="CC63" s="659"/>
      <c r="CD63" s="659"/>
      <c r="CE63" s="659"/>
      <c r="CF63" s="659"/>
      <c r="CG63" s="659"/>
      <c r="CH63" s="659"/>
      <c r="CI63" s="659"/>
      <c r="CJ63" s="659"/>
      <c r="CK63" s="659"/>
      <c r="CL63" s="659"/>
      <c r="CM63" s="659"/>
      <c r="CN63" s="659"/>
      <c r="CO63" s="659"/>
      <c r="CP63" s="659"/>
      <c r="CQ63" s="659"/>
      <c r="CR63" s="659"/>
      <c r="CS63" s="659"/>
      <c r="CT63" s="659"/>
      <c r="CU63" s="659"/>
      <c r="CV63" s="659"/>
      <c r="CW63" s="659"/>
      <c r="CX63" s="659"/>
      <c r="CY63" s="659"/>
      <c r="CZ63" s="659"/>
      <c r="DA63" s="659"/>
      <c r="DB63" s="659"/>
      <c r="DC63" s="662"/>
      <c r="DD63" s="663"/>
      <c r="DE63" s="659"/>
      <c r="DF63" s="659"/>
      <c r="DG63" s="659"/>
      <c r="DH63" s="659"/>
      <c r="DI63" s="659"/>
      <c r="DJ63" s="659"/>
      <c r="DK63" s="659"/>
      <c r="DL63" s="659"/>
      <c r="DM63" s="659"/>
      <c r="DN63" s="659"/>
      <c r="DO63" s="659"/>
      <c r="DP63" s="659"/>
      <c r="DQ63" s="659"/>
      <c r="DR63" s="659"/>
      <c r="DS63" s="659"/>
      <c r="DT63" s="659"/>
      <c r="DU63" s="659"/>
      <c r="DV63" s="659"/>
      <c r="DW63" s="659"/>
      <c r="DX63" s="659"/>
      <c r="DY63" s="659"/>
      <c r="DZ63" s="659"/>
      <c r="EA63" s="659"/>
      <c r="EB63" s="659"/>
      <c r="EC63" s="659"/>
      <c r="ED63" s="659"/>
      <c r="EE63" s="659"/>
      <c r="EF63" s="659"/>
      <c r="EG63" s="659"/>
      <c r="EH63" s="659"/>
      <c r="EI63" s="659"/>
      <c r="EJ63" s="659"/>
      <c r="EK63" s="659"/>
      <c r="EL63" s="659"/>
      <c r="EM63" s="659"/>
      <c r="EN63" s="659"/>
      <c r="EO63" s="659"/>
      <c r="EP63" s="659"/>
      <c r="EQ63" s="662"/>
      <c r="ER63" s="671">
        <f t="shared" ref="ER63" si="38">DD63+DH63+DL63+DP63+DT63+DX63+EB63+EF63+EJ63+EN63</f>
        <v>0</v>
      </c>
      <c r="ES63" s="672"/>
      <c r="ET63" s="955"/>
      <c r="EU63" s="673"/>
    </row>
    <row r="64" spans="1:152" s="98" customFormat="1" ht="69.95" customHeight="1" x14ac:dyDescent="0.2">
      <c r="A64" s="754" t="s">
        <v>42</v>
      </c>
      <c r="B64" s="141" t="s">
        <v>130</v>
      </c>
      <c r="C64" s="378" t="s">
        <v>282</v>
      </c>
      <c r="D64" s="378"/>
      <c r="E64" s="378"/>
      <c r="F64" s="378"/>
      <c r="G64" s="378"/>
      <c r="H64" s="378"/>
      <c r="I64" s="378"/>
      <c r="J64" s="378"/>
      <c r="K64" s="378"/>
      <c r="L64" s="378"/>
      <c r="M64" s="378"/>
      <c r="N64" s="378"/>
      <c r="O64" s="378"/>
      <c r="P64" s="378"/>
      <c r="Q64" s="378"/>
      <c r="R64" s="378"/>
      <c r="S64" s="378"/>
      <c r="T64" s="378"/>
      <c r="U64" s="378"/>
      <c r="V64" s="378"/>
      <c r="W64" s="378"/>
      <c r="X64" s="378"/>
      <c r="Y64" s="378"/>
      <c r="Z64" s="674">
        <f t="shared" ref="Z64" si="39">ER64*30</f>
        <v>120</v>
      </c>
      <c r="AA64" s="675"/>
      <c r="AB64" s="675"/>
      <c r="AC64" s="676"/>
      <c r="AD64" s="680"/>
      <c r="AE64" s="681"/>
      <c r="AF64" s="681"/>
      <c r="AG64" s="682"/>
      <c r="AH64" s="695">
        <f t="shared" ref="AH64" si="40">SUM(AM64:BF65)</f>
        <v>24</v>
      </c>
      <c r="AI64" s="696"/>
      <c r="AJ64" s="696"/>
      <c r="AK64" s="696"/>
      <c r="AL64" s="697"/>
      <c r="AM64" s="695">
        <v>16</v>
      </c>
      <c r="AN64" s="696"/>
      <c r="AO64" s="696"/>
      <c r="AP64" s="696"/>
      <c r="AQ64" s="697"/>
      <c r="AR64" s="695">
        <v>8</v>
      </c>
      <c r="AS64" s="696"/>
      <c r="AT64" s="696"/>
      <c r="AU64" s="696"/>
      <c r="AV64" s="697"/>
      <c r="AW64" s="695"/>
      <c r="AX64" s="696"/>
      <c r="AY64" s="696"/>
      <c r="AZ64" s="696"/>
      <c r="BA64" s="697"/>
      <c r="BB64" s="695"/>
      <c r="BC64" s="696"/>
      <c r="BD64" s="696"/>
      <c r="BE64" s="696"/>
      <c r="BF64" s="697"/>
      <c r="BG64" s="695"/>
      <c r="BH64" s="696"/>
      <c r="BI64" s="696"/>
      <c r="BJ64" s="696"/>
      <c r="BK64" s="697"/>
      <c r="BL64" s="674">
        <f t="shared" ref="BL64" si="41">Z64-AH64</f>
        <v>96</v>
      </c>
      <c r="BM64" s="675"/>
      <c r="BN64" s="675"/>
      <c r="BO64" s="701"/>
      <c r="BP64" s="693">
        <v>8</v>
      </c>
      <c r="BQ64" s="681"/>
      <c r="BR64" s="681"/>
      <c r="BS64" s="681"/>
      <c r="BT64" s="659"/>
      <c r="BU64" s="659"/>
      <c r="BV64" s="659"/>
      <c r="BW64" s="659"/>
      <c r="BX64" s="659"/>
      <c r="BY64" s="659"/>
      <c r="BZ64" s="659"/>
      <c r="CA64" s="659"/>
      <c r="CB64" s="659"/>
      <c r="CC64" s="659"/>
      <c r="CD64" s="659"/>
      <c r="CE64" s="659"/>
      <c r="CF64" s="659"/>
      <c r="CG64" s="659"/>
      <c r="CH64" s="659"/>
      <c r="CI64" s="659"/>
      <c r="CJ64" s="659"/>
      <c r="CK64" s="659"/>
      <c r="CL64" s="659"/>
      <c r="CM64" s="659"/>
      <c r="CN64" s="659"/>
      <c r="CO64" s="659"/>
      <c r="CP64" s="659"/>
      <c r="CQ64" s="659"/>
      <c r="CR64" s="659"/>
      <c r="CS64" s="659"/>
      <c r="CT64" s="659"/>
      <c r="CU64" s="659"/>
      <c r="CV64" s="659"/>
      <c r="CW64" s="659"/>
      <c r="CX64" s="659"/>
      <c r="CY64" s="659"/>
      <c r="CZ64" s="659"/>
      <c r="DA64" s="659"/>
      <c r="DB64" s="659"/>
      <c r="DC64" s="662"/>
      <c r="DD64" s="663">
        <v>4</v>
      </c>
      <c r="DE64" s="659"/>
      <c r="DF64" s="659"/>
      <c r="DG64" s="659"/>
      <c r="DH64" s="659"/>
      <c r="DI64" s="659"/>
      <c r="DJ64" s="659"/>
      <c r="DK64" s="659"/>
      <c r="DL64" s="659"/>
      <c r="DM64" s="659"/>
      <c r="DN64" s="659"/>
      <c r="DO64" s="659"/>
      <c r="DP64" s="659"/>
      <c r="DQ64" s="659"/>
      <c r="DR64" s="659"/>
      <c r="DS64" s="659"/>
      <c r="DT64" s="659"/>
      <c r="DU64" s="659"/>
      <c r="DV64" s="659"/>
      <c r="DW64" s="659"/>
      <c r="DX64" s="659"/>
      <c r="DY64" s="659"/>
      <c r="DZ64" s="659"/>
      <c r="EA64" s="659"/>
      <c r="EB64" s="659"/>
      <c r="EC64" s="659"/>
      <c r="ED64" s="659"/>
      <c r="EE64" s="659"/>
      <c r="EF64" s="659"/>
      <c r="EG64" s="659"/>
      <c r="EH64" s="659"/>
      <c r="EI64" s="659"/>
      <c r="EJ64" s="659"/>
      <c r="EK64" s="659"/>
      <c r="EL64" s="659"/>
      <c r="EM64" s="659"/>
      <c r="EN64" s="659"/>
      <c r="EO64" s="659"/>
      <c r="EP64" s="659"/>
      <c r="EQ64" s="662"/>
      <c r="ER64" s="671">
        <f t="shared" ref="ER64" si="42">EN64+EJ64+EF64+EB64+DX64+DT64+DP64+DL64+DH64+DD64</f>
        <v>4</v>
      </c>
      <c r="ES64" s="672"/>
      <c r="ET64" s="955"/>
      <c r="EU64" s="673"/>
    </row>
    <row r="65" spans="1:152" s="98" customFormat="1" ht="69.95" customHeight="1" x14ac:dyDescent="0.2">
      <c r="A65" s="755"/>
      <c r="B65" s="141" t="s">
        <v>295</v>
      </c>
      <c r="C65" s="426" t="s">
        <v>290</v>
      </c>
      <c r="D65" s="426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  <c r="Z65" s="677"/>
      <c r="AA65" s="678"/>
      <c r="AB65" s="678"/>
      <c r="AC65" s="679"/>
      <c r="AD65" s="683"/>
      <c r="AE65" s="684"/>
      <c r="AF65" s="684"/>
      <c r="AG65" s="685"/>
      <c r="AH65" s="698"/>
      <c r="AI65" s="699"/>
      <c r="AJ65" s="699"/>
      <c r="AK65" s="699"/>
      <c r="AL65" s="700"/>
      <c r="AM65" s="698"/>
      <c r="AN65" s="699"/>
      <c r="AO65" s="699"/>
      <c r="AP65" s="699"/>
      <c r="AQ65" s="700"/>
      <c r="AR65" s="698"/>
      <c r="AS65" s="699"/>
      <c r="AT65" s="699"/>
      <c r="AU65" s="699"/>
      <c r="AV65" s="700"/>
      <c r="AW65" s="698"/>
      <c r="AX65" s="699"/>
      <c r="AY65" s="699"/>
      <c r="AZ65" s="699"/>
      <c r="BA65" s="700"/>
      <c r="BB65" s="698"/>
      <c r="BC65" s="699"/>
      <c r="BD65" s="699"/>
      <c r="BE65" s="699"/>
      <c r="BF65" s="700"/>
      <c r="BG65" s="698"/>
      <c r="BH65" s="699"/>
      <c r="BI65" s="699"/>
      <c r="BJ65" s="699"/>
      <c r="BK65" s="700"/>
      <c r="BL65" s="677"/>
      <c r="BM65" s="678"/>
      <c r="BN65" s="678"/>
      <c r="BO65" s="702"/>
      <c r="BP65" s="694"/>
      <c r="BQ65" s="684"/>
      <c r="BR65" s="684"/>
      <c r="BS65" s="684"/>
      <c r="BT65" s="659"/>
      <c r="BU65" s="659"/>
      <c r="BV65" s="659"/>
      <c r="BW65" s="659"/>
      <c r="BX65" s="659"/>
      <c r="BY65" s="659"/>
      <c r="BZ65" s="659"/>
      <c r="CA65" s="659"/>
      <c r="CB65" s="659"/>
      <c r="CC65" s="659"/>
      <c r="CD65" s="659"/>
      <c r="CE65" s="659"/>
      <c r="CF65" s="659"/>
      <c r="CG65" s="659"/>
      <c r="CH65" s="659"/>
      <c r="CI65" s="659"/>
      <c r="CJ65" s="659"/>
      <c r="CK65" s="659"/>
      <c r="CL65" s="659"/>
      <c r="CM65" s="659"/>
      <c r="CN65" s="659"/>
      <c r="CO65" s="659"/>
      <c r="CP65" s="659"/>
      <c r="CQ65" s="659"/>
      <c r="CR65" s="659"/>
      <c r="CS65" s="659"/>
      <c r="CT65" s="659"/>
      <c r="CU65" s="659"/>
      <c r="CV65" s="659"/>
      <c r="CW65" s="659"/>
      <c r="CX65" s="659"/>
      <c r="CY65" s="659"/>
      <c r="CZ65" s="659"/>
      <c r="DA65" s="659"/>
      <c r="DB65" s="659"/>
      <c r="DC65" s="662"/>
      <c r="DD65" s="663"/>
      <c r="DE65" s="659"/>
      <c r="DF65" s="659"/>
      <c r="DG65" s="659"/>
      <c r="DH65" s="659"/>
      <c r="DI65" s="659"/>
      <c r="DJ65" s="659"/>
      <c r="DK65" s="659"/>
      <c r="DL65" s="659"/>
      <c r="DM65" s="659"/>
      <c r="DN65" s="659"/>
      <c r="DO65" s="659"/>
      <c r="DP65" s="659"/>
      <c r="DQ65" s="659"/>
      <c r="DR65" s="659"/>
      <c r="DS65" s="659"/>
      <c r="DT65" s="659"/>
      <c r="DU65" s="659"/>
      <c r="DV65" s="659"/>
      <c r="DW65" s="659"/>
      <c r="DX65" s="659"/>
      <c r="DY65" s="659"/>
      <c r="DZ65" s="659"/>
      <c r="EA65" s="659"/>
      <c r="EB65" s="659"/>
      <c r="EC65" s="659"/>
      <c r="ED65" s="659"/>
      <c r="EE65" s="659"/>
      <c r="EF65" s="659"/>
      <c r="EG65" s="659"/>
      <c r="EH65" s="659"/>
      <c r="EI65" s="659"/>
      <c r="EJ65" s="659"/>
      <c r="EK65" s="659"/>
      <c r="EL65" s="659"/>
      <c r="EM65" s="659"/>
      <c r="EN65" s="659"/>
      <c r="EO65" s="659"/>
      <c r="EP65" s="659"/>
      <c r="EQ65" s="662"/>
      <c r="ER65" s="671">
        <f t="shared" ref="ER65" si="43">DD65+DH65+DL65+DP65+DT65+DX65+EB65+EF65+EJ65+EN65</f>
        <v>0</v>
      </c>
      <c r="ES65" s="672"/>
      <c r="ET65" s="955"/>
      <c r="EU65" s="673"/>
    </row>
    <row r="66" spans="1:152" s="98" customFormat="1" ht="99.95" customHeight="1" x14ac:dyDescent="0.2">
      <c r="A66" s="754" t="s">
        <v>205</v>
      </c>
      <c r="B66" s="141" t="s">
        <v>130</v>
      </c>
      <c r="C66" s="378" t="s">
        <v>338</v>
      </c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8"/>
      <c r="V66" s="378"/>
      <c r="W66" s="378"/>
      <c r="X66" s="378"/>
      <c r="Y66" s="378"/>
      <c r="Z66" s="674">
        <f t="shared" ref="Z66" si="44">ER66*30</f>
        <v>180</v>
      </c>
      <c r="AA66" s="675"/>
      <c r="AB66" s="675"/>
      <c r="AC66" s="676"/>
      <c r="AD66" s="680"/>
      <c r="AE66" s="681"/>
      <c r="AF66" s="681"/>
      <c r="AG66" s="682"/>
      <c r="AH66" s="695">
        <f t="shared" ref="AH66" si="45">SUM(AM66:BF67)</f>
        <v>12</v>
      </c>
      <c r="AI66" s="696"/>
      <c r="AJ66" s="696"/>
      <c r="AK66" s="696"/>
      <c r="AL66" s="697"/>
      <c r="AM66" s="695">
        <v>8</v>
      </c>
      <c r="AN66" s="696"/>
      <c r="AO66" s="696"/>
      <c r="AP66" s="696"/>
      <c r="AQ66" s="697"/>
      <c r="AR66" s="695">
        <v>4</v>
      </c>
      <c r="AS66" s="696"/>
      <c r="AT66" s="696"/>
      <c r="AU66" s="696"/>
      <c r="AV66" s="697"/>
      <c r="AW66" s="695"/>
      <c r="AX66" s="696"/>
      <c r="AY66" s="696"/>
      <c r="AZ66" s="696"/>
      <c r="BA66" s="697"/>
      <c r="BB66" s="695"/>
      <c r="BC66" s="696"/>
      <c r="BD66" s="696"/>
      <c r="BE66" s="696"/>
      <c r="BF66" s="697"/>
      <c r="BG66" s="695"/>
      <c r="BH66" s="696"/>
      <c r="BI66" s="696"/>
      <c r="BJ66" s="696"/>
      <c r="BK66" s="697"/>
      <c r="BL66" s="674">
        <f t="shared" ref="BL66" si="46">Z66-AH66</f>
        <v>168</v>
      </c>
      <c r="BM66" s="675"/>
      <c r="BN66" s="675"/>
      <c r="BO66" s="701"/>
      <c r="BP66" s="693"/>
      <c r="BQ66" s="681"/>
      <c r="BR66" s="681"/>
      <c r="BS66" s="681"/>
      <c r="BT66" s="659"/>
      <c r="BU66" s="659"/>
      <c r="BV66" s="659"/>
      <c r="BW66" s="659"/>
      <c r="BX66" s="659">
        <v>6</v>
      </c>
      <c r="BY66" s="659"/>
      <c r="BZ66" s="659"/>
      <c r="CA66" s="659"/>
      <c r="CB66" s="659"/>
      <c r="CC66" s="659"/>
      <c r="CD66" s="659"/>
      <c r="CE66" s="659"/>
      <c r="CF66" s="659"/>
      <c r="CG66" s="659"/>
      <c r="CH66" s="659"/>
      <c r="CI66" s="659"/>
      <c r="CJ66" s="659"/>
      <c r="CK66" s="659"/>
      <c r="CL66" s="659"/>
      <c r="CM66" s="659"/>
      <c r="CN66" s="659"/>
      <c r="CO66" s="659"/>
      <c r="CP66" s="659"/>
      <c r="CQ66" s="659"/>
      <c r="CR66" s="659"/>
      <c r="CS66" s="659"/>
      <c r="CT66" s="659"/>
      <c r="CU66" s="659"/>
      <c r="CV66" s="659"/>
      <c r="CW66" s="659"/>
      <c r="CX66" s="659"/>
      <c r="CY66" s="659"/>
      <c r="CZ66" s="659"/>
      <c r="DA66" s="659"/>
      <c r="DB66" s="659"/>
      <c r="DC66" s="662"/>
      <c r="DD66" s="663"/>
      <c r="DE66" s="659"/>
      <c r="DF66" s="659"/>
      <c r="DG66" s="659"/>
      <c r="DH66" s="659"/>
      <c r="DI66" s="659"/>
      <c r="DJ66" s="659"/>
      <c r="DK66" s="659"/>
      <c r="DL66" s="659">
        <v>6</v>
      </c>
      <c r="DM66" s="659"/>
      <c r="DN66" s="659"/>
      <c r="DO66" s="659"/>
      <c r="DP66" s="659"/>
      <c r="DQ66" s="659"/>
      <c r="DR66" s="659"/>
      <c r="DS66" s="659"/>
      <c r="DT66" s="659"/>
      <c r="DU66" s="659"/>
      <c r="DV66" s="659"/>
      <c r="DW66" s="659"/>
      <c r="DX66" s="659"/>
      <c r="DY66" s="659"/>
      <c r="DZ66" s="659"/>
      <c r="EA66" s="659"/>
      <c r="EB66" s="659"/>
      <c r="EC66" s="659"/>
      <c r="ED66" s="659"/>
      <c r="EE66" s="659"/>
      <c r="EF66" s="659"/>
      <c r="EG66" s="659"/>
      <c r="EH66" s="659"/>
      <c r="EI66" s="659"/>
      <c r="EJ66" s="659"/>
      <c r="EK66" s="659"/>
      <c r="EL66" s="659"/>
      <c r="EM66" s="659"/>
      <c r="EN66" s="659"/>
      <c r="EO66" s="659"/>
      <c r="EP66" s="659"/>
      <c r="EQ66" s="662"/>
      <c r="ER66" s="671">
        <f t="shared" ref="ER66" si="47">EN66+EJ66+EF66+EB66+DX66+DT66+DP66+DL66+DH66+DD66</f>
        <v>6</v>
      </c>
      <c r="ES66" s="672"/>
      <c r="ET66" s="955"/>
      <c r="EU66" s="673"/>
    </row>
    <row r="67" spans="1:152" s="98" customFormat="1" ht="99.95" customHeight="1" x14ac:dyDescent="0.2">
      <c r="A67" s="755"/>
      <c r="B67" s="141" t="s">
        <v>297</v>
      </c>
      <c r="C67" s="426" t="s">
        <v>293</v>
      </c>
      <c r="D67" s="426"/>
      <c r="E67" s="426"/>
      <c r="F67" s="426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  <c r="Z67" s="677"/>
      <c r="AA67" s="678"/>
      <c r="AB67" s="678"/>
      <c r="AC67" s="679"/>
      <c r="AD67" s="683"/>
      <c r="AE67" s="684"/>
      <c r="AF67" s="684"/>
      <c r="AG67" s="685"/>
      <c r="AH67" s="698"/>
      <c r="AI67" s="699"/>
      <c r="AJ67" s="699"/>
      <c r="AK67" s="699"/>
      <c r="AL67" s="700"/>
      <c r="AM67" s="698"/>
      <c r="AN67" s="699"/>
      <c r="AO67" s="699"/>
      <c r="AP67" s="699"/>
      <c r="AQ67" s="700"/>
      <c r="AR67" s="698"/>
      <c r="AS67" s="699"/>
      <c r="AT67" s="699"/>
      <c r="AU67" s="699"/>
      <c r="AV67" s="700"/>
      <c r="AW67" s="698"/>
      <c r="AX67" s="699"/>
      <c r="AY67" s="699"/>
      <c r="AZ67" s="699"/>
      <c r="BA67" s="700"/>
      <c r="BB67" s="698"/>
      <c r="BC67" s="699"/>
      <c r="BD67" s="699"/>
      <c r="BE67" s="699"/>
      <c r="BF67" s="700"/>
      <c r="BG67" s="698"/>
      <c r="BH67" s="699"/>
      <c r="BI67" s="699"/>
      <c r="BJ67" s="699"/>
      <c r="BK67" s="700"/>
      <c r="BL67" s="677"/>
      <c r="BM67" s="678"/>
      <c r="BN67" s="678"/>
      <c r="BO67" s="702"/>
      <c r="BP67" s="694"/>
      <c r="BQ67" s="684"/>
      <c r="BR67" s="684"/>
      <c r="BS67" s="684"/>
      <c r="BT67" s="659"/>
      <c r="BU67" s="659"/>
      <c r="BV67" s="659"/>
      <c r="BW67" s="659"/>
      <c r="BX67" s="659"/>
      <c r="BY67" s="659"/>
      <c r="BZ67" s="659"/>
      <c r="CA67" s="659"/>
      <c r="CB67" s="659"/>
      <c r="CC67" s="659"/>
      <c r="CD67" s="659"/>
      <c r="CE67" s="659"/>
      <c r="CF67" s="659"/>
      <c r="CG67" s="659"/>
      <c r="CH67" s="659"/>
      <c r="CI67" s="659"/>
      <c r="CJ67" s="659"/>
      <c r="CK67" s="659"/>
      <c r="CL67" s="659"/>
      <c r="CM67" s="659"/>
      <c r="CN67" s="659"/>
      <c r="CO67" s="659"/>
      <c r="CP67" s="659"/>
      <c r="CQ67" s="659"/>
      <c r="CR67" s="659"/>
      <c r="CS67" s="659"/>
      <c r="CT67" s="659"/>
      <c r="CU67" s="659"/>
      <c r="CV67" s="659"/>
      <c r="CW67" s="659"/>
      <c r="CX67" s="659"/>
      <c r="CY67" s="659"/>
      <c r="CZ67" s="659"/>
      <c r="DA67" s="659"/>
      <c r="DB67" s="659"/>
      <c r="DC67" s="662"/>
      <c r="DD67" s="663"/>
      <c r="DE67" s="659"/>
      <c r="DF67" s="659"/>
      <c r="DG67" s="659"/>
      <c r="DH67" s="659"/>
      <c r="DI67" s="659"/>
      <c r="DJ67" s="659"/>
      <c r="DK67" s="659"/>
      <c r="DL67" s="659"/>
      <c r="DM67" s="659"/>
      <c r="DN67" s="659"/>
      <c r="DO67" s="659"/>
      <c r="DP67" s="659"/>
      <c r="DQ67" s="659"/>
      <c r="DR67" s="659"/>
      <c r="DS67" s="659"/>
      <c r="DT67" s="659"/>
      <c r="DU67" s="659"/>
      <c r="DV67" s="659"/>
      <c r="DW67" s="659"/>
      <c r="DX67" s="659"/>
      <c r="DY67" s="659"/>
      <c r="DZ67" s="659"/>
      <c r="EA67" s="659"/>
      <c r="EB67" s="659"/>
      <c r="EC67" s="659"/>
      <c r="ED67" s="659"/>
      <c r="EE67" s="659"/>
      <c r="EF67" s="659"/>
      <c r="EG67" s="659"/>
      <c r="EH67" s="659"/>
      <c r="EI67" s="659"/>
      <c r="EJ67" s="659"/>
      <c r="EK67" s="659"/>
      <c r="EL67" s="659"/>
      <c r="EM67" s="659"/>
      <c r="EN67" s="659"/>
      <c r="EO67" s="659"/>
      <c r="EP67" s="659"/>
      <c r="EQ67" s="662"/>
      <c r="ER67" s="671">
        <f t="shared" ref="ER67" si="48">DD67+DH67+DL67+DP67+DT67+DX67+EB67+EF67+EJ67+EN67</f>
        <v>0</v>
      </c>
      <c r="ES67" s="672"/>
      <c r="ET67" s="955"/>
      <c r="EU67" s="673"/>
    </row>
    <row r="68" spans="1:152" s="98" customFormat="1" ht="69.95" customHeight="1" x14ac:dyDescent="0.2">
      <c r="A68" s="754" t="s">
        <v>43</v>
      </c>
      <c r="B68" s="141" t="s">
        <v>327</v>
      </c>
      <c r="C68" s="378" t="s">
        <v>204</v>
      </c>
      <c r="D68" s="378"/>
      <c r="E68" s="378"/>
      <c r="F68" s="378"/>
      <c r="G68" s="378"/>
      <c r="H68" s="378"/>
      <c r="I68" s="378"/>
      <c r="J68" s="378"/>
      <c r="K68" s="378"/>
      <c r="L68" s="378"/>
      <c r="M68" s="378"/>
      <c r="N68" s="378"/>
      <c r="O68" s="378"/>
      <c r="P68" s="378"/>
      <c r="Q68" s="378"/>
      <c r="R68" s="378"/>
      <c r="S68" s="378"/>
      <c r="T68" s="378"/>
      <c r="U68" s="378"/>
      <c r="V68" s="378"/>
      <c r="W68" s="378"/>
      <c r="X68" s="378"/>
      <c r="Y68" s="378"/>
      <c r="Z68" s="674">
        <f t="shared" ref="Z68" si="49">ER68*30</f>
        <v>120</v>
      </c>
      <c r="AA68" s="675"/>
      <c r="AB68" s="675"/>
      <c r="AC68" s="676"/>
      <c r="AD68" s="680"/>
      <c r="AE68" s="681"/>
      <c r="AF68" s="681"/>
      <c r="AG68" s="682"/>
      <c r="AH68" s="695">
        <f t="shared" ref="AH68" si="50">SUM(AM68:BF69)</f>
        <v>12</v>
      </c>
      <c r="AI68" s="696"/>
      <c r="AJ68" s="696"/>
      <c r="AK68" s="696"/>
      <c r="AL68" s="697"/>
      <c r="AM68" s="695">
        <v>8</v>
      </c>
      <c r="AN68" s="696"/>
      <c r="AO68" s="696"/>
      <c r="AP68" s="696"/>
      <c r="AQ68" s="697"/>
      <c r="AR68" s="695"/>
      <c r="AS68" s="696"/>
      <c r="AT68" s="696"/>
      <c r="AU68" s="696"/>
      <c r="AV68" s="697"/>
      <c r="AW68" s="695">
        <v>4</v>
      </c>
      <c r="AX68" s="696"/>
      <c r="AY68" s="696"/>
      <c r="AZ68" s="696"/>
      <c r="BA68" s="697"/>
      <c r="BB68" s="695"/>
      <c r="BC68" s="696"/>
      <c r="BD68" s="696"/>
      <c r="BE68" s="696"/>
      <c r="BF68" s="697"/>
      <c r="BG68" s="695"/>
      <c r="BH68" s="696"/>
      <c r="BI68" s="696"/>
      <c r="BJ68" s="696"/>
      <c r="BK68" s="697"/>
      <c r="BL68" s="674">
        <f t="shared" ref="BL68" si="51">Z68-AH68</f>
        <v>108</v>
      </c>
      <c r="BM68" s="675"/>
      <c r="BN68" s="675"/>
      <c r="BO68" s="701"/>
      <c r="BP68" s="693"/>
      <c r="BQ68" s="681"/>
      <c r="BR68" s="681"/>
      <c r="BS68" s="681"/>
      <c r="BT68" s="659"/>
      <c r="BU68" s="659"/>
      <c r="BV68" s="659"/>
      <c r="BW68" s="659"/>
      <c r="BX68" s="659">
        <v>5</v>
      </c>
      <c r="BY68" s="659"/>
      <c r="BZ68" s="659"/>
      <c r="CA68" s="659"/>
      <c r="CB68" s="659"/>
      <c r="CC68" s="659"/>
      <c r="CD68" s="659"/>
      <c r="CE68" s="659"/>
      <c r="CF68" s="659"/>
      <c r="CG68" s="659"/>
      <c r="CH68" s="659"/>
      <c r="CI68" s="659"/>
      <c r="CJ68" s="659"/>
      <c r="CK68" s="659"/>
      <c r="CL68" s="659"/>
      <c r="CM68" s="659"/>
      <c r="CN68" s="659"/>
      <c r="CO68" s="659"/>
      <c r="CP68" s="659"/>
      <c r="CQ68" s="659"/>
      <c r="CR68" s="659"/>
      <c r="CS68" s="659"/>
      <c r="CT68" s="659"/>
      <c r="CU68" s="659"/>
      <c r="CV68" s="659"/>
      <c r="CW68" s="659"/>
      <c r="CX68" s="659"/>
      <c r="CY68" s="659"/>
      <c r="CZ68" s="659"/>
      <c r="DA68" s="659"/>
      <c r="DB68" s="659"/>
      <c r="DC68" s="662"/>
      <c r="DD68" s="663"/>
      <c r="DE68" s="659"/>
      <c r="DF68" s="659"/>
      <c r="DG68" s="659"/>
      <c r="DH68" s="659"/>
      <c r="DI68" s="659"/>
      <c r="DJ68" s="659"/>
      <c r="DK68" s="659"/>
      <c r="DL68" s="659">
        <v>4</v>
      </c>
      <c r="DM68" s="659"/>
      <c r="DN68" s="659"/>
      <c r="DO68" s="659"/>
      <c r="DP68" s="659"/>
      <c r="DQ68" s="659"/>
      <c r="DR68" s="659"/>
      <c r="DS68" s="659"/>
      <c r="DT68" s="659"/>
      <c r="DU68" s="659"/>
      <c r="DV68" s="659"/>
      <c r="DW68" s="659"/>
      <c r="DX68" s="659"/>
      <c r="DY68" s="659"/>
      <c r="DZ68" s="659"/>
      <c r="EA68" s="659"/>
      <c r="EB68" s="659"/>
      <c r="EC68" s="659"/>
      <c r="ED68" s="659"/>
      <c r="EE68" s="659"/>
      <c r="EF68" s="659"/>
      <c r="EG68" s="659"/>
      <c r="EH68" s="659"/>
      <c r="EI68" s="659"/>
      <c r="EJ68" s="659"/>
      <c r="EK68" s="659"/>
      <c r="EL68" s="659"/>
      <c r="EM68" s="659"/>
      <c r="EN68" s="659"/>
      <c r="EO68" s="659"/>
      <c r="EP68" s="659"/>
      <c r="EQ68" s="662"/>
      <c r="ER68" s="671">
        <f t="shared" ref="ER68" si="52">EN68+EJ68+EF68+EB68+DX68+DT68+DP68+DL68+DH68+DD68</f>
        <v>4</v>
      </c>
      <c r="ES68" s="672"/>
      <c r="ET68" s="955"/>
      <c r="EU68" s="673"/>
    </row>
    <row r="69" spans="1:152" s="98" customFormat="1" ht="69.95" customHeight="1" x14ac:dyDescent="0.2">
      <c r="A69" s="755"/>
      <c r="B69" s="141" t="s">
        <v>296</v>
      </c>
      <c r="C69" s="426" t="s">
        <v>292</v>
      </c>
      <c r="D69" s="426"/>
      <c r="E69" s="426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Z69" s="677"/>
      <c r="AA69" s="678"/>
      <c r="AB69" s="678"/>
      <c r="AC69" s="679"/>
      <c r="AD69" s="683"/>
      <c r="AE69" s="684"/>
      <c r="AF69" s="684"/>
      <c r="AG69" s="685"/>
      <c r="AH69" s="698"/>
      <c r="AI69" s="699"/>
      <c r="AJ69" s="699"/>
      <c r="AK69" s="699"/>
      <c r="AL69" s="700"/>
      <c r="AM69" s="698"/>
      <c r="AN69" s="699"/>
      <c r="AO69" s="699"/>
      <c r="AP69" s="699"/>
      <c r="AQ69" s="700"/>
      <c r="AR69" s="698"/>
      <c r="AS69" s="699"/>
      <c r="AT69" s="699"/>
      <c r="AU69" s="699"/>
      <c r="AV69" s="700"/>
      <c r="AW69" s="698"/>
      <c r="AX69" s="699"/>
      <c r="AY69" s="699"/>
      <c r="AZ69" s="699"/>
      <c r="BA69" s="700"/>
      <c r="BB69" s="698"/>
      <c r="BC69" s="699"/>
      <c r="BD69" s="699"/>
      <c r="BE69" s="699"/>
      <c r="BF69" s="700"/>
      <c r="BG69" s="698"/>
      <c r="BH69" s="699"/>
      <c r="BI69" s="699"/>
      <c r="BJ69" s="699"/>
      <c r="BK69" s="700"/>
      <c r="BL69" s="677"/>
      <c r="BM69" s="678"/>
      <c r="BN69" s="678"/>
      <c r="BO69" s="702"/>
      <c r="BP69" s="694"/>
      <c r="BQ69" s="684"/>
      <c r="BR69" s="684"/>
      <c r="BS69" s="684"/>
      <c r="BT69" s="659"/>
      <c r="BU69" s="659"/>
      <c r="BV69" s="659"/>
      <c r="BW69" s="659"/>
      <c r="BX69" s="659"/>
      <c r="BY69" s="659"/>
      <c r="BZ69" s="659"/>
      <c r="CA69" s="659"/>
      <c r="CB69" s="659"/>
      <c r="CC69" s="659"/>
      <c r="CD69" s="659"/>
      <c r="CE69" s="659"/>
      <c r="CF69" s="659"/>
      <c r="CG69" s="659"/>
      <c r="CH69" s="659"/>
      <c r="CI69" s="659"/>
      <c r="CJ69" s="659"/>
      <c r="CK69" s="659"/>
      <c r="CL69" s="659"/>
      <c r="CM69" s="659"/>
      <c r="CN69" s="659"/>
      <c r="CO69" s="659"/>
      <c r="CP69" s="659"/>
      <c r="CQ69" s="659"/>
      <c r="CR69" s="659"/>
      <c r="CS69" s="659"/>
      <c r="CT69" s="659"/>
      <c r="CU69" s="659"/>
      <c r="CV69" s="659"/>
      <c r="CW69" s="659"/>
      <c r="CX69" s="659"/>
      <c r="CY69" s="659"/>
      <c r="CZ69" s="659"/>
      <c r="DA69" s="659"/>
      <c r="DB69" s="659"/>
      <c r="DC69" s="662"/>
      <c r="DD69" s="663"/>
      <c r="DE69" s="659"/>
      <c r="DF69" s="659"/>
      <c r="DG69" s="659"/>
      <c r="DH69" s="659"/>
      <c r="DI69" s="659"/>
      <c r="DJ69" s="659"/>
      <c r="DK69" s="659"/>
      <c r="DL69" s="659"/>
      <c r="DM69" s="659"/>
      <c r="DN69" s="659"/>
      <c r="DO69" s="659"/>
      <c r="DP69" s="659"/>
      <c r="DQ69" s="659"/>
      <c r="DR69" s="659"/>
      <c r="DS69" s="659"/>
      <c r="DT69" s="659"/>
      <c r="DU69" s="659"/>
      <c r="DV69" s="659"/>
      <c r="DW69" s="659"/>
      <c r="DX69" s="659"/>
      <c r="DY69" s="659"/>
      <c r="DZ69" s="659"/>
      <c r="EA69" s="659"/>
      <c r="EB69" s="659"/>
      <c r="EC69" s="659"/>
      <c r="ED69" s="659"/>
      <c r="EE69" s="659"/>
      <c r="EF69" s="659"/>
      <c r="EG69" s="659"/>
      <c r="EH69" s="659"/>
      <c r="EI69" s="659"/>
      <c r="EJ69" s="659"/>
      <c r="EK69" s="659"/>
      <c r="EL69" s="659"/>
      <c r="EM69" s="659"/>
      <c r="EN69" s="659"/>
      <c r="EO69" s="659"/>
      <c r="EP69" s="659"/>
      <c r="EQ69" s="662"/>
      <c r="ER69" s="671">
        <f t="shared" ref="ER69" si="53">DD69+DH69+DL69+DP69+DT69+DX69+EB69+EF69+EJ69+EN69</f>
        <v>0</v>
      </c>
      <c r="ES69" s="672"/>
      <c r="ET69" s="955"/>
      <c r="EU69" s="673"/>
    </row>
    <row r="70" spans="1:152" s="98" customFormat="1" ht="99.95" customHeight="1" x14ac:dyDescent="0.2">
      <c r="A70" s="754" t="s">
        <v>44</v>
      </c>
      <c r="B70" s="141" t="s">
        <v>170</v>
      </c>
      <c r="C70" s="426" t="s">
        <v>169</v>
      </c>
      <c r="D70" s="426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Z70" s="674">
        <f t="shared" ref="Z70" si="54">ER70*30</f>
        <v>60</v>
      </c>
      <c r="AA70" s="675"/>
      <c r="AB70" s="675"/>
      <c r="AC70" s="676"/>
      <c r="AD70" s="680"/>
      <c r="AE70" s="681"/>
      <c r="AF70" s="681"/>
      <c r="AG70" s="682"/>
      <c r="AH70" s="695">
        <f t="shared" ref="AH70" si="55">SUM(AM70:BF71)</f>
        <v>8</v>
      </c>
      <c r="AI70" s="696"/>
      <c r="AJ70" s="696"/>
      <c r="AK70" s="696"/>
      <c r="AL70" s="697"/>
      <c r="AM70" s="695">
        <v>4</v>
      </c>
      <c r="AN70" s="696"/>
      <c r="AO70" s="696"/>
      <c r="AP70" s="696"/>
      <c r="AQ70" s="697"/>
      <c r="AR70" s="695">
        <v>4</v>
      </c>
      <c r="AS70" s="696"/>
      <c r="AT70" s="696"/>
      <c r="AU70" s="696"/>
      <c r="AV70" s="697"/>
      <c r="AW70" s="695"/>
      <c r="AX70" s="696"/>
      <c r="AY70" s="696"/>
      <c r="AZ70" s="696"/>
      <c r="BA70" s="697"/>
      <c r="BB70" s="695"/>
      <c r="BC70" s="696"/>
      <c r="BD70" s="696"/>
      <c r="BE70" s="696"/>
      <c r="BF70" s="697"/>
      <c r="BG70" s="695"/>
      <c r="BH70" s="696"/>
      <c r="BI70" s="696"/>
      <c r="BJ70" s="696"/>
      <c r="BK70" s="697"/>
      <c r="BL70" s="674">
        <f t="shared" ref="BL70" si="56">Z70-AH70</f>
        <v>52</v>
      </c>
      <c r="BM70" s="675"/>
      <c r="BN70" s="675"/>
      <c r="BO70" s="701"/>
      <c r="BP70" s="693"/>
      <c r="BQ70" s="681"/>
      <c r="BR70" s="681"/>
      <c r="BS70" s="681"/>
      <c r="BT70" s="659"/>
      <c r="BU70" s="659"/>
      <c r="BV70" s="659"/>
      <c r="BW70" s="659"/>
      <c r="BX70" s="659"/>
      <c r="BY70" s="659"/>
      <c r="BZ70" s="659"/>
      <c r="CA70" s="659"/>
      <c r="CB70" s="659">
        <v>5</v>
      </c>
      <c r="CC70" s="659"/>
      <c r="CD70" s="659"/>
      <c r="CE70" s="659"/>
      <c r="CF70" s="659"/>
      <c r="CG70" s="659"/>
      <c r="CH70" s="659"/>
      <c r="CI70" s="659"/>
      <c r="CJ70" s="659"/>
      <c r="CK70" s="659"/>
      <c r="CL70" s="659"/>
      <c r="CM70" s="659"/>
      <c r="CN70" s="659"/>
      <c r="CO70" s="659"/>
      <c r="CP70" s="659"/>
      <c r="CQ70" s="659"/>
      <c r="CR70" s="659"/>
      <c r="CS70" s="659"/>
      <c r="CT70" s="659"/>
      <c r="CU70" s="659"/>
      <c r="CV70" s="659"/>
      <c r="CW70" s="659"/>
      <c r="CX70" s="659"/>
      <c r="CY70" s="659"/>
      <c r="CZ70" s="659"/>
      <c r="DA70" s="659"/>
      <c r="DB70" s="659"/>
      <c r="DC70" s="662"/>
      <c r="DD70" s="663"/>
      <c r="DE70" s="659"/>
      <c r="DF70" s="659"/>
      <c r="DG70" s="659"/>
      <c r="DH70" s="659"/>
      <c r="DI70" s="659"/>
      <c r="DJ70" s="659"/>
      <c r="DK70" s="659"/>
      <c r="DL70" s="659"/>
      <c r="DM70" s="659"/>
      <c r="DN70" s="659"/>
      <c r="DO70" s="659"/>
      <c r="DP70" s="659">
        <v>2</v>
      </c>
      <c r="DQ70" s="659"/>
      <c r="DR70" s="659"/>
      <c r="DS70" s="659"/>
      <c r="DT70" s="659"/>
      <c r="DU70" s="659"/>
      <c r="DV70" s="659"/>
      <c r="DW70" s="659"/>
      <c r="DX70" s="659"/>
      <c r="DY70" s="659"/>
      <c r="DZ70" s="659"/>
      <c r="EA70" s="659"/>
      <c r="EB70" s="659"/>
      <c r="EC70" s="659"/>
      <c r="ED70" s="659"/>
      <c r="EE70" s="659"/>
      <c r="EF70" s="659"/>
      <c r="EG70" s="659"/>
      <c r="EH70" s="659"/>
      <c r="EI70" s="659"/>
      <c r="EJ70" s="659"/>
      <c r="EK70" s="659"/>
      <c r="EL70" s="659"/>
      <c r="EM70" s="659"/>
      <c r="EN70" s="659"/>
      <c r="EO70" s="659"/>
      <c r="EP70" s="659"/>
      <c r="EQ70" s="662"/>
      <c r="ER70" s="671">
        <f t="shared" ref="ER70" si="57">EN70+EJ70+EF70+EB70+DX70+DT70+DP70+DL70+DH70+DD70</f>
        <v>2</v>
      </c>
      <c r="ES70" s="672"/>
      <c r="ET70" s="955"/>
      <c r="EU70" s="673"/>
    </row>
    <row r="71" spans="1:152" s="98" customFormat="1" ht="69.95" customHeight="1" x14ac:dyDescent="0.2">
      <c r="A71" s="755"/>
      <c r="B71" s="141" t="s">
        <v>152</v>
      </c>
      <c r="C71" s="426" t="s">
        <v>171</v>
      </c>
      <c r="D71" s="426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  <c r="Z71" s="677"/>
      <c r="AA71" s="678"/>
      <c r="AB71" s="678"/>
      <c r="AC71" s="679"/>
      <c r="AD71" s="683"/>
      <c r="AE71" s="684"/>
      <c r="AF71" s="684"/>
      <c r="AG71" s="685"/>
      <c r="AH71" s="698"/>
      <c r="AI71" s="699"/>
      <c r="AJ71" s="699"/>
      <c r="AK71" s="699"/>
      <c r="AL71" s="700"/>
      <c r="AM71" s="698"/>
      <c r="AN71" s="699"/>
      <c r="AO71" s="699"/>
      <c r="AP71" s="699"/>
      <c r="AQ71" s="700"/>
      <c r="AR71" s="698"/>
      <c r="AS71" s="699"/>
      <c r="AT71" s="699"/>
      <c r="AU71" s="699"/>
      <c r="AV71" s="700"/>
      <c r="AW71" s="698"/>
      <c r="AX71" s="699"/>
      <c r="AY71" s="699"/>
      <c r="AZ71" s="699"/>
      <c r="BA71" s="700"/>
      <c r="BB71" s="698"/>
      <c r="BC71" s="699"/>
      <c r="BD71" s="699"/>
      <c r="BE71" s="699"/>
      <c r="BF71" s="700"/>
      <c r="BG71" s="698"/>
      <c r="BH71" s="699"/>
      <c r="BI71" s="699"/>
      <c r="BJ71" s="699"/>
      <c r="BK71" s="700"/>
      <c r="BL71" s="677"/>
      <c r="BM71" s="678"/>
      <c r="BN71" s="678"/>
      <c r="BO71" s="702"/>
      <c r="BP71" s="694"/>
      <c r="BQ71" s="684"/>
      <c r="BR71" s="684"/>
      <c r="BS71" s="684"/>
      <c r="BT71" s="659"/>
      <c r="BU71" s="659"/>
      <c r="BV71" s="659"/>
      <c r="BW71" s="659"/>
      <c r="BX71" s="659"/>
      <c r="BY71" s="659"/>
      <c r="BZ71" s="659"/>
      <c r="CA71" s="659"/>
      <c r="CB71" s="659"/>
      <c r="CC71" s="659"/>
      <c r="CD71" s="659"/>
      <c r="CE71" s="659"/>
      <c r="CF71" s="659"/>
      <c r="CG71" s="659"/>
      <c r="CH71" s="659"/>
      <c r="CI71" s="659"/>
      <c r="CJ71" s="659"/>
      <c r="CK71" s="659"/>
      <c r="CL71" s="659"/>
      <c r="CM71" s="659"/>
      <c r="CN71" s="659"/>
      <c r="CO71" s="659"/>
      <c r="CP71" s="659"/>
      <c r="CQ71" s="659"/>
      <c r="CR71" s="659"/>
      <c r="CS71" s="659"/>
      <c r="CT71" s="659"/>
      <c r="CU71" s="659"/>
      <c r="CV71" s="659"/>
      <c r="CW71" s="659"/>
      <c r="CX71" s="659"/>
      <c r="CY71" s="659"/>
      <c r="CZ71" s="659"/>
      <c r="DA71" s="659"/>
      <c r="DB71" s="659"/>
      <c r="DC71" s="662"/>
      <c r="DD71" s="663"/>
      <c r="DE71" s="659"/>
      <c r="DF71" s="659"/>
      <c r="DG71" s="659"/>
      <c r="DH71" s="659"/>
      <c r="DI71" s="659"/>
      <c r="DJ71" s="659"/>
      <c r="DK71" s="659"/>
      <c r="DL71" s="659"/>
      <c r="DM71" s="659"/>
      <c r="DN71" s="659"/>
      <c r="DO71" s="659"/>
      <c r="DP71" s="659"/>
      <c r="DQ71" s="659"/>
      <c r="DR71" s="659"/>
      <c r="DS71" s="659"/>
      <c r="DT71" s="659"/>
      <c r="DU71" s="659"/>
      <c r="DV71" s="659"/>
      <c r="DW71" s="659"/>
      <c r="DX71" s="659"/>
      <c r="DY71" s="659"/>
      <c r="DZ71" s="659"/>
      <c r="EA71" s="659"/>
      <c r="EB71" s="659"/>
      <c r="EC71" s="659"/>
      <c r="ED71" s="659"/>
      <c r="EE71" s="659"/>
      <c r="EF71" s="659"/>
      <c r="EG71" s="659"/>
      <c r="EH71" s="659"/>
      <c r="EI71" s="659"/>
      <c r="EJ71" s="659"/>
      <c r="EK71" s="659"/>
      <c r="EL71" s="659"/>
      <c r="EM71" s="659"/>
      <c r="EN71" s="659"/>
      <c r="EO71" s="659"/>
      <c r="EP71" s="659"/>
      <c r="EQ71" s="662"/>
      <c r="ER71" s="671">
        <f t="shared" ref="ER71" si="58">DD71+DH71+DL71+DP71+DT71+DX71+EB71+EF71+EJ71+EN71</f>
        <v>0</v>
      </c>
      <c r="ES71" s="672"/>
      <c r="ET71" s="955"/>
      <c r="EU71" s="673"/>
    </row>
    <row r="72" spans="1:152" s="324" customFormat="1" ht="69.95" customHeight="1" x14ac:dyDescent="0.65">
      <c r="A72" s="980" t="s">
        <v>206</v>
      </c>
      <c r="B72" s="323" t="s">
        <v>214</v>
      </c>
      <c r="C72" s="982" t="s">
        <v>215</v>
      </c>
      <c r="D72" s="982"/>
      <c r="E72" s="982"/>
      <c r="F72" s="982"/>
      <c r="G72" s="982"/>
      <c r="H72" s="982"/>
      <c r="I72" s="982"/>
      <c r="J72" s="982"/>
      <c r="K72" s="982"/>
      <c r="L72" s="982"/>
      <c r="M72" s="982"/>
      <c r="N72" s="982"/>
      <c r="O72" s="982"/>
      <c r="P72" s="982"/>
      <c r="Q72" s="982"/>
      <c r="R72" s="982"/>
      <c r="S72" s="982"/>
      <c r="T72" s="982"/>
      <c r="U72" s="982"/>
      <c r="V72" s="982"/>
      <c r="W72" s="982"/>
      <c r="X72" s="982"/>
      <c r="Y72" s="982"/>
      <c r="Z72" s="970">
        <f t="shared" ref="Z72" si="59">ER72*30</f>
        <v>240</v>
      </c>
      <c r="AA72" s="971"/>
      <c r="AB72" s="971"/>
      <c r="AC72" s="983"/>
      <c r="AD72" s="985"/>
      <c r="AE72" s="977"/>
      <c r="AF72" s="977"/>
      <c r="AG72" s="986"/>
      <c r="AH72" s="964">
        <f t="shared" ref="AH72" si="60">SUM(AM72:BF73)</f>
        <v>32</v>
      </c>
      <c r="AI72" s="965"/>
      <c r="AJ72" s="965"/>
      <c r="AK72" s="965"/>
      <c r="AL72" s="966"/>
      <c r="AM72" s="964">
        <v>16</v>
      </c>
      <c r="AN72" s="965"/>
      <c r="AO72" s="965"/>
      <c r="AP72" s="965"/>
      <c r="AQ72" s="966"/>
      <c r="AR72" s="964">
        <v>16</v>
      </c>
      <c r="AS72" s="965"/>
      <c r="AT72" s="965"/>
      <c r="AU72" s="965"/>
      <c r="AV72" s="966"/>
      <c r="AW72" s="964"/>
      <c r="AX72" s="965"/>
      <c r="AY72" s="965"/>
      <c r="AZ72" s="965"/>
      <c r="BA72" s="966"/>
      <c r="BB72" s="964"/>
      <c r="BC72" s="965"/>
      <c r="BD72" s="965"/>
      <c r="BE72" s="965"/>
      <c r="BF72" s="966"/>
      <c r="BG72" s="964"/>
      <c r="BH72" s="965"/>
      <c r="BI72" s="965"/>
      <c r="BJ72" s="965"/>
      <c r="BK72" s="966"/>
      <c r="BL72" s="970">
        <f t="shared" ref="BL72" si="61">Z72-AH72</f>
        <v>208</v>
      </c>
      <c r="BM72" s="971"/>
      <c r="BN72" s="971"/>
      <c r="BO72" s="972"/>
      <c r="BP72" s="976"/>
      <c r="BQ72" s="977"/>
      <c r="BR72" s="977"/>
      <c r="BS72" s="977"/>
      <c r="BT72" s="956"/>
      <c r="BU72" s="956"/>
      <c r="BV72" s="956"/>
      <c r="BW72" s="956"/>
      <c r="BX72" s="956"/>
      <c r="BY72" s="956"/>
      <c r="BZ72" s="956"/>
      <c r="CA72" s="956"/>
      <c r="CB72" s="956"/>
      <c r="CC72" s="956"/>
      <c r="CD72" s="956"/>
      <c r="CE72" s="956"/>
      <c r="CF72" s="956">
        <v>5</v>
      </c>
      <c r="CG72" s="956"/>
      <c r="CH72" s="956"/>
      <c r="CI72" s="956"/>
      <c r="CJ72" s="956"/>
      <c r="CK72" s="956"/>
      <c r="CL72" s="956"/>
      <c r="CM72" s="956"/>
      <c r="CN72" s="956">
        <v>5</v>
      </c>
      <c r="CO72" s="956"/>
      <c r="CP72" s="956"/>
      <c r="CQ72" s="956"/>
      <c r="CR72" s="956"/>
      <c r="CS72" s="956"/>
      <c r="CT72" s="956"/>
      <c r="CU72" s="956"/>
      <c r="CV72" s="956"/>
      <c r="CW72" s="956"/>
      <c r="CX72" s="956"/>
      <c r="CY72" s="956"/>
      <c r="CZ72" s="956"/>
      <c r="DA72" s="956"/>
      <c r="DB72" s="956"/>
      <c r="DC72" s="957"/>
      <c r="DD72" s="963"/>
      <c r="DE72" s="956"/>
      <c r="DF72" s="956"/>
      <c r="DG72" s="956"/>
      <c r="DH72" s="956"/>
      <c r="DI72" s="956"/>
      <c r="DJ72" s="956"/>
      <c r="DK72" s="956"/>
      <c r="DL72" s="956"/>
      <c r="DM72" s="956"/>
      <c r="DN72" s="956"/>
      <c r="DO72" s="956"/>
      <c r="DP72" s="956"/>
      <c r="DQ72" s="956"/>
      <c r="DR72" s="956"/>
      <c r="DS72" s="956"/>
      <c r="DT72" s="956">
        <v>4</v>
      </c>
      <c r="DU72" s="956"/>
      <c r="DV72" s="956"/>
      <c r="DW72" s="956"/>
      <c r="DX72" s="956"/>
      <c r="DY72" s="956"/>
      <c r="DZ72" s="956"/>
      <c r="EA72" s="956"/>
      <c r="EB72" s="956">
        <v>4</v>
      </c>
      <c r="EC72" s="956"/>
      <c r="ED72" s="956"/>
      <c r="EE72" s="956"/>
      <c r="EF72" s="956"/>
      <c r="EG72" s="956"/>
      <c r="EH72" s="956"/>
      <c r="EI72" s="956"/>
      <c r="EJ72" s="956"/>
      <c r="EK72" s="956"/>
      <c r="EL72" s="956"/>
      <c r="EM72" s="956"/>
      <c r="EN72" s="956"/>
      <c r="EO72" s="956"/>
      <c r="EP72" s="956"/>
      <c r="EQ72" s="957"/>
      <c r="ER72" s="958">
        <f t="shared" ref="ER72" si="62">EN72+EJ72+EF72+EB72+DX72+DT72+DP72+DL72+DH72+DD72</f>
        <v>8</v>
      </c>
      <c r="ES72" s="959"/>
      <c r="ET72" s="960"/>
      <c r="EU72" s="961"/>
      <c r="EV72" s="325" t="s">
        <v>310</v>
      </c>
    </row>
    <row r="73" spans="1:152" s="324" customFormat="1" ht="69.95" customHeight="1" x14ac:dyDescent="0.65">
      <c r="A73" s="981"/>
      <c r="B73" s="323" t="s">
        <v>174</v>
      </c>
      <c r="C73" s="962" t="s">
        <v>173</v>
      </c>
      <c r="D73" s="962"/>
      <c r="E73" s="962"/>
      <c r="F73" s="962"/>
      <c r="G73" s="962"/>
      <c r="H73" s="962"/>
      <c r="I73" s="962"/>
      <c r="J73" s="962"/>
      <c r="K73" s="962"/>
      <c r="L73" s="962"/>
      <c r="M73" s="962"/>
      <c r="N73" s="962"/>
      <c r="O73" s="962"/>
      <c r="P73" s="962"/>
      <c r="Q73" s="962"/>
      <c r="R73" s="962"/>
      <c r="S73" s="962"/>
      <c r="T73" s="962"/>
      <c r="U73" s="962"/>
      <c r="V73" s="962"/>
      <c r="W73" s="962"/>
      <c r="X73" s="962"/>
      <c r="Y73" s="962"/>
      <c r="Z73" s="973"/>
      <c r="AA73" s="974"/>
      <c r="AB73" s="974"/>
      <c r="AC73" s="984"/>
      <c r="AD73" s="987"/>
      <c r="AE73" s="979"/>
      <c r="AF73" s="979"/>
      <c r="AG73" s="988"/>
      <c r="AH73" s="967"/>
      <c r="AI73" s="968"/>
      <c r="AJ73" s="968"/>
      <c r="AK73" s="968"/>
      <c r="AL73" s="969"/>
      <c r="AM73" s="967"/>
      <c r="AN73" s="968"/>
      <c r="AO73" s="968"/>
      <c r="AP73" s="968"/>
      <c r="AQ73" s="969"/>
      <c r="AR73" s="967"/>
      <c r="AS73" s="968"/>
      <c r="AT73" s="968"/>
      <c r="AU73" s="968"/>
      <c r="AV73" s="969"/>
      <c r="AW73" s="967"/>
      <c r="AX73" s="968"/>
      <c r="AY73" s="968"/>
      <c r="AZ73" s="968"/>
      <c r="BA73" s="969"/>
      <c r="BB73" s="967"/>
      <c r="BC73" s="968"/>
      <c r="BD73" s="968"/>
      <c r="BE73" s="968"/>
      <c r="BF73" s="969"/>
      <c r="BG73" s="967"/>
      <c r="BH73" s="968"/>
      <c r="BI73" s="968"/>
      <c r="BJ73" s="968"/>
      <c r="BK73" s="969"/>
      <c r="BL73" s="973"/>
      <c r="BM73" s="974"/>
      <c r="BN73" s="974"/>
      <c r="BO73" s="975"/>
      <c r="BP73" s="978"/>
      <c r="BQ73" s="979"/>
      <c r="BR73" s="979"/>
      <c r="BS73" s="979"/>
      <c r="BT73" s="956"/>
      <c r="BU73" s="956"/>
      <c r="BV73" s="956"/>
      <c r="BW73" s="956"/>
      <c r="BX73" s="956"/>
      <c r="BY73" s="956"/>
      <c r="BZ73" s="956"/>
      <c r="CA73" s="956"/>
      <c r="CB73" s="956"/>
      <c r="CC73" s="956"/>
      <c r="CD73" s="956"/>
      <c r="CE73" s="956"/>
      <c r="CF73" s="956"/>
      <c r="CG73" s="956"/>
      <c r="CH73" s="956"/>
      <c r="CI73" s="956"/>
      <c r="CJ73" s="956"/>
      <c r="CK73" s="956"/>
      <c r="CL73" s="956"/>
      <c r="CM73" s="956"/>
      <c r="CN73" s="956"/>
      <c r="CO73" s="956"/>
      <c r="CP73" s="956"/>
      <c r="CQ73" s="956"/>
      <c r="CR73" s="956"/>
      <c r="CS73" s="956"/>
      <c r="CT73" s="956"/>
      <c r="CU73" s="956"/>
      <c r="CV73" s="956"/>
      <c r="CW73" s="956"/>
      <c r="CX73" s="956"/>
      <c r="CY73" s="956"/>
      <c r="CZ73" s="956"/>
      <c r="DA73" s="956"/>
      <c r="DB73" s="956"/>
      <c r="DC73" s="957"/>
      <c r="DD73" s="963"/>
      <c r="DE73" s="956"/>
      <c r="DF73" s="956"/>
      <c r="DG73" s="956"/>
      <c r="DH73" s="956"/>
      <c r="DI73" s="956"/>
      <c r="DJ73" s="956"/>
      <c r="DK73" s="956"/>
      <c r="DL73" s="956"/>
      <c r="DM73" s="956"/>
      <c r="DN73" s="956"/>
      <c r="DO73" s="956"/>
      <c r="DP73" s="956"/>
      <c r="DQ73" s="956"/>
      <c r="DR73" s="956"/>
      <c r="DS73" s="956"/>
      <c r="DT73" s="956"/>
      <c r="DU73" s="956"/>
      <c r="DV73" s="956"/>
      <c r="DW73" s="956"/>
      <c r="DX73" s="956"/>
      <c r="DY73" s="956"/>
      <c r="DZ73" s="956"/>
      <c r="EA73" s="956"/>
      <c r="EB73" s="956"/>
      <c r="EC73" s="956"/>
      <c r="ED73" s="956"/>
      <c r="EE73" s="956"/>
      <c r="EF73" s="956"/>
      <c r="EG73" s="956"/>
      <c r="EH73" s="956"/>
      <c r="EI73" s="956"/>
      <c r="EJ73" s="956"/>
      <c r="EK73" s="956"/>
      <c r="EL73" s="956"/>
      <c r="EM73" s="956"/>
      <c r="EN73" s="956"/>
      <c r="EO73" s="956"/>
      <c r="EP73" s="956"/>
      <c r="EQ73" s="957"/>
      <c r="ER73" s="958">
        <f t="shared" ref="ER73" si="63">DD73+DH73+DL73+DP73+DT73+DX73+EB73+EF73+EJ73+EN73</f>
        <v>0</v>
      </c>
      <c r="ES73" s="959"/>
      <c r="ET73" s="960"/>
      <c r="EU73" s="961"/>
      <c r="EV73" s="325" t="s">
        <v>317</v>
      </c>
    </row>
    <row r="74" spans="1:152" s="98" customFormat="1" ht="69.95" customHeight="1" x14ac:dyDescent="0.65">
      <c r="A74" s="754" t="s">
        <v>207</v>
      </c>
      <c r="B74" s="141" t="s">
        <v>176</v>
      </c>
      <c r="C74" s="426" t="s">
        <v>175</v>
      </c>
      <c r="D74" s="426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Z74" s="674">
        <f t="shared" ref="Z74" si="64">ER74*30</f>
        <v>180</v>
      </c>
      <c r="AA74" s="675"/>
      <c r="AB74" s="675"/>
      <c r="AC74" s="676"/>
      <c r="AD74" s="680"/>
      <c r="AE74" s="681"/>
      <c r="AF74" s="681"/>
      <c r="AG74" s="682"/>
      <c r="AH74" s="695">
        <f t="shared" ref="AH74" si="65">SUM(AM74:BF75)</f>
        <v>32</v>
      </c>
      <c r="AI74" s="696"/>
      <c r="AJ74" s="696"/>
      <c r="AK74" s="696"/>
      <c r="AL74" s="697"/>
      <c r="AM74" s="695">
        <v>16</v>
      </c>
      <c r="AN74" s="696"/>
      <c r="AO74" s="696"/>
      <c r="AP74" s="696"/>
      <c r="AQ74" s="697"/>
      <c r="AR74" s="695">
        <v>16</v>
      </c>
      <c r="AS74" s="696"/>
      <c r="AT74" s="696"/>
      <c r="AU74" s="696"/>
      <c r="AV74" s="697"/>
      <c r="AW74" s="695"/>
      <c r="AX74" s="696"/>
      <c r="AY74" s="696"/>
      <c r="AZ74" s="696"/>
      <c r="BA74" s="697"/>
      <c r="BB74" s="695"/>
      <c r="BC74" s="696"/>
      <c r="BD74" s="696"/>
      <c r="BE74" s="696"/>
      <c r="BF74" s="697"/>
      <c r="BG74" s="695"/>
      <c r="BH74" s="696"/>
      <c r="BI74" s="696"/>
      <c r="BJ74" s="696"/>
      <c r="BK74" s="697"/>
      <c r="BL74" s="674">
        <f t="shared" ref="BL74" si="66">Z74-AH74</f>
        <v>148</v>
      </c>
      <c r="BM74" s="675"/>
      <c r="BN74" s="675"/>
      <c r="BO74" s="701"/>
      <c r="BP74" s="693"/>
      <c r="BQ74" s="681"/>
      <c r="BR74" s="681"/>
      <c r="BS74" s="681"/>
      <c r="BT74" s="659"/>
      <c r="BU74" s="659"/>
      <c r="BV74" s="659"/>
      <c r="BW74" s="659"/>
      <c r="BX74" s="659"/>
      <c r="BY74" s="659"/>
      <c r="BZ74" s="659"/>
      <c r="CA74" s="659"/>
      <c r="CB74" s="659"/>
      <c r="CC74" s="659"/>
      <c r="CD74" s="659"/>
      <c r="CE74" s="659"/>
      <c r="CF74" s="659">
        <v>5</v>
      </c>
      <c r="CG74" s="659"/>
      <c r="CH74" s="659"/>
      <c r="CI74" s="659"/>
      <c r="CJ74" s="659">
        <v>5</v>
      </c>
      <c r="CK74" s="659"/>
      <c r="CL74" s="659"/>
      <c r="CM74" s="659"/>
      <c r="CN74" s="659"/>
      <c r="CO74" s="659"/>
      <c r="CP74" s="659"/>
      <c r="CQ74" s="659"/>
      <c r="CR74" s="659"/>
      <c r="CS74" s="659"/>
      <c r="CT74" s="659"/>
      <c r="CU74" s="659"/>
      <c r="CV74" s="659"/>
      <c r="CW74" s="659"/>
      <c r="CX74" s="659"/>
      <c r="CY74" s="659"/>
      <c r="CZ74" s="659"/>
      <c r="DA74" s="659"/>
      <c r="DB74" s="659"/>
      <c r="DC74" s="662"/>
      <c r="DD74" s="663"/>
      <c r="DE74" s="659"/>
      <c r="DF74" s="659"/>
      <c r="DG74" s="659"/>
      <c r="DH74" s="659"/>
      <c r="DI74" s="659"/>
      <c r="DJ74" s="659"/>
      <c r="DK74" s="659"/>
      <c r="DL74" s="659"/>
      <c r="DM74" s="659"/>
      <c r="DN74" s="659"/>
      <c r="DO74" s="659"/>
      <c r="DP74" s="659"/>
      <c r="DQ74" s="659"/>
      <c r="DR74" s="659"/>
      <c r="DS74" s="659"/>
      <c r="DT74" s="659">
        <v>3</v>
      </c>
      <c r="DU74" s="659"/>
      <c r="DV74" s="659"/>
      <c r="DW74" s="659"/>
      <c r="DX74" s="659">
        <v>3</v>
      </c>
      <c r="DY74" s="659"/>
      <c r="DZ74" s="659"/>
      <c r="EA74" s="659"/>
      <c r="EB74" s="659"/>
      <c r="EC74" s="659"/>
      <c r="ED74" s="659"/>
      <c r="EE74" s="659"/>
      <c r="EF74" s="659"/>
      <c r="EG74" s="659"/>
      <c r="EH74" s="659"/>
      <c r="EI74" s="659"/>
      <c r="EJ74" s="659"/>
      <c r="EK74" s="659"/>
      <c r="EL74" s="659"/>
      <c r="EM74" s="659"/>
      <c r="EN74" s="659"/>
      <c r="EO74" s="659"/>
      <c r="EP74" s="659"/>
      <c r="EQ74" s="662"/>
      <c r="ER74" s="671">
        <f t="shared" ref="ER74" si="67">EN74+EJ74+EF74+EB74+DX74+DT74+DP74+DL74+DH74+DD74</f>
        <v>6</v>
      </c>
      <c r="ES74" s="672"/>
      <c r="ET74" s="955"/>
      <c r="EU74" s="673"/>
      <c r="EV74" s="295" t="s">
        <v>308</v>
      </c>
    </row>
    <row r="75" spans="1:152" s="98" customFormat="1" ht="69.95" customHeight="1" x14ac:dyDescent="0.2">
      <c r="A75" s="755"/>
      <c r="B75" s="141" t="s">
        <v>178</v>
      </c>
      <c r="C75" s="426" t="s">
        <v>177</v>
      </c>
      <c r="D75" s="426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  <c r="Z75" s="677"/>
      <c r="AA75" s="678"/>
      <c r="AB75" s="678"/>
      <c r="AC75" s="679"/>
      <c r="AD75" s="683"/>
      <c r="AE75" s="684"/>
      <c r="AF75" s="684"/>
      <c r="AG75" s="685"/>
      <c r="AH75" s="698"/>
      <c r="AI75" s="699"/>
      <c r="AJ75" s="699"/>
      <c r="AK75" s="699"/>
      <c r="AL75" s="700"/>
      <c r="AM75" s="698"/>
      <c r="AN75" s="699"/>
      <c r="AO75" s="699"/>
      <c r="AP75" s="699"/>
      <c r="AQ75" s="700"/>
      <c r="AR75" s="698"/>
      <c r="AS75" s="699"/>
      <c r="AT75" s="699"/>
      <c r="AU75" s="699"/>
      <c r="AV75" s="700"/>
      <c r="AW75" s="698"/>
      <c r="AX75" s="699"/>
      <c r="AY75" s="699"/>
      <c r="AZ75" s="699"/>
      <c r="BA75" s="700"/>
      <c r="BB75" s="698"/>
      <c r="BC75" s="699"/>
      <c r="BD75" s="699"/>
      <c r="BE75" s="699"/>
      <c r="BF75" s="700"/>
      <c r="BG75" s="698"/>
      <c r="BH75" s="699"/>
      <c r="BI75" s="699"/>
      <c r="BJ75" s="699"/>
      <c r="BK75" s="700"/>
      <c r="BL75" s="677"/>
      <c r="BM75" s="678"/>
      <c r="BN75" s="678"/>
      <c r="BO75" s="702"/>
      <c r="BP75" s="694"/>
      <c r="BQ75" s="684"/>
      <c r="BR75" s="684"/>
      <c r="BS75" s="684"/>
      <c r="BT75" s="659"/>
      <c r="BU75" s="659"/>
      <c r="BV75" s="659"/>
      <c r="BW75" s="659"/>
      <c r="BX75" s="659"/>
      <c r="BY75" s="659"/>
      <c r="BZ75" s="659"/>
      <c r="CA75" s="659"/>
      <c r="CB75" s="659"/>
      <c r="CC75" s="659"/>
      <c r="CD75" s="659"/>
      <c r="CE75" s="659"/>
      <c r="CF75" s="659"/>
      <c r="CG75" s="659"/>
      <c r="CH75" s="659"/>
      <c r="CI75" s="659"/>
      <c r="CJ75" s="659"/>
      <c r="CK75" s="659"/>
      <c r="CL75" s="659"/>
      <c r="CM75" s="659"/>
      <c r="CN75" s="659"/>
      <c r="CO75" s="659"/>
      <c r="CP75" s="659"/>
      <c r="CQ75" s="659"/>
      <c r="CR75" s="659"/>
      <c r="CS75" s="659"/>
      <c r="CT75" s="659"/>
      <c r="CU75" s="659"/>
      <c r="CV75" s="659"/>
      <c r="CW75" s="659"/>
      <c r="CX75" s="659"/>
      <c r="CY75" s="659"/>
      <c r="CZ75" s="659"/>
      <c r="DA75" s="659"/>
      <c r="DB75" s="659"/>
      <c r="DC75" s="662"/>
      <c r="DD75" s="663"/>
      <c r="DE75" s="659"/>
      <c r="DF75" s="659"/>
      <c r="DG75" s="659"/>
      <c r="DH75" s="659"/>
      <c r="DI75" s="659"/>
      <c r="DJ75" s="659"/>
      <c r="DK75" s="659"/>
      <c r="DL75" s="659"/>
      <c r="DM75" s="659"/>
      <c r="DN75" s="659"/>
      <c r="DO75" s="659"/>
      <c r="DP75" s="659"/>
      <c r="DQ75" s="659"/>
      <c r="DR75" s="659"/>
      <c r="DS75" s="659"/>
      <c r="DT75" s="659"/>
      <c r="DU75" s="659"/>
      <c r="DV75" s="659"/>
      <c r="DW75" s="659"/>
      <c r="DX75" s="659"/>
      <c r="DY75" s="659"/>
      <c r="DZ75" s="659"/>
      <c r="EA75" s="659"/>
      <c r="EB75" s="659"/>
      <c r="EC75" s="659"/>
      <c r="ED75" s="659"/>
      <c r="EE75" s="659"/>
      <c r="EF75" s="659"/>
      <c r="EG75" s="659"/>
      <c r="EH75" s="659"/>
      <c r="EI75" s="659"/>
      <c r="EJ75" s="659"/>
      <c r="EK75" s="659"/>
      <c r="EL75" s="659"/>
      <c r="EM75" s="659"/>
      <c r="EN75" s="659"/>
      <c r="EO75" s="659"/>
      <c r="EP75" s="659"/>
      <c r="EQ75" s="662"/>
      <c r="ER75" s="671">
        <f t="shared" ref="ER75" si="68">DD75+DH75+DL75+DP75+DT75+DX75+EB75+EF75+EJ75+EN75</f>
        <v>0</v>
      </c>
      <c r="ES75" s="672"/>
      <c r="ET75" s="955"/>
      <c r="EU75" s="673"/>
    </row>
    <row r="76" spans="1:152" s="98" customFormat="1" ht="69.95" customHeight="1" x14ac:dyDescent="0.65">
      <c r="A76" s="754" t="s">
        <v>208</v>
      </c>
      <c r="B76" s="141" t="s">
        <v>180</v>
      </c>
      <c r="C76" s="426" t="s">
        <v>179</v>
      </c>
      <c r="D76" s="426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Z76" s="674">
        <f t="shared" ref="Z76" si="69">ER76*30</f>
        <v>180</v>
      </c>
      <c r="AA76" s="675"/>
      <c r="AB76" s="675"/>
      <c r="AC76" s="676"/>
      <c r="AD76" s="680"/>
      <c r="AE76" s="681"/>
      <c r="AF76" s="681"/>
      <c r="AG76" s="682"/>
      <c r="AH76" s="695">
        <f t="shared" ref="AH76" si="70">SUM(AM76:BF77)</f>
        <v>32</v>
      </c>
      <c r="AI76" s="696"/>
      <c r="AJ76" s="696"/>
      <c r="AK76" s="696"/>
      <c r="AL76" s="697"/>
      <c r="AM76" s="695">
        <v>16</v>
      </c>
      <c r="AN76" s="696"/>
      <c r="AO76" s="696"/>
      <c r="AP76" s="696"/>
      <c r="AQ76" s="697"/>
      <c r="AR76" s="695">
        <v>16</v>
      </c>
      <c r="AS76" s="696"/>
      <c r="AT76" s="696"/>
      <c r="AU76" s="696"/>
      <c r="AV76" s="697"/>
      <c r="AW76" s="695"/>
      <c r="AX76" s="696"/>
      <c r="AY76" s="696"/>
      <c r="AZ76" s="696"/>
      <c r="BA76" s="697"/>
      <c r="BB76" s="695"/>
      <c r="BC76" s="696"/>
      <c r="BD76" s="696"/>
      <c r="BE76" s="696"/>
      <c r="BF76" s="697"/>
      <c r="BG76" s="695"/>
      <c r="BH76" s="696"/>
      <c r="BI76" s="696"/>
      <c r="BJ76" s="696"/>
      <c r="BK76" s="697"/>
      <c r="BL76" s="674">
        <f t="shared" ref="BL76" si="71">Z76-AH76</f>
        <v>148</v>
      </c>
      <c r="BM76" s="675"/>
      <c r="BN76" s="675"/>
      <c r="BO76" s="701"/>
      <c r="BP76" s="693"/>
      <c r="BQ76" s="681"/>
      <c r="BR76" s="681"/>
      <c r="BS76" s="681"/>
      <c r="BT76" s="659"/>
      <c r="BU76" s="659"/>
      <c r="BV76" s="659"/>
      <c r="BW76" s="659"/>
      <c r="BX76" s="659"/>
      <c r="BY76" s="659"/>
      <c r="BZ76" s="659"/>
      <c r="CA76" s="659"/>
      <c r="CB76" s="659"/>
      <c r="CC76" s="659"/>
      <c r="CD76" s="659"/>
      <c r="CE76" s="659"/>
      <c r="CF76" s="659">
        <v>5</v>
      </c>
      <c r="CG76" s="659"/>
      <c r="CH76" s="659"/>
      <c r="CI76" s="659"/>
      <c r="CJ76" s="659">
        <v>5</v>
      </c>
      <c r="CK76" s="659"/>
      <c r="CL76" s="659"/>
      <c r="CM76" s="659"/>
      <c r="CN76" s="659"/>
      <c r="CO76" s="659"/>
      <c r="CP76" s="659"/>
      <c r="CQ76" s="659"/>
      <c r="CR76" s="659"/>
      <c r="CS76" s="659"/>
      <c r="CT76" s="659"/>
      <c r="CU76" s="659"/>
      <c r="CV76" s="659"/>
      <c r="CW76" s="659"/>
      <c r="CX76" s="659"/>
      <c r="CY76" s="659"/>
      <c r="CZ76" s="659"/>
      <c r="DA76" s="659"/>
      <c r="DB76" s="659"/>
      <c r="DC76" s="662"/>
      <c r="DD76" s="663"/>
      <c r="DE76" s="659"/>
      <c r="DF76" s="659"/>
      <c r="DG76" s="659"/>
      <c r="DH76" s="659"/>
      <c r="DI76" s="659"/>
      <c r="DJ76" s="659"/>
      <c r="DK76" s="659"/>
      <c r="DL76" s="659"/>
      <c r="DM76" s="659"/>
      <c r="DN76" s="659"/>
      <c r="DO76" s="659"/>
      <c r="DP76" s="659"/>
      <c r="DQ76" s="659"/>
      <c r="DR76" s="659"/>
      <c r="DS76" s="659"/>
      <c r="DT76" s="659">
        <v>3</v>
      </c>
      <c r="DU76" s="659"/>
      <c r="DV76" s="659"/>
      <c r="DW76" s="659"/>
      <c r="DX76" s="659">
        <v>3</v>
      </c>
      <c r="DY76" s="659"/>
      <c r="DZ76" s="659"/>
      <c r="EA76" s="659"/>
      <c r="EB76" s="659"/>
      <c r="EC76" s="659"/>
      <c r="ED76" s="659"/>
      <c r="EE76" s="659"/>
      <c r="EF76" s="659"/>
      <c r="EG76" s="659"/>
      <c r="EH76" s="659"/>
      <c r="EI76" s="659"/>
      <c r="EJ76" s="659"/>
      <c r="EK76" s="659"/>
      <c r="EL76" s="659"/>
      <c r="EM76" s="659"/>
      <c r="EN76" s="659"/>
      <c r="EO76" s="659"/>
      <c r="EP76" s="659"/>
      <c r="EQ76" s="662"/>
      <c r="ER76" s="671">
        <f t="shared" ref="ER76" si="72">EN76+EJ76+EF76+EB76+DX76+DT76+DP76+DL76+DH76+DD76</f>
        <v>6</v>
      </c>
      <c r="ES76" s="672"/>
      <c r="ET76" s="955"/>
      <c r="EU76" s="673"/>
      <c r="EV76" s="295" t="s">
        <v>308</v>
      </c>
    </row>
    <row r="77" spans="1:152" s="98" customFormat="1" ht="69.95" customHeight="1" x14ac:dyDescent="0.2">
      <c r="A77" s="755"/>
      <c r="B77" s="141" t="s">
        <v>182</v>
      </c>
      <c r="C77" s="426" t="s">
        <v>181</v>
      </c>
      <c r="D77" s="426"/>
      <c r="E77" s="426"/>
      <c r="F77" s="426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  <c r="Z77" s="677"/>
      <c r="AA77" s="678"/>
      <c r="AB77" s="678"/>
      <c r="AC77" s="679"/>
      <c r="AD77" s="683"/>
      <c r="AE77" s="684"/>
      <c r="AF77" s="684"/>
      <c r="AG77" s="685"/>
      <c r="AH77" s="698"/>
      <c r="AI77" s="699"/>
      <c r="AJ77" s="699"/>
      <c r="AK77" s="699"/>
      <c r="AL77" s="700"/>
      <c r="AM77" s="698"/>
      <c r="AN77" s="699"/>
      <c r="AO77" s="699"/>
      <c r="AP77" s="699"/>
      <c r="AQ77" s="700"/>
      <c r="AR77" s="698"/>
      <c r="AS77" s="699"/>
      <c r="AT77" s="699"/>
      <c r="AU77" s="699"/>
      <c r="AV77" s="700"/>
      <c r="AW77" s="698"/>
      <c r="AX77" s="699"/>
      <c r="AY77" s="699"/>
      <c r="AZ77" s="699"/>
      <c r="BA77" s="700"/>
      <c r="BB77" s="698"/>
      <c r="BC77" s="699"/>
      <c r="BD77" s="699"/>
      <c r="BE77" s="699"/>
      <c r="BF77" s="700"/>
      <c r="BG77" s="698"/>
      <c r="BH77" s="699"/>
      <c r="BI77" s="699"/>
      <c r="BJ77" s="699"/>
      <c r="BK77" s="700"/>
      <c r="BL77" s="677"/>
      <c r="BM77" s="678"/>
      <c r="BN77" s="678"/>
      <c r="BO77" s="702"/>
      <c r="BP77" s="694"/>
      <c r="BQ77" s="684"/>
      <c r="BR77" s="684"/>
      <c r="BS77" s="684"/>
      <c r="BT77" s="659"/>
      <c r="BU77" s="659"/>
      <c r="BV77" s="659"/>
      <c r="BW77" s="659"/>
      <c r="BX77" s="659"/>
      <c r="BY77" s="659"/>
      <c r="BZ77" s="659"/>
      <c r="CA77" s="659"/>
      <c r="CB77" s="659"/>
      <c r="CC77" s="659"/>
      <c r="CD77" s="659"/>
      <c r="CE77" s="659"/>
      <c r="CF77" s="659"/>
      <c r="CG77" s="659"/>
      <c r="CH77" s="659"/>
      <c r="CI77" s="659"/>
      <c r="CJ77" s="659"/>
      <c r="CK77" s="659"/>
      <c r="CL77" s="659"/>
      <c r="CM77" s="659"/>
      <c r="CN77" s="659"/>
      <c r="CO77" s="659"/>
      <c r="CP77" s="659"/>
      <c r="CQ77" s="659"/>
      <c r="CR77" s="659"/>
      <c r="CS77" s="659"/>
      <c r="CT77" s="659"/>
      <c r="CU77" s="659"/>
      <c r="CV77" s="659"/>
      <c r="CW77" s="659"/>
      <c r="CX77" s="659"/>
      <c r="CY77" s="659"/>
      <c r="CZ77" s="659"/>
      <c r="DA77" s="659"/>
      <c r="DB77" s="659"/>
      <c r="DC77" s="662"/>
      <c r="DD77" s="663"/>
      <c r="DE77" s="659"/>
      <c r="DF77" s="659"/>
      <c r="DG77" s="659"/>
      <c r="DH77" s="659"/>
      <c r="DI77" s="659"/>
      <c r="DJ77" s="659"/>
      <c r="DK77" s="659"/>
      <c r="DL77" s="659"/>
      <c r="DM77" s="659"/>
      <c r="DN77" s="659"/>
      <c r="DO77" s="659"/>
      <c r="DP77" s="659"/>
      <c r="DQ77" s="659"/>
      <c r="DR77" s="659"/>
      <c r="DS77" s="659"/>
      <c r="DT77" s="659"/>
      <c r="DU77" s="659"/>
      <c r="DV77" s="659"/>
      <c r="DW77" s="659"/>
      <c r="DX77" s="659"/>
      <c r="DY77" s="659"/>
      <c r="DZ77" s="659"/>
      <c r="EA77" s="659"/>
      <c r="EB77" s="659"/>
      <c r="EC77" s="659"/>
      <c r="ED77" s="659"/>
      <c r="EE77" s="659"/>
      <c r="EF77" s="659"/>
      <c r="EG77" s="659"/>
      <c r="EH77" s="659"/>
      <c r="EI77" s="659"/>
      <c r="EJ77" s="659"/>
      <c r="EK77" s="659"/>
      <c r="EL77" s="659"/>
      <c r="EM77" s="659"/>
      <c r="EN77" s="659"/>
      <c r="EO77" s="659"/>
      <c r="EP77" s="659"/>
      <c r="EQ77" s="662"/>
      <c r="ER77" s="671">
        <f t="shared" ref="ER77" si="73">DD77+DH77+DL77+DP77+DT77+DX77+EB77+EF77+EJ77+EN77</f>
        <v>0</v>
      </c>
      <c r="ES77" s="672"/>
      <c r="ET77" s="955"/>
      <c r="EU77" s="673"/>
    </row>
    <row r="78" spans="1:152" s="98" customFormat="1" ht="69.95" customHeight="1" x14ac:dyDescent="0.65">
      <c r="A78" s="754" t="s">
        <v>311</v>
      </c>
      <c r="B78" s="141" t="s">
        <v>183</v>
      </c>
      <c r="C78" s="426" t="s">
        <v>346</v>
      </c>
      <c r="D78" s="426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  <c r="Z78" s="674">
        <f t="shared" ref="Z78" si="74">ER78*30</f>
        <v>60</v>
      </c>
      <c r="AA78" s="675"/>
      <c r="AB78" s="675"/>
      <c r="AC78" s="676"/>
      <c r="AD78" s="680"/>
      <c r="AE78" s="681"/>
      <c r="AF78" s="681"/>
      <c r="AG78" s="682"/>
      <c r="AH78" s="695">
        <f t="shared" ref="AH78" si="75">SUM(AM78:BF79)</f>
        <v>16</v>
      </c>
      <c r="AI78" s="696"/>
      <c r="AJ78" s="696"/>
      <c r="AK78" s="696"/>
      <c r="AL78" s="697"/>
      <c r="AM78" s="695">
        <v>8</v>
      </c>
      <c r="AN78" s="696"/>
      <c r="AO78" s="696"/>
      <c r="AP78" s="696"/>
      <c r="AQ78" s="697"/>
      <c r="AR78" s="695">
        <v>8</v>
      </c>
      <c r="AS78" s="696"/>
      <c r="AT78" s="696"/>
      <c r="AU78" s="696"/>
      <c r="AV78" s="697"/>
      <c r="AW78" s="695"/>
      <c r="AX78" s="696"/>
      <c r="AY78" s="696"/>
      <c r="AZ78" s="696"/>
      <c r="BA78" s="697"/>
      <c r="BB78" s="695"/>
      <c r="BC78" s="696"/>
      <c r="BD78" s="696"/>
      <c r="BE78" s="696"/>
      <c r="BF78" s="697"/>
      <c r="BG78" s="695"/>
      <c r="BH78" s="696"/>
      <c r="BI78" s="696"/>
      <c r="BJ78" s="696"/>
      <c r="BK78" s="697"/>
      <c r="BL78" s="674">
        <f t="shared" ref="BL78" si="76">Z78-AH78</f>
        <v>44</v>
      </c>
      <c r="BM78" s="675"/>
      <c r="BN78" s="675"/>
      <c r="BO78" s="701"/>
      <c r="BP78" s="693"/>
      <c r="BQ78" s="681"/>
      <c r="BR78" s="681"/>
      <c r="BS78" s="681"/>
      <c r="BT78" s="659"/>
      <c r="BU78" s="659"/>
      <c r="BV78" s="659"/>
      <c r="BW78" s="659"/>
      <c r="BX78" s="659"/>
      <c r="BY78" s="659"/>
      <c r="BZ78" s="659"/>
      <c r="CA78" s="659"/>
      <c r="CB78" s="659"/>
      <c r="CC78" s="659"/>
      <c r="CD78" s="659"/>
      <c r="CE78" s="659"/>
      <c r="CF78" s="659"/>
      <c r="CG78" s="659"/>
      <c r="CH78" s="659"/>
      <c r="CI78" s="659"/>
      <c r="CJ78" s="659">
        <v>5</v>
      </c>
      <c r="CK78" s="659"/>
      <c r="CL78" s="659"/>
      <c r="CM78" s="659"/>
      <c r="CN78" s="659"/>
      <c r="CO78" s="659"/>
      <c r="CP78" s="659"/>
      <c r="CQ78" s="659"/>
      <c r="CR78" s="659"/>
      <c r="CS78" s="659"/>
      <c r="CT78" s="659"/>
      <c r="CU78" s="659"/>
      <c r="CV78" s="659"/>
      <c r="CW78" s="659"/>
      <c r="CX78" s="659"/>
      <c r="CY78" s="659"/>
      <c r="CZ78" s="659"/>
      <c r="DA78" s="659"/>
      <c r="DB78" s="659"/>
      <c r="DC78" s="662"/>
      <c r="DD78" s="663"/>
      <c r="DE78" s="659"/>
      <c r="DF78" s="659"/>
      <c r="DG78" s="659"/>
      <c r="DH78" s="659"/>
      <c r="DI78" s="659"/>
      <c r="DJ78" s="659"/>
      <c r="DK78" s="659"/>
      <c r="DL78" s="659"/>
      <c r="DM78" s="659"/>
      <c r="DN78" s="659"/>
      <c r="DO78" s="659"/>
      <c r="DP78" s="659"/>
      <c r="DQ78" s="659"/>
      <c r="DR78" s="659"/>
      <c r="DS78" s="659"/>
      <c r="DT78" s="659"/>
      <c r="DU78" s="659"/>
      <c r="DV78" s="659"/>
      <c r="DW78" s="659"/>
      <c r="DX78" s="659">
        <v>2</v>
      </c>
      <c r="DY78" s="659"/>
      <c r="DZ78" s="659"/>
      <c r="EA78" s="659"/>
      <c r="EB78" s="659"/>
      <c r="EC78" s="659"/>
      <c r="ED78" s="659"/>
      <c r="EE78" s="659"/>
      <c r="EF78" s="659"/>
      <c r="EG78" s="659"/>
      <c r="EH78" s="659"/>
      <c r="EI78" s="659"/>
      <c r="EJ78" s="659"/>
      <c r="EK78" s="659"/>
      <c r="EL78" s="659"/>
      <c r="EM78" s="659"/>
      <c r="EN78" s="659"/>
      <c r="EO78" s="659"/>
      <c r="EP78" s="659"/>
      <c r="EQ78" s="662"/>
      <c r="ER78" s="671">
        <f t="shared" ref="ER78" si="77">EN78+EJ78+EF78+EB78+DX78+DT78+DP78+DL78+DH78+DD78</f>
        <v>2</v>
      </c>
      <c r="ES78" s="672"/>
      <c r="ET78" s="955"/>
      <c r="EU78" s="673"/>
      <c r="EV78" s="295" t="s">
        <v>308</v>
      </c>
    </row>
    <row r="79" spans="1:152" s="98" customFormat="1" ht="99.95" customHeight="1" x14ac:dyDescent="0.2">
      <c r="A79" s="755"/>
      <c r="B79" s="141" t="s">
        <v>185</v>
      </c>
      <c r="C79" s="426" t="s">
        <v>163</v>
      </c>
      <c r="D79" s="426"/>
      <c r="E79" s="426"/>
      <c r="F79" s="426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  <c r="Z79" s="677"/>
      <c r="AA79" s="678"/>
      <c r="AB79" s="678"/>
      <c r="AC79" s="679"/>
      <c r="AD79" s="683"/>
      <c r="AE79" s="684"/>
      <c r="AF79" s="684"/>
      <c r="AG79" s="685"/>
      <c r="AH79" s="698"/>
      <c r="AI79" s="699"/>
      <c r="AJ79" s="699"/>
      <c r="AK79" s="699"/>
      <c r="AL79" s="700"/>
      <c r="AM79" s="698"/>
      <c r="AN79" s="699"/>
      <c r="AO79" s="699"/>
      <c r="AP79" s="699"/>
      <c r="AQ79" s="700"/>
      <c r="AR79" s="698"/>
      <c r="AS79" s="699"/>
      <c r="AT79" s="699"/>
      <c r="AU79" s="699"/>
      <c r="AV79" s="700"/>
      <c r="AW79" s="698"/>
      <c r="AX79" s="699"/>
      <c r="AY79" s="699"/>
      <c r="AZ79" s="699"/>
      <c r="BA79" s="700"/>
      <c r="BB79" s="698"/>
      <c r="BC79" s="699"/>
      <c r="BD79" s="699"/>
      <c r="BE79" s="699"/>
      <c r="BF79" s="700"/>
      <c r="BG79" s="698"/>
      <c r="BH79" s="699"/>
      <c r="BI79" s="699"/>
      <c r="BJ79" s="699"/>
      <c r="BK79" s="700"/>
      <c r="BL79" s="677"/>
      <c r="BM79" s="678"/>
      <c r="BN79" s="678"/>
      <c r="BO79" s="702"/>
      <c r="BP79" s="694"/>
      <c r="BQ79" s="684"/>
      <c r="BR79" s="684"/>
      <c r="BS79" s="684"/>
      <c r="BT79" s="659"/>
      <c r="BU79" s="659"/>
      <c r="BV79" s="659"/>
      <c r="BW79" s="659"/>
      <c r="BX79" s="659"/>
      <c r="BY79" s="659"/>
      <c r="BZ79" s="659"/>
      <c r="CA79" s="659"/>
      <c r="CB79" s="659"/>
      <c r="CC79" s="659"/>
      <c r="CD79" s="659"/>
      <c r="CE79" s="659"/>
      <c r="CF79" s="659"/>
      <c r="CG79" s="659"/>
      <c r="CH79" s="659"/>
      <c r="CI79" s="659"/>
      <c r="CJ79" s="659"/>
      <c r="CK79" s="659"/>
      <c r="CL79" s="659"/>
      <c r="CM79" s="659"/>
      <c r="CN79" s="659"/>
      <c r="CO79" s="659"/>
      <c r="CP79" s="659"/>
      <c r="CQ79" s="659"/>
      <c r="CR79" s="659"/>
      <c r="CS79" s="659"/>
      <c r="CT79" s="659"/>
      <c r="CU79" s="659"/>
      <c r="CV79" s="659"/>
      <c r="CW79" s="659"/>
      <c r="CX79" s="659"/>
      <c r="CY79" s="659"/>
      <c r="CZ79" s="659"/>
      <c r="DA79" s="659"/>
      <c r="DB79" s="659"/>
      <c r="DC79" s="662"/>
      <c r="DD79" s="663"/>
      <c r="DE79" s="659"/>
      <c r="DF79" s="659"/>
      <c r="DG79" s="659"/>
      <c r="DH79" s="659"/>
      <c r="DI79" s="659"/>
      <c r="DJ79" s="659"/>
      <c r="DK79" s="659"/>
      <c r="DL79" s="659"/>
      <c r="DM79" s="659"/>
      <c r="DN79" s="659"/>
      <c r="DO79" s="659"/>
      <c r="DP79" s="659"/>
      <c r="DQ79" s="659"/>
      <c r="DR79" s="659"/>
      <c r="DS79" s="659"/>
      <c r="DT79" s="659"/>
      <c r="DU79" s="659"/>
      <c r="DV79" s="659"/>
      <c r="DW79" s="659"/>
      <c r="DX79" s="659"/>
      <c r="DY79" s="659"/>
      <c r="DZ79" s="659"/>
      <c r="EA79" s="659"/>
      <c r="EB79" s="659"/>
      <c r="EC79" s="659"/>
      <c r="ED79" s="659"/>
      <c r="EE79" s="659"/>
      <c r="EF79" s="659"/>
      <c r="EG79" s="659"/>
      <c r="EH79" s="659"/>
      <c r="EI79" s="659"/>
      <c r="EJ79" s="659"/>
      <c r="EK79" s="659"/>
      <c r="EL79" s="659"/>
      <c r="EM79" s="659"/>
      <c r="EN79" s="659"/>
      <c r="EO79" s="659"/>
      <c r="EP79" s="659"/>
      <c r="EQ79" s="662"/>
      <c r="ER79" s="671">
        <f t="shared" ref="ER79" si="78">DD79+DH79+DL79+DP79+DT79+DX79+EB79+EF79+EJ79+EN79</f>
        <v>0</v>
      </c>
      <c r="ES79" s="672"/>
      <c r="ET79" s="955"/>
      <c r="EU79" s="673"/>
    </row>
    <row r="80" spans="1:152" s="98" customFormat="1" ht="69.95" customHeight="1" x14ac:dyDescent="0.2">
      <c r="A80" s="754" t="s">
        <v>312</v>
      </c>
      <c r="B80" s="141" t="s">
        <v>342</v>
      </c>
      <c r="C80" s="426" t="s">
        <v>186</v>
      </c>
      <c r="D80" s="426"/>
      <c r="E80" s="426"/>
      <c r="F80" s="426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26"/>
      <c r="T80" s="426"/>
      <c r="U80" s="426"/>
      <c r="V80" s="426"/>
      <c r="W80" s="426"/>
      <c r="X80" s="426"/>
      <c r="Y80" s="426"/>
      <c r="Z80" s="674">
        <f t="shared" ref="Z80" si="79">ER80*30</f>
        <v>120</v>
      </c>
      <c r="AA80" s="675"/>
      <c r="AB80" s="675"/>
      <c r="AC80" s="676"/>
      <c r="AD80" s="680"/>
      <c r="AE80" s="681"/>
      <c r="AF80" s="681"/>
      <c r="AG80" s="682"/>
      <c r="AH80" s="695">
        <f t="shared" ref="AH80" si="80">SUM(AM80:BF81)</f>
        <v>16</v>
      </c>
      <c r="AI80" s="696"/>
      <c r="AJ80" s="696"/>
      <c r="AK80" s="696"/>
      <c r="AL80" s="697"/>
      <c r="AM80" s="695">
        <v>8</v>
      </c>
      <c r="AN80" s="696"/>
      <c r="AO80" s="696"/>
      <c r="AP80" s="696"/>
      <c r="AQ80" s="697"/>
      <c r="AR80" s="695">
        <v>8</v>
      </c>
      <c r="AS80" s="696"/>
      <c r="AT80" s="696"/>
      <c r="AU80" s="696"/>
      <c r="AV80" s="697"/>
      <c r="AW80" s="695"/>
      <c r="AX80" s="696"/>
      <c r="AY80" s="696"/>
      <c r="AZ80" s="696"/>
      <c r="BA80" s="697"/>
      <c r="BB80" s="695"/>
      <c r="BC80" s="696"/>
      <c r="BD80" s="696"/>
      <c r="BE80" s="696"/>
      <c r="BF80" s="697"/>
      <c r="BG80" s="695"/>
      <c r="BH80" s="696"/>
      <c r="BI80" s="696"/>
      <c r="BJ80" s="696"/>
      <c r="BK80" s="697"/>
      <c r="BL80" s="674">
        <f t="shared" ref="BL80" si="81">Z80-AH80</f>
        <v>104</v>
      </c>
      <c r="BM80" s="675"/>
      <c r="BN80" s="675"/>
      <c r="BO80" s="701"/>
      <c r="BP80" s="693"/>
      <c r="BQ80" s="681"/>
      <c r="BR80" s="681"/>
      <c r="BS80" s="681"/>
      <c r="BT80" s="659"/>
      <c r="BU80" s="659"/>
      <c r="BV80" s="659"/>
      <c r="BW80" s="659"/>
      <c r="BX80" s="659"/>
      <c r="BY80" s="659"/>
      <c r="BZ80" s="659"/>
      <c r="CA80" s="659"/>
      <c r="CB80" s="659"/>
      <c r="CC80" s="659"/>
      <c r="CD80" s="659"/>
      <c r="CE80" s="659"/>
      <c r="CF80" s="659"/>
      <c r="CG80" s="659"/>
      <c r="CH80" s="659"/>
      <c r="CI80" s="659"/>
      <c r="CJ80" s="659"/>
      <c r="CK80" s="659"/>
      <c r="CL80" s="659"/>
      <c r="CM80" s="659"/>
      <c r="CN80" s="659"/>
      <c r="CO80" s="659"/>
      <c r="CP80" s="659"/>
      <c r="CQ80" s="659"/>
      <c r="CR80" s="659">
        <v>5</v>
      </c>
      <c r="CS80" s="659"/>
      <c r="CT80" s="659"/>
      <c r="CU80" s="659"/>
      <c r="CV80" s="659"/>
      <c r="CW80" s="659"/>
      <c r="CX80" s="659"/>
      <c r="CY80" s="659"/>
      <c r="CZ80" s="659"/>
      <c r="DA80" s="659"/>
      <c r="DB80" s="659"/>
      <c r="DC80" s="662"/>
      <c r="DD80" s="663"/>
      <c r="DE80" s="659"/>
      <c r="DF80" s="659"/>
      <c r="DG80" s="659"/>
      <c r="DH80" s="659"/>
      <c r="DI80" s="659"/>
      <c r="DJ80" s="659"/>
      <c r="DK80" s="659"/>
      <c r="DL80" s="659"/>
      <c r="DM80" s="659"/>
      <c r="DN80" s="659"/>
      <c r="DO80" s="659"/>
      <c r="DP80" s="659"/>
      <c r="DQ80" s="659"/>
      <c r="DR80" s="659"/>
      <c r="DS80" s="659"/>
      <c r="DT80" s="659"/>
      <c r="DU80" s="659"/>
      <c r="DV80" s="659"/>
      <c r="DW80" s="659"/>
      <c r="DX80" s="659"/>
      <c r="DY80" s="659"/>
      <c r="DZ80" s="659"/>
      <c r="EA80" s="659"/>
      <c r="EB80" s="659"/>
      <c r="EC80" s="659"/>
      <c r="ED80" s="659"/>
      <c r="EE80" s="659"/>
      <c r="EF80" s="659">
        <v>4</v>
      </c>
      <c r="EG80" s="659"/>
      <c r="EH80" s="659"/>
      <c r="EI80" s="659"/>
      <c r="EJ80" s="659"/>
      <c r="EK80" s="659"/>
      <c r="EL80" s="659"/>
      <c r="EM80" s="659"/>
      <c r="EN80" s="659"/>
      <c r="EO80" s="659"/>
      <c r="EP80" s="659"/>
      <c r="EQ80" s="662"/>
      <c r="ER80" s="671">
        <f t="shared" ref="ER80" si="82">EN80+EJ80+EF80+EB80+DX80+DT80+DP80+DL80+DH80+DD80</f>
        <v>4</v>
      </c>
      <c r="ES80" s="672"/>
      <c r="ET80" s="955"/>
      <c r="EU80" s="673"/>
    </row>
    <row r="81" spans="1:164" s="98" customFormat="1" ht="69.95" customHeight="1" x14ac:dyDescent="0.2">
      <c r="A81" s="755"/>
      <c r="B81" s="141" t="s">
        <v>343</v>
      </c>
      <c r="C81" s="426" t="s">
        <v>188</v>
      </c>
      <c r="D81" s="426"/>
      <c r="E81" s="426"/>
      <c r="F81" s="426"/>
      <c r="G81" s="426"/>
      <c r="H81" s="426"/>
      <c r="I81" s="426"/>
      <c r="J81" s="426"/>
      <c r="K81" s="426"/>
      <c r="L81" s="426"/>
      <c r="M81" s="426"/>
      <c r="N81" s="426"/>
      <c r="O81" s="426"/>
      <c r="P81" s="426"/>
      <c r="Q81" s="426"/>
      <c r="R81" s="426"/>
      <c r="S81" s="426"/>
      <c r="T81" s="426"/>
      <c r="U81" s="426"/>
      <c r="V81" s="426"/>
      <c r="W81" s="426"/>
      <c r="X81" s="426"/>
      <c r="Y81" s="426"/>
      <c r="Z81" s="677"/>
      <c r="AA81" s="678"/>
      <c r="AB81" s="678"/>
      <c r="AC81" s="679"/>
      <c r="AD81" s="683"/>
      <c r="AE81" s="684"/>
      <c r="AF81" s="684"/>
      <c r="AG81" s="685"/>
      <c r="AH81" s="698"/>
      <c r="AI81" s="699"/>
      <c r="AJ81" s="699"/>
      <c r="AK81" s="699"/>
      <c r="AL81" s="700"/>
      <c r="AM81" s="698"/>
      <c r="AN81" s="699"/>
      <c r="AO81" s="699"/>
      <c r="AP81" s="699"/>
      <c r="AQ81" s="700"/>
      <c r="AR81" s="698"/>
      <c r="AS81" s="699"/>
      <c r="AT81" s="699"/>
      <c r="AU81" s="699"/>
      <c r="AV81" s="700"/>
      <c r="AW81" s="698"/>
      <c r="AX81" s="699"/>
      <c r="AY81" s="699"/>
      <c r="AZ81" s="699"/>
      <c r="BA81" s="700"/>
      <c r="BB81" s="698"/>
      <c r="BC81" s="699"/>
      <c r="BD81" s="699"/>
      <c r="BE81" s="699"/>
      <c r="BF81" s="700"/>
      <c r="BG81" s="698"/>
      <c r="BH81" s="699"/>
      <c r="BI81" s="699"/>
      <c r="BJ81" s="699"/>
      <c r="BK81" s="700"/>
      <c r="BL81" s="677"/>
      <c r="BM81" s="678"/>
      <c r="BN81" s="678"/>
      <c r="BO81" s="702"/>
      <c r="BP81" s="694"/>
      <c r="BQ81" s="684"/>
      <c r="BR81" s="684"/>
      <c r="BS81" s="684"/>
      <c r="BT81" s="659"/>
      <c r="BU81" s="659"/>
      <c r="BV81" s="659"/>
      <c r="BW81" s="659"/>
      <c r="BX81" s="659"/>
      <c r="BY81" s="659"/>
      <c r="BZ81" s="659"/>
      <c r="CA81" s="659"/>
      <c r="CB81" s="659"/>
      <c r="CC81" s="659"/>
      <c r="CD81" s="659"/>
      <c r="CE81" s="659"/>
      <c r="CF81" s="659"/>
      <c r="CG81" s="659"/>
      <c r="CH81" s="659"/>
      <c r="CI81" s="659"/>
      <c r="CJ81" s="659"/>
      <c r="CK81" s="659"/>
      <c r="CL81" s="659"/>
      <c r="CM81" s="659"/>
      <c r="CN81" s="659"/>
      <c r="CO81" s="659"/>
      <c r="CP81" s="659"/>
      <c r="CQ81" s="659"/>
      <c r="CR81" s="659"/>
      <c r="CS81" s="659"/>
      <c r="CT81" s="659"/>
      <c r="CU81" s="659"/>
      <c r="CV81" s="659"/>
      <c r="CW81" s="659"/>
      <c r="CX81" s="659"/>
      <c r="CY81" s="659"/>
      <c r="CZ81" s="659"/>
      <c r="DA81" s="659"/>
      <c r="DB81" s="659"/>
      <c r="DC81" s="662"/>
      <c r="DD81" s="663"/>
      <c r="DE81" s="659"/>
      <c r="DF81" s="659"/>
      <c r="DG81" s="659"/>
      <c r="DH81" s="659"/>
      <c r="DI81" s="659"/>
      <c r="DJ81" s="659"/>
      <c r="DK81" s="659"/>
      <c r="DL81" s="659"/>
      <c r="DM81" s="659"/>
      <c r="DN81" s="659"/>
      <c r="DO81" s="659"/>
      <c r="DP81" s="659"/>
      <c r="DQ81" s="659"/>
      <c r="DR81" s="659"/>
      <c r="DS81" s="659"/>
      <c r="DT81" s="659"/>
      <c r="DU81" s="659"/>
      <c r="DV81" s="659"/>
      <c r="DW81" s="659"/>
      <c r="DX81" s="659"/>
      <c r="DY81" s="659"/>
      <c r="DZ81" s="659"/>
      <c r="EA81" s="659"/>
      <c r="EB81" s="659"/>
      <c r="EC81" s="659"/>
      <c r="ED81" s="659"/>
      <c r="EE81" s="659"/>
      <c r="EF81" s="659"/>
      <c r="EG81" s="659"/>
      <c r="EH81" s="659"/>
      <c r="EI81" s="659"/>
      <c r="EJ81" s="659"/>
      <c r="EK81" s="659"/>
      <c r="EL81" s="659"/>
      <c r="EM81" s="659"/>
      <c r="EN81" s="659"/>
      <c r="EO81" s="659"/>
      <c r="EP81" s="659"/>
      <c r="EQ81" s="662"/>
      <c r="ER81" s="671">
        <f t="shared" ref="ER81" si="83">DD81+DH81+DL81+DP81+DT81+DX81+EB81+EF81+EJ81+EN81</f>
        <v>0</v>
      </c>
      <c r="ES81" s="672"/>
      <c r="ET81" s="955"/>
      <c r="EU81" s="673"/>
    </row>
    <row r="82" spans="1:164" s="98" customFormat="1" ht="69.95" customHeight="1" x14ac:dyDescent="0.2">
      <c r="A82" s="754" t="s">
        <v>313</v>
      </c>
      <c r="B82" s="141" t="s">
        <v>285</v>
      </c>
      <c r="C82" s="426" t="s">
        <v>283</v>
      </c>
      <c r="D82" s="426"/>
      <c r="E82" s="426"/>
      <c r="F82" s="426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  <c r="Z82" s="674">
        <f t="shared" ref="Z82" si="84">ER82*30</f>
        <v>120</v>
      </c>
      <c r="AA82" s="675"/>
      <c r="AB82" s="675"/>
      <c r="AC82" s="676"/>
      <c r="AD82" s="680"/>
      <c r="AE82" s="681"/>
      <c r="AF82" s="681"/>
      <c r="AG82" s="682"/>
      <c r="AH82" s="695">
        <f t="shared" ref="AH82" si="85">SUM(AM82:BF83)</f>
        <v>16</v>
      </c>
      <c r="AI82" s="696"/>
      <c r="AJ82" s="696"/>
      <c r="AK82" s="696"/>
      <c r="AL82" s="697"/>
      <c r="AM82" s="695">
        <v>10</v>
      </c>
      <c r="AN82" s="696"/>
      <c r="AO82" s="696"/>
      <c r="AP82" s="696"/>
      <c r="AQ82" s="697"/>
      <c r="AR82" s="695"/>
      <c r="AS82" s="696"/>
      <c r="AT82" s="696"/>
      <c r="AU82" s="696"/>
      <c r="AV82" s="697"/>
      <c r="AW82" s="695">
        <v>6</v>
      </c>
      <c r="AX82" s="696"/>
      <c r="AY82" s="696"/>
      <c r="AZ82" s="696"/>
      <c r="BA82" s="697"/>
      <c r="BB82" s="695"/>
      <c r="BC82" s="696"/>
      <c r="BD82" s="696"/>
      <c r="BE82" s="696"/>
      <c r="BF82" s="697"/>
      <c r="BG82" s="695"/>
      <c r="BH82" s="696"/>
      <c r="BI82" s="696"/>
      <c r="BJ82" s="696"/>
      <c r="BK82" s="697"/>
      <c r="BL82" s="674">
        <f t="shared" ref="BL82" si="86">Z82-AH82</f>
        <v>104</v>
      </c>
      <c r="BM82" s="675"/>
      <c r="BN82" s="675"/>
      <c r="BO82" s="701"/>
      <c r="BP82" s="693"/>
      <c r="BQ82" s="681"/>
      <c r="BR82" s="681"/>
      <c r="BS82" s="681"/>
      <c r="BT82" s="659"/>
      <c r="BU82" s="659"/>
      <c r="BV82" s="659"/>
      <c r="BW82" s="659"/>
      <c r="BX82" s="659"/>
      <c r="BY82" s="659"/>
      <c r="BZ82" s="659"/>
      <c r="CA82" s="659"/>
      <c r="CB82" s="659"/>
      <c r="CC82" s="659"/>
      <c r="CD82" s="659"/>
      <c r="CE82" s="659"/>
      <c r="CF82" s="659"/>
      <c r="CG82" s="659"/>
      <c r="CH82" s="659"/>
      <c r="CI82" s="659"/>
      <c r="CJ82" s="659"/>
      <c r="CK82" s="659"/>
      <c r="CL82" s="659"/>
      <c r="CM82" s="659"/>
      <c r="CN82" s="659"/>
      <c r="CO82" s="659"/>
      <c r="CP82" s="659"/>
      <c r="CQ82" s="659"/>
      <c r="CR82" s="659">
        <v>5</v>
      </c>
      <c r="CS82" s="659"/>
      <c r="CT82" s="659"/>
      <c r="CU82" s="659"/>
      <c r="CV82" s="659"/>
      <c r="CW82" s="659"/>
      <c r="CX82" s="659"/>
      <c r="CY82" s="659"/>
      <c r="CZ82" s="659"/>
      <c r="DA82" s="659"/>
      <c r="DB82" s="659"/>
      <c r="DC82" s="662"/>
      <c r="DD82" s="663"/>
      <c r="DE82" s="659"/>
      <c r="DF82" s="659"/>
      <c r="DG82" s="659"/>
      <c r="DH82" s="659"/>
      <c r="DI82" s="659"/>
      <c r="DJ82" s="659"/>
      <c r="DK82" s="659"/>
      <c r="DL82" s="659"/>
      <c r="DM82" s="659"/>
      <c r="DN82" s="659"/>
      <c r="DO82" s="659"/>
      <c r="DP82" s="659"/>
      <c r="DQ82" s="659"/>
      <c r="DR82" s="659"/>
      <c r="DS82" s="659"/>
      <c r="DT82" s="659"/>
      <c r="DU82" s="659"/>
      <c r="DV82" s="659"/>
      <c r="DW82" s="659"/>
      <c r="DX82" s="659"/>
      <c r="DY82" s="659"/>
      <c r="DZ82" s="659"/>
      <c r="EA82" s="659"/>
      <c r="EB82" s="659"/>
      <c r="EC82" s="659"/>
      <c r="ED82" s="659"/>
      <c r="EE82" s="659"/>
      <c r="EF82" s="659">
        <v>4</v>
      </c>
      <c r="EG82" s="659"/>
      <c r="EH82" s="659"/>
      <c r="EI82" s="659"/>
      <c r="EJ82" s="659"/>
      <c r="EK82" s="659"/>
      <c r="EL82" s="659"/>
      <c r="EM82" s="659"/>
      <c r="EN82" s="659"/>
      <c r="EO82" s="659"/>
      <c r="EP82" s="659"/>
      <c r="EQ82" s="662"/>
      <c r="ER82" s="671">
        <f t="shared" ref="ER82" si="87">EN82+EJ82+EF82+EB82+DX82+DT82+DP82+DL82+DH82+DD82</f>
        <v>4</v>
      </c>
      <c r="ES82" s="672"/>
      <c r="ET82" s="955"/>
      <c r="EU82" s="673"/>
    </row>
    <row r="83" spans="1:164" s="98" customFormat="1" ht="75" customHeight="1" x14ac:dyDescent="0.2">
      <c r="A83" s="755"/>
      <c r="B83" s="141" t="s">
        <v>303</v>
      </c>
      <c r="C83" s="426" t="s">
        <v>301</v>
      </c>
      <c r="D83" s="426"/>
      <c r="E83" s="426"/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  <c r="Z83" s="677"/>
      <c r="AA83" s="678"/>
      <c r="AB83" s="678"/>
      <c r="AC83" s="679"/>
      <c r="AD83" s="683"/>
      <c r="AE83" s="684"/>
      <c r="AF83" s="684"/>
      <c r="AG83" s="685"/>
      <c r="AH83" s="698"/>
      <c r="AI83" s="699"/>
      <c r="AJ83" s="699"/>
      <c r="AK83" s="699"/>
      <c r="AL83" s="700"/>
      <c r="AM83" s="698"/>
      <c r="AN83" s="699"/>
      <c r="AO83" s="699"/>
      <c r="AP83" s="699"/>
      <c r="AQ83" s="700"/>
      <c r="AR83" s="698"/>
      <c r="AS83" s="699"/>
      <c r="AT83" s="699"/>
      <c r="AU83" s="699"/>
      <c r="AV83" s="700"/>
      <c r="AW83" s="698"/>
      <c r="AX83" s="699"/>
      <c r="AY83" s="699"/>
      <c r="AZ83" s="699"/>
      <c r="BA83" s="700"/>
      <c r="BB83" s="698"/>
      <c r="BC83" s="699"/>
      <c r="BD83" s="699"/>
      <c r="BE83" s="699"/>
      <c r="BF83" s="700"/>
      <c r="BG83" s="698"/>
      <c r="BH83" s="699"/>
      <c r="BI83" s="699"/>
      <c r="BJ83" s="699"/>
      <c r="BK83" s="700"/>
      <c r="BL83" s="677"/>
      <c r="BM83" s="678"/>
      <c r="BN83" s="678"/>
      <c r="BO83" s="702"/>
      <c r="BP83" s="694"/>
      <c r="BQ83" s="684"/>
      <c r="BR83" s="684"/>
      <c r="BS83" s="684"/>
      <c r="BT83" s="659"/>
      <c r="BU83" s="659"/>
      <c r="BV83" s="659"/>
      <c r="BW83" s="659"/>
      <c r="BX83" s="659"/>
      <c r="BY83" s="659"/>
      <c r="BZ83" s="659"/>
      <c r="CA83" s="659"/>
      <c r="CB83" s="659"/>
      <c r="CC83" s="659"/>
      <c r="CD83" s="659"/>
      <c r="CE83" s="659"/>
      <c r="CF83" s="659"/>
      <c r="CG83" s="659"/>
      <c r="CH83" s="659"/>
      <c r="CI83" s="659"/>
      <c r="CJ83" s="659"/>
      <c r="CK83" s="659"/>
      <c r="CL83" s="659"/>
      <c r="CM83" s="659"/>
      <c r="CN83" s="659"/>
      <c r="CO83" s="659"/>
      <c r="CP83" s="659"/>
      <c r="CQ83" s="659"/>
      <c r="CR83" s="659"/>
      <c r="CS83" s="659"/>
      <c r="CT83" s="659"/>
      <c r="CU83" s="659"/>
      <c r="CV83" s="659"/>
      <c r="CW83" s="659"/>
      <c r="CX83" s="659"/>
      <c r="CY83" s="659"/>
      <c r="CZ83" s="659"/>
      <c r="DA83" s="659"/>
      <c r="DB83" s="659"/>
      <c r="DC83" s="662"/>
      <c r="DD83" s="663"/>
      <c r="DE83" s="659"/>
      <c r="DF83" s="659"/>
      <c r="DG83" s="659"/>
      <c r="DH83" s="659"/>
      <c r="DI83" s="659"/>
      <c r="DJ83" s="659"/>
      <c r="DK83" s="659"/>
      <c r="DL83" s="659"/>
      <c r="DM83" s="659"/>
      <c r="DN83" s="659"/>
      <c r="DO83" s="659"/>
      <c r="DP83" s="659"/>
      <c r="DQ83" s="659"/>
      <c r="DR83" s="659"/>
      <c r="DS83" s="659"/>
      <c r="DT83" s="659"/>
      <c r="DU83" s="659"/>
      <c r="DV83" s="659"/>
      <c r="DW83" s="659"/>
      <c r="DX83" s="659"/>
      <c r="DY83" s="659"/>
      <c r="DZ83" s="659"/>
      <c r="EA83" s="659"/>
      <c r="EB83" s="659"/>
      <c r="EC83" s="659"/>
      <c r="ED83" s="659"/>
      <c r="EE83" s="659"/>
      <c r="EF83" s="659"/>
      <c r="EG83" s="659"/>
      <c r="EH83" s="659"/>
      <c r="EI83" s="659"/>
      <c r="EJ83" s="659"/>
      <c r="EK83" s="659"/>
      <c r="EL83" s="659"/>
      <c r="EM83" s="659"/>
      <c r="EN83" s="659"/>
      <c r="EO83" s="659"/>
      <c r="EP83" s="659"/>
      <c r="EQ83" s="662"/>
      <c r="ER83" s="671">
        <f t="shared" ref="ER83" si="88">DD83+DH83+DL83+DP83+DT83+DX83+EB83+EF83+EJ83+EN83</f>
        <v>0</v>
      </c>
      <c r="ES83" s="672"/>
      <c r="ET83" s="955"/>
      <c r="EU83" s="673"/>
    </row>
    <row r="84" spans="1:164" s="98" customFormat="1" ht="99.95" customHeight="1" x14ac:dyDescent="0.2">
      <c r="A84" s="754" t="s">
        <v>314</v>
      </c>
      <c r="B84" s="141" t="s">
        <v>286</v>
      </c>
      <c r="C84" s="426" t="s">
        <v>284</v>
      </c>
      <c r="D84" s="426"/>
      <c r="E84" s="426"/>
      <c r="F84" s="426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  <c r="Z84" s="674">
        <f t="shared" ref="Z84" si="89">ER84*30</f>
        <v>180</v>
      </c>
      <c r="AA84" s="675"/>
      <c r="AB84" s="675"/>
      <c r="AC84" s="676"/>
      <c r="AD84" s="680"/>
      <c r="AE84" s="681"/>
      <c r="AF84" s="681"/>
      <c r="AG84" s="682"/>
      <c r="AH84" s="695">
        <f t="shared" ref="AH84" si="90">SUM(AM84:BF85)</f>
        <v>22</v>
      </c>
      <c r="AI84" s="696"/>
      <c r="AJ84" s="696"/>
      <c r="AK84" s="696"/>
      <c r="AL84" s="697"/>
      <c r="AM84" s="695"/>
      <c r="AN84" s="696"/>
      <c r="AO84" s="696"/>
      <c r="AP84" s="696"/>
      <c r="AQ84" s="697"/>
      <c r="AR84" s="695">
        <v>22</v>
      </c>
      <c r="AS84" s="696"/>
      <c r="AT84" s="696"/>
      <c r="AU84" s="696"/>
      <c r="AV84" s="697"/>
      <c r="AW84" s="695"/>
      <c r="AX84" s="696"/>
      <c r="AY84" s="696"/>
      <c r="AZ84" s="696"/>
      <c r="BA84" s="697"/>
      <c r="BB84" s="695"/>
      <c r="BC84" s="696"/>
      <c r="BD84" s="696"/>
      <c r="BE84" s="696"/>
      <c r="BF84" s="697"/>
      <c r="BG84" s="695"/>
      <c r="BH84" s="696"/>
      <c r="BI84" s="696"/>
      <c r="BJ84" s="696"/>
      <c r="BK84" s="697"/>
      <c r="BL84" s="674">
        <f t="shared" ref="BL84" si="91">Z84-AH84</f>
        <v>158</v>
      </c>
      <c r="BM84" s="675"/>
      <c r="BN84" s="675"/>
      <c r="BO84" s="701"/>
      <c r="BP84" s="693"/>
      <c r="BQ84" s="681"/>
      <c r="BR84" s="681"/>
      <c r="BS84" s="681"/>
      <c r="BT84" s="659"/>
      <c r="BU84" s="659"/>
      <c r="BV84" s="659"/>
      <c r="BW84" s="659"/>
      <c r="BX84" s="659"/>
      <c r="BY84" s="659"/>
      <c r="BZ84" s="659"/>
      <c r="CA84" s="659"/>
      <c r="CB84" s="659"/>
      <c r="CC84" s="659"/>
      <c r="CD84" s="659"/>
      <c r="CE84" s="659"/>
      <c r="CF84" s="659"/>
      <c r="CG84" s="659"/>
      <c r="CH84" s="659"/>
      <c r="CI84" s="659"/>
      <c r="CJ84" s="659"/>
      <c r="CK84" s="659"/>
      <c r="CL84" s="659"/>
      <c r="CM84" s="659"/>
      <c r="CN84" s="659"/>
      <c r="CO84" s="659"/>
      <c r="CP84" s="659"/>
      <c r="CQ84" s="659"/>
      <c r="CR84" s="659"/>
      <c r="CS84" s="659"/>
      <c r="CT84" s="659"/>
      <c r="CU84" s="659"/>
      <c r="CV84" s="659">
        <v>7</v>
      </c>
      <c r="CW84" s="659"/>
      <c r="CX84" s="659"/>
      <c r="CY84" s="659"/>
      <c r="CZ84" s="659"/>
      <c r="DA84" s="659"/>
      <c r="DB84" s="659"/>
      <c r="DC84" s="662"/>
      <c r="DD84" s="663"/>
      <c r="DE84" s="659"/>
      <c r="DF84" s="659"/>
      <c r="DG84" s="659"/>
      <c r="DH84" s="659"/>
      <c r="DI84" s="659"/>
      <c r="DJ84" s="659"/>
      <c r="DK84" s="659"/>
      <c r="DL84" s="659"/>
      <c r="DM84" s="659"/>
      <c r="DN84" s="659"/>
      <c r="DO84" s="659"/>
      <c r="DP84" s="659"/>
      <c r="DQ84" s="659"/>
      <c r="DR84" s="659"/>
      <c r="DS84" s="659"/>
      <c r="DT84" s="659"/>
      <c r="DU84" s="659"/>
      <c r="DV84" s="659"/>
      <c r="DW84" s="659"/>
      <c r="DX84" s="659"/>
      <c r="DY84" s="659"/>
      <c r="DZ84" s="659"/>
      <c r="EA84" s="659"/>
      <c r="EB84" s="659"/>
      <c r="EC84" s="659"/>
      <c r="ED84" s="659"/>
      <c r="EE84" s="659"/>
      <c r="EF84" s="659"/>
      <c r="EG84" s="659"/>
      <c r="EH84" s="659"/>
      <c r="EI84" s="659"/>
      <c r="EJ84" s="659">
        <v>6</v>
      </c>
      <c r="EK84" s="659"/>
      <c r="EL84" s="659"/>
      <c r="EM84" s="659"/>
      <c r="EN84" s="659"/>
      <c r="EO84" s="659"/>
      <c r="EP84" s="659"/>
      <c r="EQ84" s="662"/>
      <c r="ER84" s="671">
        <f t="shared" ref="ER84" si="92">EN84+EJ84+EF84+EB84+DX84+DT84+DP84+DL84+DH84+DD84</f>
        <v>6</v>
      </c>
      <c r="ES84" s="672"/>
      <c r="ET84" s="955"/>
      <c r="EU84" s="673"/>
    </row>
    <row r="85" spans="1:164" s="98" customFormat="1" ht="69.95" customHeight="1" x14ac:dyDescent="0.2">
      <c r="A85" s="755"/>
      <c r="B85" s="141" t="s">
        <v>304</v>
      </c>
      <c r="C85" s="426" t="s">
        <v>184</v>
      </c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V85" s="426"/>
      <c r="W85" s="426"/>
      <c r="X85" s="426"/>
      <c r="Y85" s="426"/>
      <c r="Z85" s="677"/>
      <c r="AA85" s="678"/>
      <c r="AB85" s="678"/>
      <c r="AC85" s="679"/>
      <c r="AD85" s="683"/>
      <c r="AE85" s="684"/>
      <c r="AF85" s="684"/>
      <c r="AG85" s="685"/>
      <c r="AH85" s="698"/>
      <c r="AI85" s="699"/>
      <c r="AJ85" s="699"/>
      <c r="AK85" s="699"/>
      <c r="AL85" s="700"/>
      <c r="AM85" s="698"/>
      <c r="AN85" s="699"/>
      <c r="AO85" s="699"/>
      <c r="AP85" s="699"/>
      <c r="AQ85" s="700"/>
      <c r="AR85" s="698"/>
      <c r="AS85" s="699"/>
      <c r="AT85" s="699"/>
      <c r="AU85" s="699"/>
      <c r="AV85" s="700"/>
      <c r="AW85" s="698"/>
      <c r="AX85" s="699"/>
      <c r="AY85" s="699"/>
      <c r="AZ85" s="699"/>
      <c r="BA85" s="700"/>
      <c r="BB85" s="698"/>
      <c r="BC85" s="699"/>
      <c r="BD85" s="699"/>
      <c r="BE85" s="699"/>
      <c r="BF85" s="700"/>
      <c r="BG85" s="698"/>
      <c r="BH85" s="699"/>
      <c r="BI85" s="699"/>
      <c r="BJ85" s="699"/>
      <c r="BK85" s="700"/>
      <c r="BL85" s="677"/>
      <c r="BM85" s="678"/>
      <c r="BN85" s="678"/>
      <c r="BO85" s="702"/>
      <c r="BP85" s="694"/>
      <c r="BQ85" s="684"/>
      <c r="BR85" s="684"/>
      <c r="BS85" s="684"/>
      <c r="BT85" s="659"/>
      <c r="BU85" s="659"/>
      <c r="BV85" s="659"/>
      <c r="BW85" s="659"/>
      <c r="BX85" s="659"/>
      <c r="BY85" s="659"/>
      <c r="BZ85" s="659"/>
      <c r="CA85" s="659"/>
      <c r="CB85" s="659"/>
      <c r="CC85" s="659"/>
      <c r="CD85" s="659"/>
      <c r="CE85" s="659"/>
      <c r="CF85" s="659"/>
      <c r="CG85" s="659"/>
      <c r="CH85" s="659"/>
      <c r="CI85" s="659"/>
      <c r="CJ85" s="659"/>
      <c r="CK85" s="659"/>
      <c r="CL85" s="659"/>
      <c r="CM85" s="659"/>
      <c r="CN85" s="659"/>
      <c r="CO85" s="659"/>
      <c r="CP85" s="659"/>
      <c r="CQ85" s="659"/>
      <c r="CR85" s="659"/>
      <c r="CS85" s="659"/>
      <c r="CT85" s="659"/>
      <c r="CU85" s="659"/>
      <c r="CV85" s="659"/>
      <c r="CW85" s="659"/>
      <c r="CX85" s="659"/>
      <c r="CY85" s="659"/>
      <c r="CZ85" s="659"/>
      <c r="DA85" s="659"/>
      <c r="DB85" s="659"/>
      <c r="DC85" s="662"/>
      <c r="DD85" s="663"/>
      <c r="DE85" s="659"/>
      <c r="DF85" s="659"/>
      <c r="DG85" s="659"/>
      <c r="DH85" s="659"/>
      <c r="DI85" s="659"/>
      <c r="DJ85" s="659"/>
      <c r="DK85" s="659"/>
      <c r="DL85" s="659"/>
      <c r="DM85" s="659"/>
      <c r="DN85" s="659"/>
      <c r="DO85" s="659"/>
      <c r="DP85" s="659"/>
      <c r="DQ85" s="659"/>
      <c r="DR85" s="659"/>
      <c r="DS85" s="659"/>
      <c r="DT85" s="659"/>
      <c r="DU85" s="659"/>
      <c r="DV85" s="659"/>
      <c r="DW85" s="659"/>
      <c r="DX85" s="659"/>
      <c r="DY85" s="659"/>
      <c r="DZ85" s="659"/>
      <c r="EA85" s="659"/>
      <c r="EB85" s="659"/>
      <c r="EC85" s="659"/>
      <c r="ED85" s="659"/>
      <c r="EE85" s="659"/>
      <c r="EF85" s="659"/>
      <c r="EG85" s="659"/>
      <c r="EH85" s="659"/>
      <c r="EI85" s="659"/>
      <c r="EJ85" s="659"/>
      <c r="EK85" s="659"/>
      <c r="EL85" s="659"/>
      <c r="EM85" s="659"/>
      <c r="EN85" s="659"/>
      <c r="EO85" s="659"/>
      <c r="EP85" s="659"/>
      <c r="EQ85" s="662"/>
      <c r="ER85" s="671">
        <f t="shared" ref="ER85" si="93">DD85+DH85+DL85+DP85+DT85+DX85+EB85+EF85+EJ85+EN85</f>
        <v>0</v>
      </c>
      <c r="ES85" s="672"/>
      <c r="ET85" s="955"/>
      <c r="EU85" s="673"/>
    </row>
    <row r="86" spans="1:164" s="98" customFormat="1" ht="69.95" customHeight="1" x14ac:dyDescent="0.2">
      <c r="A86" s="754" t="s">
        <v>315</v>
      </c>
      <c r="B86" s="141" t="s">
        <v>191</v>
      </c>
      <c r="C86" s="426" t="s">
        <v>190</v>
      </c>
      <c r="D86" s="426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  <c r="Z86" s="674">
        <f t="shared" ref="Z86" si="94">ER86*30</f>
        <v>180</v>
      </c>
      <c r="AA86" s="675"/>
      <c r="AB86" s="675"/>
      <c r="AC86" s="676"/>
      <c r="AD86" s="680"/>
      <c r="AE86" s="681"/>
      <c r="AF86" s="681"/>
      <c r="AG86" s="682"/>
      <c r="AH86" s="695">
        <f t="shared" ref="AH86" si="95">SUM(AM86:BF87)</f>
        <v>22</v>
      </c>
      <c r="AI86" s="696"/>
      <c r="AJ86" s="696"/>
      <c r="AK86" s="696"/>
      <c r="AL86" s="697"/>
      <c r="AM86" s="695">
        <v>12</v>
      </c>
      <c r="AN86" s="696"/>
      <c r="AO86" s="696"/>
      <c r="AP86" s="696"/>
      <c r="AQ86" s="697"/>
      <c r="AR86" s="695">
        <v>10</v>
      </c>
      <c r="AS86" s="696"/>
      <c r="AT86" s="696"/>
      <c r="AU86" s="696"/>
      <c r="AV86" s="697"/>
      <c r="AW86" s="695"/>
      <c r="AX86" s="696"/>
      <c r="AY86" s="696"/>
      <c r="AZ86" s="696"/>
      <c r="BA86" s="697"/>
      <c r="BB86" s="695"/>
      <c r="BC86" s="696"/>
      <c r="BD86" s="696"/>
      <c r="BE86" s="696"/>
      <c r="BF86" s="697"/>
      <c r="BG86" s="695"/>
      <c r="BH86" s="696"/>
      <c r="BI86" s="696"/>
      <c r="BJ86" s="696"/>
      <c r="BK86" s="697"/>
      <c r="BL86" s="674">
        <f t="shared" ref="BL86" si="96">Z86-AH86</f>
        <v>158</v>
      </c>
      <c r="BM86" s="675"/>
      <c r="BN86" s="675"/>
      <c r="BO86" s="701"/>
      <c r="BP86" s="693"/>
      <c r="BQ86" s="681"/>
      <c r="BR86" s="681"/>
      <c r="BS86" s="681"/>
      <c r="BT86" s="659"/>
      <c r="BU86" s="659"/>
      <c r="BV86" s="659"/>
      <c r="BW86" s="659"/>
      <c r="BX86" s="659"/>
      <c r="BY86" s="659"/>
      <c r="BZ86" s="659"/>
      <c r="CA86" s="659"/>
      <c r="CB86" s="659"/>
      <c r="CC86" s="659"/>
      <c r="CD86" s="659"/>
      <c r="CE86" s="659"/>
      <c r="CF86" s="659"/>
      <c r="CG86" s="659"/>
      <c r="CH86" s="659"/>
      <c r="CI86" s="659"/>
      <c r="CJ86" s="659"/>
      <c r="CK86" s="659"/>
      <c r="CL86" s="659"/>
      <c r="CM86" s="659"/>
      <c r="CN86" s="659"/>
      <c r="CO86" s="659"/>
      <c r="CP86" s="659"/>
      <c r="CQ86" s="659"/>
      <c r="CR86" s="659"/>
      <c r="CS86" s="659"/>
      <c r="CT86" s="659"/>
      <c r="CU86" s="659"/>
      <c r="CV86" s="659"/>
      <c r="CW86" s="659"/>
      <c r="CX86" s="659"/>
      <c r="CY86" s="659"/>
      <c r="CZ86" s="659">
        <v>7</v>
      </c>
      <c r="DA86" s="659"/>
      <c r="DB86" s="659"/>
      <c r="DC86" s="662"/>
      <c r="DD86" s="663"/>
      <c r="DE86" s="659"/>
      <c r="DF86" s="659"/>
      <c r="DG86" s="659"/>
      <c r="DH86" s="659"/>
      <c r="DI86" s="659"/>
      <c r="DJ86" s="659"/>
      <c r="DK86" s="659"/>
      <c r="DL86" s="659"/>
      <c r="DM86" s="659"/>
      <c r="DN86" s="659"/>
      <c r="DO86" s="659"/>
      <c r="DP86" s="659"/>
      <c r="DQ86" s="659"/>
      <c r="DR86" s="659"/>
      <c r="DS86" s="659"/>
      <c r="DT86" s="659"/>
      <c r="DU86" s="659"/>
      <c r="DV86" s="659"/>
      <c r="DW86" s="659"/>
      <c r="DX86" s="659"/>
      <c r="DY86" s="659"/>
      <c r="DZ86" s="659"/>
      <c r="EA86" s="659"/>
      <c r="EB86" s="659"/>
      <c r="EC86" s="659"/>
      <c r="ED86" s="659"/>
      <c r="EE86" s="659"/>
      <c r="EF86" s="659"/>
      <c r="EG86" s="659"/>
      <c r="EH86" s="659"/>
      <c r="EI86" s="659"/>
      <c r="EJ86" s="659"/>
      <c r="EK86" s="659"/>
      <c r="EL86" s="659"/>
      <c r="EM86" s="659"/>
      <c r="EN86" s="659">
        <v>6</v>
      </c>
      <c r="EO86" s="659"/>
      <c r="EP86" s="659"/>
      <c r="EQ86" s="662"/>
      <c r="ER86" s="671">
        <f t="shared" ref="ER86" si="97">EN86+EJ86+EF86+EB86+DX86+DT86+DP86+DL86+DH86+DD86</f>
        <v>6</v>
      </c>
      <c r="ES86" s="672"/>
      <c r="ET86" s="955"/>
      <c r="EU86" s="673"/>
    </row>
    <row r="87" spans="1:164" s="98" customFormat="1" ht="75" customHeight="1" x14ac:dyDescent="0.2">
      <c r="A87" s="755"/>
      <c r="B87" s="141" t="s">
        <v>196</v>
      </c>
      <c r="C87" s="426" t="s">
        <v>195</v>
      </c>
      <c r="D87" s="426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26"/>
      <c r="W87" s="426"/>
      <c r="X87" s="426"/>
      <c r="Y87" s="426"/>
      <c r="Z87" s="677"/>
      <c r="AA87" s="678"/>
      <c r="AB87" s="678"/>
      <c r="AC87" s="679"/>
      <c r="AD87" s="683"/>
      <c r="AE87" s="684"/>
      <c r="AF87" s="684"/>
      <c r="AG87" s="685"/>
      <c r="AH87" s="698"/>
      <c r="AI87" s="699"/>
      <c r="AJ87" s="699"/>
      <c r="AK87" s="699"/>
      <c r="AL87" s="700"/>
      <c r="AM87" s="698"/>
      <c r="AN87" s="699"/>
      <c r="AO87" s="699"/>
      <c r="AP87" s="699"/>
      <c r="AQ87" s="700"/>
      <c r="AR87" s="698"/>
      <c r="AS87" s="699"/>
      <c r="AT87" s="699"/>
      <c r="AU87" s="699"/>
      <c r="AV87" s="700"/>
      <c r="AW87" s="698"/>
      <c r="AX87" s="699"/>
      <c r="AY87" s="699"/>
      <c r="AZ87" s="699"/>
      <c r="BA87" s="700"/>
      <c r="BB87" s="698"/>
      <c r="BC87" s="699"/>
      <c r="BD87" s="699"/>
      <c r="BE87" s="699"/>
      <c r="BF87" s="700"/>
      <c r="BG87" s="698"/>
      <c r="BH87" s="699"/>
      <c r="BI87" s="699"/>
      <c r="BJ87" s="699"/>
      <c r="BK87" s="700"/>
      <c r="BL87" s="677"/>
      <c r="BM87" s="678"/>
      <c r="BN87" s="678"/>
      <c r="BO87" s="702"/>
      <c r="BP87" s="694"/>
      <c r="BQ87" s="684"/>
      <c r="BR87" s="684"/>
      <c r="BS87" s="684"/>
      <c r="BT87" s="659"/>
      <c r="BU87" s="659"/>
      <c r="BV87" s="659"/>
      <c r="BW87" s="659"/>
      <c r="BX87" s="659"/>
      <c r="BY87" s="659"/>
      <c r="BZ87" s="659"/>
      <c r="CA87" s="659"/>
      <c r="CB87" s="659"/>
      <c r="CC87" s="659"/>
      <c r="CD87" s="659"/>
      <c r="CE87" s="659"/>
      <c r="CF87" s="659"/>
      <c r="CG87" s="659"/>
      <c r="CH87" s="659"/>
      <c r="CI87" s="659"/>
      <c r="CJ87" s="659"/>
      <c r="CK87" s="659"/>
      <c r="CL87" s="659"/>
      <c r="CM87" s="659"/>
      <c r="CN87" s="659"/>
      <c r="CO87" s="659"/>
      <c r="CP87" s="659"/>
      <c r="CQ87" s="659"/>
      <c r="CR87" s="659"/>
      <c r="CS87" s="659"/>
      <c r="CT87" s="659"/>
      <c r="CU87" s="659"/>
      <c r="CV87" s="659"/>
      <c r="CW87" s="659"/>
      <c r="CX87" s="659"/>
      <c r="CY87" s="659"/>
      <c r="CZ87" s="659"/>
      <c r="DA87" s="659"/>
      <c r="DB87" s="659"/>
      <c r="DC87" s="662"/>
      <c r="DD87" s="663"/>
      <c r="DE87" s="659"/>
      <c r="DF87" s="659"/>
      <c r="DG87" s="659"/>
      <c r="DH87" s="659"/>
      <c r="DI87" s="659"/>
      <c r="DJ87" s="659"/>
      <c r="DK87" s="659"/>
      <c r="DL87" s="659"/>
      <c r="DM87" s="659"/>
      <c r="DN87" s="659"/>
      <c r="DO87" s="659"/>
      <c r="DP87" s="659"/>
      <c r="DQ87" s="659"/>
      <c r="DR87" s="659"/>
      <c r="DS87" s="659"/>
      <c r="DT87" s="659"/>
      <c r="DU87" s="659"/>
      <c r="DV87" s="659"/>
      <c r="DW87" s="659"/>
      <c r="DX87" s="659"/>
      <c r="DY87" s="659"/>
      <c r="DZ87" s="659"/>
      <c r="EA87" s="659"/>
      <c r="EB87" s="659"/>
      <c r="EC87" s="659"/>
      <c r="ED87" s="659"/>
      <c r="EE87" s="659"/>
      <c r="EF87" s="659"/>
      <c r="EG87" s="659"/>
      <c r="EH87" s="659"/>
      <c r="EI87" s="659"/>
      <c r="EJ87" s="659"/>
      <c r="EK87" s="659"/>
      <c r="EL87" s="659"/>
      <c r="EM87" s="659"/>
      <c r="EN87" s="659"/>
      <c r="EO87" s="659"/>
      <c r="EP87" s="659"/>
      <c r="EQ87" s="662"/>
      <c r="ER87" s="671">
        <f t="shared" ref="ER87" si="98">DD87+DH87+DL87+DP87+DT87+DX87+EB87+EF87+EJ87+EN87</f>
        <v>0</v>
      </c>
      <c r="ES87" s="672"/>
      <c r="ET87" s="955"/>
      <c r="EU87" s="673"/>
    </row>
    <row r="88" spans="1:164" ht="60" customHeight="1" x14ac:dyDescent="0.2">
      <c r="A88" s="62"/>
      <c r="B88" s="63"/>
      <c r="C88" s="690" t="s">
        <v>84</v>
      </c>
      <c r="D88" s="690"/>
      <c r="E88" s="690"/>
      <c r="F88" s="690"/>
      <c r="G88" s="690"/>
      <c r="H88" s="690"/>
      <c r="I88" s="690"/>
      <c r="J88" s="690"/>
      <c r="K88" s="690"/>
      <c r="L88" s="690"/>
      <c r="M88" s="690"/>
      <c r="N88" s="690"/>
      <c r="O88" s="690"/>
      <c r="P88" s="690"/>
      <c r="Q88" s="690"/>
      <c r="R88" s="690"/>
      <c r="S88" s="690"/>
      <c r="T88" s="690"/>
      <c r="U88" s="690"/>
      <c r="V88" s="690"/>
      <c r="W88" s="690"/>
      <c r="X88" s="690"/>
      <c r="Y88" s="690"/>
      <c r="Z88" s="644">
        <f>Z53+Z36</f>
        <v>5970</v>
      </c>
      <c r="AA88" s="645"/>
      <c r="AB88" s="645"/>
      <c r="AC88" s="646"/>
      <c r="AD88" s="642"/>
      <c r="AE88" s="642"/>
      <c r="AF88" s="642"/>
      <c r="AG88" s="647"/>
      <c r="AH88" s="686">
        <f>AH53+AH36</f>
        <v>876</v>
      </c>
      <c r="AI88" s="687"/>
      <c r="AJ88" s="687"/>
      <c r="AK88" s="687"/>
      <c r="AL88" s="687"/>
      <c r="AM88" s="686">
        <f>AM53+AM36</f>
        <v>444</v>
      </c>
      <c r="AN88" s="687"/>
      <c r="AO88" s="687"/>
      <c r="AP88" s="687"/>
      <c r="AQ88" s="687"/>
      <c r="AR88" s="686">
        <f>AR53+AR36</f>
        <v>286</v>
      </c>
      <c r="AS88" s="687"/>
      <c r="AT88" s="687"/>
      <c r="AU88" s="687"/>
      <c r="AV88" s="687"/>
      <c r="AW88" s="686">
        <f>AW53+AW36</f>
        <v>146</v>
      </c>
      <c r="AX88" s="687"/>
      <c r="AY88" s="687"/>
      <c r="AZ88" s="687"/>
      <c r="BA88" s="687"/>
      <c r="BB88" s="686">
        <f>BB53+BB36</f>
        <v>0</v>
      </c>
      <c r="BC88" s="687"/>
      <c r="BD88" s="687"/>
      <c r="BE88" s="687"/>
      <c r="BF88" s="687"/>
      <c r="BG88" s="686">
        <f>BG53+BG36</f>
        <v>0</v>
      </c>
      <c r="BH88" s="687"/>
      <c r="BI88" s="687"/>
      <c r="BJ88" s="687"/>
      <c r="BK88" s="687"/>
      <c r="BL88" s="688">
        <f>BL53+BL36</f>
        <v>5094</v>
      </c>
      <c r="BM88" s="689"/>
      <c r="BN88" s="689"/>
      <c r="BO88" s="689"/>
      <c r="BP88" s="650">
        <f>BP53+BP36</f>
        <v>37</v>
      </c>
      <c r="BQ88" s="647"/>
      <c r="BR88" s="647"/>
      <c r="BS88" s="647"/>
      <c r="BT88" s="647">
        <f>BT53+BT36</f>
        <v>35</v>
      </c>
      <c r="BU88" s="647"/>
      <c r="BV88" s="647"/>
      <c r="BW88" s="647"/>
      <c r="BX88" s="647">
        <f>BX53+BX36</f>
        <v>35</v>
      </c>
      <c r="BY88" s="647"/>
      <c r="BZ88" s="647"/>
      <c r="CA88" s="647"/>
      <c r="CB88" s="647">
        <f>CB53+CB36</f>
        <v>34</v>
      </c>
      <c r="CC88" s="647"/>
      <c r="CD88" s="647"/>
      <c r="CE88" s="647"/>
      <c r="CF88" s="647">
        <f>CF53+CF36</f>
        <v>30</v>
      </c>
      <c r="CG88" s="647"/>
      <c r="CH88" s="647"/>
      <c r="CI88" s="647"/>
      <c r="CJ88" s="647">
        <f>CJ53+CJ36</f>
        <v>30</v>
      </c>
      <c r="CK88" s="647"/>
      <c r="CL88" s="647"/>
      <c r="CM88" s="647"/>
      <c r="CN88" s="647">
        <f>CN53+CN36</f>
        <v>16</v>
      </c>
      <c r="CO88" s="647"/>
      <c r="CP88" s="647"/>
      <c r="CQ88" s="647"/>
      <c r="CR88" s="647">
        <f>CR53+CR36</f>
        <v>18</v>
      </c>
      <c r="CS88" s="647"/>
      <c r="CT88" s="647"/>
      <c r="CU88" s="647"/>
      <c r="CV88" s="647">
        <f>CV53+CV36</f>
        <v>22</v>
      </c>
      <c r="CW88" s="647"/>
      <c r="CX88" s="647"/>
      <c r="CY88" s="647"/>
      <c r="CZ88" s="647">
        <f>CZ53+CZ36</f>
        <v>17</v>
      </c>
      <c r="DA88" s="647"/>
      <c r="DB88" s="647"/>
      <c r="DC88" s="649"/>
      <c r="DD88" s="650">
        <f>DD53+DD36</f>
        <v>26</v>
      </c>
      <c r="DE88" s="647"/>
      <c r="DF88" s="647"/>
      <c r="DG88" s="647"/>
      <c r="DH88" s="652">
        <f>DH53+DH36</f>
        <v>21</v>
      </c>
      <c r="DI88" s="647"/>
      <c r="DJ88" s="647"/>
      <c r="DK88" s="647"/>
      <c r="DL88" s="652">
        <f>DL53+DL36</f>
        <v>26</v>
      </c>
      <c r="DM88" s="647"/>
      <c r="DN88" s="647"/>
      <c r="DO88" s="647"/>
      <c r="DP88" s="652">
        <f>DP53+DP36</f>
        <v>24</v>
      </c>
      <c r="DQ88" s="647"/>
      <c r="DR88" s="647"/>
      <c r="DS88" s="647"/>
      <c r="DT88" s="652">
        <f>DT53+DT36</f>
        <v>22</v>
      </c>
      <c r="DU88" s="647"/>
      <c r="DV88" s="647"/>
      <c r="DW88" s="647"/>
      <c r="DX88" s="652">
        <f>DX53+DX36</f>
        <v>20</v>
      </c>
      <c r="DY88" s="647"/>
      <c r="DZ88" s="647"/>
      <c r="EA88" s="647"/>
      <c r="EB88" s="652">
        <f>EB53+EB36</f>
        <v>15</v>
      </c>
      <c r="EC88" s="647"/>
      <c r="ED88" s="647"/>
      <c r="EE88" s="647"/>
      <c r="EF88" s="652">
        <f>EF53+EF36</f>
        <v>15</v>
      </c>
      <c r="EG88" s="647"/>
      <c r="EH88" s="647"/>
      <c r="EI88" s="647"/>
      <c r="EJ88" s="652">
        <f>EJ53+EJ36</f>
        <v>16</v>
      </c>
      <c r="EK88" s="647"/>
      <c r="EL88" s="647"/>
      <c r="EM88" s="647"/>
      <c r="EN88" s="652">
        <f>EN53+EN36</f>
        <v>14</v>
      </c>
      <c r="EO88" s="647"/>
      <c r="EP88" s="647"/>
      <c r="EQ88" s="648"/>
      <c r="ER88" s="655">
        <f>ER53+ER36</f>
        <v>199</v>
      </c>
      <c r="ES88" s="656"/>
      <c r="ET88" s="952"/>
      <c r="EU88" s="657"/>
    </row>
    <row r="89" spans="1:164" s="98" customFormat="1" ht="60" customHeight="1" x14ac:dyDescent="0.2">
      <c r="A89" s="99"/>
      <c r="B89" s="100"/>
      <c r="C89" s="709" t="s">
        <v>85</v>
      </c>
      <c r="D89" s="709"/>
      <c r="E89" s="709"/>
      <c r="F89" s="709"/>
      <c r="G89" s="709"/>
      <c r="H89" s="709"/>
      <c r="I89" s="709"/>
      <c r="J89" s="709"/>
      <c r="K89" s="709"/>
      <c r="L89" s="709"/>
      <c r="M89" s="709"/>
      <c r="N89" s="709"/>
      <c r="O89" s="709"/>
      <c r="P89" s="709"/>
      <c r="Q89" s="709"/>
      <c r="R89" s="709"/>
      <c r="S89" s="709"/>
      <c r="T89" s="709"/>
      <c r="U89" s="709"/>
      <c r="V89" s="709"/>
      <c r="W89" s="709"/>
      <c r="X89" s="709"/>
      <c r="Y89" s="709"/>
      <c r="Z89" s="658">
        <f t="shared" ref="Z89:Z90" si="99">ER89*30</f>
        <v>1230</v>
      </c>
      <c r="AA89" s="658"/>
      <c r="AB89" s="658"/>
      <c r="AC89" s="658"/>
      <c r="AD89" s="710"/>
      <c r="AE89" s="710"/>
      <c r="AF89" s="710"/>
      <c r="AG89" s="710"/>
      <c r="AH89" s="661">
        <f t="shared" ref="AH89:AH90" si="100">AM89+AR89+AW89+BB89+BG89</f>
        <v>0</v>
      </c>
      <c r="AI89" s="661"/>
      <c r="AJ89" s="661"/>
      <c r="AK89" s="661"/>
      <c r="AL89" s="661"/>
      <c r="AM89" s="691"/>
      <c r="AN89" s="692"/>
      <c r="AO89" s="692"/>
      <c r="AP89" s="692"/>
      <c r="AQ89" s="711"/>
      <c r="AR89" s="661"/>
      <c r="AS89" s="661"/>
      <c r="AT89" s="661"/>
      <c r="AU89" s="661"/>
      <c r="AV89" s="661"/>
      <c r="AW89" s="661"/>
      <c r="AX89" s="661"/>
      <c r="AY89" s="661"/>
      <c r="AZ89" s="661"/>
      <c r="BA89" s="661"/>
      <c r="BB89" s="661"/>
      <c r="BC89" s="661"/>
      <c r="BD89" s="661"/>
      <c r="BE89" s="661"/>
      <c r="BF89" s="661"/>
      <c r="BG89" s="661"/>
      <c r="BH89" s="661"/>
      <c r="BI89" s="661"/>
      <c r="BJ89" s="661"/>
      <c r="BK89" s="661"/>
      <c r="BL89" s="691"/>
      <c r="BM89" s="692"/>
      <c r="BN89" s="692"/>
      <c r="BO89" s="692"/>
      <c r="BP89" s="671"/>
      <c r="BQ89" s="672"/>
      <c r="BR89" s="672"/>
      <c r="BS89" s="672"/>
      <c r="BT89" s="672"/>
      <c r="BU89" s="672"/>
      <c r="BV89" s="672"/>
      <c r="BW89" s="672"/>
      <c r="BX89" s="672"/>
      <c r="BY89" s="672"/>
      <c r="BZ89" s="672"/>
      <c r="CA89" s="672"/>
      <c r="CB89" s="672"/>
      <c r="CC89" s="672"/>
      <c r="CD89" s="672"/>
      <c r="CE89" s="672"/>
      <c r="CF89" s="672"/>
      <c r="CG89" s="672"/>
      <c r="CH89" s="672"/>
      <c r="CI89" s="672"/>
      <c r="CJ89" s="672"/>
      <c r="CK89" s="672"/>
      <c r="CL89" s="672"/>
      <c r="CM89" s="672"/>
      <c r="CN89" s="672"/>
      <c r="CO89" s="672"/>
      <c r="CP89" s="672"/>
      <c r="CQ89" s="672"/>
      <c r="CR89" s="672"/>
      <c r="CS89" s="672"/>
      <c r="CT89" s="672"/>
      <c r="CU89" s="672"/>
      <c r="CV89" s="672"/>
      <c r="CW89" s="672"/>
      <c r="CX89" s="672"/>
      <c r="CY89" s="672"/>
      <c r="CZ89" s="672"/>
      <c r="DA89" s="672"/>
      <c r="DB89" s="672"/>
      <c r="DC89" s="673"/>
      <c r="DD89" s="671"/>
      <c r="DE89" s="672"/>
      <c r="DF89" s="672"/>
      <c r="DG89" s="672"/>
      <c r="DH89" s="672"/>
      <c r="DI89" s="672"/>
      <c r="DJ89" s="672"/>
      <c r="DK89" s="672"/>
      <c r="DL89" s="659"/>
      <c r="DM89" s="659"/>
      <c r="DN89" s="659"/>
      <c r="DO89" s="659"/>
      <c r="DP89" s="659">
        <v>3</v>
      </c>
      <c r="DQ89" s="659"/>
      <c r="DR89" s="659"/>
      <c r="DS89" s="659"/>
      <c r="DT89" s="659">
        <v>4</v>
      </c>
      <c r="DU89" s="659"/>
      <c r="DV89" s="659"/>
      <c r="DW89" s="659"/>
      <c r="DX89" s="659"/>
      <c r="DY89" s="659"/>
      <c r="DZ89" s="659"/>
      <c r="EA89" s="659"/>
      <c r="EB89" s="659">
        <v>8</v>
      </c>
      <c r="EC89" s="659"/>
      <c r="ED89" s="659"/>
      <c r="EE89" s="659"/>
      <c r="EF89" s="659">
        <v>8</v>
      </c>
      <c r="EG89" s="659"/>
      <c r="EH89" s="659"/>
      <c r="EI89" s="659"/>
      <c r="EJ89" s="659">
        <v>9</v>
      </c>
      <c r="EK89" s="659"/>
      <c r="EL89" s="659"/>
      <c r="EM89" s="659"/>
      <c r="EN89" s="659">
        <v>9</v>
      </c>
      <c r="EO89" s="659"/>
      <c r="EP89" s="659"/>
      <c r="EQ89" s="662"/>
      <c r="ER89" s="666">
        <f t="shared" ref="ER89:ER92" si="101">DD89+DH89+DL89+DP89+DT89+DX89+EB89+EF89+EJ89+EN89</f>
        <v>41</v>
      </c>
      <c r="ES89" s="667"/>
      <c r="ET89" s="953"/>
      <c r="EU89" s="668"/>
      <c r="EV89" s="173" t="s">
        <v>263</v>
      </c>
    </row>
    <row r="90" spans="1:164" ht="60" customHeight="1" x14ac:dyDescent="0.2">
      <c r="A90" s="59"/>
      <c r="B90" s="61"/>
      <c r="C90" s="511" t="s">
        <v>18</v>
      </c>
      <c r="D90" s="511"/>
      <c r="E90" s="511"/>
      <c r="F90" s="511"/>
      <c r="G90" s="511"/>
      <c r="H90" s="511"/>
      <c r="I90" s="511"/>
      <c r="J90" s="511"/>
      <c r="K90" s="511"/>
      <c r="L90" s="511"/>
      <c r="M90" s="511"/>
      <c r="N90" s="511"/>
      <c r="O90" s="511"/>
      <c r="P90" s="511"/>
      <c r="Q90" s="511"/>
      <c r="R90" s="511"/>
      <c r="S90" s="511"/>
      <c r="T90" s="511"/>
      <c r="U90" s="511"/>
      <c r="V90" s="511"/>
      <c r="W90" s="511"/>
      <c r="X90" s="511"/>
      <c r="Y90" s="511"/>
      <c r="Z90" s="618">
        <f t="shared" si="99"/>
        <v>0</v>
      </c>
      <c r="AA90" s="618"/>
      <c r="AB90" s="618"/>
      <c r="AC90" s="618"/>
      <c r="AD90" s="486"/>
      <c r="AE90" s="486"/>
      <c r="AF90" s="486"/>
      <c r="AG90" s="621"/>
      <c r="AH90" s="705">
        <f t="shared" si="100"/>
        <v>0</v>
      </c>
      <c r="AI90" s="705"/>
      <c r="AJ90" s="705"/>
      <c r="AK90" s="705"/>
      <c r="AL90" s="705"/>
      <c r="AM90" s="706"/>
      <c r="AN90" s="707"/>
      <c r="AO90" s="707"/>
      <c r="AP90" s="707"/>
      <c r="AQ90" s="708"/>
      <c r="AR90" s="705"/>
      <c r="AS90" s="705"/>
      <c r="AT90" s="705"/>
      <c r="AU90" s="705"/>
      <c r="AV90" s="705"/>
      <c r="AW90" s="705"/>
      <c r="AX90" s="705"/>
      <c r="AY90" s="705"/>
      <c r="AZ90" s="705"/>
      <c r="BA90" s="705"/>
      <c r="BB90" s="705"/>
      <c r="BC90" s="705"/>
      <c r="BD90" s="705"/>
      <c r="BE90" s="705"/>
      <c r="BF90" s="705"/>
      <c r="BG90" s="705"/>
      <c r="BH90" s="705"/>
      <c r="BI90" s="705"/>
      <c r="BJ90" s="705"/>
      <c r="BK90" s="705"/>
      <c r="BL90" s="749"/>
      <c r="BM90" s="707"/>
      <c r="BN90" s="707"/>
      <c r="BO90" s="707"/>
      <c r="BP90" s="620"/>
      <c r="BQ90" s="621"/>
      <c r="BR90" s="621"/>
      <c r="BS90" s="621"/>
      <c r="BT90" s="621"/>
      <c r="BU90" s="621"/>
      <c r="BV90" s="621"/>
      <c r="BW90" s="621"/>
      <c r="BX90" s="621"/>
      <c r="BY90" s="621"/>
      <c r="BZ90" s="621"/>
      <c r="CA90" s="621"/>
      <c r="CB90" s="621"/>
      <c r="CC90" s="621"/>
      <c r="CD90" s="621"/>
      <c r="CE90" s="621"/>
      <c r="CF90" s="621"/>
      <c r="CG90" s="621"/>
      <c r="CH90" s="621"/>
      <c r="CI90" s="621"/>
      <c r="CJ90" s="621"/>
      <c r="CK90" s="621"/>
      <c r="CL90" s="621"/>
      <c r="CM90" s="621"/>
      <c r="CN90" s="621"/>
      <c r="CO90" s="621"/>
      <c r="CP90" s="621"/>
      <c r="CQ90" s="621"/>
      <c r="CR90" s="621"/>
      <c r="CS90" s="621"/>
      <c r="CT90" s="621"/>
      <c r="CU90" s="621"/>
      <c r="CV90" s="621"/>
      <c r="CW90" s="621"/>
      <c r="CX90" s="621"/>
      <c r="CY90" s="621"/>
      <c r="CZ90" s="621"/>
      <c r="DA90" s="621"/>
      <c r="DB90" s="621"/>
      <c r="DC90" s="622"/>
      <c r="DD90" s="620"/>
      <c r="DE90" s="621"/>
      <c r="DF90" s="621"/>
      <c r="DG90" s="621"/>
      <c r="DH90" s="621"/>
      <c r="DI90" s="621"/>
      <c r="DJ90" s="621"/>
      <c r="DK90" s="621"/>
      <c r="DL90" s="653"/>
      <c r="DM90" s="653"/>
      <c r="DN90" s="653"/>
      <c r="DO90" s="653"/>
      <c r="DP90" s="653"/>
      <c r="DQ90" s="653"/>
      <c r="DR90" s="653"/>
      <c r="DS90" s="653"/>
      <c r="DT90" s="653"/>
      <c r="DU90" s="653"/>
      <c r="DV90" s="653"/>
      <c r="DW90" s="653"/>
      <c r="DX90" s="653"/>
      <c r="DY90" s="653"/>
      <c r="DZ90" s="653"/>
      <c r="EA90" s="653"/>
      <c r="EB90" s="653"/>
      <c r="EC90" s="653"/>
      <c r="ED90" s="653"/>
      <c r="EE90" s="653"/>
      <c r="EF90" s="653"/>
      <c r="EG90" s="653"/>
      <c r="EH90" s="653"/>
      <c r="EI90" s="653"/>
      <c r="EJ90" s="653"/>
      <c r="EK90" s="653"/>
      <c r="EL90" s="653"/>
      <c r="EM90" s="653"/>
      <c r="EN90" s="653"/>
      <c r="EO90" s="653"/>
      <c r="EP90" s="653"/>
      <c r="EQ90" s="654"/>
      <c r="ER90" s="626">
        <f t="shared" si="101"/>
        <v>0</v>
      </c>
      <c r="ES90" s="627"/>
      <c r="ET90" s="954"/>
      <c r="EU90" s="619"/>
    </row>
    <row r="91" spans="1:164" s="98" customFormat="1" ht="60" customHeight="1" x14ac:dyDescent="0.2">
      <c r="A91" s="101"/>
      <c r="B91" s="102"/>
      <c r="C91" s="746" t="s">
        <v>84</v>
      </c>
      <c r="D91" s="746"/>
      <c r="E91" s="746"/>
      <c r="F91" s="746"/>
      <c r="G91" s="746"/>
      <c r="H91" s="746"/>
      <c r="I91" s="746"/>
      <c r="J91" s="746"/>
      <c r="K91" s="746"/>
      <c r="L91" s="746"/>
      <c r="M91" s="746"/>
      <c r="N91" s="746"/>
      <c r="O91" s="746"/>
      <c r="P91" s="746"/>
      <c r="Q91" s="746"/>
      <c r="R91" s="746"/>
      <c r="S91" s="746"/>
      <c r="T91" s="746"/>
      <c r="U91" s="746"/>
      <c r="V91" s="746"/>
      <c r="W91" s="746"/>
      <c r="X91" s="746"/>
      <c r="Y91" s="746"/>
      <c r="Z91" s="747">
        <f>Z89+Z90</f>
        <v>1230</v>
      </c>
      <c r="AA91" s="747"/>
      <c r="AB91" s="747"/>
      <c r="AC91" s="747"/>
      <c r="AD91" s="748">
        <f>AD89+AD90</f>
        <v>0</v>
      </c>
      <c r="AE91" s="748"/>
      <c r="AF91" s="748"/>
      <c r="AG91" s="704"/>
      <c r="AH91" s="747">
        <f>AH89+AH90</f>
        <v>0</v>
      </c>
      <c r="AI91" s="747"/>
      <c r="AJ91" s="747"/>
      <c r="AK91" s="747"/>
      <c r="AL91" s="747"/>
      <c r="AM91" s="747">
        <f t="shared" ref="AM91" si="102">AM89+AM90</f>
        <v>0</v>
      </c>
      <c r="AN91" s="747"/>
      <c r="AO91" s="747"/>
      <c r="AP91" s="747"/>
      <c r="AQ91" s="747"/>
      <c r="AR91" s="747">
        <f t="shared" ref="AR91" si="103">AR89+AR90</f>
        <v>0</v>
      </c>
      <c r="AS91" s="747"/>
      <c r="AT91" s="747"/>
      <c r="AU91" s="747"/>
      <c r="AV91" s="747"/>
      <c r="AW91" s="747">
        <f t="shared" ref="AW91" si="104">AW89+AW90</f>
        <v>0</v>
      </c>
      <c r="AX91" s="747"/>
      <c r="AY91" s="747"/>
      <c r="AZ91" s="747"/>
      <c r="BA91" s="747"/>
      <c r="BB91" s="747">
        <f t="shared" ref="BB91" si="105">BB89+BB90</f>
        <v>0</v>
      </c>
      <c r="BC91" s="747"/>
      <c r="BD91" s="747"/>
      <c r="BE91" s="747"/>
      <c r="BF91" s="747"/>
      <c r="BG91" s="747">
        <f t="shared" ref="BG91" si="106">BG89+BG90</f>
        <v>0</v>
      </c>
      <c r="BH91" s="747"/>
      <c r="BI91" s="747"/>
      <c r="BJ91" s="747"/>
      <c r="BK91" s="747"/>
      <c r="BL91" s="726">
        <f>BL89+BL90</f>
        <v>0</v>
      </c>
      <c r="BM91" s="727"/>
      <c r="BN91" s="727"/>
      <c r="BO91" s="727"/>
      <c r="BP91" s="703">
        <f t="shared" ref="BP91:CZ91" si="107">BP89+BP90</f>
        <v>0</v>
      </c>
      <c r="BQ91" s="704"/>
      <c r="BR91" s="704"/>
      <c r="BS91" s="704"/>
      <c r="BT91" s="704">
        <f t="shared" si="107"/>
        <v>0</v>
      </c>
      <c r="BU91" s="704"/>
      <c r="BV91" s="704"/>
      <c r="BW91" s="704"/>
      <c r="BX91" s="704">
        <f t="shared" si="107"/>
        <v>0</v>
      </c>
      <c r="BY91" s="704"/>
      <c r="BZ91" s="704"/>
      <c r="CA91" s="704"/>
      <c r="CB91" s="704">
        <f t="shared" si="107"/>
        <v>0</v>
      </c>
      <c r="CC91" s="704"/>
      <c r="CD91" s="704"/>
      <c r="CE91" s="704"/>
      <c r="CF91" s="704">
        <f t="shared" si="107"/>
        <v>0</v>
      </c>
      <c r="CG91" s="704"/>
      <c r="CH91" s="704"/>
      <c r="CI91" s="704"/>
      <c r="CJ91" s="704">
        <f t="shared" si="107"/>
        <v>0</v>
      </c>
      <c r="CK91" s="704"/>
      <c r="CL91" s="704"/>
      <c r="CM91" s="704"/>
      <c r="CN91" s="704">
        <f t="shared" si="107"/>
        <v>0</v>
      </c>
      <c r="CO91" s="704"/>
      <c r="CP91" s="704"/>
      <c r="CQ91" s="704"/>
      <c r="CR91" s="704">
        <f t="shared" si="107"/>
        <v>0</v>
      </c>
      <c r="CS91" s="704"/>
      <c r="CT91" s="704"/>
      <c r="CU91" s="704"/>
      <c r="CV91" s="704">
        <f t="shared" si="107"/>
        <v>0</v>
      </c>
      <c r="CW91" s="704"/>
      <c r="CX91" s="704"/>
      <c r="CY91" s="704"/>
      <c r="CZ91" s="704">
        <f t="shared" si="107"/>
        <v>0</v>
      </c>
      <c r="DA91" s="704"/>
      <c r="DB91" s="704"/>
      <c r="DC91" s="750"/>
      <c r="DD91" s="703">
        <f>DD89+DD90</f>
        <v>0</v>
      </c>
      <c r="DE91" s="704"/>
      <c r="DF91" s="704"/>
      <c r="DG91" s="704"/>
      <c r="DH91" s="704">
        <f>DH89+DH90</f>
        <v>0</v>
      </c>
      <c r="DI91" s="704"/>
      <c r="DJ91" s="704"/>
      <c r="DK91" s="704"/>
      <c r="DL91" s="704">
        <f t="shared" ref="DL91" si="108">DL89+DL90</f>
        <v>0</v>
      </c>
      <c r="DM91" s="704"/>
      <c r="DN91" s="704"/>
      <c r="DO91" s="704"/>
      <c r="DP91" s="704">
        <f t="shared" ref="DP91" si="109">DP89+DP90</f>
        <v>3</v>
      </c>
      <c r="DQ91" s="704"/>
      <c r="DR91" s="704"/>
      <c r="DS91" s="704"/>
      <c r="DT91" s="704">
        <f t="shared" ref="DT91" si="110">DT89+DT90</f>
        <v>4</v>
      </c>
      <c r="DU91" s="704"/>
      <c r="DV91" s="704"/>
      <c r="DW91" s="704"/>
      <c r="DX91" s="704">
        <f t="shared" ref="DX91" si="111">DX89+DX90</f>
        <v>0</v>
      </c>
      <c r="DY91" s="704"/>
      <c r="DZ91" s="704"/>
      <c r="EA91" s="704"/>
      <c r="EB91" s="704">
        <f t="shared" ref="EB91" si="112">EB89+EB90</f>
        <v>8</v>
      </c>
      <c r="EC91" s="704"/>
      <c r="ED91" s="704"/>
      <c r="EE91" s="704"/>
      <c r="EF91" s="704">
        <f t="shared" ref="EF91" si="113">EF89+EF90</f>
        <v>8</v>
      </c>
      <c r="EG91" s="704"/>
      <c r="EH91" s="704"/>
      <c r="EI91" s="704"/>
      <c r="EJ91" s="704">
        <f t="shared" ref="EJ91" si="114">EJ89+EJ90</f>
        <v>9</v>
      </c>
      <c r="EK91" s="704"/>
      <c r="EL91" s="704"/>
      <c r="EM91" s="704"/>
      <c r="EN91" s="704">
        <f t="shared" ref="EN91" si="115">EN89+EN90</f>
        <v>9</v>
      </c>
      <c r="EO91" s="704"/>
      <c r="EP91" s="704"/>
      <c r="EQ91" s="753"/>
      <c r="ER91" s="655">
        <f t="shared" si="101"/>
        <v>41</v>
      </c>
      <c r="ES91" s="656"/>
      <c r="ET91" s="952"/>
      <c r="EU91" s="657"/>
    </row>
    <row r="92" spans="1:164" s="98" customFormat="1" ht="60" customHeight="1" x14ac:dyDescent="0.2">
      <c r="A92" s="64"/>
      <c r="B92" s="65"/>
      <c r="C92" s="720" t="s">
        <v>22</v>
      </c>
      <c r="D92" s="720"/>
      <c r="E92" s="720"/>
      <c r="F92" s="720"/>
      <c r="G92" s="720"/>
      <c r="H92" s="720"/>
      <c r="I92" s="720"/>
      <c r="J92" s="720"/>
      <c r="K92" s="720"/>
      <c r="L92" s="720"/>
      <c r="M92" s="720"/>
      <c r="N92" s="720"/>
      <c r="O92" s="720"/>
      <c r="P92" s="720"/>
      <c r="Q92" s="720"/>
      <c r="R92" s="720"/>
      <c r="S92" s="720"/>
      <c r="T92" s="720"/>
      <c r="U92" s="720"/>
      <c r="V92" s="720"/>
      <c r="W92" s="720"/>
      <c r="X92" s="720"/>
      <c r="Y92" s="720"/>
      <c r="Z92" s="716">
        <f>Z91+Z88</f>
        <v>7200</v>
      </c>
      <c r="AA92" s="717"/>
      <c r="AB92" s="717"/>
      <c r="AC92" s="717"/>
      <c r="AD92" s="721">
        <f>AD88+AD91</f>
        <v>0</v>
      </c>
      <c r="AE92" s="721"/>
      <c r="AF92" s="721"/>
      <c r="AG92" s="721"/>
      <c r="AH92" s="716">
        <f>AH88+AH91</f>
        <v>876</v>
      </c>
      <c r="AI92" s="717"/>
      <c r="AJ92" s="717"/>
      <c r="AK92" s="717"/>
      <c r="AL92" s="717"/>
      <c r="AM92" s="716">
        <f t="shared" ref="AM92" si="116">AM88+AM91</f>
        <v>444</v>
      </c>
      <c r="AN92" s="717"/>
      <c r="AO92" s="717"/>
      <c r="AP92" s="717"/>
      <c r="AQ92" s="717"/>
      <c r="AR92" s="716">
        <f t="shared" ref="AR92" si="117">AR88+AR91</f>
        <v>286</v>
      </c>
      <c r="AS92" s="717"/>
      <c r="AT92" s="717"/>
      <c r="AU92" s="717"/>
      <c r="AV92" s="717"/>
      <c r="AW92" s="716">
        <f t="shared" ref="AW92" si="118">AW88+AW91</f>
        <v>146</v>
      </c>
      <c r="AX92" s="717"/>
      <c r="AY92" s="717"/>
      <c r="AZ92" s="717"/>
      <c r="BA92" s="717"/>
      <c r="BB92" s="716">
        <f t="shared" ref="BB92" si="119">BB88+BB91</f>
        <v>0</v>
      </c>
      <c r="BC92" s="717"/>
      <c r="BD92" s="717"/>
      <c r="BE92" s="717"/>
      <c r="BF92" s="717"/>
      <c r="BG92" s="716">
        <f t="shared" ref="BG92" si="120">BG88+BG91</f>
        <v>0</v>
      </c>
      <c r="BH92" s="717"/>
      <c r="BI92" s="717"/>
      <c r="BJ92" s="717"/>
      <c r="BK92" s="717"/>
      <c r="BL92" s="718">
        <f>BL88+BL91</f>
        <v>5094</v>
      </c>
      <c r="BM92" s="719"/>
      <c r="BN92" s="719"/>
      <c r="BO92" s="719"/>
      <c r="BP92" s="725">
        <f t="shared" ref="BP92:CZ92" si="121">+BP91+BP88</f>
        <v>37</v>
      </c>
      <c r="BQ92" s="723"/>
      <c r="BR92" s="723"/>
      <c r="BS92" s="723"/>
      <c r="BT92" s="722">
        <f t="shared" si="121"/>
        <v>35</v>
      </c>
      <c r="BU92" s="723"/>
      <c r="BV92" s="723"/>
      <c r="BW92" s="723"/>
      <c r="BX92" s="722">
        <f t="shared" si="121"/>
        <v>35</v>
      </c>
      <c r="BY92" s="723"/>
      <c r="BZ92" s="723"/>
      <c r="CA92" s="723"/>
      <c r="CB92" s="722">
        <f t="shared" si="121"/>
        <v>34</v>
      </c>
      <c r="CC92" s="723"/>
      <c r="CD92" s="723"/>
      <c r="CE92" s="723"/>
      <c r="CF92" s="722">
        <f t="shared" si="121"/>
        <v>30</v>
      </c>
      <c r="CG92" s="723"/>
      <c r="CH92" s="723"/>
      <c r="CI92" s="723"/>
      <c r="CJ92" s="722">
        <f t="shared" si="121"/>
        <v>30</v>
      </c>
      <c r="CK92" s="723"/>
      <c r="CL92" s="723"/>
      <c r="CM92" s="723"/>
      <c r="CN92" s="722">
        <f t="shared" si="121"/>
        <v>16</v>
      </c>
      <c r="CO92" s="723"/>
      <c r="CP92" s="723"/>
      <c r="CQ92" s="723"/>
      <c r="CR92" s="722">
        <f t="shared" si="121"/>
        <v>18</v>
      </c>
      <c r="CS92" s="723"/>
      <c r="CT92" s="723"/>
      <c r="CU92" s="723"/>
      <c r="CV92" s="722">
        <f t="shared" si="121"/>
        <v>22</v>
      </c>
      <c r="CW92" s="723"/>
      <c r="CX92" s="723"/>
      <c r="CY92" s="723"/>
      <c r="CZ92" s="722">
        <f t="shared" si="121"/>
        <v>17</v>
      </c>
      <c r="DA92" s="723"/>
      <c r="DB92" s="723"/>
      <c r="DC92" s="724"/>
      <c r="DD92" s="725">
        <f>+DD91+DD88</f>
        <v>26</v>
      </c>
      <c r="DE92" s="723"/>
      <c r="DF92" s="723"/>
      <c r="DG92" s="723"/>
      <c r="DH92" s="722">
        <f t="shared" ref="DH92" si="122">+DH91+DH88</f>
        <v>21</v>
      </c>
      <c r="DI92" s="723"/>
      <c r="DJ92" s="723"/>
      <c r="DK92" s="723"/>
      <c r="DL92" s="722">
        <f t="shared" ref="DL92" si="123">+DL91+DL88</f>
        <v>26</v>
      </c>
      <c r="DM92" s="723"/>
      <c r="DN92" s="723"/>
      <c r="DO92" s="723"/>
      <c r="DP92" s="722">
        <f t="shared" ref="DP92" si="124">+DP91+DP88</f>
        <v>27</v>
      </c>
      <c r="DQ92" s="723"/>
      <c r="DR92" s="723"/>
      <c r="DS92" s="723"/>
      <c r="DT92" s="722">
        <f t="shared" ref="DT92" si="125">+DT91+DT88</f>
        <v>26</v>
      </c>
      <c r="DU92" s="723"/>
      <c r="DV92" s="723"/>
      <c r="DW92" s="723"/>
      <c r="DX92" s="722">
        <f t="shared" ref="DX92" si="126">+DX91+DX88</f>
        <v>20</v>
      </c>
      <c r="DY92" s="723"/>
      <c r="DZ92" s="723"/>
      <c r="EA92" s="723"/>
      <c r="EB92" s="722">
        <f t="shared" ref="EB92" si="127">+EB91+EB88</f>
        <v>23</v>
      </c>
      <c r="EC92" s="723"/>
      <c r="ED92" s="723"/>
      <c r="EE92" s="723"/>
      <c r="EF92" s="722">
        <f t="shared" ref="EF92" si="128">+EF91+EF88</f>
        <v>23</v>
      </c>
      <c r="EG92" s="723"/>
      <c r="EH92" s="723"/>
      <c r="EI92" s="723"/>
      <c r="EJ92" s="722">
        <f t="shared" ref="EJ92" si="129">+EJ91+EJ88</f>
        <v>25</v>
      </c>
      <c r="EK92" s="723"/>
      <c r="EL92" s="723"/>
      <c r="EM92" s="723"/>
      <c r="EN92" s="722">
        <f t="shared" ref="EN92" si="130">+EN91+EN88</f>
        <v>23</v>
      </c>
      <c r="EO92" s="723"/>
      <c r="EP92" s="723"/>
      <c r="EQ92" s="752"/>
      <c r="ER92" s="728">
        <f t="shared" si="101"/>
        <v>240</v>
      </c>
      <c r="ES92" s="716"/>
      <c r="ET92" s="718"/>
      <c r="EU92" s="729"/>
    </row>
    <row r="93" spans="1:164" ht="45" customHeight="1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66"/>
      <c r="ES93" s="66"/>
      <c r="ET93" s="66"/>
      <c r="EU93" s="67"/>
    </row>
    <row r="94" spans="1:164" s="31" customFormat="1" ht="140.1" customHeight="1" x14ac:dyDescent="0.65">
      <c r="A94" s="34"/>
      <c r="B94" s="185" t="s">
        <v>98</v>
      </c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743"/>
      <c r="AA94" s="743"/>
      <c r="AB94" s="743"/>
      <c r="AC94" s="735"/>
      <c r="AD94" s="292"/>
      <c r="AE94" s="292"/>
      <c r="AF94" s="299"/>
      <c r="AG94" s="289"/>
      <c r="AH94" s="292"/>
      <c r="AI94" s="292"/>
      <c r="AJ94" s="292"/>
      <c r="AK94" s="289"/>
      <c r="AL94" s="292"/>
      <c r="AM94" s="292"/>
      <c r="AN94" s="292"/>
      <c r="AO94" s="289"/>
      <c r="AP94" s="292"/>
      <c r="AQ94" s="292"/>
      <c r="AR94" s="292"/>
      <c r="AS94" s="289"/>
      <c r="AT94" s="292"/>
      <c r="AU94" s="292"/>
      <c r="AV94" s="292"/>
      <c r="AW94" s="289"/>
      <c r="AX94" s="292"/>
      <c r="AY94" s="292"/>
      <c r="AZ94" s="292"/>
      <c r="BA94" s="289"/>
      <c r="BB94" s="292"/>
      <c r="BC94" s="292"/>
      <c r="BD94" s="292"/>
      <c r="BE94" s="289"/>
      <c r="BF94" s="289"/>
      <c r="BG94" s="289"/>
      <c r="BH94" s="289"/>
      <c r="BI94" s="289"/>
      <c r="BJ94" s="289"/>
      <c r="BK94" s="289"/>
      <c r="BL94" s="292"/>
      <c r="BM94" s="292"/>
      <c r="BN94" s="292"/>
      <c r="BO94" s="289"/>
      <c r="BP94" s="292"/>
      <c r="BQ94" s="289"/>
      <c r="BR94" s="289"/>
      <c r="BS94" s="289"/>
      <c r="BT94" s="292"/>
      <c r="BU94" s="289"/>
      <c r="BV94" s="289"/>
      <c r="BW94" s="289"/>
      <c r="BX94" s="292"/>
      <c r="BY94" s="289"/>
      <c r="BZ94" s="289"/>
      <c r="CA94" s="289"/>
      <c r="CB94" s="292"/>
      <c r="CC94" s="289"/>
      <c r="CD94" s="289"/>
      <c r="CE94" s="289"/>
      <c r="CF94" s="292"/>
      <c r="CG94" s="289"/>
      <c r="CH94" s="289"/>
      <c r="CI94" s="289"/>
      <c r="CJ94" s="292"/>
      <c r="CK94" s="289"/>
      <c r="CL94" s="289"/>
      <c r="CM94" s="289"/>
      <c r="CN94" s="292"/>
      <c r="CO94" s="289"/>
      <c r="CP94" s="289"/>
      <c r="CQ94" s="289"/>
      <c r="CR94" s="292"/>
      <c r="CS94" s="289"/>
      <c r="CT94" s="289"/>
      <c r="CU94" s="289"/>
      <c r="CV94" s="292"/>
      <c r="CW94" s="289"/>
      <c r="CX94" s="289"/>
      <c r="CY94" s="289"/>
      <c r="CZ94" s="292"/>
      <c r="DA94" s="289"/>
      <c r="DB94" s="289"/>
      <c r="DC94" s="289"/>
      <c r="DD94" s="292"/>
      <c r="DE94" s="289"/>
      <c r="DF94" s="289"/>
      <c r="DG94" s="289"/>
      <c r="DH94" s="292"/>
      <c r="DI94" s="289"/>
      <c r="DJ94" s="289"/>
      <c r="DK94" s="289"/>
      <c r="DL94" s="292"/>
      <c r="DM94" s="289"/>
      <c r="DN94" s="289"/>
      <c r="DO94" s="289"/>
      <c r="DP94" s="292"/>
      <c r="DQ94" s="289"/>
      <c r="DR94" s="289"/>
      <c r="DS94" s="289"/>
      <c r="DT94" s="292"/>
      <c r="DU94" s="289"/>
      <c r="DV94" s="289"/>
      <c r="DW94" s="289"/>
      <c r="DX94" s="292"/>
      <c r="DY94" s="289"/>
      <c r="DZ94" s="289"/>
      <c r="EA94" s="289"/>
      <c r="EB94" s="292"/>
      <c r="EC94" s="289"/>
      <c r="ED94" s="289"/>
      <c r="EE94" s="289"/>
      <c r="EF94" s="292"/>
      <c r="EG94" s="289"/>
      <c r="EH94" s="289"/>
      <c r="EI94" s="289"/>
      <c r="EJ94" s="292"/>
      <c r="EK94" s="289"/>
      <c r="EL94" s="289"/>
      <c r="EM94" s="289"/>
      <c r="EN94" s="292"/>
      <c r="EO94" s="289"/>
      <c r="EP94" s="289"/>
      <c r="EQ94" s="289"/>
      <c r="ER94" s="117"/>
      <c r="ES94" s="117"/>
      <c r="ET94" s="117"/>
      <c r="EU94" s="29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</row>
    <row r="95" spans="1:164" s="31" customFormat="1" ht="140.1" customHeight="1" x14ac:dyDescent="0.65">
      <c r="A95" s="32"/>
      <c r="B95" s="742" t="s">
        <v>219</v>
      </c>
      <c r="C95" s="742"/>
      <c r="D95" s="742"/>
      <c r="E95" s="742"/>
      <c r="F95" s="742"/>
      <c r="G95" s="742"/>
      <c r="H95" s="742"/>
      <c r="I95" s="742"/>
      <c r="J95" s="742"/>
      <c r="K95" s="742"/>
      <c r="L95" s="742"/>
      <c r="M95" s="742"/>
      <c r="N95" s="742"/>
      <c r="O95" s="742"/>
      <c r="P95" s="742"/>
      <c r="Q95" s="742"/>
      <c r="R95" s="742"/>
      <c r="S95" s="742"/>
      <c r="T95" s="742"/>
      <c r="U95" s="742"/>
      <c r="V95" s="742"/>
      <c r="W95" s="742"/>
      <c r="X95" s="742"/>
      <c r="Y95" s="742"/>
      <c r="Z95" s="742"/>
      <c r="AA95" s="742"/>
      <c r="AB95" s="742"/>
      <c r="AC95" s="742"/>
      <c r="AD95" s="742"/>
      <c r="AE95" s="742"/>
      <c r="AF95" s="742"/>
      <c r="AG95" s="742"/>
      <c r="AH95" s="742"/>
      <c r="AI95" s="742"/>
      <c r="AJ95" s="742"/>
      <c r="AK95" s="742"/>
      <c r="AL95" s="742"/>
      <c r="AM95" s="742"/>
      <c r="AN95" s="742"/>
      <c r="AO95" s="742"/>
      <c r="AP95" s="742"/>
      <c r="AQ95" s="742"/>
      <c r="AR95" s="742"/>
      <c r="AS95" s="742"/>
      <c r="AT95" s="742"/>
      <c r="AU95" s="742"/>
      <c r="AV95" s="742"/>
      <c r="AW95" s="742"/>
      <c r="AX95" s="742"/>
      <c r="AY95" s="742"/>
      <c r="AZ95" s="742"/>
      <c r="BA95" s="742"/>
      <c r="BB95" s="742"/>
      <c r="BC95" s="742"/>
      <c r="BD95" s="742"/>
      <c r="BE95" s="742"/>
      <c r="BF95" s="742"/>
      <c r="BG95" s="742"/>
      <c r="BH95" s="742"/>
      <c r="BI95" s="742"/>
      <c r="BJ95" s="742"/>
      <c r="BK95" s="742"/>
      <c r="BL95" s="742"/>
      <c r="BM95" s="742"/>
      <c r="BN95" s="742"/>
      <c r="BO95" s="742"/>
      <c r="BP95" s="742"/>
      <c r="BQ95" s="742"/>
      <c r="BR95" s="742"/>
      <c r="BS95" s="742"/>
      <c r="BT95" s="742"/>
      <c r="BU95" s="742"/>
      <c r="BV95" s="742"/>
      <c r="BW95" s="742"/>
      <c r="BX95" s="742"/>
      <c r="BY95" s="742"/>
      <c r="BZ95" s="742"/>
      <c r="CA95" s="742"/>
      <c r="CB95" s="742"/>
      <c r="CC95" s="742"/>
      <c r="CD95" s="742"/>
      <c r="CE95" s="742"/>
      <c r="CF95" s="742"/>
      <c r="CG95" s="742"/>
      <c r="CH95" s="742"/>
      <c r="CI95" s="742"/>
      <c r="CJ95" s="742"/>
      <c r="CK95" s="742"/>
      <c r="CL95" s="742"/>
      <c r="CM95" s="742"/>
      <c r="CN95" s="742"/>
      <c r="CO95" s="742"/>
      <c r="CP95" s="742"/>
      <c r="CQ95" s="742"/>
      <c r="CR95" s="742"/>
      <c r="CS95" s="742"/>
      <c r="CT95" s="742"/>
      <c r="CU95" s="742"/>
      <c r="CV95" s="742"/>
      <c r="CW95" s="742"/>
      <c r="CX95" s="742"/>
      <c r="CY95" s="742"/>
      <c r="CZ95" s="742"/>
      <c r="DA95" s="742"/>
      <c r="DB95" s="742"/>
      <c r="DC95" s="742"/>
      <c r="DD95" s="742"/>
      <c r="DE95" s="742"/>
      <c r="DF95" s="742"/>
      <c r="DG95" s="742"/>
      <c r="DH95" s="742"/>
      <c r="DI95" s="742"/>
      <c r="DJ95" s="742"/>
      <c r="DK95" s="742"/>
      <c r="DL95" s="742"/>
      <c r="DM95" s="742"/>
      <c r="DN95" s="742"/>
      <c r="DO95" s="742"/>
      <c r="DP95" s="742"/>
      <c r="DQ95" s="742"/>
      <c r="DR95" s="742"/>
      <c r="DS95" s="742"/>
      <c r="DT95" s="742"/>
      <c r="DU95" s="742"/>
      <c r="DV95" s="742"/>
      <c r="DW95" s="742"/>
      <c r="DX95" s="742"/>
      <c r="DY95" s="742"/>
      <c r="DZ95" s="742"/>
      <c r="EA95" s="742"/>
      <c r="EB95" s="742"/>
      <c r="EC95" s="742"/>
      <c r="ED95" s="742"/>
      <c r="EE95" s="742"/>
      <c r="EF95" s="742"/>
      <c r="EG95" s="742"/>
      <c r="EH95" s="742"/>
      <c r="EI95" s="742"/>
      <c r="EJ95" s="742"/>
      <c r="EK95" s="742"/>
      <c r="EL95" s="742"/>
      <c r="EM95" s="742"/>
      <c r="EN95" s="742"/>
      <c r="EO95" s="742"/>
      <c r="EP95" s="742"/>
      <c r="EQ95" s="742"/>
      <c r="ER95" s="742"/>
      <c r="ES95" s="742"/>
      <c r="ET95" s="742"/>
      <c r="EU95" s="742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</row>
    <row r="96" spans="1:164" s="31" customFormat="1" ht="140.1" customHeight="1" x14ac:dyDescent="0.65">
      <c r="A96" s="32"/>
      <c r="B96" s="742" t="s">
        <v>220</v>
      </c>
      <c r="C96" s="742"/>
      <c r="D96" s="742"/>
      <c r="E96" s="742"/>
      <c r="F96" s="742"/>
      <c r="G96" s="742"/>
      <c r="H96" s="742"/>
      <c r="I96" s="742"/>
      <c r="J96" s="742"/>
      <c r="K96" s="742"/>
      <c r="L96" s="742"/>
      <c r="M96" s="742"/>
      <c r="N96" s="742"/>
      <c r="O96" s="742"/>
      <c r="P96" s="742"/>
      <c r="Q96" s="742"/>
      <c r="R96" s="742"/>
      <c r="S96" s="742"/>
      <c r="T96" s="742"/>
      <c r="U96" s="742"/>
      <c r="V96" s="742"/>
      <c r="W96" s="742"/>
      <c r="X96" s="742"/>
      <c r="Y96" s="742"/>
      <c r="Z96" s="742"/>
      <c r="AA96" s="742"/>
      <c r="AB96" s="742"/>
      <c r="AC96" s="742"/>
      <c r="AD96" s="742"/>
      <c r="AE96" s="742"/>
      <c r="AF96" s="742"/>
      <c r="AG96" s="742"/>
      <c r="AH96" s="742"/>
      <c r="AI96" s="742"/>
      <c r="AJ96" s="742"/>
      <c r="AK96" s="742"/>
      <c r="AL96" s="742"/>
      <c r="AM96" s="742"/>
      <c r="AN96" s="742"/>
      <c r="AO96" s="742"/>
      <c r="AP96" s="742"/>
      <c r="AQ96" s="742"/>
      <c r="AR96" s="742"/>
      <c r="AS96" s="742"/>
      <c r="AT96" s="742"/>
      <c r="AU96" s="742"/>
      <c r="AV96" s="742"/>
      <c r="AW96" s="742"/>
      <c r="AX96" s="742"/>
      <c r="AY96" s="742"/>
      <c r="AZ96" s="742"/>
      <c r="BA96" s="742"/>
      <c r="BB96" s="742"/>
      <c r="BC96" s="742"/>
      <c r="BD96" s="742"/>
      <c r="BE96" s="742"/>
      <c r="BF96" s="742"/>
      <c r="BG96" s="742"/>
      <c r="BH96" s="742"/>
      <c r="BI96" s="742"/>
      <c r="BJ96" s="742"/>
      <c r="BK96" s="742"/>
      <c r="BL96" s="742"/>
      <c r="BM96" s="742"/>
      <c r="BN96" s="742"/>
      <c r="BO96" s="742"/>
      <c r="BP96" s="742"/>
      <c r="BQ96" s="742"/>
      <c r="BR96" s="742"/>
      <c r="BS96" s="742"/>
      <c r="BT96" s="742"/>
      <c r="BU96" s="742"/>
      <c r="BV96" s="742"/>
      <c r="BW96" s="742"/>
      <c r="BX96" s="742"/>
      <c r="BY96" s="742"/>
      <c r="BZ96" s="742"/>
      <c r="CA96" s="742"/>
      <c r="CB96" s="742"/>
      <c r="CC96" s="742"/>
      <c r="CD96" s="742"/>
      <c r="CE96" s="742"/>
      <c r="CF96" s="742"/>
      <c r="CG96" s="742"/>
      <c r="CH96" s="742"/>
      <c r="CI96" s="742"/>
      <c r="CJ96" s="742"/>
      <c r="CK96" s="742"/>
      <c r="CL96" s="742"/>
      <c r="CM96" s="742"/>
      <c r="CN96" s="742"/>
      <c r="CO96" s="742"/>
      <c r="CP96" s="742"/>
      <c r="CQ96" s="742"/>
      <c r="CR96" s="742"/>
      <c r="CS96" s="742"/>
      <c r="CT96" s="742"/>
      <c r="CU96" s="742"/>
      <c r="CV96" s="742"/>
      <c r="CW96" s="742"/>
      <c r="CX96" s="742"/>
      <c r="CY96" s="742"/>
      <c r="CZ96" s="742"/>
      <c r="DA96" s="742"/>
      <c r="DB96" s="742"/>
      <c r="DC96" s="742"/>
      <c r="DD96" s="742"/>
      <c r="DE96" s="742"/>
      <c r="DF96" s="742"/>
      <c r="DG96" s="742"/>
      <c r="DH96" s="742"/>
      <c r="DI96" s="742"/>
      <c r="DJ96" s="742"/>
      <c r="DK96" s="742"/>
      <c r="DL96" s="742"/>
      <c r="DM96" s="742"/>
      <c r="DN96" s="742"/>
      <c r="DO96" s="742"/>
      <c r="DP96" s="742"/>
      <c r="DQ96" s="742"/>
      <c r="DR96" s="742"/>
      <c r="DS96" s="742"/>
      <c r="DT96" s="742"/>
      <c r="DU96" s="742"/>
      <c r="DV96" s="742"/>
      <c r="DW96" s="742"/>
      <c r="DX96" s="742"/>
      <c r="DY96" s="742"/>
      <c r="DZ96" s="742"/>
      <c r="EA96" s="742"/>
      <c r="EB96" s="742"/>
      <c r="EC96" s="742"/>
      <c r="ED96" s="742"/>
      <c r="EE96" s="742"/>
      <c r="EF96" s="742"/>
      <c r="EG96" s="742"/>
      <c r="EH96" s="742"/>
      <c r="EI96" s="742"/>
      <c r="EJ96" s="742"/>
      <c r="EK96" s="742"/>
      <c r="EL96" s="742"/>
      <c r="EM96" s="742"/>
      <c r="EN96" s="742"/>
      <c r="EO96" s="742"/>
      <c r="EP96" s="742"/>
      <c r="EQ96" s="742"/>
      <c r="ER96" s="742"/>
      <c r="ES96" s="742"/>
      <c r="ET96" s="742"/>
      <c r="EU96" s="742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</row>
    <row r="97" spans="1:164" s="31" customFormat="1" ht="140.1" customHeight="1" x14ac:dyDescent="0.65">
      <c r="A97" s="32"/>
      <c r="B97" s="742" t="s">
        <v>221</v>
      </c>
      <c r="C97" s="742"/>
      <c r="D97" s="742"/>
      <c r="E97" s="742"/>
      <c r="F97" s="742"/>
      <c r="G97" s="742"/>
      <c r="H97" s="742"/>
      <c r="I97" s="742"/>
      <c r="J97" s="742"/>
      <c r="K97" s="742"/>
      <c r="L97" s="742"/>
      <c r="M97" s="742"/>
      <c r="N97" s="742"/>
      <c r="O97" s="742"/>
      <c r="P97" s="742"/>
      <c r="Q97" s="742"/>
      <c r="R97" s="742"/>
      <c r="S97" s="742"/>
      <c r="T97" s="742"/>
      <c r="U97" s="742"/>
      <c r="V97" s="742"/>
      <c r="W97" s="742"/>
      <c r="X97" s="742"/>
      <c r="Y97" s="742"/>
      <c r="Z97" s="742"/>
      <c r="AA97" s="742"/>
      <c r="AB97" s="742"/>
      <c r="AC97" s="742"/>
      <c r="AD97" s="742"/>
      <c r="AE97" s="742"/>
      <c r="AF97" s="742"/>
      <c r="AG97" s="742"/>
      <c r="AH97" s="742"/>
      <c r="AI97" s="742"/>
      <c r="AJ97" s="742"/>
      <c r="AK97" s="742"/>
      <c r="AL97" s="742"/>
      <c r="AM97" s="742"/>
      <c r="AN97" s="742"/>
      <c r="AO97" s="742"/>
      <c r="AP97" s="742"/>
      <c r="AQ97" s="742"/>
      <c r="AR97" s="742"/>
      <c r="AS97" s="742"/>
      <c r="AT97" s="742"/>
      <c r="AU97" s="742"/>
      <c r="AV97" s="742"/>
      <c r="AW97" s="742"/>
      <c r="AX97" s="742"/>
      <c r="AY97" s="742"/>
      <c r="AZ97" s="742"/>
      <c r="BA97" s="742"/>
      <c r="BB97" s="742"/>
      <c r="BC97" s="742"/>
      <c r="BD97" s="742"/>
      <c r="BE97" s="742"/>
      <c r="BF97" s="742"/>
      <c r="BG97" s="742"/>
      <c r="BH97" s="742"/>
      <c r="BI97" s="742"/>
      <c r="BJ97" s="742"/>
      <c r="BK97" s="742"/>
      <c r="BL97" s="742"/>
      <c r="BM97" s="742"/>
      <c r="BN97" s="742"/>
      <c r="BO97" s="742"/>
      <c r="BP97" s="742"/>
      <c r="BQ97" s="742"/>
      <c r="BR97" s="742"/>
      <c r="BS97" s="742"/>
      <c r="BT97" s="742"/>
      <c r="BU97" s="742"/>
      <c r="BV97" s="742"/>
      <c r="BW97" s="742"/>
      <c r="BX97" s="742"/>
      <c r="BY97" s="742"/>
      <c r="BZ97" s="742"/>
      <c r="CA97" s="742"/>
      <c r="CB97" s="742"/>
      <c r="CC97" s="742"/>
      <c r="CD97" s="742"/>
      <c r="CE97" s="742"/>
      <c r="CF97" s="742"/>
      <c r="CG97" s="742"/>
      <c r="CH97" s="742"/>
      <c r="CI97" s="742"/>
      <c r="CJ97" s="742"/>
      <c r="CK97" s="742"/>
      <c r="CL97" s="742"/>
      <c r="CM97" s="742"/>
      <c r="CN97" s="742"/>
      <c r="CO97" s="742"/>
      <c r="CP97" s="742"/>
      <c r="CQ97" s="742"/>
      <c r="CR97" s="742"/>
      <c r="CS97" s="742"/>
      <c r="CT97" s="742"/>
      <c r="CU97" s="742"/>
      <c r="CV97" s="742"/>
      <c r="CW97" s="742"/>
      <c r="CX97" s="742"/>
      <c r="CY97" s="742"/>
      <c r="CZ97" s="742"/>
      <c r="DA97" s="742"/>
      <c r="DB97" s="742"/>
      <c r="DC97" s="742"/>
      <c r="DD97" s="742"/>
      <c r="DE97" s="742"/>
      <c r="DF97" s="742"/>
      <c r="DG97" s="742"/>
      <c r="DH97" s="742"/>
      <c r="DI97" s="742"/>
      <c r="DJ97" s="742"/>
      <c r="DK97" s="742"/>
      <c r="DL97" s="742"/>
      <c r="DM97" s="742"/>
      <c r="DN97" s="742"/>
      <c r="DO97" s="742"/>
      <c r="DP97" s="742"/>
      <c r="DQ97" s="742"/>
      <c r="DR97" s="742"/>
      <c r="DS97" s="742"/>
      <c r="DT97" s="742"/>
      <c r="DU97" s="742"/>
      <c r="DV97" s="742"/>
      <c r="DW97" s="742"/>
      <c r="DX97" s="742"/>
      <c r="DY97" s="742"/>
      <c r="DZ97" s="742"/>
      <c r="EA97" s="742"/>
      <c r="EB97" s="742"/>
      <c r="EC97" s="742"/>
      <c r="ED97" s="742"/>
      <c r="EE97" s="742"/>
      <c r="EF97" s="742"/>
      <c r="EG97" s="742"/>
      <c r="EH97" s="742"/>
      <c r="EI97" s="742"/>
      <c r="EJ97" s="742"/>
      <c r="EK97" s="742"/>
      <c r="EL97" s="742"/>
      <c r="EM97" s="742"/>
      <c r="EN97" s="742"/>
      <c r="EO97" s="742"/>
      <c r="EP97" s="742"/>
      <c r="EQ97" s="742"/>
      <c r="ER97" s="742"/>
      <c r="ES97" s="742"/>
      <c r="ET97" s="742"/>
      <c r="EU97" s="742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</row>
    <row r="98" spans="1:164" s="31" customFormat="1" ht="60.75" customHeight="1" x14ac:dyDescent="0.7">
      <c r="A98" s="33"/>
      <c r="B98" s="119"/>
      <c r="C98" s="120"/>
      <c r="D98" s="120"/>
      <c r="E98" s="291"/>
      <c r="F98" s="291"/>
      <c r="G98" s="291"/>
      <c r="H98" s="291"/>
      <c r="I98" s="291"/>
      <c r="J98" s="291"/>
      <c r="K98" s="291"/>
      <c r="L98" s="291"/>
      <c r="M98" s="291"/>
      <c r="N98" s="291"/>
      <c r="O98" s="291"/>
      <c r="P98" s="291"/>
      <c r="Q98" s="291"/>
      <c r="R98" s="291"/>
      <c r="S98" s="291"/>
      <c r="T98" s="291"/>
      <c r="U98" s="291"/>
      <c r="V98" s="291"/>
      <c r="W98" s="291"/>
      <c r="X98" s="291"/>
      <c r="Y98" s="291"/>
      <c r="Z98" s="291"/>
      <c r="AA98" s="291"/>
      <c r="AB98" s="291"/>
      <c r="AC98" s="291"/>
      <c r="AD98" s="291"/>
      <c r="AE98" s="291"/>
      <c r="AF98" s="298"/>
      <c r="AG98" s="291"/>
      <c r="AH98" s="291"/>
      <c r="AI98" s="291"/>
      <c r="AJ98" s="291"/>
      <c r="AK98" s="291"/>
      <c r="AL98" s="291"/>
      <c r="AM98" s="291"/>
      <c r="AN98" s="291"/>
      <c r="AO98" s="291"/>
      <c r="AP98" s="291"/>
      <c r="AQ98" s="291"/>
      <c r="AR98" s="291"/>
      <c r="AS98" s="291"/>
      <c r="AT98" s="291"/>
      <c r="AU98" s="291"/>
      <c r="AV98" s="291"/>
      <c r="AW98" s="291"/>
      <c r="AX98" s="291"/>
      <c r="AY98" s="291"/>
      <c r="AZ98" s="291"/>
      <c r="BA98" s="291"/>
      <c r="BB98" s="291"/>
      <c r="BC98" s="291"/>
      <c r="BD98" s="291"/>
      <c r="BE98" s="291"/>
      <c r="BF98" s="291"/>
      <c r="BG98" s="291"/>
      <c r="BH98" s="291"/>
      <c r="BI98" s="291"/>
      <c r="BJ98" s="291"/>
      <c r="BK98" s="291"/>
      <c r="BL98" s="291"/>
      <c r="BM98" s="291"/>
      <c r="BN98" s="291"/>
      <c r="BO98" s="291"/>
      <c r="BP98" s="291"/>
      <c r="BQ98" s="291"/>
      <c r="BR98" s="291"/>
      <c r="BS98" s="291"/>
      <c r="BT98" s="291"/>
      <c r="BU98" s="291"/>
      <c r="BV98" s="291"/>
      <c r="BW98" s="291"/>
      <c r="BX98" s="291"/>
      <c r="BY98" s="291"/>
      <c r="BZ98" s="291"/>
      <c r="CA98" s="291"/>
      <c r="CB98" s="291"/>
      <c r="CC98" s="291"/>
      <c r="CD98" s="291"/>
      <c r="CE98" s="291"/>
      <c r="CF98" s="291"/>
      <c r="CG98" s="291"/>
      <c r="CH98" s="291"/>
      <c r="CI98" s="291"/>
      <c r="CJ98" s="291"/>
      <c r="CK98" s="291"/>
      <c r="CL98" s="291"/>
      <c r="CM98" s="291"/>
      <c r="CN98" s="291"/>
      <c r="CO98" s="291"/>
      <c r="CP98" s="291"/>
      <c r="CQ98" s="291"/>
      <c r="CR98" s="291"/>
      <c r="CS98" s="291"/>
      <c r="CT98" s="291"/>
      <c r="CU98" s="291"/>
      <c r="CV98" s="291"/>
      <c r="CW98" s="291"/>
      <c r="CX98" s="291"/>
      <c r="CY98" s="291"/>
      <c r="CZ98" s="291"/>
      <c r="DA98" s="291"/>
      <c r="DB98" s="291"/>
      <c r="DC98" s="291"/>
      <c r="DD98" s="291"/>
      <c r="DE98" s="291"/>
      <c r="DF98" s="291"/>
      <c r="DG98" s="291"/>
      <c r="DH98" s="291"/>
      <c r="DI98" s="291"/>
      <c r="DJ98" s="291"/>
      <c r="DK98" s="291"/>
      <c r="DL98" s="291"/>
      <c r="DM98" s="291"/>
      <c r="DN98" s="291"/>
      <c r="DO98" s="291"/>
      <c r="DP98" s="291"/>
      <c r="DQ98" s="291"/>
      <c r="DR98" s="75"/>
      <c r="DS98" s="76"/>
      <c r="DT98" s="77"/>
      <c r="DU98" s="77"/>
      <c r="DV98" s="77"/>
      <c r="DW98" s="77"/>
      <c r="DX98" s="77"/>
      <c r="DY98" s="77"/>
      <c r="DZ98" s="77"/>
      <c r="EA98" s="77"/>
      <c r="EB98" s="77"/>
      <c r="EC98" s="77"/>
      <c r="ED98" s="77"/>
      <c r="EE98" s="77"/>
      <c r="EF98" s="77"/>
      <c r="EG98" s="77"/>
      <c r="EH98" s="77"/>
      <c r="EI98" s="78"/>
      <c r="EJ98" s="77"/>
      <c r="EK98" s="77"/>
      <c r="EL98" s="77"/>
      <c r="EM98" s="77"/>
      <c r="EN98" s="77"/>
      <c r="EO98" s="77"/>
      <c r="EP98" s="77"/>
      <c r="EQ98" s="78"/>
      <c r="ER98" s="77"/>
      <c r="ES98" s="77"/>
      <c r="ET98" s="77"/>
      <c r="EU98" s="77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</row>
    <row r="99" spans="1:164" s="28" customFormat="1" ht="107.25" customHeight="1" x14ac:dyDescent="0.7">
      <c r="A99" s="32"/>
      <c r="B99" s="122"/>
      <c r="C99" s="608" t="s">
        <v>99</v>
      </c>
      <c r="D99" s="608"/>
      <c r="E99" s="608"/>
      <c r="F99" s="608"/>
      <c r="G99" s="608"/>
      <c r="H99" s="608"/>
      <c r="I99" s="608"/>
      <c r="J99" s="608"/>
      <c r="K99" s="608"/>
      <c r="L99" s="608"/>
      <c r="M99" s="608"/>
      <c r="N99" s="608"/>
      <c r="O99" s="608"/>
      <c r="P99" s="608"/>
      <c r="Q99" s="608"/>
      <c r="R99" s="608"/>
      <c r="S99" s="608"/>
      <c r="T99" s="608"/>
      <c r="U99" s="608"/>
      <c r="V99" s="608"/>
      <c r="W99" s="608"/>
      <c r="X99" s="608"/>
      <c r="Y99" s="608"/>
      <c r="Z99" s="608"/>
      <c r="AA99" s="608"/>
      <c r="AB99" s="608"/>
      <c r="AC99" s="608"/>
      <c r="AD99" s="608"/>
      <c r="AE99" s="593" t="s">
        <v>100</v>
      </c>
      <c r="AF99" s="594"/>
      <c r="AG99" s="594"/>
      <c r="AH99" s="594"/>
      <c r="AI99" s="594"/>
      <c r="AJ99" s="594"/>
      <c r="AK99" s="594"/>
      <c r="AL99" s="594"/>
      <c r="AM99" s="595"/>
      <c r="AN99" s="596" t="s">
        <v>101</v>
      </c>
      <c r="AO99" s="597"/>
      <c r="AP99" s="597"/>
      <c r="AQ99" s="597"/>
      <c r="AR99" s="597"/>
      <c r="AS99" s="597"/>
      <c r="AT99" s="597"/>
      <c r="AU99" s="598"/>
      <c r="AV99" s="574" t="s">
        <v>102</v>
      </c>
      <c r="AW99" s="575"/>
      <c r="AX99" s="575"/>
      <c r="AY99" s="575"/>
      <c r="AZ99" s="575"/>
      <c r="BA99" s="575"/>
      <c r="BB99" s="575"/>
      <c r="BC99" s="575"/>
      <c r="BD99" s="575"/>
      <c r="BE99" s="575"/>
      <c r="BF99" s="575"/>
      <c r="BG99" s="575"/>
      <c r="BH99" s="575"/>
      <c r="BI99" s="575"/>
      <c r="BJ99" s="575"/>
      <c r="BK99" s="575"/>
      <c r="BL99" s="575"/>
      <c r="BM99" s="575"/>
      <c r="BN99" s="575"/>
      <c r="BO99" s="575"/>
      <c r="BP99" s="575"/>
      <c r="BQ99" s="575"/>
      <c r="BR99" s="575"/>
      <c r="BS99" s="575"/>
      <c r="BT99" s="575"/>
      <c r="BU99" s="575"/>
      <c r="BV99" s="575"/>
      <c r="BW99" s="575"/>
      <c r="BX99" s="575"/>
      <c r="BY99" s="575"/>
      <c r="BZ99" s="575"/>
      <c r="CA99" s="575"/>
      <c r="CB99" s="575"/>
      <c r="CC99" s="575"/>
      <c r="CD99" s="575"/>
      <c r="CE99" s="575"/>
      <c r="CF99" s="575"/>
      <c r="CG99" s="575"/>
      <c r="CH99" s="575"/>
      <c r="CI99" s="576"/>
      <c r="CJ99" s="124"/>
      <c r="CK99" s="124"/>
      <c r="CL99" s="124"/>
      <c r="CM99" s="124"/>
      <c r="CN99" s="301"/>
      <c r="CO99" s="713"/>
      <c r="CP99" s="713"/>
      <c r="CQ99" s="713"/>
      <c r="CR99" s="713"/>
      <c r="CS99" s="713"/>
      <c r="CT99" s="713"/>
      <c r="CU99" s="713"/>
      <c r="CV99" s="713"/>
      <c r="CW99" s="713"/>
      <c r="CX99" s="713"/>
      <c r="CY99" s="713"/>
      <c r="CZ99" s="713"/>
      <c r="DA99" s="713"/>
      <c r="DB99" s="713"/>
      <c r="DC99" s="713"/>
      <c r="DD99" s="713"/>
      <c r="DE99" s="713"/>
      <c r="DF99" s="713"/>
      <c r="DG99" s="713"/>
      <c r="DH99" s="713"/>
      <c r="DI99" s="713"/>
      <c r="DJ99" s="713"/>
      <c r="DK99" s="713"/>
      <c r="DL99" s="713"/>
      <c r="DM99" s="713"/>
      <c r="DN99" s="713"/>
      <c r="DO99" s="713"/>
      <c r="DP99" s="713"/>
      <c r="DQ99" s="713"/>
      <c r="DR99" s="713"/>
      <c r="DS99" s="713"/>
      <c r="DT99" s="713"/>
      <c r="DU99" s="713"/>
      <c r="DV99" s="713"/>
      <c r="DW99" s="713"/>
      <c r="DX99" s="713"/>
      <c r="DY99" s="713"/>
      <c r="DZ99" s="713"/>
      <c r="EA99" s="713"/>
      <c r="EB99" s="713"/>
      <c r="EC99" s="713"/>
      <c r="ED99" s="713"/>
      <c r="EE99" s="713"/>
      <c r="EF99" s="79"/>
      <c r="EG99" s="79"/>
      <c r="EH99" s="79"/>
      <c r="EI99" s="79"/>
      <c r="EJ99" s="79"/>
      <c r="EK99" s="79"/>
      <c r="EL99" s="79"/>
      <c r="EM99" s="79"/>
      <c r="EN99" s="79"/>
      <c r="EO99" s="79"/>
      <c r="EP99" s="79"/>
      <c r="EQ99" s="79"/>
      <c r="ER99" s="79"/>
      <c r="ES99" s="79"/>
      <c r="ET99" s="79"/>
      <c r="EU99" s="79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</row>
    <row r="100" spans="1:164" s="29" customFormat="1" ht="80.099999999999994" customHeight="1" x14ac:dyDescent="0.7">
      <c r="A100" s="32"/>
      <c r="B100" s="122"/>
      <c r="C100" s="946" t="s">
        <v>103</v>
      </c>
      <c r="D100" s="946"/>
      <c r="E100" s="946"/>
      <c r="F100" s="946"/>
      <c r="G100" s="946"/>
      <c r="H100" s="946"/>
      <c r="I100" s="946"/>
      <c r="J100" s="946"/>
      <c r="K100" s="946"/>
      <c r="L100" s="946"/>
      <c r="M100" s="946"/>
      <c r="N100" s="946"/>
      <c r="O100" s="946"/>
      <c r="P100" s="946"/>
      <c r="Q100" s="946"/>
      <c r="R100" s="946"/>
      <c r="S100" s="946"/>
      <c r="T100" s="946"/>
      <c r="U100" s="946"/>
      <c r="V100" s="946"/>
      <c r="W100" s="946"/>
      <c r="X100" s="946"/>
      <c r="Y100" s="946"/>
      <c r="Z100" s="946"/>
      <c r="AA100" s="946"/>
      <c r="AB100" s="946"/>
      <c r="AC100" s="946"/>
      <c r="AD100" s="946"/>
      <c r="AE100" s="943">
        <f>HD20</f>
        <v>30</v>
      </c>
      <c r="AF100" s="944"/>
      <c r="AG100" s="944"/>
      <c r="AH100" s="944"/>
      <c r="AI100" s="944"/>
      <c r="AJ100" s="944"/>
      <c r="AK100" s="944"/>
      <c r="AL100" s="944"/>
      <c r="AM100" s="945"/>
      <c r="AN100" s="600" t="s">
        <v>331</v>
      </c>
      <c r="AO100" s="601"/>
      <c r="AP100" s="601"/>
      <c r="AQ100" s="601"/>
      <c r="AR100" s="601"/>
      <c r="AS100" s="601"/>
      <c r="AT100" s="601"/>
      <c r="AU100" s="602"/>
      <c r="AV100" s="731" t="s">
        <v>120</v>
      </c>
      <c r="AW100" s="732"/>
      <c r="AX100" s="732"/>
      <c r="AY100" s="732"/>
      <c r="AZ100" s="732"/>
      <c r="BA100" s="732"/>
      <c r="BB100" s="732"/>
      <c r="BC100" s="732"/>
      <c r="BD100" s="732"/>
      <c r="BE100" s="732"/>
      <c r="BF100" s="732"/>
      <c r="BG100" s="732"/>
      <c r="BH100" s="732"/>
      <c r="BI100" s="732"/>
      <c r="BJ100" s="732"/>
      <c r="BK100" s="732"/>
      <c r="BL100" s="732"/>
      <c r="BM100" s="732"/>
      <c r="BN100" s="732"/>
      <c r="BO100" s="732"/>
      <c r="BP100" s="732"/>
      <c r="BQ100" s="732"/>
      <c r="BR100" s="732"/>
      <c r="BS100" s="732"/>
      <c r="BT100" s="732"/>
      <c r="BU100" s="732"/>
      <c r="BV100" s="732"/>
      <c r="BW100" s="732"/>
      <c r="BX100" s="732"/>
      <c r="BY100" s="732"/>
      <c r="BZ100" s="732"/>
      <c r="CA100" s="732"/>
      <c r="CB100" s="732"/>
      <c r="CC100" s="732"/>
      <c r="CD100" s="732"/>
      <c r="CE100" s="732"/>
      <c r="CF100" s="732"/>
      <c r="CG100" s="732"/>
      <c r="CH100" s="732"/>
      <c r="CI100" s="733"/>
      <c r="CJ100" s="124"/>
      <c r="CK100" s="124"/>
      <c r="CL100" s="124"/>
      <c r="CM100" s="124"/>
      <c r="CN100" s="947" t="s">
        <v>330</v>
      </c>
      <c r="CO100" s="947"/>
      <c r="CP100" s="947"/>
      <c r="CQ100" s="947"/>
      <c r="CR100" s="947"/>
      <c r="CS100" s="947"/>
      <c r="CT100" s="947"/>
      <c r="CU100" s="947"/>
      <c r="CV100" s="947"/>
      <c r="CW100" s="947"/>
      <c r="CX100" s="947"/>
      <c r="CY100" s="947"/>
      <c r="CZ100" s="947"/>
      <c r="DA100" s="947"/>
      <c r="DB100" s="947"/>
      <c r="DC100" s="947"/>
      <c r="DD100" s="947"/>
      <c r="DE100" s="947"/>
      <c r="DF100" s="947"/>
      <c r="DG100" s="947"/>
      <c r="DH100" s="947"/>
      <c r="DI100" s="947"/>
      <c r="DJ100" s="947"/>
      <c r="DK100" s="947"/>
      <c r="DL100" s="947"/>
      <c r="DM100" s="947"/>
      <c r="DN100" s="947"/>
      <c r="DO100" s="947"/>
      <c r="DP100" s="947"/>
      <c r="DQ100" s="947"/>
      <c r="DR100" s="947"/>
      <c r="DS100" s="947"/>
      <c r="DT100" s="947"/>
      <c r="DU100" s="947"/>
      <c r="DV100" s="947"/>
      <c r="DW100" s="947"/>
      <c r="DX100" s="947"/>
      <c r="DY100" s="947"/>
      <c r="DZ100" s="947"/>
      <c r="EA100" s="947"/>
      <c r="EB100" s="947"/>
      <c r="EC100" s="947"/>
      <c r="ED100" s="947"/>
      <c r="EE100" s="947"/>
      <c r="EF100" s="947"/>
      <c r="EG100" s="947"/>
      <c r="EH100" s="947"/>
      <c r="EI100" s="947"/>
      <c r="EJ100" s="947"/>
      <c r="EK100" s="947"/>
      <c r="EL100" s="79"/>
      <c r="EM100" s="79"/>
      <c r="EN100" s="79"/>
      <c r="EO100" s="79"/>
      <c r="EP100" s="79"/>
      <c r="EQ100" s="79"/>
      <c r="ER100" s="79"/>
      <c r="ES100" s="79"/>
      <c r="ET100" s="79"/>
      <c r="EU100" s="79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</row>
    <row r="101" spans="1:164" s="29" customFormat="1" ht="80.099999999999994" customHeight="1" x14ac:dyDescent="0.7">
      <c r="A101" s="32"/>
      <c r="B101" s="122"/>
      <c r="C101" s="346" t="s">
        <v>140</v>
      </c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6"/>
      <c r="S101" s="346"/>
      <c r="T101" s="346"/>
      <c r="U101" s="346"/>
      <c r="V101" s="346"/>
      <c r="W101" s="346"/>
      <c r="X101" s="346"/>
      <c r="Y101" s="346"/>
      <c r="Z101" s="346"/>
      <c r="AA101" s="346"/>
      <c r="AB101" s="346"/>
      <c r="AC101" s="346"/>
      <c r="AD101" s="346"/>
      <c r="AE101" s="943">
        <f>HJ20</f>
        <v>31</v>
      </c>
      <c r="AF101" s="944"/>
      <c r="AG101" s="944"/>
      <c r="AH101" s="944"/>
      <c r="AI101" s="944"/>
      <c r="AJ101" s="944"/>
      <c r="AK101" s="944"/>
      <c r="AL101" s="944"/>
      <c r="AM101" s="945"/>
      <c r="AN101" s="600" t="s">
        <v>332</v>
      </c>
      <c r="AO101" s="601"/>
      <c r="AP101" s="601"/>
      <c r="AQ101" s="601"/>
      <c r="AR101" s="601"/>
      <c r="AS101" s="601"/>
      <c r="AT101" s="601"/>
      <c r="AU101" s="602"/>
      <c r="AV101" s="734"/>
      <c r="AW101" s="735"/>
      <c r="AX101" s="735"/>
      <c r="AY101" s="735"/>
      <c r="AZ101" s="735"/>
      <c r="BA101" s="735"/>
      <c r="BB101" s="735"/>
      <c r="BC101" s="735"/>
      <c r="BD101" s="735"/>
      <c r="BE101" s="735"/>
      <c r="BF101" s="735"/>
      <c r="BG101" s="735"/>
      <c r="BH101" s="735"/>
      <c r="BI101" s="735"/>
      <c r="BJ101" s="735"/>
      <c r="BK101" s="735"/>
      <c r="BL101" s="735"/>
      <c r="BM101" s="735"/>
      <c r="BN101" s="735"/>
      <c r="BO101" s="735"/>
      <c r="BP101" s="735"/>
      <c r="BQ101" s="735"/>
      <c r="BR101" s="735"/>
      <c r="BS101" s="735"/>
      <c r="BT101" s="735"/>
      <c r="BU101" s="735"/>
      <c r="BV101" s="735"/>
      <c r="BW101" s="735"/>
      <c r="BX101" s="735"/>
      <c r="BY101" s="735"/>
      <c r="BZ101" s="735"/>
      <c r="CA101" s="735"/>
      <c r="CB101" s="735"/>
      <c r="CC101" s="735"/>
      <c r="CD101" s="735"/>
      <c r="CE101" s="735"/>
      <c r="CF101" s="735"/>
      <c r="CG101" s="735"/>
      <c r="CH101" s="735"/>
      <c r="CI101" s="736"/>
      <c r="CJ101" s="124"/>
      <c r="CK101" s="124"/>
      <c r="CL101" s="124"/>
      <c r="CM101" s="124"/>
      <c r="CN101" s="947"/>
      <c r="CO101" s="947"/>
      <c r="CP101" s="947"/>
      <c r="CQ101" s="947"/>
      <c r="CR101" s="947"/>
      <c r="CS101" s="947"/>
      <c r="CT101" s="947"/>
      <c r="CU101" s="947"/>
      <c r="CV101" s="947"/>
      <c r="CW101" s="947"/>
      <c r="CX101" s="947"/>
      <c r="CY101" s="947"/>
      <c r="CZ101" s="947"/>
      <c r="DA101" s="947"/>
      <c r="DB101" s="947"/>
      <c r="DC101" s="947"/>
      <c r="DD101" s="947"/>
      <c r="DE101" s="947"/>
      <c r="DF101" s="947"/>
      <c r="DG101" s="947"/>
      <c r="DH101" s="947"/>
      <c r="DI101" s="947"/>
      <c r="DJ101" s="947"/>
      <c r="DK101" s="947"/>
      <c r="DL101" s="947"/>
      <c r="DM101" s="947"/>
      <c r="DN101" s="947"/>
      <c r="DO101" s="947"/>
      <c r="DP101" s="947"/>
      <c r="DQ101" s="947"/>
      <c r="DR101" s="947"/>
      <c r="DS101" s="947"/>
      <c r="DT101" s="947"/>
      <c r="DU101" s="947"/>
      <c r="DV101" s="947"/>
      <c r="DW101" s="947"/>
      <c r="DX101" s="947"/>
      <c r="DY101" s="947"/>
      <c r="DZ101" s="947"/>
      <c r="EA101" s="947"/>
      <c r="EB101" s="947"/>
      <c r="EC101" s="947"/>
      <c r="ED101" s="947"/>
      <c r="EE101" s="947"/>
      <c r="EF101" s="947"/>
      <c r="EG101" s="947"/>
      <c r="EH101" s="947"/>
      <c r="EI101" s="947"/>
      <c r="EJ101" s="947"/>
      <c r="EK101" s="947"/>
      <c r="EL101" s="79"/>
      <c r="EM101" s="79"/>
      <c r="EN101" s="79"/>
      <c r="EO101" s="79"/>
      <c r="EP101" s="79"/>
      <c r="EQ101" s="79"/>
      <c r="ER101" s="79"/>
      <c r="ES101" s="79"/>
      <c r="ET101" s="79"/>
      <c r="EU101" s="79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</row>
    <row r="102" spans="1:164" s="29" customFormat="1" ht="80.099999999999994" customHeight="1" x14ac:dyDescent="0.7">
      <c r="A102" s="32"/>
      <c r="B102" s="122"/>
      <c r="C102" s="346" t="s">
        <v>104</v>
      </c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346"/>
      <c r="R102" s="346"/>
      <c r="S102" s="346"/>
      <c r="T102" s="346"/>
      <c r="U102" s="346"/>
      <c r="V102" s="346"/>
      <c r="W102" s="346"/>
      <c r="X102" s="346"/>
      <c r="Y102" s="346"/>
      <c r="Z102" s="346"/>
      <c r="AA102" s="346"/>
      <c r="AB102" s="346"/>
      <c r="AC102" s="346"/>
      <c r="AD102" s="346"/>
      <c r="AE102" s="943">
        <f>HF20</f>
        <v>12</v>
      </c>
      <c r="AF102" s="944"/>
      <c r="AG102" s="944"/>
      <c r="AH102" s="944"/>
      <c r="AI102" s="944"/>
      <c r="AJ102" s="944"/>
      <c r="AK102" s="944"/>
      <c r="AL102" s="944"/>
      <c r="AM102" s="945"/>
      <c r="AN102" s="600" t="s">
        <v>331</v>
      </c>
      <c r="AO102" s="601"/>
      <c r="AP102" s="601"/>
      <c r="AQ102" s="601"/>
      <c r="AR102" s="601"/>
      <c r="AS102" s="601"/>
      <c r="AT102" s="601"/>
      <c r="AU102" s="602"/>
      <c r="AV102" s="734"/>
      <c r="AW102" s="735"/>
      <c r="AX102" s="735"/>
      <c r="AY102" s="735"/>
      <c r="AZ102" s="735"/>
      <c r="BA102" s="735"/>
      <c r="BB102" s="735"/>
      <c r="BC102" s="735"/>
      <c r="BD102" s="735"/>
      <c r="BE102" s="735"/>
      <c r="BF102" s="735"/>
      <c r="BG102" s="735"/>
      <c r="BH102" s="735"/>
      <c r="BI102" s="735"/>
      <c r="BJ102" s="735"/>
      <c r="BK102" s="735"/>
      <c r="BL102" s="735"/>
      <c r="BM102" s="735"/>
      <c r="BN102" s="735"/>
      <c r="BO102" s="735"/>
      <c r="BP102" s="735"/>
      <c r="BQ102" s="735"/>
      <c r="BR102" s="735"/>
      <c r="BS102" s="735"/>
      <c r="BT102" s="735"/>
      <c r="BU102" s="735"/>
      <c r="BV102" s="735"/>
      <c r="BW102" s="735"/>
      <c r="BX102" s="735"/>
      <c r="BY102" s="735"/>
      <c r="BZ102" s="735"/>
      <c r="CA102" s="735"/>
      <c r="CB102" s="735"/>
      <c r="CC102" s="735"/>
      <c r="CD102" s="735"/>
      <c r="CE102" s="735"/>
      <c r="CF102" s="735"/>
      <c r="CG102" s="735"/>
      <c r="CH102" s="735"/>
      <c r="CI102" s="736"/>
      <c r="CJ102" s="124"/>
      <c r="CK102" s="124"/>
      <c r="CL102" s="124"/>
      <c r="CM102" s="124"/>
      <c r="CN102" s="947"/>
      <c r="CO102" s="947"/>
      <c r="CP102" s="947"/>
      <c r="CQ102" s="947"/>
      <c r="CR102" s="947"/>
      <c r="CS102" s="947"/>
      <c r="CT102" s="947"/>
      <c r="CU102" s="947"/>
      <c r="CV102" s="947"/>
      <c r="CW102" s="947"/>
      <c r="CX102" s="947"/>
      <c r="CY102" s="947"/>
      <c r="CZ102" s="947"/>
      <c r="DA102" s="947"/>
      <c r="DB102" s="947"/>
      <c r="DC102" s="947"/>
      <c r="DD102" s="947"/>
      <c r="DE102" s="947"/>
      <c r="DF102" s="947"/>
      <c r="DG102" s="947"/>
      <c r="DH102" s="947"/>
      <c r="DI102" s="947"/>
      <c r="DJ102" s="947"/>
      <c r="DK102" s="947"/>
      <c r="DL102" s="947"/>
      <c r="DM102" s="947"/>
      <c r="DN102" s="947"/>
      <c r="DO102" s="947"/>
      <c r="DP102" s="947"/>
      <c r="DQ102" s="947"/>
      <c r="DR102" s="947"/>
      <c r="DS102" s="947"/>
      <c r="DT102" s="947"/>
      <c r="DU102" s="947"/>
      <c r="DV102" s="947"/>
      <c r="DW102" s="947"/>
      <c r="DX102" s="947"/>
      <c r="DY102" s="947"/>
      <c r="DZ102" s="947"/>
      <c r="EA102" s="947"/>
      <c r="EB102" s="947"/>
      <c r="EC102" s="947"/>
      <c r="ED102" s="947"/>
      <c r="EE102" s="947"/>
      <c r="EF102" s="947"/>
      <c r="EG102" s="947"/>
      <c r="EH102" s="947"/>
      <c r="EI102" s="947"/>
      <c r="EJ102" s="947"/>
      <c r="EK102" s="947"/>
      <c r="EL102" s="79"/>
      <c r="EM102" s="79"/>
      <c r="EN102" s="79"/>
      <c r="EO102" s="79"/>
      <c r="EP102" s="79"/>
      <c r="EQ102" s="79"/>
      <c r="ER102" s="79"/>
      <c r="ES102" s="79"/>
      <c r="ET102" s="79"/>
      <c r="EU102" s="79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</row>
    <row r="103" spans="1:164" s="29" customFormat="1" ht="80.099999999999994" customHeight="1" x14ac:dyDescent="0.7">
      <c r="A103" s="32"/>
      <c r="B103" s="122"/>
      <c r="C103" s="346" t="s">
        <v>105</v>
      </c>
      <c r="D103" s="346"/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346"/>
      <c r="R103" s="346"/>
      <c r="S103" s="346"/>
      <c r="T103" s="346"/>
      <c r="U103" s="346"/>
      <c r="V103" s="346"/>
      <c r="W103" s="346"/>
      <c r="X103" s="346"/>
      <c r="Y103" s="346"/>
      <c r="Z103" s="346"/>
      <c r="AA103" s="346"/>
      <c r="AB103" s="346"/>
      <c r="AC103" s="346"/>
      <c r="AD103" s="346"/>
      <c r="AE103" s="943">
        <f>HL20</f>
        <v>2</v>
      </c>
      <c r="AF103" s="944"/>
      <c r="AG103" s="944"/>
      <c r="AH103" s="944"/>
      <c r="AI103" s="944"/>
      <c r="AJ103" s="944"/>
      <c r="AK103" s="944"/>
      <c r="AL103" s="944"/>
      <c r="AM103" s="945"/>
      <c r="AN103" s="600" t="s">
        <v>141</v>
      </c>
      <c r="AO103" s="601"/>
      <c r="AP103" s="601"/>
      <c r="AQ103" s="601"/>
      <c r="AR103" s="601"/>
      <c r="AS103" s="601"/>
      <c r="AT103" s="601"/>
      <c r="AU103" s="602"/>
      <c r="AV103" s="734"/>
      <c r="AW103" s="735"/>
      <c r="AX103" s="735"/>
      <c r="AY103" s="735"/>
      <c r="AZ103" s="735"/>
      <c r="BA103" s="735"/>
      <c r="BB103" s="735"/>
      <c r="BC103" s="735"/>
      <c r="BD103" s="735"/>
      <c r="BE103" s="735"/>
      <c r="BF103" s="735"/>
      <c r="BG103" s="735"/>
      <c r="BH103" s="735"/>
      <c r="BI103" s="735"/>
      <c r="BJ103" s="735"/>
      <c r="BK103" s="735"/>
      <c r="BL103" s="735"/>
      <c r="BM103" s="735"/>
      <c r="BN103" s="735"/>
      <c r="BO103" s="735"/>
      <c r="BP103" s="735"/>
      <c r="BQ103" s="735"/>
      <c r="BR103" s="735"/>
      <c r="BS103" s="735"/>
      <c r="BT103" s="735"/>
      <c r="BU103" s="735"/>
      <c r="BV103" s="735"/>
      <c r="BW103" s="735"/>
      <c r="BX103" s="735"/>
      <c r="BY103" s="735"/>
      <c r="BZ103" s="735"/>
      <c r="CA103" s="735"/>
      <c r="CB103" s="735"/>
      <c r="CC103" s="735"/>
      <c r="CD103" s="735"/>
      <c r="CE103" s="735"/>
      <c r="CF103" s="735"/>
      <c r="CG103" s="735"/>
      <c r="CH103" s="735"/>
      <c r="CI103" s="736"/>
      <c r="CJ103" s="124"/>
      <c r="CK103" s="124"/>
      <c r="CL103" s="124"/>
      <c r="CM103" s="124"/>
      <c r="CN103" s="947"/>
      <c r="CO103" s="947"/>
      <c r="CP103" s="947"/>
      <c r="CQ103" s="947"/>
      <c r="CR103" s="947"/>
      <c r="CS103" s="947"/>
      <c r="CT103" s="947"/>
      <c r="CU103" s="947"/>
      <c r="CV103" s="947"/>
      <c r="CW103" s="947"/>
      <c r="CX103" s="947"/>
      <c r="CY103" s="947"/>
      <c r="CZ103" s="947"/>
      <c r="DA103" s="947"/>
      <c r="DB103" s="947"/>
      <c r="DC103" s="947"/>
      <c r="DD103" s="947"/>
      <c r="DE103" s="947"/>
      <c r="DF103" s="947"/>
      <c r="DG103" s="947"/>
      <c r="DH103" s="947"/>
      <c r="DI103" s="947"/>
      <c r="DJ103" s="947"/>
      <c r="DK103" s="947"/>
      <c r="DL103" s="947"/>
      <c r="DM103" s="947"/>
      <c r="DN103" s="947"/>
      <c r="DO103" s="947"/>
      <c r="DP103" s="947"/>
      <c r="DQ103" s="947"/>
      <c r="DR103" s="947"/>
      <c r="DS103" s="947"/>
      <c r="DT103" s="947"/>
      <c r="DU103" s="947"/>
      <c r="DV103" s="947"/>
      <c r="DW103" s="947"/>
      <c r="DX103" s="947"/>
      <c r="DY103" s="947"/>
      <c r="DZ103" s="947"/>
      <c r="EA103" s="947"/>
      <c r="EB103" s="947"/>
      <c r="EC103" s="947"/>
      <c r="ED103" s="947"/>
      <c r="EE103" s="947"/>
      <c r="EF103" s="947"/>
      <c r="EG103" s="947"/>
      <c r="EH103" s="947"/>
      <c r="EI103" s="947"/>
      <c r="EJ103" s="947"/>
      <c r="EK103" s="947"/>
      <c r="EL103" s="79"/>
      <c r="EM103" s="79"/>
      <c r="EN103" s="79"/>
      <c r="EO103" s="79"/>
      <c r="EP103" s="79"/>
      <c r="EQ103" s="79"/>
      <c r="ER103" s="79"/>
      <c r="ES103" s="79"/>
      <c r="ET103" s="79"/>
      <c r="EU103" s="79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</row>
    <row r="104" spans="1:164" s="29" customFormat="1" ht="80.099999999999994" customHeight="1" x14ac:dyDescent="0.7">
      <c r="A104" s="32"/>
      <c r="B104" s="122"/>
      <c r="C104" s="946" t="s">
        <v>106</v>
      </c>
      <c r="D104" s="946"/>
      <c r="E104" s="946"/>
      <c r="F104" s="946"/>
      <c r="G104" s="946"/>
      <c r="H104" s="946"/>
      <c r="I104" s="946"/>
      <c r="J104" s="946"/>
      <c r="K104" s="946"/>
      <c r="L104" s="946"/>
      <c r="M104" s="946"/>
      <c r="N104" s="946"/>
      <c r="O104" s="946"/>
      <c r="P104" s="946"/>
      <c r="Q104" s="946"/>
      <c r="R104" s="946"/>
      <c r="S104" s="946"/>
      <c r="T104" s="946"/>
      <c r="U104" s="946"/>
      <c r="V104" s="946"/>
      <c r="W104" s="946"/>
      <c r="X104" s="946"/>
      <c r="Y104" s="946"/>
      <c r="Z104" s="946"/>
      <c r="AA104" s="946"/>
      <c r="AB104" s="946"/>
      <c r="AC104" s="946"/>
      <c r="AD104" s="946"/>
      <c r="AE104" s="943">
        <f>HN20</f>
        <v>176</v>
      </c>
      <c r="AF104" s="944"/>
      <c r="AG104" s="944"/>
      <c r="AH104" s="944"/>
      <c r="AI104" s="944"/>
      <c r="AJ104" s="944"/>
      <c r="AK104" s="944"/>
      <c r="AL104" s="944"/>
      <c r="AM104" s="945"/>
      <c r="AN104" s="600" t="s">
        <v>331</v>
      </c>
      <c r="AO104" s="601"/>
      <c r="AP104" s="601"/>
      <c r="AQ104" s="601"/>
      <c r="AR104" s="601"/>
      <c r="AS104" s="601"/>
      <c r="AT104" s="601"/>
      <c r="AU104" s="602"/>
      <c r="AV104" s="734"/>
      <c r="AW104" s="735"/>
      <c r="AX104" s="735"/>
      <c r="AY104" s="735"/>
      <c r="AZ104" s="735"/>
      <c r="BA104" s="735"/>
      <c r="BB104" s="735"/>
      <c r="BC104" s="735"/>
      <c r="BD104" s="735"/>
      <c r="BE104" s="735"/>
      <c r="BF104" s="735"/>
      <c r="BG104" s="735"/>
      <c r="BH104" s="735"/>
      <c r="BI104" s="735"/>
      <c r="BJ104" s="735"/>
      <c r="BK104" s="735"/>
      <c r="BL104" s="735"/>
      <c r="BM104" s="735"/>
      <c r="BN104" s="735"/>
      <c r="BO104" s="735"/>
      <c r="BP104" s="735"/>
      <c r="BQ104" s="735"/>
      <c r="BR104" s="735"/>
      <c r="BS104" s="735"/>
      <c r="BT104" s="735"/>
      <c r="BU104" s="735"/>
      <c r="BV104" s="735"/>
      <c r="BW104" s="735"/>
      <c r="BX104" s="735"/>
      <c r="BY104" s="735"/>
      <c r="BZ104" s="735"/>
      <c r="CA104" s="735"/>
      <c r="CB104" s="735"/>
      <c r="CC104" s="735"/>
      <c r="CD104" s="735"/>
      <c r="CE104" s="735"/>
      <c r="CF104" s="735"/>
      <c r="CG104" s="735"/>
      <c r="CH104" s="735"/>
      <c r="CI104" s="736"/>
      <c r="CJ104" s="124"/>
      <c r="CK104" s="124"/>
      <c r="CL104" s="124"/>
      <c r="CM104" s="124"/>
      <c r="CN104" s="947"/>
      <c r="CO104" s="947"/>
      <c r="CP104" s="947"/>
      <c r="CQ104" s="947"/>
      <c r="CR104" s="947"/>
      <c r="CS104" s="947"/>
      <c r="CT104" s="947"/>
      <c r="CU104" s="947"/>
      <c r="CV104" s="947"/>
      <c r="CW104" s="947"/>
      <c r="CX104" s="947"/>
      <c r="CY104" s="947"/>
      <c r="CZ104" s="947"/>
      <c r="DA104" s="947"/>
      <c r="DB104" s="947"/>
      <c r="DC104" s="947"/>
      <c r="DD104" s="947"/>
      <c r="DE104" s="947"/>
      <c r="DF104" s="947"/>
      <c r="DG104" s="947"/>
      <c r="DH104" s="947"/>
      <c r="DI104" s="947"/>
      <c r="DJ104" s="947"/>
      <c r="DK104" s="947"/>
      <c r="DL104" s="947"/>
      <c r="DM104" s="947"/>
      <c r="DN104" s="947"/>
      <c r="DO104" s="947"/>
      <c r="DP104" s="947"/>
      <c r="DQ104" s="947"/>
      <c r="DR104" s="947"/>
      <c r="DS104" s="947"/>
      <c r="DT104" s="947"/>
      <c r="DU104" s="947"/>
      <c r="DV104" s="947"/>
      <c r="DW104" s="947"/>
      <c r="DX104" s="947"/>
      <c r="DY104" s="947"/>
      <c r="DZ104" s="947"/>
      <c r="EA104" s="947"/>
      <c r="EB104" s="947"/>
      <c r="EC104" s="947"/>
      <c r="ED104" s="947"/>
      <c r="EE104" s="947"/>
      <c r="EF104" s="947"/>
      <c r="EG104" s="947"/>
      <c r="EH104" s="947"/>
      <c r="EI104" s="947"/>
      <c r="EJ104" s="947"/>
      <c r="EK104" s="947"/>
      <c r="EL104" s="79"/>
      <c r="EM104" s="79"/>
      <c r="EN104" s="79"/>
      <c r="EO104" s="79"/>
      <c r="EP104" s="79"/>
      <c r="EQ104" s="79"/>
      <c r="ER104" s="79"/>
      <c r="ES104" s="79"/>
      <c r="ET104" s="79"/>
      <c r="EU104" s="79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</row>
    <row r="105" spans="1:164" s="29" customFormat="1" ht="80.099999999999994" customHeight="1" x14ac:dyDescent="0.7">
      <c r="A105" s="32"/>
      <c r="B105" s="122"/>
      <c r="C105" s="346" t="s">
        <v>107</v>
      </c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346"/>
      <c r="AB105" s="346"/>
      <c r="AC105" s="346"/>
      <c r="AD105" s="346"/>
      <c r="AE105" s="943">
        <f>HH20</f>
        <v>5</v>
      </c>
      <c r="AF105" s="944"/>
      <c r="AG105" s="944"/>
      <c r="AH105" s="944"/>
      <c r="AI105" s="944"/>
      <c r="AJ105" s="944"/>
      <c r="AK105" s="944"/>
      <c r="AL105" s="944"/>
      <c r="AM105" s="945"/>
      <c r="AN105" s="600" t="s">
        <v>118</v>
      </c>
      <c r="AO105" s="601"/>
      <c r="AP105" s="601"/>
      <c r="AQ105" s="601"/>
      <c r="AR105" s="601"/>
      <c r="AS105" s="601"/>
      <c r="AT105" s="601"/>
      <c r="AU105" s="602"/>
      <c r="AV105" s="734"/>
      <c r="AW105" s="735"/>
      <c r="AX105" s="735"/>
      <c r="AY105" s="735"/>
      <c r="AZ105" s="735"/>
      <c r="BA105" s="735"/>
      <c r="BB105" s="735"/>
      <c r="BC105" s="735"/>
      <c r="BD105" s="735"/>
      <c r="BE105" s="735"/>
      <c r="BF105" s="735"/>
      <c r="BG105" s="735"/>
      <c r="BH105" s="735"/>
      <c r="BI105" s="735"/>
      <c r="BJ105" s="735"/>
      <c r="BK105" s="735"/>
      <c r="BL105" s="735"/>
      <c r="BM105" s="735"/>
      <c r="BN105" s="735"/>
      <c r="BO105" s="735"/>
      <c r="BP105" s="735"/>
      <c r="BQ105" s="735"/>
      <c r="BR105" s="735"/>
      <c r="BS105" s="735"/>
      <c r="BT105" s="735"/>
      <c r="BU105" s="735"/>
      <c r="BV105" s="735"/>
      <c r="BW105" s="735"/>
      <c r="BX105" s="735"/>
      <c r="BY105" s="735"/>
      <c r="BZ105" s="735"/>
      <c r="CA105" s="735"/>
      <c r="CB105" s="735"/>
      <c r="CC105" s="735"/>
      <c r="CD105" s="735"/>
      <c r="CE105" s="735"/>
      <c r="CF105" s="735"/>
      <c r="CG105" s="735"/>
      <c r="CH105" s="735"/>
      <c r="CI105" s="736"/>
      <c r="CJ105" s="124"/>
      <c r="CK105" s="124"/>
      <c r="CL105" s="124"/>
      <c r="CM105" s="124"/>
      <c r="CN105" s="947"/>
      <c r="CO105" s="947"/>
      <c r="CP105" s="947"/>
      <c r="CQ105" s="947"/>
      <c r="CR105" s="947"/>
      <c r="CS105" s="947"/>
      <c r="CT105" s="947"/>
      <c r="CU105" s="947"/>
      <c r="CV105" s="947"/>
      <c r="CW105" s="947"/>
      <c r="CX105" s="947"/>
      <c r="CY105" s="947"/>
      <c r="CZ105" s="947"/>
      <c r="DA105" s="947"/>
      <c r="DB105" s="947"/>
      <c r="DC105" s="947"/>
      <c r="DD105" s="947"/>
      <c r="DE105" s="947"/>
      <c r="DF105" s="947"/>
      <c r="DG105" s="947"/>
      <c r="DH105" s="947"/>
      <c r="DI105" s="947"/>
      <c r="DJ105" s="947"/>
      <c r="DK105" s="947"/>
      <c r="DL105" s="947"/>
      <c r="DM105" s="947"/>
      <c r="DN105" s="947"/>
      <c r="DO105" s="947"/>
      <c r="DP105" s="947"/>
      <c r="DQ105" s="947"/>
      <c r="DR105" s="947"/>
      <c r="DS105" s="947"/>
      <c r="DT105" s="947"/>
      <c r="DU105" s="947"/>
      <c r="DV105" s="947"/>
      <c r="DW105" s="947"/>
      <c r="DX105" s="947"/>
      <c r="DY105" s="947"/>
      <c r="DZ105" s="947"/>
      <c r="EA105" s="947"/>
      <c r="EB105" s="947"/>
      <c r="EC105" s="947"/>
      <c r="ED105" s="947"/>
      <c r="EE105" s="947"/>
      <c r="EF105" s="947"/>
      <c r="EG105" s="947"/>
      <c r="EH105" s="947"/>
      <c r="EI105" s="947"/>
      <c r="EJ105" s="947"/>
      <c r="EK105" s="947"/>
      <c r="EL105" s="79"/>
      <c r="EM105" s="79"/>
      <c r="EN105" s="79"/>
      <c r="EO105" s="79"/>
      <c r="EP105" s="79"/>
      <c r="EQ105" s="79"/>
      <c r="ER105" s="79"/>
      <c r="ES105" s="79"/>
      <c r="ET105" s="79"/>
      <c r="EU105" s="79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</row>
    <row r="106" spans="1:164" s="29" customFormat="1" ht="80.099999999999994" customHeight="1" x14ac:dyDescent="0.7">
      <c r="A106" s="32"/>
      <c r="B106" s="122"/>
      <c r="C106" s="948" t="s">
        <v>21</v>
      </c>
      <c r="D106" s="948"/>
      <c r="E106" s="948"/>
      <c r="F106" s="948"/>
      <c r="G106" s="948"/>
      <c r="H106" s="948"/>
      <c r="I106" s="948"/>
      <c r="J106" s="948"/>
      <c r="K106" s="948"/>
      <c r="L106" s="948"/>
      <c r="M106" s="948"/>
      <c r="N106" s="948"/>
      <c r="O106" s="948"/>
      <c r="P106" s="948"/>
      <c r="Q106" s="948"/>
      <c r="R106" s="948"/>
      <c r="S106" s="948"/>
      <c r="T106" s="948"/>
      <c r="U106" s="948"/>
      <c r="V106" s="948"/>
      <c r="W106" s="948"/>
      <c r="X106" s="948"/>
      <c r="Y106" s="948"/>
      <c r="Z106" s="948"/>
      <c r="AA106" s="948"/>
      <c r="AB106" s="948"/>
      <c r="AC106" s="948"/>
      <c r="AD106" s="948"/>
      <c r="AE106" s="949">
        <f>SUM(AE100:AM105)</f>
        <v>256</v>
      </c>
      <c r="AF106" s="950"/>
      <c r="AG106" s="950"/>
      <c r="AH106" s="950"/>
      <c r="AI106" s="950"/>
      <c r="AJ106" s="950"/>
      <c r="AK106" s="950"/>
      <c r="AL106" s="950"/>
      <c r="AM106" s="951"/>
      <c r="AN106" s="600"/>
      <c r="AO106" s="601"/>
      <c r="AP106" s="601"/>
      <c r="AQ106" s="601"/>
      <c r="AR106" s="601"/>
      <c r="AS106" s="601"/>
      <c r="AT106" s="601"/>
      <c r="AU106" s="602"/>
      <c r="AV106" s="737"/>
      <c r="AW106" s="738"/>
      <c r="AX106" s="738"/>
      <c r="AY106" s="738"/>
      <c r="AZ106" s="738"/>
      <c r="BA106" s="738"/>
      <c r="BB106" s="738"/>
      <c r="BC106" s="738"/>
      <c r="BD106" s="738"/>
      <c r="BE106" s="738"/>
      <c r="BF106" s="738"/>
      <c r="BG106" s="738"/>
      <c r="BH106" s="738"/>
      <c r="BI106" s="738"/>
      <c r="BJ106" s="738"/>
      <c r="BK106" s="738"/>
      <c r="BL106" s="738"/>
      <c r="BM106" s="738"/>
      <c r="BN106" s="738"/>
      <c r="BO106" s="738"/>
      <c r="BP106" s="738"/>
      <c r="BQ106" s="738"/>
      <c r="BR106" s="738"/>
      <c r="BS106" s="738"/>
      <c r="BT106" s="738"/>
      <c r="BU106" s="738"/>
      <c r="BV106" s="738"/>
      <c r="BW106" s="738"/>
      <c r="BX106" s="738"/>
      <c r="BY106" s="738"/>
      <c r="BZ106" s="738"/>
      <c r="CA106" s="738"/>
      <c r="CB106" s="738"/>
      <c r="CC106" s="738"/>
      <c r="CD106" s="738"/>
      <c r="CE106" s="738"/>
      <c r="CF106" s="738"/>
      <c r="CG106" s="738"/>
      <c r="CH106" s="738"/>
      <c r="CI106" s="739"/>
      <c r="CJ106" s="124"/>
      <c r="CK106" s="124"/>
      <c r="CL106" s="124"/>
      <c r="CM106" s="124"/>
      <c r="CN106" s="947"/>
      <c r="CO106" s="947"/>
      <c r="CP106" s="947"/>
      <c r="CQ106" s="947"/>
      <c r="CR106" s="947"/>
      <c r="CS106" s="947"/>
      <c r="CT106" s="947"/>
      <c r="CU106" s="947"/>
      <c r="CV106" s="947"/>
      <c r="CW106" s="947"/>
      <c r="CX106" s="947"/>
      <c r="CY106" s="947"/>
      <c r="CZ106" s="947"/>
      <c r="DA106" s="947"/>
      <c r="DB106" s="947"/>
      <c r="DC106" s="947"/>
      <c r="DD106" s="947"/>
      <c r="DE106" s="947"/>
      <c r="DF106" s="947"/>
      <c r="DG106" s="947"/>
      <c r="DH106" s="947"/>
      <c r="DI106" s="947"/>
      <c r="DJ106" s="947"/>
      <c r="DK106" s="947"/>
      <c r="DL106" s="947"/>
      <c r="DM106" s="947"/>
      <c r="DN106" s="947"/>
      <c r="DO106" s="947"/>
      <c r="DP106" s="947"/>
      <c r="DQ106" s="947"/>
      <c r="DR106" s="947"/>
      <c r="DS106" s="947"/>
      <c r="DT106" s="947"/>
      <c r="DU106" s="947"/>
      <c r="DV106" s="947"/>
      <c r="DW106" s="947"/>
      <c r="DX106" s="947"/>
      <c r="DY106" s="947"/>
      <c r="DZ106" s="947"/>
      <c r="EA106" s="947"/>
      <c r="EB106" s="947"/>
      <c r="EC106" s="947"/>
      <c r="ED106" s="947"/>
      <c r="EE106" s="947"/>
      <c r="EF106" s="947"/>
      <c r="EG106" s="947"/>
      <c r="EH106" s="947"/>
      <c r="EI106" s="947"/>
      <c r="EJ106" s="947"/>
      <c r="EK106" s="947"/>
      <c r="EL106" s="79"/>
      <c r="EM106" s="79"/>
      <c r="EN106" s="79"/>
      <c r="EO106" s="79"/>
      <c r="EP106" s="79"/>
      <c r="EQ106" s="79"/>
      <c r="ER106" s="79"/>
      <c r="ES106" s="79"/>
      <c r="ET106" s="79"/>
      <c r="EU106" s="79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</row>
    <row r="107" spans="1:164" s="29" customFormat="1" ht="120" customHeight="1" x14ac:dyDescent="0.7">
      <c r="A107" s="32"/>
      <c r="B107" s="122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5"/>
      <c r="X107" s="125"/>
      <c r="Y107" s="125"/>
      <c r="Z107" s="126"/>
      <c r="AA107" s="126"/>
      <c r="AB107" s="126"/>
      <c r="AC107" s="126"/>
      <c r="AD107" s="124"/>
      <c r="AE107" s="124"/>
      <c r="AF107" s="124"/>
      <c r="AG107" s="124"/>
      <c r="AH107" s="124"/>
      <c r="AI107" s="124"/>
      <c r="AJ107" s="124"/>
      <c r="AK107" s="124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5"/>
      <c r="BK107" s="125"/>
      <c r="BL107" s="125"/>
      <c r="BM107" s="125"/>
      <c r="BN107" s="125"/>
      <c r="BO107" s="125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/>
      <c r="CN107" s="124"/>
      <c r="CO107" s="124"/>
      <c r="CP107" s="124"/>
      <c r="CQ107" s="124"/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124"/>
      <c r="DD107" s="124"/>
      <c r="DE107" s="124"/>
      <c r="DF107" s="124"/>
      <c r="DG107" s="124"/>
      <c r="DH107" s="124"/>
      <c r="DI107" s="124"/>
      <c r="DJ107" s="124"/>
      <c r="DK107" s="124"/>
      <c r="DL107" s="124"/>
      <c r="DM107" s="124"/>
      <c r="DN107" s="124"/>
      <c r="DO107" s="124"/>
      <c r="DP107" s="124"/>
      <c r="DQ107" s="124"/>
      <c r="DR107" s="79"/>
      <c r="DS107" s="79"/>
      <c r="DT107" s="79"/>
      <c r="DU107" s="79"/>
      <c r="DV107" s="79"/>
      <c r="DW107" s="79"/>
      <c r="DX107" s="79"/>
      <c r="DY107" s="79"/>
      <c r="DZ107" s="79"/>
      <c r="EA107" s="79"/>
      <c r="EB107" s="79"/>
      <c r="EC107" s="79"/>
      <c r="ED107" s="79"/>
      <c r="EE107" s="79"/>
      <c r="EF107" s="79"/>
      <c r="EG107" s="79"/>
      <c r="EH107" s="79"/>
      <c r="EI107" s="79"/>
      <c r="EJ107" s="79"/>
      <c r="EK107" s="79"/>
      <c r="EL107" s="79"/>
      <c r="EM107" s="79"/>
      <c r="EN107" s="79"/>
      <c r="EO107" s="79"/>
      <c r="EP107" s="79"/>
      <c r="EQ107" s="79"/>
      <c r="ER107" s="79"/>
      <c r="ES107" s="79"/>
      <c r="ET107" s="79"/>
      <c r="EU107" s="79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</row>
    <row r="108" spans="1:164" ht="120" customHeight="1" x14ac:dyDescent="0.7">
      <c r="A108" s="32"/>
      <c r="B108" s="715" t="s">
        <v>255</v>
      </c>
      <c r="C108" s="715"/>
      <c r="D108" s="715"/>
      <c r="E108" s="715"/>
      <c r="F108" s="715"/>
      <c r="G108" s="715"/>
      <c r="H108" s="715"/>
      <c r="I108" s="715"/>
      <c r="J108" s="715"/>
      <c r="K108" s="715"/>
      <c r="L108" s="715"/>
      <c r="M108" s="715"/>
      <c r="N108" s="715"/>
      <c r="O108" s="715"/>
      <c r="P108" s="715"/>
      <c r="Q108" s="715"/>
      <c r="R108" s="715"/>
      <c r="S108" s="715"/>
      <c r="T108" s="715"/>
      <c r="U108" s="715"/>
      <c r="V108" s="715"/>
      <c r="W108" s="715"/>
      <c r="X108" s="715"/>
      <c r="Y108" s="740" t="s">
        <v>121</v>
      </c>
      <c r="Z108" s="740"/>
      <c r="AA108" s="740"/>
      <c r="AB108" s="740"/>
      <c r="AC108" s="740"/>
      <c r="AD108" s="740"/>
      <c r="AE108" s="740"/>
      <c r="AF108" s="740"/>
      <c r="AG108" s="740"/>
      <c r="AH108" s="740"/>
      <c r="AI108" s="740"/>
      <c r="AJ108" s="740"/>
      <c r="AK108" s="740"/>
      <c r="AL108" s="740"/>
      <c r="AM108" s="740"/>
      <c r="AN108" s="740"/>
      <c r="AO108" s="740"/>
      <c r="AP108" s="740"/>
      <c r="AQ108" s="740"/>
      <c r="AR108" s="740"/>
      <c r="AS108" s="740"/>
      <c r="AT108" s="740"/>
      <c r="AU108" s="740"/>
      <c r="AV108" s="740"/>
      <c r="AW108" s="599"/>
      <c r="AX108" s="599"/>
      <c r="AY108" s="599"/>
      <c r="AZ108" s="599"/>
      <c r="BA108" s="599"/>
      <c r="BB108" s="599"/>
      <c r="BC108" s="599"/>
      <c r="BD108" s="599"/>
      <c r="BE108" s="599"/>
      <c r="BF108" s="599"/>
      <c r="BG108" s="599"/>
      <c r="BH108" s="599"/>
      <c r="BI108" s="599"/>
      <c r="BJ108" s="599"/>
      <c r="BK108" s="599"/>
      <c r="BL108" s="599"/>
      <c r="BM108" s="599"/>
      <c r="BN108" s="599"/>
      <c r="BO108" s="599"/>
      <c r="BP108" s="599"/>
      <c r="BQ108" s="599"/>
      <c r="BR108" s="599"/>
      <c r="BS108" s="599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4"/>
      <c r="CD108" s="124"/>
      <c r="CE108" s="124"/>
      <c r="CF108" s="124"/>
      <c r="CG108" s="124"/>
      <c r="CH108" s="124"/>
      <c r="CI108" s="124"/>
      <c r="CJ108" s="124"/>
      <c r="CK108" s="124"/>
      <c r="CL108" s="124"/>
      <c r="CM108" s="124"/>
      <c r="CN108" s="124"/>
      <c r="CO108" s="124"/>
      <c r="CP108" s="124"/>
      <c r="CQ108" s="124"/>
      <c r="CR108" s="124"/>
      <c r="CS108" s="124"/>
      <c r="CT108" s="124"/>
      <c r="CU108" s="124"/>
      <c r="CV108" s="124"/>
      <c r="CW108" s="124"/>
      <c r="CX108" s="124"/>
      <c r="CY108" s="124"/>
      <c r="CZ108" s="124"/>
      <c r="DA108" s="124"/>
      <c r="DB108" s="124"/>
      <c r="DC108" s="124"/>
      <c r="DD108" s="124"/>
      <c r="DE108" s="124"/>
      <c r="DF108" s="124"/>
      <c r="DG108" s="124"/>
      <c r="DH108" s="124"/>
      <c r="DI108" s="124"/>
      <c r="DJ108" s="124"/>
      <c r="DK108" s="124"/>
      <c r="DL108" s="124"/>
      <c r="DM108" s="124"/>
      <c r="DN108" s="124"/>
      <c r="DO108" s="124"/>
      <c r="DP108" s="124"/>
      <c r="DQ108" s="124"/>
      <c r="DR108" s="79"/>
      <c r="DS108" s="79"/>
      <c r="DT108" s="79"/>
      <c r="DU108" s="79"/>
      <c r="DV108" s="79"/>
      <c r="DW108" s="79"/>
      <c r="DX108" s="79"/>
      <c r="DY108" s="79"/>
      <c r="DZ108" s="79"/>
      <c r="EA108" s="79"/>
      <c r="EB108" s="79"/>
      <c r="EC108" s="79"/>
      <c r="ED108" s="79"/>
      <c r="EE108" s="79"/>
      <c r="EF108" s="79"/>
      <c r="EG108" s="79"/>
      <c r="EH108" s="79"/>
      <c r="EI108" s="79"/>
      <c r="EJ108" s="79"/>
      <c r="EK108" s="79"/>
      <c r="EL108" s="79"/>
      <c r="EM108" s="79"/>
      <c r="EN108" s="79"/>
      <c r="EO108" s="79"/>
      <c r="EP108" s="79"/>
      <c r="EQ108" s="79"/>
      <c r="ER108" s="79"/>
      <c r="ES108" s="79"/>
      <c r="ET108" s="79"/>
      <c r="EU108" s="79"/>
    </row>
    <row r="109" spans="1:164" ht="120" customHeight="1" x14ac:dyDescent="0.7">
      <c r="A109" s="32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5"/>
      <c r="P109" s="715"/>
      <c r="Q109" s="715"/>
      <c r="R109" s="715"/>
      <c r="S109" s="715"/>
      <c r="T109" s="715"/>
      <c r="U109" s="715"/>
      <c r="V109" s="715"/>
      <c r="W109" s="715"/>
      <c r="X109" s="715"/>
      <c r="Y109" s="599"/>
      <c r="Z109" s="599"/>
      <c r="AA109" s="599"/>
      <c r="AB109" s="599"/>
      <c r="AC109" s="599"/>
      <c r="AD109" s="599"/>
      <c r="AE109" s="599"/>
      <c r="AF109" s="599"/>
      <c r="AG109" s="599"/>
      <c r="AH109" s="599"/>
      <c r="AI109" s="599"/>
      <c r="AJ109" s="599"/>
      <c r="AK109" s="599"/>
      <c r="AL109" s="599"/>
      <c r="AM109" s="599"/>
      <c r="AN109" s="599"/>
      <c r="AO109" s="599"/>
      <c r="AP109" s="599"/>
      <c r="AQ109" s="599"/>
      <c r="AR109" s="599"/>
      <c r="AS109" s="599"/>
      <c r="AT109" s="599"/>
      <c r="AU109" s="599"/>
      <c r="AV109" s="599"/>
      <c r="AW109" s="599"/>
      <c r="AX109" s="599"/>
      <c r="AY109" s="599"/>
      <c r="AZ109" s="599"/>
      <c r="BA109" s="599"/>
      <c r="BB109" s="599"/>
      <c r="BC109" s="599"/>
      <c r="BD109" s="599"/>
      <c r="BE109" s="599"/>
      <c r="BF109" s="599"/>
      <c r="BG109" s="599"/>
      <c r="BH109" s="599"/>
      <c r="BI109" s="599"/>
      <c r="BJ109" s="599"/>
      <c r="BK109" s="599"/>
      <c r="BL109" s="599"/>
      <c r="BM109" s="599"/>
      <c r="BN109" s="599"/>
      <c r="BO109" s="599"/>
      <c r="BP109" s="599"/>
      <c r="BQ109" s="599"/>
      <c r="BR109" s="599"/>
      <c r="BS109" s="599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4"/>
      <c r="CD109" s="124"/>
      <c r="CE109" s="124"/>
      <c r="CF109" s="124"/>
      <c r="CG109" s="124"/>
      <c r="CH109" s="124"/>
      <c r="CI109" s="124"/>
      <c r="CJ109" s="124"/>
      <c r="CK109" s="124"/>
      <c r="CL109" s="124"/>
      <c r="CM109" s="124"/>
      <c r="CN109" s="124"/>
      <c r="CO109" s="124"/>
      <c r="CP109" s="124"/>
      <c r="CQ109" s="124"/>
      <c r="CR109" s="124"/>
      <c r="CS109" s="124"/>
      <c r="CT109" s="124"/>
      <c r="CU109" s="124"/>
      <c r="CV109" s="124"/>
      <c r="CW109" s="124"/>
      <c r="CX109" s="124"/>
      <c r="CY109" s="124"/>
      <c r="CZ109" s="124"/>
      <c r="DA109" s="124"/>
      <c r="DB109" s="124"/>
      <c r="DC109" s="124"/>
      <c r="DD109" s="124"/>
      <c r="DE109" s="124"/>
      <c r="DF109" s="124"/>
      <c r="DG109" s="124"/>
      <c r="DH109" s="124"/>
      <c r="DI109" s="124"/>
      <c r="DJ109" s="124"/>
      <c r="DK109" s="124"/>
      <c r="DL109" s="124"/>
      <c r="DM109" s="124"/>
      <c r="DN109" s="124"/>
      <c r="DO109" s="124"/>
      <c r="DP109" s="124"/>
      <c r="DQ109" s="124"/>
      <c r="DR109" s="79"/>
      <c r="DS109" s="79"/>
      <c r="DT109" s="79"/>
      <c r="DU109" s="79"/>
      <c r="DV109" s="79"/>
      <c r="DW109" s="79"/>
      <c r="DX109" s="79"/>
      <c r="DY109" s="79"/>
      <c r="DZ109" s="79"/>
      <c r="EA109" s="79"/>
      <c r="EB109" s="79"/>
      <c r="EC109" s="79"/>
      <c r="ED109" s="79"/>
      <c r="EE109" s="79"/>
      <c r="EF109" s="79"/>
      <c r="EG109" s="79"/>
      <c r="EH109" s="79"/>
      <c r="EI109" s="79"/>
      <c r="EJ109" s="79"/>
      <c r="EK109" s="79"/>
      <c r="EL109" s="79"/>
      <c r="EM109" s="79"/>
      <c r="EN109" s="79"/>
      <c r="EO109" s="79"/>
      <c r="EP109" s="79"/>
      <c r="EQ109" s="79"/>
      <c r="ER109" s="79"/>
      <c r="ES109" s="79"/>
      <c r="ET109" s="79"/>
      <c r="EU109" s="79"/>
    </row>
    <row r="110" spans="1:164" ht="120" customHeight="1" x14ac:dyDescent="0.7">
      <c r="A110" s="32"/>
      <c r="B110" s="715" t="s">
        <v>256</v>
      </c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40" t="s">
        <v>121</v>
      </c>
      <c r="Z110" s="740"/>
      <c r="AA110" s="740"/>
      <c r="AB110" s="740"/>
      <c r="AC110" s="740"/>
      <c r="AD110" s="740"/>
      <c r="AE110" s="740"/>
      <c r="AF110" s="740"/>
      <c r="AG110" s="740"/>
      <c r="AH110" s="740"/>
      <c r="AI110" s="740"/>
      <c r="AJ110" s="740"/>
      <c r="AK110" s="740"/>
      <c r="AL110" s="740"/>
      <c r="AM110" s="740"/>
      <c r="AN110" s="740"/>
      <c r="AO110" s="740"/>
      <c r="AP110" s="740"/>
      <c r="AQ110" s="740"/>
      <c r="AR110" s="740"/>
      <c r="AS110" s="740"/>
      <c r="AT110" s="740"/>
      <c r="AU110" s="740"/>
      <c r="AV110" s="740"/>
      <c r="AW110" s="599"/>
      <c r="AX110" s="599"/>
      <c r="AY110" s="599"/>
      <c r="AZ110" s="599"/>
      <c r="BA110" s="599"/>
      <c r="BB110" s="599"/>
      <c r="BC110" s="599"/>
      <c r="BD110" s="599"/>
      <c r="BE110" s="599"/>
      <c r="BF110" s="599"/>
      <c r="BG110" s="599"/>
      <c r="BH110" s="599"/>
      <c r="BI110" s="599"/>
      <c r="BJ110" s="599"/>
      <c r="BK110" s="599"/>
      <c r="BL110" s="599"/>
      <c r="BM110" s="599"/>
      <c r="BN110" s="599"/>
      <c r="BO110" s="599"/>
      <c r="BP110" s="599"/>
      <c r="BQ110" s="599"/>
      <c r="BR110" s="599"/>
      <c r="BS110" s="599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  <c r="CF110" s="124"/>
      <c r="CG110" s="124"/>
      <c r="CH110" s="124"/>
      <c r="CI110" s="124"/>
      <c r="CJ110" s="124"/>
      <c r="CK110" s="124"/>
      <c r="CL110" s="124"/>
      <c r="CM110" s="124"/>
      <c r="CN110" s="124"/>
      <c r="CO110" s="124"/>
      <c r="CP110" s="124"/>
      <c r="CQ110" s="124"/>
      <c r="CR110" s="124"/>
      <c r="CS110" s="124"/>
      <c r="CT110" s="124"/>
      <c r="CU110" s="124"/>
      <c r="CV110" s="124"/>
      <c r="CW110" s="124"/>
      <c r="CX110" s="124"/>
      <c r="CY110" s="124"/>
      <c r="CZ110" s="124"/>
      <c r="DA110" s="124"/>
      <c r="DB110" s="124"/>
      <c r="DC110" s="124"/>
      <c r="DD110" s="124"/>
      <c r="DE110" s="124"/>
      <c r="DF110" s="124"/>
      <c r="DG110" s="124"/>
      <c r="DH110" s="124"/>
      <c r="DI110" s="124"/>
      <c r="DJ110" s="124"/>
      <c r="DK110" s="124"/>
      <c r="DL110" s="124"/>
      <c r="DM110" s="124"/>
      <c r="DN110" s="124"/>
      <c r="DO110" s="124"/>
      <c r="DP110" s="124"/>
      <c r="DQ110" s="124"/>
      <c r="DR110" s="79"/>
      <c r="DS110" s="79"/>
      <c r="DT110" s="79"/>
      <c r="DU110" s="79"/>
      <c r="DV110" s="79"/>
      <c r="DW110" s="79"/>
      <c r="DX110" s="79"/>
      <c r="DY110" s="79"/>
      <c r="DZ110" s="79"/>
      <c r="EA110" s="79"/>
      <c r="EB110" s="79"/>
      <c r="EC110" s="79"/>
      <c r="ED110" s="79"/>
      <c r="EE110" s="79"/>
      <c r="EF110" s="79"/>
      <c r="EG110" s="79"/>
      <c r="EH110" s="79"/>
      <c r="EI110" s="79"/>
      <c r="EJ110" s="79"/>
      <c r="EK110" s="79"/>
      <c r="EL110" s="79"/>
      <c r="EM110" s="79"/>
      <c r="EN110" s="79"/>
      <c r="EO110" s="79"/>
      <c r="EP110" s="79"/>
      <c r="EQ110" s="79"/>
      <c r="ER110" s="79"/>
      <c r="ES110" s="79"/>
      <c r="ET110" s="79"/>
      <c r="EU110" s="79"/>
    </row>
    <row r="111" spans="1:164" ht="120" customHeight="1" x14ac:dyDescent="0.7">
      <c r="A111" s="32"/>
      <c r="B111" s="715"/>
      <c r="C111" s="715"/>
      <c r="D111" s="715"/>
      <c r="E111" s="715"/>
      <c r="F111" s="715"/>
      <c r="G111" s="715"/>
      <c r="H111" s="715"/>
      <c r="I111" s="715"/>
      <c r="J111" s="715"/>
      <c r="K111" s="715"/>
      <c r="L111" s="715"/>
      <c r="M111" s="715"/>
      <c r="N111" s="715"/>
      <c r="O111" s="715"/>
      <c r="P111" s="715"/>
      <c r="Q111" s="715"/>
      <c r="R111" s="715"/>
      <c r="S111" s="715"/>
      <c r="T111" s="715"/>
      <c r="U111" s="715"/>
      <c r="V111" s="715"/>
      <c r="W111" s="715"/>
      <c r="X111" s="715"/>
      <c r="Y111" s="599"/>
      <c r="Z111" s="599"/>
      <c r="AA111" s="599"/>
      <c r="AB111" s="599"/>
      <c r="AC111" s="599"/>
      <c r="AD111" s="599"/>
      <c r="AE111" s="599"/>
      <c r="AF111" s="599"/>
      <c r="AG111" s="599"/>
      <c r="AH111" s="599"/>
      <c r="AI111" s="599"/>
      <c r="AJ111" s="599"/>
      <c r="AK111" s="599"/>
      <c r="AL111" s="599"/>
      <c r="AM111" s="599"/>
      <c r="AN111" s="599"/>
      <c r="AO111" s="599"/>
      <c r="AP111" s="599"/>
      <c r="AQ111" s="599"/>
      <c r="AR111" s="599"/>
      <c r="AS111" s="599"/>
      <c r="AT111" s="599"/>
      <c r="AU111" s="599"/>
      <c r="AV111" s="599"/>
      <c r="AW111" s="599"/>
      <c r="AX111" s="599"/>
      <c r="AY111" s="599"/>
      <c r="AZ111" s="599"/>
      <c r="BA111" s="599"/>
      <c r="BB111" s="599"/>
      <c r="BC111" s="599"/>
      <c r="BD111" s="599"/>
      <c r="BE111" s="599"/>
      <c r="BF111" s="599"/>
      <c r="BG111" s="599"/>
      <c r="BH111" s="599"/>
      <c r="BI111" s="599"/>
      <c r="BJ111" s="599"/>
      <c r="BK111" s="599"/>
      <c r="BL111" s="599"/>
      <c r="BM111" s="599"/>
      <c r="BN111" s="599"/>
      <c r="BO111" s="599"/>
      <c r="BP111" s="599"/>
      <c r="BQ111" s="599"/>
      <c r="BR111" s="599"/>
      <c r="BS111" s="599"/>
      <c r="BT111" s="124"/>
      <c r="BU111" s="124"/>
      <c r="BV111" s="124"/>
      <c r="BW111" s="124"/>
      <c r="BX111" s="124"/>
      <c r="BY111" s="124"/>
      <c r="BZ111" s="124"/>
      <c r="CA111" s="124"/>
      <c r="CB111" s="124"/>
      <c r="CC111" s="124"/>
      <c r="CD111" s="124"/>
      <c r="CE111" s="124"/>
      <c r="CF111" s="124"/>
      <c r="CG111" s="124"/>
      <c r="CH111" s="124"/>
      <c r="CI111" s="124"/>
      <c r="CJ111" s="124"/>
      <c r="CK111" s="124"/>
      <c r="CL111" s="124"/>
      <c r="CM111" s="124"/>
      <c r="CN111" s="124"/>
      <c r="CO111" s="124"/>
      <c r="CP111" s="124"/>
      <c r="CQ111" s="124"/>
      <c r="CR111" s="124"/>
      <c r="CS111" s="124"/>
      <c r="CT111" s="124"/>
      <c r="CU111" s="124"/>
      <c r="CV111" s="124"/>
      <c r="CW111" s="124"/>
      <c r="CX111" s="124"/>
      <c r="CY111" s="124"/>
      <c r="CZ111" s="124"/>
      <c r="DA111" s="124"/>
      <c r="DB111" s="124"/>
      <c r="DC111" s="124"/>
      <c r="DD111" s="124"/>
      <c r="DE111" s="124"/>
      <c r="DF111" s="124"/>
      <c r="DG111" s="124"/>
      <c r="DH111" s="124"/>
      <c r="DI111" s="124"/>
      <c r="DJ111" s="124"/>
      <c r="DK111" s="124"/>
      <c r="DL111" s="124"/>
      <c r="DM111" s="124"/>
      <c r="DN111" s="124"/>
      <c r="DO111" s="124"/>
      <c r="DP111" s="124"/>
      <c r="DQ111" s="124"/>
      <c r="DR111" s="79"/>
      <c r="DS111" s="79"/>
      <c r="DT111" s="79"/>
      <c r="DU111" s="79"/>
      <c r="DV111" s="79"/>
      <c r="DW111" s="79"/>
      <c r="DX111" s="79"/>
      <c r="DY111" s="79"/>
      <c r="DZ111" s="79"/>
      <c r="EA111" s="79"/>
      <c r="EB111" s="79"/>
      <c r="EC111" s="79"/>
      <c r="ED111" s="79"/>
      <c r="EE111" s="79"/>
      <c r="EF111" s="79"/>
      <c r="EG111" s="79"/>
      <c r="EH111" s="79"/>
      <c r="EI111" s="79"/>
      <c r="EJ111" s="79"/>
      <c r="EK111" s="79"/>
      <c r="EL111" s="79"/>
      <c r="EM111" s="79"/>
      <c r="EN111" s="79"/>
      <c r="EO111" s="79"/>
      <c r="EP111" s="79"/>
      <c r="EQ111" s="79"/>
      <c r="ER111" s="79"/>
      <c r="ES111" s="79"/>
      <c r="ET111" s="79"/>
      <c r="EU111" s="79"/>
    </row>
    <row r="112" spans="1:164" ht="120" customHeight="1" x14ac:dyDescent="0.7">
      <c r="A112" s="32"/>
      <c r="B112" s="715" t="s">
        <v>223</v>
      </c>
      <c r="C112" s="715"/>
      <c r="D112" s="715"/>
      <c r="E112" s="715"/>
      <c r="F112" s="715"/>
      <c r="G112" s="715"/>
      <c r="H112" s="715"/>
      <c r="I112" s="715"/>
      <c r="J112" s="715"/>
      <c r="K112" s="715"/>
      <c r="L112" s="715"/>
      <c r="M112" s="715"/>
      <c r="N112" s="715"/>
      <c r="O112" s="715"/>
      <c r="P112" s="715"/>
      <c r="Q112" s="715"/>
      <c r="R112" s="715"/>
      <c r="S112" s="715"/>
      <c r="T112" s="715"/>
      <c r="U112" s="715"/>
      <c r="V112" s="715"/>
      <c r="W112" s="715"/>
      <c r="X112" s="715"/>
      <c r="Y112" s="740" t="s">
        <v>121</v>
      </c>
      <c r="Z112" s="740"/>
      <c r="AA112" s="740"/>
      <c r="AB112" s="740"/>
      <c r="AC112" s="740"/>
      <c r="AD112" s="740"/>
      <c r="AE112" s="740"/>
      <c r="AF112" s="740"/>
      <c r="AG112" s="740"/>
      <c r="AH112" s="740"/>
      <c r="AI112" s="740"/>
      <c r="AJ112" s="740"/>
      <c r="AK112" s="740"/>
      <c r="AL112" s="740"/>
      <c r="AM112" s="740"/>
      <c r="AN112" s="740"/>
      <c r="AO112" s="740"/>
      <c r="AP112" s="740"/>
      <c r="AQ112" s="740"/>
      <c r="AR112" s="740"/>
      <c r="AS112" s="740"/>
      <c r="AT112" s="740"/>
      <c r="AU112" s="740"/>
      <c r="AV112" s="740"/>
      <c r="AW112" s="599"/>
      <c r="AX112" s="599"/>
      <c r="AY112" s="599"/>
      <c r="AZ112" s="599"/>
      <c r="BA112" s="599"/>
      <c r="BB112" s="599"/>
      <c r="BC112" s="599"/>
      <c r="BD112" s="599"/>
      <c r="BE112" s="599"/>
      <c r="BF112" s="599"/>
      <c r="BG112" s="599"/>
      <c r="BH112" s="599"/>
      <c r="BI112" s="599"/>
      <c r="BJ112" s="599"/>
      <c r="BK112" s="599"/>
      <c r="BL112" s="599"/>
      <c r="BM112" s="599"/>
      <c r="BN112" s="599"/>
      <c r="BO112" s="599"/>
      <c r="BP112" s="599"/>
      <c r="BQ112" s="599"/>
      <c r="BR112" s="599"/>
      <c r="BS112" s="599"/>
      <c r="BT112" s="124"/>
      <c r="BU112" s="124"/>
      <c r="BV112" s="124"/>
      <c r="BW112" s="124"/>
      <c r="BX112" s="124"/>
      <c r="BY112" s="124"/>
      <c r="BZ112" s="124"/>
      <c r="CA112" s="124"/>
      <c r="CB112" s="124"/>
      <c r="CC112" s="124"/>
      <c r="CD112" s="124"/>
      <c r="CE112" s="124"/>
      <c r="CF112" s="124"/>
      <c r="CG112" s="124"/>
      <c r="CH112" s="124"/>
      <c r="CI112" s="124"/>
      <c r="CJ112" s="124"/>
      <c r="CK112" s="124"/>
      <c r="CL112" s="124"/>
      <c r="CM112" s="124"/>
      <c r="CN112" s="124"/>
      <c r="CO112" s="124"/>
      <c r="CP112" s="124"/>
      <c r="CQ112" s="124"/>
      <c r="CR112" s="124"/>
      <c r="CS112" s="124"/>
      <c r="CT112" s="124"/>
      <c r="CU112" s="124"/>
      <c r="CV112" s="124"/>
      <c r="CW112" s="124"/>
      <c r="CX112" s="124"/>
      <c r="CY112" s="124"/>
      <c r="CZ112" s="124"/>
      <c r="DA112" s="124"/>
      <c r="DB112" s="124"/>
      <c r="DC112" s="124"/>
      <c r="DD112" s="124"/>
      <c r="DE112" s="124"/>
      <c r="DF112" s="124"/>
      <c r="DG112" s="124"/>
      <c r="DH112" s="124"/>
      <c r="DI112" s="124"/>
      <c r="DJ112" s="124"/>
      <c r="DK112" s="124"/>
      <c r="DL112" s="124"/>
      <c r="DM112" s="124"/>
      <c r="DN112" s="124"/>
      <c r="DO112" s="124"/>
      <c r="DP112" s="124"/>
      <c r="DQ112" s="124"/>
      <c r="DR112" s="79"/>
      <c r="DS112" s="79"/>
      <c r="DT112" s="79"/>
      <c r="DU112" s="79"/>
      <c r="DV112" s="79"/>
      <c r="DW112" s="79"/>
      <c r="DX112" s="79"/>
      <c r="DY112" s="79"/>
      <c r="DZ112" s="79"/>
      <c r="EA112" s="79"/>
      <c r="EB112" s="79"/>
      <c r="EC112" s="79"/>
      <c r="ED112" s="79"/>
      <c r="EE112" s="79"/>
      <c r="EF112" s="79"/>
      <c r="EG112" s="79"/>
      <c r="EH112" s="79"/>
      <c r="EI112" s="79"/>
      <c r="EJ112" s="79"/>
      <c r="EK112" s="79"/>
      <c r="EL112" s="79"/>
      <c r="EM112" s="79"/>
      <c r="EN112" s="79"/>
      <c r="EO112" s="79"/>
      <c r="EP112" s="79"/>
      <c r="EQ112" s="79"/>
      <c r="ER112" s="79"/>
      <c r="ES112" s="79"/>
      <c r="ET112" s="79"/>
      <c r="EU112" s="79"/>
    </row>
    <row r="113" spans="1:151" ht="120" customHeight="1" x14ac:dyDescent="0.85">
      <c r="A113" s="15"/>
      <c r="B113" s="183"/>
      <c r="C113" s="183"/>
      <c r="D113" s="183"/>
      <c r="E113" s="183"/>
      <c r="F113" s="183"/>
      <c r="G113" s="183"/>
      <c r="H113" s="183"/>
      <c r="I113" s="183"/>
      <c r="J113" s="183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"/>
      <c r="Z113" s="4"/>
      <c r="AA113" s="4"/>
      <c r="AB113" s="4"/>
      <c r="AC113" s="4"/>
      <c r="AD113" s="18"/>
      <c r="AE113" s="18"/>
      <c r="AF113" s="18"/>
      <c r="AG113" s="18"/>
      <c r="AH113" s="18"/>
      <c r="AI113" s="18"/>
      <c r="AJ113" s="18"/>
      <c r="AK113" s="18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5"/>
      <c r="AX113" s="19"/>
      <c r="AY113" s="19"/>
      <c r="AZ113" s="19"/>
      <c r="BA113" s="19"/>
      <c r="BB113" s="19"/>
      <c r="BC113" s="19"/>
      <c r="BD113" s="19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20"/>
      <c r="DE113" s="20"/>
      <c r="DF113" s="20"/>
      <c r="DG113" s="20"/>
      <c r="DH113" s="20"/>
      <c r="DI113" s="20"/>
      <c r="DJ113" s="20"/>
      <c r="DK113" s="20"/>
      <c r="DL113" s="20"/>
      <c r="DM113" s="1"/>
      <c r="DN113" s="1"/>
      <c r="DO113" s="1"/>
      <c r="DP113" s="1"/>
      <c r="DQ113" s="1"/>
      <c r="DR113" s="1"/>
      <c r="DS113" s="1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</row>
    <row r="114" spans="1:151" ht="120" customHeight="1" x14ac:dyDescent="0.2">
      <c r="A114" s="21"/>
      <c r="B114" s="715" t="s">
        <v>222</v>
      </c>
      <c r="C114" s="715"/>
      <c r="D114" s="715"/>
      <c r="E114" s="715"/>
      <c r="F114" s="715"/>
      <c r="G114" s="715"/>
      <c r="H114" s="715"/>
      <c r="I114" s="715"/>
      <c r="J114" s="715"/>
      <c r="K114" s="715"/>
      <c r="L114" s="715"/>
      <c r="M114" s="715"/>
      <c r="N114" s="715"/>
      <c r="O114" s="715"/>
      <c r="P114" s="715"/>
      <c r="Q114" s="715"/>
      <c r="R114" s="715"/>
      <c r="S114" s="715"/>
      <c r="T114" s="715"/>
      <c r="U114" s="715"/>
      <c r="V114" s="715"/>
      <c r="W114" s="715"/>
      <c r="X114" s="715"/>
      <c r="Y114" s="740" t="s">
        <v>121</v>
      </c>
      <c r="Z114" s="740"/>
      <c r="AA114" s="740"/>
      <c r="AB114" s="740"/>
      <c r="AC114" s="740"/>
      <c r="AD114" s="740"/>
      <c r="AE114" s="740"/>
      <c r="AF114" s="740"/>
      <c r="AG114" s="740"/>
      <c r="AH114" s="740"/>
      <c r="AI114" s="740"/>
      <c r="AJ114" s="740"/>
      <c r="AK114" s="740"/>
      <c r="AL114" s="740"/>
      <c r="AM114" s="740"/>
      <c r="AN114" s="740"/>
      <c r="AO114" s="740"/>
      <c r="AP114" s="740"/>
      <c r="AQ114" s="740"/>
      <c r="AR114" s="740"/>
      <c r="AS114" s="740"/>
      <c r="AT114" s="740"/>
      <c r="AU114" s="740"/>
      <c r="AV114" s="740"/>
      <c r="AW114" s="288"/>
      <c r="AX114" s="288"/>
      <c r="AY114" s="288"/>
      <c r="AZ114" s="288"/>
      <c r="BA114" s="288"/>
      <c r="BB114" s="288"/>
      <c r="BC114" s="288"/>
      <c r="BD114" s="288"/>
      <c r="BE114" s="288"/>
      <c r="BF114" s="286"/>
      <c r="BG114" s="286"/>
      <c r="BH114" s="286"/>
      <c r="BI114" s="286"/>
      <c r="BJ114" s="286"/>
      <c r="BK114" s="286"/>
      <c r="BL114" s="286"/>
      <c r="BM114" s="286"/>
      <c r="BN114" s="286"/>
      <c r="BO114" s="286"/>
      <c r="BP114" s="288"/>
      <c r="BQ114" s="519"/>
      <c r="BR114" s="519"/>
      <c r="BS114" s="519"/>
      <c r="BT114" s="519"/>
      <c r="BU114" s="519"/>
      <c r="BV114" s="519"/>
      <c r="BW114" s="519"/>
      <c r="BX114" s="519"/>
      <c r="BY114" s="519"/>
      <c r="BZ114" s="519"/>
      <c r="CA114" s="519"/>
      <c r="CB114" s="288"/>
      <c r="CC114" s="288"/>
      <c r="CD114" s="288"/>
      <c r="CE114" s="288"/>
      <c r="CF114" s="288"/>
      <c r="CG114" s="288"/>
      <c r="CH114" s="288"/>
      <c r="CI114" s="288"/>
      <c r="CJ114" s="288"/>
      <c r="CK114" s="288"/>
      <c r="CL114" s="288"/>
      <c r="CM114" s="288"/>
      <c r="CN114" s="288"/>
      <c r="CO114" s="288"/>
      <c r="CP114" s="288"/>
      <c r="CQ114" s="288"/>
      <c r="CR114" s="288"/>
      <c r="CS114" s="288"/>
      <c r="CT114" s="288"/>
      <c r="CU114" s="288"/>
      <c r="CV114" s="288"/>
      <c r="CW114" s="288"/>
      <c r="CX114" s="288"/>
      <c r="CY114" s="288"/>
      <c r="CZ114" s="288"/>
      <c r="DA114" s="288"/>
      <c r="DB114" s="288"/>
      <c r="DC114" s="288"/>
      <c r="DD114" s="288"/>
      <c r="DE114" s="288"/>
      <c r="DF114" s="288"/>
      <c r="DG114" s="288"/>
      <c r="DH114" s="288"/>
      <c r="DI114" s="288"/>
      <c r="DJ114" s="288"/>
      <c r="DK114" s="288"/>
      <c r="DL114" s="288"/>
      <c r="DM114" s="288"/>
      <c r="DN114" s="288"/>
      <c r="DO114" s="286"/>
      <c r="DP114" s="288"/>
      <c r="DQ114" s="288"/>
      <c r="DR114" s="288"/>
      <c r="DS114" s="288"/>
      <c r="DT114" s="7"/>
      <c r="DU114" s="7"/>
      <c r="DV114" s="7"/>
      <c r="DW114" s="7"/>
      <c r="DX114" s="7"/>
      <c r="DY114" s="7"/>
      <c r="DZ114" s="7"/>
      <c r="EA114" s="27"/>
      <c r="EB114" s="27"/>
      <c r="EC114" s="21"/>
      <c r="ED114" s="21"/>
      <c r="EE114" s="21"/>
      <c r="EF114" s="21"/>
      <c r="EG114" s="21"/>
      <c r="EH114" s="21"/>
      <c r="EI114" s="21"/>
      <c r="EJ114" s="27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</row>
    <row r="115" spans="1:151" ht="45" x14ac:dyDescent="0.2">
      <c r="A115" s="21"/>
      <c r="B115" s="21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  <c r="AC115" s="288"/>
      <c r="AD115" s="288"/>
      <c r="AE115" s="288"/>
      <c r="AF115" s="300"/>
      <c r="AG115" s="288"/>
      <c r="AH115" s="288"/>
      <c r="AI115" s="288"/>
      <c r="AJ115" s="288"/>
      <c r="AK115" s="288"/>
      <c r="AL115" s="288"/>
      <c r="AM115" s="288"/>
      <c r="AN115" s="288"/>
      <c r="AO115" s="288"/>
      <c r="AP115" s="288"/>
      <c r="AQ115" s="288"/>
      <c r="AR115" s="288"/>
      <c r="AS115" s="288"/>
      <c r="AT115" s="288"/>
      <c r="AU115" s="288"/>
      <c r="AV115" s="288"/>
      <c r="AW115" s="288"/>
      <c r="AX115" s="288"/>
      <c r="AY115" s="288"/>
      <c r="AZ115" s="288"/>
      <c r="BA115" s="288"/>
      <c r="BB115" s="288"/>
      <c r="BC115" s="288"/>
      <c r="BD115" s="288"/>
      <c r="BE115" s="288"/>
      <c r="BF115" s="286"/>
      <c r="BG115" s="286"/>
      <c r="BH115" s="286"/>
      <c r="BI115" s="286"/>
      <c r="BJ115" s="286"/>
      <c r="BK115" s="286"/>
      <c r="BL115" s="286"/>
      <c r="BM115" s="286"/>
      <c r="BN115" s="286"/>
      <c r="BO115" s="286"/>
      <c r="BP115" s="288"/>
      <c r="BQ115" s="519"/>
      <c r="BR115" s="519"/>
      <c r="BS115" s="519"/>
      <c r="BT115" s="519"/>
      <c r="BU115" s="519"/>
      <c r="BV115" s="519"/>
      <c r="BW115" s="519"/>
      <c r="BX115" s="519"/>
      <c r="BY115" s="519"/>
      <c r="BZ115" s="519"/>
      <c r="CA115" s="519"/>
      <c r="CB115" s="288"/>
      <c r="CC115" s="288"/>
      <c r="CD115" s="288"/>
      <c r="CE115" s="288"/>
      <c r="CF115" s="288"/>
      <c r="CG115" s="288"/>
      <c r="CH115" s="288"/>
      <c r="CI115" s="288"/>
      <c r="CJ115" s="288"/>
      <c r="CK115" s="288"/>
      <c r="CL115" s="288"/>
      <c r="CM115" s="286"/>
      <c r="CN115" s="286"/>
      <c r="CO115" s="286"/>
      <c r="CP115" s="286"/>
      <c r="CQ115" s="286"/>
      <c r="CR115" s="286"/>
      <c r="CS115" s="286"/>
      <c r="CT115" s="286"/>
      <c r="CU115" s="286"/>
      <c r="CV115" s="286"/>
      <c r="CW115" s="286"/>
      <c r="CX115" s="286"/>
      <c r="CY115" s="286"/>
      <c r="CZ115" s="286"/>
      <c r="DA115" s="286"/>
      <c r="DB115" s="286"/>
      <c r="DC115" s="286"/>
      <c r="DD115" s="288"/>
      <c r="DE115" s="288"/>
      <c r="DF115" s="288"/>
      <c r="DG115" s="288"/>
      <c r="DH115" s="288"/>
      <c r="DI115" s="288"/>
      <c r="DJ115" s="288"/>
      <c r="DK115" s="288"/>
      <c r="DL115" s="288"/>
      <c r="DM115" s="288"/>
      <c r="DN115" s="288"/>
      <c r="DO115" s="286"/>
      <c r="DP115" s="288"/>
      <c r="DQ115" s="288"/>
      <c r="DR115" s="288"/>
      <c r="DS115" s="288"/>
      <c r="DT115" s="7"/>
      <c r="DU115" s="7"/>
      <c r="DV115" s="7"/>
      <c r="DW115" s="7"/>
      <c r="DX115" s="7"/>
      <c r="DY115" s="7"/>
      <c r="DZ115" s="7"/>
      <c r="EA115" s="27"/>
      <c r="EB115" s="27"/>
      <c r="EC115" s="21"/>
      <c r="ED115" s="21"/>
      <c r="EE115" s="21"/>
      <c r="EF115" s="21"/>
      <c r="EG115" s="21"/>
      <c r="EH115" s="21"/>
      <c r="EI115" s="21"/>
      <c r="EJ115" s="27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</row>
    <row r="116" spans="1:151" ht="45" x14ac:dyDescent="0.2">
      <c r="A116" s="21"/>
      <c r="B116" s="21"/>
      <c r="C116" s="288"/>
      <c r="D116" s="288"/>
      <c r="E116" s="288"/>
      <c r="F116" s="288"/>
      <c r="G116" s="288"/>
      <c r="H116" s="288"/>
      <c r="I116" s="288"/>
      <c r="J116" s="288"/>
      <c r="K116" s="730"/>
      <c r="L116" s="730"/>
      <c r="M116" s="730"/>
      <c r="N116" s="730"/>
      <c r="O116" s="730"/>
      <c r="P116" s="730"/>
      <c r="Q116" s="730"/>
      <c r="R116" s="730"/>
      <c r="S116" s="730"/>
      <c r="T116" s="730"/>
      <c r="U116" s="730"/>
      <c r="V116" s="730"/>
      <c r="W116" s="730"/>
      <c r="X116" s="730"/>
      <c r="Y116" s="730"/>
      <c r="Z116" s="730"/>
      <c r="AA116" s="730"/>
      <c r="AB116" s="730"/>
      <c r="AC116" s="730"/>
      <c r="AD116" s="288"/>
      <c r="AE116" s="288"/>
      <c r="AF116" s="300"/>
      <c r="AG116" s="288"/>
      <c r="AH116" s="288"/>
      <c r="AI116" s="288"/>
      <c r="AJ116" s="288"/>
      <c r="AK116" s="288"/>
      <c r="AL116" s="288"/>
      <c r="AM116" s="288"/>
      <c r="AN116" s="288"/>
      <c r="AO116" s="288"/>
      <c r="AP116" s="288"/>
      <c r="AQ116" s="288"/>
      <c r="AR116" s="288"/>
      <c r="AS116" s="288"/>
      <c r="AT116" s="288"/>
      <c r="AU116" s="288"/>
      <c r="AV116" s="288"/>
      <c r="AW116" s="288"/>
      <c r="AX116" s="288"/>
      <c r="AY116" s="288"/>
      <c r="AZ116" s="288"/>
      <c r="BA116" s="288"/>
      <c r="BB116" s="288"/>
      <c r="BC116" s="288"/>
      <c r="BD116" s="288"/>
      <c r="BE116" s="288"/>
      <c r="BF116" s="286"/>
      <c r="BG116" s="286"/>
      <c r="BH116" s="286"/>
      <c r="BI116" s="286"/>
      <c r="BJ116" s="286"/>
      <c r="BK116" s="286"/>
      <c r="BL116" s="286"/>
      <c r="BM116" s="286"/>
      <c r="BN116" s="286"/>
      <c r="BO116" s="286"/>
      <c r="BP116" s="288"/>
      <c r="BQ116" s="519"/>
      <c r="BR116" s="519"/>
      <c r="BS116" s="519"/>
      <c r="BT116" s="519"/>
      <c r="BU116" s="519"/>
      <c r="BV116" s="519"/>
      <c r="BW116" s="519"/>
      <c r="BX116" s="519"/>
      <c r="BY116" s="519"/>
      <c r="BZ116" s="519"/>
      <c r="CA116" s="519"/>
      <c r="CB116" s="288"/>
      <c r="CC116" s="288"/>
      <c r="CD116" s="288"/>
      <c r="CE116" s="288"/>
      <c r="CF116" s="288"/>
      <c r="CG116" s="288"/>
      <c r="CH116" s="288"/>
      <c r="CI116" s="288"/>
      <c r="CJ116" s="288"/>
      <c r="CK116" s="288"/>
      <c r="CL116" s="288"/>
      <c r="CM116" s="286"/>
      <c r="CN116" s="286"/>
      <c r="CO116" s="286"/>
      <c r="CP116" s="286"/>
      <c r="CQ116" s="286"/>
      <c r="CR116" s="286"/>
      <c r="CS116" s="286"/>
      <c r="CT116" s="286"/>
      <c r="CU116" s="286"/>
      <c r="CV116" s="286"/>
      <c r="CW116" s="286"/>
      <c r="CX116" s="286"/>
      <c r="CY116" s="286"/>
      <c r="CZ116" s="286"/>
      <c r="DA116" s="286"/>
      <c r="DB116" s="286"/>
      <c r="DC116" s="286"/>
      <c r="DD116" s="288"/>
      <c r="DE116" s="288"/>
      <c r="DF116" s="288"/>
      <c r="DG116" s="288"/>
      <c r="DH116" s="288"/>
      <c r="DI116" s="288"/>
      <c r="DJ116" s="288"/>
      <c r="DK116" s="288"/>
      <c r="DL116" s="288"/>
      <c r="DM116" s="288"/>
      <c r="DN116" s="288"/>
      <c r="DO116" s="286"/>
      <c r="DP116" s="288"/>
      <c r="DQ116" s="288"/>
      <c r="DR116" s="288"/>
      <c r="DS116" s="288"/>
      <c r="DT116" s="7"/>
      <c r="DU116" s="7"/>
      <c r="DV116" s="7"/>
      <c r="DW116" s="7"/>
      <c r="DX116" s="7"/>
      <c r="DY116" s="7"/>
      <c r="DZ116" s="7"/>
      <c r="EA116" s="27"/>
      <c r="EB116" s="27"/>
      <c r="EC116" s="21"/>
      <c r="ED116" s="21"/>
      <c r="EE116" s="21"/>
      <c r="EF116" s="21"/>
      <c r="EG116" s="21"/>
      <c r="EH116" s="21"/>
      <c r="EI116" s="21"/>
      <c r="EJ116" s="27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</row>
    <row r="117" spans="1:151" ht="45" x14ac:dyDescent="0.2">
      <c r="A117" s="21"/>
      <c r="B117" s="21"/>
      <c r="C117" s="288"/>
      <c r="D117" s="288"/>
      <c r="E117" s="288"/>
      <c r="F117" s="288"/>
      <c r="G117" s="288"/>
      <c r="H117" s="288"/>
      <c r="I117" s="288"/>
      <c r="J117" s="288"/>
      <c r="K117" s="730"/>
      <c r="L117" s="730"/>
      <c r="M117" s="730"/>
      <c r="N117" s="730"/>
      <c r="O117" s="730"/>
      <c r="P117" s="730"/>
      <c r="Q117" s="730"/>
      <c r="R117" s="730"/>
      <c r="S117" s="730"/>
      <c r="T117" s="730"/>
      <c r="U117" s="730"/>
      <c r="V117" s="730"/>
      <c r="W117" s="730"/>
      <c r="X117" s="730"/>
      <c r="Y117" s="730"/>
      <c r="Z117" s="730"/>
      <c r="AA117" s="730"/>
      <c r="AB117" s="730"/>
      <c r="AC117" s="730"/>
      <c r="AD117" s="288"/>
      <c r="AE117" s="288"/>
      <c r="AF117" s="300"/>
      <c r="AG117" s="288"/>
      <c r="AH117" s="288"/>
      <c r="AI117" s="288"/>
      <c r="AJ117" s="288"/>
      <c r="AK117" s="288"/>
      <c r="AL117" s="288"/>
      <c r="AM117" s="288"/>
      <c r="AN117" s="288"/>
      <c r="AO117" s="288"/>
      <c r="AP117" s="288"/>
      <c r="AQ117" s="288"/>
      <c r="AR117" s="288"/>
      <c r="AS117" s="288"/>
      <c r="AT117" s="288"/>
      <c r="AU117" s="288"/>
      <c r="AV117" s="288"/>
      <c r="AW117" s="288"/>
      <c r="AX117" s="288"/>
      <c r="AY117" s="288"/>
      <c r="AZ117" s="288"/>
      <c r="BA117" s="288"/>
      <c r="BB117" s="288"/>
      <c r="BC117" s="288"/>
      <c r="BD117" s="288"/>
      <c r="BE117" s="288"/>
      <c r="BF117" s="286"/>
      <c r="BG117" s="286"/>
      <c r="BH117" s="286"/>
      <c r="BI117" s="286"/>
      <c r="BJ117" s="286"/>
      <c r="BK117" s="286"/>
      <c r="BL117" s="286"/>
      <c r="BM117" s="286"/>
      <c r="BN117" s="286"/>
      <c r="BO117" s="286"/>
      <c r="BP117" s="288"/>
      <c r="BQ117" s="519"/>
      <c r="BR117" s="519"/>
      <c r="BS117" s="519"/>
      <c r="BT117" s="519"/>
      <c r="BU117" s="519"/>
      <c r="BV117" s="519"/>
      <c r="BW117" s="519"/>
      <c r="BX117" s="519"/>
      <c r="BY117" s="519"/>
      <c r="BZ117" s="519"/>
      <c r="CA117" s="519"/>
      <c r="CB117" s="288"/>
      <c r="CC117" s="288"/>
      <c r="CD117" s="288"/>
      <c r="CE117" s="288"/>
      <c r="CF117" s="288"/>
      <c r="CG117" s="288"/>
      <c r="CH117" s="288"/>
      <c r="CI117" s="288"/>
      <c r="CJ117" s="288"/>
      <c r="CK117" s="288"/>
      <c r="CL117" s="288"/>
      <c r="CM117" s="286"/>
      <c r="CN117" s="286"/>
      <c r="CO117" s="286"/>
      <c r="CP117" s="286"/>
      <c r="CQ117" s="286"/>
      <c r="CR117" s="286"/>
      <c r="CS117" s="286"/>
      <c r="CT117" s="286"/>
      <c r="CU117" s="286"/>
      <c r="CV117" s="286"/>
      <c r="CW117" s="286"/>
      <c r="CX117" s="286"/>
      <c r="CY117" s="286"/>
      <c r="CZ117" s="286"/>
      <c r="DA117" s="286"/>
      <c r="DB117" s="286"/>
      <c r="DC117" s="286"/>
      <c r="DD117" s="288"/>
      <c r="DE117" s="288"/>
      <c r="DF117" s="288"/>
      <c r="DG117" s="288"/>
      <c r="DH117" s="288"/>
      <c r="DI117" s="288"/>
      <c r="DJ117" s="288"/>
      <c r="DK117" s="288"/>
      <c r="DL117" s="288"/>
      <c r="DM117" s="288"/>
      <c r="DN117" s="288"/>
      <c r="DO117" s="286"/>
      <c r="DP117" s="288"/>
      <c r="DQ117" s="288"/>
      <c r="DR117" s="288"/>
      <c r="DS117" s="288"/>
      <c r="DT117" s="7"/>
      <c r="DU117" s="7"/>
      <c r="DV117" s="7"/>
      <c r="DW117" s="7"/>
      <c r="DX117" s="7"/>
      <c r="DY117" s="7"/>
      <c r="DZ117" s="7"/>
      <c r="EA117" s="27"/>
      <c r="EB117" s="27"/>
      <c r="EC117" s="21"/>
      <c r="ED117" s="21"/>
      <c r="EE117" s="21"/>
      <c r="EF117" s="21"/>
      <c r="EG117" s="21"/>
      <c r="EH117" s="21"/>
      <c r="EI117" s="21"/>
      <c r="EJ117" s="27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</row>
    <row r="118" spans="1:151" ht="25.5" x14ac:dyDescent="0.2">
      <c r="A118" s="21"/>
      <c r="B118" s="21"/>
      <c r="C118" s="7"/>
      <c r="D118" s="7"/>
      <c r="E118" s="7"/>
      <c r="F118" s="7"/>
      <c r="G118" s="6"/>
      <c r="H118" s="6"/>
      <c r="I118" s="6"/>
      <c r="J118" s="6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6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21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27"/>
      <c r="EB118" s="27"/>
      <c r="EC118" s="21"/>
      <c r="ED118" s="21"/>
      <c r="EE118" s="21"/>
      <c r="EF118" s="21"/>
      <c r="EG118" s="21"/>
      <c r="EH118" s="21"/>
      <c r="EI118" s="21"/>
      <c r="EJ118" s="27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</row>
  </sheetData>
  <mergeCells count="1546">
    <mergeCell ref="CZ51:DC51"/>
    <mergeCell ref="DD51:DG51"/>
    <mergeCell ref="DH51:DK51"/>
    <mergeCell ref="DL51:DO51"/>
    <mergeCell ref="DP51:DS51"/>
    <mergeCell ref="DT51:DW51"/>
    <mergeCell ref="DX51:EA51"/>
    <mergeCell ref="EB51:EE51"/>
    <mergeCell ref="EF51:EI51"/>
    <mergeCell ref="EJ51:EM51"/>
    <mergeCell ref="EN51:EQ51"/>
    <mergeCell ref="ER51:EU51"/>
    <mergeCell ref="AD51:AG51"/>
    <mergeCell ref="AH51:AL51"/>
    <mergeCell ref="AM51:AQ51"/>
    <mergeCell ref="AR51:AV51"/>
    <mergeCell ref="AW51:BA51"/>
    <mergeCell ref="BB51:BF51"/>
    <mergeCell ref="BG51:BK51"/>
    <mergeCell ref="BL51:BO51"/>
    <mergeCell ref="BP51:BS51"/>
    <mergeCell ref="BT51:BW51"/>
    <mergeCell ref="BX51:CA51"/>
    <mergeCell ref="CB51:CE51"/>
    <mergeCell ref="CF51:CI51"/>
    <mergeCell ref="CJ51:CM51"/>
    <mergeCell ref="CN51:CQ51"/>
    <mergeCell ref="CR51:CU51"/>
    <mergeCell ref="CV51:CY51"/>
    <mergeCell ref="C69:Y69"/>
    <mergeCell ref="A68:A69"/>
    <mergeCell ref="C68:Y68"/>
    <mergeCell ref="Z68:AC69"/>
    <mergeCell ref="AD68:AG69"/>
    <mergeCell ref="AH68:AL69"/>
    <mergeCell ref="AM68:AQ69"/>
    <mergeCell ref="AR68:AV69"/>
    <mergeCell ref="AW68:BA69"/>
    <mergeCell ref="BB68:BF69"/>
    <mergeCell ref="BG68:BK69"/>
    <mergeCell ref="BL68:BO69"/>
    <mergeCell ref="BP68:BS69"/>
    <mergeCell ref="BT68:BW69"/>
    <mergeCell ref="BX68:CA69"/>
    <mergeCell ref="CB68:CE69"/>
    <mergeCell ref="CF68:CI69"/>
    <mergeCell ref="CJ68:CM69"/>
    <mergeCell ref="CJ66:CM67"/>
    <mergeCell ref="CN66:CQ67"/>
    <mergeCell ref="CR66:CU67"/>
    <mergeCell ref="CV66:CY67"/>
    <mergeCell ref="CZ66:DC67"/>
    <mergeCell ref="DD66:DG67"/>
    <mergeCell ref="DH66:DK67"/>
    <mergeCell ref="DL66:DO67"/>
    <mergeCell ref="DP66:DS67"/>
    <mergeCell ref="DT66:DW67"/>
    <mergeCell ref="DX66:EA67"/>
    <mergeCell ref="EB66:EE67"/>
    <mergeCell ref="EF66:EI67"/>
    <mergeCell ref="EJ66:EM67"/>
    <mergeCell ref="EN66:EQ67"/>
    <mergeCell ref="ER66:EU67"/>
    <mergeCell ref="CN68:CQ69"/>
    <mergeCell ref="CR68:CU69"/>
    <mergeCell ref="CV68:CY69"/>
    <mergeCell ref="CZ68:DC69"/>
    <mergeCell ref="DD68:DG69"/>
    <mergeCell ref="DH68:DK69"/>
    <mergeCell ref="DL68:DO69"/>
    <mergeCell ref="DP68:DS69"/>
    <mergeCell ref="DT68:DW69"/>
    <mergeCell ref="DX68:EA69"/>
    <mergeCell ref="EB68:EE69"/>
    <mergeCell ref="EF68:EI69"/>
    <mergeCell ref="EJ68:EM69"/>
    <mergeCell ref="EN68:EQ69"/>
    <mergeCell ref="ER68:EU69"/>
    <mergeCell ref="C67:Y67"/>
    <mergeCell ref="CN64:CQ65"/>
    <mergeCell ref="CR64:CU65"/>
    <mergeCell ref="CV64:CY65"/>
    <mergeCell ref="CZ64:DC65"/>
    <mergeCell ref="DD64:DG65"/>
    <mergeCell ref="DH64:DK65"/>
    <mergeCell ref="DL64:DO65"/>
    <mergeCell ref="DP64:DS65"/>
    <mergeCell ref="DT64:DW65"/>
    <mergeCell ref="DX64:EA65"/>
    <mergeCell ref="EB64:EE65"/>
    <mergeCell ref="EF64:EI65"/>
    <mergeCell ref="EJ64:EM65"/>
    <mergeCell ref="EN64:EQ65"/>
    <mergeCell ref="ER64:EU65"/>
    <mergeCell ref="C65:Y65"/>
    <mergeCell ref="CJ64:CM65"/>
    <mergeCell ref="A66:A67"/>
    <mergeCell ref="C66:Y66"/>
    <mergeCell ref="Z66:AC67"/>
    <mergeCell ref="AD66:AG67"/>
    <mergeCell ref="AH66:AL67"/>
    <mergeCell ref="AM66:AQ67"/>
    <mergeCell ref="AR66:AV67"/>
    <mergeCell ref="AW66:BA67"/>
    <mergeCell ref="BB66:BF67"/>
    <mergeCell ref="BG66:BK67"/>
    <mergeCell ref="BL66:BO67"/>
    <mergeCell ref="BP66:BS67"/>
    <mergeCell ref="BT66:BW67"/>
    <mergeCell ref="BX66:CA67"/>
    <mergeCell ref="CB66:CE67"/>
    <mergeCell ref="CF66:CI67"/>
    <mergeCell ref="A64:A65"/>
    <mergeCell ref="C64:Y64"/>
    <mergeCell ref="Z64:AC65"/>
    <mergeCell ref="AD64:AG65"/>
    <mergeCell ref="AH64:AL65"/>
    <mergeCell ref="AM64:AQ65"/>
    <mergeCell ref="AR64:AV65"/>
    <mergeCell ref="AW64:BA65"/>
    <mergeCell ref="BB64:BF65"/>
    <mergeCell ref="BG64:BK65"/>
    <mergeCell ref="BL64:BO65"/>
    <mergeCell ref="BP64:BS65"/>
    <mergeCell ref="BT64:BW65"/>
    <mergeCell ref="BX64:CA65"/>
    <mergeCell ref="CB64:CE65"/>
    <mergeCell ref="CF64:CI65"/>
    <mergeCell ref="CJ62:CM63"/>
    <mergeCell ref="CN62:CQ63"/>
    <mergeCell ref="CR62:CU63"/>
    <mergeCell ref="CV62:CY63"/>
    <mergeCell ref="CZ62:DC63"/>
    <mergeCell ref="DD62:DG63"/>
    <mergeCell ref="DH62:DK63"/>
    <mergeCell ref="DL62:DO63"/>
    <mergeCell ref="DP62:DS63"/>
    <mergeCell ref="DT62:DW63"/>
    <mergeCell ref="DX62:EA63"/>
    <mergeCell ref="EB62:EE63"/>
    <mergeCell ref="EF62:EI63"/>
    <mergeCell ref="EJ62:EM63"/>
    <mergeCell ref="EN62:EQ63"/>
    <mergeCell ref="ER62:EU63"/>
    <mergeCell ref="C63:Y63"/>
    <mergeCell ref="C61:Y61"/>
    <mergeCell ref="A62:A63"/>
    <mergeCell ref="C62:Y62"/>
    <mergeCell ref="Z62:AC63"/>
    <mergeCell ref="AD62:AG63"/>
    <mergeCell ref="AH62:AL63"/>
    <mergeCell ref="AM62:AQ63"/>
    <mergeCell ref="AR62:AV63"/>
    <mergeCell ref="AW62:BA63"/>
    <mergeCell ref="BB62:BF63"/>
    <mergeCell ref="BG62:BK63"/>
    <mergeCell ref="BL62:BO63"/>
    <mergeCell ref="BP62:BS63"/>
    <mergeCell ref="BT62:BW63"/>
    <mergeCell ref="BX62:CA63"/>
    <mergeCell ref="CB62:CE63"/>
    <mergeCell ref="CF62:CI63"/>
    <mergeCell ref="CF60:CI61"/>
    <mergeCell ref="CJ60:CM61"/>
    <mergeCell ref="CN60:CQ61"/>
    <mergeCell ref="CR60:CU61"/>
    <mergeCell ref="CV60:CY61"/>
    <mergeCell ref="CZ60:DC61"/>
    <mergeCell ref="DD60:DG61"/>
    <mergeCell ref="DH60:DK61"/>
    <mergeCell ref="DL60:DO61"/>
    <mergeCell ref="DP60:DS61"/>
    <mergeCell ref="DT60:DW61"/>
    <mergeCell ref="DX60:EA61"/>
    <mergeCell ref="EB60:EE61"/>
    <mergeCell ref="EF60:EI61"/>
    <mergeCell ref="EJ60:EM61"/>
    <mergeCell ref="EN60:EQ61"/>
    <mergeCell ref="ER60:EU61"/>
    <mergeCell ref="HN9:HO14"/>
    <mergeCell ref="EZ15:FA15"/>
    <mergeCell ref="GC13:GG13"/>
    <mergeCell ref="EZ9:FA14"/>
    <mergeCell ref="FB9:HA12"/>
    <mergeCell ref="HB9:HM9"/>
    <mergeCell ref="HN16:HO16"/>
    <mergeCell ref="HN18:HO18"/>
    <mergeCell ref="A26:EU26"/>
    <mergeCell ref="A27:A34"/>
    <mergeCell ref="B27:B34"/>
    <mergeCell ref="C27:Y34"/>
    <mergeCell ref="Z27:BO27"/>
    <mergeCell ref="BP27:DC27"/>
    <mergeCell ref="DD27:EQ27"/>
    <mergeCell ref="ER27:EU33"/>
    <mergeCell ref="AB5:CY5"/>
    <mergeCell ref="DK5:EU5"/>
    <mergeCell ref="AB6:CY6"/>
    <mergeCell ref="DK6:EU6"/>
    <mergeCell ref="AB7:CY7"/>
    <mergeCell ref="A8:EU8"/>
    <mergeCell ref="A1:EU1"/>
    <mergeCell ref="AB2:CY2"/>
    <mergeCell ref="AB3:CY3"/>
    <mergeCell ref="DK3:EU3"/>
    <mergeCell ref="AB4:CY4"/>
    <mergeCell ref="DK4:EU4"/>
    <mergeCell ref="GH13:GK13"/>
    <mergeCell ref="GL13:GO13"/>
    <mergeCell ref="GP13:GS13"/>
    <mergeCell ref="GT13:GW13"/>
    <mergeCell ref="GX13:HA13"/>
    <mergeCell ref="FB13:FF13"/>
    <mergeCell ref="FG13:FJ13"/>
    <mergeCell ref="FK13:FO13"/>
    <mergeCell ref="FP13:FS13"/>
    <mergeCell ref="FT13:FX13"/>
    <mergeCell ref="FY13:GB13"/>
    <mergeCell ref="HN15:HO15"/>
    <mergeCell ref="HP15:HQ15"/>
    <mergeCell ref="EZ16:FA16"/>
    <mergeCell ref="HB16:HC16"/>
    <mergeCell ref="HD16:HE16"/>
    <mergeCell ref="HF16:HG16"/>
    <mergeCell ref="HH16:HI16"/>
    <mergeCell ref="HJ16:HK16"/>
    <mergeCell ref="HL16:HM16"/>
    <mergeCell ref="HB15:HC15"/>
    <mergeCell ref="HD15:HE15"/>
    <mergeCell ref="HF15:HG15"/>
    <mergeCell ref="HH15:HI15"/>
    <mergeCell ref="HJ15:HK15"/>
    <mergeCell ref="HL15:HM15"/>
    <mergeCell ref="HP9:HQ14"/>
    <mergeCell ref="HB10:HC14"/>
    <mergeCell ref="HD10:HM10"/>
    <mergeCell ref="HD11:HE14"/>
    <mergeCell ref="HF11:HG14"/>
    <mergeCell ref="HH11:HI14"/>
    <mergeCell ref="HJ11:HK14"/>
    <mergeCell ref="HL11:HM14"/>
    <mergeCell ref="HP20:HQ20"/>
    <mergeCell ref="HN19:HO19"/>
    <mergeCell ref="HP19:HQ19"/>
    <mergeCell ref="EZ20:HA20"/>
    <mergeCell ref="HB20:HC20"/>
    <mergeCell ref="HD20:HE20"/>
    <mergeCell ref="HF20:HG20"/>
    <mergeCell ref="HH20:HI20"/>
    <mergeCell ref="HJ20:HK20"/>
    <mergeCell ref="HL20:HM20"/>
    <mergeCell ref="FC22:FE22"/>
    <mergeCell ref="FF22:FK22"/>
    <mergeCell ref="FN22:FP22"/>
    <mergeCell ref="FQ22:FV22"/>
    <mergeCell ref="HP16:HQ16"/>
    <mergeCell ref="EZ17:FA17"/>
    <mergeCell ref="HB17:HC17"/>
    <mergeCell ref="HD17:HE17"/>
    <mergeCell ref="HF17:HG17"/>
    <mergeCell ref="HH17:HI17"/>
    <mergeCell ref="HJ17:HK17"/>
    <mergeCell ref="HL17:HM17"/>
    <mergeCell ref="HP18:HQ18"/>
    <mergeCell ref="EZ19:FA19"/>
    <mergeCell ref="HB19:HC19"/>
    <mergeCell ref="HD19:HE19"/>
    <mergeCell ref="HF19:HG19"/>
    <mergeCell ref="HH19:HI19"/>
    <mergeCell ref="HJ19:HK19"/>
    <mergeCell ref="HL19:HM19"/>
    <mergeCell ref="HN17:HO17"/>
    <mergeCell ref="HP17:HQ17"/>
    <mergeCell ref="EZ18:FA18"/>
    <mergeCell ref="HB18:HC18"/>
    <mergeCell ref="HD18:HE18"/>
    <mergeCell ref="HF18:HG18"/>
    <mergeCell ref="HH18:HI18"/>
    <mergeCell ref="HJ18:HK18"/>
    <mergeCell ref="HL18:HM18"/>
    <mergeCell ref="FY22:GA22"/>
    <mergeCell ref="GB22:GG22"/>
    <mergeCell ref="GJ22:GL22"/>
    <mergeCell ref="GM22:GR22"/>
    <mergeCell ref="GU22:GW22"/>
    <mergeCell ref="GX22:HC22"/>
    <mergeCell ref="HG22:HI22"/>
    <mergeCell ref="HJ22:HO22"/>
    <mergeCell ref="HN20:HO20"/>
    <mergeCell ref="DL30:DS30"/>
    <mergeCell ref="DT30:EA30"/>
    <mergeCell ref="EB30:EI30"/>
    <mergeCell ref="EJ30:EQ30"/>
    <mergeCell ref="BP31:DC31"/>
    <mergeCell ref="DD31:EQ31"/>
    <mergeCell ref="BB29:BF34"/>
    <mergeCell ref="BG29:BK34"/>
    <mergeCell ref="BP29:DC29"/>
    <mergeCell ref="DD29:EQ29"/>
    <mergeCell ref="BP30:BW30"/>
    <mergeCell ref="BX30:CE30"/>
    <mergeCell ref="CF30:CM30"/>
    <mergeCell ref="CN30:CU30"/>
    <mergeCell ref="CV30:DC30"/>
    <mergeCell ref="DD30:DK30"/>
    <mergeCell ref="CV28:DC28"/>
    <mergeCell ref="DD28:DK28"/>
    <mergeCell ref="DL28:DS28"/>
    <mergeCell ref="DT28:EA28"/>
    <mergeCell ref="EB28:EI28"/>
    <mergeCell ref="EJ28:EQ28"/>
    <mergeCell ref="AH28:BK28"/>
    <mergeCell ref="BL28:BO34"/>
    <mergeCell ref="BP28:BW28"/>
    <mergeCell ref="BX28:CE28"/>
    <mergeCell ref="CF28:CM28"/>
    <mergeCell ref="CN28:CU28"/>
    <mergeCell ref="DL32:DO32"/>
    <mergeCell ref="DP32:DS32"/>
    <mergeCell ref="AH29:AL34"/>
    <mergeCell ref="CJ32:CM32"/>
    <mergeCell ref="ER34:EU34"/>
    <mergeCell ref="C35:Y35"/>
    <mergeCell ref="Z35:AC35"/>
    <mergeCell ref="AD35:AG35"/>
    <mergeCell ref="AH35:AL35"/>
    <mergeCell ref="AM35:AQ35"/>
    <mergeCell ref="AR35:AV35"/>
    <mergeCell ref="AW35:BA35"/>
    <mergeCell ref="DL34:DO34"/>
    <mergeCell ref="DP34:DS34"/>
    <mergeCell ref="DT34:DW34"/>
    <mergeCell ref="DX34:EA34"/>
    <mergeCell ref="EB34:EE34"/>
    <mergeCell ref="EF34:EI34"/>
    <mergeCell ref="CN34:CQ34"/>
    <mergeCell ref="CR34:CU34"/>
    <mergeCell ref="CV34:CY34"/>
    <mergeCell ref="CZ34:DC34"/>
    <mergeCell ref="DD34:DG34"/>
    <mergeCell ref="DH34:DK34"/>
    <mergeCell ref="AR29:AV34"/>
    <mergeCell ref="AW29:BA34"/>
    <mergeCell ref="Z28:AG34"/>
    <mergeCell ref="CR32:CU32"/>
    <mergeCell ref="BP33:DC33"/>
    <mergeCell ref="DD33:EQ33"/>
    <mergeCell ref="BP34:BS34"/>
    <mergeCell ref="BT34:BW34"/>
    <mergeCell ref="BX34:CA34"/>
    <mergeCell ref="CB34:CE34"/>
    <mergeCell ref="CF34:CI34"/>
    <mergeCell ref="CJ34:CM34"/>
    <mergeCell ref="BP36:BS36"/>
    <mergeCell ref="BT36:BW36"/>
    <mergeCell ref="C36:Y36"/>
    <mergeCell ref="Z36:AC36"/>
    <mergeCell ref="AD36:AG36"/>
    <mergeCell ref="AH36:AL36"/>
    <mergeCell ref="AM36:AQ36"/>
    <mergeCell ref="AR36:AV36"/>
    <mergeCell ref="DX35:EA35"/>
    <mergeCell ref="EB35:EE35"/>
    <mergeCell ref="EF35:EI35"/>
    <mergeCell ref="EJ35:EM35"/>
    <mergeCell ref="EN35:EQ35"/>
    <mergeCell ref="CV32:CY32"/>
    <mergeCell ref="CZ32:DC32"/>
    <mergeCell ref="DD32:DG32"/>
    <mergeCell ref="DH32:DK32"/>
    <mergeCell ref="BP32:BS32"/>
    <mergeCell ref="BT32:BW32"/>
    <mergeCell ref="BX32:CA32"/>
    <mergeCell ref="CB32:CE32"/>
    <mergeCell ref="CF32:CI32"/>
    <mergeCell ref="AM29:AQ34"/>
    <mergeCell ref="EJ34:EM34"/>
    <mergeCell ref="EN34:EQ34"/>
    <mergeCell ref="DT32:DW32"/>
    <mergeCell ref="DX32:EA32"/>
    <mergeCell ref="EB32:EE32"/>
    <mergeCell ref="EF32:EI32"/>
    <mergeCell ref="CN32:CQ32"/>
    <mergeCell ref="EJ32:EM32"/>
    <mergeCell ref="EN32:EQ32"/>
    <mergeCell ref="ER35:EU35"/>
    <mergeCell ref="CZ35:DC35"/>
    <mergeCell ref="DD35:DG35"/>
    <mergeCell ref="DH35:DK35"/>
    <mergeCell ref="DL35:DO35"/>
    <mergeCell ref="DP35:DS35"/>
    <mergeCell ref="DT35:DW35"/>
    <mergeCell ref="CB35:CE35"/>
    <mergeCell ref="CF35:CI35"/>
    <mergeCell ref="CJ35:CM35"/>
    <mergeCell ref="CN35:CQ35"/>
    <mergeCell ref="CR35:CU35"/>
    <mergeCell ref="CV35:CY35"/>
    <mergeCell ref="BB35:BF35"/>
    <mergeCell ref="BG35:BK35"/>
    <mergeCell ref="BL35:BO35"/>
    <mergeCell ref="BP35:BS35"/>
    <mergeCell ref="BT35:BW35"/>
    <mergeCell ref="BX35:CA35"/>
    <mergeCell ref="ER36:EU36"/>
    <mergeCell ref="C37:Y37"/>
    <mergeCell ref="Z37:AC37"/>
    <mergeCell ref="AD37:AG37"/>
    <mergeCell ref="AH37:AL37"/>
    <mergeCell ref="AM37:AQ37"/>
    <mergeCell ref="AR37:AV37"/>
    <mergeCell ref="AW37:BA37"/>
    <mergeCell ref="BB37:BF37"/>
    <mergeCell ref="BG37:BK37"/>
    <mergeCell ref="DT36:DW36"/>
    <mergeCell ref="DX36:EA36"/>
    <mergeCell ref="EB36:EE36"/>
    <mergeCell ref="EF36:EI36"/>
    <mergeCell ref="EJ36:EM36"/>
    <mergeCell ref="EN36:EQ36"/>
    <mergeCell ref="CV36:CY36"/>
    <mergeCell ref="CZ36:DC36"/>
    <mergeCell ref="DD36:DG36"/>
    <mergeCell ref="DH36:DK36"/>
    <mergeCell ref="DL36:DO36"/>
    <mergeCell ref="DP36:DS36"/>
    <mergeCell ref="BX36:CA36"/>
    <mergeCell ref="CB36:CE36"/>
    <mergeCell ref="CF36:CI36"/>
    <mergeCell ref="CJ36:CM36"/>
    <mergeCell ref="CN36:CQ36"/>
    <mergeCell ref="CR36:CU36"/>
    <mergeCell ref="AW36:BA36"/>
    <mergeCell ref="BB36:BF36"/>
    <mergeCell ref="BG36:BK36"/>
    <mergeCell ref="BL36:BO36"/>
    <mergeCell ref="EF37:EI37"/>
    <mergeCell ref="EJ37:EM37"/>
    <mergeCell ref="EN37:EQ37"/>
    <mergeCell ref="ER37:EU37"/>
    <mergeCell ref="C38:Y38"/>
    <mergeCell ref="Z38:AC38"/>
    <mergeCell ref="AD38:AG38"/>
    <mergeCell ref="AH38:AL38"/>
    <mergeCell ref="AM38:AQ38"/>
    <mergeCell ref="AR38:AV38"/>
    <mergeCell ref="DH37:DK37"/>
    <mergeCell ref="DL37:DO37"/>
    <mergeCell ref="DP37:DS37"/>
    <mergeCell ref="DT37:DW37"/>
    <mergeCell ref="DX37:EA37"/>
    <mergeCell ref="EB37:EE37"/>
    <mergeCell ref="CJ37:CM37"/>
    <mergeCell ref="CN37:CQ37"/>
    <mergeCell ref="CR37:CU37"/>
    <mergeCell ref="CV37:CY37"/>
    <mergeCell ref="CZ37:DC37"/>
    <mergeCell ref="DD37:DG37"/>
    <mergeCell ref="BL37:BO37"/>
    <mergeCell ref="BP37:BS37"/>
    <mergeCell ref="BT37:BW37"/>
    <mergeCell ref="BX37:CA37"/>
    <mergeCell ref="CB37:CE37"/>
    <mergeCell ref="CF37:CI37"/>
    <mergeCell ref="ER38:EU38"/>
    <mergeCell ref="Z39:AC39"/>
    <mergeCell ref="AD39:AG39"/>
    <mergeCell ref="AH39:AL39"/>
    <mergeCell ref="AM39:AQ39"/>
    <mergeCell ref="AR39:AV39"/>
    <mergeCell ref="AW39:BA39"/>
    <mergeCell ref="BB39:BF39"/>
    <mergeCell ref="BG39:BK39"/>
    <mergeCell ref="DT38:DW38"/>
    <mergeCell ref="DX38:EA38"/>
    <mergeCell ref="EB38:EE38"/>
    <mergeCell ref="EF38:EI38"/>
    <mergeCell ref="EJ38:EM38"/>
    <mergeCell ref="EN38:EQ38"/>
    <mergeCell ref="CV38:CY38"/>
    <mergeCell ref="CZ38:DC38"/>
    <mergeCell ref="DD38:DG38"/>
    <mergeCell ref="DH38:DK38"/>
    <mergeCell ref="DL38:DO38"/>
    <mergeCell ref="DP38:DS38"/>
    <mergeCell ref="BX38:CA38"/>
    <mergeCell ref="CB38:CE38"/>
    <mergeCell ref="CF38:CI38"/>
    <mergeCell ref="CJ38:CM38"/>
    <mergeCell ref="CN38:CQ38"/>
    <mergeCell ref="CR38:CU38"/>
    <mergeCell ref="AW38:BA38"/>
    <mergeCell ref="BB38:BF38"/>
    <mergeCell ref="BG38:BK38"/>
    <mergeCell ref="BL38:BO38"/>
    <mergeCell ref="BP38:BS38"/>
    <mergeCell ref="BT38:BW38"/>
    <mergeCell ref="BP40:BS40"/>
    <mergeCell ref="BT40:BW40"/>
    <mergeCell ref="EF39:EI39"/>
    <mergeCell ref="EJ39:EM39"/>
    <mergeCell ref="EN39:EQ39"/>
    <mergeCell ref="ER39:EU39"/>
    <mergeCell ref="C40:Y40"/>
    <mergeCell ref="Z40:AC40"/>
    <mergeCell ref="AD40:AG40"/>
    <mergeCell ref="AH40:AL40"/>
    <mergeCell ref="AM40:AQ40"/>
    <mergeCell ref="AR40:AV40"/>
    <mergeCell ref="DH39:DK39"/>
    <mergeCell ref="DL39:DO39"/>
    <mergeCell ref="DP39:DS39"/>
    <mergeCell ref="DT39:DW39"/>
    <mergeCell ref="DX39:EA39"/>
    <mergeCell ref="EB39:EE39"/>
    <mergeCell ref="CJ39:CM39"/>
    <mergeCell ref="CN39:CQ39"/>
    <mergeCell ref="CR39:CU39"/>
    <mergeCell ref="CV39:CY39"/>
    <mergeCell ref="CZ39:DC39"/>
    <mergeCell ref="DD39:DG39"/>
    <mergeCell ref="BL39:BO39"/>
    <mergeCell ref="BP39:BS39"/>
    <mergeCell ref="BT39:BW39"/>
    <mergeCell ref="BX39:CA39"/>
    <mergeCell ref="CB39:CE39"/>
    <mergeCell ref="CF39:CI39"/>
    <mergeCell ref="ER40:EU40"/>
    <mergeCell ref="C39:Y39"/>
    <mergeCell ref="C41:Y41"/>
    <mergeCell ref="Z41:AC41"/>
    <mergeCell ref="AD41:AG41"/>
    <mergeCell ref="AH41:AL41"/>
    <mergeCell ref="AM41:AQ41"/>
    <mergeCell ref="AR41:AV41"/>
    <mergeCell ref="AW41:BA41"/>
    <mergeCell ref="BB41:BF41"/>
    <mergeCell ref="BG41:BK41"/>
    <mergeCell ref="DT40:DW40"/>
    <mergeCell ref="DX40:EA40"/>
    <mergeCell ref="EB40:EE40"/>
    <mergeCell ref="EF40:EI40"/>
    <mergeCell ref="EJ40:EM40"/>
    <mergeCell ref="EN40:EQ40"/>
    <mergeCell ref="CV40:CY40"/>
    <mergeCell ref="CZ40:DC40"/>
    <mergeCell ref="DD40:DG40"/>
    <mergeCell ref="DH40:DK40"/>
    <mergeCell ref="DL40:DO40"/>
    <mergeCell ref="DP40:DS40"/>
    <mergeCell ref="BX40:CA40"/>
    <mergeCell ref="CB40:CE40"/>
    <mergeCell ref="CF40:CI40"/>
    <mergeCell ref="CJ40:CM40"/>
    <mergeCell ref="CN40:CQ40"/>
    <mergeCell ref="CR40:CU40"/>
    <mergeCell ref="AW40:BA40"/>
    <mergeCell ref="BB40:BF40"/>
    <mergeCell ref="BG40:BK40"/>
    <mergeCell ref="BL40:BO40"/>
    <mergeCell ref="EF41:EI41"/>
    <mergeCell ref="CZ42:DC42"/>
    <mergeCell ref="EJ41:EM41"/>
    <mergeCell ref="EN41:EQ41"/>
    <mergeCell ref="ER41:EU41"/>
    <mergeCell ref="DH41:DK41"/>
    <mergeCell ref="DL41:DO41"/>
    <mergeCell ref="DP41:DS41"/>
    <mergeCell ref="DT41:DW41"/>
    <mergeCell ref="DX41:EA41"/>
    <mergeCell ref="EB41:EE41"/>
    <mergeCell ref="CJ41:CM41"/>
    <mergeCell ref="CN41:CQ41"/>
    <mergeCell ref="CR41:CU41"/>
    <mergeCell ref="CV41:CY41"/>
    <mergeCell ref="CZ41:DC41"/>
    <mergeCell ref="DD41:DG41"/>
    <mergeCell ref="BL41:BO41"/>
    <mergeCell ref="BP41:BS41"/>
    <mergeCell ref="BT41:BW41"/>
    <mergeCell ref="BX41:CA41"/>
    <mergeCell ref="CB41:CE41"/>
    <mergeCell ref="CF41:CI41"/>
    <mergeCell ref="CF43:CI43"/>
    <mergeCell ref="C42:Y42"/>
    <mergeCell ref="Z42:AC42"/>
    <mergeCell ref="AD42:AG42"/>
    <mergeCell ref="AH42:AL42"/>
    <mergeCell ref="AM42:AQ42"/>
    <mergeCell ref="AR42:AV42"/>
    <mergeCell ref="AW42:BA42"/>
    <mergeCell ref="BB42:BF42"/>
    <mergeCell ref="BG42:BK42"/>
    <mergeCell ref="BP43:BS43"/>
    <mergeCell ref="BT43:BW43"/>
    <mergeCell ref="EF42:EI42"/>
    <mergeCell ref="EJ42:EM42"/>
    <mergeCell ref="EN42:EQ42"/>
    <mergeCell ref="ER42:EU42"/>
    <mergeCell ref="C43:Y43"/>
    <mergeCell ref="Z43:AC43"/>
    <mergeCell ref="AD43:AG43"/>
    <mergeCell ref="AH43:AL43"/>
    <mergeCell ref="AM43:AQ43"/>
    <mergeCell ref="AR43:AV43"/>
    <mergeCell ref="DH42:DK42"/>
    <mergeCell ref="DL42:DO42"/>
    <mergeCell ref="DP42:DS42"/>
    <mergeCell ref="DT42:DW42"/>
    <mergeCell ref="DX42:EA42"/>
    <mergeCell ref="EB42:EE42"/>
    <mergeCell ref="CJ42:CM42"/>
    <mergeCell ref="CN42:CQ42"/>
    <mergeCell ref="CR42:CU42"/>
    <mergeCell ref="CV42:CY42"/>
    <mergeCell ref="BL44:BO44"/>
    <mergeCell ref="DD42:DG42"/>
    <mergeCell ref="BL42:BO42"/>
    <mergeCell ref="BP42:BS42"/>
    <mergeCell ref="BT42:BW42"/>
    <mergeCell ref="BX42:CA42"/>
    <mergeCell ref="CB42:CE42"/>
    <mergeCell ref="CF42:CI42"/>
    <mergeCell ref="ER43:EU43"/>
    <mergeCell ref="C44:Y44"/>
    <mergeCell ref="Z44:AC44"/>
    <mergeCell ref="AD44:AG44"/>
    <mergeCell ref="AH44:AL44"/>
    <mergeCell ref="AM44:AQ44"/>
    <mergeCell ref="AR44:AV44"/>
    <mergeCell ref="AW44:BA44"/>
    <mergeCell ref="BB44:BF44"/>
    <mergeCell ref="BG44:BK44"/>
    <mergeCell ref="DT43:DW43"/>
    <mergeCell ref="DX43:EA43"/>
    <mergeCell ref="EB43:EE43"/>
    <mergeCell ref="EF43:EI43"/>
    <mergeCell ref="EJ43:EM43"/>
    <mergeCell ref="EN43:EQ43"/>
    <mergeCell ref="CV43:CY43"/>
    <mergeCell ref="CZ43:DC43"/>
    <mergeCell ref="DD43:DG43"/>
    <mergeCell ref="DH43:DK43"/>
    <mergeCell ref="DL43:DO43"/>
    <mergeCell ref="DP43:DS43"/>
    <mergeCell ref="BX43:CA43"/>
    <mergeCell ref="CB43:CE43"/>
    <mergeCell ref="CN45:CQ45"/>
    <mergeCell ref="CJ43:CM43"/>
    <mergeCell ref="CN43:CQ43"/>
    <mergeCell ref="CR43:CU43"/>
    <mergeCell ref="AW43:BA43"/>
    <mergeCell ref="BB43:BF43"/>
    <mergeCell ref="BG43:BK43"/>
    <mergeCell ref="BL43:BO43"/>
    <mergeCell ref="BP45:BS45"/>
    <mergeCell ref="BT45:BW45"/>
    <mergeCell ref="EF44:EI44"/>
    <mergeCell ref="EJ44:EM44"/>
    <mergeCell ref="EN44:EQ44"/>
    <mergeCell ref="ER44:EU44"/>
    <mergeCell ref="C45:Y45"/>
    <mergeCell ref="Z45:AC45"/>
    <mergeCell ref="AD45:AG45"/>
    <mergeCell ref="AH45:AL45"/>
    <mergeCell ref="AM45:AQ45"/>
    <mergeCell ref="AR45:AV45"/>
    <mergeCell ref="DH44:DK44"/>
    <mergeCell ref="DL44:DO44"/>
    <mergeCell ref="DP44:DS44"/>
    <mergeCell ref="DT44:DW44"/>
    <mergeCell ref="DX44:EA44"/>
    <mergeCell ref="EB44:EE44"/>
    <mergeCell ref="CJ44:CM44"/>
    <mergeCell ref="CN44:CQ44"/>
    <mergeCell ref="CR44:CU44"/>
    <mergeCell ref="CV44:CY44"/>
    <mergeCell ref="CZ44:DC44"/>
    <mergeCell ref="DD44:DG44"/>
    <mergeCell ref="BT46:BW46"/>
    <mergeCell ref="BP44:BS44"/>
    <mergeCell ref="BT44:BW44"/>
    <mergeCell ref="BX44:CA44"/>
    <mergeCell ref="CB44:CE44"/>
    <mergeCell ref="CF44:CI44"/>
    <mergeCell ref="ER45:EU45"/>
    <mergeCell ref="C46:Y46"/>
    <mergeCell ref="Z46:AC46"/>
    <mergeCell ref="AD46:AG46"/>
    <mergeCell ref="AH46:AL46"/>
    <mergeCell ref="AM46:AQ46"/>
    <mergeCell ref="AR46:AV46"/>
    <mergeCell ref="AW46:BA46"/>
    <mergeCell ref="BB46:BF46"/>
    <mergeCell ref="BG46:BK46"/>
    <mergeCell ref="DT45:DW45"/>
    <mergeCell ref="DX45:EA45"/>
    <mergeCell ref="EB45:EE45"/>
    <mergeCell ref="EF45:EI45"/>
    <mergeCell ref="EJ45:EM45"/>
    <mergeCell ref="EN45:EQ45"/>
    <mergeCell ref="CV45:CY45"/>
    <mergeCell ref="CZ45:DC45"/>
    <mergeCell ref="DD45:DG45"/>
    <mergeCell ref="DH45:DK45"/>
    <mergeCell ref="DL45:DO45"/>
    <mergeCell ref="DP45:DS45"/>
    <mergeCell ref="BX45:CA45"/>
    <mergeCell ref="CB45:CE45"/>
    <mergeCell ref="CF45:CI45"/>
    <mergeCell ref="CJ45:CM45"/>
    <mergeCell ref="AW47:BA47"/>
    <mergeCell ref="CR45:CU45"/>
    <mergeCell ref="AW45:BA45"/>
    <mergeCell ref="BB45:BF45"/>
    <mergeCell ref="BG45:BK45"/>
    <mergeCell ref="BL45:BO45"/>
    <mergeCell ref="BP47:BS47"/>
    <mergeCell ref="BT47:BW47"/>
    <mergeCell ref="EF46:EI46"/>
    <mergeCell ref="EJ46:EM46"/>
    <mergeCell ref="EN46:EQ46"/>
    <mergeCell ref="ER46:EU46"/>
    <mergeCell ref="C47:Y47"/>
    <mergeCell ref="Z47:AC47"/>
    <mergeCell ref="AD47:AG47"/>
    <mergeCell ref="AH47:AL47"/>
    <mergeCell ref="AM47:AQ47"/>
    <mergeCell ref="AR47:AV47"/>
    <mergeCell ref="DH46:DK46"/>
    <mergeCell ref="DL46:DO46"/>
    <mergeCell ref="DP46:DS46"/>
    <mergeCell ref="DT46:DW46"/>
    <mergeCell ref="DX46:EA46"/>
    <mergeCell ref="EB46:EE46"/>
    <mergeCell ref="CJ46:CM46"/>
    <mergeCell ref="CN46:CQ46"/>
    <mergeCell ref="CR46:CU46"/>
    <mergeCell ref="CV46:CY46"/>
    <mergeCell ref="CZ46:DC46"/>
    <mergeCell ref="DD46:DG46"/>
    <mergeCell ref="BL46:BO46"/>
    <mergeCell ref="BP46:BS46"/>
    <mergeCell ref="CB48:CE48"/>
    <mergeCell ref="BX46:CA46"/>
    <mergeCell ref="CB46:CE46"/>
    <mergeCell ref="CF46:CI46"/>
    <mergeCell ref="ER47:EU47"/>
    <mergeCell ref="C48:Y48"/>
    <mergeCell ref="Z48:AC48"/>
    <mergeCell ref="AD48:AG48"/>
    <mergeCell ref="AH48:AL48"/>
    <mergeCell ref="AM48:AQ48"/>
    <mergeCell ref="AR48:AV48"/>
    <mergeCell ref="AW48:BA48"/>
    <mergeCell ref="BB48:BF48"/>
    <mergeCell ref="BG48:BK48"/>
    <mergeCell ref="DT47:DW47"/>
    <mergeCell ref="DX47:EA47"/>
    <mergeCell ref="EB47:EE47"/>
    <mergeCell ref="EF47:EI47"/>
    <mergeCell ref="EJ47:EM47"/>
    <mergeCell ref="EN47:EQ47"/>
    <mergeCell ref="CV47:CY47"/>
    <mergeCell ref="CZ47:DC47"/>
    <mergeCell ref="DD47:DG47"/>
    <mergeCell ref="DH47:DK47"/>
    <mergeCell ref="DL47:DO47"/>
    <mergeCell ref="DP47:DS47"/>
    <mergeCell ref="BX47:CA47"/>
    <mergeCell ref="CB47:CE47"/>
    <mergeCell ref="CF47:CI47"/>
    <mergeCell ref="CJ47:CM47"/>
    <mergeCell ref="CN47:CQ47"/>
    <mergeCell ref="CR47:CU47"/>
    <mergeCell ref="BG49:BK49"/>
    <mergeCell ref="BB47:BF47"/>
    <mergeCell ref="BG47:BK47"/>
    <mergeCell ref="BL47:BO47"/>
    <mergeCell ref="BP49:BS49"/>
    <mergeCell ref="BT49:BW49"/>
    <mergeCell ref="EF48:EI48"/>
    <mergeCell ref="EJ48:EM48"/>
    <mergeCell ref="EN48:EQ48"/>
    <mergeCell ref="ER48:EU48"/>
    <mergeCell ref="C49:Y49"/>
    <mergeCell ref="Z49:AC49"/>
    <mergeCell ref="AD49:AG49"/>
    <mergeCell ref="AH49:AL49"/>
    <mergeCell ref="AM49:AQ49"/>
    <mergeCell ref="AR49:AV49"/>
    <mergeCell ref="DH48:DK48"/>
    <mergeCell ref="DL48:DO48"/>
    <mergeCell ref="DP48:DS48"/>
    <mergeCell ref="DT48:DW48"/>
    <mergeCell ref="DX48:EA48"/>
    <mergeCell ref="EB48:EE48"/>
    <mergeCell ref="CJ48:CM48"/>
    <mergeCell ref="CN48:CQ48"/>
    <mergeCell ref="CR48:CU48"/>
    <mergeCell ref="CV48:CY48"/>
    <mergeCell ref="CZ48:DC48"/>
    <mergeCell ref="DD48:DG48"/>
    <mergeCell ref="BL48:BO48"/>
    <mergeCell ref="BP48:BS48"/>
    <mergeCell ref="BT48:BW48"/>
    <mergeCell ref="BX48:CA48"/>
    <mergeCell ref="C51:Y51"/>
    <mergeCell ref="CF48:CI48"/>
    <mergeCell ref="ER49:EU49"/>
    <mergeCell ref="C50:Y50"/>
    <mergeCell ref="Z50:AC50"/>
    <mergeCell ref="AD50:AG50"/>
    <mergeCell ref="AH50:AL50"/>
    <mergeCell ref="AM50:AQ50"/>
    <mergeCell ref="AR50:AV50"/>
    <mergeCell ref="AW50:BA50"/>
    <mergeCell ref="BB50:BF50"/>
    <mergeCell ref="BG50:BK50"/>
    <mergeCell ref="DT49:DW49"/>
    <mergeCell ref="DX49:EA49"/>
    <mergeCell ref="EB49:EE49"/>
    <mergeCell ref="EF49:EI49"/>
    <mergeCell ref="EJ49:EM49"/>
    <mergeCell ref="EN49:EQ49"/>
    <mergeCell ref="CV49:CY49"/>
    <mergeCell ref="CZ49:DC49"/>
    <mergeCell ref="DD49:DG49"/>
    <mergeCell ref="DH49:DK49"/>
    <mergeCell ref="DL49:DO49"/>
    <mergeCell ref="DP49:DS49"/>
    <mergeCell ref="BX49:CA49"/>
    <mergeCell ref="CB49:CE49"/>
    <mergeCell ref="CF49:CI49"/>
    <mergeCell ref="CJ49:CM49"/>
    <mergeCell ref="CN49:CQ49"/>
    <mergeCell ref="CR49:CU49"/>
    <mergeCell ref="AW49:BA49"/>
    <mergeCell ref="BB49:BF49"/>
    <mergeCell ref="BL52:BO52"/>
    <mergeCell ref="BL49:BO49"/>
    <mergeCell ref="BP52:BS52"/>
    <mergeCell ref="BT52:BW52"/>
    <mergeCell ref="EF50:EI50"/>
    <mergeCell ref="EJ50:EM50"/>
    <mergeCell ref="EN50:EQ50"/>
    <mergeCell ref="ER50:EU50"/>
    <mergeCell ref="C52:Y52"/>
    <mergeCell ref="Z52:AC52"/>
    <mergeCell ref="AD52:AG52"/>
    <mergeCell ref="AH52:AL52"/>
    <mergeCell ref="AM52:AQ52"/>
    <mergeCell ref="AR52:AV52"/>
    <mergeCell ref="DH50:DK50"/>
    <mergeCell ref="DL50:DO50"/>
    <mergeCell ref="DP50:DS50"/>
    <mergeCell ref="DT50:DW50"/>
    <mergeCell ref="DX50:EA50"/>
    <mergeCell ref="EB50:EE50"/>
    <mergeCell ref="CJ50:CM50"/>
    <mergeCell ref="CN50:CQ50"/>
    <mergeCell ref="CR50:CU50"/>
    <mergeCell ref="CV50:CY50"/>
    <mergeCell ref="CZ50:DC50"/>
    <mergeCell ref="DD50:DG50"/>
    <mergeCell ref="BL50:BO50"/>
    <mergeCell ref="BP50:BS50"/>
    <mergeCell ref="BT50:BW50"/>
    <mergeCell ref="BX50:CA50"/>
    <mergeCell ref="CB50:CE50"/>
    <mergeCell ref="CF50:CI50"/>
    <mergeCell ref="BB53:BF53"/>
    <mergeCell ref="BG53:BK53"/>
    <mergeCell ref="BB54:BF55"/>
    <mergeCell ref="BG54:BK55"/>
    <mergeCell ref="BL54:BO55"/>
    <mergeCell ref="BP54:BS55"/>
    <mergeCell ref="EF53:EI53"/>
    <mergeCell ref="EJ53:EM53"/>
    <mergeCell ref="EN53:EQ53"/>
    <mergeCell ref="Z51:AC51"/>
    <mergeCell ref="ER52:EU52"/>
    <mergeCell ref="DT52:DW52"/>
    <mergeCell ref="DX52:EA52"/>
    <mergeCell ref="EB52:EE52"/>
    <mergeCell ref="EF52:EI52"/>
    <mergeCell ref="EJ52:EM52"/>
    <mergeCell ref="EN52:EQ52"/>
    <mergeCell ref="CV52:CY52"/>
    <mergeCell ref="CZ52:DC52"/>
    <mergeCell ref="DD52:DG52"/>
    <mergeCell ref="DH52:DK52"/>
    <mergeCell ref="DL52:DO52"/>
    <mergeCell ref="DP52:DS52"/>
    <mergeCell ref="BX52:CA52"/>
    <mergeCell ref="CB52:CE52"/>
    <mergeCell ref="CF52:CI52"/>
    <mergeCell ref="CJ52:CM52"/>
    <mergeCell ref="CN52:CQ52"/>
    <mergeCell ref="CR52:CU52"/>
    <mergeCell ref="AW52:BA52"/>
    <mergeCell ref="BB52:BF52"/>
    <mergeCell ref="BG52:BK52"/>
    <mergeCell ref="ER53:EU53"/>
    <mergeCell ref="A54:A55"/>
    <mergeCell ref="Z54:AC55"/>
    <mergeCell ref="AD54:AG55"/>
    <mergeCell ref="AH54:AL55"/>
    <mergeCell ref="AM54:AQ55"/>
    <mergeCell ref="DH53:DK53"/>
    <mergeCell ref="DL53:DO53"/>
    <mergeCell ref="DP53:DS53"/>
    <mergeCell ref="DT53:DW53"/>
    <mergeCell ref="DX53:EA53"/>
    <mergeCell ref="EB53:EE53"/>
    <mergeCell ref="CJ53:CM53"/>
    <mergeCell ref="CN53:CQ53"/>
    <mergeCell ref="CR53:CU53"/>
    <mergeCell ref="CV53:CY53"/>
    <mergeCell ref="CZ53:DC53"/>
    <mergeCell ref="DD53:DG53"/>
    <mergeCell ref="BL53:BO53"/>
    <mergeCell ref="BP53:BS53"/>
    <mergeCell ref="BT53:BW53"/>
    <mergeCell ref="BX53:CA53"/>
    <mergeCell ref="CB53:CE53"/>
    <mergeCell ref="CF53:CI53"/>
    <mergeCell ref="C54:Y54"/>
    <mergeCell ref="C53:Y53"/>
    <mergeCell ref="Z53:AC53"/>
    <mergeCell ref="AD53:AG53"/>
    <mergeCell ref="AH53:AL53"/>
    <mergeCell ref="AM53:AQ53"/>
    <mergeCell ref="AR53:AV53"/>
    <mergeCell ref="AW53:BA53"/>
    <mergeCell ref="BP56:BS57"/>
    <mergeCell ref="BT56:BW57"/>
    <mergeCell ref="EN54:EQ55"/>
    <mergeCell ref="ER54:EU55"/>
    <mergeCell ref="C55:Y55"/>
    <mergeCell ref="A56:A57"/>
    <mergeCell ref="C56:Y56"/>
    <mergeCell ref="Z56:AC57"/>
    <mergeCell ref="AD56:AG57"/>
    <mergeCell ref="AH56:AL57"/>
    <mergeCell ref="AM56:AQ57"/>
    <mergeCell ref="AR56:AV57"/>
    <mergeCell ref="DP54:DS55"/>
    <mergeCell ref="DT54:DW55"/>
    <mergeCell ref="DX54:EA55"/>
    <mergeCell ref="EB54:EE55"/>
    <mergeCell ref="EF54:EI55"/>
    <mergeCell ref="EJ54:EM55"/>
    <mergeCell ref="CR54:CU55"/>
    <mergeCell ref="CV54:CY55"/>
    <mergeCell ref="CZ54:DC55"/>
    <mergeCell ref="DD54:DG55"/>
    <mergeCell ref="DH54:DK55"/>
    <mergeCell ref="DL54:DO55"/>
    <mergeCell ref="BT54:BW55"/>
    <mergeCell ref="BX54:CA55"/>
    <mergeCell ref="CB54:CE55"/>
    <mergeCell ref="CF54:CI55"/>
    <mergeCell ref="CJ54:CM55"/>
    <mergeCell ref="CN54:CQ55"/>
    <mergeCell ref="AR54:AV55"/>
    <mergeCell ref="AW54:BA55"/>
    <mergeCell ref="ER56:EU57"/>
    <mergeCell ref="C57:Y57"/>
    <mergeCell ref="A58:A59"/>
    <mergeCell ref="C58:Y58"/>
    <mergeCell ref="Z58:AC59"/>
    <mergeCell ref="AD58:AG59"/>
    <mergeCell ref="AH58:AL59"/>
    <mergeCell ref="AM58:AQ59"/>
    <mergeCell ref="AR58:AV59"/>
    <mergeCell ref="AW58:BA59"/>
    <mergeCell ref="DT56:DW57"/>
    <mergeCell ref="DX56:EA57"/>
    <mergeCell ref="EB56:EE57"/>
    <mergeCell ref="EF56:EI57"/>
    <mergeCell ref="EJ56:EM57"/>
    <mergeCell ref="EN56:EQ57"/>
    <mergeCell ref="CV56:CY57"/>
    <mergeCell ref="CZ56:DC57"/>
    <mergeCell ref="DD56:DG57"/>
    <mergeCell ref="DH56:DK57"/>
    <mergeCell ref="DL56:DO57"/>
    <mergeCell ref="DP56:DS57"/>
    <mergeCell ref="BX56:CA57"/>
    <mergeCell ref="CB56:CE57"/>
    <mergeCell ref="CF56:CI57"/>
    <mergeCell ref="CJ56:CM57"/>
    <mergeCell ref="CN56:CQ57"/>
    <mergeCell ref="CR56:CU57"/>
    <mergeCell ref="AW56:BA57"/>
    <mergeCell ref="BB56:BF57"/>
    <mergeCell ref="BG56:BK57"/>
    <mergeCell ref="BL56:BO57"/>
    <mergeCell ref="ER58:EU59"/>
    <mergeCell ref="CZ58:DC59"/>
    <mergeCell ref="DD58:DG59"/>
    <mergeCell ref="DH58:DK59"/>
    <mergeCell ref="DL58:DO59"/>
    <mergeCell ref="DP58:DS59"/>
    <mergeCell ref="DT58:DW59"/>
    <mergeCell ref="CB58:CE59"/>
    <mergeCell ref="CF58:CI59"/>
    <mergeCell ref="CJ58:CM59"/>
    <mergeCell ref="CN58:CQ59"/>
    <mergeCell ref="CR58:CU59"/>
    <mergeCell ref="CV58:CY59"/>
    <mergeCell ref="BB58:BF59"/>
    <mergeCell ref="BG58:BK59"/>
    <mergeCell ref="BL58:BO59"/>
    <mergeCell ref="BP58:BS59"/>
    <mergeCell ref="BT58:BW59"/>
    <mergeCell ref="BX58:CA59"/>
    <mergeCell ref="AM70:AQ71"/>
    <mergeCell ref="AR70:AV71"/>
    <mergeCell ref="AW70:BA71"/>
    <mergeCell ref="BB70:BF71"/>
    <mergeCell ref="BG70:BK71"/>
    <mergeCell ref="BL70:BO71"/>
    <mergeCell ref="C59:Y59"/>
    <mergeCell ref="A70:A71"/>
    <mergeCell ref="C70:Y70"/>
    <mergeCell ref="Z70:AC71"/>
    <mergeCell ref="AD70:AG71"/>
    <mergeCell ref="AH70:AL71"/>
    <mergeCell ref="DX58:EA59"/>
    <mergeCell ref="EB58:EE59"/>
    <mergeCell ref="EF58:EI59"/>
    <mergeCell ref="EJ58:EM59"/>
    <mergeCell ref="EN58:EQ59"/>
    <mergeCell ref="A60:A61"/>
    <mergeCell ref="C60:Y60"/>
    <mergeCell ref="Z60:AC61"/>
    <mergeCell ref="AD60:AG61"/>
    <mergeCell ref="AH60:AL61"/>
    <mergeCell ref="AM60:AQ61"/>
    <mergeCell ref="AR60:AV61"/>
    <mergeCell ref="AW60:BA61"/>
    <mergeCell ref="BB60:BF61"/>
    <mergeCell ref="BG60:BK61"/>
    <mergeCell ref="BL60:BO61"/>
    <mergeCell ref="BP60:BS61"/>
    <mergeCell ref="BT60:BW61"/>
    <mergeCell ref="BX60:CA61"/>
    <mergeCell ref="CB60:CE61"/>
    <mergeCell ref="BB72:BF73"/>
    <mergeCell ref="BG72:BK73"/>
    <mergeCell ref="BL72:BO73"/>
    <mergeCell ref="BP72:BS73"/>
    <mergeCell ref="EJ70:EM71"/>
    <mergeCell ref="EN70:EQ71"/>
    <mergeCell ref="ER70:EU71"/>
    <mergeCell ref="C71:Y71"/>
    <mergeCell ref="A72:A73"/>
    <mergeCell ref="C72:Y72"/>
    <mergeCell ref="Z72:AC73"/>
    <mergeCell ref="AD72:AG73"/>
    <mergeCell ref="AH72:AL73"/>
    <mergeCell ref="AM72:AQ73"/>
    <mergeCell ref="DL70:DO71"/>
    <mergeCell ref="DP70:DS71"/>
    <mergeCell ref="DT70:DW71"/>
    <mergeCell ref="DX70:EA71"/>
    <mergeCell ref="EB70:EE71"/>
    <mergeCell ref="EF70:EI71"/>
    <mergeCell ref="CN70:CQ71"/>
    <mergeCell ref="CR70:CU71"/>
    <mergeCell ref="CV70:CY71"/>
    <mergeCell ref="CZ70:DC71"/>
    <mergeCell ref="DD70:DG71"/>
    <mergeCell ref="DH70:DK71"/>
    <mergeCell ref="BP70:BS71"/>
    <mergeCell ref="BT70:BW71"/>
    <mergeCell ref="BX70:CA71"/>
    <mergeCell ref="CB70:CE71"/>
    <mergeCell ref="CF70:CI71"/>
    <mergeCell ref="CJ70:CM71"/>
    <mergeCell ref="BP74:BS75"/>
    <mergeCell ref="BT74:BW75"/>
    <mergeCell ref="EN72:EQ73"/>
    <mergeCell ref="ER72:EU73"/>
    <mergeCell ref="C73:Y73"/>
    <mergeCell ref="A74:A75"/>
    <mergeCell ref="C74:Y74"/>
    <mergeCell ref="Z74:AC75"/>
    <mergeCell ref="AD74:AG75"/>
    <mergeCell ref="AH74:AL75"/>
    <mergeCell ref="AM74:AQ75"/>
    <mergeCell ref="AR74:AV75"/>
    <mergeCell ref="DP72:DS73"/>
    <mergeCell ref="DT72:DW73"/>
    <mergeCell ref="DX72:EA73"/>
    <mergeCell ref="EB72:EE73"/>
    <mergeCell ref="EF72:EI73"/>
    <mergeCell ref="EJ72:EM73"/>
    <mergeCell ref="CR72:CU73"/>
    <mergeCell ref="CV72:CY73"/>
    <mergeCell ref="CZ72:DC73"/>
    <mergeCell ref="DD72:DG73"/>
    <mergeCell ref="DH72:DK73"/>
    <mergeCell ref="DL72:DO73"/>
    <mergeCell ref="BT72:BW73"/>
    <mergeCell ref="BX72:CA73"/>
    <mergeCell ref="CB72:CE73"/>
    <mergeCell ref="CF72:CI73"/>
    <mergeCell ref="CJ72:CM73"/>
    <mergeCell ref="CN72:CQ73"/>
    <mergeCell ref="AR72:AV73"/>
    <mergeCell ref="AW72:BA73"/>
    <mergeCell ref="ER74:EU75"/>
    <mergeCell ref="C75:Y75"/>
    <mergeCell ref="A76:A77"/>
    <mergeCell ref="C76:Y76"/>
    <mergeCell ref="Z76:AC77"/>
    <mergeCell ref="AD76:AG77"/>
    <mergeCell ref="AH76:AL77"/>
    <mergeCell ref="AM76:AQ77"/>
    <mergeCell ref="AR76:AV77"/>
    <mergeCell ref="AW76:BA77"/>
    <mergeCell ref="DT74:DW75"/>
    <mergeCell ref="DX74:EA75"/>
    <mergeCell ref="EB74:EE75"/>
    <mergeCell ref="EF74:EI75"/>
    <mergeCell ref="EJ74:EM75"/>
    <mergeCell ref="EN74:EQ75"/>
    <mergeCell ref="CV74:CY75"/>
    <mergeCell ref="CZ74:DC75"/>
    <mergeCell ref="DD74:DG75"/>
    <mergeCell ref="DH74:DK75"/>
    <mergeCell ref="DL74:DO75"/>
    <mergeCell ref="DP74:DS75"/>
    <mergeCell ref="BX74:CA75"/>
    <mergeCell ref="CB74:CE75"/>
    <mergeCell ref="CF74:CI75"/>
    <mergeCell ref="CJ74:CM75"/>
    <mergeCell ref="CN74:CQ75"/>
    <mergeCell ref="CR74:CU75"/>
    <mergeCell ref="AW74:BA75"/>
    <mergeCell ref="BB74:BF75"/>
    <mergeCell ref="BG74:BK75"/>
    <mergeCell ref="BL74:BO75"/>
    <mergeCell ref="EF76:EI77"/>
    <mergeCell ref="EJ76:EM77"/>
    <mergeCell ref="EN76:EQ77"/>
    <mergeCell ref="ER76:EU77"/>
    <mergeCell ref="CZ76:DC77"/>
    <mergeCell ref="DD76:DG77"/>
    <mergeCell ref="DH76:DK77"/>
    <mergeCell ref="DL76:DO77"/>
    <mergeCell ref="DP76:DS77"/>
    <mergeCell ref="DT76:DW77"/>
    <mergeCell ref="CB76:CE77"/>
    <mergeCell ref="CF76:CI77"/>
    <mergeCell ref="CJ76:CM77"/>
    <mergeCell ref="CN76:CQ77"/>
    <mergeCell ref="CR76:CU77"/>
    <mergeCell ref="CV76:CY77"/>
    <mergeCell ref="BB76:BF77"/>
    <mergeCell ref="BG76:BK77"/>
    <mergeCell ref="BL76:BO77"/>
    <mergeCell ref="BP76:BS77"/>
    <mergeCell ref="BT76:BW77"/>
    <mergeCell ref="BX76:CA77"/>
    <mergeCell ref="CB78:CE79"/>
    <mergeCell ref="CF78:CI79"/>
    <mergeCell ref="CJ78:CM79"/>
    <mergeCell ref="AM78:AQ79"/>
    <mergeCell ref="AR78:AV79"/>
    <mergeCell ref="AW78:BA79"/>
    <mergeCell ref="BB78:BF79"/>
    <mergeCell ref="BG78:BK79"/>
    <mergeCell ref="BL78:BO79"/>
    <mergeCell ref="C77:Y77"/>
    <mergeCell ref="A78:A79"/>
    <mergeCell ref="C78:Y78"/>
    <mergeCell ref="Z78:AC79"/>
    <mergeCell ref="AD78:AG79"/>
    <mergeCell ref="AH78:AL79"/>
    <mergeCell ref="DX76:EA77"/>
    <mergeCell ref="EB76:EE77"/>
    <mergeCell ref="CN80:CQ81"/>
    <mergeCell ref="AR80:AV81"/>
    <mergeCell ref="AW80:BA81"/>
    <mergeCell ref="BB80:BF81"/>
    <mergeCell ref="BG80:BK81"/>
    <mergeCell ref="BL80:BO81"/>
    <mergeCell ref="BP80:BS81"/>
    <mergeCell ref="EJ78:EM79"/>
    <mergeCell ref="EN78:EQ79"/>
    <mergeCell ref="ER78:EU79"/>
    <mergeCell ref="C79:Y79"/>
    <mergeCell ref="A80:A81"/>
    <mergeCell ref="C80:Y80"/>
    <mergeCell ref="Z80:AC81"/>
    <mergeCell ref="AD80:AG81"/>
    <mergeCell ref="AH80:AL81"/>
    <mergeCell ref="AM80:AQ81"/>
    <mergeCell ref="DL78:DO79"/>
    <mergeCell ref="DP78:DS79"/>
    <mergeCell ref="DT78:DW79"/>
    <mergeCell ref="DX78:EA79"/>
    <mergeCell ref="EB78:EE79"/>
    <mergeCell ref="EF78:EI79"/>
    <mergeCell ref="CN78:CQ79"/>
    <mergeCell ref="CR78:CU79"/>
    <mergeCell ref="CV78:CY79"/>
    <mergeCell ref="CZ78:DC79"/>
    <mergeCell ref="DD78:DG79"/>
    <mergeCell ref="DH78:DK79"/>
    <mergeCell ref="BP78:BS79"/>
    <mergeCell ref="BT78:BW79"/>
    <mergeCell ref="BX78:CA79"/>
    <mergeCell ref="BB82:BF83"/>
    <mergeCell ref="BG82:BK83"/>
    <mergeCell ref="BL82:BO83"/>
    <mergeCell ref="BP82:BS83"/>
    <mergeCell ref="BT82:BW83"/>
    <mergeCell ref="EN80:EQ81"/>
    <mergeCell ref="ER80:EU81"/>
    <mergeCell ref="C81:Y81"/>
    <mergeCell ref="A82:A83"/>
    <mergeCell ref="C82:Y82"/>
    <mergeCell ref="Z82:AC83"/>
    <mergeCell ref="AD82:AG83"/>
    <mergeCell ref="AH82:AL83"/>
    <mergeCell ref="AM82:AQ83"/>
    <mergeCell ref="AR82:AV83"/>
    <mergeCell ref="DP80:DS81"/>
    <mergeCell ref="DT80:DW81"/>
    <mergeCell ref="DX80:EA81"/>
    <mergeCell ref="EB80:EE81"/>
    <mergeCell ref="EF80:EI81"/>
    <mergeCell ref="EJ80:EM81"/>
    <mergeCell ref="CR80:CU81"/>
    <mergeCell ref="CV80:CY81"/>
    <mergeCell ref="CZ80:DC81"/>
    <mergeCell ref="DD80:DG81"/>
    <mergeCell ref="DH80:DK81"/>
    <mergeCell ref="DL80:DO81"/>
    <mergeCell ref="BT80:BW81"/>
    <mergeCell ref="BX80:CA81"/>
    <mergeCell ref="CB80:CE81"/>
    <mergeCell ref="CF80:CI81"/>
    <mergeCell ref="CJ80:CM81"/>
    <mergeCell ref="BP84:BS85"/>
    <mergeCell ref="BT84:BW85"/>
    <mergeCell ref="BX84:CA85"/>
    <mergeCell ref="ER82:EU83"/>
    <mergeCell ref="C83:Y83"/>
    <mergeCell ref="A84:A85"/>
    <mergeCell ref="C84:Y84"/>
    <mergeCell ref="Z84:AC85"/>
    <mergeCell ref="AD84:AG85"/>
    <mergeCell ref="AH84:AL85"/>
    <mergeCell ref="AM84:AQ85"/>
    <mergeCell ref="AR84:AV85"/>
    <mergeCell ref="AW84:BA85"/>
    <mergeCell ref="DT82:DW83"/>
    <mergeCell ref="DX82:EA83"/>
    <mergeCell ref="EB82:EE83"/>
    <mergeCell ref="EF82:EI83"/>
    <mergeCell ref="EJ82:EM83"/>
    <mergeCell ref="EN82:EQ83"/>
    <mergeCell ref="CV82:CY83"/>
    <mergeCell ref="CZ82:DC83"/>
    <mergeCell ref="DD82:DG83"/>
    <mergeCell ref="DH82:DK83"/>
    <mergeCell ref="DL82:DO83"/>
    <mergeCell ref="DP82:DS83"/>
    <mergeCell ref="BX82:CA83"/>
    <mergeCell ref="CB82:CE83"/>
    <mergeCell ref="CF82:CI83"/>
    <mergeCell ref="CJ82:CM83"/>
    <mergeCell ref="CN82:CQ83"/>
    <mergeCell ref="CR82:CU83"/>
    <mergeCell ref="AW82:BA83"/>
    <mergeCell ref="AR86:AV87"/>
    <mergeCell ref="AW86:BA87"/>
    <mergeCell ref="BB86:BF87"/>
    <mergeCell ref="BG86:BK87"/>
    <mergeCell ref="BL86:BO87"/>
    <mergeCell ref="C85:Y85"/>
    <mergeCell ref="A86:A87"/>
    <mergeCell ref="C86:Y86"/>
    <mergeCell ref="Z86:AC87"/>
    <mergeCell ref="AD86:AG87"/>
    <mergeCell ref="AH86:AL87"/>
    <mergeCell ref="DX84:EA85"/>
    <mergeCell ref="EB84:EE85"/>
    <mergeCell ref="EF84:EI85"/>
    <mergeCell ref="EJ84:EM85"/>
    <mergeCell ref="EN84:EQ85"/>
    <mergeCell ref="ER84:EU85"/>
    <mergeCell ref="CZ84:DC85"/>
    <mergeCell ref="DD84:DG85"/>
    <mergeCell ref="DH84:DK85"/>
    <mergeCell ref="DL84:DO85"/>
    <mergeCell ref="DP84:DS85"/>
    <mergeCell ref="DT84:DW85"/>
    <mergeCell ref="CB84:CE85"/>
    <mergeCell ref="CF84:CI85"/>
    <mergeCell ref="CJ84:CM85"/>
    <mergeCell ref="CN84:CQ85"/>
    <mergeCell ref="CR84:CU85"/>
    <mergeCell ref="CV84:CY85"/>
    <mergeCell ref="BB84:BF85"/>
    <mergeCell ref="BG84:BK85"/>
    <mergeCell ref="BL84:BO85"/>
    <mergeCell ref="BL88:BO88"/>
    <mergeCell ref="BP88:BS88"/>
    <mergeCell ref="BT88:BW88"/>
    <mergeCell ref="EJ86:EM87"/>
    <mergeCell ref="EN86:EQ87"/>
    <mergeCell ref="ER86:EU87"/>
    <mergeCell ref="C87:Y87"/>
    <mergeCell ref="C88:Y88"/>
    <mergeCell ref="Z88:AC88"/>
    <mergeCell ref="AD88:AG88"/>
    <mergeCell ref="AH88:AL88"/>
    <mergeCell ref="AM88:AQ88"/>
    <mergeCell ref="AR88:AV88"/>
    <mergeCell ref="DL86:DO87"/>
    <mergeCell ref="DP86:DS87"/>
    <mergeCell ref="DT86:DW87"/>
    <mergeCell ref="DX86:EA87"/>
    <mergeCell ref="EB86:EE87"/>
    <mergeCell ref="EF86:EI87"/>
    <mergeCell ref="CN86:CQ87"/>
    <mergeCell ref="CR86:CU87"/>
    <mergeCell ref="CV86:CY87"/>
    <mergeCell ref="CZ86:DC87"/>
    <mergeCell ref="DD86:DG87"/>
    <mergeCell ref="DH86:DK87"/>
    <mergeCell ref="BP86:BS87"/>
    <mergeCell ref="BT86:BW87"/>
    <mergeCell ref="BX86:CA87"/>
    <mergeCell ref="CB86:CE87"/>
    <mergeCell ref="CF86:CI87"/>
    <mergeCell ref="CJ86:CM87"/>
    <mergeCell ref="AM86:AQ87"/>
    <mergeCell ref="ER90:EU90"/>
    <mergeCell ref="ER88:EU88"/>
    <mergeCell ref="C89:Y89"/>
    <mergeCell ref="Z89:AC89"/>
    <mergeCell ref="AD89:AG89"/>
    <mergeCell ref="AH89:AL89"/>
    <mergeCell ref="AM89:AQ89"/>
    <mergeCell ref="AR89:AV89"/>
    <mergeCell ref="AW89:BA89"/>
    <mergeCell ref="BB89:BF89"/>
    <mergeCell ref="BG89:BK89"/>
    <mergeCell ref="DT88:DW88"/>
    <mergeCell ref="DX88:EA88"/>
    <mergeCell ref="EB88:EE88"/>
    <mergeCell ref="EF88:EI88"/>
    <mergeCell ref="EJ88:EM88"/>
    <mergeCell ref="EN88:EQ88"/>
    <mergeCell ref="CV88:CY88"/>
    <mergeCell ref="CZ88:DC88"/>
    <mergeCell ref="DD88:DG88"/>
    <mergeCell ref="DH88:DK88"/>
    <mergeCell ref="DL88:DO88"/>
    <mergeCell ref="DP88:DS88"/>
    <mergeCell ref="BX88:CA88"/>
    <mergeCell ref="CB88:CE88"/>
    <mergeCell ref="CF88:CI88"/>
    <mergeCell ref="CJ88:CM88"/>
    <mergeCell ref="CN88:CQ88"/>
    <mergeCell ref="CR88:CU88"/>
    <mergeCell ref="AW88:BA88"/>
    <mergeCell ref="BB88:BF88"/>
    <mergeCell ref="BG88:BK88"/>
    <mergeCell ref="BP90:BS90"/>
    <mergeCell ref="BT90:BW90"/>
    <mergeCell ref="EJ91:EM91"/>
    <mergeCell ref="EN91:EQ91"/>
    <mergeCell ref="EF89:EI89"/>
    <mergeCell ref="EJ89:EM89"/>
    <mergeCell ref="EN89:EQ89"/>
    <mergeCell ref="ER89:EU89"/>
    <mergeCell ref="C90:Y90"/>
    <mergeCell ref="Z90:AC90"/>
    <mergeCell ref="AD90:AG90"/>
    <mergeCell ref="AH90:AL90"/>
    <mergeCell ref="AM90:AQ90"/>
    <mergeCell ref="AR90:AV90"/>
    <mergeCell ref="DH89:DK89"/>
    <mergeCell ref="DL89:DO89"/>
    <mergeCell ref="DP89:DS89"/>
    <mergeCell ref="DT89:DW89"/>
    <mergeCell ref="DX89:EA89"/>
    <mergeCell ref="EB89:EE89"/>
    <mergeCell ref="CJ89:CM89"/>
    <mergeCell ref="CN89:CQ89"/>
    <mergeCell ref="CR89:CU89"/>
    <mergeCell ref="CV89:CY89"/>
    <mergeCell ref="CZ89:DC89"/>
    <mergeCell ref="DD89:DG89"/>
    <mergeCell ref="BL89:BO89"/>
    <mergeCell ref="BP89:BS89"/>
    <mergeCell ref="BT89:BW89"/>
    <mergeCell ref="BX89:CA89"/>
    <mergeCell ref="CB89:CE89"/>
    <mergeCell ref="CF89:CI89"/>
    <mergeCell ref="C91:Y91"/>
    <mergeCell ref="Z91:AC91"/>
    <mergeCell ref="AD91:AG91"/>
    <mergeCell ref="AH91:AL91"/>
    <mergeCell ref="AM91:AQ91"/>
    <mergeCell ref="AR91:AV91"/>
    <mergeCell ref="AW91:BA91"/>
    <mergeCell ref="BB91:BF91"/>
    <mergeCell ref="BG91:BK91"/>
    <mergeCell ref="DT90:DW90"/>
    <mergeCell ref="DX90:EA90"/>
    <mergeCell ref="EB90:EE90"/>
    <mergeCell ref="EF90:EI90"/>
    <mergeCell ref="EJ90:EM90"/>
    <mergeCell ref="EN90:EQ90"/>
    <mergeCell ref="CV90:CY90"/>
    <mergeCell ref="CZ90:DC90"/>
    <mergeCell ref="DD90:DG90"/>
    <mergeCell ref="DH90:DK90"/>
    <mergeCell ref="DL90:DO90"/>
    <mergeCell ref="DP90:DS90"/>
    <mergeCell ref="BX90:CA90"/>
    <mergeCell ref="CB90:CE90"/>
    <mergeCell ref="CF90:CI90"/>
    <mergeCell ref="CJ90:CM90"/>
    <mergeCell ref="CN90:CQ90"/>
    <mergeCell ref="CR90:CU90"/>
    <mergeCell ref="AW90:BA90"/>
    <mergeCell ref="BB90:BF90"/>
    <mergeCell ref="BG90:BK90"/>
    <mergeCell ref="BL90:BO90"/>
    <mergeCell ref="EF91:EI91"/>
    <mergeCell ref="AW92:BA92"/>
    <mergeCell ref="BB92:BF92"/>
    <mergeCell ref="BG92:BK92"/>
    <mergeCell ref="BL92:BO92"/>
    <mergeCell ref="BP92:BS92"/>
    <mergeCell ref="BT92:BW92"/>
    <mergeCell ref="ER91:EU91"/>
    <mergeCell ref="C92:Y92"/>
    <mergeCell ref="Z92:AC92"/>
    <mergeCell ref="AD92:AG92"/>
    <mergeCell ref="AH92:AL92"/>
    <mergeCell ref="AM92:AQ92"/>
    <mergeCell ref="AR92:AV92"/>
    <mergeCell ref="DH91:DK91"/>
    <mergeCell ref="DL91:DO91"/>
    <mergeCell ref="DP91:DS91"/>
    <mergeCell ref="DT91:DW91"/>
    <mergeCell ref="DX91:EA91"/>
    <mergeCell ref="EB91:EE91"/>
    <mergeCell ref="CJ91:CM91"/>
    <mergeCell ref="CN91:CQ91"/>
    <mergeCell ref="CR91:CU91"/>
    <mergeCell ref="CV91:CY91"/>
    <mergeCell ref="CZ91:DC91"/>
    <mergeCell ref="DD91:DG91"/>
    <mergeCell ref="BL91:BO91"/>
    <mergeCell ref="BP91:BS91"/>
    <mergeCell ref="BT91:BW91"/>
    <mergeCell ref="BX91:CA91"/>
    <mergeCell ref="CB91:CE91"/>
    <mergeCell ref="CF91:CI91"/>
    <mergeCell ref="ER92:EU92"/>
    <mergeCell ref="DT92:DW92"/>
    <mergeCell ref="DX92:EA92"/>
    <mergeCell ref="EB92:EE92"/>
    <mergeCell ref="EF92:EI92"/>
    <mergeCell ref="EJ92:EM92"/>
    <mergeCell ref="EN92:EQ92"/>
    <mergeCell ref="CV92:CY92"/>
    <mergeCell ref="CZ92:DC92"/>
    <mergeCell ref="DD92:DG92"/>
    <mergeCell ref="DH92:DK92"/>
    <mergeCell ref="DL92:DO92"/>
    <mergeCell ref="DP92:DS92"/>
    <mergeCell ref="BX92:CA92"/>
    <mergeCell ref="CB92:CE92"/>
    <mergeCell ref="CF92:CI92"/>
    <mergeCell ref="CJ92:CM92"/>
    <mergeCell ref="CN92:CQ92"/>
    <mergeCell ref="CR92:CU92"/>
    <mergeCell ref="C99:AD99"/>
    <mergeCell ref="AE99:AM99"/>
    <mergeCell ref="AN99:AU99"/>
    <mergeCell ref="AV99:CI99"/>
    <mergeCell ref="CO99:EE99"/>
    <mergeCell ref="C100:AD100"/>
    <mergeCell ref="AE100:AM100"/>
    <mergeCell ref="AN100:AU100"/>
    <mergeCell ref="AV100:CI106"/>
    <mergeCell ref="CN100:EK106"/>
    <mergeCell ref="B108:X108"/>
    <mergeCell ref="Y108:AV108"/>
    <mergeCell ref="AW108:BS108"/>
    <mergeCell ref="Z94:AC94"/>
    <mergeCell ref="B95:EU95"/>
    <mergeCell ref="B96:EU96"/>
    <mergeCell ref="B97:EU97"/>
    <mergeCell ref="C105:AD105"/>
    <mergeCell ref="AE105:AM105"/>
    <mergeCell ref="AN105:AU105"/>
    <mergeCell ref="C106:AD106"/>
    <mergeCell ref="AE106:AM106"/>
    <mergeCell ref="AN106:AU106"/>
    <mergeCell ref="C103:AD103"/>
    <mergeCell ref="AE103:AM103"/>
    <mergeCell ref="AN103:AU103"/>
    <mergeCell ref="C104:AD104"/>
    <mergeCell ref="AE104:AM104"/>
    <mergeCell ref="AN104:AU104"/>
    <mergeCell ref="BQ115:CA115"/>
    <mergeCell ref="K116:AC116"/>
    <mergeCell ref="BQ116:CA116"/>
    <mergeCell ref="C101:AD101"/>
    <mergeCell ref="AE101:AM101"/>
    <mergeCell ref="AN101:AU101"/>
    <mergeCell ref="C102:AD102"/>
    <mergeCell ref="AE102:AM102"/>
    <mergeCell ref="AN102:AU102"/>
    <mergeCell ref="K117:AC117"/>
    <mergeCell ref="BQ117:CA117"/>
    <mergeCell ref="B112:X112"/>
    <mergeCell ref="Y112:AV112"/>
    <mergeCell ref="AW112:BS112"/>
    <mergeCell ref="B114:X114"/>
    <mergeCell ref="Y114:AV114"/>
    <mergeCell ref="BQ114:CA114"/>
    <mergeCell ref="B110:X110"/>
    <mergeCell ref="Y110:AV110"/>
    <mergeCell ref="AW110:BS110"/>
    <mergeCell ref="B111:X111"/>
    <mergeCell ref="Y111:AV111"/>
    <mergeCell ref="AW111:BS111"/>
    <mergeCell ref="B109:X109"/>
    <mergeCell ref="Y109:AV109"/>
    <mergeCell ref="AW109:BS109"/>
  </mergeCells>
  <printOptions horizontalCentered="1"/>
  <pageMargins left="0.5" right="0" top="0.5" bottom="0" header="0" footer="0"/>
  <pageSetup paperSize="9" scale="17" fitToHeight="0" orientation="landscape" r:id="rId1"/>
  <rowBreaks count="3" manualBreakCount="3">
    <brk id="50" max="150" man="1"/>
    <brk id="92" max="148" man="1"/>
    <brk id="115" max="14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O'zga tilli gruhlarda rus tili</vt:lpstr>
      <vt:lpstr>Sirtqi</vt:lpstr>
      <vt:lpstr>O'zga tilli guruh (Nizomiy)</vt:lpstr>
      <vt:lpstr>Sirtqi (Nizomiy)</vt:lpstr>
      <vt:lpstr>'O''zga tilli gruhlarda rus tili'!Область_печати</vt:lpstr>
      <vt:lpstr>'O''zga tilli guruh (Nizomiy)'!Область_печати</vt:lpstr>
      <vt:lpstr>Sirtqi!Область_печати</vt:lpstr>
      <vt:lpstr>'Sirtqi (Nizomiy)'!Область_печати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user07</dc:creator>
  <cp:lastModifiedBy>umbrella_dev</cp:lastModifiedBy>
  <cp:lastPrinted>2026-02-14T05:11:33Z</cp:lastPrinted>
  <dcterms:created xsi:type="dcterms:W3CDTF">2008-07-03T09:29:27Z</dcterms:created>
  <dcterms:modified xsi:type="dcterms:W3CDTF">2026-02-14T10:08:24Z</dcterms:modified>
</cp:coreProperties>
</file>