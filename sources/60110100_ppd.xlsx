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Администратор\Desktop\NamXU o'quv\2-kurs o'quv reja\OK2\"/>
    </mc:Choice>
  </mc:AlternateContent>
  <xr:revisionPtr revIDLastSave="0" documentId="8_{5FAA385A-3235-487B-BBF1-2DB500AF0EA5}" xr6:coauthVersionLast="47" xr6:coauthVersionMax="47" xr10:uidLastSave="{00000000-0000-0000-0000-000000000000}"/>
  <bookViews>
    <workbookView xWindow="-120" yWindow="-120" windowWidth="29040" windowHeight="15840" xr2:uid="{8B7D9FC6-B275-4707-B17F-A3E48BC2AA09}"/>
  </bookViews>
  <sheets>
    <sheet name="Kunduzgi" sheetId="1" r:id="rId1"/>
    <sheet name="Sirtqi" sheetId="4" r:id="rId2"/>
  </sheets>
  <definedNames>
    <definedName name="_xlnm.Print_Area" localSheetId="0">Kunduzgi!$A$1:$BQ$99</definedName>
    <definedName name="_xlnm.Print_Area" localSheetId="1">Sirtqi!$A$1:$BU$105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A28" i="4" l="1"/>
  <c r="BU55" i="4"/>
  <c r="X55" i="4" s="1"/>
  <c r="AX55" i="4" s="1"/>
  <c r="AF55" i="4"/>
  <c r="AB55" i="4"/>
  <c r="BU54" i="4"/>
  <c r="X54" i="4" s="1"/>
  <c r="AX54" i="4" s="1"/>
  <c r="AF54" i="4"/>
  <c r="AB54" i="4"/>
  <c r="BU53" i="4"/>
  <c r="X53" i="4" s="1"/>
  <c r="AX53" i="4" s="1"/>
  <c r="AF53" i="4"/>
  <c r="AB53" i="4"/>
  <c r="BU52" i="4"/>
  <c r="X52" i="4" s="1"/>
  <c r="AX52" i="4" s="1"/>
  <c r="AF52" i="4"/>
  <c r="AB52" i="4"/>
  <c r="BU51" i="4"/>
  <c r="X51" i="4" s="1"/>
  <c r="AX51" i="4" s="1"/>
  <c r="AF51" i="4"/>
  <c r="AB51" i="4"/>
  <c r="AB85" i="1" l="1"/>
  <c r="AB84" i="1"/>
  <c r="AB83" i="1"/>
  <c r="AB82" i="1"/>
  <c r="AB81" i="1"/>
  <c r="AB80" i="1"/>
  <c r="BH9" i="1"/>
  <c r="BH10" i="1"/>
  <c r="BH11" i="1"/>
  <c r="BH8" i="1"/>
  <c r="AB29" i="4" l="1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6" i="4"/>
  <c r="AB58" i="4"/>
  <c r="AB61" i="4"/>
  <c r="AB64" i="4"/>
  <c r="AB67" i="4"/>
  <c r="BT73" i="4"/>
  <c r="BS73" i="4"/>
  <c r="BR73" i="4"/>
  <c r="BQ73" i="4"/>
  <c r="BP73" i="4"/>
  <c r="BO73" i="4"/>
  <c r="BN73" i="4"/>
  <c r="BM73" i="4"/>
  <c r="BL73" i="4"/>
  <c r="BK73" i="4"/>
  <c r="BU72" i="4"/>
  <c r="X72" i="4" s="1"/>
  <c r="BU71" i="4"/>
  <c r="X71" i="4" s="1"/>
  <c r="BU67" i="4"/>
  <c r="X67" i="4" s="1"/>
  <c r="AX67" i="4" s="1"/>
  <c r="AF67" i="4"/>
  <c r="BU64" i="4"/>
  <c r="X64" i="4" s="1"/>
  <c r="AX64" i="4" s="1"/>
  <c r="AF64" i="4"/>
  <c r="BU61" i="4"/>
  <c r="X61" i="4" s="1"/>
  <c r="AF61" i="4"/>
  <c r="BU58" i="4"/>
  <c r="X58" i="4" s="1"/>
  <c r="AX58" i="4" s="1"/>
  <c r="AF58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U57" i="4"/>
  <c r="AR57" i="4"/>
  <c r="AO57" i="4"/>
  <c r="AL57" i="4"/>
  <c r="AI57" i="4"/>
  <c r="BU56" i="4"/>
  <c r="X56" i="4" s="1"/>
  <c r="AX56" i="4" s="1"/>
  <c r="AF56" i="4"/>
  <c r="BU50" i="4"/>
  <c r="X50" i="4" s="1"/>
  <c r="AX50" i="4" s="1"/>
  <c r="AF50" i="4"/>
  <c r="BU49" i="4"/>
  <c r="X49" i="4" s="1"/>
  <c r="AX49" i="4" s="1"/>
  <c r="AF49" i="4"/>
  <c r="BU48" i="4"/>
  <c r="X48" i="4" s="1"/>
  <c r="AX48" i="4" s="1"/>
  <c r="AF48" i="4"/>
  <c r="BU47" i="4"/>
  <c r="X47" i="4" s="1"/>
  <c r="AX47" i="4" s="1"/>
  <c r="AF47" i="4"/>
  <c r="BU46" i="4"/>
  <c r="X46" i="4" s="1"/>
  <c r="AX46" i="4" s="1"/>
  <c r="AF46" i="4"/>
  <c r="BU45" i="4"/>
  <c r="X45" i="4" s="1"/>
  <c r="AX45" i="4" s="1"/>
  <c r="AF45" i="4"/>
  <c r="BU44" i="4"/>
  <c r="X44" i="4" s="1"/>
  <c r="AX44" i="4" s="1"/>
  <c r="AF44" i="4"/>
  <c r="BU43" i="4"/>
  <c r="X43" i="4" s="1"/>
  <c r="AX43" i="4" s="1"/>
  <c r="AF43" i="4"/>
  <c r="BU42" i="4"/>
  <c r="X42" i="4" s="1"/>
  <c r="AX42" i="4" s="1"/>
  <c r="AF42" i="4"/>
  <c r="BU41" i="4"/>
  <c r="X41" i="4" s="1"/>
  <c r="AX41" i="4" s="1"/>
  <c r="AF41" i="4"/>
  <c r="BU40" i="4"/>
  <c r="X40" i="4" s="1"/>
  <c r="AX40" i="4" s="1"/>
  <c r="AF40" i="4"/>
  <c r="BU39" i="4"/>
  <c r="X39" i="4" s="1"/>
  <c r="AX39" i="4" s="1"/>
  <c r="AF39" i="4"/>
  <c r="BU38" i="4"/>
  <c r="X38" i="4" s="1"/>
  <c r="AX38" i="4" s="1"/>
  <c r="AF38" i="4"/>
  <c r="BU37" i="4"/>
  <c r="X37" i="4" s="1"/>
  <c r="AX37" i="4" s="1"/>
  <c r="AF37" i="4"/>
  <c r="BU36" i="4"/>
  <c r="X36" i="4" s="1"/>
  <c r="AX36" i="4" s="1"/>
  <c r="AF36" i="4"/>
  <c r="BU35" i="4"/>
  <c r="X35" i="4" s="1"/>
  <c r="AX35" i="4" s="1"/>
  <c r="AF35" i="4"/>
  <c r="BU34" i="4"/>
  <c r="X34" i="4" s="1"/>
  <c r="AX34" i="4" s="1"/>
  <c r="AF34" i="4"/>
  <c r="BU33" i="4"/>
  <c r="X33" i="4" s="1"/>
  <c r="AX33" i="4" s="1"/>
  <c r="AF33" i="4"/>
  <c r="BU32" i="4"/>
  <c r="X32" i="4" s="1"/>
  <c r="AX32" i="4" s="1"/>
  <c r="AF32" i="4"/>
  <c r="BU31" i="4"/>
  <c r="X31" i="4" s="1"/>
  <c r="AX31" i="4" s="1"/>
  <c r="AF31" i="4"/>
  <c r="BU30" i="4"/>
  <c r="X30" i="4" s="1"/>
  <c r="AX30" i="4" s="1"/>
  <c r="AF30" i="4"/>
  <c r="BU29" i="4"/>
  <c r="X29" i="4" s="1"/>
  <c r="AF29" i="4"/>
  <c r="BT28" i="4"/>
  <c r="BS28" i="4"/>
  <c r="BS70" i="4" s="1"/>
  <c r="BS74" i="4" s="1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C70" i="4" s="1"/>
  <c r="BC74" i="4" s="1"/>
  <c r="BB28" i="4"/>
  <c r="BB70" i="4" s="1"/>
  <c r="BB74" i="4" s="1"/>
  <c r="AU28" i="4"/>
  <c r="AR28" i="4"/>
  <c r="AO28" i="4"/>
  <c r="AO70" i="4" s="1"/>
  <c r="AL28" i="4"/>
  <c r="AI28" i="4"/>
  <c r="BS22" i="4"/>
  <c r="BQ22" i="4"/>
  <c r="BO22" i="4"/>
  <c r="BM22" i="4"/>
  <c r="BK22" i="4"/>
  <c r="BP12" i="4"/>
  <c r="BN12" i="4"/>
  <c r="BN13" i="4" s="1"/>
  <c r="AB89" i="4" s="1"/>
  <c r="BL12" i="4"/>
  <c r="BJ12" i="4"/>
  <c r="BF12" i="4"/>
  <c r="BD12" i="4"/>
  <c r="BP11" i="4"/>
  <c r="BL11" i="4"/>
  <c r="BJ11" i="4"/>
  <c r="BF11" i="4"/>
  <c r="BD11" i="4"/>
  <c r="BP10" i="4"/>
  <c r="BL10" i="4"/>
  <c r="BJ10" i="4"/>
  <c r="BF10" i="4"/>
  <c r="BD10" i="4"/>
  <c r="BP9" i="4"/>
  <c r="BL9" i="4"/>
  <c r="BJ9" i="4"/>
  <c r="BF9" i="4"/>
  <c r="BD9" i="4"/>
  <c r="BP8" i="4"/>
  <c r="BL8" i="4"/>
  <c r="BJ8" i="4"/>
  <c r="BF8" i="4"/>
  <c r="BD8" i="4"/>
  <c r="AI70" i="4" l="1"/>
  <c r="BT70" i="4"/>
  <c r="BT74" i="4" s="1"/>
  <c r="X73" i="4"/>
  <c r="BI70" i="4"/>
  <c r="BI74" i="4" s="1"/>
  <c r="AR70" i="4"/>
  <c r="BT9" i="4"/>
  <c r="BB9" i="4"/>
  <c r="BB8" i="4"/>
  <c r="BT10" i="4"/>
  <c r="BB10" i="4"/>
  <c r="BT11" i="4"/>
  <c r="BB11" i="4"/>
  <c r="BU73" i="4"/>
  <c r="BT12" i="4"/>
  <c r="BB12" i="4"/>
  <c r="BJ13" i="4"/>
  <c r="AB91" i="4" s="1"/>
  <c r="BP13" i="4"/>
  <c r="AB90" i="4" s="1"/>
  <c r="BL13" i="4"/>
  <c r="AB87" i="4" s="1"/>
  <c r="BF13" i="4"/>
  <c r="AB88" i="4" s="1"/>
  <c r="BD13" i="4"/>
  <c r="AB86" i="4" s="1"/>
  <c r="AF57" i="4"/>
  <c r="AL70" i="4"/>
  <c r="AU70" i="4"/>
  <c r="AF28" i="4"/>
  <c r="AF70" i="4" s="1"/>
  <c r="BG70" i="4"/>
  <c r="BG74" i="4" s="1"/>
  <c r="BF70" i="4"/>
  <c r="BF74" i="4" s="1"/>
  <c r="BD70" i="4"/>
  <c r="BD74" i="4" s="1"/>
  <c r="BJ70" i="4"/>
  <c r="BJ74" i="4" s="1"/>
  <c r="BM70" i="4"/>
  <c r="BM74" i="4" s="1"/>
  <c r="BU57" i="4"/>
  <c r="BO70" i="4"/>
  <c r="BO74" i="4" s="1"/>
  <c r="BP70" i="4"/>
  <c r="BP74" i="4" s="1"/>
  <c r="BL70" i="4"/>
  <c r="BL74" i="4" s="1"/>
  <c r="BN70" i="4"/>
  <c r="BN74" i="4" s="1"/>
  <c r="BR70" i="4"/>
  <c r="BR74" i="4" s="1"/>
  <c r="BQ70" i="4"/>
  <c r="BQ74" i="4" s="1"/>
  <c r="BH70" i="4"/>
  <c r="BH74" i="4" s="1"/>
  <c r="BE70" i="4"/>
  <c r="BE74" i="4" s="1"/>
  <c r="BA70" i="4"/>
  <c r="BA74" i="4" s="1"/>
  <c r="BK70" i="4"/>
  <c r="BK74" i="4" s="1"/>
  <c r="BU28" i="4"/>
  <c r="X28" i="4"/>
  <c r="AX29" i="4"/>
  <c r="AX28" i="4" s="1"/>
  <c r="AX61" i="4"/>
  <c r="AX57" i="4" s="1"/>
  <c r="X57" i="4"/>
  <c r="BT8" i="4"/>
  <c r="BB13" i="4" l="1"/>
  <c r="BT13" i="4"/>
  <c r="AB92" i="4"/>
  <c r="BU74" i="4"/>
  <c r="BU70" i="4"/>
  <c r="AX70" i="4"/>
  <c r="X70" i="4"/>
  <c r="X74" i="4" s="1"/>
  <c r="AB57" i="4" l="1"/>
  <c r="AB28" i="4"/>
  <c r="X51" i="1" l="1"/>
  <c r="X27" i="1"/>
  <c r="BQ67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A51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A27" i="1"/>
  <c r="AF55" i="1"/>
  <c r="AF44" i="1"/>
  <c r="AF45" i="1"/>
  <c r="AF46" i="1"/>
  <c r="AF47" i="1"/>
  <c r="AF48" i="1"/>
  <c r="AF49" i="1"/>
  <c r="AF50" i="1"/>
  <c r="BQ29" i="1" l="1"/>
  <c r="BQ28" i="1"/>
  <c r="BQ31" i="1"/>
  <c r="BQ32" i="1"/>
  <c r="BQ33" i="1"/>
  <c r="BQ34" i="1"/>
  <c r="BQ35" i="1"/>
  <c r="BQ36" i="1"/>
  <c r="BQ37" i="1"/>
  <c r="BQ38" i="1"/>
  <c r="BQ39" i="1"/>
  <c r="BQ40" i="1"/>
  <c r="BQ41" i="1"/>
  <c r="BQ42" i="1"/>
  <c r="BQ43" i="1"/>
  <c r="BQ44" i="1"/>
  <c r="X44" i="1" s="1"/>
  <c r="BQ45" i="1"/>
  <c r="X45" i="1" s="1"/>
  <c r="BQ46" i="1"/>
  <c r="X46" i="1" s="1"/>
  <c r="BQ47" i="1"/>
  <c r="X47" i="1" s="1"/>
  <c r="AX47" i="1" s="1"/>
  <c r="BQ48" i="1"/>
  <c r="X48" i="1" s="1"/>
  <c r="AX48" i="1" s="1"/>
  <c r="BQ49" i="1"/>
  <c r="X49" i="1" s="1"/>
  <c r="AX49" i="1" s="1"/>
  <c r="BQ50" i="1"/>
  <c r="X50" i="1" s="1"/>
  <c r="AX50" i="1" s="1"/>
  <c r="AX46" i="1" l="1"/>
  <c r="AX45" i="1"/>
  <c r="AX44" i="1"/>
  <c r="BQ30" i="1"/>
  <c r="X32" i="1"/>
  <c r="X37" i="1"/>
  <c r="X38" i="1"/>
  <c r="X28" i="1"/>
  <c r="AX28" i="1" s="1"/>
  <c r="X36" i="1"/>
  <c r="AX36" i="1" s="1"/>
  <c r="X39" i="1"/>
  <c r="X40" i="1"/>
  <c r="X29" i="1"/>
  <c r="X30" i="1"/>
  <c r="AX30" i="1" s="1"/>
  <c r="X31" i="1"/>
  <c r="AB86" i="1"/>
  <c r="BQ66" i="1"/>
  <c r="X66" i="1" s="1"/>
  <c r="BQ65" i="1"/>
  <c r="X65" i="1" s="1"/>
  <c r="BK67" i="1"/>
  <c r="BL67" i="1"/>
  <c r="BM67" i="1"/>
  <c r="BN67" i="1"/>
  <c r="BO67" i="1"/>
  <c r="BP67" i="1"/>
  <c r="BJ67" i="1"/>
  <c r="BK21" i="1"/>
  <c r="BM21" i="1"/>
  <c r="BO21" i="1"/>
  <c r="BI21" i="1"/>
  <c r="AI51" i="1"/>
  <c r="AL51" i="1"/>
  <c r="AO51" i="1"/>
  <c r="AR51" i="1"/>
  <c r="AU51" i="1"/>
  <c r="BQ55" i="1"/>
  <c r="X55" i="1" s="1"/>
  <c r="AX55" i="1" s="1"/>
  <c r="BQ58" i="1"/>
  <c r="X58" i="1" s="1"/>
  <c r="AX58" i="1" s="1"/>
  <c r="BQ61" i="1"/>
  <c r="X61" i="1" s="1"/>
  <c r="AX61" i="1" s="1"/>
  <c r="BQ52" i="1"/>
  <c r="X52" i="1" s="1"/>
  <c r="AF58" i="1"/>
  <c r="AF61" i="1"/>
  <c r="AF52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28" i="1"/>
  <c r="AI27" i="1"/>
  <c r="AL27" i="1"/>
  <c r="AO27" i="1"/>
  <c r="AR27" i="1"/>
  <c r="AU27" i="1"/>
  <c r="X33" i="1"/>
  <c r="X34" i="1"/>
  <c r="AX34" i="1" s="1"/>
  <c r="X35" i="1"/>
  <c r="AX35" i="1" s="1"/>
  <c r="X41" i="1"/>
  <c r="X42" i="1"/>
  <c r="X43" i="1"/>
  <c r="BN9" i="1"/>
  <c r="BN10" i="1"/>
  <c r="BN8" i="1"/>
  <c r="BL12" i="1"/>
  <c r="BJ12" i="1"/>
  <c r="BF9" i="1"/>
  <c r="BF10" i="1"/>
  <c r="BF11" i="1"/>
  <c r="BF8" i="1"/>
  <c r="BD8" i="1"/>
  <c r="BB9" i="1"/>
  <c r="BC21" i="1" s="1"/>
  <c r="BB10" i="1"/>
  <c r="BE21" i="1" s="1"/>
  <c r="BB11" i="1"/>
  <c r="BG21" i="1" s="1"/>
  <c r="BB8" i="1"/>
  <c r="AX40" i="1" l="1"/>
  <c r="AX52" i="1"/>
  <c r="AX51" i="1" s="1"/>
  <c r="AX43" i="1"/>
  <c r="AX42" i="1"/>
  <c r="AX41" i="1"/>
  <c r="AX39" i="1"/>
  <c r="AX38" i="1"/>
  <c r="AX37" i="1"/>
  <c r="AX32" i="1"/>
  <c r="AX31" i="1"/>
  <c r="AX29" i="1"/>
  <c r="AX33" i="1"/>
  <c r="BQ51" i="1"/>
  <c r="X67" i="1"/>
  <c r="BB64" i="1"/>
  <c r="BB68" i="1" s="1"/>
  <c r="BH64" i="1"/>
  <c r="BH68" i="1" s="1"/>
  <c r="AL64" i="1"/>
  <c r="AR64" i="1"/>
  <c r="BG64" i="1"/>
  <c r="BG68" i="1" s="1"/>
  <c r="BF64" i="1"/>
  <c r="BF68" i="1" s="1"/>
  <c r="BE64" i="1"/>
  <c r="BE68" i="1" s="1"/>
  <c r="BD64" i="1"/>
  <c r="BD68" i="1" s="1"/>
  <c r="AU64" i="1"/>
  <c r="AI64" i="1"/>
  <c r="AO64" i="1"/>
  <c r="AF51" i="1"/>
  <c r="BP11" i="1"/>
  <c r="BF12" i="1"/>
  <c r="BH12" i="1"/>
  <c r="BK64" i="1"/>
  <c r="BK68" i="1" s="1"/>
  <c r="BJ64" i="1"/>
  <c r="BJ68" i="1" s="1"/>
  <c r="BC64" i="1"/>
  <c r="BC68" i="1" s="1"/>
  <c r="BP10" i="1"/>
  <c r="BP9" i="1"/>
  <c r="BI64" i="1"/>
  <c r="BI68" i="1" s="1"/>
  <c r="BP64" i="1"/>
  <c r="BP68" i="1" s="1"/>
  <c r="BO64" i="1"/>
  <c r="BO68" i="1" s="1"/>
  <c r="BA64" i="1"/>
  <c r="BA68" i="1" s="1"/>
  <c r="BB12" i="1"/>
  <c r="BP8" i="1"/>
  <c r="BM64" i="1"/>
  <c r="BM68" i="1" s="1"/>
  <c r="BL64" i="1"/>
  <c r="BL68" i="1" s="1"/>
  <c r="BA21" i="1"/>
  <c r="BD12" i="1"/>
  <c r="BQ27" i="1"/>
  <c r="BN64" i="1"/>
  <c r="AF27" i="1"/>
  <c r="BN12" i="1"/>
  <c r="AX27" i="1" l="1"/>
  <c r="AX64" i="1" s="1"/>
  <c r="AF64" i="1"/>
  <c r="BP12" i="1"/>
  <c r="BQ64" i="1"/>
  <c r="BN68" i="1"/>
  <c r="BQ68" i="1" s="1"/>
  <c r="X64" i="1" l="1"/>
  <c r="AB51" i="1" l="1"/>
  <c r="X68" i="1"/>
  <c r="AB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</author>
  </authors>
  <commentList>
    <comment ref="F29" authorId="0" shapeId="0" xr:uid="{65A86391-6CD2-4C08-A9E0-EACC107B3FD5}">
      <text>
        <r>
          <rPr>
            <b/>
            <sz val="9"/>
            <color indexed="81"/>
            <rFont val="Tahoma"/>
            <family val="2"/>
            <charset val="204"/>
          </rPr>
          <t>Пользователь:</t>
        </r>
        <r>
          <rPr>
            <sz val="9"/>
            <color indexed="81"/>
            <rFont val="Tahoma"/>
            <family val="2"/>
            <charset val="204"/>
          </rPr>
          <t xml:space="preserve">
1-3-patok o'tgan. 2-patok o'tmagan</t>
        </r>
      </text>
    </comment>
    <comment ref="F32" authorId="0" shapeId="0" xr:uid="{994878BD-413A-4DAA-B8EF-3F80C50B00A2}">
      <text>
        <r>
          <rPr>
            <b/>
            <sz val="9"/>
            <color indexed="81"/>
            <rFont val="Tahoma"/>
            <family val="2"/>
            <charset val="204"/>
          </rPr>
          <t>Пользователь:</t>
        </r>
        <r>
          <rPr>
            <sz val="9"/>
            <color indexed="81"/>
            <rFont val="Tahoma"/>
            <family val="2"/>
            <charset val="204"/>
          </rPr>
          <t xml:space="preserve">
1-3-patok o'tgan. 2-patok o'tmagan</t>
        </r>
      </text>
    </comment>
    <comment ref="F33" authorId="0" shapeId="0" xr:uid="{78012756-60B8-4FE7-B335-69B79738128E}">
      <text>
        <r>
          <rPr>
            <b/>
            <sz val="9"/>
            <color indexed="81"/>
            <rFont val="Tahoma"/>
            <family val="2"/>
            <charset val="204"/>
          </rPr>
          <t>Пользователь:</t>
        </r>
        <r>
          <rPr>
            <sz val="9"/>
            <color indexed="81"/>
            <rFont val="Tahoma"/>
            <family val="2"/>
            <charset val="204"/>
          </rPr>
          <t xml:space="preserve">
2-patok o'zi o'tgan
8 maruza 8 amaliy qilib o'tgan. Fan o'zi 12 kredit edi.</t>
        </r>
      </text>
    </comment>
    <comment ref="F54" authorId="0" shapeId="0" xr:uid="{234799D9-66B2-4AD0-A0F0-31951AD5D8C4}">
      <text>
        <r>
          <rPr>
            <b/>
            <sz val="9"/>
            <color indexed="81"/>
            <rFont val="Tahoma"/>
            <family val="2"/>
            <charset val="204"/>
          </rPr>
          <t>Пользователь:</t>
        </r>
        <r>
          <rPr>
            <sz val="9"/>
            <color indexed="81"/>
            <rFont val="Tahoma"/>
            <family val="2"/>
            <charset val="204"/>
          </rPr>
          <t xml:space="preserve">
2-patok o'zi o'tgan. 1-3-patoklar o'tmagan</t>
        </r>
      </text>
    </comment>
  </commentList>
</comments>
</file>

<file path=xl/sharedStrings.xml><?xml version="1.0" encoding="utf-8"?>
<sst xmlns="http://schemas.openxmlformats.org/spreadsheetml/2006/main" count="768" uniqueCount="248">
  <si>
    <t>Sentabr</t>
  </si>
  <si>
    <t>Oktabr</t>
  </si>
  <si>
    <t>Noyabr</t>
  </si>
  <si>
    <t>Dekabr</t>
  </si>
  <si>
    <t>Yanvar</t>
  </si>
  <si>
    <t>Fevral</t>
  </si>
  <si>
    <t>Mart</t>
  </si>
  <si>
    <t>Aprel</t>
  </si>
  <si>
    <t>May</t>
  </si>
  <si>
    <t>Iyun</t>
  </si>
  <si>
    <t>Iyul</t>
  </si>
  <si>
    <t>Avgust</t>
  </si>
  <si>
    <t>Jami</t>
  </si>
  <si>
    <t>shundan</t>
  </si>
  <si>
    <t>O'quv jarayoni haftalari soni</t>
  </si>
  <si>
    <t>Ta'til haftalari soni</t>
  </si>
  <si>
    <t>Hammasi</t>
  </si>
  <si>
    <t>Nazariy va amaliy ta'lim</t>
  </si>
  <si>
    <t>Attestatsiyalar</t>
  </si>
  <si>
    <t>Yakuniy davlat attestatsiyasi</t>
  </si>
  <si>
    <t>Kredit-modul va fanlar tanlovi</t>
  </si>
  <si>
    <t>Kurs</t>
  </si>
  <si>
    <t>Haftalar</t>
  </si>
  <si>
    <t>I</t>
  </si>
  <si>
    <t>II</t>
  </si>
  <si>
    <t>III</t>
  </si>
  <si>
    <t>IV</t>
  </si>
  <si>
    <t>"TASDIQLAYMAN"
Namangan xalqaro universiteti rektori v.v.b.
_____________ A.Inomiddinov
202__ yil "___" - ___________</t>
  </si>
  <si>
    <t>M.O'.</t>
  </si>
  <si>
    <t>Jami:</t>
  </si>
  <si>
    <t>II. O'QUV REJASI</t>
  </si>
  <si>
    <t>Fanning malakaviy kodi</t>
  </si>
  <si>
    <t>O'quv fanlari, bloklar va faoliyat turlarining nomlari</t>
  </si>
  <si>
    <t>Umumiy yuklama hajmi</t>
  </si>
  <si>
    <t>Auditoriya mashg'ulotlari (soatlarda)</t>
  </si>
  <si>
    <t>Talabaning o'quv yuklamasi (soatlarda)</t>
  </si>
  <si>
    <t>Soatlarning kurs, semestr va haftalar bo'yicha taqsimoti</t>
  </si>
  <si>
    <t>1-kurs</t>
  </si>
  <si>
    <t>2-kurs</t>
  </si>
  <si>
    <t>3-kurs</t>
  </si>
  <si>
    <t>4-kurs</t>
  </si>
  <si>
    <t>Kreditlarning kurs, semestr va haftalar bo'yicha taqsimoti</t>
  </si>
  <si>
    <t>Jami kreditlar</t>
  </si>
  <si>
    <t>soat</t>
  </si>
  <si>
    <t>%</t>
  </si>
  <si>
    <t>Ma'ruza</t>
  </si>
  <si>
    <t>Amaliy</t>
  </si>
  <si>
    <t>Labaratoriya</t>
  </si>
  <si>
    <t>Seminar</t>
  </si>
  <si>
    <t>Kurs ishi</t>
  </si>
  <si>
    <t>Mustaqil ta'lim</t>
  </si>
  <si>
    <t>Kurslardagi haftalar soni</t>
  </si>
  <si>
    <t>Semestrlar</t>
  </si>
  <si>
    <t>Kredit taqsimoti</t>
  </si>
  <si>
    <t>1.00.</t>
  </si>
  <si>
    <t>Majburiy fanlar</t>
  </si>
  <si>
    <t>Semestrdagi auditoriya mashg'ulotlari haftalari soni</t>
  </si>
  <si>
    <t>1.01.</t>
  </si>
  <si>
    <t>1.02.</t>
  </si>
  <si>
    <t>2.00.</t>
  </si>
  <si>
    <t>Tanlov fanlar</t>
  </si>
  <si>
    <t>1.03.</t>
  </si>
  <si>
    <t>1.04.</t>
  </si>
  <si>
    <t>1.05.</t>
  </si>
  <si>
    <t>1.06.</t>
  </si>
  <si>
    <t>1.07.</t>
  </si>
  <si>
    <t>1.08.</t>
  </si>
  <si>
    <t>1.09.</t>
  </si>
  <si>
    <t>1.10.</t>
  </si>
  <si>
    <t>1.11.</t>
  </si>
  <si>
    <t>1.12.</t>
  </si>
  <si>
    <t>1.13.</t>
  </si>
  <si>
    <t>1.14.</t>
  </si>
  <si>
    <t>1.15.</t>
  </si>
  <si>
    <t>1.16.</t>
  </si>
  <si>
    <t>1.17.</t>
  </si>
  <si>
    <t>1.18.</t>
  </si>
  <si>
    <t>1.19.</t>
  </si>
  <si>
    <t>1.20.</t>
  </si>
  <si>
    <t>2.01.</t>
  </si>
  <si>
    <t>O'EYTRS1204</t>
  </si>
  <si>
    <t>Pedagogik mahorat</t>
  </si>
  <si>
    <t>2.02.</t>
  </si>
  <si>
    <t>2.03.</t>
  </si>
  <si>
    <t>2.04.</t>
  </si>
  <si>
    <t>HAMMASI</t>
  </si>
  <si>
    <t>Izoh:</t>
  </si>
  <si>
    <t xml:space="preserve">1. 1 (bir) kredit 30 (o‘ttiz) akademik soatni tashkil qiladi. </t>
  </si>
  <si>
    <t xml:space="preserve">2. Nazariy ta’lim va amaliyotni yaxlitligini ta’minlash uchun (3-8 semestrlarda) o‘quv jarayoni haftasining to‘rt kuni oliy ta’lim muassasasida auditoriya mashg‘ulotlari tarzida hamda qolgan ikki kuni maktabda malakaviy amaliyot sifatida tashkil etiladi. </t>
  </si>
  <si>
    <t xml:space="preserve">3. Oliy ta’lim muassasasi ixtisoslik fanlarining dasturlarini ishlab chiqishda kadrlar buyurtmachilarining talablarini e’tiborga oladi. </t>
  </si>
  <si>
    <t xml:space="preserve">4. Kurs ishlari uchun talabaga mustaqil ta'lim soatlaridan 30 (o‘ttiz) akademik soatni ajratgan holda 1 (bir) kredit beriladi. </t>
  </si>
  <si>
    <t xml:space="preserve">5. Yakuniy davlat attestatsiyasi muddatlari tarkibiga bitiruv malakaviy ishini himoya qilish ham kiradi. </t>
  </si>
  <si>
    <t>6. O'quv rejaga kiritiladigan ixtisoslikka oid fanlarning amaliy mashg'ulotlari va laboratoriya ishlari oliy ta’lim muassasasi hamda bazaviy tashkilotlarda o‘tkaziladi.</t>
  </si>
  <si>
    <t>7. Falsafa fanida “Dinshunoslik” hamda “Korrupsiyaga qarshi kurash” mavzular majmuasi (modullari) o‘qitilishi ko‘zga tutiladi.</t>
  </si>
  <si>
    <t>O'quv jarayonining tarkibiy qismlari</t>
  </si>
  <si>
    <t>Malakaviy amaliyot</t>
  </si>
  <si>
    <t>Ta'tillar</t>
  </si>
  <si>
    <t>Kredit-modul yoki fanlar tanlovi</t>
  </si>
  <si>
    <t>Yakuniy davlat attestatsiyalari</t>
  </si>
  <si>
    <t>Haftalar soni</t>
  </si>
  <si>
    <t>Semestr</t>
  </si>
  <si>
    <t>Bitiruv malakaviy ishini himoya qilish yoki ta'lim yo'nalishi bo'yicha fanlararo (umukasbiy va ixtisoslik) yakuniy davlat attestatsiyasi</t>
  </si>
  <si>
    <t>Davlat attestatsiyasi</t>
  </si>
  <si>
    <t>NamXU o'quv ishlari bo'yicha prorektor</t>
  </si>
  <si>
    <t>O'quv bo'limi boshlig'i</t>
  </si>
  <si>
    <t>Kafedra mudiri</t>
  </si>
  <si>
    <t>Kadrlar buyurtmachisi:</t>
  </si>
  <si>
    <t>___________________</t>
  </si>
  <si>
    <t>Malakaviy
amaliyot</t>
  </si>
  <si>
    <t>M</t>
  </si>
  <si>
    <t>A</t>
  </si>
  <si>
    <t>Y</t>
  </si>
  <si>
    <t>T</t>
  </si>
  <si>
    <t>Ta'til</t>
  </si>
  <si>
    <t>N</t>
  </si>
  <si>
    <t>Kurslardagi kreditlar soni</t>
  </si>
  <si>
    <t>T/r</t>
  </si>
  <si>
    <t>1 - 8</t>
  </si>
  <si>
    <t>2 - 8</t>
  </si>
  <si>
    <t>8</t>
  </si>
  <si>
    <t>1,3,5,7</t>
  </si>
  <si>
    <t>/</t>
  </si>
  <si>
    <t>Falsafa. Ma'naviyatshunoslik</t>
  </si>
  <si>
    <t>Psixologiya nazariyasi va tarixi</t>
  </si>
  <si>
    <t>Pedagogika nazariyasi va tarixi</t>
  </si>
  <si>
    <t>Rivojlanish psixologiyasi va pedagogik psixologiya</t>
  </si>
  <si>
    <t>Xorijiy til</t>
  </si>
  <si>
    <t>O'zbekistonning eng yangi tarixi va rivojlanish strategiyasi</t>
  </si>
  <si>
    <t>O'zbek(rus) tili</t>
  </si>
  <si>
    <t>Ta'limda raqamli texnologiyalar</t>
  </si>
  <si>
    <t>Oila psixologiyasi va psixoterapiyasi</t>
  </si>
  <si>
    <t>Ijtimoiy psixologiya</t>
  </si>
  <si>
    <t>Oila pedagogikasi</t>
  </si>
  <si>
    <t>Psixodiagnostika va ekspremental psixologiya</t>
  </si>
  <si>
    <t>Ijtimoiy pedagogika</t>
  </si>
  <si>
    <t>Ta'lim muassasalarida psixologik xizmat</t>
  </si>
  <si>
    <t>Pedagogik texnologiyalar</t>
  </si>
  <si>
    <t>Kreativ pedagogika</t>
  </si>
  <si>
    <t>Psixologik trening asoslari</t>
  </si>
  <si>
    <t>Umumta'lim maktablarida tarbiya fanini o'qitish metodikasi</t>
  </si>
  <si>
    <t>Ijtimoiy reablitatsiya</t>
  </si>
  <si>
    <t>Psixologik maslahat va kouching</t>
  </si>
  <si>
    <t>Boshqaruv psixologiyasi</t>
  </si>
  <si>
    <t>Pedagogik androgogika</t>
  </si>
  <si>
    <t>Pedagogik aksiologiya</t>
  </si>
  <si>
    <t>Pedagogik antropologiya</t>
  </si>
  <si>
    <t>Patopsixologiya</t>
  </si>
  <si>
    <t>Psixogigiyena</t>
  </si>
  <si>
    <t>Pedagogik innovatika</t>
  </si>
  <si>
    <t>Komprovistik pedagogika</t>
  </si>
  <si>
    <t>Qiyosiy pedagogika</t>
  </si>
  <si>
    <t>FM1104</t>
  </si>
  <si>
    <t>O'RT1204</t>
  </si>
  <si>
    <t>TRT1306</t>
  </si>
  <si>
    <t>Yosh fiziologiyasi va salomatlik texnologiyasi</t>
  </si>
  <si>
    <t>PTA1806</t>
  </si>
  <si>
    <t>KP1804</t>
  </si>
  <si>
    <t>UMTFO'M1806</t>
  </si>
  <si>
    <t>1.21.</t>
  </si>
  <si>
    <t>1.22.</t>
  </si>
  <si>
    <t>1.23.</t>
  </si>
  <si>
    <t>4 kun nazariy va amaliy ta'lim
2 kun amaliyot</t>
  </si>
  <si>
    <t>Malakaviy  amaliyot</t>
  </si>
  <si>
    <t>Shaxs  psixologiyasi</t>
  </si>
  <si>
    <t>Etnopedagogika</t>
  </si>
  <si>
    <t>EP1304</t>
  </si>
  <si>
    <t>Deviantologiya</t>
  </si>
  <si>
    <t>Neyropsixologiya</t>
  </si>
  <si>
    <t>Namangan viloyati maktabgacha va 
maktab taʼlimi boshqarmasi boshlig‘i</t>
  </si>
  <si>
    <t>V</t>
  </si>
  <si>
    <t>5-kurs</t>
  </si>
  <si>
    <t>1 - 10</t>
  </si>
  <si>
    <t>2 - 10</t>
  </si>
  <si>
    <t>10</t>
  </si>
  <si>
    <t>1,3,5,7,9</t>
  </si>
  <si>
    <t>FT</t>
  </si>
  <si>
    <t>Fanlarni tanlash uchun ro'yxatdan o'tish</t>
  </si>
  <si>
    <t>YFST1106</t>
  </si>
  <si>
    <t>PNT11-210</t>
  </si>
  <si>
    <t>PedNT11-210</t>
  </si>
  <si>
    <t>RPPP11-212</t>
  </si>
  <si>
    <t>XT11-208</t>
  </si>
  <si>
    <t>OPP13-410</t>
  </si>
  <si>
    <t>IP13-516</t>
  </si>
  <si>
    <t>SHP1406</t>
  </si>
  <si>
    <t>OP1506</t>
  </si>
  <si>
    <t>PEP15-610</t>
  </si>
  <si>
    <t>IP15-610</t>
  </si>
  <si>
    <t>PM1606</t>
  </si>
  <si>
    <t>TMPX1706</t>
  </si>
  <si>
    <t>PT1706</t>
  </si>
  <si>
    <t>Dev1706</t>
  </si>
  <si>
    <t>PAnd23-412</t>
  </si>
  <si>
    <t>PAnt23-412</t>
  </si>
  <si>
    <t>PAks23-412</t>
  </si>
  <si>
    <t>IR2504</t>
  </si>
  <si>
    <t>PMK2504</t>
  </si>
  <si>
    <t>BP2504</t>
  </si>
  <si>
    <t>PI26-712</t>
  </si>
  <si>
    <t>KP26-712</t>
  </si>
  <si>
    <t>QP26-712</t>
  </si>
  <si>
    <t>PP2806</t>
  </si>
  <si>
    <t>NP2806</t>
  </si>
  <si>
    <t>PG2806</t>
  </si>
  <si>
    <t>RPPP12-312</t>
  </si>
  <si>
    <t>XT12-308</t>
  </si>
  <si>
    <t>O'EYTRS1304</t>
  </si>
  <si>
    <t>O'RT1404</t>
  </si>
  <si>
    <t>EP1504</t>
  </si>
  <si>
    <t>OPP14-510</t>
  </si>
  <si>
    <t>IP14-616</t>
  </si>
  <si>
    <t>SHP1606</t>
  </si>
  <si>
    <t>OP1606</t>
  </si>
  <si>
    <t>PEP17-810</t>
  </si>
  <si>
    <t>IP17-810</t>
  </si>
  <si>
    <t>PM1706</t>
  </si>
  <si>
    <t>TMPX1806</t>
  </si>
  <si>
    <t>PT1906</t>
  </si>
  <si>
    <t>Dev1906</t>
  </si>
  <si>
    <t>KP1904</t>
  </si>
  <si>
    <t>PTA11006</t>
  </si>
  <si>
    <t>UMTFO'M11006</t>
  </si>
  <si>
    <t>PAnt24-512</t>
  </si>
  <si>
    <t>PAks24-512</t>
  </si>
  <si>
    <t>IR2604</t>
  </si>
  <si>
    <t>PMK2604</t>
  </si>
  <si>
    <t>BP2604</t>
  </si>
  <si>
    <t>PI27-812</t>
  </si>
  <si>
    <t>KP27-812</t>
  </si>
  <si>
    <t>QP27-812</t>
  </si>
  <si>
    <t>PP21006</t>
  </si>
  <si>
    <t>NP21006</t>
  </si>
  <si>
    <t>PG21006</t>
  </si>
  <si>
    <t xml:space="preserve">Namangan xalqaro universiteti Kengashining </t>
  </si>
  <si>
    <t>2023 yil "__" ___________ dagi ______</t>
  </si>
  <si>
    <t xml:space="preserve">sonli qarori bilan ma'qullangan </t>
  </si>
  <si>
    <t xml:space="preserve">Haftalar </t>
  </si>
  <si>
    <r>
      <rPr>
        <b/>
        <sz val="16"/>
        <color theme="1"/>
        <rFont val="Times New Roman"/>
        <family val="1"/>
        <charset val="204"/>
      </rPr>
      <t xml:space="preserve">O'ZBEKISTON RESPUBLIKASI
OLIY TA'LIM, FAN VA INNOVATSIYALAR VAZIRLIGI
NAMANGAN XALQARO UNIVERSITETI
O'QUV REJA
Ta'lim yo'nalishi:
</t>
    </r>
    <r>
      <rPr>
        <b/>
        <i/>
        <sz val="16"/>
        <color theme="1"/>
        <rFont val="Times New Roman"/>
        <family val="1"/>
        <charset val="204"/>
      </rPr>
      <t>60110100 - Pedagogika va psixologiya</t>
    </r>
    <r>
      <rPr>
        <b/>
        <sz val="16"/>
        <color theme="1"/>
        <rFont val="Times New Roman"/>
        <family val="1"/>
        <charset val="204"/>
      </rPr>
      <t xml:space="preserve">
Akademik daraja - BAKALAVR
O'qish muddati - 4 yil
Ta'lim shakli - kunduzgi
</t>
    </r>
    <r>
      <rPr>
        <b/>
        <sz val="12"/>
        <color theme="1"/>
        <rFont val="Times New Roman"/>
        <family val="1"/>
        <charset val="204"/>
      </rPr>
      <t xml:space="preserve">
</t>
    </r>
    <r>
      <rPr>
        <b/>
        <sz val="16"/>
        <color theme="1"/>
        <rFont val="Times New Roman"/>
        <family val="1"/>
        <charset val="204"/>
      </rPr>
      <t>I. O'QUV JARAYONI JADVALI</t>
    </r>
  </si>
  <si>
    <r>
      <rPr>
        <b/>
        <sz val="16"/>
        <color theme="1"/>
        <rFont val="Times New Roman"/>
        <family val="1"/>
        <charset val="204"/>
      </rPr>
      <t xml:space="preserve">O'ZBEKISTON RESPUBLIKASI
OLIY TA'LIM, FAN VA INNOVATSIYALAR VAZIRLIGI
NAMANGAN XALQARO UNIVERSITETI
O'QUV REJA
Ta'lim yo'nalishi:
</t>
    </r>
    <r>
      <rPr>
        <b/>
        <i/>
        <sz val="16"/>
        <color theme="1"/>
        <rFont val="Times New Roman"/>
        <family val="1"/>
        <charset val="204"/>
      </rPr>
      <t>60110100 - Pedagogika va psixologiya</t>
    </r>
    <r>
      <rPr>
        <b/>
        <sz val="16"/>
        <color theme="1"/>
        <rFont val="Times New Roman"/>
        <family val="1"/>
        <charset val="204"/>
      </rPr>
      <t xml:space="preserve">
Akademik daraja - BAKALAVR
O'qish muddati - 5 yil
Ta'lim shakli - Sirtqi
</t>
    </r>
    <r>
      <rPr>
        <b/>
        <sz val="12"/>
        <color theme="1"/>
        <rFont val="Times New Roman"/>
        <family val="1"/>
        <charset val="204"/>
      </rPr>
      <t xml:space="preserve">
</t>
    </r>
    <r>
      <rPr>
        <b/>
        <sz val="16"/>
        <color theme="1"/>
        <rFont val="Times New Roman"/>
        <family val="1"/>
        <charset val="204"/>
      </rPr>
      <t>I. O'QUV JARAYONI JADVALI</t>
    </r>
  </si>
  <si>
    <t>Umumiy psixologiya</t>
  </si>
  <si>
    <t>O'zbekistonning eng yangi tarixi</t>
  </si>
  <si>
    <t>Mutaxasislikka kirish</t>
  </si>
  <si>
    <t>Rivojlanish psixologiyasi</t>
  </si>
  <si>
    <t>Falsafa.</t>
  </si>
  <si>
    <t>Ochiq axborot tizimi xavfsizligining psixologik asoslari</t>
  </si>
  <si>
    <t>Xalq pedagogikasi</t>
  </si>
  <si>
    <t>Yosh anatomiyasi, fiziologiyasi va gigienasi</t>
  </si>
  <si>
    <t>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</si>
</sst>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i/>
      <sz val="16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0" xfId="0" applyFont="1" applyFill="1"/>
    <xf numFmtId="0" fontId="2" fillId="0" borderId="1" xfId="0" applyFont="1" applyBorder="1" applyAlignment="1" applyProtection="1">
      <alignment horizontal="center" vertical="center"/>
      <protection hidden="1"/>
    </xf>
    <xf numFmtId="0" fontId="1" fillId="0" borderId="0" xfId="0" applyFont="1" applyProtection="1"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13" xfId="0" applyFont="1" applyBorder="1" applyAlignment="1" applyProtection="1">
      <alignment vertical="center" wrapText="1"/>
      <protection hidden="1"/>
    </xf>
    <xf numFmtId="0" fontId="2" fillId="3" borderId="1" xfId="0" applyFont="1" applyFill="1" applyBorder="1" applyAlignment="1" applyProtection="1">
      <alignment horizontal="center" vertical="center"/>
      <protection hidden="1"/>
    </xf>
    <xf numFmtId="0" fontId="1" fillId="3" borderId="0" xfId="0" applyFont="1" applyFill="1" applyProtection="1">
      <protection hidden="1"/>
    </xf>
    <xf numFmtId="0" fontId="1" fillId="4" borderId="1" xfId="0" applyFont="1" applyFill="1" applyBorder="1" applyAlignment="1">
      <alignment horizontal="center" vertical="center"/>
    </xf>
    <xf numFmtId="0" fontId="1" fillId="0" borderId="7" xfId="0" applyFont="1" applyBorder="1"/>
    <xf numFmtId="0" fontId="1" fillId="6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1" fillId="0" borderId="0" xfId="0" applyFont="1" applyAlignment="1">
      <alignment horizontal="left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5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6" fillId="0" borderId="5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 textRotation="90"/>
      <protection hidden="1"/>
    </xf>
    <xf numFmtId="0" fontId="2" fillId="0" borderId="1" xfId="0" applyFont="1" applyBorder="1" applyAlignment="1" applyProtection="1">
      <alignment horizontal="center" vertical="center" textRotation="90" wrapText="1"/>
      <protection hidden="1"/>
    </xf>
    <xf numFmtId="0" fontId="1" fillId="0" borderId="1" xfId="0" applyFont="1" applyBorder="1" applyAlignment="1" applyProtection="1">
      <alignment horizontal="center"/>
      <protection hidden="1"/>
    </xf>
    <xf numFmtId="0" fontId="5" fillId="0" borderId="8" xfId="0" applyFont="1" applyBorder="1" applyAlignment="1">
      <alignment horizontal="left" vertical="top"/>
    </xf>
    <xf numFmtId="0" fontId="1" fillId="0" borderId="1" xfId="0" applyFont="1" applyBorder="1" applyAlignment="1" applyProtection="1">
      <alignment horizontal="right"/>
      <protection hidden="1"/>
    </xf>
    <xf numFmtId="0" fontId="2" fillId="3" borderId="1" xfId="0" applyFont="1" applyFill="1" applyBorder="1" applyAlignment="1" applyProtection="1">
      <alignment horizontal="center" vertical="center"/>
      <protection hidden="1"/>
    </xf>
    <xf numFmtId="0" fontId="2" fillId="3" borderId="1" xfId="0" applyFont="1" applyFill="1" applyBorder="1" applyAlignment="1" applyProtection="1">
      <alignment horizontal="left" vertical="top"/>
      <protection hidden="1"/>
    </xf>
    <xf numFmtId="0" fontId="6" fillId="0" borderId="1" xfId="0" applyFont="1" applyBorder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 textRotation="90" wrapText="1"/>
      <protection hidden="1"/>
    </xf>
    <xf numFmtId="0" fontId="2" fillId="0" borderId="10" xfId="0" applyFont="1" applyBorder="1" applyAlignment="1" applyProtection="1">
      <alignment horizontal="center" vertical="center" textRotation="90" wrapText="1"/>
      <protection hidden="1"/>
    </xf>
    <xf numFmtId="0" fontId="2" fillId="0" borderId="11" xfId="0" applyFont="1" applyBorder="1" applyAlignment="1" applyProtection="1">
      <alignment horizontal="center" vertical="center" textRotation="90" wrapText="1"/>
      <protection hidden="1"/>
    </xf>
    <xf numFmtId="0" fontId="2" fillId="3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1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top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2" fillId="0" borderId="14" xfId="0" applyFont="1" applyBorder="1" applyAlignment="1" applyProtection="1">
      <alignment horizontal="center" vertical="center" wrapText="1"/>
      <protection hidden="1"/>
    </xf>
    <xf numFmtId="0" fontId="2" fillId="0" borderId="15" xfId="0" applyFont="1" applyBorder="1" applyAlignment="1" applyProtection="1">
      <alignment horizontal="center" vertical="center" wrapText="1"/>
      <protection hidden="1"/>
    </xf>
    <xf numFmtId="0" fontId="7" fillId="0" borderId="5" xfId="0" applyFont="1" applyBorder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horizontal="center" vertical="center" wrapText="1"/>
      <protection hidden="1"/>
    </xf>
    <xf numFmtId="0" fontId="6" fillId="0" borderId="1" xfId="0" applyFont="1" applyBorder="1" applyAlignment="1" applyProtection="1">
      <alignment horizontal="center" vertical="center" textRotation="90" wrapText="1"/>
      <protection hidden="1"/>
    </xf>
    <xf numFmtId="0" fontId="5" fillId="0" borderId="5" xfId="0" applyFont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top"/>
    </xf>
    <xf numFmtId="0" fontId="2" fillId="7" borderId="1" xfId="0" applyFont="1" applyFill="1" applyBorder="1" applyAlignment="1" applyProtection="1">
      <alignment horizontal="center" vertical="center"/>
      <protection hidden="1"/>
    </xf>
    <xf numFmtId="0" fontId="2" fillId="7" borderId="1" xfId="0" applyFont="1" applyFill="1" applyBorder="1" applyAlignment="1" applyProtection="1">
      <alignment horizontal="left" vertical="top"/>
      <protection hidden="1"/>
    </xf>
    <xf numFmtId="2" fontId="2" fillId="7" borderId="1" xfId="0" applyNumberFormat="1" applyFont="1" applyFill="1" applyBorder="1" applyAlignment="1" applyProtection="1">
      <alignment horizontal="center" vertical="center"/>
      <protection hidden="1"/>
    </xf>
    <xf numFmtId="0" fontId="2" fillId="7" borderId="1" xfId="0" applyFont="1" applyFill="1" applyBorder="1" applyAlignment="1" applyProtection="1">
      <alignment horizontal="center" vertical="center"/>
      <protection hidden="1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top"/>
    </xf>
    <xf numFmtId="2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F433E-FDDD-4699-92D1-941B065618AA}">
  <sheetPr codeName="Лист1">
    <pageSetUpPr fitToPage="1"/>
  </sheetPr>
  <dimension ref="A1:BQ104"/>
  <sheetViews>
    <sheetView tabSelected="1" view="pageBreakPreview" zoomScale="70" zoomScaleNormal="100" zoomScaleSheetLayoutView="70" zoomScalePageLayoutView="70" workbookViewId="0">
      <selection sqref="A1:BC2"/>
    </sheetView>
  </sheetViews>
  <sheetFormatPr defaultRowHeight="15.75" x14ac:dyDescent="0.25"/>
  <cols>
    <col min="1" max="4" width="3.7109375" style="2" customWidth="1"/>
    <col min="5" max="5" width="6" style="2" customWidth="1"/>
    <col min="6" max="68" width="3.7109375" style="2" customWidth="1"/>
    <col min="69" max="69" width="4.42578125" style="2" bestFit="1" customWidth="1"/>
    <col min="70" max="16384" width="9.140625" style="2"/>
  </cols>
  <sheetData>
    <row r="1" spans="1:69" ht="156" customHeight="1" x14ac:dyDescent="0.25">
      <c r="A1" s="20" t="s">
        <v>237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 t="s">
        <v>27</v>
      </c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</row>
    <row r="2" spans="1:69" ht="81" customHeight="1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91" t="s">
        <v>28</v>
      </c>
      <c r="BE2" s="91"/>
      <c r="BF2" s="91"/>
      <c r="BG2" s="91"/>
      <c r="BH2" s="91"/>
      <c r="BI2" s="91"/>
      <c r="BJ2" s="91"/>
      <c r="BK2" s="91"/>
      <c r="BL2" s="91"/>
      <c r="BM2" s="91"/>
      <c r="BN2" s="91"/>
      <c r="BO2" s="91"/>
      <c r="BP2" s="91"/>
      <c r="BQ2" s="91"/>
    </row>
    <row r="3" spans="1:69" s="9" customFormat="1" x14ac:dyDescent="0.25">
      <c r="A3" s="88" t="s">
        <v>21</v>
      </c>
      <c r="B3" s="72" t="s">
        <v>236</v>
      </c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 t="s">
        <v>14</v>
      </c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89" t="s">
        <v>15</v>
      </c>
      <c r="BO3" s="89"/>
      <c r="BP3" s="89" t="s">
        <v>16</v>
      </c>
      <c r="BQ3" s="89"/>
    </row>
    <row r="4" spans="1:69" s="9" customFormat="1" x14ac:dyDescent="0.25">
      <c r="A4" s="88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89" t="s">
        <v>12</v>
      </c>
      <c r="BC4" s="89"/>
      <c r="BD4" s="72" t="s">
        <v>13</v>
      </c>
      <c r="BE4" s="72"/>
      <c r="BF4" s="72"/>
      <c r="BG4" s="72"/>
      <c r="BH4" s="72"/>
      <c r="BI4" s="72"/>
      <c r="BJ4" s="72"/>
      <c r="BK4" s="72"/>
      <c r="BL4" s="72"/>
      <c r="BM4" s="72"/>
      <c r="BN4" s="89"/>
      <c r="BO4" s="89"/>
      <c r="BP4" s="89"/>
      <c r="BQ4" s="89"/>
    </row>
    <row r="5" spans="1:69" s="9" customFormat="1" ht="72" customHeight="1" x14ac:dyDescent="0.25">
      <c r="A5" s="88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89"/>
      <c r="BC5" s="89"/>
      <c r="BD5" s="89" t="s">
        <v>17</v>
      </c>
      <c r="BE5" s="89"/>
      <c r="BF5" s="89" t="s">
        <v>18</v>
      </c>
      <c r="BG5" s="89"/>
      <c r="BH5" s="89" t="s">
        <v>20</v>
      </c>
      <c r="BI5" s="89"/>
      <c r="BJ5" s="89" t="s">
        <v>162</v>
      </c>
      <c r="BK5" s="89"/>
      <c r="BL5" s="89" t="s">
        <v>19</v>
      </c>
      <c r="BM5" s="89"/>
      <c r="BN5" s="89"/>
      <c r="BO5" s="89"/>
      <c r="BP5" s="89"/>
      <c r="BQ5" s="89"/>
    </row>
    <row r="6" spans="1:69" s="9" customFormat="1" x14ac:dyDescent="0.25">
      <c r="A6" s="88"/>
      <c r="B6" s="85" t="s">
        <v>0</v>
      </c>
      <c r="C6" s="86"/>
      <c r="D6" s="86"/>
      <c r="E6" s="87"/>
      <c r="F6" s="85" t="s">
        <v>1</v>
      </c>
      <c r="G6" s="86"/>
      <c r="H6" s="86"/>
      <c r="I6" s="87"/>
      <c r="J6" s="85" t="s">
        <v>2</v>
      </c>
      <c r="K6" s="86"/>
      <c r="L6" s="86"/>
      <c r="M6" s="86"/>
      <c r="N6" s="87"/>
      <c r="O6" s="85" t="s">
        <v>3</v>
      </c>
      <c r="P6" s="86"/>
      <c r="Q6" s="86"/>
      <c r="R6" s="87"/>
      <c r="S6" s="85" t="s">
        <v>4</v>
      </c>
      <c r="T6" s="86"/>
      <c r="U6" s="86"/>
      <c r="V6" s="87"/>
      <c r="W6" s="85" t="s">
        <v>5</v>
      </c>
      <c r="X6" s="86"/>
      <c r="Y6" s="86"/>
      <c r="Z6" s="86"/>
      <c r="AA6" s="87"/>
      <c r="AB6" s="85" t="s">
        <v>6</v>
      </c>
      <c r="AC6" s="86"/>
      <c r="AD6" s="86"/>
      <c r="AE6" s="87"/>
      <c r="AF6" s="85" t="s">
        <v>7</v>
      </c>
      <c r="AG6" s="86"/>
      <c r="AH6" s="86"/>
      <c r="AI6" s="87"/>
      <c r="AJ6" s="85" t="s">
        <v>8</v>
      </c>
      <c r="AK6" s="86"/>
      <c r="AL6" s="86"/>
      <c r="AM6" s="86"/>
      <c r="AN6" s="87"/>
      <c r="AO6" s="85" t="s">
        <v>9</v>
      </c>
      <c r="AP6" s="86"/>
      <c r="AQ6" s="86"/>
      <c r="AR6" s="87"/>
      <c r="AS6" s="85" t="s">
        <v>10</v>
      </c>
      <c r="AT6" s="86"/>
      <c r="AU6" s="86"/>
      <c r="AV6" s="87"/>
      <c r="AW6" s="85" t="s">
        <v>11</v>
      </c>
      <c r="AX6" s="86"/>
      <c r="AY6" s="86"/>
      <c r="AZ6" s="86"/>
      <c r="BA6" s="87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</row>
    <row r="7" spans="1:69" s="9" customFormat="1" x14ac:dyDescent="0.25">
      <c r="A7" s="88"/>
      <c r="B7" s="8">
        <v>1</v>
      </c>
      <c r="C7" s="8">
        <v>2</v>
      </c>
      <c r="D7" s="8">
        <v>3</v>
      </c>
      <c r="E7" s="8">
        <v>4</v>
      </c>
      <c r="F7" s="8">
        <v>5</v>
      </c>
      <c r="G7" s="8">
        <v>6</v>
      </c>
      <c r="H7" s="8">
        <v>7</v>
      </c>
      <c r="I7" s="8">
        <v>8</v>
      </c>
      <c r="J7" s="8">
        <v>9</v>
      </c>
      <c r="K7" s="8">
        <v>10</v>
      </c>
      <c r="L7" s="8">
        <v>11</v>
      </c>
      <c r="M7" s="8">
        <v>12</v>
      </c>
      <c r="N7" s="8">
        <v>13</v>
      </c>
      <c r="O7" s="8">
        <v>14</v>
      </c>
      <c r="P7" s="8">
        <v>15</v>
      </c>
      <c r="Q7" s="8">
        <v>16</v>
      </c>
      <c r="R7" s="8">
        <v>17</v>
      </c>
      <c r="S7" s="8">
        <v>18</v>
      </c>
      <c r="T7" s="8">
        <v>19</v>
      </c>
      <c r="U7" s="8">
        <v>20</v>
      </c>
      <c r="V7" s="8">
        <v>21</v>
      </c>
      <c r="W7" s="8">
        <v>22</v>
      </c>
      <c r="X7" s="8">
        <v>23</v>
      </c>
      <c r="Y7" s="8">
        <v>24</v>
      </c>
      <c r="Z7" s="8">
        <v>25</v>
      </c>
      <c r="AA7" s="8">
        <v>26</v>
      </c>
      <c r="AB7" s="8">
        <v>27</v>
      </c>
      <c r="AC7" s="8">
        <v>28</v>
      </c>
      <c r="AD7" s="8">
        <v>29</v>
      </c>
      <c r="AE7" s="8">
        <v>30</v>
      </c>
      <c r="AF7" s="8">
        <v>31</v>
      </c>
      <c r="AG7" s="8">
        <v>32</v>
      </c>
      <c r="AH7" s="8">
        <v>33</v>
      </c>
      <c r="AI7" s="8">
        <v>34</v>
      </c>
      <c r="AJ7" s="8">
        <v>35</v>
      </c>
      <c r="AK7" s="8">
        <v>36</v>
      </c>
      <c r="AL7" s="8">
        <v>37</v>
      </c>
      <c r="AM7" s="8">
        <v>38</v>
      </c>
      <c r="AN7" s="8">
        <v>39</v>
      </c>
      <c r="AO7" s="8">
        <v>40</v>
      </c>
      <c r="AP7" s="8">
        <v>41</v>
      </c>
      <c r="AQ7" s="8">
        <v>42</v>
      </c>
      <c r="AR7" s="8">
        <v>43</v>
      </c>
      <c r="AS7" s="8">
        <v>44</v>
      </c>
      <c r="AT7" s="8">
        <v>45</v>
      </c>
      <c r="AU7" s="8">
        <v>46</v>
      </c>
      <c r="AV7" s="8">
        <v>47</v>
      </c>
      <c r="AW7" s="8">
        <v>48</v>
      </c>
      <c r="AX7" s="8">
        <v>49</v>
      </c>
      <c r="AY7" s="8">
        <v>50</v>
      </c>
      <c r="AZ7" s="8">
        <v>51</v>
      </c>
      <c r="BA7" s="8">
        <v>52</v>
      </c>
      <c r="BB7" s="89"/>
      <c r="BC7" s="89"/>
      <c r="BD7" s="89"/>
      <c r="BE7" s="89"/>
      <c r="BF7" s="89"/>
      <c r="BG7" s="89"/>
      <c r="BH7" s="89"/>
      <c r="BI7" s="89"/>
      <c r="BJ7" s="89"/>
      <c r="BK7" s="89"/>
      <c r="BL7" s="89"/>
      <c r="BM7" s="89"/>
      <c r="BN7" s="89"/>
      <c r="BO7" s="89"/>
      <c r="BP7" s="89"/>
      <c r="BQ7" s="89"/>
    </row>
    <row r="8" spans="1:69" s="9" customFormat="1" x14ac:dyDescent="0.25">
      <c r="A8" s="8" t="s">
        <v>23</v>
      </c>
      <c r="B8" s="10" t="s">
        <v>175</v>
      </c>
      <c r="C8" s="10" t="s">
        <v>175</v>
      </c>
      <c r="D8" s="10" t="s">
        <v>114</v>
      </c>
      <c r="E8" s="10" t="s">
        <v>114</v>
      </c>
      <c r="F8" s="10" t="s">
        <v>114</v>
      </c>
      <c r="G8" s="10" t="s">
        <v>114</v>
      </c>
      <c r="H8" s="10" t="s">
        <v>114</v>
      </c>
      <c r="I8" s="10" t="s">
        <v>114</v>
      </c>
      <c r="J8" s="10" t="s">
        <v>114</v>
      </c>
      <c r="K8" s="10" t="s">
        <v>114</v>
      </c>
      <c r="L8" s="10" t="s">
        <v>114</v>
      </c>
      <c r="M8" s="10" t="s">
        <v>114</v>
      </c>
      <c r="N8" s="10" t="s">
        <v>114</v>
      </c>
      <c r="O8" s="10" t="s">
        <v>114</v>
      </c>
      <c r="P8" s="10" t="s">
        <v>114</v>
      </c>
      <c r="Q8" s="10" t="s">
        <v>114</v>
      </c>
      <c r="R8" s="10" t="s">
        <v>112</v>
      </c>
      <c r="S8" s="10" t="s">
        <v>112</v>
      </c>
      <c r="T8" s="10" t="s">
        <v>114</v>
      </c>
      <c r="U8" s="10" t="s">
        <v>110</v>
      </c>
      <c r="V8" s="10" t="s">
        <v>110</v>
      </c>
      <c r="W8" s="10" t="s">
        <v>109</v>
      </c>
      <c r="X8" s="10" t="s">
        <v>109</v>
      </c>
      <c r="Y8" s="10" t="s">
        <v>114</v>
      </c>
      <c r="Z8" s="10" t="s">
        <v>114</v>
      </c>
      <c r="AA8" s="10" t="s">
        <v>114</v>
      </c>
      <c r="AB8" s="10" t="s">
        <v>114</v>
      </c>
      <c r="AC8" s="10" t="s">
        <v>114</v>
      </c>
      <c r="AD8" s="10" t="s">
        <v>114</v>
      </c>
      <c r="AE8" s="10" t="s">
        <v>114</v>
      </c>
      <c r="AF8" s="10" t="s">
        <v>114</v>
      </c>
      <c r="AG8" s="10" t="s">
        <v>114</v>
      </c>
      <c r="AH8" s="10" t="s">
        <v>114</v>
      </c>
      <c r="AI8" s="10" t="s">
        <v>114</v>
      </c>
      <c r="AJ8" s="10" t="s">
        <v>114</v>
      </c>
      <c r="AK8" s="10" t="s">
        <v>114</v>
      </c>
      <c r="AL8" s="10" t="s">
        <v>114</v>
      </c>
      <c r="AM8" s="10" t="s">
        <v>114</v>
      </c>
      <c r="AN8" s="10" t="s">
        <v>110</v>
      </c>
      <c r="AO8" s="10" t="s">
        <v>110</v>
      </c>
      <c r="AP8" s="10" t="s">
        <v>112</v>
      </c>
      <c r="AQ8" s="10" t="s">
        <v>112</v>
      </c>
      <c r="AR8" s="10" t="s">
        <v>112</v>
      </c>
      <c r="AS8" s="10" t="s">
        <v>112</v>
      </c>
      <c r="AT8" s="10" t="s">
        <v>112</v>
      </c>
      <c r="AU8" s="10" t="s">
        <v>112</v>
      </c>
      <c r="AV8" s="10" t="s">
        <v>112</v>
      </c>
      <c r="AW8" s="10" t="s">
        <v>112</v>
      </c>
      <c r="AX8" s="10" t="s">
        <v>112</v>
      </c>
      <c r="AY8" s="10" t="s">
        <v>112</v>
      </c>
      <c r="AZ8" s="10" t="s">
        <v>112</v>
      </c>
      <c r="BA8" s="10" t="s">
        <v>112</v>
      </c>
      <c r="BB8" s="90">
        <f>COUNTIFS(B8:BA8,"&lt;&gt;T")</f>
        <v>38</v>
      </c>
      <c r="BC8" s="90"/>
      <c r="BD8" s="90">
        <f>COUNTIFS(B8:BA8,"=N")</f>
        <v>30</v>
      </c>
      <c r="BE8" s="90"/>
      <c r="BF8" s="90">
        <f>COUNTIFS(B8:BA8,"=A")</f>
        <v>4</v>
      </c>
      <c r="BG8" s="90"/>
      <c r="BH8" s="90">
        <f>COUNTIFS(B8:BA8,"=FT")</f>
        <v>2</v>
      </c>
      <c r="BI8" s="90"/>
      <c r="BJ8" s="90">
        <v>2</v>
      </c>
      <c r="BK8" s="90"/>
      <c r="BL8" s="90"/>
      <c r="BM8" s="90"/>
      <c r="BN8" s="90">
        <f>COUNTIFS(B8:BA8,"=T")</f>
        <v>14</v>
      </c>
      <c r="BO8" s="90"/>
      <c r="BP8" s="90">
        <f>SUM(BD8:BN8)</f>
        <v>52</v>
      </c>
      <c r="BQ8" s="90"/>
    </row>
    <row r="9" spans="1:69" s="9" customFormat="1" x14ac:dyDescent="0.25">
      <c r="A9" s="8" t="s">
        <v>24</v>
      </c>
      <c r="B9" s="10" t="s">
        <v>175</v>
      </c>
      <c r="C9" s="10" t="s">
        <v>121</v>
      </c>
      <c r="D9" s="10" t="s">
        <v>121</v>
      </c>
      <c r="E9" s="10" t="s">
        <v>121</v>
      </c>
      <c r="F9" s="10" t="s">
        <v>121</v>
      </c>
      <c r="G9" s="10" t="s">
        <v>121</v>
      </c>
      <c r="H9" s="10" t="s">
        <v>121</v>
      </c>
      <c r="I9" s="10" t="s">
        <v>121</v>
      </c>
      <c r="J9" s="10" t="s">
        <v>121</v>
      </c>
      <c r="K9" s="10" t="s">
        <v>121</v>
      </c>
      <c r="L9" s="10" t="s">
        <v>121</v>
      </c>
      <c r="M9" s="10" t="s">
        <v>121</v>
      </c>
      <c r="N9" s="10" t="s">
        <v>121</v>
      </c>
      <c r="O9" s="10" t="s">
        <v>121</v>
      </c>
      <c r="P9" s="10" t="s">
        <v>121</v>
      </c>
      <c r="Q9" s="10" t="s">
        <v>121</v>
      </c>
      <c r="R9" s="10" t="s">
        <v>112</v>
      </c>
      <c r="S9" s="10" t="s">
        <v>112</v>
      </c>
      <c r="T9" s="10" t="s">
        <v>110</v>
      </c>
      <c r="U9" s="10" t="s">
        <v>110</v>
      </c>
      <c r="V9" s="10" t="s">
        <v>121</v>
      </c>
      <c r="W9" s="10" t="s">
        <v>121</v>
      </c>
      <c r="X9" s="10" t="s">
        <v>121</v>
      </c>
      <c r="Y9" s="10" t="s">
        <v>121</v>
      </c>
      <c r="Z9" s="10" t="s">
        <v>121</v>
      </c>
      <c r="AA9" s="10" t="s">
        <v>121</v>
      </c>
      <c r="AB9" s="10" t="s">
        <v>121</v>
      </c>
      <c r="AC9" s="10" t="s">
        <v>121</v>
      </c>
      <c r="AD9" s="10" t="s">
        <v>121</v>
      </c>
      <c r="AE9" s="10" t="s">
        <v>121</v>
      </c>
      <c r="AF9" s="10" t="s">
        <v>121</v>
      </c>
      <c r="AG9" s="10" t="s">
        <v>121</v>
      </c>
      <c r="AH9" s="10" t="s">
        <v>121</v>
      </c>
      <c r="AI9" s="10" t="s">
        <v>121</v>
      </c>
      <c r="AJ9" s="10" t="s">
        <v>121</v>
      </c>
      <c r="AK9" s="10" t="s">
        <v>110</v>
      </c>
      <c r="AL9" s="10" t="s">
        <v>110</v>
      </c>
      <c r="AM9" s="10" t="s">
        <v>112</v>
      </c>
      <c r="AN9" s="10" t="s">
        <v>112</v>
      </c>
      <c r="AO9" s="10" t="s">
        <v>112</v>
      </c>
      <c r="AP9" s="10" t="s">
        <v>112</v>
      </c>
      <c r="AQ9" s="10" t="s">
        <v>112</v>
      </c>
      <c r="AR9" s="10" t="s">
        <v>112</v>
      </c>
      <c r="AS9" s="10" t="s">
        <v>112</v>
      </c>
      <c r="AT9" s="10" t="s">
        <v>112</v>
      </c>
      <c r="AU9" s="10" t="s">
        <v>112</v>
      </c>
      <c r="AV9" s="10" t="s">
        <v>112</v>
      </c>
      <c r="AW9" s="10" t="s">
        <v>112</v>
      </c>
      <c r="AX9" s="10" t="s">
        <v>112</v>
      </c>
      <c r="AY9" s="10" t="s">
        <v>112</v>
      </c>
      <c r="AZ9" s="10" t="s">
        <v>112</v>
      </c>
      <c r="BA9" s="10" t="s">
        <v>112</v>
      </c>
      <c r="BB9" s="90">
        <f t="shared" ref="BB9:BB11" si="0">COUNTIFS(B9:BA9,"&lt;&gt;T")</f>
        <v>35</v>
      </c>
      <c r="BC9" s="90"/>
      <c r="BD9" s="90">
        <v>20</v>
      </c>
      <c r="BE9" s="90"/>
      <c r="BF9" s="90">
        <f t="shared" ref="BF9:BF11" si="1">COUNTIFS(B9:BA9,"=A")</f>
        <v>4</v>
      </c>
      <c r="BG9" s="90"/>
      <c r="BH9" s="90">
        <f t="shared" ref="BH9:BH11" si="2">COUNTIFS(B9:BA9,"=FT")</f>
        <v>1</v>
      </c>
      <c r="BI9" s="90"/>
      <c r="BJ9" s="90">
        <v>10</v>
      </c>
      <c r="BK9" s="90"/>
      <c r="BL9" s="90"/>
      <c r="BM9" s="90"/>
      <c r="BN9" s="90">
        <f t="shared" ref="BN9:BN10" si="3">COUNTIFS(B9:BA9,"=T")</f>
        <v>17</v>
      </c>
      <c r="BO9" s="90"/>
      <c r="BP9" s="90">
        <f t="shared" ref="BP9:BP11" si="4">SUM(BD9:BN9)</f>
        <v>52</v>
      </c>
      <c r="BQ9" s="90"/>
    </row>
    <row r="10" spans="1:69" s="9" customFormat="1" x14ac:dyDescent="0.25">
      <c r="A10" s="8" t="s">
        <v>25</v>
      </c>
      <c r="B10" s="10" t="s">
        <v>175</v>
      </c>
      <c r="C10" s="10" t="s">
        <v>121</v>
      </c>
      <c r="D10" s="10" t="s">
        <v>121</v>
      </c>
      <c r="E10" s="10" t="s">
        <v>121</v>
      </c>
      <c r="F10" s="10" t="s">
        <v>121</v>
      </c>
      <c r="G10" s="10" t="s">
        <v>121</v>
      </c>
      <c r="H10" s="10" t="s">
        <v>121</v>
      </c>
      <c r="I10" s="10" t="s">
        <v>121</v>
      </c>
      <c r="J10" s="10" t="s">
        <v>121</v>
      </c>
      <c r="K10" s="10" t="s">
        <v>121</v>
      </c>
      <c r="L10" s="10" t="s">
        <v>121</v>
      </c>
      <c r="M10" s="10" t="s">
        <v>121</v>
      </c>
      <c r="N10" s="10" t="s">
        <v>121</v>
      </c>
      <c r="O10" s="10" t="s">
        <v>121</v>
      </c>
      <c r="P10" s="10" t="s">
        <v>121</v>
      </c>
      <c r="Q10" s="10" t="s">
        <v>121</v>
      </c>
      <c r="R10" s="10" t="s">
        <v>112</v>
      </c>
      <c r="S10" s="10" t="s">
        <v>112</v>
      </c>
      <c r="T10" s="10" t="s">
        <v>110</v>
      </c>
      <c r="U10" s="10" t="s">
        <v>110</v>
      </c>
      <c r="V10" s="10" t="s">
        <v>121</v>
      </c>
      <c r="W10" s="10" t="s">
        <v>121</v>
      </c>
      <c r="X10" s="10" t="s">
        <v>121</v>
      </c>
      <c r="Y10" s="10" t="s">
        <v>121</v>
      </c>
      <c r="Z10" s="10" t="s">
        <v>121</v>
      </c>
      <c r="AA10" s="10" t="s">
        <v>121</v>
      </c>
      <c r="AB10" s="10" t="s">
        <v>121</v>
      </c>
      <c r="AC10" s="10" t="s">
        <v>121</v>
      </c>
      <c r="AD10" s="10" t="s">
        <v>121</v>
      </c>
      <c r="AE10" s="10" t="s">
        <v>121</v>
      </c>
      <c r="AF10" s="10" t="s">
        <v>121</v>
      </c>
      <c r="AG10" s="10" t="s">
        <v>121</v>
      </c>
      <c r="AH10" s="10" t="s">
        <v>121</v>
      </c>
      <c r="AI10" s="10" t="s">
        <v>121</v>
      </c>
      <c r="AJ10" s="10" t="s">
        <v>121</v>
      </c>
      <c r="AK10" s="10" t="s">
        <v>110</v>
      </c>
      <c r="AL10" s="10" t="s">
        <v>110</v>
      </c>
      <c r="AM10" s="10" t="s">
        <v>112</v>
      </c>
      <c r="AN10" s="10" t="s">
        <v>112</v>
      </c>
      <c r="AO10" s="10" t="s">
        <v>112</v>
      </c>
      <c r="AP10" s="10" t="s">
        <v>112</v>
      </c>
      <c r="AQ10" s="10" t="s">
        <v>112</v>
      </c>
      <c r="AR10" s="10" t="s">
        <v>112</v>
      </c>
      <c r="AS10" s="10" t="s">
        <v>112</v>
      </c>
      <c r="AT10" s="10" t="s">
        <v>112</v>
      </c>
      <c r="AU10" s="10" t="s">
        <v>112</v>
      </c>
      <c r="AV10" s="10" t="s">
        <v>112</v>
      </c>
      <c r="AW10" s="10" t="s">
        <v>112</v>
      </c>
      <c r="AX10" s="10" t="s">
        <v>112</v>
      </c>
      <c r="AY10" s="10" t="s">
        <v>112</v>
      </c>
      <c r="AZ10" s="10" t="s">
        <v>112</v>
      </c>
      <c r="BA10" s="10" t="s">
        <v>112</v>
      </c>
      <c r="BB10" s="90">
        <f t="shared" si="0"/>
        <v>35</v>
      </c>
      <c r="BC10" s="90"/>
      <c r="BD10" s="90">
        <v>20</v>
      </c>
      <c r="BE10" s="90"/>
      <c r="BF10" s="90">
        <f t="shared" si="1"/>
        <v>4</v>
      </c>
      <c r="BG10" s="90"/>
      <c r="BH10" s="90">
        <f t="shared" si="2"/>
        <v>1</v>
      </c>
      <c r="BI10" s="90"/>
      <c r="BJ10" s="90">
        <v>10</v>
      </c>
      <c r="BK10" s="90"/>
      <c r="BL10" s="90"/>
      <c r="BM10" s="90"/>
      <c r="BN10" s="90">
        <f t="shared" si="3"/>
        <v>17</v>
      </c>
      <c r="BO10" s="90"/>
      <c r="BP10" s="90">
        <f t="shared" si="4"/>
        <v>52</v>
      </c>
      <c r="BQ10" s="90"/>
    </row>
    <row r="11" spans="1:69" s="9" customFormat="1" x14ac:dyDescent="0.25">
      <c r="A11" s="8" t="s">
        <v>26</v>
      </c>
      <c r="B11" s="10" t="s">
        <v>175</v>
      </c>
      <c r="C11" s="10" t="s">
        <v>121</v>
      </c>
      <c r="D11" s="10" t="s">
        <v>121</v>
      </c>
      <c r="E11" s="10" t="s">
        <v>121</v>
      </c>
      <c r="F11" s="10" t="s">
        <v>121</v>
      </c>
      <c r="G11" s="10" t="s">
        <v>121</v>
      </c>
      <c r="H11" s="10" t="s">
        <v>121</v>
      </c>
      <c r="I11" s="10" t="s">
        <v>121</v>
      </c>
      <c r="J11" s="10" t="s">
        <v>121</v>
      </c>
      <c r="K11" s="10" t="s">
        <v>121</v>
      </c>
      <c r="L11" s="10" t="s">
        <v>121</v>
      </c>
      <c r="M11" s="10" t="s">
        <v>121</v>
      </c>
      <c r="N11" s="10" t="s">
        <v>121</v>
      </c>
      <c r="O11" s="10" t="s">
        <v>121</v>
      </c>
      <c r="P11" s="10" t="s">
        <v>121</v>
      </c>
      <c r="Q11" s="10" t="s">
        <v>121</v>
      </c>
      <c r="R11" s="10" t="s">
        <v>112</v>
      </c>
      <c r="S11" s="10" t="s">
        <v>112</v>
      </c>
      <c r="T11" s="10" t="s">
        <v>110</v>
      </c>
      <c r="U11" s="10" t="s">
        <v>110</v>
      </c>
      <c r="V11" s="10" t="s">
        <v>121</v>
      </c>
      <c r="W11" s="10" t="s">
        <v>121</v>
      </c>
      <c r="X11" s="10" t="s">
        <v>121</v>
      </c>
      <c r="Y11" s="10" t="s">
        <v>121</v>
      </c>
      <c r="Z11" s="10" t="s">
        <v>121</v>
      </c>
      <c r="AA11" s="10" t="s">
        <v>121</v>
      </c>
      <c r="AB11" s="10" t="s">
        <v>121</v>
      </c>
      <c r="AC11" s="10" t="s">
        <v>121</v>
      </c>
      <c r="AD11" s="10" t="s">
        <v>121</v>
      </c>
      <c r="AE11" s="10" t="s">
        <v>121</v>
      </c>
      <c r="AF11" s="10" t="s">
        <v>114</v>
      </c>
      <c r="AG11" s="10" t="s">
        <v>114</v>
      </c>
      <c r="AH11" s="10" t="s">
        <v>114</v>
      </c>
      <c r="AI11" s="10" t="s">
        <v>114</v>
      </c>
      <c r="AJ11" s="10" t="s">
        <v>114</v>
      </c>
      <c r="AK11" s="10" t="s">
        <v>110</v>
      </c>
      <c r="AL11" s="10" t="s">
        <v>110</v>
      </c>
      <c r="AM11" s="10" t="s">
        <v>111</v>
      </c>
      <c r="AN11" s="10" t="s">
        <v>111</v>
      </c>
      <c r="AO11" s="10" t="s">
        <v>111</v>
      </c>
      <c r="AP11" s="10" t="s">
        <v>111</v>
      </c>
      <c r="AQ11" s="10" t="s">
        <v>112</v>
      </c>
      <c r="AR11" s="10" t="s">
        <v>112</v>
      </c>
      <c r="AS11" s="10" t="s">
        <v>112</v>
      </c>
      <c r="AT11" s="10" t="s">
        <v>112</v>
      </c>
      <c r="AU11" s="10" t="s">
        <v>112</v>
      </c>
      <c r="AV11" s="10" t="s">
        <v>112</v>
      </c>
      <c r="AW11" s="10" t="s">
        <v>112</v>
      </c>
      <c r="AX11" s="10" t="s">
        <v>112</v>
      </c>
      <c r="AY11" s="10" t="s">
        <v>112</v>
      </c>
      <c r="AZ11" s="10" t="s">
        <v>112</v>
      </c>
      <c r="BA11" s="10" t="s">
        <v>112</v>
      </c>
      <c r="BB11" s="90">
        <f t="shared" si="0"/>
        <v>39</v>
      </c>
      <c r="BC11" s="90"/>
      <c r="BD11" s="90">
        <v>22</v>
      </c>
      <c r="BE11" s="90"/>
      <c r="BF11" s="90">
        <f t="shared" si="1"/>
        <v>4</v>
      </c>
      <c r="BG11" s="90"/>
      <c r="BH11" s="90">
        <f t="shared" si="2"/>
        <v>1</v>
      </c>
      <c r="BI11" s="90"/>
      <c r="BJ11" s="90">
        <v>8</v>
      </c>
      <c r="BK11" s="90"/>
      <c r="BL11" s="90">
        <v>4</v>
      </c>
      <c r="BM11" s="90"/>
      <c r="BN11" s="90">
        <v>9</v>
      </c>
      <c r="BO11" s="90"/>
      <c r="BP11" s="90">
        <f t="shared" si="4"/>
        <v>48</v>
      </c>
      <c r="BQ11" s="90"/>
    </row>
    <row r="12" spans="1:69" s="9" customFormat="1" x14ac:dyDescent="0.25">
      <c r="A12" s="92" t="s">
        <v>29</v>
      </c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0">
        <f t="shared" ref="BB12:BP12" si="5">SUM(BB8:BC11)</f>
        <v>147</v>
      </c>
      <c r="BC12" s="90"/>
      <c r="BD12" s="90">
        <f t="shared" si="5"/>
        <v>92</v>
      </c>
      <c r="BE12" s="90"/>
      <c r="BF12" s="90">
        <f t="shared" si="5"/>
        <v>16</v>
      </c>
      <c r="BG12" s="90"/>
      <c r="BH12" s="90">
        <f t="shared" si="5"/>
        <v>5</v>
      </c>
      <c r="BI12" s="90"/>
      <c r="BJ12" s="90">
        <f t="shared" si="5"/>
        <v>30</v>
      </c>
      <c r="BK12" s="90"/>
      <c r="BL12" s="90">
        <f t="shared" si="5"/>
        <v>4</v>
      </c>
      <c r="BM12" s="90"/>
      <c r="BN12" s="90">
        <f t="shared" si="5"/>
        <v>57</v>
      </c>
      <c r="BO12" s="90"/>
      <c r="BP12" s="90">
        <f t="shared" si="5"/>
        <v>204</v>
      </c>
      <c r="BQ12" s="90"/>
    </row>
    <row r="13" spans="1:69" s="9" customFormat="1" x14ac:dyDescent="0.25"/>
    <row r="14" spans="1:69" s="11" customFormat="1" ht="15.75" customHeight="1" x14ac:dyDescent="0.25">
      <c r="B14" s="57" t="s">
        <v>114</v>
      </c>
      <c r="C14" s="57"/>
      <c r="D14" s="57"/>
      <c r="E14" s="58" t="s">
        <v>17</v>
      </c>
      <c r="F14" s="59"/>
      <c r="G14" s="59"/>
      <c r="H14" s="59"/>
      <c r="I14" s="59"/>
      <c r="J14" s="59"/>
      <c r="K14" s="13"/>
      <c r="L14" s="115" t="s">
        <v>121</v>
      </c>
      <c r="M14" s="116"/>
      <c r="N14" s="119" t="s">
        <v>161</v>
      </c>
      <c r="O14" s="120"/>
      <c r="P14" s="120"/>
      <c r="Q14" s="120"/>
      <c r="R14" s="120"/>
      <c r="S14" s="120"/>
      <c r="T14" s="120"/>
      <c r="U14" s="13"/>
      <c r="V14" s="57" t="s">
        <v>109</v>
      </c>
      <c r="W14" s="57"/>
      <c r="X14" s="57"/>
      <c r="Y14" s="58" t="s">
        <v>108</v>
      </c>
      <c r="Z14" s="59"/>
      <c r="AA14" s="59"/>
      <c r="AB14" s="59"/>
      <c r="AC14" s="59"/>
      <c r="AD14" s="59"/>
      <c r="AE14" s="13"/>
      <c r="AF14" s="57" t="s">
        <v>110</v>
      </c>
      <c r="AG14" s="57"/>
      <c r="AH14" s="57"/>
      <c r="AI14" s="58" t="s">
        <v>18</v>
      </c>
      <c r="AJ14" s="59"/>
      <c r="AK14" s="59"/>
      <c r="AL14" s="59"/>
      <c r="AM14" s="59"/>
      <c r="AN14" s="59"/>
      <c r="AO14" s="13"/>
      <c r="AP14" s="57" t="s">
        <v>111</v>
      </c>
      <c r="AQ14" s="57"/>
      <c r="AR14" s="57"/>
      <c r="AS14" s="58" t="s">
        <v>98</v>
      </c>
      <c r="AT14" s="59"/>
      <c r="AU14" s="59"/>
      <c r="AV14" s="59"/>
      <c r="AW14" s="59"/>
      <c r="AX14" s="59"/>
      <c r="AY14" s="13"/>
      <c r="AZ14" s="57" t="s">
        <v>175</v>
      </c>
      <c r="BA14" s="57"/>
      <c r="BB14" s="57"/>
      <c r="BC14" s="60" t="s">
        <v>176</v>
      </c>
      <c r="BD14" s="61"/>
      <c r="BE14" s="61"/>
      <c r="BF14" s="61"/>
      <c r="BG14" s="61"/>
      <c r="BH14" s="61"/>
      <c r="BI14" s="13"/>
      <c r="BJ14" s="57" t="s">
        <v>112</v>
      </c>
      <c r="BK14" s="57"/>
      <c r="BL14" s="57"/>
      <c r="BM14" s="58" t="s">
        <v>113</v>
      </c>
      <c r="BN14" s="59"/>
      <c r="BO14" s="59"/>
      <c r="BP14" s="59"/>
      <c r="BQ14" s="59"/>
    </row>
    <row r="15" spans="1:69" s="11" customFormat="1" x14ac:dyDescent="0.25">
      <c r="B15" s="57"/>
      <c r="C15" s="57"/>
      <c r="D15" s="57"/>
      <c r="E15" s="58"/>
      <c r="F15" s="59"/>
      <c r="G15" s="59"/>
      <c r="H15" s="59"/>
      <c r="I15" s="59"/>
      <c r="J15" s="59"/>
      <c r="K15" s="13"/>
      <c r="L15" s="117"/>
      <c r="M15" s="118"/>
      <c r="N15" s="119"/>
      <c r="O15" s="120"/>
      <c r="P15" s="120"/>
      <c r="Q15" s="120"/>
      <c r="R15" s="120"/>
      <c r="S15" s="120"/>
      <c r="T15" s="120"/>
      <c r="U15" s="13"/>
      <c r="V15" s="57"/>
      <c r="W15" s="57"/>
      <c r="X15" s="57"/>
      <c r="Y15" s="58"/>
      <c r="Z15" s="59"/>
      <c r="AA15" s="59"/>
      <c r="AB15" s="59"/>
      <c r="AC15" s="59"/>
      <c r="AD15" s="59"/>
      <c r="AE15" s="13"/>
      <c r="AF15" s="57"/>
      <c r="AG15" s="57"/>
      <c r="AH15" s="57"/>
      <c r="AI15" s="58"/>
      <c r="AJ15" s="59"/>
      <c r="AK15" s="59"/>
      <c r="AL15" s="59"/>
      <c r="AM15" s="59"/>
      <c r="AN15" s="59"/>
      <c r="AO15" s="13"/>
      <c r="AP15" s="57"/>
      <c r="AQ15" s="57"/>
      <c r="AR15" s="57"/>
      <c r="AS15" s="58"/>
      <c r="AT15" s="59"/>
      <c r="AU15" s="59"/>
      <c r="AV15" s="59"/>
      <c r="AW15" s="59"/>
      <c r="AX15" s="59"/>
      <c r="AY15" s="13"/>
      <c r="AZ15" s="57"/>
      <c r="BA15" s="57"/>
      <c r="BB15" s="57"/>
      <c r="BC15" s="60"/>
      <c r="BD15" s="61"/>
      <c r="BE15" s="61"/>
      <c r="BF15" s="61"/>
      <c r="BG15" s="61"/>
      <c r="BH15" s="61"/>
      <c r="BI15" s="13"/>
      <c r="BJ15" s="57"/>
      <c r="BK15" s="57"/>
      <c r="BL15" s="57"/>
      <c r="BM15" s="58"/>
      <c r="BN15" s="59"/>
      <c r="BO15" s="59"/>
      <c r="BP15" s="59"/>
      <c r="BQ15" s="59"/>
    </row>
    <row r="16" spans="1:69" s="9" customFormat="1" x14ac:dyDescent="0.25"/>
    <row r="17" spans="1:69" s="9" customFormat="1" x14ac:dyDescent="0.25">
      <c r="A17" s="73" t="s">
        <v>30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3"/>
      <c r="BL17" s="73"/>
      <c r="BM17" s="73"/>
      <c r="BN17" s="73"/>
      <c r="BO17" s="73"/>
      <c r="BP17" s="73"/>
      <c r="BQ17" s="73"/>
    </row>
    <row r="18" spans="1:69" s="9" customFormat="1" ht="30.75" customHeight="1" x14ac:dyDescent="0.25">
      <c r="A18" s="57" t="s">
        <v>116</v>
      </c>
      <c r="B18" s="57"/>
      <c r="C18" s="57" t="s">
        <v>31</v>
      </c>
      <c r="D18" s="57"/>
      <c r="E18" s="57"/>
      <c r="F18" s="57" t="s">
        <v>32</v>
      </c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 t="s">
        <v>35</v>
      </c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 t="s">
        <v>36</v>
      </c>
      <c r="BB18" s="57"/>
      <c r="BC18" s="57"/>
      <c r="BD18" s="57"/>
      <c r="BE18" s="57"/>
      <c r="BF18" s="57"/>
      <c r="BG18" s="57"/>
      <c r="BH18" s="57"/>
      <c r="BI18" s="57" t="s">
        <v>41</v>
      </c>
      <c r="BJ18" s="57"/>
      <c r="BK18" s="57"/>
      <c r="BL18" s="57"/>
      <c r="BM18" s="57"/>
      <c r="BN18" s="57"/>
      <c r="BO18" s="57"/>
      <c r="BP18" s="57"/>
      <c r="BQ18" s="96" t="s">
        <v>42</v>
      </c>
    </row>
    <row r="19" spans="1:69" s="9" customFormat="1" x14ac:dyDescent="0.25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 t="s">
        <v>33</v>
      </c>
      <c r="Y19" s="57"/>
      <c r="Z19" s="57"/>
      <c r="AA19" s="57"/>
      <c r="AB19" s="57"/>
      <c r="AC19" s="57"/>
      <c r="AD19" s="57"/>
      <c r="AE19" s="57"/>
      <c r="AF19" s="57" t="s">
        <v>34</v>
      </c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89" t="s">
        <v>50</v>
      </c>
      <c r="AY19" s="89"/>
      <c r="AZ19" s="89"/>
      <c r="BA19" s="95" t="s">
        <v>37</v>
      </c>
      <c r="BB19" s="95"/>
      <c r="BC19" s="95" t="s">
        <v>38</v>
      </c>
      <c r="BD19" s="95"/>
      <c r="BE19" s="95" t="s">
        <v>39</v>
      </c>
      <c r="BF19" s="95"/>
      <c r="BG19" s="95" t="s">
        <v>40</v>
      </c>
      <c r="BH19" s="95"/>
      <c r="BI19" s="95" t="s">
        <v>37</v>
      </c>
      <c r="BJ19" s="95"/>
      <c r="BK19" s="95" t="s">
        <v>38</v>
      </c>
      <c r="BL19" s="95"/>
      <c r="BM19" s="95" t="s">
        <v>39</v>
      </c>
      <c r="BN19" s="95"/>
      <c r="BO19" s="57" t="s">
        <v>40</v>
      </c>
      <c r="BP19" s="57"/>
      <c r="BQ19" s="97"/>
    </row>
    <row r="20" spans="1:69" s="9" customFormat="1" x14ac:dyDescent="0.25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89" t="s">
        <v>12</v>
      </c>
      <c r="AG20" s="89"/>
      <c r="AH20" s="89"/>
      <c r="AI20" s="89" t="s">
        <v>45</v>
      </c>
      <c r="AJ20" s="89"/>
      <c r="AK20" s="89"/>
      <c r="AL20" s="89" t="s">
        <v>46</v>
      </c>
      <c r="AM20" s="89"/>
      <c r="AN20" s="89"/>
      <c r="AO20" s="89" t="s">
        <v>47</v>
      </c>
      <c r="AP20" s="89"/>
      <c r="AQ20" s="89"/>
      <c r="AR20" s="89" t="s">
        <v>48</v>
      </c>
      <c r="AS20" s="89"/>
      <c r="AT20" s="89"/>
      <c r="AU20" s="89" t="s">
        <v>49</v>
      </c>
      <c r="AV20" s="89"/>
      <c r="AW20" s="89"/>
      <c r="AX20" s="89"/>
      <c r="AY20" s="89"/>
      <c r="AZ20" s="89"/>
      <c r="BA20" s="57" t="s">
        <v>51</v>
      </c>
      <c r="BB20" s="57"/>
      <c r="BC20" s="57"/>
      <c r="BD20" s="57"/>
      <c r="BE20" s="57"/>
      <c r="BF20" s="57"/>
      <c r="BG20" s="57"/>
      <c r="BH20" s="57"/>
      <c r="BI20" s="57" t="s">
        <v>115</v>
      </c>
      <c r="BJ20" s="57"/>
      <c r="BK20" s="57"/>
      <c r="BL20" s="57"/>
      <c r="BM20" s="57"/>
      <c r="BN20" s="57"/>
      <c r="BO20" s="57"/>
      <c r="BP20" s="57"/>
      <c r="BQ20" s="97"/>
    </row>
    <row r="21" spans="1:69" s="9" customFormat="1" x14ac:dyDescent="0.25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89"/>
      <c r="AT21" s="89"/>
      <c r="AU21" s="89"/>
      <c r="AV21" s="89"/>
      <c r="AW21" s="89"/>
      <c r="AX21" s="89"/>
      <c r="AY21" s="89"/>
      <c r="AZ21" s="89"/>
      <c r="BA21" s="57">
        <f>BB8</f>
        <v>38</v>
      </c>
      <c r="BB21" s="57"/>
      <c r="BC21" s="57">
        <f>BB9</f>
        <v>35</v>
      </c>
      <c r="BD21" s="57"/>
      <c r="BE21" s="57">
        <f>BB10</f>
        <v>35</v>
      </c>
      <c r="BF21" s="57"/>
      <c r="BG21" s="57">
        <f>BB11</f>
        <v>39</v>
      </c>
      <c r="BH21" s="57"/>
      <c r="BI21" s="57">
        <f>BI25+BJ25</f>
        <v>60</v>
      </c>
      <c r="BJ21" s="57"/>
      <c r="BK21" s="57">
        <f t="shared" ref="BK21" si="6">BK25+BL25</f>
        <v>60</v>
      </c>
      <c r="BL21" s="57"/>
      <c r="BM21" s="57">
        <f t="shared" ref="BM21" si="7">BM25+BN25</f>
        <v>60</v>
      </c>
      <c r="BN21" s="57"/>
      <c r="BO21" s="57">
        <f t="shared" ref="BO21" si="8">BO25+BP25</f>
        <v>60</v>
      </c>
      <c r="BP21" s="57"/>
      <c r="BQ21" s="97"/>
    </row>
    <row r="22" spans="1:69" s="9" customFormat="1" x14ac:dyDescent="0.25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  <c r="BA22" s="57" t="s">
        <v>52</v>
      </c>
      <c r="BB22" s="57"/>
      <c r="BC22" s="57"/>
      <c r="BD22" s="57"/>
      <c r="BE22" s="57"/>
      <c r="BF22" s="57"/>
      <c r="BG22" s="57"/>
      <c r="BH22" s="57"/>
      <c r="BI22" s="57" t="s">
        <v>52</v>
      </c>
      <c r="BJ22" s="57"/>
      <c r="BK22" s="57"/>
      <c r="BL22" s="57"/>
      <c r="BM22" s="57"/>
      <c r="BN22" s="57"/>
      <c r="BO22" s="57"/>
      <c r="BP22" s="57"/>
      <c r="BQ22" s="97"/>
    </row>
    <row r="23" spans="1:69" s="9" customFormat="1" x14ac:dyDescent="0.25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12">
        <v>1</v>
      </c>
      <c r="BB23" s="12">
        <v>2</v>
      </c>
      <c r="BC23" s="12">
        <v>3</v>
      </c>
      <c r="BD23" s="12">
        <v>4</v>
      </c>
      <c r="BE23" s="12">
        <v>5</v>
      </c>
      <c r="BF23" s="12">
        <v>6</v>
      </c>
      <c r="BG23" s="12">
        <v>7</v>
      </c>
      <c r="BH23" s="12">
        <v>8</v>
      </c>
      <c r="BI23" s="12">
        <v>1</v>
      </c>
      <c r="BJ23" s="12">
        <v>2</v>
      </c>
      <c r="BK23" s="12">
        <v>3</v>
      </c>
      <c r="BL23" s="12">
        <v>4</v>
      </c>
      <c r="BM23" s="12">
        <v>5</v>
      </c>
      <c r="BN23" s="12">
        <v>6</v>
      </c>
      <c r="BO23" s="12">
        <v>7</v>
      </c>
      <c r="BP23" s="12">
        <v>8</v>
      </c>
      <c r="BQ23" s="97"/>
    </row>
    <row r="24" spans="1:69" s="9" customFormat="1" ht="32.25" customHeight="1" x14ac:dyDescent="0.25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  <c r="AY24" s="89"/>
      <c r="AZ24" s="89"/>
      <c r="BA24" s="57" t="s">
        <v>56</v>
      </c>
      <c r="BB24" s="57"/>
      <c r="BC24" s="57"/>
      <c r="BD24" s="57"/>
      <c r="BE24" s="57"/>
      <c r="BF24" s="57"/>
      <c r="BG24" s="57"/>
      <c r="BH24" s="57"/>
      <c r="BI24" s="57" t="s">
        <v>53</v>
      </c>
      <c r="BJ24" s="57"/>
      <c r="BK24" s="57"/>
      <c r="BL24" s="57"/>
      <c r="BM24" s="57"/>
      <c r="BN24" s="57"/>
      <c r="BO24" s="57"/>
      <c r="BP24" s="57"/>
      <c r="BQ24" s="98"/>
    </row>
    <row r="25" spans="1:69" s="9" customFormat="1" x14ac:dyDescent="0.25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 t="s">
        <v>43</v>
      </c>
      <c r="Y25" s="57"/>
      <c r="Z25" s="57"/>
      <c r="AA25" s="57"/>
      <c r="AB25" s="57" t="s">
        <v>44</v>
      </c>
      <c r="AC25" s="57"/>
      <c r="AD25" s="57"/>
      <c r="AE25" s="57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12">
        <v>15</v>
      </c>
      <c r="BB25" s="12">
        <v>15</v>
      </c>
      <c r="BC25" s="12">
        <v>15</v>
      </c>
      <c r="BD25" s="12">
        <v>15</v>
      </c>
      <c r="BE25" s="12">
        <v>15</v>
      </c>
      <c r="BF25" s="12">
        <v>15</v>
      </c>
      <c r="BG25" s="12">
        <v>15</v>
      </c>
      <c r="BH25" s="12">
        <v>15</v>
      </c>
      <c r="BI25" s="12">
        <v>30</v>
      </c>
      <c r="BJ25" s="12">
        <v>30</v>
      </c>
      <c r="BK25" s="12">
        <v>30</v>
      </c>
      <c r="BL25" s="12">
        <v>30</v>
      </c>
      <c r="BM25" s="12">
        <v>30</v>
      </c>
      <c r="BN25" s="12">
        <v>30</v>
      </c>
      <c r="BO25" s="12">
        <v>30</v>
      </c>
      <c r="BP25" s="12">
        <v>30</v>
      </c>
      <c r="BQ25" s="12">
        <v>240</v>
      </c>
    </row>
    <row r="26" spans="1:69" s="9" customFormat="1" x14ac:dyDescent="0.25">
      <c r="A26" s="72">
        <v>1</v>
      </c>
      <c r="B26" s="72"/>
      <c r="C26" s="72"/>
      <c r="D26" s="72"/>
      <c r="E26" s="72"/>
      <c r="F26" s="72">
        <v>2</v>
      </c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>
        <v>3</v>
      </c>
      <c r="Y26" s="72"/>
      <c r="Z26" s="72"/>
      <c r="AA26" s="72"/>
      <c r="AB26" s="72">
        <v>4</v>
      </c>
      <c r="AC26" s="72"/>
      <c r="AD26" s="72"/>
      <c r="AE26" s="72"/>
      <c r="AF26" s="72">
        <v>5</v>
      </c>
      <c r="AG26" s="72"/>
      <c r="AH26" s="72"/>
      <c r="AI26" s="72">
        <v>6</v>
      </c>
      <c r="AJ26" s="72"/>
      <c r="AK26" s="72"/>
      <c r="AL26" s="72">
        <v>7</v>
      </c>
      <c r="AM26" s="72"/>
      <c r="AN26" s="72"/>
      <c r="AO26" s="72">
        <v>8</v>
      </c>
      <c r="AP26" s="72"/>
      <c r="AQ26" s="72"/>
      <c r="AR26" s="72">
        <v>9</v>
      </c>
      <c r="AS26" s="72"/>
      <c r="AT26" s="72"/>
      <c r="AU26" s="72">
        <v>10</v>
      </c>
      <c r="AV26" s="72"/>
      <c r="AW26" s="72"/>
      <c r="AX26" s="72">
        <v>11</v>
      </c>
      <c r="AY26" s="72"/>
      <c r="AZ26" s="72"/>
      <c r="BA26" s="8">
        <v>12</v>
      </c>
      <c r="BB26" s="8">
        <v>13</v>
      </c>
      <c r="BC26" s="8">
        <v>14</v>
      </c>
      <c r="BD26" s="8">
        <v>15</v>
      </c>
      <c r="BE26" s="8">
        <v>16</v>
      </c>
      <c r="BF26" s="8">
        <v>17</v>
      </c>
      <c r="BG26" s="8">
        <v>18</v>
      </c>
      <c r="BH26" s="8">
        <v>19</v>
      </c>
      <c r="BI26" s="8">
        <v>20</v>
      </c>
      <c r="BJ26" s="8">
        <v>21</v>
      </c>
      <c r="BK26" s="8">
        <v>22</v>
      </c>
      <c r="BL26" s="8">
        <v>23</v>
      </c>
      <c r="BM26" s="8">
        <v>24</v>
      </c>
      <c r="BN26" s="8">
        <v>25</v>
      </c>
      <c r="BO26" s="8">
        <v>26</v>
      </c>
      <c r="BP26" s="8">
        <v>27</v>
      </c>
      <c r="BQ26" s="8">
        <v>28</v>
      </c>
    </row>
    <row r="27" spans="1:69" s="15" customFormat="1" x14ac:dyDescent="0.25">
      <c r="A27" s="93" t="s">
        <v>54</v>
      </c>
      <c r="B27" s="93"/>
      <c r="C27" s="93"/>
      <c r="D27" s="93"/>
      <c r="E27" s="93"/>
      <c r="F27" s="94" t="s">
        <v>55</v>
      </c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3">
        <f>SUM(X28:AA50)</f>
        <v>4980</v>
      </c>
      <c r="Y27" s="93"/>
      <c r="Z27" s="93"/>
      <c r="AA27" s="93"/>
      <c r="AB27" s="93">
        <f>X27/$X$64*100</f>
        <v>83</v>
      </c>
      <c r="AC27" s="93"/>
      <c r="AD27" s="93"/>
      <c r="AE27" s="93"/>
      <c r="AF27" s="93">
        <f>SUM(AF28:AH50)</f>
        <v>2340</v>
      </c>
      <c r="AG27" s="93"/>
      <c r="AH27" s="93"/>
      <c r="AI27" s="93">
        <f>SUM(AI28:AK50)</f>
        <v>870</v>
      </c>
      <c r="AJ27" s="93"/>
      <c r="AK27" s="93"/>
      <c r="AL27" s="93">
        <f>SUM(AL28:AN50)</f>
        <v>1260</v>
      </c>
      <c r="AM27" s="93"/>
      <c r="AN27" s="93"/>
      <c r="AO27" s="93">
        <f>SUM(AO28:AQ50)</f>
        <v>30</v>
      </c>
      <c r="AP27" s="93"/>
      <c r="AQ27" s="93"/>
      <c r="AR27" s="93">
        <f>SUM(AR28:AT50)</f>
        <v>180</v>
      </c>
      <c r="AS27" s="93"/>
      <c r="AT27" s="93"/>
      <c r="AU27" s="93">
        <f>SUM(AU28:AW50)</f>
        <v>90</v>
      </c>
      <c r="AV27" s="93"/>
      <c r="AW27" s="93"/>
      <c r="AX27" s="93">
        <f>SUM(AX28:AZ50)</f>
        <v>2550</v>
      </c>
      <c r="AY27" s="93"/>
      <c r="AZ27" s="93"/>
      <c r="BA27" s="14">
        <f>SUM(BA28:BA50)</f>
        <v>28</v>
      </c>
      <c r="BB27" s="14">
        <f t="shared" ref="BB27:BP27" si="9">SUM(BB28:BB50)</f>
        <v>28</v>
      </c>
      <c r="BC27" s="14">
        <f t="shared" si="9"/>
        <v>18</v>
      </c>
      <c r="BD27" s="14">
        <f t="shared" si="9"/>
        <v>18</v>
      </c>
      <c r="BE27" s="14">
        <f t="shared" si="9"/>
        <v>18</v>
      </c>
      <c r="BF27" s="14">
        <f t="shared" si="9"/>
        <v>16</v>
      </c>
      <c r="BG27" s="14">
        <f t="shared" si="9"/>
        <v>18</v>
      </c>
      <c r="BH27" s="14">
        <f t="shared" si="9"/>
        <v>16</v>
      </c>
      <c r="BI27" s="14">
        <f t="shared" si="9"/>
        <v>30</v>
      </c>
      <c r="BJ27" s="14">
        <f t="shared" si="9"/>
        <v>28</v>
      </c>
      <c r="BK27" s="14">
        <f t="shared" si="9"/>
        <v>18</v>
      </c>
      <c r="BL27" s="14">
        <f t="shared" si="9"/>
        <v>18</v>
      </c>
      <c r="BM27" s="14">
        <f t="shared" si="9"/>
        <v>20</v>
      </c>
      <c r="BN27" s="14">
        <f t="shared" si="9"/>
        <v>18</v>
      </c>
      <c r="BO27" s="14">
        <f t="shared" si="9"/>
        <v>18</v>
      </c>
      <c r="BP27" s="14">
        <f t="shared" si="9"/>
        <v>16</v>
      </c>
      <c r="BQ27" s="14">
        <f>SUM(BI27:BP27)</f>
        <v>166</v>
      </c>
    </row>
    <row r="28" spans="1:69" x14ac:dyDescent="0.25">
      <c r="A28" s="29" t="s">
        <v>57</v>
      </c>
      <c r="B28" s="29"/>
      <c r="C28" s="32" t="s">
        <v>151</v>
      </c>
      <c r="D28" s="32"/>
      <c r="E28" s="32"/>
      <c r="F28" s="31" t="s">
        <v>122</v>
      </c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29">
        <f>BQ28*30</f>
        <v>120</v>
      </c>
      <c r="Y28" s="29"/>
      <c r="Z28" s="29"/>
      <c r="AA28" s="29"/>
      <c r="AB28" s="29"/>
      <c r="AC28" s="29"/>
      <c r="AD28" s="29"/>
      <c r="AE28" s="29"/>
      <c r="AF28" s="29">
        <f>SUM(AI28:AT28)</f>
        <v>60</v>
      </c>
      <c r="AG28" s="29"/>
      <c r="AH28" s="29"/>
      <c r="AI28" s="30">
        <v>30</v>
      </c>
      <c r="AJ28" s="30"/>
      <c r="AK28" s="30"/>
      <c r="AL28" s="30"/>
      <c r="AM28" s="30"/>
      <c r="AN28" s="30"/>
      <c r="AO28" s="30"/>
      <c r="AP28" s="30"/>
      <c r="AQ28" s="30"/>
      <c r="AR28" s="30">
        <v>30</v>
      </c>
      <c r="AS28" s="30"/>
      <c r="AT28" s="30"/>
      <c r="AU28" s="30"/>
      <c r="AV28" s="30"/>
      <c r="AW28" s="30"/>
      <c r="AX28" s="33">
        <f t="shared" ref="AX28" si="10">X28-SUM(AI28:AW28)</f>
        <v>60</v>
      </c>
      <c r="AY28" s="34"/>
      <c r="AZ28" s="35"/>
      <c r="BA28" s="16">
        <v>4</v>
      </c>
      <c r="BB28" s="16"/>
      <c r="BC28" s="16"/>
      <c r="BD28" s="16"/>
      <c r="BE28" s="16"/>
      <c r="BF28" s="16"/>
      <c r="BG28" s="16"/>
      <c r="BH28" s="16"/>
      <c r="BI28" s="5">
        <v>4</v>
      </c>
      <c r="BJ28" s="5"/>
      <c r="BK28" s="5"/>
      <c r="BL28" s="5"/>
      <c r="BM28" s="5"/>
      <c r="BN28" s="5"/>
      <c r="BO28" s="5"/>
      <c r="BP28" s="5"/>
      <c r="BQ28" s="1">
        <f>SUM(BI28:BP28)</f>
        <v>4</v>
      </c>
    </row>
    <row r="29" spans="1:69" x14ac:dyDescent="0.25">
      <c r="A29" s="29" t="s">
        <v>58</v>
      </c>
      <c r="B29" s="29"/>
      <c r="C29" s="32" t="s">
        <v>177</v>
      </c>
      <c r="D29" s="32"/>
      <c r="E29" s="32"/>
      <c r="F29" s="31" t="s">
        <v>154</v>
      </c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29">
        <f>BQ29*30</f>
        <v>180</v>
      </c>
      <c r="Y29" s="29"/>
      <c r="Z29" s="29"/>
      <c r="AA29" s="29"/>
      <c r="AB29" s="29"/>
      <c r="AC29" s="29"/>
      <c r="AD29" s="29"/>
      <c r="AE29" s="29"/>
      <c r="AF29" s="29">
        <f t="shared" ref="AF29:AF43" si="11">SUM(AI29:AT29)</f>
        <v>90</v>
      </c>
      <c r="AG29" s="29"/>
      <c r="AH29" s="29"/>
      <c r="AI29" s="30">
        <v>30</v>
      </c>
      <c r="AJ29" s="30"/>
      <c r="AK29" s="30"/>
      <c r="AL29" s="30">
        <v>60</v>
      </c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3">
        <f t="shared" ref="AX29:AX40" si="12">X29-SUM(AI29:AW29)</f>
        <v>90</v>
      </c>
      <c r="AY29" s="34"/>
      <c r="AZ29" s="35"/>
      <c r="BA29" s="16">
        <v>6</v>
      </c>
      <c r="BB29" s="16"/>
      <c r="BC29" s="16"/>
      <c r="BD29" s="16"/>
      <c r="BE29" s="16"/>
      <c r="BF29" s="16"/>
      <c r="BG29" s="16"/>
      <c r="BH29" s="16"/>
      <c r="BI29" s="5">
        <v>6</v>
      </c>
      <c r="BJ29" s="5"/>
      <c r="BK29" s="5"/>
      <c r="BL29" s="5"/>
      <c r="BM29" s="5"/>
      <c r="BN29" s="5"/>
      <c r="BO29" s="5"/>
      <c r="BP29" s="5"/>
      <c r="BQ29" s="1">
        <f>SUM(BI29:BP29)</f>
        <v>6</v>
      </c>
    </row>
    <row r="30" spans="1:69" x14ac:dyDescent="0.25">
      <c r="A30" s="29" t="s">
        <v>61</v>
      </c>
      <c r="B30" s="29"/>
      <c r="C30" s="32" t="s">
        <v>178</v>
      </c>
      <c r="D30" s="32"/>
      <c r="E30" s="32"/>
      <c r="F30" s="31" t="s">
        <v>123</v>
      </c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29">
        <f t="shared" ref="X30:X43" si="13">BQ30*30</f>
        <v>300</v>
      </c>
      <c r="Y30" s="29"/>
      <c r="Z30" s="29"/>
      <c r="AA30" s="29"/>
      <c r="AB30" s="29"/>
      <c r="AC30" s="29"/>
      <c r="AD30" s="29"/>
      <c r="AE30" s="29"/>
      <c r="AF30" s="29">
        <f t="shared" si="11"/>
        <v>150</v>
      </c>
      <c r="AG30" s="29"/>
      <c r="AH30" s="29"/>
      <c r="AI30" s="30">
        <v>60</v>
      </c>
      <c r="AJ30" s="30"/>
      <c r="AK30" s="30"/>
      <c r="AL30" s="30">
        <v>90</v>
      </c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3">
        <f t="shared" si="12"/>
        <v>150</v>
      </c>
      <c r="AY30" s="34"/>
      <c r="AZ30" s="35"/>
      <c r="BA30" s="16">
        <v>4</v>
      </c>
      <c r="BB30" s="16">
        <v>6</v>
      </c>
      <c r="BC30" s="16"/>
      <c r="BD30" s="16"/>
      <c r="BE30" s="16"/>
      <c r="BF30" s="16"/>
      <c r="BG30" s="16"/>
      <c r="BH30" s="16"/>
      <c r="BI30" s="5">
        <v>4</v>
      </c>
      <c r="BJ30" s="5">
        <v>6</v>
      </c>
      <c r="BK30" s="5"/>
      <c r="BL30" s="5"/>
      <c r="BM30" s="5"/>
      <c r="BN30" s="5"/>
      <c r="BO30" s="5"/>
      <c r="BP30" s="5"/>
      <c r="BQ30" s="1">
        <f>SUM(BQ28:BQ29)</f>
        <v>10</v>
      </c>
    </row>
    <row r="31" spans="1:69" x14ac:dyDescent="0.25">
      <c r="A31" s="29" t="s">
        <v>62</v>
      </c>
      <c r="B31" s="29"/>
      <c r="C31" s="32" t="s">
        <v>179</v>
      </c>
      <c r="D31" s="32"/>
      <c r="E31" s="32"/>
      <c r="F31" s="31" t="s">
        <v>124</v>
      </c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29">
        <f t="shared" si="13"/>
        <v>300</v>
      </c>
      <c r="Y31" s="29"/>
      <c r="Z31" s="29"/>
      <c r="AA31" s="29"/>
      <c r="AB31" s="29"/>
      <c r="AC31" s="29"/>
      <c r="AD31" s="29"/>
      <c r="AE31" s="29"/>
      <c r="AF31" s="29">
        <f t="shared" si="11"/>
        <v>150</v>
      </c>
      <c r="AG31" s="29"/>
      <c r="AH31" s="29"/>
      <c r="AI31" s="30">
        <v>60</v>
      </c>
      <c r="AJ31" s="30"/>
      <c r="AK31" s="30"/>
      <c r="AL31" s="30">
        <v>60</v>
      </c>
      <c r="AM31" s="30"/>
      <c r="AN31" s="30"/>
      <c r="AO31" s="30"/>
      <c r="AP31" s="30"/>
      <c r="AQ31" s="30"/>
      <c r="AR31" s="30">
        <v>30</v>
      </c>
      <c r="AS31" s="30"/>
      <c r="AT31" s="30"/>
      <c r="AU31" s="30"/>
      <c r="AV31" s="30"/>
      <c r="AW31" s="30"/>
      <c r="AX31" s="33">
        <f t="shared" si="12"/>
        <v>150</v>
      </c>
      <c r="AY31" s="34"/>
      <c r="AZ31" s="35"/>
      <c r="BA31" s="16">
        <v>6</v>
      </c>
      <c r="BB31" s="16">
        <v>4</v>
      </c>
      <c r="BC31" s="16"/>
      <c r="BD31" s="16"/>
      <c r="BE31" s="16"/>
      <c r="BF31" s="16"/>
      <c r="BG31" s="16"/>
      <c r="BH31" s="16"/>
      <c r="BI31" s="5">
        <v>6</v>
      </c>
      <c r="BJ31" s="5">
        <v>4</v>
      </c>
      <c r="BK31" s="5"/>
      <c r="BL31" s="5"/>
      <c r="BM31" s="5"/>
      <c r="BN31" s="5"/>
      <c r="BO31" s="5"/>
      <c r="BP31" s="5"/>
      <c r="BQ31" s="1">
        <f t="shared" ref="BQ31:BQ50" si="14">BI31+BJ31+BK31+BL31+BM31+BN31+BO31+BP31</f>
        <v>10</v>
      </c>
    </row>
    <row r="32" spans="1:69" x14ac:dyDescent="0.25">
      <c r="A32" s="29" t="s">
        <v>63</v>
      </c>
      <c r="B32" s="29"/>
      <c r="C32" s="32" t="s">
        <v>180</v>
      </c>
      <c r="D32" s="32"/>
      <c r="E32" s="32"/>
      <c r="F32" s="31" t="s">
        <v>125</v>
      </c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29">
        <f t="shared" si="13"/>
        <v>360</v>
      </c>
      <c r="Y32" s="29"/>
      <c r="Z32" s="29"/>
      <c r="AA32" s="29"/>
      <c r="AB32" s="29"/>
      <c r="AC32" s="29"/>
      <c r="AD32" s="29"/>
      <c r="AE32" s="29"/>
      <c r="AF32" s="29">
        <f t="shared" si="11"/>
        <v>150</v>
      </c>
      <c r="AG32" s="29"/>
      <c r="AH32" s="29"/>
      <c r="AI32" s="30">
        <v>60</v>
      </c>
      <c r="AJ32" s="30"/>
      <c r="AK32" s="30"/>
      <c r="AL32" s="30">
        <v>30</v>
      </c>
      <c r="AM32" s="30"/>
      <c r="AN32" s="30"/>
      <c r="AO32" s="30"/>
      <c r="AP32" s="30"/>
      <c r="AQ32" s="30"/>
      <c r="AR32" s="30">
        <v>60</v>
      </c>
      <c r="AS32" s="30"/>
      <c r="AT32" s="30"/>
      <c r="AU32" s="30">
        <v>30</v>
      </c>
      <c r="AV32" s="30"/>
      <c r="AW32" s="30"/>
      <c r="AX32" s="33">
        <f t="shared" si="12"/>
        <v>180</v>
      </c>
      <c r="AY32" s="34"/>
      <c r="AZ32" s="35"/>
      <c r="BA32" s="16">
        <v>4</v>
      </c>
      <c r="BB32" s="16">
        <v>6</v>
      </c>
      <c r="BC32" s="16"/>
      <c r="BD32" s="16"/>
      <c r="BE32" s="16"/>
      <c r="BF32" s="16"/>
      <c r="BG32" s="16"/>
      <c r="BH32" s="16"/>
      <c r="BI32" s="5">
        <v>6</v>
      </c>
      <c r="BJ32" s="5">
        <v>6</v>
      </c>
      <c r="BK32" s="5"/>
      <c r="BL32" s="5"/>
      <c r="BM32" s="5"/>
      <c r="BN32" s="5"/>
      <c r="BO32" s="5"/>
      <c r="BP32" s="5"/>
      <c r="BQ32" s="1">
        <f t="shared" si="14"/>
        <v>12</v>
      </c>
    </row>
    <row r="33" spans="1:69" x14ac:dyDescent="0.25">
      <c r="A33" s="29" t="s">
        <v>64</v>
      </c>
      <c r="B33" s="29"/>
      <c r="C33" s="32" t="s">
        <v>181</v>
      </c>
      <c r="D33" s="32"/>
      <c r="E33" s="32"/>
      <c r="F33" s="31" t="s">
        <v>126</v>
      </c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29">
        <f t="shared" si="13"/>
        <v>240</v>
      </c>
      <c r="Y33" s="29"/>
      <c r="Z33" s="29"/>
      <c r="AA33" s="29"/>
      <c r="AB33" s="29"/>
      <c r="AC33" s="29"/>
      <c r="AD33" s="29"/>
      <c r="AE33" s="29"/>
      <c r="AF33" s="29">
        <f t="shared" si="11"/>
        <v>120</v>
      </c>
      <c r="AG33" s="29"/>
      <c r="AH33" s="29"/>
      <c r="AI33" s="30"/>
      <c r="AJ33" s="30"/>
      <c r="AK33" s="30"/>
      <c r="AL33" s="30">
        <v>120</v>
      </c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3">
        <f t="shared" si="12"/>
        <v>120</v>
      </c>
      <c r="AY33" s="34"/>
      <c r="AZ33" s="35"/>
      <c r="BA33" s="16">
        <v>4</v>
      </c>
      <c r="BB33" s="16">
        <v>4</v>
      </c>
      <c r="BC33" s="16"/>
      <c r="BD33" s="16"/>
      <c r="BE33" s="16"/>
      <c r="BF33" s="16"/>
      <c r="BG33" s="16"/>
      <c r="BH33" s="16"/>
      <c r="BI33" s="5">
        <v>4</v>
      </c>
      <c r="BJ33" s="5">
        <v>4</v>
      </c>
      <c r="BK33" s="5"/>
      <c r="BL33" s="5"/>
      <c r="BM33" s="5"/>
      <c r="BN33" s="5"/>
      <c r="BO33" s="5"/>
      <c r="BP33" s="5"/>
      <c r="BQ33" s="1">
        <f t="shared" si="14"/>
        <v>8</v>
      </c>
    </row>
    <row r="34" spans="1:69" x14ac:dyDescent="0.25">
      <c r="A34" s="29" t="s">
        <v>65</v>
      </c>
      <c r="B34" s="29"/>
      <c r="C34" s="32" t="s">
        <v>80</v>
      </c>
      <c r="D34" s="32"/>
      <c r="E34" s="32"/>
      <c r="F34" s="31" t="s">
        <v>127</v>
      </c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29">
        <f t="shared" si="13"/>
        <v>120</v>
      </c>
      <c r="Y34" s="29"/>
      <c r="Z34" s="29"/>
      <c r="AA34" s="29"/>
      <c r="AB34" s="29"/>
      <c r="AC34" s="29"/>
      <c r="AD34" s="29"/>
      <c r="AE34" s="29"/>
      <c r="AF34" s="29">
        <f t="shared" si="11"/>
        <v>60</v>
      </c>
      <c r="AG34" s="29"/>
      <c r="AH34" s="29"/>
      <c r="AI34" s="30">
        <v>30</v>
      </c>
      <c r="AJ34" s="30"/>
      <c r="AK34" s="30"/>
      <c r="AL34" s="30"/>
      <c r="AM34" s="30"/>
      <c r="AN34" s="30"/>
      <c r="AO34" s="30"/>
      <c r="AP34" s="30"/>
      <c r="AQ34" s="30"/>
      <c r="AR34" s="30">
        <v>30</v>
      </c>
      <c r="AS34" s="30"/>
      <c r="AT34" s="30"/>
      <c r="AU34" s="30"/>
      <c r="AV34" s="30"/>
      <c r="AW34" s="30"/>
      <c r="AX34" s="33">
        <f t="shared" si="12"/>
        <v>60</v>
      </c>
      <c r="AY34" s="34"/>
      <c r="AZ34" s="35"/>
      <c r="BA34" s="16"/>
      <c r="BB34" s="16">
        <v>4</v>
      </c>
      <c r="BC34" s="16"/>
      <c r="BD34" s="16"/>
      <c r="BE34" s="16"/>
      <c r="BF34" s="16"/>
      <c r="BG34" s="16"/>
      <c r="BH34" s="16"/>
      <c r="BI34" s="5"/>
      <c r="BJ34" s="5">
        <v>4</v>
      </c>
      <c r="BK34" s="5"/>
      <c r="BL34" s="5"/>
      <c r="BM34" s="5"/>
      <c r="BN34" s="5"/>
      <c r="BO34" s="5"/>
      <c r="BP34" s="5"/>
      <c r="BQ34" s="1">
        <f t="shared" si="14"/>
        <v>4</v>
      </c>
    </row>
    <row r="35" spans="1:69" x14ac:dyDescent="0.25">
      <c r="A35" s="29" t="s">
        <v>66</v>
      </c>
      <c r="B35" s="29"/>
      <c r="C35" s="32" t="s">
        <v>152</v>
      </c>
      <c r="D35" s="32"/>
      <c r="E35" s="32"/>
      <c r="F35" s="31" t="s">
        <v>128</v>
      </c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29">
        <f t="shared" si="13"/>
        <v>120</v>
      </c>
      <c r="Y35" s="29"/>
      <c r="Z35" s="29"/>
      <c r="AA35" s="29"/>
      <c r="AB35" s="29"/>
      <c r="AC35" s="29"/>
      <c r="AD35" s="29"/>
      <c r="AE35" s="29"/>
      <c r="AF35" s="29">
        <f t="shared" si="11"/>
        <v>60</v>
      </c>
      <c r="AG35" s="29"/>
      <c r="AH35" s="29"/>
      <c r="AI35" s="30"/>
      <c r="AJ35" s="30"/>
      <c r="AK35" s="30"/>
      <c r="AL35" s="30">
        <v>60</v>
      </c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3">
        <f t="shared" si="12"/>
        <v>60</v>
      </c>
      <c r="AY35" s="34"/>
      <c r="AZ35" s="35"/>
      <c r="BA35" s="16"/>
      <c r="BB35" s="16">
        <v>4</v>
      </c>
      <c r="BC35" s="16"/>
      <c r="BD35" s="16"/>
      <c r="BE35" s="16"/>
      <c r="BF35" s="16"/>
      <c r="BG35" s="16"/>
      <c r="BH35" s="16"/>
      <c r="BI35" s="5"/>
      <c r="BJ35" s="5">
        <v>4</v>
      </c>
      <c r="BK35" s="5"/>
      <c r="BL35" s="5"/>
      <c r="BM35" s="5"/>
      <c r="BN35" s="5"/>
      <c r="BO35" s="5"/>
      <c r="BP35" s="5"/>
      <c r="BQ35" s="1">
        <f t="shared" si="14"/>
        <v>4</v>
      </c>
    </row>
    <row r="36" spans="1:69" x14ac:dyDescent="0.25">
      <c r="A36" s="29" t="s">
        <v>67</v>
      </c>
      <c r="B36" s="29"/>
      <c r="C36" s="32" t="s">
        <v>165</v>
      </c>
      <c r="D36" s="32"/>
      <c r="E36" s="32"/>
      <c r="F36" s="31" t="s">
        <v>164</v>
      </c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29">
        <f t="shared" si="13"/>
        <v>120</v>
      </c>
      <c r="Y36" s="29"/>
      <c r="Z36" s="29"/>
      <c r="AA36" s="29"/>
      <c r="AB36" s="29"/>
      <c r="AC36" s="29"/>
      <c r="AD36" s="29"/>
      <c r="AE36" s="29"/>
      <c r="AF36" s="29">
        <f t="shared" si="11"/>
        <v>60</v>
      </c>
      <c r="AG36" s="29"/>
      <c r="AH36" s="29"/>
      <c r="AI36" s="30">
        <v>30</v>
      </c>
      <c r="AJ36" s="30"/>
      <c r="AK36" s="30"/>
      <c r="AL36" s="30">
        <v>30</v>
      </c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3">
        <f t="shared" si="12"/>
        <v>60</v>
      </c>
      <c r="AY36" s="34"/>
      <c r="AZ36" s="35"/>
      <c r="BA36" s="16"/>
      <c r="BB36" s="16"/>
      <c r="BC36" s="16">
        <v>4</v>
      </c>
      <c r="BD36" s="16"/>
      <c r="BE36" s="16"/>
      <c r="BF36" s="16"/>
      <c r="BG36" s="16"/>
      <c r="BH36" s="16"/>
      <c r="BI36" s="5"/>
      <c r="BJ36" s="5"/>
      <c r="BK36" s="5">
        <v>4</v>
      </c>
      <c r="BL36" s="5"/>
      <c r="BM36" s="5"/>
      <c r="BN36" s="5"/>
      <c r="BO36" s="5"/>
      <c r="BP36" s="5"/>
      <c r="BQ36" s="1">
        <f t="shared" si="14"/>
        <v>4</v>
      </c>
    </row>
    <row r="37" spans="1:69" x14ac:dyDescent="0.25">
      <c r="A37" s="29" t="s">
        <v>68</v>
      </c>
      <c r="B37" s="29"/>
      <c r="C37" s="32" t="s">
        <v>153</v>
      </c>
      <c r="D37" s="32"/>
      <c r="E37" s="32"/>
      <c r="F37" s="31" t="s">
        <v>129</v>
      </c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29">
        <f t="shared" si="13"/>
        <v>180</v>
      </c>
      <c r="Y37" s="29"/>
      <c r="Z37" s="29"/>
      <c r="AA37" s="29"/>
      <c r="AB37" s="29"/>
      <c r="AC37" s="29"/>
      <c r="AD37" s="29"/>
      <c r="AE37" s="29"/>
      <c r="AF37" s="29">
        <f t="shared" si="11"/>
        <v>90</v>
      </c>
      <c r="AG37" s="29"/>
      <c r="AH37" s="29"/>
      <c r="AI37" s="30">
        <v>30</v>
      </c>
      <c r="AJ37" s="30"/>
      <c r="AK37" s="30"/>
      <c r="AL37" s="30">
        <v>30</v>
      </c>
      <c r="AM37" s="30"/>
      <c r="AN37" s="30"/>
      <c r="AO37" s="30">
        <v>30</v>
      </c>
      <c r="AP37" s="30"/>
      <c r="AQ37" s="30"/>
      <c r="AR37" s="30"/>
      <c r="AS37" s="30"/>
      <c r="AT37" s="30"/>
      <c r="AU37" s="30"/>
      <c r="AV37" s="30"/>
      <c r="AW37" s="30"/>
      <c r="AX37" s="33">
        <f t="shared" si="12"/>
        <v>90</v>
      </c>
      <c r="AY37" s="34"/>
      <c r="AZ37" s="35"/>
      <c r="BA37" s="16"/>
      <c r="BB37" s="16"/>
      <c r="BC37" s="16">
        <v>6</v>
      </c>
      <c r="BD37" s="16"/>
      <c r="BE37" s="16"/>
      <c r="BF37" s="16"/>
      <c r="BG37" s="16"/>
      <c r="BH37" s="16"/>
      <c r="BI37" s="5"/>
      <c r="BJ37" s="5"/>
      <c r="BK37" s="5">
        <v>6</v>
      </c>
      <c r="BL37" s="5"/>
      <c r="BM37" s="5"/>
      <c r="BN37" s="5"/>
      <c r="BO37" s="5"/>
      <c r="BP37" s="5"/>
      <c r="BQ37" s="1">
        <f t="shared" si="14"/>
        <v>6</v>
      </c>
    </row>
    <row r="38" spans="1:69" x14ac:dyDescent="0.25">
      <c r="A38" s="29" t="s">
        <v>69</v>
      </c>
      <c r="B38" s="29"/>
      <c r="C38" s="32" t="s">
        <v>182</v>
      </c>
      <c r="D38" s="32"/>
      <c r="E38" s="32"/>
      <c r="F38" s="31" t="s">
        <v>130</v>
      </c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29">
        <f t="shared" si="13"/>
        <v>300</v>
      </c>
      <c r="Y38" s="29"/>
      <c r="Z38" s="29"/>
      <c r="AA38" s="29"/>
      <c r="AB38" s="29"/>
      <c r="AC38" s="29"/>
      <c r="AD38" s="29"/>
      <c r="AE38" s="29"/>
      <c r="AF38" s="29">
        <f t="shared" si="11"/>
        <v>150</v>
      </c>
      <c r="AG38" s="29"/>
      <c r="AH38" s="29"/>
      <c r="AI38" s="30">
        <v>60</v>
      </c>
      <c r="AJ38" s="30"/>
      <c r="AK38" s="30"/>
      <c r="AL38" s="30">
        <v>90</v>
      </c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3">
        <f t="shared" si="12"/>
        <v>150</v>
      </c>
      <c r="AY38" s="34"/>
      <c r="AZ38" s="35"/>
      <c r="BA38" s="16"/>
      <c r="BB38" s="16"/>
      <c r="BC38" s="16">
        <v>4</v>
      </c>
      <c r="BD38" s="16">
        <v>6</v>
      </c>
      <c r="BE38" s="16"/>
      <c r="BF38" s="16"/>
      <c r="BG38" s="16"/>
      <c r="BH38" s="16"/>
      <c r="BI38" s="5"/>
      <c r="BJ38" s="5"/>
      <c r="BK38" s="5">
        <v>4</v>
      </c>
      <c r="BL38" s="5">
        <v>6</v>
      </c>
      <c r="BM38" s="5"/>
      <c r="BN38" s="5"/>
      <c r="BO38" s="5"/>
      <c r="BP38" s="5"/>
      <c r="BQ38" s="1">
        <f t="shared" si="14"/>
        <v>10</v>
      </c>
    </row>
    <row r="39" spans="1:69" x14ac:dyDescent="0.25">
      <c r="A39" s="29" t="s">
        <v>70</v>
      </c>
      <c r="B39" s="29"/>
      <c r="C39" s="32" t="s">
        <v>183</v>
      </c>
      <c r="D39" s="32"/>
      <c r="E39" s="32"/>
      <c r="F39" s="31" t="s">
        <v>131</v>
      </c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29">
        <f t="shared" si="13"/>
        <v>480</v>
      </c>
      <c r="Y39" s="29"/>
      <c r="Z39" s="29"/>
      <c r="AA39" s="29"/>
      <c r="AB39" s="29"/>
      <c r="AC39" s="29"/>
      <c r="AD39" s="29"/>
      <c r="AE39" s="29"/>
      <c r="AF39" s="29">
        <f t="shared" si="11"/>
        <v>180</v>
      </c>
      <c r="AG39" s="29"/>
      <c r="AH39" s="29"/>
      <c r="AI39" s="30">
        <v>90</v>
      </c>
      <c r="AJ39" s="30"/>
      <c r="AK39" s="30"/>
      <c r="AL39" s="30">
        <v>90</v>
      </c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3">
        <f t="shared" si="12"/>
        <v>300</v>
      </c>
      <c r="AY39" s="34"/>
      <c r="AZ39" s="35"/>
      <c r="BA39" s="16"/>
      <c r="BB39" s="16"/>
      <c r="BC39" s="16">
        <v>4</v>
      </c>
      <c r="BD39" s="16">
        <v>6</v>
      </c>
      <c r="BE39" s="16">
        <v>4</v>
      </c>
      <c r="BF39" s="16"/>
      <c r="BG39" s="16"/>
      <c r="BH39" s="16"/>
      <c r="BI39" s="5"/>
      <c r="BJ39" s="5"/>
      <c r="BK39" s="5">
        <v>4</v>
      </c>
      <c r="BL39" s="5">
        <v>6</v>
      </c>
      <c r="BM39" s="5">
        <v>6</v>
      </c>
      <c r="BN39" s="5"/>
      <c r="BO39" s="5"/>
      <c r="BP39" s="5"/>
      <c r="BQ39" s="1">
        <f t="shared" si="14"/>
        <v>16</v>
      </c>
    </row>
    <row r="40" spans="1:69" x14ac:dyDescent="0.25">
      <c r="A40" s="29" t="s">
        <v>71</v>
      </c>
      <c r="B40" s="29"/>
      <c r="C40" s="32" t="s">
        <v>184</v>
      </c>
      <c r="D40" s="32"/>
      <c r="E40" s="32"/>
      <c r="F40" s="31" t="s">
        <v>163</v>
      </c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29">
        <f t="shared" si="13"/>
        <v>180</v>
      </c>
      <c r="Y40" s="29"/>
      <c r="Z40" s="29"/>
      <c r="AA40" s="29"/>
      <c r="AB40" s="29"/>
      <c r="AC40" s="29"/>
      <c r="AD40" s="29"/>
      <c r="AE40" s="29"/>
      <c r="AF40" s="29">
        <f t="shared" si="11"/>
        <v>60</v>
      </c>
      <c r="AG40" s="29"/>
      <c r="AH40" s="29"/>
      <c r="AI40" s="30">
        <v>30</v>
      </c>
      <c r="AJ40" s="30"/>
      <c r="AK40" s="30"/>
      <c r="AL40" s="30">
        <v>30</v>
      </c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3">
        <f t="shared" si="12"/>
        <v>120</v>
      </c>
      <c r="AY40" s="34"/>
      <c r="AZ40" s="35"/>
      <c r="BA40" s="16"/>
      <c r="BB40" s="16"/>
      <c r="BC40" s="16"/>
      <c r="BD40" s="16">
        <v>6</v>
      </c>
      <c r="BE40" s="16"/>
      <c r="BF40" s="16"/>
      <c r="BG40" s="16"/>
      <c r="BH40" s="16"/>
      <c r="BI40" s="5"/>
      <c r="BJ40" s="5"/>
      <c r="BK40" s="5"/>
      <c r="BL40" s="5">
        <v>6</v>
      </c>
      <c r="BM40" s="5"/>
      <c r="BN40" s="5"/>
      <c r="BO40" s="5"/>
      <c r="BP40" s="5"/>
      <c r="BQ40" s="1">
        <f t="shared" si="14"/>
        <v>6</v>
      </c>
    </row>
    <row r="41" spans="1:69" x14ac:dyDescent="0.25">
      <c r="A41" s="29" t="s">
        <v>72</v>
      </c>
      <c r="B41" s="29"/>
      <c r="C41" s="32" t="s">
        <v>185</v>
      </c>
      <c r="D41" s="32"/>
      <c r="E41" s="32"/>
      <c r="F41" s="31" t="s">
        <v>132</v>
      </c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29">
        <f t="shared" si="13"/>
        <v>180</v>
      </c>
      <c r="Y41" s="29"/>
      <c r="Z41" s="29"/>
      <c r="AA41" s="29"/>
      <c r="AB41" s="29"/>
      <c r="AC41" s="29"/>
      <c r="AD41" s="29"/>
      <c r="AE41" s="29"/>
      <c r="AF41" s="29">
        <f t="shared" si="11"/>
        <v>90</v>
      </c>
      <c r="AG41" s="29"/>
      <c r="AH41" s="29"/>
      <c r="AI41" s="30">
        <v>30</v>
      </c>
      <c r="AJ41" s="30"/>
      <c r="AK41" s="30"/>
      <c r="AL41" s="30">
        <v>60</v>
      </c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3">
        <f t="shared" ref="AX41:AX43" si="15">X41-SUM(AI41:AW41)</f>
        <v>90</v>
      </c>
      <c r="AY41" s="34"/>
      <c r="AZ41" s="35"/>
      <c r="BA41" s="16"/>
      <c r="BB41" s="16"/>
      <c r="BC41" s="16"/>
      <c r="BD41" s="16"/>
      <c r="BE41" s="16">
        <v>6</v>
      </c>
      <c r="BF41" s="16"/>
      <c r="BG41" s="16"/>
      <c r="BH41" s="16"/>
      <c r="BI41" s="5"/>
      <c r="BJ41" s="5"/>
      <c r="BK41" s="5"/>
      <c r="BL41" s="5"/>
      <c r="BM41" s="5">
        <v>6</v>
      </c>
      <c r="BN41" s="5"/>
      <c r="BO41" s="5"/>
      <c r="BP41" s="5"/>
      <c r="BQ41" s="1">
        <f>BI41+BJ41+BK41+BL41+BM41+BN41+BO41+BP41</f>
        <v>6</v>
      </c>
    </row>
    <row r="42" spans="1:69" x14ac:dyDescent="0.25">
      <c r="A42" s="29" t="s">
        <v>73</v>
      </c>
      <c r="B42" s="29"/>
      <c r="C42" s="32" t="s">
        <v>186</v>
      </c>
      <c r="D42" s="32"/>
      <c r="E42" s="32"/>
      <c r="F42" s="31" t="s">
        <v>133</v>
      </c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29">
        <f t="shared" si="13"/>
        <v>300</v>
      </c>
      <c r="Y42" s="29"/>
      <c r="Z42" s="29"/>
      <c r="AA42" s="29"/>
      <c r="AB42" s="29"/>
      <c r="AC42" s="29"/>
      <c r="AD42" s="29"/>
      <c r="AE42" s="29"/>
      <c r="AF42" s="29">
        <f t="shared" si="11"/>
        <v>120</v>
      </c>
      <c r="AG42" s="29"/>
      <c r="AH42" s="29"/>
      <c r="AI42" s="30">
        <v>60</v>
      </c>
      <c r="AJ42" s="30"/>
      <c r="AK42" s="30"/>
      <c r="AL42" s="30">
        <v>60</v>
      </c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3">
        <f t="shared" si="15"/>
        <v>180</v>
      </c>
      <c r="AY42" s="34"/>
      <c r="AZ42" s="35"/>
      <c r="BA42" s="16"/>
      <c r="BB42" s="16"/>
      <c r="BC42" s="16"/>
      <c r="BD42" s="16"/>
      <c r="BE42" s="16">
        <v>4</v>
      </c>
      <c r="BF42" s="16">
        <v>4</v>
      </c>
      <c r="BG42" s="16"/>
      <c r="BH42" s="16"/>
      <c r="BI42" s="5"/>
      <c r="BJ42" s="5"/>
      <c r="BK42" s="5"/>
      <c r="BL42" s="5"/>
      <c r="BM42" s="5">
        <v>4</v>
      </c>
      <c r="BN42" s="5">
        <v>6</v>
      </c>
      <c r="BO42" s="5"/>
      <c r="BP42" s="5"/>
      <c r="BQ42" s="1">
        <f t="shared" si="14"/>
        <v>10</v>
      </c>
    </row>
    <row r="43" spans="1:69" x14ac:dyDescent="0.25">
      <c r="A43" s="29" t="s">
        <v>74</v>
      </c>
      <c r="B43" s="29"/>
      <c r="C43" s="32" t="s">
        <v>187</v>
      </c>
      <c r="D43" s="32"/>
      <c r="E43" s="32"/>
      <c r="F43" s="31" t="s">
        <v>134</v>
      </c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29">
        <f t="shared" si="13"/>
        <v>300</v>
      </c>
      <c r="Y43" s="29"/>
      <c r="Z43" s="29"/>
      <c r="AA43" s="29"/>
      <c r="AB43" s="29"/>
      <c r="AC43" s="29"/>
      <c r="AD43" s="29"/>
      <c r="AE43" s="29"/>
      <c r="AF43" s="29">
        <f t="shared" si="11"/>
        <v>150</v>
      </c>
      <c r="AG43" s="29"/>
      <c r="AH43" s="29"/>
      <c r="AI43" s="30">
        <v>60</v>
      </c>
      <c r="AJ43" s="30"/>
      <c r="AK43" s="30"/>
      <c r="AL43" s="30">
        <v>60</v>
      </c>
      <c r="AM43" s="30"/>
      <c r="AN43" s="30"/>
      <c r="AO43" s="30"/>
      <c r="AP43" s="30"/>
      <c r="AQ43" s="30"/>
      <c r="AR43" s="30">
        <v>30</v>
      </c>
      <c r="AS43" s="30"/>
      <c r="AT43" s="30"/>
      <c r="AU43" s="30">
        <v>30</v>
      </c>
      <c r="AV43" s="30"/>
      <c r="AW43" s="30"/>
      <c r="AX43" s="33">
        <f t="shared" si="15"/>
        <v>120</v>
      </c>
      <c r="AY43" s="34"/>
      <c r="AZ43" s="35"/>
      <c r="BA43" s="16"/>
      <c r="BB43" s="16"/>
      <c r="BC43" s="16"/>
      <c r="BD43" s="16"/>
      <c r="BE43" s="16">
        <v>4</v>
      </c>
      <c r="BF43" s="16">
        <v>6</v>
      </c>
      <c r="BG43" s="16"/>
      <c r="BH43" s="16"/>
      <c r="BI43" s="5"/>
      <c r="BJ43" s="5"/>
      <c r="BK43" s="5"/>
      <c r="BL43" s="5"/>
      <c r="BM43" s="5">
        <v>4</v>
      </c>
      <c r="BN43" s="5">
        <v>6</v>
      </c>
      <c r="BO43" s="5"/>
      <c r="BP43" s="5"/>
      <c r="BQ43" s="1">
        <f t="shared" si="14"/>
        <v>10</v>
      </c>
    </row>
    <row r="44" spans="1:69" x14ac:dyDescent="0.25">
      <c r="A44" s="29" t="s">
        <v>75</v>
      </c>
      <c r="B44" s="29"/>
      <c r="C44" s="32" t="s">
        <v>188</v>
      </c>
      <c r="D44" s="32"/>
      <c r="E44" s="32"/>
      <c r="F44" s="31" t="s">
        <v>81</v>
      </c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29">
        <f t="shared" ref="X44:X50" si="16">BQ44*30</f>
        <v>180</v>
      </c>
      <c r="Y44" s="29"/>
      <c r="Z44" s="29"/>
      <c r="AA44" s="29"/>
      <c r="AB44" s="29"/>
      <c r="AC44" s="29"/>
      <c r="AD44" s="29"/>
      <c r="AE44" s="29"/>
      <c r="AF44" s="29">
        <f t="shared" ref="AF44:AF50" si="17">SUM(AI44:AT44)</f>
        <v>90</v>
      </c>
      <c r="AG44" s="29"/>
      <c r="AH44" s="29"/>
      <c r="AI44" s="30">
        <v>30</v>
      </c>
      <c r="AJ44" s="30"/>
      <c r="AK44" s="30"/>
      <c r="AL44" s="30">
        <v>60</v>
      </c>
      <c r="AM44" s="30"/>
      <c r="AN44" s="30"/>
      <c r="AO44" s="30"/>
      <c r="AP44" s="30"/>
      <c r="AQ44" s="30"/>
      <c r="AR44" s="30"/>
      <c r="AS44" s="30"/>
      <c r="AT44" s="30"/>
      <c r="AU44" s="30">
        <v>30</v>
      </c>
      <c r="AV44" s="30"/>
      <c r="AW44" s="30"/>
      <c r="AX44" s="33">
        <f t="shared" ref="AX44:AX50" si="18">X44-SUM(AI44:AW44)</f>
        <v>60</v>
      </c>
      <c r="AY44" s="34"/>
      <c r="AZ44" s="35"/>
      <c r="BA44" s="16"/>
      <c r="BB44" s="16"/>
      <c r="BC44" s="16"/>
      <c r="BD44" s="16"/>
      <c r="BE44" s="16"/>
      <c r="BF44" s="16">
        <v>6</v>
      </c>
      <c r="BG44" s="16"/>
      <c r="BH44" s="16"/>
      <c r="BI44" s="5"/>
      <c r="BJ44" s="5"/>
      <c r="BK44" s="5"/>
      <c r="BL44" s="5"/>
      <c r="BM44" s="5"/>
      <c r="BN44" s="5">
        <v>6</v>
      </c>
      <c r="BO44" s="5"/>
      <c r="BP44" s="5"/>
      <c r="BQ44" s="1">
        <f t="shared" si="14"/>
        <v>6</v>
      </c>
    </row>
    <row r="45" spans="1:69" x14ac:dyDescent="0.25">
      <c r="A45" s="29" t="s">
        <v>76</v>
      </c>
      <c r="B45" s="29"/>
      <c r="C45" s="32" t="s">
        <v>189</v>
      </c>
      <c r="D45" s="32"/>
      <c r="E45" s="32"/>
      <c r="F45" s="31" t="s">
        <v>135</v>
      </c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29">
        <f t="shared" si="16"/>
        <v>180</v>
      </c>
      <c r="Y45" s="29"/>
      <c r="Z45" s="29"/>
      <c r="AA45" s="29"/>
      <c r="AB45" s="29"/>
      <c r="AC45" s="29"/>
      <c r="AD45" s="29"/>
      <c r="AE45" s="29"/>
      <c r="AF45" s="29">
        <f t="shared" si="17"/>
        <v>90</v>
      </c>
      <c r="AG45" s="29"/>
      <c r="AH45" s="29"/>
      <c r="AI45" s="30">
        <v>30</v>
      </c>
      <c r="AJ45" s="30"/>
      <c r="AK45" s="30"/>
      <c r="AL45" s="30">
        <v>60</v>
      </c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3">
        <f t="shared" si="18"/>
        <v>90</v>
      </c>
      <c r="AY45" s="34"/>
      <c r="AZ45" s="35"/>
      <c r="BA45" s="16"/>
      <c r="BB45" s="16"/>
      <c r="BC45" s="16"/>
      <c r="BD45" s="16"/>
      <c r="BE45" s="16"/>
      <c r="BF45" s="16"/>
      <c r="BG45" s="16">
        <v>6</v>
      </c>
      <c r="BH45" s="16"/>
      <c r="BI45" s="5"/>
      <c r="BJ45" s="5"/>
      <c r="BK45" s="5"/>
      <c r="BL45" s="5"/>
      <c r="BM45" s="5"/>
      <c r="BN45" s="5"/>
      <c r="BO45" s="5">
        <v>6</v>
      </c>
      <c r="BP45" s="5"/>
      <c r="BQ45" s="1">
        <f t="shared" si="14"/>
        <v>6</v>
      </c>
    </row>
    <row r="46" spans="1:69" x14ac:dyDescent="0.25">
      <c r="A46" s="29" t="s">
        <v>77</v>
      </c>
      <c r="B46" s="29"/>
      <c r="C46" s="32" t="s">
        <v>190</v>
      </c>
      <c r="D46" s="32"/>
      <c r="E46" s="32"/>
      <c r="F46" s="31" t="s">
        <v>136</v>
      </c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29">
        <f t="shared" si="16"/>
        <v>180</v>
      </c>
      <c r="Y46" s="29"/>
      <c r="Z46" s="29"/>
      <c r="AA46" s="29"/>
      <c r="AB46" s="29"/>
      <c r="AC46" s="29"/>
      <c r="AD46" s="29"/>
      <c r="AE46" s="29"/>
      <c r="AF46" s="29">
        <f t="shared" si="17"/>
        <v>90</v>
      </c>
      <c r="AG46" s="29"/>
      <c r="AH46" s="29"/>
      <c r="AI46" s="30">
        <v>30</v>
      </c>
      <c r="AJ46" s="30"/>
      <c r="AK46" s="30"/>
      <c r="AL46" s="30">
        <v>60</v>
      </c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3">
        <f t="shared" si="18"/>
        <v>90</v>
      </c>
      <c r="AY46" s="34"/>
      <c r="AZ46" s="35"/>
      <c r="BA46" s="16"/>
      <c r="BB46" s="16"/>
      <c r="BC46" s="16"/>
      <c r="BD46" s="16"/>
      <c r="BE46" s="16"/>
      <c r="BF46" s="16"/>
      <c r="BG46" s="16">
        <v>6</v>
      </c>
      <c r="BH46" s="16"/>
      <c r="BI46" s="5"/>
      <c r="BJ46" s="5"/>
      <c r="BK46" s="5"/>
      <c r="BL46" s="5"/>
      <c r="BM46" s="5"/>
      <c r="BN46" s="5"/>
      <c r="BO46" s="5">
        <v>6</v>
      </c>
      <c r="BP46" s="5"/>
      <c r="BQ46" s="1">
        <f t="shared" si="14"/>
        <v>6</v>
      </c>
    </row>
    <row r="47" spans="1:69" x14ac:dyDescent="0.25">
      <c r="A47" s="29" t="s">
        <v>78</v>
      </c>
      <c r="B47" s="29"/>
      <c r="C47" s="32" t="s">
        <v>191</v>
      </c>
      <c r="D47" s="32"/>
      <c r="E47" s="32"/>
      <c r="F47" s="54" t="s">
        <v>166</v>
      </c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6"/>
      <c r="X47" s="29">
        <f t="shared" si="16"/>
        <v>180</v>
      </c>
      <c r="Y47" s="29"/>
      <c r="Z47" s="29"/>
      <c r="AA47" s="29"/>
      <c r="AB47" s="29"/>
      <c r="AC47" s="29"/>
      <c r="AD47" s="29"/>
      <c r="AE47" s="29"/>
      <c r="AF47" s="29">
        <f t="shared" si="17"/>
        <v>90</v>
      </c>
      <c r="AG47" s="29"/>
      <c r="AH47" s="29"/>
      <c r="AI47" s="26">
        <v>30</v>
      </c>
      <c r="AJ47" s="27"/>
      <c r="AK47" s="28"/>
      <c r="AL47" s="26">
        <v>60</v>
      </c>
      <c r="AM47" s="27"/>
      <c r="AN47" s="28"/>
      <c r="AO47" s="26"/>
      <c r="AP47" s="27"/>
      <c r="AQ47" s="28"/>
      <c r="AR47" s="26"/>
      <c r="AS47" s="27"/>
      <c r="AT47" s="28"/>
      <c r="AU47" s="26"/>
      <c r="AV47" s="27"/>
      <c r="AW47" s="28"/>
      <c r="AX47" s="33">
        <f t="shared" si="18"/>
        <v>90</v>
      </c>
      <c r="AY47" s="34"/>
      <c r="AZ47" s="35"/>
      <c r="BA47" s="16"/>
      <c r="BB47" s="16"/>
      <c r="BC47" s="16"/>
      <c r="BD47" s="16"/>
      <c r="BE47" s="16"/>
      <c r="BF47" s="16"/>
      <c r="BG47" s="16">
        <v>6</v>
      </c>
      <c r="BH47" s="16"/>
      <c r="BI47" s="5"/>
      <c r="BJ47" s="5"/>
      <c r="BK47" s="5"/>
      <c r="BL47" s="5"/>
      <c r="BM47" s="5"/>
      <c r="BN47" s="5"/>
      <c r="BO47" s="5">
        <v>6</v>
      </c>
      <c r="BP47" s="5"/>
      <c r="BQ47" s="1">
        <f t="shared" si="14"/>
        <v>6</v>
      </c>
    </row>
    <row r="48" spans="1:69" x14ac:dyDescent="0.25">
      <c r="A48" s="33" t="s">
        <v>158</v>
      </c>
      <c r="B48" s="35"/>
      <c r="C48" s="32" t="s">
        <v>156</v>
      </c>
      <c r="D48" s="32"/>
      <c r="E48" s="32"/>
      <c r="F48" s="54" t="s">
        <v>137</v>
      </c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6"/>
      <c r="X48" s="29">
        <f t="shared" si="16"/>
        <v>120</v>
      </c>
      <c r="Y48" s="29"/>
      <c r="Z48" s="29"/>
      <c r="AA48" s="29"/>
      <c r="AB48" s="29"/>
      <c r="AC48" s="29"/>
      <c r="AD48" s="29"/>
      <c r="AE48" s="29"/>
      <c r="AF48" s="29">
        <f t="shared" si="17"/>
        <v>60</v>
      </c>
      <c r="AG48" s="29"/>
      <c r="AH48" s="29"/>
      <c r="AI48" s="26">
        <v>30</v>
      </c>
      <c r="AJ48" s="27"/>
      <c r="AK48" s="28"/>
      <c r="AL48" s="26">
        <v>30</v>
      </c>
      <c r="AM48" s="27"/>
      <c r="AN48" s="28"/>
      <c r="AO48" s="26"/>
      <c r="AP48" s="27"/>
      <c r="AQ48" s="28"/>
      <c r="AR48" s="26"/>
      <c r="AS48" s="27"/>
      <c r="AT48" s="28"/>
      <c r="AU48" s="26"/>
      <c r="AV48" s="27"/>
      <c r="AW48" s="28"/>
      <c r="AX48" s="33">
        <f t="shared" si="18"/>
        <v>60</v>
      </c>
      <c r="AY48" s="34"/>
      <c r="AZ48" s="35"/>
      <c r="BA48" s="16"/>
      <c r="BB48" s="16"/>
      <c r="BC48" s="16"/>
      <c r="BD48" s="16"/>
      <c r="BE48" s="16"/>
      <c r="BF48" s="16"/>
      <c r="BG48" s="16"/>
      <c r="BH48" s="16">
        <v>4</v>
      </c>
      <c r="BI48" s="5"/>
      <c r="BJ48" s="5"/>
      <c r="BK48" s="5"/>
      <c r="BL48" s="5"/>
      <c r="BM48" s="5"/>
      <c r="BN48" s="5"/>
      <c r="BO48" s="5"/>
      <c r="BP48" s="5">
        <v>4</v>
      </c>
      <c r="BQ48" s="1">
        <f t="shared" si="14"/>
        <v>4</v>
      </c>
    </row>
    <row r="49" spans="1:69" x14ac:dyDescent="0.25">
      <c r="A49" s="33" t="s">
        <v>159</v>
      </c>
      <c r="B49" s="35"/>
      <c r="C49" s="32" t="s">
        <v>155</v>
      </c>
      <c r="D49" s="32"/>
      <c r="E49" s="32"/>
      <c r="F49" s="54" t="s">
        <v>138</v>
      </c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6"/>
      <c r="X49" s="29">
        <f t="shared" si="16"/>
        <v>180</v>
      </c>
      <c r="Y49" s="29"/>
      <c r="Z49" s="29"/>
      <c r="AA49" s="29"/>
      <c r="AB49" s="29"/>
      <c r="AC49" s="29"/>
      <c r="AD49" s="29"/>
      <c r="AE49" s="29"/>
      <c r="AF49" s="29">
        <f t="shared" si="17"/>
        <v>90</v>
      </c>
      <c r="AG49" s="29"/>
      <c r="AH49" s="29"/>
      <c r="AI49" s="26">
        <v>30</v>
      </c>
      <c r="AJ49" s="27"/>
      <c r="AK49" s="28"/>
      <c r="AL49" s="26">
        <v>60</v>
      </c>
      <c r="AM49" s="27"/>
      <c r="AN49" s="28"/>
      <c r="AO49" s="26"/>
      <c r="AP49" s="27"/>
      <c r="AQ49" s="28"/>
      <c r="AR49" s="26"/>
      <c r="AS49" s="27"/>
      <c r="AT49" s="28"/>
      <c r="AU49" s="26"/>
      <c r="AV49" s="27"/>
      <c r="AW49" s="28"/>
      <c r="AX49" s="33">
        <f t="shared" si="18"/>
        <v>90</v>
      </c>
      <c r="AY49" s="34"/>
      <c r="AZ49" s="35"/>
      <c r="BA49" s="16"/>
      <c r="BB49" s="16"/>
      <c r="BC49" s="16"/>
      <c r="BD49" s="16"/>
      <c r="BE49" s="16"/>
      <c r="BF49" s="16"/>
      <c r="BG49" s="16"/>
      <c r="BH49" s="16">
        <v>6</v>
      </c>
      <c r="BI49" s="5"/>
      <c r="BJ49" s="5"/>
      <c r="BK49" s="5"/>
      <c r="BL49" s="5"/>
      <c r="BM49" s="5"/>
      <c r="BN49" s="5"/>
      <c r="BO49" s="5"/>
      <c r="BP49" s="5">
        <v>6</v>
      </c>
      <c r="BQ49" s="1">
        <f t="shared" si="14"/>
        <v>6</v>
      </c>
    </row>
    <row r="50" spans="1:69" x14ac:dyDescent="0.25">
      <c r="A50" s="29" t="s">
        <v>160</v>
      </c>
      <c r="B50" s="29"/>
      <c r="C50" s="32" t="s">
        <v>157</v>
      </c>
      <c r="D50" s="32"/>
      <c r="E50" s="32"/>
      <c r="F50" s="31" t="s">
        <v>139</v>
      </c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29">
        <f t="shared" si="16"/>
        <v>180</v>
      </c>
      <c r="Y50" s="29"/>
      <c r="Z50" s="29"/>
      <c r="AA50" s="29"/>
      <c r="AB50" s="29"/>
      <c r="AC50" s="29"/>
      <c r="AD50" s="29"/>
      <c r="AE50" s="29"/>
      <c r="AF50" s="29">
        <f t="shared" si="17"/>
        <v>90</v>
      </c>
      <c r="AG50" s="29"/>
      <c r="AH50" s="29"/>
      <c r="AI50" s="30">
        <v>30</v>
      </c>
      <c r="AJ50" s="30"/>
      <c r="AK50" s="30"/>
      <c r="AL50" s="30">
        <v>60</v>
      </c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3">
        <f t="shared" si="18"/>
        <v>90</v>
      </c>
      <c r="AY50" s="34"/>
      <c r="AZ50" s="35"/>
      <c r="BA50" s="16"/>
      <c r="BB50" s="16"/>
      <c r="BC50" s="16"/>
      <c r="BD50" s="16"/>
      <c r="BE50" s="16"/>
      <c r="BF50" s="16"/>
      <c r="BG50" s="16"/>
      <c r="BH50" s="16">
        <v>6</v>
      </c>
      <c r="BI50" s="5"/>
      <c r="BJ50" s="5"/>
      <c r="BK50" s="5"/>
      <c r="BL50" s="5"/>
      <c r="BM50" s="5"/>
      <c r="BN50" s="5"/>
      <c r="BO50" s="5"/>
      <c r="BP50" s="5">
        <v>6</v>
      </c>
      <c r="BQ50" s="1">
        <f t="shared" si="14"/>
        <v>6</v>
      </c>
    </row>
    <row r="51" spans="1:69" s="7" customFormat="1" x14ac:dyDescent="0.25">
      <c r="A51" s="36" t="s">
        <v>59</v>
      </c>
      <c r="B51" s="36"/>
      <c r="C51" s="36"/>
      <c r="D51" s="36"/>
      <c r="E51" s="36"/>
      <c r="F51" s="99" t="s">
        <v>60</v>
      </c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36">
        <f>SUM(X52:AA63)</f>
        <v>1020</v>
      </c>
      <c r="Y51" s="36"/>
      <c r="Z51" s="36"/>
      <c r="AA51" s="36"/>
      <c r="AB51" s="36">
        <f>X51/$X$64*100</f>
        <v>17</v>
      </c>
      <c r="AC51" s="36"/>
      <c r="AD51" s="36"/>
      <c r="AE51" s="36"/>
      <c r="AF51" s="36">
        <f>SUM(AF52:AH63)</f>
        <v>510</v>
      </c>
      <c r="AG51" s="36"/>
      <c r="AH51" s="36"/>
      <c r="AI51" s="36">
        <f>SUM(AI52:AK63)</f>
        <v>240</v>
      </c>
      <c r="AJ51" s="36"/>
      <c r="AK51" s="36"/>
      <c r="AL51" s="36">
        <f>SUM(AL52:AN63)</f>
        <v>270</v>
      </c>
      <c r="AM51" s="36"/>
      <c r="AN51" s="36"/>
      <c r="AO51" s="36">
        <f>SUM(AO52:AQ63)</f>
        <v>0</v>
      </c>
      <c r="AP51" s="36"/>
      <c r="AQ51" s="36"/>
      <c r="AR51" s="36">
        <f>SUM(AR52:AT63)</f>
        <v>0</v>
      </c>
      <c r="AS51" s="36"/>
      <c r="AT51" s="36"/>
      <c r="AU51" s="36">
        <f>SUM(AU52:AW63)</f>
        <v>0</v>
      </c>
      <c r="AV51" s="36"/>
      <c r="AW51" s="36"/>
      <c r="AX51" s="36">
        <f>SUM(AX52:AZ63)</f>
        <v>510</v>
      </c>
      <c r="AY51" s="36"/>
      <c r="AZ51" s="36"/>
      <c r="BA51" s="6">
        <f>SUM(BA52:BA63)</f>
        <v>0</v>
      </c>
      <c r="BB51" s="6">
        <f t="shared" ref="BB51:BP51" si="19">SUM(BB52:BB63)</f>
        <v>0</v>
      </c>
      <c r="BC51" s="6">
        <f t="shared" si="19"/>
        <v>6</v>
      </c>
      <c r="BD51" s="6">
        <f t="shared" si="19"/>
        <v>6</v>
      </c>
      <c r="BE51" s="6">
        <f t="shared" si="19"/>
        <v>4</v>
      </c>
      <c r="BF51" s="6">
        <f t="shared" si="19"/>
        <v>6</v>
      </c>
      <c r="BG51" s="6">
        <f t="shared" si="19"/>
        <v>6</v>
      </c>
      <c r="BH51" s="6">
        <f t="shared" si="19"/>
        <v>6</v>
      </c>
      <c r="BI51" s="6">
        <f t="shared" si="19"/>
        <v>0</v>
      </c>
      <c r="BJ51" s="6">
        <f t="shared" si="19"/>
        <v>0</v>
      </c>
      <c r="BK51" s="6">
        <f t="shared" si="19"/>
        <v>6</v>
      </c>
      <c r="BL51" s="6">
        <f t="shared" si="19"/>
        <v>6</v>
      </c>
      <c r="BM51" s="6">
        <f t="shared" si="19"/>
        <v>4</v>
      </c>
      <c r="BN51" s="6">
        <f t="shared" si="19"/>
        <v>6</v>
      </c>
      <c r="BO51" s="6">
        <f t="shared" si="19"/>
        <v>6</v>
      </c>
      <c r="BP51" s="6">
        <f t="shared" si="19"/>
        <v>6</v>
      </c>
      <c r="BQ51" s="1">
        <f>BI51+BJ51+BK51+BL51+BM51+BN51+BO51+BP51</f>
        <v>34</v>
      </c>
    </row>
    <row r="52" spans="1:69" x14ac:dyDescent="0.25">
      <c r="A52" s="37" t="s">
        <v>79</v>
      </c>
      <c r="B52" s="39"/>
      <c r="C52" s="32" t="s">
        <v>192</v>
      </c>
      <c r="D52" s="32"/>
      <c r="E52" s="32"/>
      <c r="F52" s="31" t="s">
        <v>143</v>
      </c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7">
        <f>BQ52*30</f>
        <v>360</v>
      </c>
      <c r="Y52" s="38"/>
      <c r="Z52" s="38"/>
      <c r="AA52" s="39"/>
      <c r="AB52" s="37"/>
      <c r="AC52" s="38"/>
      <c r="AD52" s="38"/>
      <c r="AE52" s="39"/>
      <c r="AF52" s="37">
        <f>SUM(AI52:AT54)</f>
        <v>180</v>
      </c>
      <c r="AG52" s="38"/>
      <c r="AH52" s="39"/>
      <c r="AI52" s="45">
        <v>90</v>
      </c>
      <c r="AJ52" s="46"/>
      <c r="AK52" s="47"/>
      <c r="AL52" s="45">
        <v>90</v>
      </c>
      <c r="AM52" s="46"/>
      <c r="AN52" s="47"/>
      <c r="AO52" s="45"/>
      <c r="AP52" s="46"/>
      <c r="AQ52" s="47"/>
      <c r="AR52" s="45"/>
      <c r="AS52" s="46"/>
      <c r="AT52" s="47"/>
      <c r="AU52" s="45"/>
      <c r="AV52" s="46"/>
      <c r="AW52" s="47"/>
      <c r="AX52" s="37">
        <f>X52-SUM(AI52:AW52)</f>
        <v>180</v>
      </c>
      <c r="AY52" s="38"/>
      <c r="AZ52" s="39"/>
      <c r="BA52" s="106"/>
      <c r="BB52" s="106"/>
      <c r="BC52" s="106">
        <v>6</v>
      </c>
      <c r="BD52" s="106">
        <v>6</v>
      </c>
      <c r="BE52" s="106"/>
      <c r="BF52" s="106"/>
      <c r="BG52" s="106"/>
      <c r="BH52" s="106"/>
      <c r="BI52" s="112"/>
      <c r="BJ52" s="112"/>
      <c r="BK52" s="112">
        <v>6</v>
      </c>
      <c r="BL52" s="112">
        <v>6</v>
      </c>
      <c r="BM52" s="112"/>
      <c r="BN52" s="112"/>
      <c r="BO52" s="112"/>
      <c r="BP52" s="112"/>
      <c r="BQ52" s="109">
        <f>SUM(BI52:BP52)</f>
        <v>12</v>
      </c>
    </row>
    <row r="53" spans="1:69" x14ac:dyDescent="0.25">
      <c r="A53" s="40"/>
      <c r="B53" s="41"/>
      <c r="C53" s="32" t="s">
        <v>193</v>
      </c>
      <c r="D53" s="32"/>
      <c r="E53" s="32"/>
      <c r="F53" s="31" t="s">
        <v>145</v>
      </c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40"/>
      <c r="Y53" s="19"/>
      <c r="Z53" s="19"/>
      <c r="AA53" s="41"/>
      <c r="AB53" s="40"/>
      <c r="AC53" s="19"/>
      <c r="AD53" s="19"/>
      <c r="AE53" s="41"/>
      <c r="AF53" s="40"/>
      <c r="AG53" s="19"/>
      <c r="AH53" s="41"/>
      <c r="AI53" s="48"/>
      <c r="AJ53" s="49"/>
      <c r="AK53" s="50"/>
      <c r="AL53" s="48"/>
      <c r="AM53" s="49"/>
      <c r="AN53" s="50"/>
      <c r="AO53" s="48"/>
      <c r="AP53" s="49"/>
      <c r="AQ53" s="50"/>
      <c r="AR53" s="48"/>
      <c r="AS53" s="49"/>
      <c r="AT53" s="50"/>
      <c r="AU53" s="48"/>
      <c r="AV53" s="49"/>
      <c r="AW53" s="50"/>
      <c r="AX53" s="40"/>
      <c r="AY53" s="19"/>
      <c r="AZ53" s="41"/>
      <c r="BA53" s="107"/>
      <c r="BB53" s="107"/>
      <c r="BC53" s="107"/>
      <c r="BD53" s="107"/>
      <c r="BE53" s="107"/>
      <c r="BF53" s="107"/>
      <c r="BG53" s="107"/>
      <c r="BH53" s="107"/>
      <c r="BI53" s="113"/>
      <c r="BJ53" s="113"/>
      <c r="BK53" s="113"/>
      <c r="BL53" s="113"/>
      <c r="BM53" s="113"/>
      <c r="BN53" s="113"/>
      <c r="BO53" s="113"/>
      <c r="BP53" s="113"/>
      <c r="BQ53" s="110"/>
    </row>
    <row r="54" spans="1:69" x14ac:dyDescent="0.25">
      <c r="A54" s="42"/>
      <c r="B54" s="44"/>
      <c r="C54" s="32" t="s">
        <v>194</v>
      </c>
      <c r="D54" s="32"/>
      <c r="E54" s="32"/>
      <c r="F54" s="31" t="s">
        <v>144</v>
      </c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42"/>
      <c r="Y54" s="43"/>
      <c r="Z54" s="43"/>
      <c r="AA54" s="44"/>
      <c r="AB54" s="42"/>
      <c r="AC54" s="43"/>
      <c r="AD54" s="43"/>
      <c r="AE54" s="44"/>
      <c r="AF54" s="42"/>
      <c r="AG54" s="43"/>
      <c r="AH54" s="44"/>
      <c r="AI54" s="51"/>
      <c r="AJ54" s="52"/>
      <c r="AK54" s="53"/>
      <c r="AL54" s="51"/>
      <c r="AM54" s="52"/>
      <c r="AN54" s="53"/>
      <c r="AO54" s="51"/>
      <c r="AP54" s="52"/>
      <c r="AQ54" s="53"/>
      <c r="AR54" s="51"/>
      <c r="AS54" s="52"/>
      <c r="AT54" s="53"/>
      <c r="AU54" s="51"/>
      <c r="AV54" s="52"/>
      <c r="AW54" s="53"/>
      <c r="AX54" s="42"/>
      <c r="AY54" s="43"/>
      <c r="AZ54" s="44"/>
      <c r="BA54" s="108"/>
      <c r="BB54" s="108"/>
      <c r="BC54" s="108"/>
      <c r="BD54" s="108"/>
      <c r="BE54" s="108"/>
      <c r="BF54" s="108"/>
      <c r="BG54" s="108"/>
      <c r="BH54" s="108"/>
      <c r="BI54" s="114"/>
      <c r="BJ54" s="114"/>
      <c r="BK54" s="114"/>
      <c r="BL54" s="114"/>
      <c r="BM54" s="114"/>
      <c r="BN54" s="114"/>
      <c r="BO54" s="114"/>
      <c r="BP54" s="114"/>
      <c r="BQ54" s="111"/>
    </row>
    <row r="55" spans="1:69" x14ac:dyDescent="0.25">
      <c r="A55" s="37" t="s">
        <v>82</v>
      </c>
      <c r="B55" s="39"/>
      <c r="C55" s="32" t="s">
        <v>195</v>
      </c>
      <c r="D55" s="32"/>
      <c r="E55" s="32"/>
      <c r="F55" s="31" t="s">
        <v>140</v>
      </c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7">
        <f t="shared" ref="X55" si="20">BQ55*30</f>
        <v>120</v>
      </c>
      <c r="Y55" s="38"/>
      <c r="Z55" s="38"/>
      <c r="AA55" s="39"/>
      <c r="AB55" s="37"/>
      <c r="AC55" s="38"/>
      <c r="AD55" s="38"/>
      <c r="AE55" s="39"/>
      <c r="AF55" s="37">
        <f t="shared" ref="AF55" si="21">SUM(AI55:AT57)</f>
        <v>60</v>
      </c>
      <c r="AG55" s="38"/>
      <c r="AH55" s="39"/>
      <c r="AI55" s="45">
        <v>30</v>
      </c>
      <c r="AJ55" s="46"/>
      <c r="AK55" s="47"/>
      <c r="AL55" s="45">
        <v>30</v>
      </c>
      <c r="AM55" s="46"/>
      <c r="AN55" s="47"/>
      <c r="AO55" s="45"/>
      <c r="AP55" s="46"/>
      <c r="AQ55" s="47"/>
      <c r="AR55" s="45"/>
      <c r="AS55" s="46"/>
      <c r="AT55" s="47"/>
      <c r="AU55" s="45"/>
      <c r="AV55" s="46"/>
      <c r="AW55" s="47"/>
      <c r="AX55" s="37">
        <f t="shared" ref="AX55" si="22">X55-SUM(AI55:AW55)</f>
        <v>60</v>
      </c>
      <c r="AY55" s="38"/>
      <c r="AZ55" s="39"/>
      <c r="BA55" s="106"/>
      <c r="BB55" s="106"/>
      <c r="BC55" s="106"/>
      <c r="BD55" s="106"/>
      <c r="BE55" s="106">
        <v>4</v>
      </c>
      <c r="BF55" s="106"/>
      <c r="BG55" s="106"/>
      <c r="BH55" s="106"/>
      <c r="BI55" s="112"/>
      <c r="BJ55" s="112"/>
      <c r="BK55" s="112"/>
      <c r="BL55" s="112"/>
      <c r="BM55" s="112">
        <v>4</v>
      </c>
      <c r="BN55" s="112"/>
      <c r="BO55" s="112"/>
      <c r="BP55" s="112"/>
      <c r="BQ55" s="109">
        <f t="shared" ref="BQ55" si="23">SUM(BI55:BP55)</f>
        <v>4</v>
      </c>
    </row>
    <row r="56" spans="1:69" x14ac:dyDescent="0.25">
      <c r="A56" s="40"/>
      <c r="B56" s="41"/>
      <c r="C56" s="32" t="s">
        <v>196</v>
      </c>
      <c r="D56" s="32"/>
      <c r="E56" s="32"/>
      <c r="F56" s="31" t="s">
        <v>141</v>
      </c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40"/>
      <c r="Y56" s="19"/>
      <c r="Z56" s="19"/>
      <c r="AA56" s="41"/>
      <c r="AB56" s="40"/>
      <c r="AC56" s="19"/>
      <c r="AD56" s="19"/>
      <c r="AE56" s="41"/>
      <c r="AF56" s="40"/>
      <c r="AG56" s="19"/>
      <c r="AH56" s="41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0"/>
      <c r="AY56" s="19"/>
      <c r="AZ56" s="41"/>
      <c r="BA56" s="107"/>
      <c r="BB56" s="107"/>
      <c r="BC56" s="107"/>
      <c r="BD56" s="107"/>
      <c r="BE56" s="107"/>
      <c r="BF56" s="107"/>
      <c r="BG56" s="107"/>
      <c r="BH56" s="107"/>
      <c r="BI56" s="113"/>
      <c r="BJ56" s="113"/>
      <c r="BK56" s="113"/>
      <c r="BL56" s="113"/>
      <c r="BM56" s="113"/>
      <c r="BN56" s="113"/>
      <c r="BO56" s="113"/>
      <c r="BP56" s="113"/>
      <c r="BQ56" s="110"/>
    </row>
    <row r="57" spans="1:69" x14ac:dyDescent="0.25">
      <c r="A57" s="42"/>
      <c r="B57" s="44"/>
      <c r="C57" s="32" t="s">
        <v>197</v>
      </c>
      <c r="D57" s="32"/>
      <c r="E57" s="32"/>
      <c r="F57" s="31" t="s">
        <v>142</v>
      </c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42"/>
      <c r="Y57" s="43"/>
      <c r="Z57" s="43"/>
      <c r="AA57" s="44"/>
      <c r="AB57" s="42"/>
      <c r="AC57" s="43"/>
      <c r="AD57" s="43"/>
      <c r="AE57" s="44"/>
      <c r="AF57" s="42"/>
      <c r="AG57" s="43"/>
      <c r="AH57" s="44"/>
      <c r="AI57" s="51"/>
      <c r="AJ57" s="52"/>
      <c r="AK57" s="53"/>
      <c r="AL57" s="51"/>
      <c r="AM57" s="52"/>
      <c r="AN57" s="53"/>
      <c r="AO57" s="51"/>
      <c r="AP57" s="52"/>
      <c r="AQ57" s="53"/>
      <c r="AR57" s="51"/>
      <c r="AS57" s="52"/>
      <c r="AT57" s="53"/>
      <c r="AU57" s="51"/>
      <c r="AV57" s="52"/>
      <c r="AW57" s="53"/>
      <c r="AX57" s="42"/>
      <c r="AY57" s="43"/>
      <c r="AZ57" s="44"/>
      <c r="BA57" s="108"/>
      <c r="BB57" s="108"/>
      <c r="BC57" s="108"/>
      <c r="BD57" s="108"/>
      <c r="BE57" s="108"/>
      <c r="BF57" s="108"/>
      <c r="BG57" s="108"/>
      <c r="BH57" s="108"/>
      <c r="BI57" s="114"/>
      <c r="BJ57" s="114"/>
      <c r="BK57" s="114"/>
      <c r="BL57" s="114"/>
      <c r="BM57" s="114"/>
      <c r="BN57" s="114"/>
      <c r="BO57" s="114"/>
      <c r="BP57" s="114"/>
      <c r="BQ57" s="111"/>
    </row>
    <row r="58" spans="1:69" x14ac:dyDescent="0.25">
      <c r="A58" s="37" t="s">
        <v>83</v>
      </c>
      <c r="B58" s="39"/>
      <c r="C58" s="32" t="s">
        <v>198</v>
      </c>
      <c r="D58" s="32"/>
      <c r="E58" s="32"/>
      <c r="F58" s="31" t="s">
        <v>148</v>
      </c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7">
        <f t="shared" ref="X58" si="24">BQ58*30</f>
        <v>360</v>
      </c>
      <c r="Y58" s="38"/>
      <c r="Z58" s="38"/>
      <c r="AA58" s="39"/>
      <c r="AB58" s="37"/>
      <c r="AC58" s="38"/>
      <c r="AD58" s="38"/>
      <c r="AE58" s="39"/>
      <c r="AF58" s="37">
        <f t="shared" ref="AF58" si="25">SUM(AI58:AT60)</f>
        <v>180</v>
      </c>
      <c r="AG58" s="38"/>
      <c r="AH58" s="39"/>
      <c r="AI58" s="45">
        <v>90</v>
      </c>
      <c r="AJ58" s="46"/>
      <c r="AK58" s="47"/>
      <c r="AL58" s="45">
        <v>90</v>
      </c>
      <c r="AM58" s="46"/>
      <c r="AN58" s="47"/>
      <c r="AO58" s="45"/>
      <c r="AP58" s="46"/>
      <c r="AQ58" s="47"/>
      <c r="AR58" s="45"/>
      <c r="AS58" s="46"/>
      <c r="AT58" s="47"/>
      <c r="AU58" s="45"/>
      <c r="AV58" s="46"/>
      <c r="AW58" s="47"/>
      <c r="AX58" s="37">
        <f t="shared" ref="AX58" si="26">X58-SUM(AI58:AW58)</f>
        <v>180</v>
      </c>
      <c r="AY58" s="38"/>
      <c r="AZ58" s="39"/>
      <c r="BA58" s="106"/>
      <c r="BB58" s="106"/>
      <c r="BC58" s="106"/>
      <c r="BD58" s="106"/>
      <c r="BE58" s="106"/>
      <c r="BF58" s="106">
        <v>6</v>
      </c>
      <c r="BG58" s="106">
        <v>6</v>
      </c>
      <c r="BH58" s="106"/>
      <c r="BI58" s="112"/>
      <c r="BJ58" s="112"/>
      <c r="BK58" s="112"/>
      <c r="BL58" s="112"/>
      <c r="BM58" s="112"/>
      <c r="BN58" s="112">
        <v>6</v>
      </c>
      <c r="BO58" s="112">
        <v>6</v>
      </c>
      <c r="BP58" s="112"/>
      <c r="BQ58" s="109">
        <f t="shared" ref="BQ58" si="27">SUM(BI58:BP58)</f>
        <v>12</v>
      </c>
    </row>
    <row r="59" spans="1:69" x14ac:dyDescent="0.25">
      <c r="A59" s="40"/>
      <c r="B59" s="41"/>
      <c r="C59" s="32" t="s">
        <v>199</v>
      </c>
      <c r="D59" s="32"/>
      <c r="E59" s="32"/>
      <c r="F59" s="31" t="s">
        <v>149</v>
      </c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40"/>
      <c r="Y59" s="19"/>
      <c r="Z59" s="19"/>
      <c r="AA59" s="41"/>
      <c r="AB59" s="40"/>
      <c r="AC59" s="19"/>
      <c r="AD59" s="19"/>
      <c r="AE59" s="41"/>
      <c r="AF59" s="40"/>
      <c r="AG59" s="19"/>
      <c r="AH59" s="41"/>
      <c r="AI59" s="48"/>
      <c r="AJ59" s="49"/>
      <c r="AK59" s="50"/>
      <c r="AL59" s="48"/>
      <c r="AM59" s="49"/>
      <c r="AN59" s="50"/>
      <c r="AO59" s="48"/>
      <c r="AP59" s="49"/>
      <c r="AQ59" s="50"/>
      <c r="AR59" s="48"/>
      <c r="AS59" s="49"/>
      <c r="AT59" s="50"/>
      <c r="AU59" s="48"/>
      <c r="AV59" s="49"/>
      <c r="AW59" s="50"/>
      <c r="AX59" s="40"/>
      <c r="AY59" s="19"/>
      <c r="AZ59" s="41"/>
      <c r="BA59" s="107"/>
      <c r="BB59" s="107"/>
      <c r="BC59" s="107"/>
      <c r="BD59" s="107"/>
      <c r="BE59" s="107"/>
      <c r="BF59" s="107"/>
      <c r="BG59" s="107"/>
      <c r="BH59" s="107"/>
      <c r="BI59" s="113"/>
      <c r="BJ59" s="113"/>
      <c r="BK59" s="113"/>
      <c r="BL59" s="113"/>
      <c r="BM59" s="113"/>
      <c r="BN59" s="113"/>
      <c r="BO59" s="113"/>
      <c r="BP59" s="113"/>
      <c r="BQ59" s="110"/>
    </row>
    <row r="60" spans="1:69" x14ac:dyDescent="0.25">
      <c r="A60" s="42"/>
      <c r="B60" s="44"/>
      <c r="C60" s="32" t="s">
        <v>200</v>
      </c>
      <c r="D60" s="32"/>
      <c r="E60" s="32"/>
      <c r="F60" s="100" t="s">
        <v>150</v>
      </c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42"/>
      <c r="Y60" s="43"/>
      <c r="Z60" s="43"/>
      <c r="AA60" s="44"/>
      <c r="AB60" s="42"/>
      <c r="AC60" s="43"/>
      <c r="AD60" s="43"/>
      <c r="AE60" s="44"/>
      <c r="AF60" s="42"/>
      <c r="AG60" s="43"/>
      <c r="AH60" s="44"/>
      <c r="AI60" s="51"/>
      <c r="AJ60" s="52"/>
      <c r="AK60" s="53"/>
      <c r="AL60" s="51"/>
      <c r="AM60" s="52"/>
      <c r="AN60" s="53"/>
      <c r="AO60" s="51"/>
      <c r="AP60" s="52"/>
      <c r="AQ60" s="53"/>
      <c r="AR60" s="51"/>
      <c r="AS60" s="52"/>
      <c r="AT60" s="53"/>
      <c r="AU60" s="51"/>
      <c r="AV60" s="52"/>
      <c r="AW60" s="53"/>
      <c r="AX60" s="42"/>
      <c r="AY60" s="43"/>
      <c r="AZ60" s="44"/>
      <c r="BA60" s="108"/>
      <c r="BB60" s="108"/>
      <c r="BC60" s="108"/>
      <c r="BD60" s="108"/>
      <c r="BE60" s="108"/>
      <c r="BF60" s="108"/>
      <c r="BG60" s="108"/>
      <c r="BH60" s="108"/>
      <c r="BI60" s="114"/>
      <c r="BJ60" s="114"/>
      <c r="BK60" s="114"/>
      <c r="BL60" s="114"/>
      <c r="BM60" s="114"/>
      <c r="BN60" s="114"/>
      <c r="BO60" s="114"/>
      <c r="BP60" s="114"/>
      <c r="BQ60" s="111"/>
    </row>
    <row r="61" spans="1:69" x14ac:dyDescent="0.25">
      <c r="A61" s="37" t="s">
        <v>84</v>
      </c>
      <c r="B61" s="39"/>
      <c r="C61" s="32" t="s">
        <v>201</v>
      </c>
      <c r="D61" s="32"/>
      <c r="E61" s="32"/>
      <c r="F61" s="31" t="s">
        <v>146</v>
      </c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7">
        <f t="shared" ref="X61" si="28">BQ61*30</f>
        <v>180</v>
      </c>
      <c r="Y61" s="38"/>
      <c r="Z61" s="38"/>
      <c r="AA61" s="39"/>
      <c r="AB61" s="37"/>
      <c r="AC61" s="38"/>
      <c r="AD61" s="38"/>
      <c r="AE61" s="39"/>
      <c r="AF61" s="37">
        <f t="shared" ref="AF61" si="29">SUM(AI61:AT63)</f>
        <v>90</v>
      </c>
      <c r="AG61" s="38"/>
      <c r="AH61" s="39"/>
      <c r="AI61" s="45">
        <v>30</v>
      </c>
      <c r="AJ61" s="46"/>
      <c r="AK61" s="47"/>
      <c r="AL61" s="45">
        <v>60</v>
      </c>
      <c r="AM61" s="46"/>
      <c r="AN61" s="47"/>
      <c r="AO61" s="45"/>
      <c r="AP61" s="46"/>
      <c r="AQ61" s="47"/>
      <c r="AR61" s="45"/>
      <c r="AS61" s="46"/>
      <c r="AT61" s="47"/>
      <c r="AU61" s="45"/>
      <c r="AV61" s="46"/>
      <c r="AW61" s="47"/>
      <c r="AX61" s="37">
        <f t="shared" ref="AX61" si="30">X61-SUM(AI61:AW61)</f>
        <v>90</v>
      </c>
      <c r="AY61" s="38"/>
      <c r="AZ61" s="39"/>
      <c r="BA61" s="106"/>
      <c r="BB61" s="106"/>
      <c r="BC61" s="106"/>
      <c r="BD61" s="106"/>
      <c r="BE61" s="106"/>
      <c r="BF61" s="106"/>
      <c r="BG61" s="106"/>
      <c r="BH61" s="106">
        <v>6</v>
      </c>
      <c r="BI61" s="112"/>
      <c r="BJ61" s="112"/>
      <c r="BK61" s="112"/>
      <c r="BL61" s="112"/>
      <c r="BM61" s="112"/>
      <c r="BN61" s="112"/>
      <c r="BO61" s="112"/>
      <c r="BP61" s="112">
        <v>6</v>
      </c>
      <c r="BQ61" s="109">
        <f t="shared" ref="BQ61" si="31">SUM(BI61:BP61)</f>
        <v>6</v>
      </c>
    </row>
    <row r="62" spans="1:69" x14ac:dyDescent="0.25">
      <c r="A62" s="40"/>
      <c r="B62" s="41"/>
      <c r="C62" s="32" t="s">
        <v>202</v>
      </c>
      <c r="D62" s="32"/>
      <c r="E62" s="32"/>
      <c r="F62" s="31" t="s">
        <v>167</v>
      </c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40"/>
      <c r="Y62" s="19"/>
      <c r="Z62" s="19"/>
      <c r="AA62" s="41"/>
      <c r="AB62" s="40"/>
      <c r="AC62" s="19"/>
      <c r="AD62" s="19"/>
      <c r="AE62" s="41"/>
      <c r="AF62" s="40"/>
      <c r="AG62" s="19"/>
      <c r="AH62" s="41"/>
      <c r="AI62" s="48"/>
      <c r="AJ62" s="49"/>
      <c r="AK62" s="50"/>
      <c r="AL62" s="48"/>
      <c r="AM62" s="49"/>
      <c r="AN62" s="50"/>
      <c r="AO62" s="48"/>
      <c r="AP62" s="49"/>
      <c r="AQ62" s="50"/>
      <c r="AR62" s="48"/>
      <c r="AS62" s="49"/>
      <c r="AT62" s="50"/>
      <c r="AU62" s="48"/>
      <c r="AV62" s="49"/>
      <c r="AW62" s="50"/>
      <c r="AX62" s="40"/>
      <c r="AY62" s="19"/>
      <c r="AZ62" s="41"/>
      <c r="BA62" s="107"/>
      <c r="BB62" s="107"/>
      <c r="BC62" s="107"/>
      <c r="BD62" s="107"/>
      <c r="BE62" s="107"/>
      <c r="BF62" s="107"/>
      <c r="BG62" s="107"/>
      <c r="BH62" s="107"/>
      <c r="BI62" s="113"/>
      <c r="BJ62" s="113"/>
      <c r="BK62" s="113"/>
      <c r="BL62" s="113"/>
      <c r="BM62" s="113"/>
      <c r="BN62" s="113"/>
      <c r="BO62" s="113"/>
      <c r="BP62" s="113"/>
      <c r="BQ62" s="110"/>
    </row>
    <row r="63" spans="1:69" x14ac:dyDescent="0.25">
      <c r="A63" s="42"/>
      <c r="B63" s="44"/>
      <c r="C63" s="32" t="s">
        <v>203</v>
      </c>
      <c r="D63" s="32"/>
      <c r="E63" s="32"/>
      <c r="F63" s="31" t="s">
        <v>147</v>
      </c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42"/>
      <c r="Y63" s="43"/>
      <c r="Z63" s="43"/>
      <c r="AA63" s="44"/>
      <c r="AB63" s="42"/>
      <c r="AC63" s="43"/>
      <c r="AD63" s="43"/>
      <c r="AE63" s="44"/>
      <c r="AF63" s="42"/>
      <c r="AG63" s="43"/>
      <c r="AH63" s="44"/>
      <c r="AI63" s="51"/>
      <c r="AJ63" s="52"/>
      <c r="AK63" s="53"/>
      <c r="AL63" s="51"/>
      <c r="AM63" s="52"/>
      <c r="AN63" s="53"/>
      <c r="AO63" s="51"/>
      <c r="AP63" s="52"/>
      <c r="AQ63" s="53"/>
      <c r="AR63" s="51"/>
      <c r="AS63" s="52"/>
      <c r="AT63" s="53"/>
      <c r="AU63" s="51"/>
      <c r="AV63" s="52"/>
      <c r="AW63" s="53"/>
      <c r="AX63" s="42"/>
      <c r="AY63" s="43"/>
      <c r="AZ63" s="44"/>
      <c r="BA63" s="108"/>
      <c r="BB63" s="108"/>
      <c r="BC63" s="108"/>
      <c r="BD63" s="108"/>
      <c r="BE63" s="108"/>
      <c r="BF63" s="108"/>
      <c r="BG63" s="108"/>
      <c r="BH63" s="108"/>
      <c r="BI63" s="114"/>
      <c r="BJ63" s="114"/>
      <c r="BK63" s="114"/>
      <c r="BL63" s="114"/>
      <c r="BM63" s="114"/>
      <c r="BN63" s="114"/>
      <c r="BO63" s="114"/>
      <c r="BP63" s="114"/>
      <c r="BQ63" s="111"/>
    </row>
    <row r="64" spans="1:69" s="7" customFormat="1" x14ac:dyDescent="0.25">
      <c r="A64" s="36"/>
      <c r="B64" s="36"/>
      <c r="C64" s="36"/>
      <c r="D64" s="36"/>
      <c r="E64" s="36"/>
      <c r="F64" s="101" t="s">
        <v>12</v>
      </c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36">
        <f>X27+X51</f>
        <v>6000</v>
      </c>
      <c r="Y64" s="36"/>
      <c r="Z64" s="36"/>
      <c r="AA64" s="36"/>
      <c r="AB64" s="36">
        <v>100</v>
      </c>
      <c r="AC64" s="36"/>
      <c r="AD64" s="36"/>
      <c r="AE64" s="36"/>
      <c r="AF64" s="36">
        <f>AF51+AF27</f>
        <v>2850</v>
      </c>
      <c r="AG64" s="36"/>
      <c r="AH64" s="36"/>
      <c r="AI64" s="36">
        <f>AI51+AI27</f>
        <v>1110</v>
      </c>
      <c r="AJ64" s="36"/>
      <c r="AK64" s="36"/>
      <c r="AL64" s="36">
        <f>AL51+AL27</f>
        <v>1530</v>
      </c>
      <c r="AM64" s="36"/>
      <c r="AN64" s="36"/>
      <c r="AO64" s="36">
        <f>AO51+AO27</f>
        <v>30</v>
      </c>
      <c r="AP64" s="36"/>
      <c r="AQ64" s="36"/>
      <c r="AR64" s="36">
        <f>AR51+AR27</f>
        <v>180</v>
      </c>
      <c r="AS64" s="36"/>
      <c r="AT64" s="36"/>
      <c r="AU64" s="36">
        <f>AU51+AU27</f>
        <v>90</v>
      </c>
      <c r="AV64" s="36"/>
      <c r="AW64" s="36"/>
      <c r="AX64" s="36">
        <f>AX51+AX27</f>
        <v>3060</v>
      </c>
      <c r="AY64" s="36"/>
      <c r="AZ64" s="36"/>
      <c r="BA64" s="6">
        <f t="shared" ref="BA64:BH64" si="32">BA27+BA51</f>
        <v>28</v>
      </c>
      <c r="BB64" s="6">
        <f t="shared" si="32"/>
        <v>28</v>
      </c>
      <c r="BC64" s="6">
        <f t="shared" si="32"/>
        <v>24</v>
      </c>
      <c r="BD64" s="6">
        <f t="shared" si="32"/>
        <v>24</v>
      </c>
      <c r="BE64" s="6">
        <f t="shared" si="32"/>
        <v>22</v>
      </c>
      <c r="BF64" s="6">
        <f t="shared" si="32"/>
        <v>22</v>
      </c>
      <c r="BG64" s="6">
        <f t="shared" si="32"/>
        <v>24</v>
      </c>
      <c r="BH64" s="6">
        <f t="shared" si="32"/>
        <v>22</v>
      </c>
      <c r="BI64" s="6">
        <f t="shared" ref="BI64:BP64" si="33">BI51+BI27</f>
        <v>30</v>
      </c>
      <c r="BJ64" s="6">
        <f t="shared" si="33"/>
        <v>28</v>
      </c>
      <c r="BK64" s="6">
        <f t="shared" si="33"/>
        <v>24</v>
      </c>
      <c r="BL64" s="6">
        <f t="shared" si="33"/>
        <v>24</v>
      </c>
      <c r="BM64" s="6">
        <f t="shared" si="33"/>
        <v>24</v>
      </c>
      <c r="BN64" s="6">
        <f t="shared" si="33"/>
        <v>24</v>
      </c>
      <c r="BO64" s="6">
        <f t="shared" si="33"/>
        <v>24</v>
      </c>
      <c r="BP64" s="6">
        <f t="shared" si="33"/>
        <v>22</v>
      </c>
      <c r="BQ64" s="6">
        <f>SUM(BI64:BP64)</f>
        <v>200</v>
      </c>
    </row>
    <row r="65" spans="1:69" x14ac:dyDescent="0.25">
      <c r="A65" s="29"/>
      <c r="B65" s="29"/>
      <c r="C65" s="102"/>
      <c r="D65" s="102"/>
      <c r="E65" s="102"/>
      <c r="F65" s="103" t="s">
        <v>95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29">
        <f>BQ65*30</f>
        <v>1140</v>
      </c>
      <c r="Y65" s="29"/>
      <c r="Z65" s="29"/>
      <c r="AA65" s="29"/>
      <c r="AB65" s="29"/>
      <c r="AC65" s="29"/>
      <c r="AD65" s="29"/>
      <c r="AE65" s="29"/>
      <c r="AF65" s="104"/>
      <c r="AG65" s="104"/>
      <c r="AH65" s="104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1"/>
      <c r="BB65" s="1"/>
      <c r="BC65" s="1"/>
      <c r="BD65" s="1"/>
      <c r="BE65" s="1"/>
      <c r="BF65" s="1"/>
      <c r="BG65" s="1"/>
      <c r="BH65" s="1"/>
      <c r="BI65" s="5"/>
      <c r="BJ65" s="5">
        <v>2</v>
      </c>
      <c r="BK65" s="5">
        <v>6</v>
      </c>
      <c r="BL65" s="5">
        <v>6</v>
      </c>
      <c r="BM65" s="5">
        <v>6</v>
      </c>
      <c r="BN65" s="5">
        <v>6</v>
      </c>
      <c r="BO65" s="5">
        <v>6</v>
      </c>
      <c r="BP65" s="5">
        <v>6</v>
      </c>
      <c r="BQ65" s="1">
        <f>SUM(BJ65:BP65)</f>
        <v>38</v>
      </c>
    </row>
    <row r="66" spans="1:69" x14ac:dyDescent="0.25">
      <c r="A66" s="29"/>
      <c r="B66" s="29"/>
      <c r="C66" s="102"/>
      <c r="D66" s="102"/>
      <c r="E66" s="102"/>
      <c r="F66" s="103" t="s">
        <v>19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29">
        <f>BQ66*30</f>
        <v>60</v>
      </c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1"/>
      <c r="BB66" s="1"/>
      <c r="BC66" s="1"/>
      <c r="BD66" s="1"/>
      <c r="BE66" s="1"/>
      <c r="BF66" s="1"/>
      <c r="BG66" s="1"/>
      <c r="BH66" s="1"/>
      <c r="BI66" s="5"/>
      <c r="BJ66" s="5"/>
      <c r="BK66" s="5"/>
      <c r="BL66" s="5"/>
      <c r="BM66" s="5"/>
      <c r="BN66" s="5"/>
      <c r="BO66" s="5"/>
      <c r="BP66" s="5">
        <v>2</v>
      </c>
      <c r="BQ66" s="1">
        <f t="shared" ref="BQ66" si="34">SUM(BJ66:BP66)</f>
        <v>2</v>
      </c>
    </row>
    <row r="67" spans="1:69" x14ac:dyDescent="0.25">
      <c r="A67" s="29"/>
      <c r="B67" s="29"/>
      <c r="C67" s="102"/>
      <c r="D67" s="102"/>
      <c r="E67" s="102"/>
      <c r="F67" s="105" t="s">
        <v>12</v>
      </c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29">
        <f>SUM(X65:AA66)</f>
        <v>1200</v>
      </c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1"/>
      <c r="BB67" s="1"/>
      <c r="BC67" s="1"/>
      <c r="BD67" s="1"/>
      <c r="BE67" s="1"/>
      <c r="BF67" s="1"/>
      <c r="BG67" s="1"/>
      <c r="BH67" s="1"/>
      <c r="BI67" s="1"/>
      <c r="BJ67" s="1">
        <f>SUM(BJ65:BJ66)</f>
        <v>2</v>
      </c>
      <c r="BK67" s="1">
        <f t="shared" ref="BK67:BP67" si="35">SUM(BK65:BK66)</f>
        <v>6</v>
      </c>
      <c r="BL67" s="1">
        <f t="shared" si="35"/>
        <v>6</v>
      </c>
      <c r="BM67" s="1">
        <f t="shared" si="35"/>
        <v>6</v>
      </c>
      <c r="BN67" s="1">
        <f t="shared" si="35"/>
        <v>6</v>
      </c>
      <c r="BO67" s="1">
        <f t="shared" si="35"/>
        <v>6</v>
      </c>
      <c r="BP67" s="1">
        <f t="shared" si="35"/>
        <v>8</v>
      </c>
      <c r="BQ67" s="1">
        <f>SUM(BI67:BP67)</f>
        <v>40</v>
      </c>
    </row>
    <row r="68" spans="1:69" s="7" customFormat="1" x14ac:dyDescent="0.25">
      <c r="A68" s="36"/>
      <c r="B68" s="36"/>
      <c r="C68" s="36"/>
      <c r="D68" s="36"/>
      <c r="E68" s="36"/>
      <c r="F68" s="101" t="s">
        <v>85</v>
      </c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36">
        <f>X67+X64</f>
        <v>7200</v>
      </c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6">
        <f>BA64+BA65</f>
        <v>28</v>
      </c>
      <c r="BB68" s="6">
        <f t="shared" ref="BB68:BH68" si="36">BB64+BB65</f>
        <v>28</v>
      </c>
      <c r="BC68" s="6">
        <f t="shared" si="36"/>
        <v>24</v>
      </c>
      <c r="BD68" s="6">
        <f t="shared" si="36"/>
        <v>24</v>
      </c>
      <c r="BE68" s="6">
        <f t="shared" si="36"/>
        <v>22</v>
      </c>
      <c r="BF68" s="6">
        <f t="shared" si="36"/>
        <v>22</v>
      </c>
      <c r="BG68" s="6">
        <f t="shared" si="36"/>
        <v>24</v>
      </c>
      <c r="BH68" s="6">
        <f t="shared" si="36"/>
        <v>22</v>
      </c>
      <c r="BI68" s="6">
        <f>BI64+BI67</f>
        <v>30</v>
      </c>
      <c r="BJ68" s="6">
        <f t="shared" ref="BJ68:BP68" si="37">BJ64+BJ67</f>
        <v>30</v>
      </c>
      <c r="BK68" s="6">
        <f t="shared" si="37"/>
        <v>30</v>
      </c>
      <c r="BL68" s="6">
        <f t="shared" si="37"/>
        <v>30</v>
      </c>
      <c r="BM68" s="6">
        <f t="shared" si="37"/>
        <v>30</v>
      </c>
      <c r="BN68" s="6">
        <f t="shared" si="37"/>
        <v>30</v>
      </c>
      <c r="BO68" s="6">
        <f t="shared" si="37"/>
        <v>30</v>
      </c>
      <c r="BP68" s="6">
        <f t="shared" si="37"/>
        <v>30</v>
      </c>
      <c r="BQ68" s="6">
        <f>SUM(BI68:BP68)</f>
        <v>240</v>
      </c>
    </row>
    <row r="69" spans="1:69" x14ac:dyDescent="0.25">
      <c r="X69" s="17"/>
      <c r="Y69" s="17"/>
      <c r="Z69" s="17"/>
      <c r="AA69" s="17"/>
    </row>
    <row r="70" spans="1:69" x14ac:dyDescent="0.25">
      <c r="B70" s="2" t="s">
        <v>86</v>
      </c>
    </row>
    <row r="71" spans="1:69" x14ac:dyDescent="0.25">
      <c r="B71" s="3" t="s">
        <v>87</v>
      </c>
    </row>
    <row r="72" spans="1:69" x14ac:dyDescent="0.25">
      <c r="B72" s="3" t="s">
        <v>88</v>
      </c>
    </row>
    <row r="73" spans="1:69" x14ac:dyDescent="0.25">
      <c r="B73" s="3" t="s">
        <v>89</v>
      </c>
    </row>
    <row r="74" spans="1:69" x14ac:dyDescent="0.25">
      <c r="B74" s="3" t="s">
        <v>90</v>
      </c>
    </row>
    <row r="75" spans="1:69" x14ac:dyDescent="0.25">
      <c r="B75" s="3" t="s">
        <v>91</v>
      </c>
    </row>
    <row r="76" spans="1:69" x14ac:dyDescent="0.25">
      <c r="B76" s="3" t="s">
        <v>92</v>
      </c>
    </row>
    <row r="77" spans="1:69" x14ac:dyDescent="0.25">
      <c r="B77" s="2" t="s">
        <v>93</v>
      </c>
    </row>
    <row r="79" spans="1:69" x14ac:dyDescent="0.25">
      <c r="S79" s="66" t="s">
        <v>94</v>
      </c>
      <c r="T79" s="66"/>
      <c r="U79" s="66"/>
      <c r="V79" s="66"/>
      <c r="W79" s="66"/>
      <c r="X79" s="66"/>
      <c r="Y79" s="66"/>
      <c r="Z79" s="66"/>
      <c r="AA79" s="66"/>
      <c r="AB79" s="67" t="s">
        <v>99</v>
      </c>
      <c r="AC79" s="67"/>
      <c r="AD79" s="67"/>
      <c r="AE79" s="67"/>
      <c r="AF79" s="67"/>
      <c r="AG79" s="68" t="s">
        <v>100</v>
      </c>
      <c r="AH79" s="68"/>
      <c r="AI79" s="68"/>
      <c r="AJ79" s="68"/>
      <c r="AK79" s="69" t="s">
        <v>102</v>
      </c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  <c r="AW79" s="70"/>
      <c r="AX79" s="70"/>
      <c r="AY79" s="71"/>
    </row>
    <row r="80" spans="1:69" x14ac:dyDescent="0.25">
      <c r="B80" s="19" t="s">
        <v>233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S80" s="74" t="s">
        <v>17</v>
      </c>
      <c r="T80" s="74"/>
      <c r="U80" s="74"/>
      <c r="V80" s="74"/>
      <c r="W80" s="74"/>
      <c r="X80" s="74"/>
      <c r="Y80" s="74"/>
      <c r="Z80" s="74"/>
      <c r="AA80" s="74"/>
      <c r="AB80" s="64">
        <f>BD12</f>
        <v>92</v>
      </c>
      <c r="AC80" s="64"/>
      <c r="AD80" s="64"/>
      <c r="AE80" s="64"/>
      <c r="AF80" s="64"/>
      <c r="AG80" s="65" t="s">
        <v>117</v>
      </c>
      <c r="AH80" s="65"/>
      <c r="AI80" s="65"/>
      <c r="AJ80" s="65"/>
      <c r="AK80" s="75" t="s">
        <v>101</v>
      </c>
      <c r="AL80" s="76"/>
      <c r="AM80" s="76"/>
      <c r="AN80" s="76"/>
      <c r="AO80" s="76"/>
      <c r="AP80" s="76"/>
      <c r="AQ80" s="76"/>
      <c r="AR80" s="76"/>
      <c r="AS80" s="76"/>
      <c r="AT80" s="76"/>
      <c r="AU80" s="76"/>
      <c r="AV80" s="76"/>
      <c r="AW80" s="76"/>
      <c r="AX80" s="76"/>
      <c r="AY80" s="77"/>
    </row>
    <row r="81" spans="2:51" x14ac:dyDescent="0.25"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S81" s="74" t="s">
        <v>95</v>
      </c>
      <c r="T81" s="74"/>
      <c r="U81" s="74"/>
      <c r="V81" s="74"/>
      <c r="W81" s="74"/>
      <c r="X81" s="74"/>
      <c r="Y81" s="74"/>
      <c r="Z81" s="74"/>
      <c r="AA81" s="74"/>
      <c r="AB81" s="64">
        <f>BF12</f>
        <v>16</v>
      </c>
      <c r="AC81" s="64"/>
      <c r="AD81" s="64"/>
      <c r="AE81" s="64"/>
      <c r="AF81" s="64"/>
      <c r="AG81" s="65" t="s">
        <v>118</v>
      </c>
      <c r="AH81" s="65"/>
      <c r="AI81" s="65"/>
      <c r="AJ81" s="65"/>
      <c r="AK81" s="78"/>
      <c r="AL81" s="79"/>
      <c r="AM81" s="79"/>
      <c r="AN81" s="79"/>
      <c r="AO81" s="79"/>
      <c r="AP81" s="79"/>
      <c r="AQ81" s="79"/>
      <c r="AR81" s="79"/>
      <c r="AS81" s="79"/>
      <c r="AT81" s="79"/>
      <c r="AU81" s="79"/>
      <c r="AV81" s="79"/>
      <c r="AW81" s="79"/>
      <c r="AX81" s="79"/>
      <c r="AY81" s="80"/>
    </row>
    <row r="82" spans="2:51" x14ac:dyDescent="0.25">
      <c r="B82" s="19" t="s">
        <v>234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S82" s="84" t="s">
        <v>18</v>
      </c>
      <c r="T82" s="84"/>
      <c r="U82" s="84"/>
      <c r="V82" s="84"/>
      <c r="W82" s="84"/>
      <c r="X82" s="84"/>
      <c r="Y82" s="84"/>
      <c r="Z82" s="84"/>
      <c r="AA82" s="84"/>
      <c r="AB82" s="64">
        <f>BJ12</f>
        <v>30</v>
      </c>
      <c r="AC82" s="64"/>
      <c r="AD82" s="64"/>
      <c r="AE82" s="64"/>
      <c r="AF82" s="64"/>
      <c r="AG82" s="65" t="s">
        <v>117</v>
      </c>
      <c r="AH82" s="65"/>
      <c r="AI82" s="65"/>
      <c r="AJ82" s="65"/>
      <c r="AK82" s="78"/>
      <c r="AL82" s="79"/>
      <c r="AM82" s="79"/>
      <c r="AN82" s="79"/>
      <c r="AO82" s="79"/>
      <c r="AP82" s="79"/>
      <c r="AQ82" s="79"/>
      <c r="AR82" s="79"/>
      <c r="AS82" s="79"/>
      <c r="AT82" s="79"/>
      <c r="AU82" s="79"/>
      <c r="AV82" s="79"/>
      <c r="AW82" s="79"/>
      <c r="AX82" s="79"/>
      <c r="AY82" s="80"/>
    </row>
    <row r="83" spans="2:51" x14ac:dyDescent="0.25"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S83" s="84" t="s">
        <v>98</v>
      </c>
      <c r="T83" s="84"/>
      <c r="U83" s="84"/>
      <c r="V83" s="84"/>
      <c r="W83" s="84"/>
      <c r="X83" s="84"/>
      <c r="Y83" s="84"/>
      <c r="Z83" s="84"/>
      <c r="AA83" s="84"/>
      <c r="AB83" s="64">
        <f>BL12</f>
        <v>4</v>
      </c>
      <c r="AC83" s="64"/>
      <c r="AD83" s="64"/>
      <c r="AE83" s="64"/>
      <c r="AF83" s="64"/>
      <c r="AG83" s="65" t="s">
        <v>119</v>
      </c>
      <c r="AH83" s="65"/>
      <c r="AI83" s="65"/>
      <c r="AJ83" s="65"/>
      <c r="AK83" s="78"/>
      <c r="AL83" s="79"/>
      <c r="AM83" s="79"/>
      <c r="AN83" s="79"/>
      <c r="AO83" s="79"/>
      <c r="AP83" s="79"/>
      <c r="AQ83" s="79"/>
      <c r="AR83" s="79"/>
      <c r="AS83" s="79"/>
      <c r="AT83" s="79"/>
      <c r="AU83" s="79"/>
      <c r="AV83" s="79"/>
      <c r="AW83" s="79"/>
      <c r="AX83" s="79"/>
      <c r="AY83" s="80"/>
    </row>
    <row r="84" spans="2:51" x14ac:dyDescent="0.25">
      <c r="B84" s="19" t="s">
        <v>235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S84" s="84" t="s">
        <v>96</v>
      </c>
      <c r="T84" s="84"/>
      <c r="U84" s="84"/>
      <c r="V84" s="84"/>
      <c r="W84" s="84"/>
      <c r="X84" s="84"/>
      <c r="Y84" s="84"/>
      <c r="Z84" s="84"/>
      <c r="AA84" s="84"/>
      <c r="AB84" s="64">
        <f>BN12</f>
        <v>57</v>
      </c>
      <c r="AC84" s="64"/>
      <c r="AD84" s="64"/>
      <c r="AE84" s="64"/>
      <c r="AF84" s="64"/>
      <c r="AG84" s="65" t="s">
        <v>117</v>
      </c>
      <c r="AH84" s="65"/>
      <c r="AI84" s="65"/>
      <c r="AJ84" s="65"/>
      <c r="AK84" s="78"/>
      <c r="AL84" s="79"/>
      <c r="AM84" s="79"/>
      <c r="AN84" s="79"/>
      <c r="AO84" s="79"/>
      <c r="AP84" s="79"/>
      <c r="AQ84" s="79"/>
      <c r="AR84" s="79"/>
      <c r="AS84" s="79"/>
      <c r="AT84" s="79"/>
      <c r="AU84" s="79"/>
      <c r="AV84" s="79"/>
      <c r="AW84" s="79"/>
      <c r="AX84" s="79"/>
      <c r="AY84" s="80"/>
    </row>
    <row r="85" spans="2:51" x14ac:dyDescent="0.25"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S85" s="84" t="s">
        <v>97</v>
      </c>
      <c r="T85" s="84"/>
      <c r="U85" s="84"/>
      <c r="V85" s="84"/>
      <c r="W85" s="84"/>
      <c r="X85" s="84"/>
      <c r="Y85" s="84"/>
      <c r="Z85" s="84"/>
      <c r="AA85" s="84"/>
      <c r="AB85" s="64">
        <f>BH12</f>
        <v>5</v>
      </c>
      <c r="AC85" s="64"/>
      <c r="AD85" s="64"/>
      <c r="AE85" s="64"/>
      <c r="AF85" s="64"/>
      <c r="AG85" s="65" t="s">
        <v>120</v>
      </c>
      <c r="AH85" s="65"/>
      <c r="AI85" s="65"/>
      <c r="AJ85" s="65"/>
      <c r="AK85" s="81"/>
      <c r="AL85" s="82"/>
      <c r="AM85" s="82"/>
      <c r="AN85" s="82"/>
      <c r="AO85" s="82"/>
      <c r="AP85" s="82"/>
      <c r="AQ85" s="82"/>
      <c r="AR85" s="82"/>
      <c r="AS85" s="82"/>
      <c r="AT85" s="82"/>
      <c r="AU85" s="82"/>
      <c r="AV85" s="82"/>
      <c r="AW85" s="82"/>
      <c r="AX85" s="82"/>
      <c r="AY85" s="83"/>
    </row>
    <row r="86" spans="2:51" x14ac:dyDescent="0.25">
      <c r="S86" s="62" t="s">
        <v>12</v>
      </c>
      <c r="T86" s="62"/>
      <c r="U86" s="62"/>
      <c r="V86" s="62"/>
      <c r="W86" s="62"/>
      <c r="X86" s="62"/>
      <c r="Y86" s="62"/>
      <c r="Z86" s="62"/>
      <c r="AA86" s="62"/>
      <c r="AB86" s="63">
        <f>SUM(AB80:AF85)</f>
        <v>204</v>
      </c>
      <c r="AC86" s="63"/>
      <c r="AD86" s="63"/>
      <c r="AE86" s="63"/>
      <c r="AF86" s="63"/>
      <c r="AG86" s="3"/>
      <c r="AH86" s="3"/>
      <c r="AI86" s="3"/>
      <c r="AJ86" s="3"/>
    </row>
    <row r="88" spans="2:51" x14ac:dyDescent="0.25">
      <c r="D88" s="2" t="s">
        <v>103</v>
      </c>
      <c r="W88" s="2" t="s">
        <v>107</v>
      </c>
    </row>
    <row r="90" spans="2:51" x14ac:dyDescent="0.25">
      <c r="D90" s="2" t="s">
        <v>104</v>
      </c>
      <c r="W90" s="2" t="s">
        <v>107</v>
      </c>
    </row>
    <row r="92" spans="2:51" x14ac:dyDescent="0.25">
      <c r="D92" s="2" t="s">
        <v>105</v>
      </c>
      <c r="W92" s="2" t="s">
        <v>107</v>
      </c>
    </row>
    <row r="95" spans="2:51" x14ac:dyDescent="0.25">
      <c r="D95" s="4" t="s">
        <v>106</v>
      </c>
    </row>
    <row r="97" spans="4:29" ht="15.75" customHeight="1" x14ac:dyDescent="0.25">
      <c r="D97" s="25" t="s">
        <v>168</v>
      </c>
      <c r="E97" s="25"/>
      <c r="F97" s="25"/>
      <c r="G97" s="25"/>
      <c r="H97" s="25"/>
      <c r="I97" s="25"/>
      <c r="J97" s="25"/>
      <c r="K97" s="25"/>
    </row>
    <row r="98" spans="4:29" x14ac:dyDescent="0.25">
      <c r="D98" s="25"/>
      <c r="E98" s="25"/>
      <c r="F98" s="25"/>
      <c r="G98" s="25"/>
      <c r="H98" s="25"/>
      <c r="I98" s="25"/>
      <c r="J98" s="25"/>
      <c r="K98" s="25"/>
      <c r="W98" s="2" t="s">
        <v>107</v>
      </c>
    </row>
    <row r="102" spans="4:29" x14ac:dyDescent="0.25">
      <c r="I102" s="22"/>
      <c r="J102" s="22"/>
      <c r="K102" s="22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</row>
    <row r="103" spans="4:29" x14ac:dyDescent="0.25">
      <c r="I103" s="22"/>
      <c r="J103" s="22"/>
      <c r="K103" s="22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</row>
    <row r="104" spans="4:29" x14ac:dyDescent="0.25">
      <c r="I104" s="22"/>
      <c r="J104" s="22"/>
      <c r="K104" s="22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</row>
  </sheetData>
  <sheetProtection formatCells="0" formatColumns="0" formatRows="0" insertColumns="0" insertRows="0" insertHyperlinks="0" deleteColumns="0" deleteRows="0" selectLockedCells="1" sort="0" autoFilter="0" pivotTables="0"/>
  <mergeCells count="662">
    <mergeCell ref="L14:M15"/>
    <mergeCell ref="N14:T15"/>
    <mergeCell ref="BM52:BM54"/>
    <mergeCell ref="BM55:BM57"/>
    <mergeCell ref="BM58:BM60"/>
    <mergeCell ref="BM61:BM63"/>
    <mergeCell ref="BG52:BG54"/>
    <mergeCell ref="BG55:BG57"/>
    <mergeCell ref="BG58:BG60"/>
    <mergeCell ref="BG61:BG63"/>
    <mergeCell ref="BH52:BH54"/>
    <mergeCell ref="BH55:BH57"/>
    <mergeCell ref="BH58:BH60"/>
    <mergeCell ref="BH61:BH63"/>
    <mergeCell ref="BI52:BI54"/>
    <mergeCell ref="BI55:BI57"/>
    <mergeCell ref="BI58:BI60"/>
    <mergeCell ref="BI61:BI63"/>
    <mergeCell ref="BD52:BD54"/>
    <mergeCell ref="BD55:BD57"/>
    <mergeCell ref="BD58:BD60"/>
    <mergeCell ref="BD61:BD63"/>
    <mergeCell ref="BE52:BE54"/>
    <mergeCell ref="BE55:BE57"/>
    <mergeCell ref="BN52:BN54"/>
    <mergeCell ref="BN55:BN57"/>
    <mergeCell ref="BN58:BN60"/>
    <mergeCell ref="BN61:BN63"/>
    <mergeCell ref="BJ52:BJ54"/>
    <mergeCell ref="BJ55:BJ57"/>
    <mergeCell ref="BJ58:BJ60"/>
    <mergeCell ref="BJ61:BJ63"/>
    <mergeCell ref="BK52:BK54"/>
    <mergeCell ref="BK55:BK57"/>
    <mergeCell ref="BK58:BK60"/>
    <mergeCell ref="BK61:BK63"/>
    <mergeCell ref="BL52:BL54"/>
    <mergeCell ref="BL55:BL57"/>
    <mergeCell ref="BL58:BL60"/>
    <mergeCell ref="BL61:BL63"/>
    <mergeCell ref="BQ52:BQ54"/>
    <mergeCell ref="BQ55:BQ57"/>
    <mergeCell ref="BQ58:BQ60"/>
    <mergeCell ref="BQ61:BQ63"/>
    <mergeCell ref="BO52:BO54"/>
    <mergeCell ref="BO55:BO57"/>
    <mergeCell ref="BO58:BO60"/>
    <mergeCell ref="BO61:BO63"/>
    <mergeCell ref="BP52:BP54"/>
    <mergeCell ref="BP55:BP57"/>
    <mergeCell ref="BP58:BP60"/>
    <mergeCell ref="BP61:BP63"/>
    <mergeCell ref="BE58:BE60"/>
    <mergeCell ref="BE61:BE63"/>
    <mergeCell ref="BF52:BF54"/>
    <mergeCell ref="BF55:BF57"/>
    <mergeCell ref="BF58:BF60"/>
    <mergeCell ref="BF61:BF63"/>
    <mergeCell ref="BA61:BA63"/>
    <mergeCell ref="BA58:BA60"/>
    <mergeCell ref="BA55:BA57"/>
    <mergeCell ref="BA52:BA54"/>
    <mergeCell ref="BB52:BB54"/>
    <mergeCell ref="BB55:BB57"/>
    <mergeCell ref="BB58:BB60"/>
    <mergeCell ref="BB61:BB63"/>
    <mergeCell ref="BC52:BC54"/>
    <mergeCell ref="BC55:BC57"/>
    <mergeCell ref="BC58:BC60"/>
    <mergeCell ref="BC61:BC63"/>
    <mergeCell ref="AR61:AT63"/>
    <mergeCell ref="AU61:AW63"/>
    <mergeCell ref="AX61:AZ63"/>
    <mergeCell ref="AX55:AZ57"/>
    <mergeCell ref="AU55:AW57"/>
    <mergeCell ref="AR55:AT57"/>
    <mergeCell ref="AO55:AQ57"/>
    <mergeCell ref="AL55:AN57"/>
    <mergeCell ref="AX52:AZ54"/>
    <mergeCell ref="AU52:AW54"/>
    <mergeCell ref="AR52:AT54"/>
    <mergeCell ref="AO52:AQ54"/>
    <mergeCell ref="AL52:AN54"/>
    <mergeCell ref="AR58:AT60"/>
    <mergeCell ref="AR67:AT67"/>
    <mergeCell ref="AU67:AW67"/>
    <mergeCell ref="AX67:AZ67"/>
    <mergeCell ref="A67:B67"/>
    <mergeCell ref="C67:E67"/>
    <mergeCell ref="F67:W67"/>
    <mergeCell ref="X67:AA67"/>
    <mergeCell ref="AB67:AE67"/>
    <mergeCell ref="AF67:AH67"/>
    <mergeCell ref="AI67:AK67"/>
    <mergeCell ref="AL67:AN67"/>
    <mergeCell ref="AO67:AQ67"/>
    <mergeCell ref="AR66:AT66"/>
    <mergeCell ref="AU66:AW66"/>
    <mergeCell ref="AX66:AZ66"/>
    <mergeCell ref="A66:B66"/>
    <mergeCell ref="C66:E66"/>
    <mergeCell ref="F66:W66"/>
    <mergeCell ref="X66:AA66"/>
    <mergeCell ref="AB66:AE66"/>
    <mergeCell ref="AF66:AH66"/>
    <mergeCell ref="AI66:AK66"/>
    <mergeCell ref="AL66:AN66"/>
    <mergeCell ref="AO66:AQ66"/>
    <mergeCell ref="AR65:AT65"/>
    <mergeCell ref="AU65:AW65"/>
    <mergeCell ref="AX65:AZ65"/>
    <mergeCell ref="A65:B65"/>
    <mergeCell ref="C65:E65"/>
    <mergeCell ref="F65:W65"/>
    <mergeCell ref="X65:AA65"/>
    <mergeCell ref="AB65:AE65"/>
    <mergeCell ref="AF65:AH65"/>
    <mergeCell ref="AI65:AK65"/>
    <mergeCell ref="AL65:AN65"/>
    <mergeCell ref="AO65:AQ65"/>
    <mergeCell ref="AI68:AK68"/>
    <mergeCell ref="AL68:AN68"/>
    <mergeCell ref="AO68:AQ68"/>
    <mergeCell ref="AR68:AT68"/>
    <mergeCell ref="AU68:AW68"/>
    <mergeCell ref="AX68:AZ68"/>
    <mergeCell ref="A68:B68"/>
    <mergeCell ref="C68:E68"/>
    <mergeCell ref="F68:W68"/>
    <mergeCell ref="X68:AA68"/>
    <mergeCell ref="AB68:AE68"/>
    <mergeCell ref="AF68:AH68"/>
    <mergeCell ref="AB61:AE63"/>
    <mergeCell ref="AB58:AE60"/>
    <mergeCell ref="AB55:AE57"/>
    <mergeCell ref="AI64:AK64"/>
    <mergeCell ref="AL64:AN64"/>
    <mergeCell ref="AO64:AQ64"/>
    <mergeCell ref="AI61:AK63"/>
    <mergeCell ref="AF61:AH63"/>
    <mergeCell ref="AI58:AK60"/>
    <mergeCell ref="AF58:AH60"/>
    <mergeCell ref="AI55:AK57"/>
    <mergeCell ref="AF55:AH57"/>
    <mergeCell ref="AO61:AQ63"/>
    <mergeCell ref="AO58:AQ60"/>
    <mergeCell ref="AL61:AN63"/>
    <mergeCell ref="AL58:AN60"/>
    <mergeCell ref="AR64:AT64"/>
    <mergeCell ref="AU64:AW64"/>
    <mergeCell ref="AX64:AZ64"/>
    <mergeCell ref="A64:B64"/>
    <mergeCell ref="C64:E64"/>
    <mergeCell ref="F64:W64"/>
    <mergeCell ref="X64:AA64"/>
    <mergeCell ref="AB64:AE64"/>
    <mergeCell ref="AF64:AH64"/>
    <mergeCell ref="A61:B63"/>
    <mergeCell ref="A58:B60"/>
    <mergeCell ref="A55:B57"/>
    <mergeCell ref="X61:AA63"/>
    <mergeCell ref="X58:AA60"/>
    <mergeCell ref="X55:AA57"/>
    <mergeCell ref="C63:E63"/>
    <mergeCell ref="F63:W63"/>
    <mergeCell ref="C62:E62"/>
    <mergeCell ref="F62:W62"/>
    <mergeCell ref="C61:E61"/>
    <mergeCell ref="F61:W61"/>
    <mergeCell ref="C60:E60"/>
    <mergeCell ref="F60:W60"/>
    <mergeCell ref="C59:E59"/>
    <mergeCell ref="F59:W59"/>
    <mergeCell ref="C58:E58"/>
    <mergeCell ref="C56:E56"/>
    <mergeCell ref="F56:W56"/>
    <mergeCell ref="C55:E55"/>
    <mergeCell ref="F55:W55"/>
    <mergeCell ref="A51:B51"/>
    <mergeCell ref="C51:E51"/>
    <mergeCell ref="F51:W51"/>
    <mergeCell ref="X51:AA51"/>
    <mergeCell ref="AB51:AE51"/>
    <mergeCell ref="AI52:AK54"/>
    <mergeCell ref="AF52:AH54"/>
    <mergeCell ref="C54:E54"/>
    <mergeCell ref="F54:W54"/>
    <mergeCell ref="C53:E53"/>
    <mergeCell ref="F53:W53"/>
    <mergeCell ref="C52:E52"/>
    <mergeCell ref="F52:W52"/>
    <mergeCell ref="AF51:AH51"/>
    <mergeCell ref="AI51:AK51"/>
    <mergeCell ref="A52:B54"/>
    <mergeCell ref="AB52:AE54"/>
    <mergeCell ref="X52:AA54"/>
    <mergeCell ref="A50:B50"/>
    <mergeCell ref="C50:E50"/>
    <mergeCell ref="F50:W50"/>
    <mergeCell ref="X50:AA50"/>
    <mergeCell ref="AB50:AE50"/>
    <mergeCell ref="AF50:AH50"/>
    <mergeCell ref="AI50:AK50"/>
    <mergeCell ref="AL50:AN50"/>
    <mergeCell ref="AO50:AQ50"/>
    <mergeCell ref="A45:B45"/>
    <mergeCell ref="C45:E45"/>
    <mergeCell ref="F45:W45"/>
    <mergeCell ref="X45:AA45"/>
    <mergeCell ref="AB45:AE45"/>
    <mergeCell ref="AX45:AZ45"/>
    <mergeCell ref="A46:B46"/>
    <mergeCell ref="C46:E46"/>
    <mergeCell ref="F46:W46"/>
    <mergeCell ref="X46:AA46"/>
    <mergeCell ref="AB46:AE46"/>
    <mergeCell ref="AF46:AH46"/>
    <mergeCell ref="AI46:AK46"/>
    <mergeCell ref="AL46:AN46"/>
    <mergeCell ref="AO46:AQ46"/>
    <mergeCell ref="AF45:AH45"/>
    <mergeCell ref="AI45:AK45"/>
    <mergeCell ref="AL45:AN45"/>
    <mergeCell ref="AO45:AQ45"/>
    <mergeCell ref="AR45:AT45"/>
    <mergeCell ref="AU45:AW45"/>
    <mergeCell ref="AR46:AT46"/>
    <mergeCell ref="AU46:AW46"/>
    <mergeCell ref="AX46:AZ46"/>
    <mergeCell ref="AR43:AT43"/>
    <mergeCell ref="AU43:AW43"/>
    <mergeCell ref="AX43:AZ43"/>
    <mergeCell ref="A44:B44"/>
    <mergeCell ref="C44:E44"/>
    <mergeCell ref="F44:W44"/>
    <mergeCell ref="X44:AA44"/>
    <mergeCell ref="AB44:AE44"/>
    <mergeCell ref="AF44:AH44"/>
    <mergeCell ref="AI44:AK44"/>
    <mergeCell ref="AL44:AN44"/>
    <mergeCell ref="AO44:AQ44"/>
    <mergeCell ref="AR44:AT44"/>
    <mergeCell ref="AU44:AW44"/>
    <mergeCell ref="AX44:AZ44"/>
    <mergeCell ref="A43:B43"/>
    <mergeCell ref="C43:E43"/>
    <mergeCell ref="F43:W43"/>
    <mergeCell ref="X43:AA43"/>
    <mergeCell ref="AB43:AE43"/>
    <mergeCell ref="AF43:AH43"/>
    <mergeCell ref="AI43:AK43"/>
    <mergeCell ref="AL43:AN43"/>
    <mergeCell ref="AO43:AQ43"/>
    <mergeCell ref="AR41:AT41"/>
    <mergeCell ref="AU41:AW41"/>
    <mergeCell ref="AX41:AZ41"/>
    <mergeCell ref="A42:B42"/>
    <mergeCell ref="C42:E42"/>
    <mergeCell ref="F42:W42"/>
    <mergeCell ref="X42:AA42"/>
    <mergeCell ref="AB42:AE42"/>
    <mergeCell ref="AX42:AZ42"/>
    <mergeCell ref="AF42:AH42"/>
    <mergeCell ref="AI42:AK42"/>
    <mergeCell ref="AL42:AN42"/>
    <mergeCell ref="AO42:AQ42"/>
    <mergeCell ref="AR42:AT42"/>
    <mergeCell ref="AU42:AW42"/>
    <mergeCell ref="A41:B41"/>
    <mergeCell ref="C41:E41"/>
    <mergeCell ref="F41:W41"/>
    <mergeCell ref="X41:AA41"/>
    <mergeCell ref="AB41:AE41"/>
    <mergeCell ref="AF41:AH41"/>
    <mergeCell ref="AI41:AK41"/>
    <mergeCell ref="AL41:AN41"/>
    <mergeCell ref="AO41:AQ41"/>
    <mergeCell ref="A39:B39"/>
    <mergeCell ref="C39:E39"/>
    <mergeCell ref="F39:W39"/>
    <mergeCell ref="X39:AA39"/>
    <mergeCell ref="AB39:AE39"/>
    <mergeCell ref="AX39:AZ39"/>
    <mergeCell ref="A40:B40"/>
    <mergeCell ref="C40:E40"/>
    <mergeCell ref="F40:W40"/>
    <mergeCell ref="X40:AA40"/>
    <mergeCell ref="AB40:AE40"/>
    <mergeCell ref="AF40:AH40"/>
    <mergeCell ref="AI40:AK40"/>
    <mergeCell ref="AL40:AN40"/>
    <mergeCell ref="AO40:AQ40"/>
    <mergeCell ref="AF39:AH39"/>
    <mergeCell ref="AI39:AK39"/>
    <mergeCell ref="AL39:AN39"/>
    <mergeCell ref="AO39:AQ39"/>
    <mergeCell ref="AR39:AT39"/>
    <mergeCell ref="AU39:AW39"/>
    <mergeCell ref="AR40:AT40"/>
    <mergeCell ref="AU40:AW40"/>
    <mergeCell ref="AX40:AZ40"/>
    <mergeCell ref="AR37:AT37"/>
    <mergeCell ref="AU37:AW37"/>
    <mergeCell ref="AX37:AZ37"/>
    <mergeCell ref="A38:B38"/>
    <mergeCell ref="C38:E38"/>
    <mergeCell ref="F38:W38"/>
    <mergeCell ref="X38:AA38"/>
    <mergeCell ref="AB38:AE38"/>
    <mergeCell ref="AF38:AH38"/>
    <mergeCell ref="AI38:AK38"/>
    <mergeCell ref="AL38:AN38"/>
    <mergeCell ref="AO38:AQ38"/>
    <mergeCell ref="AR38:AT38"/>
    <mergeCell ref="AU38:AW38"/>
    <mergeCell ref="AX38:AZ38"/>
    <mergeCell ref="A37:B37"/>
    <mergeCell ref="C37:E37"/>
    <mergeCell ref="F37:W37"/>
    <mergeCell ref="X37:AA37"/>
    <mergeCell ref="AB37:AE37"/>
    <mergeCell ref="AF37:AH37"/>
    <mergeCell ref="AI37:AK37"/>
    <mergeCell ref="AL37:AN37"/>
    <mergeCell ref="AO37:AQ37"/>
    <mergeCell ref="AR35:AT35"/>
    <mergeCell ref="AU35:AW35"/>
    <mergeCell ref="AX35:AZ35"/>
    <mergeCell ref="A36:B36"/>
    <mergeCell ref="C36:E36"/>
    <mergeCell ref="F36:W36"/>
    <mergeCell ref="X36:AA36"/>
    <mergeCell ref="AB36:AE36"/>
    <mergeCell ref="AX36:AZ36"/>
    <mergeCell ref="AF36:AH36"/>
    <mergeCell ref="AI36:AK36"/>
    <mergeCell ref="AL36:AN36"/>
    <mergeCell ref="AO36:AQ36"/>
    <mergeCell ref="AR36:AT36"/>
    <mergeCell ref="AU36:AW36"/>
    <mergeCell ref="A35:B35"/>
    <mergeCell ref="C35:E35"/>
    <mergeCell ref="F35:W35"/>
    <mergeCell ref="X35:AA35"/>
    <mergeCell ref="AB35:AE35"/>
    <mergeCell ref="AF35:AH35"/>
    <mergeCell ref="AI35:AK35"/>
    <mergeCell ref="AL35:AN35"/>
    <mergeCell ref="AO35:AQ35"/>
    <mergeCell ref="A33:B33"/>
    <mergeCell ref="C33:E33"/>
    <mergeCell ref="F33:W33"/>
    <mergeCell ref="X33:AA33"/>
    <mergeCell ref="AB33:AE33"/>
    <mergeCell ref="AX33:AZ33"/>
    <mergeCell ref="A34:B34"/>
    <mergeCell ref="C34:E34"/>
    <mergeCell ref="F34:W34"/>
    <mergeCell ref="X34:AA34"/>
    <mergeCell ref="AB34:AE34"/>
    <mergeCell ref="AF34:AH34"/>
    <mergeCell ref="AI34:AK34"/>
    <mergeCell ref="AL34:AN34"/>
    <mergeCell ref="AO34:AQ34"/>
    <mergeCell ref="AF33:AH33"/>
    <mergeCell ref="AI33:AK33"/>
    <mergeCell ref="AL33:AN33"/>
    <mergeCell ref="AO33:AQ33"/>
    <mergeCell ref="AR33:AT33"/>
    <mergeCell ref="AU33:AW33"/>
    <mergeCell ref="AR34:AT34"/>
    <mergeCell ref="AU34:AW34"/>
    <mergeCell ref="AX34:AZ34"/>
    <mergeCell ref="AR31:AT31"/>
    <mergeCell ref="AU31:AW31"/>
    <mergeCell ref="AX31:AZ31"/>
    <mergeCell ref="A32:B32"/>
    <mergeCell ref="C32:E32"/>
    <mergeCell ref="F32:W32"/>
    <mergeCell ref="X32:AA32"/>
    <mergeCell ref="AB32:AE32"/>
    <mergeCell ref="AF32:AH32"/>
    <mergeCell ref="AI32:AK32"/>
    <mergeCell ref="AL32:AN32"/>
    <mergeCell ref="AO32:AQ32"/>
    <mergeCell ref="AR32:AT32"/>
    <mergeCell ref="AU32:AW32"/>
    <mergeCell ref="AX32:AZ32"/>
    <mergeCell ref="A31:B31"/>
    <mergeCell ref="C31:E31"/>
    <mergeCell ref="F31:W31"/>
    <mergeCell ref="X31:AA31"/>
    <mergeCell ref="AB31:AE31"/>
    <mergeCell ref="AF31:AH31"/>
    <mergeCell ref="AI31:AK31"/>
    <mergeCell ref="AL31:AN31"/>
    <mergeCell ref="AO31:AQ31"/>
    <mergeCell ref="AR29:AT29"/>
    <mergeCell ref="AU29:AW29"/>
    <mergeCell ref="AX29:AZ29"/>
    <mergeCell ref="A30:B30"/>
    <mergeCell ref="C30:E30"/>
    <mergeCell ref="F30:W30"/>
    <mergeCell ref="X30:AA30"/>
    <mergeCell ref="AB30:AE30"/>
    <mergeCell ref="AX30:AZ30"/>
    <mergeCell ref="AF30:AH30"/>
    <mergeCell ref="AI30:AK30"/>
    <mergeCell ref="AL30:AN30"/>
    <mergeCell ref="AO30:AQ30"/>
    <mergeCell ref="AR30:AT30"/>
    <mergeCell ref="AU30:AW30"/>
    <mergeCell ref="AR27:AT27"/>
    <mergeCell ref="AU27:AW27"/>
    <mergeCell ref="AX27:AZ27"/>
    <mergeCell ref="A29:B29"/>
    <mergeCell ref="C29:E29"/>
    <mergeCell ref="F29:W29"/>
    <mergeCell ref="X29:AA29"/>
    <mergeCell ref="AB29:AE29"/>
    <mergeCell ref="AF29:AH29"/>
    <mergeCell ref="AI29:AK29"/>
    <mergeCell ref="X27:AA27"/>
    <mergeCell ref="AB27:AE27"/>
    <mergeCell ref="AF27:AH27"/>
    <mergeCell ref="AI27:AK27"/>
    <mergeCell ref="AL27:AN27"/>
    <mergeCell ref="AO27:AQ27"/>
    <mergeCell ref="AI28:AK28"/>
    <mergeCell ref="AL28:AN28"/>
    <mergeCell ref="AO28:AQ28"/>
    <mergeCell ref="AR28:AT28"/>
    <mergeCell ref="AU28:AW28"/>
    <mergeCell ref="AX28:AZ28"/>
    <mergeCell ref="AL29:AN29"/>
    <mergeCell ref="AO29:AQ29"/>
    <mergeCell ref="BQ18:BQ24"/>
    <mergeCell ref="BA19:BB19"/>
    <mergeCell ref="BA20:BH20"/>
    <mergeCell ref="BI20:BP20"/>
    <mergeCell ref="BO21:BP21"/>
    <mergeCell ref="BM21:BN21"/>
    <mergeCell ref="BK21:BL21"/>
    <mergeCell ref="BI21:BJ21"/>
    <mergeCell ref="BG21:BH21"/>
    <mergeCell ref="BE21:BF21"/>
    <mergeCell ref="BC21:BD21"/>
    <mergeCell ref="AL20:AN25"/>
    <mergeCell ref="AO20:AQ25"/>
    <mergeCell ref="AR20:AT25"/>
    <mergeCell ref="AU20:AW25"/>
    <mergeCell ref="BI18:BP18"/>
    <mergeCell ref="BA18:BH18"/>
    <mergeCell ref="BO19:BP19"/>
    <mergeCell ref="BM19:BN19"/>
    <mergeCell ref="BK19:BL19"/>
    <mergeCell ref="BI19:BJ19"/>
    <mergeCell ref="BG19:BH19"/>
    <mergeCell ref="BE19:BF19"/>
    <mergeCell ref="BC19:BD19"/>
    <mergeCell ref="BA21:BB21"/>
    <mergeCell ref="BA22:BH22"/>
    <mergeCell ref="BI22:BP22"/>
    <mergeCell ref="BA24:BH24"/>
    <mergeCell ref="BI24:BP24"/>
    <mergeCell ref="F18:W25"/>
    <mergeCell ref="X18:AZ18"/>
    <mergeCell ref="A26:B26"/>
    <mergeCell ref="C26:E26"/>
    <mergeCell ref="F26:W26"/>
    <mergeCell ref="X26:AA26"/>
    <mergeCell ref="AB26:AE26"/>
    <mergeCell ref="AF26:AH26"/>
    <mergeCell ref="A28:B28"/>
    <mergeCell ref="C28:E28"/>
    <mergeCell ref="F28:W28"/>
    <mergeCell ref="X28:AA28"/>
    <mergeCell ref="AB28:AE28"/>
    <mergeCell ref="AF28:AH28"/>
    <mergeCell ref="A27:B27"/>
    <mergeCell ref="C27:E27"/>
    <mergeCell ref="F27:W27"/>
    <mergeCell ref="X25:AA25"/>
    <mergeCell ref="AB25:AE25"/>
    <mergeCell ref="AX19:AZ25"/>
    <mergeCell ref="X19:AE24"/>
    <mergeCell ref="AF19:AW19"/>
    <mergeCell ref="AF20:AH25"/>
    <mergeCell ref="AI20:AK25"/>
    <mergeCell ref="BD12:BE12"/>
    <mergeCell ref="BB12:BC12"/>
    <mergeCell ref="BD1:BQ1"/>
    <mergeCell ref="BD2:BQ2"/>
    <mergeCell ref="BN11:BO11"/>
    <mergeCell ref="BN10:BO10"/>
    <mergeCell ref="BN9:BO9"/>
    <mergeCell ref="A12:BA12"/>
    <mergeCell ref="BP12:BQ12"/>
    <mergeCell ref="BN12:BO12"/>
    <mergeCell ref="BL12:BM12"/>
    <mergeCell ref="BJ12:BK12"/>
    <mergeCell ref="BH12:BI12"/>
    <mergeCell ref="BF12:BG12"/>
    <mergeCell ref="BD11:BE11"/>
    <mergeCell ref="BL11:BM11"/>
    <mergeCell ref="BL10:BM10"/>
    <mergeCell ref="BL9:BM9"/>
    <mergeCell ref="BJ11:BK11"/>
    <mergeCell ref="BJ10:BK10"/>
    <mergeCell ref="BJ9:BK9"/>
    <mergeCell ref="BH11:BI11"/>
    <mergeCell ref="BH10:BI10"/>
    <mergeCell ref="BB11:BC11"/>
    <mergeCell ref="BB10:BC10"/>
    <mergeCell ref="BB9:BC9"/>
    <mergeCell ref="BB8:BC8"/>
    <mergeCell ref="BP8:BQ8"/>
    <mergeCell ref="BP9:BQ9"/>
    <mergeCell ref="BP10:BQ10"/>
    <mergeCell ref="BP11:BQ11"/>
    <mergeCell ref="BN8:BO8"/>
    <mergeCell ref="BH9:BI9"/>
    <mergeCell ref="BL8:BM8"/>
    <mergeCell ref="BJ8:BK8"/>
    <mergeCell ref="BH8:BI8"/>
    <mergeCell ref="BF8:BG8"/>
    <mergeCell ref="BD8:BE8"/>
    <mergeCell ref="BF11:BG11"/>
    <mergeCell ref="BF10:BG10"/>
    <mergeCell ref="BF9:BG9"/>
    <mergeCell ref="BD9:BE9"/>
    <mergeCell ref="BD10:BE10"/>
    <mergeCell ref="BN3:BO7"/>
    <mergeCell ref="BP3:BQ7"/>
    <mergeCell ref="BB3:BM3"/>
    <mergeCell ref="BD4:BM4"/>
    <mergeCell ref="BF5:BG7"/>
    <mergeCell ref="BH5:BI7"/>
    <mergeCell ref="BJ5:BK7"/>
    <mergeCell ref="BL5:BM7"/>
    <mergeCell ref="AW6:BA6"/>
    <mergeCell ref="B6:E6"/>
    <mergeCell ref="F6:I6"/>
    <mergeCell ref="J6:N6"/>
    <mergeCell ref="O6:R6"/>
    <mergeCell ref="S6:V6"/>
    <mergeCell ref="A3:A7"/>
    <mergeCell ref="B3:BA5"/>
    <mergeCell ref="BB4:BC7"/>
    <mergeCell ref="BD5:BE7"/>
    <mergeCell ref="W6:AA6"/>
    <mergeCell ref="AB6:AE6"/>
    <mergeCell ref="AF6:AI6"/>
    <mergeCell ref="AJ6:AN6"/>
    <mergeCell ref="AO6:AR6"/>
    <mergeCell ref="AS6:AV6"/>
    <mergeCell ref="B14:D15"/>
    <mergeCell ref="V14:X15"/>
    <mergeCell ref="AF14:AH15"/>
    <mergeCell ref="AP14:AR15"/>
    <mergeCell ref="AZ14:BB15"/>
    <mergeCell ref="E14:J15"/>
    <mergeCell ref="S80:AA80"/>
    <mergeCell ref="AB80:AF80"/>
    <mergeCell ref="AG80:AJ80"/>
    <mergeCell ref="AK80:AY85"/>
    <mergeCell ref="S81:AA81"/>
    <mergeCell ref="AB81:AF81"/>
    <mergeCell ref="AG81:AJ81"/>
    <mergeCell ref="S82:AA82"/>
    <mergeCell ref="AB82:AF82"/>
    <mergeCell ref="AG82:AJ82"/>
    <mergeCell ref="S83:AA83"/>
    <mergeCell ref="AB83:AF83"/>
    <mergeCell ref="AG83:AJ83"/>
    <mergeCell ref="S84:AA84"/>
    <mergeCell ref="AB84:AF84"/>
    <mergeCell ref="AG84:AJ84"/>
    <mergeCell ref="S85:AA85"/>
    <mergeCell ref="A48:B48"/>
    <mergeCell ref="BJ14:BL15"/>
    <mergeCell ref="BM14:BQ15"/>
    <mergeCell ref="Y14:AD15"/>
    <mergeCell ref="AI14:AN15"/>
    <mergeCell ref="AS14:AX15"/>
    <mergeCell ref="BC14:BH15"/>
    <mergeCell ref="S86:AA86"/>
    <mergeCell ref="AB86:AF86"/>
    <mergeCell ref="AB85:AF85"/>
    <mergeCell ref="AG85:AJ85"/>
    <mergeCell ref="S79:AA79"/>
    <mergeCell ref="AB79:AF79"/>
    <mergeCell ref="AG79:AJ79"/>
    <mergeCell ref="AK79:AY79"/>
    <mergeCell ref="AX26:AZ26"/>
    <mergeCell ref="AU26:AW26"/>
    <mergeCell ref="AR26:AT26"/>
    <mergeCell ref="AO26:AQ26"/>
    <mergeCell ref="AL26:AN26"/>
    <mergeCell ref="AI26:AK26"/>
    <mergeCell ref="A17:BQ17"/>
    <mergeCell ref="A18:B25"/>
    <mergeCell ref="C18:E25"/>
    <mergeCell ref="A47:B47"/>
    <mergeCell ref="A49:B49"/>
    <mergeCell ref="C47:E47"/>
    <mergeCell ref="C48:E48"/>
    <mergeCell ref="C49:E49"/>
    <mergeCell ref="F47:W47"/>
    <mergeCell ref="F48:W48"/>
    <mergeCell ref="F49:W49"/>
    <mergeCell ref="X47:AA47"/>
    <mergeCell ref="X48:AA48"/>
    <mergeCell ref="X49:AA49"/>
    <mergeCell ref="AU50:AW50"/>
    <mergeCell ref="F58:W58"/>
    <mergeCell ref="C57:E57"/>
    <mergeCell ref="F57:W57"/>
    <mergeCell ref="AX47:AZ47"/>
    <mergeCell ref="AX48:AZ48"/>
    <mergeCell ref="AX49:AZ49"/>
    <mergeCell ref="AL47:AN47"/>
    <mergeCell ref="AL48:AN48"/>
    <mergeCell ref="AL49:AN49"/>
    <mergeCell ref="AO47:AQ47"/>
    <mergeCell ref="AO48:AQ48"/>
    <mergeCell ref="AO49:AQ49"/>
    <mergeCell ref="AR47:AT47"/>
    <mergeCell ref="AR48:AT48"/>
    <mergeCell ref="AR49:AT49"/>
    <mergeCell ref="AX50:AZ50"/>
    <mergeCell ref="AX51:AZ51"/>
    <mergeCell ref="AL51:AN51"/>
    <mergeCell ref="AO51:AQ51"/>
    <mergeCell ref="AR51:AT51"/>
    <mergeCell ref="AU51:AW51"/>
    <mergeCell ref="AX58:AZ60"/>
    <mergeCell ref="AU58:AW60"/>
    <mergeCell ref="B80:N81"/>
    <mergeCell ref="B82:N83"/>
    <mergeCell ref="B84:N85"/>
    <mergeCell ref="A1:BC2"/>
    <mergeCell ref="I102:K102"/>
    <mergeCell ref="L102:AC102"/>
    <mergeCell ref="I103:K103"/>
    <mergeCell ref="L103:AC103"/>
    <mergeCell ref="I104:K104"/>
    <mergeCell ref="L104:AC104"/>
    <mergeCell ref="D97:K98"/>
    <mergeCell ref="AU47:AW47"/>
    <mergeCell ref="AU48:AW48"/>
    <mergeCell ref="AU49:AW49"/>
    <mergeCell ref="AB47:AE47"/>
    <mergeCell ref="AB48:AE48"/>
    <mergeCell ref="AB49:AE49"/>
    <mergeCell ref="AF47:AH47"/>
    <mergeCell ref="AF48:AH48"/>
    <mergeCell ref="AF49:AH49"/>
    <mergeCell ref="AI47:AK47"/>
    <mergeCell ref="AI48:AK48"/>
    <mergeCell ref="AI49:AK49"/>
    <mergeCell ref="AR50:AT50"/>
  </mergeCells>
  <pageMargins left="0.25" right="0.25" top="0.75" bottom="0.57291666666666663" header="0.3" footer="0.3"/>
  <pageSetup paperSize="9" scale="5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6733F-66A4-4755-99B1-CEEAEE591774}">
  <sheetPr>
    <pageSetUpPr fitToPage="1"/>
  </sheetPr>
  <dimension ref="A1:BU110"/>
  <sheetViews>
    <sheetView view="pageBreakPreview" topLeftCell="A22" zoomScale="85" zoomScaleNormal="100" zoomScaleSheetLayoutView="85" zoomScalePageLayoutView="70" workbookViewId="0">
      <selection activeCell="F32" sqref="F32:W32"/>
    </sheetView>
  </sheetViews>
  <sheetFormatPr defaultRowHeight="15.75" x14ac:dyDescent="0.25"/>
  <cols>
    <col min="1" max="4" width="3.7109375" style="2" customWidth="1"/>
    <col min="5" max="5" width="6" style="2" customWidth="1"/>
    <col min="6" max="72" width="3.7109375" style="2" customWidth="1"/>
    <col min="73" max="73" width="4.42578125" style="2" bestFit="1" customWidth="1"/>
    <col min="74" max="16384" width="9.140625" style="2"/>
  </cols>
  <sheetData>
    <row r="1" spans="1:73" ht="156" customHeight="1" x14ac:dyDescent="0.25">
      <c r="A1" s="20" t="s">
        <v>238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 t="s">
        <v>27</v>
      </c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</row>
    <row r="2" spans="1:73" ht="81" customHeight="1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91" t="s">
        <v>28</v>
      </c>
      <c r="BE2" s="91"/>
      <c r="BF2" s="91"/>
      <c r="BG2" s="91"/>
      <c r="BH2" s="91"/>
      <c r="BI2" s="91"/>
      <c r="BJ2" s="91"/>
      <c r="BK2" s="91"/>
      <c r="BL2" s="91"/>
      <c r="BM2" s="91"/>
      <c r="BN2" s="91"/>
      <c r="BO2" s="91"/>
      <c r="BP2" s="91"/>
      <c r="BQ2" s="91"/>
      <c r="BR2" s="91"/>
      <c r="BS2" s="91"/>
      <c r="BT2" s="91"/>
      <c r="BU2" s="91"/>
    </row>
    <row r="3" spans="1:73" s="9" customFormat="1" x14ac:dyDescent="0.25">
      <c r="A3" s="88" t="s">
        <v>21</v>
      </c>
      <c r="B3" s="72" t="s">
        <v>22</v>
      </c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 t="s">
        <v>14</v>
      </c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89" t="s">
        <v>15</v>
      </c>
      <c r="BQ3" s="89"/>
      <c r="BR3" s="89"/>
      <c r="BS3" s="89"/>
      <c r="BT3" s="89" t="s">
        <v>16</v>
      </c>
      <c r="BU3" s="89"/>
    </row>
    <row r="4" spans="1:73" s="9" customFormat="1" x14ac:dyDescent="0.25">
      <c r="A4" s="88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89" t="s">
        <v>12</v>
      </c>
      <c r="BC4" s="89"/>
      <c r="BD4" s="72" t="s">
        <v>13</v>
      </c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89"/>
      <c r="BQ4" s="89"/>
      <c r="BR4" s="89"/>
      <c r="BS4" s="89"/>
      <c r="BT4" s="89"/>
      <c r="BU4" s="89"/>
    </row>
    <row r="5" spans="1:73" s="9" customFormat="1" ht="72" customHeight="1" x14ac:dyDescent="0.25">
      <c r="A5" s="88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89"/>
      <c r="BC5" s="89"/>
      <c r="BD5" s="89" t="s">
        <v>17</v>
      </c>
      <c r="BE5" s="89"/>
      <c r="BF5" s="89" t="s">
        <v>18</v>
      </c>
      <c r="BG5" s="89"/>
      <c r="BH5" s="89"/>
      <c r="BI5" s="89"/>
      <c r="BJ5" s="121" t="s">
        <v>176</v>
      </c>
      <c r="BK5" s="121"/>
      <c r="BL5" s="89" t="s">
        <v>162</v>
      </c>
      <c r="BM5" s="89"/>
      <c r="BN5" s="89" t="s">
        <v>19</v>
      </c>
      <c r="BO5" s="89"/>
      <c r="BP5" s="89"/>
      <c r="BQ5" s="89"/>
      <c r="BR5" s="89"/>
      <c r="BS5" s="89"/>
      <c r="BT5" s="89"/>
      <c r="BU5" s="89"/>
    </row>
    <row r="6" spans="1:73" s="9" customFormat="1" x14ac:dyDescent="0.25">
      <c r="A6" s="88"/>
      <c r="B6" s="85" t="s">
        <v>0</v>
      </c>
      <c r="C6" s="86"/>
      <c r="D6" s="86"/>
      <c r="E6" s="87"/>
      <c r="F6" s="85" t="s">
        <v>1</v>
      </c>
      <c r="G6" s="86"/>
      <c r="H6" s="86"/>
      <c r="I6" s="87"/>
      <c r="J6" s="85" t="s">
        <v>2</v>
      </c>
      <c r="K6" s="86"/>
      <c r="L6" s="86"/>
      <c r="M6" s="86"/>
      <c r="N6" s="87"/>
      <c r="O6" s="85" t="s">
        <v>3</v>
      </c>
      <c r="P6" s="86"/>
      <c r="Q6" s="86"/>
      <c r="R6" s="87"/>
      <c r="S6" s="85" t="s">
        <v>4</v>
      </c>
      <c r="T6" s="86"/>
      <c r="U6" s="86"/>
      <c r="V6" s="87"/>
      <c r="W6" s="85" t="s">
        <v>5</v>
      </c>
      <c r="X6" s="86"/>
      <c r="Y6" s="86"/>
      <c r="Z6" s="86"/>
      <c r="AA6" s="87"/>
      <c r="AB6" s="85" t="s">
        <v>6</v>
      </c>
      <c r="AC6" s="86"/>
      <c r="AD6" s="86"/>
      <c r="AE6" s="87"/>
      <c r="AF6" s="85" t="s">
        <v>7</v>
      </c>
      <c r="AG6" s="86"/>
      <c r="AH6" s="86"/>
      <c r="AI6" s="87"/>
      <c r="AJ6" s="85" t="s">
        <v>8</v>
      </c>
      <c r="AK6" s="86"/>
      <c r="AL6" s="86"/>
      <c r="AM6" s="86"/>
      <c r="AN6" s="87"/>
      <c r="AO6" s="85" t="s">
        <v>9</v>
      </c>
      <c r="AP6" s="86"/>
      <c r="AQ6" s="86"/>
      <c r="AR6" s="87"/>
      <c r="AS6" s="85" t="s">
        <v>10</v>
      </c>
      <c r="AT6" s="86"/>
      <c r="AU6" s="86"/>
      <c r="AV6" s="87"/>
      <c r="AW6" s="85" t="s">
        <v>11</v>
      </c>
      <c r="AX6" s="86"/>
      <c r="AY6" s="86"/>
      <c r="AZ6" s="86"/>
      <c r="BA6" s="87"/>
      <c r="BB6" s="89"/>
      <c r="BC6" s="89"/>
      <c r="BD6" s="89"/>
      <c r="BE6" s="89"/>
      <c r="BF6" s="89"/>
      <c r="BG6" s="89"/>
      <c r="BH6" s="89"/>
      <c r="BI6" s="89"/>
      <c r="BJ6" s="121"/>
      <c r="BK6" s="121"/>
      <c r="BL6" s="89"/>
      <c r="BM6" s="89"/>
      <c r="BN6" s="89"/>
      <c r="BO6" s="89"/>
      <c r="BP6" s="89"/>
      <c r="BQ6" s="89"/>
      <c r="BR6" s="89"/>
      <c r="BS6" s="89"/>
      <c r="BT6" s="89"/>
      <c r="BU6" s="89"/>
    </row>
    <row r="7" spans="1:73" s="9" customFormat="1" x14ac:dyDescent="0.25">
      <c r="A7" s="88"/>
      <c r="B7" s="8">
        <v>1</v>
      </c>
      <c r="C7" s="8">
        <v>2</v>
      </c>
      <c r="D7" s="8">
        <v>3</v>
      </c>
      <c r="E7" s="8">
        <v>4</v>
      </c>
      <c r="F7" s="8">
        <v>5</v>
      </c>
      <c r="G7" s="8">
        <v>6</v>
      </c>
      <c r="H7" s="8">
        <v>7</v>
      </c>
      <c r="I7" s="8">
        <v>8</v>
      </c>
      <c r="J7" s="8">
        <v>9</v>
      </c>
      <c r="K7" s="8">
        <v>10</v>
      </c>
      <c r="L7" s="8">
        <v>11</v>
      </c>
      <c r="M7" s="8">
        <v>12</v>
      </c>
      <c r="N7" s="8">
        <v>13</v>
      </c>
      <c r="O7" s="8">
        <v>14</v>
      </c>
      <c r="P7" s="8">
        <v>15</v>
      </c>
      <c r="Q7" s="8">
        <v>16</v>
      </c>
      <c r="R7" s="8">
        <v>17</v>
      </c>
      <c r="S7" s="8">
        <v>18</v>
      </c>
      <c r="T7" s="8">
        <v>19</v>
      </c>
      <c r="U7" s="8">
        <v>20</v>
      </c>
      <c r="V7" s="8">
        <v>21</v>
      </c>
      <c r="W7" s="8">
        <v>22</v>
      </c>
      <c r="X7" s="8">
        <v>23</v>
      </c>
      <c r="Y7" s="8">
        <v>24</v>
      </c>
      <c r="Z7" s="8">
        <v>25</v>
      </c>
      <c r="AA7" s="8">
        <v>26</v>
      </c>
      <c r="AB7" s="8">
        <v>27</v>
      </c>
      <c r="AC7" s="8">
        <v>28</v>
      </c>
      <c r="AD7" s="8">
        <v>29</v>
      </c>
      <c r="AE7" s="8">
        <v>30</v>
      </c>
      <c r="AF7" s="8">
        <v>31</v>
      </c>
      <c r="AG7" s="8">
        <v>32</v>
      </c>
      <c r="AH7" s="8">
        <v>33</v>
      </c>
      <c r="AI7" s="8">
        <v>34</v>
      </c>
      <c r="AJ7" s="8">
        <v>35</v>
      </c>
      <c r="AK7" s="8">
        <v>36</v>
      </c>
      <c r="AL7" s="8">
        <v>37</v>
      </c>
      <c r="AM7" s="8">
        <v>38</v>
      </c>
      <c r="AN7" s="8">
        <v>39</v>
      </c>
      <c r="AO7" s="8">
        <v>40</v>
      </c>
      <c r="AP7" s="8">
        <v>41</v>
      </c>
      <c r="AQ7" s="8">
        <v>42</v>
      </c>
      <c r="AR7" s="8">
        <v>43</v>
      </c>
      <c r="AS7" s="8">
        <v>44</v>
      </c>
      <c r="AT7" s="8">
        <v>45</v>
      </c>
      <c r="AU7" s="8">
        <v>46</v>
      </c>
      <c r="AV7" s="8">
        <v>47</v>
      </c>
      <c r="AW7" s="8">
        <v>48</v>
      </c>
      <c r="AX7" s="8">
        <v>49</v>
      </c>
      <c r="AY7" s="8">
        <v>50</v>
      </c>
      <c r="AZ7" s="8">
        <v>51</v>
      </c>
      <c r="BA7" s="8">
        <v>52</v>
      </c>
      <c r="BB7" s="89"/>
      <c r="BC7" s="89"/>
      <c r="BD7" s="89"/>
      <c r="BE7" s="89"/>
      <c r="BF7" s="89"/>
      <c r="BG7" s="89"/>
      <c r="BH7" s="89"/>
      <c r="BI7" s="89"/>
      <c r="BJ7" s="121"/>
      <c r="BK7" s="121"/>
      <c r="BL7" s="89"/>
      <c r="BM7" s="89"/>
      <c r="BN7" s="89"/>
      <c r="BO7" s="89"/>
      <c r="BP7" s="89"/>
      <c r="BQ7" s="89"/>
      <c r="BR7" s="89"/>
      <c r="BS7" s="89"/>
      <c r="BT7" s="89"/>
      <c r="BU7" s="89"/>
    </row>
    <row r="8" spans="1:73" s="9" customFormat="1" x14ac:dyDescent="0.25">
      <c r="A8" s="8" t="s">
        <v>23</v>
      </c>
      <c r="B8" s="10" t="s">
        <v>175</v>
      </c>
      <c r="C8" s="10" t="s">
        <v>175</v>
      </c>
      <c r="D8" s="10"/>
      <c r="E8" s="10"/>
      <c r="F8" s="10" t="s">
        <v>114</v>
      </c>
      <c r="G8" s="10" t="s">
        <v>114</v>
      </c>
      <c r="H8" s="10" t="s">
        <v>114</v>
      </c>
      <c r="I8" s="10" t="s">
        <v>110</v>
      </c>
      <c r="J8" s="10"/>
      <c r="K8" s="10"/>
      <c r="L8" s="10"/>
      <c r="M8" s="10"/>
      <c r="N8" s="10"/>
      <c r="O8" s="10"/>
      <c r="P8" s="10"/>
      <c r="Q8" s="10"/>
      <c r="R8" s="10"/>
      <c r="S8" s="10" t="s">
        <v>112</v>
      </c>
      <c r="T8" s="10" t="s">
        <v>112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 t="s">
        <v>114</v>
      </c>
      <c r="AG8" s="10" t="s">
        <v>114</v>
      </c>
      <c r="AH8" s="10" t="s">
        <v>114</v>
      </c>
      <c r="AI8" s="10" t="s">
        <v>110</v>
      </c>
      <c r="AJ8" s="10" t="s">
        <v>109</v>
      </c>
      <c r="AK8" s="10" t="s">
        <v>109</v>
      </c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90">
        <f>SUM(BD8:BO8)</f>
        <v>10</v>
      </c>
      <c r="BC8" s="90"/>
      <c r="BD8" s="90">
        <f>COUNTIFS(B8:BA8,"=N")</f>
        <v>6</v>
      </c>
      <c r="BE8" s="90"/>
      <c r="BF8" s="90">
        <f>COUNTIFS(B8:BA8,"=A")</f>
        <v>2</v>
      </c>
      <c r="BG8" s="90"/>
      <c r="BH8" s="90"/>
      <c r="BI8" s="90"/>
      <c r="BJ8" s="90">
        <f>COUNTIFS(B8:BA8,"=K")</f>
        <v>0</v>
      </c>
      <c r="BK8" s="90"/>
      <c r="BL8" s="90">
        <f>COUNTIFS(B8:BA8,"=M")</f>
        <v>2</v>
      </c>
      <c r="BM8" s="90"/>
      <c r="BN8" s="90"/>
      <c r="BO8" s="90"/>
      <c r="BP8" s="90">
        <f>COUNTIFS(B8:BA8,"=T")</f>
        <v>2</v>
      </c>
      <c r="BQ8" s="90"/>
      <c r="BR8" s="90"/>
      <c r="BS8" s="90"/>
      <c r="BT8" s="90">
        <f>SUM(BD8:BP8)</f>
        <v>12</v>
      </c>
      <c r="BU8" s="90"/>
    </row>
    <row r="9" spans="1:73" s="9" customFormat="1" x14ac:dyDescent="0.25">
      <c r="A9" s="8" t="s">
        <v>24</v>
      </c>
      <c r="B9" s="10" t="s">
        <v>175</v>
      </c>
      <c r="C9" s="10"/>
      <c r="D9" s="10"/>
      <c r="E9" s="10"/>
      <c r="F9" s="10"/>
      <c r="G9" s="10"/>
      <c r="H9" s="10"/>
      <c r="I9" s="10"/>
      <c r="J9" s="10" t="s">
        <v>114</v>
      </c>
      <c r="K9" s="10" t="s">
        <v>114</v>
      </c>
      <c r="L9" s="10" t="s">
        <v>114</v>
      </c>
      <c r="M9" s="10" t="s">
        <v>110</v>
      </c>
      <c r="N9" s="10" t="s">
        <v>109</v>
      </c>
      <c r="O9" s="10" t="s">
        <v>109</v>
      </c>
      <c r="P9" s="10" t="s">
        <v>109</v>
      </c>
      <c r="Q9" s="10" t="s">
        <v>109</v>
      </c>
      <c r="R9" s="10"/>
      <c r="S9" s="10" t="s">
        <v>112</v>
      </c>
      <c r="T9" s="10" t="s">
        <v>112</v>
      </c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 t="s">
        <v>114</v>
      </c>
      <c r="AK9" s="10" t="s">
        <v>114</v>
      </c>
      <c r="AL9" s="10" t="s">
        <v>114</v>
      </c>
      <c r="AM9" s="10" t="s">
        <v>110</v>
      </c>
      <c r="AN9" s="10" t="s">
        <v>109</v>
      </c>
      <c r="AO9" s="10" t="s">
        <v>109</v>
      </c>
      <c r="AP9" s="10" t="s">
        <v>109</v>
      </c>
      <c r="AQ9" s="10" t="s">
        <v>109</v>
      </c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90">
        <f t="shared" ref="BB9:BB12" si="0">SUM(BD9:BO9)</f>
        <v>16</v>
      </c>
      <c r="BC9" s="90"/>
      <c r="BD9" s="90">
        <f t="shared" ref="BD9:BD12" si="1">COUNTIFS(B9:BA9,"=N")</f>
        <v>6</v>
      </c>
      <c r="BE9" s="90"/>
      <c r="BF9" s="90">
        <f t="shared" ref="BF9:BF12" si="2">COUNTIFS(B9:BA9,"=A")</f>
        <v>2</v>
      </c>
      <c r="BG9" s="90"/>
      <c r="BH9" s="90"/>
      <c r="BI9" s="90"/>
      <c r="BJ9" s="90">
        <f t="shared" ref="BJ9:BJ12" si="3">COUNTIFS(B9:BA9,"=K")</f>
        <v>0</v>
      </c>
      <c r="BK9" s="90"/>
      <c r="BL9" s="90">
        <f t="shared" ref="BL9:BL12" si="4">COUNTIFS(B9:BA9,"=M")</f>
        <v>8</v>
      </c>
      <c r="BM9" s="90"/>
      <c r="BN9" s="90"/>
      <c r="BO9" s="90"/>
      <c r="BP9" s="90">
        <f t="shared" ref="BP9:BP12" si="5">COUNTIFS(B9:BA9,"=T")</f>
        <v>2</v>
      </c>
      <c r="BQ9" s="90"/>
      <c r="BR9" s="90"/>
      <c r="BS9" s="90"/>
      <c r="BT9" s="90">
        <f t="shared" ref="BT9:BT12" si="6">SUM(BD9:BP9)</f>
        <v>18</v>
      </c>
      <c r="BU9" s="90"/>
    </row>
    <row r="10" spans="1:73" s="9" customFormat="1" x14ac:dyDescent="0.25">
      <c r="A10" s="8" t="s">
        <v>25</v>
      </c>
      <c r="B10" s="10" t="s">
        <v>175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 t="s">
        <v>114</v>
      </c>
      <c r="O10" s="10" t="s">
        <v>114</v>
      </c>
      <c r="P10" s="10" t="s">
        <v>114</v>
      </c>
      <c r="Q10" s="10" t="s">
        <v>110</v>
      </c>
      <c r="R10" s="10" t="s">
        <v>109</v>
      </c>
      <c r="S10" s="10" t="s">
        <v>112</v>
      </c>
      <c r="T10" s="10" t="s">
        <v>112</v>
      </c>
      <c r="U10" s="10" t="s">
        <v>109</v>
      </c>
      <c r="V10" s="10" t="s">
        <v>109</v>
      </c>
      <c r="W10" s="10" t="s">
        <v>109</v>
      </c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 t="s">
        <v>114</v>
      </c>
      <c r="AO10" s="10" t="s">
        <v>114</v>
      </c>
      <c r="AP10" s="10" t="s">
        <v>114</v>
      </c>
      <c r="AQ10" s="10" t="s">
        <v>110</v>
      </c>
      <c r="AR10" s="10" t="s">
        <v>109</v>
      </c>
      <c r="AS10" s="10" t="s">
        <v>109</v>
      </c>
      <c r="AT10" s="10" t="s">
        <v>109</v>
      </c>
      <c r="AU10" s="10" t="s">
        <v>109</v>
      </c>
      <c r="AV10" s="10"/>
      <c r="AW10" s="10"/>
      <c r="AX10" s="10"/>
      <c r="AY10" s="10"/>
      <c r="AZ10" s="10"/>
      <c r="BA10" s="10"/>
      <c r="BB10" s="90">
        <f t="shared" si="0"/>
        <v>16</v>
      </c>
      <c r="BC10" s="90"/>
      <c r="BD10" s="90">
        <f t="shared" si="1"/>
        <v>6</v>
      </c>
      <c r="BE10" s="90"/>
      <c r="BF10" s="90">
        <f t="shared" si="2"/>
        <v>2</v>
      </c>
      <c r="BG10" s="90"/>
      <c r="BH10" s="90"/>
      <c r="BI10" s="90"/>
      <c r="BJ10" s="90">
        <f t="shared" si="3"/>
        <v>0</v>
      </c>
      <c r="BK10" s="90"/>
      <c r="BL10" s="90">
        <f t="shared" si="4"/>
        <v>8</v>
      </c>
      <c r="BM10" s="90"/>
      <c r="BN10" s="90"/>
      <c r="BO10" s="90"/>
      <c r="BP10" s="90">
        <f t="shared" si="5"/>
        <v>2</v>
      </c>
      <c r="BQ10" s="90"/>
      <c r="BR10" s="90"/>
      <c r="BS10" s="90"/>
      <c r="BT10" s="90">
        <f t="shared" si="6"/>
        <v>18</v>
      </c>
      <c r="BU10" s="90"/>
    </row>
    <row r="11" spans="1:73" s="9" customFormat="1" x14ac:dyDescent="0.25">
      <c r="A11" s="8" t="s">
        <v>26</v>
      </c>
      <c r="B11" s="10" t="s">
        <v>175</v>
      </c>
      <c r="C11" s="10"/>
      <c r="D11" s="10"/>
      <c r="E11" s="10"/>
      <c r="F11" s="10" t="s">
        <v>114</v>
      </c>
      <c r="G11" s="10" t="s">
        <v>114</v>
      </c>
      <c r="H11" s="10" t="s">
        <v>114</v>
      </c>
      <c r="I11" s="10" t="s">
        <v>110</v>
      </c>
      <c r="J11" s="10" t="s">
        <v>109</v>
      </c>
      <c r="K11" s="10" t="s">
        <v>109</v>
      </c>
      <c r="L11" s="10" t="s">
        <v>109</v>
      </c>
      <c r="M11" s="10" t="s">
        <v>109</v>
      </c>
      <c r="N11" s="10"/>
      <c r="O11" s="10"/>
      <c r="P11" s="10"/>
      <c r="Q11" s="10"/>
      <c r="R11" s="10"/>
      <c r="S11" s="10" t="s">
        <v>112</v>
      </c>
      <c r="T11" s="10" t="s">
        <v>112</v>
      </c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 t="s">
        <v>114</v>
      </c>
      <c r="AG11" s="10" t="s">
        <v>114</v>
      </c>
      <c r="AH11" s="10" t="s">
        <v>114</v>
      </c>
      <c r="AI11" s="10" t="s">
        <v>110</v>
      </c>
      <c r="AJ11" s="10" t="s">
        <v>109</v>
      </c>
      <c r="AK11" s="10" t="s">
        <v>109</v>
      </c>
      <c r="AL11" s="10" t="s">
        <v>109</v>
      </c>
      <c r="AM11" s="10" t="s">
        <v>109</v>
      </c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90">
        <f t="shared" si="0"/>
        <v>16</v>
      </c>
      <c r="BC11" s="90"/>
      <c r="BD11" s="90">
        <f t="shared" si="1"/>
        <v>6</v>
      </c>
      <c r="BE11" s="90"/>
      <c r="BF11" s="90">
        <f t="shared" si="2"/>
        <v>2</v>
      </c>
      <c r="BG11" s="90"/>
      <c r="BH11" s="90"/>
      <c r="BI11" s="90"/>
      <c r="BJ11" s="90">
        <f t="shared" si="3"/>
        <v>0</v>
      </c>
      <c r="BK11" s="90"/>
      <c r="BL11" s="90">
        <f t="shared" si="4"/>
        <v>8</v>
      </c>
      <c r="BM11" s="90"/>
      <c r="BN11" s="90"/>
      <c r="BO11" s="90"/>
      <c r="BP11" s="90">
        <f t="shared" si="5"/>
        <v>2</v>
      </c>
      <c r="BQ11" s="90"/>
      <c r="BR11" s="90"/>
      <c r="BS11" s="90"/>
      <c r="BT11" s="90">
        <f t="shared" si="6"/>
        <v>18</v>
      </c>
      <c r="BU11" s="90"/>
    </row>
    <row r="12" spans="1:73" s="9" customFormat="1" x14ac:dyDescent="0.25">
      <c r="A12" s="8" t="s">
        <v>169</v>
      </c>
      <c r="B12" s="10" t="s">
        <v>175</v>
      </c>
      <c r="C12" s="10"/>
      <c r="D12" s="10"/>
      <c r="E12" s="10"/>
      <c r="F12" s="10"/>
      <c r="G12" s="10"/>
      <c r="H12" s="10"/>
      <c r="I12" s="10"/>
      <c r="J12" s="10" t="s">
        <v>114</v>
      </c>
      <c r="K12" s="10" t="s">
        <v>114</v>
      </c>
      <c r="L12" s="10" t="s">
        <v>114</v>
      </c>
      <c r="M12" s="10" t="s">
        <v>110</v>
      </c>
      <c r="N12" s="10" t="s">
        <v>109</v>
      </c>
      <c r="O12" s="10" t="s">
        <v>109</v>
      </c>
      <c r="P12" s="10" t="s">
        <v>109</v>
      </c>
      <c r="Q12" s="10" t="s">
        <v>109</v>
      </c>
      <c r="R12" s="10" t="s">
        <v>109</v>
      </c>
      <c r="S12" s="10" t="s">
        <v>112</v>
      </c>
      <c r="T12" s="10" t="s">
        <v>112</v>
      </c>
      <c r="U12" s="10" t="s">
        <v>109</v>
      </c>
      <c r="V12" s="10"/>
      <c r="W12" s="10"/>
      <c r="X12" s="10"/>
      <c r="Y12" s="10"/>
      <c r="Z12" s="10"/>
      <c r="AA12" s="10"/>
      <c r="AB12" s="10"/>
      <c r="AC12" s="10"/>
      <c r="AD12" s="10" t="s">
        <v>109</v>
      </c>
      <c r="AE12" s="10" t="s">
        <v>109</v>
      </c>
      <c r="AF12" s="10" t="s">
        <v>109</v>
      </c>
      <c r="AG12" s="10" t="s">
        <v>109</v>
      </c>
      <c r="AH12" s="10" t="s">
        <v>109</v>
      </c>
      <c r="AI12" s="10" t="s">
        <v>109</v>
      </c>
      <c r="AJ12" s="10" t="s">
        <v>114</v>
      </c>
      <c r="AK12" s="10" t="s">
        <v>114</v>
      </c>
      <c r="AL12" s="10" t="s">
        <v>114</v>
      </c>
      <c r="AM12" s="10" t="s">
        <v>110</v>
      </c>
      <c r="AN12" s="10" t="s">
        <v>111</v>
      </c>
      <c r="AO12" s="10" t="s">
        <v>111</v>
      </c>
      <c r="AP12" s="10" t="s">
        <v>111</v>
      </c>
      <c r="AQ12" s="10" t="s">
        <v>111</v>
      </c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90">
        <f t="shared" si="0"/>
        <v>24</v>
      </c>
      <c r="BC12" s="90"/>
      <c r="BD12" s="90">
        <f t="shared" si="1"/>
        <v>6</v>
      </c>
      <c r="BE12" s="90"/>
      <c r="BF12" s="90">
        <f t="shared" si="2"/>
        <v>2</v>
      </c>
      <c r="BG12" s="90"/>
      <c r="BH12" s="90"/>
      <c r="BI12" s="90"/>
      <c r="BJ12" s="90">
        <f t="shared" si="3"/>
        <v>0</v>
      </c>
      <c r="BK12" s="90"/>
      <c r="BL12" s="90">
        <f t="shared" si="4"/>
        <v>12</v>
      </c>
      <c r="BM12" s="90"/>
      <c r="BN12" s="90">
        <f>COUNTIFS(B12:BA12,"=Y")</f>
        <v>4</v>
      </c>
      <c r="BO12" s="90"/>
      <c r="BP12" s="90">
        <f t="shared" si="5"/>
        <v>2</v>
      </c>
      <c r="BQ12" s="90"/>
      <c r="BR12" s="90"/>
      <c r="BS12" s="90"/>
      <c r="BT12" s="90">
        <f t="shared" si="6"/>
        <v>26</v>
      </c>
      <c r="BU12" s="90"/>
    </row>
    <row r="13" spans="1:73" s="9" customFormat="1" x14ac:dyDescent="0.25">
      <c r="A13" s="92" t="s">
        <v>29</v>
      </c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0">
        <f t="shared" ref="BB13:BT13" si="7">SUM(BB8:BC12)</f>
        <v>82</v>
      </c>
      <c r="BC13" s="90"/>
      <c r="BD13" s="90">
        <f t="shared" si="7"/>
        <v>30</v>
      </c>
      <c r="BE13" s="90"/>
      <c r="BF13" s="90">
        <f>SUM(BF8:BI12)</f>
        <v>10</v>
      </c>
      <c r="BG13" s="90"/>
      <c r="BH13" s="90"/>
      <c r="BI13" s="90"/>
      <c r="BJ13" s="90">
        <f t="shared" si="7"/>
        <v>0</v>
      </c>
      <c r="BK13" s="90"/>
      <c r="BL13" s="90">
        <f t="shared" si="7"/>
        <v>38</v>
      </c>
      <c r="BM13" s="90"/>
      <c r="BN13" s="90">
        <f t="shared" si="7"/>
        <v>4</v>
      </c>
      <c r="BO13" s="90"/>
      <c r="BP13" s="90">
        <f>SUM(BP8:BS12)</f>
        <v>10</v>
      </c>
      <c r="BQ13" s="90"/>
      <c r="BR13" s="90"/>
      <c r="BS13" s="90"/>
      <c r="BT13" s="90">
        <f t="shared" si="7"/>
        <v>92</v>
      </c>
      <c r="BU13" s="90"/>
    </row>
    <row r="14" spans="1:73" s="9" customFormat="1" x14ac:dyDescent="0.25"/>
    <row r="15" spans="1:73" s="11" customFormat="1" ht="15.75" customHeight="1" x14ac:dyDescent="0.25">
      <c r="B15" s="57" t="s">
        <v>114</v>
      </c>
      <c r="C15" s="57"/>
      <c r="D15" s="57"/>
      <c r="E15" s="58" t="s">
        <v>17</v>
      </c>
      <c r="F15" s="59"/>
      <c r="G15" s="59"/>
      <c r="H15" s="59"/>
      <c r="I15" s="59"/>
      <c r="J15" s="59"/>
      <c r="K15" s="13"/>
      <c r="L15" s="115" t="s">
        <v>121</v>
      </c>
      <c r="M15" s="116"/>
      <c r="N15" s="122" t="s">
        <v>161</v>
      </c>
      <c r="O15" s="123"/>
      <c r="P15" s="123"/>
      <c r="Q15" s="123"/>
      <c r="R15" s="123"/>
      <c r="S15" s="123"/>
      <c r="T15" s="123"/>
      <c r="U15" s="13"/>
      <c r="V15" s="57" t="s">
        <v>109</v>
      </c>
      <c r="W15" s="57"/>
      <c r="X15" s="57"/>
      <c r="Y15" s="58" t="s">
        <v>108</v>
      </c>
      <c r="Z15" s="59"/>
      <c r="AA15" s="59"/>
      <c r="AB15" s="59"/>
      <c r="AC15" s="59"/>
      <c r="AD15" s="59"/>
      <c r="AE15" s="13"/>
      <c r="AF15" s="57" t="s">
        <v>110</v>
      </c>
      <c r="AG15" s="57"/>
      <c r="AH15" s="57"/>
      <c r="AI15" s="58" t="s">
        <v>18</v>
      </c>
      <c r="AJ15" s="59"/>
      <c r="AK15" s="59"/>
      <c r="AL15" s="59"/>
      <c r="AM15" s="59"/>
      <c r="AN15" s="59"/>
      <c r="AO15" s="13"/>
      <c r="AP15" s="57" t="s">
        <v>111</v>
      </c>
      <c r="AQ15" s="57"/>
      <c r="AR15" s="57"/>
      <c r="AS15" s="58" t="s">
        <v>98</v>
      </c>
      <c r="AT15" s="59"/>
      <c r="AU15" s="59"/>
      <c r="AV15" s="59"/>
      <c r="AW15" s="59"/>
      <c r="AX15" s="59"/>
      <c r="AY15" s="13"/>
      <c r="AZ15" s="57" t="s">
        <v>175</v>
      </c>
      <c r="BA15" s="57"/>
      <c r="BB15" s="57"/>
      <c r="BC15" s="58" t="s">
        <v>176</v>
      </c>
      <c r="BD15" s="59"/>
      <c r="BE15" s="59"/>
      <c r="BF15" s="59"/>
      <c r="BG15" s="59"/>
      <c r="BH15" s="59"/>
      <c r="BI15" s="59"/>
      <c r="BJ15" s="59"/>
      <c r="BK15" s="13"/>
      <c r="BL15" s="57" t="s">
        <v>112</v>
      </c>
      <c r="BM15" s="57"/>
      <c r="BN15" s="57"/>
      <c r="BO15" s="58" t="s">
        <v>113</v>
      </c>
      <c r="BP15" s="59"/>
      <c r="BQ15" s="59"/>
      <c r="BR15" s="59"/>
      <c r="BS15" s="59"/>
      <c r="BT15" s="59"/>
      <c r="BU15" s="59"/>
    </row>
    <row r="16" spans="1:73" s="11" customFormat="1" x14ac:dyDescent="0.25">
      <c r="B16" s="57"/>
      <c r="C16" s="57"/>
      <c r="D16" s="57"/>
      <c r="E16" s="58"/>
      <c r="F16" s="59"/>
      <c r="G16" s="59"/>
      <c r="H16" s="59"/>
      <c r="I16" s="59"/>
      <c r="J16" s="59"/>
      <c r="K16" s="13"/>
      <c r="L16" s="117"/>
      <c r="M16" s="118"/>
      <c r="N16" s="122"/>
      <c r="O16" s="123"/>
      <c r="P16" s="123"/>
      <c r="Q16" s="123"/>
      <c r="R16" s="123"/>
      <c r="S16" s="123"/>
      <c r="T16" s="123"/>
      <c r="U16" s="13"/>
      <c r="V16" s="57"/>
      <c r="W16" s="57"/>
      <c r="X16" s="57"/>
      <c r="Y16" s="58"/>
      <c r="Z16" s="59"/>
      <c r="AA16" s="59"/>
      <c r="AB16" s="59"/>
      <c r="AC16" s="59"/>
      <c r="AD16" s="59"/>
      <c r="AE16" s="13"/>
      <c r="AF16" s="57"/>
      <c r="AG16" s="57"/>
      <c r="AH16" s="57"/>
      <c r="AI16" s="58"/>
      <c r="AJ16" s="59"/>
      <c r="AK16" s="59"/>
      <c r="AL16" s="59"/>
      <c r="AM16" s="59"/>
      <c r="AN16" s="59"/>
      <c r="AO16" s="13"/>
      <c r="AP16" s="57"/>
      <c r="AQ16" s="57"/>
      <c r="AR16" s="57"/>
      <c r="AS16" s="58"/>
      <c r="AT16" s="59"/>
      <c r="AU16" s="59"/>
      <c r="AV16" s="59"/>
      <c r="AW16" s="59"/>
      <c r="AX16" s="59"/>
      <c r="AY16" s="13"/>
      <c r="AZ16" s="57"/>
      <c r="BA16" s="57"/>
      <c r="BB16" s="57"/>
      <c r="BC16" s="58"/>
      <c r="BD16" s="59"/>
      <c r="BE16" s="59"/>
      <c r="BF16" s="59"/>
      <c r="BG16" s="59"/>
      <c r="BH16" s="59"/>
      <c r="BI16" s="59"/>
      <c r="BJ16" s="59"/>
      <c r="BK16" s="13"/>
      <c r="BL16" s="57"/>
      <c r="BM16" s="57"/>
      <c r="BN16" s="57"/>
      <c r="BO16" s="58"/>
      <c r="BP16" s="59"/>
      <c r="BQ16" s="59"/>
      <c r="BR16" s="59"/>
      <c r="BS16" s="59"/>
      <c r="BT16" s="59"/>
      <c r="BU16" s="59"/>
    </row>
    <row r="17" spans="1:73" s="9" customFormat="1" x14ac:dyDescent="0.25"/>
    <row r="18" spans="1:73" s="9" customFormat="1" x14ac:dyDescent="0.25">
      <c r="A18" s="73" t="s">
        <v>30</v>
      </c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73"/>
      <c r="BK18" s="73"/>
      <c r="BL18" s="73"/>
      <c r="BM18" s="73"/>
      <c r="BN18" s="73"/>
      <c r="BO18" s="73"/>
      <c r="BP18" s="73"/>
      <c r="BQ18" s="73"/>
      <c r="BR18" s="73"/>
      <c r="BS18" s="73"/>
      <c r="BT18" s="73"/>
      <c r="BU18" s="73"/>
    </row>
    <row r="19" spans="1:73" s="9" customFormat="1" ht="30.75" customHeight="1" x14ac:dyDescent="0.25">
      <c r="A19" s="57" t="s">
        <v>116</v>
      </c>
      <c r="B19" s="57"/>
      <c r="C19" s="57" t="s">
        <v>31</v>
      </c>
      <c r="D19" s="57"/>
      <c r="E19" s="57"/>
      <c r="F19" s="57" t="s">
        <v>32</v>
      </c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 t="s">
        <v>35</v>
      </c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 t="s">
        <v>36</v>
      </c>
      <c r="BB19" s="57"/>
      <c r="BC19" s="57"/>
      <c r="BD19" s="57"/>
      <c r="BE19" s="57"/>
      <c r="BF19" s="57"/>
      <c r="BG19" s="57"/>
      <c r="BH19" s="57"/>
      <c r="BI19" s="57"/>
      <c r="BJ19" s="57"/>
      <c r="BK19" s="57" t="s">
        <v>41</v>
      </c>
      <c r="BL19" s="57"/>
      <c r="BM19" s="57"/>
      <c r="BN19" s="57"/>
      <c r="BO19" s="57"/>
      <c r="BP19" s="57"/>
      <c r="BQ19" s="57"/>
      <c r="BR19" s="57"/>
      <c r="BS19" s="57"/>
      <c r="BT19" s="57"/>
      <c r="BU19" s="96" t="s">
        <v>42</v>
      </c>
    </row>
    <row r="20" spans="1:73" s="9" customFormat="1" x14ac:dyDescent="0.25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 t="s">
        <v>33</v>
      </c>
      <c r="Y20" s="57"/>
      <c r="Z20" s="57"/>
      <c r="AA20" s="57"/>
      <c r="AB20" s="57"/>
      <c r="AC20" s="57"/>
      <c r="AD20" s="57"/>
      <c r="AE20" s="57"/>
      <c r="AF20" s="57" t="s">
        <v>34</v>
      </c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89" t="s">
        <v>50</v>
      </c>
      <c r="AY20" s="89"/>
      <c r="AZ20" s="89"/>
      <c r="BA20" s="57" t="s">
        <v>37</v>
      </c>
      <c r="BB20" s="57"/>
      <c r="BC20" s="57" t="s">
        <v>38</v>
      </c>
      <c r="BD20" s="57"/>
      <c r="BE20" s="57" t="s">
        <v>39</v>
      </c>
      <c r="BF20" s="57"/>
      <c r="BG20" s="57" t="s">
        <v>40</v>
      </c>
      <c r="BH20" s="57"/>
      <c r="BI20" s="57" t="s">
        <v>170</v>
      </c>
      <c r="BJ20" s="57"/>
      <c r="BK20" s="57" t="s">
        <v>37</v>
      </c>
      <c r="BL20" s="57"/>
      <c r="BM20" s="57" t="s">
        <v>38</v>
      </c>
      <c r="BN20" s="57"/>
      <c r="BO20" s="57" t="s">
        <v>39</v>
      </c>
      <c r="BP20" s="57"/>
      <c r="BQ20" s="57" t="s">
        <v>40</v>
      </c>
      <c r="BR20" s="57"/>
      <c r="BS20" s="57" t="s">
        <v>170</v>
      </c>
      <c r="BT20" s="57"/>
      <c r="BU20" s="97"/>
    </row>
    <row r="21" spans="1:73" s="9" customFormat="1" x14ac:dyDescent="0.25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89" t="s">
        <v>12</v>
      </c>
      <c r="AG21" s="89"/>
      <c r="AH21" s="89"/>
      <c r="AI21" s="89" t="s">
        <v>45</v>
      </c>
      <c r="AJ21" s="89"/>
      <c r="AK21" s="89"/>
      <c r="AL21" s="89" t="s">
        <v>46</v>
      </c>
      <c r="AM21" s="89"/>
      <c r="AN21" s="89"/>
      <c r="AO21" s="89" t="s">
        <v>47</v>
      </c>
      <c r="AP21" s="89"/>
      <c r="AQ21" s="89"/>
      <c r="AR21" s="89" t="s">
        <v>48</v>
      </c>
      <c r="AS21" s="89"/>
      <c r="AT21" s="89"/>
      <c r="AU21" s="89" t="s">
        <v>49</v>
      </c>
      <c r="AV21" s="89"/>
      <c r="AW21" s="89"/>
      <c r="AX21" s="89"/>
      <c r="AY21" s="89"/>
      <c r="AZ21" s="89"/>
      <c r="BA21" s="57" t="s">
        <v>51</v>
      </c>
      <c r="BB21" s="57"/>
      <c r="BC21" s="57"/>
      <c r="BD21" s="57"/>
      <c r="BE21" s="57"/>
      <c r="BF21" s="57"/>
      <c r="BG21" s="57"/>
      <c r="BH21" s="57"/>
      <c r="BI21" s="57"/>
      <c r="BJ21" s="57"/>
      <c r="BK21" s="57" t="s">
        <v>115</v>
      </c>
      <c r="BL21" s="57"/>
      <c r="BM21" s="57"/>
      <c r="BN21" s="57"/>
      <c r="BO21" s="57"/>
      <c r="BP21" s="57"/>
      <c r="BQ21" s="57"/>
      <c r="BR21" s="57"/>
      <c r="BS21" s="57"/>
      <c r="BT21" s="57"/>
      <c r="BU21" s="97"/>
    </row>
    <row r="22" spans="1:73" s="9" customFormat="1" x14ac:dyDescent="0.25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  <c r="BA22" s="57">
        <v>8</v>
      </c>
      <c r="BB22" s="57"/>
      <c r="BC22" s="57">
        <v>8</v>
      </c>
      <c r="BD22" s="57"/>
      <c r="BE22" s="57">
        <v>8</v>
      </c>
      <c r="BF22" s="57"/>
      <c r="BG22" s="57">
        <v>8</v>
      </c>
      <c r="BH22" s="57"/>
      <c r="BI22" s="57">
        <v>8</v>
      </c>
      <c r="BJ22" s="57"/>
      <c r="BK22" s="57">
        <f>BK26+BL26</f>
        <v>48</v>
      </c>
      <c r="BL22" s="57"/>
      <c r="BM22" s="57">
        <f t="shared" ref="BM22" si="8">BM26+BN26</f>
        <v>48</v>
      </c>
      <c r="BN22" s="57"/>
      <c r="BO22" s="57">
        <f t="shared" ref="BO22" si="9">BO26+BP26</f>
        <v>48</v>
      </c>
      <c r="BP22" s="57"/>
      <c r="BQ22" s="57">
        <f t="shared" ref="BQ22" si="10">BQ26+BR26</f>
        <v>48</v>
      </c>
      <c r="BR22" s="57"/>
      <c r="BS22" s="57">
        <f t="shared" ref="BS22" si="11">BS26+BT26</f>
        <v>48</v>
      </c>
      <c r="BT22" s="57"/>
      <c r="BU22" s="97"/>
    </row>
    <row r="23" spans="1:73" s="9" customFormat="1" x14ac:dyDescent="0.25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57" t="s">
        <v>52</v>
      </c>
      <c r="BB23" s="57"/>
      <c r="BC23" s="57"/>
      <c r="BD23" s="57"/>
      <c r="BE23" s="57"/>
      <c r="BF23" s="57"/>
      <c r="BG23" s="57"/>
      <c r="BH23" s="57"/>
      <c r="BI23" s="57"/>
      <c r="BJ23" s="57"/>
      <c r="BK23" s="57" t="s">
        <v>52</v>
      </c>
      <c r="BL23" s="57"/>
      <c r="BM23" s="57"/>
      <c r="BN23" s="57"/>
      <c r="BO23" s="57"/>
      <c r="BP23" s="57"/>
      <c r="BQ23" s="57"/>
      <c r="BR23" s="57"/>
      <c r="BS23" s="57"/>
      <c r="BT23" s="57"/>
      <c r="BU23" s="97"/>
    </row>
    <row r="24" spans="1:73" s="9" customFormat="1" x14ac:dyDescent="0.25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  <c r="AY24" s="89"/>
      <c r="AZ24" s="89"/>
      <c r="BA24" s="12">
        <v>1</v>
      </c>
      <c r="BB24" s="12">
        <v>2</v>
      </c>
      <c r="BC24" s="12">
        <v>3</v>
      </c>
      <c r="BD24" s="12">
        <v>4</v>
      </c>
      <c r="BE24" s="12">
        <v>5</v>
      </c>
      <c r="BF24" s="12">
        <v>6</v>
      </c>
      <c r="BG24" s="12">
        <v>7</v>
      </c>
      <c r="BH24" s="12">
        <v>8</v>
      </c>
      <c r="BI24" s="12">
        <v>7</v>
      </c>
      <c r="BJ24" s="12">
        <v>8</v>
      </c>
      <c r="BK24" s="12">
        <v>1</v>
      </c>
      <c r="BL24" s="12">
        <v>2</v>
      </c>
      <c r="BM24" s="12">
        <v>3</v>
      </c>
      <c r="BN24" s="12">
        <v>4</v>
      </c>
      <c r="BO24" s="12">
        <v>5</v>
      </c>
      <c r="BP24" s="12">
        <v>6</v>
      </c>
      <c r="BQ24" s="12">
        <v>7</v>
      </c>
      <c r="BR24" s="12">
        <v>8</v>
      </c>
      <c r="BS24" s="12">
        <v>7</v>
      </c>
      <c r="BT24" s="12">
        <v>8</v>
      </c>
      <c r="BU24" s="97"/>
    </row>
    <row r="25" spans="1:73" s="9" customFormat="1" ht="32.25" customHeight="1" x14ac:dyDescent="0.25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57" t="s">
        <v>56</v>
      </c>
      <c r="BB25" s="57"/>
      <c r="BC25" s="57"/>
      <c r="BD25" s="57"/>
      <c r="BE25" s="57"/>
      <c r="BF25" s="57"/>
      <c r="BG25" s="57"/>
      <c r="BH25" s="57"/>
      <c r="BI25" s="57"/>
      <c r="BJ25" s="57"/>
      <c r="BK25" s="57" t="s">
        <v>53</v>
      </c>
      <c r="BL25" s="57"/>
      <c r="BM25" s="57"/>
      <c r="BN25" s="57"/>
      <c r="BO25" s="57"/>
      <c r="BP25" s="57"/>
      <c r="BQ25" s="57"/>
      <c r="BR25" s="57"/>
      <c r="BS25" s="57"/>
      <c r="BT25" s="57"/>
      <c r="BU25" s="98"/>
    </row>
    <row r="26" spans="1:73" s="9" customFormat="1" x14ac:dyDescent="0.25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 t="s">
        <v>43</v>
      </c>
      <c r="Y26" s="57"/>
      <c r="Z26" s="57"/>
      <c r="AA26" s="57"/>
      <c r="AB26" s="57" t="s">
        <v>44</v>
      </c>
      <c r="AC26" s="57"/>
      <c r="AD26" s="57"/>
      <c r="AE26" s="57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89"/>
      <c r="AY26" s="89"/>
      <c r="AZ26" s="89"/>
      <c r="BA26" s="12">
        <v>4</v>
      </c>
      <c r="BB26" s="12">
        <v>4</v>
      </c>
      <c r="BC26" s="12">
        <v>4</v>
      </c>
      <c r="BD26" s="12">
        <v>4</v>
      </c>
      <c r="BE26" s="12">
        <v>4</v>
      </c>
      <c r="BF26" s="12">
        <v>4</v>
      </c>
      <c r="BG26" s="12">
        <v>4</v>
      </c>
      <c r="BH26" s="12">
        <v>4</v>
      </c>
      <c r="BI26" s="12">
        <v>4</v>
      </c>
      <c r="BJ26" s="12">
        <v>4</v>
      </c>
      <c r="BK26" s="12">
        <v>24</v>
      </c>
      <c r="BL26" s="12">
        <v>24</v>
      </c>
      <c r="BM26" s="12">
        <v>24</v>
      </c>
      <c r="BN26" s="12">
        <v>24</v>
      </c>
      <c r="BO26" s="12">
        <v>24</v>
      </c>
      <c r="BP26" s="12">
        <v>24</v>
      </c>
      <c r="BQ26" s="12">
        <v>24</v>
      </c>
      <c r="BR26" s="12">
        <v>24</v>
      </c>
      <c r="BS26" s="12">
        <v>24</v>
      </c>
      <c r="BT26" s="12">
        <v>24</v>
      </c>
      <c r="BU26" s="12">
        <v>240</v>
      </c>
    </row>
    <row r="27" spans="1:73" s="9" customFormat="1" x14ac:dyDescent="0.25">
      <c r="A27" s="72">
        <v>1</v>
      </c>
      <c r="B27" s="72"/>
      <c r="C27" s="72"/>
      <c r="D27" s="72"/>
      <c r="E27" s="72"/>
      <c r="F27" s="72">
        <v>2</v>
      </c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>
        <v>3</v>
      </c>
      <c r="Y27" s="72"/>
      <c r="Z27" s="72"/>
      <c r="AA27" s="72"/>
      <c r="AB27" s="72">
        <v>4</v>
      </c>
      <c r="AC27" s="72"/>
      <c r="AD27" s="72"/>
      <c r="AE27" s="72"/>
      <c r="AF27" s="72">
        <v>5</v>
      </c>
      <c r="AG27" s="72"/>
      <c r="AH27" s="72"/>
      <c r="AI27" s="72">
        <v>6</v>
      </c>
      <c r="AJ27" s="72"/>
      <c r="AK27" s="72"/>
      <c r="AL27" s="72">
        <v>7</v>
      </c>
      <c r="AM27" s="72"/>
      <c r="AN27" s="72"/>
      <c r="AO27" s="72">
        <v>8</v>
      </c>
      <c r="AP27" s="72"/>
      <c r="AQ27" s="72"/>
      <c r="AR27" s="72">
        <v>9</v>
      </c>
      <c r="AS27" s="72"/>
      <c r="AT27" s="72"/>
      <c r="AU27" s="72">
        <v>10</v>
      </c>
      <c r="AV27" s="72"/>
      <c r="AW27" s="72"/>
      <c r="AX27" s="72">
        <v>11</v>
      </c>
      <c r="AY27" s="72"/>
      <c r="AZ27" s="72"/>
      <c r="BA27" s="8">
        <v>12</v>
      </c>
      <c r="BB27" s="8">
        <v>13</v>
      </c>
      <c r="BC27" s="8">
        <v>14</v>
      </c>
      <c r="BD27" s="8">
        <v>15</v>
      </c>
      <c r="BE27" s="8">
        <v>16</v>
      </c>
      <c r="BF27" s="8">
        <v>17</v>
      </c>
      <c r="BG27" s="8">
        <v>18</v>
      </c>
      <c r="BH27" s="8">
        <v>19</v>
      </c>
      <c r="BI27" s="8">
        <v>18</v>
      </c>
      <c r="BJ27" s="8">
        <v>19</v>
      </c>
      <c r="BK27" s="8">
        <v>20</v>
      </c>
      <c r="BL27" s="8">
        <v>21</v>
      </c>
      <c r="BM27" s="8">
        <v>22</v>
      </c>
      <c r="BN27" s="8">
        <v>23</v>
      </c>
      <c r="BO27" s="8">
        <v>24</v>
      </c>
      <c r="BP27" s="8">
        <v>25</v>
      </c>
      <c r="BQ27" s="8">
        <v>26</v>
      </c>
      <c r="BR27" s="8">
        <v>27</v>
      </c>
      <c r="BS27" s="8">
        <v>26</v>
      </c>
      <c r="BT27" s="8">
        <v>27</v>
      </c>
      <c r="BU27" s="8">
        <v>28</v>
      </c>
    </row>
    <row r="28" spans="1:73" s="15" customFormat="1" x14ac:dyDescent="0.25">
      <c r="A28" s="128" t="s">
        <v>54</v>
      </c>
      <c r="B28" s="128"/>
      <c r="C28" s="128"/>
      <c r="D28" s="128"/>
      <c r="E28" s="128"/>
      <c r="F28" s="129" t="s">
        <v>55</v>
      </c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29"/>
      <c r="W28" s="129"/>
      <c r="X28" s="128">
        <f>SUM(X29:AA56)</f>
        <v>5940</v>
      </c>
      <c r="Y28" s="128"/>
      <c r="Z28" s="128"/>
      <c r="AA28" s="128"/>
      <c r="AB28" s="130">
        <f>X28/$X$70*100</f>
        <v>85.34482758620689</v>
      </c>
      <c r="AC28" s="130"/>
      <c r="AD28" s="130"/>
      <c r="AE28" s="130"/>
      <c r="AF28" s="128">
        <f>SUM(AF29:AH56)</f>
        <v>980</v>
      </c>
      <c r="AG28" s="128"/>
      <c r="AH28" s="128"/>
      <c r="AI28" s="128">
        <f>SUM(AI29:AK56)</f>
        <v>460</v>
      </c>
      <c r="AJ28" s="128"/>
      <c r="AK28" s="128"/>
      <c r="AL28" s="128">
        <f>SUM(AL29:AN56)</f>
        <v>422</v>
      </c>
      <c r="AM28" s="128"/>
      <c r="AN28" s="128"/>
      <c r="AO28" s="128">
        <f>SUM(AO29:AQ56)</f>
        <v>6</v>
      </c>
      <c r="AP28" s="128"/>
      <c r="AQ28" s="128"/>
      <c r="AR28" s="128">
        <f>SUM(AR29:AT56)</f>
        <v>92</v>
      </c>
      <c r="AS28" s="128"/>
      <c r="AT28" s="128"/>
      <c r="AU28" s="128">
        <f>SUM(AU29:AW56)</f>
        <v>0</v>
      </c>
      <c r="AV28" s="128"/>
      <c r="AW28" s="128"/>
      <c r="AX28" s="128">
        <f>SUM(AX29:AZ56)</f>
        <v>4960</v>
      </c>
      <c r="AY28" s="128"/>
      <c r="AZ28" s="128"/>
      <c r="BA28" s="131">
        <f>SUM(BA29:BA56)</f>
        <v>44</v>
      </c>
      <c r="BB28" s="131">
        <f t="shared" ref="BA28:BT28" si="12">SUM(BB29:BB56)</f>
        <v>28</v>
      </c>
      <c r="BC28" s="131">
        <f t="shared" si="12"/>
        <v>40</v>
      </c>
      <c r="BD28" s="131">
        <f t="shared" si="12"/>
        <v>48</v>
      </c>
      <c r="BE28" s="131">
        <f t="shared" si="12"/>
        <v>24</v>
      </c>
      <c r="BF28" s="131">
        <f t="shared" si="12"/>
        <v>24</v>
      </c>
      <c r="BG28" s="131">
        <f t="shared" si="12"/>
        <v>24</v>
      </c>
      <c r="BH28" s="131">
        <f t="shared" si="12"/>
        <v>24</v>
      </c>
      <c r="BI28" s="131">
        <f t="shared" si="12"/>
        <v>32</v>
      </c>
      <c r="BJ28" s="131">
        <f t="shared" si="12"/>
        <v>20</v>
      </c>
      <c r="BK28" s="131">
        <f t="shared" si="12"/>
        <v>28</v>
      </c>
      <c r="BL28" s="131">
        <f t="shared" si="12"/>
        <v>22</v>
      </c>
      <c r="BM28" s="131">
        <f t="shared" si="12"/>
        <v>26</v>
      </c>
      <c r="BN28" s="131">
        <f t="shared" si="12"/>
        <v>28</v>
      </c>
      <c r="BO28" s="131">
        <f t="shared" si="12"/>
        <v>16</v>
      </c>
      <c r="BP28" s="131">
        <f t="shared" si="12"/>
        <v>18</v>
      </c>
      <c r="BQ28" s="131">
        <f t="shared" si="12"/>
        <v>14</v>
      </c>
      <c r="BR28" s="131">
        <f t="shared" si="12"/>
        <v>18</v>
      </c>
      <c r="BS28" s="131">
        <f t="shared" si="12"/>
        <v>16</v>
      </c>
      <c r="BT28" s="131">
        <f t="shared" si="12"/>
        <v>12</v>
      </c>
      <c r="BU28" s="131">
        <f>SUM(BK28:BT28)</f>
        <v>198</v>
      </c>
    </row>
    <row r="29" spans="1:73" x14ac:dyDescent="0.25">
      <c r="A29" s="29" t="s">
        <v>57</v>
      </c>
      <c r="B29" s="29"/>
      <c r="C29" s="32" t="s">
        <v>151</v>
      </c>
      <c r="D29" s="32"/>
      <c r="E29" s="32"/>
      <c r="F29" s="31" t="s">
        <v>243</v>
      </c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29">
        <f>BU29*30</f>
        <v>120</v>
      </c>
      <c r="Y29" s="29"/>
      <c r="Z29" s="29"/>
      <c r="AA29" s="29"/>
      <c r="AB29" s="29">
        <f>SUM(BA29:BJ29)*3</f>
        <v>12</v>
      </c>
      <c r="AC29" s="29"/>
      <c r="AD29" s="29"/>
      <c r="AE29" s="29"/>
      <c r="AF29" s="29">
        <f>SUM(AI29:AT29)</f>
        <v>16</v>
      </c>
      <c r="AG29" s="29"/>
      <c r="AH29" s="29"/>
      <c r="AI29" s="30">
        <v>8</v>
      </c>
      <c r="AJ29" s="30"/>
      <c r="AK29" s="30"/>
      <c r="AL29" s="30"/>
      <c r="AM29" s="30"/>
      <c r="AN29" s="30"/>
      <c r="AO29" s="30"/>
      <c r="AP29" s="30"/>
      <c r="AQ29" s="30"/>
      <c r="AR29" s="30">
        <v>8</v>
      </c>
      <c r="AS29" s="30"/>
      <c r="AT29" s="30"/>
      <c r="AU29" s="104"/>
      <c r="AV29" s="104"/>
      <c r="AW29" s="104"/>
      <c r="AX29" s="33">
        <f t="shared" ref="AX29" si="13">X29-SUM(AI29:AW29)</f>
        <v>104</v>
      </c>
      <c r="AY29" s="34"/>
      <c r="AZ29" s="35"/>
      <c r="BA29" s="18">
        <v>4</v>
      </c>
      <c r="BB29" s="16"/>
      <c r="BC29" s="16"/>
      <c r="BD29" s="16"/>
      <c r="BE29" s="16"/>
      <c r="BF29" s="16"/>
      <c r="BG29" s="16"/>
      <c r="BH29" s="16"/>
      <c r="BI29" s="16"/>
      <c r="BJ29" s="16"/>
      <c r="BK29" s="18">
        <v>4</v>
      </c>
      <c r="BL29" s="5"/>
      <c r="BM29" s="5"/>
      <c r="BN29" s="5"/>
      <c r="BO29" s="5"/>
      <c r="BP29" s="5"/>
      <c r="BQ29" s="5"/>
      <c r="BR29" s="5"/>
      <c r="BS29" s="5"/>
      <c r="BT29" s="5"/>
      <c r="BU29" s="1">
        <f>SUM(BK29:BT29)</f>
        <v>4</v>
      </c>
    </row>
    <row r="30" spans="1:73" x14ac:dyDescent="0.25">
      <c r="A30" s="29" t="s">
        <v>58</v>
      </c>
      <c r="B30" s="29"/>
      <c r="C30" s="32" t="s">
        <v>177</v>
      </c>
      <c r="D30" s="32"/>
      <c r="E30" s="32"/>
      <c r="F30" s="31" t="s">
        <v>154</v>
      </c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29">
        <f>BU30*30</f>
        <v>180</v>
      </c>
      <c r="Y30" s="29"/>
      <c r="Z30" s="29"/>
      <c r="AA30" s="29"/>
      <c r="AB30" s="29">
        <f t="shared" ref="AB30:AB56" si="14">SUM(BA30:BJ30)*3</f>
        <v>24</v>
      </c>
      <c r="AC30" s="29"/>
      <c r="AD30" s="29"/>
      <c r="AE30" s="29"/>
      <c r="AF30" s="29">
        <f t="shared" ref="AF30:AF44" si="15">SUM(AI30:AT30)</f>
        <v>24</v>
      </c>
      <c r="AG30" s="29"/>
      <c r="AH30" s="29"/>
      <c r="AI30" s="30">
        <v>12</v>
      </c>
      <c r="AJ30" s="30"/>
      <c r="AK30" s="30"/>
      <c r="AL30" s="30">
        <v>12</v>
      </c>
      <c r="AM30" s="30"/>
      <c r="AN30" s="30"/>
      <c r="AO30" s="30"/>
      <c r="AP30" s="30"/>
      <c r="AQ30" s="30"/>
      <c r="AR30" s="30"/>
      <c r="AS30" s="30"/>
      <c r="AT30" s="30"/>
      <c r="AU30" s="104"/>
      <c r="AV30" s="104"/>
      <c r="AW30" s="104"/>
      <c r="AX30" s="33">
        <f t="shared" ref="AX30:AX41" si="16">X30-SUM(AI30:AW30)</f>
        <v>156</v>
      </c>
      <c r="AY30" s="34"/>
      <c r="AZ30" s="35"/>
      <c r="BA30" s="16"/>
      <c r="BB30" s="16"/>
      <c r="BC30" s="16">
        <v>8</v>
      </c>
      <c r="BD30" s="16"/>
      <c r="BE30" s="16"/>
      <c r="BF30" s="16"/>
      <c r="BG30" s="16"/>
      <c r="BH30" s="16"/>
      <c r="BI30" s="16"/>
      <c r="BJ30" s="16"/>
      <c r="BK30" s="5"/>
      <c r="BL30" s="5"/>
      <c r="BM30" s="5">
        <v>6</v>
      </c>
      <c r="BN30" s="5"/>
      <c r="BO30" s="5"/>
      <c r="BP30" s="5"/>
      <c r="BQ30" s="5"/>
      <c r="BR30" s="5"/>
      <c r="BS30" s="5"/>
      <c r="BT30" s="5"/>
      <c r="BU30" s="1">
        <f t="shared" ref="BU30:BU56" si="17">SUM(BK30:BT30)</f>
        <v>6</v>
      </c>
    </row>
    <row r="31" spans="1:73" x14ac:dyDescent="0.25">
      <c r="A31" s="29" t="s">
        <v>61</v>
      </c>
      <c r="B31" s="29"/>
      <c r="C31" s="32" t="s">
        <v>178</v>
      </c>
      <c r="D31" s="32"/>
      <c r="E31" s="32"/>
      <c r="F31" s="31" t="s">
        <v>123</v>
      </c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29">
        <f t="shared" ref="X31:X56" si="18">BU31*30</f>
        <v>300</v>
      </c>
      <c r="Y31" s="29"/>
      <c r="Z31" s="29"/>
      <c r="AA31" s="29"/>
      <c r="AB31" s="29">
        <f t="shared" si="14"/>
        <v>48</v>
      </c>
      <c r="AC31" s="29"/>
      <c r="AD31" s="29"/>
      <c r="AE31" s="29"/>
      <c r="AF31" s="29">
        <f t="shared" si="15"/>
        <v>48</v>
      </c>
      <c r="AG31" s="29"/>
      <c r="AH31" s="29"/>
      <c r="AI31" s="30">
        <v>24</v>
      </c>
      <c r="AJ31" s="30"/>
      <c r="AK31" s="30"/>
      <c r="AL31" s="30">
        <v>24</v>
      </c>
      <c r="AM31" s="30"/>
      <c r="AN31" s="30"/>
      <c r="AO31" s="30"/>
      <c r="AP31" s="30"/>
      <c r="AQ31" s="30"/>
      <c r="AR31" s="30"/>
      <c r="AS31" s="30"/>
      <c r="AT31" s="30"/>
      <c r="AU31" s="104"/>
      <c r="AV31" s="104"/>
      <c r="AW31" s="104"/>
      <c r="AX31" s="33">
        <f t="shared" si="16"/>
        <v>252</v>
      </c>
      <c r="AY31" s="34"/>
      <c r="AZ31" s="35"/>
      <c r="BA31" s="16"/>
      <c r="BB31" s="16"/>
      <c r="BC31" s="16">
        <v>8</v>
      </c>
      <c r="BD31" s="16">
        <v>8</v>
      </c>
      <c r="BE31" s="16"/>
      <c r="BF31" s="16"/>
      <c r="BG31" s="16"/>
      <c r="BH31" s="16"/>
      <c r="BI31" s="16"/>
      <c r="BJ31" s="16"/>
      <c r="BK31" s="5"/>
      <c r="BL31" s="5"/>
      <c r="BM31" s="5">
        <v>4</v>
      </c>
      <c r="BN31" s="5">
        <v>6</v>
      </c>
      <c r="BO31" s="5"/>
      <c r="BP31" s="5"/>
      <c r="BQ31" s="5"/>
      <c r="BR31" s="5"/>
      <c r="BS31" s="5"/>
      <c r="BT31" s="5"/>
      <c r="BU31" s="1">
        <f t="shared" si="17"/>
        <v>10</v>
      </c>
    </row>
    <row r="32" spans="1:73" x14ac:dyDescent="0.25">
      <c r="A32" s="29" t="s">
        <v>62</v>
      </c>
      <c r="B32" s="29"/>
      <c r="C32" s="32" t="s">
        <v>179</v>
      </c>
      <c r="D32" s="32"/>
      <c r="E32" s="32"/>
      <c r="F32" s="31" t="s">
        <v>124</v>
      </c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29">
        <f t="shared" si="18"/>
        <v>300</v>
      </c>
      <c r="Y32" s="29"/>
      <c r="Z32" s="29"/>
      <c r="AA32" s="29"/>
      <c r="AB32" s="29">
        <f t="shared" si="14"/>
        <v>48</v>
      </c>
      <c r="AC32" s="29"/>
      <c r="AD32" s="29"/>
      <c r="AE32" s="29"/>
      <c r="AF32" s="29">
        <f t="shared" si="15"/>
        <v>64</v>
      </c>
      <c r="AG32" s="29"/>
      <c r="AH32" s="29"/>
      <c r="AI32" s="30">
        <v>24</v>
      </c>
      <c r="AJ32" s="30"/>
      <c r="AK32" s="30"/>
      <c r="AL32" s="30">
        <v>24</v>
      </c>
      <c r="AM32" s="30"/>
      <c r="AN32" s="30"/>
      <c r="AO32" s="30"/>
      <c r="AP32" s="30"/>
      <c r="AQ32" s="30"/>
      <c r="AR32" s="30">
        <v>16</v>
      </c>
      <c r="AS32" s="30"/>
      <c r="AT32" s="30"/>
      <c r="AU32" s="104"/>
      <c r="AV32" s="104"/>
      <c r="AW32" s="104"/>
      <c r="AX32" s="33">
        <f t="shared" si="16"/>
        <v>236</v>
      </c>
      <c r="AY32" s="34"/>
      <c r="AZ32" s="35"/>
      <c r="BA32" s="18">
        <v>8</v>
      </c>
      <c r="BB32" s="18">
        <v>8</v>
      </c>
      <c r="BC32" s="16"/>
      <c r="BD32" s="16"/>
      <c r="BE32" s="16"/>
      <c r="BF32" s="16"/>
      <c r="BG32" s="16"/>
      <c r="BH32" s="16"/>
      <c r="BI32" s="16"/>
      <c r="BJ32" s="16"/>
      <c r="BK32" s="18">
        <v>4</v>
      </c>
      <c r="BL32" s="18">
        <v>6</v>
      </c>
      <c r="BM32" s="5"/>
      <c r="BN32" s="5"/>
      <c r="BO32" s="5"/>
      <c r="BP32" s="5"/>
      <c r="BQ32" s="5"/>
      <c r="BR32" s="5"/>
      <c r="BS32" s="5"/>
      <c r="BT32" s="5"/>
      <c r="BU32" s="1">
        <f t="shared" si="17"/>
        <v>10</v>
      </c>
    </row>
    <row r="33" spans="1:73" x14ac:dyDescent="0.25">
      <c r="A33" s="29" t="s">
        <v>63</v>
      </c>
      <c r="B33" s="29"/>
      <c r="C33" s="32" t="s">
        <v>204</v>
      </c>
      <c r="D33" s="32"/>
      <c r="E33" s="32"/>
      <c r="F33" s="31" t="s">
        <v>242</v>
      </c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29">
        <f t="shared" si="18"/>
        <v>480</v>
      </c>
      <c r="Y33" s="29"/>
      <c r="Z33" s="29"/>
      <c r="AA33" s="29"/>
      <c r="AB33" s="29">
        <f t="shared" si="14"/>
        <v>60</v>
      </c>
      <c r="AC33" s="29"/>
      <c r="AD33" s="29"/>
      <c r="AE33" s="29"/>
      <c r="AF33" s="29">
        <f t="shared" si="15"/>
        <v>48</v>
      </c>
      <c r="AG33" s="29"/>
      <c r="AH33" s="29"/>
      <c r="AI33" s="30">
        <v>24</v>
      </c>
      <c r="AJ33" s="30"/>
      <c r="AK33" s="30"/>
      <c r="AL33" s="30">
        <v>12</v>
      </c>
      <c r="AM33" s="30"/>
      <c r="AN33" s="30"/>
      <c r="AO33" s="30"/>
      <c r="AP33" s="30"/>
      <c r="AQ33" s="30"/>
      <c r="AR33" s="30">
        <v>12</v>
      </c>
      <c r="AS33" s="30"/>
      <c r="AT33" s="30"/>
      <c r="AU33" s="104" t="s">
        <v>247</v>
      </c>
      <c r="AV33" s="104"/>
      <c r="AW33" s="104"/>
      <c r="AX33" s="33">
        <f t="shared" si="16"/>
        <v>432</v>
      </c>
      <c r="AY33" s="34"/>
      <c r="AZ33" s="35"/>
      <c r="BA33" s="18">
        <v>4</v>
      </c>
      <c r="BB33" s="16"/>
      <c r="BC33" s="16">
        <v>8</v>
      </c>
      <c r="BD33" s="16">
        <v>8</v>
      </c>
      <c r="BE33" s="16"/>
      <c r="BF33" s="16"/>
      <c r="BG33" s="16"/>
      <c r="BH33" s="16"/>
      <c r="BI33" s="16"/>
      <c r="BJ33" s="16"/>
      <c r="BK33" s="18">
        <v>4</v>
      </c>
      <c r="BL33" s="5"/>
      <c r="BM33" s="5">
        <v>6</v>
      </c>
      <c r="BN33" s="5">
        <v>6</v>
      </c>
      <c r="BO33" s="5"/>
      <c r="BP33" s="5"/>
      <c r="BQ33" s="5"/>
      <c r="BR33" s="5"/>
      <c r="BS33" s="5"/>
      <c r="BT33" s="5"/>
      <c r="BU33" s="1">
        <f t="shared" si="17"/>
        <v>16</v>
      </c>
    </row>
    <row r="34" spans="1:73" x14ac:dyDescent="0.25">
      <c r="A34" s="29" t="s">
        <v>64</v>
      </c>
      <c r="B34" s="29"/>
      <c r="C34" s="32" t="s">
        <v>205</v>
      </c>
      <c r="D34" s="32"/>
      <c r="E34" s="32"/>
      <c r="F34" s="31" t="s">
        <v>126</v>
      </c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29">
        <f t="shared" si="18"/>
        <v>240</v>
      </c>
      <c r="Y34" s="29"/>
      <c r="Z34" s="29"/>
      <c r="AA34" s="29"/>
      <c r="AB34" s="29">
        <f t="shared" si="14"/>
        <v>48</v>
      </c>
      <c r="AC34" s="29"/>
      <c r="AD34" s="29"/>
      <c r="AE34" s="29"/>
      <c r="AF34" s="29">
        <f t="shared" si="15"/>
        <v>48</v>
      </c>
      <c r="AG34" s="29"/>
      <c r="AH34" s="29"/>
      <c r="AI34" s="30"/>
      <c r="AJ34" s="30"/>
      <c r="AK34" s="30"/>
      <c r="AL34" s="30">
        <v>48</v>
      </c>
      <c r="AM34" s="30"/>
      <c r="AN34" s="30"/>
      <c r="AO34" s="30"/>
      <c r="AP34" s="30"/>
      <c r="AQ34" s="30"/>
      <c r="AR34" s="30"/>
      <c r="AS34" s="30"/>
      <c r="AT34" s="30"/>
      <c r="AU34" s="104"/>
      <c r="AV34" s="104"/>
      <c r="AW34" s="104"/>
      <c r="AX34" s="33">
        <f t="shared" si="16"/>
        <v>192</v>
      </c>
      <c r="AY34" s="34"/>
      <c r="AZ34" s="35"/>
      <c r="BA34" s="16"/>
      <c r="BB34" s="16"/>
      <c r="BC34" s="16">
        <v>8</v>
      </c>
      <c r="BD34" s="16">
        <v>8</v>
      </c>
      <c r="BE34" s="16"/>
      <c r="BF34" s="16"/>
      <c r="BG34" s="16"/>
      <c r="BH34" s="16"/>
      <c r="BI34" s="16"/>
      <c r="BJ34" s="16"/>
      <c r="BK34" s="5"/>
      <c r="BL34" s="5"/>
      <c r="BM34" s="5">
        <v>4</v>
      </c>
      <c r="BN34" s="5">
        <v>4</v>
      </c>
      <c r="BO34" s="5"/>
      <c r="BP34" s="5"/>
      <c r="BQ34" s="5"/>
      <c r="BR34" s="5"/>
      <c r="BS34" s="5"/>
      <c r="BT34" s="5"/>
      <c r="BU34" s="1">
        <f t="shared" si="17"/>
        <v>8</v>
      </c>
    </row>
    <row r="35" spans="1:73" x14ac:dyDescent="0.25">
      <c r="A35" s="29" t="s">
        <v>65</v>
      </c>
      <c r="B35" s="29"/>
      <c r="C35" s="32" t="s">
        <v>206</v>
      </c>
      <c r="D35" s="32"/>
      <c r="E35" s="32"/>
      <c r="F35" s="31" t="s">
        <v>240</v>
      </c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29">
        <f t="shared" si="18"/>
        <v>120</v>
      </c>
      <c r="Y35" s="29"/>
      <c r="Z35" s="29"/>
      <c r="AA35" s="29"/>
      <c r="AB35" s="29">
        <f t="shared" si="14"/>
        <v>18</v>
      </c>
      <c r="AC35" s="29"/>
      <c r="AD35" s="29"/>
      <c r="AE35" s="29"/>
      <c r="AF35" s="29">
        <f t="shared" si="15"/>
        <v>24</v>
      </c>
      <c r="AG35" s="29"/>
      <c r="AH35" s="29"/>
      <c r="AI35" s="30">
        <v>12</v>
      </c>
      <c r="AJ35" s="30"/>
      <c r="AK35" s="30"/>
      <c r="AL35" s="30"/>
      <c r="AM35" s="30"/>
      <c r="AN35" s="30"/>
      <c r="AO35" s="30"/>
      <c r="AP35" s="30"/>
      <c r="AQ35" s="30"/>
      <c r="AR35" s="30">
        <v>12</v>
      </c>
      <c r="AS35" s="30"/>
      <c r="AT35" s="30"/>
      <c r="AU35" s="104"/>
      <c r="AV35" s="104"/>
      <c r="AW35" s="104"/>
      <c r="AX35" s="33">
        <f t="shared" si="16"/>
        <v>96</v>
      </c>
      <c r="AY35" s="34"/>
      <c r="AZ35" s="35"/>
      <c r="BA35" s="18">
        <v>6</v>
      </c>
      <c r="BB35" s="16"/>
      <c r="BC35" s="16"/>
      <c r="BD35" s="16"/>
      <c r="BE35" s="16"/>
      <c r="BF35" s="16"/>
      <c r="BG35" s="16"/>
      <c r="BH35" s="16"/>
      <c r="BI35" s="16"/>
      <c r="BJ35" s="16"/>
      <c r="BK35" s="18">
        <v>4</v>
      </c>
      <c r="BL35" s="5"/>
      <c r="BM35" s="5"/>
      <c r="BN35" s="5"/>
      <c r="BO35" s="5"/>
      <c r="BP35" s="5"/>
      <c r="BQ35" s="5"/>
      <c r="BR35" s="5"/>
      <c r="BS35" s="5"/>
      <c r="BT35" s="5"/>
      <c r="BU35" s="1">
        <f t="shared" si="17"/>
        <v>4</v>
      </c>
    </row>
    <row r="36" spans="1:73" x14ac:dyDescent="0.25">
      <c r="A36" s="29" t="s">
        <v>66</v>
      </c>
      <c r="B36" s="29"/>
      <c r="C36" s="32" t="s">
        <v>207</v>
      </c>
      <c r="D36" s="32"/>
      <c r="E36" s="32"/>
      <c r="F36" s="31" t="s">
        <v>128</v>
      </c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29">
        <f t="shared" si="18"/>
        <v>120</v>
      </c>
      <c r="Y36" s="29"/>
      <c r="Z36" s="29"/>
      <c r="AA36" s="29"/>
      <c r="AB36" s="29">
        <f t="shared" si="14"/>
        <v>24</v>
      </c>
      <c r="AC36" s="29"/>
      <c r="AD36" s="29"/>
      <c r="AE36" s="29"/>
      <c r="AF36" s="29">
        <f t="shared" si="15"/>
        <v>24</v>
      </c>
      <c r="AG36" s="29"/>
      <c r="AH36" s="29"/>
      <c r="AI36" s="30"/>
      <c r="AJ36" s="30"/>
      <c r="AK36" s="30"/>
      <c r="AL36" s="30">
        <v>24</v>
      </c>
      <c r="AM36" s="30"/>
      <c r="AN36" s="30"/>
      <c r="AO36" s="30"/>
      <c r="AP36" s="30"/>
      <c r="AQ36" s="30"/>
      <c r="AR36" s="30"/>
      <c r="AS36" s="30"/>
      <c r="AT36" s="30"/>
      <c r="AU36" s="104"/>
      <c r="AV36" s="104"/>
      <c r="AW36" s="104"/>
      <c r="AX36" s="33">
        <f t="shared" si="16"/>
        <v>96</v>
      </c>
      <c r="AY36" s="34"/>
      <c r="AZ36" s="35"/>
      <c r="BA36" s="16"/>
      <c r="BB36" s="16"/>
      <c r="BC36" s="16"/>
      <c r="BD36" s="16">
        <v>8</v>
      </c>
      <c r="BE36" s="16"/>
      <c r="BF36" s="16"/>
      <c r="BG36" s="16"/>
      <c r="BH36" s="16"/>
      <c r="BI36" s="16"/>
      <c r="BJ36" s="16"/>
      <c r="BK36" s="5"/>
      <c r="BL36" s="5"/>
      <c r="BM36" s="5"/>
      <c r="BN36" s="5">
        <v>4</v>
      </c>
      <c r="BO36" s="5"/>
      <c r="BP36" s="5"/>
      <c r="BQ36" s="5"/>
      <c r="BR36" s="5"/>
      <c r="BS36" s="5"/>
      <c r="BT36" s="5"/>
      <c r="BU36" s="1">
        <f t="shared" si="17"/>
        <v>4</v>
      </c>
    </row>
    <row r="37" spans="1:73" x14ac:dyDescent="0.25">
      <c r="A37" s="29" t="s">
        <v>67</v>
      </c>
      <c r="B37" s="29"/>
      <c r="C37" s="32" t="s">
        <v>208</v>
      </c>
      <c r="D37" s="32"/>
      <c r="E37" s="32"/>
      <c r="F37" s="31" t="s">
        <v>164</v>
      </c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29">
        <f t="shared" si="18"/>
        <v>120</v>
      </c>
      <c r="Y37" s="29"/>
      <c r="Z37" s="29"/>
      <c r="AA37" s="29"/>
      <c r="AB37" s="29">
        <f t="shared" si="14"/>
        <v>24</v>
      </c>
      <c r="AC37" s="29"/>
      <c r="AD37" s="29"/>
      <c r="AE37" s="29"/>
      <c r="AF37" s="29">
        <f t="shared" si="15"/>
        <v>24</v>
      </c>
      <c r="AG37" s="29"/>
      <c r="AH37" s="29"/>
      <c r="AI37" s="30">
        <v>12</v>
      </c>
      <c r="AJ37" s="30"/>
      <c r="AK37" s="30"/>
      <c r="AL37" s="30">
        <v>12</v>
      </c>
      <c r="AM37" s="30"/>
      <c r="AN37" s="30"/>
      <c r="AO37" s="30"/>
      <c r="AP37" s="30"/>
      <c r="AQ37" s="30"/>
      <c r="AR37" s="30"/>
      <c r="AS37" s="30"/>
      <c r="AT37" s="30"/>
      <c r="AU37" s="104"/>
      <c r="AV37" s="104"/>
      <c r="AW37" s="104"/>
      <c r="AX37" s="33">
        <f t="shared" si="16"/>
        <v>96</v>
      </c>
      <c r="AY37" s="34"/>
      <c r="AZ37" s="35"/>
      <c r="BA37" s="16"/>
      <c r="BB37" s="16"/>
      <c r="BC37" s="16"/>
      <c r="BD37" s="16"/>
      <c r="BE37" s="16">
        <v>8</v>
      </c>
      <c r="BF37" s="16"/>
      <c r="BG37" s="16"/>
      <c r="BH37" s="16"/>
      <c r="BI37" s="16"/>
      <c r="BJ37" s="16"/>
      <c r="BK37" s="5"/>
      <c r="BL37" s="5"/>
      <c r="BM37" s="5"/>
      <c r="BN37" s="5"/>
      <c r="BO37" s="5">
        <v>4</v>
      </c>
      <c r="BP37" s="5"/>
      <c r="BQ37" s="5"/>
      <c r="BR37" s="5"/>
      <c r="BS37" s="5"/>
      <c r="BT37" s="5"/>
      <c r="BU37" s="1">
        <f t="shared" si="17"/>
        <v>4</v>
      </c>
    </row>
    <row r="38" spans="1:73" x14ac:dyDescent="0.25">
      <c r="A38" s="29" t="s">
        <v>68</v>
      </c>
      <c r="B38" s="29"/>
      <c r="C38" s="32" t="s">
        <v>153</v>
      </c>
      <c r="D38" s="32"/>
      <c r="E38" s="32"/>
      <c r="F38" s="31" t="s">
        <v>129</v>
      </c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29">
        <f t="shared" si="18"/>
        <v>180</v>
      </c>
      <c r="Y38" s="29"/>
      <c r="Z38" s="29"/>
      <c r="AA38" s="29"/>
      <c r="AB38" s="29">
        <f t="shared" si="14"/>
        <v>24</v>
      </c>
      <c r="AC38" s="29"/>
      <c r="AD38" s="29"/>
      <c r="AE38" s="29"/>
      <c r="AF38" s="29">
        <f t="shared" si="15"/>
        <v>24</v>
      </c>
      <c r="AG38" s="29"/>
      <c r="AH38" s="29"/>
      <c r="AI38" s="30">
        <v>12</v>
      </c>
      <c r="AJ38" s="30"/>
      <c r="AK38" s="30"/>
      <c r="AL38" s="30">
        <v>6</v>
      </c>
      <c r="AM38" s="30"/>
      <c r="AN38" s="30"/>
      <c r="AO38" s="30">
        <v>6</v>
      </c>
      <c r="AP38" s="30"/>
      <c r="AQ38" s="30"/>
      <c r="AR38" s="30"/>
      <c r="AS38" s="30"/>
      <c r="AT38" s="30"/>
      <c r="AU38" s="104"/>
      <c r="AV38" s="104"/>
      <c r="AW38" s="104"/>
      <c r="AX38" s="33">
        <f t="shared" si="16"/>
        <v>156</v>
      </c>
      <c r="AY38" s="34"/>
      <c r="AZ38" s="35"/>
      <c r="BA38" s="16"/>
      <c r="BB38" s="16"/>
      <c r="BC38" s="16">
        <v>8</v>
      </c>
      <c r="BD38" s="16"/>
      <c r="BE38" s="16"/>
      <c r="BF38" s="16"/>
      <c r="BG38" s="16"/>
      <c r="BH38" s="16"/>
      <c r="BI38" s="16"/>
      <c r="BJ38" s="16"/>
      <c r="BK38" s="5"/>
      <c r="BL38" s="5"/>
      <c r="BM38" s="5">
        <v>6</v>
      </c>
      <c r="BN38" s="5"/>
      <c r="BO38" s="5"/>
      <c r="BP38" s="5"/>
      <c r="BQ38" s="5"/>
      <c r="BR38" s="5"/>
      <c r="BS38" s="5"/>
      <c r="BT38" s="5"/>
      <c r="BU38" s="1">
        <f t="shared" si="17"/>
        <v>6</v>
      </c>
    </row>
    <row r="39" spans="1:73" x14ac:dyDescent="0.25">
      <c r="A39" s="29" t="s">
        <v>69</v>
      </c>
      <c r="B39" s="29"/>
      <c r="C39" s="32" t="s">
        <v>209</v>
      </c>
      <c r="D39" s="32"/>
      <c r="E39" s="32"/>
      <c r="F39" s="31" t="s">
        <v>130</v>
      </c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29">
        <f t="shared" si="18"/>
        <v>300</v>
      </c>
      <c r="Y39" s="29"/>
      <c r="Z39" s="29"/>
      <c r="AA39" s="29"/>
      <c r="AB39" s="29">
        <f t="shared" si="14"/>
        <v>48</v>
      </c>
      <c r="AC39" s="29"/>
      <c r="AD39" s="29"/>
      <c r="AE39" s="29"/>
      <c r="AF39" s="29">
        <f t="shared" si="15"/>
        <v>48</v>
      </c>
      <c r="AG39" s="29"/>
      <c r="AH39" s="29"/>
      <c r="AI39" s="30">
        <v>24</v>
      </c>
      <c r="AJ39" s="30"/>
      <c r="AK39" s="30"/>
      <c r="AL39" s="30">
        <v>24</v>
      </c>
      <c r="AM39" s="30"/>
      <c r="AN39" s="30"/>
      <c r="AO39" s="30"/>
      <c r="AP39" s="30"/>
      <c r="AQ39" s="30"/>
      <c r="AR39" s="30"/>
      <c r="AS39" s="30"/>
      <c r="AT39" s="30"/>
      <c r="AU39" s="104"/>
      <c r="AV39" s="104"/>
      <c r="AW39" s="104"/>
      <c r="AX39" s="33">
        <f t="shared" si="16"/>
        <v>252</v>
      </c>
      <c r="AY39" s="34"/>
      <c r="AZ39" s="35"/>
      <c r="BA39" s="16"/>
      <c r="BB39" s="16"/>
      <c r="BC39" s="16"/>
      <c r="BD39" s="16">
        <v>8</v>
      </c>
      <c r="BE39" s="16">
        <v>8</v>
      </c>
      <c r="BF39" s="16"/>
      <c r="BG39" s="16"/>
      <c r="BH39" s="16"/>
      <c r="BI39" s="16"/>
      <c r="BJ39" s="16"/>
      <c r="BK39" s="5"/>
      <c r="BL39" s="5"/>
      <c r="BM39" s="5"/>
      <c r="BN39" s="5">
        <v>4</v>
      </c>
      <c r="BO39" s="5">
        <v>6</v>
      </c>
      <c r="BP39" s="5"/>
      <c r="BQ39" s="5"/>
      <c r="BR39" s="5"/>
      <c r="BS39" s="5"/>
      <c r="BT39" s="5"/>
      <c r="BU39" s="1">
        <f t="shared" si="17"/>
        <v>10</v>
      </c>
    </row>
    <row r="40" spans="1:73" x14ac:dyDescent="0.25">
      <c r="A40" s="29" t="s">
        <v>70</v>
      </c>
      <c r="B40" s="29"/>
      <c r="C40" s="32" t="s">
        <v>210</v>
      </c>
      <c r="D40" s="32"/>
      <c r="E40" s="32"/>
      <c r="F40" s="31" t="s">
        <v>131</v>
      </c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29">
        <f t="shared" si="18"/>
        <v>480</v>
      </c>
      <c r="Y40" s="29"/>
      <c r="Z40" s="29"/>
      <c r="AA40" s="29"/>
      <c r="AB40" s="29">
        <f t="shared" si="14"/>
        <v>72</v>
      </c>
      <c r="AC40" s="29"/>
      <c r="AD40" s="29"/>
      <c r="AE40" s="29"/>
      <c r="AF40" s="29">
        <f t="shared" si="15"/>
        <v>72</v>
      </c>
      <c r="AG40" s="29"/>
      <c r="AH40" s="29"/>
      <c r="AI40" s="30">
        <v>36</v>
      </c>
      <c r="AJ40" s="30"/>
      <c r="AK40" s="30"/>
      <c r="AL40" s="30">
        <v>36</v>
      </c>
      <c r="AM40" s="30"/>
      <c r="AN40" s="30"/>
      <c r="AO40" s="30"/>
      <c r="AP40" s="30"/>
      <c r="AQ40" s="30"/>
      <c r="AR40" s="30"/>
      <c r="AS40" s="30"/>
      <c r="AT40" s="30"/>
      <c r="AU40" s="104"/>
      <c r="AV40" s="104"/>
      <c r="AW40" s="104"/>
      <c r="AX40" s="33">
        <f t="shared" si="16"/>
        <v>408</v>
      </c>
      <c r="AY40" s="34"/>
      <c r="AZ40" s="35"/>
      <c r="BA40" s="16"/>
      <c r="BB40" s="16"/>
      <c r="BC40" s="16"/>
      <c r="BD40" s="16">
        <v>8</v>
      </c>
      <c r="BE40" s="16">
        <v>8</v>
      </c>
      <c r="BF40" s="16">
        <v>8</v>
      </c>
      <c r="BG40" s="16"/>
      <c r="BH40" s="16"/>
      <c r="BI40" s="16"/>
      <c r="BJ40" s="16"/>
      <c r="BK40" s="5"/>
      <c r="BL40" s="5"/>
      <c r="BM40" s="5"/>
      <c r="BN40" s="5">
        <v>4</v>
      </c>
      <c r="BO40" s="5">
        <v>6</v>
      </c>
      <c r="BP40" s="5">
        <v>6</v>
      </c>
      <c r="BQ40" s="5"/>
      <c r="BR40" s="5"/>
      <c r="BS40" s="5"/>
      <c r="BT40" s="5"/>
      <c r="BU40" s="1">
        <f t="shared" si="17"/>
        <v>16</v>
      </c>
    </row>
    <row r="41" spans="1:73" x14ac:dyDescent="0.25">
      <c r="A41" s="29" t="s">
        <v>71</v>
      </c>
      <c r="B41" s="29"/>
      <c r="C41" s="32" t="s">
        <v>211</v>
      </c>
      <c r="D41" s="32"/>
      <c r="E41" s="32"/>
      <c r="F41" s="31" t="s">
        <v>163</v>
      </c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29">
        <f t="shared" si="18"/>
        <v>180</v>
      </c>
      <c r="Y41" s="29"/>
      <c r="Z41" s="29"/>
      <c r="AA41" s="29"/>
      <c r="AB41" s="29">
        <f t="shared" si="14"/>
        <v>24</v>
      </c>
      <c r="AC41" s="29"/>
      <c r="AD41" s="29"/>
      <c r="AE41" s="29"/>
      <c r="AF41" s="29">
        <f t="shared" si="15"/>
        <v>24</v>
      </c>
      <c r="AG41" s="29"/>
      <c r="AH41" s="29"/>
      <c r="AI41" s="30">
        <v>12</v>
      </c>
      <c r="AJ41" s="30"/>
      <c r="AK41" s="30"/>
      <c r="AL41" s="30">
        <v>12</v>
      </c>
      <c r="AM41" s="30"/>
      <c r="AN41" s="30"/>
      <c r="AO41" s="30"/>
      <c r="AP41" s="30"/>
      <c r="AQ41" s="30"/>
      <c r="AR41" s="30"/>
      <c r="AS41" s="30"/>
      <c r="AT41" s="30"/>
      <c r="AU41" s="104"/>
      <c r="AV41" s="104"/>
      <c r="AW41" s="104"/>
      <c r="AX41" s="33">
        <f t="shared" si="16"/>
        <v>156</v>
      </c>
      <c r="AY41" s="34"/>
      <c r="AZ41" s="35"/>
      <c r="BA41" s="16"/>
      <c r="BB41" s="16"/>
      <c r="BC41" s="16"/>
      <c r="BD41" s="16"/>
      <c r="BE41" s="16"/>
      <c r="BF41" s="16">
        <v>8</v>
      </c>
      <c r="BG41" s="16"/>
      <c r="BH41" s="16"/>
      <c r="BI41" s="16"/>
      <c r="BJ41" s="16"/>
      <c r="BK41" s="5"/>
      <c r="BL41" s="5"/>
      <c r="BM41" s="5"/>
      <c r="BN41" s="5"/>
      <c r="BO41" s="5"/>
      <c r="BP41" s="5">
        <v>6</v>
      </c>
      <c r="BQ41" s="5"/>
      <c r="BR41" s="5"/>
      <c r="BS41" s="5"/>
      <c r="BT41" s="5"/>
      <c r="BU41" s="1">
        <f t="shared" si="17"/>
        <v>6</v>
      </c>
    </row>
    <row r="42" spans="1:73" x14ac:dyDescent="0.25">
      <c r="A42" s="29" t="s">
        <v>72</v>
      </c>
      <c r="B42" s="29"/>
      <c r="C42" s="32" t="s">
        <v>212</v>
      </c>
      <c r="D42" s="32"/>
      <c r="E42" s="32"/>
      <c r="F42" s="31" t="s">
        <v>132</v>
      </c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29">
        <f t="shared" si="18"/>
        <v>180</v>
      </c>
      <c r="Y42" s="29"/>
      <c r="Z42" s="29"/>
      <c r="AA42" s="29"/>
      <c r="AB42" s="29">
        <f t="shared" si="14"/>
        <v>24</v>
      </c>
      <c r="AC42" s="29"/>
      <c r="AD42" s="29"/>
      <c r="AE42" s="29"/>
      <c r="AF42" s="29">
        <f t="shared" si="15"/>
        <v>24</v>
      </c>
      <c r="AG42" s="29"/>
      <c r="AH42" s="29"/>
      <c r="AI42" s="30">
        <v>12</v>
      </c>
      <c r="AJ42" s="30"/>
      <c r="AK42" s="30"/>
      <c r="AL42" s="30">
        <v>12</v>
      </c>
      <c r="AM42" s="30"/>
      <c r="AN42" s="30"/>
      <c r="AO42" s="30"/>
      <c r="AP42" s="30"/>
      <c r="AQ42" s="30"/>
      <c r="AR42" s="30"/>
      <c r="AS42" s="30"/>
      <c r="AT42" s="30"/>
      <c r="AU42" s="104"/>
      <c r="AV42" s="104"/>
      <c r="AW42" s="104"/>
      <c r="AX42" s="33">
        <f t="shared" ref="AX42:AX56" si="19">X42-SUM(AI42:AW42)</f>
        <v>156</v>
      </c>
      <c r="AY42" s="34"/>
      <c r="AZ42" s="35"/>
      <c r="BA42" s="16"/>
      <c r="BB42" s="16"/>
      <c r="BC42" s="16"/>
      <c r="BD42" s="16"/>
      <c r="BE42" s="16"/>
      <c r="BF42" s="16">
        <v>8</v>
      </c>
      <c r="BG42" s="16"/>
      <c r="BH42" s="16"/>
      <c r="BI42" s="16"/>
      <c r="BJ42" s="16"/>
      <c r="BK42" s="5"/>
      <c r="BL42" s="5"/>
      <c r="BM42" s="5"/>
      <c r="BN42" s="5"/>
      <c r="BO42" s="5"/>
      <c r="BP42" s="5">
        <v>6</v>
      </c>
      <c r="BQ42" s="5"/>
      <c r="BR42" s="5"/>
      <c r="BS42" s="5"/>
      <c r="BT42" s="5"/>
      <c r="BU42" s="1">
        <f t="shared" si="17"/>
        <v>6</v>
      </c>
    </row>
    <row r="43" spans="1:73" x14ac:dyDescent="0.25">
      <c r="A43" s="29" t="s">
        <v>73</v>
      </c>
      <c r="B43" s="29"/>
      <c r="C43" s="32" t="s">
        <v>213</v>
      </c>
      <c r="D43" s="32"/>
      <c r="E43" s="32"/>
      <c r="F43" s="31" t="s">
        <v>133</v>
      </c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29">
        <f t="shared" si="18"/>
        <v>300</v>
      </c>
      <c r="Y43" s="29"/>
      <c r="Z43" s="29"/>
      <c r="AA43" s="29"/>
      <c r="AB43" s="29">
        <f t="shared" si="14"/>
        <v>48</v>
      </c>
      <c r="AC43" s="29"/>
      <c r="AD43" s="29"/>
      <c r="AE43" s="29"/>
      <c r="AF43" s="29">
        <f t="shared" si="15"/>
        <v>48</v>
      </c>
      <c r="AG43" s="29"/>
      <c r="AH43" s="29"/>
      <c r="AI43" s="30">
        <v>24</v>
      </c>
      <c r="AJ43" s="30"/>
      <c r="AK43" s="30"/>
      <c r="AL43" s="30">
        <v>24</v>
      </c>
      <c r="AM43" s="30"/>
      <c r="AN43" s="30"/>
      <c r="AO43" s="30"/>
      <c r="AP43" s="30"/>
      <c r="AQ43" s="30"/>
      <c r="AR43" s="30"/>
      <c r="AS43" s="30"/>
      <c r="AT43" s="30"/>
      <c r="AU43" s="104"/>
      <c r="AV43" s="104"/>
      <c r="AW43" s="104"/>
      <c r="AX43" s="33">
        <f t="shared" si="19"/>
        <v>252</v>
      </c>
      <c r="AY43" s="34"/>
      <c r="AZ43" s="35"/>
      <c r="BA43" s="16"/>
      <c r="BB43" s="16"/>
      <c r="BC43" s="16"/>
      <c r="BD43" s="16"/>
      <c r="BE43" s="16"/>
      <c r="BF43" s="16"/>
      <c r="BG43" s="16">
        <v>8</v>
      </c>
      <c r="BH43" s="16">
        <v>8</v>
      </c>
      <c r="BI43" s="16"/>
      <c r="BJ43" s="16"/>
      <c r="BK43" s="5"/>
      <c r="BL43" s="5"/>
      <c r="BM43" s="5"/>
      <c r="BN43" s="5"/>
      <c r="BO43" s="5"/>
      <c r="BP43" s="5"/>
      <c r="BQ43" s="5">
        <v>4</v>
      </c>
      <c r="BR43" s="5">
        <v>6</v>
      </c>
      <c r="BS43" s="5"/>
      <c r="BT43" s="5"/>
      <c r="BU43" s="1">
        <f t="shared" si="17"/>
        <v>10</v>
      </c>
    </row>
    <row r="44" spans="1:73" x14ac:dyDescent="0.25">
      <c r="A44" s="29" t="s">
        <v>74</v>
      </c>
      <c r="B44" s="29"/>
      <c r="C44" s="32" t="s">
        <v>214</v>
      </c>
      <c r="D44" s="32"/>
      <c r="E44" s="32"/>
      <c r="F44" s="31" t="s">
        <v>134</v>
      </c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29">
        <f t="shared" si="18"/>
        <v>300</v>
      </c>
      <c r="Y44" s="29"/>
      <c r="Z44" s="29"/>
      <c r="AA44" s="29"/>
      <c r="AB44" s="29">
        <f t="shared" si="14"/>
        <v>48</v>
      </c>
      <c r="AC44" s="29"/>
      <c r="AD44" s="29"/>
      <c r="AE44" s="29"/>
      <c r="AF44" s="29">
        <f t="shared" si="15"/>
        <v>48</v>
      </c>
      <c r="AG44" s="29"/>
      <c r="AH44" s="29"/>
      <c r="AI44" s="30">
        <v>24</v>
      </c>
      <c r="AJ44" s="30"/>
      <c r="AK44" s="30"/>
      <c r="AL44" s="30">
        <v>12</v>
      </c>
      <c r="AM44" s="30"/>
      <c r="AN44" s="30"/>
      <c r="AO44" s="30"/>
      <c r="AP44" s="30"/>
      <c r="AQ44" s="30"/>
      <c r="AR44" s="30">
        <v>12</v>
      </c>
      <c r="AS44" s="30"/>
      <c r="AT44" s="30"/>
      <c r="AU44" s="104" t="s">
        <v>247</v>
      </c>
      <c r="AV44" s="104"/>
      <c r="AW44" s="104"/>
      <c r="AX44" s="33">
        <f t="shared" si="19"/>
        <v>252</v>
      </c>
      <c r="AY44" s="34"/>
      <c r="AZ44" s="35"/>
      <c r="BA44" s="16"/>
      <c r="BB44" s="16"/>
      <c r="BC44" s="16"/>
      <c r="BD44" s="16"/>
      <c r="BE44" s="16"/>
      <c r="BF44" s="16"/>
      <c r="BG44" s="16">
        <v>8</v>
      </c>
      <c r="BH44" s="16">
        <v>8</v>
      </c>
      <c r="BI44" s="16"/>
      <c r="BJ44" s="16"/>
      <c r="BK44" s="5"/>
      <c r="BL44" s="5"/>
      <c r="BM44" s="5"/>
      <c r="BN44" s="5"/>
      <c r="BO44" s="5"/>
      <c r="BP44" s="5"/>
      <c r="BQ44" s="5">
        <v>4</v>
      </c>
      <c r="BR44" s="5">
        <v>6</v>
      </c>
      <c r="BS44" s="5"/>
      <c r="BT44" s="5"/>
      <c r="BU44" s="1">
        <f t="shared" si="17"/>
        <v>10</v>
      </c>
    </row>
    <row r="45" spans="1:73" x14ac:dyDescent="0.25">
      <c r="A45" s="29" t="s">
        <v>75</v>
      </c>
      <c r="B45" s="29"/>
      <c r="C45" s="32" t="s">
        <v>215</v>
      </c>
      <c r="D45" s="32"/>
      <c r="E45" s="32"/>
      <c r="F45" s="31" t="s">
        <v>81</v>
      </c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29">
        <f t="shared" si="18"/>
        <v>180</v>
      </c>
      <c r="Y45" s="29"/>
      <c r="Z45" s="29"/>
      <c r="AA45" s="29"/>
      <c r="AB45" s="29">
        <f t="shared" si="14"/>
        <v>24</v>
      </c>
      <c r="AC45" s="29"/>
      <c r="AD45" s="29"/>
      <c r="AE45" s="29"/>
      <c r="AF45" s="29">
        <f t="shared" ref="AF45:AF56" si="20">SUM(AI45:AT45)</f>
        <v>24</v>
      </c>
      <c r="AG45" s="29"/>
      <c r="AH45" s="29"/>
      <c r="AI45" s="30">
        <v>12</v>
      </c>
      <c r="AJ45" s="30"/>
      <c r="AK45" s="30"/>
      <c r="AL45" s="30">
        <v>12</v>
      </c>
      <c r="AM45" s="30"/>
      <c r="AN45" s="30"/>
      <c r="AO45" s="30"/>
      <c r="AP45" s="30"/>
      <c r="AQ45" s="30"/>
      <c r="AR45" s="30"/>
      <c r="AS45" s="30"/>
      <c r="AT45" s="30"/>
      <c r="AU45" s="104" t="s">
        <v>247</v>
      </c>
      <c r="AV45" s="104"/>
      <c r="AW45" s="104"/>
      <c r="AX45" s="33">
        <f t="shared" si="19"/>
        <v>156</v>
      </c>
      <c r="AY45" s="34"/>
      <c r="AZ45" s="35"/>
      <c r="BA45" s="16"/>
      <c r="BB45" s="16"/>
      <c r="BC45" s="16"/>
      <c r="BD45" s="16"/>
      <c r="BE45" s="16"/>
      <c r="BF45" s="16"/>
      <c r="BG45" s="16">
        <v>8</v>
      </c>
      <c r="BH45" s="16"/>
      <c r="BI45" s="16"/>
      <c r="BJ45" s="16"/>
      <c r="BK45" s="5"/>
      <c r="BL45" s="5"/>
      <c r="BM45" s="5"/>
      <c r="BN45" s="5"/>
      <c r="BO45" s="5"/>
      <c r="BP45" s="5"/>
      <c r="BQ45" s="5">
        <v>6</v>
      </c>
      <c r="BR45" s="5"/>
      <c r="BS45" s="5"/>
      <c r="BT45" s="5"/>
      <c r="BU45" s="1">
        <f t="shared" si="17"/>
        <v>6</v>
      </c>
    </row>
    <row r="46" spans="1:73" x14ac:dyDescent="0.25">
      <c r="A46" s="29" t="s">
        <v>76</v>
      </c>
      <c r="B46" s="29"/>
      <c r="C46" s="32" t="s">
        <v>216</v>
      </c>
      <c r="D46" s="32"/>
      <c r="E46" s="32"/>
      <c r="F46" s="31" t="s">
        <v>135</v>
      </c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29">
        <f t="shared" si="18"/>
        <v>180</v>
      </c>
      <c r="Y46" s="29"/>
      <c r="Z46" s="29"/>
      <c r="AA46" s="29"/>
      <c r="AB46" s="29">
        <f t="shared" si="14"/>
        <v>24</v>
      </c>
      <c r="AC46" s="29"/>
      <c r="AD46" s="29"/>
      <c r="AE46" s="29"/>
      <c r="AF46" s="29">
        <f t="shared" si="20"/>
        <v>24</v>
      </c>
      <c r="AG46" s="29"/>
      <c r="AH46" s="29"/>
      <c r="AI46" s="30">
        <v>12</v>
      </c>
      <c r="AJ46" s="30"/>
      <c r="AK46" s="30"/>
      <c r="AL46" s="30">
        <v>12</v>
      </c>
      <c r="AM46" s="30"/>
      <c r="AN46" s="30"/>
      <c r="AO46" s="30"/>
      <c r="AP46" s="30"/>
      <c r="AQ46" s="30"/>
      <c r="AR46" s="30"/>
      <c r="AS46" s="30"/>
      <c r="AT46" s="30"/>
      <c r="AU46" s="104"/>
      <c r="AV46" s="104"/>
      <c r="AW46" s="104"/>
      <c r="AX46" s="33">
        <f t="shared" si="19"/>
        <v>156</v>
      </c>
      <c r="AY46" s="34"/>
      <c r="AZ46" s="35"/>
      <c r="BA46" s="16"/>
      <c r="BB46" s="16"/>
      <c r="BC46" s="16"/>
      <c r="BD46" s="16"/>
      <c r="BE46" s="16"/>
      <c r="BF46" s="16"/>
      <c r="BG46" s="16"/>
      <c r="BH46" s="16">
        <v>8</v>
      </c>
      <c r="BI46" s="16"/>
      <c r="BJ46" s="16"/>
      <c r="BK46" s="5"/>
      <c r="BL46" s="5"/>
      <c r="BM46" s="5"/>
      <c r="BN46" s="5"/>
      <c r="BO46" s="5"/>
      <c r="BP46" s="5"/>
      <c r="BQ46" s="5"/>
      <c r="BR46" s="5">
        <v>6</v>
      </c>
      <c r="BS46" s="5"/>
      <c r="BT46" s="5"/>
      <c r="BU46" s="1">
        <f t="shared" si="17"/>
        <v>6</v>
      </c>
    </row>
    <row r="47" spans="1:73" x14ac:dyDescent="0.25">
      <c r="A47" s="29" t="s">
        <v>77</v>
      </c>
      <c r="B47" s="29"/>
      <c r="C47" s="32" t="s">
        <v>217</v>
      </c>
      <c r="D47" s="32"/>
      <c r="E47" s="32"/>
      <c r="F47" s="31" t="s">
        <v>136</v>
      </c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29">
        <f t="shared" si="18"/>
        <v>180</v>
      </c>
      <c r="Y47" s="29"/>
      <c r="Z47" s="29"/>
      <c r="AA47" s="29"/>
      <c r="AB47" s="29">
        <f t="shared" si="14"/>
        <v>36</v>
      </c>
      <c r="AC47" s="29"/>
      <c r="AD47" s="29"/>
      <c r="AE47" s="29"/>
      <c r="AF47" s="29">
        <f t="shared" si="20"/>
        <v>36</v>
      </c>
      <c r="AG47" s="29"/>
      <c r="AH47" s="29"/>
      <c r="AI47" s="30">
        <v>24</v>
      </c>
      <c r="AJ47" s="30"/>
      <c r="AK47" s="30"/>
      <c r="AL47" s="30">
        <v>12</v>
      </c>
      <c r="AM47" s="30"/>
      <c r="AN47" s="30"/>
      <c r="AO47" s="30"/>
      <c r="AP47" s="30"/>
      <c r="AQ47" s="30"/>
      <c r="AR47" s="30"/>
      <c r="AS47" s="30"/>
      <c r="AT47" s="30"/>
      <c r="AU47" s="104"/>
      <c r="AV47" s="104"/>
      <c r="AW47" s="104"/>
      <c r="AX47" s="33">
        <f t="shared" si="19"/>
        <v>144</v>
      </c>
      <c r="AY47" s="34"/>
      <c r="AZ47" s="35"/>
      <c r="BA47" s="16"/>
      <c r="BB47" s="16"/>
      <c r="BC47" s="16"/>
      <c r="BD47" s="16"/>
      <c r="BE47" s="16"/>
      <c r="BF47" s="16"/>
      <c r="BG47" s="16"/>
      <c r="BH47" s="16"/>
      <c r="BI47" s="16">
        <v>12</v>
      </c>
      <c r="BJ47" s="16"/>
      <c r="BK47" s="5"/>
      <c r="BL47" s="5"/>
      <c r="BM47" s="5"/>
      <c r="BN47" s="5"/>
      <c r="BO47" s="5"/>
      <c r="BP47" s="5"/>
      <c r="BQ47" s="5"/>
      <c r="BR47" s="5"/>
      <c r="BS47" s="5">
        <v>6</v>
      </c>
      <c r="BT47" s="5"/>
      <c r="BU47" s="1">
        <f t="shared" si="17"/>
        <v>6</v>
      </c>
    </row>
    <row r="48" spans="1:73" x14ac:dyDescent="0.25">
      <c r="A48" s="29" t="s">
        <v>78</v>
      </c>
      <c r="B48" s="29"/>
      <c r="C48" s="32" t="s">
        <v>218</v>
      </c>
      <c r="D48" s="32"/>
      <c r="E48" s="32"/>
      <c r="F48" s="54" t="s">
        <v>166</v>
      </c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6"/>
      <c r="X48" s="29">
        <f t="shared" si="18"/>
        <v>180</v>
      </c>
      <c r="Y48" s="29"/>
      <c r="Z48" s="29"/>
      <c r="AA48" s="29"/>
      <c r="AB48" s="29">
        <f t="shared" si="14"/>
        <v>36</v>
      </c>
      <c r="AC48" s="29"/>
      <c r="AD48" s="29"/>
      <c r="AE48" s="29"/>
      <c r="AF48" s="29">
        <f t="shared" si="20"/>
        <v>36</v>
      </c>
      <c r="AG48" s="29"/>
      <c r="AH48" s="29"/>
      <c r="AI48" s="26">
        <v>24</v>
      </c>
      <c r="AJ48" s="27"/>
      <c r="AK48" s="28"/>
      <c r="AL48" s="26">
        <v>12</v>
      </c>
      <c r="AM48" s="27"/>
      <c r="AN48" s="28"/>
      <c r="AO48" s="26"/>
      <c r="AP48" s="27"/>
      <c r="AQ48" s="28"/>
      <c r="AR48" s="26"/>
      <c r="AS48" s="27"/>
      <c r="AT48" s="28"/>
      <c r="AU48" s="124"/>
      <c r="AV48" s="125"/>
      <c r="AW48" s="126"/>
      <c r="AX48" s="33">
        <f t="shared" si="19"/>
        <v>144</v>
      </c>
      <c r="AY48" s="34"/>
      <c r="AZ48" s="35"/>
      <c r="BA48" s="16"/>
      <c r="BB48" s="16"/>
      <c r="BC48" s="16"/>
      <c r="BD48" s="16"/>
      <c r="BE48" s="16"/>
      <c r="BF48" s="16"/>
      <c r="BG48" s="16"/>
      <c r="BH48" s="16"/>
      <c r="BI48" s="16">
        <v>12</v>
      </c>
      <c r="BJ48" s="16"/>
      <c r="BK48" s="5"/>
      <c r="BL48" s="5"/>
      <c r="BM48" s="5"/>
      <c r="BN48" s="5"/>
      <c r="BO48" s="5"/>
      <c r="BP48" s="5"/>
      <c r="BQ48" s="5"/>
      <c r="BR48" s="5"/>
      <c r="BS48" s="5">
        <v>6</v>
      </c>
      <c r="BT48" s="5"/>
      <c r="BU48" s="1">
        <f t="shared" si="17"/>
        <v>6</v>
      </c>
    </row>
    <row r="49" spans="1:73" x14ac:dyDescent="0.25">
      <c r="A49" s="33" t="s">
        <v>158</v>
      </c>
      <c r="B49" s="35"/>
      <c r="C49" s="32" t="s">
        <v>219</v>
      </c>
      <c r="D49" s="32"/>
      <c r="E49" s="32"/>
      <c r="F49" s="54" t="s">
        <v>137</v>
      </c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6"/>
      <c r="X49" s="29">
        <f t="shared" si="18"/>
        <v>120</v>
      </c>
      <c r="Y49" s="29"/>
      <c r="Z49" s="29"/>
      <c r="AA49" s="29"/>
      <c r="AB49" s="29">
        <f t="shared" si="14"/>
        <v>24</v>
      </c>
      <c r="AC49" s="29"/>
      <c r="AD49" s="29"/>
      <c r="AE49" s="29"/>
      <c r="AF49" s="29">
        <f t="shared" si="20"/>
        <v>24</v>
      </c>
      <c r="AG49" s="29"/>
      <c r="AH49" s="29"/>
      <c r="AI49" s="26">
        <v>12</v>
      </c>
      <c r="AJ49" s="27"/>
      <c r="AK49" s="28"/>
      <c r="AL49" s="26">
        <v>12</v>
      </c>
      <c r="AM49" s="27"/>
      <c r="AN49" s="28"/>
      <c r="AO49" s="26"/>
      <c r="AP49" s="27"/>
      <c r="AQ49" s="28"/>
      <c r="AR49" s="26"/>
      <c r="AS49" s="27"/>
      <c r="AT49" s="28"/>
      <c r="AU49" s="124"/>
      <c r="AV49" s="125"/>
      <c r="AW49" s="126"/>
      <c r="AX49" s="33">
        <f t="shared" si="19"/>
        <v>96</v>
      </c>
      <c r="AY49" s="34"/>
      <c r="AZ49" s="35"/>
      <c r="BA49" s="16"/>
      <c r="BB49" s="16"/>
      <c r="BC49" s="16"/>
      <c r="BD49" s="16"/>
      <c r="BE49" s="16"/>
      <c r="BF49" s="16"/>
      <c r="BG49" s="16"/>
      <c r="BH49" s="16"/>
      <c r="BI49" s="16">
        <v>8</v>
      </c>
      <c r="BJ49" s="16"/>
      <c r="BK49" s="5"/>
      <c r="BL49" s="5"/>
      <c r="BM49" s="5"/>
      <c r="BN49" s="5"/>
      <c r="BO49" s="5"/>
      <c r="BP49" s="5"/>
      <c r="BQ49" s="5"/>
      <c r="BR49" s="5"/>
      <c r="BS49" s="5">
        <v>4</v>
      </c>
      <c r="BT49" s="5"/>
      <c r="BU49" s="1">
        <f t="shared" si="17"/>
        <v>4</v>
      </c>
    </row>
    <row r="50" spans="1:73" x14ac:dyDescent="0.25">
      <c r="A50" s="33" t="s">
        <v>159</v>
      </c>
      <c r="B50" s="35"/>
      <c r="C50" s="32" t="s">
        <v>220</v>
      </c>
      <c r="D50" s="32"/>
      <c r="E50" s="32"/>
      <c r="F50" s="54" t="s">
        <v>138</v>
      </c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6"/>
      <c r="X50" s="29">
        <f t="shared" si="18"/>
        <v>180</v>
      </c>
      <c r="Y50" s="29"/>
      <c r="Z50" s="29"/>
      <c r="AA50" s="29"/>
      <c r="AB50" s="29">
        <f t="shared" si="14"/>
        <v>24</v>
      </c>
      <c r="AC50" s="29"/>
      <c r="AD50" s="29"/>
      <c r="AE50" s="29"/>
      <c r="AF50" s="29">
        <f t="shared" si="20"/>
        <v>24</v>
      </c>
      <c r="AG50" s="29"/>
      <c r="AH50" s="29"/>
      <c r="AI50" s="26">
        <v>12</v>
      </c>
      <c r="AJ50" s="27"/>
      <c r="AK50" s="28"/>
      <c r="AL50" s="26">
        <v>12</v>
      </c>
      <c r="AM50" s="27"/>
      <c r="AN50" s="28"/>
      <c r="AO50" s="26"/>
      <c r="AP50" s="27"/>
      <c r="AQ50" s="28"/>
      <c r="AR50" s="26"/>
      <c r="AS50" s="27"/>
      <c r="AT50" s="28"/>
      <c r="AU50" s="124"/>
      <c r="AV50" s="125"/>
      <c r="AW50" s="126"/>
      <c r="AX50" s="33">
        <f t="shared" si="19"/>
        <v>156</v>
      </c>
      <c r="AY50" s="34"/>
      <c r="AZ50" s="35"/>
      <c r="BA50" s="16"/>
      <c r="BB50" s="16"/>
      <c r="BC50" s="16"/>
      <c r="BD50" s="16"/>
      <c r="BE50" s="16"/>
      <c r="BF50" s="16"/>
      <c r="BG50" s="16"/>
      <c r="BH50" s="16"/>
      <c r="BI50" s="16"/>
      <c r="BJ50" s="16">
        <v>8</v>
      </c>
      <c r="BK50" s="5"/>
      <c r="BL50" s="5"/>
      <c r="BM50" s="5"/>
      <c r="BN50" s="5"/>
      <c r="BO50" s="5"/>
      <c r="BP50" s="5"/>
      <c r="BQ50" s="5"/>
      <c r="BR50" s="5"/>
      <c r="BS50" s="5"/>
      <c r="BT50" s="5">
        <v>6</v>
      </c>
      <c r="BU50" s="1">
        <f t="shared" si="17"/>
        <v>6</v>
      </c>
    </row>
    <row r="51" spans="1:73" x14ac:dyDescent="0.25">
      <c r="A51" s="29" t="s">
        <v>160</v>
      </c>
      <c r="B51" s="29"/>
      <c r="C51" s="32" t="s">
        <v>221</v>
      </c>
      <c r="D51" s="32"/>
      <c r="E51" s="32"/>
      <c r="F51" s="31" t="s">
        <v>139</v>
      </c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29">
        <f t="shared" ref="X51:X55" si="21">BU51*30</f>
        <v>180</v>
      </c>
      <c r="Y51" s="29"/>
      <c r="Z51" s="29"/>
      <c r="AA51" s="29"/>
      <c r="AB51" s="29">
        <f t="shared" ref="AB51:AB55" si="22">SUM(BA51:BJ51)*3</f>
        <v>36</v>
      </c>
      <c r="AC51" s="29"/>
      <c r="AD51" s="29"/>
      <c r="AE51" s="29"/>
      <c r="AF51" s="29">
        <f t="shared" ref="AF51:AF55" si="23">SUM(AI51:AT51)</f>
        <v>36</v>
      </c>
      <c r="AG51" s="29"/>
      <c r="AH51" s="29"/>
      <c r="AI51" s="30">
        <v>24</v>
      </c>
      <c r="AJ51" s="30"/>
      <c r="AK51" s="30"/>
      <c r="AL51" s="30">
        <v>12</v>
      </c>
      <c r="AM51" s="30"/>
      <c r="AN51" s="30"/>
      <c r="AO51" s="30"/>
      <c r="AP51" s="30"/>
      <c r="AQ51" s="30"/>
      <c r="AR51" s="30"/>
      <c r="AS51" s="30"/>
      <c r="AT51" s="30"/>
      <c r="AU51" s="104"/>
      <c r="AV51" s="104"/>
      <c r="AW51" s="104"/>
      <c r="AX51" s="33">
        <f t="shared" ref="AX51:AX55" si="24">X51-SUM(AI51:AW51)</f>
        <v>144</v>
      </c>
      <c r="AY51" s="34"/>
      <c r="AZ51" s="35"/>
      <c r="BA51" s="16"/>
      <c r="BB51" s="16"/>
      <c r="BC51" s="16"/>
      <c r="BD51" s="16"/>
      <c r="BE51" s="16"/>
      <c r="BF51" s="16"/>
      <c r="BG51" s="16"/>
      <c r="BH51" s="16"/>
      <c r="BI51" s="16"/>
      <c r="BJ51" s="16">
        <v>12</v>
      </c>
      <c r="BK51" s="5"/>
      <c r="BL51" s="5"/>
      <c r="BM51" s="5"/>
      <c r="BN51" s="5"/>
      <c r="BO51" s="5"/>
      <c r="BP51" s="5"/>
      <c r="BQ51" s="5"/>
      <c r="BR51" s="5"/>
      <c r="BS51" s="5"/>
      <c r="BT51" s="5">
        <v>6</v>
      </c>
      <c r="BU51" s="1">
        <f t="shared" ref="BU51:BU55" si="25">SUM(BK51:BT51)</f>
        <v>6</v>
      </c>
    </row>
    <row r="52" spans="1:73" x14ac:dyDescent="0.25">
      <c r="A52" s="29" t="s">
        <v>160</v>
      </c>
      <c r="B52" s="29"/>
      <c r="C52" s="32"/>
      <c r="D52" s="32"/>
      <c r="E52" s="32"/>
      <c r="F52" s="127" t="s">
        <v>239</v>
      </c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29">
        <f t="shared" si="21"/>
        <v>240</v>
      </c>
      <c r="Y52" s="29"/>
      <c r="Z52" s="29"/>
      <c r="AA52" s="29"/>
      <c r="AB52" s="29">
        <f t="shared" si="22"/>
        <v>42</v>
      </c>
      <c r="AC52" s="29"/>
      <c r="AD52" s="29"/>
      <c r="AE52" s="29"/>
      <c r="AF52" s="29">
        <f t="shared" si="23"/>
        <v>56</v>
      </c>
      <c r="AG52" s="29"/>
      <c r="AH52" s="29"/>
      <c r="AI52" s="30">
        <v>26</v>
      </c>
      <c r="AJ52" s="30"/>
      <c r="AK52" s="30"/>
      <c r="AL52" s="30">
        <v>14</v>
      </c>
      <c r="AM52" s="30"/>
      <c r="AN52" s="30"/>
      <c r="AO52" s="30"/>
      <c r="AP52" s="30"/>
      <c r="AQ52" s="30"/>
      <c r="AR52" s="30">
        <v>16</v>
      </c>
      <c r="AS52" s="30"/>
      <c r="AT52" s="30"/>
      <c r="AU52" s="30"/>
      <c r="AV52" s="30"/>
      <c r="AW52" s="30"/>
      <c r="AX52" s="33">
        <f t="shared" si="24"/>
        <v>184</v>
      </c>
      <c r="AY52" s="34"/>
      <c r="AZ52" s="35"/>
      <c r="BA52" s="18">
        <v>8</v>
      </c>
      <c r="BB52" s="18">
        <v>6</v>
      </c>
      <c r="BC52" s="16"/>
      <c r="BD52" s="16"/>
      <c r="BE52" s="16"/>
      <c r="BF52" s="16"/>
      <c r="BG52" s="16"/>
      <c r="BH52" s="16"/>
      <c r="BI52" s="16"/>
      <c r="BJ52" s="16"/>
      <c r="BK52" s="18">
        <v>4</v>
      </c>
      <c r="BL52" s="18">
        <v>4</v>
      </c>
      <c r="BM52" s="5"/>
      <c r="BN52" s="5"/>
      <c r="BO52" s="5"/>
      <c r="BP52" s="5"/>
      <c r="BQ52" s="5"/>
      <c r="BR52" s="5"/>
      <c r="BS52" s="5"/>
      <c r="BT52" s="5"/>
      <c r="BU52" s="1">
        <f t="shared" si="25"/>
        <v>8</v>
      </c>
    </row>
    <row r="53" spans="1:73" x14ac:dyDescent="0.25">
      <c r="A53" s="29" t="s">
        <v>160</v>
      </c>
      <c r="B53" s="29"/>
      <c r="C53" s="32"/>
      <c r="D53" s="32"/>
      <c r="E53" s="32"/>
      <c r="F53" s="127" t="s">
        <v>241</v>
      </c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29">
        <f t="shared" si="21"/>
        <v>120</v>
      </c>
      <c r="Y53" s="29"/>
      <c r="Z53" s="29"/>
      <c r="AA53" s="29"/>
      <c r="AB53" s="29">
        <f t="shared" si="22"/>
        <v>24</v>
      </c>
      <c r="AC53" s="29"/>
      <c r="AD53" s="29"/>
      <c r="AE53" s="29"/>
      <c r="AF53" s="29">
        <f t="shared" si="23"/>
        <v>32</v>
      </c>
      <c r="AG53" s="29"/>
      <c r="AH53" s="29"/>
      <c r="AI53" s="30">
        <v>16</v>
      </c>
      <c r="AJ53" s="30"/>
      <c r="AK53" s="30"/>
      <c r="AL53" s="30"/>
      <c r="AM53" s="30"/>
      <c r="AN53" s="30"/>
      <c r="AO53" s="30"/>
      <c r="AP53" s="30"/>
      <c r="AQ53" s="30"/>
      <c r="AR53" s="30">
        <v>16</v>
      </c>
      <c r="AS53" s="30"/>
      <c r="AT53" s="30"/>
      <c r="AU53" s="30"/>
      <c r="AV53" s="30"/>
      <c r="AW53" s="30"/>
      <c r="AX53" s="33">
        <f t="shared" si="24"/>
        <v>88</v>
      </c>
      <c r="AY53" s="34"/>
      <c r="AZ53" s="35"/>
      <c r="BA53" s="18">
        <v>8</v>
      </c>
      <c r="BB53" s="16"/>
      <c r="BC53" s="16"/>
      <c r="BD53" s="16"/>
      <c r="BE53" s="16"/>
      <c r="BF53" s="16"/>
      <c r="BG53" s="16"/>
      <c r="BH53" s="16"/>
      <c r="BI53" s="16"/>
      <c r="BJ53" s="16"/>
      <c r="BK53" s="18">
        <v>4</v>
      </c>
      <c r="BL53" s="5"/>
      <c r="BM53" s="5"/>
      <c r="BN53" s="5"/>
      <c r="BO53" s="5"/>
      <c r="BP53" s="5"/>
      <c r="BQ53" s="5"/>
      <c r="BR53" s="5"/>
      <c r="BS53" s="5"/>
      <c r="BT53" s="5"/>
      <c r="BU53" s="1">
        <f t="shared" si="25"/>
        <v>4</v>
      </c>
    </row>
    <row r="54" spans="1:73" x14ac:dyDescent="0.25">
      <c r="A54" s="29" t="s">
        <v>160</v>
      </c>
      <c r="B54" s="29"/>
      <c r="C54" s="32"/>
      <c r="D54" s="32"/>
      <c r="E54" s="32"/>
      <c r="F54" s="127" t="s">
        <v>244</v>
      </c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29">
        <f t="shared" si="21"/>
        <v>120</v>
      </c>
      <c r="Y54" s="29"/>
      <c r="Z54" s="29"/>
      <c r="AA54" s="29"/>
      <c r="AB54" s="29">
        <f t="shared" si="22"/>
        <v>18</v>
      </c>
      <c r="AC54" s="29"/>
      <c r="AD54" s="29"/>
      <c r="AE54" s="29"/>
      <c r="AF54" s="29">
        <f t="shared" si="23"/>
        <v>24</v>
      </c>
      <c r="AG54" s="29"/>
      <c r="AH54" s="29"/>
      <c r="AI54" s="30">
        <v>12</v>
      </c>
      <c r="AJ54" s="30"/>
      <c r="AK54" s="30"/>
      <c r="AL54" s="30">
        <v>12</v>
      </c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3">
        <f t="shared" si="24"/>
        <v>96</v>
      </c>
      <c r="AY54" s="34"/>
      <c r="AZ54" s="35"/>
      <c r="BA54" s="18">
        <v>6</v>
      </c>
      <c r="BB54" s="16"/>
      <c r="BC54" s="16"/>
      <c r="BD54" s="16"/>
      <c r="BE54" s="16"/>
      <c r="BF54" s="16"/>
      <c r="BG54" s="16"/>
      <c r="BH54" s="16"/>
      <c r="BI54" s="16"/>
      <c r="BJ54" s="16"/>
      <c r="BK54" s="18">
        <v>4</v>
      </c>
      <c r="BL54" s="5"/>
      <c r="BM54" s="5"/>
      <c r="BN54" s="5"/>
      <c r="BO54" s="5"/>
      <c r="BP54" s="5"/>
      <c r="BQ54" s="5"/>
      <c r="BR54" s="5"/>
      <c r="BS54" s="5"/>
      <c r="BT54" s="5"/>
      <c r="BU54" s="1">
        <f t="shared" si="25"/>
        <v>4</v>
      </c>
    </row>
    <row r="55" spans="1:73" x14ac:dyDescent="0.25">
      <c r="A55" s="29" t="s">
        <v>160</v>
      </c>
      <c r="B55" s="29"/>
      <c r="C55" s="32"/>
      <c r="D55" s="32"/>
      <c r="E55" s="32"/>
      <c r="F55" s="127" t="s">
        <v>245</v>
      </c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29">
        <f t="shared" si="21"/>
        <v>180</v>
      </c>
      <c r="Y55" s="29"/>
      <c r="Z55" s="29"/>
      <c r="AA55" s="29"/>
      <c r="AB55" s="29">
        <f t="shared" si="22"/>
        <v>24</v>
      </c>
      <c r="AC55" s="29"/>
      <c r="AD55" s="29"/>
      <c r="AE55" s="29"/>
      <c r="AF55" s="29">
        <f t="shared" si="23"/>
        <v>32</v>
      </c>
      <c r="AG55" s="29"/>
      <c r="AH55" s="29"/>
      <c r="AI55" s="30">
        <v>14</v>
      </c>
      <c r="AJ55" s="30"/>
      <c r="AK55" s="30"/>
      <c r="AL55" s="30">
        <v>18</v>
      </c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3">
        <f t="shared" si="24"/>
        <v>148</v>
      </c>
      <c r="AY55" s="34"/>
      <c r="AZ55" s="35"/>
      <c r="BA55" s="16"/>
      <c r="BB55" s="18">
        <v>8</v>
      </c>
      <c r="BC55" s="16"/>
      <c r="BD55" s="16"/>
      <c r="BE55" s="16"/>
      <c r="BF55" s="16"/>
      <c r="BG55" s="16"/>
      <c r="BH55" s="16"/>
      <c r="BI55" s="16"/>
      <c r="BJ55" s="16"/>
      <c r="BK55" s="5"/>
      <c r="BL55" s="18">
        <v>6</v>
      </c>
      <c r="BM55" s="5"/>
      <c r="BN55" s="5"/>
      <c r="BO55" s="5"/>
      <c r="BP55" s="5"/>
      <c r="BQ55" s="5"/>
      <c r="BR55" s="5"/>
      <c r="BS55" s="5"/>
      <c r="BT55" s="5"/>
      <c r="BU55" s="1">
        <f t="shared" si="25"/>
        <v>6</v>
      </c>
    </row>
    <row r="56" spans="1:73" x14ac:dyDescent="0.25">
      <c r="A56" s="29" t="s">
        <v>160</v>
      </c>
      <c r="B56" s="29"/>
      <c r="C56" s="32"/>
      <c r="D56" s="32"/>
      <c r="E56" s="32"/>
      <c r="F56" s="127" t="s">
        <v>246</v>
      </c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29">
        <f t="shared" si="18"/>
        <v>180</v>
      </c>
      <c r="Y56" s="29"/>
      <c r="Z56" s="29"/>
      <c r="AA56" s="29"/>
      <c r="AB56" s="29">
        <f t="shared" si="14"/>
        <v>18</v>
      </c>
      <c r="AC56" s="29"/>
      <c r="AD56" s="29"/>
      <c r="AE56" s="29"/>
      <c r="AF56" s="29">
        <f t="shared" si="20"/>
        <v>24</v>
      </c>
      <c r="AG56" s="29"/>
      <c r="AH56" s="29"/>
      <c r="AI56" s="30">
        <v>12</v>
      </c>
      <c r="AJ56" s="30"/>
      <c r="AK56" s="30"/>
      <c r="AL56" s="30">
        <v>12</v>
      </c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3">
        <f t="shared" si="19"/>
        <v>156</v>
      </c>
      <c r="AY56" s="34"/>
      <c r="AZ56" s="35"/>
      <c r="BA56" s="16"/>
      <c r="BB56" s="18">
        <v>6</v>
      </c>
      <c r="BC56" s="16"/>
      <c r="BD56" s="16"/>
      <c r="BE56" s="16"/>
      <c r="BF56" s="16"/>
      <c r="BG56" s="16"/>
      <c r="BH56" s="16"/>
      <c r="BI56" s="16"/>
      <c r="BJ56" s="16"/>
      <c r="BK56" s="5"/>
      <c r="BL56" s="18">
        <v>6</v>
      </c>
      <c r="BM56" s="5"/>
      <c r="BN56" s="5"/>
      <c r="BO56" s="5"/>
      <c r="BP56" s="5"/>
      <c r="BQ56" s="5"/>
      <c r="BR56" s="5"/>
      <c r="BS56" s="5"/>
      <c r="BT56" s="5"/>
      <c r="BU56" s="1">
        <f t="shared" si="17"/>
        <v>6</v>
      </c>
    </row>
    <row r="57" spans="1:73" s="7" customFormat="1" x14ac:dyDescent="0.25">
      <c r="A57" s="132" t="s">
        <v>59</v>
      </c>
      <c r="B57" s="132"/>
      <c r="C57" s="132"/>
      <c r="D57" s="132"/>
      <c r="E57" s="132"/>
      <c r="F57" s="133" t="s">
        <v>60</v>
      </c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2">
        <f t="shared" ref="X57" si="26">SUM(X58:AA69)</f>
        <v>1020</v>
      </c>
      <c r="Y57" s="132"/>
      <c r="Z57" s="132"/>
      <c r="AA57" s="132"/>
      <c r="AB57" s="134">
        <f>X57/$X$70*100</f>
        <v>14.655172413793101</v>
      </c>
      <c r="AC57" s="134"/>
      <c r="AD57" s="134"/>
      <c r="AE57" s="134"/>
      <c r="AF57" s="132">
        <f>SUM(AF58:AH69)</f>
        <v>156</v>
      </c>
      <c r="AG57" s="132"/>
      <c r="AH57" s="132"/>
      <c r="AI57" s="132">
        <f>SUM(AI58:AK69)</f>
        <v>78</v>
      </c>
      <c r="AJ57" s="132"/>
      <c r="AK57" s="132"/>
      <c r="AL57" s="132">
        <f>SUM(AL58:AN69)</f>
        <v>78</v>
      </c>
      <c r="AM57" s="132"/>
      <c r="AN57" s="132"/>
      <c r="AO57" s="132">
        <f>SUM(AO58:AQ69)</f>
        <v>0</v>
      </c>
      <c r="AP57" s="132"/>
      <c r="AQ57" s="132"/>
      <c r="AR57" s="132">
        <f>SUM(AR58:AT69)</f>
        <v>0</v>
      </c>
      <c r="AS57" s="132"/>
      <c r="AT57" s="132"/>
      <c r="AU57" s="132">
        <f>SUM(AU58:AW69)</f>
        <v>0</v>
      </c>
      <c r="AV57" s="132"/>
      <c r="AW57" s="132"/>
      <c r="AX57" s="132">
        <f>SUM(AX58:AZ69)</f>
        <v>864</v>
      </c>
      <c r="AY57" s="132"/>
      <c r="AZ57" s="132"/>
      <c r="BA57" s="135">
        <f t="shared" ref="BA57:BT57" si="27">SUM(BA58:BA69)</f>
        <v>0</v>
      </c>
      <c r="BB57" s="135">
        <f t="shared" si="27"/>
        <v>0</v>
      </c>
      <c r="BC57" s="135">
        <f t="shared" si="27"/>
        <v>0</v>
      </c>
      <c r="BD57" s="135">
        <f t="shared" si="27"/>
        <v>8</v>
      </c>
      <c r="BE57" s="135">
        <f t="shared" si="27"/>
        <v>8</v>
      </c>
      <c r="BF57" s="135">
        <f t="shared" si="27"/>
        <v>8</v>
      </c>
      <c r="BG57" s="135">
        <f t="shared" si="27"/>
        <v>8</v>
      </c>
      <c r="BH57" s="135">
        <f t="shared" si="27"/>
        <v>8</v>
      </c>
      <c r="BI57" s="135">
        <f t="shared" si="27"/>
        <v>0</v>
      </c>
      <c r="BJ57" s="135">
        <f t="shared" si="27"/>
        <v>12</v>
      </c>
      <c r="BK57" s="135">
        <f t="shared" si="27"/>
        <v>0</v>
      </c>
      <c r="BL57" s="135">
        <f t="shared" si="27"/>
        <v>0</v>
      </c>
      <c r="BM57" s="135">
        <f t="shared" si="27"/>
        <v>0</v>
      </c>
      <c r="BN57" s="135">
        <f t="shared" si="27"/>
        <v>6</v>
      </c>
      <c r="BO57" s="135">
        <f t="shared" si="27"/>
        <v>6</v>
      </c>
      <c r="BP57" s="135">
        <f t="shared" si="27"/>
        <v>4</v>
      </c>
      <c r="BQ57" s="135">
        <f t="shared" si="27"/>
        <v>6</v>
      </c>
      <c r="BR57" s="135">
        <f t="shared" si="27"/>
        <v>6</v>
      </c>
      <c r="BS57" s="135">
        <f t="shared" si="27"/>
        <v>0</v>
      </c>
      <c r="BT57" s="135">
        <f t="shared" si="27"/>
        <v>6</v>
      </c>
      <c r="BU57" s="136">
        <f>BK57+BL57+BM57+BN57+BO57+BP57+BQ57+BR57+BS57+BT57</f>
        <v>34</v>
      </c>
    </row>
    <row r="58" spans="1:73" x14ac:dyDescent="0.25">
      <c r="A58" s="37" t="s">
        <v>79</v>
      </c>
      <c r="B58" s="39"/>
      <c r="C58" s="32" t="s">
        <v>204</v>
      </c>
      <c r="D58" s="32"/>
      <c r="E58" s="32"/>
      <c r="F58" s="31" t="s">
        <v>143</v>
      </c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7">
        <f>BU58*30</f>
        <v>360</v>
      </c>
      <c r="Y58" s="38"/>
      <c r="Z58" s="38"/>
      <c r="AA58" s="39"/>
      <c r="AB58" s="37">
        <f>SUM(BA58:BJ60)*3</f>
        <v>48</v>
      </c>
      <c r="AC58" s="38"/>
      <c r="AD58" s="38"/>
      <c r="AE58" s="39"/>
      <c r="AF58" s="37">
        <f>SUM(AI58:AT60)</f>
        <v>48</v>
      </c>
      <c r="AG58" s="38"/>
      <c r="AH58" s="39"/>
      <c r="AI58" s="45">
        <v>24</v>
      </c>
      <c r="AJ58" s="46"/>
      <c r="AK58" s="47"/>
      <c r="AL58" s="45">
        <v>24</v>
      </c>
      <c r="AM58" s="46"/>
      <c r="AN58" s="47"/>
      <c r="AO58" s="45"/>
      <c r="AP58" s="46"/>
      <c r="AQ58" s="47"/>
      <c r="AR58" s="45"/>
      <c r="AS58" s="46"/>
      <c r="AT58" s="47"/>
      <c r="AU58" s="45"/>
      <c r="AV58" s="46"/>
      <c r="AW58" s="47"/>
      <c r="AX58" s="37">
        <f>X58-SUM(AI58:AW58)</f>
        <v>312</v>
      </c>
      <c r="AY58" s="38"/>
      <c r="AZ58" s="39"/>
      <c r="BA58" s="106"/>
      <c r="BB58" s="106"/>
      <c r="BC58" s="106"/>
      <c r="BD58" s="106">
        <v>8</v>
      </c>
      <c r="BE58" s="106">
        <v>8</v>
      </c>
      <c r="BF58" s="106"/>
      <c r="BG58" s="106"/>
      <c r="BH58" s="106"/>
      <c r="BI58" s="106"/>
      <c r="BJ58" s="106"/>
      <c r="BK58" s="112"/>
      <c r="BL58" s="112"/>
      <c r="BM58" s="112"/>
      <c r="BN58" s="112">
        <v>6</v>
      </c>
      <c r="BO58" s="112">
        <v>6</v>
      </c>
      <c r="BP58" s="112"/>
      <c r="BQ58" s="112"/>
      <c r="BR58" s="112"/>
      <c r="BS58" s="112"/>
      <c r="BT58" s="112"/>
      <c r="BU58" s="109">
        <f>SUM(BK58:BT58)</f>
        <v>12</v>
      </c>
    </row>
    <row r="59" spans="1:73" x14ac:dyDescent="0.25">
      <c r="A59" s="40"/>
      <c r="B59" s="41"/>
      <c r="C59" s="32" t="s">
        <v>222</v>
      </c>
      <c r="D59" s="32"/>
      <c r="E59" s="32"/>
      <c r="F59" s="31" t="s">
        <v>145</v>
      </c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40"/>
      <c r="Y59" s="19"/>
      <c r="Z59" s="19"/>
      <c r="AA59" s="41"/>
      <c r="AB59" s="40"/>
      <c r="AC59" s="19"/>
      <c r="AD59" s="19"/>
      <c r="AE59" s="41"/>
      <c r="AF59" s="40"/>
      <c r="AG59" s="19"/>
      <c r="AH59" s="41"/>
      <c r="AI59" s="48"/>
      <c r="AJ59" s="49"/>
      <c r="AK59" s="50"/>
      <c r="AL59" s="48"/>
      <c r="AM59" s="49"/>
      <c r="AN59" s="50"/>
      <c r="AO59" s="48"/>
      <c r="AP59" s="49"/>
      <c r="AQ59" s="50"/>
      <c r="AR59" s="48"/>
      <c r="AS59" s="49"/>
      <c r="AT59" s="50"/>
      <c r="AU59" s="48"/>
      <c r="AV59" s="49"/>
      <c r="AW59" s="50"/>
      <c r="AX59" s="40"/>
      <c r="AY59" s="19"/>
      <c r="AZ59" s="41"/>
      <c r="BA59" s="107"/>
      <c r="BB59" s="107"/>
      <c r="BC59" s="107"/>
      <c r="BD59" s="107"/>
      <c r="BE59" s="107"/>
      <c r="BF59" s="107"/>
      <c r="BG59" s="107"/>
      <c r="BH59" s="107"/>
      <c r="BI59" s="107"/>
      <c r="BJ59" s="107"/>
      <c r="BK59" s="113"/>
      <c r="BL59" s="113"/>
      <c r="BM59" s="113"/>
      <c r="BN59" s="113"/>
      <c r="BO59" s="113"/>
      <c r="BP59" s="113"/>
      <c r="BQ59" s="113"/>
      <c r="BR59" s="113"/>
      <c r="BS59" s="113"/>
      <c r="BT59" s="113"/>
      <c r="BU59" s="110"/>
    </row>
    <row r="60" spans="1:73" x14ac:dyDescent="0.25">
      <c r="A60" s="42"/>
      <c r="B60" s="44"/>
      <c r="C60" s="32" t="s">
        <v>223</v>
      </c>
      <c r="D60" s="32"/>
      <c r="E60" s="32"/>
      <c r="F60" s="31" t="s">
        <v>144</v>
      </c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42"/>
      <c r="Y60" s="43"/>
      <c r="Z60" s="43"/>
      <c r="AA60" s="44"/>
      <c r="AB60" s="42"/>
      <c r="AC60" s="43"/>
      <c r="AD60" s="43"/>
      <c r="AE60" s="44"/>
      <c r="AF60" s="42"/>
      <c r="AG60" s="43"/>
      <c r="AH60" s="44"/>
      <c r="AI60" s="51"/>
      <c r="AJ60" s="52"/>
      <c r="AK60" s="53"/>
      <c r="AL60" s="51"/>
      <c r="AM60" s="52"/>
      <c r="AN60" s="53"/>
      <c r="AO60" s="51"/>
      <c r="AP60" s="52"/>
      <c r="AQ60" s="53"/>
      <c r="AR60" s="51"/>
      <c r="AS60" s="52"/>
      <c r="AT60" s="53"/>
      <c r="AU60" s="51"/>
      <c r="AV60" s="52"/>
      <c r="AW60" s="53"/>
      <c r="AX60" s="42"/>
      <c r="AY60" s="43"/>
      <c r="AZ60" s="44"/>
      <c r="BA60" s="108"/>
      <c r="BB60" s="108"/>
      <c r="BC60" s="108"/>
      <c r="BD60" s="108"/>
      <c r="BE60" s="108"/>
      <c r="BF60" s="108"/>
      <c r="BG60" s="108"/>
      <c r="BH60" s="108"/>
      <c r="BI60" s="108"/>
      <c r="BJ60" s="108"/>
      <c r="BK60" s="114"/>
      <c r="BL60" s="114"/>
      <c r="BM60" s="114"/>
      <c r="BN60" s="114"/>
      <c r="BO60" s="114"/>
      <c r="BP60" s="114"/>
      <c r="BQ60" s="114"/>
      <c r="BR60" s="114"/>
      <c r="BS60" s="114"/>
      <c r="BT60" s="114"/>
      <c r="BU60" s="111"/>
    </row>
    <row r="61" spans="1:73" x14ac:dyDescent="0.25">
      <c r="A61" s="37" t="s">
        <v>82</v>
      </c>
      <c r="B61" s="39"/>
      <c r="C61" s="32" t="s">
        <v>224</v>
      </c>
      <c r="D61" s="32"/>
      <c r="E61" s="32"/>
      <c r="F61" s="31" t="s">
        <v>140</v>
      </c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7">
        <f t="shared" ref="X61" si="28">BU61*30</f>
        <v>120</v>
      </c>
      <c r="Y61" s="38"/>
      <c r="Z61" s="38"/>
      <c r="AA61" s="39"/>
      <c r="AB61" s="37">
        <f t="shared" ref="AB61" si="29">SUM(BA61:BJ63)*3</f>
        <v>24</v>
      </c>
      <c r="AC61" s="38"/>
      <c r="AD61" s="38"/>
      <c r="AE61" s="39"/>
      <c r="AF61" s="37">
        <f t="shared" ref="AF61" si="30">SUM(AI61:AT63)</f>
        <v>24</v>
      </c>
      <c r="AG61" s="38"/>
      <c r="AH61" s="39"/>
      <c r="AI61" s="45">
        <v>12</v>
      </c>
      <c r="AJ61" s="46"/>
      <c r="AK61" s="47"/>
      <c r="AL61" s="45">
        <v>12</v>
      </c>
      <c r="AM61" s="46"/>
      <c r="AN61" s="47"/>
      <c r="AO61" s="45"/>
      <c r="AP61" s="46"/>
      <c r="AQ61" s="47"/>
      <c r="AR61" s="45"/>
      <c r="AS61" s="46"/>
      <c r="AT61" s="47"/>
      <c r="AU61" s="45"/>
      <c r="AV61" s="46"/>
      <c r="AW61" s="47"/>
      <c r="AX61" s="37">
        <f t="shared" ref="AX61" si="31">X61-SUM(AI61:AW61)</f>
        <v>96</v>
      </c>
      <c r="AY61" s="38"/>
      <c r="AZ61" s="39"/>
      <c r="BA61" s="106"/>
      <c r="BB61" s="106"/>
      <c r="BC61" s="106"/>
      <c r="BD61" s="106"/>
      <c r="BE61" s="106"/>
      <c r="BF61" s="106">
        <v>8</v>
      </c>
      <c r="BG61" s="106"/>
      <c r="BH61" s="106"/>
      <c r="BI61" s="106"/>
      <c r="BJ61" s="106"/>
      <c r="BK61" s="112"/>
      <c r="BL61" s="112"/>
      <c r="BM61" s="112"/>
      <c r="BN61" s="112"/>
      <c r="BO61" s="112"/>
      <c r="BP61" s="112">
        <v>4</v>
      </c>
      <c r="BQ61" s="112"/>
      <c r="BR61" s="112"/>
      <c r="BS61" s="112"/>
      <c r="BT61" s="112"/>
      <c r="BU61" s="109">
        <f t="shared" ref="BU61" si="32">SUM(BK61:BT61)</f>
        <v>4</v>
      </c>
    </row>
    <row r="62" spans="1:73" x14ac:dyDescent="0.25">
      <c r="A62" s="40"/>
      <c r="B62" s="41"/>
      <c r="C62" s="32" t="s">
        <v>225</v>
      </c>
      <c r="D62" s="32"/>
      <c r="E62" s="32"/>
      <c r="F62" s="31" t="s">
        <v>141</v>
      </c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40"/>
      <c r="Y62" s="19"/>
      <c r="Z62" s="19"/>
      <c r="AA62" s="41"/>
      <c r="AB62" s="40"/>
      <c r="AC62" s="19"/>
      <c r="AD62" s="19"/>
      <c r="AE62" s="41"/>
      <c r="AF62" s="40"/>
      <c r="AG62" s="19"/>
      <c r="AH62" s="41"/>
      <c r="AI62" s="48"/>
      <c r="AJ62" s="49"/>
      <c r="AK62" s="50"/>
      <c r="AL62" s="48"/>
      <c r="AM62" s="49"/>
      <c r="AN62" s="50"/>
      <c r="AO62" s="48"/>
      <c r="AP62" s="49"/>
      <c r="AQ62" s="50"/>
      <c r="AR62" s="48"/>
      <c r="AS62" s="49"/>
      <c r="AT62" s="50"/>
      <c r="AU62" s="48"/>
      <c r="AV62" s="49"/>
      <c r="AW62" s="50"/>
      <c r="AX62" s="40"/>
      <c r="AY62" s="19"/>
      <c r="AZ62" s="41"/>
      <c r="BA62" s="107"/>
      <c r="BB62" s="107"/>
      <c r="BC62" s="107"/>
      <c r="BD62" s="107"/>
      <c r="BE62" s="107"/>
      <c r="BF62" s="107"/>
      <c r="BG62" s="107"/>
      <c r="BH62" s="107"/>
      <c r="BI62" s="107"/>
      <c r="BJ62" s="107"/>
      <c r="BK62" s="113"/>
      <c r="BL62" s="113"/>
      <c r="BM62" s="113"/>
      <c r="BN62" s="113"/>
      <c r="BO62" s="113"/>
      <c r="BP62" s="113"/>
      <c r="BQ62" s="113"/>
      <c r="BR62" s="113"/>
      <c r="BS62" s="113"/>
      <c r="BT62" s="113"/>
      <c r="BU62" s="110"/>
    </row>
    <row r="63" spans="1:73" x14ac:dyDescent="0.25">
      <c r="A63" s="42"/>
      <c r="B63" s="44"/>
      <c r="C63" s="32" t="s">
        <v>226</v>
      </c>
      <c r="D63" s="32"/>
      <c r="E63" s="32"/>
      <c r="F63" s="31" t="s">
        <v>142</v>
      </c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42"/>
      <c r="Y63" s="43"/>
      <c r="Z63" s="43"/>
      <c r="AA63" s="44"/>
      <c r="AB63" s="42"/>
      <c r="AC63" s="43"/>
      <c r="AD63" s="43"/>
      <c r="AE63" s="44"/>
      <c r="AF63" s="42"/>
      <c r="AG63" s="43"/>
      <c r="AH63" s="44"/>
      <c r="AI63" s="51"/>
      <c r="AJ63" s="52"/>
      <c r="AK63" s="53"/>
      <c r="AL63" s="51"/>
      <c r="AM63" s="52"/>
      <c r="AN63" s="53"/>
      <c r="AO63" s="51"/>
      <c r="AP63" s="52"/>
      <c r="AQ63" s="53"/>
      <c r="AR63" s="51"/>
      <c r="AS63" s="52"/>
      <c r="AT63" s="53"/>
      <c r="AU63" s="51"/>
      <c r="AV63" s="52"/>
      <c r="AW63" s="53"/>
      <c r="AX63" s="42"/>
      <c r="AY63" s="43"/>
      <c r="AZ63" s="44"/>
      <c r="BA63" s="108"/>
      <c r="BB63" s="108"/>
      <c r="BC63" s="108"/>
      <c r="BD63" s="108"/>
      <c r="BE63" s="108"/>
      <c r="BF63" s="108"/>
      <c r="BG63" s="108"/>
      <c r="BH63" s="108"/>
      <c r="BI63" s="108"/>
      <c r="BJ63" s="108"/>
      <c r="BK63" s="114"/>
      <c r="BL63" s="114"/>
      <c r="BM63" s="114"/>
      <c r="BN63" s="114"/>
      <c r="BO63" s="114"/>
      <c r="BP63" s="114"/>
      <c r="BQ63" s="114"/>
      <c r="BR63" s="114"/>
      <c r="BS63" s="114"/>
      <c r="BT63" s="114"/>
      <c r="BU63" s="111"/>
    </row>
    <row r="64" spans="1:73" x14ac:dyDescent="0.25">
      <c r="A64" s="37" t="s">
        <v>83</v>
      </c>
      <c r="B64" s="39"/>
      <c r="C64" s="32" t="s">
        <v>227</v>
      </c>
      <c r="D64" s="32"/>
      <c r="E64" s="32"/>
      <c r="F64" s="31" t="s">
        <v>148</v>
      </c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7">
        <f t="shared" ref="X64" si="33">BU64*30</f>
        <v>360</v>
      </c>
      <c r="Y64" s="38"/>
      <c r="Z64" s="38"/>
      <c r="AA64" s="39"/>
      <c r="AB64" s="37">
        <f t="shared" ref="AB64" si="34">SUM(BA64:BJ66)*3</f>
        <v>48</v>
      </c>
      <c r="AC64" s="38"/>
      <c r="AD64" s="38"/>
      <c r="AE64" s="39"/>
      <c r="AF64" s="37">
        <f t="shared" ref="AF64" si="35">SUM(AI64:AT66)</f>
        <v>48</v>
      </c>
      <c r="AG64" s="38"/>
      <c r="AH64" s="39"/>
      <c r="AI64" s="45">
        <v>24</v>
      </c>
      <c r="AJ64" s="46"/>
      <c r="AK64" s="47"/>
      <c r="AL64" s="45">
        <v>24</v>
      </c>
      <c r="AM64" s="46"/>
      <c r="AN64" s="47"/>
      <c r="AO64" s="45"/>
      <c r="AP64" s="46"/>
      <c r="AQ64" s="47"/>
      <c r="AR64" s="45"/>
      <c r="AS64" s="46"/>
      <c r="AT64" s="47"/>
      <c r="AU64" s="45"/>
      <c r="AV64" s="46"/>
      <c r="AW64" s="47"/>
      <c r="AX64" s="37">
        <f t="shared" ref="AX64" si="36">X64-SUM(AI64:AW64)</f>
        <v>312</v>
      </c>
      <c r="AY64" s="38"/>
      <c r="AZ64" s="39"/>
      <c r="BA64" s="106"/>
      <c r="BB64" s="106"/>
      <c r="BC64" s="106"/>
      <c r="BD64" s="106"/>
      <c r="BE64" s="106"/>
      <c r="BF64" s="106"/>
      <c r="BG64" s="106">
        <v>8</v>
      </c>
      <c r="BH64" s="106">
        <v>8</v>
      </c>
      <c r="BI64" s="106"/>
      <c r="BJ64" s="106"/>
      <c r="BK64" s="112"/>
      <c r="BL64" s="112"/>
      <c r="BM64" s="112"/>
      <c r="BN64" s="112"/>
      <c r="BO64" s="112"/>
      <c r="BP64" s="112"/>
      <c r="BQ64" s="112">
        <v>6</v>
      </c>
      <c r="BR64" s="112">
        <v>6</v>
      </c>
      <c r="BS64" s="112"/>
      <c r="BT64" s="112"/>
      <c r="BU64" s="109">
        <f t="shared" ref="BU64" si="37">SUM(BK64:BT64)</f>
        <v>12</v>
      </c>
    </row>
    <row r="65" spans="1:73" x14ac:dyDescent="0.25">
      <c r="A65" s="40"/>
      <c r="B65" s="41"/>
      <c r="C65" s="32" t="s">
        <v>228</v>
      </c>
      <c r="D65" s="32"/>
      <c r="E65" s="32"/>
      <c r="F65" s="31" t="s">
        <v>149</v>
      </c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40"/>
      <c r="Y65" s="19"/>
      <c r="Z65" s="19"/>
      <c r="AA65" s="41"/>
      <c r="AB65" s="40"/>
      <c r="AC65" s="19"/>
      <c r="AD65" s="19"/>
      <c r="AE65" s="41"/>
      <c r="AF65" s="40"/>
      <c r="AG65" s="19"/>
      <c r="AH65" s="41"/>
      <c r="AI65" s="48"/>
      <c r="AJ65" s="49"/>
      <c r="AK65" s="50"/>
      <c r="AL65" s="48"/>
      <c r="AM65" s="49"/>
      <c r="AN65" s="50"/>
      <c r="AO65" s="48"/>
      <c r="AP65" s="49"/>
      <c r="AQ65" s="50"/>
      <c r="AR65" s="48"/>
      <c r="AS65" s="49"/>
      <c r="AT65" s="50"/>
      <c r="AU65" s="48"/>
      <c r="AV65" s="49"/>
      <c r="AW65" s="50"/>
      <c r="AX65" s="40"/>
      <c r="AY65" s="19"/>
      <c r="AZ65" s="41"/>
      <c r="BA65" s="107"/>
      <c r="BB65" s="107"/>
      <c r="BC65" s="107"/>
      <c r="BD65" s="107"/>
      <c r="BE65" s="107"/>
      <c r="BF65" s="107"/>
      <c r="BG65" s="107"/>
      <c r="BH65" s="107"/>
      <c r="BI65" s="107"/>
      <c r="BJ65" s="107"/>
      <c r="BK65" s="113"/>
      <c r="BL65" s="113"/>
      <c r="BM65" s="113"/>
      <c r="BN65" s="113"/>
      <c r="BO65" s="113"/>
      <c r="BP65" s="113"/>
      <c r="BQ65" s="113"/>
      <c r="BR65" s="113"/>
      <c r="BS65" s="113"/>
      <c r="BT65" s="113"/>
      <c r="BU65" s="110"/>
    </row>
    <row r="66" spans="1:73" x14ac:dyDescent="0.25">
      <c r="A66" s="42"/>
      <c r="B66" s="44"/>
      <c r="C66" s="32" t="s">
        <v>229</v>
      </c>
      <c r="D66" s="32"/>
      <c r="E66" s="32"/>
      <c r="F66" s="100" t="s">
        <v>150</v>
      </c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42"/>
      <c r="Y66" s="43"/>
      <c r="Z66" s="43"/>
      <c r="AA66" s="44"/>
      <c r="AB66" s="42"/>
      <c r="AC66" s="43"/>
      <c r="AD66" s="43"/>
      <c r="AE66" s="44"/>
      <c r="AF66" s="42"/>
      <c r="AG66" s="43"/>
      <c r="AH66" s="44"/>
      <c r="AI66" s="51"/>
      <c r="AJ66" s="52"/>
      <c r="AK66" s="53"/>
      <c r="AL66" s="51"/>
      <c r="AM66" s="52"/>
      <c r="AN66" s="53"/>
      <c r="AO66" s="51"/>
      <c r="AP66" s="52"/>
      <c r="AQ66" s="53"/>
      <c r="AR66" s="51"/>
      <c r="AS66" s="52"/>
      <c r="AT66" s="53"/>
      <c r="AU66" s="51"/>
      <c r="AV66" s="52"/>
      <c r="AW66" s="53"/>
      <c r="AX66" s="42"/>
      <c r="AY66" s="43"/>
      <c r="AZ66" s="44"/>
      <c r="BA66" s="108"/>
      <c r="BB66" s="108"/>
      <c r="BC66" s="108"/>
      <c r="BD66" s="108"/>
      <c r="BE66" s="108"/>
      <c r="BF66" s="108"/>
      <c r="BG66" s="108"/>
      <c r="BH66" s="108"/>
      <c r="BI66" s="108"/>
      <c r="BJ66" s="108"/>
      <c r="BK66" s="114"/>
      <c r="BL66" s="114"/>
      <c r="BM66" s="114"/>
      <c r="BN66" s="114"/>
      <c r="BO66" s="114"/>
      <c r="BP66" s="114"/>
      <c r="BQ66" s="114"/>
      <c r="BR66" s="114"/>
      <c r="BS66" s="114"/>
      <c r="BT66" s="114"/>
      <c r="BU66" s="111"/>
    </row>
    <row r="67" spans="1:73" x14ac:dyDescent="0.25">
      <c r="A67" s="37" t="s">
        <v>84</v>
      </c>
      <c r="B67" s="39"/>
      <c r="C67" s="32" t="s">
        <v>230</v>
      </c>
      <c r="D67" s="32"/>
      <c r="E67" s="32"/>
      <c r="F67" s="31" t="s">
        <v>146</v>
      </c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7">
        <f t="shared" ref="X67" si="38">BU67*30</f>
        <v>180</v>
      </c>
      <c r="Y67" s="38"/>
      <c r="Z67" s="38"/>
      <c r="AA67" s="39"/>
      <c r="AB67" s="37">
        <f t="shared" ref="AB67" si="39">SUM(BA67:BJ69)*3</f>
        <v>36</v>
      </c>
      <c r="AC67" s="38"/>
      <c r="AD67" s="38"/>
      <c r="AE67" s="39"/>
      <c r="AF67" s="37">
        <f t="shared" ref="AF67" si="40">SUM(AI67:AT69)</f>
        <v>36</v>
      </c>
      <c r="AG67" s="38"/>
      <c r="AH67" s="39"/>
      <c r="AI67" s="45">
        <v>18</v>
      </c>
      <c r="AJ67" s="46"/>
      <c r="AK67" s="47"/>
      <c r="AL67" s="45">
        <v>18</v>
      </c>
      <c r="AM67" s="46"/>
      <c r="AN67" s="47"/>
      <c r="AO67" s="45"/>
      <c r="AP67" s="46"/>
      <c r="AQ67" s="47"/>
      <c r="AR67" s="45"/>
      <c r="AS67" s="46"/>
      <c r="AT67" s="47"/>
      <c r="AU67" s="45"/>
      <c r="AV67" s="46"/>
      <c r="AW67" s="47"/>
      <c r="AX67" s="37">
        <f t="shared" ref="AX67" si="41">X67-SUM(AI67:AW67)</f>
        <v>144</v>
      </c>
      <c r="AY67" s="38"/>
      <c r="AZ67" s="39"/>
      <c r="BA67" s="106"/>
      <c r="BB67" s="106"/>
      <c r="BC67" s="106"/>
      <c r="BD67" s="106"/>
      <c r="BE67" s="106"/>
      <c r="BF67" s="106"/>
      <c r="BG67" s="106"/>
      <c r="BH67" s="106"/>
      <c r="BI67" s="106"/>
      <c r="BJ67" s="106">
        <v>12</v>
      </c>
      <c r="BK67" s="112"/>
      <c r="BL67" s="112"/>
      <c r="BM67" s="112"/>
      <c r="BN67" s="112"/>
      <c r="BO67" s="112"/>
      <c r="BP67" s="112"/>
      <c r="BQ67" s="112"/>
      <c r="BR67" s="112"/>
      <c r="BS67" s="112"/>
      <c r="BT67" s="112">
        <v>6</v>
      </c>
      <c r="BU67" s="109">
        <f t="shared" ref="BU67" si="42">SUM(BK67:BT67)</f>
        <v>6</v>
      </c>
    </row>
    <row r="68" spans="1:73" x14ac:dyDescent="0.25">
      <c r="A68" s="40"/>
      <c r="B68" s="41"/>
      <c r="C68" s="32" t="s">
        <v>231</v>
      </c>
      <c r="D68" s="32"/>
      <c r="E68" s="32"/>
      <c r="F68" s="31" t="s">
        <v>167</v>
      </c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40"/>
      <c r="Y68" s="19"/>
      <c r="Z68" s="19"/>
      <c r="AA68" s="41"/>
      <c r="AB68" s="40"/>
      <c r="AC68" s="19"/>
      <c r="AD68" s="19"/>
      <c r="AE68" s="41"/>
      <c r="AF68" s="40"/>
      <c r="AG68" s="19"/>
      <c r="AH68" s="41"/>
      <c r="AI68" s="48"/>
      <c r="AJ68" s="49"/>
      <c r="AK68" s="50"/>
      <c r="AL68" s="48"/>
      <c r="AM68" s="49"/>
      <c r="AN68" s="50"/>
      <c r="AO68" s="48"/>
      <c r="AP68" s="49"/>
      <c r="AQ68" s="50"/>
      <c r="AR68" s="48"/>
      <c r="AS68" s="49"/>
      <c r="AT68" s="50"/>
      <c r="AU68" s="48"/>
      <c r="AV68" s="49"/>
      <c r="AW68" s="50"/>
      <c r="AX68" s="40"/>
      <c r="AY68" s="19"/>
      <c r="AZ68" s="41"/>
      <c r="BA68" s="107"/>
      <c r="BB68" s="107"/>
      <c r="BC68" s="107"/>
      <c r="BD68" s="107"/>
      <c r="BE68" s="107"/>
      <c r="BF68" s="107"/>
      <c r="BG68" s="107"/>
      <c r="BH68" s="107"/>
      <c r="BI68" s="107"/>
      <c r="BJ68" s="107"/>
      <c r="BK68" s="113"/>
      <c r="BL68" s="113"/>
      <c r="BM68" s="113"/>
      <c r="BN68" s="113"/>
      <c r="BO68" s="113"/>
      <c r="BP68" s="113"/>
      <c r="BQ68" s="113"/>
      <c r="BR68" s="113"/>
      <c r="BS68" s="113"/>
      <c r="BT68" s="113"/>
      <c r="BU68" s="110"/>
    </row>
    <row r="69" spans="1:73" x14ac:dyDescent="0.25">
      <c r="A69" s="42"/>
      <c r="B69" s="44"/>
      <c r="C69" s="32" t="s">
        <v>232</v>
      </c>
      <c r="D69" s="32"/>
      <c r="E69" s="32"/>
      <c r="F69" s="31" t="s">
        <v>147</v>
      </c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42"/>
      <c r="Y69" s="43"/>
      <c r="Z69" s="43"/>
      <c r="AA69" s="44"/>
      <c r="AB69" s="42"/>
      <c r="AC69" s="43"/>
      <c r="AD69" s="43"/>
      <c r="AE69" s="44"/>
      <c r="AF69" s="42"/>
      <c r="AG69" s="43"/>
      <c r="AH69" s="44"/>
      <c r="AI69" s="51"/>
      <c r="AJ69" s="52"/>
      <c r="AK69" s="53"/>
      <c r="AL69" s="51"/>
      <c r="AM69" s="52"/>
      <c r="AN69" s="53"/>
      <c r="AO69" s="51"/>
      <c r="AP69" s="52"/>
      <c r="AQ69" s="53"/>
      <c r="AR69" s="51"/>
      <c r="AS69" s="52"/>
      <c r="AT69" s="53"/>
      <c r="AU69" s="51"/>
      <c r="AV69" s="52"/>
      <c r="AW69" s="53"/>
      <c r="AX69" s="42"/>
      <c r="AY69" s="43"/>
      <c r="AZ69" s="44"/>
      <c r="BA69" s="108"/>
      <c r="BB69" s="108"/>
      <c r="BC69" s="108"/>
      <c r="BD69" s="108"/>
      <c r="BE69" s="108"/>
      <c r="BF69" s="108"/>
      <c r="BG69" s="108"/>
      <c r="BH69" s="108"/>
      <c r="BI69" s="108"/>
      <c r="BJ69" s="108"/>
      <c r="BK69" s="114"/>
      <c r="BL69" s="114"/>
      <c r="BM69" s="114"/>
      <c r="BN69" s="114"/>
      <c r="BO69" s="114"/>
      <c r="BP69" s="114"/>
      <c r="BQ69" s="114"/>
      <c r="BR69" s="114"/>
      <c r="BS69" s="114"/>
      <c r="BT69" s="114"/>
      <c r="BU69" s="111"/>
    </row>
    <row r="70" spans="1:73" s="7" customFormat="1" x14ac:dyDescent="0.25">
      <c r="A70" s="132"/>
      <c r="B70" s="132"/>
      <c r="C70" s="132"/>
      <c r="D70" s="132"/>
      <c r="E70" s="132"/>
      <c r="F70" s="137" t="s">
        <v>12</v>
      </c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2">
        <f>X28+X57</f>
        <v>6960</v>
      </c>
      <c r="Y70" s="132"/>
      <c r="Z70" s="132"/>
      <c r="AA70" s="132"/>
      <c r="AB70" s="132">
        <v>100</v>
      </c>
      <c r="AC70" s="132"/>
      <c r="AD70" s="132"/>
      <c r="AE70" s="132"/>
      <c r="AF70" s="132">
        <f>AF57+AF28</f>
        <v>1136</v>
      </c>
      <c r="AG70" s="132"/>
      <c r="AH70" s="132"/>
      <c r="AI70" s="132">
        <f>AI57+AI28</f>
        <v>538</v>
      </c>
      <c r="AJ70" s="132"/>
      <c r="AK70" s="132"/>
      <c r="AL70" s="132">
        <f>AL57+AL28</f>
        <v>500</v>
      </c>
      <c r="AM70" s="132"/>
      <c r="AN70" s="132"/>
      <c r="AO70" s="132">
        <f>AO57+AO28</f>
        <v>6</v>
      </c>
      <c r="AP70" s="132"/>
      <c r="AQ70" s="132"/>
      <c r="AR70" s="132">
        <f>AR57+AR28</f>
        <v>92</v>
      </c>
      <c r="AS70" s="132"/>
      <c r="AT70" s="132"/>
      <c r="AU70" s="132">
        <f>AU57+AU28</f>
        <v>0</v>
      </c>
      <c r="AV70" s="132"/>
      <c r="AW70" s="132"/>
      <c r="AX70" s="132">
        <f>AX57+AX28</f>
        <v>5824</v>
      </c>
      <c r="AY70" s="132"/>
      <c r="AZ70" s="132"/>
      <c r="BA70" s="135">
        <f t="shared" ref="BA70:BJ70" si="43">BA28+BA57</f>
        <v>44</v>
      </c>
      <c r="BB70" s="135">
        <f t="shared" si="43"/>
        <v>28</v>
      </c>
      <c r="BC70" s="135">
        <f t="shared" si="43"/>
        <v>40</v>
      </c>
      <c r="BD70" s="135">
        <f t="shared" si="43"/>
        <v>56</v>
      </c>
      <c r="BE70" s="135">
        <f t="shared" si="43"/>
        <v>32</v>
      </c>
      <c r="BF70" s="135">
        <f t="shared" si="43"/>
        <v>32</v>
      </c>
      <c r="BG70" s="135">
        <f t="shared" si="43"/>
        <v>32</v>
      </c>
      <c r="BH70" s="135">
        <f t="shared" si="43"/>
        <v>32</v>
      </c>
      <c r="BI70" s="135">
        <f t="shared" si="43"/>
        <v>32</v>
      </c>
      <c r="BJ70" s="135">
        <f t="shared" si="43"/>
        <v>32</v>
      </c>
      <c r="BK70" s="135">
        <f t="shared" ref="BK70:BT70" si="44">BK57+BK28</f>
        <v>28</v>
      </c>
      <c r="BL70" s="135">
        <f t="shared" si="44"/>
        <v>22</v>
      </c>
      <c r="BM70" s="135">
        <f t="shared" si="44"/>
        <v>26</v>
      </c>
      <c r="BN70" s="135">
        <f t="shared" si="44"/>
        <v>34</v>
      </c>
      <c r="BO70" s="135">
        <f t="shared" si="44"/>
        <v>22</v>
      </c>
      <c r="BP70" s="135">
        <f t="shared" si="44"/>
        <v>22</v>
      </c>
      <c r="BQ70" s="135">
        <f t="shared" si="44"/>
        <v>20</v>
      </c>
      <c r="BR70" s="135">
        <f t="shared" si="44"/>
        <v>24</v>
      </c>
      <c r="BS70" s="135">
        <f t="shared" si="44"/>
        <v>16</v>
      </c>
      <c r="BT70" s="135">
        <f t="shared" si="44"/>
        <v>18</v>
      </c>
      <c r="BU70" s="135">
        <f>SUM(BK70:BT70)</f>
        <v>232</v>
      </c>
    </row>
    <row r="71" spans="1:73" x14ac:dyDescent="0.25">
      <c r="A71" s="29"/>
      <c r="B71" s="29"/>
      <c r="C71" s="102"/>
      <c r="D71" s="102"/>
      <c r="E71" s="102"/>
      <c r="F71" s="103" t="s">
        <v>95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29">
        <f>BU71*30</f>
        <v>1140</v>
      </c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5"/>
      <c r="BL71" s="5">
        <v>2</v>
      </c>
      <c r="BM71" s="5">
        <v>4</v>
      </c>
      <c r="BN71" s="5">
        <v>4</v>
      </c>
      <c r="BO71" s="5">
        <v>4</v>
      </c>
      <c r="BP71" s="5">
        <v>4</v>
      </c>
      <c r="BQ71" s="5">
        <v>4</v>
      </c>
      <c r="BR71" s="5">
        <v>4</v>
      </c>
      <c r="BS71" s="5">
        <v>6</v>
      </c>
      <c r="BT71" s="5">
        <v>6</v>
      </c>
      <c r="BU71" s="1">
        <f>SUM(BL71:BT71)</f>
        <v>38</v>
      </c>
    </row>
    <row r="72" spans="1:73" x14ac:dyDescent="0.25">
      <c r="A72" s="29"/>
      <c r="B72" s="29"/>
      <c r="C72" s="102"/>
      <c r="D72" s="102"/>
      <c r="E72" s="102"/>
      <c r="F72" s="103" t="s">
        <v>19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29">
        <f>BU72*30</f>
        <v>60</v>
      </c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5"/>
      <c r="BL72" s="5"/>
      <c r="BM72" s="5"/>
      <c r="BN72" s="5"/>
      <c r="BO72" s="5"/>
      <c r="BP72" s="5"/>
      <c r="BQ72" s="5"/>
      <c r="BR72" s="5"/>
      <c r="BS72" s="5"/>
      <c r="BT72" s="5">
        <v>2</v>
      </c>
      <c r="BU72" s="1">
        <f t="shared" ref="BU72:BU73" si="45">SUM(BL72:BT72)</f>
        <v>2</v>
      </c>
    </row>
    <row r="73" spans="1:73" x14ac:dyDescent="0.25">
      <c r="A73" s="29"/>
      <c r="B73" s="29"/>
      <c r="C73" s="102"/>
      <c r="D73" s="102"/>
      <c r="E73" s="102"/>
      <c r="F73" s="105" t="s">
        <v>12</v>
      </c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29">
        <f>SUM(X71:AA72)</f>
        <v>1200</v>
      </c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>
        <f>SUM(BK71:BK72)</f>
        <v>0</v>
      </c>
      <c r="BL73" s="1">
        <f>SUM(BL71:BL72)</f>
        <v>2</v>
      </c>
      <c r="BM73" s="1">
        <f t="shared" ref="BM73:BT73" si="46">SUM(BM71:BM72)</f>
        <v>4</v>
      </c>
      <c r="BN73" s="1">
        <f t="shared" si="46"/>
        <v>4</v>
      </c>
      <c r="BO73" s="1">
        <f t="shared" si="46"/>
        <v>4</v>
      </c>
      <c r="BP73" s="1">
        <f t="shared" si="46"/>
        <v>4</v>
      </c>
      <c r="BQ73" s="1">
        <f t="shared" si="46"/>
        <v>4</v>
      </c>
      <c r="BR73" s="1">
        <f t="shared" si="46"/>
        <v>4</v>
      </c>
      <c r="BS73" s="1">
        <f t="shared" si="46"/>
        <v>6</v>
      </c>
      <c r="BT73" s="1">
        <f t="shared" si="46"/>
        <v>8</v>
      </c>
      <c r="BU73" s="1">
        <f t="shared" si="45"/>
        <v>40</v>
      </c>
    </row>
    <row r="74" spans="1:73" s="7" customFormat="1" x14ac:dyDescent="0.25">
      <c r="A74" s="132"/>
      <c r="B74" s="132"/>
      <c r="C74" s="132"/>
      <c r="D74" s="132"/>
      <c r="E74" s="132"/>
      <c r="F74" s="137" t="s">
        <v>85</v>
      </c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2">
        <f>X73+X70</f>
        <v>8160</v>
      </c>
      <c r="Y74" s="132"/>
      <c r="Z74" s="132"/>
      <c r="AA74" s="132"/>
      <c r="AB74" s="132"/>
      <c r="AC74" s="132"/>
      <c r="AD74" s="132"/>
      <c r="AE74" s="132"/>
      <c r="AF74" s="132"/>
      <c r="AG74" s="132"/>
      <c r="AH74" s="132"/>
      <c r="AI74" s="132"/>
      <c r="AJ74" s="132"/>
      <c r="AK74" s="132"/>
      <c r="AL74" s="132"/>
      <c r="AM74" s="132"/>
      <c r="AN74" s="132"/>
      <c r="AO74" s="132"/>
      <c r="AP74" s="132"/>
      <c r="AQ74" s="132"/>
      <c r="AR74" s="132"/>
      <c r="AS74" s="132"/>
      <c r="AT74" s="132"/>
      <c r="AU74" s="132"/>
      <c r="AV74" s="132"/>
      <c r="AW74" s="132"/>
      <c r="AX74" s="132"/>
      <c r="AY74" s="132"/>
      <c r="AZ74" s="132"/>
      <c r="BA74" s="135">
        <f>BA70+BA71</f>
        <v>44</v>
      </c>
      <c r="BB74" s="135">
        <f t="shared" ref="BB74:BJ74" si="47">BB70+BB71</f>
        <v>28</v>
      </c>
      <c r="BC74" s="135">
        <f t="shared" si="47"/>
        <v>40</v>
      </c>
      <c r="BD74" s="135">
        <f t="shared" si="47"/>
        <v>56</v>
      </c>
      <c r="BE74" s="135">
        <f t="shared" si="47"/>
        <v>32</v>
      </c>
      <c r="BF74" s="135">
        <f t="shared" si="47"/>
        <v>32</v>
      </c>
      <c r="BG74" s="135">
        <f t="shared" si="47"/>
        <v>32</v>
      </c>
      <c r="BH74" s="135">
        <f t="shared" si="47"/>
        <v>32</v>
      </c>
      <c r="BI74" s="135">
        <f t="shared" si="47"/>
        <v>32</v>
      </c>
      <c r="BJ74" s="135">
        <f t="shared" si="47"/>
        <v>32</v>
      </c>
      <c r="BK74" s="135">
        <f>BK70+BK73</f>
        <v>28</v>
      </c>
      <c r="BL74" s="135">
        <f t="shared" ref="BL74:BT74" si="48">BL70+BL73</f>
        <v>24</v>
      </c>
      <c r="BM74" s="135">
        <f t="shared" si="48"/>
        <v>30</v>
      </c>
      <c r="BN74" s="135">
        <f t="shared" si="48"/>
        <v>38</v>
      </c>
      <c r="BO74" s="135">
        <f t="shared" si="48"/>
        <v>26</v>
      </c>
      <c r="BP74" s="135">
        <f t="shared" si="48"/>
        <v>26</v>
      </c>
      <c r="BQ74" s="135">
        <f t="shared" si="48"/>
        <v>24</v>
      </c>
      <c r="BR74" s="135">
        <f t="shared" si="48"/>
        <v>28</v>
      </c>
      <c r="BS74" s="135">
        <f t="shared" si="48"/>
        <v>22</v>
      </c>
      <c r="BT74" s="135">
        <f t="shared" si="48"/>
        <v>26</v>
      </c>
      <c r="BU74" s="135">
        <f>SUM(BK74:BT74)</f>
        <v>272</v>
      </c>
    </row>
    <row r="75" spans="1:73" x14ac:dyDescent="0.25">
      <c r="X75" s="17"/>
      <c r="Y75" s="17"/>
      <c r="Z75" s="17"/>
      <c r="AA75" s="17"/>
    </row>
    <row r="76" spans="1:73" x14ac:dyDescent="0.25">
      <c r="B76" s="2" t="s">
        <v>86</v>
      </c>
    </row>
    <row r="77" spans="1:73" x14ac:dyDescent="0.25">
      <c r="B77" s="3" t="s">
        <v>87</v>
      </c>
    </row>
    <row r="78" spans="1:73" x14ac:dyDescent="0.25">
      <c r="B78" s="3" t="s">
        <v>88</v>
      </c>
    </row>
    <row r="79" spans="1:73" x14ac:dyDescent="0.25">
      <c r="B79" s="3" t="s">
        <v>89</v>
      </c>
    </row>
    <row r="80" spans="1:73" x14ac:dyDescent="0.25">
      <c r="B80" s="3" t="s">
        <v>90</v>
      </c>
    </row>
    <row r="81" spans="2:70" x14ac:dyDescent="0.25">
      <c r="B81" s="3" t="s">
        <v>91</v>
      </c>
    </row>
    <row r="82" spans="2:70" x14ac:dyDescent="0.25">
      <c r="B82" s="3" t="s">
        <v>92</v>
      </c>
    </row>
    <row r="83" spans="2:70" x14ac:dyDescent="0.25">
      <c r="B83" s="2" t="s">
        <v>93</v>
      </c>
    </row>
    <row r="85" spans="2:70" x14ac:dyDescent="0.25">
      <c r="S85" s="66" t="s">
        <v>94</v>
      </c>
      <c r="T85" s="66"/>
      <c r="U85" s="66"/>
      <c r="V85" s="66"/>
      <c r="W85" s="66"/>
      <c r="X85" s="66"/>
      <c r="Y85" s="66"/>
      <c r="Z85" s="66"/>
      <c r="AA85" s="66"/>
      <c r="AB85" s="67" t="s">
        <v>99</v>
      </c>
      <c r="AC85" s="67"/>
      <c r="AD85" s="67"/>
      <c r="AE85" s="67"/>
      <c r="AF85" s="67"/>
      <c r="AG85" s="68" t="s">
        <v>100</v>
      </c>
      <c r="AH85" s="68"/>
      <c r="AI85" s="68"/>
      <c r="AJ85" s="68"/>
      <c r="AK85" s="69" t="s">
        <v>102</v>
      </c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  <c r="AW85" s="70"/>
      <c r="AX85" s="70"/>
      <c r="AY85" s="71"/>
      <c r="BF85" s="19" t="s">
        <v>233</v>
      </c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</row>
    <row r="86" spans="2:70" x14ac:dyDescent="0.25">
      <c r="S86" s="74" t="s">
        <v>17</v>
      </c>
      <c r="T86" s="74"/>
      <c r="U86" s="74"/>
      <c r="V86" s="74"/>
      <c r="W86" s="74"/>
      <c r="X86" s="74"/>
      <c r="Y86" s="74"/>
      <c r="Z86" s="74"/>
      <c r="AA86" s="74"/>
      <c r="AB86" s="64">
        <f>BD13</f>
        <v>30</v>
      </c>
      <c r="AC86" s="64"/>
      <c r="AD86" s="64"/>
      <c r="AE86" s="64"/>
      <c r="AF86" s="64"/>
      <c r="AG86" s="65" t="s">
        <v>171</v>
      </c>
      <c r="AH86" s="65"/>
      <c r="AI86" s="65"/>
      <c r="AJ86" s="65"/>
      <c r="AK86" s="75" t="s">
        <v>101</v>
      </c>
      <c r="AL86" s="76"/>
      <c r="AM86" s="76"/>
      <c r="AN86" s="76"/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7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</row>
    <row r="87" spans="2:70" x14ac:dyDescent="0.25">
      <c r="S87" s="74" t="s">
        <v>95</v>
      </c>
      <c r="T87" s="74"/>
      <c r="U87" s="74"/>
      <c r="V87" s="74"/>
      <c r="W87" s="74"/>
      <c r="X87" s="74"/>
      <c r="Y87" s="74"/>
      <c r="Z87" s="74"/>
      <c r="AA87" s="74"/>
      <c r="AB87" s="64">
        <f>BL13</f>
        <v>38</v>
      </c>
      <c r="AC87" s="64"/>
      <c r="AD87" s="64"/>
      <c r="AE87" s="64"/>
      <c r="AF87" s="64"/>
      <c r="AG87" s="65" t="s">
        <v>172</v>
      </c>
      <c r="AH87" s="65"/>
      <c r="AI87" s="65"/>
      <c r="AJ87" s="65"/>
      <c r="AK87" s="78"/>
      <c r="AL87" s="79"/>
      <c r="AM87" s="79"/>
      <c r="AN87" s="79"/>
      <c r="AO87" s="79"/>
      <c r="AP87" s="79"/>
      <c r="AQ87" s="79"/>
      <c r="AR87" s="79"/>
      <c r="AS87" s="79"/>
      <c r="AT87" s="79"/>
      <c r="AU87" s="79"/>
      <c r="AV87" s="79"/>
      <c r="AW87" s="79"/>
      <c r="AX87" s="79"/>
      <c r="AY87" s="80"/>
      <c r="BF87" s="19" t="s">
        <v>234</v>
      </c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</row>
    <row r="88" spans="2:70" x14ac:dyDescent="0.25">
      <c r="S88" s="84" t="s">
        <v>18</v>
      </c>
      <c r="T88" s="84"/>
      <c r="U88" s="84"/>
      <c r="V88" s="84"/>
      <c r="W88" s="84"/>
      <c r="X88" s="84"/>
      <c r="Y88" s="84"/>
      <c r="Z88" s="84"/>
      <c r="AA88" s="84"/>
      <c r="AB88" s="64">
        <f>BF13</f>
        <v>10</v>
      </c>
      <c r="AC88" s="64"/>
      <c r="AD88" s="64"/>
      <c r="AE88" s="64"/>
      <c r="AF88" s="64"/>
      <c r="AG88" s="65" t="s">
        <v>171</v>
      </c>
      <c r="AH88" s="65"/>
      <c r="AI88" s="65"/>
      <c r="AJ88" s="65"/>
      <c r="AK88" s="78"/>
      <c r="AL88" s="79"/>
      <c r="AM88" s="79"/>
      <c r="AN88" s="79"/>
      <c r="AO88" s="79"/>
      <c r="AP88" s="79"/>
      <c r="AQ88" s="79"/>
      <c r="AR88" s="79"/>
      <c r="AS88" s="79"/>
      <c r="AT88" s="79"/>
      <c r="AU88" s="79"/>
      <c r="AV88" s="79"/>
      <c r="AW88" s="79"/>
      <c r="AX88" s="79"/>
      <c r="AY88" s="80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</row>
    <row r="89" spans="2:70" x14ac:dyDescent="0.25">
      <c r="S89" s="84" t="s">
        <v>98</v>
      </c>
      <c r="T89" s="84"/>
      <c r="U89" s="84"/>
      <c r="V89" s="84"/>
      <c r="W89" s="84"/>
      <c r="X89" s="84"/>
      <c r="Y89" s="84"/>
      <c r="Z89" s="84"/>
      <c r="AA89" s="84"/>
      <c r="AB89" s="64">
        <f>BN13</f>
        <v>4</v>
      </c>
      <c r="AC89" s="64"/>
      <c r="AD89" s="64"/>
      <c r="AE89" s="64"/>
      <c r="AF89" s="64"/>
      <c r="AG89" s="65" t="s">
        <v>173</v>
      </c>
      <c r="AH89" s="65"/>
      <c r="AI89" s="65"/>
      <c r="AJ89" s="65"/>
      <c r="AK89" s="78"/>
      <c r="AL89" s="79"/>
      <c r="AM89" s="79"/>
      <c r="AN89" s="79"/>
      <c r="AO89" s="79"/>
      <c r="AP89" s="79"/>
      <c r="AQ89" s="79"/>
      <c r="AR89" s="79"/>
      <c r="AS89" s="79"/>
      <c r="AT89" s="79"/>
      <c r="AU89" s="79"/>
      <c r="AV89" s="79"/>
      <c r="AW89" s="79"/>
      <c r="AX89" s="79"/>
      <c r="AY89" s="80"/>
      <c r="BF89" s="19" t="s">
        <v>235</v>
      </c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</row>
    <row r="90" spans="2:70" x14ac:dyDescent="0.25">
      <c r="S90" s="84" t="s">
        <v>96</v>
      </c>
      <c r="T90" s="84"/>
      <c r="U90" s="84"/>
      <c r="V90" s="84"/>
      <c r="W90" s="84"/>
      <c r="X90" s="84"/>
      <c r="Y90" s="84"/>
      <c r="Z90" s="84"/>
      <c r="AA90" s="84"/>
      <c r="AB90" s="64">
        <f>BP13</f>
        <v>10</v>
      </c>
      <c r="AC90" s="64"/>
      <c r="AD90" s="64"/>
      <c r="AE90" s="64"/>
      <c r="AF90" s="64"/>
      <c r="AG90" s="65" t="s">
        <v>171</v>
      </c>
      <c r="AH90" s="65"/>
      <c r="AI90" s="65"/>
      <c r="AJ90" s="65"/>
      <c r="AK90" s="78"/>
      <c r="AL90" s="79"/>
      <c r="AM90" s="79"/>
      <c r="AN90" s="79"/>
      <c r="AO90" s="79"/>
      <c r="AP90" s="79"/>
      <c r="AQ90" s="79"/>
      <c r="AR90" s="79"/>
      <c r="AS90" s="79"/>
      <c r="AT90" s="79"/>
      <c r="AU90" s="79"/>
      <c r="AV90" s="79"/>
      <c r="AW90" s="79"/>
      <c r="AX90" s="79"/>
      <c r="AY90" s="80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</row>
    <row r="91" spans="2:70" x14ac:dyDescent="0.25">
      <c r="S91" s="84" t="s">
        <v>97</v>
      </c>
      <c r="T91" s="84"/>
      <c r="U91" s="84"/>
      <c r="V91" s="84"/>
      <c r="W91" s="84"/>
      <c r="X91" s="84"/>
      <c r="Y91" s="84"/>
      <c r="Z91" s="84"/>
      <c r="AA91" s="84"/>
      <c r="AB91" s="64">
        <f>BJ13</f>
        <v>0</v>
      </c>
      <c r="AC91" s="64"/>
      <c r="AD91" s="64"/>
      <c r="AE91" s="64"/>
      <c r="AF91" s="64"/>
      <c r="AG91" s="65" t="s">
        <v>174</v>
      </c>
      <c r="AH91" s="65"/>
      <c r="AI91" s="65"/>
      <c r="AJ91" s="65"/>
      <c r="AK91" s="81"/>
      <c r="AL91" s="82"/>
      <c r="AM91" s="82"/>
      <c r="AN91" s="82"/>
      <c r="AO91" s="82"/>
      <c r="AP91" s="82"/>
      <c r="AQ91" s="82"/>
      <c r="AR91" s="82"/>
      <c r="AS91" s="82"/>
      <c r="AT91" s="82"/>
      <c r="AU91" s="82"/>
      <c r="AV91" s="82"/>
      <c r="AW91" s="82"/>
      <c r="AX91" s="82"/>
      <c r="AY91" s="83"/>
    </row>
    <row r="92" spans="2:70" x14ac:dyDescent="0.25">
      <c r="S92" s="62" t="s">
        <v>12</v>
      </c>
      <c r="T92" s="62"/>
      <c r="U92" s="62"/>
      <c r="V92" s="62"/>
      <c r="W92" s="62"/>
      <c r="X92" s="62"/>
      <c r="Y92" s="62"/>
      <c r="Z92" s="62"/>
      <c r="AA92" s="62"/>
      <c r="AB92" s="63">
        <f>SUM(AB86:AF91)</f>
        <v>92</v>
      </c>
      <c r="AC92" s="63"/>
      <c r="AD92" s="63"/>
      <c r="AE92" s="63"/>
      <c r="AF92" s="63"/>
      <c r="AG92" s="3"/>
      <c r="AH92" s="3"/>
      <c r="AI92" s="3"/>
      <c r="AJ92" s="3"/>
    </row>
    <row r="94" spans="2:70" x14ac:dyDescent="0.25">
      <c r="D94" s="2" t="s">
        <v>103</v>
      </c>
      <c r="W94" s="2" t="s">
        <v>107</v>
      </c>
    </row>
    <row r="96" spans="2:70" x14ac:dyDescent="0.25">
      <c r="D96" s="2" t="s">
        <v>104</v>
      </c>
      <c r="W96" s="2" t="s">
        <v>107</v>
      </c>
    </row>
    <row r="98" spans="4:29" x14ac:dyDescent="0.25">
      <c r="D98" s="2" t="s">
        <v>105</v>
      </c>
      <c r="W98" s="2" t="s">
        <v>107</v>
      </c>
    </row>
    <row r="101" spans="4:29" x14ac:dyDescent="0.25">
      <c r="D101" s="4" t="s">
        <v>106</v>
      </c>
    </row>
    <row r="103" spans="4:29" ht="15.75" customHeight="1" x14ac:dyDescent="0.25">
      <c r="D103" s="79" t="s">
        <v>168</v>
      </c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</row>
    <row r="104" spans="4:29" ht="24.75" customHeight="1" x14ac:dyDescent="0.25"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W104" s="2" t="s">
        <v>107</v>
      </c>
    </row>
    <row r="108" spans="4:29" x14ac:dyDescent="0.25">
      <c r="I108" s="22"/>
      <c r="J108" s="22"/>
      <c r="K108" s="22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</row>
    <row r="109" spans="4:29" x14ac:dyDescent="0.25">
      <c r="I109" s="22"/>
      <c r="J109" s="22"/>
      <c r="K109" s="22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</row>
    <row r="110" spans="4:29" x14ac:dyDescent="0.25">
      <c r="I110" s="22"/>
      <c r="J110" s="22"/>
      <c r="K110" s="22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</row>
  </sheetData>
  <sheetProtection formatCells="0" formatColumns="0" formatRows="0" insertColumns="0" insertRows="0" insertHyperlinks="0" deleteColumns="0" deleteRows="0" selectLockedCells="1" sort="0" autoFilter="0" pivotTables="0"/>
  <mergeCells count="750">
    <mergeCell ref="AB55:AE55"/>
    <mergeCell ref="AF55:AH55"/>
    <mergeCell ref="AI55:AK55"/>
    <mergeCell ref="AL55:AN55"/>
    <mergeCell ref="AO55:AQ55"/>
    <mergeCell ref="AR55:AT55"/>
    <mergeCell ref="AU55:AW55"/>
    <mergeCell ref="AX55:AZ55"/>
    <mergeCell ref="AI53:AK53"/>
    <mergeCell ref="AL53:AN53"/>
    <mergeCell ref="AO53:AQ53"/>
    <mergeCell ref="AR53:AT53"/>
    <mergeCell ref="AU53:AW53"/>
    <mergeCell ref="AX53:AZ53"/>
    <mergeCell ref="AR54:AT54"/>
    <mergeCell ref="AU54:AW54"/>
    <mergeCell ref="AX54:AZ54"/>
    <mergeCell ref="A54:B54"/>
    <mergeCell ref="C54:E54"/>
    <mergeCell ref="F54:W54"/>
    <mergeCell ref="X54:AA54"/>
    <mergeCell ref="AB54:AE54"/>
    <mergeCell ref="AF54:AH54"/>
    <mergeCell ref="AI54:AK54"/>
    <mergeCell ref="AL54:AN54"/>
    <mergeCell ref="AO54:AQ54"/>
    <mergeCell ref="AI51:AK51"/>
    <mergeCell ref="AL51:AN51"/>
    <mergeCell ref="AO51:AQ51"/>
    <mergeCell ref="AR51:AT51"/>
    <mergeCell ref="AU51:AW51"/>
    <mergeCell ref="AX51:AZ51"/>
    <mergeCell ref="A52:B52"/>
    <mergeCell ref="C52:E52"/>
    <mergeCell ref="F52:W52"/>
    <mergeCell ref="X52:AA52"/>
    <mergeCell ref="AB52:AE52"/>
    <mergeCell ref="AF52:AH52"/>
    <mergeCell ref="AI52:AK52"/>
    <mergeCell ref="AL52:AN52"/>
    <mergeCell ref="AO52:AQ52"/>
    <mergeCell ref="AR52:AT52"/>
    <mergeCell ref="AU52:AW52"/>
    <mergeCell ref="AX52:AZ52"/>
    <mergeCell ref="I110:K110"/>
    <mergeCell ref="L110:AC110"/>
    <mergeCell ref="S92:AA92"/>
    <mergeCell ref="AB92:AF92"/>
    <mergeCell ref="I108:K108"/>
    <mergeCell ref="L108:AC108"/>
    <mergeCell ref="I109:K109"/>
    <mergeCell ref="L109:AC109"/>
    <mergeCell ref="A51:B51"/>
    <mergeCell ref="C51:E51"/>
    <mergeCell ref="F51:W51"/>
    <mergeCell ref="X51:AA51"/>
    <mergeCell ref="AB51:AE51"/>
    <mergeCell ref="AF51:AH51"/>
    <mergeCell ref="A53:B53"/>
    <mergeCell ref="C53:E53"/>
    <mergeCell ref="F53:W53"/>
    <mergeCell ref="X53:AA53"/>
    <mergeCell ref="AB53:AE53"/>
    <mergeCell ref="AF53:AH53"/>
    <mergeCell ref="A55:B55"/>
    <mergeCell ref="C55:E55"/>
    <mergeCell ref="F55:W55"/>
    <mergeCell ref="X55:AA55"/>
    <mergeCell ref="S85:AA85"/>
    <mergeCell ref="AB85:AF85"/>
    <mergeCell ref="AG85:AJ85"/>
    <mergeCell ref="AK85:AY85"/>
    <mergeCell ref="S86:AA86"/>
    <mergeCell ref="AB86:AF86"/>
    <mergeCell ref="AG86:AJ86"/>
    <mergeCell ref="AK86:AY91"/>
    <mergeCell ref="S87:AA87"/>
    <mergeCell ref="AB87:AF87"/>
    <mergeCell ref="S90:AA90"/>
    <mergeCell ref="AB90:AF90"/>
    <mergeCell ref="AG90:AJ90"/>
    <mergeCell ref="S91:AA91"/>
    <mergeCell ref="AB91:AF91"/>
    <mergeCell ref="AG91:AJ91"/>
    <mergeCell ref="AG87:AJ87"/>
    <mergeCell ref="S88:AA88"/>
    <mergeCell ref="AB88:AF88"/>
    <mergeCell ref="AG88:AJ88"/>
    <mergeCell ref="S89:AA89"/>
    <mergeCell ref="AB89:AF89"/>
    <mergeCell ref="AG89:AJ89"/>
    <mergeCell ref="AI74:AK74"/>
    <mergeCell ref="AL74:AN74"/>
    <mergeCell ref="AO74:AQ74"/>
    <mergeCell ref="AR74:AT74"/>
    <mergeCell ref="AU74:AW74"/>
    <mergeCell ref="AX74:AZ74"/>
    <mergeCell ref="A74:B74"/>
    <mergeCell ref="C74:E74"/>
    <mergeCell ref="F74:W74"/>
    <mergeCell ref="X74:AA74"/>
    <mergeCell ref="AB74:AE74"/>
    <mergeCell ref="AF74:AH74"/>
    <mergeCell ref="AI73:AK73"/>
    <mergeCell ref="AL73:AN73"/>
    <mergeCell ref="AO73:AQ73"/>
    <mergeCell ref="AR73:AT73"/>
    <mergeCell ref="AU73:AW73"/>
    <mergeCell ref="AX73:AZ73"/>
    <mergeCell ref="A73:B73"/>
    <mergeCell ref="C73:E73"/>
    <mergeCell ref="F73:W73"/>
    <mergeCell ref="X73:AA73"/>
    <mergeCell ref="AB73:AE73"/>
    <mergeCell ref="AF73:AH73"/>
    <mergeCell ref="AI72:AK72"/>
    <mergeCell ref="AL72:AN72"/>
    <mergeCell ref="AO72:AQ72"/>
    <mergeCell ref="AR72:AT72"/>
    <mergeCell ref="AU72:AW72"/>
    <mergeCell ref="AX72:AZ72"/>
    <mergeCell ref="A72:B72"/>
    <mergeCell ref="C72:E72"/>
    <mergeCell ref="F72:W72"/>
    <mergeCell ref="X72:AA72"/>
    <mergeCell ref="AB72:AE72"/>
    <mergeCell ref="AF72:AH72"/>
    <mergeCell ref="AI71:AK71"/>
    <mergeCell ref="AL71:AN71"/>
    <mergeCell ref="AO71:AQ71"/>
    <mergeCell ref="AR71:AT71"/>
    <mergeCell ref="AU71:AW71"/>
    <mergeCell ref="AX71:AZ71"/>
    <mergeCell ref="A71:B71"/>
    <mergeCell ref="C71:E71"/>
    <mergeCell ref="F71:W71"/>
    <mergeCell ref="X71:AA71"/>
    <mergeCell ref="AB71:AE71"/>
    <mergeCell ref="AF71:AH71"/>
    <mergeCell ref="AI70:AK70"/>
    <mergeCell ref="AL70:AN70"/>
    <mergeCell ref="AO70:AQ70"/>
    <mergeCell ref="AR70:AT70"/>
    <mergeCell ref="AU70:AW70"/>
    <mergeCell ref="AX70:AZ70"/>
    <mergeCell ref="A70:B70"/>
    <mergeCell ref="C70:E70"/>
    <mergeCell ref="F70:W70"/>
    <mergeCell ref="X70:AA70"/>
    <mergeCell ref="AB70:AE70"/>
    <mergeCell ref="AF70:AH70"/>
    <mergeCell ref="BS67:BS69"/>
    <mergeCell ref="BT67:BT69"/>
    <mergeCell ref="BU67:BU69"/>
    <mergeCell ref="C68:E68"/>
    <mergeCell ref="F68:W68"/>
    <mergeCell ref="C69:E69"/>
    <mergeCell ref="F69:W69"/>
    <mergeCell ref="BM67:BM69"/>
    <mergeCell ref="BN67:BN69"/>
    <mergeCell ref="BO67:BO69"/>
    <mergeCell ref="BP67:BP69"/>
    <mergeCell ref="BQ67:BQ69"/>
    <mergeCell ref="BR67:BR69"/>
    <mergeCell ref="BG67:BG69"/>
    <mergeCell ref="BH67:BH69"/>
    <mergeCell ref="BI67:BI69"/>
    <mergeCell ref="BJ67:BJ69"/>
    <mergeCell ref="BK67:BK69"/>
    <mergeCell ref="BL67:BL69"/>
    <mergeCell ref="BA67:BA69"/>
    <mergeCell ref="BB67:BB69"/>
    <mergeCell ref="BC67:BC69"/>
    <mergeCell ref="BD67:BD69"/>
    <mergeCell ref="BE67:BE69"/>
    <mergeCell ref="BF67:BF69"/>
    <mergeCell ref="AI67:AK69"/>
    <mergeCell ref="AL67:AN69"/>
    <mergeCell ref="AO67:AQ69"/>
    <mergeCell ref="AR67:AT69"/>
    <mergeCell ref="AU67:AW69"/>
    <mergeCell ref="AX67:AZ69"/>
    <mergeCell ref="A67:B69"/>
    <mergeCell ref="C67:E67"/>
    <mergeCell ref="F67:W67"/>
    <mergeCell ref="X67:AA69"/>
    <mergeCell ref="AB67:AE69"/>
    <mergeCell ref="AF67:AH69"/>
    <mergeCell ref="BS64:BS66"/>
    <mergeCell ref="BT64:BT66"/>
    <mergeCell ref="BU64:BU66"/>
    <mergeCell ref="C65:E65"/>
    <mergeCell ref="F65:W65"/>
    <mergeCell ref="C66:E66"/>
    <mergeCell ref="F66:W66"/>
    <mergeCell ref="BM64:BM66"/>
    <mergeCell ref="BN64:BN66"/>
    <mergeCell ref="BO64:BO66"/>
    <mergeCell ref="BP64:BP66"/>
    <mergeCell ref="BQ64:BQ66"/>
    <mergeCell ref="BR64:BR66"/>
    <mergeCell ref="BG64:BG66"/>
    <mergeCell ref="BH64:BH66"/>
    <mergeCell ref="BI64:BI66"/>
    <mergeCell ref="BJ64:BJ66"/>
    <mergeCell ref="BK64:BK66"/>
    <mergeCell ref="BL64:BL66"/>
    <mergeCell ref="BA64:BA66"/>
    <mergeCell ref="BB64:BB66"/>
    <mergeCell ref="BC64:BC66"/>
    <mergeCell ref="BD64:BD66"/>
    <mergeCell ref="BE64:BE66"/>
    <mergeCell ref="BF64:BF66"/>
    <mergeCell ref="AI64:AK66"/>
    <mergeCell ref="AL64:AN66"/>
    <mergeCell ref="AO64:AQ66"/>
    <mergeCell ref="AR64:AT66"/>
    <mergeCell ref="AU64:AW66"/>
    <mergeCell ref="AX64:AZ66"/>
    <mergeCell ref="A64:B66"/>
    <mergeCell ref="C64:E64"/>
    <mergeCell ref="F64:W64"/>
    <mergeCell ref="X64:AA66"/>
    <mergeCell ref="AB64:AE66"/>
    <mergeCell ref="AF64:AH66"/>
    <mergeCell ref="BS61:BS63"/>
    <mergeCell ref="BT61:BT63"/>
    <mergeCell ref="BU61:BU63"/>
    <mergeCell ref="C62:E62"/>
    <mergeCell ref="F62:W62"/>
    <mergeCell ref="C63:E63"/>
    <mergeCell ref="F63:W63"/>
    <mergeCell ref="BM61:BM63"/>
    <mergeCell ref="BN61:BN63"/>
    <mergeCell ref="BO61:BO63"/>
    <mergeCell ref="BP61:BP63"/>
    <mergeCell ref="BQ61:BQ63"/>
    <mergeCell ref="BR61:BR63"/>
    <mergeCell ref="BG61:BG63"/>
    <mergeCell ref="BH61:BH63"/>
    <mergeCell ref="BI61:BI63"/>
    <mergeCell ref="BJ61:BJ63"/>
    <mergeCell ref="BK61:BK63"/>
    <mergeCell ref="BL61:BL63"/>
    <mergeCell ref="BA61:BA63"/>
    <mergeCell ref="BB61:BB63"/>
    <mergeCell ref="BC61:BC63"/>
    <mergeCell ref="BD61:BD63"/>
    <mergeCell ref="BE61:BE63"/>
    <mergeCell ref="BF61:BF63"/>
    <mergeCell ref="AI61:AK63"/>
    <mergeCell ref="AL61:AN63"/>
    <mergeCell ref="AO61:AQ63"/>
    <mergeCell ref="AR61:AT63"/>
    <mergeCell ref="AU61:AW63"/>
    <mergeCell ref="AX61:AZ63"/>
    <mergeCell ref="A61:B63"/>
    <mergeCell ref="C61:E61"/>
    <mergeCell ref="F61:W61"/>
    <mergeCell ref="X61:AA63"/>
    <mergeCell ref="AB61:AE63"/>
    <mergeCell ref="AF61:AH63"/>
    <mergeCell ref="BS58:BS60"/>
    <mergeCell ref="BT58:BT60"/>
    <mergeCell ref="BU58:BU60"/>
    <mergeCell ref="C59:E59"/>
    <mergeCell ref="F59:W59"/>
    <mergeCell ref="C60:E60"/>
    <mergeCell ref="F60:W60"/>
    <mergeCell ref="BM58:BM60"/>
    <mergeCell ref="BN58:BN60"/>
    <mergeCell ref="BO58:BO60"/>
    <mergeCell ref="BP58:BP60"/>
    <mergeCell ref="BQ58:BQ60"/>
    <mergeCell ref="BR58:BR60"/>
    <mergeCell ref="BG58:BG60"/>
    <mergeCell ref="BH58:BH60"/>
    <mergeCell ref="BI58:BI60"/>
    <mergeCell ref="BJ58:BJ60"/>
    <mergeCell ref="BK58:BK60"/>
    <mergeCell ref="BL58:BL60"/>
    <mergeCell ref="BA58:BA60"/>
    <mergeCell ref="BB58:BB60"/>
    <mergeCell ref="BC58:BC60"/>
    <mergeCell ref="BD58:BD60"/>
    <mergeCell ref="BE58:BE60"/>
    <mergeCell ref="BF58:BF60"/>
    <mergeCell ref="AI58:AK60"/>
    <mergeCell ref="AL58:AN60"/>
    <mergeCell ref="AO58:AQ60"/>
    <mergeCell ref="AR58:AT60"/>
    <mergeCell ref="AU58:AW60"/>
    <mergeCell ref="AX58:AZ60"/>
    <mergeCell ref="A58:B60"/>
    <mergeCell ref="C58:E58"/>
    <mergeCell ref="F58:W58"/>
    <mergeCell ref="X58:AA60"/>
    <mergeCell ref="AB58:AE60"/>
    <mergeCell ref="AF58:AH60"/>
    <mergeCell ref="AI57:AK57"/>
    <mergeCell ref="AL57:AN57"/>
    <mergeCell ref="AO57:AQ57"/>
    <mergeCell ref="AR57:AT57"/>
    <mergeCell ref="AU57:AW57"/>
    <mergeCell ref="AX57:AZ57"/>
    <mergeCell ref="A57:B57"/>
    <mergeCell ref="C57:E57"/>
    <mergeCell ref="F57:W57"/>
    <mergeCell ref="X57:AA57"/>
    <mergeCell ref="AB57:AE57"/>
    <mergeCell ref="AF57:AH57"/>
    <mergeCell ref="AI56:AK56"/>
    <mergeCell ref="AL56:AN56"/>
    <mergeCell ref="AO56:AQ56"/>
    <mergeCell ref="AR56:AT56"/>
    <mergeCell ref="AU56:AW56"/>
    <mergeCell ref="AX56:AZ56"/>
    <mergeCell ref="A56:B56"/>
    <mergeCell ref="C56:E56"/>
    <mergeCell ref="F56:W56"/>
    <mergeCell ref="X56:AA56"/>
    <mergeCell ref="AB56:AE56"/>
    <mergeCell ref="AF56:AH56"/>
    <mergeCell ref="AI50:AK50"/>
    <mergeCell ref="AL50:AN50"/>
    <mergeCell ref="AO50:AQ50"/>
    <mergeCell ref="AR50:AT50"/>
    <mergeCell ref="AU50:AW50"/>
    <mergeCell ref="AX50:AZ50"/>
    <mergeCell ref="A50:B50"/>
    <mergeCell ref="C50:E50"/>
    <mergeCell ref="F50:W50"/>
    <mergeCell ref="X50:AA50"/>
    <mergeCell ref="AB50:AE50"/>
    <mergeCell ref="AF50:AH50"/>
    <mergeCell ref="AI49:AK49"/>
    <mergeCell ref="AL49:AN49"/>
    <mergeCell ref="AO49:AQ49"/>
    <mergeCell ref="AR49:AT49"/>
    <mergeCell ref="AU49:AW49"/>
    <mergeCell ref="AX49:AZ49"/>
    <mergeCell ref="A49:B49"/>
    <mergeCell ref="C49:E49"/>
    <mergeCell ref="F49:W49"/>
    <mergeCell ref="X49:AA49"/>
    <mergeCell ref="AB49:AE49"/>
    <mergeCell ref="AF49:AH49"/>
    <mergeCell ref="AI48:AK48"/>
    <mergeCell ref="AL48:AN48"/>
    <mergeCell ref="AO48:AQ48"/>
    <mergeCell ref="AR48:AT48"/>
    <mergeCell ref="AU48:AW48"/>
    <mergeCell ref="AX48:AZ48"/>
    <mergeCell ref="A48:B48"/>
    <mergeCell ref="C48:E48"/>
    <mergeCell ref="F48:W48"/>
    <mergeCell ref="X48:AA48"/>
    <mergeCell ref="AB48:AE48"/>
    <mergeCell ref="AF48:AH48"/>
    <mergeCell ref="AI47:AK47"/>
    <mergeCell ref="AL47:AN47"/>
    <mergeCell ref="AO47:AQ47"/>
    <mergeCell ref="AR47:AT47"/>
    <mergeCell ref="AU47:AW47"/>
    <mergeCell ref="AX47:AZ47"/>
    <mergeCell ref="A47:B47"/>
    <mergeCell ref="C47:E47"/>
    <mergeCell ref="F47:W47"/>
    <mergeCell ref="X47:AA47"/>
    <mergeCell ref="AB47:AE47"/>
    <mergeCell ref="AF47:AH47"/>
    <mergeCell ref="AI46:AK46"/>
    <mergeCell ref="AL46:AN46"/>
    <mergeCell ref="AO46:AQ46"/>
    <mergeCell ref="AR46:AT46"/>
    <mergeCell ref="AU46:AW46"/>
    <mergeCell ref="AX46:AZ46"/>
    <mergeCell ref="A46:B46"/>
    <mergeCell ref="C46:E46"/>
    <mergeCell ref="F46:W46"/>
    <mergeCell ref="X46:AA46"/>
    <mergeCell ref="AB46:AE46"/>
    <mergeCell ref="AF46:AH46"/>
    <mergeCell ref="AI45:AK45"/>
    <mergeCell ref="AL45:AN45"/>
    <mergeCell ref="AO45:AQ45"/>
    <mergeCell ref="AR45:AT45"/>
    <mergeCell ref="AU45:AW45"/>
    <mergeCell ref="AX45:AZ45"/>
    <mergeCell ref="A45:B45"/>
    <mergeCell ref="C45:E45"/>
    <mergeCell ref="F45:W45"/>
    <mergeCell ref="X45:AA45"/>
    <mergeCell ref="AB45:AE45"/>
    <mergeCell ref="AF45:AH45"/>
    <mergeCell ref="AI44:AK44"/>
    <mergeCell ref="AL44:AN44"/>
    <mergeCell ref="AO44:AQ44"/>
    <mergeCell ref="AR44:AT44"/>
    <mergeCell ref="AU44:AW44"/>
    <mergeCell ref="AX44:AZ44"/>
    <mergeCell ref="A44:B44"/>
    <mergeCell ref="C44:E44"/>
    <mergeCell ref="F44:W44"/>
    <mergeCell ref="X44:AA44"/>
    <mergeCell ref="AB44:AE44"/>
    <mergeCell ref="AF44:AH44"/>
    <mergeCell ref="AI43:AK43"/>
    <mergeCell ref="AL43:AN43"/>
    <mergeCell ref="AO43:AQ43"/>
    <mergeCell ref="AR43:AT43"/>
    <mergeCell ref="AU43:AW43"/>
    <mergeCell ref="AX43:AZ43"/>
    <mergeCell ref="A43:B43"/>
    <mergeCell ref="C43:E43"/>
    <mergeCell ref="F43:W43"/>
    <mergeCell ref="X43:AA43"/>
    <mergeCell ref="AB43:AE43"/>
    <mergeCell ref="AF43:AH43"/>
    <mergeCell ref="AI42:AK42"/>
    <mergeCell ref="AL42:AN42"/>
    <mergeCell ref="AO42:AQ42"/>
    <mergeCell ref="AR42:AT42"/>
    <mergeCell ref="AU42:AW42"/>
    <mergeCell ref="AX42:AZ42"/>
    <mergeCell ref="A42:B42"/>
    <mergeCell ref="C42:E42"/>
    <mergeCell ref="F42:W42"/>
    <mergeCell ref="X42:AA42"/>
    <mergeCell ref="AB42:AE42"/>
    <mergeCell ref="AF42:AH42"/>
    <mergeCell ref="AI41:AK41"/>
    <mergeCell ref="AL41:AN41"/>
    <mergeCell ref="AO41:AQ41"/>
    <mergeCell ref="AR41:AT41"/>
    <mergeCell ref="AU41:AW41"/>
    <mergeCell ref="AX41:AZ41"/>
    <mergeCell ref="A41:B41"/>
    <mergeCell ref="C41:E41"/>
    <mergeCell ref="F41:W41"/>
    <mergeCell ref="X41:AA41"/>
    <mergeCell ref="AB41:AE41"/>
    <mergeCell ref="AF41:AH41"/>
    <mergeCell ref="AI40:AK40"/>
    <mergeCell ref="AL40:AN40"/>
    <mergeCell ref="AO40:AQ40"/>
    <mergeCell ref="AR40:AT40"/>
    <mergeCell ref="AU40:AW40"/>
    <mergeCell ref="AX40:AZ40"/>
    <mergeCell ref="A40:B40"/>
    <mergeCell ref="C40:E40"/>
    <mergeCell ref="F40:W40"/>
    <mergeCell ref="X40:AA40"/>
    <mergeCell ref="AB40:AE40"/>
    <mergeCell ref="AF40:AH40"/>
    <mergeCell ref="AI39:AK39"/>
    <mergeCell ref="AL39:AN39"/>
    <mergeCell ref="AO39:AQ39"/>
    <mergeCell ref="AR39:AT39"/>
    <mergeCell ref="AU39:AW39"/>
    <mergeCell ref="AX39:AZ39"/>
    <mergeCell ref="A39:B39"/>
    <mergeCell ref="C39:E39"/>
    <mergeCell ref="F39:W39"/>
    <mergeCell ref="X39:AA39"/>
    <mergeCell ref="AB39:AE39"/>
    <mergeCell ref="AF39:AH39"/>
    <mergeCell ref="AI38:AK38"/>
    <mergeCell ref="AL38:AN38"/>
    <mergeCell ref="AO38:AQ38"/>
    <mergeCell ref="AR38:AT38"/>
    <mergeCell ref="AU38:AW38"/>
    <mergeCell ref="AX38:AZ38"/>
    <mergeCell ref="A38:B38"/>
    <mergeCell ref="C38:E38"/>
    <mergeCell ref="F38:W38"/>
    <mergeCell ref="X38:AA38"/>
    <mergeCell ref="AB38:AE38"/>
    <mergeCell ref="AF38:AH38"/>
    <mergeCell ref="AI37:AK37"/>
    <mergeCell ref="AL37:AN37"/>
    <mergeCell ref="AO37:AQ37"/>
    <mergeCell ref="AR37:AT37"/>
    <mergeCell ref="AU37:AW37"/>
    <mergeCell ref="AX37:AZ37"/>
    <mergeCell ref="A37:B37"/>
    <mergeCell ref="C37:E37"/>
    <mergeCell ref="F37:W37"/>
    <mergeCell ref="X37:AA37"/>
    <mergeCell ref="AB37:AE37"/>
    <mergeCell ref="AF37:AH37"/>
    <mergeCell ref="AI36:AK36"/>
    <mergeCell ref="AL36:AN36"/>
    <mergeCell ref="AO36:AQ36"/>
    <mergeCell ref="AR36:AT36"/>
    <mergeCell ref="AU36:AW36"/>
    <mergeCell ref="AX36:AZ36"/>
    <mergeCell ref="A36:B36"/>
    <mergeCell ref="C36:E36"/>
    <mergeCell ref="F36:W36"/>
    <mergeCell ref="X36:AA36"/>
    <mergeCell ref="AB36:AE36"/>
    <mergeCell ref="AF36:AH36"/>
    <mergeCell ref="AI35:AK35"/>
    <mergeCell ref="AL35:AN35"/>
    <mergeCell ref="AO35:AQ35"/>
    <mergeCell ref="AR35:AT35"/>
    <mergeCell ref="AU35:AW35"/>
    <mergeCell ref="AX35:AZ35"/>
    <mergeCell ref="A35:B35"/>
    <mergeCell ref="C35:E35"/>
    <mergeCell ref="F35:W35"/>
    <mergeCell ref="X35:AA35"/>
    <mergeCell ref="AB35:AE35"/>
    <mergeCell ref="AF35:AH35"/>
    <mergeCell ref="AI34:AK34"/>
    <mergeCell ref="AL34:AN34"/>
    <mergeCell ref="AO34:AQ34"/>
    <mergeCell ref="AR34:AT34"/>
    <mergeCell ref="AU34:AW34"/>
    <mergeCell ref="AX34:AZ34"/>
    <mergeCell ref="A34:B34"/>
    <mergeCell ref="C34:E34"/>
    <mergeCell ref="F34:W34"/>
    <mergeCell ref="X34:AA34"/>
    <mergeCell ref="AB34:AE34"/>
    <mergeCell ref="AF34:AH34"/>
    <mergeCell ref="AI33:AK33"/>
    <mergeCell ref="AL33:AN33"/>
    <mergeCell ref="AO33:AQ33"/>
    <mergeCell ref="AR33:AT33"/>
    <mergeCell ref="AU33:AW33"/>
    <mergeCell ref="AX33:AZ33"/>
    <mergeCell ref="A33:B33"/>
    <mergeCell ref="C33:E33"/>
    <mergeCell ref="F33:W33"/>
    <mergeCell ref="X33:AA33"/>
    <mergeCell ref="AB33:AE33"/>
    <mergeCell ref="AF33:AH33"/>
    <mergeCell ref="AI32:AK32"/>
    <mergeCell ref="AL32:AN32"/>
    <mergeCell ref="AO32:AQ32"/>
    <mergeCell ref="AR32:AT32"/>
    <mergeCell ref="AU32:AW32"/>
    <mergeCell ref="AX32:AZ32"/>
    <mergeCell ref="A32:B32"/>
    <mergeCell ref="C32:E32"/>
    <mergeCell ref="F32:W32"/>
    <mergeCell ref="X32:AA32"/>
    <mergeCell ref="AB32:AE32"/>
    <mergeCell ref="AF32:AH32"/>
    <mergeCell ref="AI31:AK31"/>
    <mergeCell ref="AL31:AN31"/>
    <mergeCell ref="AO31:AQ31"/>
    <mergeCell ref="AR31:AT31"/>
    <mergeCell ref="AU31:AW31"/>
    <mergeCell ref="AX31:AZ31"/>
    <mergeCell ref="A31:B31"/>
    <mergeCell ref="C31:E31"/>
    <mergeCell ref="F31:W31"/>
    <mergeCell ref="X31:AA31"/>
    <mergeCell ref="AB31:AE31"/>
    <mergeCell ref="AF31:AH31"/>
    <mergeCell ref="AI30:AK30"/>
    <mergeCell ref="AL30:AN30"/>
    <mergeCell ref="AO30:AQ30"/>
    <mergeCell ref="AR30:AT30"/>
    <mergeCell ref="AU30:AW30"/>
    <mergeCell ref="AX30:AZ30"/>
    <mergeCell ref="A30:B30"/>
    <mergeCell ref="C30:E30"/>
    <mergeCell ref="F30:W30"/>
    <mergeCell ref="X30:AA30"/>
    <mergeCell ref="AB30:AE30"/>
    <mergeCell ref="AF30:AH30"/>
    <mergeCell ref="AI29:AK29"/>
    <mergeCell ref="AL29:AN29"/>
    <mergeCell ref="AO29:AQ29"/>
    <mergeCell ref="AR29:AT29"/>
    <mergeCell ref="AU29:AW29"/>
    <mergeCell ref="AX29:AZ29"/>
    <mergeCell ref="A29:B29"/>
    <mergeCell ref="C29:E29"/>
    <mergeCell ref="F29:W29"/>
    <mergeCell ref="X29:AA29"/>
    <mergeCell ref="AB29:AE29"/>
    <mergeCell ref="AF29:AH29"/>
    <mergeCell ref="AI28:AK28"/>
    <mergeCell ref="AL28:AN28"/>
    <mergeCell ref="AO28:AQ28"/>
    <mergeCell ref="AR28:AT28"/>
    <mergeCell ref="AU28:AW28"/>
    <mergeCell ref="AX28:AZ28"/>
    <mergeCell ref="A28:B28"/>
    <mergeCell ref="C28:E28"/>
    <mergeCell ref="F28:W28"/>
    <mergeCell ref="X28:AA28"/>
    <mergeCell ref="AB28:AE28"/>
    <mergeCell ref="AF28:AH28"/>
    <mergeCell ref="A27:B27"/>
    <mergeCell ref="C27:E27"/>
    <mergeCell ref="F27:W27"/>
    <mergeCell ref="X27:AA27"/>
    <mergeCell ref="AB27:AE27"/>
    <mergeCell ref="AF27:AH27"/>
    <mergeCell ref="BM22:BN22"/>
    <mergeCell ref="BO22:BP22"/>
    <mergeCell ref="BQ22:BR22"/>
    <mergeCell ref="AI27:AK27"/>
    <mergeCell ref="AL27:AN27"/>
    <mergeCell ref="AO27:AQ27"/>
    <mergeCell ref="AR27:AT27"/>
    <mergeCell ref="AU27:AW27"/>
    <mergeCell ref="AX27:AZ27"/>
    <mergeCell ref="BA25:BJ25"/>
    <mergeCell ref="BK25:BT25"/>
    <mergeCell ref="X26:AA26"/>
    <mergeCell ref="AB26:AE26"/>
    <mergeCell ref="AO21:AQ26"/>
    <mergeCell ref="BS22:BT22"/>
    <mergeCell ref="BA23:BJ23"/>
    <mergeCell ref="BK23:BT23"/>
    <mergeCell ref="AR21:AT26"/>
    <mergeCell ref="AU21:AW26"/>
    <mergeCell ref="BA21:BJ21"/>
    <mergeCell ref="BK21:BT21"/>
    <mergeCell ref="BA22:BB22"/>
    <mergeCell ref="BC22:BD22"/>
    <mergeCell ref="BE22:BF22"/>
    <mergeCell ref="BG22:BH22"/>
    <mergeCell ref="BI22:BJ22"/>
    <mergeCell ref="BK22:BL22"/>
    <mergeCell ref="A18:BU18"/>
    <mergeCell ref="A19:B26"/>
    <mergeCell ref="C19:E26"/>
    <mergeCell ref="F19:W26"/>
    <mergeCell ref="X19:AZ19"/>
    <mergeCell ref="BA19:BJ19"/>
    <mergeCell ref="BK19:BT19"/>
    <mergeCell ref="BU19:BU25"/>
    <mergeCell ref="X20:AE25"/>
    <mergeCell ref="BI20:BJ20"/>
    <mergeCell ref="BK20:BL20"/>
    <mergeCell ref="BM20:BN20"/>
    <mergeCell ref="BO20:BP20"/>
    <mergeCell ref="BQ20:BR20"/>
    <mergeCell ref="BS20:BT20"/>
    <mergeCell ref="AF20:AW20"/>
    <mergeCell ref="AX20:AZ26"/>
    <mergeCell ref="BA20:BB20"/>
    <mergeCell ref="BC20:BD20"/>
    <mergeCell ref="BE20:BF20"/>
    <mergeCell ref="BG20:BH20"/>
    <mergeCell ref="AF21:AH26"/>
    <mergeCell ref="AI21:AK26"/>
    <mergeCell ref="AL21:AN26"/>
    <mergeCell ref="BN13:BO13"/>
    <mergeCell ref="BP13:BS13"/>
    <mergeCell ref="BT13:BU13"/>
    <mergeCell ref="B15:D16"/>
    <mergeCell ref="E15:J16"/>
    <mergeCell ref="L15:M16"/>
    <mergeCell ref="N15:T16"/>
    <mergeCell ref="V15:X16"/>
    <mergeCell ref="Y15:AD16"/>
    <mergeCell ref="AF15:AH16"/>
    <mergeCell ref="A13:BA13"/>
    <mergeCell ref="BB13:BC13"/>
    <mergeCell ref="BD13:BE13"/>
    <mergeCell ref="BF13:BI13"/>
    <mergeCell ref="BJ13:BK13"/>
    <mergeCell ref="BL13:BM13"/>
    <mergeCell ref="BO15:BU16"/>
    <mergeCell ref="AI15:AN16"/>
    <mergeCell ref="AP15:AR16"/>
    <mergeCell ref="AS15:AX16"/>
    <mergeCell ref="AZ15:BB16"/>
    <mergeCell ref="BC15:BJ16"/>
    <mergeCell ref="BL15:BN16"/>
    <mergeCell ref="BP11:BS11"/>
    <mergeCell ref="BT11:BU11"/>
    <mergeCell ref="BB12:BC12"/>
    <mergeCell ref="BD12:BE12"/>
    <mergeCell ref="BF12:BI12"/>
    <mergeCell ref="BJ12:BK12"/>
    <mergeCell ref="BL12:BM12"/>
    <mergeCell ref="BN12:BO12"/>
    <mergeCell ref="BP12:BS12"/>
    <mergeCell ref="BT12:BU12"/>
    <mergeCell ref="BB11:BC11"/>
    <mergeCell ref="BD11:BE11"/>
    <mergeCell ref="BF11:BI11"/>
    <mergeCell ref="BJ11:BK11"/>
    <mergeCell ref="BL11:BM11"/>
    <mergeCell ref="BN11:BO11"/>
    <mergeCell ref="BN9:BO9"/>
    <mergeCell ref="BP9:BS9"/>
    <mergeCell ref="BT9:BU9"/>
    <mergeCell ref="BB10:BC10"/>
    <mergeCell ref="BD10:BE10"/>
    <mergeCell ref="BF10:BI10"/>
    <mergeCell ref="BJ10:BK10"/>
    <mergeCell ref="BL10:BM10"/>
    <mergeCell ref="BN10:BO10"/>
    <mergeCell ref="BP10:BS10"/>
    <mergeCell ref="BT10:BU10"/>
    <mergeCell ref="BT3:BU7"/>
    <mergeCell ref="BB4:BC7"/>
    <mergeCell ref="BD4:BO4"/>
    <mergeCell ref="BN5:BO7"/>
    <mergeCell ref="B6:E6"/>
    <mergeCell ref="F6:I6"/>
    <mergeCell ref="J6:N6"/>
    <mergeCell ref="O6:R6"/>
    <mergeCell ref="S6:V6"/>
    <mergeCell ref="AW6:BA6"/>
    <mergeCell ref="W6:AA6"/>
    <mergeCell ref="AB6:AE6"/>
    <mergeCell ref="AF6:AI6"/>
    <mergeCell ref="AJ6:AN6"/>
    <mergeCell ref="AO6:AR6"/>
    <mergeCell ref="AS6:AV6"/>
    <mergeCell ref="BD5:BE7"/>
    <mergeCell ref="BF5:BI7"/>
    <mergeCell ref="BJ5:BK7"/>
    <mergeCell ref="BL5:BM7"/>
    <mergeCell ref="BF85:BR86"/>
    <mergeCell ref="BF87:BR88"/>
    <mergeCell ref="BF89:BR90"/>
    <mergeCell ref="A1:BC2"/>
    <mergeCell ref="D103:O104"/>
    <mergeCell ref="A3:A7"/>
    <mergeCell ref="B3:BA5"/>
    <mergeCell ref="BB3:BO3"/>
    <mergeCell ref="BP3:BS7"/>
    <mergeCell ref="BD1:BU1"/>
    <mergeCell ref="BD2:BU2"/>
    <mergeCell ref="BB8:BC8"/>
    <mergeCell ref="BD8:BE8"/>
    <mergeCell ref="BF8:BI8"/>
    <mergeCell ref="BJ8:BK8"/>
    <mergeCell ref="BL8:BM8"/>
    <mergeCell ref="BN8:BO8"/>
    <mergeCell ref="BP8:BS8"/>
    <mergeCell ref="BT8:BU8"/>
    <mergeCell ref="BB9:BC9"/>
    <mergeCell ref="BD9:BE9"/>
    <mergeCell ref="BF9:BI9"/>
    <mergeCell ref="BJ9:BK9"/>
    <mergeCell ref="BL9:BM9"/>
  </mergeCells>
  <pageMargins left="0.25" right="0.25" top="0.75" bottom="0.57291666666666663" header="0.3" footer="0.3"/>
  <pageSetup paperSize="9" scale="5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Kunduzgi</vt:lpstr>
      <vt:lpstr>Sirtqi</vt:lpstr>
      <vt:lpstr>Kunduzgi!Область_печати</vt:lpstr>
      <vt:lpstr>Sirtqi!Область_печати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Администратор</cp:lastModifiedBy>
  <cp:lastPrinted>2023-08-03T08:41:02Z</cp:lastPrinted>
  <dcterms:created xsi:type="dcterms:W3CDTF">2023-08-02T10:43:09Z</dcterms:created>
  <dcterms:modified xsi:type="dcterms:W3CDTF">2023-11-14T03:40:06Z</dcterms:modified>
</cp:coreProperties>
</file>