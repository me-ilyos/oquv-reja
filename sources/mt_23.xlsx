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mbrella_dev\Desktop\23-24 bakalavr\"/>
    </mc:Choice>
  </mc:AlternateContent>
  <bookViews>
    <workbookView xWindow="0" yWindow="0" windowWidth="28800" windowHeight="12330" tabRatio="785"/>
  </bookViews>
  <sheets>
    <sheet name="Maktabgacha ta'lim" sheetId="11" r:id="rId1"/>
    <sheet name="Sirtqi" sheetId="12" r:id="rId2"/>
    <sheet name="Sirtqi (RUS)" sheetId="14" r:id="rId3"/>
    <sheet name="Лист1" sheetId="15" r:id="rId4"/>
  </sheets>
  <definedNames>
    <definedName name="_xlnm._FilterDatabase" localSheetId="0" hidden="1">'Maktabgacha ta''lim'!$A$33:$EE$81</definedName>
    <definedName name="_xlnm._FilterDatabase" localSheetId="1" hidden="1">Sirtqi!$A$36:$EU$79</definedName>
    <definedName name="_xlnm._FilterDatabase" localSheetId="2" hidden="1">'Sirtqi (RUS)'!$A$39:$ES$82</definedName>
    <definedName name="_xlnm.Print_Area" localSheetId="0">'Maktabgacha ta''lim'!$A$1:$EE$105</definedName>
    <definedName name="_xlnm.Print_Area" localSheetId="1">Sirtqi!$A$1:$EU$103</definedName>
    <definedName name="_xlnm.Print_Area" localSheetId="2">'Sirtqi (RUS)'!$A$1:$ES$107</definedName>
  </definedNames>
  <calcPr calcId="162913"/>
</workbook>
</file>

<file path=xl/calcChain.xml><?xml version="1.0" encoding="utf-8"?>
<calcChain xmlns="http://schemas.openxmlformats.org/spreadsheetml/2006/main">
  <c r="AJ57" i="11" l="1"/>
  <c r="AJ56" i="11"/>
  <c r="AH56" i="12" l="1"/>
  <c r="AH58" i="12"/>
  <c r="AH57" i="12"/>
  <c r="AJ55" i="11"/>
  <c r="AJ54" i="11"/>
  <c r="AJ53" i="11" l="1"/>
  <c r="AJ58" i="11"/>
  <c r="AJ60" i="11"/>
  <c r="AJ62" i="11"/>
  <c r="AJ64" i="11"/>
  <c r="AJ66" i="11"/>
  <c r="AJ68" i="11"/>
  <c r="AJ70" i="11"/>
  <c r="AH59" i="12" l="1"/>
  <c r="AH61" i="12"/>
  <c r="AH63" i="12"/>
  <c r="AH65" i="12"/>
  <c r="AH67" i="12"/>
  <c r="AH69" i="12"/>
  <c r="AH71" i="12"/>
  <c r="AH73" i="12"/>
  <c r="AK94" i="11" l="1"/>
  <c r="AK93" i="11"/>
  <c r="AK90" i="11"/>
  <c r="AK89" i="11"/>
  <c r="AK88" i="11"/>
  <c r="CM28" i="11"/>
  <c r="CC28" i="11"/>
  <c r="BS28" i="11"/>
  <c r="AJ36" i="11" l="1"/>
  <c r="AJ37" i="11"/>
  <c r="AJ38" i="11"/>
  <c r="AJ39" i="11"/>
  <c r="AJ40" i="11"/>
  <c r="AJ41" i="11"/>
  <c r="AJ42" i="11"/>
  <c r="AJ43" i="11"/>
  <c r="AJ44" i="11"/>
  <c r="AJ45" i="11"/>
  <c r="AJ46" i="11"/>
  <c r="AJ47" i="11"/>
  <c r="AJ48" i="11"/>
  <c r="AJ49" i="11"/>
  <c r="AJ50" i="11"/>
  <c r="AJ51" i="11"/>
  <c r="AJ52" i="11"/>
  <c r="AJ35" i="11"/>
  <c r="ER71" i="12" l="1"/>
  <c r="Z71" i="12" s="1"/>
  <c r="BL71" i="12" s="1"/>
  <c r="ER72" i="12"/>
  <c r="HL22" i="14" l="1"/>
  <c r="HJ22" i="14"/>
  <c r="HH22" i="14"/>
  <c r="HF22" i="14"/>
  <c r="HD22" i="14"/>
  <c r="HB22" i="14"/>
  <c r="GZ22" i="14"/>
  <c r="GX21" i="14"/>
  <c r="HN21" i="14" s="1"/>
  <c r="GX20" i="14"/>
  <c r="HN20" i="14" s="1"/>
  <c r="GX19" i="14"/>
  <c r="HN19" i="14" s="1"/>
  <c r="GX18" i="14"/>
  <c r="HN18" i="14" s="1"/>
  <c r="GX17" i="14"/>
  <c r="GX22" i="14" l="1"/>
  <c r="HN17" i="14"/>
  <c r="HN22" i="14" s="1"/>
  <c r="HA20" i="12"/>
  <c r="AI89" i="12" s="1"/>
  <c r="HC20" i="12"/>
  <c r="AI90" i="12" s="1"/>
  <c r="HE20" i="12"/>
  <c r="AI94" i="12" s="1"/>
  <c r="HG20" i="12"/>
  <c r="AI91" i="12" s="1"/>
  <c r="HI20" i="12"/>
  <c r="AI92" i="12" s="1"/>
  <c r="HK20" i="12"/>
  <c r="AI93" i="12" s="1"/>
  <c r="GY19" i="12"/>
  <c r="HM19" i="12" s="1"/>
  <c r="AI95" i="12" l="1"/>
  <c r="Z42" i="11"/>
  <c r="Z43" i="11"/>
  <c r="Z50" i="11"/>
  <c r="Z51" i="11"/>
  <c r="EA56" i="11"/>
  <c r="EA58" i="11"/>
  <c r="EA60" i="11"/>
  <c r="EA62" i="11"/>
  <c r="EA64" i="11"/>
  <c r="EA66" i="11"/>
  <c r="EA68" i="11"/>
  <c r="EA70" i="11"/>
  <c r="EA54" i="11"/>
  <c r="BD53" i="11"/>
  <c r="EA74" i="11"/>
  <c r="EA36" i="11"/>
  <c r="Z36" i="11" s="1"/>
  <c r="EA37" i="11"/>
  <c r="Z37" i="11" s="1"/>
  <c r="EA38" i="11"/>
  <c r="Z38" i="11" s="1"/>
  <c r="EA39" i="11"/>
  <c r="Z39" i="11" s="1"/>
  <c r="EA40" i="11"/>
  <c r="Z40" i="11" s="1"/>
  <c r="EA41" i="11"/>
  <c r="Z41" i="11" s="1"/>
  <c r="EA42" i="11"/>
  <c r="EA43" i="11"/>
  <c r="EA44" i="11"/>
  <c r="Z44" i="11" s="1"/>
  <c r="EA45" i="11"/>
  <c r="Z45" i="11" s="1"/>
  <c r="EA46" i="11"/>
  <c r="Z46" i="11" s="1"/>
  <c r="EA47" i="11"/>
  <c r="Z47" i="11" s="1"/>
  <c r="EA48" i="11"/>
  <c r="Z48" i="11" s="1"/>
  <c r="EA49" i="11"/>
  <c r="Z49" i="11" s="1"/>
  <c r="EA50" i="11"/>
  <c r="EA51" i="11"/>
  <c r="EA52" i="11"/>
  <c r="Z52" i="11" s="1"/>
  <c r="EA35" i="11"/>
  <c r="Z35" i="11" s="1"/>
  <c r="EA34" i="11" l="1"/>
  <c r="EA53" i="11"/>
  <c r="GX18" i="11"/>
  <c r="GV18" i="11"/>
  <c r="GT18" i="11"/>
  <c r="AK92" i="11" s="1"/>
  <c r="GR18" i="11"/>
  <c r="AK91" i="11" s="1"/>
  <c r="GP18" i="11"/>
  <c r="GN18" i="11"/>
  <c r="GL18" i="11"/>
  <c r="GJ17" i="11"/>
  <c r="GZ17" i="11" s="1"/>
  <c r="GJ16" i="11"/>
  <c r="GZ16" i="11" s="1"/>
  <c r="GJ15" i="11"/>
  <c r="GY18" i="12"/>
  <c r="GY17" i="12"/>
  <c r="HM17" i="12" s="1"/>
  <c r="GY16" i="12"/>
  <c r="HM16" i="12" s="1"/>
  <c r="HM15" i="12"/>
  <c r="GY15" i="12"/>
  <c r="HM18" i="12" l="1"/>
  <c r="HM20" i="12" s="1"/>
  <c r="GY20" i="12"/>
  <c r="EA72" i="11"/>
  <c r="GJ18" i="11"/>
  <c r="GZ15" i="11"/>
  <c r="GZ18" i="11" s="1"/>
  <c r="EM81" i="14"/>
  <c r="EI81" i="14"/>
  <c r="EE81" i="14"/>
  <c r="EA81" i="14"/>
  <c r="DW81" i="14"/>
  <c r="DS81" i="14"/>
  <c r="DO81" i="14"/>
  <c r="DK81" i="14"/>
  <c r="DG81" i="14"/>
  <c r="DC81" i="14"/>
  <c r="CY81" i="14"/>
  <c r="CU81" i="14"/>
  <c r="CQ81" i="14"/>
  <c r="CM81" i="14"/>
  <c r="CI81" i="14"/>
  <c r="CE81" i="14"/>
  <c r="CA81" i="14"/>
  <c r="BW81" i="14"/>
  <c r="BS81" i="14"/>
  <c r="BO81" i="14"/>
  <c r="BK81" i="14"/>
  <c r="BF81" i="14"/>
  <c r="BA81" i="14"/>
  <c r="AV81" i="14"/>
  <c r="AQ81" i="14"/>
  <c r="AL81" i="14"/>
  <c r="EQ80" i="14"/>
  <c r="Z80" i="14" s="1"/>
  <c r="AG80" i="14"/>
  <c r="EQ79" i="14"/>
  <c r="Z79" i="14" s="1"/>
  <c r="AG79" i="14"/>
  <c r="EQ77" i="14"/>
  <c r="EQ76" i="14"/>
  <c r="Z76" i="14" s="1"/>
  <c r="BK76" i="14" s="1"/>
  <c r="EQ75" i="14"/>
  <c r="EQ74" i="14"/>
  <c r="Z74" i="14" s="1"/>
  <c r="BK74" i="14" s="1"/>
  <c r="EQ73" i="14"/>
  <c r="EQ72" i="14"/>
  <c r="Z72" i="14" s="1"/>
  <c r="BK72" i="14" s="1"/>
  <c r="EQ71" i="14"/>
  <c r="EQ70" i="14"/>
  <c r="Z70" i="14" s="1"/>
  <c r="BK70" i="14" s="1"/>
  <c r="EQ69" i="14"/>
  <c r="EQ68" i="14"/>
  <c r="Z68" i="14" s="1"/>
  <c r="BK68" i="14" s="1"/>
  <c r="EQ67" i="14"/>
  <c r="EQ66" i="14"/>
  <c r="Z66" i="14" s="1"/>
  <c r="BK66" i="14" s="1"/>
  <c r="EQ65" i="14"/>
  <c r="EQ64" i="14"/>
  <c r="Z64" i="14" s="1"/>
  <c r="BK64" i="14" s="1"/>
  <c r="EQ63" i="14"/>
  <c r="EQ62" i="14"/>
  <c r="Z62" i="14" s="1"/>
  <c r="BK62" i="14" s="1"/>
  <c r="EQ61" i="14"/>
  <c r="EQ60" i="14"/>
  <c r="Z60" i="14" s="1"/>
  <c r="EM59" i="14"/>
  <c r="EI59" i="14"/>
  <c r="EE59" i="14"/>
  <c r="EA59" i="14"/>
  <c r="DW59" i="14"/>
  <c r="DS59" i="14"/>
  <c r="DO59" i="14"/>
  <c r="DK59" i="14"/>
  <c r="DG59" i="14"/>
  <c r="DC59" i="14"/>
  <c r="CY59" i="14"/>
  <c r="CU59" i="14"/>
  <c r="CQ59" i="14"/>
  <c r="CM59" i="14"/>
  <c r="CI59" i="14"/>
  <c r="CE59" i="14"/>
  <c r="CA59" i="14"/>
  <c r="BW59" i="14"/>
  <c r="BS59" i="14"/>
  <c r="BO59" i="14"/>
  <c r="BF59" i="14"/>
  <c r="BA59" i="14"/>
  <c r="AV59" i="14"/>
  <c r="AQ59" i="14"/>
  <c r="AL59" i="14"/>
  <c r="AG59" i="14"/>
  <c r="EQ58" i="14"/>
  <c r="Z58" i="14" s="1"/>
  <c r="EQ57" i="14"/>
  <c r="Z57" i="14" s="1"/>
  <c r="EQ56" i="14"/>
  <c r="Z56" i="14" s="1"/>
  <c r="BK56" i="14" s="1"/>
  <c r="EQ55" i="14"/>
  <c r="Z55" i="14" s="1"/>
  <c r="EQ54" i="14"/>
  <c r="Z54" i="14" s="1"/>
  <c r="EQ53" i="14"/>
  <c r="Z53" i="14" s="1"/>
  <c r="EQ52" i="14"/>
  <c r="Z52" i="14" s="1"/>
  <c r="EQ51" i="14"/>
  <c r="Z51" i="14" s="1"/>
  <c r="EQ50" i="14"/>
  <c r="Z50" i="14" s="1"/>
  <c r="EQ49" i="14"/>
  <c r="Z49" i="14" s="1"/>
  <c r="AG49" i="14"/>
  <c r="EQ48" i="14"/>
  <c r="Z48" i="14" s="1"/>
  <c r="AG48" i="14"/>
  <c r="EQ47" i="14"/>
  <c r="Z47" i="14" s="1"/>
  <c r="EQ46" i="14"/>
  <c r="Z46" i="14" s="1"/>
  <c r="EQ45" i="14"/>
  <c r="Z45" i="14" s="1"/>
  <c r="EQ44" i="14"/>
  <c r="Z44" i="14" s="1"/>
  <c r="AG44" i="14"/>
  <c r="EQ43" i="14"/>
  <c r="Z43" i="14" s="1"/>
  <c r="AG43" i="14"/>
  <c r="EQ42" i="14"/>
  <c r="Z42" i="14" s="1"/>
  <c r="EQ41" i="14"/>
  <c r="Z41" i="14" s="1"/>
  <c r="AD41" i="14" s="1"/>
  <c r="AG41" i="14"/>
  <c r="EM40" i="14"/>
  <c r="EI40" i="14"/>
  <c r="EE40" i="14"/>
  <c r="EA40" i="14"/>
  <c r="DW40" i="14"/>
  <c r="DS40" i="14"/>
  <c r="DO40" i="14"/>
  <c r="DK40" i="14"/>
  <c r="DG40" i="14"/>
  <c r="DC40" i="14"/>
  <c r="CY40" i="14"/>
  <c r="CU40" i="14"/>
  <c r="CQ40" i="14"/>
  <c r="CM40" i="14"/>
  <c r="CM78" i="14" s="1"/>
  <c r="CM82" i="14" s="1"/>
  <c r="CI40" i="14"/>
  <c r="CE40" i="14"/>
  <c r="CA40" i="14"/>
  <c r="BW40" i="14"/>
  <c r="BS40" i="14"/>
  <c r="BO40" i="14"/>
  <c r="BF40" i="14"/>
  <c r="BA40" i="14"/>
  <c r="AV40" i="14"/>
  <c r="AQ40" i="14"/>
  <c r="AL40" i="14"/>
  <c r="AH96" i="14"/>
  <c r="AH95" i="14"/>
  <c r="AH97" i="14"/>
  <c r="AH94" i="14"/>
  <c r="AH93" i="14"/>
  <c r="CU34" i="14"/>
  <c r="EI34" i="14" s="1"/>
  <c r="CM34" i="14"/>
  <c r="EA34" i="14" s="1"/>
  <c r="BO78" i="14" l="1"/>
  <c r="BO82" i="14" s="1"/>
  <c r="CU78" i="14"/>
  <c r="CU82" i="14" s="1"/>
  <c r="EA78" i="14"/>
  <c r="CA78" i="14"/>
  <c r="CA82" i="14" s="1"/>
  <c r="EA82" i="14"/>
  <c r="EA38" i="14" s="1"/>
  <c r="AG81" i="14"/>
  <c r="EM78" i="14"/>
  <c r="EM82" i="14" s="1"/>
  <c r="EM38" i="14" s="1"/>
  <c r="DG78" i="14"/>
  <c r="DG82" i="14" s="1"/>
  <c r="DG38" i="14" s="1"/>
  <c r="DS78" i="14"/>
  <c r="DS82" i="14" s="1"/>
  <c r="DS38" i="14" s="1"/>
  <c r="AL78" i="14"/>
  <c r="AL82" i="14" s="1"/>
  <c r="BF78" i="14"/>
  <c r="BF82" i="14" s="1"/>
  <c r="BK58" i="14"/>
  <c r="AD58" i="14"/>
  <c r="EQ40" i="14"/>
  <c r="AD56" i="14"/>
  <c r="AQ78" i="14"/>
  <c r="AQ82" i="14" s="1"/>
  <c r="CE78" i="14"/>
  <c r="CE82" i="14" s="1"/>
  <c r="EQ59" i="14"/>
  <c r="AV78" i="14"/>
  <c r="AV82" i="14" s="1"/>
  <c r="CI78" i="14"/>
  <c r="CI82" i="14" s="1"/>
  <c r="DO78" i="14"/>
  <c r="DO82" i="14" s="1"/>
  <c r="DO38" i="14" s="1"/>
  <c r="BA78" i="14"/>
  <c r="BA82" i="14" s="1"/>
  <c r="Z81" i="14"/>
  <c r="AG40" i="14"/>
  <c r="AG78" i="14" s="1"/>
  <c r="CQ78" i="14"/>
  <c r="CQ82" i="14" s="1"/>
  <c r="DW78" i="14"/>
  <c r="DW82" i="14" s="1"/>
  <c r="DW38" i="14" s="1"/>
  <c r="BS78" i="14"/>
  <c r="BS82" i="14" s="1"/>
  <c r="CY78" i="14"/>
  <c r="CY82" i="14" s="1"/>
  <c r="EE78" i="14"/>
  <c r="EE82" i="14" s="1"/>
  <c r="EE38" i="14" s="1"/>
  <c r="EQ81" i="14"/>
  <c r="BW78" i="14"/>
  <c r="BW82" i="14" s="1"/>
  <c r="DC78" i="14"/>
  <c r="DC82" i="14" s="1"/>
  <c r="EI78" i="14"/>
  <c r="EI82" i="14" s="1"/>
  <c r="EI38" i="14" s="1"/>
  <c r="BK44" i="14"/>
  <c r="AD44" i="14"/>
  <c r="BK50" i="14"/>
  <c r="AD50" i="14"/>
  <c r="BK45" i="14"/>
  <c r="AD45" i="14"/>
  <c r="BK46" i="14"/>
  <c r="AD46" i="14"/>
  <c r="BK49" i="14"/>
  <c r="AD49" i="14"/>
  <c r="BK47" i="14"/>
  <c r="AD47" i="14"/>
  <c r="BK53" i="14"/>
  <c r="AD53" i="14"/>
  <c r="BK51" i="14"/>
  <c r="AD51" i="14"/>
  <c r="AD52" i="14"/>
  <c r="BK52" i="14"/>
  <c r="AD54" i="14"/>
  <c r="BK54" i="14"/>
  <c r="Z59" i="14"/>
  <c r="BK60" i="14"/>
  <c r="BK59" i="14" s="1"/>
  <c r="BK57" i="14"/>
  <c r="AD57" i="14"/>
  <c r="AH98" i="14"/>
  <c r="BK42" i="14"/>
  <c r="Z40" i="14"/>
  <c r="AD42" i="14"/>
  <c r="AD48" i="14"/>
  <c r="BK48" i="14"/>
  <c r="BK55" i="14"/>
  <c r="AD55" i="14"/>
  <c r="BK43" i="14"/>
  <c r="AD43" i="14"/>
  <c r="BK41" i="14"/>
  <c r="BO34" i="14"/>
  <c r="DC34" i="14" s="1"/>
  <c r="BW34" i="14"/>
  <c r="DK34" i="14" s="1"/>
  <c r="CE34" i="14"/>
  <c r="DS34" i="14" s="1"/>
  <c r="DK78" i="14"/>
  <c r="DK82" i="14" s="1"/>
  <c r="DK38" i="14" s="1"/>
  <c r="AG82" i="14" l="1"/>
  <c r="EQ78" i="14"/>
  <c r="DC38" i="14"/>
  <c r="EQ38" i="14" s="1"/>
  <c r="EQ82" i="14"/>
  <c r="Z78" i="14"/>
  <c r="BK40" i="14"/>
  <c r="BK78" i="14" s="1"/>
  <c r="BK82" i="14" s="1"/>
  <c r="Z82" i="14" l="1"/>
  <c r="AD81" i="14" l="1"/>
  <c r="AD40" i="14"/>
  <c r="AD59" i="14"/>
  <c r="AD78" i="14"/>
  <c r="AD82" i="14" s="1"/>
  <c r="BL78" i="12"/>
  <c r="BG78" i="12"/>
  <c r="BB78" i="12"/>
  <c r="AW78" i="12"/>
  <c r="AR78" i="12"/>
  <c r="AM78" i="12"/>
  <c r="CZ78" i="12"/>
  <c r="CV78" i="12"/>
  <c r="CR78" i="12"/>
  <c r="CN78" i="12"/>
  <c r="CJ78" i="12"/>
  <c r="CF78" i="12"/>
  <c r="CB78" i="12"/>
  <c r="BX78" i="12"/>
  <c r="BT78" i="12"/>
  <c r="BP78" i="12"/>
  <c r="CZ56" i="12"/>
  <c r="CV56" i="12"/>
  <c r="CR56" i="12"/>
  <c r="CN56" i="12"/>
  <c r="CJ56" i="12"/>
  <c r="CF56" i="12"/>
  <c r="CB56" i="12"/>
  <c r="BX56" i="12"/>
  <c r="BT56" i="12"/>
  <c r="BP56" i="12"/>
  <c r="EN56" i="12"/>
  <c r="EJ56" i="12"/>
  <c r="EF56" i="12"/>
  <c r="EB56" i="12"/>
  <c r="DX56" i="12"/>
  <c r="DT56" i="12"/>
  <c r="DL56" i="12"/>
  <c r="DH56" i="12"/>
  <c r="DD56" i="12"/>
  <c r="AH41" i="12"/>
  <c r="BN75" i="11" l="1"/>
  <c r="BI75" i="11"/>
  <c r="BD75" i="11"/>
  <c r="AY75" i="11"/>
  <c r="AT75" i="11"/>
  <c r="AO75" i="11"/>
  <c r="AJ75" i="11"/>
  <c r="CR75" i="11"/>
  <c r="CM75" i="11"/>
  <c r="CH75" i="11"/>
  <c r="CC75" i="11"/>
  <c r="BX75" i="11"/>
  <c r="BS75" i="11"/>
  <c r="CW75" i="11"/>
  <c r="CW53" i="11"/>
  <c r="DB53" i="11" l="1"/>
  <c r="BN41" i="11" l="1"/>
  <c r="BN42" i="11"/>
  <c r="BN43" i="11"/>
  <c r="BN44" i="11"/>
  <c r="BN46" i="11"/>
  <c r="BN47" i="11"/>
  <c r="BN48" i="11"/>
  <c r="BN50" i="11"/>
  <c r="BN51" i="11"/>
  <c r="BN52" i="11"/>
  <c r="BN35" i="11"/>
  <c r="BN36" i="11"/>
  <c r="BN37" i="11"/>
  <c r="BN38" i="11"/>
  <c r="BN39" i="11"/>
  <c r="BN40" i="11"/>
  <c r="BN49" i="11"/>
  <c r="BN45" i="11"/>
  <c r="BT37" i="12" l="1"/>
  <c r="BX37" i="12"/>
  <c r="CB37" i="12"/>
  <c r="CF37" i="12"/>
  <c r="CJ37" i="12"/>
  <c r="CN37" i="12"/>
  <c r="CR37" i="12"/>
  <c r="CV37" i="12"/>
  <c r="CZ37" i="12"/>
  <c r="BP37" i="12"/>
  <c r="DH37" i="12"/>
  <c r="DL37" i="12"/>
  <c r="DP37" i="12"/>
  <c r="DT37" i="12"/>
  <c r="DX37" i="12"/>
  <c r="EB37" i="12"/>
  <c r="EF37" i="12"/>
  <c r="EJ37" i="12"/>
  <c r="EN37" i="12"/>
  <c r="DD37" i="12"/>
  <c r="AM37" i="12"/>
  <c r="AR37" i="12"/>
  <c r="AW37" i="12"/>
  <c r="BB37" i="12"/>
  <c r="AH46" i="12"/>
  <c r="AH40" i="12"/>
  <c r="AH45" i="12"/>
  <c r="AH38" i="12"/>
  <c r="ER37" i="12" l="1"/>
  <c r="AH37" i="12"/>
  <c r="ER42" i="12" l="1"/>
  <c r="ER39" i="12"/>
  <c r="ER49" i="12"/>
  <c r="Z49" i="12" l="1"/>
  <c r="Z39" i="12"/>
  <c r="Z42" i="12"/>
  <c r="ER76" i="12" l="1"/>
  <c r="Z76" i="12" s="1"/>
  <c r="ER77" i="12"/>
  <c r="EN78" i="12" l="1"/>
  <c r="EJ78" i="12"/>
  <c r="EF78" i="12"/>
  <c r="EB78" i="12"/>
  <c r="DX78" i="12"/>
  <c r="DT78" i="12"/>
  <c r="DP78" i="12"/>
  <c r="DL78" i="12"/>
  <c r="DH78" i="12"/>
  <c r="DD78" i="12"/>
  <c r="Z77" i="12"/>
  <c r="Z78" i="12" s="1"/>
  <c r="AH77" i="12"/>
  <c r="ER74" i="12"/>
  <c r="ER73" i="12"/>
  <c r="ER70" i="12"/>
  <c r="ER69" i="12"/>
  <c r="ER68" i="12"/>
  <c r="ER67" i="12"/>
  <c r="ER66" i="12"/>
  <c r="ER65" i="12"/>
  <c r="ER64" i="12"/>
  <c r="ER63" i="12"/>
  <c r="ER62" i="12"/>
  <c r="ER61" i="12"/>
  <c r="ER60" i="12"/>
  <c r="ER59" i="12"/>
  <c r="ER58" i="12"/>
  <c r="ER57" i="12"/>
  <c r="Z57" i="12" s="1"/>
  <c r="EN75" i="12"/>
  <c r="EJ75" i="12"/>
  <c r="EJ79" i="12" s="1"/>
  <c r="EF75" i="12"/>
  <c r="EF79" i="12" s="1"/>
  <c r="EB75" i="12"/>
  <c r="EB79" i="12" s="1"/>
  <c r="DX75" i="12"/>
  <c r="DT75" i="12"/>
  <c r="DP56" i="12"/>
  <c r="DP75" i="12" s="1"/>
  <c r="DP79" i="12" s="1"/>
  <c r="DL75" i="12"/>
  <c r="DH75" i="12"/>
  <c r="DH79" i="12" s="1"/>
  <c r="DD75" i="12"/>
  <c r="CZ75" i="12"/>
  <c r="CZ79" i="12" s="1"/>
  <c r="BT75" i="12"/>
  <c r="BT79" i="12" s="1"/>
  <c r="BG56" i="12"/>
  <c r="BB56" i="12"/>
  <c r="AW56" i="12"/>
  <c r="AR56" i="12"/>
  <c r="AM56" i="12"/>
  <c r="ER41" i="12"/>
  <c r="ER54" i="12"/>
  <c r="ER55" i="12"/>
  <c r="ER48" i="12"/>
  <c r="ER47" i="12"/>
  <c r="ER46" i="12"/>
  <c r="ER50" i="12"/>
  <c r="ER51" i="12"/>
  <c r="ER52" i="12"/>
  <c r="ER53" i="12"/>
  <c r="ER40" i="12"/>
  <c r="ER38" i="12"/>
  <c r="ER43" i="12"/>
  <c r="ER44" i="12"/>
  <c r="ER45" i="12"/>
  <c r="BG37" i="12"/>
  <c r="DD31" i="12" l="1"/>
  <c r="DL31" i="12"/>
  <c r="DT31" i="12"/>
  <c r="EJ31" i="12"/>
  <c r="EB31" i="12"/>
  <c r="DL79" i="12"/>
  <c r="DL35" i="12" s="1"/>
  <c r="Z38" i="12"/>
  <c r="Z47" i="12"/>
  <c r="DT79" i="12"/>
  <c r="DT35" i="12" s="1"/>
  <c r="EN79" i="12"/>
  <c r="EN35" i="12" s="1"/>
  <c r="DX79" i="12"/>
  <c r="DX35" i="12" s="1"/>
  <c r="Z51" i="12"/>
  <c r="Z48" i="12"/>
  <c r="ER78" i="12"/>
  <c r="DD79" i="12"/>
  <c r="DD35" i="12" s="1"/>
  <c r="Z73" i="12"/>
  <c r="Z69" i="12"/>
  <c r="Z67" i="12"/>
  <c r="Z65" i="12"/>
  <c r="Z63" i="12"/>
  <c r="Z61" i="12"/>
  <c r="Z59" i="12"/>
  <c r="Z55" i="12"/>
  <c r="Z54" i="12"/>
  <c r="Z53" i="12"/>
  <c r="Z52" i="12"/>
  <c r="Z50" i="12"/>
  <c r="Z46" i="12"/>
  <c r="Z45" i="12"/>
  <c r="Z44" i="12"/>
  <c r="Z43" i="12"/>
  <c r="Z41" i="12"/>
  <c r="Z40" i="12"/>
  <c r="BP75" i="12"/>
  <c r="BP79" i="12" s="1"/>
  <c r="CF75" i="12"/>
  <c r="CF79" i="12" s="1"/>
  <c r="CV75" i="12"/>
  <c r="CV79" i="12" s="1"/>
  <c r="CJ75" i="12"/>
  <c r="CJ79" i="12" s="1"/>
  <c r="BX75" i="12"/>
  <c r="BX79" i="12" s="1"/>
  <c r="CN75" i="12"/>
  <c r="CN79" i="12" s="1"/>
  <c r="CB75" i="12"/>
  <c r="CB79" i="12" s="1"/>
  <c r="CR75" i="12"/>
  <c r="CR79" i="12" s="1"/>
  <c r="AW75" i="12"/>
  <c r="AW79" i="12" s="1"/>
  <c r="DP35" i="12"/>
  <c r="EB35" i="12"/>
  <c r="ER56" i="12"/>
  <c r="BG75" i="12"/>
  <c r="BG79" i="12" s="1"/>
  <c r="EF35" i="12"/>
  <c r="EJ35" i="12"/>
  <c r="AM75" i="12"/>
  <c r="AM79" i="12" s="1"/>
  <c r="AR75" i="12"/>
  <c r="AR79" i="12" s="1"/>
  <c r="BL55" i="12" l="1"/>
  <c r="Z37" i="12"/>
  <c r="BL65" i="12"/>
  <c r="BL57" i="12"/>
  <c r="BL73" i="12"/>
  <c r="BL59" i="12"/>
  <c r="BL61" i="12"/>
  <c r="BL63" i="12"/>
  <c r="BL69" i="12"/>
  <c r="BL67" i="12"/>
  <c r="Z56" i="12"/>
  <c r="DH35" i="12"/>
  <c r="ER35" i="12" s="1"/>
  <c r="ER75" i="12"/>
  <c r="DL53" i="11"/>
  <c r="DQ53" i="11"/>
  <c r="DV53" i="11"/>
  <c r="DG53" i="11"/>
  <c r="CH53" i="11"/>
  <c r="CM53" i="11"/>
  <c r="CR53" i="11"/>
  <c r="CC53" i="11"/>
  <c r="BL56" i="12" l="1"/>
  <c r="Z75" i="12"/>
  <c r="Z68" i="11"/>
  <c r="Z66" i="11"/>
  <c r="ER79" i="12"/>
  <c r="Z79" i="12" l="1"/>
  <c r="AD75" i="12" s="1"/>
  <c r="BN66" i="11"/>
  <c r="BN68" i="11"/>
  <c r="EA73" i="11"/>
  <c r="Z73" i="11" s="1"/>
  <c r="AD78" i="12" l="1"/>
  <c r="AD79" i="12" s="1"/>
  <c r="AD37" i="12"/>
  <c r="AD56" i="12"/>
  <c r="Z64" i="11" l="1"/>
  <c r="Z62" i="11"/>
  <c r="Z70" i="11"/>
  <c r="BN70" i="11" l="1"/>
  <c r="BN62" i="11"/>
  <c r="BN64" i="11"/>
  <c r="BI53" i="11"/>
  <c r="Z56" i="11" l="1"/>
  <c r="Z60" i="11"/>
  <c r="Z58" i="11"/>
  <c r="Z54" i="11"/>
  <c r="BN60" i="11" l="1"/>
  <c r="BN58" i="11"/>
  <c r="BN56" i="11"/>
  <c r="DB75" i="11"/>
  <c r="DG75" i="11"/>
  <c r="DL75" i="11"/>
  <c r="DQ75" i="11"/>
  <c r="DV75" i="11"/>
  <c r="BX53" i="11"/>
  <c r="BS53" i="11"/>
  <c r="CW34" i="11"/>
  <c r="DB34" i="11"/>
  <c r="DG34" i="11"/>
  <c r="DL34" i="11"/>
  <c r="DQ34" i="11"/>
  <c r="DV34" i="11"/>
  <c r="BX34" i="11"/>
  <c r="CC34" i="11"/>
  <c r="CM34" i="11"/>
  <c r="CR34" i="11"/>
  <c r="BS34" i="11"/>
  <c r="AO34" i="11"/>
  <c r="AT34" i="11"/>
  <c r="BI34" i="11"/>
  <c r="CC72" i="11" l="1"/>
  <c r="CC76" i="11" s="1"/>
  <c r="EA75" i="11"/>
  <c r="BI72" i="11"/>
  <c r="BI76" i="11" s="1"/>
  <c r="BX72" i="11"/>
  <c r="BX76" i="11" s="1"/>
  <c r="DB72" i="11"/>
  <c r="DQ72" i="11"/>
  <c r="DL72" i="11"/>
  <c r="CR72" i="11"/>
  <c r="CR76" i="11" s="1"/>
  <c r="DG72" i="11"/>
  <c r="BS72" i="11"/>
  <c r="BS76" i="11" s="1"/>
  <c r="CW72" i="11"/>
  <c r="CW76" i="11" s="1"/>
  <c r="CW32" i="11" s="1"/>
  <c r="DV72" i="11"/>
  <c r="DV76" i="11" s="1"/>
  <c r="CM72" i="11"/>
  <c r="CM76" i="11" s="1"/>
  <c r="Z75" i="11"/>
  <c r="BD34" i="11"/>
  <c r="AY34" i="11"/>
  <c r="DV32" i="11" l="1"/>
  <c r="EA76" i="11"/>
  <c r="DQ76" i="11"/>
  <c r="DQ32" i="11" s="1"/>
  <c r="DL76" i="11"/>
  <c r="DL32" i="11" s="1"/>
  <c r="DB76" i="11"/>
  <c r="DG76" i="11"/>
  <c r="Z34" i="11"/>
  <c r="AJ34" i="11"/>
  <c r="CH34" i="11"/>
  <c r="CH72" i="11" s="1"/>
  <c r="CH76" i="11" s="1"/>
  <c r="DQ28" i="11" l="1"/>
  <c r="DB32" i="11"/>
  <c r="CW28" i="11"/>
  <c r="DG32" i="11"/>
  <c r="EA32" i="11" s="1"/>
  <c r="DG28" i="11"/>
  <c r="BN34" i="11"/>
  <c r="BD72" i="11" l="1"/>
  <c r="BD76" i="11" s="1"/>
  <c r="BL38" i="12"/>
  <c r="BL39" i="12"/>
  <c r="BL40" i="12"/>
  <c r="BL41" i="12"/>
  <c r="BL49" i="12"/>
  <c r="BL43" i="12"/>
  <c r="BL51" i="12"/>
  <c r="BL46" i="12"/>
  <c r="BL54" i="12"/>
  <c r="BL45" i="12"/>
  <c r="BL50" i="12"/>
  <c r="AH75" i="12"/>
  <c r="BL44" i="12"/>
  <c r="BL53" i="12"/>
  <c r="BL52" i="12"/>
  <c r="BL42" i="12"/>
  <c r="BL47" i="12"/>
  <c r="BL48" i="12"/>
  <c r="AH76" i="12" l="1"/>
  <c r="AH78" i="12" s="1"/>
  <c r="AH79" i="12" s="1"/>
  <c r="BL37" i="12"/>
  <c r="BL75" i="12" s="1"/>
  <c r="BL79" i="12" s="1"/>
  <c r="BB75" i="12"/>
  <c r="BB79" i="12" s="1"/>
  <c r="Z53" i="11"/>
  <c r="Z72" i="11" l="1"/>
  <c r="Z76" i="11" s="1"/>
  <c r="AE53" i="11" s="1"/>
  <c r="AE72" i="11" l="1"/>
  <c r="AE75" i="11"/>
  <c r="AE34" i="11"/>
  <c r="AE76" i="11" l="1"/>
  <c r="AY53" i="11" l="1"/>
  <c r="AY72" i="11" s="1"/>
  <c r="AY76" i="11" s="1"/>
  <c r="AO53" i="11"/>
  <c r="AO72" i="11" s="1"/>
  <c r="AO76" i="11" s="1"/>
  <c r="AT53" i="11"/>
  <c r="AT72" i="11" s="1"/>
  <c r="AT76" i="11" s="1"/>
  <c r="AJ72" i="11"/>
  <c r="AJ76" i="11" s="1"/>
  <c r="BN54" i="11"/>
  <c r="BN53" i="11" s="1"/>
  <c r="BN72" i="11" s="1"/>
  <c r="BN76" i="11" s="1"/>
</calcChain>
</file>

<file path=xl/sharedStrings.xml><?xml version="1.0" encoding="utf-8"?>
<sst xmlns="http://schemas.openxmlformats.org/spreadsheetml/2006/main" count="1355" uniqueCount="274">
  <si>
    <t>I</t>
  </si>
  <si>
    <t>II</t>
  </si>
  <si>
    <t>IV</t>
  </si>
  <si>
    <t>1.10</t>
  </si>
  <si>
    <t>1.11</t>
  </si>
  <si>
    <t>1.12</t>
  </si>
  <si>
    <t>1.13</t>
  </si>
  <si>
    <t>1.15</t>
  </si>
  <si>
    <t>1.16</t>
  </si>
  <si>
    <t>2.01</t>
  </si>
  <si>
    <t>2.02</t>
  </si>
  <si>
    <t>Akademik daraja - BAKALAVR</t>
  </si>
  <si>
    <t>Malakaviy amaliyot</t>
  </si>
  <si>
    <t>Kredit ta'lim tizimiga kirish</t>
  </si>
  <si>
    <t>Attestatsiya</t>
  </si>
  <si>
    <t>Yakuniy davlat attestatsiyasi</t>
  </si>
  <si>
    <t>Y</t>
  </si>
  <si>
    <t>O‘quv jarayoni (haftalarda)</t>
  </si>
  <si>
    <t>Jami</t>
  </si>
  <si>
    <t>Nazariy va amaliy ta'lim</t>
  </si>
  <si>
    <t>Hammasi</t>
  </si>
  <si>
    <t>KURS</t>
  </si>
  <si>
    <t>JAMI</t>
  </si>
  <si>
    <t>T/R</t>
  </si>
  <si>
    <t>Mustaqil ta'lim</t>
  </si>
  <si>
    <t>1-kurs</t>
  </si>
  <si>
    <t>2-kurs</t>
  </si>
  <si>
    <t>3-kurs</t>
  </si>
  <si>
    <t>Soatlarning kurs, semestr va haftalar bo'yicha taqsimoti</t>
  </si>
  <si>
    <t>Kreditlarning kurs, semestr va haftalar bo'yicha taqsimoti</t>
  </si>
  <si>
    <t>Kurslardagi haftalar soni</t>
  </si>
  <si>
    <t>Semestrlar</t>
  </si>
  <si>
    <t>Semestrdagi auditoriya mashg'lotlari haftalarining soni</t>
  </si>
  <si>
    <t>Kredit taqsimoti</t>
  </si>
  <si>
    <t>Jami kreditlar soni</t>
  </si>
  <si>
    <t>Majburiy fanlar</t>
  </si>
  <si>
    <t>Mediasavodxonlik va axborot madaniyati</t>
  </si>
  <si>
    <t>2.00</t>
  </si>
  <si>
    <t>2.03</t>
  </si>
  <si>
    <t>2.04</t>
  </si>
  <si>
    <t>2.05</t>
  </si>
  <si>
    <t>2.06</t>
  </si>
  <si>
    <t>2.07</t>
  </si>
  <si>
    <t>2.08</t>
  </si>
  <si>
    <t>K</t>
  </si>
  <si>
    <t>Noyabr</t>
  </si>
  <si>
    <t>Dekabr</t>
  </si>
  <si>
    <t>Yanvar</t>
  </si>
  <si>
    <t>Fevral</t>
  </si>
  <si>
    <t>Mart</t>
  </si>
  <si>
    <t>Aprel</t>
  </si>
  <si>
    <t>May</t>
  </si>
  <si>
    <t>Iyun</t>
  </si>
  <si>
    <t>Avgust</t>
  </si>
  <si>
    <t>T</t>
  </si>
  <si>
    <t>A</t>
  </si>
  <si>
    <t>M</t>
  </si>
  <si>
    <t>O'quv bloklari, fanlar va faoliyat turlarining nomlari</t>
  </si>
  <si>
    <t>Talabaning o'quv yuklamasi, soatlarda ishi hajmi soatlarda</t>
  </si>
  <si>
    <t>Umumiy yuklama hajmi</t>
  </si>
  <si>
    <t>Auditoriya mashg'ulotlari soatlarda</t>
  </si>
  <si>
    <t>Ma'ruza</t>
  </si>
  <si>
    <t>Amaliy</t>
  </si>
  <si>
    <t>Seminar</t>
  </si>
  <si>
    <t>Laboratoriya</t>
  </si>
  <si>
    <t>Kurs ishi</t>
  </si>
  <si>
    <t>soat</t>
  </si>
  <si>
    <t>%</t>
  </si>
  <si>
    <t>O'EYT104</t>
  </si>
  <si>
    <t>O'zbekistonning eng yangi tarixi</t>
  </si>
  <si>
    <t>Umumiy psixologiya</t>
  </si>
  <si>
    <t>Umumiy pedagogika</t>
  </si>
  <si>
    <t>Tanlov fanlari</t>
  </si>
  <si>
    <t>Jami:</t>
  </si>
  <si>
    <t>Malakaviy va pedagogik amaliyotlar</t>
  </si>
  <si>
    <t>Shundan</t>
  </si>
  <si>
    <t>1.00</t>
  </si>
  <si>
    <t>1.01</t>
  </si>
  <si>
    <t>1.02</t>
  </si>
  <si>
    <t>1.03</t>
  </si>
  <si>
    <t>1.04</t>
  </si>
  <si>
    <t>1.05</t>
  </si>
  <si>
    <t>1.06</t>
  </si>
  <si>
    <t>1.07</t>
  </si>
  <si>
    <t>1.08</t>
  </si>
  <si>
    <t>1.09</t>
  </si>
  <si>
    <t>Izoh:</t>
  </si>
  <si>
    <t>O'quv jarayonining tarkibiy qismlari</t>
  </si>
  <si>
    <t>Haftalar soni</t>
  </si>
  <si>
    <t>Davlat attestatsiyasi</t>
  </si>
  <si>
    <t>Bitiruv malakaviy ishini himoya qilish yoki ixtisoslik fanlaridan Davlat attestatsiyasi</t>
  </si>
  <si>
    <t>Bolalarning ijtimoiy moslashuvi</t>
  </si>
  <si>
    <t>1.17</t>
  </si>
  <si>
    <t>1.18</t>
  </si>
  <si>
    <t>Bolalar jismoniy tarbiyasi</t>
  </si>
  <si>
    <t>1.14</t>
  </si>
  <si>
    <t>BIT305</t>
  </si>
  <si>
    <t>Fanning malakaviy 
kodi</t>
  </si>
  <si>
    <t>Maktabgacha ta'limda etnopedagogika</t>
  </si>
  <si>
    <t>Oila pedagogikasi</t>
  </si>
  <si>
    <t>MTE204</t>
  </si>
  <si>
    <t>Bolalarni maktabga tayyorlash metodikasi</t>
  </si>
  <si>
    <t>Nutq o'stirish metodikasi</t>
  </si>
  <si>
    <t>Elementar matematik tasavvurlarni shakllantirish</t>
  </si>
  <si>
    <t>Maktabgacha ta'limda qiyosiy pedagogika</t>
  </si>
  <si>
    <t>Maktabgacha ta'limda o'yin texnologiyalari</t>
  </si>
  <si>
    <t>Maktabgacha ta'limda ifodali o'qish metodikasi</t>
  </si>
  <si>
    <t>Maktabgacha ta'lim menejmenti</t>
  </si>
  <si>
    <t>2.09</t>
  </si>
  <si>
    <t>UmPsix108</t>
  </si>
  <si>
    <t>MSVAM105</t>
  </si>
  <si>
    <t>Amaliy o'zbek (rus) tili</t>
  </si>
  <si>
    <t>FALMAD104</t>
  </si>
  <si>
    <t>AO'RT106</t>
  </si>
  <si>
    <t>Bolalarni sahnalashtirish va ijodiy faoliyatga o'rgatish</t>
  </si>
  <si>
    <t>BSIFO'106</t>
  </si>
  <si>
    <t>BIM106</t>
  </si>
  <si>
    <t>Maktabgacha ta'lim-tarbiyani tashkil etish</t>
  </si>
  <si>
    <t>MTTTE110</t>
  </si>
  <si>
    <t>EMTSHM105</t>
  </si>
  <si>
    <t>PED208</t>
  </si>
  <si>
    <t>Inklyuziv ta'lim. Gospital pedagogika</t>
  </si>
  <si>
    <t>Dinshunoslik</t>
  </si>
  <si>
    <t>DIN204</t>
  </si>
  <si>
    <t>TFO'205</t>
  </si>
  <si>
    <t>NO'M204</t>
  </si>
  <si>
    <t>Maktabgacha ta'limda chet tilini o'qitish</t>
  </si>
  <si>
    <t>MTCHTO'304</t>
  </si>
  <si>
    <t>Bolalar musiqiy ta'limi metodikasi</t>
  </si>
  <si>
    <t>BMTM305</t>
  </si>
  <si>
    <t>Tabiat bilan tanishtirish metodikasi</t>
  </si>
  <si>
    <t>Maktabgacha ta'limda pedagogik jarayonlarni loyihalashtirish</t>
  </si>
  <si>
    <t>MTPJL204</t>
  </si>
  <si>
    <t>TIH204</t>
  </si>
  <si>
    <t>BMTM204</t>
  </si>
  <si>
    <t>MTQP204</t>
  </si>
  <si>
    <t>Ekologik madaniyat va barqaror taraqqiyot asoslari</t>
  </si>
  <si>
    <t>Jismoniy madaniyat va sport</t>
  </si>
  <si>
    <t>EMVBTA204</t>
  </si>
  <si>
    <t>JMVS204</t>
  </si>
  <si>
    <t>Iqtisodiy va tadbirkorlik tarbiyasi</t>
  </si>
  <si>
    <t>IVTTar304</t>
  </si>
  <si>
    <t>MTO'T304</t>
  </si>
  <si>
    <t>Ilk yoshdagi bolalar bilan ishlash metodikasi</t>
  </si>
  <si>
    <t>IYBBIM304</t>
  </si>
  <si>
    <t>Maktabgacha ta'limda huquqiy tarbiya</t>
  </si>
  <si>
    <t>MTHT304</t>
  </si>
  <si>
    <t>MTIO'M304</t>
  </si>
  <si>
    <t>Ta'lim-tarbiyaning dolzarb muammolari</t>
  </si>
  <si>
    <t>TTDM304</t>
  </si>
  <si>
    <t>Metodika fanlarini o'qitish texnologiyasi</t>
  </si>
  <si>
    <t>Rivojlantiruvchi markazlarni tashkil etish</t>
  </si>
  <si>
    <t>MFO'T304</t>
  </si>
  <si>
    <t>RMTE304</t>
  </si>
  <si>
    <t>Axborot texnologiyalarini kasbiy faoliyatda qo'llash (ECTS 4)</t>
  </si>
  <si>
    <t>Artterapiya</t>
  </si>
  <si>
    <t>Art304</t>
  </si>
  <si>
    <t>OP304</t>
  </si>
  <si>
    <t>2.10</t>
  </si>
  <si>
    <t>TURAN INTERNATONAL UNIVERSITY</t>
  </si>
  <si>
    <t>"TASDIQLAYMAN"</t>
  </si>
  <si>
    <t>"_____" _____________ 20_____ yil</t>
  </si>
  <si>
    <t>1.</t>
  </si>
  <si>
    <t>2.</t>
  </si>
  <si>
    <t>3.</t>
  </si>
  <si>
    <t>Malaka amaliyoti</t>
  </si>
  <si>
    <t>4.</t>
  </si>
  <si>
    <t>O'quv rejaga kiritiladigan ixtisoslikka oid fanlarning amaliy mashg'ulotlari va laboratoriya ishlari oliy ta'lim muasasasi hamda bazaviy tashkilotlarda o'tkazilishi mumkin.</t>
  </si>
  <si>
    <t>Bitiruv malakaviy ishi tarkibiga uni himoya qilish bo'yicha Davlat attestatsiyalari ham kiradi.</t>
  </si>
  <si>
    <t>4-kun nazariy va amaliy ta'lim /2 kun amaliyot</t>
  </si>
  <si>
    <t>Kredit haftaligi</t>
  </si>
  <si>
    <t>Ta'til</t>
  </si>
  <si>
    <t>Fakultet dekani:</t>
  </si>
  <si>
    <t>3-6 semestrlarda 4+2 tartibda amalga oshiriladi. Bunda haftaning 4 kunida nazariy va amaliy ta'lim, 2 kunda pedagogik amaliyot o'tkaziladi.</t>
  </si>
  <si>
    <t>3-6 semestrdagi mutaxassislik fanlarining sillabuslarida mustaqil ta'lim mazmuni joriy semestrdagi amaliyot dasturi mazmuniga mos kelishi va bir birini to'ldirishi, talabaning amaliyoti mustaqil ta'lim topshirig'ini bajarish uchun asos sifatida xizmat qilishi nazarda tutilishi kerak.</t>
  </si>
  <si>
    <t>Falsafa</t>
  </si>
  <si>
    <t>N</t>
  </si>
  <si>
    <t>III</t>
  </si>
  <si>
    <t>V</t>
  </si>
  <si>
    <t>Fanning malakaviy kodi</t>
  </si>
  <si>
    <t>4-курс</t>
  </si>
  <si>
    <t>5-kurs</t>
  </si>
  <si>
    <t>Tasviriy faoliyatga o'rgatish metodikasi</t>
  </si>
  <si>
    <t>TBTM410</t>
  </si>
  <si>
    <t>Sohada IT texnologiyalarini qo'llash</t>
  </si>
  <si>
    <t>Sohaga yo'naltirilgan ingliz tili</t>
  </si>
  <si>
    <t>O‘quv ishlari bo‘yicha prorektor:</t>
  </si>
  <si>
    <t>_______________________________</t>
  </si>
  <si>
    <t>1-9</t>
  </si>
  <si>
    <t>4-10</t>
  </si>
  <si>
    <t>10</t>
  </si>
  <si>
    <t>1, 3, 5, 7, 9</t>
  </si>
  <si>
    <t>SYIT2</t>
  </si>
  <si>
    <t>SITQ2</t>
  </si>
  <si>
    <t>MTSTE204</t>
  </si>
  <si>
    <t>Maktabgacha ta'limda STEAM texnologiyalari</t>
  </si>
  <si>
    <t>Tarbiyachining ish hujjatlari</t>
  </si>
  <si>
    <t>MTPJL304</t>
  </si>
  <si>
    <t>MTM304</t>
  </si>
  <si>
    <t>IYBBIM302</t>
  </si>
  <si>
    <t>MTHT302</t>
  </si>
  <si>
    <t xml:space="preserve"> BMTM202</t>
  </si>
  <si>
    <t>EMVBTA202</t>
  </si>
  <si>
    <t>JMVS202</t>
  </si>
  <si>
    <t>O‘quv departamenti direktori:</t>
  </si>
  <si>
    <t xml:space="preserve">Kafedra mudiri:  </t>
  </si>
  <si>
    <t>Turan International University rahbari</t>
  </si>
  <si>
    <t>________   _______________________</t>
  </si>
  <si>
    <t>TURAN INTERNATIONAL UNIVERSITY</t>
  </si>
  <si>
    <t>_________   _________________________</t>
  </si>
  <si>
    <t>________   ________________________</t>
  </si>
  <si>
    <t>1-sem: 16M, 22A, 10S
2-sem: 16M, 22A, 10S</t>
  </si>
  <si>
    <t>O‘QUV REJA</t>
  </si>
  <si>
    <t>HAFTALAR</t>
  </si>
  <si>
    <t>Ta‘tillar haftasi</t>
  </si>
  <si>
    <t>Nazariy va amaliy ta‘lim</t>
  </si>
  <si>
    <t>Kredit tizimiga kirish</t>
  </si>
  <si>
    <t>4kun nazariy / 2kun malakaviy amaliyot</t>
  </si>
  <si>
    <t>Sentabr</t>
  </si>
  <si>
    <t>Oktabr</t>
  </si>
  <si>
    <t xml:space="preserve"> Iyul</t>
  </si>
  <si>
    <t>II. O‘QUV REJASI</t>
  </si>
  <si>
    <t>I. O‘QUV JARAYONI JADVALI</t>
  </si>
  <si>
    <t>Ta’lim shakli - kunduzgi</t>
  </si>
  <si>
    <t>Ta’lim yo‘nalishi: 60110200 - Maktabgacha ta’lim</t>
  </si>
  <si>
    <t>2023/2024 o‘quv yili</t>
  </si>
  <si>
    <t>Turan International University Kengashining 20__-yil "____" ____________dagi ______ sonli qarori bilan ma'qullangan</t>
  </si>
  <si>
    <t>"_____" _________ 20_____ yil</t>
  </si>
  <si>
    <t>Kurslardagi kreditlar soni</t>
  </si>
  <si>
    <t>Ma‘ruza</t>
  </si>
  <si>
    <t>Talabaning o‘quv yuklamasi, soatlarda ishi hajmi soatlarda</t>
  </si>
  <si>
    <t>Soatlarning kurs, semestr va haftalar bo‘yicha taqsimoti</t>
  </si>
  <si>
    <t>Kreditlarning kurs, semestr va haftalar bo‘yicha taqsimoti</t>
  </si>
  <si>
    <t>TIH202</t>
  </si>
  <si>
    <t>Elementar matematik tasavvurlarni shakllantirish metodikasi</t>
  </si>
  <si>
    <t>ISHCHI O‘QUV REJA</t>
  </si>
  <si>
    <t>O‘qish muddati - 5 yil</t>
  </si>
  <si>
    <t>Ta’lim shakli - Sirtqi</t>
  </si>
  <si>
    <t>II. ISHCHI O‘QUV REJASI</t>
  </si>
  <si>
    <t>4-kurs</t>
  </si>
  <si>
    <t>Nizomiy</t>
  </si>
  <si>
    <t>Yangi taxrirdagi O'zb Resp Kons</t>
  </si>
  <si>
    <t>HEMISda 2 semestr Soahada Ingliz tilini nofaol qilib 3-semestrga 2 kredit qo'shilsin</t>
  </si>
  <si>
    <t>O‘qish muddati - 3 yil</t>
  </si>
  <si>
    <t>1-2 kurs talabalarining yozgi ta'til davrida avvalgi semestrlarda o'zlashtirilmagan fanlari uchun yozgi semestr tashkil qilinishi mumkin. Bunda yozgi ta'tilning birinchi xaftasi ro'yxatga olish xaftaligi, keyingi to'rt xafta yozgi semestr hisobidan akademik davr hisoblanadi.</t>
  </si>
  <si>
    <r>
      <rPr>
        <b/>
        <sz val="48"/>
        <rFont val="Times New Roman"/>
        <family val="1"/>
        <charset val="204"/>
      </rPr>
      <t>1-kurs</t>
    </r>
    <r>
      <rPr>
        <sz val="48"/>
        <rFont val="Times New Roman"/>
        <family val="1"/>
        <charset val="204"/>
      </rPr>
      <t>: 2-semestrda (o'quv va ilmiy laboratoriya) o'quv malaka amaliyotlari uchun jami 2 kredit taqdim etiladi.</t>
    </r>
  </si>
  <si>
    <r>
      <rPr>
        <b/>
        <sz val="48"/>
        <rFont val="Times New Roman"/>
        <family val="1"/>
        <charset val="204"/>
      </rPr>
      <t xml:space="preserve">2-kurs: </t>
    </r>
    <r>
      <rPr>
        <sz val="48"/>
        <rFont val="Times New Roman"/>
        <family val="1"/>
        <charset val="204"/>
      </rPr>
      <t>3-4 semestrlarda 4+2 tartibdagi amaliyot uchun jami yillik 9 kredit va 4-semestrdagi (o'quv va ilmiy laboratoriya) o'quv malaka amaliyoti uchun 1 kredit taqdim etiladi.</t>
    </r>
  </si>
  <si>
    <t>BJT208</t>
  </si>
  <si>
    <t>Semestrdagi auditoriya haftalarining soni</t>
  </si>
  <si>
    <t>HEMISda kreditni 4dan 2ga tushurish kerak</t>
  </si>
  <si>
    <t>ITT312</t>
  </si>
  <si>
    <t>ITT3312</t>
  </si>
  <si>
    <t>_____________________</t>
  </si>
  <si>
    <t>____________________________________________________________________________</t>
  </si>
  <si>
    <t>1 kredit 30 akademik soatni tashkil etadi</t>
  </si>
  <si>
    <t>1-4 kurs talabalarining yozgi ta'til davrida avvalgi semestrlarda o'zlashtirilmagan fanlari uchun yozgi semestr tashkil qilinishi mumkin. Bunda yozgi ta'tilning birinchi xaftasi ro'yxatga olish xaftaligi, keyingi to'rt xafta yozgi semestr hisobidan akademik davr hisoblanadi.</t>
  </si>
  <si>
    <t>Turan International University kengashining 20__-yil "____" ____________dagi ______ sonli qarori bilan ma'qullangan</t>
  </si>
  <si>
    <t>IT204</t>
  </si>
  <si>
    <t>1,2</t>
  </si>
  <si>
    <t>3-6</t>
  </si>
  <si>
    <t>1-6</t>
  </si>
  <si>
    <t>2,4,6</t>
  </si>
  <si>
    <t>Yakuniy davlat attestatsiyasi (BMI)</t>
  </si>
  <si>
    <t>6</t>
  </si>
  <si>
    <t>1,3,5</t>
  </si>
  <si>
    <t>11</t>
  </si>
  <si>
    <t>Ta’tillar</t>
  </si>
  <si>
    <r>
      <rPr>
        <b/>
        <sz val="48"/>
        <rFont val="Times New Roman"/>
        <family val="1"/>
        <charset val="204"/>
      </rPr>
      <t>3-kurs:</t>
    </r>
    <r>
      <rPr>
        <sz val="48"/>
        <rFont val="Times New Roman"/>
        <family val="1"/>
        <charset val="204"/>
      </rPr>
      <t xml:space="preserve"> 5-6 semestrlarda 4+2 tartibdagi amaliyot uchun jami yillik 14 kredit va 6-semestrdagi (o'quv va ilmiy laboratoriya) o'quv malaka amaliyoti uchun 4 kredit taqdim etiladi.</t>
    </r>
  </si>
  <si>
    <t>KI</t>
  </si>
  <si>
    <t>2,3</t>
  </si>
  <si>
    <t>3,4</t>
  </si>
  <si>
    <t>2,3,4</t>
  </si>
  <si>
    <t>IT304</t>
  </si>
  <si>
    <t>IVTT212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</si>
</sst>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1" x14ac:knownFonts="1">
    <font>
      <sz val="10"/>
      <name val="Arial Cyr"/>
      <charset val="204"/>
    </font>
    <font>
      <sz val="11"/>
      <color theme="1"/>
      <name val="Calibri"/>
      <family val="2"/>
      <charset val="204"/>
      <scheme val="minor"/>
    </font>
    <font>
      <sz val="8"/>
      <name val="Arial Cyr"/>
      <charset val="204"/>
    </font>
    <font>
      <b/>
      <sz val="16"/>
      <name val="Times New Roman"/>
      <family val="1"/>
      <charset val="204"/>
    </font>
    <font>
      <sz val="12"/>
      <name val="Times New Roman"/>
      <family val="1"/>
      <charset val="204"/>
    </font>
    <font>
      <sz val="10"/>
      <name val="Times New Roman"/>
      <family val="1"/>
      <charset val="204"/>
    </font>
    <font>
      <b/>
      <sz val="12"/>
      <name val="Times New Roman"/>
      <family val="1"/>
      <charset val="204"/>
    </font>
    <font>
      <b/>
      <sz val="10"/>
      <name val="Times New Roman"/>
      <family val="1"/>
      <charset val="204"/>
    </font>
    <font>
      <b/>
      <sz val="36"/>
      <name val="Times New Roman"/>
      <family val="1"/>
      <charset val="204"/>
    </font>
    <font>
      <sz val="36"/>
      <name val="Times New Roman"/>
      <family val="1"/>
      <charset val="204"/>
    </font>
    <font>
      <b/>
      <sz val="34"/>
      <name val="Times New Roman"/>
      <family val="1"/>
      <charset val="204"/>
    </font>
    <font>
      <sz val="40"/>
      <name val="Times New Roman"/>
      <family val="1"/>
      <charset val="204"/>
    </font>
    <font>
      <b/>
      <sz val="26"/>
      <name val="Times New Roman"/>
      <family val="1"/>
      <charset val="204"/>
    </font>
    <font>
      <b/>
      <sz val="40"/>
      <name val="Times New Roman"/>
      <family val="1"/>
      <charset val="204"/>
    </font>
    <font>
      <b/>
      <sz val="60"/>
      <name val="Times New Roman"/>
      <family val="1"/>
      <charset val="204"/>
    </font>
    <font>
      <sz val="20"/>
      <name val="Times New Roman"/>
      <family val="1"/>
      <charset val="204"/>
    </font>
    <font>
      <b/>
      <sz val="24"/>
      <name val="Times New Roman"/>
      <family val="1"/>
      <charset val="204"/>
    </font>
    <font>
      <sz val="18"/>
      <name val="Times New Roman"/>
      <family val="1"/>
      <charset val="204"/>
    </font>
    <font>
      <b/>
      <sz val="48"/>
      <name val="Times New Roman"/>
      <family val="1"/>
      <charset val="204"/>
    </font>
    <font>
      <b/>
      <sz val="32"/>
      <name val="Times New Roman"/>
      <family val="1"/>
      <charset val="204"/>
    </font>
    <font>
      <sz val="34"/>
      <name val="Times New Roman"/>
      <family val="1"/>
      <charset val="204"/>
    </font>
    <font>
      <b/>
      <sz val="72"/>
      <name val="Times New Roman"/>
      <family val="1"/>
      <charset val="204"/>
    </font>
    <font>
      <b/>
      <sz val="44"/>
      <name val="Times New Roman"/>
      <family val="1"/>
      <charset val="204"/>
    </font>
    <font>
      <sz val="26"/>
      <name val="Times New Roman"/>
      <family val="1"/>
      <charset val="204"/>
    </font>
    <font>
      <i/>
      <sz val="26"/>
      <name val="Times New Roman"/>
      <family val="1"/>
      <charset val="204"/>
    </font>
    <font>
      <sz val="32"/>
      <name val="Times New Roman"/>
      <family val="1"/>
      <charset val="204"/>
    </font>
    <font>
      <sz val="72"/>
      <name val="Times New Roman"/>
      <family val="1"/>
      <charset val="204"/>
    </font>
    <font>
      <sz val="48"/>
      <name val="Times New Roman"/>
      <family val="1"/>
      <charset val="204"/>
    </font>
    <font>
      <b/>
      <sz val="50"/>
      <name val="Times New Roman"/>
      <family val="1"/>
      <charset val="204"/>
    </font>
    <font>
      <b/>
      <sz val="28"/>
      <name val="Times New Roman"/>
      <family val="1"/>
      <charset val="204"/>
    </font>
    <font>
      <b/>
      <sz val="30"/>
      <name val="Times New Roman"/>
      <family val="1"/>
      <charset val="204"/>
    </font>
    <font>
      <sz val="48"/>
      <name val="Arial Cyr"/>
      <charset val="204"/>
    </font>
    <font>
      <sz val="36"/>
      <color theme="1"/>
      <name val="Times New Roman"/>
      <family val="1"/>
      <charset val="204"/>
    </font>
    <font>
      <b/>
      <sz val="36"/>
      <color theme="1"/>
      <name val="Times New Roman"/>
      <family val="1"/>
      <charset val="204"/>
    </font>
    <font>
      <sz val="48"/>
      <color theme="0"/>
      <name val="Times New Roman"/>
      <family val="1"/>
      <charset val="204"/>
    </font>
    <font>
      <b/>
      <sz val="52"/>
      <color theme="1"/>
      <name val="Times New Roman"/>
      <family val="1"/>
      <charset val="204"/>
    </font>
    <font>
      <b/>
      <sz val="48"/>
      <color theme="1"/>
      <name val="Times New Roman"/>
      <family val="1"/>
      <charset val="204"/>
    </font>
    <font>
      <b/>
      <sz val="70"/>
      <name val="Times New Roman"/>
      <family val="1"/>
      <charset val="204"/>
    </font>
    <font>
      <b/>
      <sz val="47"/>
      <name val="Times New Roman"/>
      <family val="1"/>
      <charset val="204"/>
    </font>
    <font>
      <b/>
      <sz val="54"/>
      <name val="Times New Roman"/>
      <family val="1"/>
      <charset val="204"/>
    </font>
    <font>
      <sz val="52"/>
      <color theme="1"/>
      <name val="Times New Roman"/>
      <family val="1"/>
      <charset val="204"/>
    </font>
    <font>
      <b/>
      <sz val="42"/>
      <name val="Times New Roman"/>
      <family val="1"/>
      <charset val="204"/>
    </font>
    <font>
      <b/>
      <sz val="80"/>
      <name val="Times New Roman"/>
      <family val="1"/>
      <charset val="204"/>
    </font>
    <font>
      <b/>
      <sz val="32"/>
      <color theme="1"/>
      <name val="Times New Roman"/>
      <family val="1"/>
      <charset val="204"/>
    </font>
    <font>
      <b/>
      <sz val="55"/>
      <name val="Times New Roman"/>
      <family val="1"/>
      <charset val="204"/>
    </font>
    <font>
      <i/>
      <sz val="40"/>
      <name val="Times New Roman"/>
      <family val="1"/>
      <charset val="204"/>
    </font>
    <font>
      <i/>
      <sz val="34"/>
      <name val="Times New Roman"/>
      <family val="1"/>
      <charset val="204"/>
    </font>
    <font>
      <b/>
      <sz val="60"/>
      <color theme="1"/>
      <name val="Times New Roman"/>
      <family val="1"/>
      <charset val="204"/>
    </font>
    <font>
      <sz val="60"/>
      <name val="Times New Roman"/>
      <family val="1"/>
      <charset val="204"/>
    </font>
    <font>
      <sz val="44"/>
      <name val="Times New Roman"/>
      <family val="1"/>
      <charset val="204"/>
    </font>
    <font>
      <b/>
      <sz val="45"/>
      <name val="Times New Roman"/>
      <family val="1"/>
      <charset val="204"/>
    </font>
  </fonts>
  <fills count="6">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00"/>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style="thick">
        <color indexed="64"/>
      </left>
      <right/>
      <top/>
      <bottom style="thin">
        <color indexed="64"/>
      </bottom>
      <diagonal/>
    </border>
    <border>
      <left/>
      <right style="thick">
        <color indexed="64"/>
      </right>
      <top/>
      <bottom style="thin">
        <color indexed="64"/>
      </bottom>
      <diagonal/>
    </border>
    <border>
      <left/>
      <right style="thick">
        <color indexed="64"/>
      </right>
      <top style="thin">
        <color indexed="64"/>
      </top>
      <bottom/>
      <diagonal/>
    </border>
    <border>
      <left style="thick">
        <color indexed="64"/>
      </left>
      <right/>
      <top style="thin">
        <color indexed="64"/>
      </top>
      <bottom/>
      <diagonal/>
    </border>
    <border>
      <left style="thin">
        <color indexed="64"/>
      </left>
      <right style="medium">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diagonalUp="1">
      <left style="medium">
        <color indexed="64"/>
      </left>
      <right style="thin">
        <color indexed="64"/>
      </right>
      <top style="medium">
        <color indexed="64"/>
      </top>
      <bottom style="medium">
        <color indexed="64"/>
      </bottom>
      <diagonal style="medium">
        <color indexed="64"/>
      </diagonal>
    </border>
    <border diagonalUp="1">
      <left style="thin">
        <color indexed="64"/>
      </left>
      <right style="thin">
        <color indexed="64"/>
      </right>
      <top style="medium">
        <color indexed="64"/>
      </top>
      <bottom style="medium">
        <color indexed="64"/>
      </bottom>
      <diagonal style="medium">
        <color indexed="64"/>
      </diagonal>
    </border>
    <border diagonalUp="1">
      <left style="thin">
        <color indexed="64"/>
      </left>
      <right style="medium">
        <color indexed="64"/>
      </right>
      <top style="medium">
        <color indexed="64"/>
      </top>
      <bottom style="medium">
        <color indexed="64"/>
      </bottom>
      <diagonal style="medium">
        <color indexed="64"/>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style="thin">
        <color indexed="64"/>
      </right>
      <top/>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ck">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1" fillId="0" borderId="0"/>
    <xf numFmtId="0" fontId="1" fillId="0" borderId="0"/>
  </cellStyleXfs>
  <cellXfs count="782">
    <xf numFmtId="0" fontId="0" fillId="0" borderId="0" xfId="0"/>
    <xf numFmtId="0" fontId="9" fillId="2" borderId="0" xfId="0" applyFont="1" applyFill="1"/>
    <xf numFmtId="0" fontId="6" fillId="2" borderId="0" xfId="0" applyFont="1" applyFill="1"/>
    <xf numFmtId="0" fontId="4" fillId="2" borderId="0" xfId="0" applyFont="1" applyFill="1"/>
    <xf numFmtId="0" fontId="9" fillId="2" borderId="0" xfId="0" applyFont="1" applyFill="1" applyAlignment="1">
      <alignment horizontal="center" vertical="center"/>
    </xf>
    <xf numFmtId="0" fontId="5" fillId="2" borderId="0" xfId="0" applyFont="1" applyFill="1" applyAlignment="1">
      <alignment horizontal="center"/>
    </xf>
    <xf numFmtId="49" fontId="4" fillId="2" borderId="0" xfId="0" applyNumberFormat="1" applyFont="1" applyFill="1"/>
    <xf numFmtId="0" fontId="8" fillId="2" borderId="0" xfId="0" applyFont="1" applyFill="1" applyAlignment="1">
      <alignment horizontal="center" vertical="center"/>
    </xf>
    <xf numFmtId="0" fontId="5" fillId="2" borderId="0" xfId="0" applyFont="1" applyFill="1"/>
    <xf numFmtId="0" fontId="7" fillId="2" borderId="0" xfId="0" applyFont="1" applyFill="1"/>
    <xf numFmtId="1" fontId="4" fillId="2" borderId="0" xfId="0" applyNumberFormat="1" applyFont="1" applyFill="1"/>
    <xf numFmtId="2" fontId="6" fillId="2" borderId="0" xfId="0" applyNumberFormat="1" applyFont="1" applyFill="1"/>
    <xf numFmtId="49" fontId="8" fillId="2" borderId="0" xfId="0" applyNumberFormat="1" applyFont="1" applyFill="1" applyBorder="1" applyAlignment="1">
      <alignment vertical="center"/>
    </xf>
    <xf numFmtId="0" fontId="7" fillId="2" borderId="0" xfId="0" applyFont="1" applyFill="1" applyAlignment="1"/>
    <xf numFmtId="49" fontId="15" fillId="2" borderId="0" xfId="0" applyNumberFormat="1" applyFont="1" applyFill="1" applyBorder="1" applyAlignment="1"/>
    <xf numFmtId="49" fontId="15" fillId="2" borderId="0" xfId="0" applyNumberFormat="1" applyFont="1" applyFill="1" applyBorder="1" applyAlignment="1">
      <alignment horizontal="center" vertical="center"/>
    </xf>
    <xf numFmtId="49" fontId="17" fillId="2" borderId="0" xfId="0" applyNumberFormat="1" applyFont="1" applyFill="1" applyBorder="1" applyAlignment="1">
      <alignment horizontal="center" vertical="center"/>
    </xf>
    <xf numFmtId="0" fontId="8" fillId="2" borderId="0" xfId="0" applyFont="1" applyFill="1" applyBorder="1" applyAlignment="1">
      <alignment vertical="center" wrapText="1"/>
    </xf>
    <xf numFmtId="49" fontId="8" fillId="2" borderId="0" xfId="0" applyNumberFormat="1" applyFont="1" applyFill="1" applyBorder="1" applyAlignment="1">
      <alignment horizontal="center" vertical="center"/>
    </xf>
    <xf numFmtId="0" fontId="7" fillId="2" borderId="0" xfId="0" applyFont="1" applyFill="1" applyAlignment="1">
      <alignment horizontal="center"/>
    </xf>
    <xf numFmtId="49" fontId="4" fillId="2" borderId="0" xfId="0" applyNumberFormat="1" applyFont="1" applyFill="1" applyBorder="1" applyAlignment="1">
      <alignment horizontal="center" vertical="center" wrapText="1"/>
    </xf>
    <xf numFmtId="49" fontId="5" fillId="2" borderId="0" xfId="0" applyNumberFormat="1" applyFont="1" applyFill="1" applyBorder="1" applyAlignment="1">
      <alignment horizontal="center"/>
    </xf>
    <xf numFmtId="49" fontId="4" fillId="2" borderId="0" xfId="0" applyNumberFormat="1" applyFont="1" applyFill="1" applyBorder="1" applyAlignment="1">
      <alignment horizontal="center" vertical="center"/>
    </xf>
    <xf numFmtId="1" fontId="4" fillId="2" borderId="0" xfId="0" applyNumberFormat="1" applyFont="1" applyFill="1" applyBorder="1" applyAlignment="1">
      <alignment horizontal="center" vertical="center" wrapText="1"/>
    </xf>
    <xf numFmtId="2" fontId="6" fillId="2" borderId="0" xfId="0" applyNumberFormat="1" applyFont="1" applyFill="1" applyBorder="1" applyAlignment="1">
      <alignment horizontal="center" vertical="center" wrapText="1"/>
    </xf>
    <xf numFmtId="2" fontId="10" fillId="2" borderId="0" xfId="0" applyNumberFormat="1" applyFont="1" applyFill="1" applyBorder="1" applyAlignment="1">
      <alignment horizontal="center" vertical="center"/>
    </xf>
    <xf numFmtId="0" fontId="4" fillId="2" borderId="0" xfId="0" applyFont="1" applyFill="1" applyBorder="1" applyAlignment="1">
      <alignment horizontal="center" vertical="center"/>
    </xf>
    <xf numFmtId="0" fontId="4" fillId="2" borderId="0"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5" fillId="2" borderId="0" xfId="0" applyFont="1" applyFill="1" applyBorder="1" applyAlignment="1">
      <alignment horizontal="center"/>
    </xf>
    <xf numFmtId="1" fontId="4" fillId="2" borderId="0" xfId="0" applyNumberFormat="1" applyFont="1" applyFill="1" applyBorder="1" applyAlignment="1">
      <alignment horizontal="center" vertical="center"/>
    </xf>
    <xf numFmtId="0" fontId="4" fillId="2" borderId="0" xfId="0" applyFont="1" applyFill="1" applyBorder="1" applyAlignment="1">
      <alignment horizontal="center"/>
    </xf>
    <xf numFmtId="0" fontId="12" fillId="2" borderId="0" xfId="0" applyFont="1" applyFill="1" applyAlignment="1">
      <alignment horizontal="center"/>
    </xf>
    <xf numFmtId="0" fontId="12" fillId="2" borderId="0" xfId="0" applyFont="1" applyFill="1"/>
    <xf numFmtId="0" fontId="8" fillId="2" borderId="0" xfId="0" applyFont="1" applyFill="1" applyAlignment="1">
      <alignment horizontal="center" vertical="center" wrapText="1"/>
    </xf>
    <xf numFmtId="0" fontId="19" fillId="2" borderId="0" xfId="0" applyFont="1" applyFill="1" applyAlignment="1">
      <alignment horizontal="center" vertical="center" wrapText="1"/>
    </xf>
    <xf numFmtId="0" fontId="23" fillId="2" borderId="0" xfId="0" applyFont="1" applyFill="1" applyAlignment="1">
      <alignment horizontal="center" vertical="center" wrapText="1"/>
    </xf>
    <xf numFmtId="0" fontId="24" fillId="2" borderId="0" xfId="0" applyFont="1" applyFill="1" applyAlignment="1">
      <alignment horizontal="center" vertical="center" wrapText="1"/>
    </xf>
    <xf numFmtId="0" fontId="12" fillId="2" borderId="0" xfId="0" applyFont="1" applyFill="1" applyAlignment="1">
      <alignment horizontal="center" vertical="center" wrapText="1"/>
    </xf>
    <xf numFmtId="0" fontId="23" fillId="2" borderId="0" xfId="0" applyFont="1" applyFill="1"/>
    <xf numFmtId="0" fontId="23" fillId="2" borderId="1" xfId="0" applyFont="1" applyFill="1" applyBorder="1" applyAlignment="1">
      <alignment horizontal="left" vertical="center" wrapText="1"/>
    </xf>
    <xf numFmtId="0" fontId="7" fillId="2" borderId="0" xfId="0" applyFont="1" applyFill="1" applyBorder="1" applyAlignment="1"/>
    <xf numFmtId="0" fontId="21" fillId="2" borderId="0" xfId="0" applyFont="1" applyFill="1" applyBorder="1" applyAlignment="1"/>
    <xf numFmtId="0" fontId="26" fillId="2" borderId="0" xfId="0" applyFont="1" applyFill="1" applyBorder="1" applyAlignment="1"/>
    <xf numFmtId="49" fontId="26" fillId="2" borderId="0" xfId="0" applyNumberFormat="1" applyFont="1" applyFill="1" applyBorder="1"/>
    <xf numFmtId="0" fontId="21" fillId="2" borderId="0" xfId="0" applyFont="1" applyFill="1" applyBorder="1" applyAlignment="1">
      <alignment vertical="center" wrapText="1"/>
    </xf>
    <xf numFmtId="0" fontId="21" fillId="2" borderId="0" xfId="0" applyFont="1" applyFill="1" applyBorder="1" applyAlignment="1">
      <alignment vertical="center"/>
    </xf>
    <xf numFmtId="0" fontId="26" fillId="2" borderId="0" xfId="0" applyFont="1" applyFill="1" applyBorder="1"/>
    <xf numFmtId="49" fontId="21" fillId="2" borderId="0" xfId="0" applyNumberFormat="1" applyFont="1" applyFill="1" applyBorder="1" applyAlignment="1">
      <alignment vertical="center"/>
    </xf>
    <xf numFmtId="49" fontId="14" fillId="2" borderId="0" xfId="0" applyNumberFormat="1" applyFont="1" applyFill="1" applyBorder="1" applyAlignment="1">
      <alignment vertical="center"/>
    </xf>
    <xf numFmtId="0" fontId="18" fillId="2" borderId="0" xfId="0" applyFont="1" applyFill="1" applyBorder="1" applyAlignment="1">
      <alignment vertical="center"/>
    </xf>
    <xf numFmtId="0" fontId="14" fillId="2" borderId="0" xfId="0" applyFont="1" applyFill="1" applyBorder="1" applyAlignment="1">
      <alignment vertical="center" wrapText="1"/>
    </xf>
    <xf numFmtId="49" fontId="14" fillId="2" borderId="0" xfId="0" applyNumberFormat="1" applyFont="1" applyFill="1" applyBorder="1" applyAlignment="1">
      <alignment vertical="center" wrapText="1"/>
    </xf>
    <xf numFmtId="49" fontId="21" fillId="2" borderId="0" xfId="0" applyNumberFormat="1" applyFont="1" applyFill="1" applyBorder="1" applyAlignment="1">
      <alignment vertical="center" wrapText="1"/>
    </xf>
    <xf numFmtId="49" fontId="21" fillId="2" borderId="0" xfId="0" applyNumberFormat="1" applyFont="1" applyFill="1" applyBorder="1" applyAlignment="1">
      <alignment horizontal="left" wrapText="1"/>
    </xf>
    <xf numFmtId="49" fontId="26" fillId="2" borderId="0" xfId="0" applyNumberFormat="1" applyFont="1" applyFill="1" applyBorder="1" applyAlignment="1">
      <alignment horizontal="left" vertical="center"/>
    </xf>
    <xf numFmtId="0" fontId="26" fillId="2" borderId="0" xfId="0" applyFont="1" applyFill="1" applyBorder="1" applyAlignment="1">
      <alignment horizontal="left"/>
    </xf>
    <xf numFmtId="49" fontId="21" fillId="2" borderId="0" xfId="0" applyNumberFormat="1" applyFont="1" applyFill="1" applyBorder="1" applyAlignment="1">
      <alignment horizontal="center" vertical="center" wrapText="1"/>
    </xf>
    <xf numFmtId="49" fontId="18" fillId="2" borderId="0" xfId="0" applyNumberFormat="1" applyFont="1" applyFill="1" applyBorder="1" applyAlignment="1">
      <alignment vertical="center" wrapText="1"/>
    </xf>
    <xf numFmtId="0" fontId="27" fillId="2" borderId="0" xfId="0" applyFont="1" applyFill="1" applyBorder="1" applyAlignment="1">
      <alignment horizontal="left"/>
    </xf>
    <xf numFmtId="0" fontId="18" fillId="2" borderId="0" xfId="0" applyFont="1" applyFill="1" applyBorder="1" applyAlignment="1">
      <alignment horizontal="left" vertical="center"/>
    </xf>
    <xf numFmtId="49" fontId="18" fillId="2" borderId="0" xfId="0" applyNumberFormat="1" applyFont="1" applyFill="1" applyBorder="1" applyAlignment="1">
      <alignment horizontal="left" wrapText="1"/>
    </xf>
    <xf numFmtId="0" fontId="5" fillId="2" borderId="0" xfId="0" applyFont="1" applyFill="1" applyAlignment="1"/>
    <xf numFmtId="49" fontId="8" fillId="2" borderId="0" xfId="0" applyNumberFormat="1" applyFont="1" applyFill="1" applyBorder="1" applyAlignment="1">
      <alignment horizontal="justify" vertical="center"/>
    </xf>
    <xf numFmtId="0" fontId="8" fillId="2" borderId="0" xfId="0" applyFont="1" applyFill="1" applyBorder="1" applyAlignment="1">
      <alignment vertical="center"/>
    </xf>
    <xf numFmtId="0" fontId="12" fillId="2" borderId="0" xfId="0" applyFont="1" applyFill="1" applyAlignment="1"/>
    <xf numFmtId="0" fontId="19" fillId="2" borderId="0" xfId="0" applyFont="1" applyFill="1" applyAlignment="1">
      <alignment horizontal="center" vertical="center"/>
    </xf>
    <xf numFmtId="0" fontId="23" fillId="2" borderId="0" xfId="0" applyFont="1" applyFill="1" applyAlignment="1">
      <alignment horizontal="center" vertical="center"/>
    </xf>
    <xf numFmtId="0" fontId="24" fillId="2" borderId="0" xfId="0" applyFont="1" applyFill="1" applyAlignment="1">
      <alignment horizontal="center" vertical="center"/>
    </xf>
    <xf numFmtId="0" fontId="9" fillId="2" borderId="0" xfId="0" applyFont="1" applyFill="1" applyAlignment="1"/>
    <xf numFmtId="1" fontId="9" fillId="2" borderId="0" xfId="0" applyNumberFormat="1" applyFont="1" applyFill="1" applyAlignment="1"/>
    <xf numFmtId="0" fontId="4" fillId="2" borderId="0" xfId="0" applyFont="1" applyFill="1" applyAlignment="1"/>
    <xf numFmtId="49" fontId="9" fillId="2" borderId="0" xfId="0" applyNumberFormat="1" applyFont="1" applyFill="1" applyAlignment="1"/>
    <xf numFmtId="0" fontId="12" fillId="2" borderId="0" xfId="0" applyFont="1" applyFill="1" applyAlignment="1">
      <alignment horizontal="center" vertical="center"/>
    </xf>
    <xf numFmtId="1" fontId="10" fillId="2" borderId="0" xfId="0" applyNumberFormat="1" applyFont="1" applyFill="1" applyBorder="1" applyAlignment="1">
      <alignment horizontal="center" vertical="center"/>
    </xf>
    <xf numFmtId="0" fontId="10" fillId="2" borderId="0" xfId="0" applyFont="1" applyFill="1" applyBorder="1" applyAlignment="1">
      <alignment horizontal="center" vertical="center"/>
    </xf>
    <xf numFmtId="0" fontId="31" fillId="0" borderId="0" xfId="0" applyFont="1"/>
    <xf numFmtId="0" fontId="18" fillId="2" borderId="1"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8" fillId="3" borderId="1" xfId="0" applyFont="1" applyFill="1" applyBorder="1" applyAlignment="1">
      <alignment horizontal="center" vertical="center" wrapText="1"/>
    </xf>
    <xf numFmtId="49" fontId="18" fillId="2" borderId="1" xfId="0" applyNumberFormat="1" applyFont="1" applyFill="1" applyBorder="1" applyAlignment="1">
      <alignment horizontal="center" vertical="center" wrapText="1"/>
    </xf>
    <xf numFmtId="49" fontId="18" fillId="3" borderId="1" xfId="0" applyNumberFormat="1" applyFont="1" applyFill="1" applyBorder="1" applyAlignment="1">
      <alignment horizontal="center" vertical="center" wrapText="1"/>
    </xf>
    <xf numFmtId="0" fontId="18" fillId="3" borderId="1" xfId="0" applyFont="1" applyFill="1" applyBorder="1" applyAlignment="1">
      <alignment horizontal="left" vertical="center" wrapText="1"/>
    </xf>
    <xf numFmtId="0" fontId="27" fillId="2" borderId="1" xfId="0" applyFont="1" applyFill="1" applyBorder="1" applyAlignment="1">
      <alignment horizontal="left" vertical="center" wrapText="1"/>
    </xf>
    <xf numFmtId="49" fontId="18" fillId="4" borderId="1" xfId="0" applyNumberFormat="1" applyFont="1" applyFill="1" applyBorder="1" applyAlignment="1">
      <alignment horizontal="center" vertical="center" wrapText="1"/>
    </xf>
    <xf numFmtId="0" fontId="18" fillId="4" borderId="1" xfId="0" applyFont="1" applyFill="1" applyBorder="1" applyAlignment="1">
      <alignment horizontal="left" vertical="center" wrapText="1"/>
    </xf>
    <xf numFmtId="0" fontId="9" fillId="2" borderId="1" xfId="0" applyNumberFormat="1" applyFont="1" applyFill="1" applyBorder="1" applyAlignment="1">
      <alignment horizontal="left" vertical="center" wrapText="1"/>
    </xf>
    <xf numFmtId="1" fontId="31" fillId="0" borderId="0" xfId="0" applyNumberFormat="1" applyFont="1"/>
    <xf numFmtId="0" fontId="8" fillId="2" borderId="0" xfId="0" applyFont="1" applyFill="1" applyBorder="1" applyAlignment="1">
      <alignment horizontal="center" vertical="center"/>
    </xf>
    <xf numFmtId="1" fontId="8" fillId="2" borderId="0" xfId="0" applyNumberFormat="1" applyFont="1" applyFill="1" applyBorder="1" applyAlignment="1">
      <alignment horizontal="center" vertical="center"/>
    </xf>
    <xf numFmtId="0" fontId="12" fillId="3" borderId="1" xfId="0" applyFont="1" applyFill="1" applyBorder="1" applyAlignment="1">
      <alignment horizontal="left" vertical="center" wrapText="1"/>
    </xf>
    <xf numFmtId="0" fontId="32" fillId="2" borderId="0" xfId="1" applyFont="1" applyFill="1" applyAlignment="1">
      <alignment horizontal="center" vertical="center"/>
    </xf>
    <xf numFmtId="0" fontId="32" fillId="2" borderId="0" xfId="1" applyFont="1" applyFill="1" applyAlignment="1">
      <alignment horizontal="left" vertical="center"/>
    </xf>
    <xf numFmtId="0" fontId="33" fillId="2" borderId="0" xfId="1" applyFont="1" applyFill="1" applyAlignment="1">
      <alignment horizontal="left" vertical="center"/>
    </xf>
    <xf numFmtId="0" fontId="33" fillId="2" borderId="0" xfId="1" applyFont="1" applyFill="1" applyAlignment="1">
      <alignment horizontal="center" vertical="center"/>
    </xf>
    <xf numFmtId="0" fontId="33" fillId="2" borderId="0" xfId="1" applyFont="1" applyFill="1" applyAlignment="1">
      <alignment horizontal="left" vertical="center"/>
    </xf>
    <xf numFmtId="49" fontId="19" fillId="2" borderId="0" xfId="0" applyNumberFormat="1" applyFont="1" applyFill="1" applyBorder="1" applyAlignment="1">
      <alignment horizontal="center" vertical="center" wrapText="1"/>
    </xf>
    <xf numFmtId="0" fontId="12" fillId="2" borderId="0" xfId="0" applyFont="1" applyFill="1" applyBorder="1" applyAlignment="1">
      <alignment horizontal="left" vertical="center" wrapText="1"/>
    </xf>
    <xf numFmtId="49" fontId="10" fillId="2" borderId="0" xfId="0" applyNumberFormat="1" applyFont="1" applyFill="1" applyBorder="1" applyAlignment="1">
      <alignment horizontal="right" vertical="center" wrapText="1"/>
    </xf>
    <xf numFmtId="164" fontId="19" fillId="2" borderId="0" xfId="0" applyNumberFormat="1" applyFont="1" applyFill="1" applyBorder="1" applyAlignment="1">
      <alignment horizontal="center" vertical="center" wrapText="1"/>
    </xf>
    <xf numFmtId="0" fontId="10" fillId="2" borderId="0" xfId="0" applyNumberFormat="1" applyFont="1" applyFill="1" applyBorder="1" applyAlignment="1">
      <alignment horizontal="center" vertical="center"/>
    </xf>
    <xf numFmtId="0" fontId="10" fillId="2" borderId="0" xfId="0" applyFont="1" applyFill="1" applyBorder="1" applyAlignment="1">
      <alignment horizontal="center" vertical="center" wrapText="1"/>
    </xf>
    <xf numFmtId="0" fontId="9" fillId="2" borderId="0" xfId="0" applyFont="1" applyFill="1" applyBorder="1" applyAlignment="1">
      <alignment vertical="center"/>
    </xf>
    <xf numFmtId="1" fontId="8" fillId="2" borderId="0" xfId="0" applyNumberFormat="1" applyFont="1" applyFill="1" applyAlignment="1"/>
    <xf numFmtId="0" fontId="8" fillId="2" borderId="0" xfId="0" applyFont="1" applyFill="1" applyBorder="1" applyAlignment="1">
      <alignment horizontal="center" vertical="center"/>
    </xf>
    <xf numFmtId="1" fontId="8" fillId="2" borderId="0" xfId="0" applyNumberFormat="1" applyFont="1" applyFill="1" applyBorder="1" applyAlignment="1">
      <alignment horizontal="center" vertical="center"/>
    </xf>
    <xf numFmtId="0" fontId="33" fillId="2" borderId="0" xfId="1" applyFont="1" applyFill="1" applyAlignment="1">
      <alignment horizontal="left" vertical="center"/>
    </xf>
    <xf numFmtId="0" fontId="18" fillId="2" borderId="1"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27" fillId="2" borderId="1" xfId="0" applyFont="1" applyFill="1" applyBorder="1" applyAlignment="1">
      <alignment horizontal="left" vertical="center" wrapText="1"/>
    </xf>
    <xf numFmtId="0" fontId="18" fillId="3" borderId="1" xfId="0" applyFont="1" applyFill="1" applyBorder="1" applyAlignment="1">
      <alignment horizontal="center" vertical="center" wrapText="1"/>
    </xf>
    <xf numFmtId="49" fontId="18" fillId="3" borderId="1" xfId="0" applyNumberFormat="1" applyFont="1" applyFill="1" applyBorder="1" applyAlignment="1">
      <alignment horizontal="center" vertical="center" wrapText="1"/>
    </xf>
    <xf numFmtId="0" fontId="23" fillId="0" borderId="0" xfId="0" applyFont="1" applyFill="1" applyAlignment="1">
      <alignment horizontal="center" vertical="center" wrapText="1"/>
    </xf>
    <xf numFmtId="0" fontId="12" fillId="0" borderId="0" xfId="0" applyFont="1" applyFill="1" applyAlignment="1">
      <alignment horizontal="center" vertical="center" wrapText="1"/>
    </xf>
    <xf numFmtId="49" fontId="18" fillId="0" borderId="1" xfId="0" applyNumberFormat="1" applyFont="1" applyFill="1" applyBorder="1" applyAlignment="1">
      <alignment horizontal="center" vertical="center" wrapText="1"/>
    </xf>
    <xf numFmtId="0" fontId="9" fillId="0" borderId="1" xfId="0" applyNumberFormat="1" applyFont="1" applyFill="1" applyBorder="1" applyAlignment="1">
      <alignment horizontal="left" vertical="center" wrapText="1"/>
    </xf>
    <xf numFmtId="0" fontId="31" fillId="0" borderId="0" xfId="0" applyFont="1" applyFill="1"/>
    <xf numFmtId="1" fontId="31" fillId="0" borderId="0" xfId="0" applyNumberFormat="1" applyFont="1" applyFill="1"/>
    <xf numFmtId="0" fontId="27" fillId="2" borderId="0" xfId="0" applyFont="1" applyFill="1" applyBorder="1" applyAlignment="1">
      <alignment vertical="center"/>
    </xf>
    <xf numFmtId="0" fontId="36" fillId="2" borderId="0" xfId="1" applyFont="1" applyFill="1" applyAlignment="1">
      <alignment horizontal="left" vertical="center"/>
    </xf>
    <xf numFmtId="0" fontId="36" fillId="2" borderId="0" xfId="1" applyFont="1" applyFill="1" applyAlignment="1">
      <alignment vertical="center"/>
    </xf>
    <xf numFmtId="49" fontId="27" fillId="2" borderId="0" xfId="0" applyNumberFormat="1" applyFont="1" applyFill="1"/>
    <xf numFmtId="1" fontId="27" fillId="2" borderId="0" xfId="0" applyNumberFormat="1" applyFont="1" applyFill="1"/>
    <xf numFmtId="0" fontId="24" fillId="0" borderId="0" xfId="0" applyFont="1" applyFill="1" applyAlignment="1">
      <alignment horizontal="center" vertical="center" wrapText="1"/>
    </xf>
    <xf numFmtId="0" fontId="10" fillId="2" borderId="1" xfId="0" applyFont="1" applyFill="1" applyBorder="1" applyAlignment="1">
      <alignment horizontal="center" vertical="center"/>
    </xf>
    <xf numFmtId="0" fontId="9" fillId="2" borderId="0" xfId="0" applyFont="1" applyFill="1" applyBorder="1" applyAlignment="1">
      <alignment horizontal="center" vertical="center"/>
    </xf>
    <xf numFmtId="49" fontId="11" fillId="2" borderId="1" xfId="0" applyNumberFormat="1" applyFont="1" applyFill="1" applyBorder="1" applyAlignment="1">
      <alignment horizontal="left" vertical="center" wrapText="1"/>
    </xf>
    <xf numFmtId="0" fontId="35" fillId="2" borderId="0" xfId="1" applyFont="1" applyFill="1" applyAlignment="1">
      <alignment horizontal="left" vertical="center"/>
    </xf>
    <xf numFmtId="0" fontId="10" fillId="2" borderId="25" xfId="0" applyFont="1" applyFill="1" applyBorder="1" applyAlignment="1">
      <alignment horizontal="center" vertical="center"/>
    </xf>
    <xf numFmtId="0" fontId="27" fillId="2" borderId="0" xfId="0" applyFont="1" applyFill="1" applyBorder="1" applyAlignment="1">
      <alignment vertical="center" wrapText="1"/>
    </xf>
    <xf numFmtId="0" fontId="40" fillId="2" borderId="0" xfId="1" applyFont="1" applyFill="1" applyAlignment="1">
      <alignment horizontal="center" vertical="center"/>
    </xf>
    <xf numFmtId="0" fontId="19" fillId="2" borderId="0" xfId="0" applyFont="1" applyFill="1" applyBorder="1" applyAlignment="1">
      <alignment vertical="center" textRotation="90" wrapText="1"/>
    </xf>
    <xf numFmtId="0" fontId="19" fillId="2" borderId="0" xfId="0" applyFont="1" applyFill="1" applyBorder="1" applyAlignment="1">
      <alignment vertical="center" textRotation="90"/>
    </xf>
    <xf numFmtId="0" fontId="29" fillId="2" borderId="0" xfId="0" applyFont="1" applyFill="1" applyBorder="1" applyAlignment="1">
      <alignment vertical="center" textRotation="90" wrapText="1"/>
    </xf>
    <xf numFmtId="0" fontId="12" fillId="2" borderId="0" xfId="0" applyFont="1" applyFill="1" applyBorder="1" applyAlignment="1">
      <alignment vertical="center" textRotation="90" wrapText="1"/>
    </xf>
    <xf numFmtId="49" fontId="8" fillId="2" borderId="0" xfId="0" applyNumberFormat="1" applyFont="1" applyFill="1" applyBorder="1" applyAlignment="1">
      <alignment vertical="center" wrapText="1"/>
    </xf>
    <xf numFmtId="0" fontId="28" fillId="2" borderId="0" xfId="0" applyFont="1" applyFill="1" applyBorder="1" applyAlignment="1">
      <alignment vertical="center"/>
    </xf>
    <xf numFmtId="0" fontId="19" fillId="2" borderId="0" xfId="0" applyFont="1" applyFill="1" applyBorder="1" applyAlignment="1">
      <alignment vertical="center"/>
    </xf>
    <xf numFmtId="0" fontId="10" fillId="2" borderId="0" xfId="0" applyFont="1" applyFill="1" applyBorder="1" applyAlignment="1">
      <alignment vertical="center"/>
    </xf>
    <xf numFmtId="0" fontId="20"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xf numFmtId="0" fontId="15" fillId="2" borderId="0" xfId="0" applyFont="1" applyFill="1" applyBorder="1"/>
    <xf numFmtId="49" fontId="16" fillId="2" borderId="0" xfId="0" applyNumberFormat="1" applyFont="1" applyFill="1" applyBorder="1" applyAlignment="1">
      <alignment vertical="center" wrapText="1"/>
    </xf>
    <xf numFmtId="49" fontId="16" fillId="2" borderId="0" xfId="0" applyNumberFormat="1" applyFont="1" applyFill="1" applyBorder="1" applyAlignment="1">
      <alignment horizontal="center" vertical="center" wrapText="1"/>
    </xf>
    <xf numFmtId="49" fontId="19" fillId="2" borderId="16" xfId="0" applyNumberFormat="1" applyFont="1" applyFill="1" applyBorder="1" applyAlignment="1">
      <alignment horizontal="center" vertical="center" wrapText="1"/>
    </xf>
    <xf numFmtId="49" fontId="19" fillId="3" borderId="16" xfId="0" applyNumberFormat="1" applyFont="1" applyFill="1" applyBorder="1" applyAlignment="1">
      <alignment horizontal="center" vertical="center" wrapText="1"/>
    </xf>
    <xf numFmtId="49" fontId="19" fillId="4" borderId="42" xfId="0" applyNumberFormat="1" applyFont="1" applyFill="1" applyBorder="1" applyAlignment="1">
      <alignment horizontal="center" vertical="center" wrapText="1"/>
    </xf>
    <xf numFmtId="0" fontId="12" fillId="4" borderId="43" xfId="0" applyFont="1" applyFill="1" applyBorder="1" applyAlignment="1">
      <alignment horizontal="left" vertical="center" wrapText="1"/>
    </xf>
    <xf numFmtId="0" fontId="11" fillId="2" borderId="1" xfId="0" applyFont="1" applyFill="1" applyBorder="1" applyAlignment="1">
      <alignment vertical="center"/>
    </xf>
    <xf numFmtId="0" fontId="11" fillId="0" borderId="1" xfId="0" applyFont="1" applyFill="1" applyBorder="1" applyAlignment="1">
      <alignment vertical="center"/>
    </xf>
    <xf numFmtId="0" fontId="13" fillId="3" borderId="1"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9" fillId="2" borderId="0" xfId="0" applyFont="1" applyFill="1" applyBorder="1" applyAlignment="1">
      <alignment horizontal="center" vertical="center"/>
    </xf>
    <xf numFmtId="0" fontId="18" fillId="2" borderId="0" xfId="0" applyFont="1" applyFill="1" applyBorder="1" applyAlignment="1">
      <alignment vertical="center" wrapText="1"/>
    </xf>
    <xf numFmtId="0" fontId="43" fillId="2" borderId="1" xfId="2" applyFont="1" applyFill="1" applyBorder="1" applyAlignment="1">
      <alignment horizontal="center" vertical="center"/>
    </xf>
    <xf numFmtId="0" fontId="10" fillId="2" borderId="0" xfId="0" applyFont="1" applyFill="1" applyBorder="1" applyAlignment="1">
      <alignment vertical="center" textRotation="90"/>
    </xf>
    <xf numFmtId="0" fontId="30" fillId="2" borderId="0" xfId="0" applyFont="1" applyFill="1" applyBorder="1" applyAlignment="1">
      <alignment vertical="center" textRotation="90" wrapText="1"/>
    </xf>
    <xf numFmtId="0" fontId="19" fillId="2" borderId="0" xfId="0" applyFont="1" applyFill="1" applyBorder="1" applyAlignment="1">
      <alignment vertical="center" wrapText="1"/>
    </xf>
    <xf numFmtId="0" fontId="10" fillId="2" borderId="0" xfId="0" applyFont="1" applyFill="1" applyBorder="1" applyAlignment="1">
      <alignment vertical="center" wrapText="1"/>
    </xf>
    <xf numFmtId="0" fontId="30" fillId="2" borderId="0" xfId="0" applyFont="1" applyFill="1" applyBorder="1" applyAlignment="1">
      <alignment vertical="center"/>
    </xf>
    <xf numFmtId="0" fontId="20" fillId="2" borderId="0" xfId="0" applyFont="1" applyFill="1" applyBorder="1" applyAlignment="1">
      <alignment horizontal="center" vertical="center"/>
    </xf>
    <xf numFmtId="49" fontId="4" fillId="2" borderId="0" xfId="0" applyNumberFormat="1" applyFont="1" applyFill="1" applyBorder="1"/>
    <xf numFmtId="0" fontId="10" fillId="2" borderId="1" xfId="0" applyFont="1" applyFill="1" applyBorder="1" applyAlignment="1">
      <alignment horizontal="center" vertical="center"/>
    </xf>
    <xf numFmtId="0" fontId="9" fillId="2" borderId="0" xfId="0" applyFont="1" applyFill="1" applyBorder="1" applyAlignment="1">
      <alignment horizontal="center" vertical="center"/>
    </xf>
    <xf numFmtId="0" fontId="8" fillId="2" borderId="0" xfId="0" applyFont="1" applyFill="1" applyBorder="1" applyAlignment="1">
      <alignment horizontal="center" vertical="center" wrapText="1"/>
    </xf>
    <xf numFmtId="49" fontId="25" fillId="0" borderId="1" xfId="0" applyNumberFormat="1" applyFont="1" applyFill="1" applyBorder="1" applyAlignment="1">
      <alignment horizontal="left" vertical="center" wrapText="1"/>
    </xf>
    <xf numFmtId="0" fontId="10" fillId="2" borderId="1" xfId="0" applyFont="1" applyFill="1" applyBorder="1" applyAlignment="1">
      <alignment horizontal="center" vertical="center"/>
    </xf>
    <xf numFmtId="0" fontId="12" fillId="0" borderId="0" xfId="0" applyFont="1" applyFill="1" applyAlignment="1">
      <alignment vertical="center" wrapText="1"/>
    </xf>
    <xf numFmtId="0" fontId="12" fillId="0" borderId="0" xfId="0" applyFont="1" applyFill="1" applyBorder="1" applyAlignment="1">
      <alignment vertical="center"/>
    </xf>
    <xf numFmtId="0" fontId="11" fillId="2" borderId="53" xfId="0" applyFont="1" applyFill="1" applyBorder="1" applyAlignment="1">
      <alignment horizontal="center" vertical="center" wrapText="1"/>
    </xf>
    <xf numFmtId="0" fontId="11" fillId="2" borderId="0" xfId="0" applyFont="1" applyFill="1" applyBorder="1" applyAlignment="1">
      <alignment horizontal="center" vertical="center" wrapText="1"/>
    </xf>
    <xf numFmtId="0" fontId="11" fillId="2" borderId="54" xfId="0" applyFont="1" applyFill="1" applyBorder="1" applyAlignment="1">
      <alignment horizontal="center" vertical="center" wrapText="1"/>
    </xf>
    <xf numFmtId="0" fontId="45" fillId="2" borderId="53" xfId="0" applyFont="1" applyFill="1" applyBorder="1" applyAlignment="1">
      <alignment horizontal="center" vertical="center" wrapText="1"/>
    </xf>
    <xf numFmtId="0" fontId="45" fillId="2" borderId="0" xfId="0" applyFont="1" applyFill="1" applyBorder="1" applyAlignment="1">
      <alignment horizontal="center" vertical="center" wrapText="1"/>
    </xf>
    <xf numFmtId="0" fontId="45" fillId="2" borderId="54" xfId="0" applyFont="1" applyFill="1" applyBorder="1" applyAlignment="1">
      <alignment horizontal="center" vertical="center" wrapText="1"/>
    </xf>
    <xf numFmtId="0" fontId="11" fillId="0" borderId="53"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11" fillId="0" borderId="54" xfId="0" applyFont="1" applyFill="1" applyBorder="1" applyAlignment="1">
      <alignment horizontal="center" vertical="center" wrapText="1"/>
    </xf>
    <xf numFmtId="0" fontId="45" fillId="0" borderId="53" xfId="0" applyFont="1" applyFill="1" applyBorder="1" applyAlignment="1">
      <alignment horizontal="center" vertical="center" wrapText="1"/>
    </xf>
    <xf numFmtId="0" fontId="45" fillId="0" borderId="0" xfId="0" applyFont="1" applyFill="1" applyBorder="1" applyAlignment="1">
      <alignment horizontal="center" vertical="center" wrapText="1"/>
    </xf>
    <xf numFmtId="0" fontId="45" fillId="0" borderId="54" xfId="0" applyFont="1" applyFill="1" applyBorder="1" applyAlignment="1">
      <alignment horizontal="center" vertical="center" wrapText="1"/>
    </xf>
    <xf numFmtId="0" fontId="13" fillId="0" borderId="53" xfId="0" applyFont="1" applyFill="1" applyBorder="1" applyAlignment="1">
      <alignment vertical="center" wrapText="1"/>
    </xf>
    <xf numFmtId="0" fontId="13" fillId="0" borderId="0" xfId="0" applyFont="1" applyFill="1" applyBorder="1" applyAlignment="1">
      <alignment vertical="center" wrapText="1"/>
    </xf>
    <xf numFmtId="0" fontId="13" fillId="0" borderId="54" xfId="0" applyFont="1" applyFill="1" applyBorder="1" applyAlignment="1">
      <alignment vertical="center" wrapText="1"/>
    </xf>
    <xf numFmtId="0" fontId="13" fillId="0" borderId="53" xfId="0" applyFont="1" applyFill="1" applyBorder="1" applyAlignment="1">
      <alignment horizontal="center" vertical="center" wrapText="1"/>
    </xf>
    <xf numFmtId="0" fontId="13" fillId="0" borderId="0" xfId="0" applyFont="1" applyFill="1" applyBorder="1" applyAlignment="1">
      <alignment horizontal="center" vertical="center" wrapText="1"/>
    </xf>
    <xf numFmtId="0" fontId="13" fillId="0" borderId="54" xfId="0" applyFont="1" applyFill="1" applyBorder="1" applyAlignment="1">
      <alignment horizontal="center" vertical="center" wrapText="1"/>
    </xf>
    <xf numFmtId="0" fontId="13" fillId="2" borderId="53" xfId="0" applyFont="1" applyFill="1" applyBorder="1" applyAlignment="1">
      <alignment horizontal="center" vertical="center" wrapText="1"/>
    </xf>
    <xf numFmtId="0" fontId="13" fillId="2" borderId="0" xfId="0" applyFont="1" applyFill="1" applyBorder="1" applyAlignment="1">
      <alignment horizontal="center" vertical="center" wrapText="1"/>
    </xf>
    <xf numFmtId="0" fontId="13" fillId="2" borderId="54" xfId="0" applyFont="1" applyFill="1" applyBorder="1" applyAlignment="1">
      <alignment horizontal="center" vertical="center" wrapText="1"/>
    </xf>
    <xf numFmtId="0" fontId="13" fillId="2" borderId="55" xfId="0" applyFont="1" applyFill="1" applyBorder="1" applyAlignment="1">
      <alignment horizontal="center" vertical="center" wrapText="1"/>
    </xf>
    <xf numFmtId="0" fontId="13" fillId="2" borderId="56" xfId="0" applyFont="1" applyFill="1" applyBorder="1" applyAlignment="1">
      <alignment horizontal="center" vertical="center" wrapText="1"/>
    </xf>
    <xf numFmtId="0" fontId="13" fillId="2" borderId="57" xfId="0" applyFont="1" applyFill="1" applyBorder="1" applyAlignment="1">
      <alignment horizontal="center" vertical="center" wrapText="1"/>
    </xf>
    <xf numFmtId="0" fontId="10" fillId="0" borderId="0" xfId="0" applyFont="1" applyFill="1" applyAlignment="1">
      <alignment horizontal="left" vertical="center"/>
    </xf>
    <xf numFmtId="0" fontId="33" fillId="2" borderId="0" xfId="1" applyFont="1" applyFill="1" applyAlignment="1">
      <alignment horizontal="center" vertical="center"/>
    </xf>
    <xf numFmtId="0" fontId="33" fillId="2" borderId="0" xfId="1" applyFont="1" applyFill="1" applyAlignment="1">
      <alignment horizontal="left" vertical="center"/>
    </xf>
    <xf numFmtId="0" fontId="0" fillId="5" borderId="0" xfId="0" applyFill="1"/>
    <xf numFmtId="0" fontId="0" fillId="0" borderId="0" xfId="0" applyFill="1"/>
    <xf numFmtId="0" fontId="47" fillId="2" borderId="0" xfId="1" applyFont="1" applyFill="1" applyAlignment="1">
      <alignment horizontal="left" vertical="center"/>
    </xf>
    <xf numFmtId="49" fontId="48" fillId="2" borderId="0" xfId="0" applyNumberFormat="1" applyFont="1" applyFill="1" applyAlignment="1">
      <alignment horizontal="left"/>
    </xf>
    <xf numFmtId="1" fontId="48" fillId="2" borderId="0" xfId="0" applyNumberFormat="1" applyFont="1" applyFill="1" applyAlignment="1">
      <alignment horizontal="left"/>
    </xf>
    <xf numFmtId="0" fontId="33" fillId="2" borderId="0" xfId="1" applyFont="1" applyFill="1" applyAlignment="1">
      <alignment vertical="center"/>
    </xf>
    <xf numFmtId="0" fontId="49" fillId="2" borderId="1" xfId="0" applyNumberFormat="1" applyFont="1" applyFill="1" applyBorder="1" applyAlignment="1">
      <alignment horizontal="left" vertical="center" wrapText="1"/>
    </xf>
    <xf numFmtId="0" fontId="49" fillId="0" borderId="1" xfId="0" applyNumberFormat="1" applyFont="1" applyFill="1" applyBorder="1" applyAlignment="1">
      <alignment horizontal="left" vertical="center" wrapText="1"/>
    </xf>
    <xf numFmtId="49" fontId="49" fillId="0" borderId="1" xfId="0" applyNumberFormat="1" applyFont="1" applyFill="1" applyBorder="1" applyAlignment="1">
      <alignment horizontal="left" vertical="center" wrapText="1"/>
    </xf>
    <xf numFmtId="49" fontId="11" fillId="0" borderId="1" xfId="0" applyNumberFormat="1" applyFont="1" applyFill="1" applyBorder="1" applyAlignment="1">
      <alignment horizontal="left" vertical="center" wrapText="1"/>
    </xf>
    <xf numFmtId="0" fontId="25" fillId="2" borderId="0" xfId="0" applyFont="1" applyFill="1" applyBorder="1" applyAlignment="1">
      <alignment vertical="center" wrapText="1"/>
    </xf>
    <xf numFmtId="0" fontId="9" fillId="2" borderId="0" xfId="0" applyFont="1" applyFill="1" applyAlignment="1">
      <alignment horizontal="center"/>
    </xf>
    <xf numFmtId="49" fontId="19" fillId="0" borderId="16" xfId="0" applyNumberFormat="1" applyFont="1" applyFill="1" applyBorder="1" applyAlignment="1">
      <alignment horizontal="center" vertical="center" wrapText="1"/>
    </xf>
    <xf numFmtId="49" fontId="18" fillId="5" borderId="1" xfId="0" applyNumberFormat="1" applyFont="1" applyFill="1" applyBorder="1" applyAlignment="1">
      <alignment horizontal="center" vertical="center" wrapText="1"/>
    </xf>
    <xf numFmtId="0" fontId="49" fillId="5" borderId="1" xfId="0" applyNumberFormat="1" applyFont="1" applyFill="1" applyBorder="1" applyAlignment="1">
      <alignment horizontal="left" vertical="center" wrapText="1"/>
    </xf>
    <xf numFmtId="0" fontId="31" fillId="5" borderId="0" xfId="0" applyFont="1" applyFill="1"/>
    <xf numFmtId="1" fontId="31" fillId="5" borderId="0" xfId="0" applyNumberFormat="1" applyFont="1" applyFill="1"/>
    <xf numFmtId="49" fontId="49" fillId="5" borderId="1" xfId="0" applyNumberFormat="1" applyFont="1" applyFill="1" applyBorder="1" applyAlignment="1">
      <alignment horizontal="left" vertical="center" wrapText="1"/>
    </xf>
    <xf numFmtId="0" fontId="0" fillId="0" borderId="50" xfId="0" applyBorder="1"/>
    <xf numFmtId="0" fontId="0" fillId="0" borderId="52" xfId="0" applyBorder="1"/>
    <xf numFmtId="0" fontId="0" fillId="0" borderId="55" xfId="0" applyBorder="1"/>
    <xf numFmtId="0" fontId="0" fillId="0" borderId="57" xfId="0" applyBorder="1"/>
    <xf numFmtId="0" fontId="0" fillId="0" borderId="1" xfId="0" applyBorder="1"/>
    <xf numFmtId="0" fontId="0" fillId="0" borderId="13" xfId="0" applyBorder="1"/>
    <xf numFmtId="0" fontId="0" fillId="0" borderId="0" xfId="0" applyAlignment="1">
      <alignment horizontal="center"/>
    </xf>
    <xf numFmtId="0" fontId="0" fillId="0" borderId="0" xfId="0" applyAlignment="1">
      <alignment horizontal="center" vertical="center"/>
    </xf>
    <xf numFmtId="0" fontId="0" fillId="0" borderId="61" xfId="0" applyBorder="1"/>
    <xf numFmtId="0" fontId="0" fillId="0" borderId="62" xfId="0" applyBorder="1"/>
    <xf numFmtId="0" fontId="0" fillId="0" borderId="63" xfId="0" applyBorder="1"/>
    <xf numFmtId="0" fontId="0" fillId="0" borderId="64" xfId="0" applyBorder="1"/>
    <xf numFmtId="0" fontId="10" fillId="2" borderId="3" xfId="0" applyFont="1" applyFill="1" applyBorder="1" applyAlignment="1">
      <alignment horizontal="center" vertical="center"/>
    </xf>
    <xf numFmtId="0" fontId="10" fillId="2" borderId="16" xfId="0" applyFont="1" applyFill="1" applyBorder="1" applyAlignment="1">
      <alignment horizontal="center" vertical="center"/>
    </xf>
    <xf numFmtId="0" fontId="13" fillId="3" borderId="1" xfId="0" applyFont="1" applyFill="1" applyBorder="1" applyAlignment="1">
      <alignment horizontal="center" vertical="center" wrapText="1"/>
    </xf>
    <xf numFmtId="0" fontId="13" fillId="3" borderId="16" xfId="0" applyFont="1" applyFill="1" applyBorder="1" applyAlignment="1">
      <alignment horizontal="center" vertical="center" wrapText="1"/>
    </xf>
    <xf numFmtId="0" fontId="46" fillId="0" borderId="0" xfId="0" applyFont="1" applyFill="1" applyAlignment="1">
      <alignment horizontal="left" vertical="center"/>
    </xf>
    <xf numFmtId="1" fontId="8" fillId="2" borderId="0" xfId="0" applyNumberFormat="1" applyFont="1" applyFill="1" applyBorder="1" applyAlignment="1">
      <alignment horizontal="center" vertical="center"/>
    </xf>
    <xf numFmtId="0" fontId="27" fillId="2" borderId="0" xfId="0" applyFont="1" applyFill="1" applyBorder="1" applyAlignment="1">
      <alignment horizontal="left" vertical="center" wrapText="1"/>
    </xf>
    <xf numFmtId="0" fontId="0" fillId="0" borderId="0" xfId="0" applyAlignment="1">
      <alignment horizontal="left" vertical="center" wrapText="1"/>
    </xf>
    <xf numFmtId="0" fontId="37" fillId="2" borderId="0" xfId="0" applyFont="1" applyFill="1" applyBorder="1" applyAlignment="1">
      <alignment horizontal="center" vertical="center" wrapText="1"/>
    </xf>
    <xf numFmtId="0" fontId="9" fillId="5" borderId="1" xfId="0" applyNumberFormat="1" applyFont="1" applyFill="1" applyBorder="1" applyAlignment="1">
      <alignment horizontal="left" vertical="center" wrapText="1"/>
    </xf>
    <xf numFmtId="49" fontId="11" fillId="5" borderId="1" xfId="0" applyNumberFormat="1" applyFont="1" applyFill="1" applyBorder="1" applyAlignment="1">
      <alignment horizontal="left" vertical="center" wrapText="1"/>
    </xf>
    <xf numFmtId="0" fontId="37" fillId="2" borderId="0" xfId="0" applyFont="1" applyFill="1" applyBorder="1" applyAlignment="1">
      <alignment horizontal="center" vertical="center" wrapText="1"/>
    </xf>
    <xf numFmtId="0" fontId="27" fillId="2" borderId="3" xfId="0" applyFont="1" applyFill="1" applyBorder="1" applyAlignment="1">
      <alignment horizontal="left" vertical="center"/>
    </xf>
    <xf numFmtId="0" fontId="27" fillId="2" borderId="4" xfId="0" applyFont="1" applyFill="1" applyBorder="1" applyAlignment="1">
      <alignment horizontal="left" vertical="center"/>
    </xf>
    <xf numFmtId="0" fontId="27" fillId="2" borderId="2" xfId="0" applyFont="1" applyFill="1" applyBorder="1" applyAlignment="1">
      <alignment horizontal="left" vertical="center"/>
    </xf>
    <xf numFmtId="0" fontId="27" fillId="2" borderId="3" xfId="0" applyFont="1" applyFill="1" applyBorder="1" applyAlignment="1">
      <alignment horizontal="center" vertical="center"/>
    </xf>
    <xf numFmtId="0" fontId="27" fillId="2" borderId="4" xfId="0" applyFont="1" applyFill="1" applyBorder="1" applyAlignment="1">
      <alignment horizontal="center" vertical="center"/>
    </xf>
    <xf numFmtId="0" fontId="27" fillId="2" borderId="2" xfId="0" applyFont="1" applyFill="1" applyBorder="1" applyAlignment="1">
      <alignment horizontal="center" vertical="center"/>
    </xf>
    <xf numFmtId="49" fontId="27" fillId="2" borderId="3" xfId="0" applyNumberFormat="1" applyFont="1" applyFill="1" applyBorder="1" applyAlignment="1">
      <alignment horizontal="center" vertical="center"/>
    </xf>
    <xf numFmtId="49" fontId="27" fillId="2" borderId="4" xfId="0" applyNumberFormat="1" applyFont="1" applyFill="1" applyBorder="1" applyAlignment="1">
      <alignment horizontal="center" vertical="center"/>
    </xf>
    <xf numFmtId="49" fontId="27" fillId="2" borderId="2" xfId="0" applyNumberFormat="1" applyFont="1" applyFill="1" applyBorder="1" applyAlignment="1">
      <alignment horizontal="center" vertical="center"/>
    </xf>
    <xf numFmtId="0" fontId="18" fillId="2" borderId="5"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8" xfId="0" applyFont="1" applyFill="1" applyBorder="1" applyAlignment="1">
      <alignment horizontal="center" vertical="center" wrapText="1"/>
    </xf>
    <xf numFmtId="0" fontId="18" fillId="2" borderId="0"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1" fillId="0" borderId="17" xfId="0" applyFont="1" applyFill="1" applyBorder="1" applyAlignment="1">
      <alignment horizontal="center" vertical="center" wrapText="1"/>
    </xf>
    <xf numFmtId="0" fontId="13" fillId="2" borderId="1" xfId="0" applyFont="1" applyFill="1" applyBorder="1" applyAlignment="1">
      <alignment horizontal="center" vertical="center"/>
    </xf>
    <xf numFmtId="164" fontId="13" fillId="2" borderId="1" xfId="0" applyNumberFormat="1" applyFont="1" applyFill="1" applyBorder="1" applyAlignment="1">
      <alignment horizontal="center" vertical="center" wrapText="1"/>
    </xf>
    <xf numFmtId="0" fontId="11" fillId="0" borderId="1" xfId="0" applyFont="1" applyFill="1" applyBorder="1" applyAlignment="1">
      <alignment horizontal="left" vertical="center" wrapText="1"/>
    </xf>
    <xf numFmtId="0" fontId="13" fillId="0"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13" fillId="2" borderId="50" xfId="0" applyFont="1" applyFill="1" applyBorder="1" applyAlignment="1">
      <alignment horizontal="center" vertical="center" wrapText="1"/>
    </xf>
    <xf numFmtId="0" fontId="13" fillId="2" borderId="51" xfId="0" applyFont="1" applyFill="1" applyBorder="1" applyAlignment="1">
      <alignment horizontal="center" vertical="center" wrapText="1"/>
    </xf>
    <xf numFmtId="0" fontId="13" fillId="2" borderId="52" xfId="0" applyFont="1" applyFill="1" applyBorder="1" applyAlignment="1">
      <alignment horizontal="center" vertical="center" wrapText="1"/>
    </xf>
    <xf numFmtId="0" fontId="13" fillId="2" borderId="53" xfId="0" applyFont="1" applyFill="1" applyBorder="1" applyAlignment="1">
      <alignment horizontal="center" vertical="center" wrapText="1"/>
    </xf>
    <xf numFmtId="0" fontId="13" fillId="2" borderId="0" xfId="0" applyFont="1" applyFill="1" applyBorder="1" applyAlignment="1">
      <alignment horizontal="center" vertical="center" wrapText="1"/>
    </xf>
    <xf numFmtId="0" fontId="13" fillId="2" borderId="54" xfId="0" applyFont="1" applyFill="1" applyBorder="1" applyAlignment="1">
      <alignment horizontal="center" vertical="center" wrapText="1"/>
    </xf>
    <xf numFmtId="0" fontId="28" fillId="2" borderId="0" xfId="0" applyFont="1" applyFill="1" applyBorder="1" applyAlignment="1">
      <alignment horizontal="center" vertical="center"/>
    </xf>
    <xf numFmtId="0" fontId="18" fillId="2" borderId="0" xfId="0" applyFont="1" applyFill="1" applyBorder="1" applyAlignment="1">
      <alignment horizontal="center" vertical="center"/>
    </xf>
    <xf numFmtId="49" fontId="18" fillId="2" borderId="0" xfId="0" applyNumberFormat="1" applyFont="1" applyFill="1" applyBorder="1" applyAlignment="1">
      <alignment horizontal="center" vertical="center" wrapText="1"/>
    </xf>
    <xf numFmtId="0" fontId="27" fillId="2" borderId="0" xfId="0" applyFont="1" applyFill="1" applyBorder="1" applyAlignment="1">
      <alignment horizontal="left" vertical="center" wrapText="1"/>
    </xf>
    <xf numFmtId="0" fontId="0" fillId="0" borderId="0" xfId="0" applyAlignment="1">
      <alignment horizontal="left" vertical="center" wrapText="1"/>
    </xf>
    <xf numFmtId="0" fontId="9" fillId="2" borderId="1" xfId="0" applyFont="1" applyFill="1" applyBorder="1" applyAlignment="1">
      <alignment horizontal="center" vertical="center" wrapText="1"/>
    </xf>
    <xf numFmtId="0" fontId="9" fillId="2" borderId="17"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3" fillId="2" borderId="17" xfId="0" applyFont="1" applyFill="1" applyBorder="1" applyAlignment="1">
      <alignment horizontal="center" vertical="center" wrapText="1"/>
    </xf>
    <xf numFmtId="49" fontId="18" fillId="2" borderId="0" xfId="0" applyNumberFormat="1" applyFont="1" applyFill="1" applyBorder="1" applyAlignment="1">
      <alignment horizontal="center" vertical="center"/>
    </xf>
    <xf numFmtId="49" fontId="27" fillId="2" borderId="0" xfId="0" applyNumberFormat="1" applyFont="1" applyFill="1" applyBorder="1" applyAlignment="1">
      <alignment horizontal="center" vertical="center" wrapText="1"/>
    </xf>
    <xf numFmtId="49" fontId="27" fillId="2" borderId="0" xfId="0" applyNumberFormat="1" applyFont="1" applyFill="1" applyBorder="1" applyAlignment="1">
      <alignment horizontal="center" vertical="center"/>
    </xf>
    <xf numFmtId="0" fontId="38" fillId="2" borderId="0" xfId="0" applyFont="1" applyFill="1" applyBorder="1" applyAlignment="1">
      <alignment horizontal="center" vertical="center" wrapText="1"/>
    </xf>
    <xf numFmtId="0" fontId="11" fillId="0" borderId="16" xfId="0" applyFont="1" applyFill="1" applyBorder="1" applyAlignment="1">
      <alignment horizontal="center" vertical="center" wrapText="1"/>
    </xf>
    <xf numFmtId="0" fontId="11" fillId="2" borderId="1" xfId="0" applyFont="1" applyFill="1" applyBorder="1" applyAlignment="1">
      <alignment horizontal="center" vertical="center"/>
    </xf>
    <xf numFmtId="0" fontId="13" fillId="2" borderId="3" xfId="0" applyNumberFormat="1" applyFont="1" applyFill="1" applyBorder="1" applyAlignment="1">
      <alignment horizontal="center" vertical="center"/>
    </xf>
    <xf numFmtId="0" fontId="13" fillId="2" borderId="4" xfId="0" applyNumberFormat="1" applyFont="1" applyFill="1" applyBorder="1" applyAlignment="1">
      <alignment horizontal="center" vertical="center"/>
    </xf>
    <xf numFmtId="0" fontId="13" fillId="2" borderId="18" xfId="0" applyNumberFormat="1" applyFont="1" applyFill="1" applyBorder="1" applyAlignment="1">
      <alignment horizontal="center" vertical="center"/>
    </xf>
    <xf numFmtId="0" fontId="13" fillId="3" borderId="2" xfId="0" applyFont="1" applyFill="1" applyBorder="1" applyAlignment="1">
      <alignment horizontal="center" vertical="center" wrapText="1"/>
    </xf>
    <xf numFmtId="0" fontId="13" fillId="3" borderId="1" xfId="0" applyFont="1" applyFill="1" applyBorder="1" applyAlignment="1">
      <alignment horizontal="center" vertical="center" wrapText="1"/>
    </xf>
    <xf numFmtId="49" fontId="11" fillId="0" borderId="1" xfId="0" applyNumberFormat="1" applyFont="1" applyFill="1" applyBorder="1" applyAlignment="1">
      <alignment horizontal="left" vertical="center" wrapText="1"/>
    </xf>
    <xf numFmtId="1" fontId="13" fillId="3" borderId="1" xfId="0" applyNumberFormat="1" applyFont="1" applyFill="1" applyBorder="1" applyAlignment="1">
      <alignment horizontal="center" vertical="center"/>
    </xf>
    <xf numFmtId="0" fontId="13" fillId="3" borderId="1" xfId="0" applyFont="1" applyFill="1" applyBorder="1" applyAlignment="1">
      <alignment horizontal="center" vertical="center"/>
    </xf>
    <xf numFmtId="49" fontId="11" fillId="2" borderId="1" xfId="0" applyNumberFormat="1" applyFont="1" applyFill="1" applyBorder="1" applyAlignment="1">
      <alignment horizontal="left" vertical="center" wrapText="1"/>
    </xf>
    <xf numFmtId="0" fontId="18" fillId="2" borderId="3" xfId="0" applyFont="1" applyFill="1" applyBorder="1" applyAlignment="1">
      <alignment horizontal="center" vertical="center"/>
    </xf>
    <xf numFmtId="0" fontId="18" fillId="2" borderId="4" xfId="0" applyFont="1" applyFill="1" applyBorder="1" applyAlignment="1">
      <alignment horizontal="center" vertical="center"/>
    </xf>
    <xf numFmtId="0" fontId="18" fillId="2" borderId="2" xfId="0" applyFont="1" applyFill="1" applyBorder="1" applyAlignment="1">
      <alignment horizontal="center" vertical="center"/>
    </xf>
    <xf numFmtId="0" fontId="41" fillId="2" borderId="3" xfId="0" applyFont="1" applyFill="1" applyBorder="1" applyAlignment="1">
      <alignment horizontal="center" vertical="center"/>
    </xf>
    <xf numFmtId="0" fontId="41" fillId="2" borderId="4" xfId="0" applyFont="1" applyFill="1" applyBorder="1" applyAlignment="1">
      <alignment horizontal="center" vertical="center"/>
    </xf>
    <xf numFmtId="0" fontId="41" fillId="2" borderId="2" xfId="0" applyFont="1" applyFill="1" applyBorder="1" applyAlignment="1">
      <alignment horizontal="center" vertical="center"/>
    </xf>
    <xf numFmtId="0" fontId="39" fillId="2" borderId="0" xfId="0" applyFont="1" applyFill="1" applyBorder="1" applyAlignment="1">
      <alignment horizontal="center" vertical="center"/>
    </xf>
    <xf numFmtId="0" fontId="13" fillId="0" borderId="5" xfId="0" applyNumberFormat="1" applyFont="1" applyFill="1" applyBorder="1" applyAlignment="1">
      <alignment horizontal="center" vertical="center"/>
    </xf>
    <xf numFmtId="0" fontId="13" fillId="0" borderId="6" xfId="0" applyNumberFormat="1" applyFont="1" applyFill="1" applyBorder="1" applyAlignment="1">
      <alignment horizontal="center" vertical="center"/>
    </xf>
    <xf numFmtId="0" fontId="13" fillId="0" borderId="22" xfId="0" applyNumberFormat="1" applyFont="1" applyFill="1" applyBorder="1" applyAlignment="1">
      <alignment horizontal="center" vertical="center"/>
    </xf>
    <xf numFmtId="0" fontId="13" fillId="0" borderId="10" xfId="0" applyNumberFormat="1" applyFont="1" applyFill="1" applyBorder="1" applyAlignment="1">
      <alignment horizontal="center" vertical="center"/>
    </xf>
    <xf numFmtId="0" fontId="13" fillId="0" borderId="11" xfId="0"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0" fontId="18" fillId="2" borderId="3" xfId="0" applyFont="1" applyFill="1" applyBorder="1" applyAlignment="1">
      <alignment horizontal="right" vertical="center"/>
    </xf>
    <xf numFmtId="0" fontId="18" fillId="2" borderId="4" xfId="0" applyFont="1" applyFill="1" applyBorder="1" applyAlignment="1">
      <alignment horizontal="right" vertical="center"/>
    </xf>
    <xf numFmtId="0" fontId="18" fillId="2" borderId="2" xfId="0" applyFont="1" applyFill="1" applyBorder="1" applyAlignment="1">
      <alignment horizontal="right" vertical="center"/>
    </xf>
    <xf numFmtId="49" fontId="18" fillId="2" borderId="3" xfId="0" applyNumberFormat="1" applyFont="1" applyFill="1" applyBorder="1" applyAlignment="1">
      <alignment horizontal="center" vertical="center"/>
    </xf>
    <xf numFmtId="49" fontId="18" fillId="2" borderId="4" xfId="0" applyNumberFormat="1" applyFont="1" applyFill="1" applyBorder="1" applyAlignment="1">
      <alignment horizontal="center" vertical="center"/>
    </xf>
    <xf numFmtId="49" fontId="18" fillId="2" borderId="2" xfId="0" applyNumberFormat="1" applyFont="1" applyFill="1" applyBorder="1" applyAlignment="1">
      <alignment horizontal="center" vertical="center"/>
    </xf>
    <xf numFmtId="0" fontId="9" fillId="2" borderId="16" xfId="0" applyFont="1" applyFill="1" applyBorder="1" applyAlignment="1">
      <alignment horizontal="center" vertical="center" wrapText="1"/>
    </xf>
    <xf numFmtId="1" fontId="8" fillId="2" borderId="0" xfId="0" applyNumberFormat="1" applyFont="1" applyFill="1" applyBorder="1" applyAlignment="1">
      <alignment horizontal="center" vertical="center"/>
    </xf>
    <xf numFmtId="0" fontId="8" fillId="2" borderId="0" xfId="0" applyFont="1" applyFill="1" applyBorder="1" applyAlignment="1">
      <alignment horizontal="center" vertical="center"/>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3" fillId="3" borderId="18" xfId="0" applyFont="1" applyFill="1" applyBorder="1" applyAlignment="1">
      <alignment horizontal="center" vertical="center" wrapText="1"/>
    </xf>
    <xf numFmtId="2" fontId="11" fillId="2" borderId="3" xfId="0" applyNumberFormat="1" applyFont="1" applyFill="1" applyBorder="1" applyAlignment="1">
      <alignment horizontal="center" vertical="center"/>
    </xf>
    <xf numFmtId="2" fontId="11" fillId="2" borderId="4" xfId="0" applyNumberFormat="1" applyFont="1" applyFill="1" applyBorder="1" applyAlignment="1">
      <alignment horizontal="center" vertical="center"/>
    </xf>
    <xf numFmtId="2" fontId="11" fillId="2" borderId="2" xfId="0" applyNumberFormat="1" applyFont="1" applyFill="1" applyBorder="1" applyAlignment="1">
      <alignment horizontal="center" vertical="center"/>
    </xf>
    <xf numFmtId="164" fontId="13" fillId="3" borderId="1" xfId="0" applyNumberFormat="1" applyFont="1" applyFill="1" applyBorder="1" applyAlignment="1">
      <alignment horizontal="center" vertical="center" wrapText="1"/>
    </xf>
    <xf numFmtId="0" fontId="11" fillId="0" borderId="1" xfId="0" applyFont="1" applyFill="1" applyBorder="1" applyAlignment="1">
      <alignment horizontal="center" vertical="center"/>
    </xf>
    <xf numFmtId="164" fontId="11" fillId="0" borderId="1" xfId="0" applyNumberFormat="1" applyFont="1" applyFill="1" applyBorder="1" applyAlignment="1">
      <alignment horizontal="center" vertical="center" wrapText="1"/>
    </xf>
    <xf numFmtId="1" fontId="13" fillId="3" borderId="3" xfId="0" applyNumberFormat="1" applyFont="1" applyFill="1" applyBorder="1" applyAlignment="1">
      <alignment horizontal="center" vertical="center"/>
    </xf>
    <xf numFmtId="1" fontId="13" fillId="3" borderId="4" xfId="0" applyNumberFormat="1" applyFont="1" applyFill="1" applyBorder="1" applyAlignment="1">
      <alignment horizontal="center" vertical="center"/>
    </xf>
    <xf numFmtId="1" fontId="13" fillId="3"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18" xfId="0" applyNumberFormat="1" applyFont="1" applyFill="1" applyBorder="1" applyAlignment="1">
      <alignment horizontal="center" vertical="center"/>
    </xf>
    <xf numFmtId="0" fontId="13" fillId="3" borderId="16" xfId="0" applyFont="1" applyFill="1" applyBorder="1" applyAlignment="1">
      <alignment horizontal="center" vertical="center"/>
    </xf>
    <xf numFmtId="0" fontId="11" fillId="0" borderId="23"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11" fillId="0" borderId="20" xfId="0" applyFont="1" applyFill="1" applyBorder="1" applyAlignment="1">
      <alignment horizontal="center" vertical="center" wrapText="1"/>
    </xf>
    <xf numFmtId="0" fontId="11" fillId="0" borderId="11" xfId="0" applyFont="1" applyFill="1" applyBorder="1" applyAlignment="1">
      <alignment horizontal="center" vertical="center" wrapText="1"/>
    </xf>
    <xf numFmtId="0" fontId="11" fillId="0" borderId="5" xfId="0" applyFont="1" applyFill="1" applyBorder="1" applyAlignment="1">
      <alignment horizontal="center" vertical="center"/>
    </xf>
    <xf numFmtId="0" fontId="11" fillId="0" borderId="6" xfId="0" applyFont="1" applyFill="1" applyBorder="1" applyAlignment="1">
      <alignment horizontal="center" vertical="center"/>
    </xf>
    <xf numFmtId="0" fontId="11" fillId="0" borderId="7" xfId="0" applyFont="1" applyFill="1" applyBorder="1" applyAlignment="1">
      <alignment horizontal="center" vertical="center"/>
    </xf>
    <xf numFmtId="0" fontId="13" fillId="3" borderId="16" xfId="0" applyFont="1" applyFill="1" applyBorder="1" applyAlignment="1">
      <alignment horizontal="center" vertical="center" wrapText="1"/>
    </xf>
    <xf numFmtId="164" fontId="11" fillId="2" borderId="1" xfId="0" applyNumberFormat="1" applyFont="1" applyFill="1" applyBorder="1" applyAlignment="1">
      <alignment horizontal="center" vertical="center" wrapText="1"/>
    </xf>
    <xf numFmtId="49" fontId="13" fillId="3" borderId="1" xfId="0" applyNumberFormat="1" applyFont="1" applyFill="1" applyBorder="1" applyAlignment="1">
      <alignment horizontal="right" vertical="center" wrapText="1"/>
    </xf>
    <xf numFmtId="1" fontId="13" fillId="3" borderId="17" xfId="0" applyNumberFormat="1" applyFont="1" applyFill="1" applyBorder="1" applyAlignment="1">
      <alignment horizontal="center" vertical="center"/>
    </xf>
    <xf numFmtId="1" fontId="13" fillId="3" borderId="3" xfId="0" applyNumberFormat="1" applyFont="1" applyFill="1" applyBorder="1" applyAlignment="1">
      <alignment horizontal="center" vertical="center" wrapText="1"/>
    </xf>
    <xf numFmtId="1" fontId="13" fillId="3" borderId="4" xfId="0" applyNumberFormat="1" applyFont="1" applyFill="1" applyBorder="1" applyAlignment="1">
      <alignment horizontal="center" vertical="center" wrapText="1"/>
    </xf>
    <xf numFmtId="1" fontId="13" fillId="3" borderId="2" xfId="0" applyNumberFormat="1" applyFont="1" applyFill="1" applyBorder="1" applyAlignment="1">
      <alignment horizontal="center" vertical="center" wrapText="1"/>
    </xf>
    <xf numFmtId="0" fontId="13" fillId="3" borderId="4" xfId="0" applyNumberFormat="1" applyFont="1" applyFill="1" applyBorder="1" applyAlignment="1">
      <alignment horizontal="center" vertical="center"/>
    </xf>
    <xf numFmtId="0" fontId="13" fillId="3" borderId="18" xfId="0" applyNumberFormat="1" applyFont="1" applyFill="1" applyBorder="1" applyAlignment="1">
      <alignment horizontal="center" vertical="center"/>
    </xf>
    <xf numFmtId="0" fontId="11" fillId="2" borderId="16"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1" fillId="0" borderId="10" xfId="0" applyFont="1" applyFill="1" applyBorder="1" applyAlignment="1">
      <alignment horizontal="center" vertical="center"/>
    </xf>
    <xf numFmtId="0" fontId="11" fillId="0" borderId="11" xfId="0" applyFont="1" applyFill="1" applyBorder="1" applyAlignment="1">
      <alignment horizontal="center" vertical="center"/>
    </xf>
    <xf numFmtId="0" fontId="11" fillId="0" borderId="12" xfId="0" applyFont="1" applyFill="1" applyBorder="1" applyAlignment="1">
      <alignment horizontal="center" vertical="center"/>
    </xf>
    <xf numFmtId="0" fontId="13" fillId="2" borderId="16" xfId="0" applyFont="1" applyFill="1" applyBorder="1" applyAlignment="1">
      <alignment horizontal="center" vertical="center"/>
    </xf>
    <xf numFmtId="0" fontId="13" fillId="2" borderId="3" xfId="0" applyFont="1" applyFill="1" applyBorder="1" applyAlignment="1">
      <alignment horizontal="center" vertical="center"/>
    </xf>
    <xf numFmtId="0" fontId="10" fillId="2" borderId="16" xfId="0" applyFont="1" applyFill="1" applyBorder="1" applyAlignment="1">
      <alignment horizontal="center" vertical="center"/>
    </xf>
    <xf numFmtId="0" fontId="10" fillId="2" borderId="1" xfId="0" applyFont="1" applyFill="1" applyBorder="1" applyAlignment="1">
      <alignment horizontal="center" vertical="center"/>
    </xf>
    <xf numFmtId="0" fontId="13" fillId="2" borderId="17" xfId="0" applyFont="1" applyFill="1" applyBorder="1" applyAlignment="1">
      <alignment horizontal="center" vertical="center"/>
    </xf>
    <xf numFmtId="0" fontId="10" fillId="2" borderId="17" xfId="0" applyFont="1" applyFill="1" applyBorder="1" applyAlignment="1">
      <alignment horizontal="center" vertical="center"/>
    </xf>
    <xf numFmtId="0" fontId="13" fillId="2" borderId="5" xfId="0" applyFont="1" applyFill="1" applyBorder="1" applyAlignment="1">
      <alignment horizontal="center" vertical="center" textRotation="90" wrapText="1"/>
    </xf>
    <xf numFmtId="0" fontId="13" fillId="2" borderId="6" xfId="0" applyFont="1" applyFill="1" applyBorder="1" applyAlignment="1">
      <alignment horizontal="center" vertical="center" textRotation="90" wrapText="1"/>
    </xf>
    <xf numFmtId="0" fontId="13" fillId="2" borderId="7" xfId="0" applyFont="1" applyFill="1" applyBorder="1" applyAlignment="1">
      <alignment horizontal="center" vertical="center" textRotation="90" wrapText="1"/>
    </xf>
    <xf numFmtId="0" fontId="13" fillId="2" borderId="8" xfId="0" applyFont="1" applyFill="1" applyBorder="1" applyAlignment="1">
      <alignment horizontal="center" vertical="center" textRotation="90" wrapText="1"/>
    </xf>
    <xf numFmtId="0" fontId="13" fillId="2" borderId="0" xfId="0" applyFont="1" applyFill="1" applyBorder="1" applyAlignment="1">
      <alignment horizontal="center" vertical="center" textRotation="90" wrapText="1"/>
    </xf>
    <xf numFmtId="0" fontId="13" fillId="2" borderId="9" xfId="0" applyFont="1" applyFill="1" applyBorder="1" applyAlignment="1">
      <alignment horizontal="center" vertical="center" textRotation="90" wrapText="1"/>
    </xf>
    <xf numFmtId="0" fontId="13" fillId="2" borderId="10" xfId="0" applyFont="1" applyFill="1" applyBorder="1" applyAlignment="1">
      <alignment horizontal="center" vertical="center" textRotation="90" wrapText="1"/>
    </xf>
    <xf numFmtId="0" fontId="13" fillId="2" borderId="11" xfId="0" applyFont="1" applyFill="1" applyBorder="1" applyAlignment="1">
      <alignment horizontal="center" vertical="center" textRotation="90" wrapText="1"/>
    </xf>
    <xf numFmtId="0" fontId="13" fillId="2" borderId="12" xfId="0" applyFont="1" applyFill="1" applyBorder="1" applyAlignment="1">
      <alignment horizontal="center" vertical="center" textRotation="90" wrapText="1"/>
    </xf>
    <xf numFmtId="1" fontId="10" fillId="2" borderId="3" xfId="0" applyNumberFormat="1" applyFont="1" applyFill="1" applyBorder="1" applyAlignment="1">
      <alignment horizontal="center" vertical="center"/>
    </xf>
    <xf numFmtId="1" fontId="10" fillId="2" borderId="4" xfId="0" applyNumberFormat="1" applyFont="1" applyFill="1" applyBorder="1" applyAlignment="1">
      <alignment horizontal="center" vertical="center"/>
    </xf>
    <xf numFmtId="1" fontId="10" fillId="2" borderId="2" xfId="0" applyNumberFormat="1" applyFont="1" applyFill="1" applyBorder="1" applyAlignment="1">
      <alignment horizontal="center" vertical="center"/>
    </xf>
    <xf numFmtId="1" fontId="10" fillId="2" borderId="10" xfId="0" applyNumberFormat="1" applyFont="1" applyFill="1" applyBorder="1" applyAlignment="1">
      <alignment horizontal="center" vertical="center"/>
    </xf>
    <xf numFmtId="1" fontId="10" fillId="2" borderId="11" xfId="0" applyNumberFormat="1" applyFont="1" applyFill="1" applyBorder="1" applyAlignment="1">
      <alignment horizontal="center" vertical="center"/>
    </xf>
    <xf numFmtId="1" fontId="10" fillId="2" borderId="21"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wrapText="1"/>
    </xf>
    <xf numFmtId="1" fontId="13" fillId="3" borderId="1" xfId="0" applyNumberFormat="1" applyFont="1" applyFill="1" applyBorder="1" applyAlignment="1">
      <alignment horizontal="center" vertical="center" wrapText="1"/>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2" xfId="0" applyFont="1" applyFill="1" applyBorder="1" applyAlignment="1">
      <alignment horizontal="center" vertical="center"/>
    </xf>
    <xf numFmtId="1" fontId="10" fillId="2" borderId="1" xfId="0" applyNumberFormat="1" applyFont="1" applyFill="1" applyBorder="1" applyAlignment="1">
      <alignment horizontal="center" vertical="center"/>
    </xf>
    <xf numFmtId="0" fontId="13" fillId="2" borderId="5"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9" xfId="0" applyFont="1" applyFill="1" applyBorder="1" applyAlignment="1">
      <alignment horizontal="center" vertical="center" wrapText="1"/>
    </xf>
    <xf numFmtId="2" fontId="13" fillId="2" borderId="34" xfId="0" applyNumberFormat="1" applyFont="1" applyFill="1" applyBorder="1" applyAlignment="1">
      <alignment horizontal="center" vertical="center" wrapText="1"/>
    </xf>
    <xf numFmtId="2" fontId="13" fillId="2" borderId="1" xfId="0" applyNumberFormat="1" applyFont="1" applyFill="1" applyBorder="1" applyAlignment="1">
      <alignment horizontal="center" vertical="center" wrapText="1"/>
    </xf>
    <xf numFmtId="0" fontId="13" fillId="2" borderId="4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48" xfId="0" applyFont="1" applyFill="1" applyBorder="1" applyAlignment="1">
      <alignment horizontal="center" vertical="center" wrapText="1"/>
    </xf>
    <xf numFmtId="0" fontId="11" fillId="2" borderId="1" xfId="0" applyFont="1" applyFill="1" applyBorder="1" applyAlignment="1">
      <alignment horizontal="left" vertical="center"/>
    </xf>
    <xf numFmtId="0" fontId="13" fillId="3" borderId="17" xfId="0" applyFont="1" applyFill="1" applyBorder="1" applyAlignment="1">
      <alignment horizontal="center" vertical="center" wrapText="1"/>
    </xf>
    <xf numFmtId="1" fontId="13" fillId="3" borderId="17" xfId="0" applyNumberFormat="1" applyFont="1" applyFill="1" applyBorder="1" applyAlignment="1">
      <alignment horizontal="center" vertical="center" wrapText="1"/>
    </xf>
    <xf numFmtId="1" fontId="13" fillId="2" borderId="47" xfId="0" applyNumberFormat="1" applyFont="1" applyFill="1" applyBorder="1" applyAlignment="1">
      <alignment horizontal="center" vertical="center" textRotation="90" wrapText="1"/>
    </xf>
    <xf numFmtId="1" fontId="13" fillId="2" borderId="34" xfId="0" applyNumberFormat="1" applyFont="1" applyFill="1" applyBorder="1" applyAlignment="1">
      <alignment horizontal="center" vertical="center" textRotation="90" wrapText="1"/>
    </xf>
    <xf numFmtId="1" fontId="13" fillId="2" borderId="35" xfId="0" applyNumberFormat="1" applyFont="1" applyFill="1" applyBorder="1" applyAlignment="1">
      <alignment horizontal="center" vertical="center" textRotation="90" wrapText="1"/>
    </xf>
    <xf numFmtId="1" fontId="13" fillId="2" borderId="48" xfId="0" applyNumberFormat="1" applyFont="1" applyFill="1" applyBorder="1" applyAlignment="1">
      <alignment horizontal="center" vertical="center" textRotation="90" wrapText="1"/>
    </xf>
    <xf numFmtId="1" fontId="13" fillId="2" borderId="16" xfId="0" applyNumberFormat="1" applyFont="1" applyFill="1" applyBorder="1" applyAlignment="1">
      <alignment horizontal="center" vertical="center" textRotation="90" wrapText="1"/>
    </xf>
    <xf numFmtId="1" fontId="13" fillId="2" borderId="1" xfId="0" applyNumberFormat="1" applyFont="1" applyFill="1" applyBorder="1" applyAlignment="1">
      <alignment horizontal="center" vertical="center" textRotation="90" wrapText="1"/>
    </xf>
    <xf numFmtId="1" fontId="13" fillId="2" borderId="3" xfId="0" applyNumberFormat="1" applyFont="1" applyFill="1" applyBorder="1" applyAlignment="1">
      <alignment horizontal="center" vertical="center" textRotation="90" wrapText="1"/>
    </xf>
    <xf numFmtId="1" fontId="13" fillId="2" borderId="17" xfId="0" applyNumberFormat="1" applyFont="1" applyFill="1" applyBorder="1" applyAlignment="1">
      <alignment horizontal="center" vertical="center" textRotation="90" wrapText="1"/>
    </xf>
    <xf numFmtId="1" fontId="10" fillId="2" borderId="16" xfId="0" applyNumberFormat="1" applyFont="1" applyFill="1" applyBorder="1" applyAlignment="1">
      <alignment horizontal="center" vertical="center"/>
    </xf>
    <xf numFmtId="1" fontId="13" fillId="3" borderId="16" xfId="0" applyNumberFormat="1" applyFont="1" applyFill="1" applyBorder="1" applyAlignment="1">
      <alignment horizontal="center" vertical="center"/>
    </xf>
    <xf numFmtId="0" fontId="13" fillId="3" borderId="17" xfId="0" applyFont="1" applyFill="1" applyBorder="1" applyAlignment="1">
      <alignment horizontal="center" vertical="center"/>
    </xf>
    <xf numFmtId="0" fontId="13" fillId="2" borderId="2" xfId="0" applyFont="1" applyFill="1" applyBorder="1" applyAlignment="1">
      <alignment horizontal="center" vertical="center"/>
    </xf>
    <xf numFmtId="1" fontId="13" fillId="2" borderId="16" xfId="0" applyNumberFormat="1" applyFont="1" applyFill="1" applyBorder="1" applyAlignment="1">
      <alignment horizontal="center" vertical="center"/>
    </xf>
    <xf numFmtId="1" fontId="13" fillId="2" borderId="1" xfId="0" applyNumberFormat="1" applyFont="1" applyFill="1" applyBorder="1" applyAlignment="1">
      <alignment horizontal="center" vertical="center"/>
    </xf>
    <xf numFmtId="1" fontId="13" fillId="2" borderId="3" xfId="0" applyNumberFormat="1" applyFont="1" applyFill="1" applyBorder="1" applyAlignment="1">
      <alignment horizontal="center" vertical="center"/>
    </xf>
    <xf numFmtId="0" fontId="13" fillId="2" borderId="1" xfId="0" applyNumberFormat="1" applyFont="1" applyFill="1" applyBorder="1" applyAlignment="1">
      <alignment horizontal="center" vertical="center"/>
    </xf>
    <xf numFmtId="0" fontId="13" fillId="2" borderId="17" xfId="0" applyNumberFormat="1" applyFont="1" applyFill="1" applyBorder="1" applyAlignment="1">
      <alignment horizontal="center" vertical="center"/>
    </xf>
    <xf numFmtId="0" fontId="13" fillId="2" borderId="32" xfId="0" applyFont="1" applyFill="1" applyBorder="1" applyAlignment="1">
      <alignment horizontal="center" vertical="center"/>
    </xf>
    <xf numFmtId="0" fontId="13" fillId="2" borderId="39" xfId="0" applyFont="1" applyFill="1" applyBorder="1" applyAlignment="1">
      <alignment horizontal="center" vertical="center"/>
    </xf>
    <xf numFmtId="0" fontId="13" fillId="2" borderId="40" xfId="0" applyFont="1" applyFill="1" applyBorder="1" applyAlignment="1">
      <alignment horizontal="center" vertical="center"/>
    </xf>
    <xf numFmtId="0" fontId="13" fillId="2" borderId="33" xfId="0" applyFont="1" applyFill="1" applyBorder="1" applyAlignment="1">
      <alignment horizontal="center" vertical="center" textRotation="90" wrapText="1"/>
    </xf>
    <xf numFmtId="0" fontId="13" fillId="2" borderId="14" xfId="0" applyFont="1" applyFill="1" applyBorder="1" applyAlignment="1">
      <alignment horizontal="center" vertical="center" textRotation="90" wrapText="1"/>
    </xf>
    <xf numFmtId="0" fontId="13" fillId="2" borderId="15" xfId="0" applyFont="1" applyFill="1" applyBorder="1" applyAlignment="1">
      <alignment horizontal="center" vertical="center" textRotation="90" wrapText="1"/>
    </xf>
    <xf numFmtId="0" fontId="13" fillId="2" borderId="35" xfId="0" applyFont="1" applyFill="1" applyBorder="1" applyAlignment="1">
      <alignment horizontal="center" vertical="center" wrapText="1"/>
    </xf>
    <xf numFmtId="0" fontId="13" fillId="2" borderId="36" xfId="0" applyFont="1" applyFill="1" applyBorder="1" applyAlignment="1">
      <alignment horizontal="center" vertical="center" wrapText="1"/>
    </xf>
    <xf numFmtId="0" fontId="13" fillId="2" borderId="37"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1" fillId="2" borderId="1" xfId="0" applyFont="1" applyFill="1" applyBorder="1" applyAlignment="1">
      <alignment horizontal="left" vertical="center" wrapText="1"/>
    </xf>
    <xf numFmtId="1" fontId="11" fillId="2" borderId="1" xfId="0" applyNumberFormat="1" applyFont="1" applyFill="1" applyBorder="1" applyAlignment="1">
      <alignment horizontal="center" vertical="center" wrapText="1"/>
    </xf>
    <xf numFmtId="0" fontId="11" fillId="0" borderId="5" xfId="0" applyFont="1" applyFill="1" applyBorder="1" applyAlignment="1">
      <alignment horizontal="center" vertical="center" wrapText="1"/>
    </xf>
    <xf numFmtId="0" fontId="11" fillId="0" borderId="22" xfId="0" applyFont="1" applyFill="1" applyBorder="1" applyAlignment="1">
      <alignment horizontal="center" vertical="center" wrapText="1"/>
    </xf>
    <xf numFmtId="0" fontId="11" fillId="0" borderId="10" xfId="0" applyFont="1" applyFill="1" applyBorder="1" applyAlignment="1">
      <alignment horizontal="center" vertical="center" wrapText="1"/>
    </xf>
    <xf numFmtId="0" fontId="11" fillId="0" borderId="21" xfId="0" applyFont="1" applyFill="1" applyBorder="1" applyAlignment="1">
      <alignment horizontal="center" vertical="center" wrapText="1"/>
    </xf>
    <xf numFmtId="1" fontId="13" fillId="0" borderId="16" xfId="0" applyNumberFormat="1" applyFont="1" applyFill="1" applyBorder="1" applyAlignment="1">
      <alignment horizontal="center" vertical="center"/>
    </xf>
    <xf numFmtId="1" fontId="13" fillId="0" borderId="1" xfId="0" applyNumberFormat="1" applyFont="1" applyFill="1" applyBorder="1" applyAlignment="1">
      <alignment horizontal="center" vertical="center"/>
    </xf>
    <xf numFmtId="1" fontId="13" fillId="0" borderId="3" xfId="0" applyNumberFormat="1" applyFont="1" applyFill="1" applyBorder="1" applyAlignment="1">
      <alignment horizontal="center" vertical="center"/>
    </xf>
    <xf numFmtId="0" fontId="13" fillId="0" borderId="17" xfId="0" applyFont="1" applyFill="1" applyBorder="1" applyAlignment="1">
      <alignment horizontal="center" vertical="center"/>
    </xf>
    <xf numFmtId="0" fontId="13" fillId="0" borderId="23" xfId="0" applyFont="1" applyFill="1" applyBorder="1" applyAlignment="1">
      <alignment horizontal="center" vertical="center" wrapText="1"/>
    </xf>
    <xf numFmtId="0" fontId="13" fillId="0" borderId="6" xfId="0" applyFont="1" applyFill="1" applyBorder="1" applyAlignment="1">
      <alignment horizontal="center" vertical="center" wrapText="1"/>
    </xf>
    <xf numFmtId="0" fontId="13" fillId="0" borderId="22" xfId="0" applyFont="1" applyFill="1" applyBorder="1" applyAlignment="1">
      <alignment horizontal="center" vertical="center" wrapText="1"/>
    </xf>
    <xf numFmtId="0" fontId="13" fillId="0" borderId="20" xfId="0" applyFont="1" applyFill="1" applyBorder="1" applyAlignment="1">
      <alignment horizontal="center" vertical="center" wrapText="1"/>
    </xf>
    <xf numFmtId="0" fontId="13" fillId="0" borderId="11" xfId="0" applyFont="1" applyFill="1" applyBorder="1" applyAlignment="1">
      <alignment horizontal="center" vertical="center" wrapText="1"/>
    </xf>
    <xf numFmtId="0" fontId="13" fillId="0" borderId="21" xfId="0" applyFont="1" applyFill="1" applyBorder="1" applyAlignment="1">
      <alignment horizontal="center" vertical="center" wrapText="1"/>
    </xf>
    <xf numFmtId="0" fontId="11" fillId="0" borderId="7" xfId="0" applyFont="1" applyFill="1" applyBorder="1" applyAlignment="1">
      <alignment horizontal="center" vertical="center" wrapText="1"/>
    </xf>
    <xf numFmtId="0" fontId="11" fillId="0" borderId="12" xfId="0" applyFont="1" applyFill="1" applyBorder="1" applyAlignment="1">
      <alignment horizontal="center" vertical="center" wrapText="1"/>
    </xf>
    <xf numFmtId="1" fontId="13" fillId="4" borderId="43" xfId="0" applyNumberFormat="1" applyFont="1" applyFill="1" applyBorder="1" applyAlignment="1">
      <alignment horizontal="center" vertical="center"/>
    </xf>
    <xf numFmtId="0" fontId="13" fillId="4" borderId="43" xfId="0" applyFont="1" applyFill="1" applyBorder="1" applyAlignment="1">
      <alignment horizontal="center" vertical="center"/>
    </xf>
    <xf numFmtId="164" fontId="13" fillId="4" borderId="43" xfId="0" applyNumberFormat="1" applyFont="1" applyFill="1" applyBorder="1" applyAlignment="1">
      <alignment horizontal="center" vertical="center" wrapText="1"/>
    </xf>
    <xf numFmtId="0" fontId="13" fillId="4" borderId="43" xfId="0" applyFont="1" applyFill="1" applyBorder="1" applyAlignment="1">
      <alignment horizontal="center" vertical="center" wrapText="1"/>
    </xf>
    <xf numFmtId="0" fontId="13" fillId="3" borderId="3" xfId="0" applyNumberFormat="1" applyFont="1" applyFill="1" applyBorder="1" applyAlignment="1">
      <alignment horizontal="center" vertical="center"/>
    </xf>
    <xf numFmtId="49" fontId="13" fillId="4" borderId="43" xfId="0" applyNumberFormat="1" applyFont="1" applyFill="1" applyBorder="1" applyAlignment="1">
      <alignment horizontal="right" vertical="center" wrapText="1"/>
    </xf>
    <xf numFmtId="0" fontId="13" fillId="4" borderId="49" xfId="0" applyFont="1" applyFill="1" applyBorder="1" applyAlignment="1">
      <alignment horizontal="center" vertical="center" wrapText="1"/>
    </xf>
    <xf numFmtId="1" fontId="13" fillId="4" borderId="42" xfId="0" applyNumberFormat="1" applyFont="1" applyFill="1" applyBorder="1" applyAlignment="1">
      <alignment horizontal="center" vertical="center"/>
    </xf>
    <xf numFmtId="1" fontId="13" fillId="4" borderId="44" xfId="0" applyNumberFormat="1" applyFont="1" applyFill="1" applyBorder="1" applyAlignment="1">
      <alignment horizontal="center" vertical="center"/>
    </xf>
    <xf numFmtId="0" fontId="13" fillId="4" borderId="49" xfId="0" applyFont="1" applyFill="1" applyBorder="1" applyAlignment="1">
      <alignment horizontal="center" vertical="center"/>
    </xf>
    <xf numFmtId="0" fontId="13" fillId="4" borderId="42" xfId="0" applyFont="1" applyFill="1" applyBorder="1" applyAlignment="1">
      <alignment horizontal="center" vertical="center" wrapText="1"/>
    </xf>
    <xf numFmtId="0" fontId="13" fillId="4" borderId="45" xfId="0" applyNumberFormat="1" applyFont="1" applyFill="1" applyBorder="1" applyAlignment="1">
      <alignment horizontal="center" vertical="center"/>
    </xf>
    <xf numFmtId="0" fontId="13" fillId="4" borderId="46" xfId="0" applyNumberFormat="1"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2" xfId="0" applyFont="1" applyFill="1" applyBorder="1" applyAlignment="1">
      <alignment horizontal="center" vertical="center"/>
    </xf>
    <xf numFmtId="0" fontId="13" fillId="0" borderId="5" xfId="0" applyFont="1" applyFill="1" applyBorder="1" applyAlignment="1">
      <alignment horizontal="center" vertical="center"/>
    </xf>
    <xf numFmtId="0" fontId="13" fillId="0" borderId="6" xfId="0" applyFont="1" applyFill="1" applyBorder="1" applyAlignment="1">
      <alignment horizontal="center" vertical="center"/>
    </xf>
    <xf numFmtId="0" fontId="13" fillId="0" borderId="7" xfId="0" applyFont="1" applyFill="1" applyBorder="1" applyAlignment="1">
      <alignment horizontal="center" vertical="center"/>
    </xf>
    <xf numFmtId="0" fontId="13" fillId="0" borderId="10" xfId="0" applyFont="1" applyFill="1" applyBorder="1" applyAlignment="1">
      <alignment horizontal="center" vertical="center"/>
    </xf>
    <xf numFmtId="0" fontId="13" fillId="0" borderId="11" xfId="0" applyFont="1" applyFill="1" applyBorder="1" applyAlignment="1">
      <alignment horizontal="center" vertical="center"/>
    </xf>
    <xf numFmtId="0" fontId="13" fillId="0" borderId="12" xfId="0" applyFont="1" applyFill="1" applyBorder="1" applyAlignment="1">
      <alignment horizontal="center" vertical="center"/>
    </xf>
    <xf numFmtId="49" fontId="13" fillId="3" borderId="1" xfId="0" applyNumberFormat="1" applyFont="1" applyFill="1" applyBorder="1" applyAlignment="1">
      <alignment horizontal="center" vertical="center"/>
    </xf>
    <xf numFmtId="164" fontId="19" fillId="3" borderId="1" xfId="0" applyNumberFormat="1" applyFont="1" applyFill="1" applyBorder="1" applyAlignment="1">
      <alignment horizontal="center" vertical="center"/>
    </xf>
    <xf numFmtId="0" fontId="11" fillId="0" borderId="1" xfId="0" applyFont="1" applyFill="1" applyBorder="1" applyAlignment="1">
      <alignment horizontal="left" vertical="center"/>
    </xf>
    <xf numFmtId="0" fontId="13" fillId="2" borderId="1" xfId="0" applyFont="1" applyFill="1" applyBorder="1" applyAlignment="1">
      <alignment horizontal="center" vertical="center" textRotation="90"/>
    </xf>
    <xf numFmtId="0" fontId="8" fillId="2" borderId="1" xfId="0" applyFont="1" applyFill="1" applyBorder="1" applyAlignment="1">
      <alignment horizontal="center" vertical="center"/>
    </xf>
    <xf numFmtId="0" fontId="8" fillId="2" borderId="1" xfId="0" applyFont="1" applyFill="1" applyBorder="1" applyAlignment="1">
      <alignment horizontal="right"/>
    </xf>
    <xf numFmtId="0" fontId="33" fillId="2" borderId="0" xfId="1" applyFont="1" applyFill="1" applyAlignment="1">
      <alignment horizontal="center" vertical="center"/>
    </xf>
    <xf numFmtId="49" fontId="19" fillId="0" borderId="41" xfId="0" applyNumberFormat="1" applyFont="1" applyFill="1" applyBorder="1" applyAlignment="1">
      <alignment horizontal="center" vertical="center" wrapText="1"/>
    </xf>
    <xf numFmtId="49" fontId="19" fillId="0" borderId="40" xfId="0" applyNumberFormat="1" applyFont="1" applyFill="1" applyBorder="1" applyAlignment="1">
      <alignment horizontal="center" vertical="center" wrapText="1"/>
    </xf>
    <xf numFmtId="0" fontId="10" fillId="2" borderId="1" xfId="0" applyFont="1" applyFill="1" applyBorder="1" applyAlignment="1">
      <alignment horizontal="center" vertical="center" textRotation="90"/>
    </xf>
    <xf numFmtId="0" fontId="10" fillId="2" borderId="5" xfId="0" applyFont="1" applyFill="1" applyBorder="1" applyAlignment="1">
      <alignment horizontal="center" vertical="center" textRotation="90" wrapText="1"/>
    </xf>
    <xf numFmtId="0" fontId="10" fillId="2" borderId="7" xfId="0" applyFont="1" applyFill="1" applyBorder="1" applyAlignment="1">
      <alignment horizontal="center" vertical="center" textRotation="90" wrapText="1"/>
    </xf>
    <xf numFmtId="0" fontId="10" fillId="2" borderId="8"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0" xfId="0" applyFont="1" applyFill="1" applyBorder="1" applyAlignment="1">
      <alignment horizontal="center" vertical="center" textRotation="90" wrapText="1"/>
    </xf>
    <xf numFmtId="0" fontId="10" fillId="2" borderId="12" xfId="0" applyFont="1" applyFill="1" applyBorder="1" applyAlignment="1">
      <alignment horizontal="center" vertical="center" textRotation="90" wrapText="1"/>
    </xf>
    <xf numFmtId="0" fontId="30" fillId="2" borderId="5" xfId="0" applyFont="1" applyFill="1" applyBorder="1" applyAlignment="1">
      <alignment horizontal="center" vertical="center" textRotation="90" wrapText="1"/>
    </xf>
    <xf numFmtId="0" fontId="30" fillId="2" borderId="7" xfId="0" applyFont="1" applyFill="1" applyBorder="1" applyAlignment="1">
      <alignment horizontal="center" vertical="center" textRotation="90" wrapText="1"/>
    </xf>
    <xf numFmtId="0" fontId="30" fillId="2" borderId="8" xfId="0" applyFont="1" applyFill="1" applyBorder="1" applyAlignment="1">
      <alignment horizontal="center" vertical="center" textRotation="90" wrapText="1"/>
    </xf>
    <xf numFmtId="0" fontId="30" fillId="2" borderId="9" xfId="0" applyFont="1" applyFill="1" applyBorder="1" applyAlignment="1">
      <alignment horizontal="center" vertical="center" textRotation="90" wrapText="1"/>
    </xf>
    <xf numFmtId="0" fontId="30" fillId="2" borderId="10" xfId="0" applyFont="1" applyFill="1" applyBorder="1" applyAlignment="1">
      <alignment horizontal="center" vertical="center" textRotation="90" wrapText="1"/>
    </xf>
    <xf numFmtId="0" fontId="30" fillId="2" borderId="12" xfId="0" applyFont="1" applyFill="1" applyBorder="1" applyAlignment="1">
      <alignment horizontal="center" vertical="center" textRotation="90" wrapText="1"/>
    </xf>
    <xf numFmtId="0" fontId="9" fillId="2" borderId="26" xfId="0" applyFont="1" applyFill="1" applyBorder="1" applyAlignment="1">
      <alignment horizontal="center" vertical="center"/>
    </xf>
    <xf numFmtId="0" fontId="9" fillId="2" borderId="27" xfId="0" applyFont="1" applyFill="1" applyBorder="1" applyAlignment="1">
      <alignment horizontal="center" vertical="center"/>
    </xf>
    <xf numFmtId="0" fontId="9" fillId="2" borderId="28" xfId="0" applyFont="1" applyFill="1" applyBorder="1" applyAlignment="1">
      <alignment horizontal="center" vertical="center"/>
    </xf>
    <xf numFmtId="0" fontId="9" fillId="2" borderId="26"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9" fillId="2" borderId="28" xfId="0" applyFont="1" applyFill="1" applyBorder="1" applyAlignment="1">
      <alignment horizontal="center" vertical="center" wrapText="1"/>
    </xf>
    <xf numFmtId="0" fontId="9" fillId="2" borderId="29" xfId="0" applyFont="1" applyFill="1" applyBorder="1" applyAlignment="1">
      <alignment horizontal="center" vertical="center"/>
    </xf>
    <xf numFmtId="0" fontId="9" fillId="2" borderId="30" xfId="0" applyFont="1" applyFill="1" applyBorder="1" applyAlignment="1">
      <alignment horizontal="center" vertical="center"/>
    </xf>
    <xf numFmtId="0" fontId="9" fillId="2" borderId="31" xfId="0" applyFont="1" applyFill="1" applyBorder="1" applyAlignment="1">
      <alignment horizontal="center" vertical="center"/>
    </xf>
    <xf numFmtId="0" fontId="27" fillId="5" borderId="5" xfId="0" applyFont="1" applyFill="1" applyBorder="1" applyAlignment="1">
      <alignment horizontal="center" vertical="center"/>
    </xf>
    <xf numFmtId="0" fontId="27" fillId="5" borderId="6" xfId="0" applyFont="1" applyFill="1" applyBorder="1" applyAlignment="1">
      <alignment horizontal="center" vertical="center"/>
    </xf>
    <xf numFmtId="0" fontId="27" fillId="5" borderId="7" xfId="0" applyFont="1" applyFill="1" applyBorder="1" applyAlignment="1">
      <alignment horizontal="center" vertical="center"/>
    </xf>
    <xf numFmtId="0" fontId="47" fillId="2" borderId="0" xfId="1" applyFont="1" applyFill="1" applyAlignment="1">
      <alignment horizontal="left" vertical="center"/>
    </xf>
    <xf numFmtId="0" fontId="0" fillId="0" borderId="0" xfId="0" applyAlignment="1">
      <alignment horizontal="left" vertical="center"/>
    </xf>
    <xf numFmtId="0" fontId="14" fillId="2" borderId="0" xfId="0" applyFont="1" applyFill="1" applyBorder="1" applyAlignment="1">
      <alignment horizontal="center" vertical="center"/>
    </xf>
    <xf numFmtId="0" fontId="31" fillId="0" borderId="0" xfId="0" applyFont="1" applyAlignment="1">
      <alignment horizontal="left" vertical="center" wrapText="1"/>
    </xf>
    <xf numFmtId="0" fontId="9" fillId="2" borderId="0" xfId="0" applyFont="1" applyFill="1" applyBorder="1" applyAlignment="1">
      <alignment horizontal="center" vertical="center"/>
    </xf>
    <xf numFmtId="0" fontId="27" fillId="2" borderId="5" xfId="0" applyFont="1" applyFill="1" applyBorder="1" applyAlignment="1">
      <alignment horizontal="center" vertical="center" wrapText="1"/>
    </xf>
    <xf numFmtId="0" fontId="27" fillId="2" borderId="6" xfId="0" applyFont="1" applyFill="1" applyBorder="1" applyAlignment="1">
      <alignment horizontal="center" vertical="center" wrapText="1"/>
    </xf>
    <xf numFmtId="0" fontId="27" fillId="2" borderId="7" xfId="0" applyFont="1" applyFill="1" applyBorder="1" applyAlignment="1">
      <alignment horizontal="center" vertical="center" wrapText="1"/>
    </xf>
    <xf numFmtId="0" fontId="27" fillId="2" borderId="10" xfId="0" applyFont="1" applyFill="1" applyBorder="1" applyAlignment="1">
      <alignment horizontal="center" vertical="center" wrapText="1"/>
    </xf>
    <xf numFmtId="0" fontId="27" fillId="2" borderId="11"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0" borderId="5" xfId="0" applyFont="1" applyFill="1" applyBorder="1" applyAlignment="1">
      <alignment horizontal="center" vertical="center"/>
    </xf>
    <xf numFmtId="0" fontId="27" fillId="0" borderId="6" xfId="0" applyFont="1" applyFill="1" applyBorder="1" applyAlignment="1">
      <alignment horizontal="center" vertical="center"/>
    </xf>
    <xf numFmtId="0" fontId="27" fillId="0" borderId="7" xfId="0" applyFont="1" applyFill="1" applyBorder="1" applyAlignment="1">
      <alignment horizontal="center" vertical="center"/>
    </xf>
    <xf numFmtId="0" fontId="27" fillId="0" borderId="10" xfId="0" applyFont="1" applyFill="1" applyBorder="1" applyAlignment="1">
      <alignment horizontal="center" vertical="center"/>
    </xf>
    <xf numFmtId="0" fontId="27" fillId="0" borderId="11" xfId="0" applyFont="1" applyFill="1" applyBorder="1" applyAlignment="1">
      <alignment horizontal="center" vertical="center"/>
    </xf>
    <xf numFmtId="0" fontId="27" fillId="0" borderId="12" xfId="0" applyFont="1" applyFill="1" applyBorder="1" applyAlignment="1">
      <alignment horizontal="center" vertical="center"/>
    </xf>
    <xf numFmtId="0" fontId="27" fillId="2" borderId="5" xfId="0" applyFont="1" applyFill="1" applyBorder="1" applyAlignment="1">
      <alignment horizontal="center" vertical="center"/>
    </xf>
    <xf numFmtId="0" fontId="27" fillId="2" borderId="6" xfId="0" applyFont="1" applyFill="1" applyBorder="1" applyAlignment="1">
      <alignment horizontal="center" vertical="center"/>
    </xf>
    <xf numFmtId="0" fontId="27" fillId="2" borderId="7" xfId="0" applyFont="1" applyFill="1" applyBorder="1" applyAlignment="1">
      <alignment horizontal="center" vertical="center"/>
    </xf>
    <xf numFmtId="0" fontId="27" fillId="2" borderId="10" xfId="0" applyFont="1" applyFill="1" applyBorder="1" applyAlignment="1">
      <alignment horizontal="center" vertical="center"/>
    </xf>
    <xf numFmtId="0" fontId="27" fillId="2" borderId="11" xfId="0" applyFont="1" applyFill="1" applyBorder="1" applyAlignment="1">
      <alignment horizontal="center" vertical="center"/>
    </xf>
    <xf numFmtId="0" fontId="27" fillId="2" borderId="12" xfId="0" applyFont="1" applyFill="1" applyBorder="1" applyAlignment="1">
      <alignment horizontal="center" vertical="center"/>
    </xf>
    <xf numFmtId="0" fontId="18" fillId="2" borderId="5" xfId="0" applyNumberFormat="1" applyFont="1" applyFill="1" applyBorder="1" applyAlignment="1">
      <alignment horizontal="center" vertical="center"/>
    </xf>
    <xf numFmtId="0" fontId="18" fillId="2" borderId="6" xfId="0" applyNumberFormat="1" applyFont="1" applyFill="1" applyBorder="1" applyAlignment="1">
      <alignment horizontal="center" vertical="center"/>
    </xf>
    <xf numFmtId="0" fontId="18" fillId="2" borderId="22" xfId="0" applyNumberFormat="1" applyFont="1" applyFill="1" applyBorder="1" applyAlignment="1">
      <alignment horizontal="center" vertical="center"/>
    </xf>
    <xf numFmtId="0" fontId="18" fillId="2" borderId="10" xfId="0" applyNumberFormat="1" applyFont="1" applyFill="1" applyBorder="1" applyAlignment="1">
      <alignment horizontal="center" vertical="center"/>
    </xf>
    <xf numFmtId="0" fontId="18" fillId="2" borderId="11" xfId="0" applyNumberFormat="1" applyFont="1" applyFill="1" applyBorder="1" applyAlignment="1">
      <alignment horizontal="center" vertical="center"/>
    </xf>
    <xf numFmtId="0" fontId="18" fillId="2" borderId="21" xfId="0" applyNumberFormat="1" applyFont="1" applyFill="1" applyBorder="1" applyAlignment="1">
      <alignment horizontal="center" vertical="center"/>
    </xf>
    <xf numFmtId="0" fontId="27" fillId="2" borderId="23" xfId="0" applyFont="1" applyFill="1" applyBorder="1" applyAlignment="1">
      <alignment horizontal="center" vertical="center" wrapText="1"/>
    </xf>
    <xf numFmtId="0" fontId="27" fillId="2" borderId="20" xfId="0" applyFont="1" applyFill="1" applyBorder="1" applyAlignment="1">
      <alignment horizontal="center" vertical="center" wrapText="1"/>
    </xf>
    <xf numFmtId="0" fontId="27" fillId="2" borderId="1" xfId="0" applyFont="1" applyFill="1" applyBorder="1" applyAlignment="1">
      <alignment horizontal="center" vertical="center" wrapText="1"/>
    </xf>
    <xf numFmtId="0" fontId="18" fillId="2" borderId="5" xfId="0" applyFont="1" applyFill="1" applyBorder="1" applyAlignment="1">
      <alignment horizontal="center" vertical="center"/>
    </xf>
    <xf numFmtId="0" fontId="18" fillId="2" borderId="6" xfId="0" applyFont="1" applyFill="1" applyBorder="1" applyAlignment="1">
      <alignment horizontal="center" vertical="center"/>
    </xf>
    <xf numFmtId="0" fontId="18" fillId="2" borderId="7" xfId="0" applyFont="1" applyFill="1" applyBorder="1" applyAlignment="1">
      <alignment horizontal="center" vertical="center"/>
    </xf>
    <xf numFmtId="0" fontId="18" fillId="2" borderId="10" xfId="0" applyFont="1" applyFill="1" applyBorder="1" applyAlignment="1">
      <alignment horizontal="center" vertical="center"/>
    </xf>
    <xf numFmtId="0" fontId="18" fillId="2" borderId="11" xfId="0" applyFont="1" applyFill="1" applyBorder="1" applyAlignment="1">
      <alignment horizontal="center" vertical="center"/>
    </xf>
    <xf numFmtId="0" fontId="18" fillId="2" borderId="12" xfId="0" applyFont="1" applyFill="1" applyBorder="1" applyAlignment="1">
      <alignment horizontal="center" vertical="center"/>
    </xf>
    <xf numFmtId="164" fontId="18" fillId="3" borderId="1" xfId="0" applyNumberFormat="1" applyFont="1" applyFill="1" applyBorder="1" applyAlignment="1">
      <alignment horizontal="center" vertical="center" wrapText="1"/>
    </xf>
    <xf numFmtId="49" fontId="18" fillId="4" borderId="1" xfId="0" applyNumberFormat="1" applyFont="1" applyFill="1" applyBorder="1" applyAlignment="1">
      <alignment horizontal="right" vertical="center" wrapText="1"/>
    </xf>
    <xf numFmtId="1" fontId="50" fillId="4" borderId="1" xfId="0" applyNumberFormat="1" applyFont="1" applyFill="1" applyBorder="1" applyAlignment="1">
      <alignment horizontal="center" vertical="center"/>
    </xf>
    <xf numFmtId="0" fontId="50" fillId="4" borderId="1" xfId="0" applyFont="1" applyFill="1" applyBorder="1" applyAlignment="1">
      <alignment horizontal="center" vertical="center"/>
    </xf>
    <xf numFmtId="1" fontId="50" fillId="3" borderId="3" xfId="0" applyNumberFormat="1" applyFont="1" applyFill="1" applyBorder="1" applyAlignment="1">
      <alignment horizontal="center" vertical="center" wrapText="1"/>
    </xf>
    <xf numFmtId="1" fontId="50" fillId="3" borderId="4" xfId="0" applyNumberFormat="1" applyFont="1" applyFill="1" applyBorder="1" applyAlignment="1">
      <alignment horizontal="center" vertical="center" wrapText="1"/>
    </xf>
    <xf numFmtId="1" fontId="50" fillId="3" borderId="2" xfId="0" applyNumberFormat="1" applyFont="1" applyFill="1" applyBorder="1" applyAlignment="1">
      <alignment horizontal="center" vertical="center" wrapText="1"/>
    </xf>
    <xf numFmtId="0" fontId="28" fillId="2" borderId="5" xfId="0" applyFont="1" applyFill="1" applyBorder="1" applyAlignment="1">
      <alignment horizontal="center" vertical="center" wrapText="1"/>
    </xf>
    <xf numFmtId="0" fontId="28" fillId="2" borderId="6" xfId="0" applyFont="1" applyFill="1" applyBorder="1" applyAlignment="1">
      <alignment horizontal="center" vertical="center" wrapText="1"/>
    </xf>
    <xf numFmtId="0" fontId="28" fillId="2" borderId="7" xfId="0" applyFont="1" applyFill="1" applyBorder="1" applyAlignment="1">
      <alignment horizontal="center" vertical="center" wrapText="1"/>
    </xf>
    <xf numFmtId="0" fontId="28" fillId="2" borderId="8" xfId="0" applyFont="1" applyFill="1" applyBorder="1" applyAlignment="1">
      <alignment horizontal="center" vertical="center" wrapText="1"/>
    </xf>
    <xf numFmtId="0" fontId="28" fillId="2" borderId="0" xfId="0" applyFont="1" applyFill="1" applyBorder="1" applyAlignment="1">
      <alignment horizontal="center" vertical="center" wrapText="1"/>
    </xf>
    <xf numFmtId="0" fontId="28" fillId="2" borderId="9" xfId="0" applyFont="1" applyFill="1" applyBorder="1" applyAlignment="1">
      <alignment horizontal="center" vertical="center" wrapText="1"/>
    </xf>
    <xf numFmtId="0" fontId="28" fillId="2" borderId="10" xfId="0" applyFont="1" applyFill="1" applyBorder="1" applyAlignment="1">
      <alignment horizontal="center" vertical="center" wrapText="1"/>
    </xf>
    <xf numFmtId="0" fontId="28" fillId="2" borderId="11" xfId="0" applyFont="1" applyFill="1" applyBorder="1" applyAlignment="1">
      <alignment horizontal="center" vertical="center" wrapText="1"/>
    </xf>
    <xf numFmtId="0" fontId="28" fillId="2" borderId="12" xfId="0" applyFont="1" applyFill="1" applyBorder="1" applyAlignment="1">
      <alignment horizontal="center" vertical="center" wrapText="1"/>
    </xf>
    <xf numFmtId="0" fontId="28" fillId="2" borderId="1" xfId="0" applyFont="1" applyFill="1" applyBorder="1" applyAlignment="1">
      <alignment horizontal="center" vertical="center" wrapText="1"/>
    </xf>
    <xf numFmtId="1" fontId="27" fillId="0" borderId="1" xfId="0" applyNumberFormat="1" applyFont="1" applyFill="1" applyBorder="1" applyAlignment="1">
      <alignment horizontal="center" vertical="center"/>
    </xf>
    <xf numFmtId="0" fontId="27" fillId="0" borderId="1" xfId="0" applyFont="1" applyFill="1" applyBorder="1" applyAlignment="1">
      <alignment horizontal="center" vertical="center"/>
    </xf>
    <xf numFmtId="0" fontId="27" fillId="0" borderId="1" xfId="0" applyFont="1" applyFill="1" applyBorder="1" applyAlignment="1">
      <alignment horizontal="center" vertical="center" wrapText="1"/>
    </xf>
    <xf numFmtId="164" fontId="27" fillId="0" borderId="1" xfId="0" applyNumberFormat="1" applyFont="1" applyFill="1" applyBorder="1" applyAlignment="1">
      <alignment horizontal="center" vertical="center" wrapText="1"/>
    </xf>
    <xf numFmtId="0" fontId="27" fillId="0" borderId="3" xfId="0" applyFont="1" applyFill="1" applyBorder="1" applyAlignment="1">
      <alignment horizontal="center" vertical="center" wrapText="1"/>
    </xf>
    <xf numFmtId="0" fontId="27" fillId="0" borderId="4" xfId="0" applyFont="1" applyFill="1" applyBorder="1" applyAlignment="1">
      <alignment horizontal="center" vertical="center" wrapText="1"/>
    </xf>
    <xf numFmtId="0" fontId="27" fillId="0" borderId="2" xfId="0" applyFont="1" applyFill="1" applyBorder="1" applyAlignment="1">
      <alignment horizontal="center" vertical="center" wrapText="1"/>
    </xf>
    <xf numFmtId="0" fontId="18" fillId="0" borderId="1" xfId="0" applyNumberFormat="1" applyFont="1" applyFill="1" applyBorder="1" applyAlignment="1">
      <alignment horizontal="center" vertical="center"/>
    </xf>
    <xf numFmtId="0" fontId="18" fillId="0" borderId="3" xfId="0" applyNumberFormat="1" applyFont="1" applyFill="1" applyBorder="1" applyAlignment="1">
      <alignment horizontal="center" vertical="center"/>
    </xf>
    <xf numFmtId="0" fontId="27" fillId="0" borderId="16" xfId="0" applyFont="1" applyFill="1" applyBorder="1" applyAlignment="1">
      <alignment horizontal="center" vertical="center" wrapText="1"/>
    </xf>
    <xf numFmtId="0" fontId="27" fillId="0" borderId="1" xfId="0" applyFont="1" applyFill="1" applyBorder="1" applyAlignment="1">
      <alignment horizontal="left" vertical="center" wrapText="1"/>
    </xf>
    <xf numFmtId="0" fontId="27" fillId="2" borderId="17" xfId="0" applyFont="1" applyFill="1" applyBorder="1" applyAlignment="1">
      <alignment horizontal="center" vertical="center" wrapText="1"/>
    </xf>
    <xf numFmtId="0" fontId="18" fillId="0" borderId="1" xfId="0" applyFont="1" applyFill="1" applyBorder="1" applyAlignment="1">
      <alignment horizontal="center" vertical="center"/>
    </xf>
    <xf numFmtId="0" fontId="34" fillId="0" borderId="1" xfId="0" applyFont="1" applyFill="1" applyBorder="1" applyAlignment="1">
      <alignment horizontal="center" vertical="center" wrapText="1"/>
    </xf>
    <xf numFmtId="0" fontId="27" fillId="2" borderId="1" xfId="0" applyFont="1" applyFill="1" applyBorder="1" applyAlignment="1">
      <alignment horizontal="left" vertical="center" wrapText="1"/>
    </xf>
    <xf numFmtId="0" fontId="18" fillId="2" borderId="1" xfId="0" applyFont="1" applyFill="1" applyBorder="1" applyAlignment="1">
      <alignment horizontal="center" vertical="center"/>
    </xf>
    <xf numFmtId="0" fontId="34" fillId="2" borderId="1" xfId="0" applyFont="1" applyFill="1" applyBorder="1" applyAlignment="1">
      <alignment horizontal="center" vertical="center" wrapText="1"/>
    </xf>
    <xf numFmtId="1" fontId="27" fillId="2" borderId="1" xfId="0" applyNumberFormat="1" applyFont="1" applyFill="1" applyBorder="1" applyAlignment="1">
      <alignment horizontal="center" vertical="center"/>
    </xf>
    <xf numFmtId="0" fontId="27" fillId="2" borderId="19" xfId="0" applyFont="1" applyFill="1" applyBorder="1" applyAlignment="1">
      <alignment horizontal="center" vertical="center" wrapText="1"/>
    </xf>
    <xf numFmtId="0" fontId="27" fillId="2" borderId="4" xfId="0" applyFont="1" applyFill="1" applyBorder="1" applyAlignment="1">
      <alignment horizontal="center" vertical="center" wrapText="1"/>
    </xf>
    <xf numFmtId="0" fontId="27" fillId="2" borderId="2" xfId="0" applyFont="1" applyFill="1" applyBorder="1" applyAlignment="1">
      <alignment horizontal="center" vertical="center" wrapText="1"/>
    </xf>
    <xf numFmtId="0" fontId="18" fillId="2" borderId="1" xfId="0" applyNumberFormat="1" applyFont="1" applyFill="1" applyBorder="1" applyAlignment="1">
      <alignment horizontal="center" vertical="center"/>
    </xf>
    <xf numFmtId="0" fontId="18" fillId="2" borderId="3" xfId="0" applyNumberFormat="1" applyFont="1" applyFill="1" applyBorder="1" applyAlignment="1">
      <alignment horizontal="center" vertical="center"/>
    </xf>
    <xf numFmtId="0" fontId="27" fillId="0" borderId="3" xfId="0" applyFont="1" applyFill="1" applyBorder="1" applyAlignment="1">
      <alignment horizontal="left" vertical="center" wrapText="1"/>
    </xf>
    <xf numFmtId="0" fontId="27" fillId="0" borderId="4" xfId="0" applyFont="1" applyFill="1" applyBorder="1" applyAlignment="1">
      <alignment horizontal="left" vertical="center" wrapText="1"/>
    </xf>
    <xf numFmtId="0" fontId="27" fillId="0" borderId="2" xfId="0" applyFont="1" applyFill="1" applyBorder="1" applyAlignment="1">
      <alignment horizontal="left" vertical="center" wrapText="1"/>
    </xf>
    <xf numFmtId="164" fontId="34" fillId="0" borderId="1" xfId="0" applyNumberFormat="1" applyFont="1" applyFill="1" applyBorder="1" applyAlignment="1">
      <alignment horizontal="center" vertical="center" wrapText="1"/>
    </xf>
    <xf numFmtId="1" fontId="18" fillId="2" borderId="16" xfId="0" applyNumberFormat="1" applyFont="1" applyFill="1" applyBorder="1" applyAlignment="1">
      <alignment horizontal="center" vertical="center"/>
    </xf>
    <xf numFmtId="1" fontId="18" fillId="2" borderId="2" xfId="0" applyNumberFormat="1" applyFont="1" applyFill="1" applyBorder="1" applyAlignment="1">
      <alignment horizontal="center" vertical="center"/>
    </xf>
    <xf numFmtId="1" fontId="18" fillId="2" borderId="1" xfId="0" applyNumberFormat="1" applyFont="1" applyFill="1" applyBorder="1" applyAlignment="1">
      <alignment horizontal="center" vertical="center"/>
    </xf>
    <xf numFmtId="0" fontId="18" fillId="2" borderId="17" xfId="0" applyFont="1" applyFill="1" applyBorder="1" applyAlignment="1">
      <alignment horizontal="center" vertical="center"/>
    </xf>
    <xf numFmtId="0" fontId="27" fillId="5" borderId="10" xfId="0" applyFont="1" applyFill="1" applyBorder="1" applyAlignment="1">
      <alignment horizontal="center" vertical="center"/>
    </xf>
    <xf numFmtId="0" fontId="27" fillId="5" borderId="11" xfId="0" applyFont="1" applyFill="1" applyBorder="1" applyAlignment="1">
      <alignment horizontal="center" vertical="center"/>
    </xf>
    <xf numFmtId="0" fontId="27" fillId="5" borderId="12" xfId="0" applyFont="1" applyFill="1" applyBorder="1" applyAlignment="1">
      <alignment horizontal="center" vertical="center"/>
    </xf>
    <xf numFmtId="0" fontId="18" fillId="2" borderId="16"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7" fillId="0" borderId="18" xfId="0" applyFont="1" applyFill="1" applyBorder="1" applyAlignment="1">
      <alignment horizontal="center" vertical="center" wrapText="1"/>
    </xf>
    <xf numFmtId="1" fontId="18" fillId="0" borderId="16" xfId="0" applyNumberFormat="1" applyFont="1" applyFill="1" applyBorder="1" applyAlignment="1">
      <alignment horizontal="center" vertical="center"/>
    </xf>
    <xf numFmtId="1" fontId="18" fillId="0" borderId="2" xfId="0" applyNumberFormat="1" applyFont="1" applyFill="1" applyBorder="1" applyAlignment="1">
      <alignment horizontal="center" vertical="center"/>
    </xf>
    <xf numFmtId="1" fontId="18" fillId="0" borderId="1" xfId="0" applyNumberFormat="1" applyFont="1" applyFill="1" applyBorder="1" applyAlignment="1">
      <alignment horizontal="center" vertical="center"/>
    </xf>
    <xf numFmtId="0" fontId="18" fillId="0" borderId="17" xfId="0" applyFont="1" applyFill="1" applyBorder="1" applyAlignment="1">
      <alignment horizontal="center" vertical="center"/>
    </xf>
    <xf numFmtId="0" fontId="18" fillId="2" borderId="16" xfId="0" applyFont="1" applyFill="1" applyBorder="1" applyAlignment="1">
      <alignment horizontal="center" vertical="center"/>
    </xf>
    <xf numFmtId="0" fontId="27" fillId="5" borderId="1" xfId="0" applyFont="1" applyFill="1" applyBorder="1" applyAlignment="1">
      <alignment horizontal="center" vertical="center"/>
    </xf>
    <xf numFmtId="164" fontId="27" fillId="5" borderId="1" xfId="0" applyNumberFormat="1" applyFont="1" applyFill="1" applyBorder="1" applyAlignment="1">
      <alignment horizontal="center" vertical="center" wrapText="1"/>
    </xf>
    <xf numFmtId="0" fontId="27" fillId="0" borderId="17" xfId="0" applyFont="1" applyFill="1" applyBorder="1" applyAlignment="1">
      <alignment horizontal="center" vertical="center" wrapText="1"/>
    </xf>
    <xf numFmtId="0" fontId="27" fillId="0" borderId="19" xfId="0" applyFont="1" applyFill="1" applyBorder="1" applyAlignment="1">
      <alignment horizontal="center" vertical="center" wrapText="1"/>
    </xf>
    <xf numFmtId="0" fontId="27" fillId="5" borderId="3" xfId="0" applyFont="1" applyFill="1" applyBorder="1" applyAlignment="1">
      <alignment horizontal="center" vertical="center" wrapText="1"/>
    </xf>
    <xf numFmtId="0" fontId="27" fillId="5" borderId="4" xfId="0" applyFont="1" applyFill="1" applyBorder="1" applyAlignment="1">
      <alignment horizontal="center" vertical="center" wrapText="1"/>
    </xf>
    <xf numFmtId="0" fontId="27" fillId="5" borderId="2" xfId="0" applyFont="1" applyFill="1" applyBorder="1" applyAlignment="1">
      <alignment horizontal="center" vertical="center" wrapText="1"/>
    </xf>
    <xf numFmtId="0" fontId="27" fillId="5" borderId="1" xfId="0" applyFont="1" applyFill="1" applyBorder="1" applyAlignment="1">
      <alignment horizontal="center" vertical="center" wrapText="1"/>
    </xf>
    <xf numFmtId="0" fontId="27" fillId="5" borderId="17" xfId="0" applyFont="1" applyFill="1" applyBorder="1" applyAlignment="1">
      <alignment horizontal="center" vertical="center" wrapText="1"/>
    </xf>
    <xf numFmtId="0" fontId="27" fillId="5" borderId="19" xfId="0" applyFont="1" applyFill="1" applyBorder="1" applyAlignment="1">
      <alignment horizontal="center" vertical="center" wrapText="1"/>
    </xf>
    <xf numFmtId="0" fontId="18" fillId="2" borderId="13" xfId="0" applyFont="1" applyFill="1" applyBorder="1" applyAlignment="1">
      <alignment horizontal="center" vertical="center" textRotation="90" wrapText="1"/>
    </xf>
    <xf numFmtId="0" fontId="18" fillId="2" borderId="14" xfId="0" applyFont="1" applyFill="1" applyBorder="1" applyAlignment="1">
      <alignment horizontal="center" vertical="center" textRotation="90" wrapText="1"/>
    </xf>
    <xf numFmtId="0" fontId="18" fillId="2" borderId="15" xfId="0" applyFont="1" applyFill="1" applyBorder="1" applyAlignment="1">
      <alignment horizontal="center" vertical="center" textRotation="90" wrapText="1"/>
    </xf>
    <xf numFmtId="2" fontId="18" fillId="2" borderId="1" xfId="0" applyNumberFormat="1" applyFont="1" applyFill="1" applyBorder="1" applyAlignment="1">
      <alignment horizontal="center" vertical="center" wrapText="1"/>
    </xf>
    <xf numFmtId="0" fontId="18" fillId="2" borderId="3" xfId="0" applyFont="1" applyFill="1" applyBorder="1" applyAlignment="1">
      <alignment horizontal="center" vertical="center" wrapText="1"/>
    </xf>
    <xf numFmtId="0" fontId="18" fillId="2" borderId="4" xfId="0" applyFont="1" applyFill="1" applyBorder="1" applyAlignment="1">
      <alignment horizontal="center" vertical="center" wrapText="1"/>
    </xf>
    <xf numFmtId="164" fontId="27" fillId="2" borderId="1" xfId="0" applyNumberFormat="1" applyFont="1" applyFill="1" applyBorder="1" applyAlignment="1">
      <alignment horizontal="center" vertical="center" wrapText="1"/>
    </xf>
    <xf numFmtId="49" fontId="18" fillId="3" borderId="1" xfId="0" applyNumberFormat="1" applyFont="1" applyFill="1" applyBorder="1" applyAlignment="1">
      <alignment horizontal="center" vertical="center" wrapText="1"/>
    </xf>
    <xf numFmtId="1" fontId="50" fillId="3" borderId="1" xfId="0" applyNumberFormat="1" applyFont="1" applyFill="1" applyBorder="1" applyAlignment="1">
      <alignment horizontal="center" vertical="center" wrapText="1"/>
    </xf>
    <xf numFmtId="1" fontId="18" fillId="3" borderId="3" xfId="0" applyNumberFormat="1" applyFont="1" applyFill="1" applyBorder="1" applyAlignment="1">
      <alignment horizontal="center" vertical="center" wrapText="1"/>
    </xf>
    <xf numFmtId="1" fontId="18" fillId="3" borderId="4" xfId="0" applyNumberFormat="1" applyFont="1" applyFill="1" applyBorder="1" applyAlignment="1">
      <alignment horizontal="center" vertical="center" wrapText="1"/>
    </xf>
    <xf numFmtId="1" fontId="18" fillId="3" borderId="2" xfId="0" applyNumberFormat="1" applyFont="1" applyFill="1" applyBorder="1" applyAlignment="1">
      <alignment horizontal="center" vertical="center" wrapText="1"/>
    </xf>
    <xf numFmtId="1" fontId="18" fillId="2" borderId="10" xfId="0" applyNumberFormat="1" applyFont="1" applyFill="1" applyBorder="1" applyAlignment="1">
      <alignment horizontal="center" vertical="center" wrapText="1"/>
    </xf>
    <xf numFmtId="1" fontId="18" fillId="2" borderId="11" xfId="0" applyNumberFormat="1" applyFont="1" applyFill="1" applyBorder="1" applyAlignment="1">
      <alignment horizontal="center" vertical="center" wrapText="1"/>
    </xf>
    <xf numFmtId="1" fontId="18" fillId="2" borderId="21" xfId="0" applyNumberFormat="1" applyFont="1" applyFill="1" applyBorder="1" applyAlignment="1">
      <alignment horizontal="center" vertical="center" wrapText="1"/>
    </xf>
    <xf numFmtId="0" fontId="27" fillId="2" borderId="3" xfId="0" applyFont="1" applyFill="1" applyBorder="1" applyAlignment="1">
      <alignment horizontal="center" vertical="center" wrapText="1"/>
    </xf>
    <xf numFmtId="0" fontId="27" fillId="2" borderId="1" xfId="0" applyFont="1" applyFill="1" applyBorder="1" applyAlignment="1">
      <alignment horizontal="center" vertical="center"/>
    </xf>
    <xf numFmtId="0" fontId="18" fillId="3" borderId="1" xfId="0" applyFont="1" applyFill="1" applyBorder="1" applyAlignment="1">
      <alignment horizontal="center" vertical="center" wrapText="1"/>
    </xf>
    <xf numFmtId="0" fontId="27" fillId="2" borderId="18"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16" xfId="0" applyFont="1" applyFill="1" applyBorder="1" applyAlignment="1">
      <alignment horizontal="center" vertical="center" wrapText="1"/>
    </xf>
    <xf numFmtId="0" fontId="39" fillId="2" borderId="0" xfId="0" applyFont="1" applyFill="1" applyBorder="1" applyAlignment="1">
      <alignment horizontal="center" vertical="center" wrapText="1"/>
    </xf>
    <xf numFmtId="0" fontId="18" fillId="2" borderId="13" xfId="0" applyFont="1" applyFill="1" applyBorder="1" applyAlignment="1">
      <alignment horizontal="center" vertical="center"/>
    </xf>
    <xf numFmtId="0" fontId="18" fillId="2" borderId="14" xfId="0" applyFont="1" applyFill="1" applyBorder="1" applyAlignment="1">
      <alignment horizontal="center" vertical="center"/>
    </xf>
    <xf numFmtId="0" fontId="18" fillId="2" borderId="15" xfId="0" applyFont="1" applyFill="1" applyBorder="1" applyAlignment="1">
      <alignment horizontal="center" vertical="center"/>
    </xf>
    <xf numFmtId="1" fontId="18" fillId="2" borderId="17" xfId="0" applyNumberFormat="1" applyFont="1" applyFill="1" applyBorder="1" applyAlignment="1">
      <alignment horizontal="center" vertical="center"/>
    </xf>
    <xf numFmtId="0" fontId="18" fillId="2" borderId="5" xfId="0" applyFont="1" applyFill="1" applyBorder="1" applyAlignment="1">
      <alignment horizontal="center" vertical="center" textRotation="90" wrapText="1"/>
    </xf>
    <xf numFmtId="0" fontId="18" fillId="2" borderId="6" xfId="0" applyFont="1" applyFill="1" applyBorder="1" applyAlignment="1">
      <alignment horizontal="center" vertical="center" textRotation="90" wrapText="1"/>
    </xf>
    <xf numFmtId="0" fontId="18" fillId="2" borderId="7" xfId="0" applyFont="1" applyFill="1" applyBorder="1" applyAlignment="1">
      <alignment horizontal="center" vertical="center" textRotation="90" wrapText="1"/>
    </xf>
    <xf numFmtId="0" fontId="18" fillId="2" borderId="8" xfId="0" applyFont="1" applyFill="1" applyBorder="1" applyAlignment="1">
      <alignment horizontal="center" vertical="center" textRotation="90" wrapText="1"/>
    </xf>
    <xf numFmtId="0" fontId="18" fillId="2" borderId="0" xfId="0" applyFont="1" applyFill="1" applyBorder="1" applyAlignment="1">
      <alignment horizontal="center" vertical="center" textRotation="90" wrapText="1"/>
    </xf>
    <xf numFmtId="0" fontId="18" fillId="2" borderId="9" xfId="0" applyFont="1" applyFill="1" applyBorder="1" applyAlignment="1">
      <alignment horizontal="center" vertical="center" textRotation="90" wrapText="1"/>
    </xf>
    <xf numFmtId="0" fontId="18" fillId="2" borderId="10" xfId="0" applyFont="1" applyFill="1" applyBorder="1" applyAlignment="1">
      <alignment horizontal="center" vertical="center" textRotation="90" wrapText="1"/>
    </xf>
    <xf numFmtId="0" fontId="18" fillId="2" borderId="11" xfId="0" applyFont="1" applyFill="1" applyBorder="1" applyAlignment="1">
      <alignment horizontal="center" vertical="center" textRotation="90" wrapText="1"/>
    </xf>
    <xf numFmtId="0" fontId="18" fillId="2" borderId="12" xfId="0" applyFont="1" applyFill="1" applyBorder="1" applyAlignment="1">
      <alignment horizontal="center" vertical="center" textRotation="90" wrapText="1"/>
    </xf>
    <xf numFmtId="1" fontId="18" fillId="2" borderId="1" xfId="0" applyNumberFormat="1" applyFont="1" applyFill="1" applyBorder="1" applyAlignment="1">
      <alignment horizontal="center" vertical="center" wrapText="1"/>
    </xf>
    <xf numFmtId="1" fontId="18" fillId="2" borderId="3" xfId="0" applyNumberFormat="1" applyFont="1" applyFill="1" applyBorder="1" applyAlignment="1">
      <alignment horizontal="center" vertical="center" wrapText="1"/>
    </xf>
    <xf numFmtId="1" fontId="18" fillId="2" borderId="4" xfId="0" applyNumberFormat="1" applyFont="1" applyFill="1" applyBorder="1" applyAlignment="1">
      <alignment horizontal="center" vertical="center" wrapText="1"/>
    </xf>
    <xf numFmtId="1" fontId="18" fillId="2" borderId="2" xfId="0" applyNumberFormat="1" applyFont="1" applyFill="1" applyBorder="1" applyAlignment="1">
      <alignment horizontal="center" vertical="center" wrapText="1"/>
    </xf>
    <xf numFmtId="0" fontId="18" fillId="2" borderId="16" xfId="0" applyFont="1" applyFill="1" applyBorder="1" applyAlignment="1">
      <alignment horizontal="center" textRotation="90" wrapText="1"/>
    </xf>
    <xf numFmtId="0" fontId="18" fillId="2" borderId="2" xfId="0" applyFont="1" applyFill="1" applyBorder="1" applyAlignment="1">
      <alignment horizontal="center" textRotation="90" wrapText="1"/>
    </xf>
    <xf numFmtId="0" fontId="18" fillId="2" borderId="1" xfId="0" applyFont="1" applyFill="1" applyBorder="1" applyAlignment="1">
      <alignment horizontal="center" textRotation="90" wrapText="1"/>
    </xf>
    <xf numFmtId="0" fontId="18" fillId="2" borderId="17" xfId="0" applyFont="1" applyFill="1" applyBorder="1" applyAlignment="1">
      <alignment horizontal="center" textRotation="90" wrapText="1"/>
    </xf>
    <xf numFmtId="1" fontId="18" fillId="2" borderId="1" xfId="0" applyNumberFormat="1" applyFont="1" applyFill="1" applyBorder="1" applyAlignment="1">
      <alignment horizontal="center" vertical="center" textRotation="90" wrapText="1"/>
    </xf>
    <xf numFmtId="1" fontId="18" fillId="2" borderId="3" xfId="0" applyNumberFormat="1" applyFont="1" applyFill="1" applyBorder="1" applyAlignment="1">
      <alignment horizontal="center" vertical="center" textRotation="90" wrapText="1"/>
    </xf>
    <xf numFmtId="1" fontId="18" fillId="2" borderId="20" xfId="0" applyNumberFormat="1" applyFont="1" applyFill="1" applyBorder="1" applyAlignment="1">
      <alignment horizontal="center" vertical="center" wrapText="1"/>
    </xf>
    <xf numFmtId="1" fontId="18" fillId="3" borderId="16" xfId="0" applyNumberFormat="1" applyFont="1" applyFill="1" applyBorder="1" applyAlignment="1">
      <alignment horizontal="center" vertical="center"/>
    </xf>
    <xf numFmtId="1" fontId="18" fillId="3" borderId="2" xfId="0" applyNumberFormat="1" applyFont="1" applyFill="1" applyBorder="1" applyAlignment="1">
      <alignment horizontal="center" vertical="center"/>
    </xf>
    <xf numFmtId="1" fontId="18" fillId="3" borderId="1" xfId="0" applyNumberFormat="1" applyFont="1" applyFill="1" applyBorder="1" applyAlignment="1">
      <alignment horizontal="center" vertical="center"/>
    </xf>
    <xf numFmtId="0" fontId="18" fillId="3" borderId="17" xfId="0" applyFont="1" applyFill="1" applyBorder="1" applyAlignment="1">
      <alignment horizontal="center" vertical="center"/>
    </xf>
    <xf numFmtId="0" fontId="18" fillId="3" borderId="17" xfId="0" applyFont="1" applyFill="1" applyBorder="1" applyAlignment="1">
      <alignment horizontal="center" vertical="center" wrapText="1"/>
    </xf>
    <xf numFmtId="1" fontId="18" fillId="3" borderId="1" xfId="0" applyNumberFormat="1" applyFont="1" applyFill="1" applyBorder="1" applyAlignment="1">
      <alignment horizontal="center" vertical="center" wrapText="1"/>
    </xf>
    <xf numFmtId="0" fontId="27" fillId="5" borderId="1" xfId="0" applyFont="1" applyFill="1" applyBorder="1" applyAlignment="1">
      <alignment horizontal="left" vertical="center" wrapText="1"/>
    </xf>
    <xf numFmtId="0" fontId="18" fillId="5" borderId="1" xfId="0" applyFont="1" applyFill="1" applyBorder="1" applyAlignment="1">
      <alignment horizontal="center" vertical="center"/>
    </xf>
    <xf numFmtId="164" fontId="34" fillId="5" borderId="1" xfId="0" applyNumberFormat="1" applyFont="1" applyFill="1" applyBorder="1" applyAlignment="1">
      <alignment horizontal="center" vertical="center" wrapText="1"/>
    </xf>
    <xf numFmtId="1" fontId="27" fillId="5" borderId="1" xfId="0" applyNumberFormat="1" applyFont="1" applyFill="1" applyBorder="1" applyAlignment="1">
      <alignment horizontal="center" vertical="center"/>
    </xf>
    <xf numFmtId="0" fontId="18" fillId="5" borderId="1" xfId="0" applyNumberFormat="1" applyFont="1" applyFill="1" applyBorder="1" applyAlignment="1">
      <alignment horizontal="center" vertical="center"/>
    </xf>
    <xf numFmtId="0" fontId="18" fillId="5" borderId="3" xfId="0" applyNumberFormat="1" applyFont="1" applyFill="1" applyBorder="1" applyAlignment="1">
      <alignment horizontal="center" vertical="center"/>
    </xf>
    <xf numFmtId="0" fontId="34" fillId="5" borderId="1" xfId="0" applyFont="1" applyFill="1" applyBorder="1" applyAlignment="1">
      <alignment horizontal="center" vertical="center" wrapText="1"/>
    </xf>
    <xf numFmtId="0" fontId="27" fillId="5" borderId="18" xfId="0" applyFont="1" applyFill="1" applyBorder="1" applyAlignment="1">
      <alignment horizontal="center" vertical="center" wrapText="1"/>
    </xf>
    <xf numFmtId="0" fontId="27" fillId="5" borderId="16" xfId="0" applyFont="1" applyFill="1" applyBorder="1" applyAlignment="1">
      <alignment horizontal="center" vertical="center" wrapText="1"/>
    </xf>
    <xf numFmtId="0" fontId="27" fillId="2" borderId="16" xfId="0" applyFont="1" applyFill="1" applyBorder="1" applyAlignment="1">
      <alignment horizontal="center" vertical="center" wrapText="1"/>
    </xf>
    <xf numFmtId="1" fontId="18" fillId="3" borderId="17" xfId="0" applyNumberFormat="1" applyFont="1" applyFill="1" applyBorder="1" applyAlignment="1">
      <alignment horizontal="center" vertical="center" wrapText="1"/>
    </xf>
    <xf numFmtId="0" fontId="18" fillId="5" borderId="5" xfId="0" applyNumberFormat="1" applyFont="1" applyFill="1" applyBorder="1" applyAlignment="1">
      <alignment horizontal="center" vertical="center"/>
    </xf>
    <xf numFmtId="0" fontId="18" fillId="5" borderId="6" xfId="0" applyNumberFormat="1" applyFont="1" applyFill="1" applyBorder="1" applyAlignment="1">
      <alignment horizontal="center" vertical="center"/>
    </xf>
    <xf numFmtId="0" fontId="18" fillId="5" borderId="22" xfId="0" applyNumberFormat="1" applyFont="1" applyFill="1" applyBorder="1" applyAlignment="1">
      <alignment horizontal="center" vertical="center"/>
    </xf>
    <xf numFmtId="0" fontId="18" fillId="5" borderId="10" xfId="0" applyNumberFormat="1" applyFont="1" applyFill="1" applyBorder="1" applyAlignment="1">
      <alignment horizontal="center" vertical="center"/>
    </xf>
    <xf numFmtId="0" fontId="18" fillId="5" borderId="11" xfId="0" applyNumberFormat="1" applyFont="1" applyFill="1" applyBorder="1" applyAlignment="1">
      <alignment horizontal="center" vertical="center"/>
    </xf>
    <xf numFmtId="0" fontId="18" fillId="5" borderId="21" xfId="0" applyNumberFormat="1" applyFont="1" applyFill="1" applyBorder="1" applyAlignment="1">
      <alignment horizontal="center" vertical="center"/>
    </xf>
    <xf numFmtId="0" fontId="27" fillId="5" borderId="23" xfId="0" applyFont="1" applyFill="1" applyBorder="1" applyAlignment="1">
      <alignment horizontal="center" vertical="center" wrapText="1"/>
    </xf>
    <xf numFmtId="0" fontId="27" fillId="5" borderId="6" xfId="0" applyFont="1" applyFill="1" applyBorder="1" applyAlignment="1">
      <alignment horizontal="center" vertical="center" wrapText="1"/>
    </xf>
    <xf numFmtId="0" fontId="27" fillId="5" borderId="20" xfId="0" applyFont="1" applyFill="1" applyBorder="1" applyAlignment="1">
      <alignment horizontal="center" vertical="center" wrapText="1"/>
    </xf>
    <xf numFmtId="0" fontId="27" fillId="5" borderId="11" xfId="0" applyFont="1" applyFill="1" applyBorder="1" applyAlignment="1">
      <alignment horizontal="center" vertical="center" wrapText="1"/>
    </xf>
    <xf numFmtId="0" fontId="18" fillId="5" borderId="16"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8" fillId="5" borderId="17" xfId="0" applyFont="1" applyFill="1" applyBorder="1" applyAlignment="1">
      <alignment horizontal="center" vertical="center" wrapText="1"/>
    </xf>
    <xf numFmtId="49" fontId="27" fillId="5" borderId="3" xfId="0" applyNumberFormat="1" applyFont="1" applyFill="1" applyBorder="1" applyAlignment="1">
      <alignment horizontal="left" vertical="center" wrapText="1"/>
    </xf>
    <xf numFmtId="49" fontId="27" fillId="5" borderId="4" xfId="0" applyNumberFormat="1" applyFont="1" applyFill="1" applyBorder="1" applyAlignment="1">
      <alignment horizontal="left" vertical="center" wrapText="1"/>
    </xf>
    <xf numFmtId="49" fontId="27" fillId="5" borderId="2" xfId="0" applyNumberFormat="1" applyFont="1" applyFill="1" applyBorder="1" applyAlignment="1">
      <alignment horizontal="left" vertical="center" wrapText="1"/>
    </xf>
    <xf numFmtId="0" fontId="18" fillId="5" borderId="5" xfId="0" applyFont="1" applyFill="1" applyBorder="1" applyAlignment="1">
      <alignment horizontal="center" vertical="center"/>
    </xf>
    <xf numFmtId="0" fontId="18" fillId="5" borderId="6" xfId="0" applyFont="1" applyFill="1" applyBorder="1" applyAlignment="1">
      <alignment horizontal="center" vertical="center"/>
    </xf>
    <xf numFmtId="0" fontId="18" fillId="5" borderId="7" xfId="0" applyFont="1" applyFill="1" applyBorder="1" applyAlignment="1">
      <alignment horizontal="center" vertical="center"/>
    </xf>
    <xf numFmtId="0" fontId="18" fillId="5" borderId="10" xfId="0" applyFont="1" applyFill="1" applyBorder="1" applyAlignment="1">
      <alignment horizontal="center" vertical="center"/>
    </xf>
    <xf numFmtId="0" fontId="18" fillId="5" borderId="11" xfId="0" applyFont="1" applyFill="1" applyBorder="1" applyAlignment="1">
      <alignment horizontal="center" vertical="center"/>
    </xf>
    <xf numFmtId="0" fontId="18" fillId="5" borderId="12" xfId="0" applyFont="1" applyFill="1" applyBorder="1" applyAlignment="1">
      <alignment horizontal="center" vertical="center"/>
    </xf>
    <xf numFmtId="0" fontId="27" fillId="5" borderId="5" xfId="0" applyFont="1" applyFill="1" applyBorder="1" applyAlignment="1">
      <alignment horizontal="center" vertical="center" wrapText="1"/>
    </xf>
    <xf numFmtId="0" fontId="27" fillId="5" borderId="7" xfId="0" applyFont="1" applyFill="1" applyBorder="1" applyAlignment="1">
      <alignment horizontal="center" vertical="center" wrapText="1"/>
    </xf>
    <xf numFmtId="0" fontId="27" fillId="5" borderId="10" xfId="0" applyFont="1" applyFill="1" applyBorder="1" applyAlignment="1">
      <alignment horizontal="center" vertical="center" wrapText="1"/>
    </xf>
    <xf numFmtId="0" fontId="27" fillId="5" borderId="12" xfId="0" applyFont="1" applyFill="1" applyBorder="1" applyAlignment="1">
      <alignment horizontal="center" vertical="center" wrapText="1"/>
    </xf>
    <xf numFmtId="49" fontId="18" fillId="0" borderId="13" xfId="0" applyNumberFormat="1" applyFont="1" applyFill="1" applyBorder="1" applyAlignment="1">
      <alignment horizontal="center" vertical="center" wrapText="1"/>
    </xf>
    <xf numFmtId="49" fontId="18" fillId="0" borderId="15" xfId="0" applyNumberFormat="1" applyFont="1" applyFill="1" applyBorder="1" applyAlignment="1">
      <alignment horizontal="center" vertical="center" wrapText="1"/>
    </xf>
    <xf numFmtId="49" fontId="27" fillId="0" borderId="3" xfId="0" applyNumberFormat="1" applyFont="1" applyFill="1" applyBorder="1" applyAlignment="1">
      <alignment horizontal="left" vertical="center" wrapText="1"/>
    </xf>
    <xf numFmtId="49" fontId="27" fillId="0" borderId="4" xfId="0" applyNumberFormat="1" applyFont="1" applyFill="1" applyBorder="1" applyAlignment="1">
      <alignment horizontal="left" vertical="center" wrapText="1"/>
    </xf>
    <xf numFmtId="49" fontId="27" fillId="0" borderId="2" xfId="0" applyNumberFormat="1" applyFont="1" applyFill="1" applyBorder="1" applyAlignment="1">
      <alignment horizontal="left" vertical="center" wrapText="1"/>
    </xf>
    <xf numFmtId="0" fontId="18" fillId="0" borderId="5" xfId="0" applyFont="1" applyFill="1" applyBorder="1" applyAlignment="1">
      <alignment horizontal="center" vertical="center"/>
    </xf>
    <xf numFmtId="0" fontId="18" fillId="0" borderId="6" xfId="0" applyFont="1" applyFill="1" applyBorder="1" applyAlignment="1">
      <alignment horizontal="center" vertical="center"/>
    </xf>
    <xf numFmtId="0" fontId="18" fillId="0" borderId="7" xfId="0" applyFont="1" applyFill="1" applyBorder="1" applyAlignment="1">
      <alignment horizontal="center" vertical="center"/>
    </xf>
    <xf numFmtId="0" fontId="18" fillId="0" borderId="10" xfId="0" applyFont="1" applyFill="1" applyBorder="1" applyAlignment="1">
      <alignment horizontal="center" vertical="center"/>
    </xf>
    <xf numFmtId="0" fontId="18" fillId="0" borderId="11" xfId="0" applyFont="1" applyFill="1" applyBorder="1" applyAlignment="1">
      <alignment horizontal="center" vertical="center"/>
    </xf>
    <xf numFmtId="0" fontId="18" fillId="0" borderId="12" xfId="0" applyFont="1" applyFill="1" applyBorder="1" applyAlignment="1">
      <alignment horizontal="center" vertical="center"/>
    </xf>
    <xf numFmtId="0" fontId="27" fillId="0" borderId="5" xfId="0" applyFont="1" applyFill="1" applyBorder="1" applyAlignment="1">
      <alignment horizontal="center" vertical="center" wrapText="1"/>
    </xf>
    <xf numFmtId="0" fontId="27" fillId="0" borderId="6" xfId="0" applyFont="1" applyFill="1" applyBorder="1" applyAlignment="1">
      <alignment horizontal="center" vertical="center" wrapText="1"/>
    </xf>
    <xf numFmtId="0" fontId="27" fillId="0" borderId="7" xfId="0" applyFont="1" applyFill="1" applyBorder="1" applyAlignment="1">
      <alignment horizontal="center" vertical="center" wrapText="1"/>
    </xf>
    <xf numFmtId="0" fontId="27" fillId="0" borderId="10" xfId="0" applyFont="1" applyFill="1" applyBorder="1" applyAlignment="1">
      <alignment horizontal="center" vertical="center" wrapText="1"/>
    </xf>
    <xf numFmtId="0" fontId="27" fillId="0" borderId="11" xfId="0" applyFont="1" applyFill="1" applyBorder="1" applyAlignment="1">
      <alignment horizontal="center" vertical="center" wrapText="1"/>
    </xf>
    <xf numFmtId="0" fontId="27" fillId="0" borderId="12" xfId="0" applyFont="1" applyFill="1" applyBorder="1" applyAlignment="1">
      <alignment horizontal="center" vertical="center" wrapText="1"/>
    </xf>
    <xf numFmtId="49" fontId="18" fillId="5" borderId="13" xfId="0" applyNumberFormat="1" applyFont="1" applyFill="1" applyBorder="1" applyAlignment="1">
      <alignment horizontal="center" vertical="center" wrapText="1"/>
    </xf>
    <xf numFmtId="49" fontId="18" fillId="5" borderId="15" xfId="0" applyNumberFormat="1" applyFont="1" applyFill="1" applyBorder="1" applyAlignment="1">
      <alignment horizontal="center" vertical="center" wrapText="1"/>
    </xf>
    <xf numFmtId="0" fontId="18" fillId="0" borderId="5" xfId="0" applyNumberFormat="1" applyFont="1" applyFill="1" applyBorder="1" applyAlignment="1">
      <alignment horizontal="center" vertical="center"/>
    </xf>
    <xf numFmtId="0" fontId="18" fillId="0" borderId="6" xfId="0" applyNumberFormat="1" applyFont="1" applyFill="1" applyBorder="1" applyAlignment="1">
      <alignment horizontal="center" vertical="center"/>
    </xf>
    <xf numFmtId="0" fontId="18" fillId="0" borderId="22" xfId="0" applyNumberFormat="1" applyFont="1" applyFill="1" applyBorder="1" applyAlignment="1">
      <alignment horizontal="center" vertical="center"/>
    </xf>
    <xf numFmtId="0" fontId="18" fillId="0" borderId="10" xfId="0" applyNumberFormat="1" applyFont="1" applyFill="1" applyBorder="1" applyAlignment="1">
      <alignment horizontal="center" vertical="center"/>
    </xf>
    <xf numFmtId="0" fontId="18" fillId="0" borderId="11" xfId="0" applyNumberFormat="1" applyFont="1" applyFill="1" applyBorder="1" applyAlignment="1">
      <alignment horizontal="center" vertical="center"/>
    </xf>
    <xf numFmtId="0" fontId="18" fillId="0" borderId="21" xfId="0" applyNumberFormat="1" applyFont="1" applyFill="1" applyBorder="1" applyAlignment="1">
      <alignment horizontal="center" vertical="center"/>
    </xf>
    <xf numFmtId="0" fontId="27" fillId="0" borderId="23" xfId="0" applyFont="1" applyFill="1" applyBorder="1" applyAlignment="1">
      <alignment horizontal="center" vertical="center" wrapText="1"/>
    </xf>
    <xf numFmtId="0" fontId="27" fillId="0" borderId="20" xfId="0" applyFont="1" applyFill="1" applyBorder="1" applyAlignment="1">
      <alignment horizontal="center" vertical="center" wrapText="1"/>
    </xf>
    <xf numFmtId="0" fontId="18" fillId="0" borderId="16"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18" fillId="0" borderId="1" xfId="0" applyFont="1" applyFill="1" applyBorder="1" applyAlignment="1">
      <alignment horizontal="center" vertical="center" wrapText="1"/>
    </xf>
    <xf numFmtId="0" fontId="18" fillId="0" borderId="17" xfId="0" applyFont="1" applyFill="1" applyBorder="1" applyAlignment="1">
      <alignment horizontal="center" vertical="center" wrapText="1"/>
    </xf>
    <xf numFmtId="0" fontId="27" fillId="5" borderId="3" xfId="0" applyFont="1" applyFill="1" applyBorder="1" applyAlignment="1">
      <alignment horizontal="left" vertical="center" wrapText="1"/>
    </xf>
    <xf numFmtId="0" fontId="27" fillId="5" borderId="4" xfId="0" applyFont="1" applyFill="1" applyBorder="1" applyAlignment="1">
      <alignment horizontal="left" vertical="center" wrapText="1"/>
    </xf>
    <xf numFmtId="0" fontId="27" fillId="5" borderId="2" xfId="0" applyFont="1" applyFill="1" applyBorder="1" applyAlignment="1">
      <alignment horizontal="left" vertical="center" wrapText="1"/>
    </xf>
    <xf numFmtId="0" fontId="18" fillId="3" borderId="2" xfId="0" applyFont="1" applyFill="1" applyBorder="1" applyAlignment="1">
      <alignment horizontal="center" vertical="center" wrapText="1"/>
    </xf>
    <xf numFmtId="49" fontId="18" fillId="3" borderId="1" xfId="0" applyNumberFormat="1" applyFont="1" applyFill="1" applyBorder="1" applyAlignment="1">
      <alignment horizontal="right" vertical="center" wrapText="1"/>
    </xf>
    <xf numFmtId="0" fontId="18" fillId="3" borderId="1" xfId="0" applyFont="1" applyFill="1" applyBorder="1" applyAlignment="1">
      <alignment horizontal="center" vertical="center"/>
    </xf>
    <xf numFmtId="1" fontId="18" fillId="3" borderId="3" xfId="0" applyNumberFormat="1" applyFont="1" applyFill="1" applyBorder="1" applyAlignment="1">
      <alignment horizontal="center" vertical="center"/>
    </xf>
    <xf numFmtId="0" fontId="18" fillId="3" borderId="4" xfId="0" applyNumberFormat="1" applyFont="1" applyFill="1" applyBorder="1" applyAlignment="1">
      <alignment horizontal="center" vertical="center"/>
    </xf>
    <xf numFmtId="0" fontId="27" fillId="2" borderId="3" xfId="0" applyNumberFormat="1" applyFont="1" applyFill="1" applyBorder="1" applyAlignment="1">
      <alignment horizontal="center" vertical="center"/>
    </xf>
    <xf numFmtId="0" fontId="27" fillId="2" borderId="4" xfId="0" applyNumberFormat="1" applyFont="1" applyFill="1" applyBorder="1" applyAlignment="1">
      <alignment horizontal="center" vertical="center"/>
    </xf>
    <xf numFmtId="49" fontId="18" fillId="2" borderId="1" xfId="0" applyNumberFormat="1" applyFont="1" applyFill="1" applyBorder="1" applyAlignment="1">
      <alignment horizontal="left" vertical="center" wrapText="1"/>
    </xf>
    <xf numFmtId="164" fontId="18" fillId="2" borderId="1" xfId="0" applyNumberFormat="1" applyFont="1" applyFill="1" applyBorder="1" applyAlignment="1">
      <alignment horizontal="center" vertical="center" wrapText="1"/>
    </xf>
    <xf numFmtId="2" fontId="27" fillId="2" borderId="3" xfId="0" applyNumberFormat="1" applyFont="1" applyFill="1" applyBorder="1" applyAlignment="1">
      <alignment horizontal="center" vertical="center"/>
    </xf>
    <xf numFmtId="2" fontId="27" fillId="2" borderId="4" xfId="0" applyNumberFormat="1" applyFont="1" applyFill="1" applyBorder="1" applyAlignment="1">
      <alignment horizontal="center" vertical="center"/>
    </xf>
    <xf numFmtId="2" fontId="27" fillId="2" borderId="2" xfId="0" applyNumberFormat="1" applyFont="1" applyFill="1" applyBorder="1" applyAlignment="1">
      <alignment horizontal="center" vertical="center"/>
    </xf>
    <xf numFmtId="1" fontId="18" fillId="4" borderId="1" xfId="0" applyNumberFormat="1" applyFont="1" applyFill="1" applyBorder="1" applyAlignment="1">
      <alignment horizontal="center" vertical="center"/>
    </xf>
    <xf numFmtId="0" fontId="18" fillId="4" borderId="1" xfId="0" applyFont="1" applyFill="1" applyBorder="1" applyAlignment="1">
      <alignment horizontal="center" vertical="center"/>
    </xf>
    <xf numFmtId="1" fontId="18" fillId="4" borderId="3" xfId="0" applyNumberFormat="1" applyFont="1" applyFill="1" applyBorder="1" applyAlignment="1">
      <alignment horizontal="center" vertical="center"/>
    </xf>
    <xf numFmtId="0" fontId="18" fillId="4" borderId="4" xfId="0" applyNumberFormat="1" applyFont="1" applyFill="1" applyBorder="1" applyAlignment="1">
      <alignment horizontal="center" vertical="center"/>
    </xf>
    <xf numFmtId="0" fontId="18" fillId="4" borderId="16" xfId="0" applyFont="1" applyFill="1" applyBorder="1" applyAlignment="1">
      <alignment horizontal="center" vertical="center" wrapText="1"/>
    </xf>
    <xf numFmtId="0" fontId="18" fillId="4" borderId="1"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8" fillId="4" borderId="17" xfId="0" applyFont="1" applyFill="1" applyBorder="1" applyAlignment="1">
      <alignment horizontal="center" vertical="center" wrapText="1"/>
    </xf>
    <xf numFmtId="1" fontId="18" fillId="3" borderId="4" xfId="0" applyNumberFormat="1" applyFont="1" applyFill="1" applyBorder="1" applyAlignment="1">
      <alignment horizontal="center" vertical="center"/>
    </xf>
    <xf numFmtId="164" fontId="22" fillId="4" borderId="1" xfId="0" applyNumberFormat="1" applyFont="1" applyFill="1" applyBorder="1" applyAlignment="1">
      <alignment horizontal="center" vertical="center" wrapText="1"/>
    </xf>
    <xf numFmtId="0" fontId="18" fillId="3" borderId="3" xfId="0" applyNumberFormat="1" applyFont="1" applyFill="1" applyBorder="1" applyAlignment="1">
      <alignment horizontal="center" vertical="center"/>
    </xf>
    <xf numFmtId="1" fontId="18" fillId="4" borderId="16" xfId="0" applyNumberFormat="1" applyFont="1" applyFill="1" applyBorder="1" applyAlignment="1">
      <alignment horizontal="center" vertical="center"/>
    </xf>
    <xf numFmtId="1" fontId="18" fillId="4" borderId="2" xfId="0" applyNumberFormat="1" applyFont="1" applyFill="1" applyBorder="1" applyAlignment="1">
      <alignment horizontal="center" vertical="center"/>
    </xf>
    <xf numFmtId="0" fontId="18" fillId="4" borderId="17" xfId="0" applyFont="1" applyFill="1" applyBorder="1" applyAlignment="1">
      <alignment horizontal="center" vertical="center"/>
    </xf>
    <xf numFmtId="0" fontId="9" fillId="2" borderId="58" xfId="0" applyFont="1" applyFill="1" applyBorder="1" applyAlignment="1">
      <alignment horizontal="center" vertical="center" wrapText="1"/>
    </xf>
    <xf numFmtId="0" fontId="9" fillId="2" borderId="59" xfId="0" applyFont="1" applyFill="1" applyBorder="1" applyAlignment="1">
      <alignment horizontal="center" vertical="center" wrapText="1"/>
    </xf>
    <xf numFmtId="0" fontId="9" fillId="2" borderId="60" xfId="0" applyFont="1" applyFill="1" applyBorder="1" applyAlignment="1">
      <alignment horizontal="center" vertical="center" wrapText="1"/>
    </xf>
    <xf numFmtId="1" fontId="18" fillId="5" borderId="16" xfId="0" applyNumberFormat="1" applyFont="1" applyFill="1" applyBorder="1" applyAlignment="1">
      <alignment horizontal="center" vertical="center"/>
    </xf>
    <xf numFmtId="1" fontId="18" fillId="5" borderId="2" xfId="0" applyNumberFormat="1" applyFont="1" applyFill="1" applyBorder="1" applyAlignment="1">
      <alignment horizontal="center" vertical="center"/>
    </xf>
    <xf numFmtId="1" fontId="18" fillId="5" borderId="1" xfId="0" applyNumberFormat="1" applyFont="1" applyFill="1" applyBorder="1" applyAlignment="1">
      <alignment horizontal="center" vertical="center"/>
    </xf>
    <xf numFmtId="0" fontId="18" fillId="5" borderId="17" xfId="0" applyFont="1" applyFill="1" applyBorder="1" applyAlignment="1">
      <alignment horizontal="center" vertical="center"/>
    </xf>
    <xf numFmtId="0" fontId="42" fillId="2" borderId="0" xfId="0" applyFont="1" applyFill="1" applyBorder="1" applyAlignment="1">
      <alignment horizontal="center" vertical="center" wrapText="1"/>
    </xf>
    <xf numFmtId="0" fontId="8" fillId="2" borderId="1" xfId="0" applyFont="1" applyFill="1" applyBorder="1" applyAlignment="1">
      <alignment horizontal="right" vertical="center"/>
    </xf>
    <xf numFmtId="0" fontId="44" fillId="2" borderId="0" xfId="0" applyFont="1" applyFill="1" applyBorder="1" applyAlignment="1">
      <alignment horizontal="center" vertical="center" wrapText="1"/>
    </xf>
    <xf numFmtId="0" fontId="18" fillId="2" borderId="24" xfId="0" applyFont="1" applyFill="1" applyBorder="1" applyAlignment="1">
      <alignment horizontal="center" vertical="center" wrapText="1"/>
    </xf>
    <xf numFmtId="0" fontId="18" fillId="2" borderId="1" xfId="0" applyFont="1" applyFill="1" applyBorder="1" applyAlignment="1">
      <alignment horizontal="center" vertical="center" textRotation="90" wrapText="1"/>
    </xf>
    <xf numFmtId="0" fontId="18" fillId="2" borderId="24" xfId="0" applyFont="1" applyFill="1" applyBorder="1" applyAlignment="1">
      <alignment horizontal="center" vertical="center" textRotation="90" wrapText="1"/>
    </xf>
    <xf numFmtId="49" fontId="27" fillId="0" borderId="1" xfId="0" applyNumberFormat="1" applyFont="1" applyFill="1" applyBorder="1" applyAlignment="1">
      <alignment horizontal="left" vertical="center" wrapText="1"/>
    </xf>
    <xf numFmtId="49" fontId="18" fillId="2" borderId="13" xfId="0" applyNumberFormat="1" applyFont="1" applyFill="1" applyBorder="1" applyAlignment="1">
      <alignment horizontal="center" vertical="center" wrapText="1"/>
    </xf>
    <xf numFmtId="49" fontId="18" fillId="2" borderId="15" xfId="0" applyNumberFormat="1" applyFont="1" applyFill="1" applyBorder="1" applyAlignment="1">
      <alignment horizontal="center" vertical="center" wrapText="1"/>
    </xf>
    <xf numFmtId="0" fontId="18" fillId="2" borderId="4" xfId="0" applyNumberFormat="1" applyFont="1" applyFill="1" applyBorder="1" applyAlignment="1">
      <alignment horizontal="center" vertical="center"/>
    </xf>
    <xf numFmtId="164" fontId="13" fillId="4" borderId="1" xfId="0" applyNumberFormat="1" applyFont="1" applyFill="1" applyBorder="1" applyAlignment="1">
      <alignment horizontal="center" vertical="center" wrapText="1"/>
    </xf>
    <xf numFmtId="0" fontId="19" fillId="2" borderId="5" xfId="0" applyFont="1" applyFill="1" applyBorder="1" applyAlignment="1">
      <alignment horizontal="center" vertical="center" textRotation="90" wrapText="1"/>
    </xf>
    <xf numFmtId="0" fontId="19" fillId="2" borderId="7" xfId="0" applyFont="1" applyFill="1" applyBorder="1" applyAlignment="1">
      <alignment horizontal="center" vertical="center" textRotation="90" wrapText="1"/>
    </xf>
    <xf numFmtId="0" fontId="19" fillId="2" borderId="8" xfId="0" applyFont="1" applyFill="1" applyBorder="1" applyAlignment="1">
      <alignment horizontal="center" vertical="center" textRotation="90" wrapText="1"/>
    </xf>
    <xf numFmtId="0" fontId="19" fillId="2" borderId="9" xfId="0" applyFont="1" applyFill="1" applyBorder="1" applyAlignment="1">
      <alignment horizontal="center" vertical="center" textRotation="90" wrapText="1"/>
    </xf>
    <xf numFmtId="0" fontId="19" fillId="2" borderId="10" xfId="0" applyFont="1" applyFill="1" applyBorder="1" applyAlignment="1">
      <alignment horizontal="center" vertical="center" textRotation="90" wrapText="1"/>
    </xf>
    <xf numFmtId="0" fontId="19" fillId="2" borderId="12" xfId="0" applyFont="1" applyFill="1" applyBorder="1" applyAlignment="1">
      <alignment horizontal="center" vertical="center" textRotation="90" wrapText="1"/>
    </xf>
    <xf numFmtId="0" fontId="44" fillId="2" borderId="11" xfId="0" applyFont="1" applyFill="1" applyBorder="1" applyAlignment="1">
      <alignment horizontal="center" vertical="center" wrapText="1"/>
    </xf>
    <xf numFmtId="0" fontId="25" fillId="2" borderId="26" xfId="0" applyFont="1" applyFill="1" applyBorder="1" applyAlignment="1">
      <alignment horizontal="center" vertical="center" wrapText="1"/>
    </xf>
    <xf numFmtId="0" fontId="25" fillId="2" borderId="27" xfId="0" applyFont="1" applyFill="1" applyBorder="1" applyAlignment="1">
      <alignment horizontal="center" vertical="center" wrapText="1"/>
    </xf>
    <xf numFmtId="0" fontId="25" fillId="2" borderId="28" xfId="0" applyFont="1" applyFill="1" applyBorder="1" applyAlignment="1">
      <alignment horizontal="center" vertical="center" wrapText="1"/>
    </xf>
  </cellXfs>
  <cellStyles count="3">
    <cellStyle name="Обычный" xfId="0" builtinId="0"/>
    <cellStyle name="Обычный 2 2 3 2" xfId="2"/>
    <cellStyle name="Обычный 2 4" xfId="1"/>
  </cellStyles>
  <dxfs count="0"/>
  <tableStyles count="0" defaultTableStyle="TableStyleMedium2" defaultPivotStyle="PivotStyleLight16"/>
  <colors>
    <mruColors>
      <color rgb="FF003366"/>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476250</xdr:colOff>
          <xdr:row>8</xdr:row>
          <xdr:rowOff>190499</xdr:rowOff>
        </xdr:from>
        <xdr:to>
          <xdr:col>133</xdr:col>
          <xdr:colOff>47625</xdr:colOff>
          <xdr:row>23</xdr:row>
          <xdr:rowOff>142875</xdr:rowOff>
        </xdr:to>
        <xdr:pic>
          <xdr:nvPicPr>
            <xdr:cNvPr id="3" name="Рисунок 2"/>
            <xdr:cNvPicPr>
              <a:picLocks noChangeAspect="1" noChangeArrowheads="1"/>
              <a:extLst>
                <a:ext uri="{84589F7E-364E-4C9E-8A38-B11213B215E9}">
                  <a14:cameraTool cellRange="'Maktabgacha ta''lim'!$EH$9:$HA$21" spid="_x0000_s1585"/>
                </a:ext>
              </a:extLst>
            </xdr:cNvPicPr>
          </xdr:nvPicPr>
          <xdr:blipFill>
            <a:blip xmlns:r="http://schemas.openxmlformats.org/officeDocument/2006/relationships" r:embed="rId1"/>
            <a:srcRect/>
            <a:stretch>
              <a:fillRect/>
            </a:stretch>
          </xdr:blipFill>
          <xdr:spPr bwMode="auto">
            <a:xfrm>
              <a:off x="1857375" y="7810499"/>
              <a:ext cx="49006125" cy="1057275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1046904</xdr:colOff>
          <xdr:row>8</xdr:row>
          <xdr:rowOff>57149</xdr:rowOff>
        </xdr:from>
        <xdr:to>
          <xdr:col>143</xdr:col>
          <xdr:colOff>0</xdr:colOff>
          <xdr:row>25</xdr:row>
          <xdr:rowOff>333375</xdr:rowOff>
        </xdr:to>
        <xdr:pic>
          <xdr:nvPicPr>
            <xdr:cNvPr id="2" name="Рисунок 1"/>
            <xdr:cNvPicPr>
              <a:picLocks noChangeAspect="1" noChangeArrowheads="1"/>
              <a:extLst>
                <a:ext uri="{84589F7E-364E-4C9E-8A38-B11213B215E9}">
                  <a14:cameraTool cellRange="Sirtqi!$EW$9:$HN$23" spid="_x0000_s2544"/>
                </a:ext>
              </a:extLst>
            </xdr:cNvPicPr>
          </xdr:nvPicPr>
          <xdr:blipFill>
            <a:blip xmlns:r="http://schemas.openxmlformats.org/officeDocument/2006/relationships" r:embed="rId1"/>
            <a:srcRect/>
            <a:stretch>
              <a:fillRect/>
            </a:stretch>
          </xdr:blipFill>
          <xdr:spPr bwMode="auto">
            <a:xfrm>
              <a:off x="1046904" y="9486899"/>
              <a:ext cx="58817721" cy="1256347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3476625</xdr:colOff>
          <xdr:row>8</xdr:row>
          <xdr:rowOff>904874</xdr:rowOff>
        </xdr:from>
        <xdr:to>
          <xdr:col>141</xdr:col>
          <xdr:colOff>142875</xdr:colOff>
          <xdr:row>28</xdr:row>
          <xdr:rowOff>66675</xdr:rowOff>
        </xdr:to>
        <xdr:pic>
          <xdr:nvPicPr>
            <xdr:cNvPr id="2" name="Рисунок 1"/>
            <xdr:cNvPicPr>
              <a:picLocks noChangeAspect="1" noChangeArrowheads="1"/>
              <a:extLst>
                <a:ext uri="{84589F7E-364E-4C9E-8A38-B11213B215E9}">
                  <a14:cameraTool cellRange="'Sirtqi (RUS)'!$EV$11:$HO$25" spid="_x0000_s3561"/>
                </a:ext>
              </a:extLst>
            </xdr:cNvPicPr>
          </xdr:nvPicPr>
          <xdr:blipFill>
            <a:blip xmlns:r="http://schemas.openxmlformats.org/officeDocument/2006/relationships" r:embed="rId1"/>
            <a:srcRect/>
            <a:stretch>
              <a:fillRect/>
            </a:stretch>
          </xdr:blipFill>
          <xdr:spPr bwMode="auto">
            <a:xfrm>
              <a:off x="5286375" y="8096249"/>
              <a:ext cx="59150250" cy="133826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A1:HA104"/>
  <sheetViews>
    <sheetView tabSelected="1" view="pageBreakPreview" topLeftCell="A14" zoomScale="20" zoomScaleNormal="25" zoomScaleSheetLayoutView="20" workbookViewId="0">
      <selection activeCell="CC37" sqref="CC37:CG37"/>
    </sheetView>
  </sheetViews>
  <sheetFormatPr defaultColWidth="9.140625" defaultRowHeight="15.75" x14ac:dyDescent="0.25"/>
  <cols>
    <col min="1" max="1" width="20.7109375" style="9" customWidth="1"/>
    <col min="2" max="2" width="53.5703125" style="9" customWidth="1"/>
    <col min="3" max="22" width="6.7109375" style="6" customWidth="1"/>
    <col min="23" max="25" width="6.7109375" style="10" customWidth="1"/>
    <col min="26" max="30" width="4.7109375" style="11" customWidth="1"/>
    <col min="31" max="39" width="4.7109375" style="3" customWidth="1"/>
    <col min="40" max="51" width="4.7109375" style="2" customWidth="1"/>
    <col min="52" max="63" width="4.7109375" style="3" customWidth="1"/>
    <col min="64" max="70" width="4.7109375" style="10" customWidth="1"/>
    <col min="71" max="130" width="4.7109375" style="3" customWidth="1"/>
    <col min="131" max="135" width="4.7109375" style="8" customWidth="1"/>
    <col min="136" max="138" width="9.140625" style="8"/>
    <col min="139" max="139" width="15.28515625" style="8" customWidth="1"/>
    <col min="140" max="16384" width="9.140625" style="8"/>
  </cols>
  <sheetData>
    <row r="1" spans="1:209" ht="94.5" customHeight="1" x14ac:dyDescent="1.25">
      <c r="A1" s="238" t="s">
        <v>208</v>
      </c>
      <c r="B1" s="238"/>
      <c r="C1" s="238"/>
      <c r="D1" s="238"/>
      <c r="E1" s="238"/>
      <c r="F1" s="238"/>
      <c r="G1" s="238"/>
      <c r="H1" s="238"/>
      <c r="I1" s="238"/>
      <c r="J1" s="238"/>
      <c r="K1" s="238"/>
      <c r="L1" s="238"/>
      <c r="M1" s="238"/>
      <c r="N1" s="238"/>
      <c r="O1" s="238"/>
      <c r="P1" s="238"/>
      <c r="Q1" s="238"/>
      <c r="R1" s="238"/>
      <c r="S1" s="238"/>
      <c r="T1" s="238"/>
      <c r="U1" s="238"/>
      <c r="V1" s="238"/>
      <c r="W1" s="238"/>
      <c r="X1" s="238"/>
      <c r="Y1" s="238"/>
      <c r="Z1" s="238"/>
      <c r="AA1" s="238"/>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8"/>
      <c r="BC1" s="238"/>
      <c r="BD1" s="238"/>
      <c r="BE1" s="238"/>
      <c r="BF1" s="238"/>
      <c r="BG1" s="238"/>
      <c r="BH1" s="238"/>
      <c r="BI1" s="238"/>
      <c r="BJ1" s="238"/>
      <c r="BK1" s="238"/>
      <c r="BL1" s="238"/>
      <c r="BM1" s="238"/>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8"/>
      <c r="CM1" s="238"/>
      <c r="CN1" s="238"/>
      <c r="CO1" s="238"/>
      <c r="CP1" s="238"/>
      <c r="CQ1" s="238"/>
      <c r="CR1" s="238"/>
      <c r="CS1" s="238"/>
      <c r="CT1" s="238"/>
      <c r="CU1" s="238"/>
      <c r="CV1" s="238"/>
      <c r="CW1" s="238"/>
      <c r="CX1" s="238"/>
      <c r="CY1" s="238"/>
      <c r="CZ1" s="238"/>
      <c r="DA1" s="238"/>
      <c r="DB1" s="238"/>
      <c r="DC1" s="238"/>
      <c r="DD1" s="238"/>
      <c r="DE1" s="238"/>
      <c r="DF1" s="238"/>
      <c r="DG1" s="238"/>
      <c r="DH1" s="238"/>
      <c r="DI1" s="238"/>
      <c r="DJ1" s="238"/>
      <c r="DK1" s="238"/>
      <c r="DL1" s="238"/>
      <c r="DM1" s="238"/>
      <c r="DN1" s="238"/>
      <c r="DO1" s="238"/>
      <c r="DP1" s="238"/>
      <c r="DQ1" s="238"/>
      <c r="DR1" s="238"/>
      <c r="DS1" s="238"/>
      <c r="DT1" s="238"/>
      <c r="DU1" s="238"/>
      <c r="DV1" s="238"/>
      <c r="DW1" s="238"/>
      <c r="DX1" s="238"/>
      <c r="DY1" s="238"/>
      <c r="DZ1" s="238"/>
      <c r="EA1" s="238"/>
      <c r="EB1" s="238"/>
      <c r="EC1" s="235"/>
      <c r="ED1" s="235"/>
      <c r="EE1" s="47"/>
    </row>
    <row r="2" spans="1:209" ht="90" x14ac:dyDescent="0.2">
      <c r="A2" s="49"/>
      <c r="B2" s="49"/>
      <c r="C2" s="4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46"/>
      <c r="AK2" s="46"/>
      <c r="AL2" s="270" t="s">
        <v>212</v>
      </c>
      <c r="AM2" s="270"/>
      <c r="AN2" s="270"/>
      <c r="AO2" s="270"/>
      <c r="AP2" s="270"/>
      <c r="AQ2" s="270"/>
      <c r="AR2" s="270"/>
      <c r="AS2" s="270"/>
      <c r="AT2" s="270"/>
      <c r="AU2" s="270"/>
      <c r="AV2" s="270"/>
      <c r="AW2" s="270"/>
      <c r="AX2" s="270"/>
      <c r="AY2" s="270"/>
      <c r="AZ2" s="270"/>
      <c r="BA2" s="270"/>
      <c r="BB2" s="270"/>
      <c r="BC2" s="270"/>
      <c r="BD2" s="270"/>
      <c r="BE2" s="270"/>
      <c r="BF2" s="270"/>
      <c r="BG2" s="270"/>
      <c r="BH2" s="270"/>
      <c r="BI2" s="270"/>
      <c r="BJ2" s="270"/>
      <c r="BK2" s="270"/>
      <c r="BL2" s="270"/>
      <c r="BM2" s="270"/>
      <c r="BN2" s="270"/>
      <c r="BO2" s="270"/>
      <c r="BP2" s="270"/>
      <c r="BQ2" s="270"/>
      <c r="BR2" s="270"/>
      <c r="BS2" s="270"/>
      <c r="BT2" s="270"/>
      <c r="BU2" s="270"/>
      <c r="BV2" s="270"/>
      <c r="BW2" s="270"/>
      <c r="BX2" s="270"/>
      <c r="BY2" s="270"/>
      <c r="BZ2" s="270"/>
      <c r="CA2" s="270"/>
      <c r="CB2" s="270"/>
      <c r="CC2" s="136"/>
      <c r="CD2" s="136"/>
      <c r="CE2" s="136"/>
      <c r="CF2" s="136"/>
      <c r="CG2" s="136"/>
      <c r="CH2" s="136"/>
      <c r="CI2" s="136"/>
      <c r="CJ2" s="136"/>
      <c r="CK2" s="136"/>
      <c r="CL2" s="136"/>
      <c r="CM2" s="136"/>
      <c r="CN2" s="136"/>
      <c r="CO2" s="136"/>
      <c r="CP2" s="136"/>
      <c r="CQ2" s="136"/>
      <c r="CR2" s="136"/>
      <c r="CS2" s="136"/>
      <c r="CT2" s="136"/>
      <c r="CU2" s="136"/>
      <c r="CV2" s="136"/>
      <c r="CW2" s="271" t="s">
        <v>160</v>
      </c>
      <c r="CX2" s="271"/>
      <c r="CY2" s="271"/>
      <c r="CZ2" s="271"/>
      <c r="DA2" s="271"/>
      <c r="DB2" s="271"/>
      <c r="DC2" s="271"/>
      <c r="DD2" s="271"/>
      <c r="DE2" s="271"/>
      <c r="DF2" s="271"/>
      <c r="DG2" s="271"/>
      <c r="DH2" s="271"/>
      <c r="DI2" s="271"/>
      <c r="DJ2" s="271"/>
      <c r="DK2" s="271"/>
      <c r="DL2" s="271"/>
      <c r="DM2" s="271"/>
      <c r="DN2" s="271"/>
      <c r="DO2" s="271"/>
      <c r="DP2" s="271"/>
      <c r="DQ2" s="271"/>
      <c r="DR2" s="271"/>
      <c r="DS2" s="271"/>
      <c r="DT2" s="271"/>
      <c r="DU2" s="271"/>
      <c r="DV2" s="271"/>
      <c r="DW2" s="271"/>
      <c r="DX2" s="271"/>
      <c r="DY2" s="271"/>
      <c r="DZ2" s="271"/>
      <c r="EA2" s="271"/>
      <c r="EB2" s="271"/>
      <c r="EC2" s="271"/>
      <c r="ED2" s="271"/>
      <c r="EE2" s="271"/>
    </row>
    <row r="3" spans="1:209" ht="69.95" customHeight="1" x14ac:dyDescent="0.2">
      <c r="A3" s="52"/>
      <c r="B3" s="52"/>
      <c r="C3" s="52"/>
      <c r="D3" s="280"/>
      <c r="E3" s="280"/>
      <c r="F3" s="280"/>
      <c r="G3" s="280"/>
      <c r="H3" s="280"/>
      <c r="I3" s="280"/>
      <c r="J3" s="280"/>
      <c r="K3" s="280"/>
      <c r="L3" s="280"/>
      <c r="M3" s="280"/>
      <c r="N3" s="280"/>
      <c r="O3" s="280"/>
      <c r="P3" s="280"/>
      <c r="Q3" s="280"/>
      <c r="R3" s="280"/>
      <c r="S3" s="280"/>
      <c r="T3" s="280"/>
      <c r="U3" s="280"/>
      <c r="V3" s="280"/>
      <c r="W3" s="280"/>
      <c r="X3" s="280"/>
      <c r="Y3" s="280"/>
      <c r="Z3" s="280"/>
      <c r="AA3" s="280"/>
      <c r="AB3" s="280"/>
      <c r="AC3" s="280"/>
      <c r="AD3" s="280"/>
      <c r="AE3" s="280"/>
      <c r="AF3" s="280"/>
      <c r="AG3" s="280"/>
      <c r="AH3" s="280"/>
      <c r="AI3" s="280"/>
      <c r="AJ3" s="46"/>
      <c r="AK3" s="46"/>
      <c r="AL3" s="271" t="s">
        <v>225</v>
      </c>
      <c r="AM3" s="271"/>
      <c r="AN3" s="271"/>
      <c r="AO3" s="271"/>
      <c r="AP3" s="271"/>
      <c r="AQ3" s="271"/>
      <c r="AR3" s="271"/>
      <c r="AS3" s="271"/>
      <c r="AT3" s="271"/>
      <c r="AU3" s="271"/>
      <c r="AV3" s="271"/>
      <c r="AW3" s="271"/>
      <c r="AX3" s="271"/>
      <c r="AY3" s="271"/>
      <c r="AZ3" s="271"/>
      <c r="BA3" s="271"/>
      <c r="BB3" s="271"/>
      <c r="BC3" s="271"/>
      <c r="BD3" s="271"/>
      <c r="BE3" s="271"/>
      <c r="BF3" s="271"/>
      <c r="BG3" s="271"/>
      <c r="BH3" s="271"/>
      <c r="BI3" s="271"/>
      <c r="BJ3" s="271"/>
      <c r="BK3" s="271"/>
      <c r="BL3" s="271"/>
      <c r="BM3" s="271"/>
      <c r="BN3" s="271"/>
      <c r="BO3" s="271"/>
      <c r="BP3" s="271"/>
      <c r="BQ3" s="271"/>
      <c r="BR3" s="271"/>
      <c r="BS3" s="271"/>
      <c r="BT3" s="271"/>
      <c r="BU3" s="271"/>
      <c r="BV3" s="271"/>
      <c r="BW3" s="271"/>
      <c r="BX3" s="271"/>
      <c r="BY3" s="271"/>
      <c r="BZ3" s="271"/>
      <c r="CA3" s="271"/>
      <c r="CB3" s="271"/>
      <c r="CC3" s="50"/>
      <c r="CD3" s="50"/>
      <c r="CE3" s="50"/>
      <c r="CF3" s="50"/>
      <c r="CG3" s="50"/>
      <c r="CH3" s="50"/>
      <c r="CI3" s="50"/>
      <c r="CJ3" s="50"/>
      <c r="CK3" s="50"/>
      <c r="CL3" s="50"/>
      <c r="CM3" s="50"/>
      <c r="CN3" s="50"/>
      <c r="CO3" s="50"/>
      <c r="CP3" s="50"/>
      <c r="CQ3" s="50"/>
      <c r="CR3" s="50"/>
      <c r="CS3" s="50"/>
      <c r="CT3" s="50"/>
      <c r="CU3" s="50"/>
      <c r="CV3" s="50"/>
      <c r="CW3" s="271" t="s">
        <v>206</v>
      </c>
      <c r="CX3" s="271"/>
      <c r="CY3" s="271"/>
      <c r="CZ3" s="271"/>
      <c r="DA3" s="271"/>
      <c r="DB3" s="271"/>
      <c r="DC3" s="271"/>
      <c r="DD3" s="271"/>
      <c r="DE3" s="271"/>
      <c r="DF3" s="271"/>
      <c r="DG3" s="271"/>
      <c r="DH3" s="271"/>
      <c r="DI3" s="271"/>
      <c r="DJ3" s="271"/>
      <c r="DK3" s="271"/>
      <c r="DL3" s="271"/>
      <c r="DM3" s="271"/>
      <c r="DN3" s="271"/>
      <c r="DO3" s="271"/>
      <c r="DP3" s="271"/>
      <c r="DQ3" s="271"/>
      <c r="DR3" s="271"/>
      <c r="DS3" s="271"/>
      <c r="DT3" s="271"/>
      <c r="DU3" s="271"/>
      <c r="DV3" s="271"/>
      <c r="DW3" s="271"/>
      <c r="DX3" s="271"/>
      <c r="DY3" s="271"/>
      <c r="DZ3" s="271"/>
      <c r="EA3" s="271"/>
      <c r="EB3" s="271"/>
      <c r="EC3" s="271"/>
      <c r="ED3" s="271"/>
      <c r="EE3" s="271"/>
    </row>
    <row r="4" spans="1:209" ht="69.95" customHeight="1" x14ac:dyDescent="0.2">
      <c r="A4" s="48"/>
      <c r="B4" s="48"/>
      <c r="C4" s="48"/>
      <c r="D4" s="281"/>
      <c r="E4" s="281"/>
      <c r="F4" s="281"/>
      <c r="G4" s="281"/>
      <c r="H4" s="281"/>
      <c r="I4" s="281"/>
      <c r="J4" s="281"/>
      <c r="K4" s="281"/>
      <c r="L4" s="281"/>
      <c r="M4" s="281"/>
      <c r="N4" s="281"/>
      <c r="O4" s="281"/>
      <c r="P4" s="281"/>
      <c r="Q4" s="281"/>
      <c r="R4" s="281"/>
      <c r="S4" s="281"/>
      <c r="T4" s="281"/>
      <c r="U4" s="281"/>
      <c r="V4" s="281"/>
      <c r="W4" s="281"/>
      <c r="X4" s="281"/>
      <c r="Y4" s="281"/>
      <c r="Z4" s="281"/>
      <c r="AA4" s="281"/>
      <c r="AB4" s="281"/>
      <c r="AC4" s="281"/>
      <c r="AD4" s="281"/>
      <c r="AE4" s="281"/>
      <c r="AF4" s="281"/>
      <c r="AG4" s="281"/>
      <c r="AH4" s="281"/>
      <c r="AI4" s="281"/>
      <c r="AJ4" s="53"/>
      <c r="AK4" s="53"/>
      <c r="AL4" s="272" t="s">
        <v>224</v>
      </c>
      <c r="AM4" s="272"/>
      <c r="AN4" s="272"/>
      <c r="AO4" s="272"/>
      <c r="AP4" s="272"/>
      <c r="AQ4" s="272"/>
      <c r="AR4" s="272"/>
      <c r="AS4" s="272"/>
      <c r="AT4" s="272"/>
      <c r="AU4" s="272"/>
      <c r="AV4" s="272"/>
      <c r="AW4" s="272"/>
      <c r="AX4" s="272"/>
      <c r="AY4" s="272"/>
      <c r="AZ4" s="272"/>
      <c r="BA4" s="272"/>
      <c r="BB4" s="272"/>
      <c r="BC4" s="272"/>
      <c r="BD4" s="272"/>
      <c r="BE4" s="272"/>
      <c r="BF4" s="272"/>
      <c r="BG4" s="272"/>
      <c r="BH4" s="272"/>
      <c r="BI4" s="272"/>
      <c r="BJ4" s="272"/>
      <c r="BK4" s="272"/>
      <c r="BL4" s="272"/>
      <c r="BM4" s="272"/>
      <c r="BN4" s="272"/>
      <c r="BO4" s="272"/>
      <c r="BP4" s="272"/>
      <c r="BQ4" s="272"/>
      <c r="BR4" s="272"/>
      <c r="BS4" s="272"/>
      <c r="BT4" s="272"/>
      <c r="BU4" s="272"/>
      <c r="BV4" s="272"/>
      <c r="BW4" s="272"/>
      <c r="BX4" s="272"/>
      <c r="BY4" s="272"/>
      <c r="BZ4" s="272"/>
      <c r="CA4" s="272"/>
      <c r="CB4" s="272"/>
      <c r="CC4" s="58"/>
      <c r="CD4" s="58"/>
      <c r="CE4" s="58"/>
      <c r="CF4" s="58"/>
      <c r="CG4" s="58"/>
      <c r="CH4" s="58"/>
      <c r="CI4" s="58"/>
      <c r="CJ4" s="58"/>
      <c r="CK4" s="58"/>
      <c r="CL4" s="58"/>
      <c r="CM4" s="58"/>
      <c r="CN4" s="58"/>
      <c r="CO4" s="58"/>
      <c r="CP4" s="58"/>
      <c r="CQ4" s="58"/>
      <c r="CR4" s="58"/>
      <c r="CS4" s="58"/>
      <c r="CT4" s="58"/>
      <c r="CU4" s="58"/>
      <c r="CV4" s="58"/>
      <c r="CW4" s="280" t="s">
        <v>207</v>
      </c>
      <c r="CX4" s="280"/>
      <c r="CY4" s="280"/>
      <c r="CZ4" s="280"/>
      <c r="DA4" s="280"/>
      <c r="DB4" s="280"/>
      <c r="DC4" s="280"/>
      <c r="DD4" s="280"/>
      <c r="DE4" s="280"/>
      <c r="DF4" s="280"/>
      <c r="DG4" s="280"/>
      <c r="DH4" s="280"/>
      <c r="DI4" s="280"/>
      <c r="DJ4" s="280"/>
      <c r="DK4" s="280"/>
      <c r="DL4" s="280"/>
      <c r="DM4" s="280"/>
      <c r="DN4" s="280"/>
      <c r="DO4" s="280"/>
      <c r="DP4" s="280"/>
      <c r="DQ4" s="280"/>
      <c r="DR4" s="280"/>
      <c r="DS4" s="280"/>
      <c r="DT4" s="280"/>
      <c r="DU4" s="280"/>
      <c r="DV4" s="280"/>
      <c r="DW4" s="280"/>
      <c r="DX4" s="280"/>
      <c r="DY4" s="280"/>
      <c r="DZ4" s="280"/>
      <c r="EA4" s="280"/>
      <c r="EB4" s="280"/>
      <c r="EC4" s="280"/>
      <c r="ED4" s="280"/>
      <c r="EE4" s="280"/>
    </row>
    <row r="5" spans="1:209" ht="69.95" customHeight="1" x14ac:dyDescent="0.2">
      <c r="A5" s="12"/>
      <c r="B5" s="12"/>
      <c r="C5" s="12"/>
      <c r="D5" s="281"/>
      <c r="E5" s="281"/>
      <c r="F5" s="281"/>
      <c r="G5" s="281"/>
      <c r="H5" s="281"/>
      <c r="I5" s="281"/>
      <c r="J5" s="281"/>
      <c r="K5" s="281"/>
      <c r="L5" s="281"/>
      <c r="M5" s="281"/>
      <c r="N5" s="281"/>
      <c r="O5" s="281"/>
      <c r="P5" s="281"/>
      <c r="Q5" s="281"/>
      <c r="R5" s="281"/>
      <c r="S5" s="281"/>
      <c r="T5" s="281"/>
      <c r="U5" s="281"/>
      <c r="V5" s="281"/>
      <c r="W5" s="281"/>
      <c r="X5" s="281"/>
      <c r="Y5" s="281"/>
      <c r="Z5" s="281"/>
      <c r="AA5" s="281"/>
      <c r="AB5" s="281"/>
      <c r="AC5" s="281"/>
      <c r="AD5" s="281"/>
      <c r="AE5" s="281"/>
      <c r="AF5" s="281"/>
      <c r="AG5" s="281"/>
      <c r="AH5" s="281"/>
      <c r="AI5" s="281"/>
      <c r="AJ5" s="53"/>
      <c r="AK5" s="53"/>
      <c r="AL5" s="272" t="s">
        <v>11</v>
      </c>
      <c r="AM5" s="272"/>
      <c r="AN5" s="272"/>
      <c r="AO5" s="272"/>
      <c r="AP5" s="272"/>
      <c r="AQ5" s="272"/>
      <c r="AR5" s="272"/>
      <c r="AS5" s="272"/>
      <c r="AT5" s="272"/>
      <c r="AU5" s="272"/>
      <c r="AV5" s="272"/>
      <c r="AW5" s="272"/>
      <c r="AX5" s="272"/>
      <c r="AY5" s="272"/>
      <c r="AZ5" s="272"/>
      <c r="BA5" s="272"/>
      <c r="BB5" s="272"/>
      <c r="BC5" s="272"/>
      <c r="BD5" s="272"/>
      <c r="BE5" s="272"/>
      <c r="BF5" s="272"/>
      <c r="BG5" s="272"/>
      <c r="BH5" s="272"/>
      <c r="BI5" s="272"/>
      <c r="BJ5" s="272"/>
      <c r="BK5" s="272"/>
      <c r="BL5" s="272"/>
      <c r="BM5" s="272"/>
      <c r="BN5" s="272"/>
      <c r="BO5" s="272"/>
      <c r="BP5" s="272"/>
      <c r="BQ5" s="272"/>
      <c r="BR5" s="272"/>
      <c r="BS5" s="272"/>
      <c r="BT5" s="272"/>
      <c r="BU5" s="272"/>
      <c r="BV5" s="272"/>
      <c r="BW5" s="272"/>
      <c r="BX5" s="272"/>
      <c r="BY5" s="272"/>
      <c r="BZ5" s="272"/>
      <c r="CA5" s="272"/>
      <c r="CB5" s="272"/>
      <c r="CC5" s="58"/>
      <c r="CD5" s="58"/>
      <c r="CE5" s="58"/>
      <c r="CF5" s="58"/>
      <c r="CG5" s="58"/>
      <c r="CH5" s="58"/>
      <c r="CI5" s="58"/>
      <c r="CJ5" s="58"/>
      <c r="CK5" s="58"/>
      <c r="CL5" s="58"/>
      <c r="CM5" s="58"/>
      <c r="CN5" s="58"/>
      <c r="CO5" s="58"/>
      <c r="CP5" s="58"/>
      <c r="CQ5" s="58"/>
      <c r="CR5" s="58"/>
      <c r="CS5" s="58"/>
      <c r="CT5" s="58"/>
      <c r="CU5" s="58"/>
      <c r="CV5" s="58"/>
      <c r="CW5" s="280" t="s">
        <v>227</v>
      </c>
      <c r="CX5" s="280"/>
      <c r="CY5" s="280"/>
      <c r="CZ5" s="280"/>
      <c r="DA5" s="280"/>
      <c r="DB5" s="280"/>
      <c r="DC5" s="280"/>
      <c r="DD5" s="280"/>
      <c r="DE5" s="280"/>
      <c r="DF5" s="280"/>
      <c r="DG5" s="280"/>
      <c r="DH5" s="280"/>
      <c r="DI5" s="280"/>
      <c r="DJ5" s="280"/>
      <c r="DK5" s="280"/>
      <c r="DL5" s="280"/>
      <c r="DM5" s="280"/>
      <c r="DN5" s="280"/>
      <c r="DO5" s="280"/>
      <c r="DP5" s="280"/>
      <c r="DQ5" s="280"/>
      <c r="DR5" s="280"/>
      <c r="DS5" s="280"/>
      <c r="DT5" s="280"/>
      <c r="DU5" s="280"/>
      <c r="DV5" s="280"/>
      <c r="DW5" s="280"/>
      <c r="DX5" s="280"/>
      <c r="DY5" s="280"/>
      <c r="DZ5" s="280"/>
      <c r="EA5" s="280"/>
      <c r="EB5" s="280"/>
      <c r="EC5" s="280"/>
      <c r="ED5" s="280"/>
      <c r="EE5" s="280"/>
    </row>
    <row r="6" spans="1:209" ht="69.95" customHeight="1" x14ac:dyDescent="1.25">
      <c r="A6" s="12"/>
      <c r="B6" s="12"/>
      <c r="C6" s="12"/>
      <c r="D6" s="281"/>
      <c r="E6" s="281"/>
      <c r="F6" s="281"/>
      <c r="G6" s="281"/>
      <c r="H6" s="281"/>
      <c r="I6" s="281"/>
      <c r="J6" s="281"/>
      <c r="K6" s="281"/>
      <c r="L6" s="281"/>
      <c r="M6" s="281"/>
      <c r="N6" s="281"/>
      <c r="O6" s="281"/>
      <c r="P6" s="281"/>
      <c r="Q6" s="281"/>
      <c r="R6" s="281"/>
      <c r="S6" s="281"/>
      <c r="T6" s="281"/>
      <c r="U6" s="281"/>
      <c r="V6" s="281"/>
      <c r="W6" s="281"/>
      <c r="X6" s="281"/>
      <c r="Y6" s="281"/>
      <c r="Z6" s="281"/>
      <c r="AA6" s="281"/>
      <c r="AB6" s="281"/>
      <c r="AC6" s="281"/>
      <c r="AD6" s="281"/>
      <c r="AE6" s="281"/>
      <c r="AF6" s="281"/>
      <c r="AG6" s="281"/>
      <c r="AH6" s="281"/>
      <c r="AI6" s="281"/>
      <c r="AJ6" s="53"/>
      <c r="AK6" s="53"/>
      <c r="AL6" s="272" t="s">
        <v>243</v>
      </c>
      <c r="AM6" s="272"/>
      <c r="AN6" s="272"/>
      <c r="AO6" s="272"/>
      <c r="AP6" s="272"/>
      <c r="AQ6" s="272"/>
      <c r="AR6" s="272"/>
      <c r="AS6" s="272"/>
      <c r="AT6" s="272"/>
      <c r="AU6" s="272"/>
      <c r="AV6" s="272"/>
      <c r="AW6" s="272"/>
      <c r="AX6" s="272"/>
      <c r="AY6" s="272"/>
      <c r="AZ6" s="272"/>
      <c r="BA6" s="272"/>
      <c r="BB6" s="272"/>
      <c r="BC6" s="272"/>
      <c r="BD6" s="272"/>
      <c r="BE6" s="272"/>
      <c r="BF6" s="272"/>
      <c r="BG6" s="272"/>
      <c r="BH6" s="272"/>
      <c r="BI6" s="272"/>
      <c r="BJ6" s="272"/>
      <c r="BK6" s="272"/>
      <c r="BL6" s="272"/>
      <c r="BM6" s="272"/>
      <c r="BN6" s="272"/>
      <c r="BO6" s="272"/>
      <c r="BP6" s="272"/>
      <c r="BQ6" s="272"/>
      <c r="BR6" s="272"/>
      <c r="BS6" s="272"/>
      <c r="BT6" s="272"/>
      <c r="BU6" s="272"/>
      <c r="BV6" s="272"/>
      <c r="BW6" s="272"/>
      <c r="BX6" s="272"/>
      <c r="BY6" s="272"/>
      <c r="BZ6" s="272"/>
      <c r="CA6" s="272"/>
      <c r="CB6" s="272"/>
      <c r="CC6" s="58"/>
      <c r="CD6" s="58"/>
      <c r="CE6" s="58"/>
      <c r="CF6" s="58"/>
      <c r="CG6" s="58"/>
      <c r="CH6" s="58"/>
      <c r="CI6" s="58"/>
      <c r="CJ6" s="58"/>
      <c r="CK6" s="58"/>
      <c r="CL6" s="58"/>
      <c r="CM6" s="58"/>
      <c r="CN6" s="58"/>
      <c r="CO6" s="58"/>
      <c r="CP6" s="58"/>
      <c r="CQ6" s="58"/>
      <c r="CR6" s="58"/>
      <c r="CS6" s="58"/>
      <c r="CT6" s="58"/>
      <c r="CU6" s="58"/>
      <c r="CV6" s="5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56"/>
      <c r="EB6" s="56"/>
      <c r="EC6" s="56"/>
      <c r="ED6" s="56"/>
      <c r="EE6" s="56"/>
    </row>
    <row r="7" spans="1:209" ht="69.95" customHeight="1" x14ac:dyDescent="1.25">
      <c r="A7" s="12"/>
      <c r="B7" s="12"/>
      <c r="C7" s="12"/>
      <c r="D7" s="12"/>
      <c r="E7" s="12"/>
      <c r="F7" s="12"/>
      <c r="G7" s="12"/>
      <c r="H7" s="12"/>
      <c r="I7" s="12"/>
      <c r="J7" s="12"/>
      <c r="K7" s="12"/>
      <c r="L7" s="12"/>
      <c r="M7" s="12"/>
      <c r="N7" s="12"/>
      <c r="O7" s="12"/>
      <c r="P7" s="12"/>
      <c r="Q7" s="12"/>
      <c r="R7" s="12"/>
      <c r="S7" s="12"/>
      <c r="T7" s="12"/>
      <c r="U7" s="12"/>
      <c r="V7" s="12"/>
      <c r="W7" s="12"/>
      <c r="X7" s="12"/>
      <c r="Y7" s="12"/>
      <c r="Z7" s="57"/>
      <c r="AA7" s="53"/>
      <c r="AB7" s="53"/>
      <c r="AC7" s="53"/>
      <c r="AD7" s="53"/>
      <c r="AE7" s="53"/>
      <c r="AF7" s="53"/>
      <c r="AG7" s="53"/>
      <c r="AH7" s="53"/>
      <c r="AI7" s="53"/>
      <c r="AJ7" s="53"/>
      <c r="AK7" s="53"/>
      <c r="AL7" s="272" t="s">
        <v>223</v>
      </c>
      <c r="AM7" s="272"/>
      <c r="AN7" s="272"/>
      <c r="AO7" s="272"/>
      <c r="AP7" s="272"/>
      <c r="AQ7" s="272"/>
      <c r="AR7" s="272"/>
      <c r="AS7" s="272"/>
      <c r="AT7" s="272"/>
      <c r="AU7" s="272"/>
      <c r="AV7" s="272"/>
      <c r="AW7" s="272"/>
      <c r="AX7" s="272"/>
      <c r="AY7" s="272"/>
      <c r="AZ7" s="272"/>
      <c r="BA7" s="272"/>
      <c r="BB7" s="272"/>
      <c r="BC7" s="272"/>
      <c r="BD7" s="272"/>
      <c r="BE7" s="272"/>
      <c r="BF7" s="272"/>
      <c r="BG7" s="272"/>
      <c r="BH7" s="272"/>
      <c r="BI7" s="272"/>
      <c r="BJ7" s="272"/>
      <c r="BK7" s="272"/>
      <c r="BL7" s="272"/>
      <c r="BM7" s="272"/>
      <c r="BN7" s="272"/>
      <c r="BO7" s="272"/>
      <c r="BP7" s="272"/>
      <c r="BQ7" s="272"/>
      <c r="BR7" s="272"/>
      <c r="BS7" s="272"/>
      <c r="BT7" s="272"/>
      <c r="BU7" s="272"/>
      <c r="BV7" s="272"/>
      <c r="BW7" s="272"/>
      <c r="BX7" s="272"/>
      <c r="BY7" s="272"/>
      <c r="BZ7" s="272"/>
      <c r="CA7" s="272"/>
      <c r="CB7" s="272"/>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c r="DH7" s="58"/>
      <c r="DI7" s="59"/>
      <c r="DJ7" s="59"/>
      <c r="DK7" s="59"/>
      <c r="DL7" s="59"/>
      <c r="DM7" s="59"/>
      <c r="DN7" s="59"/>
      <c r="DO7" s="59"/>
      <c r="DP7" s="59"/>
      <c r="DQ7" s="59"/>
      <c r="DR7" s="60"/>
      <c r="DS7" s="60"/>
      <c r="DT7" s="60"/>
      <c r="DU7" s="60"/>
      <c r="DV7" s="60"/>
      <c r="DW7" s="60"/>
      <c r="DX7" s="60"/>
      <c r="DY7" s="60"/>
      <c r="DZ7" s="61"/>
      <c r="EA7" s="56"/>
      <c r="EB7" s="56"/>
      <c r="EC7" s="56"/>
      <c r="ED7" s="56"/>
      <c r="EE7" s="56"/>
    </row>
    <row r="8" spans="1:209" ht="60" x14ac:dyDescent="0.2">
      <c r="A8" s="282" t="s">
        <v>222</v>
      </c>
      <c r="B8" s="282"/>
      <c r="C8" s="282"/>
      <c r="D8" s="282"/>
      <c r="E8" s="282"/>
      <c r="F8" s="282"/>
      <c r="G8" s="282"/>
      <c r="H8" s="282"/>
      <c r="I8" s="282"/>
      <c r="J8" s="282"/>
      <c r="K8" s="282"/>
      <c r="L8" s="282"/>
      <c r="M8" s="282"/>
      <c r="N8" s="282"/>
      <c r="O8" s="282"/>
      <c r="P8" s="282"/>
      <c r="Q8" s="282"/>
      <c r="R8" s="282"/>
      <c r="S8" s="282"/>
      <c r="T8" s="282"/>
      <c r="U8" s="282"/>
      <c r="V8" s="282"/>
      <c r="W8" s="282"/>
      <c r="X8" s="282"/>
      <c r="Y8" s="282"/>
      <c r="Z8" s="282"/>
      <c r="AA8" s="282"/>
      <c r="AB8" s="282"/>
      <c r="AC8" s="282"/>
      <c r="AD8" s="282"/>
      <c r="AE8" s="282"/>
      <c r="AF8" s="282"/>
      <c r="AG8" s="282"/>
      <c r="AH8" s="282"/>
      <c r="AI8" s="282"/>
      <c r="AJ8" s="282"/>
      <c r="AK8" s="282"/>
      <c r="AL8" s="282"/>
      <c r="AM8" s="282"/>
      <c r="AN8" s="282"/>
      <c r="AO8" s="282"/>
      <c r="AP8" s="282"/>
      <c r="AQ8" s="282"/>
      <c r="AR8" s="282"/>
      <c r="AS8" s="282"/>
      <c r="AT8" s="282"/>
      <c r="AU8" s="282"/>
      <c r="AV8" s="282"/>
      <c r="AW8" s="282"/>
      <c r="AX8" s="282"/>
      <c r="AY8" s="282"/>
      <c r="AZ8" s="282"/>
      <c r="BA8" s="282"/>
      <c r="BB8" s="282"/>
      <c r="BC8" s="282"/>
      <c r="BD8" s="282"/>
      <c r="BE8" s="282"/>
      <c r="BF8" s="282"/>
      <c r="BG8" s="282"/>
      <c r="BH8" s="282"/>
      <c r="BI8" s="282"/>
      <c r="BJ8" s="282"/>
      <c r="BK8" s="282"/>
      <c r="BL8" s="282"/>
      <c r="BM8" s="282"/>
      <c r="BN8" s="282"/>
      <c r="BO8" s="282"/>
      <c r="BP8" s="282"/>
      <c r="BQ8" s="282"/>
      <c r="BR8" s="282"/>
      <c r="BS8" s="282"/>
      <c r="BT8" s="282"/>
      <c r="BU8" s="282"/>
      <c r="BV8" s="282"/>
      <c r="BW8" s="282"/>
      <c r="BX8" s="282"/>
      <c r="BY8" s="282"/>
      <c r="BZ8" s="282"/>
      <c r="CA8" s="282"/>
      <c r="CB8" s="282"/>
      <c r="CC8" s="282"/>
      <c r="CD8" s="282"/>
      <c r="CE8" s="282"/>
      <c r="CF8" s="282"/>
      <c r="CG8" s="282"/>
      <c r="CH8" s="282"/>
      <c r="CI8" s="282"/>
      <c r="CJ8" s="282"/>
      <c r="CK8" s="282"/>
      <c r="CL8" s="282"/>
      <c r="CM8" s="282"/>
      <c r="CN8" s="282"/>
      <c r="CO8" s="282"/>
      <c r="CP8" s="282"/>
      <c r="CQ8" s="282"/>
      <c r="CR8" s="282"/>
      <c r="CS8" s="282"/>
      <c r="CT8" s="282"/>
      <c r="CU8" s="282"/>
      <c r="CV8" s="282"/>
      <c r="CW8" s="282"/>
      <c r="CX8" s="282"/>
      <c r="CY8" s="282"/>
      <c r="CZ8" s="282"/>
      <c r="DA8" s="282"/>
      <c r="DB8" s="282"/>
      <c r="DC8" s="282"/>
      <c r="DD8" s="282"/>
      <c r="DE8" s="282"/>
      <c r="DF8" s="282"/>
      <c r="DG8" s="282"/>
      <c r="DH8" s="282"/>
      <c r="DI8" s="282"/>
      <c r="DJ8" s="282"/>
      <c r="DK8" s="282"/>
      <c r="DL8" s="282"/>
      <c r="DM8" s="282"/>
      <c r="DN8" s="282"/>
      <c r="DO8" s="282"/>
      <c r="DP8" s="282"/>
      <c r="DQ8" s="282"/>
      <c r="DR8" s="282"/>
      <c r="DS8" s="282"/>
      <c r="DT8" s="282"/>
      <c r="DU8" s="282"/>
      <c r="DV8" s="282"/>
      <c r="DW8" s="282"/>
      <c r="DX8" s="282"/>
      <c r="DY8" s="282"/>
      <c r="DZ8" s="282"/>
      <c r="EA8" s="282"/>
      <c r="EB8" s="282"/>
      <c r="EC8" s="282"/>
      <c r="ED8" s="282"/>
      <c r="EE8" s="282"/>
    </row>
    <row r="9" spans="1:209" ht="42" customHeight="1" x14ac:dyDescent="0.4">
      <c r="A9" s="13"/>
      <c r="B9" s="13"/>
      <c r="C9" s="14"/>
      <c r="D9" s="64"/>
      <c r="E9" s="64"/>
      <c r="F9" s="64"/>
      <c r="G9" s="64"/>
      <c r="H9" s="136"/>
      <c r="I9" s="136"/>
      <c r="J9" s="136"/>
      <c r="K9" s="136"/>
      <c r="L9" s="136"/>
      <c r="M9" s="136"/>
      <c r="N9" s="136"/>
      <c r="O9" s="136"/>
      <c r="P9" s="136"/>
      <c r="Q9" s="136"/>
      <c r="R9" s="136"/>
      <c r="S9" s="136"/>
      <c r="T9" s="136"/>
      <c r="U9" s="136"/>
      <c r="V9" s="136"/>
      <c r="W9" s="136"/>
      <c r="X9" s="136"/>
      <c r="Y9" s="136"/>
      <c r="Z9" s="136"/>
      <c r="AA9" s="136"/>
      <c r="AB9" s="136"/>
      <c r="AC9" s="136"/>
      <c r="AD9" s="136"/>
      <c r="AE9" s="136"/>
      <c r="AF9" s="136"/>
      <c r="AG9" s="136"/>
      <c r="AH9" s="136"/>
      <c r="AI9" s="136"/>
      <c r="AJ9" s="136"/>
      <c r="AK9" s="136"/>
      <c r="AL9" s="136"/>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6"/>
      <c r="BQ9" s="136"/>
      <c r="BR9" s="136"/>
      <c r="BS9" s="136"/>
      <c r="BT9" s="136"/>
      <c r="BU9" s="136"/>
      <c r="BV9" s="136"/>
      <c r="BW9" s="136"/>
      <c r="BX9" s="136"/>
      <c r="BY9" s="136"/>
      <c r="BZ9" s="136"/>
      <c r="CA9" s="136"/>
      <c r="CB9" s="136"/>
      <c r="CC9" s="136"/>
      <c r="CD9" s="136"/>
      <c r="CE9" s="136"/>
      <c r="CF9" s="136"/>
      <c r="CG9" s="136"/>
      <c r="CH9" s="136"/>
      <c r="CI9" s="136"/>
      <c r="CJ9" s="136"/>
      <c r="CK9" s="136"/>
      <c r="CL9" s="136"/>
      <c r="CM9" s="136"/>
      <c r="CN9" s="136"/>
      <c r="CO9" s="136"/>
      <c r="CP9" s="136"/>
      <c r="CQ9" s="136"/>
      <c r="CR9" s="136"/>
      <c r="CS9" s="136"/>
      <c r="CT9" s="136"/>
      <c r="CU9" s="136"/>
      <c r="CV9" s="136"/>
      <c r="CW9" s="136"/>
      <c r="CX9" s="136"/>
      <c r="CY9" s="136"/>
      <c r="CZ9" s="136"/>
      <c r="DA9" s="136"/>
      <c r="DB9" s="136"/>
      <c r="DC9" s="136"/>
      <c r="DD9" s="136"/>
      <c r="DE9" s="137"/>
      <c r="DF9" s="137"/>
      <c r="DG9" s="137"/>
      <c r="DH9" s="137"/>
      <c r="DI9" s="137"/>
      <c r="DJ9" s="137"/>
      <c r="DK9" s="137"/>
      <c r="DL9" s="137"/>
      <c r="DM9" s="137"/>
      <c r="DN9" s="137"/>
      <c r="DO9" s="137"/>
      <c r="DP9" s="137"/>
      <c r="DQ9" s="137"/>
      <c r="DR9" s="137"/>
      <c r="DS9" s="137"/>
      <c r="DT9" s="137"/>
      <c r="DU9" s="137"/>
      <c r="DV9" s="137"/>
      <c r="DW9" s="137"/>
      <c r="DX9" s="137"/>
      <c r="DY9" s="137"/>
      <c r="DZ9" s="137"/>
      <c r="EA9" s="16"/>
      <c r="EH9" s="464" t="s">
        <v>21</v>
      </c>
      <c r="EI9" s="464"/>
      <c r="EJ9" s="259" t="s">
        <v>213</v>
      </c>
      <c r="EK9" s="259"/>
      <c r="EL9" s="259"/>
      <c r="EM9" s="259"/>
      <c r="EN9" s="259"/>
      <c r="EO9" s="259"/>
      <c r="EP9" s="259"/>
      <c r="EQ9" s="259"/>
      <c r="ER9" s="259"/>
      <c r="ES9" s="259"/>
      <c r="ET9" s="259"/>
      <c r="EU9" s="259"/>
      <c r="EV9" s="259"/>
      <c r="EW9" s="259"/>
      <c r="EX9" s="259"/>
      <c r="EY9" s="259"/>
      <c r="EZ9" s="259"/>
      <c r="FA9" s="259"/>
      <c r="FB9" s="259"/>
      <c r="FC9" s="259"/>
      <c r="FD9" s="259"/>
      <c r="FE9" s="259"/>
      <c r="FF9" s="259"/>
      <c r="FG9" s="259"/>
      <c r="FH9" s="259"/>
      <c r="FI9" s="259"/>
      <c r="FJ9" s="259"/>
      <c r="FK9" s="259"/>
      <c r="FL9" s="259"/>
      <c r="FM9" s="259"/>
      <c r="FN9" s="259"/>
      <c r="FO9" s="259"/>
      <c r="FP9" s="259"/>
      <c r="FQ9" s="259"/>
      <c r="FR9" s="259"/>
      <c r="FS9" s="259"/>
      <c r="FT9" s="259"/>
      <c r="FU9" s="259"/>
      <c r="FV9" s="259"/>
      <c r="FW9" s="259"/>
      <c r="FX9" s="259"/>
      <c r="FY9" s="259"/>
      <c r="FZ9" s="259"/>
      <c r="GA9" s="259"/>
      <c r="GB9" s="259"/>
      <c r="GC9" s="259"/>
      <c r="GD9" s="259"/>
      <c r="GE9" s="259"/>
      <c r="GF9" s="259"/>
      <c r="GG9" s="259"/>
      <c r="GH9" s="259"/>
      <c r="GI9" s="259"/>
      <c r="GJ9" s="357" t="s">
        <v>17</v>
      </c>
      <c r="GK9" s="357"/>
      <c r="GL9" s="357"/>
      <c r="GM9" s="357"/>
      <c r="GN9" s="357"/>
      <c r="GO9" s="357"/>
      <c r="GP9" s="357"/>
      <c r="GQ9" s="357"/>
      <c r="GR9" s="357"/>
      <c r="GS9" s="357"/>
      <c r="GT9" s="357"/>
      <c r="GU9" s="357"/>
      <c r="GV9" s="357"/>
      <c r="GW9" s="357"/>
      <c r="GX9" s="470" t="s">
        <v>214</v>
      </c>
      <c r="GY9" s="470"/>
      <c r="GZ9" s="470" t="s">
        <v>20</v>
      </c>
      <c r="HA9" s="470"/>
    </row>
    <row r="10" spans="1:209" ht="42" customHeight="1" x14ac:dyDescent="0.4">
      <c r="A10" s="13"/>
      <c r="B10" s="13"/>
      <c r="C10" s="14"/>
      <c r="D10" s="64"/>
      <c r="E10" s="64"/>
      <c r="F10" s="64"/>
      <c r="G10" s="64"/>
      <c r="H10" s="136"/>
      <c r="I10" s="136"/>
      <c r="J10" s="136"/>
      <c r="K10" s="136"/>
      <c r="L10" s="136"/>
      <c r="M10" s="136"/>
      <c r="N10" s="136"/>
      <c r="O10" s="136"/>
      <c r="P10" s="136"/>
      <c r="Q10" s="136"/>
      <c r="R10" s="136"/>
      <c r="S10" s="136"/>
      <c r="T10" s="136"/>
      <c r="U10" s="136"/>
      <c r="V10" s="136"/>
      <c r="W10" s="136"/>
      <c r="X10" s="136"/>
      <c r="Y10" s="136"/>
      <c r="Z10" s="136"/>
      <c r="AA10" s="136"/>
      <c r="AB10" s="136"/>
      <c r="AC10" s="136"/>
      <c r="AD10" s="136"/>
      <c r="AE10" s="136"/>
      <c r="AF10" s="136"/>
      <c r="AG10" s="136"/>
      <c r="AH10" s="136"/>
      <c r="AI10" s="136"/>
      <c r="AJ10" s="136"/>
      <c r="AK10" s="136"/>
      <c r="AL10" s="136"/>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c r="BW10" s="136"/>
      <c r="BX10" s="136"/>
      <c r="BY10" s="136"/>
      <c r="BZ10" s="136"/>
      <c r="CA10" s="136"/>
      <c r="CB10" s="136"/>
      <c r="CC10" s="136"/>
      <c r="CD10" s="136"/>
      <c r="CE10" s="136"/>
      <c r="CF10" s="136"/>
      <c r="CG10" s="136"/>
      <c r="CH10" s="136"/>
      <c r="CI10" s="136"/>
      <c r="CJ10" s="136"/>
      <c r="CK10" s="136"/>
      <c r="CL10" s="136"/>
      <c r="CM10" s="136"/>
      <c r="CN10" s="136"/>
      <c r="CO10" s="136"/>
      <c r="CP10" s="136"/>
      <c r="CQ10" s="136"/>
      <c r="CR10" s="136"/>
      <c r="CS10" s="136"/>
      <c r="CT10" s="136"/>
      <c r="CU10" s="136"/>
      <c r="CV10" s="136"/>
      <c r="CW10" s="136"/>
      <c r="CX10" s="136"/>
      <c r="CY10" s="136"/>
      <c r="CZ10" s="136"/>
      <c r="DA10" s="136"/>
      <c r="DB10" s="136"/>
      <c r="DC10" s="136"/>
      <c r="DD10" s="136"/>
      <c r="DE10" s="132"/>
      <c r="DF10" s="132"/>
      <c r="DG10" s="132"/>
      <c r="DH10" s="132"/>
      <c r="DI10" s="137"/>
      <c r="DJ10" s="137"/>
      <c r="DK10" s="137"/>
      <c r="DL10" s="137"/>
      <c r="DM10" s="137"/>
      <c r="DN10" s="137"/>
      <c r="DO10" s="137"/>
      <c r="DP10" s="137"/>
      <c r="DQ10" s="137"/>
      <c r="DR10" s="137"/>
      <c r="DS10" s="137"/>
      <c r="DT10" s="137"/>
      <c r="DU10" s="137"/>
      <c r="DV10" s="137"/>
      <c r="DW10" s="137"/>
      <c r="DX10" s="137"/>
      <c r="DY10" s="137"/>
      <c r="DZ10" s="137"/>
      <c r="EA10" s="16"/>
      <c r="EH10" s="464"/>
      <c r="EI10" s="464"/>
      <c r="EJ10" s="259"/>
      <c r="EK10" s="259"/>
      <c r="EL10" s="259"/>
      <c r="EM10" s="259"/>
      <c r="EN10" s="259"/>
      <c r="EO10" s="259"/>
      <c r="EP10" s="259"/>
      <c r="EQ10" s="259"/>
      <c r="ER10" s="259"/>
      <c r="ES10" s="259"/>
      <c r="ET10" s="259"/>
      <c r="EU10" s="259"/>
      <c r="EV10" s="259"/>
      <c r="EW10" s="259"/>
      <c r="EX10" s="259"/>
      <c r="EY10" s="259"/>
      <c r="EZ10" s="259"/>
      <c r="FA10" s="259"/>
      <c r="FB10" s="259"/>
      <c r="FC10" s="259"/>
      <c r="FD10" s="259"/>
      <c r="FE10" s="259"/>
      <c r="FF10" s="259"/>
      <c r="FG10" s="259"/>
      <c r="FH10" s="259"/>
      <c r="FI10" s="259"/>
      <c r="FJ10" s="259"/>
      <c r="FK10" s="259"/>
      <c r="FL10" s="259"/>
      <c r="FM10" s="259"/>
      <c r="FN10" s="259"/>
      <c r="FO10" s="259"/>
      <c r="FP10" s="259"/>
      <c r="FQ10" s="259"/>
      <c r="FR10" s="259"/>
      <c r="FS10" s="259"/>
      <c r="FT10" s="259"/>
      <c r="FU10" s="259"/>
      <c r="FV10" s="259"/>
      <c r="FW10" s="259"/>
      <c r="FX10" s="259"/>
      <c r="FY10" s="259"/>
      <c r="FZ10" s="259"/>
      <c r="GA10" s="259"/>
      <c r="GB10" s="259"/>
      <c r="GC10" s="259"/>
      <c r="GD10" s="259"/>
      <c r="GE10" s="259"/>
      <c r="GF10" s="259"/>
      <c r="GG10" s="259"/>
      <c r="GH10" s="259"/>
      <c r="GI10" s="259"/>
      <c r="GJ10" s="470" t="s">
        <v>18</v>
      </c>
      <c r="GK10" s="470"/>
      <c r="GL10" s="357" t="s">
        <v>75</v>
      </c>
      <c r="GM10" s="357"/>
      <c r="GN10" s="357"/>
      <c r="GO10" s="357"/>
      <c r="GP10" s="357"/>
      <c r="GQ10" s="357"/>
      <c r="GR10" s="357"/>
      <c r="GS10" s="357"/>
      <c r="GT10" s="357"/>
      <c r="GU10" s="357"/>
      <c r="GV10" s="357"/>
      <c r="GW10" s="357"/>
      <c r="GX10" s="470"/>
      <c r="GY10" s="470"/>
      <c r="GZ10" s="470"/>
      <c r="HA10" s="470"/>
    </row>
    <row r="11" spans="1:209" ht="66" customHeight="1" x14ac:dyDescent="0.4">
      <c r="A11" s="13"/>
      <c r="B11" s="13"/>
      <c r="C11" s="14"/>
      <c r="D11" s="64"/>
      <c r="E11" s="64"/>
      <c r="F11" s="64"/>
      <c r="G11" s="64"/>
      <c r="H11" s="136"/>
      <c r="I11" s="136"/>
      <c r="J11" s="136"/>
      <c r="K11" s="136"/>
      <c r="L11" s="136"/>
      <c r="M11" s="136"/>
      <c r="N11" s="136"/>
      <c r="O11" s="136"/>
      <c r="P11" s="136"/>
      <c r="Q11" s="136"/>
      <c r="R11" s="136"/>
      <c r="S11" s="136"/>
      <c r="T11" s="136"/>
      <c r="U11" s="136"/>
      <c r="V11" s="136"/>
      <c r="W11" s="136"/>
      <c r="X11" s="136"/>
      <c r="Y11" s="136"/>
      <c r="Z11" s="136"/>
      <c r="AA11" s="136"/>
      <c r="AB11" s="136"/>
      <c r="AC11" s="136"/>
      <c r="AD11" s="136"/>
      <c r="AE11" s="136"/>
      <c r="AF11" s="136"/>
      <c r="AG11" s="136"/>
      <c r="AH11" s="136"/>
      <c r="AI11" s="136"/>
      <c r="AJ11" s="136"/>
      <c r="AK11" s="136"/>
      <c r="AL11" s="136"/>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c r="BW11" s="136"/>
      <c r="BX11" s="136"/>
      <c r="BY11" s="136"/>
      <c r="BZ11" s="136"/>
      <c r="CA11" s="136"/>
      <c r="CB11" s="136"/>
      <c r="CC11" s="136"/>
      <c r="CD11" s="136"/>
      <c r="CE11" s="136"/>
      <c r="CF11" s="136"/>
      <c r="CG11" s="136"/>
      <c r="CH11" s="136"/>
      <c r="CI11" s="136"/>
      <c r="CJ11" s="136"/>
      <c r="CK11" s="136"/>
      <c r="CL11" s="136"/>
      <c r="CM11" s="136"/>
      <c r="CN11" s="136"/>
      <c r="CO11" s="136"/>
      <c r="CP11" s="136"/>
      <c r="CQ11" s="136"/>
      <c r="CR11" s="136"/>
      <c r="CS11" s="136"/>
      <c r="CT11" s="136"/>
      <c r="CU11" s="136"/>
      <c r="CV11" s="136"/>
      <c r="CW11" s="136"/>
      <c r="CX11" s="136"/>
      <c r="CY11" s="136"/>
      <c r="CZ11" s="136"/>
      <c r="DA11" s="136"/>
      <c r="DB11" s="136"/>
      <c r="DC11" s="136"/>
      <c r="DD11" s="136"/>
      <c r="DE11" s="132"/>
      <c r="DF11" s="132"/>
      <c r="DG11" s="132"/>
      <c r="DH11" s="132"/>
      <c r="DI11" s="133"/>
      <c r="DJ11" s="133"/>
      <c r="DK11" s="133"/>
      <c r="DL11" s="131"/>
      <c r="DM11" s="131"/>
      <c r="DN11" s="131"/>
      <c r="DO11" s="134"/>
      <c r="DP11" s="134"/>
      <c r="DQ11" s="134"/>
      <c r="DR11" s="133"/>
      <c r="DS11" s="133"/>
      <c r="DT11" s="133"/>
      <c r="DU11" s="131"/>
      <c r="DV11" s="131"/>
      <c r="DW11" s="131"/>
      <c r="DX11" s="131"/>
      <c r="DY11" s="131"/>
      <c r="DZ11" s="131"/>
      <c r="EA11" s="16"/>
      <c r="EH11" s="464"/>
      <c r="EI11" s="464"/>
      <c r="EJ11" s="259"/>
      <c r="EK11" s="259"/>
      <c r="EL11" s="259"/>
      <c r="EM11" s="259"/>
      <c r="EN11" s="259"/>
      <c r="EO11" s="259"/>
      <c r="EP11" s="259"/>
      <c r="EQ11" s="259"/>
      <c r="ER11" s="259"/>
      <c r="ES11" s="259"/>
      <c r="ET11" s="259"/>
      <c r="EU11" s="259"/>
      <c r="EV11" s="259"/>
      <c r="EW11" s="259"/>
      <c r="EX11" s="259"/>
      <c r="EY11" s="259"/>
      <c r="EZ11" s="259"/>
      <c r="FA11" s="259"/>
      <c r="FB11" s="259"/>
      <c r="FC11" s="259"/>
      <c r="FD11" s="259"/>
      <c r="FE11" s="259"/>
      <c r="FF11" s="259"/>
      <c r="FG11" s="259"/>
      <c r="FH11" s="259"/>
      <c r="FI11" s="259"/>
      <c r="FJ11" s="259"/>
      <c r="FK11" s="259"/>
      <c r="FL11" s="259"/>
      <c r="FM11" s="259"/>
      <c r="FN11" s="259"/>
      <c r="FO11" s="259"/>
      <c r="FP11" s="259"/>
      <c r="FQ11" s="259"/>
      <c r="FR11" s="259"/>
      <c r="FS11" s="259"/>
      <c r="FT11" s="259"/>
      <c r="FU11" s="259"/>
      <c r="FV11" s="259"/>
      <c r="FW11" s="259"/>
      <c r="FX11" s="259"/>
      <c r="FY11" s="259"/>
      <c r="FZ11" s="259"/>
      <c r="GA11" s="259"/>
      <c r="GB11" s="259"/>
      <c r="GC11" s="259"/>
      <c r="GD11" s="259"/>
      <c r="GE11" s="259"/>
      <c r="GF11" s="259"/>
      <c r="GG11" s="259"/>
      <c r="GH11" s="259"/>
      <c r="GI11" s="259"/>
      <c r="GJ11" s="470"/>
      <c r="GK11" s="470"/>
      <c r="GL11" s="471" t="s">
        <v>215</v>
      </c>
      <c r="GM11" s="472"/>
      <c r="GN11" s="471" t="s">
        <v>14</v>
      </c>
      <c r="GO11" s="472"/>
      <c r="GP11" s="471" t="s">
        <v>216</v>
      </c>
      <c r="GQ11" s="472"/>
      <c r="GR11" s="471" t="s">
        <v>12</v>
      </c>
      <c r="GS11" s="472"/>
      <c r="GT11" s="471" t="s">
        <v>15</v>
      </c>
      <c r="GU11" s="472"/>
      <c r="GV11" s="477" t="s">
        <v>217</v>
      </c>
      <c r="GW11" s="478"/>
      <c r="GX11" s="470"/>
      <c r="GY11" s="470"/>
      <c r="GZ11" s="470"/>
      <c r="HA11" s="470"/>
    </row>
    <row r="12" spans="1:209" ht="66" customHeight="1" x14ac:dyDescent="0.4">
      <c r="A12" s="13"/>
      <c r="B12" s="13"/>
      <c r="C12" s="14"/>
      <c r="D12" s="64"/>
      <c r="E12" s="64"/>
      <c r="F12" s="64"/>
      <c r="G12" s="64"/>
      <c r="H12" s="136"/>
      <c r="I12" s="136"/>
      <c r="J12" s="136"/>
      <c r="K12" s="136"/>
      <c r="L12" s="136"/>
      <c r="M12" s="136"/>
      <c r="N12" s="136"/>
      <c r="O12" s="136"/>
      <c r="P12" s="136"/>
      <c r="Q12" s="136"/>
      <c r="R12" s="136"/>
      <c r="S12" s="136"/>
      <c r="T12" s="136"/>
      <c r="U12" s="136"/>
      <c r="V12" s="136"/>
      <c r="W12" s="136"/>
      <c r="X12" s="136"/>
      <c r="Y12" s="136"/>
      <c r="Z12" s="136"/>
      <c r="AA12" s="136"/>
      <c r="AB12" s="136"/>
      <c r="AC12" s="136"/>
      <c r="AD12" s="136"/>
      <c r="AE12" s="136"/>
      <c r="AF12" s="136"/>
      <c r="AG12" s="136"/>
      <c r="AH12" s="136"/>
      <c r="AI12" s="136"/>
      <c r="AJ12" s="136"/>
      <c r="AK12" s="136"/>
      <c r="AL12" s="136"/>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c r="BW12" s="136"/>
      <c r="BX12" s="136"/>
      <c r="BY12" s="136"/>
      <c r="BZ12" s="136"/>
      <c r="CA12" s="136"/>
      <c r="CB12" s="136"/>
      <c r="CC12" s="136"/>
      <c r="CD12" s="136"/>
      <c r="CE12" s="136"/>
      <c r="CF12" s="136"/>
      <c r="CG12" s="136"/>
      <c r="CH12" s="136"/>
      <c r="CI12" s="136"/>
      <c r="CJ12" s="136"/>
      <c r="CK12" s="136"/>
      <c r="CL12" s="136"/>
      <c r="CM12" s="136"/>
      <c r="CN12" s="136"/>
      <c r="CO12" s="136"/>
      <c r="CP12" s="136"/>
      <c r="CQ12" s="136"/>
      <c r="CR12" s="136"/>
      <c r="CS12" s="136"/>
      <c r="CT12" s="136"/>
      <c r="CU12" s="136"/>
      <c r="CV12" s="136"/>
      <c r="CW12" s="136"/>
      <c r="CX12" s="136"/>
      <c r="CY12" s="136"/>
      <c r="CZ12" s="136"/>
      <c r="DA12" s="136"/>
      <c r="DB12" s="136"/>
      <c r="DC12" s="136"/>
      <c r="DD12" s="136"/>
      <c r="DE12" s="132"/>
      <c r="DF12" s="132"/>
      <c r="DG12" s="132"/>
      <c r="DH12" s="132"/>
      <c r="DI12" s="133"/>
      <c r="DJ12" s="133"/>
      <c r="DK12" s="133"/>
      <c r="DL12" s="131"/>
      <c r="DM12" s="131"/>
      <c r="DN12" s="131"/>
      <c r="DO12" s="134"/>
      <c r="DP12" s="134"/>
      <c r="DQ12" s="134"/>
      <c r="DR12" s="133"/>
      <c r="DS12" s="133"/>
      <c r="DT12" s="133"/>
      <c r="DU12" s="131"/>
      <c r="DV12" s="131"/>
      <c r="DW12" s="131"/>
      <c r="DX12" s="131"/>
      <c r="DY12" s="131"/>
      <c r="DZ12" s="131"/>
      <c r="EA12" s="16"/>
      <c r="EH12" s="464"/>
      <c r="EI12" s="464"/>
      <c r="EJ12" s="259"/>
      <c r="EK12" s="259"/>
      <c r="EL12" s="259"/>
      <c r="EM12" s="259"/>
      <c r="EN12" s="259"/>
      <c r="EO12" s="259"/>
      <c r="EP12" s="259"/>
      <c r="EQ12" s="259"/>
      <c r="ER12" s="259"/>
      <c r="ES12" s="259"/>
      <c r="ET12" s="259"/>
      <c r="EU12" s="259"/>
      <c r="EV12" s="259"/>
      <c r="EW12" s="259"/>
      <c r="EX12" s="259"/>
      <c r="EY12" s="259"/>
      <c r="EZ12" s="259"/>
      <c r="FA12" s="259"/>
      <c r="FB12" s="259"/>
      <c r="FC12" s="259"/>
      <c r="FD12" s="259"/>
      <c r="FE12" s="259"/>
      <c r="FF12" s="259"/>
      <c r="FG12" s="259"/>
      <c r="FH12" s="259"/>
      <c r="FI12" s="259"/>
      <c r="FJ12" s="259"/>
      <c r="FK12" s="259"/>
      <c r="FL12" s="259"/>
      <c r="FM12" s="259"/>
      <c r="FN12" s="259"/>
      <c r="FO12" s="259"/>
      <c r="FP12" s="259"/>
      <c r="FQ12" s="259"/>
      <c r="FR12" s="259"/>
      <c r="FS12" s="259"/>
      <c r="FT12" s="259"/>
      <c r="FU12" s="259"/>
      <c r="FV12" s="259"/>
      <c r="FW12" s="259"/>
      <c r="FX12" s="259"/>
      <c r="FY12" s="259"/>
      <c r="FZ12" s="259"/>
      <c r="GA12" s="259"/>
      <c r="GB12" s="259"/>
      <c r="GC12" s="259"/>
      <c r="GD12" s="259"/>
      <c r="GE12" s="259"/>
      <c r="GF12" s="259"/>
      <c r="GG12" s="259"/>
      <c r="GH12" s="259"/>
      <c r="GI12" s="259"/>
      <c r="GJ12" s="470"/>
      <c r="GK12" s="470"/>
      <c r="GL12" s="473"/>
      <c r="GM12" s="474"/>
      <c r="GN12" s="473"/>
      <c r="GO12" s="474"/>
      <c r="GP12" s="473"/>
      <c r="GQ12" s="474"/>
      <c r="GR12" s="473"/>
      <c r="GS12" s="474"/>
      <c r="GT12" s="473"/>
      <c r="GU12" s="474"/>
      <c r="GV12" s="479"/>
      <c r="GW12" s="480"/>
      <c r="GX12" s="470"/>
      <c r="GY12" s="470"/>
      <c r="GZ12" s="470"/>
      <c r="HA12" s="470"/>
    </row>
    <row r="13" spans="1:209" ht="66" customHeight="1" x14ac:dyDescent="0.4">
      <c r="A13" s="13"/>
      <c r="B13" s="13"/>
      <c r="C13" s="14"/>
      <c r="D13" s="64"/>
      <c r="E13" s="64"/>
      <c r="F13" s="64"/>
      <c r="G13" s="64"/>
      <c r="H13" s="136"/>
      <c r="I13" s="136"/>
      <c r="J13" s="136"/>
      <c r="K13" s="136"/>
      <c r="L13" s="136"/>
      <c r="M13" s="136"/>
      <c r="N13" s="136"/>
      <c r="O13" s="136"/>
      <c r="P13" s="136"/>
      <c r="Q13" s="136"/>
      <c r="R13" s="136"/>
      <c r="S13" s="136"/>
      <c r="T13" s="136"/>
      <c r="U13" s="136"/>
      <c r="V13" s="136"/>
      <c r="W13" s="136"/>
      <c r="X13" s="136"/>
      <c r="Y13" s="136"/>
      <c r="Z13" s="136"/>
      <c r="AA13" s="136"/>
      <c r="AB13" s="136"/>
      <c r="AC13" s="136"/>
      <c r="AD13" s="136"/>
      <c r="AE13" s="136"/>
      <c r="AF13" s="136"/>
      <c r="AG13" s="136"/>
      <c r="AH13" s="136"/>
      <c r="AI13" s="136"/>
      <c r="AJ13" s="136"/>
      <c r="AK13" s="136"/>
      <c r="AL13" s="136"/>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c r="BW13" s="136"/>
      <c r="BX13" s="136"/>
      <c r="BY13" s="136"/>
      <c r="BZ13" s="136"/>
      <c r="CA13" s="136"/>
      <c r="CB13" s="136"/>
      <c r="CC13" s="136"/>
      <c r="CD13" s="136"/>
      <c r="CE13" s="136"/>
      <c r="CF13" s="136"/>
      <c r="CG13" s="136"/>
      <c r="CH13" s="136"/>
      <c r="CI13" s="136"/>
      <c r="CJ13" s="136"/>
      <c r="CK13" s="136"/>
      <c r="CL13" s="136"/>
      <c r="CM13" s="136"/>
      <c r="CN13" s="136"/>
      <c r="CO13" s="136"/>
      <c r="CP13" s="136"/>
      <c r="CQ13" s="136"/>
      <c r="CR13" s="136"/>
      <c r="CS13" s="136"/>
      <c r="CT13" s="136"/>
      <c r="CU13" s="136"/>
      <c r="CV13" s="136"/>
      <c r="CW13" s="136"/>
      <c r="CX13" s="136"/>
      <c r="CY13" s="136"/>
      <c r="CZ13" s="136"/>
      <c r="DA13" s="136"/>
      <c r="DB13" s="136"/>
      <c r="DC13" s="136"/>
      <c r="DD13" s="136"/>
      <c r="DE13" s="132"/>
      <c r="DF13" s="132"/>
      <c r="DG13" s="132"/>
      <c r="DH13" s="132"/>
      <c r="DI13" s="133"/>
      <c r="DJ13" s="133"/>
      <c r="DK13" s="133"/>
      <c r="DL13" s="131"/>
      <c r="DM13" s="131"/>
      <c r="DN13" s="131"/>
      <c r="DO13" s="134"/>
      <c r="DP13" s="134"/>
      <c r="DQ13" s="134"/>
      <c r="DR13" s="133"/>
      <c r="DS13" s="133"/>
      <c r="DT13" s="133"/>
      <c r="DU13" s="131"/>
      <c r="DV13" s="131"/>
      <c r="DW13" s="131"/>
      <c r="DX13" s="131"/>
      <c r="DY13" s="131"/>
      <c r="DZ13" s="131"/>
      <c r="EA13" s="16"/>
      <c r="EH13" s="464"/>
      <c r="EI13" s="464"/>
      <c r="EJ13" s="377" t="s">
        <v>218</v>
      </c>
      <c r="EK13" s="378"/>
      <c r="EL13" s="378"/>
      <c r="EM13" s="378"/>
      <c r="EN13" s="379"/>
      <c r="EO13" s="377" t="s">
        <v>219</v>
      </c>
      <c r="EP13" s="378"/>
      <c r="EQ13" s="378"/>
      <c r="ER13" s="379"/>
      <c r="ES13" s="377" t="s">
        <v>45</v>
      </c>
      <c r="ET13" s="378"/>
      <c r="EU13" s="378"/>
      <c r="EV13" s="378"/>
      <c r="EW13" s="379"/>
      <c r="EX13" s="377" t="s">
        <v>46</v>
      </c>
      <c r="EY13" s="378"/>
      <c r="EZ13" s="378"/>
      <c r="FA13" s="379"/>
      <c r="FB13" s="377" t="s">
        <v>47</v>
      </c>
      <c r="FC13" s="378"/>
      <c r="FD13" s="378"/>
      <c r="FE13" s="378"/>
      <c r="FF13" s="379"/>
      <c r="FG13" s="377" t="s">
        <v>48</v>
      </c>
      <c r="FH13" s="378"/>
      <c r="FI13" s="378"/>
      <c r="FJ13" s="379"/>
      <c r="FK13" s="377" t="s">
        <v>49</v>
      </c>
      <c r="FL13" s="378"/>
      <c r="FM13" s="378"/>
      <c r="FN13" s="378"/>
      <c r="FO13" s="379"/>
      <c r="FP13" s="377" t="s">
        <v>50</v>
      </c>
      <c r="FQ13" s="378"/>
      <c r="FR13" s="378"/>
      <c r="FS13" s="379"/>
      <c r="FT13" s="377" t="s">
        <v>51</v>
      </c>
      <c r="FU13" s="378"/>
      <c r="FV13" s="378"/>
      <c r="FW13" s="379"/>
      <c r="FX13" s="377" t="s">
        <v>52</v>
      </c>
      <c r="FY13" s="378"/>
      <c r="FZ13" s="378"/>
      <c r="GA13" s="379"/>
      <c r="GB13" s="377" t="s">
        <v>220</v>
      </c>
      <c r="GC13" s="378"/>
      <c r="GD13" s="378"/>
      <c r="GE13" s="379"/>
      <c r="GF13" s="377" t="s">
        <v>53</v>
      </c>
      <c r="GG13" s="378"/>
      <c r="GH13" s="378"/>
      <c r="GI13" s="379"/>
      <c r="GJ13" s="470"/>
      <c r="GK13" s="470"/>
      <c r="GL13" s="473"/>
      <c r="GM13" s="474"/>
      <c r="GN13" s="473"/>
      <c r="GO13" s="474"/>
      <c r="GP13" s="473"/>
      <c r="GQ13" s="474"/>
      <c r="GR13" s="473"/>
      <c r="GS13" s="474"/>
      <c r="GT13" s="473"/>
      <c r="GU13" s="474"/>
      <c r="GV13" s="479"/>
      <c r="GW13" s="480"/>
      <c r="GX13" s="470"/>
      <c r="GY13" s="470"/>
      <c r="GZ13" s="470"/>
      <c r="HA13" s="470"/>
    </row>
    <row r="14" spans="1:209" ht="66" customHeight="1" x14ac:dyDescent="0.4">
      <c r="A14" s="13"/>
      <c r="B14" s="13"/>
      <c r="C14" s="14"/>
      <c r="D14" s="64"/>
      <c r="E14" s="64"/>
      <c r="F14" s="64"/>
      <c r="G14" s="64"/>
      <c r="H14" s="138"/>
      <c r="I14" s="138"/>
      <c r="J14" s="138"/>
      <c r="K14" s="138"/>
      <c r="L14" s="138"/>
      <c r="M14" s="138"/>
      <c r="N14" s="138"/>
      <c r="O14" s="138"/>
      <c r="P14" s="138"/>
      <c r="Q14" s="138"/>
      <c r="R14" s="138"/>
      <c r="S14" s="138"/>
      <c r="T14" s="138"/>
      <c r="U14" s="138"/>
      <c r="V14" s="138"/>
      <c r="W14" s="138"/>
      <c r="X14" s="138"/>
      <c r="Y14" s="138"/>
      <c r="Z14" s="138"/>
      <c r="AA14" s="138"/>
      <c r="AB14" s="138"/>
      <c r="AC14" s="138"/>
      <c r="AD14" s="138"/>
      <c r="AE14" s="138"/>
      <c r="AF14" s="138"/>
      <c r="AG14" s="138"/>
      <c r="AH14" s="138"/>
      <c r="AI14" s="138"/>
      <c r="AJ14" s="138"/>
      <c r="AK14" s="138"/>
      <c r="AL14" s="138"/>
      <c r="AM14" s="138"/>
      <c r="AN14" s="138"/>
      <c r="AO14" s="138"/>
      <c r="AP14" s="138"/>
      <c r="AQ14" s="138"/>
      <c r="AR14" s="138"/>
      <c r="AS14" s="138"/>
      <c r="AT14" s="138"/>
      <c r="AU14" s="138"/>
      <c r="AV14" s="138"/>
      <c r="AW14" s="138"/>
      <c r="AX14" s="138"/>
      <c r="AY14" s="138"/>
      <c r="AZ14" s="138"/>
      <c r="BA14" s="138"/>
      <c r="BB14" s="138"/>
      <c r="BC14" s="138"/>
      <c r="BD14" s="138"/>
      <c r="BE14" s="138"/>
      <c r="BF14" s="138"/>
      <c r="BG14" s="138"/>
      <c r="BH14" s="138"/>
      <c r="BI14" s="138"/>
      <c r="BJ14" s="138"/>
      <c r="BK14" s="138"/>
      <c r="BL14" s="138"/>
      <c r="BM14" s="138"/>
      <c r="BN14" s="138"/>
      <c r="BO14" s="138"/>
      <c r="BP14" s="138"/>
      <c r="BQ14" s="138"/>
      <c r="BR14" s="138"/>
      <c r="BS14" s="138"/>
      <c r="BT14" s="138"/>
      <c r="BU14" s="138"/>
      <c r="BV14" s="138"/>
      <c r="BW14" s="138"/>
      <c r="BX14" s="138"/>
      <c r="BY14" s="138"/>
      <c r="BZ14" s="138"/>
      <c r="CA14" s="138"/>
      <c r="CB14" s="138"/>
      <c r="CC14" s="138"/>
      <c r="CD14" s="138"/>
      <c r="CE14" s="138"/>
      <c r="CF14" s="138"/>
      <c r="CG14" s="138"/>
      <c r="CH14" s="138"/>
      <c r="CI14" s="138"/>
      <c r="CJ14" s="138"/>
      <c r="CK14" s="138"/>
      <c r="CL14" s="138"/>
      <c r="CM14" s="138"/>
      <c r="CN14" s="138"/>
      <c r="CO14" s="138"/>
      <c r="CP14" s="138"/>
      <c r="CQ14" s="138"/>
      <c r="CR14" s="138"/>
      <c r="CS14" s="138"/>
      <c r="CT14" s="138"/>
      <c r="CU14" s="138"/>
      <c r="CV14" s="138"/>
      <c r="CW14" s="138"/>
      <c r="CX14" s="138"/>
      <c r="CY14" s="138"/>
      <c r="CZ14" s="138"/>
      <c r="DA14" s="138"/>
      <c r="DB14" s="138"/>
      <c r="DC14" s="138"/>
      <c r="DD14" s="138"/>
      <c r="DE14" s="132"/>
      <c r="DF14" s="132"/>
      <c r="DG14" s="132"/>
      <c r="DH14" s="132"/>
      <c r="DI14" s="133"/>
      <c r="DJ14" s="133"/>
      <c r="DK14" s="133"/>
      <c r="DL14" s="131"/>
      <c r="DM14" s="131"/>
      <c r="DN14" s="131"/>
      <c r="DO14" s="134"/>
      <c r="DP14" s="134"/>
      <c r="DQ14" s="134"/>
      <c r="DR14" s="133"/>
      <c r="DS14" s="133"/>
      <c r="DT14" s="133"/>
      <c r="DU14" s="131"/>
      <c r="DV14" s="131"/>
      <c r="DW14" s="131"/>
      <c r="DX14" s="131"/>
      <c r="DY14" s="131"/>
      <c r="DZ14" s="131"/>
      <c r="EA14" s="16"/>
      <c r="EH14" s="464"/>
      <c r="EI14" s="464"/>
      <c r="EJ14" s="124">
        <v>1</v>
      </c>
      <c r="EK14" s="124">
        <v>2</v>
      </c>
      <c r="EL14" s="124">
        <v>3</v>
      </c>
      <c r="EM14" s="124">
        <v>4</v>
      </c>
      <c r="EN14" s="124">
        <v>5</v>
      </c>
      <c r="EO14" s="124">
        <v>6</v>
      </c>
      <c r="EP14" s="124">
        <v>7</v>
      </c>
      <c r="EQ14" s="124">
        <v>8</v>
      </c>
      <c r="ER14" s="124">
        <v>9</v>
      </c>
      <c r="ES14" s="124">
        <v>10</v>
      </c>
      <c r="ET14" s="124">
        <v>11</v>
      </c>
      <c r="EU14" s="124">
        <v>12</v>
      </c>
      <c r="EV14" s="124">
        <v>13</v>
      </c>
      <c r="EW14" s="124">
        <v>14</v>
      </c>
      <c r="EX14" s="124">
        <v>15</v>
      </c>
      <c r="EY14" s="124">
        <v>16</v>
      </c>
      <c r="EZ14" s="124">
        <v>17</v>
      </c>
      <c r="FA14" s="124">
        <v>18</v>
      </c>
      <c r="FB14" s="124">
        <v>19</v>
      </c>
      <c r="FC14" s="124">
        <v>20</v>
      </c>
      <c r="FD14" s="124">
        <v>21</v>
      </c>
      <c r="FE14" s="124">
        <v>22</v>
      </c>
      <c r="FF14" s="124">
        <v>23</v>
      </c>
      <c r="FG14" s="124">
        <v>24</v>
      </c>
      <c r="FH14" s="124">
        <v>25</v>
      </c>
      <c r="FI14" s="124">
        <v>26</v>
      </c>
      <c r="FJ14" s="124">
        <v>27</v>
      </c>
      <c r="FK14" s="124">
        <v>28</v>
      </c>
      <c r="FL14" s="124">
        <v>29</v>
      </c>
      <c r="FM14" s="124">
        <v>30</v>
      </c>
      <c r="FN14" s="124">
        <v>31</v>
      </c>
      <c r="FO14" s="124">
        <v>32</v>
      </c>
      <c r="FP14" s="124">
        <v>33</v>
      </c>
      <c r="FQ14" s="124">
        <v>34</v>
      </c>
      <c r="FR14" s="124">
        <v>35</v>
      </c>
      <c r="FS14" s="124">
        <v>36</v>
      </c>
      <c r="FT14" s="124">
        <v>37</v>
      </c>
      <c r="FU14" s="124">
        <v>38</v>
      </c>
      <c r="FV14" s="124">
        <v>39</v>
      </c>
      <c r="FW14" s="124">
        <v>40</v>
      </c>
      <c r="FX14" s="124">
        <v>41</v>
      </c>
      <c r="FY14" s="124">
        <v>42</v>
      </c>
      <c r="FZ14" s="124">
        <v>43</v>
      </c>
      <c r="GA14" s="124">
        <v>44</v>
      </c>
      <c r="GB14" s="124">
        <v>45</v>
      </c>
      <c r="GC14" s="124">
        <v>46</v>
      </c>
      <c r="GD14" s="124">
        <v>47</v>
      </c>
      <c r="GE14" s="124">
        <v>48</v>
      </c>
      <c r="GF14" s="124">
        <v>49</v>
      </c>
      <c r="GG14" s="124">
        <v>50</v>
      </c>
      <c r="GH14" s="124">
        <v>51</v>
      </c>
      <c r="GI14" s="124">
        <v>52</v>
      </c>
      <c r="GJ14" s="470"/>
      <c r="GK14" s="470"/>
      <c r="GL14" s="475"/>
      <c r="GM14" s="476"/>
      <c r="GN14" s="475"/>
      <c r="GO14" s="476"/>
      <c r="GP14" s="475"/>
      <c r="GQ14" s="476"/>
      <c r="GR14" s="475"/>
      <c r="GS14" s="476"/>
      <c r="GT14" s="475"/>
      <c r="GU14" s="476"/>
      <c r="GV14" s="481"/>
      <c r="GW14" s="482"/>
      <c r="GX14" s="470"/>
      <c r="GY14" s="470"/>
      <c r="GZ14" s="470"/>
      <c r="HA14" s="470"/>
    </row>
    <row r="15" spans="1:209" ht="66" customHeight="1" x14ac:dyDescent="0.4">
      <c r="A15" s="13"/>
      <c r="B15" s="13"/>
      <c r="C15" s="14"/>
      <c r="D15" s="64"/>
      <c r="E15" s="64"/>
      <c r="F15" s="64"/>
      <c r="G15" s="64"/>
      <c r="H15" s="138"/>
      <c r="I15" s="138"/>
      <c r="J15" s="138"/>
      <c r="K15" s="138"/>
      <c r="L15" s="138"/>
      <c r="M15" s="138"/>
      <c r="N15" s="138"/>
      <c r="O15" s="138"/>
      <c r="P15" s="138"/>
      <c r="Q15" s="138"/>
      <c r="R15" s="138"/>
      <c r="S15" s="138"/>
      <c r="T15" s="138"/>
      <c r="U15" s="138"/>
      <c r="V15" s="138"/>
      <c r="W15" s="138"/>
      <c r="X15" s="138"/>
      <c r="Y15" s="138"/>
      <c r="Z15" s="138"/>
      <c r="AA15" s="138"/>
      <c r="AB15" s="138"/>
      <c r="AC15" s="138"/>
      <c r="AD15" s="138"/>
      <c r="AE15" s="138"/>
      <c r="AF15" s="138"/>
      <c r="AG15" s="138"/>
      <c r="AH15" s="138"/>
      <c r="AI15" s="138"/>
      <c r="AJ15" s="138"/>
      <c r="AK15" s="138"/>
      <c r="AL15" s="138"/>
      <c r="AM15" s="138"/>
      <c r="AN15" s="138"/>
      <c r="AO15" s="138"/>
      <c r="AP15" s="138"/>
      <c r="AQ15" s="138"/>
      <c r="AR15" s="138"/>
      <c r="AS15" s="138"/>
      <c r="AT15" s="138"/>
      <c r="AU15" s="138"/>
      <c r="AV15" s="138"/>
      <c r="AW15" s="138"/>
      <c r="AX15" s="138"/>
      <c r="AY15" s="138"/>
      <c r="AZ15" s="138"/>
      <c r="BA15" s="138"/>
      <c r="BB15" s="138"/>
      <c r="BC15" s="138"/>
      <c r="BD15" s="138"/>
      <c r="BE15" s="138"/>
      <c r="BF15" s="138"/>
      <c r="BG15" s="138"/>
      <c r="BH15" s="138"/>
      <c r="BI15" s="138"/>
      <c r="BJ15" s="138"/>
      <c r="BK15" s="138"/>
      <c r="BL15" s="138"/>
      <c r="BM15" s="138"/>
      <c r="BN15" s="138"/>
      <c r="BO15" s="138"/>
      <c r="BP15" s="138"/>
      <c r="BQ15" s="138"/>
      <c r="BR15" s="138"/>
      <c r="BS15" s="138"/>
      <c r="BT15" s="138"/>
      <c r="BU15" s="138"/>
      <c r="BV15" s="138"/>
      <c r="BW15" s="138"/>
      <c r="BX15" s="138"/>
      <c r="BY15" s="138"/>
      <c r="BZ15" s="138"/>
      <c r="CA15" s="138"/>
      <c r="CB15" s="138"/>
      <c r="CC15" s="138"/>
      <c r="CD15" s="138"/>
      <c r="CE15" s="138"/>
      <c r="CF15" s="138"/>
      <c r="CG15" s="138"/>
      <c r="CH15" s="138"/>
      <c r="CI15" s="138"/>
      <c r="CJ15" s="138"/>
      <c r="CK15" s="138"/>
      <c r="CL15" s="138"/>
      <c r="CM15" s="138"/>
      <c r="CN15" s="138"/>
      <c r="CO15" s="138"/>
      <c r="CP15" s="138"/>
      <c r="CQ15" s="138"/>
      <c r="CR15" s="138"/>
      <c r="CS15" s="138"/>
      <c r="CT15" s="138"/>
      <c r="CU15" s="138"/>
      <c r="CV15" s="138"/>
      <c r="CW15" s="138"/>
      <c r="CX15" s="138"/>
      <c r="CY15" s="138"/>
      <c r="CZ15" s="138"/>
      <c r="DA15" s="138"/>
      <c r="DB15" s="138"/>
      <c r="DC15" s="138"/>
      <c r="DD15" s="138"/>
      <c r="DE15" s="132"/>
      <c r="DF15" s="132"/>
      <c r="DG15" s="132"/>
      <c r="DH15" s="132"/>
      <c r="DI15" s="133"/>
      <c r="DJ15" s="133"/>
      <c r="DK15" s="133"/>
      <c r="DL15" s="131"/>
      <c r="DM15" s="131"/>
      <c r="DN15" s="131"/>
      <c r="DO15" s="134"/>
      <c r="DP15" s="134"/>
      <c r="DQ15" s="134"/>
      <c r="DR15" s="133"/>
      <c r="DS15" s="133"/>
      <c r="DT15" s="133"/>
      <c r="DU15" s="131"/>
      <c r="DV15" s="131"/>
      <c r="DW15" s="131"/>
      <c r="DX15" s="131"/>
      <c r="DY15" s="131"/>
      <c r="DZ15" s="131"/>
      <c r="EA15" s="16"/>
      <c r="EH15" s="465" t="s">
        <v>0</v>
      </c>
      <c r="EI15" s="465"/>
      <c r="EJ15" s="124" t="s">
        <v>54</v>
      </c>
      <c r="EK15" s="124" t="s">
        <v>44</v>
      </c>
      <c r="EL15" s="124" t="s">
        <v>44</v>
      </c>
      <c r="EM15" s="124"/>
      <c r="EN15" s="124"/>
      <c r="EO15" s="124"/>
      <c r="EP15" s="124"/>
      <c r="EQ15" s="124"/>
      <c r="ER15" s="124"/>
      <c r="ES15" s="124"/>
      <c r="ET15" s="124"/>
      <c r="EU15" s="124"/>
      <c r="EV15" s="124"/>
      <c r="EW15" s="124"/>
      <c r="EX15" s="124"/>
      <c r="EY15" s="124"/>
      <c r="EZ15" s="124"/>
      <c r="FA15" s="124"/>
      <c r="FB15" s="124" t="s">
        <v>54</v>
      </c>
      <c r="FC15" s="124" t="s">
        <v>54</v>
      </c>
      <c r="FD15" s="124" t="s">
        <v>55</v>
      </c>
      <c r="FE15" s="124" t="s">
        <v>55</v>
      </c>
      <c r="FF15" s="124" t="s">
        <v>54</v>
      </c>
      <c r="FG15" s="124" t="s">
        <v>54</v>
      </c>
      <c r="FH15" s="124"/>
      <c r="FI15" s="124"/>
      <c r="FJ15" s="124"/>
      <c r="FK15" s="124"/>
      <c r="FL15" s="124"/>
      <c r="FM15" s="124"/>
      <c r="FN15" s="124"/>
      <c r="FO15" s="124"/>
      <c r="FP15" s="124" t="s">
        <v>56</v>
      </c>
      <c r="FQ15" s="124" t="s">
        <v>56</v>
      </c>
      <c r="FR15" s="124"/>
      <c r="FS15" s="124"/>
      <c r="FT15" s="124"/>
      <c r="FU15" s="124"/>
      <c r="FV15" s="124"/>
      <c r="FW15" s="124"/>
      <c r="FX15" s="124"/>
      <c r="FY15" s="124" t="s">
        <v>55</v>
      </c>
      <c r="FZ15" s="124" t="s">
        <v>55</v>
      </c>
      <c r="GA15" s="124" t="s">
        <v>54</v>
      </c>
      <c r="GB15" s="124" t="s">
        <v>54</v>
      </c>
      <c r="GC15" s="124" t="s">
        <v>54</v>
      </c>
      <c r="GD15" s="124" t="s">
        <v>54</v>
      </c>
      <c r="GE15" s="124" t="s">
        <v>54</v>
      </c>
      <c r="GF15" s="124" t="s">
        <v>54</v>
      </c>
      <c r="GG15" s="124" t="s">
        <v>54</v>
      </c>
      <c r="GH15" s="124" t="s">
        <v>54</v>
      </c>
      <c r="GI15" s="124" t="s">
        <v>54</v>
      </c>
      <c r="GJ15" s="377">
        <f>SUM(GL15:GW15)</f>
        <v>38</v>
      </c>
      <c r="GK15" s="379"/>
      <c r="GL15" s="377">
        <v>30</v>
      </c>
      <c r="GM15" s="379"/>
      <c r="GN15" s="377">
        <v>4</v>
      </c>
      <c r="GO15" s="379"/>
      <c r="GP15" s="377">
        <v>2</v>
      </c>
      <c r="GQ15" s="379"/>
      <c r="GR15" s="377">
        <v>2</v>
      </c>
      <c r="GS15" s="379"/>
      <c r="GT15" s="377">
        <v>0</v>
      </c>
      <c r="GU15" s="379"/>
      <c r="GV15" s="377">
        <v>0</v>
      </c>
      <c r="GW15" s="379"/>
      <c r="GX15" s="377">
        <v>14</v>
      </c>
      <c r="GY15" s="379"/>
      <c r="GZ15" s="357">
        <f>GJ15+GX15</f>
        <v>52</v>
      </c>
      <c r="HA15" s="357"/>
    </row>
    <row r="16" spans="1:209" ht="45" x14ac:dyDescent="0.4">
      <c r="A16" s="13"/>
      <c r="B16" s="13"/>
      <c r="C16" s="14"/>
      <c r="D16" s="138"/>
      <c r="E16" s="138"/>
      <c r="F16" s="138"/>
      <c r="G16" s="138"/>
      <c r="H16" s="138"/>
      <c r="I16" s="138"/>
      <c r="J16" s="138"/>
      <c r="K16" s="138"/>
      <c r="L16" s="138"/>
      <c r="M16" s="138"/>
      <c r="N16" s="138"/>
      <c r="O16" s="138"/>
      <c r="P16" s="138"/>
      <c r="Q16" s="138"/>
      <c r="R16" s="138"/>
      <c r="S16" s="138"/>
      <c r="T16" s="138"/>
      <c r="U16" s="138"/>
      <c r="V16" s="138"/>
      <c r="W16" s="138"/>
      <c r="X16" s="138"/>
      <c r="Y16" s="138"/>
      <c r="Z16" s="138"/>
      <c r="AA16" s="138"/>
      <c r="AB16" s="138"/>
      <c r="AC16" s="138"/>
      <c r="AD16" s="138"/>
      <c r="AE16" s="138"/>
      <c r="AF16" s="138"/>
      <c r="AG16" s="138"/>
      <c r="AH16" s="138"/>
      <c r="AI16" s="138"/>
      <c r="AJ16" s="138"/>
      <c r="AK16" s="138"/>
      <c r="AL16" s="138"/>
      <c r="AM16" s="138"/>
      <c r="AN16" s="138"/>
      <c r="AO16" s="138"/>
      <c r="AP16" s="138"/>
      <c r="AQ16" s="138"/>
      <c r="AR16" s="138"/>
      <c r="AS16" s="138"/>
      <c r="AT16" s="138"/>
      <c r="AU16" s="138"/>
      <c r="AV16" s="138"/>
      <c r="AW16" s="138"/>
      <c r="AX16" s="138"/>
      <c r="AY16" s="138"/>
      <c r="AZ16" s="138"/>
      <c r="BA16" s="138"/>
      <c r="BB16" s="138"/>
      <c r="BC16" s="138"/>
      <c r="BD16" s="138"/>
      <c r="BE16" s="138"/>
      <c r="BF16" s="138"/>
      <c r="BG16" s="138"/>
      <c r="BH16" s="138"/>
      <c r="BI16" s="138"/>
      <c r="BJ16" s="138"/>
      <c r="BK16" s="138"/>
      <c r="BL16" s="138"/>
      <c r="BM16" s="138"/>
      <c r="BN16" s="138"/>
      <c r="BO16" s="138"/>
      <c r="BP16" s="138"/>
      <c r="BQ16" s="138"/>
      <c r="BR16" s="138"/>
      <c r="BS16" s="138"/>
      <c r="BT16" s="138"/>
      <c r="BU16" s="138"/>
      <c r="BV16" s="138"/>
      <c r="BW16" s="138"/>
      <c r="BX16" s="138"/>
      <c r="BY16" s="138"/>
      <c r="BZ16" s="138"/>
      <c r="CA16" s="138"/>
      <c r="CB16" s="138"/>
      <c r="CC16" s="138"/>
      <c r="CD16" s="138"/>
      <c r="CE16" s="138"/>
      <c r="CF16" s="138"/>
      <c r="CG16" s="138"/>
      <c r="CH16" s="138"/>
      <c r="CI16" s="138"/>
      <c r="CJ16" s="138"/>
      <c r="CK16" s="138"/>
      <c r="CL16" s="138"/>
      <c r="CM16" s="138"/>
      <c r="CN16" s="138"/>
      <c r="CO16" s="138"/>
      <c r="CP16" s="138"/>
      <c r="CQ16" s="138"/>
      <c r="CR16" s="138"/>
      <c r="CS16" s="138"/>
      <c r="CT16" s="138"/>
      <c r="CU16" s="138"/>
      <c r="CV16" s="138"/>
      <c r="CW16" s="138"/>
      <c r="CX16" s="138"/>
      <c r="CY16" s="138"/>
      <c r="CZ16" s="138"/>
      <c r="DA16" s="138"/>
      <c r="DB16" s="138"/>
      <c r="DC16" s="138"/>
      <c r="DD16" s="138"/>
      <c r="DE16" s="138"/>
      <c r="DF16" s="138"/>
      <c r="DG16" s="138"/>
      <c r="DH16" s="138"/>
      <c r="DI16" s="139"/>
      <c r="DJ16" s="139"/>
      <c r="DK16" s="139"/>
      <c r="DL16" s="139"/>
      <c r="DM16" s="139"/>
      <c r="DN16" s="139"/>
      <c r="DO16" s="139"/>
      <c r="DP16" s="139"/>
      <c r="DQ16" s="139"/>
      <c r="DR16" s="139"/>
      <c r="DS16" s="139"/>
      <c r="DT16" s="139"/>
      <c r="DU16" s="139"/>
      <c r="DV16" s="139"/>
      <c r="DW16" s="139"/>
      <c r="DX16" s="139"/>
      <c r="DY16" s="139"/>
      <c r="DZ16" s="139"/>
      <c r="EA16" s="16"/>
      <c r="EH16" s="465" t="s">
        <v>1</v>
      </c>
      <c r="EI16" s="465"/>
      <c r="EJ16" s="124" t="s">
        <v>54</v>
      </c>
      <c r="EK16" s="124" t="s">
        <v>44</v>
      </c>
      <c r="EL16" s="128"/>
      <c r="EM16" s="128"/>
      <c r="EN16" s="128"/>
      <c r="EO16" s="128"/>
      <c r="EP16" s="128"/>
      <c r="EQ16" s="128"/>
      <c r="ER16" s="128"/>
      <c r="ES16" s="128"/>
      <c r="ET16" s="128"/>
      <c r="EU16" s="128"/>
      <c r="EV16" s="128"/>
      <c r="EW16" s="128"/>
      <c r="EX16" s="128"/>
      <c r="EY16" s="128"/>
      <c r="EZ16" s="128"/>
      <c r="FA16" s="124" t="s">
        <v>54</v>
      </c>
      <c r="FB16" s="124" t="s">
        <v>54</v>
      </c>
      <c r="FC16" s="124" t="s">
        <v>55</v>
      </c>
      <c r="FD16" s="124" t="s">
        <v>55</v>
      </c>
      <c r="FE16" s="128"/>
      <c r="FF16" s="128"/>
      <c r="FG16" s="128"/>
      <c r="FH16" s="128"/>
      <c r="FI16" s="128"/>
      <c r="FJ16" s="128"/>
      <c r="FK16" s="128"/>
      <c r="FL16" s="128"/>
      <c r="FM16" s="128"/>
      <c r="FN16" s="128"/>
      <c r="FO16" s="128"/>
      <c r="FP16" s="167" t="s">
        <v>56</v>
      </c>
      <c r="FQ16" s="167" t="s">
        <v>56</v>
      </c>
      <c r="FR16" s="128"/>
      <c r="FS16" s="128"/>
      <c r="FT16" s="128"/>
      <c r="FU16" s="128"/>
      <c r="FV16" s="124" t="s">
        <v>55</v>
      </c>
      <c r="FW16" s="124" t="s">
        <v>55</v>
      </c>
      <c r="FX16" s="124" t="s">
        <v>54</v>
      </c>
      <c r="FY16" s="124" t="s">
        <v>54</v>
      </c>
      <c r="FZ16" s="124" t="s">
        <v>54</v>
      </c>
      <c r="GA16" s="124" t="s">
        <v>54</v>
      </c>
      <c r="GB16" s="124" t="s">
        <v>54</v>
      </c>
      <c r="GC16" s="124" t="s">
        <v>54</v>
      </c>
      <c r="GD16" s="124" t="s">
        <v>54</v>
      </c>
      <c r="GE16" s="124" t="s">
        <v>54</v>
      </c>
      <c r="GF16" s="124" t="s">
        <v>54</v>
      </c>
      <c r="GG16" s="124" t="s">
        <v>54</v>
      </c>
      <c r="GH16" s="124" t="s">
        <v>54</v>
      </c>
      <c r="GI16" s="124" t="s">
        <v>54</v>
      </c>
      <c r="GJ16" s="377">
        <f>SUM(GL16:GW16)</f>
        <v>37</v>
      </c>
      <c r="GK16" s="379"/>
      <c r="GL16" s="377">
        <v>0</v>
      </c>
      <c r="GM16" s="379"/>
      <c r="GN16" s="377">
        <v>4</v>
      </c>
      <c r="GO16" s="379"/>
      <c r="GP16" s="377">
        <v>1</v>
      </c>
      <c r="GQ16" s="379"/>
      <c r="GR16" s="377">
        <v>2</v>
      </c>
      <c r="GS16" s="379"/>
      <c r="GT16" s="377">
        <v>0</v>
      </c>
      <c r="GU16" s="379"/>
      <c r="GV16" s="377">
        <v>30</v>
      </c>
      <c r="GW16" s="379"/>
      <c r="GX16" s="377">
        <v>15</v>
      </c>
      <c r="GY16" s="379"/>
      <c r="GZ16" s="357">
        <f>GJ16+GX16</f>
        <v>52</v>
      </c>
      <c r="HA16" s="357"/>
    </row>
    <row r="17" spans="1:209" ht="45" x14ac:dyDescent="0.4">
      <c r="A17" s="13"/>
      <c r="B17" s="13"/>
      <c r="C17" s="14"/>
      <c r="D17" s="138"/>
      <c r="E17" s="138"/>
      <c r="F17" s="138"/>
      <c r="G17" s="138"/>
      <c r="H17" s="138"/>
      <c r="I17" s="138"/>
      <c r="J17" s="138"/>
      <c r="K17" s="138"/>
      <c r="L17" s="138"/>
      <c r="M17" s="138"/>
      <c r="N17" s="138"/>
      <c r="O17" s="138"/>
      <c r="P17" s="138"/>
      <c r="Q17" s="138"/>
      <c r="R17" s="138"/>
      <c r="S17" s="138"/>
      <c r="T17" s="138"/>
      <c r="U17" s="138"/>
      <c r="V17" s="138"/>
      <c r="W17" s="138"/>
      <c r="X17" s="138"/>
      <c r="Y17" s="138"/>
      <c r="Z17" s="138"/>
      <c r="AA17" s="138"/>
      <c r="AB17" s="138"/>
      <c r="AC17" s="138"/>
      <c r="AD17" s="138"/>
      <c r="AE17" s="138"/>
      <c r="AF17" s="138"/>
      <c r="AG17" s="138"/>
      <c r="AH17" s="138"/>
      <c r="AI17" s="138"/>
      <c r="AJ17" s="138"/>
      <c r="AK17" s="138"/>
      <c r="AL17" s="138"/>
      <c r="AM17" s="138"/>
      <c r="AN17" s="138"/>
      <c r="AO17" s="138"/>
      <c r="AP17" s="138"/>
      <c r="AQ17" s="138"/>
      <c r="AR17" s="138"/>
      <c r="AS17" s="138"/>
      <c r="AT17" s="138"/>
      <c r="AU17" s="138"/>
      <c r="AV17" s="138"/>
      <c r="AW17" s="138"/>
      <c r="AX17" s="138"/>
      <c r="AY17" s="138"/>
      <c r="AZ17" s="138"/>
      <c r="BA17" s="138"/>
      <c r="BB17" s="138"/>
      <c r="BC17" s="138"/>
      <c r="BD17" s="138"/>
      <c r="BE17" s="138"/>
      <c r="BF17" s="138"/>
      <c r="BG17" s="138"/>
      <c r="BH17" s="138"/>
      <c r="BI17" s="138"/>
      <c r="BJ17" s="138"/>
      <c r="BK17" s="138"/>
      <c r="BL17" s="138"/>
      <c r="BM17" s="138"/>
      <c r="BN17" s="138"/>
      <c r="BO17" s="138"/>
      <c r="BP17" s="138"/>
      <c r="BQ17" s="138"/>
      <c r="BR17" s="138"/>
      <c r="BS17" s="138"/>
      <c r="BT17" s="138"/>
      <c r="BU17" s="138"/>
      <c r="BV17" s="138"/>
      <c r="BW17" s="138"/>
      <c r="BX17" s="138"/>
      <c r="BY17" s="138"/>
      <c r="BZ17" s="138"/>
      <c r="CA17" s="138"/>
      <c r="CB17" s="138"/>
      <c r="CC17" s="138"/>
      <c r="CD17" s="138"/>
      <c r="CE17" s="138"/>
      <c r="CF17" s="138"/>
      <c r="CG17" s="138"/>
      <c r="CH17" s="138"/>
      <c r="CI17" s="138"/>
      <c r="CJ17" s="138"/>
      <c r="CK17" s="138"/>
      <c r="CL17" s="138"/>
      <c r="CM17" s="138"/>
      <c r="CN17" s="138"/>
      <c r="CO17" s="138"/>
      <c r="CP17" s="138"/>
      <c r="CQ17" s="138"/>
      <c r="CR17" s="138"/>
      <c r="CS17" s="138"/>
      <c r="CT17" s="138"/>
      <c r="CU17" s="138"/>
      <c r="CV17" s="138"/>
      <c r="CW17" s="138"/>
      <c r="CX17" s="138"/>
      <c r="CY17" s="138"/>
      <c r="CZ17" s="138"/>
      <c r="DA17" s="138"/>
      <c r="DB17" s="138"/>
      <c r="DC17" s="138"/>
      <c r="DD17" s="138"/>
      <c r="DE17" s="138"/>
      <c r="DF17" s="138"/>
      <c r="DG17" s="138"/>
      <c r="DH17" s="138"/>
      <c r="DI17" s="139"/>
      <c r="DJ17" s="139"/>
      <c r="DK17" s="139"/>
      <c r="DL17" s="139"/>
      <c r="DM17" s="139"/>
      <c r="DN17" s="139"/>
      <c r="DO17" s="139"/>
      <c r="DP17" s="139"/>
      <c r="DQ17" s="139"/>
      <c r="DR17" s="139"/>
      <c r="DS17" s="139"/>
      <c r="DT17" s="139"/>
      <c r="DU17" s="139"/>
      <c r="DV17" s="139"/>
      <c r="DW17" s="139"/>
      <c r="DX17" s="139"/>
      <c r="DY17" s="139"/>
      <c r="DZ17" s="139"/>
      <c r="EA17" s="16"/>
      <c r="EH17" s="465" t="s">
        <v>177</v>
      </c>
      <c r="EI17" s="465"/>
      <c r="EJ17" s="124" t="s">
        <v>54</v>
      </c>
      <c r="EK17" s="124" t="s">
        <v>44</v>
      </c>
      <c r="EL17" s="128"/>
      <c r="EM17" s="128"/>
      <c r="EN17" s="128"/>
      <c r="EO17" s="128"/>
      <c r="EP17" s="128"/>
      <c r="EQ17" s="128"/>
      <c r="ER17" s="128"/>
      <c r="ES17" s="128"/>
      <c r="ET17" s="128"/>
      <c r="EU17" s="128"/>
      <c r="EV17" s="128"/>
      <c r="EW17" s="128"/>
      <c r="EX17" s="128"/>
      <c r="EY17" s="128"/>
      <c r="EZ17" s="128"/>
      <c r="FA17" s="124" t="s">
        <v>54</v>
      </c>
      <c r="FB17" s="124" t="s">
        <v>54</v>
      </c>
      <c r="FC17" s="124" t="s">
        <v>55</v>
      </c>
      <c r="FD17" s="124" t="s">
        <v>55</v>
      </c>
      <c r="FE17" s="128"/>
      <c r="FF17" s="128"/>
      <c r="FG17" s="128"/>
      <c r="FH17" s="128"/>
      <c r="FI17" s="128"/>
      <c r="FJ17" s="128"/>
      <c r="FK17" s="128"/>
      <c r="FL17" s="128"/>
      <c r="FM17" s="128"/>
      <c r="FN17" s="128"/>
      <c r="FO17" s="128"/>
      <c r="FP17" s="128"/>
      <c r="FQ17" s="128"/>
      <c r="FR17" s="167" t="s">
        <v>56</v>
      </c>
      <c r="FS17" s="167" t="s">
        <v>56</v>
      </c>
      <c r="FT17" s="167" t="s">
        <v>56</v>
      </c>
      <c r="FU17" s="167" t="s">
        <v>56</v>
      </c>
      <c r="FV17" s="124" t="s">
        <v>55</v>
      </c>
      <c r="FW17" s="124" t="s">
        <v>55</v>
      </c>
      <c r="FX17" s="124" t="s">
        <v>16</v>
      </c>
      <c r="FY17" s="124" t="s">
        <v>16</v>
      </c>
      <c r="FZ17" s="124" t="s">
        <v>54</v>
      </c>
      <c r="GA17" s="124" t="s">
        <v>54</v>
      </c>
      <c r="GB17" s="124" t="s">
        <v>54</v>
      </c>
      <c r="GC17" s="124" t="s">
        <v>54</v>
      </c>
      <c r="GD17" s="124" t="s">
        <v>54</v>
      </c>
      <c r="GE17" s="124" t="s">
        <v>54</v>
      </c>
      <c r="GF17" s="124"/>
      <c r="GG17" s="124"/>
      <c r="GH17" s="124"/>
      <c r="GI17" s="124"/>
      <c r="GJ17" s="377">
        <f>SUM(GL17:GW17)</f>
        <v>39</v>
      </c>
      <c r="GK17" s="379"/>
      <c r="GL17" s="377">
        <v>0</v>
      </c>
      <c r="GM17" s="379"/>
      <c r="GN17" s="377">
        <v>4</v>
      </c>
      <c r="GO17" s="379"/>
      <c r="GP17" s="377">
        <v>1</v>
      </c>
      <c r="GQ17" s="379"/>
      <c r="GR17" s="377">
        <v>4</v>
      </c>
      <c r="GS17" s="379"/>
      <c r="GT17" s="377">
        <v>2</v>
      </c>
      <c r="GU17" s="379"/>
      <c r="GV17" s="377">
        <v>28</v>
      </c>
      <c r="GW17" s="379"/>
      <c r="GX17" s="377">
        <v>9</v>
      </c>
      <c r="GY17" s="379"/>
      <c r="GZ17" s="357">
        <f>GJ17+GX17</f>
        <v>48</v>
      </c>
      <c r="HA17" s="357"/>
    </row>
    <row r="18" spans="1:209" ht="45" x14ac:dyDescent="0.6">
      <c r="A18" s="13"/>
      <c r="B18" s="13"/>
      <c r="C18" s="14"/>
      <c r="D18" s="138"/>
      <c r="E18" s="138"/>
      <c r="F18" s="138"/>
      <c r="G18" s="138"/>
      <c r="H18" s="138"/>
      <c r="I18" s="138"/>
      <c r="J18" s="138"/>
      <c r="K18" s="138"/>
      <c r="L18" s="138"/>
      <c r="M18" s="138"/>
      <c r="N18" s="138"/>
      <c r="O18" s="138"/>
      <c r="P18" s="138"/>
      <c r="Q18" s="138"/>
      <c r="R18" s="138"/>
      <c r="S18" s="138"/>
      <c r="T18" s="138"/>
      <c r="U18" s="138"/>
      <c r="V18" s="138"/>
      <c r="W18" s="138"/>
      <c r="X18" s="138"/>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38"/>
      <c r="BB18" s="138"/>
      <c r="BC18" s="138"/>
      <c r="BD18" s="138"/>
      <c r="BE18" s="138"/>
      <c r="BF18" s="138"/>
      <c r="BG18" s="138"/>
      <c r="BH18" s="138"/>
      <c r="BI18" s="138"/>
      <c r="BJ18" s="138"/>
      <c r="BK18" s="138"/>
      <c r="BL18" s="138"/>
      <c r="BM18" s="138"/>
      <c r="BN18" s="138"/>
      <c r="BO18" s="138"/>
      <c r="BP18" s="138"/>
      <c r="BQ18" s="138"/>
      <c r="BR18" s="138"/>
      <c r="BS18" s="138"/>
      <c r="BT18" s="138"/>
      <c r="BU18" s="138"/>
      <c r="BV18" s="138"/>
      <c r="BW18" s="138"/>
      <c r="BX18" s="138"/>
      <c r="BY18" s="138"/>
      <c r="BZ18" s="138"/>
      <c r="CA18" s="138"/>
      <c r="CB18" s="138"/>
      <c r="CC18" s="138"/>
      <c r="CD18" s="138"/>
      <c r="CE18" s="138"/>
      <c r="CF18" s="138"/>
      <c r="CG18" s="138"/>
      <c r="CH18" s="138"/>
      <c r="CI18" s="138"/>
      <c r="CJ18" s="138"/>
      <c r="CK18" s="138"/>
      <c r="CL18" s="138"/>
      <c r="CM18" s="138"/>
      <c r="CN18" s="138"/>
      <c r="CO18" s="138"/>
      <c r="CP18" s="138"/>
      <c r="CQ18" s="138"/>
      <c r="CR18" s="138"/>
      <c r="CS18" s="138"/>
      <c r="CT18" s="138"/>
      <c r="CU18" s="138"/>
      <c r="CV18" s="138"/>
      <c r="CW18" s="138"/>
      <c r="CX18" s="138"/>
      <c r="CY18" s="138"/>
      <c r="CZ18" s="138"/>
      <c r="DA18" s="138"/>
      <c r="DB18" s="138"/>
      <c r="DC18" s="138"/>
      <c r="DD18" s="138"/>
      <c r="DE18" s="138"/>
      <c r="DF18" s="138"/>
      <c r="DG18" s="138"/>
      <c r="DH18" s="138"/>
      <c r="DI18" s="138"/>
      <c r="DJ18" s="138"/>
      <c r="DK18" s="138"/>
      <c r="DL18" s="138"/>
      <c r="DM18" s="138"/>
      <c r="DN18" s="138"/>
      <c r="DO18" s="138"/>
      <c r="DP18" s="138"/>
      <c r="DQ18" s="138"/>
      <c r="DR18" s="138"/>
      <c r="DS18" s="138"/>
      <c r="DT18" s="138"/>
      <c r="DU18" s="138"/>
      <c r="DV18" s="138"/>
      <c r="DW18" s="138"/>
      <c r="DX18" s="138"/>
      <c r="DY18" s="138"/>
      <c r="DZ18" s="138"/>
      <c r="EA18" s="16"/>
      <c r="EH18" s="466" t="s">
        <v>22</v>
      </c>
      <c r="EI18" s="466"/>
      <c r="EJ18" s="466"/>
      <c r="EK18" s="466"/>
      <c r="EL18" s="466"/>
      <c r="EM18" s="466"/>
      <c r="EN18" s="466"/>
      <c r="EO18" s="466"/>
      <c r="EP18" s="466"/>
      <c r="EQ18" s="466"/>
      <c r="ER18" s="466"/>
      <c r="ES18" s="466"/>
      <c r="ET18" s="466"/>
      <c r="EU18" s="466"/>
      <c r="EV18" s="466"/>
      <c r="EW18" s="466"/>
      <c r="EX18" s="466"/>
      <c r="EY18" s="466"/>
      <c r="EZ18" s="466"/>
      <c r="FA18" s="466"/>
      <c r="FB18" s="466"/>
      <c r="FC18" s="466"/>
      <c r="FD18" s="466"/>
      <c r="FE18" s="466"/>
      <c r="FF18" s="466"/>
      <c r="FG18" s="466"/>
      <c r="FH18" s="466"/>
      <c r="FI18" s="466"/>
      <c r="FJ18" s="466"/>
      <c r="FK18" s="466"/>
      <c r="FL18" s="466"/>
      <c r="FM18" s="466"/>
      <c r="FN18" s="466"/>
      <c r="FO18" s="466"/>
      <c r="FP18" s="466"/>
      <c r="FQ18" s="466"/>
      <c r="FR18" s="466"/>
      <c r="FS18" s="466"/>
      <c r="FT18" s="466"/>
      <c r="FU18" s="466"/>
      <c r="FV18" s="466"/>
      <c r="FW18" s="466"/>
      <c r="FX18" s="466"/>
      <c r="FY18" s="466"/>
      <c r="FZ18" s="466"/>
      <c r="GA18" s="466"/>
      <c r="GB18" s="466"/>
      <c r="GC18" s="466"/>
      <c r="GD18" s="466"/>
      <c r="GE18" s="466"/>
      <c r="GF18" s="466"/>
      <c r="GG18" s="466"/>
      <c r="GH18" s="466"/>
      <c r="GI18" s="466"/>
      <c r="GJ18" s="377">
        <f>SUM(GJ15:GK17)</f>
        <v>114</v>
      </c>
      <c r="GK18" s="379"/>
      <c r="GL18" s="377">
        <f>SUM(GL15:GM17)</f>
        <v>30</v>
      </c>
      <c r="GM18" s="379"/>
      <c r="GN18" s="377">
        <f>SUM(GN15:GO17)</f>
        <v>12</v>
      </c>
      <c r="GO18" s="379"/>
      <c r="GP18" s="377">
        <f>SUM(GP15:GQ17)</f>
        <v>4</v>
      </c>
      <c r="GQ18" s="379"/>
      <c r="GR18" s="377">
        <f>SUM(GR15:GS17)</f>
        <v>8</v>
      </c>
      <c r="GS18" s="379"/>
      <c r="GT18" s="377">
        <f>SUM(GT15:GU17)</f>
        <v>2</v>
      </c>
      <c r="GU18" s="379"/>
      <c r="GV18" s="377">
        <f>SUM(GV15:GW17)</f>
        <v>58</v>
      </c>
      <c r="GW18" s="379"/>
      <c r="GX18" s="377">
        <f>SUM(GX15:GY17)</f>
        <v>38</v>
      </c>
      <c r="GY18" s="379"/>
      <c r="GZ18" s="377">
        <f>SUM(GZ15:HA17)</f>
        <v>152</v>
      </c>
      <c r="HA18" s="379"/>
    </row>
    <row r="19" spans="1:209" ht="30.75" thickBot="1" x14ac:dyDescent="0.45">
      <c r="A19" s="13"/>
      <c r="B19" s="13"/>
      <c r="C19" s="14"/>
      <c r="D19" s="14"/>
      <c r="E19" s="140"/>
      <c r="F19" s="141"/>
      <c r="G19" s="142"/>
      <c r="H19" s="142"/>
      <c r="I19" s="15"/>
      <c r="J19" s="15"/>
      <c r="K19" s="15"/>
      <c r="L19" s="15"/>
      <c r="M19" s="15"/>
      <c r="N19" s="15"/>
      <c r="O19" s="15"/>
      <c r="P19" s="15"/>
      <c r="Q19" s="15"/>
      <c r="R19" s="15"/>
      <c r="S19" s="15"/>
      <c r="T19" s="15"/>
      <c r="U19" s="15"/>
      <c r="V19" s="15"/>
      <c r="W19" s="143"/>
      <c r="X19" s="143"/>
      <c r="Y19" s="143"/>
      <c r="Z19" s="143"/>
      <c r="AA19" s="143"/>
      <c r="AB19" s="143"/>
      <c r="AC19" s="143"/>
      <c r="AD19" s="143"/>
      <c r="AE19" s="143"/>
      <c r="AF19" s="143"/>
      <c r="AG19" s="143"/>
      <c r="AH19" s="143"/>
      <c r="AI19" s="143"/>
      <c r="AJ19" s="143"/>
      <c r="AK19" s="143"/>
      <c r="AL19" s="143"/>
      <c r="AM19" s="143"/>
      <c r="AN19" s="143"/>
      <c r="AO19" s="143"/>
      <c r="AP19" s="143"/>
      <c r="AQ19" s="143"/>
      <c r="AR19" s="143"/>
      <c r="AS19" s="143"/>
      <c r="AT19" s="143"/>
      <c r="AU19" s="143"/>
      <c r="AV19" s="143"/>
      <c r="AW19" s="143"/>
      <c r="AX19" s="143"/>
      <c r="AY19" s="143"/>
      <c r="AZ19" s="143"/>
      <c r="BA19" s="143"/>
      <c r="BB19" s="143"/>
      <c r="BC19" s="143"/>
      <c r="BD19" s="144"/>
      <c r="BE19" s="144"/>
      <c r="BF19" s="144"/>
      <c r="BG19" s="144"/>
      <c r="BH19" s="144"/>
      <c r="BI19" s="144"/>
      <c r="BJ19" s="144"/>
      <c r="BK19" s="144"/>
      <c r="BL19" s="144"/>
      <c r="BM19" s="144"/>
      <c r="BN19" s="144"/>
      <c r="BO19" s="144"/>
      <c r="BP19" s="144"/>
      <c r="BQ19" s="144"/>
      <c r="BR19" s="144"/>
      <c r="BS19" s="144"/>
      <c r="BT19" s="144"/>
      <c r="BU19" s="144"/>
      <c r="BV19" s="144"/>
      <c r="BW19" s="144"/>
      <c r="BX19" s="144"/>
      <c r="BY19" s="144"/>
      <c r="BZ19" s="143"/>
      <c r="CA19" s="143"/>
      <c r="CB19" s="143"/>
      <c r="CC19" s="143"/>
      <c r="CD19" s="143"/>
      <c r="CE19" s="143"/>
      <c r="CF19" s="143"/>
      <c r="CG19" s="143"/>
      <c r="CH19" s="143"/>
      <c r="CI19" s="143"/>
      <c r="CJ19" s="143"/>
      <c r="CK19" s="143"/>
      <c r="CL19" s="143"/>
      <c r="CM19" s="143"/>
      <c r="CN19" s="143"/>
      <c r="CO19" s="143"/>
      <c r="CP19" s="143"/>
      <c r="CQ19" s="143"/>
      <c r="CR19" s="143"/>
      <c r="CS19" s="143"/>
      <c r="CT19" s="143"/>
      <c r="CU19" s="143"/>
      <c r="CV19" s="143"/>
      <c r="CW19" s="141"/>
      <c r="CX19" s="141"/>
      <c r="CY19" s="141"/>
      <c r="CZ19" s="141"/>
      <c r="DA19" s="141"/>
      <c r="DB19" s="141"/>
      <c r="DC19" s="141"/>
      <c r="DD19" s="141"/>
      <c r="DE19" s="141"/>
      <c r="DF19" s="141"/>
      <c r="DG19" s="141"/>
      <c r="DH19" s="141"/>
      <c r="DI19" s="141"/>
      <c r="DJ19" s="141"/>
      <c r="DK19" s="141"/>
      <c r="DL19" s="141"/>
      <c r="DM19" s="141"/>
      <c r="DN19" s="141"/>
      <c r="DO19" s="141"/>
      <c r="DP19" s="141"/>
      <c r="DQ19" s="141"/>
      <c r="DR19" s="140"/>
      <c r="DS19" s="140"/>
      <c r="DT19" s="140"/>
      <c r="DU19" s="140"/>
      <c r="DV19" s="140"/>
      <c r="DW19" s="140"/>
      <c r="DX19" s="140"/>
      <c r="DY19" s="140"/>
      <c r="DZ19" s="16"/>
    </row>
    <row r="20" spans="1:209" s="4" customFormat="1" ht="129.94999999999999" customHeight="1" thickBot="1" x14ac:dyDescent="0.25">
      <c r="A20" s="7"/>
      <c r="B20" s="7"/>
      <c r="C20" s="64"/>
      <c r="D20" s="64"/>
      <c r="E20" s="64"/>
      <c r="F20" s="64"/>
      <c r="G20" s="64"/>
      <c r="H20" s="135"/>
      <c r="I20" s="135"/>
      <c r="J20" s="135"/>
      <c r="K20" s="135"/>
      <c r="L20" s="135"/>
      <c r="M20" s="135"/>
      <c r="N20" s="135"/>
      <c r="O20" s="135"/>
      <c r="P20" s="135"/>
      <c r="Q20" s="135"/>
      <c r="R20" s="135"/>
      <c r="S20" s="135"/>
      <c r="T20" s="135"/>
      <c r="U20" s="125"/>
      <c r="V20" s="125"/>
      <c r="W20" s="125"/>
      <c r="X20" s="64"/>
      <c r="Y20" s="64"/>
      <c r="Z20" s="64"/>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2"/>
      <c r="BA20" s="12"/>
      <c r="BB20" s="12"/>
      <c r="BC20" s="12"/>
      <c r="BD20" s="12"/>
      <c r="BE20" s="12"/>
      <c r="BF20" s="18"/>
      <c r="BG20" s="125"/>
      <c r="BH20" s="17"/>
      <c r="BI20" s="17"/>
      <c r="BJ20" s="17"/>
      <c r="BK20" s="17"/>
      <c r="BL20" s="17"/>
      <c r="BM20" s="17"/>
      <c r="BN20" s="17"/>
      <c r="BO20" s="17"/>
      <c r="BP20" s="17"/>
      <c r="BQ20" s="17"/>
      <c r="BR20" s="17"/>
      <c r="BS20" s="17"/>
      <c r="BT20" s="17"/>
      <c r="BU20" s="17"/>
      <c r="BV20" s="17"/>
      <c r="BW20" s="17"/>
      <c r="BX20" s="12"/>
      <c r="BY20" s="12"/>
      <c r="BZ20" s="12"/>
      <c r="CA20" s="12"/>
      <c r="CB20" s="12"/>
      <c r="CC20" s="17"/>
      <c r="CD20" s="17"/>
      <c r="CE20" s="17"/>
      <c r="CF20" s="17"/>
      <c r="CG20" s="17"/>
      <c r="CH20" s="17"/>
      <c r="CI20" s="17"/>
      <c r="CJ20" s="17"/>
      <c r="CK20" s="17"/>
      <c r="CL20" s="17"/>
      <c r="CM20" s="17"/>
      <c r="CN20" s="17"/>
      <c r="CO20" s="17"/>
      <c r="CP20" s="17"/>
      <c r="CQ20" s="17"/>
      <c r="CR20" s="17"/>
      <c r="CS20" s="17"/>
      <c r="CT20" s="17"/>
      <c r="CU20" s="64"/>
      <c r="CV20" s="64"/>
      <c r="CW20" s="17"/>
      <c r="CX20" s="17"/>
      <c r="CY20" s="17"/>
      <c r="CZ20" s="17"/>
      <c r="DA20" s="17"/>
      <c r="DB20" s="17"/>
      <c r="DC20" s="64"/>
      <c r="DD20" s="64"/>
      <c r="DE20" s="64"/>
      <c r="DF20" s="64"/>
      <c r="DG20" s="64"/>
      <c r="DH20" s="17"/>
      <c r="DI20" s="17"/>
      <c r="DJ20" s="17"/>
      <c r="DK20" s="17"/>
      <c r="DL20" s="17"/>
      <c r="DM20" s="17"/>
      <c r="DN20" s="17"/>
      <c r="DO20" s="17"/>
      <c r="DP20" s="17"/>
      <c r="DQ20" s="17"/>
      <c r="DR20" s="17"/>
      <c r="DS20" s="17"/>
      <c r="DT20" s="64"/>
      <c r="DU20" s="64"/>
      <c r="DV20" s="64"/>
      <c r="DW20" s="64"/>
      <c r="DX20" s="64"/>
      <c r="DY20" s="17"/>
      <c r="DZ20" s="17"/>
      <c r="EI20" s="483"/>
      <c r="EJ20" s="484"/>
      <c r="EK20" s="485"/>
      <c r="EL20" s="486" t="s">
        <v>215</v>
      </c>
      <c r="EM20" s="487"/>
      <c r="EN20" s="487"/>
      <c r="EO20" s="487"/>
      <c r="EP20" s="487"/>
      <c r="EQ20" s="488"/>
      <c r="ES20" s="489"/>
      <c r="ET20" s="490"/>
      <c r="EU20" s="491"/>
      <c r="EV20" s="486" t="s">
        <v>217</v>
      </c>
      <c r="EW20" s="487"/>
      <c r="EX20" s="487"/>
      <c r="EY20" s="487"/>
      <c r="EZ20" s="487"/>
      <c r="FA20" s="488"/>
      <c r="FC20" s="483" t="s">
        <v>56</v>
      </c>
      <c r="FD20" s="484"/>
      <c r="FE20" s="485"/>
      <c r="FF20" s="486" t="s">
        <v>12</v>
      </c>
      <c r="FG20" s="487"/>
      <c r="FH20" s="487"/>
      <c r="FI20" s="487"/>
      <c r="FJ20" s="487"/>
      <c r="FK20" s="488"/>
      <c r="FM20" s="483" t="s">
        <v>44</v>
      </c>
      <c r="FN20" s="484"/>
      <c r="FO20" s="485"/>
      <c r="FP20" s="486" t="s">
        <v>13</v>
      </c>
      <c r="FQ20" s="487"/>
      <c r="FR20" s="487"/>
      <c r="FS20" s="487"/>
      <c r="FT20" s="487"/>
      <c r="FU20" s="488"/>
      <c r="FW20" s="483" t="s">
        <v>55</v>
      </c>
      <c r="FX20" s="484"/>
      <c r="FY20" s="485"/>
      <c r="FZ20" s="486" t="s">
        <v>14</v>
      </c>
      <c r="GA20" s="487"/>
      <c r="GB20" s="487"/>
      <c r="GC20" s="487"/>
      <c r="GD20" s="487"/>
      <c r="GE20" s="488"/>
      <c r="GG20" s="483" t="s">
        <v>16</v>
      </c>
      <c r="GH20" s="484"/>
      <c r="GI20" s="485"/>
      <c r="GJ20" s="486" t="s">
        <v>15</v>
      </c>
      <c r="GK20" s="487"/>
      <c r="GL20" s="487"/>
      <c r="GM20" s="487"/>
      <c r="GN20" s="487"/>
      <c r="GO20" s="488"/>
      <c r="GQ20" s="483" t="s">
        <v>54</v>
      </c>
      <c r="GR20" s="484"/>
      <c r="GS20" s="485"/>
      <c r="GT20" s="486" t="s">
        <v>171</v>
      </c>
      <c r="GU20" s="487"/>
      <c r="GV20" s="487"/>
      <c r="GW20" s="487"/>
      <c r="GX20" s="487"/>
      <c r="GY20" s="488"/>
    </row>
    <row r="21" spans="1:209" s="4" customFormat="1" ht="19.5" customHeight="1" x14ac:dyDescent="0.2">
      <c r="A21" s="7"/>
      <c r="B21" s="7"/>
      <c r="C21" s="64"/>
      <c r="D21" s="64"/>
      <c r="E21" s="64"/>
      <c r="F21" s="64"/>
      <c r="G21" s="64"/>
      <c r="H21" s="135"/>
      <c r="I21" s="135"/>
      <c r="J21" s="135"/>
      <c r="K21" s="135"/>
      <c r="L21" s="135"/>
      <c r="M21" s="135"/>
      <c r="N21" s="135"/>
      <c r="O21" s="135"/>
      <c r="P21" s="135"/>
      <c r="Q21" s="135"/>
      <c r="R21" s="135"/>
      <c r="S21" s="135"/>
      <c r="T21" s="135"/>
      <c r="U21" s="125"/>
      <c r="V21" s="125"/>
      <c r="W21" s="125"/>
      <c r="X21" s="64"/>
      <c r="Y21" s="64"/>
      <c r="Z21" s="64"/>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2"/>
      <c r="BA21" s="12"/>
      <c r="BB21" s="12"/>
      <c r="BC21" s="12"/>
      <c r="BD21" s="12"/>
      <c r="BE21" s="12"/>
      <c r="BF21" s="18"/>
      <c r="BG21" s="125"/>
      <c r="BH21" s="17"/>
      <c r="BI21" s="17"/>
      <c r="BJ21" s="17"/>
      <c r="BK21" s="17"/>
      <c r="BL21" s="17"/>
      <c r="BM21" s="17"/>
      <c r="BN21" s="17"/>
      <c r="BO21" s="17"/>
      <c r="BP21" s="17"/>
      <c r="BQ21" s="17"/>
      <c r="BR21" s="17"/>
      <c r="BS21" s="17"/>
      <c r="BT21" s="17"/>
      <c r="BU21" s="17"/>
      <c r="BV21" s="17"/>
      <c r="BW21" s="17"/>
      <c r="BX21" s="12"/>
      <c r="BY21" s="12"/>
      <c r="BZ21" s="12"/>
      <c r="CA21" s="12"/>
      <c r="CB21" s="12"/>
      <c r="CC21" s="17"/>
      <c r="CD21" s="17"/>
      <c r="CE21" s="17"/>
      <c r="CF21" s="17"/>
      <c r="CG21" s="17"/>
      <c r="CH21" s="17"/>
      <c r="CI21" s="17"/>
      <c r="CJ21" s="17"/>
      <c r="CK21" s="17"/>
      <c r="CL21" s="17"/>
      <c r="CM21" s="17"/>
      <c r="CN21" s="17"/>
      <c r="CO21" s="17"/>
      <c r="CP21" s="17"/>
      <c r="CQ21" s="17"/>
      <c r="CR21" s="17"/>
      <c r="CS21" s="17"/>
      <c r="CT21" s="17"/>
      <c r="CU21" s="64"/>
      <c r="CV21" s="64"/>
      <c r="CW21" s="17"/>
      <c r="CX21" s="17"/>
      <c r="CY21" s="17"/>
      <c r="CZ21" s="17"/>
      <c r="DA21" s="17"/>
      <c r="DB21" s="17"/>
      <c r="DC21" s="64"/>
      <c r="DD21" s="64"/>
      <c r="DE21" s="64"/>
      <c r="DF21" s="64"/>
      <c r="DG21" s="64"/>
      <c r="DH21" s="17"/>
      <c r="DI21" s="17"/>
      <c r="DJ21" s="17"/>
      <c r="DK21" s="17"/>
      <c r="DL21" s="17"/>
      <c r="DM21" s="17"/>
      <c r="DN21" s="17"/>
      <c r="DO21" s="17"/>
      <c r="DP21" s="17"/>
      <c r="DQ21" s="17"/>
      <c r="DR21" s="17"/>
      <c r="DS21" s="17"/>
      <c r="DT21" s="64"/>
      <c r="DU21" s="64"/>
      <c r="DV21" s="64"/>
      <c r="DW21" s="64"/>
      <c r="DX21" s="64"/>
      <c r="DY21" s="17"/>
      <c r="DZ21" s="17"/>
    </row>
    <row r="22" spans="1:209" s="5" customFormat="1" ht="42" x14ac:dyDescent="0.25">
      <c r="A22" s="19"/>
      <c r="B22" s="19"/>
      <c r="C22" s="20"/>
      <c r="D22" s="20"/>
      <c r="E22" s="20"/>
      <c r="F22" s="21"/>
      <c r="G22" s="21"/>
      <c r="H22" s="21"/>
      <c r="I22" s="21"/>
      <c r="J22" s="21"/>
      <c r="K22" s="21"/>
      <c r="L22" s="21"/>
      <c r="M22" s="21"/>
      <c r="N22" s="20"/>
      <c r="O22" s="20"/>
      <c r="P22" s="20"/>
      <c r="Q22" s="20"/>
      <c r="R22" s="22"/>
      <c r="S22" s="22"/>
      <c r="T22" s="20"/>
      <c r="U22" s="20"/>
      <c r="V22" s="20"/>
      <c r="W22" s="23"/>
      <c r="X22" s="23"/>
      <c r="Y22" s="23"/>
      <c r="Z22" s="24"/>
      <c r="AA22" s="24"/>
      <c r="AB22" s="25"/>
      <c r="AC22" s="25"/>
      <c r="AD22" s="25"/>
      <c r="AE22" s="26"/>
      <c r="AF22" s="26"/>
      <c r="AG22" s="26"/>
      <c r="AH22" s="26"/>
      <c r="AI22" s="27"/>
      <c r="AJ22" s="26"/>
      <c r="AK22" s="26"/>
      <c r="AL22" s="26"/>
      <c r="AM22" s="27"/>
      <c r="AN22" s="28"/>
      <c r="AO22" s="28"/>
      <c r="AP22" s="28"/>
      <c r="AQ22" s="28"/>
      <c r="AR22" s="28"/>
      <c r="AS22" s="28"/>
      <c r="AT22" s="28"/>
      <c r="AU22" s="28"/>
      <c r="AV22" s="28"/>
      <c r="AW22" s="28"/>
      <c r="AX22" s="28"/>
      <c r="AY22" s="28"/>
      <c r="AZ22" s="27"/>
      <c r="BA22" s="27"/>
      <c r="BB22" s="27"/>
      <c r="BC22" s="26"/>
      <c r="BD22" s="26"/>
      <c r="BE22" s="26"/>
      <c r="BF22" s="26"/>
      <c r="BG22" s="27"/>
      <c r="BH22" s="27"/>
      <c r="BI22" s="27"/>
      <c r="BJ22" s="27"/>
      <c r="BK22" s="29"/>
      <c r="BL22" s="23"/>
      <c r="BM22" s="30"/>
      <c r="BN22" s="30"/>
      <c r="BO22" s="30"/>
      <c r="BP22" s="30"/>
      <c r="BQ22" s="30"/>
      <c r="BR22" s="23"/>
      <c r="BS22" s="27"/>
      <c r="BT22" s="27"/>
      <c r="BU22" s="27"/>
      <c r="BV22" s="27"/>
      <c r="BW22" s="27"/>
      <c r="BX22" s="27"/>
      <c r="BY22" s="27"/>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27"/>
      <c r="CX22" s="27"/>
      <c r="CY22" s="27"/>
      <c r="CZ22" s="27"/>
      <c r="DA22" s="27"/>
      <c r="DB22" s="27"/>
      <c r="DC22" s="27"/>
      <c r="DD22" s="31"/>
      <c r="DE22" s="31"/>
      <c r="DF22" s="31"/>
      <c r="DG22" s="31"/>
      <c r="DH22" s="31"/>
      <c r="DI22" s="31"/>
      <c r="DJ22" s="31"/>
      <c r="DK22" s="31"/>
      <c r="DL22" s="31"/>
      <c r="DM22" s="31"/>
      <c r="DN22" s="31"/>
      <c r="DO22" s="31"/>
      <c r="DP22" s="31"/>
      <c r="DQ22" s="31"/>
      <c r="DR22" s="31"/>
      <c r="DS22" s="31"/>
      <c r="DT22" s="31"/>
      <c r="DU22" s="31"/>
      <c r="DV22" s="31"/>
      <c r="DW22" s="31"/>
      <c r="DX22" s="31"/>
      <c r="DY22" s="31"/>
      <c r="DZ22" s="31"/>
    </row>
    <row r="23" spans="1:209" s="5" customFormat="1" ht="60" customHeight="1" x14ac:dyDescent="0.25">
      <c r="A23" s="19"/>
      <c r="B23" s="19"/>
      <c r="C23" s="20"/>
      <c r="D23" s="20"/>
      <c r="E23" s="20"/>
      <c r="F23" s="21"/>
      <c r="G23" s="21"/>
      <c r="H23" s="21"/>
      <c r="I23" s="21"/>
      <c r="J23" s="21"/>
      <c r="K23" s="21"/>
      <c r="L23" s="21"/>
      <c r="M23" s="21"/>
      <c r="N23" s="20"/>
      <c r="O23" s="20"/>
      <c r="P23" s="20"/>
      <c r="Q23" s="20"/>
      <c r="R23" s="22"/>
      <c r="S23" s="22"/>
      <c r="T23" s="20"/>
      <c r="U23" s="20"/>
      <c r="V23" s="20"/>
      <c r="W23" s="23"/>
      <c r="X23" s="23"/>
      <c r="Y23" s="23"/>
      <c r="Z23" s="24"/>
      <c r="AA23" s="24"/>
      <c r="AB23" s="25"/>
      <c r="AC23" s="25"/>
      <c r="AD23" s="25"/>
      <c r="AE23" s="26"/>
      <c r="AF23" s="26"/>
      <c r="AG23" s="26"/>
      <c r="AH23" s="26"/>
      <c r="AI23" s="27"/>
      <c r="AJ23" s="26"/>
      <c r="AK23" s="26"/>
      <c r="AL23" s="26"/>
      <c r="AM23" s="27"/>
      <c r="AN23" s="28"/>
      <c r="AO23" s="28"/>
      <c r="AP23" s="28"/>
      <c r="AQ23" s="28"/>
      <c r="AR23" s="28"/>
      <c r="AS23" s="28"/>
      <c r="AT23" s="28"/>
      <c r="AU23" s="28"/>
      <c r="AV23" s="28"/>
      <c r="AW23" s="28"/>
      <c r="AX23" s="28"/>
      <c r="AY23" s="28"/>
      <c r="AZ23" s="27"/>
      <c r="BA23" s="27"/>
      <c r="BB23" s="27"/>
      <c r="BC23" s="26"/>
      <c r="BD23" s="26"/>
      <c r="BE23" s="26"/>
      <c r="BF23" s="26"/>
      <c r="BG23" s="27"/>
      <c r="BH23" s="27"/>
      <c r="BI23" s="27"/>
      <c r="BJ23" s="27"/>
      <c r="BK23" s="29"/>
      <c r="BL23" s="23"/>
      <c r="BM23" s="30"/>
      <c r="BN23" s="30"/>
      <c r="BO23" s="30"/>
      <c r="BP23" s="30"/>
      <c r="BQ23" s="30"/>
      <c r="BR23" s="23"/>
      <c r="BS23" s="27"/>
      <c r="BT23" s="27"/>
      <c r="BU23" s="27"/>
      <c r="BV23" s="27"/>
      <c r="BW23" s="27"/>
      <c r="BX23" s="27"/>
      <c r="BY23" s="27"/>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27"/>
      <c r="CX23" s="27"/>
      <c r="CY23" s="27"/>
      <c r="CZ23" s="27"/>
      <c r="DA23" s="27"/>
      <c r="DB23" s="27"/>
      <c r="DC23" s="27"/>
      <c r="DD23" s="31"/>
      <c r="DE23" s="31"/>
      <c r="DF23" s="31"/>
      <c r="DG23" s="31"/>
      <c r="DH23" s="31"/>
      <c r="DI23" s="31"/>
      <c r="DJ23" s="31"/>
      <c r="DK23" s="31"/>
      <c r="DL23" s="31"/>
      <c r="DM23" s="31"/>
      <c r="DN23" s="31"/>
      <c r="DO23" s="31"/>
      <c r="DP23" s="31"/>
      <c r="DQ23" s="31"/>
      <c r="DR23" s="31"/>
      <c r="DS23" s="31"/>
      <c r="DT23" s="31"/>
      <c r="DU23" s="31"/>
      <c r="DV23" s="31"/>
      <c r="DW23" s="31"/>
      <c r="DX23" s="31"/>
      <c r="DY23" s="31"/>
      <c r="DZ23" s="31"/>
    </row>
    <row r="24" spans="1:209" ht="75" customHeight="1" thickBot="1" x14ac:dyDescent="0.25">
      <c r="A24" s="282" t="s">
        <v>221</v>
      </c>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c r="CQ24" s="282"/>
      <c r="CR24" s="282"/>
      <c r="CS24" s="282"/>
      <c r="CT24" s="282"/>
      <c r="CU24" s="282"/>
      <c r="CV24" s="282"/>
      <c r="CW24" s="282"/>
      <c r="CX24" s="282"/>
      <c r="CY24" s="282"/>
      <c r="CZ24" s="282"/>
      <c r="DA24" s="282"/>
      <c r="DB24" s="282"/>
      <c r="DC24" s="282"/>
      <c r="DD24" s="282"/>
      <c r="DE24" s="282"/>
      <c r="DF24" s="282"/>
      <c r="DG24" s="282"/>
      <c r="DH24" s="282"/>
      <c r="DI24" s="282"/>
      <c r="DJ24" s="282"/>
      <c r="DK24" s="282"/>
      <c r="DL24" s="282"/>
      <c r="DM24" s="282"/>
      <c r="DN24" s="282"/>
      <c r="DO24" s="282"/>
      <c r="DP24" s="282"/>
      <c r="DQ24" s="282"/>
      <c r="DR24" s="282"/>
      <c r="DS24" s="282"/>
      <c r="DT24" s="282"/>
      <c r="DU24" s="282"/>
      <c r="DV24" s="282"/>
      <c r="DW24" s="282"/>
      <c r="DX24" s="282"/>
      <c r="DY24" s="282"/>
      <c r="DZ24" s="282"/>
      <c r="EA24" s="282"/>
      <c r="EB24" s="282"/>
      <c r="EC24" s="282"/>
      <c r="ED24" s="282"/>
      <c r="EE24" s="282"/>
    </row>
    <row r="25" spans="1:209" s="32" customFormat="1" ht="120" customHeight="1" thickTop="1" x14ac:dyDescent="0.45">
      <c r="A25" s="411" t="s">
        <v>23</v>
      </c>
      <c r="B25" s="414" t="s">
        <v>97</v>
      </c>
      <c r="C25" s="386" t="s">
        <v>57</v>
      </c>
      <c r="D25" s="386"/>
      <c r="E25" s="386"/>
      <c r="F25" s="386"/>
      <c r="G25" s="386"/>
      <c r="H25" s="386"/>
      <c r="I25" s="386"/>
      <c r="J25" s="386"/>
      <c r="K25" s="386"/>
      <c r="L25" s="386"/>
      <c r="M25" s="386"/>
      <c r="N25" s="386"/>
      <c r="O25" s="386"/>
      <c r="P25" s="386"/>
      <c r="Q25" s="386"/>
      <c r="R25" s="386"/>
      <c r="S25" s="386"/>
      <c r="T25" s="386"/>
      <c r="U25" s="386"/>
      <c r="V25" s="386"/>
      <c r="W25" s="386"/>
      <c r="X25" s="386"/>
      <c r="Y25" s="386"/>
      <c r="Z25" s="417" t="s">
        <v>230</v>
      </c>
      <c r="AA25" s="418"/>
      <c r="AB25" s="418"/>
      <c r="AC25" s="418"/>
      <c r="AD25" s="418"/>
      <c r="AE25" s="418"/>
      <c r="AF25" s="418"/>
      <c r="AG25" s="418"/>
      <c r="AH25" s="418"/>
      <c r="AI25" s="418"/>
      <c r="AJ25" s="418"/>
      <c r="AK25" s="418"/>
      <c r="AL25" s="418"/>
      <c r="AM25" s="418"/>
      <c r="AN25" s="418"/>
      <c r="AO25" s="418"/>
      <c r="AP25" s="418"/>
      <c r="AQ25" s="418"/>
      <c r="AR25" s="418"/>
      <c r="AS25" s="418"/>
      <c r="AT25" s="418"/>
      <c r="AU25" s="418"/>
      <c r="AV25" s="418"/>
      <c r="AW25" s="418"/>
      <c r="AX25" s="418"/>
      <c r="AY25" s="418"/>
      <c r="AZ25" s="418"/>
      <c r="BA25" s="418"/>
      <c r="BB25" s="418"/>
      <c r="BC25" s="418"/>
      <c r="BD25" s="418"/>
      <c r="BE25" s="418"/>
      <c r="BF25" s="418"/>
      <c r="BG25" s="418"/>
      <c r="BH25" s="418"/>
      <c r="BI25" s="418"/>
      <c r="BJ25" s="418"/>
      <c r="BK25" s="418"/>
      <c r="BL25" s="418"/>
      <c r="BM25" s="418"/>
      <c r="BN25" s="419"/>
      <c r="BO25" s="419"/>
      <c r="BP25" s="419"/>
      <c r="BQ25" s="419"/>
      <c r="BR25" s="420"/>
      <c r="BS25" s="388" t="s">
        <v>231</v>
      </c>
      <c r="BT25" s="389"/>
      <c r="BU25" s="389"/>
      <c r="BV25" s="389"/>
      <c r="BW25" s="389"/>
      <c r="BX25" s="389"/>
      <c r="BY25" s="389"/>
      <c r="BZ25" s="389"/>
      <c r="CA25" s="389"/>
      <c r="CB25" s="389"/>
      <c r="CC25" s="389"/>
      <c r="CD25" s="389"/>
      <c r="CE25" s="389"/>
      <c r="CF25" s="389"/>
      <c r="CG25" s="389"/>
      <c r="CH25" s="389"/>
      <c r="CI25" s="389"/>
      <c r="CJ25" s="389"/>
      <c r="CK25" s="389"/>
      <c r="CL25" s="389"/>
      <c r="CM25" s="389"/>
      <c r="CN25" s="389"/>
      <c r="CO25" s="389"/>
      <c r="CP25" s="389"/>
      <c r="CQ25" s="389"/>
      <c r="CR25" s="389"/>
      <c r="CS25" s="389"/>
      <c r="CT25" s="389"/>
      <c r="CU25" s="389"/>
      <c r="CV25" s="390"/>
      <c r="CW25" s="388" t="s">
        <v>232</v>
      </c>
      <c r="CX25" s="389"/>
      <c r="CY25" s="389"/>
      <c r="CZ25" s="389"/>
      <c r="DA25" s="389"/>
      <c r="DB25" s="389"/>
      <c r="DC25" s="389"/>
      <c r="DD25" s="389"/>
      <c r="DE25" s="389"/>
      <c r="DF25" s="389"/>
      <c r="DG25" s="389"/>
      <c r="DH25" s="389"/>
      <c r="DI25" s="389"/>
      <c r="DJ25" s="389"/>
      <c r="DK25" s="389"/>
      <c r="DL25" s="389"/>
      <c r="DM25" s="389"/>
      <c r="DN25" s="389"/>
      <c r="DO25" s="389"/>
      <c r="DP25" s="389"/>
      <c r="DQ25" s="389"/>
      <c r="DR25" s="389"/>
      <c r="DS25" s="389"/>
      <c r="DT25" s="389"/>
      <c r="DU25" s="389"/>
      <c r="DV25" s="389"/>
      <c r="DW25" s="389"/>
      <c r="DX25" s="389"/>
      <c r="DY25" s="389"/>
      <c r="DZ25" s="390"/>
      <c r="EA25" s="394" t="s">
        <v>34</v>
      </c>
      <c r="EB25" s="395"/>
      <c r="EC25" s="396"/>
      <c r="ED25" s="396"/>
      <c r="EE25" s="397"/>
    </row>
    <row r="26" spans="1:209" s="33" customFormat="1" ht="60" customHeight="1" x14ac:dyDescent="0.45">
      <c r="A26" s="412"/>
      <c r="B26" s="415"/>
      <c r="C26" s="387"/>
      <c r="D26" s="387"/>
      <c r="E26" s="387"/>
      <c r="F26" s="387"/>
      <c r="G26" s="387"/>
      <c r="H26" s="387"/>
      <c r="I26" s="387"/>
      <c r="J26" s="387"/>
      <c r="K26" s="387"/>
      <c r="L26" s="387"/>
      <c r="M26" s="387"/>
      <c r="N26" s="387"/>
      <c r="O26" s="387"/>
      <c r="P26" s="387"/>
      <c r="Q26" s="387"/>
      <c r="R26" s="387"/>
      <c r="S26" s="387"/>
      <c r="T26" s="387"/>
      <c r="U26" s="387"/>
      <c r="V26" s="387"/>
      <c r="W26" s="387"/>
      <c r="X26" s="387"/>
      <c r="Y26" s="387"/>
      <c r="Z26" s="381" t="s">
        <v>59</v>
      </c>
      <c r="AA26" s="382"/>
      <c r="AB26" s="382"/>
      <c r="AC26" s="382"/>
      <c r="AD26" s="382"/>
      <c r="AE26" s="382"/>
      <c r="AF26" s="382"/>
      <c r="AG26" s="382"/>
      <c r="AH26" s="382"/>
      <c r="AI26" s="383"/>
      <c r="AJ26" s="381" t="s">
        <v>60</v>
      </c>
      <c r="AK26" s="382"/>
      <c r="AL26" s="382"/>
      <c r="AM26" s="382"/>
      <c r="AN26" s="382"/>
      <c r="AO26" s="382"/>
      <c r="AP26" s="382"/>
      <c r="AQ26" s="382"/>
      <c r="AR26" s="382"/>
      <c r="AS26" s="382"/>
      <c r="AT26" s="382"/>
      <c r="AU26" s="382"/>
      <c r="AV26" s="382"/>
      <c r="AW26" s="382"/>
      <c r="AX26" s="382"/>
      <c r="AY26" s="382"/>
      <c r="AZ26" s="382"/>
      <c r="BA26" s="382"/>
      <c r="BB26" s="382"/>
      <c r="BC26" s="382"/>
      <c r="BD26" s="382"/>
      <c r="BE26" s="382"/>
      <c r="BF26" s="382"/>
      <c r="BG26" s="382"/>
      <c r="BH26" s="382"/>
      <c r="BI26" s="382"/>
      <c r="BJ26" s="382"/>
      <c r="BK26" s="382"/>
      <c r="BL26" s="382"/>
      <c r="BM26" s="382"/>
      <c r="BN26" s="399" t="s">
        <v>24</v>
      </c>
      <c r="BO26" s="399"/>
      <c r="BP26" s="399"/>
      <c r="BQ26" s="399"/>
      <c r="BR26" s="401"/>
      <c r="BS26" s="354" t="s">
        <v>25</v>
      </c>
      <c r="BT26" s="259"/>
      <c r="BU26" s="259"/>
      <c r="BV26" s="259"/>
      <c r="BW26" s="259"/>
      <c r="BX26" s="259"/>
      <c r="BY26" s="259"/>
      <c r="BZ26" s="259"/>
      <c r="CA26" s="259"/>
      <c r="CB26" s="259"/>
      <c r="CC26" s="259" t="s">
        <v>26</v>
      </c>
      <c r="CD26" s="259"/>
      <c r="CE26" s="259"/>
      <c r="CF26" s="259"/>
      <c r="CG26" s="259"/>
      <c r="CH26" s="259"/>
      <c r="CI26" s="259"/>
      <c r="CJ26" s="259"/>
      <c r="CK26" s="259"/>
      <c r="CL26" s="259"/>
      <c r="CM26" s="259" t="s">
        <v>27</v>
      </c>
      <c r="CN26" s="259"/>
      <c r="CO26" s="259"/>
      <c r="CP26" s="259"/>
      <c r="CQ26" s="259"/>
      <c r="CR26" s="259"/>
      <c r="CS26" s="259"/>
      <c r="CT26" s="259"/>
      <c r="CU26" s="259"/>
      <c r="CV26" s="358"/>
      <c r="CW26" s="354" t="s">
        <v>25</v>
      </c>
      <c r="CX26" s="259"/>
      <c r="CY26" s="259"/>
      <c r="CZ26" s="259"/>
      <c r="DA26" s="259"/>
      <c r="DB26" s="259"/>
      <c r="DC26" s="259"/>
      <c r="DD26" s="259"/>
      <c r="DE26" s="259"/>
      <c r="DF26" s="259"/>
      <c r="DG26" s="259" t="s">
        <v>26</v>
      </c>
      <c r="DH26" s="259"/>
      <c r="DI26" s="259"/>
      <c r="DJ26" s="259"/>
      <c r="DK26" s="259"/>
      <c r="DL26" s="259"/>
      <c r="DM26" s="259"/>
      <c r="DN26" s="259"/>
      <c r="DO26" s="259"/>
      <c r="DP26" s="259"/>
      <c r="DQ26" s="259" t="s">
        <v>27</v>
      </c>
      <c r="DR26" s="259"/>
      <c r="DS26" s="259"/>
      <c r="DT26" s="259"/>
      <c r="DU26" s="259"/>
      <c r="DV26" s="259"/>
      <c r="DW26" s="259"/>
      <c r="DX26" s="259"/>
      <c r="DY26" s="259"/>
      <c r="DZ26" s="358"/>
      <c r="EA26" s="398"/>
      <c r="EB26" s="399"/>
      <c r="EC26" s="400"/>
      <c r="ED26" s="400"/>
      <c r="EE26" s="401"/>
    </row>
    <row r="27" spans="1:209" s="33" customFormat="1" ht="60" customHeight="1" x14ac:dyDescent="0.45">
      <c r="A27" s="412"/>
      <c r="B27" s="415"/>
      <c r="C27" s="387"/>
      <c r="D27" s="387"/>
      <c r="E27" s="387"/>
      <c r="F27" s="387"/>
      <c r="G27" s="387"/>
      <c r="H27" s="387"/>
      <c r="I27" s="387"/>
      <c r="J27" s="387"/>
      <c r="K27" s="387"/>
      <c r="L27" s="387"/>
      <c r="M27" s="387"/>
      <c r="N27" s="387"/>
      <c r="O27" s="387"/>
      <c r="P27" s="387"/>
      <c r="Q27" s="387"/>
      <c r="R27" s="387"/>
      <c r="S27" s="387"/>
      <c r="T27" s="387"/>
      <c r="U27" s="387"/>
      <c r="V27" s="387"/>
      <c r="W27" s="387"/>
      <c r="X27" s="387"/>
      <c r="Y27" s="387"/>
      <c r="Z27" s="384"/>
      <c r="AA27" s="268"/>
      <c r="AB27" s="268"/>
      <c r="AC27" s="268"/>
      <c r="AD27" s="268"/>
      <c r="AE27" s="268"/>
      <c r="AF27" s="268"/>
      <c r="AG27" s="268"/>
      <c r="AH27" s="268"/>
      <c r="AI27" s="385"/>
      <c r="AJ27" s="360" t="s">
        <v>18</v>
      </c>
      <c r="AK27" s="361"/>
      <c r="AL27" s="361"/>
      <c r="AM27" s="361"/>
      <c r="AN27" s="362"/>
      <c r="AO27" s="360" t="s">
        <v>229</v>
      </c>
      <c r="AP27" s="361"/>
      <c r="AQ27" s="361"/>
      <c r="AR27" s="361"/>
      <c r="AS27" s="362"/>
      <c r="AT27" s="360" t="s">
        <v>62</v>
      </c>
      <c r="AU27" s="361"/>
      <c r="AV27" s="361"/>
      <c r="AW27" s="361"/>
      <c r="AX27" s="362"/>
      <c r="AY27" s="360" t="s">
        <v>63</v>
      </c>
      <c r="AZ27" s="361"/>
      <c r="BA27" s="361"/>
      <c r="BB27" s="361"/>
      <c r="BC27" s="362"/>
      <c r="BD27" s="360" t="s">
        <v>64</v>
      </c>
      <c r="BE27" s="361"/>
      <c r="BF27" s="361"/>
      <c r="BG27" s="361"/>
      <c r="BH27" s="362"/>
      <c r="BI27" s="360" t="s">
        <v>65</v>
      </c>
      <c r="BJ27" s="361"/>
      <c r="BK27" s="361"/>
      <c r="BL27" s="361"/>
      <c r="BM27" s="361"/>
      <c r="BN27" s="399"/>
      <c r="BO27" s="399"/>
      <c r="BP27" s="399"/>
      <c r="BQ27" s="399"/>
      <c r="BR27" s="401"/>
      <c r="BS27" s="354" t="s">
        <v>30</v>
      </c>
      <c r="BT27" s="259"/>
      <c r="BU27" s="259"/>
      <c r="BV27" s="259"/>
      <c r="BW27" s="259"/>
      <c r="BX27" s="259"/>
      <c r="BY27" s="259"/>
      <c r="BZ27" s="259"/>
      <c r="CA27" s="259"/>
      <c r="CB27" s="259"/>
      <c r="CC27" s="259"/>
      <c r="CD27" s="259"/>
      <c r="CE27" s="259"/>
      <c r="CF27" s="259"/>
      <c r="CG27" s="259"/>
      <c r="CH27" s="259"/>
      <c r="CI27" s="259"/>
      <c r="CJ27" s="259"/>
      <c r="CK27" s="259"/>
      <c r="CL27" s="259"/>
      <c r="CM27" s="259"/>
      <c r="CN27" s="259"/>
      <c r="CO27" s="259"/>
      <c r="CP27" s="259"/>
      <c r="CQ27" s="259"/>
      <c r="CR27" s="259"/>
      <c r="CS27" s="259"/>
      <c r="CT27" s="259"/>
      <c r="CU27" s="259"/>
      <c r="CV27" s="358"/>
      <c r="CW27" s="354" t="s">
        <v>228</v>
      </c>
      <c r="CX27" s="259"/>
      <c r="CY27" s="259"/>
      <c r="CZ27" s="259"/>
      <c r="DA27" s="259"/>
      <c r="DB27" s="259"/>
      <c r="DC27" s="259"/>
      <c r="DD27" s="259"/>
      <c r="DE27" s="259"/>
      <c r="DF27" s="259"/>
      <c r="DG27" s="259"/>
      <c r="DH27" s="259"/>
      <c r="DI27" s="259"/>
      <c r="DJ27" s="259"/>
      <c r="DK27" s="259"/>
      <c r="DL27" s="259"/>
      <c r="DM27" s="259"/>
      <c r="DN27" s="259"/>
      <c r="DO27" s="259"/>
      <c r="DP27" s="259"/>
      <c r="DQ27" s="259"/>
      <c r="DR27" s="259"/>
      <c r="DS27" s="259"/>
      <c r="DT27" s="259"/>
      <c r="DU27" s="259"/>
      <c r="DV27" s="259"/>
      <c r="DW27" s="259"/>
      <c r="DX27" s="259"/>
      <c r="DY27" s="259"/>
      <c r="DZ27" s="358"/>
      <c r="EA27" s="398"/>
      <c r="EB27" s="399"/>
      <c r="EC27" s="400"/>
      <c r="ED27" s="400"/>
      <c r="EE27" s="401"/>
    </row>
    <row r="28" spans="1:209" s="33" customFormat="1" ht="60" customHeight="1" x14ac:dyDescent="0.45">
      <c r="A28" s="412"/>
      <c r="B28" s="415"/>
      <c r="C28" s="387"/>
      <c r="D28" s="387"/>
      <c r="E28" s="387"/>
      <c r="F28" s="387"/>
      <c r="G28" s="387"/>
      <c r="H28" s="387"/>
      <c r="I28" s="387"/>
      <c r="J28" s="387"/>
      <c r="K28" s="387"/>
      <c r="L28" s="387"/>
      <c r="M28" s="387"/>
      <c r="N28" s="387"/>
      <c r="O28" s="387"/>
      <c r="P28" s="387"/>
      <c r="Q28" s="387"/>
      <c r="R28" s="387"/>
      <c r="S28" s="387"/>
      <c r="T28" s="387"/>
      <c r="U28" s="387"/>
      <c r="V28" s="387"/>
      <c r="W28" s="387"/>
      <c r="X28" s="387"/>
      <c r="Y28" s="387"/>
      <c r="Z28" s="384"/>
      <c r="AA28" s="268"/>
      <c r="AB28" s="268"/>
      <c r="AC28" s="268"/>
      <c r="AD28" s="268"/>
      <c r="AE28" s="268"/>
      <c r="AF28" s="268"/>
      <c r="AG28" s="268"/>
      <c r="AH28" s="268"/>
      <c r="AI28" s="385"/>
      <c r="AJ28" s="363"/>
      <c r="AK28" s="364"/>
      <c r="AL28" s="364"/>
      <c r="AM28" s="364"/>
      <c r="AN28" s="365"/>
      <c r="AO28" s="363"/>
      <c r="AP28" s="364"/>
      <c r="AQ28" s="364"/>
      <c r="AR28" s="364"/>
      <c r="AS28" s="365"/>
      <c r="AT28" s="363"/>
      <c r="AU28" s="364"/>
      <c r="AV28" s="364"/>
      <c r="AW28" s="364"/>
      <c r="AX28" s="365"/>
      <c r="AY28" s="363"/>
      <c r="AZ28" s="364"/>
      <c r="BA28" s="364"/>
      <c r="BB28" s="364"/>
      <c r="BC28" s="365"/>
      <c r="BD28" s="363"/>
      <c r="BE28" s="364"/>
      <c r="BF28" s="364"/>
      <c r="BG28" s="364"/>
      <c r="BH28" s="365"/>
      <c r="BI28" s="363"/>
      <c r="BJ28" s="364"/>
      <c r="BK28" s="364"/>
      <c r="BL28" s="364"/>
      <c r="BM28" s="364"/>
      <c r="BN28" s="399"/>
      <c r="BO28" s="399"/>
      <c r="BP28" s="399"/>
      <c r="BQ28" s="399"/>
      <c r="BR28" s="401"/>
      <c r="BS28" s="354">
        <f>BS32+BX32</f>
        <v>30</v>
      </c>
      <c r="BT28" s="259"/>
      <c r="BU28" s="259"/>
      <c r="BV28" s="259"/>
      <c r="BW28" s="259"/>
      <c r="BX28" s="259"/>
      <c r="BY28" s="259"/>
      <c r="BZ28" s="259"/>
      <c r="CA28" s="259"/>
      <c r="CB28" s="259"/>
      <c r="CC28" s="259">
        <f>CC32+CH32</f>
        <v>30</v>
      </c>
      <c r="CD28" s="259"/>
      <c r="CE28" s="259"/>
      <c r="CF28" s="259"/>
      <c r="CG28" s="259"/>
      <c r="CH28" s="259"/>
      <c r="CI28" s="259"/>
      <c r="CJ28" s="259"/>
      <c r="CK28" s="259"/>
      <c r="CL28" s="259"/>
      <c r="CM28" s="259">
        <f>CM32+CR32</f>
        <v>27</v>
      </c>
      <c r="CN28" s="259"/>
      <c r="CO28" s="259"/>
      <c r="CP28" s="259"/>
      <c r="CQ28" s="259"/>
      <c r="CR28" s="259"/>
      <c r="CS28" s="259"/>
      <c r="CT28" s="259"/>
      <c r="CU28" s="259"/>
      <c r="CV28" s="358"/>
      <c r="CW28" s="354">
        <f>SUM(CW76:DF76)</f>
        <v>60</v>
      </c>
      <c r="CX28" s="259"/>
      <c r="CY28" s="259"/>
      <c r="CZ28" s="259"/>
      <c r="DA28" s="259"/>
      <c r="DB28" s="259"/>
      <c r="DC28" s="259"/>
      <c r="DD28" s="259"/>
      <c r="DE28" s="259"/>
      <c r="DF28" s="355"/>
      <c r="DG28" s="259">
        <f>SUM(DG76:DP76)</f>
        <v>60</v>
      </c>
      <c r="DH28" s="259"/>
      <c r="DI28" s="259"/>
      <c r="DJ28" s="259"/>
      <c r="DK28" s="259"/>
      <c r="DL28" s="259"/>
      <c r="DM28" s="259"/>
      <c r="DN28" s="259"/>
      <c r="DO28" s="259"/>
      <c r="DP28" s="259"/>
      <c r="DQ28" s="405">
        <f>SUM(DQ76:DZ76)</f>
        <v>60</v>
      </c>
      <c r="DR28" s="259"/>
      <c r="DS28" s="259"/>
      <c r="DT28" s="259"/>
      <c r="DU28" s="259"/>
      <c r="DV28" s="259"/>
      <c r="DW28" s="259"/>
      <c r="DX28" s="259"/>
      <c r="DY28" s="259"/>
      <c r="DZ28" s="259"/>
      <c r="EA28" s="398"/>
      <c r="EB28" s="399"/>
      <c r="EC28" s="400"/>
      <c r="ED28" s="400"/>
      <c r="EE28" s="401"/>
    </row>
    <row r="29" spans="1:209" s="33" customFormat="1" ht="60" customHeight="1" x14ac:dyDescent="0.45">
      <c r="A29" s="412"/>
      <c r="B29" s="415"/>
      <c r="C29" s="387"/>
      <c r="D29" s="387"/>
      <c r="E29" s="387"/>
      <c r="F29" s="387"/>
      <c r="G29" s="387"/>
      <c r="H29" s="387"/>
      <c r="I29" s="387"/>
      <c r="J29" s="387"/>
      <c r="K29" s="387"/>
      <c r="L29" s="387"/>
      <c r="M29" s="387"/>
      <c r="N29" s="387"/>
      <c r="O29" s="387"/>
      <c r="P29" s="387"/>
      <c r="Q29" s="387"/>
      <c r="R29" s="387"/>
      <c r="S29" s="387"/>
      <c r="T29" s="387"/>
      <c r="U29" s="387"/>
      <c r="V29" s="387"/>
      <c r="W29" s="387"/>
      <c r="X29" s="387"/>
      <c r="Y29" s="387"/>
      <c r="Z29" s="384"/>
      <c r="AA29" s="268"/>
      <c r="AB29" s="268"/>
      <c r="AC29" s="268"/>
      <c r="AD29" s="268"/>
      <c r="AE29" s="268"/>
      <c r="AF29" s="268"/>
      <c r="AG29" s="268"/>
      <c r="AH29" s="268"/>
      <c r="AI29" s="385"/>
      <c r="AJ29" s="363"/>
      <c r="AK29" s="364"/>
      <c r="AL29" s="364"/>
      <c r="AM29" s="364"/>
      <c r="AN29" s="365"/>
      <c r="AO29" s="363"/>
      <c r="AP29" s="364"/>
      <c r="AQ29" s="364"/>
      <c r="AR29" s="364"/>
      <c r="AS29" s="365"/>
      <c r="AT29" s="363"/>
      <c r="AU29" s="364"/>
      <c r="AV29" s="364"/>
      <c r="AW29" s="364"/>
      <c r="AX29" s="365"/>
      <c r="AY29" s="363"/>
      <c r="AZ29" s="364"/>
      <c r="BA29" s="364"/>
      <c r="BB29" s="364"/>
      <c r="BC29" s="365"/>
      <c r="BD29" s="363"/>
      <c r="BE29" s="364"/>
      <c r="BF29" s="364"/>
      <c r="BG29" s="364"/>
      <c r="BH29" s="365"/>
      <c r="BI29" s="363"/>
      <c r="BJ29" s="364"/>
      <c r="BK29" s="364"/>
      <c r="BL29" s="364"/>
      <c r="BM29" s="364"/>
      <c r="BN29" s="399"/>
      <c r="BO29" s="399"/>
      <c r="BP29" s="399"/>
      <c r="BQ29" s="399"/>
      <c r="BR29" s="401"/>
      <c r="BS29" s="354" t="s">
        <v>31</v>
      </c>
      <c r="BT29" s="259"/>
      <c r="BU29" s="259"/>
      <c r="BV29" s="259"/>
      <c r="BW29" s="259"/>
      <c r="BX29" s="259"/>
      <c r="BY29" s="259"/>
      <c r="BZ29" s="259"/>
      <c r="CA29" s="259"/>
      <c r="CB29" s="259"/>
      <c r="CC29" s="259"/>
      <c r="CD29" s="259"/>
      <c r="CE29" s="259"/>
      <c r="CF29" s="259"/>
      <c r="CG29" s="259"/>
      <c r="CH29" s="259"/>
      <c r="CI29" s="259"/>
      <c r="CJ29" s="259"/>
      <c r="CK29" s="259"/>
      <c r="CL29" s="259"/>
      <c r="CM29" s="259"/>
      <c r="CN29" s="259"/>
      <c r="CO29" s="259"/>
      <c r="CP29" s="259"/>
      <c r="CQ29" s="259"/>
      <c r="CR29" s="259"/>
      <c r="CS29" s="259"/>
      <c r="CT29" s="259"/>
      <c r="CU29" s="259"/>
      <c r="CV29" s="358"/>
      <c r="CW29" s="354" t="s">
        <v>31</v>
      </c>
      <c r="CX29" s="259"/>
      <c r="CY29" s="259"/>
      <c r="CZ29" s="259"/>
      <c r="DA29" s="259"/>
      <c r="DB29" s="259"/>
      <c r="DC29" s="259"/>
      <c r="DD29" s="259"/>
      <c r="DE29" s="259"/>
      <c r="DF29" s="259"/>
      <c r="DG29" s="259"/>
      <c r="DH29" s="259"/>
      <c r="DI29" s="259"/>
      <c r="DJ29" s="259"/>
      <c r="DK29" s="259"/>
      <c r="DL29" s="259"/>
      <c r="DM29" s="259"/>
      <c r="DN29" s="259"/>
      <c r="DO29" s="259"/>
      <c r="DP29" s="259"/>
      <c r="DQ29" s="259"/>
      <c r="DR29" s="259"/>
      <c r="DS29" s="259"/>
      <c r="DT29" s="259"/>
      <c r="DU29" s="259"/>
      <c r="DV29" s="259"/>
      <c r="DW29" s="259"/>
      <c r="DX29" s="259"/>
      <c r="DY29" s="259"/>
      <c r="DZ29" s="358"/>
      <c r="EA29" s="398"/>
      <c r="EB29" s="399"/>
      <c r="EC29" s="400"/>
      <c r="ED29" s="400"/>
      <c r="EE29" s="401"/>
    </row>
    <row r="30" spans="1:209" s="33" customFormat="1" ht="60" customHeight="1" x14ac:dyDescent="0.45">
      <c r="A30" s="412"/>
      <c r="B30" s="415"/>
      <c r="C30" s="387"/>
      <c r="D30" s="387"/>
      <c r="E30" s="387"/>
      <c r="F30" s="387"/>
      <c r="G30" s="387"/>
      <c r="H30" s="387"/>
      <c r="I30" s="387"/>
      <c r="J30" s="387"/>
      <c r="K30" s="387"/>
      <c r="L30" s="387"/>
      <c r="M30" s="387"/>
      <c r="N30" s="387"/>
      <c r="O30" s="387"/>
      <c r="P30" s="387"/>
      <c r="Q30" s="387"/>
      <c r="R30" s="387"/>
      <c r="S30" s="387"/>
      <c r="T30" s="387"/>
      <c r="U30" s="387"/>
      <c r="V30" s="387"/>
      <c r="W30" s="387"/>
      <c r="X30" s="387"/>
      <c r="Y30" s="387"/>
      <c r="Z30" s="384"/>
      <c r="AA30" s="268"/>
      <c r="AB30" s="268"/>
      <c r="AC30" s="268"/>
      <c r="AD30" s="268"/>
      <c r="AE30" s="268"/>
      <c r="AF30" s="268"/>
      <c r="AG30" s="268"/>
      <c r="AH30" s="268"/>
      <c r="AI30" s="385"/>
      <c r="AJ30" s="363"/>
      <c r="AK30" s="364"/>
      <c r="AL30" s="364"/>
      <c r="AM30" s="364"/>
      <c r="AN30" s="365"/>
      <c r="AO30" s="363"/>
      <c r="AP30" s="364"/>
      <c r="AQ30" s="364"/>
      <c r="AR30" s="364"/>
      <c r="AS30" s="365"/>
      <c r="AT30" s="363"/>
      <c r="AU30" s="364"/>
      <c r="AV30" s="364"/>
      <c r="AW30" s="364"/>
      <c r="AX30" s="365"/>
      <c r="AY30" s="363"/>
      <c r="AZ30" s="364"/>
      <c r="BA30" s="364"/>
      <c r="BB30" s="364"/>
      <c r="BC30" s="365"/>
      <c r="BD30" s="363"/>
      <c r="BE30" s="364"/>
      <c r="BF30" s="364"/>
      <c r="BG30" s="364"/>
      <c r="BH30" s="365"/>
      <c r="BI30" s="363"/>
      <c r="BJ30" s="364"/>
      <c r="BK30" s="364"/>
      <c r="BL30" s="364"/>
      <c r="BM30" s="364"/>
      <c r="BN30" s="399"/>
      <c r="BO30" s="399"/>
      <c r="BP30" s="399"/>
      <c r="BQ30" s="399"/>
      <c r="BR30" s="401"/>
      <c r="BS30" s="354">
        <v>1</v>
      </c>
      <c r="BT30" s="259"/>
      <c r="BU30" s="259"/>
      <c r="BV30" s="259"/>
      <c r="BW30" s="259"/>
      <c r="BX30" s="259">
        <v>2</v>
      </c>
      <c r="BY30" s="259"/>
      <c r="BZ30" s="259"/>
      <c r="CA30" s="259"/>
      <c r="CB30" s="259"/>
      <c r="CC30" s="259">
        <v>3</v>
      </c>
      <c r="CD30" s="259"/>
      <c r="CE30" s="259"/>
      <c r="CF30" s="259"/>
      <c r="CG30" s="259"/>
      <c r="CH30" s="259">
        <v>4</v>
      </c>
      <c r="CI30" s="259"/>
      <c r="CJ30" s="259"/>
      <c r="CK30" s="259"/>
      <c r="CL30" s="259"/>
      <c r="CM30" s="259">
        <v>5</v>
      </c>
      <c r="CN30" s="259"/>
      <c r="CO30" s="259"/>
      <c r="CP30" s="259"/>
      <c r="CQ30" s="259"/>
      <c r="CR30" s="259">
        <v>6</v>
      </c>
      <c r="CS30" s="259"/>
      <c r="CT30" s="259"/>
      <c r="CU30" s="259"/>
      <c r="CV30" s="358"/>
      <c r="CW30" s="354">
        <v>1</v>
      </c>
      <c r="CX30" s="259"/>
      <c r="CY30" s="259"/>
      <c r="CZ30" s="259"/>
      <c r="DA30" s="259"/>
      <c r="DB30" s="259">
        <v>2</v>
      </c>
      <c r="DC30" s="259"/>
      <c r="DD30" s="259"/>
      <c r="DE30" s="259"/>
      <c r="DF30" s="259"/>
      <c r="DG30" s="259">
        <v>3</v>
      </c>
      <c r="DH30" s="259"/>
      <c r="DI30" s="259"/>
      <c r="DJ30" s="259"/>
      <c r="DK30" s="259"/>
      <c r="DL30" s="259">
        <v>4</v>
      </c>
      <c r="DM30" s="259"/>
      <c r="DN30" s="259"/>
      <c r="DO30" s="259"/>
      <c r="DP30" s="259"/>
      <c r="DQ30" s="259">
        <v>5</v>
      </c>
      <c r="DR30" s="259"/>
      <c r="DS30" s="259"/>
      <c r="DT30" s="259"/>
      <c r="DU30" s="259"/>
      <c r="DV30" s="259">
        <v>6</v>
      </c>
      <c r="DW30" s="259"/>
      <c r="DX30" s="259"/>
      <c r="DY30" s="259"/>
      <c r="DZ30" s="358"/>
      <c r="EA30" s="398"/>
      <c r="EB30" s="399"/>
      <c r="EC30" s="400"/>
      <c r="ED30" s="400"/>
      <c r="EE30" s="401"/>
    </row>
    <row r="31" spans="1:209" s="33" customFormat="1" ht="99.95" customHeight="1" x14ac:dyDescent="0.45">
      <c r="A31" s="412"/>
      <c r="B31" s="415"/>
      <c r="C31" s="387"/>
      <c r="D31" s="387"/>
      <c r="E31" s="387"/>
      <c r="F31" s="387"/>
      <c r="G31" s="387"/>
      <c r="H31" s="387"/>
      <c r="I31" s="387"/>
      <c r="J31" s="387"/>
      <c r="K31" s="387"/>
      <c r="L31" s="387"/>
      <c r="M31" s="387"/>
      <c r="N31" s="387"/>
      <c r="O31" s="387"/>
      <c r="P31" s="387"/>
      <c r="Q31" s="387"/>
      <c r="R31" s="387"/>
      <c r="S31" s="387"/>
      <c r="T31" s="387"/>
      <c r="U31" s="387"/>
      <c r="V31" s="387"/>
      <c r="W31" s="387"/>
      <c r="X31" s="387"/>
      <c r="Y31" s="387"/>
      <c r="Z31" s="384"/>
      <c r="AA31" s="268"/>
      <c r="AB31" s="268"/>
      <c r="AC31" s="268"/>
      <c r="AD31" s="268"/>
      <c r="AE31" s="268"/>
      <c r="AF31" s="268"/>
      <c r="AG31" s="268"/>
      <c r="AH31" s="268"/>
      <c r="AI31" s="385"/>
      <c r="AJ31" s="363"/>
      <c r="AK31" s="364"/>
      <c r="AL31" s="364"/>
      <c r="AM31" s="364"/>
      <c r="AN31" s="365"/>
      <c r="AO31" s="363"/>
      <c r="AP31" s="364"/>
      <c r="AQ31" s="364"/>
      <c r="AR31" s="364"/>
      <c r="AS31" s="365"/>
      <c r="AT31" s="363"/>
      <c r="AU31" s="364"/>
      <c r="AV31" s="364"/>
      <c r="AW31" s="364"/>
      <c r="AX31" s="365"/>
      <c r="AY31" s="363"/>
      <c r="AZ31" s="364"/>
      <c r="BA31" s="364"/>
      <c r="BB31" s="364"/>
      <c r="BC31" s="365"/>
      <c r="BD31" s="363"/>
      <c r="BE31" s="364"/>
      <c r="BF31" s="364"/>
      <c r="BG31" s="364"/>
      <c r="BH31" s="365"/>
      <c r="BI31" s="363"/>
      <c r="BJ31" s="364"/>
      <c r="BK31" s="364"/>
      <c r="BL31" s="364"/>
      <c r="BM31" s="364"/>
      <c r="BN31" s="399"/>
      <c r="BO31" s="399"/>
      <c r="BP31" s="399"/>
      <c r="BQ31" s="399"/>
      <c r="BR31" s="401"/>
      <c r="BS31" s="350" t="s">
        <v>248</v>
      </c>
      <c r="BT31" s="263"/>
      <c r="BU31" s="263"/>
      <c r="BV31" s="263"/>
      <c r="BW31" s="263"/>
      <c r="BX31" s="263"/>
      <c r="BY31" s="263"/>
      <c r="BZ31" s="263"/>
      <c r="CA31" s="263"/>
      <c r="CB31" s="263"/>
      <c r="CC31" s="263"/>
      <c r="CD31" s="263"/>
      <c r="CE31" s="263"/>
      <c r="CF31" s="263"/>
      <c r="CG31" s="263"/>
      <c r="CH31" s="263"/>
      <c r="CI31" s="263"/>
      <c r="CJ31" s="263"/>
      <c r="CK31" s="263"/>
      <c r="CL31" s="263"/>
      <c r="CM31" s="263"/>
      <c r="CN31" s="263"/>
      <c r="CO31" s="263"/>
      <c r="CP31" s="263"/>
      <c r="CQ31" s="263"/>
      <c r="CR31" s="263"/>
      <c r="CS31" s="263"/>
      <c r="CT31" s="263"/>
      <c r="CU31" s="263"/>
      <c r="CV31" s="278"/>
      <c r="CW31" s="354" t="s">
        <v>33</v>
      </c>
      <c r="CX31" s="259"/>
      <c r="CY31" s="259"/>
      <c r="CZ31" s="259"/>
      <c r="DA31" s="259"/>
      <c r="DB31" s="259"/>
      <c r="DC31" s="259"/>
      <c r="DD31" s="259"/>
      <c r="DE31" s="259"/>
      <c r="DF31" s="259"/>
      <c r="DG31" s="259"/>
      <c r="DH31" s="259"/>
      <c r="DI31" s="259"/>
      <c r="DJ31" s="259"/>
      <c r="DK31" s="259"/>
      <c r="DL31" s="259"/>
      <c r="DM31" s="259"/>
      <c r="DN31" s="259"/>
      <c r="DO31" s="259"/>
      <c r="DP31" s="259"/>
      <c r="DQ31" s="259"/>
      <c r="DR31" s="259"/>
      <c r="DS31" s="259"/>
      <c r="DT31" s="259"/>
      <c r="DU31" s="259"/>
      <c r="DV31" s="259"/>
      <c r="DW31" s="259"/>
      <c r="DX31" s="259"/>
      <c r="DY31" s="259"/>
      <c r="DZ31" s="358"/>
      <c r="EA31" s="398"/>
      <c r="EB31" s="399"/>
      <c r="EC31" s="400"/>
      <c r="ED31" s="400"/>
      <c r="EE31" s="401"/>
    </row>
    <row r="32" spans="1:209" s="33" customFormat="1" ht="60" customHeight="1" thickBot="1" x14ac:dyDescent="0.5">
      <c r="A32" s="413"/>
      <c r="B32" s="416"/>
      <c r="C32" s="387"/>
      <c r="D32" s="387"/>
      <c r="E32" s="387"/>
      <c r="F32" s="387"/>
      <c r="G32" s="387"/>
      <c r="H32" s="387"/>
      <c r="I32" s="387"/>
      <c r="J32" s="387"/>
      <c r="K32" s="387"/>
      <c r="L32" s="387"/>
      <c r="M32" s="387"/>
      <c r="N32" s="387"/>
      <c r="O32" s="387"/>
      <c r="P32" s="387"/>
      <c r="Q32" s="387"/>
      <c r="R32" s="387"/>
      <c r="S32" s="387"/>
      <c r="T32" s="387"/>
      <c r="U32" s="387"/>
      <c r="V32" s="387"/>
      <c r="W32" s="387"/>
      <c r="X32" s="387"/>
      <c r="Y32" s="387"/>
      <c r="Z32" s="259" t="s">
        <v>66</v>
      </c>
      <c r="AA32" s="259"/>
      <c r="AB32" s="259"/>
      <c r="AC32" s="259"/>
      <c r="AD32" s="259"/>
      <c r="AE32" s="259" t="s">
        <v>67</v>
      </c>
      <c r="AF32" s="259"/>
      <c r="AG32" s="259"/>
      <c r="AH32" s="259"/>
      <c r="AI32" s="259"/>
      <c r="AJ32" s="366"/>
      <c r="AK32" s="367"/>
      <c r="AL32" s="367"/>
      <c r="AM32" s="367"/>
      <c r="AN32" s="368"/>
      <c r="AO32" s="366"/>
      <c r="AP32" s="367"/>
      <c r="AQ32" s="367"/>
      <c r="AR32" s="367"/>
      <c r="AS32" s="368"/>
      <c r="AT32" s="366"/>
      <c r="AU32" s="367"/>
      <c r="AV32" s="367"/>
      <c r="AW32" s="367"/>
      <c r="AX32" s="368"/>
      <c r="AY32" s="366"/>
      <c r="AZ32" s="367"/>
      <c r="BA32" s="367"/>
      <c r="BB32" s="367"/>
      <c r="BC32" s="368"/>
      <c r="BD32" s="366"/>
      <c r="BE32" s="367"/>
      <c r="BF32" s="367"/>
      <c r="BG32" s="367"/>
      <c r="BH32" s="368"/>
      <c r="BI32" s="366"/>
      <c r="BJ32" s="367"/>
      <c r="BK32" s="367"/>
      <c r="BL32" s="367"/>
      <c r="BM32" s="367"/>
      <c r="BN32" s="399"/>
      <c r="BO32" s="399"/>
      <c r="BP32" s="399"/>
      <c r="BQ32" s="399"/>
      <c r="BR32" s="401"/>
      <c r="BS32" s="354">
        <v>15</v>
      </c>
      <c r="BT32" s="259"/>
      <c r="BU32" s="259"/>
      <c r="BV32" s="259"/>
      <c r="BW32" s="259"/>
      <c r="BX32" s="259">
        <v>15</v>
      </c>
      <c r="BY32" s="259"/>
      <c r="BZ32" s="259"/>
      <c r="CA32" s="259"/>
      <c r="CB32" s="259"/>
      <c r="CC32" s="259">
        <v>15</v>
      </c>
      <c r="CD32" s="259"/>
      <c r="CE32" s="259"/>
      <c r="CF32" s="259"/>
      <c r="CG32" s="259"/>
      <c r="CH32" s="259">
        <v>15</v>
      </c>
      <c r="CI32" s="259"/>
      <c r="CJ32" s="259"/>
      <c r="CK32" s="259"/>
      <c r="CL32" s="259"/>
      <c r="CM32" s="259">
        <v>15</v>
      </c>
      <c r="CN32" s="259"/>
      <c r="CO32" s="259"/>
      <c r="CP32" s="259"/>
      <c r="CQ32" s="259"/>
      <c r="CR32" s="259">
        <v>12</v>
      </c>
      <c r="CS32" s="259"/>
      <c r="CT32" s="259"/>
      <c r="CU32" s="259"/>
      <c r="CV32" s="358"/>
      <c r="CW32" s="354">
        <f>CW76</f>
        <v>30</v>
      </c>
      <c r="CX32" s="259"/>
      <c r="CY32" s="259"/>
      <c r="CZ32" s="259"/>
      <c r="DA32" s="259"/>
      <c r="DB32" s="405">
        <f t="shared" ref="DB32" si="0">DB76</f>
        <v>30</v>
      </c>
      <c r="DC32" s="259"/>
      <c r="DD32" s="259"/>
      <c r="DE32" s="259"/>
      <c r="DF32" s="259"/>
      <c r="DG32" s="405">
        <f t="shared" ref="DG32" si="1">DG76</f>
        <v>30</v>
      </c>
      <c r="DH32" s="259"/>
      <c r="DI32" s="259"/>
      <c r="DJ32" s="259"/>
      <c r="DK32" s="259"/>
      <c r="DL32" s="405">
        <f t="shared" ref="DL32" si="2">DL76</f>
        <v>30</v>
      </c>
      <c r="DM32" s="259"/>
      <c r="DN32" s="259"/>
      <c r="DO32" s="259"/>
      <c r="DP32" s="259"/>
      <c r="DQ32" s="405">
        <f t="shared" ref="DQ32" si="3">DQ76</f>
        <v>30</v>
      </c>
      <c r="DR32" s="259"/>
      <c r="DS32" s="259"/>
      <c r="DT32" s="259"/>
      <c r="DU32" s="259"/>
      <c r="DV32" s="405">
        <f t="shared" ref="DV32" si="4">DV76</f>
        <v>30</v>
      </c>
      <c r="DW32" s="259"/>
      <c r="DX32" s="259"/>
      <c r="DY32" s="259"/>
      <c r="DZ32" s="358"/>
      <c r="EA32" s="406">
        <f>SUM(CW32:DZ32)</f>
        <v>180</v>
      </c>
      <c r="EB32" s="407"/>
      <c r="EC32" s="408"/>
      <c r="ED32" s="408"/>
      <c r="EE32" s="358"/>
    </row>
    <row r="33" spans="1:144" s="34" customFormat="1" ht="60" customHeight="1" x14ac:dyDescent="0.2">
      <c r="A33" s="228">
        <v>1</v>
      </c>
      <c r="B33" s="227"/>
      <c r="C33" s="377">
        <v>2</v>
      </c>
      <c r="D33" s="378"/>
      <c r="E33" s="378"/>
      <c r="F33" s="378"/>
      <c r="G33" s="378"/>
      <c r="H33" s="378"/>
      <c r="I33" s="378"/>
      <c r="J33" s="378"/>
      <c r="K33" s="378"/>
      <c r="L33" s="378"/>
      <c r="M33" s="378"/>
      <c r="N33" s="378"/>
      <c r="O33" s="378"/>
      <c r="P33" s="378"/>
      <c r="Q33" s="378"/>
      <c r="R33" s="378"/>
      <c r="S33" s="378"/>
      <c r="T33" s="378"/>
      <c r="U33" s="378"/>
      <c r="V33" s="378"/>
      <c r="W33" s="378"/>
      <c r="X33" s="378"/>
      <c r="Y33" s="379"/>
      <c r="Z33" s="380">
        <v>3</v>
      </c>
      <c r="AA33" s="380"/>
      <c r="AB33" s="380"/>
      <c r="AC33" s="380"/>
      <c r="AD33" s="380"/>
      <c r="AE33" s="369">
        <v>4</v>
      </c>
      <c r="AF33" s="370"/>
      <c r="AG33" s="370"/>
      <c r="AH33" s="370"/>
      <c r="AI33" s="371"/>
      <c r="AJ33" s="369">
        <v>5</v>
      </c>
      <c r="AK33" s="370"/>
      <c r="AL33" s="370"/>
      <c r="AM33" s="370"/>
      <c r="AN33" s="371"/>
      <c r="AO33" s="369">
        <v>6</v>
      </c>
      <c r="AP33" s="370"/>
      <c r="AQ33" s="370"/>
      <c r="AR33" s="370"/>
      <c r="AS33" s="371"/>
      <c r="AT33" s="369">
        <v>7</v>
      </c>
      <c r="AU33" s="370"/>
      <c r="AV33" s="370"/>
      <c r="AW33" s="370"/>
      <c r="AX33" s="371"/>
      <c r="AY33" s="369">
        <v>8</v>
      </c>
      <c r="AZ33" s="370"/>
      <c r="BA33" s="370"/>
      <c r="BB33" s="370"/>
      <c r="BC33" s="371"/>
      <c r="BD33" s="369">
        <v>9</v>
      </c>
      <c r="BE33" s="370"/>
      <c r="BF33" s="370"/>
      <c r="BG33" s="370"/>
      <c r="BH33" s="371"/>
      <c r="BI33" s="369">
        <v>10</v>
      </c>
      <c r="BJ33" s="370"/>
      <c r="BK33" s="370"/>
      <c r="BL33" s="370"/>
      <c r="BM33" s="371"/>
      <c r="BN33" s="372">
        <v>11</v>
      </c>
      <c r="BO33" s="373"/>
      <c r="BP33" s="373"/>
      <c r="BQ33" s="373"/>
      <c r="BR33" s="374"/>
      <c r="BS33" s="356">
        <v>12</v>
      </c>
      <c r="BT33" s="357"/>
      <c r="BU33" s="357"/>
      <c r="BV33" s="357"/>
      <c r="BW33" s="357"/>
      <c r="BX33" s="357">
        <v>13</v>
      </c>
      <c r="BY33" s="357"/>
      <c r="BZ33" s="357"/>
      <c r="CA33" s="357"/>
      <c r="CB33" s="357"/>
      <c r="CC33" s="357">
        <v>14</v>
      </c>
      <c r="CD33" s="357"/>
      <c r="CE33" s="357"/>
      <c r="CF33" s="357"/>
      <c r="CG33" s="357"/>
      <c r="CH33" s="357">
        <v>15</v>
      </c>
      <c r="CI33" s="357"/>
      <c r="CJ33" s="357"/>
      <c r="CK33" s="357"/>
      <c r="CL33" s="357"/>
      <c r="CM33" s="357">
        <v>16</v>
      </c>
      <c r="CN33" s="357"/>
      <c r="CO33" s="357"/>
      <c r="CP33" s="357"/>
      <c r="CQ33" s="357"/>
      <c r="CR33" s="357">
        <v>17</v>
      </c>
      <c r="CS33" s="357"/>
      <c r="CT33" s="357"/>
      <c r="CU33" s="357"/>
      <c r="CV33" s="359"/>
      <c r="CW33" s="356">
        <v>18</v>
      </c>
      <c r="CX33" s="357"/>
      <c r="CY33" s="357"/>
      <c r="CZ33" s="357"/>
      <c r="DA33" s="357"/>
      <c r="DB33" s="357">
        <v>19</v>
      </c>
      <c r="DC33" s="357"/>
      <c r="DD33" s="357"/>
      <c r="DE33" s="357"/>
      <c r="DF33" s="357"/>
      <c r="DG33" s="357">
        <v>20</v>
      </c>
      <c r="DH33" s="357"/>
      <c r="DI33" s="357"/>
      <c r="DJ33" s="357"/>
      <c r="DK33" s="357"/>
      <c r="DL33" s="357">
        <v>21</v>
      </c>
      <c r="DM33" s="357"/>
      <c r="DN33" s="357"/>
      <c r="DO33" s="357"/>
      <c r="DP33" s="357"/>
      <c r="DQ33" s="357">
        <v>22</v>
      </c>
      <c r="DR33" s="357"/>
      <c r="DS33" s="357"/>
      <c r="DT33" s="357"/>
      <c r="DU33" s="357"/>
      <c r="DV33" s="357">
        <v>23</v>
      </c>
      <c r="DW33" s="357"/>
      <c r="DX33" s="357"/>
      <c r="DY33" s="357"/>
      <c r="DZ33" s="359"/>
      <c r="EA33" s="402">
        <v>24</v>
      </c>
      <c r="EB33" s="380"/>
      <c r="EC33" s="369"/>
      <c r="ED33" s="369"/>
      <c r="EE33" s="359"/>
      <c r="EI33" s="264" t="s">
        <v>240</v>
      </c>
      <c r="EJ33" s="265"/>
      <c r="EK33" s="265"/>
      <c r="EL33" s="266"/>
    </row>
    <row r="34" spans="1:144" s="35" customFormat="1" ht="69.95" customHeight="1" x14ac:dyDescent="0.2">
      <c r="A34" s="230" t="s">
        <v>76</v>
      </c>
      <c r="B34" s="229"/>
      <c r="C34" s="375" t="s">
        <v>35</v>
      </c>
      <c r="D34" s="375"/>
      <c r="E34" s="375"/>
      <c r="F34" s="375"/>
      <c r="G34" s="375"/>
      <c r="H34" s="375"/>
      <c r="I34" s="375"/>
      <c r="J34" s="375"/>
      <c r="K34" s="375"/>
      <c r="L34" s="375"/>
      <c r="M34" s="375"/>
      <c r="N34" s="375"/>
      <c r="O34" s="375"/>
      <c r="P34" s="375"/>
      <c r="Q34" s="375"/>
      <c r="R34" s="375"/>
      <c r="S34" s="375"/>
      <c r="T34" s="375"/>
      <c r="U34" s="375"/>
      <c r="V34" s="375"/>
      <c r="W34" s="375"/>
      <c r="X34" s="375"/>
      <c r="Y34" s="375"/>
      <c r="Z34" s="376">
        <f>SUM(Z35:AD52)</f>
        <v>3210</v>
      </c>
      <c r="AA34" s="376"/>
      <c r="AB34" s="376"/>
      <c r="AC34" s="376"/>
      <c r="AD34" s="376"/>
      <c r="AE34" s="322">
        <f>Z34/$Z$76*100</f>
        <v>59.444444444444443</v>
      </c>
      <c r="AF34" s="322"/>
      <c r="AG34" s="322"/>
      <c r="AH34" s="322"/>
      <c r="AI34" s="322"/>
      <c r="AJ34" s="343">
        <f>SUM(AJ35:AN52)</f>
        <v>1284</v>
      </c>
      <c r="AK34" s="344"/>
      <c r="AL34" s="344"/>
      <c r="AM34" s="344"/>
      <c r="AN34" s="345"/>
      <c r="AO34" s="343">
        <f>SUM(AO35:AS52)</f>
        <v>652</v>
      </c>
      <c r="AP34" s="344"/>
      <c r="AQ34" s="344"/>
      <c r="AR34" s="344"/>
      <c r="AS34" s="345"/>
      <c r="AT34" s="343">
        <f>SUM(AT35:AX52)</f>
        <v>378</v>
      </c>
      <c r="AU34" s="344"/>
      <c r="AV34" s="344"/>
      <c r="AW34" s="344"/>
      <c r="AX34" s="345"/>
      <c r="AY34" s="343">
        <f>SUM(AY35:BC52)</f>
        <v>254</v>
      </c>
      <c r="AZ34" s="344"/>
      <c r="BA34" s="344"/>
      <c r="BB34" s="344"/>
      <c r="BC34" s="345"/>
      <c r="BD34" s="343">
        <f>SUM(BD35:BH52)</f>
        <v>0</v>
      </c>
      <c r="BE34" s="344"/>
      <c r="BF34" s="344"/>
      <c r="BG34" s="344"/>
      <c r="BH34" s="345"/>
      <c r="BI34" s="343">
        <f>SUM(BI35:BM52)</f>
        <v>0</v>
      </c>
      <c r="BJ34" s="344"/>
      <c r="BK34" s="344"/>
      <c r="BL34" s="344"/>
      <c r="BM34" s="345"/>
      <c r="BN34" s="376">
        <f>SUM(BN35:BR52)</f>
        <v>1926</v>
      </c>
      <c r="BO34" s="376"/>
      <c r="BP34" s="376"/>
      <c r="BQ34" s="376"/>
      <c r="BR34" s="393"/>
      <c r="BS34" s="339">
        <f>SUM(BS35:BW52)</f>
        <v>25</v>
      </c>
      <c r="BT34" s="289"/>
      <c r="BU34" s="289"/>
      <c r="BV34" s="289"/>
      <c r="BW34" s="289"/>
      <c r="BX34" s="289">
        <f>SUM(BX35:CB52)</f>
        <v>20</v>
      </c>
      <c r="BY34" s="289"/>
      <c r="BZ34" s="289"/>
      <c r="CA34" s="289"/>
      <c r="CB34" s="289"/>
      <c r="CC34" s="289">
        <f>SUM(CC35:CG52)</f>
        <v>13</v>
      </c>
      <c r="CD34" s="289"/>
      <c r="CE34" s="289"/>
      <c r="CF34" s="289"/>
      <c r="CG34" s="289"/>
      <c r="CH34" s="289">
        <f>SUM(CH35:CL52)</f>
        <v>12</v>
      </c>
      <c r="CI34" s="289"/>
      <c r="CJ34" s="289"/>
      <c r="CK34" s="289"/>
      <c r="CL34" s="289"/>
      <c r="CM34" s="289">
        <f>SUM(CM35:CQ52)</f>
        <v>7</v>
      </c>
      <c r="CN34" s="289"/>
      <c r="CO34" s="289"/>
      <c r="CP34" s="289"/>
      <c r="CQ34" s="289"/>
      <c r="CR34" s="289">
        <f>SUM(CR35:CV52)</f>
        <v>9</v>
      </c>
      <c r="CS34" s="289"/>
      <c r="CT34" s="289"/>
      <c r="CU34" s="289"/>
      <c r="CV34" s="392"/>
      <c r="CW34" s="339">
        <f>SUM(CW35:DA52)</f>
        <v>30</v>
      </c>
      <c r="CX34" s="289"/>
      <c r="CY34" s="289"/>
      <c r="CZ34" s="289"/>
      <c r="DA34" s="289"/>
      <c r="DB34" s="289">
        <f>SUM(DB35:DF52)</f>
        <v>26</v>
      </c>
      <c r="DC34" s="289"/>
      <c r="DD34" s="289"/>
      <c r="DE34" s="289"/>
      <c r="DF34" s="289"/>
      <c r="DG34" s="289">
        <f>SUM(DG35:DK52)</f>
        <v>17</v>
      </c>
      <c r="DH34" s="289"/>
      <c r="DI34" s="289"/>
      <c r="DJ34" s="289"/>
      <c r="DK34" s="289"/>
      <c r="DL34" s="289">
        <f>SUM(DL35:DP52)</f>
        <v>16</v>
      </c>
      <c r="DM34" s="289"/>
      <c r="DN34" s="289"/>
      <c r="DO34" s="289"/>
      <c r="DP34" s="289"/>
      <c r="DQ34" s="289">
        <f>SUM(DQ35:DU52)</f>
        <v>9</v>
      </c>
      <c r="DR34" s="289"/>
      <c r="DS34" s="289"/>
      <c r="DT34" s="289"/>
      <c r="DU34" s="289"/>
      <c r="DV34" s="289">
        <f>SUM(DV35:DZ52)</f>
        <v>9</v>
      </c>
      <c r="DW34" s="289"/>
      <c r="DX34" s="289"/>
      <c r="DY34" s="289"/>
      <c r="DZ34" s="392"/>
      <c r="EA34" s="403">
        <f>SUM(EA35:EE52)</f>
        <v>107</v>
      </c>
      <c r="EB34" s="291"/>
      <c r="EC34" s="325"/>
      <c r="ED34" s="325"/>
      <c r="EE34" s="404"/>
      <c r="EI34" s="267"/>
      <c r="EJ34" s="268"/>
      <c r="EK34" s="268"/>
      <c r="EL34" s="269"/>
    </row>
    <row r="35" spans="1:144" s="36" customFormat="1" ht="80.099999999999994" customHeight="1" x14ac:dyDescent="0.2">
      <c r="A35" s="145" t="s">
        <v>77</v>
      </c>
      <c r="B35" s="149" t="s">
        <v>109</v>
      </c>
      <c r="C35" s="391" t="s">
        <v>70</v>
      </c>
      <c r="D35" s="391"/>
      <c r="E35" s="391"/>
      <c r="F35" s="391"/>
      <c r="G35" s="391"/>
      <c r="H35" s="391"/>
      <c r="I35" s="391"/>
      <c r="J35" s="391"/>
      <c r="K35" s="391"/>
      <c r="L35" s="391"/>
      <c r="M35" s="391"/>
      <c r="N35" s="391"/>
      <c r="O35" s="391"/>
      <c r="P35" s="391"/>
      <c r="Q35" s="391"/>
      <c r="R35" s="391"/>
      <c r="S35" s="391"/>
      <c r="T35" s="391"/>
      <c r="U35" s="391"/>
      <c r="V35" s="391"/>
      <c r="W35" s="391"/>
      <c r="X35" s="391"/>
      <c r="Y35" s="391"/>
      <c r="Z35" s="259">
        <f>EA35*30</f>
        <v>300</v>
      </c>
      <c r="AA35" s="259"/>
      <c r="AB35" s="259"/>
      <c r="AC35" s="259"/>
      <c r="AD35" s="259"/>
      <c r="AE35" s="277"/>
      <c r="AF35" s="277"/>
      <c r="AG35" s="277"/>
      <c r="AH35" s="277"/>
      <c r="AI35" s="277"/>
      <c r="AJ35" s="284">
        <f>SUM(AO35:BH35)</f>
        <v>120</v>
      </c>
      <c r="AK35" s="284"/>
      <c r="AL35" s="284"/>
      <c r="AM35" s="284"/>
      <c r="AN35" s="284"/>
      <c r="AO35" s="284">
        <v>80</v>
      </c>
      <c r="AP35" s="284"/>
      <c r="AQ35" s="284"/>
      <c r="AR35" s="284"/>
      <c r="AS35" s="284"/>
      <c r="AT35" s="284"/>
      <c r="AU35" s="284"/>
      <c r="AV35" s="284"/>
      <c r="AW35" s="284"/>
      <c r="AX35" s="284"/>
      <c r="AY35" s="284">
        <v>40</v>
      </c>
      <c r="AZ35" s="284"/>
      <c r="BA35" s="284"/>
      <c r="BB35" s="284"/>
      <c r="BC35" s="284"/>
      <c r="BD35" s="340"/>
      <c r="BE35" s="340"/>
      <c r="BF35" s="340"/>
      <c r="BG35" s="340"/>
      <c r="BH35" s="340"/>
      <c r="BI35" s="340"/>
      <c r="BJ35" s="340"/>
      <c r="BK35" s="340"/>
      <c r="BL35" s="340"/>
      <c r="BM35" s="340"/>
      <c r="BN35" s="409">
        <f>Z35-AJ35</f>
        <v>180</v>
      </c>
      <c r="BO35" s="409"/>
      <c r="BP35" s="409"/>
      <c r="BQ35" s="409"/>
      <c r="BR35" s="410"/>
      <c r="BS35" s="313">
        <v>5</v>
      </c>
      <c r="BT35" s="275"/>
      <c r="BU35" s="275"/>
      <c r="BV35" s="275"/>
      <c r="BW35" s="275"/>
      <c r="BX35" s="275">
        <v>3</v>
      </c>
      <c r="BY35" s="275"/>
      <c r="BZ35" s="275"/>
      <c r="CA35" s="275"/>
      <c r="CB35" s="275"/>
      <c r="CC35" s="275"/>
      <c r="CD35" s="275"/>
      <c r="CE35" s="275"/>
      <c r="CF35" s="275"/>
      <c r="CG35" s="275"/>
      <c r="CH35" s="275"/>
      <c r="CI35" s="275"/>
      <c r="CJ35" s="275"/>
      <c r="CK35" s="275"/>
      <c r="CL35" s="275"/>
      <c r="CM35" s="275"/>
      <c r="CN35" s="275"/>
      <c r="CO35" s="275"/>
      <c r="CP35" s="275"/>
      <c r="CQ35" s="275"/>
      <c r="CR35" s="275"/>
      <c r="CS35" s="275"/>
      <c r="CT35" s="275"/>
      <c r="CU35" s="275"/>
      <c r="CV35" s="276"/>
      <c r="CW35" s="313">
        <v>6</v>
      </c>
      <c r="CX35" s="275"/>
      <c r="CY35" s="275"/>
      <c r="CZ35" s="275"/>
      <c r="DA35" s="275"/>
      <c r="DB35" s="275">
        <v>4</v>
      </c>
      <c r="DC35" s="275"/>
      <c r="DD35" s="275"/>
      <c r="DE35" s="275"/>
      <c r="DF35" s="275"/>
      <c r="DG35" s="275"/>
      <c r="DH35" s="275"/>
      <c r="DI35" s="275"/>
      <c r="DJ35" s="275"/>
      <c r="DK35" s="275"/>
      <c r="DL35" s="275"/>
      <c r="DM35" s="275"/>
      <c r="DN35" s="275"/>
      <c r="DO35" s="275"/>
      <c r="DP35" s="275"/>
      <c r="DQ35" s="275"/>
      <c r="DR35" s="275"/>
      <c r="DS35" s="275"/>
      <c r="DT35" s="275"/>
      <c r="DU35" s="275"/>
      <c r="DV35" s="275"/>
      <c r="DW35" s="275"/>
      <c r="DX35" s="275"/>
      <c r="DY35" s="275"/>
      <c r="DZ35" s="276"/>
      <c r="EA35" s="406">
        <f>SUM(CW35:DZ35)</f>
        <v>10</v>
      </c>
      <c r="EB35" s="407"/>
      <c r="EC35" s="408"/>
      <c r="ED35" s="408"/>
      <c r="EE35" s="358"/>
      <c r="EI35" s="170">
        <v>10</v>
      </c>
      <c r="EJ35" s="171"/>
      <c r="EK35" s="171"/>
      <c r="EL35" s="172"/>
    </row>
    <row r="36" spans="1:144" s="36" customFormat="1" ht="80.099999999999994" customHeight="1" x14ac:dyDescent="0.2">
      <c r="A36" s="145" t="s">
        <v>78</v>
      </c>
      <c r="B36" s="149" t="s">
        <v>68</v>
      </c>
      <c r="C36" s="391" t="s">
        <v>69</v>
      </c>
      <c r="D36" s="391"/>
      <c r="E36" s="391"/>
      <c r="F36" s="391"/>
      <c r="G36" s="391"/>
      <c r="H36" s="391"/>
      <c r="I36" s="391"/>
      <c r="J36" s="391"/>
      <c r="K36" s="391"/>
      <c r="L36" s="391"/>
      <c r="M36" s="391"/>
      <c r="N36" s="391"/>
      <c r="O36" s="391"/>
      <c r="P36" s="391"/>
      <c r="Q36" s="391"/>
      <c r="R36" s="391"/>
      <c r="S36" s="391"/>
      <c r="T36" s="391"/>
      <c r="U36" s="391"/>
      <c r="V36" s="391"/>
      <c r="W36" s="391"/>
      <c r="X36" s="391"/>
      <c r="Y36" s="391"/>
      <c r="Z36" s="259">
        <f t="shared" ref="Z36:Z52" si="5">EA36*30</f>
        <v>120</v>
      </c>
      <c r="AA36" s="259"/>
      <c r="AB36" s="259"/>
      <c r="AC36" s="259"/>
      <c r="AD36" s="259"/>
      <c r="AE36" s="277"/>
      <c r="AF36" s="277"/>
      <c r="AG36" s="277"/>
      <c r="AH36" s="277"/>
      <c r="AI36" s="277"/>
      <c r="AJ36" s="284">
        <f t="shared" ref="AJ36:AJ52" si="6">SUM(AO36:BH36)</f>
        <v>48</v>
      </c>
      <c r="AK36" s="284"/>
      <c r="AL36" s="284"/>
      <c r="AM36" s="284"/>
      <c r="AN36" s="284"/>
      <c r="AO36" s="284">
        <v>32</v>
      </c>
      <c r="AP36" s="284"/>
      <c r="AQ36" s="284"/>
      <c r="AR36" s="284"/>
      <c r="AS36" s="284"/>
      <c r="AT36" s="284"/>
      <c r="AU36" s="284"/>
      <c r="AV36" s="284"/>
      <c r="AW36" s="284"/>
      <c r="AX36" s="284"/>
      <c r="AY36" s="284">
        <v>16</v>
      </c>
      <c r="AZ36" s="284"/>
      <c r="BA36" s="284"/>
      <c r="BB36" s="284"/>
      <c r="BC36" s="284"/>
      <c r="BD36" s="340"/>
      <c r="BE36" s="340"/>
      <c r="BF36" s="340"/>
      <c r="BG36" s="340"/>
      <c r="BH36" s="340"/>
      <c r="BI36" s="340"/>
      <c r="BJ36" s="340"/>
      <c r="BK36" s="340"/>
      <c r="BL36" s="340"/>
      <c r="BM36" s="340"/>
      <c r="BN36" s="285">
        <f t="shared" ref="BN36:BN52" si="7">Z36-AJ36</f>
        <v>72</v>
      </c>
      <c r="BO36" s="286"/>
      <c r="BP36" s="286"/>
      <c r="BQ36" s="286"/>
      <c r="BR36" s="287"/>
      <c r="BS36" s="313"/>
      <c r="BT36" s="275"/>
      <c r="BU36" s="275"/>
      <c r="BV36" s="275"/>
      <c r="BW36" s="275"/>
      <c r="BX36" s="275">
        <v>3</v>
      </c>
      <c r="BY36" s="275"/>
      <c r="BZ36" s="275"/>
      <c r="CA36" s="275"/>
      <c r="CB36" s="275"/>
      <c r="CC36" s="275"/>
      <c r="CD36" s="275"/>
      <c r="CE36" s="275"/>
      <c r="CF36" s="275"/>
      <c r="CG36" s="275"/>
      <c r="CH36" s="275"/>
      <c r="CI36" s="275"/>
      <c r="CJ36" s="275"/>
      <c r="CK36" s="275"/>
      <c r="CL36" s="275"/>
      <c r="CM36" s="275"/>
      <c r="CN36" s="275"/>
      <c r="CO36" s="275"/>
      <c r="CP36" s="275"/>
      <c r="CQ36" s="275"/>
      <c r="CR36" s="275"/>
      <c r="CS36" s="275"/>
      <c r="CT36" s="275"/>
      <c r="CU36" s="275"/>
      <c r="CV36" s="276"/>
      <c r="CW36" s="313"/>
      <c r="CX36" s="275"/>
      <c r="CY36" s="275"/>
      <c r="CZ36" s="275"/>
      <c r="DA36" s="275"/>
      <c r="DB36" s="275">
        <v>4</v>
      </c>
      <c r="DC36" s="275"/>
      <c r="DD36" s="275"/>
      <c r="DE36" s="275"/>
      <c r="DF36" s="275"/>
      <c r="DG36" s="275"/>
      <c r="DH36" s="275"/>
      <c r="DI36" s="275"/>
      <c r="DJ36" s="275"/>
      <c r="DK36" s="275"/>
      <c r="DL36" s="275"/>
      <c r="DM36" s="275"/>
      <c r="DN36" s="275"/>
      <c r="DO36" s="275"/>
      <c r="DP36" s="275"/>
      <c r="DQ36" s="275"/>
      <c r="DR36" s="275"/>
      <c r="DS36" s="275"/>
      <c r="DT36" s="275"/>
      <c r="DU36" s="275"/>
      <c r="DV36" s="275"/>
      <c r="DW36" s="275"/>
      <c r="DX36" s="275"/>
      <c r="DY36" s="275"/>
      <c r="DZ36" s="276"/>
      <c r="EA36" s="406">
        <f t="shared" ref="EA36:EA52" si="8">SUM(CW36:DZ36)</f>
        <v>4</v>
      </c>
      <c r="EB36" s="407"/>
      <c r="EC36" s="408"/>
      <c r="ED36" s="408"/>
      <c r="EE36" s="358"/>
      <c r="EI36" s="170">
        <v>4</v>
      </c>
      <c r="EJ36" s="171"/>
      <c r="EK36" s="171"/>
      <c r="EL36" s="172"/>
    </row>
    <row r="37" spans="1:144" s="36" customFormat="1" ht="80.099999999999994" customHeight="1" x14ac:dyDescent="0.2">
      <c r="A37" s="145" t="s">
        <v>79</v>
      </c>
      <c r="B37" s="149" t="s">
        <v>110</v>
      </c>
      <c r="C37" s="421" t="s">
        <v>36</v>
      </c>
      <c r="D37" s="421"/>
      <c r="E37" s="421"/>
      <c r="F37" s="421"/>
      <c r="G37" s="421"/>
      <c r="H37" s="421"/>
      <c r="I37" s="421"/>
      <c r="J37" s="421"/>
      <c r="K37" s="421"/>
      <c r="L37" s="421"/>
      <c r="M37" s="421"/>
      <c r="N37" s="421"/>
      <c r="O37" s="421"/>
      <c r="P37" s="421"/>
      <c r="Q37" s="421"/>
      <c r="R37" s="421"/>
      <c r="S37" s="421"/>
      <c r="T37" s="421"/>
      <c r="U37" s="421"/>
      <c r="V37" s="421"/>
      <c r="W37" s="421"/>
      <c r="X37" s="421"/>
      <c r="Y37" s="421"/>
      <c r="Z37" s="259">
        <f t="shared" si="5"/>
        <v>150</v>
      </c>
      <c r="AA37" s="259"/>
      <c r="AB37" s="259"/>
      <c r="AC37" s="259"/>
      <c r="AD37" s="259"/>
      <c r="AE37" s="277"/>
      <c r="AF37" s="277"/>
      <c r="AG37" s="277"/>
      <c r="AH37" s="277"/>
      <c r="AI37" s="277"/>
      <c r="AJ37" s="284">
        <f t="shared" si="6"/>
        <v>60</v>
      </c>
      <c r="AK37" s="284"/>
      <c r="AL37" s="284"/>
      <c r="AM37" s="284"/>
      <c r="AN37" s="284"/>
      <c r="AO37" s="284">
        <v>40</v>
      </c>
      <c r="AP37" s="284"/>
      <c r="AQ37" s="284"/>
      <c r="AR37" s="284"/>
      <c r="AS37" s="284"/>
      <c r="AT37" s="284"/>
      <c r="AU37" s="284"/>
      <c r="AV37" s="284"/>
      <c r="AW37" s="284"/>
      <c r="AX37" s="284"/>
      <c r="AY37" s="284">
        <v>20</v>
      </c>
      <c r="AZ37" s="284"/>
      <c r="BA37" s="284"/>
      <c r="BB37" s="284"/>
      <c r="BC37" s="284"/>
      <c r="BD37" s="340"/>
      <c r="BE37" s="340"/>
      <c r="BF37" s="340"/>
      <c r="BG37" s="340"/>
      <c r="BH37" s="340"/>
      <c r="BI37" s="340"/>
      <c r="BJ37" s="340"/>
      <c r="BK37" s="340"/>
      <c r="BL37" s="340"/>
      <c r="BM37" s="340"/>
      <c r="BN37" s="285">
        <f t="shared" si="7"/>
        <v>90</v>
      </c>
      <c r="BO37" s="286"/>
      <c r="BP37" s="286"/>
      <c r="BQ37" s="286"/>
      <c r="BR37" s="287"/>
      <c r="BS37" s="313"/>
      <c r="BT37" s="275"/>
      <c r="BU37" s="275"/>
      <c r="BV37" s="275"/>
      <c r="BW37" s="275"/>
      <c r="BX37" s="275">
        <v>4</v>
      </c>
      <c r="BY37" s="275"/>
      <c r="BZ37" s="275"/>
      <c r="CA37" s="275"/>
      <c r="CB37" s="275"/>
      <c r="CC37" s="275"/>
      <c r="CD37" s="275"/>
      <c r="CE37" s="275"/>
      <c r="CF37" s="275"/>
      <c r="CG37" s="275"/>
      <c r="CH37" s="275"/>
      <c r="CI37" s="275"/>
      <c r="CJ37" s="275"/>
      <c r="CK37" s="275"/>
      <c r="CL37" s="275"/>
      <c r="CM37" s="275"/>
      <c r="CN37" s="275"/>
      <c r="CO37" s="275"/>
      <c r="CP37" s="275"/>
      <c r="CQ37" s="275"/>
      <c r="CR37" s="275"/>
      <c r="CS37" s="275"/>
      <c r="CT37" s="275"/>
      <c r="CU37" s="275"/>
      <c r="CV37" s="276"/>
      <c r="CW37" s="313"/>
      <c r="CX37" s="275"/>
      <c r="CY37" s="275"/>
      <c r="CZ37" s="275"/>
      <c r="DA37" s="275"/>
      <c r="DB37" s="275">
        <v>5</v>
      </c>
      <c r="DC37" s="275"/>
      <c r="DD37" s="275"/>
      <c r="DE37" s="275"/>
      <c r="DF37" s="275"/>
      <c r="DG37" s="275"/>
      <c r="DH37" s="275"/>
      <c r="DI37" s="275"/>
      <c r="DJ37" s="275"/>
      <c r="DK37" s="275"/>
      <c r="DL37" s="275"/>
      <c r="DM37" s="275"/>
      <c r="DN37" s="275"/>
      <c r="DO37" s="275"/>
      <c r="DP37" s="275"/>
      <c r="DQ37" s="275"/>
      <c r="DR37" s="275"/>
      <c r="DS37" s="275"/>
      <c r="DT37" s="275"/>
      <c r="DU37" s="275"/>
      <c r="DV37" s="275"/>
      <c r="DW37" s="275"/>
      <c r="DX37" s="275"/>
      <c r="DY37" s="275"/>
      <c r="DZ37" s="276"/>
      <c r="EA37" s="406">
        <f t="shared" si="8"/>
        <v>5</v>
      </c>
      <c r="EB37" s="407"/>
      <c r="EC37" s="408"/>
      <c r="ED37" s="408"/>
      <c r="EE37" s="358"/>
      <c r="EI37" s="170">
        <v>5</v>
      </c>
      <c r="EJ37" s="171"/>
      <c r="EK37" s="171"/>
      <c r="EL37" s="172"/>
    </row>
    <row r="38" spans="1:144" s="36" customFormat="1" ht="80.099999999999994" customHeight="1" x14ac:dyDescent="0.2">
      <c r="A38" s="145" t="s">
        <v>80</v>
      </c>
      <c r="B38" s="149" t="s">
        <v>113</v>
      </c>
      <c r="C38" s="391" t="s">
        <v>111</v>
      </c>
      <c r="D38" s="391"/>
      <c r="E38" s="391"/>
      <c r="F38" s="391"/>
      <c r="G38" s="391"/>
      <c r="H38" s="391"/>
      <c r="I38" s="391"/>
      <c r="J38" s="391"/>
      <c r="K38" s="391"/>
      <c r="L38" s="391"/>
      <c r="M38" s="391"/>
      <c r="N38" s="391"/>
      <c r="O38" s="391"/>
      <c r="P38" s="391"/>
      <c r="Q38" s="391"/>
      <c r="R38" s="391"/>
      <c r="S38" s="391"/>
      <c r="T38" s="391"/>
      <c r="U38" s="391"/>
      <c r="V38" s="391"/>
      <c r="W38" s="391"/>
      <c r="X38" s="391"/>
      <c r="Y38" s="391"/>
      <c r="Z38" s="259">
        <f t="shared" si="5"/>
        <v>180</v>
      </c>
      <c r="AA38" s="259"/>
      <c r="AB38" s="259"/>
      <c r="AC38" s="259"/>
      <c r="AD38" s="259"/>
      <c r="AE38" s="277"/>
      <c r="AF38" s="277"/>
      <c r="AG38" s="277"/>
      <c r="AH38" s="277"/>
      <c r="AI38" s="277"/>
      <c r="AJ38" s="284">
        <f t="shared" si="6"/>
        <v>72</v>
      </c>
      <c r="AK38" s="284"/>
      <c r="AL38" s="284"/>
      <c r="AM38" s="284"/>
      <c r="AN38" s="284"/>
      <c r="AO38" s="284"/>
      <c r="AP38" s="284"/>
      <c r="AQ38" s="284"/>
      <c r="AR38" s="284"/>
      <c r="AS38" s="284"/>
      <c r="AT38" s="284">
        <v>72</v>
      </c>
      <c r="AU38" s="284"/>
      <c r="AV38" s="284"/>
      <c r="AW38" s="284"/>
      <c r="AX38" s="284"/>
      <c r="AY38" s="284"/>
      <c r="AZ38" s="284"/>
      <c r="BA38" s="284"/>
      <c r="BB38" s="284"/>
      <c r="BC38" s="284"/>
      <c r="BD38" s="340"/>
      <c r="BE38" s="340"/>
      <c r="BF38" s="340"/>
      <c r="BG38" s="340"/>
      <c r="BH38" s="340"/>
      <c r="BI38" s="340"/>
      <c r="BJ38" s="340"/>
      <c r="BK38" s="340"/>
      <c r="BL38" s="340"/>
      <c r="BM38" s="340"/>
      <c r="BN38" s="285">
        <f t="shared" si="7"/>
        <v>108</v>
      </c>
      <c r="BO38" s="286"/>
      <c r="BP38" s="286"/>
      <c r="BQ38" s="286"/>
      <c r="BR38" s="287"/>
      <c r="BS38" s="313">
        <v>5</v>
      </c>
      <c r="BT38" s="275"/>
      <c r="BU38" s="275"/>
      <c r="BV38" s="275"/>
      <c r="BW38" s="275"/>
      <c r="BX38" s="275"/>
      <c r="BY38" s="275"/>
      <c r="BZ38" s="275"/>
      <c r="CA38" s="275"/>
      <c r="CB38" s="275"/>
      <c r="CC38" s="275"/>
      <c r="CD38" s="275"/>
      <c r="CE38" s="275"/>
      <c r="CF38" s="275"/>
      <c r="CG38" s="275"/>
      <c r="CH38" s="275"/>
      <c r="CI38" s="275"/>
      <c r="CJ38" s="275"/>
      <c r="CK38" s="275"/>
      <c r="CL38" s="275"/>
      <c r="CM38" s="275"/>
      <c r="CN38" s="275"/>
      <c r="CO38" s="275"/>
      <c r="CP38" s="275"/>
      <c r="CQ38" s="275"/>
      <c r="CR38" s="275"/>
      <c r="CS38" s="275"/>
      <c r="CT38" s="275"/>
      <c r="CU38" s="275"/>
      <c r="CV38" s="276"/>
      <c r="CW38" s="313">
        <v>6</v>
      </c>
      <c r="CX38" s="275"/>
      <c r="CY38" s="275"/>
      <c r="CZ38" s="275"/>
      <c r="DA38" s="275"/>
      <c r="DB38" s="275"/>
      <c r="DC38" s="275"/>
      <c r="DD38" s="275"/>
      <c r="DE38" s="275"/>
      <c r="DF38" s="275"/>
      <c r="DG38" s="275"/>
      <c r="DH38" s="275"/>
      <c r="DI38" s="275"/>
      <c r="DJ38" s="275"/>
      <c r="DK38" s="275"/>
      <c r="DL38" s="275"/>
      <c r="DM38" s="275"/>
      <c r="DN38" s="275"/>
      <c r="DO38" s="275"/>
      <c r="DP38" s="275"/>
      <c r="DQ38" s="275"/>
      <c r="DR38" s="275"/>
      <c r="DS38" s="275"/>
      <c r="DT38" s="275"/>
      <c r="DU38" s="275"/>
      <c r="DV38" s="275"/>
      <c r="DW38" s="275"/>
      <c r="DX38" s="275"/>
      <c r="DY38" s="275"/>
      <c r="DZ38" s="276"/>
      <c r="EA38" s="406">
        <f t="shared" si="8"/>
        <v>6</v>
      </c>
      <c r="EB38" s="407"/>
      <c r="EC38" s="408"/>
      <c r="ED38" s="408"/>
      <c r="EE38" s="358"/>
      <c r="EI38" s="170">
        <v>6</v>
      </c>
      <c r="EJ38" s="171"/>
      <c r="EK38" s="171"/>
      <c r="EL38" s="172"/>
    </row>
    <row r="39" spans="1:144" s="36" customFormat="1" ht="80.099999999999994" customHeight="1" x14ac:dyDescent="0.2">
      <c r="A39" s="145" t="s">
        <v>81</v>
      </c>
      <c r="B39" s="149" t="s">
        <v>112</v>
      </c>
      <c r="C39" s="421" t="s">
        <v>175</v>
      </c>
      <c r="D39" s="421"/>
      <c r="E39" s="421"/>
      <c r="F39" s="421"/>
      <c r="G39" s="421"/>
      <c r="H39" s="421"/>
      <c r="I39" s="421"/>
      <c r="J39" s="421"/>
      <c r="K39" s="421"/>
      <c r="L39" s="421"/>
      <c r="M39" s="421"/>
      <c r="N39" s="421"/>
      <c r="O39" s="421"/>
      <c r="P39" s="421"/>
      <c r="Q39" s="421"/>
      <c r="R39" s="421"/>
      <c r="S39" s="421"/>
      <c r="T39" s="421"/>
      <c r="U39" s="421"/>
      <c r="V39" s="421"/>
      <c r="W39" s="421"/>
      <c r="X39" s="421"/>
      <c r="Y39" s="421"/>
      <c r="Z39" s="259">
        <f t="shared" si="5"/>
        <v>120</v>
      </c>
      <c r="AA39" s="259"/>
      <c r="AB39" s="259"/>
      <c r="AC39" s="259"/>
      <c r="AD39" s="259"/>
      <c r="AE39" s="277"/>
      <c r="AF39" s="277"/>
      <c r="AG39" s="277"/>
      <c r="AH39" s="277"/>
      <c r="AI39" s="277"/>
      <c r="AJ39" s="284">
        <f t="shared" si="6"/>
        <v>48</v>
      </c>
      <c r="AK39" s="284"/>
      <c r="AL39" s="284"/>
      <c r="AM39" s="284"/>
      <c r="AN39" s="284"/>
      <c r="AO39" s="284">
        <v>32</v>
      </c>
      <c r="AP39" s="284"/>
      <c r="AQ39" s="284"/>
      <c r="AR39" s="284"/>
      <c r="AS39" s="284"/>
      <c r="AT39" s="284"/>
      <c r="AU39" s="284"/>
      <c r="AV39" s="284"/>
      <c r="AW39" s="284"/>
      <c r="AX39" s="284"/>
      <c r="AY39" s="284">
        <v>16</v>
      </c>
      <c r="AZ39" s="284"/>
      <c r="BA39" s="284"/>
      <c r="BB39" s="284"/>
      <c r="BC39" s="284"/>
      <c r="BD39" s="340"/>
      <c r="BE39" s="340"/>
      <c r="BF39" s="340"/>
      <c r="BG39" s="340"/>
      <c r="BH39" s="340"/>
      <c r="BI39" s="340"/>
      <c r="BJ39" s="340"/>
      <c r="BK39" s="340"/>
      <c r="BL39" s="340"/>
      <c r="BM39" s="340"/>
      <c r="BN39" s="285">
        <f t="shared" si="7"/>
        <v>72</v>
      </c>
      <c r="BO39" s="286"/>
      <c r="BP39" s="286"/>
      <c r="BQ39" s="286"/>
      <c r="BR39" s="287"/>
      <c r="BS39" s="313"/>
      <c r="BT39" s="275"/>
      <c r="BU39" s="275"/>
      <c r="BV39" s="275"/>
      <c r="BW39" s="275"/>
      <c r="BX39" s="275">
        <v>3</v>
      </c>
      <c r="BY39" s="275"/>
      <c r="BZ39" s="275"/>
      <c r="CA39" s="275"/>
      <c r="CB39" s="275"/>
      <c r="CC39" s="275"/>
      <c r="CD39" s="275"/>
      <c r="CE39" s="275"/>
      <c r="CF39" s="275"/>
      <c r="CG39" s="275"/>
      <c r="CH39" s="275"/>
      <c r="CI39" s="275"/>
      <c r="CJ39" s="275"/>
      <c r="CK39" s="275"/>
      <c r="CL39" s="275"/>
      <c r="CM39" s="275"/>
      <c r="CN39" s="275"/>
      <c r="CO39" s="275"/>
      <c r="CP39" s="275"/>
      <c r="CQ39" s="275"/>
      <c r="CR39" s="275"/>
      <c r="CS39" s="275"/>
      <c r="CT39" s="275"/>
      <c r="CU39" s="275"/>
      <c r="CV39" s="276"/>
      <c r="CW39" s="313"/>
      <c r="CX39" s="275"/>
      <c r="CY39" s="275"/>
      <c r="CZ39" s="275"/>
      <c r="DA39" s="275"/>
      <c r="DB39" s="275">
        <v>4</v>
      </c>
      <c r="DC39" s="275"/>
      <c r="DD39" s="275"/>
      <c r="DE39" s="275"/>
      <c r="DF39" s="275"/>
      <c r="DG39" s="275"/>
      <c r="DH39" s="275"/>
      <c r="DI39" s="275"/>
      <c r="DJ39" s="275"/>
      <c r="DK39" s="275"/>
      <c r="DL39" s="275"/>
      <c r="DM39" s="275"/>
      <c r="DN39" s="275"/>
      <c r="DO39" s="275"/>
      <c r="DP39" s="275"/>
      <c r="DQ39" s="275"/>
      <c r="DR39" s="275"/>
      <c r="DS39" s="275"/>
      <c r="DT39" s="275"/>
      <c r="DU39" s="275"/>
      <c r="DV39" s="275"/>
      <c r="DW39" s="275"/>
      <c r="DX39" s="275"/>
      <c r="DY39" s="275"/>
      <c r="DZ39" s="276"/>
      <c r="EA39" s="406">
        <f t="shared" si="8"/>
        <v>4</v>
      </c>
      <c r="EB39" s="407"/>
      <c r="EC39" s="408"/>
      <c r="ED39" s="408"/>
      <c r="EE39" s="358"/>
      <c r="EI39" s="170">
        <v>4</v>
      </c>
      <c r="EJ39" s="171"/>
      <c r="EK39" s="171"/>
      <c r="EL39" s="172"/>
    </row>
    <row r="40" spans="1:144" s="37" customFormat="1" ht="99.95" customHeight="1" x14ac:dyDescent="0.2">
      <c r="A40" s="145" t="s">
        <v>82</v>
      </c>
      <c r="B40" s="126" t="s">
        <v>115</v>
      </c>
      <c r="C40" s="293" t="s">
        <v>114</v>
      </c>
      <c r="D40" s="293"/>
      <c r="E40" s="293"/>
      <c r="F40" s="293"/>
      <c r="G40" s="293"/>
      <c r="H40" s="293"/>
      <c r="I40" s="293"/>
      <c r="J40" s="293"/>
      <c r="K40" s="293"/>
      <c r="L40" s="293"/>
      <c r="M40" s="293"/>
      <c r="N40" s="293"/>
      <c r="O40" s="293"/>
      <c r="P40" s="293"/>
      <c r="Q40" s="293"/>
      <c r="R40" s="293"/>
      <c r="S40" s="293"/>
      <c r="T40" s="293"/>
      <c r="U40" s="293"/>
      <c r="V40" s="293"/>
      <c r="W40" s="293"/>
      <c r="X40" s="293"/>
      <c r="Y40" s="293"/>
      <c r="Z40" s="259">
        <f t="shared" si="5"/>
        <v>180</v>
      </c>
      <c r="AA40" s="259"/>
      <c r="AB40" s="259"/>
      <c r="AC40" s="259"/>
      <c r="AD40" s="259"/>
      <c r="AE40" s="277"/>
      <c r="AF40" s="277"/>
      <c r="AG40" s="277"/>
      <c r="AH40" s="277"/>
      <c r="AI40" s="277"/>
      <c r="AJ40" s="284">
        <f t="shared" si="6"/>
        <v>72</v>
      </c>
      <c r="AK40" s="284"/>
      <c r="AL40" s="284"/>
      <c r="AM40" s="284"/>
      <c r="AN40" s="284"/>
      <c r="AO40" s="284">
        <v>36</v>
      </c>
      <c r="AP40" s="284"/>
      <c r="AQ40" s="284"/>
      <c r="AR40" s="284"/>
      <c r="AS40" s="284"/>
      <c r="AT40" s="284">
        <v>36</v>
      </c>
      <c r="AU40" s="284"/>
      <c r="AV40" s="284"/>
      <c r="AW40" s="284"/>
      <c r="AX40" s="284"/>
      <c r="AY40" s="284"/>
      <c r="AZ40" s="284"/>
      <c r="BA40" s="284"/>
      <c r="BB40" s="284"/>
      <c r="BC40" s="284"/>
      <c r="BD40" s="284"/>
      <c r="BE40" s="284"/>
      <c r="BF40" s="284"/>
      <c r="BG40" s="284"/>
      <c r="BH40" s="284"/>
      <c r="BI40" s="284"/>
      <c r="BJ40" s="284"/>
      <c r="BK40" s="284"/>
      <c r="BL40" s="284"/>
      <c r="BM40" s="284"/>
      <c r="BN40" s="285">
        <f t="shared" si="7"/>
        <v>108</v>
      </c>
      <c r="BO40" s="286"/>
      <c r="BP40" s="286"/>
      <c r="BQ40" s="286"/>
      <c r="BR40" s="287"/>
      <c r="BS40" s="313">
        <v>5</v>
      </c>
      <c r="BT40" s="275"/>
      <c r="BU40" s="275"/>
      <c r="BV40" s="275"/>
      <c r="BW40" s="275"/>
      <c r="BX40" s="275"/>
      <c r="BY40" s="275"/>
      <c r="BZ40" s="275"/>
      <c r="CA40" s="275"/>
      <c r="CB40" s="275"/>
      <c r="CC40" s="275"/>
      <c r="CD40" s="275"/>
      <c r="CE40" s="275"/>
      <c r="CF40" s="275"/>
      <c r="CG40" s="275"/>
      <c r="CH40" s="275"/>
      <c r="CI40" s="275"/>
      <c r="CJ40" s="275"/>
      <c r="CK40" s="275"/>
      <c r="CL40" s="275"/>
      <c r="CM40" s="275"/>
      <c r="CN40" s="275"/>
      <c r="CO40" s="275"/>
      <c r="CP40" s="275"/>
      <c r="CQ40" s="275"/>
      <c r="CR40" s="275"/>
      <c r="CS40" s="275"/>
      <c r="CT40" s="275"/>
      <c r="CU40" s="275"/>
      <c r="CV40" s="276"/>
      <c r="CW40" s="313">
        <v>6</v>
      </c>
      <c r="CX40" s="275"/>
      <c r="CY40" s="275"/>
      <c r="CZ40" s="275"/>
      <c r="DA40" s="275"/>
      <c r="DB40" s="275"/>
      <c r="DC40" s="275"/>
      <c r="DD40" s="275"/>
      <c r="DE40" s="275"/>
      <c r="DF40" s="275"/>
      <c r="DG40" s="275"/>
      <c r="DH40" s="275"/>
      <c r="DI40" s="275"/>
      <c r="DJ40" s="275"/>
      <c r="DK40" s="275"/>
      <c r="DL40" s="275"/>
      <c r="DM40" s="275"/>
      <c r="DN40" s="275"/>
      <c r="DO40" s="275"/>
      <c r="DP40" s="275"/>
      <c r="DQ40" s="275"/>
      <c r="DR40" s="275"/>
      <c r="DS40" s="275"/>
      <c r="DT40" s="275"/>
      <c r="DU40" s="275"/>
      <c r="DV40" s="275"/>
      <c r="DW40" s="275"/>
      <c r="DX40" s="275"/>
      <c r="DY40" s="275"/>
      <c r="DZ40" s="276"/>
      <c r="EA40" s="406">
        <f t="shared" si="8"/>
        <v>6</v>
      </c>
      <c r="EB40" s="407"/>
      <c r="EC40" s="408"/>
      <c r="ED40" s="408"/>
      <c r="EE40" s="358"/>
      <c r="EI40" s="173">
        <v>6</v>
      </c>
      <c r="EJ40" s="174"/>
      <c r="EK40" s="174"/>
      <c r="EL40" s="175"/>
    </row>
    <row r="41" spans="1:144" s="37" customFormat="1" ht="80.099999999999994" customHeight="1" x14ac:dyDescent="0.2">
      <c r="A41" s="145" t="s">
        <v>83</v>
      </c>
      <c r="B41" s="126" t="s">
        <v>116</v>
      </c>
      <c r="C41" s="293" t="s">
        <v>91</v>
      </c>
      <c r="D41" s="293"/>
      <c r="E41" s="293"/>
      <c r="F41" s="293"/>
      <c r="G41" s="293"/>
      <c r="H41" s="293"/>
      <c r="I41" s="293"/>
      <c r="J41" s="293"/>
      <c r="K41" s="293"/>
      <c r="L41" s="293"/>
      <c r="M41" s="293"/>
      <c r="N41" s="293"/>
      <c r="O41" s="293"/>
      <c r="P41" s="293"/>
      <c r="Q41" s="293"/>
      <c r="R41" s="293"/>
      <c r="S41" s="293"/>
      <c r="T41" s="293"/>
      <c r="U41" s="293"/>
      <c r="V41" s="293"/>
      <c r="W41" s="293"/>
      <c r="X41" s="293"/>
      <c r="Y41" s="293"/>
      <c r="Z41" s="259">
        <f t="shared" si="5"/>
        <v>180</v>
      </c>
      <c r="AA41" s="259"/>
      <c r="AB41" s="259"/>
      <c r="AC41" s="259"/>
      <c r="AD41" s="259"/>
      <c r="AE41" s="263"/>
      <c r="AF41" s="263"/>
      <c r="AG41" s="263"/>
      <c r="AH41" s="263"/>
      <c r="AI41" s="263"/>
      <c r="AJ41" s="284">
        <f t="shared" si="6"/>
        <v>72</v>
      </c>
      <c r="AK41" s="284"/>
      <c r="AL41" s="284"/>
      <c r="AM41" s="284"/>
      <c r="AN41" s="284"/>
      <c r="AO41" s="284">
        <v>28</v>
      </c>
      <c r="AP41" s="284"/>
      <c r="AQ41" s="284"/>
      <c r="AR41" s="284"/>
      <c r="AS41" s="284"/>
      <c r="AT41" s="284">
        <v>16</v>
      </c>
      <c r="AU41" s="284"/>
      <c r="AV41" s="284"/>
      <c r="AW41" s="284"/>
      <c r="AX41" s="284"/>
      <c r="AY41" s="284">
        <v>28</v>
      </c>
      <c r="AZ41" s="284"/>
      <c r="BA41" s="284"/>
      <c r="BB41" s="284"/>
      <c r="BC41" s="284"/>
      <c r="BD41" s="284"/>
      <c r="BE41" s="284"/>
      <c r="BF41" s="284"/>
      <c r="BG41" s="284"/>
      <c r="BH41" s="284"/>
      <c r="BI41" s="284"/>
      <c r="BJ41" s="284"/>
      <c r="BK41" s="284"/>
      <c r="BL41" s="284"/>
      <c r="BM41" s="284"/>
      <c r="BN41" s="285">
        <f t="shared" si="7"/>
        <v>108</v>
      </c>
      <c r="BO41" s="286"/>
      <c r="BP41" s="286"/>
      <c r="BQ41" s="286"/>
      <c r="BR41" s="287"/>
      <c r="BS41" s="313">
        <v>5</v>
      </c>
      <c r="BT41" s="275"/>
      <c r="BU41" s="275"/>
      <c r="BV41" s="275"/>
      <c r="BW41" s="275"/>
      <c r="BX41" s="275"/>
      <c r="BY41" s="275"/>
      <c r="BZ41" s="275"/>
      <c r="CA41" s="275"/>
      <c r="CB41" s="275"/>
      <c r="CC41" s="275"/>
      <c r="CD41" s="275"/>
      <c r="CE41" s="275"/>
      <c r="CF41" s="275"/>
      <c r="CG41" s="275"/>
      <c r="CH41" s="275"/>
      <c r="CI41" s="275"/>
      <c r="CJ41" s="275"/>
      <c r="CK41" s="275"/>
      <c r="CL41" s="275"/>
      <c r="CM41" s="275"/>
      <c r="CN41" s="275"/>
      <c r="CO41" s="275"/>
      <c r="CP41" s="275"/>
      <c r="CQ41" s="275"/>
      <c r="CR41" s="275"/>
      <c r="CS41" s="275"/>
      <c r="CT41" s="275"/>
      <c r="CU41" s="275"/>
      <c r="CV41" s="276"/>
      <c r="CW41" s="313">
        <v>6</v>
      </c>
      <c r="CX41" s="275"/>
      <c r="CY41" s="275"/>
      <c r="CZ41" s="275"/>
      <c r="DA41" s="275"/>
      <c r="DB41" s="275"/>
      <c r="DC41" s="275"/>
      <c r="DD41" s="275"/>
      <c r="DE41" s="275"/>
      <c r="DF41" s="275"/>
      <c r="DG41" s="275"/>
      <c r="DH41" s="275"/>
      <c r="DI41" s="275"/>
      <c r="DJ41" s="275"/>
      <c r="DK41" s="275"/>
      <c r="DL41" s="275"/>
      <c r="DM41" s="275"/>
      <c r="DN41" s="275"/>
      <c r="DO41" s="275"/>
      <c r="DP41" s="275"/>
      <c r="DQ41" s="275"/>
      <c r="DR41" s="275"/>
      <c r="DS41" s="275"/>
      <c r="DT41" s="275"/>
      <c r="DU41" s="275"/>
      <c r="DV41" s="275"/>
      <c r="DW41" s="275"/>
      <c r="DX41" s="275"/>
      <c r="DY41" s="275"/>
      <c r="DZ41" s="276"/>
      <c r="EA41" s="406">
        <f t="shared" si="8"/>
        <v>6</v>
      </c>
      <c r="EB41" s="407"/>
      <c r="EC41" s="408"/>
      <c r="ED41" s="408"/>
      <c r="EE41" s="358"/>
      <c r="EI41" s="173">
        <v>6</v>
      </c>
      <c r="EJ41" s="174"/>
      <c r="EK41" s="174"/>
      <c r="EL41" s="175"/>
    </row>
    <row r="42" spans="1:144" s="36" customFormat="1" ht="80.099999999999994" customHeight="1" x14ac:dyDescent="0.2">
      <c r="A42" s="145" t="s">
        <v>84</v>
      </c>
      <c r="B42" s="149" t="s">
        <v>118</v>
      </c>
      <c r="C42" s="421" t="s">
        <v>117</v>
      </c>
      <c r="D42" s="421"/>
      <c r="E42" s="421"/>
      <c r="F42" s="421"/>
      <c r="G42" s="421"/>
      <c r="H42" s="421"/>
      <c r="I42" s="421"/>
      <c r="J42" s="421"/>
      <c r="K42" s="421"/>
      <c r="L42" s="421"/>
      <c r="M42" s="421"/>
      <c r="N42" s="421"/>
      <c r="O42" s="421"/>
      <c r="P42" s="421"/>
      <c r="Q42" s="421"/>
      <c r="R42" s="421"/>
      <c r="S42" s="421"/>
      <c r="T42" s="421"/>
      <c r="U42" s="421"/>
      <c r="V42" s="421"/>
      <c r="W42" s="421"/>
      <c r="X42" s="421"/>
      <c r="Y42" s="421"/>
      <c r="Z42" s="259">
        <f t="shared" si="5"/>
        <v>300</v>
      </c>
      <c r="AA42" s="259"/>
      <c r="AB42" s="259"/>
      <c r="AC42" s="259"/>
      <c r="AD42" s="259"/>
      <c r="AE42" s="277"/>
      <c r="AF42" s="277"/>
      <c r="AG42" s="277"/>
      <c r="AH42" s="277"/>
      <c r="AI42" s="277"/>
      <c r="AJ42" s="284">
        <f t="shared" si="6"/>
        <v>120</v>
      </c>
      <c r="AK42" s="284"/>
      <c r="AL42" s="284"/>
      <c r="AM42" s="284"/>
      <c r="AN42" s="284"/>
      <c r="AO42" s="284">
        <v>60</v>
      </c>
      <c r="AP42" s="284"/>
      <c r="AQ42" s="284"/>
      <c r="AR42" s="284"/>
      <c r="AS42" s="284"/>
      <c r="AT42" s="284">
        <v>32</v>
      </c>
      <c r="AU42" s="284"/>
      <c r="AV42" s="284"/>
      <c r="AW42" s="284"/>
      <c r="AX42" s="284"/>
      <c r="AY42" s="284">
        <v>28</v>
      </c>
      <c r="AZ42" s="284"/>
      <c r="BA42" s="284"/>
      <c r="BB42" s="284"/>
      <c r="BC42" s="284"/>
      <c r="BD42" s="340"/>
      <c r="BE42" s="340"/>
      <c r="BF42" s="340"/>
      <c r="BG42" s="340"/>
      <c r="BH42" s="340"/>
      <c r="BI42" s="340"/>
      <c r="BJ42" s="340"/>
      <c r="BK42" s="340"/>
      <c r="BL42" s="340"/>
      <c r="BM42" s="340"/>
      <c r="BN42" s="285">
        <f t="shared" si="7"/>
        <v>180</v>
      </c>
      <c r="BO42" s="286"/>
      <c r="BP42" s="286"/>
      <c r="BQ42" s="286"/>
      <c r="BR42" s="287"/>
      <c r="BS42" s="313">
        <v>5</v>
      </c>
      <c r="BT42" s="275"/>
      <c r="BU42" s="275"/>
      <c r="BV42" s="275"/>
      <c r="BW42" s="275"/>
      <c r="BX42" s="275">
        <v>3</v>
      </c>
      <c r="BY42" s="275"/>
      <c r="BZ42" s="275"/>
      <c r="CA42" s="275"/>
      <c r="CB42" s="275"/>
      <c r="CC42" s="275"/>
      <c r="CD42" s="275"/>
      <c r="CE42" s="275"/>
      <c r="CF42" s="275"/>
      <c r="CG42" s="275"/>
      <c r="CH42" s="275"/>
      <c r="CI42" s="275"/>
      <c r="CJ42" s="275"/>
      <c r="CK42" s="275"/>
      <c r="CL42" s="275"/>
      <c r="CM42" s="275"/>
      <c r="CN42" s="275"/>
      <c r="CO42" s="275"/>
      <c r="CP42" s="275"/>
      <c r="CQ42" s="275"/>
      <c r="CR42" s="275"/>
      <c r="CS42" s="275"/>
      <c r="CT42" s="275"/>
      <c r="CU42" s="275"/>
      <c r="CV42" s="276"/>
      <c r="CW42" s="313">
        <v>6</v>
      </c>
      <c r="CX42" s="275"/>
      <c r="CY42" s="275"/>
      <c r="CZ42" s="275"/>
      <c r="DA42" s="275"/>
      <c r="DB42" s="275">
        <v>4</v>
      </c>
      <c r="DC42" s="275"/>
      <c r="DD42" s="275"/>
      <c r="DE42" s="275"/>
      <c r="DF42" s="275"/>
      <c r="DG42" s="275"/>
      <c r="DH42" s="275"/>
      <c r="DI42" s="275"/>
      <c r="DJ42" s="275"/>
      <c r="DK42" s="275"/>
      <c r="DL42" s="275"/>
      <c r="DM42" s="275"/>
      <c r="DN42" s="275"/>
      <c r="DO42" s="275"/>
      <c r="DP42" s="275"/>
      <c r="DQ42" s="275"/>
      <c r="DR42" s="275"/>
      <c r="DS42" s="275"/>
      <c r="DT42" s="275"/>
      <c r="DU42" s="275"/>
      <c r="DV42" s="275"/>
      <c r="DW42" s="275"/>
      <c r="DX42" s="275"/>
      <c r="DY42" s="275"/>
      <c r="DZ42" s="276"/>
      <c r="EA42" s="406">
        <f t="shared" si="8"/>
        <v>10</v>
      </c>
      <c r="EB42" s="407"/>
      <c r="EC42" s="408"/>
      <c r="ED42" s="408"/>
      <c r="EE42" s="358"/>
      <c r="EI42" s="170">
        <v>10</v>
      </c>
      <c r="EJ42" s="171"/>
      <c r="EK42" s="171"/>
      <c r="EL42" s="172"/>
    </row>
    <row r="43" spans="1:144" s="36" customFormat="1" ht="99.95" customHeight="1" x14ac:dyDescent="0.2">
      <c r="A43" s="145" t="s">
        <v>85</v>
      </c>
      <c r="B43" s="149" t="s">
        <v>119</v>
      </c>
      <c r="C43" s="421" t="s">
        <v>234</v>
      </c>
      <c r="D43" s="421"/>
      <c r="E43" s="421"/>
      <c r="F43" s="421"/>
      <c r="G43" s="421"/>
      <c r="H43" s="421"/>
      <c r="I43" s="421"/>
      <c r="J43" s="421"/>
      <c r="K43" s="421"/>
      <c r="L43" s="421"/>
      <c r="M43" s="421"/>
      <c r="N43" s="421"/>
      <c r="O43" s="421"/>
      <c r="P43" s="421"/>
      <c r="Q43" s="421"/>
      <c r="R43" s="421"/>
      <c r="S43" s="421"/>
      <c r="T43" s="421"/>
      <c r="U43" s="421"/>
      <c r="V43" s="421"/>
      <c r="W43" s="421"/>
      <c r="X43" s="421"/>
      <c r="Y43" s="421"/>
      <c r="Z43" s="259">
        <f t="shared" si="5"/>
        <v>150</v>
      </c>
      <c r="AA43" s="259"/>
      <c r="AB43" s="259"/>
      <c r="AC43" s="259"/>
      <c r="AD43" s="259"/>
      <c r="AE43" s="422"/>
      <c r="AF43" s="422"/>
      <c r="AG43" s="422"/>
      <c r="AH43" s="422"/>
      <c r="AI43" s="422"/>
      <c r="AJ43" s="284">
        <f t="shared" si="6"/>
        <v>60</v>
      </c>
      <c r="AK43" s="284"/>
      <c r="AL43" s="284"/>
      <c r="AM43" s="284"/>
      <c r="AN43" s="284"/>
      <c r="AO43" s="284">
        <v>30</v>
      </c>
      <c r="AP43" s="284"/>
      <c r="AQ43" s="284"/>
      <c r="AR43" s="284"/>
      <c r="AS43" s="284"/>
      <c r="AT43" s="284">
        <v>30</v>
      </c>
      <c r="AU43" s="284"/>
      <c r="AV43" s="284"/>
      <c r="AW43" s="284"/>
      <c r="AX43" s="284"/>
      <c r="AY43" s="284"/>
      <c r="AZ43" s="284"/>
      <c r="BA43" s="284"/>
      <c r="BB43" s="284"/>
      <c r="BC43" s="284"/>
      <c r="BD43" s="340"/>
      <c r="BE43" s="340"/>
      <c r="BF43" s="340"/>
      <c r="BG43" s="340"/>
      <c r="BH43" s="340"/>
      <c r="BI43" s="340"/>
      <c r="BJ43" s="340"/>
      <c r="BK43" s="340"/>
      <c r="BL43" s="340"/>
      <c r="BM43" s="340"/>
      <c r="BN43" s="285">
        <f t="shared" si="7"/>
        <v>90</v>
      </c>
      <c r="BO43" s="286"/>
      <c r="BP43" s="286"/>
      <c r="BQ43" s="286"/>
      <c r="BR43" s="287"/>
      <c r="BS43" s="348"/>
      <c r="BT43" s="277"/>
      <c r="BU43" s="277"/>
      <c r="BV43" s="277"/>
      <c r="BW43" s="277"/>
      <c r="BX43" s="277">
        <v>4</v>
      </c>
      <c r="BY43" s="277"/>
      <c r="BZ43" s="277"/>
      <c r="CA43" s="277"/>
      <c r="CB43" s="277"/>
      <c r="CC43" s="277"/>
      <c r="CD43" s="277"/>
      <c r="CE43" s="277"/>
      <c r="CF43" s="277"/>
      <c r="CG43" s="277"/>
      <c r="CH43" s="277"/>
      <c r="CI43" s="277"/>
      <c r="CJ43" s="277"/>
      <c r="CK43" s="277"/>
      <c r="CL43" s="277"/>
      <c r="CM43" s="277"/>
      <c r="CN43" s="277"/>
      <c r="CO43" s="277"/>
      <c r="CP43" s="277"/>
      <c r="CQ43" s="277"/>
      <c r="CR43" s="277"/>
      <c r="CS43" s="277"/>
      <c r="CT43" s="277"/>
      <c r="CU43" s="277"/>
      <c r="CV43" s="349"/>
      <c r="CW43" s="348"/>
      <c r="CX43" s="277"/>
      <c r="CY43" s="277"/>
      <c r="CZ43" s="277"/>
      <c r="DA43" s="277"/>
      <c r="DB43" s="277">
        <v>5</v>
      </c>
      <c r="DC43" s="277"/>
      <c r="DD43" s="277"/>
      <c r="DE43" s="277"/>
      <c r="DF43" s="277"/>
      <c r="DG43" s="277"/>
      <c r="DH43" s="277"/>
      <c r="DI43" s="277"/>
      <c r="DJ43" s="277"/>
      <c r="DK43" s="277"/>
      <c r="DL43" s="277"/>
      <c r="DM43" s="277"/>
      <c r="DN43" s="277"/>
      <c r="DO43" s="277"/>
      <c r="DP43" s="277"/>
      <c r="DQ43" s="277"/>
      <c r="DR43" s="277"/>
      <c r="DS43" s="277"/>
      <c r="DT43" s="277"/>
      <c r="DU43" s="277"/>
      <c r="DV43" s="277"/>
      <c r="DW43" s="277"/>
      <c r="DX43" s="277"/>
      <c r="DY43" s="277"/>
      <c r="DZ43" s="349"/>
      <c r="EA43" s="406">
        <f t="shared" si="8"/>
        <v>5</v>
      </c>
      <c r="EB43" s="407"/>
      <c r="EC43" s="408"/>
      <c r="ED43" s="408"/>
      <c r="EE43" s="358"/>
      <c r="EI43" s="170">
        <v>5</v>
      </c>
      <c r="EJ43" s="171"/>
      <c r="EK43" s="171"/>
      <c r="EL43" s="172"/>
    </row>
    <row r="44" spans="1:144" s="112" customFormat="1" ht="80.099999999999994" customHeight="1" x14ac:dyDescent="0.2">
      <c r="A44" s="145" t="s">
        <v>3</v>
      </c>
      <c r="B44" s="150" t="s">
        <v>120</v>
      </c>
      <c r="C44" s="261" t="s">
        <v>71</v>
      </c>
      <c r="D44" s="261"/>
      <c r="E44" s="261"/>
      <c r="F44" s="261"/>
      <c r="G44" s="261"/>
      <c r="H44" s="261"/>
      <c r="I44" s="261"/>
      <c r="J44" s="261"/>
      <c r="K44" s="261"/>
      <c r="L44" s="261"/>
      <c r="M44" s="261"/>
      <c r="N44" s="261"/>
      <c r="O44" s="261"/>
      <c r="P44" s="261"/>
      <c r="Q44" s="261"/>
      <c r="R44" s="261"/>
      <c r="S44" s="261"/>
      <c r="T44" s="261"/>
      <c r="U44" s="261"/>
      <c r="V44" s="261"/>
      <c r="W44" s="261"/>
      <c r="X44" s="261"/>
      <c r="Y44" s="261"/>
      <c r="Z44" s="262">
        <f t="shared" si="5"/>
        <v>240</v>
      </c>
      <c r="AA44" s="262"/>
      <c r="AB44" s="262"/>
      <c r="AC44" s="262"/>
      <c r="AD44" s="262"/>
      <c r="AE44" s="257"/>
      <c r="AF44" s="257"/>
      <c r="AG44" s="257"/>
      <c r="AH44" s="257"/>
      <c r="AI44" s="257"/>
      <c r="AJ44" s="284">
        <f t="shared" si="6"/>
        <v>96</v>
      </c>
      <c r="AK44" s="284"/>
      <c r="AL44" s="284"/>
      <c r="AM44" s="284"/>
      <c r="AN44" s="284"/>
      <c r="AO44" s="323">
        <v>48</v>
      </c>
      <c r="AP44" s="323"/>
      <c r="AQ44" s="323"/>
      <c r="AR44" s="323"/>
      <c r="AS44" s="323"/>
      <c r="AT44" s="323">
        <v>16</v>
      </c>
      <c r="AU44" s="323"/>
      <c r="AV44" s="323"/>
      <c r="AW44" s="323"/>
      <c r="AX44" s="323"/>
      <c r="AY44" s="323">
        <v>32</v>
      </c>
      <c r="AZ44" s="323"/>
      <c r="BA44" s="323"/>
      <c r="BB44" s="323"/>
      <c r="BC44" s="323"/>
      <c r="BD44" s="324"/>
      <c r="BE44" s="324"/>
      <c r="BF44" s="324"/>
      <c r="BG44" s="324"/>
      <c r="BH44" s="324"/>
      <c r="BI44" s="324"/>
      <c r="BJ44" s="324"/>
      <c r="BK44" s="324"/>
      <c r="BL44" s="324"/>
      <c r="BM44" s="324"/>
      <c r="BN44" s="328">
        <f t="shared" si="7"/>
        <v>144</v>
      </c>
      <c r="BO44" s="329"/>
      <c r="BP44" s="329"/>
      <c r="BQ44" s="329"/>
      <c r="BR44" s="330"/>
      <c r="BS44" s="283"/>
      <c r="BT44" s="257"/>
      <c r="BU44" s="257"/>
      <c r="BV44" s="257"/>
      <c r="BW44" s="257"/>
      <c r="BX44" s="257"/>
      <c r="BY44" s="257"/>
      <c r="BZ44" s="257"/>
      <c r="CA44" s="257"/>
      <c r="CB44" s="257"/>
      <c r="CC44" s="257">
        <v>3</v>
      </c>
      <c r="CD44" s="257"/>
      <c r="CE44" s="257"/>
      <c r="CF44" s="257"/>
      <c r="CG44" s="257"/>
      <c r="CH44" s="257">
        <v>3</v>
      </c>
      <c r="CI44" s="257"/>
      <c r="CJ44" s="257"/>
      <c r="CK44" s="257"/>
      <c r="CL44" s="257"/>
      <c r="CM44" s="257"/>
      <c r="CN44" s="257"/>
      <c r="CO44" s="257"/>
      <c r="CP44" s="257"/>
      <c r="CQ44" s="257"/>
      <c r="CR44" s="257"/>
      <c r="CS44" s="257"/>
      <c r="CT44" s="257"/>
      <c r="CU44" s="257"/>
      <c r="CV44" s="258"/>
      <c r="CW44" s="283"/>
      <c r="CX44" s="257"/>
      <c r="CY44" s="257"/>
      <c r="CZ44" s="257"/>
      <c r="DA44" s="257"/>
      <c r="DB44" s="257"/>
      <c r="DC44" s="257"/>
      <c r="DD44" s="257"/>
      <c r="DE44" s="257"/>
      <c r="DF44" s="257"/>
      <c r="DG44" s="257">
        <v>4</v>
      </c>
      <c r="DH44" s="257"/>
      <c r="DI44" s="257"/>
      <c r="DJ44" s="257"/>
      <c r="DK44" s="257"/>
      <c r="DL44" s="257">
        <v>4</v>
      </c>
      <c r="DM44" s="257"/>
      <c r="DN44" s="257"/>
      <c r="DO44" s="257"/>
      <c r="DP44" s="257"/>
      <c r="DQ44" s="257"/>
      <c r="DR44" s="257"/>
      <c r="DS44" s="257"/>
      <c r="DT44" s="257"/>
      <c r="DU44" s="257"/>
      <c r="DV44" s="257"/>
      <c r="DW44" s="257"/>
      <c r="DX44" s="257"/>
      <c r="DY44" s="257"/>
      <c r="DZ44" s="258"/>
      <c r="EA44" s="427">
        <f t="shared" si="8"/>
        <v>8</v>
      </c>
      <c r="EB44" s="428"/>
      <c r="EC44" s="429"/>
      <c r="ED44" s="429"/>
      <c r="EE44" s="430"/>
      <c r="EI44" s="176">
        <v>8</v>
      </c>
      <c r="EJ44" s="177"/>
      <c r="EK44" s="177"/>
      <c r="EL44" s="178"/>
    </row>
    <row r="45" spans="1:144" s="112" customFormat="1" ht="80.099999999999994" customHeight="1" x14ac:dyDescent="0.2">
      <c r="A45" s="145" t="s">
        <v>4</v>
      </c>
      <c r="B45" s="150" t="s">
        <v>257</v>
      </c>
      <c r="C45" s="261" t="s">
        <v>121</v>
      </c>
      <c r="D45" s="261"/>
      <c r="E45" s="261"/>
      <c r="F45" s="261"/>
      <c r="G45" s="261"/>
      <c r="H45" s="261"/>
      <c r="I45" s="261"/>
      <c r="J45" s="261"/>
      <c r="K45" s="261"/>
      <c r="L45" s="261"/>
      <c r="M45" s="261"/>
      <c r="N45" s="261"/>
      <c r="O45" s="261"/>
      <c r="P45" s="261"/>
      <c r="Q45" s="261"/>
      <c r="R45" s="261"/>
      <c r="S45" s="261"/>
      <c r="T45" s="261"/>
      <c r="U45" s="261"/>
      <c r="V45" s="261"/>
      <c r="W45" s="261"/>
      <c r="X45" s="261"/>
      <c r="Y45" s="261"/>
      <c r="Z45" s="262">
        <f t="shared" si="5"/>
        <v>120</v>
      </c>
      <c r="AA45" s="262"/>
      <c r="AB45" s="262"/>
      <c r="AC45" s="262"/>
      <c r="AD45" s="262"/>
      <c r="AE45" s="257"/>
      <c r="AF45" s="257"/>
      <c r="AG45" s="257"/>
      <c r="AH45" s="257"/>
      <c r="AI45" s="257"/>
      <c r="AJ45" s="284">
        <f t="shared" si="6"/>
        <v>48</v>
      </c>
      <c r="AK45" s="284"/>
      <c r="AL45" s="284"/>
      <c r="AM45" s="284"/>
      <c r="AN45" s="284"/>
      <c r="AO45" s="323">
        <v>32</v>
      </c>
      <c r="AP45" s="323"/>
      <c r="AQ45" s="323"/>
      <c r="AR45" s="323"/>
      <c r="AS45" s="323"/>
      <c r="AT45" s="323">
        <v>8</v>
      </c>
      <c r="AU45" s="323"/>
      <c r="AV45" s="323"/>
      <c r="AW45" s="323"/>
      <c r="AX45" s="323"/>
      <c r="AY45" s="323">
        <v>8</v>
      </c>
      <c r="AZ45" s="323"/>
      <c r="BA45" s="323"/>
      <c r="BB45" s="323"/>
      <c r="BC45" s="323"/>
      <c r="BD45" s="324"/>
      <c r="BE45" s="324"/>
      <c r="BF45" s="324"/>
      <c r="BG45" s="324"/>
      <c r="BH45" s="324"/>
      <c r="BI45" s="324"/>
      <c r="BJ45" s="324"/>
      <c r="BK45" s="324"/>
      <c r="BL45" s="324"/>
      <c r="BM45" s="324"/>
      <c r="BN45" s="328">
        <f t="shared" si="7"/>
        <v>72</v>
      </c>
      <c r="BO45" s="329"/>
      <c r="BP45" s="329"/>
      <c r="BQ45" s="329"/>
      <c r="BR45" s="330"/>
      <c r="BS45" s="283"/>
      <c r="BT45" s="257"/>
      <c r="BU45" s="257"/>
      <c r="BV45" s="257"/>
      <c r="BW45" s="257"/>
      <c r="BX45" s="257"/>
      <c r="BY45" s="257"/>
      <c r="BZ45" s="257"/>
      <c r="CA45" s="257"/>
      <c r="CB45" s="257"/>
      <c r="CC45" s="257"/>
      <c r="CD45" s="257"/>
      <c r="CE45" s="257"/>
      <c r="CF45" s="257"/>
      <c r="CG45" s="257"/>
      <c r="CH45" s="257">
        <v>3</v>
      </c>
      <c r="CI45" s="257"/>
      <c r="CJ45" s="257"/>
      <c r="CK45" s="257"/>
      <c r="CL45" s="257"/>
      <c r="CM45" s="257"/>
      <c r="CN45" s="257"/>
      <c r="CO45" s="257"/>
      <c r="CP45" s="257"/>
      <c r="CQ45" s="257"/>
      <c r="CR45" s="257"/>
      <c r="CS45" s="257"/>
      <c r="CT45" s="257"/>
      <c r="CU45" s="257"/>
      <c r="CV45" s="258"/>
      <c r="CW45" s="283"/>
      <c r="CX45" s="257"/>
      <c r="CY45" s="257"/>
      <c r="CZ45" s="257"/>
      <c r="DA45" s="257"/>
      <c r="DB45" s="257"/>
      <c r="DC45" s="257"/>
      <c r="DD45" s="257"/>
      <c r="DE45" s="257"/>
      <c r="DF45" s="257"/>
      <c r="DG45" s="257"/>
      <c r="DH45" s="257"/>
      <c r="DI45" s="257"/>
      <c r="DJ45" s="257"/>
      <c r="DK45" s="257"/>
      <c r="DL45" s="257">
        <v>4</v>
      </c>
      <c r="DM45" s="257"/>
      <c r="DN45" s="257"/>
      <c r="DO45" s="257"/>
      <c r="DP45" s="257"/>
      <c r="DQ45" s="257"/>
      <c r="DR45" s="257"/>
      <c r="DS45" s="257"/>
      <c r="DT45" s="257"/>
      <c r="DU45" s="257"/>
      <c r="DV45" s="257"/>
      <c r="DW45" s="257"/>
      <c r="DX45" s="257"/>
      <c r="DY45" s="257"/>
      <c r="DZ45" s="258"/>
      <c r="EA45" s="427">
        <f t="shared" si="8"/>
        <v>4</v>
      </c>
      <c r="EB45" s="428"/>
      <c r="EC45" s="429"/>
      <c r="ED45" s="429"/>
      <c r="EE45" s="430"/>
      <c r="EI45" s="176">
        <v>4</v>
      </c>
      <c r="EJ45" s="177"/>
      <c r="EK45" s="177"/>
      <c r="EL45" s="178"/>
    </row>
    <row r="46" spans="1:144" s="123" customFormat="1" ht="80.099999999999994" customHeight="1" x14ac:dyDescent="0.2">
      <c r="A46" s="145" t="s">
        <v>5</v>
      </c>
      <c r="B46" s="150" t="s">
        <v>123</v>
      </c>
      <c r="C46" s="261" t="s">
        <v>122</v>
      </c>
      <c r="D46" s="261"/>
      <c r="E46" s="261"/>
      <c r="F46" s="261"/>
      <c r="G46" s="261"/>
      <c r="H46" s="261"/>
      <c r="I46" s="261"/>
      <c r="J46" s="261"/>
      <c r="K46" s="261"/>
      <c r="L46" s="261"/>
      <c r="M46" s="261"/>
      <c r="N46" s="261"/>
      <c r="O46" s="261"/>
      <c r="P46" s="261"/>
      <c r="Q46" s="261"/>
      <c r="R46" s="261"/>
      <c r="S46" s="261"/>
      <c r="T46" s="261"/>
      <c r="U46" s="261"/>
      <c r="V46" s="261"/>
      <c r="W46" s="261"/>
      <c r="X46" s="261"/>
      <c r="Y46" s="261"/>
      <c r="Z46" s="262">
        <f t="shared" si="5"/>
        <v>120</v>
      </c>
      <c r="AA46" s="262"/>
      <c r="AB46" s="262"/>
      <c r="AC46" s="262"/>
      <c r="AD46" s="262"/>
      <c r="AE46" s="257"/>
      <c r="AF46" s="257"/>
      <c r="AG46" s="257"/>
      <c r="AH46" s="257"/>
      <c r="AI46" s="257"/>
      <c r="AJ46" s="284">
        <f t="shared" si="6"/>
        <v>48</v>
      </c>
      <c r="AK46" s="284"/>
      <c r="AL46" s="284"/>
      <c r="AM46" s="284"/>
      <c r="AN46" s="284"/>
      <c r="AO46" s="323">
        <v>32</v>
      </c>
      <c r="AP46" s="323"/>
      <c r="AQ46" s="323"/>
      <c r="AR46" s="323"/>
      <c r="AS46" s="323"/>
      <c r="AT46" s="323"/>
      <c r="AU46" s="323"/>
      <c r="AV46" s="323"/>
      <c r="AW46" s="323"/>
      <c r="AX46" s="323"/>
      <c r="AY46" s="323">
        <v>16</v>
      </c>
      <c r="AZ46" s="323"/>
      <c r="BA46" s="323"/>
      <c r="BB46" s="323"/>
      <c r="BC46" s="323"/>
      <c r="BD46" s="324"/>
      <c r="BE46" s="324"/>
      <c r="BF46" s="324"/>
      <c r="BG46" s="324"/>
      <c r="BH46" s="324"/>
      <c r="BI46" s="324"/>
      <c r="BJ46" s="324"/>
      <c r="BK46" s="324"/>
      <c r="BL46" s="324"/>
      <c r="BM46" s="324"/>
      <c r="BN46" s="328">
        <f t="shared" si="7"/>
        <v>72</v>
      </c>
      <c r="BO46" s="329"/>
      <c r="BP46" s="329"/>
      <c r="BQ46" s="329"/>
      <c r="BR46" s="330"/>
      <c r="BS46" s="283"/>
      <c r="BT46" s="257"/>
      <c r="BU46" s="257"/>
      <c r="BV46" s="257"/>
      <c r="BW46" s="257"/>
      <c r="BX46" s="257"/>
      <c r="BY46" s="257"/>
      <c r="BZ46" s="257"/>
      <c r="CA46" s="257"/>
      <c r="CB46" s="257"/>
      <c r="CC46" s="257">
        <v>3</v>
      </c>
      <c r="CD46" s="257"/>
      <c r="CE46" s="257"/>
      <c r="CF46" s="257"/>
      <c r="CG46" s="257"/>
      <c r="CH46" s="257"/>
      <c r="CI46" s="257"/>
      <c r="CJ46" s="257"/>
      <c r="CK46" s="257"/>
      <c r="CL46" s="257"/>
      <c r="CM46" s="257"/>
      <c r="CN46" s="257"/>
      <c r="CO46" s="257"/>
      <c r="CP46" s="257"/>
      <c r="CQ46" s="257"/>
      <c r="CR46" s="257"/>
      <c r="CS46" s="257"/>
      <c r="CT46" s="257"/>
      <c r="CU46" s="257"/>
      <c r="CV46" s="258"/>
      <c r="CW46" s="283"/>
      <c r="CX46" s="257"/>
      <c r="CY46" s="257"/>
      <c r="CZ46" s="257"/>
      <c r="DA46" s="257"/>
      <c r="DB46" s="257"/>
      <c r="DC46" s="257"/>
      <c r="DD46" s="257"/>
      <c r="DE46" s="257"/>
      <c r="DF46" s="257"/>
      <c r="DG46" s="257">
        <v>4</v>
      </c>
      <c r="DH46" s="257"/>
      <c r="DI46" s="257"/>
      <c r="DJ46" s="257"/>
      <c r="DK46" s="257"/>
      <c r="DL46" s="257"/>
      <c r="DM46" s="257"/>
      <c r="DN46" s="257"/>
      <c r="DO46" s="257"/>
      <c r="DP46" s="257"/>
      <c r="DQ46" s="257"/>
      <c r="DR46" s="257"/>
      <c r="DS46" s="257"/>
      <c r="DT46" s="257"/>
      <c r="DU46" s="257"/>
      <c r="DV46" s="257"/>
      <c r="DW46" s="257"/>
      <c r="DX46" s="257"/>
      <c r="DY46" s="257"/>
      <c r="DZ46" s="258"/>
      <c r="EA46" s="427">
        <f t="shared" si="8"/>
        <v>4</v>
      </c>
      <c r="EB46" s="428"/>
      <c r="EC46" s="429"/>
      <c r="ED46" s="429"/>
      <c r="EE46" s="430"/>
      <c r="EF46" s="112"/>
      <c r="EI46" s="179">
        <v>4</v>
      </c>
      <c r="EJ46" s="180"/>
      <c r="EK46" s="180"/>
      <c r="EL46" s="181"/>
    </row>
    <row r="47" spans="1:144" s="123" customFormat="1" ht="80.099999999999994" customHeight="1" x14ac:dyDescent="0.2">
      <c r="A47" s="145" t="s">
        <v>6</v>
      </c>
      <c r="B47" s="150" t="s">
        <v>124</v>
      </c>
      <c r="C47" s="261" t="s">
        <v>182</v>
      </c>
      <c r="D47" s="261"/>
      <c r="E47" s="261"/>
      <c r="F47" s="261"/>
      <c r="G47" s="261"/>
      <c r="H47" s="261"/>
      <c r="I47" s="261"/>
      <c r="J47" s="261"/>
      <c r="K47" s="261"/>
      <c r="L47" s="261"/>
      <c r="M47" s="261"/>
      <c r="N47" s="261"/>
      <c r="O47" s="261"/>
      <c r="P47" s="261"/>
      <c r="Q47" s="261"/>
      <c r="R47" s="261"/>
      <c r="S47" s="261"/>
      <c r="T47" s="261"/>
      <c r="U47" s="261"/>
      <c r="V47" s="261"/>
      <c r="W47" s="261"/>
      <c r="X47" s="261"/>
      <c r="Y47" s="261"/>
      <c r="Z47" s="262">
        <f t="shared" si="5"/>
        <v>150</v>
      </c>
      <c r="AA47" s="262"/>
      <c r="AB47" s="262"/>
      <c r="AC47" s="262"/>
      <c r="AD47" s="262"/>
      <c r="AE47" s="257"/>
      <c r="AF47" s="257"/>
      <c r="AG47" s="257"/>
      <c r="AH47" s="257"/>
      <c r="AI47" s="257"/>
      <c r="AJ47" s="284">
        <f t="shared" si="6"/>
        <v>60</v>
      </c>
      <c r="AK47" s="284"/>
      <c r="AL47" s="284"/>
      <c r="AM47" s="284"/>
      <c r="AN47" s="284"/>
      <c r="AO47" s="323">
        <v>30</v>
      </c>
      <c r="AP47" s="323"/>
      <c r="AQ47" s="323"/>
      <c r="AR47" s="323"/>
      <c r="AS47" s="323"/>
      <c r="AT47" s="323">
        <v>30</v>
      </c>
      <c r="AU47" s="323"/>
      <c r="AV47" s="323"/>
      <c r="AW47" s="323"/>
      <c r="AX47" s="323"/>
      <c r="AY47" s="323"/>
      <c r="AZ47" s="323"/>
      <c r="BA47" s="323"/>
      <c r="BB47" s="323"/>
      <c r="BC47" s="323"/>
      <c r="BD47" s="324"/>
      <c r="BE47" s="324"/>
      <c r="BF47" s="324"/>
      <c r="BG47" s="324"/>
      <c r="BH47" s="324"/>
      <c r="BI47" s="324"/>
      <c r="BJ47" s="324"/>
      <c r="BK47" s="324"/>
      <c r="BL47" s="324"/>
      <c r="BM47" s="324"/>
      <c r="BN47" s="328">
        <f t="shared" si="7"/>
        <v>90</v>
      </c>
      <c r="BO47" s="329"/>
      <c r="BP47" s="329"/>
      <c r="BQ47" s="329"/>
      <c r="BR47" s="330"/>
      <c r="BS47" s="283"/>
      <c r="BT47" s="257"/>
      <c r="BU47" s="257"/>
      <c r="BV47" s="257"/>
      <c r="BW47" s="257"/>
      <c r="BX47" s="257"/>
      <c r="BY47" s="257"/>
      <c r="BZ47" s="257"/>
      <c r="CA47" s="257"/>
      <c r="CB47" s="257"/>
      <c r="CC47" s="257">
        <v>4</v>
      </c>
      <c r="CD47" s="257"/>
      <c r="CE47" s="257"/>
      <c r="CF47" s="257"/>
      <c r="CG47" s="257"/>
      <c r="CH47" s="257"/>
      <c r="CI47" s="257"/>
      <c r="CJ47" s="257"/>
      <c r="CK47" s="257"/>
      <c r="CL47" s="257"/>
      <c r="CM47" s="257"/>
      <c r="CN47" s="257"/>
      <c r="CO47" s="257"/>
      <c r="CP47" s="257"/>
      <c r="CQ47" s="257"/>
      <c r="CR47" s="257"/>
      <c r="CS47" s="257"/>
      <c r="CT47" s="257"/>
      <c r="CU47" s="257"/>
      <c r="CV47" s="258"/>
      <c r="CW47" s="283"/>
      <c r="CX47" s="257"/>
      <c r="CY47" s="257"/>
      <c r="CZ47" s="257"/>
      <c r="DA47" s="257"/>
      <c r="DB47" s="257"/>
      <c r="DC47" s="257"/>
      <c r="DD47" s="257"/>
      <c r="DE47" s="257"/>
      <c r="DF47" s="257"/>
      <c r="DG47" s="257">
        <v>5</v>
      </c>
      <c r="DH47" s="257"/>
      <c r="DI47" s="257"/>
      <c r="DJ47" s="257"/>
      <c r="DK47" s="257"/>
      <c r="DL47" s="257"/>
      <c r="DM47" s="257"/>
      <c r="DN47" s="257"/>
      <c r="DO47" s="257"/>
      <c r="DP47" s="257"/>
      <c r="DQ47" s="257"/>
      <c r="DR47" s="257"/>
      <c r="DS47" s="257"/>
      <c r="DT47" s="257"/>
      <c r="DU47" s="257"/>
      <c r="DV47" s="257"/>
      <c r="DW47" s="257"/>
      <c r="DX47" s="257"/>
      <c r="DY47" s="257"/>
      <c r="DZ47" s="258"/>
      <c r="EA47" s="427">
        <f t="shared" si="8"/>
        <v>5</v>
      </c>
      <c r="EB47" s="428"/>
      <c r="EC47" s="429"/>
      <c r="ED47" s="429"/>
      <c r="EE47" s="430"/>
      <c r="EF47" s="112"/>
      <c r="EI47" s="179">
        <v>5</v>
      </c>
      <c r="EJ47" s="180"/>
      <c r="EK47" s="180"/>
      <c r="EL47" s="181"/>
    </row>
    <row r="48" spans="1:144" s="112" customFormat="1" ht="80.099999999999994" customHeight="1" x14ac:dyDescent="0.2">
      <c r="A48" s="145" t="s">
        <v>95</v>
      </c>
      <c r="B48" s="150" t="s">
        <v>247</v>
      </c>
      <c r="C48" s="261" t="s">
        <v>94</v>
      </c>
      <c r="D48" s="261"/>
      <c r="E48" s="261"/>
      <c r="F48" s="261"/>
      <c r="G48" s="261"/>
      <c r="H48" s="261"/>
      <c r="I48" s="261"/>
      <c r="J48" s="261"/>
      <c r="K48" s="261"/>
      <c r="L48" s="261"/>
      <c r="M48" s="261"/>
      <c r="N48" s="261"/>
      <c r="O48" s="261"/>
      <c r="P48" s="261"/>
      <c r="Q48" s="261"/>
      <c r="R48" s="261"/>
      <c r="S48" s="261"/>
      <c r="T48" s="261"/>
      <c r="U48" s="261"/>
      <c r="V48" s="261"/>
      <c r="W48" s="261"/>
      <c r="X48" s="261"/>
      <c r="Y48" s="261"/>
      <c r="Z48" s="262">
        <f t="shared" si="5"/>
        <v>240</v>
      </c>
      <c r="AA48" s="262"/>
      <c r="AB48" s="262"/>
      <c r="AC48" s="262"/>
      <c r="AD48" s="262"/>
      <c r="AE48" s="257"/>
      <c r="AF48" s="257"/>
      <c r="AG48" s="257"/>
      <c r="AH48" s="257"/>
      <c r="AI48" s="257"/>
      <c r="AJ48" s="284">
        <f t="shared" si="6"/>
        <v>96</v>
      </c>
      <c r="AK48" s="284"/>
      <c r="AL48" s="284"/>
      <c r="AM48" s="284"/>
      <c r="AN48" s="284"/>
      <c r="AO48" s="323">
        <v>40</v>
      </c>
      <c r="AP48" s="323"/>
      <c r="AQ48" s="323"/>
      <c r="AR48" s="323"/>
      <c r="AS48" s="323"/>
      <c r="AT48" s="323">
        <v>34</v>
      </c>
      <c r="AU48" s="323"/>
      <c r="AV48" s="323"/>
      <c r="AW48" s="323"/>
      <c r="AX48" s="323"/>
      <c r="AY48" s="323">
        <v>22</v>
      </c>
      <c r="AZ48" s="323"/>
      <c r="BA48" s="323"/>
      <c r="BB48" s="323"/>
      <c r="BC48" s="323"/>
      <c r="BD48" s="324"/>
      <c r="BE48" s="324"/>
      <c r="BF48" s="324"/>
      <c r="BG48" s="324"/>
      <c r="BH48" s="324"/>
      <c r="BI48" s="324"/>
      <c r="BJ48" s="324"/>
      <c r="BK48" s="324"/>
      <c r="BL48" s="324"/>
      <c r="BM48" s="324"/>
      <c r="BN48" s="328">
        <f t="shared" si="7"/>
        <v>144</v>
      </c>
      <c r="BO48" s="329"/>
      <c r="BP48" s="329"/>
      <c r="BQ48" s="329"/>
      <c r="BR48" s="330"/>
      <c r="BS48" s="283"/>
      <c r="BT48" s="257"/>
      <c r="BU48" s="257"/>
      <c r="BV48" s="257"/>
      <c r="BW48" s="257"/>
      <c r="BX48" s="257"/>
      <c r="BY48" s="257"/>
      <c r="BZ48" s="257"/>
      <c r="CA48" s="257"/>
      <c r="CB48" s="257"/>
      <c r="CC48" s="257">
        <v>3</v>
      </c>
      <c r="CD48" s="257"/>
      <c r="CE48" s="257"/>
      <c r="CF48" s="257"/>
      <c r="CG48" s="257"/>
      <c r="CH48" s="257">
        <v>3</v>
      </c>
      <c r="CI48" s="257"/>
      <c r="CJ48" s="257"/>
      <c r="CK48" s="257"/>
      <c r="CL48" s="257"/>
      <c r="CM48" s="257"/>
      <c r="CN48" s="257"/>
      <c r="CO48" s="257"/>
      <c r="CP48" s="257"/>
      <c r="CQ48" s="257"/>
      <c r="CR48" s="257"/>
      <c r="CS48" s="257"/>
      <c r="CT48" s="257"/>
      <c r="CU48" s="257"/>
      <c r="CV48" s="258"/>
      <c r="CW48" s="283"/>
      <c r="CX48" s="257"/>
      <c r="CY48" s="257"/>
      <c r="CZ48" s="257"/>
      <c r="DA48" s="257"/>
      <c r="DB48" s="257"/>
      <c r="DC48" s="257"/>
      <c r="DD48" s="257"/>
      <c r="DE48" s="257"/>
      <c r="DF48" s="257"/>
      <c r="DG48" s="257">
        <v>4</v>
      </c>
      <c r="DH48" s="257"/>
      <c r="DI48" s="257"/>
      <c r="DJ48" s="257"/>
      <c r="DK48" s="257"/>
      <c r="DL48" s="257">
        <v>4</v>
      </c>
      <c r="DM48" s="257"/>
      <c r="DN48" s="257"/>
      <c r="DO48" s="257"/>
      <c r="DP48" s="257"/>
      <c r="DQ48" s="257"/>
      <c r="DR48" s="257"/>
      <c r="DS48" s="257"/>
      <c r="DT48" s="257"/>
      <c r="DU48" s="257"/>
      <c r="DV48" s="257"/>
      <c r="DW48" s="257"/>
      <c r="DX48" s="257"/>
      <c r="DY48" s="257"/>
      <c r="DZ48" s="258"/>
      <c r="EA48" s="427">
        <f t="shared" si="8"/>
        <v>8</v>
      </c>
      <c r="EB48" s="428"/>
      <c r="EC48" s="429"/>
      <c r="ED48" s="429"/>
      <c r="EE48" s="430"/>
      <c r="EF48" s="169" t="s">
        <v>211</v>
      </c>
      <c r="EG48" s="168"/>
      <c r="EH48" s="168"/>
      <c r="EI48" s="182">
        <v>8</v>
      </c>
      <c r="EJ48" s="183"/>
      <c r="EK48" s="183"/>
      <c r="EL48" s="184"/>
      <c r="EM48" s="168"/>
      <c r="EN48" s="168"/>
    </row>
    <row r="49" spans="1:156" s="112" customFormat="1" ht="80.099999999999994" customHeight="1" x14ac:dyDescent="0.2">
      <c r="A49" s="145" t="s">
        <v>7</v>
      </c>
      <c r="B49" s="150" t="s">
        <v>125</v>
      </c>
      <c r="C49" s="261" t="s">
        <v>102</v>
      </c>
      <c r="D49" s="261"/>
      <c r="E49" s="261"/>
      <c r="F49" s="261"/>
      <c r="G49" s="261"/>
      <c r="H49" s="261"/>
      <c r="I49" s="261"/>
      <c r="J49" s="261"/>
      <c r="K49" s="261"/>
      <c r="L49" s="261"/>
      <c r="M49" s="261"/>
      <c r="N49" s="261"/>
      <c r="O49" s="261"/>
      <c r="P49" s="261"/>
      <c r="Q49" s="261"/>
      <c r="R49" s="261"/>
      <c r="S49" s="261"/>
      <c r="T49" s="261"/>
      <c r="U49" s="261"/>
      <c r="V49" s="261"/>
      <c r="W49" s="261"/>
      <c r="X49" s="261"/>
      <c r="Y49" s="261"/>
      <c r="Z49" s="262">
        <f t="shared" si="5"/>
        <v>120</v>
      </c>
      <c r="AA49" s="262"/>
      <c r="AB49" s="262"/>
      <c r="AC49" s="262"/>
      <c r="AD49" s="262"/>
      <c r="AE49" s="257"/>
      <c r="AF49" s="257"/>
      <c r="AG49" s="257"/>
      <c r="AH49" s="257"/>
      <c r="AI49" s="257"/>
      <c r="AJ49" s="284">
        <f t="shared" si="6"/>
        <v>48</v>
      </c>
      <c r="AK49" s="284"/>
      <c r="AL49" s="284"/>
      <c r="AM49" s="284"/>
      <c r="AN49" s="284"/>
      <c r="AO49" s="323">
        <v>24</v>
      </c>
      <c r="AP49" s="323"/>
      <c r="AQ49" s="323"/>
      <c r="AR49" s="323"/>
      <c r="AS49" s="323"/>
      <c r="AT49" s="323">
        <v>24</v>
      </c>
      <c r="AU49" s="323"/>
      <c r="AV49" s="323"/>
      <c r="AW49" s="323"/>
      <c r="AX49" s="323"/>
      <c r="AY49" s="323"/>
      <c r="AZ49" s="323"/>
      <c r="BA49" s="323"/>
      <c r="BB49" s="323"/>
      <c r="BC49" s="323"/>
      <c r="BD49" s="324"/>
      <c r="BE49" s="324"/>
      <c r="BF49" s="324"/>
      <c r="BG49" s="324"/>
      <c r="BH49" s="324"/>
      <c r="BI49" s="324"/>
      <c r="BJ49" s="324"/>
      <c r="BK49" s="324"/>
      <c r="BL49" s="324"/>
      <c r="BM49" s="324"/>
      <c r="BN49" s="328">
        <f t="shared" si="7"/>
        <v>72</v>
      </c>
      <c r="BO49" s="329"/>
      <c r="BP49" s="329"/>
      <c r="BQ49" s="329"/>
      <c r="BR49" s="330"/>
      <c r="BS49" s="283"/>
      <c r="BT49" s="257"/>
      <c r="BU49" s="257"/>
      <c r="BV49" s="257"/>
      <c r="BW49" s="257"/>
      <c r="BX49" s="257"/>
      <c r="BY49" s="257"/>
      <c r="BZ49" s="257"/>
      <c r="CA49" s="257"/>
      <c r="CB49" s="257"/>
      <c r="CC49" s="257"/>
      <c r="CD49" s="257"/>
      <c r="CE49" s="257"/>
      <c r="CF49" s="257"/>
      <c r="CG49" s="257"/>
      <c r="CH49" s="257">
        <v>3</v>
      </c>
      <c r="CI49" s="257"/>
      <c r="CJ49" s="257"/>
      <c r="CK49" s="257"/>
      <c r="CL49" s="257"/>
      <c r="CM49" s="257"/>
      <c r="CN49" s="257"/>
      <c r="CO49" s="257"/>
      <c r="CP49" s="257"/>
      <c r="CQ49" s="257"/>
      <c r="CR49" s="257"/>
      <c r="CS49" s="257"/>
      <c r="CT49" s="257"/>
      <c r="CU49" s="257"/>
      <c r="CV49" s="258"/>
      <c r="CW49" s="283"/>
      <c r="CX49" s="257"/>
      <c r="CY49" s="257"/>
      <c r="CZ49" s="257"/>
      <c r="DA49" s="257"/>
      <c r="DB49" s="257"/>
      <c r="DC49" s="257"/>
      <c r="DD49" s="257"/>
      <c r="DE49" s="257"/>
      <c r="DF49" s="257"/>
      <c r="DG49" s="257"/>
      <c r="DH49" s="257"/>
      <c r="DI49" s="257"/>
      <c r="DJ49" s="257"/>
      <c r="DK49" s="257"/>
      <c r="DL49" s="257">
        <v>4</v>
      </c>
      <c r="DM49" s="257"/>
      <c r="DN49" s="257"/>
      <c r="DO49" s="257"/>
      <c r="DP49" s="257"/>
      <c r="DQ49" s="257"/>
      <c r="DR49" s="257"/>
      <c r="DS49" s="257"/>
      <c r="DT49" s="257"/>
      <c r="DU49" s="257"/>
      <c r="DV49" s="257"/>
      <c r="DW49" s="257"/>
      <c r="DX49" s="257"/>
      <c r="DY49" s="257"/>
      <c r="DZ49" s="258"/>
      <c r="EA49" s="427">
        <f t="shared" si="8"/>
        <v>4</v>
      </c>
      <c r="EB49" s="428"/>
      <c r="EC49" s="429"/>
      <c r="ED49" s="429"/>
      <c r="EE49" s="430"/>
      <c r="EI49" s="176">
        <v>4</v>
      </c>
      <c r="EJ49" s="177"/>
      <c r="EK49" s="177"/>
      <c r="EL49" s="178"/>
    </row>
    <row r="50" spans="1:156" s="123" customFormat="1" ht="80.099999999999994" customHeight="1" x14ac:dyDescent="0.2">
      <c r="A50" s="209" t="s">
        <v>8</v>
      </c>
      <c r="B50" s="150" t="s">
        <v>127</v>
      </c>
      <c r="C50" s="261" t="s">
        <v>126</v>
      </c>
      <c r="D50" s="261"/>
      <c r="E50" s="261"/>
      <c r="F50" s="261"/>
      <c r="G50" s="261"/>
      <c r="H50" s="261"/>
      <c r="I50" s="261"/>
      <c r="J50" s="261"/>
      <c r="K50" s="261"/>
      <c r="L50" s="261"/>
      <c r="M50" s="261"/>
      <c r="N50" s="261"/>
      <c r="O50" s="261"/>
      <c r="P50" s="261"/>
      <c r="Q50" s="261"/>
      <c r="R50" s="261"/>
      <c r="S50" s="261"/>
      <c r="T50" s="261"/>
      <c r="U50" s="261"/>
      <c r="V50" s="261"/>
      <c r="W50" s="261"/>
      <c r="X50" s="261"/>
      <c r="Y50" s="261"/>
      <c r="Z50" s="262">
        <f t="shared" si="5"/>
        <v>120</v>
      </c>
      <c r="AA50" s="262"/>
      <c r="AB50" s="262"/>
      <c r="AC50" s="262"/>
      <c r="AD50" s="262"/>
      <c r="AE50" s="257"/>
      <c r="AF50" s="257"/>
      <c r="AG50" s="257"/>
      <c r="AH50" s="257"/>
      <c r="AI50" s="257"/>
      <c r="AJ50" s="323">
        <f t="shared" si="6"/>
        <v>48</v>
      </c>
      <c r="AK50" s="323"/>
      <c r="AL50" s="323"/>
      <c r="AM50" s="323"/>
      <c r="AN50" s="323"/>
      <c r="AO50" s="323">
        <v>24</v>
      </c>
      <c r="AP50" s="323"/>
      <c r="AQ50" s="323"/>
      <c r="AR50" s="323"/>
      <c r="AS50" s="323"/>
      <c r="AT50" s="323">
        <v>24</v>
      </c>
      <c r="AU50" s="323"/>
      <c r="AV50" s="323"/>
      <c r="AW50" s="323"/>
      <c r="AX50" s="323"/>
      <c r="AY50" s="323"/>
      <c r="AZ50" s="323"/>
      <c r="BA50" s="323"/>
      <c r="BB50" s="323"/>
      <c r="BC50" s="323"/>
      <c r="BD50" s="324"/>
      <c r="BE50" s="324"/>
      <c r="BF50" s="324"/>
      <c r="BG50" s="324"/>
      <c r="BH50" s="324"/>
      <c r="BI50" s="324"/>
      <c r="BJ50" s="324"/>
      <c r="BK50" s="324"/>
      <c r="BL50" s="324"/>
      <c r="BM50" s="324"/>
      <c r="BN50" s="328">
        <f t="shared" si="7"/>
        <v>72</v>
      </c>
      <c r="BO50" s="329"/>
      <c r="BP50" s="329"/>
      <c r="BQ50" s="329"/>
      <c r="BR50" s="330"/>
      <c r="BS50" s="283"/>
      <c r="BT50" s="257"/>
      <c r="BU50" s="257"/>
      <c r="BV50" s="257"/>
      <c r="BW50" s="257"/>
      <c r="BX50" s="257"/>
      <c r="BY50" s="257"/>
      <c r="BZ50" s="257"/>
      <c r="CA50" s="257"/>
      <c r="CB50" s="257"/>
      <c r="CC50" s="257"/>
      <c r="CD50" s="257"/>
      <c r="CE50" s="257"/>
      <c r="CF50" s="257"/>
      <c r="CG50" s="257"/>
      <c r="CH50" s="257"/>
      <c r="CI50" s="257"/>
      <c r="CJ50" s="257"/>
      <c r="CK50" s="257"/>
      <c r="CL50" s="257"/>
      <c r="CM50" s="257">
        <v>3</v>
      </c>
      <c r="CN50" s="257"/>
      <c r="CO50" s="257"/>
      <c r="CP50" s="257"/>
      <c r="CQ50" s="257"/>
      <c r="CR50" s="257"/>
      <c r="CS50" s="257"/>
      <c r="CT50" s="257"/>
      <c r="CU50" s="257"/>
      <c r="CV50" s="258"/>
      <c r="CW50" s="283"/>
      <c r="CX50" s="257"/>
      <c r="CY50" s="257"/>
      <c r="CZ50" s="257"/>
      <c r="DA50" s="257"/>
      <c r="DB50" s="257"/>
      <c r="DC50" s="257"/>
      <c r="DD50" s="257"/>
      <c r="DE50" s="257"/>
      <c r="DF50" s="257"/>
      <c r="DG50" s="257"/>
      <c r="DH50" s="257"/>
      <c r="DI50" s="257"/>
      <c r="DJ50" s="257"/>
      <c r="DK50" s="257"/>
      <c r="DL50" s="257"/>
      <c r="DM50" s="257"/>
      <c r="DN50" s="257"/>
      <c r="DO50" s="257"/>
      <c r="DP50" s="257"/>
      <c r="DQ50" s="257">
        <v>4</v>
      </c>
      <c r="DR50" s="257"/>
      <c r="DS50" s="257"/>
      <c r="DT50" s="257"/>
      <c r="DU50" s="257"/>
      <c r="DV50" s="257"/>
      <c r="DW50" s="257"/>
      <c r="DX50" s="257"/>
      <c r="DY50" s="257"/>
      <c r="DZ50" s="258"/>
      <c r="EA50" s="427">
        <f t="shared" si="8"/>
        <v>4</v>
      </c>
      <c r="EB50" s="428"/>
      <c r="EC50" s="429"/>
      <c r="ED50" s="429"/>
      <c r="EE50" s="430"/>
      <c r="EF50" s="112"/>
      <c r="EI50" s="179">
        <v>4</v>
      </c>
      <c r="EJ50" s="180"/>
      <c r="EK50" s="180"/>
      <c r="EL50" s="181"/>
    </row>
    <row r="51" spans="1:156" s="123" customFormat="1" ht="80.099999999999994" customHeight="1" x14ac:dyDescent="0.2">
      <c r="A51" s="209" t="s">
        <v>92</v>
      </c>
      <c r="B51" s="206" t="s">
        <v>129</v>
      </c>
      <c r="C51" s="290" t="s">
        <v>128</v>
      </c>
      <c r="D51" s="290"/>
      <c r="E51" s="290"/>
      <c r="F51" s="290"/>
      <c r="G51" s="290"/>
      <c r="H51" s="290"/>
      <c r="I51" s="290"/>
      <c r="J51" s="290"/>
      <c r="K51" s="290"/>
      <c r="L51" s="290"/>
      <c r="M51" s="290"/>
      <c r="N51" s="290"/>
      <c r="O51" s="290"/>
      <c r="P51" s="290"/>
      <c r="Q51" s="290"/>
      <c r="R51" s="290"/>
      <c r="S51" s="290"/>
      <c r="T51" s="290"/>
      <c r="U51" s="290"/>
      <c r="V51" s="290"/>
      <c r="W51" s="290"/>
      <c r="X51" s="290"/>
      <c r="Y51" s="290"/>
      <c r="Z51" s="262">
        <f t="shared" si="5"/>
        <v>150</v>
      </c>
      <c r="AA51" s="262"/>
      <c r="AB51" s="262"/>
      <c r="AC51" s="262"/>
      <c r="AD51" s="262"/>
      <c r="AE51" s="257"/>
      <c r="AF51" s="257"/>
      <c r="AG51" s="257"/>
      <c r="AH51" s="257"/>
      <c r="AI51" s="257"/>
      <c r="AJ51" s="323">
        <f t="shared" si="6"/>
        <v>60</v>
      </c>
      <c r="AK51" s="323"/>
      <c r="AL51" s="323"/>
      <c r="AM51" s="323"/>
      <c r="AN51" s="323"/>
      <c r="AO51" s="323">
        <v>30</v>
      </c>
      <c r="AP51" s="323"/>
      <c r="AQ51" s="323"/>
      <c r="AR51" s="323"/>
      <c r="AS51" s="323"/>
      <c r="AT51" s="323">
        <v>30</v>
      </c>
      <c r="AU51" s="323"/>
      <c r="AV51" s="323"/>
      <c r="AW51" s="323"/>
      <c r="AX51" s="323"/>
      <c r="AY51" s="323"/>
      <c r="AZ51" s="323"/>
      <c r="BA51" s="323"/>
      <c r="BB51" s="323"/>
      <c r="BC51" s="323"/>
      <c r="BD51" s="324"/>
      <c r="BE51" s="324"/>
      <c r="BF51" s="324"/>
      <c r="BG51" s="324"/>
      <c r="BH51" s="324"/>
      <c r="BI51" s="324"/>
      <c r="BJ51" s="324"/>
      <c r="BK51" s="324"/>
      <c r="BL51" s="324"/>
      <c r="BM51" s="324"/>
      <c r="BN51" s="328">
        <f t="shared" si="7"/>
        <v>90</v>
      </c>
      <c r="BO51" s="329"/>
      <c r="BP51" s="329"/>
      <c r="BQ51" s="329"/>
      <c r="BR51" s="330"/>
      <c r="BS51" s="283"/>
      <c r="BT51" s="257"/>
      <c r="BU51" s="257"/>
      <c r="BV51" s="257"/>
      <c r="BW51" s="257"/>
      <c r="BX51" s="257"/>
      <c r="BY51" s="257"/>
      <c r="BZ51" s="257"/>
      <c r="CA51" s="257"/>
      <c r="CB51" s="257"/>
      <c r="CC51" s="257"/>
      <c r="CD51" s="257"/>
      <c r="CE51" s="257"/>
      <c r="CF51" s="257"/>
      <c r="CG51" s="257"/>
      <c r="CH51" s="257"/>
      <c r="CI51" s="257"/>
      <c r="CJ51" s="257"/>
      <c r="CK51" s="257"/>
      <c r="CL51" s="257"/>
      <c r="CM51" s="257"/>
      <c r="CN51" s="257"/>
      <c r="CO51" s="257"/>
      <c r="CP51" s="257"/>
      <c r="CQ51" s="257"/>
      <c r="CR51" s="257">
        <v>5</v>
      </c>
      <c r="CS51" s="257"/>
      <c r="CT51" s="257"/>
      <c r="CU51" s="257"/>
      <c r="CV51" s="258"/>
      <c r="CW51" s="283"/>
      <c r="CX51" s="257"/>
      <c r="CY51" s="257"/>
      <c r="CZ51" s="257"/>
      <c r="DA51" s="257"/>
      <c r="DB51" s="257"/>
      <c r="DC51" s="257"/>
      <c r="DD51" s="257"/>
      <c r="DE51" s="257"/>
      <c r="DF51" s="257"/>
      <c r="DG51" s="257"/>
      <c r="DH51" s="257"/>
      <c r="DI51" s="257"/>
      <c r="DJ51" s="257"/>
      <c r="DK51" s="257"/>
      <c r="DL51" s="257"/>
      <c r="DM51" s="257"/>
      <c r="DN51" s="257"/>
      <c r="DO51" s="257"/>
      <c r="DP51" s="257"/>
      <c r="DQ51" s="257"/>
      <c r="DR51" s="257"/>
      <c r="DS51" s="257"/>
      <c r="DT51" s="257"/>
      <c r="DU51" s="257"/>
      <c r="DV51" s="257">
        <v>5</v>
      </c>
      <c r="DW51" s="257"/>
      <c r="DX51" s="257"/>
      <c r="DY51" s="257"/>
      <c r="DZ51" s="258"/>
      <c r="EA51" s="427">
        <f t="shared" si="8"/>
        <v>5</v>
      </c>
      <c r="EB51" s="428"/>
      <c r="EC51" s="429"/>
      <c r="ED51" s="429"/>
      <c r="EE51" s="430"/>
      <c r="EF51" s="112"/>
      <c r="EI51" s="179">
        <v>5</v>
      </c>
      <c r="EJ51" s="180"/>
      <c r="EK51" s="180"/>
      <c r="EL51" s="181"/>
    </row>
    <row r="52" spans="1:156" s="123" customFormat="1" ht="80.099999999999994" customHeight="1" x14ac:dyDescent="0.2">
      <c r="A52" s="209" t="s">
        <v>93</v>
      </c>
      <c r="B52" s="150" t="s">
        <v>183</v>
      </c>
      <c r="C52" s="463" t="s">
        <v>130</v>
      </c>
      <c r="D52" s="463"/>
      <c r="E52" s="463"/>
      <c r="F52" s="463"/>
      <c r="G52" s="463"/>
      <c r="H52" s="463"/>
      <c r="I52" s="463"/>
      <c r="J52" s="463"/>
      <c r="K52" s="463"/>
      <c r="L52" s="463"/>
      <c r="M52" s="463"/>
      <c r="N52" s="463"/>
      <c r="O52" s="463"/>
      <c r="P52" s="463"/>
      <c r="Q52" s="463"/>
      <c r="R52" s="463"/>
      <c r="S52" s="463"/>
      <c r="T52" s="463"/>
      <c r="U52" s="463"/>
      <c r="V52" s="463"/>
      <c r="W52" s="463"/>
      <c r="X52" s="463"/>
      <c r="Y52" s="463"/>
      <c r="Z52" s="262">
        <f t="shared" si="5"/>
        <v>270</v>
      </c>
      <c r="AA52" s="262"/>
      <c r="AB52" s="262"/>
      <c r="AC52" s="262"/>
      <c r="AD52" s="262"/>
      <c r="AE52" s="257"/>
      <c r="AF52" s="257"/>
      <c r="AG52" s="257"/>
      <c r="AH52" s="257"/>
      <c r="AI52" s="257"/>
      <c r="AJ52" s="323">
        <f t="shared" si="6"/>
        <v>108</v>
      </c>
      <c r="AK52" s="323"/>
      <c r="AL52" s="323"/>
      <c r="AM52" s="323"/>
      <c r="AN52" s="323"/>
      <c r="AO52" s="323">
        <v>54</v>
      </c>
      <c r="AP52" s="323"/>
      <c r="AQ52" s="323"/>
      <c r="AR52" s="323"/>
      <c r="AS52" s="323"/>
      <c r="AT52" s="323">
        <v>26</v>
      </c>
      <c r="AU52" s="323"/>
      <c r="AV52" s="323"/>
      <c r="AW52" s="323"/>
      <c r="AX52" s="323"/>
      <c r="AY52" s="323">
        <v>28</v>
      </c>
      <c r="AZ52" s="323"/>
      <c r="BA52" s="323"/>
      <c r="BB52" s="323"/>
      <c r="BC52" s="323"/>
      <c r="BD52" s="324"/>
      <c r="BE52" s="324"/>
      <c r="BF52" s="324"/>
      <c r="BG52" s="324"/>
      <c r="BH52" s="324"/>
      <c r="BI52" s="324" t="s">
        <v>268</v>
      </c>
      <c r="BJ52" s="324"/>
      <c r="BK52" s="324"/>
      <c r="BL52" s="324"/>
      <c r="BM52" s="324"/>
      <c r="BN52" s="328">
        <f t="shared" si="7"/>
        <v>162</v>
      </c>
      <c r="BO52" s="329"/>
      <c r="BP52" s="329"/>
      <c r="BQ52" s="329"/>
      <c r="BR52" s="330"/>
      <c r="BS52" s="283"/>
      <c r="BT52" s="257"/>
      <c r="BU52" s="257"/>
      <c r="BV52" s="257"/>
      <c r="BW52" s="257"/>
      <c r="BX52" s="257"/>
      <c r="BY52" s="257"/>
      <c r="BZ52" s="257"/>
      <c r="CA52" s="257"/>
      <c r="CB52" s="257"/>
      <c r="CC52" s="257"/>
      <c r="CD52" s="257"/>
      <c r="CE52" s="257"/>
      <c r="CF52" s="257"/>
      <c r="CG52" s="257"/>
      <c r="CH52" s="257"/>
      <c r="CI52" s="257"/>
      <c r="CJ52" s="257"/>
      <c r="CK52" s="257"/>
      <c r="CL52" s="257"/>
      <c r="CM52" s="257">
        <v>4</v>
      </c>
      <c r="CN52" s="257"/>
      <c r="CO52" s="257"/>
      <c r="CP52" s="257"/>
      <c r="CQ52" s="257"/>
      <c r="CR52" s="257">
        <v>4</v>
      </c>
      <c r="CS52" s="257"/>
      <c r="CT52" s="257"/>
      <c r="CU52" s="257"/>
      <c r="CV52" s="258"/>
      <c r="CW52" s="283"/>
      <c r="CX52" s="257"/>
      <c r="CY52" s="257"/>
      <c r="CZ52" s="257"/>
      <c r="DA52" s="257"/>
      <c r="DB52" s="257"/>
      <c r="DC52" s="257"/>
      <c r="DD52" s="257"/>
      <c r="DE52" s="257"/>
      <c r="DF52" s="257"/>
      <c r="DG52" s="257"/>
      <c r="DH52" s="257"/>
      <c r="DI52" s="257"/>
      <c r="DJ52" s="257"/>
      <c r="DK52" s="257"/>
      <c r="DL52" s="257"/>
      <c r="DM52" s="257"/>
      <c r="DN52" s="257"/>
      <c r="DO52" s="257"/>
      <c r="DP52" s="257"/>
      <c r="DQ52" s="257">
        <v>5</v>
      </c>
      <c r="DR52" s="257"/>
      <c r="DS52" s="257"/>
      <c r="DT52" s="257"/>
      <c r="DU52" s="257"/>
      <c r="DV52" s="257">
        <v>4</v>
      </c>
      <c r="DW52" s="257"/>
      <c r="DX52" s="257"/>
      <c r="DY52" s="257"/>
      <c r="DZ52" s="258"/>
      <c r="EA52" s="427">
        <f t="shared" si="8"/>
        <v>9</v>
      </c>
      <c r="EB52" s="428"/>
      <c r="EC52" s="429"/>
      <c r="ED52" s="429"/>
      <c r="EE52" s="430"/>
      <c r="EF52" s="112"/>
      <c r="EI52" s="179">
        <v>9</v>
      </c>
      <c r="EJ52" s="180"/>
      <c r="EK52" s="180"/>
      <c r="EL52" s="181"/>
    </row>
    <row r="53" spans="1:156" s="36" customFormat="1" ht="69.95" customHeight="1" x14ac:dyDescent="0.2">
      <c r="A53" s="230" t="s">
        <v>37</v>
      </c>
      <c r="B53" s="229"/>
      <c r="C53" s="461" t="s">
        <v>72</v>
      </c>
      <c r="D53" s="461"/>
      <c r="E53" s="461"/>
      <c r="F53" s="461"/>
      <c r="G53" s="461"/>
      <c r="H53" s="461"/>
      <c r="I53" s="461"/>
      <c r="J53" s="461"/>
      <c r="K53" s="461"/>
      <c r="L53" s="461"/>
      <c r="M53" s="461"/>
      <c r="N53" s="461"/>
      <c r="O53" s="461"/>
      <c r="P53" s="461"/>
      <c r="Q53" s="461"/>
      <c r="R53" s="461"/>
      <c r="S53" s="461"/>
      <c r="T53" s="461"/>
      <c r="U53" s="461"/>
      <c r="V53" s="461"/>
      <c r="W53" s="461"/>
      <c r="X53" s="461"/>
      <c r="Y53" s="461"/>
      <c r="Z53" s="291">
        <f>SUM(Z54:AD71)</f>
        <v>1440</v>
      </c>
      <c r="AA53" s="291"/>
      <c r="AB53" s="291"/>
      <c r="AC53" s="291"/>
      <c r="AD53" s="291"/>
      <c r="AE53" s="462">
        <f>Z53/$Z$76*100</f>
        <v>26.666666666666668</v>
      </c>
      <c r="AF53" s="462"/>
      <c r="AG53" s="462"/>
      <c r="AH53" s="462"/>
      <c r="AI53" s="462"/>
      <c r="AJ53" s="325">
        <f>AJ54+SUM(AJ56:AN71)</f>
        <v>696</v>
      </c>
      <c r="AK53" s="326"/>
      <c r="AL53" s="326"/>
      <c r="AM53" s="326"/>
      <c r="AN53" s="327"/>
      <c r="AO53" s="325">
        <f t="shared" ref="AO53" si="9">SUM(AO54:AS71)</f>
        <v>264</v>
      </c>
      <c r="AP53" s="326"/>
      <c r="AQ53" s="326"/>
      <c r="AR53" s="326"/>
      <c r="AS53" s="327"/>
      <c r="AT53" s="325">
        <f t="shared" ref="AT53" si="10">SUM(AT54:AX71)</f>
        <v>504</v>
      </c>
      <c r="AU53" s="326"/>
      <c r="AV53" s="326"/>
      <c r="AW53" s="326"/>
      <c r="AX53" s="327"/>
      <c r="AY53" s="325">
        <f t="shared" ref="AY53" si="11">SUM(AY54:BC71)</f>
        <v>48</v>
      </c>
      <c r="AZ53" s="326"/>
      <c r="BA53" s="326"/>
      <c r="BB53" s="326"/>
      <c r="BC53" s="327"/>
      <c r="BD53" s="325">
        <f t="shared" ref="BD53" si="12">SUM(BD54:BH71)</f>
        <v>0</v>
      </c>
      <c r="BE53" s="326"/>
      <c r="BF53" s="326"/>
      <c r="BG53" s="326"/>
      <c r="BH53" s="327"/>
      <c r="BI53" s="325">
        <f>SUM(BI54:BM71)</f>
        <v>0</v>
      </c>
      <c r="BJ53" s="326"/>
      <c r="BK53" s="326"/>
      <c r="BL53" s="326"/>
      <c r="BM53" s="327"/>
      <c r="BN53" s="291">
        <f>SUM(BN54:BR71)</f>
        <v>888</v>
      </c>
      <c r="BO53" s="291"/>
      <c r="BP53" s="291"/>
      <c r="BQ53" s="291"/>
      <c r="BR53" s="342"/>
      <c r="BS53" s="331">
        <f>SUM(BS55:BW61)</f>
        <v>0</v>
      </c>
      <c r="BT53" s="292"/>
      <c r="BU53" s="292"/>
      <c r="BV53" s="292"/>
      <c r="BW53" s="292"/>
      <c r="BX53" s="292">
        <f>SUM(BX55:CB61)</f>
        <v>2</v>
      </c>
      <c r="BY53" s="292"/>
      <c r="BZ53" s="292"/>
      <c r="CA53" s="292"/>
      <c r="CB53" s="292"/>
      <c r="CC53" s="292">
        <f>SUM(CC54:CG71)</f>
        <v>8</v>
      </c>
      <c r="CD53" s="292"/>
      <c r="CE53" s="292"/>
      <c r="CF53" s="292"/>
      <c r="CG53" s="292"/>
      <c r="CH53" s="292">
        <f>SUM(CH54:CL71)</f>
        <v>8</v>
      </c>
      <c r="CI53" s="292"/>
      <c r="CJ53" s="292"/>
      <c r="CK53" s="292"/>
      <c r="CL53" s="292"/>
      <c r="CM53" s="292">
        <f>SUM(CM54:CQ71)</f>
        <v>12</v>
      </c>
      <c r="CN53" s="292"/>
      <c r="CO53" s="292"/>
      <c r="CP53" s="292"/>
      <c r="CQ53" s="292"/>
      <c r="CR53" s="292">
        <f>SUM(CR54:CV71)</f>
        <v>12</v>
      </c>
      <c r="CS53" s="292"/>
      <c r="CT53" s="292"/>
      <c r="CU53" s="292"/>
      <c r="CV53" s="404"/>
      <c r="CW53" s="331">
        <f>SUM(CW54:DA71)</f>
        <v>0</v>
      </c>
      <c r="CX53" s="292"/>
      <c r="CY53" s="292"/>
      <c r="CZ53" s="292"/>
      <c r="DA53" s="292"/>
      <c r="DB53" s="292">
        <f>SUM(DB54:DF71)</f>
        <v>2</v>
      </c>
      <c r="DC53" s="292"/>
      <c r="DD53" s="292"/>
      <c r="DE53" s="292"/>
      <c r="DF53" s="292"/>
      <c r="DG53" s="292">
        <f>SUM(DG54:DK71)</f>
        <v>10</v>
      </c>
      <c r="DH53" s="292"/>
      <c r="DI53" s="292"/>
      <c r="DJ53" s="292"/>
      <c r="DK53" s="292"/>
      <c r="DL53" s="292">
        <f>SUM(DL54:DP71)</f>
        <v>8</v>
      </c>
      <c r="DM53" s="292"/>
      <c r="DN53" s="292"/>
      <c r="DO53" s="292"/>
      <c r="DP53" s="292"/>
      <c r="DQ53" s="292">
        <f>SUM(DQ54:DU71)</f>
        <v>16</v>
      </c>
      <c r="DR53" s="292"/>
      <c r="DS53" s="292"/>
      <c r="DT53" s="292"/>
      <c r="DU53" s="292"/>
      <c r="DV53" s="292">
        <f>SUM(DV54:DZ71)</f>
        <v>12</v>
      </c>
      <c r="DW53" s="292"/>
      <c r="DX53" s="292"/>
      <c r="DY53" s="292"/>
      <c r="DZ53" s="404"/>
      <c r="EA53" s="292">
        <f>SUM(EA54:EE71)</f>
        <v>48</v>
      </c>
      <c r="EB53" s="292"/>
      <c r="EC53" s="292"/>
      <c r="ED53" s="292"/>
      <c r="EE53" s="292"/>
      <c r="EF53" s="37"/>
      <c r="EI53" s="170"/>
      <c r="EJ53" s="171"/>
      <c r="EK53" s="171"/>
      <c r="EL53" s="172"/>
    </row>
    <row r="54" spans="1:156" s="123" customFormat="1" ht="79.5" customHeight="1" x14ac:dyDescent="0.2">
      <c r="A54" s="468" t="s">
        <v>9</v>
      </c>
      <c r="B54" s="206" t="s">
        <v>193</v>
      </c>
      <c r="C54" s="290" t="s">
        <v>184</v>
      </c>
      <c r="D54" s="290"/>
      <c r="E54" s="290"/>
      <c r="F54" s="290"/>
      <c r="G54" s="290"/>
      <c r="H54" s="290"/>
      <c r="I54" s="290"/>
      <c r="J54" s="290"/>
      <c r="K54" s="290"/>
      <c r="L54" s="290"/>
      <c r="M54" s="290"/>
      <c r="N54" s="290"/>
      <c r="O54" s="290"/>
      <c r="P54" s="290"/>
      <c r="Q54" s="290"/>
      <c r="R54" s="290"/>
      <c r="S54" s="290"/>
      <c r="T54" s="290"/>
      <c r="U54" s="290"/>
      <c r="V54" s="290"/>
      <c r="W54" s="290"/>
      <c r="X54" s="290"/>
      <c r="Y54" s="290"/>
      <c r="Z54" s="455">
        <f>EA54*30</f>
        <v>360</v>
      </c>
      <c r="AA54" s="456"/>
      <c r="AB54" s="456"/>
      <c r="AC54" s="456"/>
      <c r="AD54" s="457"/>
      <c r="AE54" s="423"/>
      <c r="AF54" s="333"/>
      <c r="AG54" s="333"/>
      <c r="AH54" s="333"/>
      <c r="AI54" s="437"/>
      <c r="AJ54" s="336">
        <f>SUM(AO54:BC54)</f>
        <v>120</v>
      </c>
      <c r="AK54" s="337"/>
      <c r="AL54" s="337"/>
      <c r="AM54" s="337"/>
      <c r="AN54" s="338"/>
      <c r="AO54" s="336"/>
      <c r="AP54" s="337"/>
      <c r="AQ54" s="337"/>
      <c r="AR54" s="337"/>
      <c r="AS54" s="338"/>
      <c r="AT54" s="336">
        <v>120</v>
      </c>
      <c r="AU54" s="337"/>
      <c r="AV54" s="337"/>
      <c r="AW54" s="337"/>
      <c r="AX54" s="338"/>
      <c r="AY54" s="336"/>
      <c r="AZ54" s="337"/>
      <c r="BA54" s="337"/>
      <c r="BB54" s="337"/>
      <c r="BC54" s="338"/>
      <c r="BD54" s="336"/>
      <c r="BE54" s="337"/>
      <c r="BF54" s="337"/>
      <c r="BG54" s="337"/>
      <c r="BH54" s="338"/>
      <c r="BI54" s="336"/>
      <c r="BJ54" s="337"/>
      <c r="BK54" s="337"/>
      <c r="BL54" s="337"/>
      <c r="BM54" s="338"/>
      <c r="BN54" s="301">
        <f>Z54-AJ54</f>
        <v>240</v>
      </c>
      <c r="BO54" s="302"/>
      <c r="BP54" s="302"/>
      <c r="BQ54" s="302"/>
      <c r="BR54" s="303"/>
      <c r="BS54" s="332"/>
      <c r="BT54" s="333"/>
      <c r="BU54" s="333"/>
      <c r="BV54" s="333"/>
      <c r="BW54" s="333"/>
      <c r="BX54" s="257"/>
      <c r="BY54" s="257"/>
      <c r="BZ54" s="257"/>
      <c r="CA54" s="257"/>
      <c r="CB54" s="257"/>
      <c r="CC54" s="257">
        <v>3</v>
      </c>
      <c r="CD54" s="257"/>
      <c r="CE54" s="257"/>
      <c r="CF54" s="257"/>
      <c r="CG54" s="257"/>
      <c r="CH54" s="257">
        <v>2</v>
      </c>
      <c r="CI54" s="257"/>
      <c r="CJ54" s="257"/>
      <c r="CK54" s="257"/>
      <c r="CL54" s="257"/>
      <c r="CM54" s="257">
        <v>3</v>
      </c>
      <c r="CN54" s="257"/>
      <c r="CO54" s="257"/>
      <c r="CP54" s="257"/>
      <c r="CQ54" s="257"/>
      <c r="CR54" s="257">
        <v>2</v>
      </c>
      <c r="CS54" s="257"/>
      <c r="CT54" s="257"/>
      <c r="CU54" s="257"/>
      <c r="CV54" s="258"/>
      <c r="CW54" s="332"/>
      <c r="CX54" s="333"/>
      <c r="CY54" s="333"/>
      <c r="CZ54" s="333"/>
      <c r="DA54" s="437"/>
      <c r="DB54" s="423"/>
      <c r="DC54" s="333"/>
      <c r="DD54" s="333"/>
      <c r="DE54" s="333"/>
      <c r="DF54" s="437"/>
      <c r="DG54" s="423">
        <v>4</v>
      </c>
      <c r="DH54" s="333"/>
      <c r="DI54" s="333"/>
      <c r="DJ54" s="333"/>
      <c r="DK54" s="437"/>
      <c r="DL54" s="423">
        <v>2</v>
      </c>
      <c r="DM54" s="333"/>
      <c r="DN54" s="333"/>
      <c r="DO54" s="333"/>
      <c r="DP54" s="437"/>
      <c r="DQ54" s="423">
        <v>4</v>
      </c>
      <c r="DR54" s="333"/>
      <c r="DS54" s="333"/>
      <c r="DT54" s="333"/>
      <c r="DU54" s="437"/>
      <c r="DV54" s="423">
        <v>2</v>
      </c>
      <c r="DW54" s="333"/>
      <c r="DX54" s="333"/>
      <c r="DY54" s="333"/>
      <c r="DZ54" s="424"/>
      <c r="EA54" s="431">
        <f>SUM(CW54:DZ55)</f>
        <v>12</v>
      </c>
      <c r="EB54" s="432"/>
      <c r="EC54" s="432"/>
      <c r="ED54" s="432"/>
      <c r="EE54" s="433"/>
      <c r="EI54" s="179"/>
      <c r="EJ54" s="180"/>
      <c r="EK54" s="180"/>
      <c r="EL54" s="181"/>
      <c r="ES54" s="231" t="s">
        <v>241</v>
      </c>
      <c r="ET54" s="231"/>
      <c r="EU54" s="231"/>
      <c r="EV54" s="231"/>
      <c r="EW54" s="231"/>
      <c r="EX54" s="231"/>
      <c r="EY54" s="231"/>
      <c r="EZ54" s="231">
        <v>4</v>
      </c>
    </row>
    <row r="55" spans="1:156" s="123" customFormat="1" ht="99.95" customHeight="1" x14ac:dyDescent="0.2">
      <c r="A55" s="469"/>
      <c r="B55" s="206" t="s">
        <v>194</v>
      </c>
      <c r="C55" s="290" t="s">
        <v>195</v>
      </c>
      <c r="D55" s="290"/>
      <c r="E55" s="290"/>
      <c r="F55" s="290"/>
      <c r="G55" s="290"/>
      <c r="H55" s="290"/>
      <c r="I55" s="290"/>
      <c r="J55" s="290"/>
      <c r="K55" s="290"/>
      <c r="L55" s="290"/>
      <c r="M55" s="290"/>
      <c r="N55" s="290"/>
      <c r="O55" s="290"/>
      <c r="P55" s="290"/>
      <c r="Q55" s="290"/>
      <c r="R55" s="290"/>
      <c r="S55" s="290"/>
      <c r="T55" s="290"/>
      <c r="U55" s="290"/>
      <c r="V55" s="290"/>
      <c r="W55" s="290"/>
      <c r="X55" s="290"/>
      <c r="Y55" s="290"/>
      <c r="Z55" s="458"/>
      <c r="AA55" s="459"/>
      <c r="AB55" s="459"/>
      <c r="AC55" s="459"/>
      <c r="AD55" s="460"/>
      <c r="AE55" s="425"/>
      <c r="AF55" s="335"/>
      <c r="AG55" s="335"/>
      <c r="AH55" s="335"/>
      <c r="AI55" s="438"/>
      <c r="AJ55" s="336">
        <f>SUM(AO55:BC55)</f>
        <v>120</v>
      </c>
      <c r="AK55" s="337"/>
      <c r="AL55" s="337"/>
      <c r="AM55" s="337"/>
      <c r="AN55" s="338"/>
      <c r="AO55" s="336">
        <v>60</v>
      </c>
      <c r="AP55" s="337"/>
      <c r="AQ55" s="337"/>
      <c r="AR55" s="337"/>
      <c r="AS55" s="338"/>
      <c r="AT55" s="336">
        <v>60</v>
      </c>
      <c r="AU55" s="337"/>
      <c r="AV55" s="337"/>
      <c r="AW55" s="337"/>
      <c r="AX55" s="338"/>
      <c r="AY55" s="336"/>
      <c r="AZ55" s="337"/>
      <c r="BA55" s="337"/>
      <c r="BB55" s="337"/>
      <c r="BC55" s="338"/>
      <c r="BD55" s="351"/>
      <c r="BE55" s="352"/>
      <c r="BF55" s="352"/>
      <c r="BG55" s="352"/>
      <c r="BH55" s="353"/>
      <c r="BI55" s="351"/>
      <c r="BJ55" s="352"/>
      <c r="BK55" s="352"/>
      <c r="BL55" s="352"/>
      <c r="BM55" s="353"/>
      <c r="BN55" s="304"/>
      <c r="BO55" s="305"/>
      <c r="BP55" s="305"/>
      <c r="BQ55" s="305"/>
      <c r="BR55" s="306"/>
      <c r="BS55" s="334"/>
      <c r="BT55" s="335"/>
      <c r="BU55" s="335"/>
      <c r="BV55" s="335"/>
      <c r="BW55" s="335"/>
      <c r="BX55" s="257"/>
      <c r="BY55" s="257"/>
      <c r="BZ55" s="257"/>
      <c r="CA55" s="257"/>
      <c r="CB55" s="257"/>
      <c r="CC55" s="257"/>
      <c r="CD55" s="257"/>
      <c r="CE55" s="257"/>
      <c r="CF55" s="257"/>
      <c r="CG55" s="257"/>
      <c r="CH55" s="257"/>
      <c r="CI55" s="257"/>
      <c r="CJ55" s="257"/>
      <c r="CK55" s="257"/>
      <c r="CL55" s="257"/>
      <c r="CM55" s="257"/>
      <c r="CN55" s="257"/>
      <c r="CO55" s="257"/>
      <c r="CP55" s="257"/>
      <c r="CQ55" s="257"/>
      <c r="CR55" s="257"/>
      <c r="CS55" s="257"/>
      <c r="CT55" s="257"/>
      <c r="CU55" s="257"/>
      <c r="CV55" s="258"/>
      <c r="CW55" s="334"/>
      <c r="CX55" s="335"/>
      <c r="CY55" s="335"/>
      <c r="CZ55" s="335"/>
      <c r="DA55" s="438"/>
      <c r="DB55" s="425"/>
      <c r="DC55" s="335"/>
      <c r="DD55" s="335"/>
      <c r="DE55" s="335"/>
      <c r="DF55" s="438"/>
      <c r="DG55" s="425"/>
      <c r="DH55" s="335"/>
      <c r="DI55" s="335"/>
      <c r="DJ55" s="335"/>
      <c r="DK55" s="438"/>
      <c r="DL55" s="425"/>
      <c r="DM55" s="335"/>
      <c r="DN55" s="335"/>
      <c r="DO55" s="335"/>
      <c r="DP55" s="438"/>
      <c r="DQ55" s="425"/>
      <c r="DR55" s="335"/>
      <c r="DS55" s="335"/>
      <c r="DT55" s="335"/>
      <c r="DU55" s="438"/>
      <c r="DV55" s="425"/>
      <c r="DW55" s="335"/>
      <c r="DX55" s="335"/>
      <c r="DY55" s="335"/>
      <c r="DZ55" s="426"/>
      <c r="EA55" s="434"/>
      <c r="EB55" s="435"/>
      <c r="EC55" s="435"/>
      <c r="ED55" s="435"/>
      <c r="EE55" s="436"/>
      <c r="EI55" s="179"/>
      <c r="EJ55" s="180"/>
      <c r="EK55" s="180"/>
      <c r="EL55" s="181"/>
      <c r="ES55" s="231"/>
      <c r="ET55" s="231"/>
      <c r="EU55" s="231"/>
      <c r="EV55" s="231"/>
      <c r="EW55" s="231"/>
      <c r="EX55" s="231"/>
      <c r="EY55" s="231"/>
      <c r="EZ55" s="231"/>
    </row>
    <row r="56" spans="1:156" s="123" customFormat="1" ht="80.099999999999994" customHeight="1" x14ac:dyDescent="0.2">
      <c r="A56" s="468" t="s">
        <v>10</v>
      </c>
      <c r="B56" s="206" t="s">
        <v>192</v>
      </c>
      <c r="C56" s="290" t="s">
        <v>185</v>
      </c>
      <c r="D56" s="290"/>
      <c r="E56" s="290"/>
      <c r="F56" s="290"/>
      <c r="G56" s="290"/>
      <c r="H56" s="290"/>
      <c r="I56" s="290"/>
      <c r="J56" s="290"/>
      <c r="K56" s="290"/>
      <c r="L56" s="290"/>
      <c r="M56" s="290"/>
      <c r="N56" s="290"/>
      <c r="O56" s="290"/>
      <c r="P56" s="290"/>
      <c r="Q56" s="290"/>
      <c r="R56" s="290"/>
      <c r="S56" s="290"/>
      <c r="T56" s="290"/>
      <c r="U56" s="290"/>
      <c r="V56" s="290"/>
      <c r="W56" s="290"/>
      <c r="X56" s="290"/>
      <c r="Y56" s="290"/>
      <c r="Z56" s="455">
        <f>EA56*30</f>
        <v>360</v>
      </c>
      <c r="AA56" s="456"/>
      <c r="AB56" s="456"/>
      <c r="AC56" s="456"/>
      <c r="AD56" s="457"/>
      <c r="AE56" s="423"/>
      <c r="AF56" s="333"/>
      <c r="AG56" s="333"/>
      <c r="AH56" s="333"/>
      <c r="AI56" s="437"/>
      <c r="AJ56" s="336">
        <f>SUM(AO56:BH56)</f>
        <v>144</v>
      </c>
      <c r="AK56" s="337"/>
      <c r="AL56" s="337"/>
      <c r="AM56" s="337"/>
      <c r="AN56" s="338"/>
      <c r="AO56" s="336"/>
      <c r="AP56" s="337"/>
      <c r="AQ56" s="337"/>
      <c r="AR56" s="337"/>
      <c r="AS56" s="338"/>
      <c r="AT56" s="336">
        <v>144</v>
      </c>
      <c r="AU56" s="337"/>
      <c r="AV56" s="337"/>
      <c r="AW56" s="337"/>
      <c r="AX56" s="338"/>
      <c r="AY56" s="336"/>
      <c r="AZ56" s="337"/>
      <c r="BA56" s="337"/>
      <c r="BB56" s="337"/>
      <c r="BC56" s="338"/>
      <c r="BD56" s="336"/>
      <c r="BE56" s="337"/>
      <c r="BF56" s="337"/>
      <c r="BG56" s="337"/>
      <c r="BH56" s="338"/>
      <c r="BI56" s="336"/>
      <c r="BJ56" s="337"/>
      <c r="BK56" s="337"/>
      <c r="BL56" s="337"/>
      <c r="BM56" s="338"/>
      <c r="BN56" s="301">
        <f t="shared" ref="BN56" si="13">Z56-AJ56</f>
        <v>216</v>
      </c>
      <c r="BO56" s="302"/>
      <c r="BP56" s="302"/>
      <c r="BQ56" s="302"/>
      <c r="BR56" s="303"/>
      <c r="BS56" s="332"/>
      <c r="BT56" s="333"/>
      <c r="BU56" s="333"/>
      <c r="BV56" s="333"/>
      <c r="BW56" s="333"/>
      <c r="BX56" s="257">
        <v>2</v>
      </c>
      <c r="BY56" s="257"/>
      <c r="BZ56" s="257"/>
      <c r="CA56" s="257"/>
      <c r="CB56" s="257"/>
      <c r="CC56" s="257">
        <v>2</v>
      </c>
      <c r="CD56" s="257"/>
      <c r="CE56" s="257"/>
      <c r="CF56" s="257"/>
      <c r="CG56" s="257"/>
      <c r="CH56" s="257">
        <v>2</v>
      </c>
      <c r="CI56" s="257"/>
      <c r="CJ56" s="257"/>
      <c r="CK56" s="257"/>
      <c r="CL56" s="257"/>
      <c r="CM56" s="257">
        <v>3</v>
      </c>
      <c r="CN56" s="257"/>
      <c r="CO56" s="257"/>
      <c r="CP56" s="257"/>
      <c r="CQ56" s="257"/>
      <c r="CR56" s="257">
        <v>2</v>
      </c>
      <c r="CS56" s="257"/>
      <c r="CT56" s="257"/>
      <c r="CU56" s="257"/>
      <c r="CV56" s="258"/>
      <c r="CW56" s="332"/>
      <c r="CX56" s="333"/>
      <c r="CY56" s="333"/>
      <c r="CZ56" s="333"/>
      <c r="DA56" s="437"/>
      <c r="DB56" s="423">
        <v>2</v>
      </c>
      <c r="DC56" s="333"/>
      <c r="DD56" s="333"/>
      <c r="DE56" s="333"/>
      <c r="DF56" s="437"/>
      <c r="DG56" s="423">
        <v>2</v>
      </c>
      <c r="DH56" s="333"/>
      <c r="DI56" s="333"/>
      <c r="DJ56" s="333"/>
      <c r="DK56" s="437"/>
      <c r="DL56" s="423">
        <v>2</v>
      </c>
      <c r="DM56" s="333"/>
      <c r="DN56" s="333"/>
      <c r="DO56" s="333"/>
      <c r="DP56" s="437"/>
      <c r="DQ56" s="423">
        <v>4</v>
      </c>
      <c r="DR56" s="333"/>
      <c r="DS56" s="333"/>
      <c r="DT56" s="333"/>
      <c r="DU56" s="437"/>
      <c r="DV56" s="423">
        <v>2</v>
      </c>
      <c r="DW56" s="333"/>
      <c r="DX56" s="333"/>
      <c r="DY56" s="333"/>
      <c r="DZ56" s="424"/>
      <c r="EA56" s="431">
        <f t="shared" ref="EA56" si="14">SUM(CW56:DZ57)</f>
        <v>12</v>
      </c>
      <c r="EB56" s="432"/>
      <c r="EC56" s="432"/>
      <c r="ED56" s="432"/>
      <c r="EE56" s="433"/>
      <c r="EF56" s="113"/>
      <c r="EI56" s="179"/>
      <c r="EJ56" s="180"/>
      <c r="EK56" s="180"/>
      <c r="EL56" s="181"/>
      <c r="EO56" s="231" t="s">
        <v>242</v>
      </c>
      <c r="ES56" s="231"/>
      <c r="ET56" s="231"/>
      <c r="EU56" s="231"/>
      <c r="EV56" s="231"/>
      <c r="EW56" s="231"/>
      <c r="EX56" s="231"/>
      <c r="EY56" s="231"/>
      <c r="EZ56" s="231"/>
    </row>
    <row r="57" spans="1:156" s="123" customFormat="1" ht="80.099999999999994" customHeight="1" x14ac:dyDescent="0.2">
      <c r="A57" s="469"/>
      <c r="B57" s="206" t="s">
        <v>273</v>
      </c>
      <c r="C57" s="290" t="s">
        <v>140</v>
      </c>
      <c r="D57" s="290"/>
      <c r="E57" s="290"/>
      <c r="F57" s="290"/>
      <c r="G57" s="290"/>
      <c r="H57" s="290"/>
      <c r="I57" s="290"/>
      <c r="J57" s="290"/>
      <c r="K57" s="290"/>
      <c r="L57" s="290"/>
      <c r="M57" s="290"/>
      <c r="N57" s="290"/>
      <c r="O57" s="290"/>
      <c r="P57" s="290"/>
      <c r="Q57" s="290"/>
      <c r="R57" s="290"/>
      <c r="S57" s="290"/>
      <c r="T57" s="290"/>
      <c r="U57" s="290"/>
      <c r="V57" s="290"/>
      <c r="W57" s="290"/>
      <c r="X57" s="290"/>
      <c r="Y57" s="290"/>
      <c r="Z57" s="458"/>
      <c r="AA57" s="459"/>
      <c r="AB57" s="459"/>
      <c r="AC57" s="459"/>
      <c r="AD57" s="460"/>
      <c r="AE57" s="425"/>
      <c r="AF57" s="335"/>
      <c r="AG57" s="335"/>
      <c r="AH57" s="335"/>
      <c r="AI57" s="438"/>
      <c r="AJ57" s="336">
        <f>SUM(AO57:BH57)</f>
        <v>144</v>
      </c>
      <c r="AK57" s="337"/>
      <c r="AL57" s="337"/>
      <c r="AM57" s="337"/>
      <c r="AN57" s="338"/>
      <c r="AO57" s="336">
        <v>72</v>
      </c>
      <c r="AP57" s="337"/>
      <c r="AQ57" s="337"/>
      <c r="AR57" s="337"/>
      <c r="AS57" s="338"/>
      <c r="AT57" s="336">
        <v>72</v>
      </c>
      <c r="AU57" s="337"/>
      <c r="AV57" s="337"/>
      <c r="AW57" s="337"/>
      <c r="AX57" s="338"/>
      <c r="AY57" s="336"/>
      <c r="AZ57" s="337"/>
      <c r="BA57" s="337"/>
      <c r="BB57" s="337"/>
      <c r="BC57" s="338"/>
      <c r="BD57" s="351"/>
      <c r="BE57" s="352"/>
      <c r="BF57" s="352"/>
      <c r="BG57" s="352"/>
      <c r="BH57" s="353"/>
      <c r="BI57" s="351"/>
      <c r="BJ57" s="352"/>
      <c r="BK57" s="352"/>
      <c r="BL57" s="352"/>
      <c r="BM57" s="353"/>
      <c r="BN57" s="304"/>
      <c r="BO57" s="305"/>
      <c r="BP57" s="305"/>
      <c r="BQ57" s="305"/>
      <c r="BR57" s="306"/>
      <c r="BS57" s="334"/>
      <c r="BT57" s="335"/>
      <c r="BU57" s="335"/>
      <c r="BV57" s="335"/>
      <c r="BW57" s="335"/>
      <c r="BX57" s="257"/>
      <c r="BY57" s="257"/>
      <c r="BZ57" s="257"/>
      <c r="CA57" s="257"/>
      <c r="CB57" s="257"/>
      <c r="CC57" s="257"/>
      <c r="CD57" s="257"/>
      <c r="CE57" s="257"/>
      <c r="CF57" s="257"/>
      <c r="CG57" s="257"/>
      <c r="CH57" s="257"/>
      <c r="CI57" s="257"/>
      <c r="CJ57" s="257"/>
      <c r="CK57" s="257"/>
      <c r="CL57" s="257"/>
      <c r="CM57" s="257"/>
      <c r="CN57" s="257"/>
      <c r="CO57" s="257"/>
      <c r="CP57" s="257"/>
      <c r="CQ57" s="257"/>
      <c r="CR57" s="257"/>
      <c r="CS57" s="257"/>
      <c r="CT57" s="257"/>
      <c r="CU57" s="257"/>
      <c r="CV57" s="258"/>
      <c r="CW57" s="334"/>
      <c r="CX57" s="335"/>
      <c r="CY57" s="335"/>
      <c r="CZ57" s="335"/>
      <c r="DA57" s="438"/>
      <c r="DB57" s="425"/>
      <c r="DC57" s="335"/>
      <c r="DD57" s="335"/>
      <c r="DE57" s="335"/>
      <c r="DF57" s="438"/>
      <c r="DG57" s="425"/>
      <c r="DH57" s="335"/>
      <c r="DI57" s="335"/>
      <c r="DJ57" s="335"/>
      <c r="DK57" s="438"/>
      <c r="DL57" s="425"/>
      <c r="DM57" s="335"/>
      <c r="DN57" s="335"/>
      <c r="DO57" s="335"/>
      <c r="DP57" s="438"/>
      <c r="DQ57" s="425"/>
      <c r="DR57" s="335"/>
      <c r="DS57" s="335"/>
      <c r="DT57" s="335"/>
      <c r="DU57" s="438"/>
      <c r="DV57" s="425"/>
      <c r="DW57" s="335"/>
      <c r="DX57" s="335"/>
      <c r="DY57" s="335"/>
      <c r="DZ57" s="426"/>
      <c r="EA57" s="434"/>
      <c r="EB57" s="435"/>
      <c r="EC57" s="435"/>
      <c r="ED57" s="435"/>
      <c r="EE57" s="436"/>
      <c r="EF57" s="113"/>
      <c r="EI57" s="179"/>
      <c r="EJ57" s="180"/>
      <c r="EK57" s="180"/>
      <c r="EL57" s="181"/>
      <c r="ES57" s="231"/>
      <c r="ET57" s="231"/>
      <c r="EU57" s="231"/>
      <c r="EV57" s="231"/>
      <c r="EW57" s="231"/>
      <c r="EX57" s="231"/>
      <c r="EY57" s="231"/>
      <c r="EZ57" s="231"/>
    </row>
    <row r="58" spans="1:156" s="113" customFormat="1" ht="80.099999999999994" customHeight="1" x14ac:dyDescent="0.2">
      <c r="A58" s="468" t="s">
        <v>38</v>
      </c>
      <c r="B58" s="206" t="s">
        <v>135</v>
      </c>
      <c r="C58" s="261" t="s">
        <v>104</v>
      </c>
      <c r="D58" s="261"/>
      <c r="E58" s="261"/>
      <c r="F58" s="261"/>
      <c r="G58" s="261"/>
      <c r="H58" s="261"/>
      <c r="I58" s="261"/>
      <c r="J58" s="261"/>
      <c r="K58" s="261"/>
      <c r="L58" s="261"/>
      <c r="M58" s="261"/>
      <c r="N58" s="261"/>
      <c r="O58" s="261"/>
      <c r="P58" s="261"/>
      <c r="Q58" s="261"/>
      <c r="R58" s="261"/>
      <c r="S58" s="261"/>
      <c r="T58" s="261"/>
      <c r="U58" s="261"/>
      <c r="V58" s="261"/>
      <c r="W58" s="261"/>
      <c r="X58" s="261"/>
      <c r="Y58" s="261"/>
      <c r="Z58" s="455">
        <f t="shared" ref="Z58" si="15">EA58*30</f>
        <v>120</v>
      </c>
      <c r="AA58" s="456"/>
      <c r="AB58" s="456"/>
      <c r="AC58" s="456"/>
      <c r="AD58" s="457"/>
      <c r="AE58" s="423"/>
      <c r="AF58" s="333"/>
      <c r="AG58" s="333"/>
      <c r="AH58" s="333"/>
      <c r="AI58" s="437"/>
      <c r="AJ58" s="336">
        <f t="shared" ref="AJ58" si="16">SUM(AO58:BH59)</f>
        <v>48</v>
      </c>
      <c r="AK58" s="337"/>
      <c r="AL58" s="337"/>
      <c r="AM58" s="337"/>
      <c r="AN58" s="338"/>
      <c r="AO58" s="336">
        <v>24</v>
      </c>
      <c r="AP58" s="337"/>
      <c r="AQ58" s="337"/>
      <c r="AR58" s="337"/>
      <c r="AS58" s="338"/>
      <c r="AT58" s="336">
        <v>24</v>
      </c>
      <c r="AU58" s="337"/>
      <c r="AV58" s="337"/>
      <c r="AW58" s="337"/>
      <c r="AX58" s="338"/>
      <c r="AY58" s="336"/>
      <c r="AZ58" s="337"/>
      <c r="BA58" s="337"/>
      <c r="BB58" s="337"/>
      <c r="BC58" s="338"/>
      <c r="BD58" s="336"/>
      <c r="BE58" s="337"/>
      <c r="BF58" s="337"/>
      <c r="BG58" s="337"/>
      <c r="BH58" s="338"/>
      <c r="BI58" s="336"/>
      <c r="BJ58" s="337"/>
      <c r="BK58" s="337"/>
      <c r="BL58" s="337"/>
      <c r="BM58" s="338"/>
      <c r="BN58" s="301">
        <f t="shared" ref="BN58" si="17">Z58-AJ58</f>
        <v>72</v>
      </c>
      <c r="BO58" s="302"/>
      <c r="BP58" s="302"/>
      <c r="BQ58" s="302"/>
      <c r="BR58" s="303"/>
      <c r="BS58" s="332"/>
      <c r="BT58" s="333"/>
      <c r="BU58" s="333"/>
      <c r="BV58" s="333"/>
      <c r="BW58" s="333"/>
      <c r="BX58" s="257"/>
      <c r="BY58" s="257"/>
      <c r="BZ58" s="257"/>
      <c r="CA58" s="257"/>
      <c r="CB58" s="257"/>
      <c r="CC58" s="257">
        <v>3</v>
      </c>
      <c r="CD58" s="257"/>
      <c r="CE58" s="257"/>
      <c r="CF58" s="257"/>
      <c r="CG58" s="257"/>
      <c r="CH58" s="257"/>
      <c r="CI58" s="257"/>
      <c r="CJ58" s="257"/>
      <c r="CK58" s="257"/>
      <c r="CL58" s="257"/>
      <c r="CM58" s="257"/>
      <c r="CN58" s="257"/>
      <c r="CO58" s="257"/>
      <c r="CP58" s="257"/>
      <c r="CQ58" s="257"/>
      <c r="CR58" s="257"/>
      <c r="CS58" s="257"/>
      <c r="CT58" s="257"/>
      <c r="CU58" s="257"/>
      <c r="CV58" s="258"/>
      <c r="CW58" s="332"/>
      <c r="CX58" s="333"/>
      <c r="CY58" s="333"/>
      <c r="CZ58" s="333"/>
      <c r="DA58" s="437"/>
      <c r="DB58" s="423"/>
      <c r="DC58" s="333"/>
      <c r="DD58" s="333"/>
      <c r="DE58" s="333"/>
      <c r="DF58" s="437"/>
      <c r="DG58" s="423">
        <v>4</v>
      </c>
      <c r="DH58" s="333"/>
      <c r="DI58" s="333"/>
      <c r="DJ58" s="333"/>
      <c r="DK58" s="437"/>
      <c r="DL58" s="423"/>
      <c r="DM58" s="333"/>
      <c r="DN58" s="333"/>
      <c r="DO58" s="333"/>
      <c r="DP58" s="437"/>
      <c r="DQ58" s="423"/>
      <c r="DR58" s="333"/>
      <c r="DS58" s="333"/>
      <c r="DT58" s="333"/>
      <c r="DU58" s="437"/>
      <c r="DV58" s="423"/>
      <c r="DW58" s="333"/>
      <c r="DX58" s="333"/>
      <c r="DY58" s="333"/>
      <c r="DZ58" s="424"/>
      <c r="EA58" s="431">
        <f t="shared" ref="EA58" si="18">SUM(CW58:DZ59)</f>
        <v>4</v>
      </c>
      <c r="EB58" s="432"/>
      <c r="EC58" s="432"/>
      <c r="ED58" s="432"/>
      <c r="EE58" s="433"/>
      <c r="EI58" s="185"/>
      <c r="EJ58" s="186"/>
      <c r="EK58" s="186"/>
      <c r="EL58" s="187"/>
      <c r="ES58" s="194"/>
      <c r="ET58" s="194"/>
      <c r="EU58" s="194"/>
      <c r="EV58" s="194"/>
      <c r="EW58" s="194"/>
      <c r="EX58" s="194"/>
      <c r="EY58" s="194"/>
      <c r="EZ58" s="194"/>
    </row>
    <row r="59" spans="1:156" s="113" customFormat="1" ht="80.099999999999994" customHeight="1" x14ac:dyDescent="0.2">
      <c r="A59" s="469"/>
      <c r="B59" s="206" t="s">
        <v>100</v>
      </c>
      <c r="C59" s="261" t="s">
        <v>98</v>
      </c>
      <c r="D59" s="261"/>
      <c r="E59" s="261"/>
      <c r="F59" s="261"/>
      <c r="G59" s="261"/>
      <c r="H59" s="261"/>
      <c r="I59" s="261"/>
      <c r="J59" s="261"/>
      <c r="K59" s="261"/>
      <c r="L59" s="261"/>
      <c r="M59" s="261"/>
      <c r="N59" s="261"/>
      <c r="O59" s="261"/>
      <c r="P59" s="261"/>
      <c r="Q59" s="261"/>
      <c r="R59" s="261"/>
      <c r="S59" s="261"/>
      <c r="T59" s="261"/>
      <c r="U59" s="261"/>
      <c r="V59" s="261"/>
      <c r="W59" s="261"/>
      <c r="X59" s="261"/>
      <c r="Y59" s="261"/>
      <c r="Z59" s="458"/>
      <c r="AA59" s="459"/>
      <c r="AB59" s="459"/>
      <c r="AC59" s="459"/>
      <c r="AD59" s="460"/>
      <c r="AE59" s="425"/>
      <c r="AF59" s="335"/>
      <c r="AG59" s="335"/>
      <c r="AH59" s="335"/>
      <c r="AI59" s="438"/>
      <c r="AJ59" s="351"/>
      <c r="AK59" s="352"/>
      <c r="AL59" s="352"/>
      <c r="AM59" s="352"/>
      <c r="AN59" s="353"/>
      <c r="AO59" s="351"/>
      <c r="AP59" s="352"/>
      <c r="AQ59" s="352"/>
      <c r="AR59" s="352"/>
      <c r="AS59" s="353"/>
      <c r="AT59" s="351"/>
      <c r="AU59" s="352"/>
      <c r="AV59" s="352"/>
      <c r="AW59" s="352"/>
      <c r="AX59" s="353"/>
      <c r="AY59" s="351"/>
      <c r="AZ59" s="352"/>
      <c r="BA59" s="352"/>
      <c r="BB59" s="352"/>
      <c r="BC59" s="353"/>
      <c r="BD59" s="351"/>
      <c r="BE59" s="352"/>
      <c r="BF59" s="352"/>
      <c r="BG59" s="352"/>
      <c r="BH59" s="353"/>
      <c r="BI59" s="351"/>
      <c r="BJ59" s="352"/>
      <c r="BK59" s="352"/>
      <c r="BL59" s="352"/>
      <c r="BM59" s="353"/>
      <c r="BN59" s="304"/>
      <c r="BO59" s="305"/>
      <c r="BP59" s="305"/>
      <c r="BQ59" s="305"/>
      <c r="BR59" s="306"/>
      <c r="BS59" s="334"/>
      <c r="BT59" s="335"/>
      <c r="BU59" s="335"/>
      <c r="BV59" s="335"/>
      <c r="BW59" s="335"/>
      <c r="BX59" s="257"/>
      <c r="BY59" s="257"/>
      <c r="BZ59" s="257"/>
      <c r="CA59" s="257"/>
      <c r="CB59" s="257"/>
      <c r="CC59" s="257"/>
      <c r="CD59" s="257"/>
      <c r="CE59" s="257"/>
      <c r="CF59" s="257"/>
      <c r="CG59" s="257"/>
      <c r="CH59" s="257"/>
      <c r="CI59" s="257"/>
      <c r="CJ59" s="257"/>
      <c r="CK59" s="257"/>
      <c r="CL59" s="257"/>
      <c r="CM59" s="257"/>
      <c r="CN59" s="257"/>
      <c r="CO59" s="257"/>
      <c r="CP59" s="257"/>
      <c r="CQ59" s="257"/>
      <c r="CR59" s="257"/>
      <c r="CS59" s="257"/>
      <c r="CT59" s="257"/>
      <c r="CU59" s="257"/>
      <c r="CV59" s="258"/>
      <c r="CW59" s="334"/>
      <c r="CX59" s="335"/>
      <c r="CY59" s="335"/>
      <c r="CZ59" s="335"/>
      <c r="DA59" s="438"/>
      <c r="DB59" s="425"/>
      <c r="DC59" s="335"/>
      <c r="DD59" s="335"/>
      <c r="DE59" s="335"/>
      <c r="DF59" s="438"/>
      <c r="DG59" s="425"/>
      <c r="DH59" s="335"/>
      <c r="DI59" s="335"/>
      <c r="DJ59" s="335"/>
      <c r="DK59" s="438"/>
      <c r="DL59" s="425"/>
      <c r="DM59" s="335"/>
      <c r="DN59" s="335"/>
      <c r="DO59" s="335"/>
      <c r="DP59" s="438"/>
      <c r="DQ59" s="425"/>
      <c r="DR59" s="335"/>
      <c r="DS59" s="335"/>
      <c r="DT59" s="335"/>
      <c r="DU59" s="438"/>
      <c r="DV59" s="425"/>
      <c r="DW59" s="335"/>
      <c r="DX59" s="335"/>
      <c r="DY59" s="335"/>
      <c r="DZ59" s="426"/>
      <c r="EA59" s="434"/>
      <c r="EB59" s="435"/>
      <c r="EC59" s="435"/>
      <c r="ED59" s="435"/>
      <c r="EE59" s="436"/>
      <c r="EI59" s="185"/>
      <c r="EJ59" s="186"/>
      <c r="EK59" s="186"/>
      <c r="EL59" s="187"/>
      <c r="ES59" s="194"/>
      <c r="ET59" s="194"/>
      <c r="EU59" s="194"/>
      <c r="EV59" s="194"/>
      <c r="EW59" s="194"/>
      <c r="EX59" s="194"/>
      <c r="EY59" s="194"/>
      <c r="EZ59" s="194"/>
    </row>
    <row r="60" spans="1:156" s="113" customFormat="1" ht="99.95" customHeight="1" x14ac:dyDescent="0.2">
      <c r="A60" s="468" t="s">
        <v>39</v>
      </c>
      <c r="B60" s="206" t="s">
        <v>202</v>
      </c>
      <c r="C60" s="261" t="s">
        <v>136</v>
      </c>
      <c r="D60" s="261"/>
      <c r="E60" s="261"/>
      <c r="F60" s="261"/>
      <c r="G60" s="261"/>
      <c r="H60" s="261"/>
      <c r="I60" s="261"/>
      <c r="J60" s="261"/>
      <c r="K60" s="261"/>
      <c r="L60" s="261"/>
      <c r="M60" s="261"/>
      <c r="N60" s="261"/>
      <c r="O60" s="261"/>
      <c r="P60" s="261"/>
      <c r="Q60" s="261"/>
      <c r="R60" s="261"/>
      <c r="S60" s="261"/>
      <c r="T60" s="261"/>
      <c r="U60" s="261"/>
      <c r="V60" s="261"/>
      <c r="W60" s="261"/>
      <c r="X60" s="261"/>
      <c r="Y60" s="261"/>
      <c r="Z60" s="455">
        <f t="shared" ref="Z60" si="19">EA60*30</f>
        <v>60</v>
      </c>
      <c r="AA60" s="456"/>
      <c r="AB60" s="456"/>
      <c r="AC60" s="456"/>
      <c r="AD60" s="457"/>
      <c r="AE60" s="423"/>
      <c r="AF60" s="333"/>
      <c r="AG60" s="333"/>
      <c r="AH60" s="333"/>
      <c r="AI60" s="437"/>
      <c r="AJ60" s="336">
        <f t="shared" ref="AJ60" si="20">SUM(AO60:BH61)</f>
        <v>24</v>
      </c>
      <c r="AK60" s="337"/>
      <c r="AL60" s="337"/>
      <c r="AM60" s="337"/>
      <c r="AN60" s="338"/>
      <c r="AO60" s="336"/>
      <c r="AP60" s="337"/>
      <c r="AQ60" s="337"/>
      <c r="AR60" s="337"/>
      <c r="AS60" s="338"/>
      <c r="AT60" s="336">
        <v>24</v>
      </c>
      <c r="AU60" s="337"/>
      <c r="AV60" s="337"/>
      <c r="AW60" s="337"/>
      <c r="AX60" s="338"/>
      <c r="AY60" s="336"/>
      <c r="AZ60" s="337"/>
      <c r="BA60" s="337"/>
      <c r="BB60" s="337"/>
      <c r="BC60" s="338"/>
      <c r="BD60" s="336"/>
      <c r="BE60" s="337"/>
      <c r="BF60" s="337"/>
      <c r="BG60" s="337"/>
      <c r="BH60" s="338"/>
      <c r="BI60" s="336"/>
      <c r="BJ60" s="337"/>
      <c r="BK60" s="337"/>
      <c r="BL60" s="337"/>
      <c r="BM60" s="338"/>
      <c r="BN60" s="301">
        <f t="shared" ref="BN60" si="21">Z60-AJ60</f>
        <v>36</v>
      </c>
      <c r="BO60" s="302"/>
      <c r="BP60" s="302"/>
      <c r="BQ60" s="302"/>
      <c r="BR60" s="303"/>
      <c r="BS60" s="332"/>
      <c r="BT60" s="333"/>
      <c r="BU60" s="333"/>
      <c r="BV60" s="333"/>
      <c r="BW60" s="333"/>
      <c r="BX60" s="257"/>
      <c r="BY60" s="257"/>
      <c r="BZ60" s="257"/>
      <c r="CA60" s="257"/>
      <c r="CB60" s="257"/>
      <c r="CC60" s="257"/>
      <c r="CD60" s="257"/>
      <c r="CE60" s="257"/>
      <c r="CF60" s="257"/>
      <c r="CG60" s="257"/>
      <c r="CH60" s="257">
        <v>2</v>
      </c>
      <c r="CI60" s="257"/>
      <c r="CJ60" s="257"/>
      <c r="CK60" s="257"/>
      <c r="CL60" s="257"/>
      <c r="CM60" s="257"/>
      <c r="CN60" s="257"/>
      <c r="CO60" s="257"/>
      <c r="CP60" s="257"/>
      <c r="CQ60" s="257"/>
      <c r="CR60" s="257"/>
      <c r="CS60" s="257"/>
      <c r="CT60" s="257"/>
      <c r="CU60" s="257"/>
      <c r="CV60" s="258"/>
      <c r="CW60" s="283"/>
      <c r="CX60" s="257"/>
      <c r="CY60" s="257"/>
      <c r="CZ60" s="257"/>
      <c r="DA60" s="257"/>
      <c r="DB60" s="257"/>
      <c r="DC60" s="257"/>
      <c r="DD60" s="257"/>
      <c r="DE60" s="257"/>
      <c r="DF60" s="257"/>
      <c r="DG60" s="257"/>
      <c r="DH60" s="257"/>
      <c r="DI60" s="257"/>
      <c r="DJ60" s="257"/>
      <c r="DK60" s="257"/>
      <c r="DL60" s="257">
        <v>2</v>
      </c>
      <c r="DM60" s="257"/>
      <c r="DN60" s="257"/>
      <c r="DO60" s="257"/>
      <c r="DP60" s="257"/>
      <c r="DQ60" s="257"/>
      <c r="DR60" s="257"/>
      <c r="DS60" s="257"/>
      <c r="DT60" s="257"/>
      <c r="DU60" s="257"/>
      <c r="DV60" s="257"/>
      <c r="DW60" s="257"/>
      <c r="DX60" s="257"/>
      <c r="DY60" s="257"/>
      <c r="DZ60" s="258"/>
      <c r="EA60" s="431">
        <f t="shared" ref="EA60" si="22">SUM(CW60:DZ61)</f>
        <v>2</v>
      </c>
      <c r="EB60" s="432"/>
      <c r="EC60" s="432"/>
      <c r="ED60" s="432"/>
      <c r="EE60" s="433"/>
      <c r="EI60" s="185"/>
      <c r="EJ60" s="186"/>
      <c r="EK60" s="186"/>
      <c r="EL60" s="187"/>
      <c r="ES60" s="194"/>
      <c r="ET60" s="194"/>
      <c r="EU60" s="194"/>
      <c r="EV60" s="194"/>
      <c r="EW60" s="194"/>
      <c r="EX60" s="194"/>
      <c r="EY60" s="194"/>
      <c r="EZ60" s="194"/>
    </row>
    <row r="61" spans="1:156" s="113" customFormat="1" ht="80.099999999999994" customHeight="1" x14ac:dyDescent="0.2">
      <c r="A61" s="469"/>
      <c r="B61" s="206" t="s">
        <v>203</v>
      </c>
      <c r="C61" s="261" t="s">
        <v>137</v>
      </c>
      <c r="D61" s="261"/>
      <c r="E61" s="261"/>
      <c r="F61" s="261"/>
      <c r="G61" s="261"/>
      <c r="H61" s="261"/>
      <c r="I61" s="261"/>
      <c r="J61" s="261"/>
      <c r="K61" s="261"/>
      <c r="L61" s="261"/>
      <c r="M61" s="261"/>
      <c r="N61" s="261"/>
      <c r="O61" s="261"/>
      <c r="P61" s="261"/>
      <c r="Q61" s="261"/>
      <c r="R61" s="261"/>
      <c r="S61" s="261"/>
      <c r="T61" s="261"/>
      <c r="U61" s="261"/>
      <c r="V61" s="261"/>
      <c r="W61" s="261"/>
      <c r="X61" s="261"/>
      <c r="Y61" s="261"/>
      <c r="Z61" s="458"/>
      <c r="AA61" s="459"/>
      <c r="AB61" s="459"/>
      <c r="AC61" s="459"/>
      <c r="AD61" s="460"/>
      <c r="AE61" s="425"/>
      <c r="AF61" s="335"/>
      <c r="AG61" s="335"/>
      <c r="AH61" s="335"/>
      <c r="AI61" s="438"/>
      <c r="AJ61" s="351"/>
      <c r="AK61" s="352"/>
      <c r="AL61" s="352"/>
      <c r="AM61" s="352"/>
      <c r="AN61" s="353"/>
      <c r="AO61" s="351"/>
      <c r="AP61" s="352"/>
      <c r="AQ61" s="352"/>
      <c r="AR61" s="352"/>
      <c r="AS61" s="353"/>
      <c r="AT61" s="351"/>
      <c r="AU61" s="352"/>
      <c r="AV61" s="352"/>
      <c r="AW61" s="352"/>
      <c r="AX61" s="353"/>
      <c r="AY61" s="351"/>
      <c r="AZ61" s="352"/>
      <c r="BA61" s="352"/>
      <c r="BB61" s="352"/>
      <c r="BC61" s="353"/>
      <c r="BD61" s="351"/>
      <c r="BE61" s="352"/>
      <c r="BF61" s="352"/>
      <c r="BG61" s="352"/>
      <c r="BH61" s="353"/>
      <c r="BI61" s="351"/>
      <c r="BJ61" s="352"/>
      <c r="BK61" s="352"/>
      <c r="BL61" s="352"/>
      <c r="BM61" s="353"/>
      <c r="BN61" s="304"/>
      <c r="BO61" s="305"/>
      <c r="BP61" s="305"/>
      <c r="BQ61" s="305"/>
      <c r="BR61" s="306"/>
      <c r="BS61" s="334"/>
      <c r="BT61" s="335"/>
      <c r="BU61" s="335"/>
      <c r="BV61" s="335"/>
      <c r="BW61" s="335"/>
      <c r="BX61" s="257"/>
      <c r="BY61" s="257"/>
      <c r="BZ61" s="257"/>
      <c r="CA61" s="257"/>
      <c r="CB61" s="257"/>
      <c r="CC61" s="257"/>
      <c r="CD61" s="257"/>
      <c r="CE61" s="257"/>
      <c r="CF61" s="257"/>
      <c r="CG61" s="257"/>
      <c r="CH61" s="257"/>
      <c r="CI61" s="257"/>
      <c r="CJ61" s="257"/>
      <c r="CK61" s="257"/>
      <c r="CL61" s="257"/>
      <c r="CM61" s="257"/>
      <c r="CN61" s="257"/>
      <c r="CO61" s="257"/>
      <c r="CP61" s="257"/>
      <c r="CQ61" s="257"/>
      <c r="CR61" s="257"/>
      <c r="CS61" s="257"/>
      <c r="CT61" s="257"/>
      <c r="CU61" s="257"/>
      <c r="CV61" s="258"/>
      <c r="CW61" s="283"/>
      <c r="CX61" s="257"/>
      <c r="CY61" s="257"/>
      <c r="CZ61" s="257"/>
      <c r="DA61" s="257"/>
      <c r="DB61" s="257"/>
      <c r="DC61" s="257"/>
      <c r="DD61" s="257"/>
      <c r="DE61" s="257"/>
      <c r="DF61" s="257"/>
      <c r="DG61" s="257"/>
      <c r="DH61" s="257"/>
      <c r="DI61" s="257"/>
      <c r="DJ61" s="257"/>
      <c r="DK61" s="257"/>
      <c r="DL61" s="257"/>
      <c r="DM61" s="257"/>
      <c r="DN61" s="257"/>
      <c r="DO61" s="257"/>
      <c r="DP61" s="257"/>
      <c r="DQ61" s="257"/>
      <c r="DR61" s="257"/>
      <c r="DS61" s="257"/>
      <c r="DT61" s="257"/>
      <c r="DU61" s="257"/>
      <c r="DV61" s="257"/>
      <c r="DW61" s="257"/>
      <c r="DX61" s="257"/>
      <c r="DY61" s="257"/>
      <c r="DZ61" s="258"/>
      <c r="EA61" s="434"/>
      <c r="EB61" s="435"/>
      <c r="EC61" s="435"/>
      <c r="ED61" s="435"/>
      <c r="EE61" s="436"/>
      <c r="EI61" s="185"/>
      <c r="EJ61" s="186"/>
      <c r="EK61" s="186"/>
      <c r="EL61" s="187"/>
      <c r="ES61" s="194"/>
      <c r="ET61" s="194"/>
      <c r="EU61" s="194"/>
      <c r="EV61" s="194"/>
      <c r="EW61" s="194"/>
      <c r="EX61" s="194"/>
      <c r="EY61" s="194"/>
      <c r="EZ61" s="194"/>
    </row>
    <row r="62" spans="1:156" s="113" customFormat="1" ht="80.099999999999994" customHeight="1" x14ac:dyDescent="0.2">
      <c r="A62" s="468" t="s">
        <v>40</v>
      </c>
      <c r="B62" s="206" t="s">
        <v>233</v>
      </c>
      <c r="C62" s="261" t="s">
        <v>196</v>
      </c>
      <c r="D62" s="261"/>
      <c r="E62" s="261"/>
      <c r="F62" s="261"/>
      <c r="G62" s="261"/>
      <c r="H62" s="261"/>
      <c r="I62" s="261"/>
      <c r="J62" s="261"/>
      <c r="K62" s="261"/>
      <c r="L62" s="261"/>
      <c r="M62" s="261"/>
      <c r="N62" s="261"/>
      <c r="O62" s="261"/>
      <c r="P62" s="261"/>
      <c r="Q62" s="261"/>
      <c r="R62" s="261"/>
      <c r="S62" s="261"/>
      <c r="T62" s="261"/>
      <c r="U62" s="261"/>
      <c r="V62" s="261"/>
      <c r="W62" s="261"/>
      <c r="X62" s="261"/>
      <c r="Y62" s="261"/>
      <c r="Z62" s="455">
        <f t="shared" ref="Z62" si="23">EA62*30</f>
        <v>60</v>
      </c>
      <c r="AA62" s="456"/>
      <c r="AB62" s="456"/>
      <c r="AC62" s="456"/>
      <c r="AD62" s="457"/>
      <c r="AE62" s="423"/>
      <c r="AF62" s="333"/>
      <c r="AG62" s="333"/>
      <c r="AH62" s="333"/>
      <c r="AI62" s="437"/>
      <c r="AJ62" s="336">
        <f t="shared" ref="AJ62" si="24">SUM(AO62:BH63)</f>
        <v>24</v>
      </c>
      <c r="AK62" s="337"/>
      <c r="AL62" s="337"/>
      <c r="AM62" s="337"/>
      <c r="AN62" s="338"/>
      <c r="AO62" s="336">
        <v>12</v>
      </c>
      <c r="AP62" s="337"/>
      <c r="AQ62" s="337"/>
      <c r="AR62" s="337"/>
      <c r="AS62" s="338"/>
      <c r="AT62" s="336">
        <v>12</v>
      </c>
      <c r="AU62" s="337"/>
      <c r="AV62" s="337"/>
      <c r="AW62" s="337"/>
      <c r="AX62" s="338"/>
      <c r="AY62" s="336"/>
      <c r="AZ62" s="337"/>
      <c r="BA62" s="337"/>
      <c r="BB62" s="337"/>
      <c r="BC62" s="338"/>
      <c r="BD62" s="336"/>
      <c r="BE62" s="337"/>
      <c r="BF62" s="337"/>
      <c r="BG62" s="337"/>
      <c r="BH62" s="338"/>
      <c r="BI62" s="336"/>
      <c r="BJ62" s="337"/>
      <c r="BK62" s="337"/>
      <c r="BL62" s="337"/>
      <c r="BM62" s="338"/>
      <c r="BN62" s="301">
        <f t="shared" ref="BN62" si="25">Z62-AJ62</f>
        <v>36</v>
      </c>
      <c r="BO62" s="302"/>
      <c r="BP62" s="302"/>
      <c r="BQ62" s="302"/>
      <c r="BR62" s="303"/>
      <c r="BS62" s="332"/>
      <c r="BT62" s="333"/>
      <c r="BU62" s="333"/>
      <c r="BV62" s="333"/>
      <c r="BW62" s="333"/>
      <c r="BX62" s="257"/>
      <c r="BY62" s="257"/>
      <c r="BZ62" s="257"/>
      <c r="CA62" s="257"/>
      <c r="CB62" s="257"/>
      <c r="CC62" s="257"/>
      <c r="CD62" s="257"/>
      <c r="CE62" s="257"/>
      <c r="CF62" s="257"/>
      <c r="CG62" s="257"/>
      <c r="CH62" s="257">
        <v>2</v>
      </c>
      <c r="CI62" s="257"/>
      <c r="CJ62" s="257"/>
      <c r="CK62" s="257"/>
      <c r="CL62" s="257"/>
      <c r="CM62" s="257"/>
      <c r="CN62" s="257"/>
      <c r="CO62" s="257"/>
      <c r="CP62" s="257"/>
      <c r="CQ62" s="257"/>
      <c r="CR62" s="257"/>
      <c r="CS62" s="257"/>
      <c r="CT62" s="257"/>
      <c r="CU62" s="257"/>
      <c r="CV62" s="258"/>
      <c r="CW62" s="283"/>
      <c r="CX62" s="257"/>
      <c r="CY62" s="257"/>
      <c r="CZ62" s="257"/>
      <c r="DA62" s="257"/>
      <c r="DB62" s="257"/>
      <c r="DC62" s="257"/>
      <c r="DD62" s="257"/>
      <c r="DE62" s="257"/>
      <c r="DF62" s="257"/>
      <c r="DG62" s="257"/>
      <c r="DH62" s="257"/>
      <c r="DI62" s="257"/>
      <c r="DJ62" s="257"/>
      <c r="DK62" s="257"/>
      <c r="DL62" s="257">
        <v>2</v>
      </c>
      <c r="DM62" s="257"/>
      <c r="DN62" s="257"/>
      <c r="DO62" s="257"/>
      <c r="DP62" s="257"/>
      <c r="DQ62" s="257"/>
      <c r="DR62" s="257"/>
      <c r="DS62" s="257"/>
      <c r="DT62" s="257"/>
      <c r="DU62" s="257"/>
      <c r="DV62" s="257"/>
      <c r="DW62" s="257"/>
      <c r="DX62" s="257"/>
      <c r="DY62" s="257"/>
      <c r="DZ62" s="258"/>
      <c r="EA62" s="431">
        <f t="shared" ref="EA62" si="26">SUM(CW62:DZ63)</f>
        <v>2</v>
      </c>
      <c r="EB62" s="432"/>
      <c r="EC62" s="432"/>
      <c r="ED62" s="432"/>
      <c r="EE62" s="433"/>
      <c r="EI62" s="185"/>
      <c r="EJ62" s="186"/>
      <c r="EK62" s="186"/>
      <c r="EL62" s="187"/>
      <c r="ES62" s="194"/>
      <c r="ET62" s="194"/>
      <c r="EU62" s="194"/>
      <c r="EV62" s="194"/>
      <c r="EW62" s="194"/>
      <c r="EX62" s="194"/>
      <c r="EY62" s="194"/>
      <c r="EZ62" s="194"/>
    </row>
    <row r="63" spans="1:156" s="113" customFormat="1" ht="80.099999999999994" customHeight="1" x14ac:dyDescent="0.2">
      <c r="A63" s="469"/>
      <c r="B63" s="206" t="s">
        <v>201</v>
      </c>
      <c r="C63" s="261" t="s">
        <v>101</v>
      </c>
      <c r="D63" s="261"/>
      <c r="E63" s="261"/>
      <c r="F63" s="261"/>
      <c r="G63" s="261"/>
      <c r="H63" s="261"/>
      <c r="I63" s="261"/>
      <c r="J63" s="261"/>
      <c r="K63" s="261"/>
      <c r="L63" s="261"/>
      <c r="M63" s="261"/>
      <c r="N63" s="261"/>
      <c r="O63" s="261"/>
      <c r="P63" s="261"/>
      <c r="Q63" s="261"/>
      <c r="R63" s="261"/>
      <c r="S63" s="261"/>
      <c r="T63" s="261"/>
      <c r="U63" s="261"/>
      <c r="V63" s="261"/>
      <c r="W63" s="261"/>
      <c r="X63" s="261"/>
      <c r="Y63" s="261"/>
      <c r="Z63" s="458"/>
      <c r="AA63" s="459"/>
      <c r="AB63" s="459"/>
      <c r="AC63" s="459"/>
      <c r="AD63" s="460"/>
      <c r="AE63" s="425"/>
      <c r="AF63" s="335"/>
      <c r="AG63" s="335"/>
      <c r="AH63" s="335"/>
      <c r="AI63" s="438"/>
      <c r="AJ63" s="351"/>
      <c r="AK63" s="352"/>
      <c r="AL63" s="352"/>
      <c r="AM63" s="352"/>
      <c r="AN63" s="353"/>
      <c r="AO63" s="351"/>
      <c r="AP63" s="352"/>
      <c r="AQ63" s="352"/>
      <c r="AR63" s="352"/>
      <c r="AS63" s="353"/>
      <c r="AT63" s="351"/>
      <c r="AU63" s="352"/>
      <c r="AV63" s="352"/>
      <c r="AW63" s="352"/>
      <c r="AX63" s="353"/>
      <c r="AY63" s="351"/>
      <c r="AZ63" s="352"/>
      <c r="BA63" s="352"/>
      <c r="BB63" s="352"/>
      <c r="BC63" s="353"/>
      <c r="BD63" s="351"/>
      <c r="BE63" s="352"/>
      <c r="BF63" s="352"/>
      <c r="BG63" s="352"/>
      <c r="BH63" s="353"/>
      <c r="BI63" s="351"/>
      <c r="BJ63" s="352"/>
      <c r="BK63" s="352"/>
      <c r="BL63" s="352"/>
      <c r="BM63" s="353"/>
      <c r="BN63" s="304"/>
      <c r="BO63" s="305"/>
      <c r="BP63" s="305"/>
      <c r="BQ63" s="305"/>
      <c r="BR63" s="306"/>
      <c r="BS63" s="334"/>
      <c r="BT63" s="335"/>
      <c r="BU63" s="335"/>
      <c r="BV63" s="335"/>
      <c r="BW63" s="335"/>
      <c r="BX63" s="257"/>
      <c r="BY63" s="257"/>
      <c r="BZ63" s="257"/>
      <c r="CA63" s="257"/>
      <c r="CB63" s="257"/>
      <c r="CC63" s="257"/>
      <c r="CD63" s="257"/>
      <c r="CE63" s="257"/>
      <c r="CF63" s="257"/>
      <c r="CG63" s="257"/>
      <c r="CH63" s="257"/>
      <c r="CI63" s="257"/>
      <c r="CJ63" s="257"/>
      <c r="CK63" s="257"/>
      <c r="CL63" s="257"/>
      <c r="CM63" s="257"/>
      <c r="CN63" s="257"/>
      <c r="CO63" s="257"/>
      <c r="CP63" s="257"/>
      <c r="CQ63" s="257"/>
      <c r="CR63" s="257"/>
      <c r="CS63" s="257"/>
      <c r="CT63" s="257"/>
      <c r="CU63" s="257"/>
      <c r="CV63" s="258"/>
      <c r="CW63" s="283"/>
      <c r="CX63" s="257"/>
      <c r="CY63" s="257"/>
      <c r="CZ63" s="257"/>
      <c r="DA63" s="257"/>
      <c r="DB63" s="257"/>
      <c r="DC63" s="257"/>
      <c r="DD63" s="257"/>
      <c r="DE63" s="257"/>
      <c r="DF63" s="257"/>
      <c r="DG63" s="257"/>
      <c r="DH63" s="257"/>
      <c r="DI63" s="257"/>
      <c r="DJ63" s="257"/>
      <c r="DK63" s="257"/>
      <c r="DL63" s="257"/>
      <c r="DM63" s="257"/>
      <c r="DN63" s="257"/>
      <c r="DO63" s="257"/>
      <c r="DP63" s="257"/>
      <c r="DQ63" s="257"/>
      <c r="DR63" s="257"/>
      <c r="DS63" s="257"/>
      <c r="DT63" s="257"/>
      <c r="DU63" s="257"/>
      <c r="DV63" s="257"/>
      <c r="DW63" s="257"/>
      <c r="DX63" s="257"/>
      <c r="DY63" s="257"/>
      <c r="DZ63" s="258"/>
      <c r="EA63" s="434"/>
      <c r="EB63" s="435"/>
      <c r="EC63" s="435"/>
      <c r="ED63" s="435"/>
      <c r="EE63" s="436"/>
      <c r="EI63" s="185"/>
      <c r="EJ63" s="186"/>
      <c r="EK63" s="186"/>
      <c r="EL63" s="187"/>
      <c r="ES63" s="194"/>
      <c r="ET63" s="194"/>
      <c r="EU63" s="194"/>
      <c r="EV63" s="194"/>
      <c r="EW63" s="194"/>
      <c r="EX63" s="194"/>
      <c r="EY63" s="194"/>
      <c r="EZ63" s="194"/>
    </row>
    <row r="64" spans="1:156" s="113" customFormat="1" ht="80.099999999999994" customHeight="1" x14ac:dyDescent="0.2">
      <c r="A64" s="468" t="s">
        <v>41</v>
      </c>
      <c r="B64" s="206" t="s">
        <v>199</v>
      </c>
      <c r="C64" s="261" t="s">
        <v>143</v>
      </c>
      <c r="D64" s="261"/>
      <c r="E64" s="261"/>
      <c r="F64" s="261"/>
      <c r="G64" s="261"/>
      <c r="H64" s="261"/>
      <c r="I64" s="261"/>
      <c r="J64" s="261"/>
      <c r="K64" s="261"/>
      <c r="L64" s="261"/>
      <c r="M64" s="261"/>
      <c r="N64" s="261"/>
      <c r="O64" s="261"/>
      <c r="P64" s="261"/>
      <c r="Q64" s="261"/>
      <c r="R64" s="261"/>
      <c r="S64" s="261"/>
      <c r="T64" s="261"/>
      <c r="U64" s="261"/>
      <c r="V64" s="261"/>
      <c r="W64" s="261"/>
      <c r="X64" s="261"/>
      <c r="Y64" s="261"/>
      <c r="Z64" s="455">
        <f t="shared" ref="Z64" si="27">EA64*30</f>
        <v>120</v>
      </c>
      <c r="AA64" s="456"/>
      <c r="AB64" s="456"/>
      <c r="AC64" s="456"/>
      <c r="AD64" s="457"/>
      <c r="AE64" s="423"/>
      <c r="AF64" s="333"/>
      <c r="AG64" s="333"/>
      <c r="AH64" s="333"/>
      <c r="AI64" s="437"/>
      <c r="AJ64" s="336">
        <f t="shared" ref="AJ64" si="28">SUM(AO64:BH65)</f>
        <v>48</v>
      </c>
      <c r="AK64" s="337"/>
      <c r="AL64" s="337"/>
      <c r="AM64" s="337"/>
      <c r="AN64" s="338"/>
      <c r="AO64" s="336">
        <v>24</v>
      </c>
      <c r="AP64" s="337"/>
      <c r="AQ64" s="337"/>
      <c r="AR64" s="337"/>
      <c r="AS64" s="338"/>
      <c r="AT64" s="336">
        <v>12</v>
      </c>
      <c r="AU64" s="337"/>
      <c r="AV64" s="337"/>
      <c r="AW64" s="337"/>
      <c r="AX64" s="338"/>
      <c r="AY64" s="336">
        <v>12</v>
      </c>
      <c r="AZ64" s="337"/>
      <c r="BA64" s="337"/>
      <c r="BB64" s="337"/>
      <c r="BC64" s="338"/>
      <c r="BD64" s="336"/>
      <c r="BE64" s="337"/>
      <c r="BF64" s="337"/>
      <c r="BG64" s="337"/>
      <c r="BH64" s="338"/>
      <c r="BI64" s="336"/>
      <c r="BJ64" s="337"/>
      <c r="BK64" s="337"/>
      <c r="BL64" s="337"/>
      <c r="BM64" s="338"/>
      <c r="BN64" s="301">
        <f t="shared" ref="BN64" si="29">Z64-AJ64</f>
        <v>72</v>
      </c>
      <c r="BO64" s="302"/>
      <c r="BP64" s="302"/>
      <c r="BQ64" s="302"/>
      <c r="BR64" s="303"/>
      <c r="BS64" s="332"/>
      <c r="BT64" s="333"/>
      <c r="BU64" s="333"/>
      <c r="BV64" s="333"/>
      <c r="BW64" s="333"/>
      <c r="BX64" s="257"/>
      <c r="BY64" s="257"/>
      <c r="BZ64" s="257"/>
      <c r="CA64" s="257"/>
      <c r="CB64" s="257"/>
      <c r="CC64" s="257"/>
      <c r="CD64" s="257"/>
      <c r="CE64" s="257"/>
      <c r="CF64" s="257"/>
      <c r="CG64" s="257"/>
      <c r="CH64" s="257"/>
      <c r="CI64" s="257"/>
      <c r="CJ64" s="257"/>
      <c r="CK64" s="257"/>
      <c r="CL64" s="257"/>
      <c r="CM64" s="257">
        <v>3</v>
      </c>
      <c r="CN64" s="257"/>
      <c r="CO64" s="257"/>
      <c r="CP64" s="257"/>
      <c r="CQ64" s="257"/>
      <c r="CR64" s="257"/>
      <c r="CS64" s="257"/>
      <c r="CT64" s="257"/>
      <c r="CU64" s="257"/>
      <c r="CV64" s="258"/>
      <c r="CW64" s="283"/>
      <c r="CX64" s="257"/>
      <c r="CY64" s="257"/>
      <c r="CZ64" s="257"/>
      <c r="DA64" s="257"/>
      <c r="DB64" s="257"/>
      <c r="DC64" s="257"/>
      <c r="DD64" s="257"/>
      <c r="DE64" s="257"/>
      <c r="DF64" s="257"/>
      <c r="DG64" s="257"/>
      <c r="DH64" s="257"/>
      <c r="DI64" s="257"/>
      <c r="DJ64" s="257"/>
      <c r="DK64" s="257"/>
      <c r="DL64" s="257"/>
      <c r="DM64" s="257"/>
      <c r="DN64" s="257"/>
      <c r="DO64" s="257"/>
      <c r="DP64" s="257"/>
      <c r="DQ64" s="257">
        <v>4</v>
      </c>
      <c r="DR64" s="257"/>
      <c r="DS64" s="257"/>
      <c r="DT64" s="257"/>
      <c r="DU64" s="257"/>
      <c r="DV64" s="257"/>
      <c r="DW64" s="257"/>
      <c r="DX64" s="257"/>
      <c r="DY64" s="257"/>
      <c r="DZ64" s="258"/>
      <c r="EA64" s="431">
        <f t="shared" ref="EA64" si="30">SUM(CW64:DZ65)</f>
        <v>4</v>
      </c>
      <c r="EB64" s="432"/>
      <c r="EC64" s="432"/>
      <c r="ED64" s="432"/>
      <c r="EE64" s="433"/>
      <c r="EI64" s="185"/>
      <c r="EJ64" s="186"/>
      <c r="EK64" s="186"/>
      <c r="EL64" s="187"/>
      <c r="ES64" s="194"/>
      <c r="ET64" s="194"/>
      <c r="EU64" s="194"/>
      <c r="EV64" s="194"/>
      <c r="EW64" s="194"/>
      <c r="EX64" s="194"/>
      <c r="EY64" s="194"/>
      <c r="EZ64" s="194"/>
    </row>
    <row r="65" spans="1:156" s="113" customFormat="1" ht="99.95" customHeight="1" x14ac:dyDescent="0.2">
      <c r="A65" s="469"/>
      <c r="B65" s="206" t="s">
        <v>200</v>
      </c>
      <c r="C65" s="261" t="s">
        <v>106</v>
      </c>
      <c r="D65" s="261"/>
      <c r="E65" s="261"/>
      <c r="F65" s="261"/>
      <c r="G65" s="261"/>
      <c r="H65" s="261"/>
      <c r="I65" s="261"/>
      <c r="J65" s="261"/>
      <c r="K65" s="261"/>
      <c r="L65" s="261"/>
      <c r="M65" s="261"/>
      <c r="N65" s="261"/>
      <c r="O65" s="261"/>
      <c r="P65" s="261"/>
      <c r="Q65" s="261"/>
      <c r="R65" s="261"/>
      <c r="S65" s="261"/>
      <c r="T65" s="261"/>
      <c r="U65" s="261"/>
      <c r="V65" s="261"/>
      <c r="W65" s="261"/>
      <c r="X65" s="261"/>
      <c r="Y65" s="261"/>
      <c r="Z65" s="458"/>
      <c r="AA65" s="459"/>
      <c r="AB65" s="459"/>
      <c r="AC65" s="459"/>
      <c r="AD65" s="460"/>
      <c r="AE65" s="425"/>
      <c r="AF65" s="335"/>
      <c r="AG65" s="335"/>
      <c r="AH65" s="335"/>
      <c r="AI65" s="438"/>
      <c r="AJ65" s="351"/>
      <c r="AK65" s="352"/>
      <c r="AL65" s="352"/>
      <c r="AM65" s="352"/>
      <c r="AN65" s="353"/>
      <c r="AO65" s="351"/>
      <c r="AP65" s="352"/>
      <c r="AQ65" s="352"/>
      <c r="AR65" s="352"/>
      <c r="AS65" s="353"/>
      <c r="AT65" s="351"/>
      <c r="AU65" s="352"/>
      <c r="AV65" s="352"/>
      <c r="AW65" s="352"/>
      <c r="AX65" s="353"/>
      <c r="AY65" s="351"/>
      <c r="AZ65" s="352"/>
      <c r="BA65" s="352"/>
      <c r="BB65" s="352"/>
      <c r="BC65" s="353"/>
      <c r="BD65" s="351"/>
      <c r="BE65" s="352"/>
      <c r="BF65" s="352"/>
      <c r="BG65" s="352"/>
      <c r="BH65" s="353"/>
      <c r="BI65" s="351"/>
      <c r="BJ65" s="352"/>
      <c r="BK65" s="352"/>
      <c r="BL65" s="352"/>
      <c r="BM65" s="353"/>
      <c r="BN65" s="304"/>
      <c r="BO65" s="305"/>
      <c r="BP65" s="305"/>
      <c r="BQ65" s="305"/>
      <c r="BR65" s="306"/>
      <c r="BS65" s="334"/>
      <c r="BT65" s="335"/>
      <c r="BU65" s="335"/>
      <c r="BV65" s="335"/>
      <c r="BW65" s="335"/>
      <c r="BX65" s="257"/>
      <c r="BY65" s="257"/>
      <c r="BZ65" s="257"/>
      <c r="CA65" s="257"/>
      <c r="CB65" s="257"/>
      <c r="CC65" s="257"/>
      <c r="CD65" s="257"/>
      <c r="CE65" s="257"/>
      <c r="CF65" s="257"/>
      <c r="CG65" s="257"/>
      <c r="CH65" s="257"/>
      <c r="CI65" s="257"/>
      <c r="CJ65" s="257"/>
      <c r="CK65" s="257"/>
      <c r="CL65" s="257"/>
      <c r="CM65" s="257"/>
      <c r="CN65" s="257"/>
      <c r="CO65" s="257"/>
      <c r="CP65" s="257"/>
      <c r="CQ65" s="257"/>
      <c r="CR65" s="257"/>
      <c r="CS65" s="257"/>
      <c r="CT65" s="257"/>
      <c r="CU65" s="257"/>
      <c r="CV65" s="258"/>
      <c r="CW65" s="283"/>
      <c r="CX65" s="257"/>
      <c r="CY65" s="257"/>
      <c r="CZ65" s="257"/>
      <c r="DA65" s="257"/>
      <c r="DB65" s="257"/>
      <c r="DC65" s="257"/>
      <c r="DD65" s="257"/>
      <c r="DE65" s="257"/>
      <c r="DF65" s="257"/>
      <c r="DG65" s="257"/>
      <c r="DH65" s="257"/>
      <c r="DI65" s="257"/>
      <c r="DJ65" s="257"/>
      <c r="DK65" s="257"/>
      <c r="DL65" s="257"/>
      <c r="DM65" s="257"/>
      <c r="DN65" s="257"/>
      <c r="DO65" s="257"/>
      <c r="DP65" s="257"/>
      <c r="DQ65" s="257"/>
      <c r="DR65" s="257"/>
      <c r="DS65" s="257"/>
      <c r="DT65" s="257"/>
      <c r="DU65" s="257"/>
      <c r="DV65" s="257"/>
      <c r="DW65" s="257"/>
      <c r="DX65" s="257"/>
      <c r="DY65" s="257"/>
      <c r="DZ65" s="258"/>
      <c r="EA65" s="434"/>
      <c r="EB65" s="435"/>
      <c r="EC65" s="435"/>
      <c r="ED65" s="435"/>
      <c r="EE65" s="436"/>
      <c r="EI65" s="185"/>
      <c r="EJ65" s="186"/>
      <c r="EK65" s="186"/>
      <c r="EL65" s="187"/>
      <c r="ES65" s="194"/>
      <c r="ET65" s="194"/>
      <c r="EU65" s="194"/>
      <c r="EV65" s="194"/>
      <c r="EW65" s="194"/>
      <c r="EX65" s="194"/>
      <c r="EY65" s="194"/>
      <c r="EZ65" s="194"/>
    </row>
    <row r="66" spans="1:156" s="113" customFormat="1" ht="80.099999999999994" customHeight="1" x14ac:dyDescent="0.2">
      <c r="A66" s="468" t="s">
        <v>42</v>
      </c>
      <c r="B66" s="206" t="s">
        <v>152</v>
      </c>
      <c r="C66" s="261" t="s">
        <v>150</v>
      </c>
      <c r="D66" s="261"/>
      <c r="E66" s="261"/>
      <c r="F66" s="261"/>
      <c r="G66" s="261"/>
      <c r="H66" s="261"/>
      <c r="I66" s="261"/>
      <c r="J66" s="261"/>
      <c r="K66" s="261"/>
      <c r="L66" s="261"/>
      <c r="M66" s="261"/>
      <c r="N66" s="261"/>
      <c r="O66" s="261"/>
      <c r="P66" s="261"/>
      <c r="Q66" s="261"/>
      <c r="R66" s="261"/>
      <c r="S66" s="261"/>
      <c r="T66" s="261"/>
      <c r="U66" s="261"/>
      <c r="V66" s="261"/>
      <c r="W66" s="261"/>
      <c r="X66" s="261"/>
      <c r="Y66" s="261"/>
      <c r="Z66" s="455">
        <f t="shared" ref="Z66" si="31">EA66*30</f>
        <v>120</v>
      </c>
      <c r="AA66" s="456"/>
      <c r="AB66" s="456"/>
      <c r="AC66" s="456"/>
      <c r="AD66" s="457"/>
      <c r="AE66" s="423"/>
      <c r="AF66" s="333"/>
      <c r="AG66" s="333"/>
      <c r="AH66" s="333"/>
      <c r="AI66" s="437"/>
      <c r="AJ66" s="336">
        <f t="shared" ref="AJ66" si="32">SUM(AO66:BH67)</f>
        <v>48</v>
      </c>
      <c r="AK66" s="337"/>
      <c r="AL66" s="337"/>
      <c r="AM66" s="337"/>
      <c r="AN66" s="338"/>
      <c r="AO66" s="336">
        <v>24</v>
      </c>
      <c r="AP66" s="337"/>
      <c r="AQ66" s="337"/>
      <c r="AR66" s="337"/>
      <c r="AS66" s="338"/>
      <c r="AT66" s="336">
        <v>24</v>
      </c>
      <c r="AU66" s="337"/>
      <c r="AV66" s="337"/>
      <c r="AW66" s="337"/>
      <c r="AX66" s="338"/>
      <c r="AY66" s="336"/>
      <c r="AZ66" s="337"/>
      <c r="BA66" s="337"/>
      <c r="BB66" s="337"/>
      <c r="BC66" s="338"/>
      <c r="BD66" s="336"/>
      <c r="BE66" s="337"/>
      <c r="BF66" s="337"/>
      <c r="BG66" s="337"/>
      <c r="BH66" s="338"/>
      <c r="BI66" s="336"/>
      <c r="BJ66" s="337"/>
      <c r="BK66" s="337"/>
      <c r="BL66" s="337"/>
      <c r="BM66" s="338"/>
      <c r="BN66" s="301">
        <f t="shared" ref="BN66" si="33">Z66-AJ66</f>
        <v>72</v>
      </c>
      <c r="BO66" s="302"/>
      <c r="BP66" s="302"/>
      <c r="BQ66" s="302"/>
      <c r="BR66" s="303"/>
      <c r="BS66" s="332"/>
      <c r="BT66" s="333"/>
      <c r="BU66" s="333"/>
      <c r="BV66" s="333"/>
      <c r="BW66" s="333"/>
      <c r="BX66" s="257"/>
      <c r="BY66" s="257"/>
      <c r="BZ66" s="257"/>
      <c r="CA66" s="257"/>
      <c r="CB66" s="257"/>
      <c r="CC66" s="257"/>
      <c r="CD66" s="257"/>
      <c r="CE66" s="257"/>
      <c r="CF66" s="257"/>
      <c r="CG66" s="257"/>
      <c r="CH66" s="257"/>
      <c r="CI66" s="257"/>
      <c r="CJ66" s="257"/>
      <c r="CK66" s="257"/>
      <c r="CL66" s="257"/>
      <c r="CM66" s="257">
        <v>3</v>
      </c>
      <c r="CN66" s="257"/>
      <c r="CO66" s="257"/>
      <c r="CP66" s="257"/>
      <c r="CQ66" s="257"/>
      <c r="CR66" s="257"/>
      <c r="CS66" s="257"/>
      <c r="CT66" s="257"/>
      <c r="CU66" s="257"/>
      <c r="CV66" s="258"/>
      <c r="CW66" s="283"/>
      <c r="CX66" s="257"/>
      <c r="CY66" s="257"/>
      <c r="CZ66" s="257"/>
      <c r="DA66" s="257"/>
      <c r="DB66" s="257"/>
      <c r="DC66" s="257"/>
      <c r="DD66" s="257"/>
      <c r="DE66" s="257"/>
      <c r="DF66" s="257"/>
      <c r="DG66" s="257"/>
      <c r="DH66" s="257"/>
      <c r="DI66" s="257"/>
      <c r="DJ66" s="257"/>
      <c r="DK66" s="257"/>
      <c r="DL66" s="257"/>
      <c r="DM66" s="257"/>
      <c r="DN66" s="257"/>
      <c r="DO66" s="257"/>
      <c r="DP66" s="257"/>
      <c r="DQ66" s="257">
        <v>4</v>
      </c>
      <c r="DR66" s="257"/>
      <c r="DS66" s="257"/>
      <c r="DT66" s="257"/>
      <c r="DU66" s="257"/>
      <c r="DV66" s="257"/>
      <c r="DW66" s="257"/>
      <c r="DX66" s="257"/>
      <c r="DY66" s="257"/>
      <c r="DZ66" s="258"/>
      <c r="EA66" s="431">
        <f t="shared" ref="EA66" si="34">SUM(CW66:DZ67)</f>
        <v>4</v>
      </c>
      <c r="EB66" s="432"/>
      <c r="EC66" s="432"/>
      <c r="ED66" s="432"/>
      <c r="EE66" s="433"/>
      <c r="EI66" s="185"/>
      <c r="EJ66" s="186"/>
      <c r="EK66" s="186"/>
      <c r="EL66" s="187"/>
    </row>
    <row r="67" spans="1:156" s="113" customFormat="1" ht="80.099999999999994" customHeight="1" x14ac:dyDescent="0.2">
      <c r="A67" s="469"/>
      <c r="B67" s="206" t="s">
        <v>153</v>
      </c>
      <c r="C67" s="261" t="s">
        <v>151</v>
      </c>
      <c r="D67" s="261"/>
      <c r="E67" s="261"/>
      <c r="F67" s="261"/>
      <c r="G67" s="261"/>
      <c r="H67" s="261"/>
      <c r="I67" s="261"/>
      <c r="J67" s="261"/>
      <c r="K67" s="261"/>
      <c r="L67" s="261"/>
      <c r="M67" s="261"/>
      <c r="N67" s="261"/>
      <c r="O67" s="261"/>
      <c r="P67" s="261"/>
      <c r="Q67" s="261"/>
      <c r="R67" s="261"/>
      <c r="S67" s="261"/>
      <c r="T67" s="261"/>
      <c r="U67" s="261"/>
      <c r="V67" s="261"/>
      <c r="W67" s="261"/>
      <c r="X67" s="261"/>
      <c r="Y67" s="261"/>
      <c r="Z67" s="458"/>
      <c r="AA67" s="459"/>
      <c r="AB67" s="459"/>
      <c r="AC67" s="459"/>
      <c r="AD67" s="460"/>
      <c r="AE67" s="425"/>
      <c r="AF67" s="335"/>
      <c r="AG67" s="335"/>
      <c r="AH67" s="335"/>
      <c r="AI67" s="438"/>
      <c r="AJ67" s="351"/>
      <c r="AK67" s="352"/>
      <c r="AL67" s="352"/>
      <c r="AM67" s="352"/>
      <c r="AN67" s="353"/>
      <c r="AO67" s="351"/>
      <c r="AP67" s="352"/>
      <c r="AQ67" s="352"/>
      <c r="AR67" s="352"/>
      <c r="AS67" s="353"/>
      <c r="AT67" s="351"/>
      <c r="AU67" s="352"/>
      <c r="AV67" s="352"/>
      <c r="AW67" s="352"/>
      <c r="AX67" s="353"/>
      <c r="AY67" s="351"/>
      <c r="AZ67" s="352"/>
      <c r="BA67" s="352"/>
      <c r="BB67" s="352"/>
      <c r="BC67" s="353"/>
      <c r="BD67" s="351"/>
      <c r="BE67" s="352"/>
      <c r="BF67" s="352"/>
      <c r="BG67" s="352"/>
      <c r="BH67" s="353"/>
      <c r="BI67" s="351"/>
      <c r="BJ67" s="352"/>
      <c r="BK67" s="352"/>
      <c r="BL67" s="352"/>
      <c r="BM67" s="353"/>
      <c r="BN67" s="304"/>
      <c r="BO67" s="305"/>
      <c r="BP67" s="305"/>
      <c r="BQ67" s="305"/>
      <c r="BR67" s="306"/>
      <c r="BS67" s="334"/>
      <c r="BT67" s="335"/>
      <c r="BU67" s="335"/>
      <c r="BV67" s="335"/>
      <c r="BW67" s="335"/>
      <c r="BX67" s="257"/>
      <c r="BY67" s="257"/>
      <c r="BZ67" s="257"/>
      <c r="CA67" s="257"/>
      <c r="CB67" s="257"/>
      <c r="CC67" s="257"/>
      <c r="CD67" s="257"/>
      <c r="CE67" s="257"/>
      <c r="CF67" s="257"/>
      <c r="CG67" s="257"/>
      <c r="CH67" s="257"/>
      <c r="CI67" s="257"/>
      <c r="CJ67" s="257"/>
      <c r="CK67" s="257"/>
      <c r="CL67" s="257"/>
      <c r="CM67" s="257"/>
      <c r="CN67" s="257"/>
      <c r="CO67" s="257"/>
      <c r="CP67" s="257"/>
      <c r="CQ67" s="257"/>
      <c r="CR67" s="257"/>
      <c r="CS67" s="257"/>
      <c r="CT67" s="257"/>
      <c r="CU67" s="257"/>
      <c r="CV67" s="258"/>
      <c r="CW67" s="283"/>
      <c r="CX67" s="257"/>
      <c r="CY67" s="257"/>
      <c r="CZ67" s="257"/>
      <c r="DA67" s="257"/>
      <c r="DB67" s="257"/>
      <c r="DC67" s="257"/>
      <c r="DD67" s="257"/>
      <c r="DE67" s="257"/>
      <c r="DF67" s="257"/>
      <c r="DG67" s="257"/>
      <c r="DH67" s="257"/>
      <c r="DI67" s="257"/>
      <c r="DJ67" s="257"/>
      <c r="DK67" s="257"/>
      <c r="DL67" s="257"/>
      <c r="DM67" s="257"/>
      <c r="DN67" s="257"/>
      <c r="DO67" s="257"/>
      <c r="DP67" s="257"/>
      <c r="DQ67" s="257"/>
      <c r="DR67" s="257"/>
      <c r="DS67" s="257"/>
      <c r="DT67" s="257"/>
      <c r="DU67" s="257"/>
      <c r="DV67" s="257"/>
      <c r="DW67" s="257"/>
      <c r="DX67" s="257"/>
      <c r="DY67" s="257"/>
      <c r="DZ67" s="258"/>
      <c r="EA67" s="434"/>
      <c r="EB67" s="435"/>
      <c r="EC67" s="435"/>
      <c r="ED67" s="435"/>
      <c r="EE67" s="436"/>
      <c r="EI67" s="185"/>
      <c r="EJ67" s="186"/>
      <c r="EK67" s="186"/>
      <c r="EL67" s="187"/>
    </row>
    <row r="68" spans="1:156" s="113" customFormat="1" ht="99.95" customHeight="1" x14ac:dyDescent="0.2">
      <c r="A68" s="468" t="s">
        <v>43</v>
      </c>
      <c r="B68" s="206" t="s">
        <v>197</v>
      </c>
      <c r="C68" s="261" t="s">
        <v>131</v>
      </c>
      <c r="D68" s="261"/>
      <c r="E68" s="261"/>
      <c r="F68" s="261"/>
      <c r="G68" s="261"/>
      <c r="H68" s="261"/>
      <c r="I68" s="261"/>
      <c r="J68" s="261"/>
      <c r="K68" s="261"/>
      <c r="L68" s="261"/>
      <c r="M68" s="261"/>
      <c r="N68" s="261"/>
      <c r="O68" s="261"/>
      <c r="P68" s="261"/>
      <c r="Q68" s="261"/>
      <c r="R68" s="261"/>
      <c r="S68" s="261"/>
      <c r="T68" s="261"/>
      <c r="U68" s="261"/>
      <c r="V68" s="261"/>
      <c r="W68" s="261"/>
      <c r="X68" s="261"/>
      <c r="Y68" s="261"/>
      <c r="Z68" s="455">
        <f t="shared" ref="Z68" si="35">EA68*30</f>
        <v>120</v>
      </c>
      <c r="AA68" s="456"/>
      <c r="AB68" s="456"/>
      <c r="AC68" s="456"/>
      <c r="AD68" s="457"/>
      <c r="AE68" s="423"/>
      <c r="AF68" s="333"/>
      <c r="AG68" s="333"/>
      <c r="AH68" s="333"/>
      <c r="AI68" s="437"/>
      <c r="AJ68" s="336">
        <f t="shared" ref="AJ68" si="36">SUM(AO68:BH69)</f>
        <v>48</v>
      </c>
      <c r="AK68" s="337"/>
      <c r="AL68" s="337"/>
      <c r="AM68" s="337"/>
      <c r="AN68" s="338"/>
      <c r="AO68" s="336">
        <v>24</v>
      </c>
      <c r="AP68" s="337"/>
      <c r="AQ68" s="337"/>
      <c r="AR68" s="337"/>
      <c r="AS68" s="338"/>
      <c r="AT68" s="336">
        <v>12</v>
      </c>
      <c r="AU68" s="337"/>
      <c r="AV68" s="337"/>
      <c r="AW68" s="337"/>
      <c r="AX68" s="338"/>
      <c r="AY68" s="336">
        <v>12</v>
      </c>
      <c r="AZ68" s="337"/>
      <c r="BA68" s="337"/>
      <c r="BB68" s="337"/>
      <c r="BC68" s="338"/>
      <c r="BD68" s="336"/>
      <c r="BE68" s="337"/>
      <c r="BF68" s="337"/>
      <c r="BG68" s="337"/>
      <c r="BH68" s="338"/>
      <c r="BI68" s="336"/>
      <c r="BJ68" s="337"/>
      <c r="BK68" s="337"/>
      <c r="BL68" s="337"/>
      <c r="BM68" s="338"/>
      <c r="BN68" s="301">
        <f t="shared" ref="BN68" si="37">Z68-AJ68</f>
        <v>72</v>
      </c>
      <c r="BO68" s="302"/>
      <c r="BP68" s="302"/>
      <c r="BQ68" s="302"/>
      <c r="BR68" s="303"/>
      <c r="BS68" s="332"/>
      <c r="BT68" s="333"/>
      <c r="BU68" s="333"/>
      <c r="BV68" s="333"/>
      <c r="BW68" s="333"/>
      <c r="BX68" s="257"/>
      <c r="BY68" s="257"/>
      <c r="BZ68" s="257"/>
      <c r="CA68" s="257"/>
      <c r="CB68" s="257"/>
      <c r="CC68" s="257"/>
      <c r="CD68" s="257"/>
      <c r="CE68" s="257"/>
      <c r="CF68" s="257"/>
      <c r="CG68" s="257"/>
      <c r="CH68" s="257"/>
      <c r="CI68" s="257"/>
      <c r="CJ68" s="257"/>
      <c r="CK68" s="257"/>
      <c r="CL68" s="257"/>
      <c r="CM68" s="257"/>
      <c r="CN68" s="257"/>
      <c r="CO68" s="257"/>
      <c r="CP68" s="257"/>
      <c r="CQ68" s="257"/>
      <c r="CR68" s="257">
        <v>4</v>
      </c>
      <c r="CS68" s="257"/>
      <c r="CT68" s="257"/>
      <c r="CU68" s="257"/>
      <c r="CV68" s="258"/>
      <c r="CW68" s="283"/>
      <c r="CX68" s="257"/>
      <c r="CY68" s="257"/>
      <c r="CZ68" s="257"/>
      <c r="DA68" s="257"/>
      <c r="DB68" s="257"/>
      <c r="DC68" s="257"/>
      <c r="DD68" s="257"/>
      <c r="DE68" s="257"/>
      <c r="DF68" s="257"/>
      <c r="DG68" s="257"/>
      <c r="DH68" s="257"/>
      <c r="DI68" s="257"/>
      <c r="DJ68" s="257"/>
      <c r="DK68" s="257"/>
      <c r="DL68" s="257"/>
      <c r="DM68" s="257"/>
      <c r="DN68" s="257"/>
      <c r="DO68" s="257"/>
      <c r="DP68" s="257"/>
      <c r="DQ68" s="257"/>
      <c r="DR68" s="257"/>
      <c r="DS68" s="257"/>
      <c r="DT68" s="257"/>
      <c r="DU68" s="257"/>
      <c r="DV68" s="257">
        <v>4</v>
      </c>
      <c r="DW68" s="257"/>
      <c r="DX68" s="257"/>
      <c r="DY68" s="257"/>
      <c r="DZ68" s="258"/>
      <c r="EA68" s="431">
        <f t="shared" ref="EA68" si="38">SUM(CW68:DZ69)</f>
        <v>4</v>
      </c>
      <c r="EB68" s="432"/>
      <c r="EC68" s="432"/>
      <c r="ED68" s="432"/>
      <c r="EE68" s="433"/>
      <c r="EI68" s="185"/>
      <c r="EJ68" s="186"/>
      <c r="EK68" s="186"/>
      <c r="EL68" s="187"/>
    </row>
    <row r="69" spans="1:156" s="113" customFormat="1" ht="80.099999999999994" customHeight="1" x14ac:dyDescent="0.2">
      <c r="A69" s="469"/>
      <c r="B69" s="206" t="s">
        <v>198</v>
      </c>
      <c r="C69" s="261" t="s">
        <v>107</v>
      </c>
      <c r="D69" s="261"/>
      <c r="E69" s="261"/>
      <c r="F69" s="261"/>
      <c r="G69" s="261"/>
      <c r="H69" s="261"/>
      <c r="I69" s="261"/>
      <c r="J69" s="261"/>
      <c r="K69" s="261"/>
      <c r="L69" s="261"/>
      <c r="M69" s="261"/>
      <c r="N69" s="261"/>
      <c r="O69" s="261"/>
      <c r="P69" s="261"/>
      <c r="Q69" s="261"/>
      <c r="R69" s="261"/>
      <c r="S69" s="261"/>
      <c r="T69" s="261"/>
      <c r="U69" s="261"/>
      <c r="V69" s="261"/>
      <c r="W69" s="261"/>
      <c r="X69" s="261"/>
      <c r="Y69" s="261"/>
      <c r="Z69" s="458"/>
      <c r="AA69" s="459"/>
      <c r="AB69" s="459"/>
      <c r="AC69" s="459"/>
      <c r="AD69" s="460"/>
      <c r="AE69" s="425"/>
      <c r="AF69" s="335"/>
      <c r="AG69" s="335"/>
      <c r="AH69" s="335"/>
      <c r="AI69" s="438"/>
      <c r="AJ69" s="351"/>
      <c r="AK69" s="352"/>
      <c r="AL69" s="352"/>
      <c r="AM69" s="352"/>
      <c r="AN69" s="353"/>
      <c r="AO69" s="351"/>
      <c r="AP69" s="352"/>
      <c r="AQ69" s="352"/>
      <c r="AR69" s="352"/>
      <c r="AS69" s="353"/>
      <c r="AT69" s="351"/>
      <c r="AU69" s="352"/>
      <c r="AV69" s="352"/>
      <c r="AW69" s="352"/>
      <c r="AX69" s="353"/>
      <c r="AY69" s="351"/>
      <c r="AZ69" s="352"/>
      <c r="BA69" s="352"/>
      <c r="BB69" s="352"/>
      <c r="BC69" s="353"/>
      <c r="BD69" s="351"/>
      <c r="BE69" s="352"/>
      <c r="BF69" s="352"/>
      <c r="BG69" s="352"/>
      <c r="BH69" s="353"/>
      <c r="BI69" s="351"/>
      <c r="BJ69" s="352"/>
      <c r="BK69" s="352"/>
      <c r="BL69" s="352"/>
      <c r="BM69" s="353"/>
      <c r="BN69" s="304"/>
      <c r="BO69" s="305"/>
      <c r="BP69" s="305"/>
      <c r="BQ69" s="305"/>
      <c r="BR69" s="306"/>
      <c r="BS69" s="334"/>
      <c r="BT69" s="335"/>
      <c r="BU69" s="335"/>
      <c r="BV69" s="335"/>
      <c r="BW69" s="335"/>
      <c r="BX69" s="257"/>
      <c r="BY69" s="257"/>
      <c r="BZ69" s="257"/>
      <c r="CA69" s="257"/>
      <c r="CB69" s="257"/>
      <c r="CC69" s="257"/>
      <c r="CD69" s="257"/>
      <c r="CE69" s="257"/>
      <c r="CF69" s="257"/>
      <c r="CG69" s="257"/>
      <c r="CH69" s="257"/>
      <c r="CI69" s="257"/>
      <c r="CJ69" s="257"/>
      <c r="CK69" s="257"/>
      <c r="CL69" s="257"/>
      <c r="CM69" s="257"/>
      <c r="CN69" s="257"/>
      <c r="CO69" s="257"/>
      <c r="CP69" s="257"/>
      <c r="CQ69" s="257"/>
      <c r="CR69" s="257"/>
      <c r="CS69" s="257"/>
      <c r="CT69" s="257"/>
      <c r="CU69" s="257"/>
      <c r="CV69" s="258"/>
      <c r="CW69" s="283"/>
      <c r="CX69" s="257"/>
      <c r="CY69" s="257"/>
      <c r="CZ69" s="257"/>
      <c r="DA69" s="257"/>
      <c r="DB69" s="257"/>
      <c r="DC69" s="257"/>
      <c r="DD69" s="257"/>
      <c r="DE69" s="257"/>
      <c r="DF69" s="257"/>
      <c r="DG69" s="257"/>
      <c r="DH69" s="257"/>
      <c r="DI69" s="257"/>
      <c r="DJ69" s="257"/>
      <c r="DK69" s="257"/>
      <c r="DL69" s="257"/>
      <c r="DM69" s="257"/>
      <c r="DN69" s="257"/>
      <c r="DO69" s="257"/>
      <c r="DP69" s="257"/>
      <c r="DQ69" s="257"/>
      <c r="DR69" s="257"/>
      <c r="DS69" s="257"/>
      <c r="DT69" s="257"/>
      <c r="DU69" s="257"/>
      <c r="DV69" s="257"/>
      <c r="DW69" s="257"/>
      <c r="DX69" s="257"/>
      <c r="DY69" s="257"/>
      <c r="DZ69" s="258"/>
      <c r="EA69" s="434"/>
      <c r="EB69" s="435"/>
      <c r="EC69" s="435"/>
      <c r="ED69" s="435"/>
      <c r="EE69" s="436"/>
      <c r="EI69" s="185"/>
      <c r="EJ69" s="186"/>
      <c r="EK69" s="186"/>
      <c r="EL69" s="187"/>
    </row>
    <row r="70" spans="1:156" s="113" customFormat="1" ht="80.099999999999994" customHeight="1" x14ac:dyDescent="0.2">
      <c r="A70" s="468" t="s">
        <v>108</v>
      </c>
      <c r="B70" s="206" t="s">
        <v>156</v>
      </c>
      <c r="C70" s="261" t="s">
        <v>155</v>
      </c>
      <c r="D70" s="261"/>
      <c r="E70" s="261"/>
      <c r="F70" s="261"/>
      <c r="G70" s="261"/>
      <c r="H70" s="261"/>
      <c r="I70" s="261"/>
      <c r="J70" s="261"/>
      <c r="K70" s="261"/>
      <c r="L70" s="261"/>
      <c r="M70" s="261"/>
      <c r="N70" s="261"/>
      <c r="O70" s="261"/>
      <c r="P70" s="261"/>
      <c r="Q70" s="261"/>
      <c r="R70" s="261"/>
      <c r="S70" s="261"/>
      <c r="T70" s="261"/>
      <c r="U70" s="261"/>
      <c r="V70" s="261"/>
      <c r="W70" s="261"/>
      <c r="X70" s="261"/>
      <c r="Y70" s="261"/>
      <c r="Z70" s="455">
        <f t="shared" ref="Z70" si="39">EA70*30</f>
        <v>120</v>
      </c>
      <c r="AA70" s="456"/>
      <c r="AB70" s="456"/>
      <c r="AC70" s="456"/>
      <c r="AD70" s="457"/>
      <c r="AE70" s="423"/>
      <c r="AF70" s="333"/>
      <c r="AG70" s="333"/>
      <c r="AH70" s="333"/>
      <c r="AI70" s="437"/>
      <c r="AJ70" s="336">
        <f t="shared" ref="AJ70" si="40">SUM(AO70:BH71)</f>
        <v>48</v>
      </c>
      <c r="AK70" s="337"/>
      <c r="AL70" s="337"/>
      <c r="AM70" s="337"/>
      <c r="AN70" s="338"/>
      <c r="AO70" s="336">
        <v>24</v>
      </c>
      <c r="AP70" s="337"/>
      <c r="AQ70" s="337"/>
      <c r="AR70" s="337"/>
      <c r="AS70" s="338"/>
      <c r="AT70" s="336"/>
      <c r="AU70" s="337"/>
      <c r="AV70" s="337"/>
      <c r="AW70" s="337"/>
      <c r="AX70" s="338"/>
      <c r="AY70" s="336">
        <v>24</v>
      </c>
      <c r="AZ70" s="337"/>
      <c r="BA70" s="337"/>
      <c r="BB70" s="337"/>
      <c r="BC70" s="338"/>
      <c r="BD70" s="336"/>
      <c r="BE70" s="337"/>
      <c r="BF70" s="337"/>
      <c r="BG70" s="337"/>
      <c r="BH70" s="338"/>
      <c r="BI70" s="336"/>
      <c r="BJ70" s="337"/>
      <c r="BK70" s="337"/>
      <c r="BL70" s="337"/>
      <c r="BM70" s="338"/>
      <c r="BN70" s="301">
        <f t="shared" ref="BN70" si="41">Z70-AJ70</f>
        <v>72</v>
      </c>
      <c r="BO70" s="302"/>
      <c r="BP70" s="302"/>
      <c r="BQ70" s="302"/>
      <c r="BR70" s="303"/>
      <c r="BS70" s="332"/>
      <c r="BT70" s="333"/>
      <c r="BU70" s="333"/>
      <c r="BV70" s="333"/>
      <c r="BW70" s="333"/>
      <c r="BX70" s="257"/>
      <c r="BY70" s="257"/>
      <c r="BZ70" s="257"/>
      <c r="CA70" s="257"/>
      <c r="CB70" s="257"/>
      <c r="CC70" s="257"/>
      <c r="CD70" s="257"/>
      <c r="CE70" s="257"/>
      <c r="CF70" s="257"/>
      <c r="CG70" s="257"/>
      <c r="CH70" s="257"/>
      <c r="CI70" s="257"/>
      <c r="CJ70" s="257"/>
      <c r="CK70" s="257"/>
      <c r="CL70" s="257"/>
      <c r="CM70" s="257"/>
      <c r="CN70" s="257"/>
      <c r="CO70" s="257"/>
      <c r="CP70" s="257"/>
      <c r="CQ70" s="257"/>
      <c r="CR70" s="257">
        <v>4</v>
      </c>
      <c r="CS70" s="257"/>
      <c r="CT70" s="257"/>
      <c r="CU70" s="257"/>
      <c r="CV70" s="258"/>
      <c r="CW70" s="283"/>
      <c r="CX70" s="257"/>
      <c r="CY70" s="257"/>
      <c r="CZ70" s="257"/>
      <c r="DA70" s="257"/>
      <c r="DB70" s="257"/>
      <c r="DC70" s="257"/>
      <c r="DD70" s="257"/>
      <c r="DE70" s="257"/>
      <c r="DF70" s="257"/>
      <c r="DG70" s="257"/>
      <c r="DH70" s="257"/>
      <c r="DI70" s="257"/>
      <c r="DJ70" s="257"/>
      <c r="DK70" s="257"/>
      <c r="DL70" s="257"/>
      <c r="DM70" s="257"/>
      <c r="DN70" s="257"/>
      <c r="DO70" s="257"/>
      <c r="DP70" s="257"/>
      <c r="DQ70" s="257"/>
      <c r="DR70" s="257"/>
      <c r="DS70" s="257"/>
      <c r="DT70" s="257"/>
      <c r="DU70" s="257"/>
      <c r="DV70" s="257">
        <v>4</v>
      </c>
      <c r="DW70" s="257"/>
      <c r="DX70" s="257"/>
      <c r="DY70" s="257"/>
      <c r="DZ70" s="258"/>
      <c r="EA70" s="431">
        <f t="shared" ref="EA70" si="42">SUM(CW70:DZ71)</f>
        <v>4</v>
      </c>
      <c r="EB70" s="432"/>
      <c r="EC70" s="432"/>
      <c r="ED70" s="432"/>
      <c r="EE70" s="433"/>
      <c r="EI70" s="185"/>
      <c r="EJ70" s="186"/>
      <c r="EK70" s="186"/>
      <c r="EL70" s="187"/>
    </row>
    <row r="71" spans="1:156" s="113" customFormat="1" ht="80.099999999999994" customHeight="1" x14ac:dyDescent="0.2">
      <c r="A71" s="469"/>
      <c r="B71" s="206" t="s">
        <v>157</v>
      </c>
      <c r="C71" s="261" t="s">
        <v>99</v>
      </c>
      <c r="D71" s="261"/>
      <c r="E71" s="261"/>
      <c r="F71" s="261"/>
      <c r="G71" s="261"/>
      <c r="H71" s="261"/>
      <c r="I71" s="261"/>
      <c r="J71" s="261"/>
      <c r="K71" s="261"/>
      <c r="L71" s="261"/>
      <c r="M71" s="261"/>
      <c r="N71" s="261"/>
      <c r="O71" s="261"/>
      <c r="P71" s="261"/>
      <c r="Q71" s="261"/>
      <c r="R71" s="261"/>
      <c r="S71" s="261"/>
      <c r="T71" s="261"/>
      <c r="U71" s="261"/>
      <c r="V71" s="261"/>
      <c r="W71" s="261"/>
      <c r="X71" s="261"/>
      <c r="Y71" s="261"/>
      <c r="Z71" s="458"/>
      <c r="AA71" s="459"/>
      <c r="AB71" s="459"/>
      <c r="AC71" s="459"/>
      <c r="AD71" s="460"/>
      <c r="AE71" s="425"/>
      <c r="AF71" s="335"/>
      <c r="AG71" s="335"/>
      <c r="AH71" s="335"/>
      <c r="AI71" s="438"/>
      <c r="AJ71" s="351"/>
      <c r="AK71" s="352"/>
      <c r="AL71" s="352"/>
      <c r="AM71" s="352"/>
      <c r="AN71" s="353"/>
      <c r="AO71" s="351"/>
      <c r="AP71" s="352"/>
      <c r="AQ71" s="352"/>
      <c r="AR71" s="352"/>
      <c r="AS71" s="353"/>
      <c r="AT71" s="351"/>
      <c r="AU71" s="352"/>
      <c r="AV71" s="352"/>
      <c r="AW71" s="352"/>
      <c r="AX71" s="353"/>
      <c r="AY71" s="351"/>
      <c r="AZ71" s="352"/>
      <c r="BA71" s="352"/>
      <c r="BB71" s="352"/>
      <c r="BC71" s="353"/>
      <c r="BD71" s="351"/>
      <c r="BE71" s="352"/>
      <c r="BF71" s="352"/>
      <c r="BG71" s="352"/>
      <c r="BH71" s="353"/>
      <c r="BI71" s="351"/>
      <c r="BJ71" s="352"/>
      <c r="BK71" s="352"/>
      <c r="BL71" s="352"/>
      <c r="BM71" s="353"/>
      <c r="BN71" s="304"/>
      <c r="BO71" s="305"/>
      <c r="BP71" s="305"/>
      <c r="BQ71" s="305"/>
      <c r="BR71" s="306"/>
      <c r="BS71" s="334"/>
      <c r="BT71" s="335"/>
      <c r="BU71" s="335"/>
      <c r="BV71" s="335"/>
      <c r="BW71" s="335"/>
      <c r="BX71" s="257"/>
      <c r="BY71" s="257"/>
      <c r="BZ71" s="257"/>
      <c r="CA71" s="257"/>
      <c r="CB71" s="257"/>
      <c r="CC71" s="257"/>
      <c r="CD71" s="257"/>
      <c r="CE71" s="257"/>
      <c r="CF71" s="257"/>
      <c r="CG71" s="257"/>
      <c r="CH71" s="257"/>
      <c r="CI71" s="257"/>
      <c r="CJ71" s="257"/>
      <c r="CK71" s="257"/>
      <c r="CL71" s="257"/>
      <c r="CM71" s="257"/>
      <c r="CN71" s="257"/>
      <c r="CO71" s="257"/>
      <c r="CP71" s="257"/>
      <c r="CQ71" s="257"/>
      <c r="CR71" s="257"/>
      <c r="CS71" s="257"/>
      <c r="CT71" s="257"/>
      <c r="CU71" s="257"/>
      <c r="CV71" s="258"/>
      <c r="CW71" s="283"/>
      <c r="CX71" s="257"/>
      <c r="CY71" s="257"/>
      <c r="CZ71" s="257"/>
      <c r="DA71" s="257"/>
      <c r="DB71" s="257"/>
      <c r="DC71" s="257"/>
      <c r="DD71" s="257"/>
      <c r="DE71" s="257"/>
      <c r="DF71" s="257"/>
      <c r="DG71" s="257"/>
      <c r="DH71" s="257"/>
      <c r="DI71" s="257"/>
      <c r="DJ71" s="257"/>
      <c r="DK71" s="257"/>
      <c r="DL71" s="257"/>
      <c r="DM71" s="257"/>
      <c r="DN71" s="257"/>
      <c r="DO71" s="257"/>
      <c r="DP71" s="257"/>
      <c r="DQ71" s="257"/>
      <c r="DR71" s="257"/>
      <c r="DS71" s="257"/>
      <c r="DT71" s="257"/>
      <c r="DU71" s="257"/>
      <c r="DV71" s="257"/>
      <c r="DW71" s="257"/>
      <c r="DX71" s="257"/>
      <c r="DY71" s="257"/>
      <c r="DZ71" s="258"/>
      <c r="EA71" s="434"/>
      <c r="EB71" s="435"/>
      <c r="EC71" s="435"/>
      <c r="ED71" s="435"/>
      <c r="EE71" s="436"/>
      <c r="EI71" s="185"/>
      <c r="EJ71" s="186"/>
      <c r="EK71" s="186"/>
      <c r="EL71" s="187"/>
    </row>
    <row r="72" spans="1:156" s="38" customFormat="1" ht="90" customHeight="1" x14ac:dyDescent="0.45">
      <c r="A72" s="146"/>
      <c r="B72" s="90"/>
      <c r="C72" s="341" t="s">
        <v>73</v>
      </c>
      <c r="D72" s="341"/>
      <c r="E72" s="341"/>
      <c r="F72" s="341"/>
      <c r="G72" s="341"/>
      <c r="H72" s="341"/>
      <c r="I72" s="341"/>
      <c r="J72" s="341"/>
      <c r="K72" s="341"/>
      <c r="L72" s="341"/>
      <c r="M72" s="341"/>
      <c r="N72" s="341"/>
      <c r="O72" s="341"/>
      <c r="P72" s="341"/>
      <c r="Q72" s="341"/>
      <c r="R72" s="341"/>
      <c r="S72" s="341"/>
      <c r="T72" s="341"/>
      <c r="U72" s="341"/>
      <c r="V72" s="341"/>
      <c r="W72" s="341"/>
      <c r="X72" s="341"/>
      <c r="Y72" s="341"/>
      <c r="Z72" s="343">
        <f>Z53+Z34</f>
        <v>4650</v>
      </c>
      <c r="AA72" s="344"/>
      <c r="AB72" s="344"/>
      <c r="AC72" s="344"/>
      <c r="AD72" s="345"/>
      <c r="AE72" s="322">
        <f>Z72/$Z$76*100</f>
        <v>86.111111111111114</v>
      </c>
      <c r="AF72" s="322"/>
      <c r="AG72" s="322"/>
      <c r="AH72" s="322"/>
      <c r="AI72" s="322"/>
      <c r="AJ72" s="291">
        <f>AJ53+AJ34</f>
        <v>1980</v>
      </c>
      <c r="AK72" s="292"/>
      <c r="AL72" s="292"/>
      <c r="AM72" s="292"/>
      <c r="AN72" s="292"/>
      <c r="AO72" s="291">
        <f>AO53+AO34</f>
        <v>916</v>
      </c>
      <c r="AP72" s="292"/>
      <c r="AQ72" s="292"/>
      <c r="AR72" s="292"/>
      <c r="AS72" s="292"/>
      <c r="AT72" s="291">
        <f>AT53+AT34</f>
        <v>882</v>
      </c>
      <c r="AU72" s="292"/>
      <c r="AV72" s="292"/>
      <c r="AW72" s="292"/>
      <c r="AX72" s="292"/>
      <c r="AY72" s="291">
        <f>AY53+AY34</f>
        <v>302</v>
      </c>
      <c r="AZ72" s="292"/>
      <c r="BA72" s="292"/>
      <c r="BB72" s="292"/>
      <c r="BC72" s="292"/>
      <c r="BD72" s="291">
        <f>BD53+BD34</f>
        <v>0</v>
      </c>
      <c r="BE72" s="292"/>
      <c r="BF72" s="292"/>
      <c r="BG72" s="292"/>
      <c r="BH72" s="292"/>
      <c r="BI72" s="291">
        <f>BI53+BI34</f>
        <v>0</v>
      </c>
      <c r="BJ72" s="292"/>
      <c r="BK72" s="292"/>
      <c r="BL72" s="292"/>
      <c r="BM72" s="292"/>
      <c r="BN72" s="325">
        <f>BN53+BN34</f>
        <v>2814</v>
      </c>
      <c r="BO72" s="346"/>
      <c r="BP72" s="346"/>
      <c r="BQ72" s="346"/>
      <c r="BR72" s="347"/>
      <c r="BS72" s="339">
        <f>BS53+BS34</f>
        <v>25</v>
      </c>
      <c r="BT72" s="289"/>
      <c r="BU72" s="289"/>
      <c r="BV72" s="289"/>
      <c r="BW72" s="289"/>
      <c r="BX72" s="316">
        <f>BX53+BX34</f>
        <v>22</v>
      </c>
      <c r="BY72" s="317"/>
      <c r="BZ72" s="317"/>
      <c r="CA72" s="317"/>
      <c r="CB72" s="288"/>
      <c r="CC72" s="316">
        <f>CC53+CC34</f>
        <v>21</v>
      </c>
      <c r="CD72" s="317"/>
      <c r="CE72" s="317"/>
      <c r="CF72" s="317"/>
      <c r="CG72" s="288"/>
      <c r="CH72" s="316">
        <f>CH53+CH34</f>
        <v>20</v>
      </c>
      <c r="CI72" s="317"/>
      <c r="CJ72" s="317"/>
      <c r="CK72" s="317"/>
      <c r="CL72" s="288"/>
      <c r="CM72" s="316">
        <f>CM53+CM34</f>
        <v>19</v>
      </c>
      <c r="CN72" s="317"/>
      <c r="CO72" s="317"/>
      <c r="CP72" s="317"/>
      <c r="CQ72" s="288"/>
      <c r="CR72" s="316">
        <f>CR53+CR34</f>
        <v>21</v>
      </c>
      <c r="CS72" s="317"/>
      <c r="CT72" s="317"/>
      <c r="CU72" s="317"/>
      <c r="CV72" s="318"/>
      <c r="CW72" s="339">
        <f>CW53+CW34</f>
        <v>30</v>
      </c>
      <c r="CX72" s="289"/>
      <c r="CY72" s="289"/>
      <c r="CZ72" s="289"/>
      <c r="DA72" s="289"/>
      <c r="DB72" s="288">
        <f>DB53+DB34</f>
        <v>28</v>
      </c>
      <c r="DC72" s="289"/>
      <c r="DD72" s="289"/>
      <c r="DE72" s="289"/>
      <c r="DF72" s="289"/>
      <c r="DG72" s="288">
        <f>DG53+DG34</f>
        <v>27</v>
      </c>
      <c r="DH72" s="289"/>
      <c r="DI72" s="289"/>
      <c r="DJ72" s="289"/>
      <c r="DK72" s="289"/>
      <c r="DL72" s="288">
        <f>DL53+DL34</f>
        <v>24</v>
      </c>
      <c r="DM72" s="289"/>
      <c r="DN72" s="289"/>
      <c r="DO72" s="289"/>
      <c r="DP72" s="289"/>
      <c r="DQ72" s="288">
        <f>DQ53+DQ34</f>
        <v>25</v>
      </c>
      <c r="DR72" s="289"/>
      <c r="DS72" s="289"/>
      <c r="DT72" s="289"/>
      <c r="DU72" s="289"/>
      <c r="DV72" s="288">
        <f>DV53+DV34</f>
        <v>21</v>
      </c>
      <c r="DW72" s="289"/>
      <c r="DX72" s="289"/>
      <c r="DY72" s="289"/>
      <c r="DZ72" s="392"/>
      <c r="EA72" s="403">
        <f>EA34+EA53</f>
        <v>155</v>
      </c>
      <c r="EB72" s="291"/>
      <c r="EC72" s="325"/>
      <c r="ED72" s="325"/>
      <c r="EE72" s="404"/>
      <c r="EF72" s="39"/>
      <c r="EI72" s="188"/>
      <c r="EJ72" s="189"/>
      <c r="EK72" s="189"/>
      <c r="EL72" s="190"/>
    </row>
    <row r="73" spans="1:156" s="37" customFormat="1" ht="90" customHeight="1" x14ac:dyDescent="0.2">
      <c r="A73" s="145"/>
      <c r="B73" s="40"/>
      <c r="C73" s="293" t="s">
        <v>74</v>
      </c>
      <c r="D73" s="293"/>
      <c r="E73" s="293"/>
      <c r="F73" s="293"/>
      <c r="G73" s="293"/>
      <c r="H73" s="293"/>
      <c r="I73" s="293"/>
      <c r="J73" s="293"/>
      <c r="K73" s="293"/>
      <c r="L73" s="293"/>
      <c r="M73" s="293"/>
      <c r="N73" s="293"/>
      <c r="O73" s="293"/>
      <c r="P73" s="293"/>
      <c r="Q73" s="293"/>
      <c r="R73" s="293"/>
      <c r="S73" s="293"/>
      <c r="T73" s="293"/>
      <c r="U73" s="293"/>
      <c r="V73" s="293"/>
      <c r="W73" s="293"/>
      <c r="X73" s="293"/>
      <c r="Y73" s="293"/>
      <c r="Z73" s="259">
        <f>EA73*30</f>
        <v>750</v>
      </c>
      <c r="AA73" s="259"/>
      <c r="AB73" s="259"/>
      <c r="AC73" s="259"/>
      <c r="AD73" s="259"/>
      <c r="AE73" s="260"/>
      <c r="AF73" s="260"/>
      <c r="AG73" s="260"/>
      <c r="AH73" s="260"/>
      <c r="AI73" s="260"/>
      <c r="AJ73" s="284"/>
      <c r="AK73" s="284"/>
      <c r="AL73" s="284"/>
      <c r="AM73" s="284"/>
      <c r="AN73" s="284"/>
      <c r="AO73" s="319"/>
      <c r="AP73" s="320"/>
      <c r="AQ73" s="320"/>
      <c r="AR73" s="320"/>
      <c r="AS73" s="321"/>
      <c r="AT73" s="284"/>
      <c r="AU73" s="284"/>
      <c r="AV73" s="284"/>
      <c r="AW73" s="284"/>
      <c r="AX73" s="284"/>
      <c r="AY73" s="284"/>
      <c r="AZ73" s="284"/>
      <c r="BA73" s="284"/>
      <c r="BB73" s="284"/>
      <c r="BC73" s="284"/>
      <c r="BD73" s="284"/>
      <c r="BE73" s="284"/>
      <c r="BF73" s="284"/>
      <c r="BG73" s="284"/>
      <c r="BH73" s="284"/>
      <c r="BI73" s="284"/>
      <c r="BJ73" s="284"/>
      <c r="BK73" s="284"/>
      <c r="BL73" s="284"/>
      <c r="BM73" s="284"/>
      <c r="BN73" s="285"/>
      <c r="BO73" s="286"/>
      <c r="BP73" s="286"/>
      <c r="BQ73" s="286"/>
      <c r="BR73" s="287"/>
      <c r="BS73" s="350"/>
      <c r="BT73" s="263"/>
      <c r="BU73" s="263"/>
      <c r="BV73" s="263"/>
      <c r="BW73" s="263"/>
      <c r="BX73" s="263"/>
      <c r="BY73" s="263"/>
      <c r="BZ73" s="263"/>
      <c r="CA73" s="263"/>
      <c r="CB73" s="263"/>
      <c r="CC73" s="263"/>
      <c r="CD73" s="263"/>
      <c r="CE73" s="263"/>
      <c r="CF73" s="263"/>
      <c r="CG73" s="263"/>
      <c r="CH73" s="263"/>
      <c r="CI73" s="263"/>
      <c r="CJ73" s="263"/>
      <c r="CK73" s="263"/>
      <c r="CL73" s="263"/>
      <c r="CM73" s="263"/>
      <c r="CN73" s="263"/>
      <c r="CO73" s="263"/>
      <c r="CP73" s="263"/>
      <c r="CQ73" s="263"/>
      <c r="CR73" s="263"/>
      <c r="CS73" s="263"/>
      <c r="CT73" s="263"/>
      <c r="CU73" s="263"/>
      <c r="CV73" s="278"/>
      <c r="CW73" s="350"/>
      <c r="CX73" s="263"/>
      <c r="CY73" s="263"/>
      <c r="CZ73" s="263"/>
      <c r="DA73" s="263"/>
      <c r="DB73" s="257">
        <v>2</v>
      </c>
      <c r="DC73" s="257"/>
      <c r="DD73" s="257"/>
      <c r="DE73" s="257"/>
      <c r="DF73" s="257"/>
      <c r="DG73" s="257">
        <v>3</v>
      </c>
      <c r="DH73" s="257"/>
      <c r="DI73" s="257"/>
      <c r="DJ73" s="257"/>
      <c r="DK73" s="257"/>
      <c r="DL73" s="277">
        <v>6</v>
      </c>
      <c r="DM73" s="277"/>
      <c r="DN73" s="277"/>
      <c r="DO73" s="277"/>
      <c r="DP73" s="277"/>
      <c r="DQ73" s="277">
        <v>5</v>
      </c>
      <c r="DR73" s="277"/>
      <c r="DS73" s="277"/>
      <c r="DT73" s="277"/>
      <c r="DU73" s="277"/>
      <c r="DV73" s="277">
        <v>9</v>
      </c>
      <c r="DW73" s="277"/>
      <c r="DX73" s="277"/>
      <c r="DY73" s="277"/>
      <c r="DZ73" s="349"/>
      <c r="EA73" s="406">
        <f>SUM(CW73:DZ73)</f>
        <v>25</v>
      </c>
      <c r="EB73" s="407"/>
      <c r="EC73" s="408"/>
      <c r="ED73" s="408"/>
      <c r="EE73" s="358"/>
      <c r="EF73" s="38"/>
      <c r="EI73" s="173"/>
      <c r="EJ73" s="174"/>
      <c r="EK73" s="174"/>
      <c r="EL73" s="175"/>
    </row>
    <row r="74" spans="1:156" s="38" customFormat="1" ht="90" customHeight="1" x14ac:dyDescent="0.45">
      <c r="A74" s="145"/>
      <c r="B74" s="40"/>
      <c r="C74" s="293" t="s">
        <v>15</v>
      </c>
      <c r="D74" s="293"/>
      <c r="E74" s="293"/>
      <c r="F74" s="293"/>
      <c r="G74" s="293"/>
      <c r="H74" s="293"/>
      <c r="I74" s="293"/>
      <c r="J74" s="293"/>
      <c r="K74" s="293"/>
      <c r="L74" s="293"/>
      <c r="M74" s="293"/>
      <c r="N74" s="293"/>
      <c r="O74" s="293"/>
      <c r="P74" s="293"/>
      <c r="Q74" s="293"/>
      <c r="R74" s="293"/>
      <c r="S74" s="293"/>
      <c r="T74" s="293"/>
      <c r="U74" s="293"/>
      <c r="V74" s="293"/>
      <c r="W74" s="293"/>
      <c r="X74" s="293"/>
      <c r="Y74" s="293"/>
      <c r="Z74" s="259"/>
      <c r="AA74" s="259"/>
      <c r="AB74" s="259"/>
      <c r="AC74" s="259"/>
      <c r="AD74" s="259"/>
      <c r="AE74" s="260"/>
      <c r="AF74" s="260"/>
      <c r="AG74" s="260"/>
      <c r="AH74" s="260"/>
      <c r="AI74" s="260"/>
      <c r="AJ74" s="284"/>
      <c r="AK74" s="284"/>
      <c r="AL74" s="284"/>
      <c r="AM74" s="284"/>
      <c r="AN74" s="284"/>
      <c r="AO74" s="452"/>
      <c r="AP74" s="453"/>
      <c r="AQ74" s="453"/>
      <c r="AR74" s="453"/>
      <c r="AS74" s="454"/>
      <c r="AT74" s="284"/>
      <c r="AU74" s="284"/>
      <c r="AV74" s="284"/>
      <c r="AW74" s="284"/>
      <c r="AX74" s="284"/>
      <c r="AY74" s="284"/>
      <c r="AZ74" s="284"/>
      <c r="BA74" s="284"/>
      <c r="BB74" s="284"/>
      <c r="BC74" s="284"/>
      <c r="BD74" s="284"/>
      <c r="BE74" s="284"/>
      <c r="BF74" s="284"/>
      <c r="BG74" s="284"/>
      <c r="BH74" s="284"/>
      <c r="BI74" s="284"/>
      <c r="BJ74" s="284"/>
      <c r="BK74" s="284"/>
      <c r="BL74" s="284"/>
      <c r="BM74" s="284"/>
      <c r="BN74" s="285"/>
      <c r="BO74" s="286"/>
      <c r="BP74" s="286"/>
      <c r="BQ74" s="286"/>
      <c r="BR74" s="287"/>
      <c r="BS74" s="350"/>
      <c r="BT74" s="263"/>
      <c r="BU74" s="263"/>
      <c r="BV74" s="263"/>
      <c r="BW74" s="263"/>
      <c r="BX74" s="263"/>
      <c r="BY74" s="263"/>
      <c r="BZ74" s="263"/>
      <c r="CA74" s="263"/>
      <c r="CB74" s="263"/>
      <c r="CC74" s="263"/>
      <c r="CD74" s="263"/>
      <c r="CE74" s="263"/>
      <c r="CF74" s="263"/>
      <c r="CG74" s="263"/>
      <c r="CH74" s="263"/>
      <c r="CI74" s="263"/>
      <c r="CJ74" s="263"/>
      <c r="CK74" s="263"/>
      <c r="CL74" s="263"/>
      <c r="CM74" s="263"/>
      <c r="CN74" s="263"/>
      <c r="CO74" s="263"/>
      <c r="CP74" s="263"/>
      <c r="CQ74" s="263"/>
      <c r="CR74" s="263"/>
      <c r="CS74" s="263"/>
      <c r="CT74" s="263"/>
      <c r="CU74" s="263"/>
      <c r="CV74" s="278"/>
      <c r="CW74" s="350"/>
      <c r="CX74" s="263"/>
      <c r="CY74" s="263"/>
      <c r="CZ74" s="263"/>
      <c r="DA74" s="263"/>
      <c r="DB74" s="263"/>
      <c r="DC74" s="263"/>
      <c r="DD74" s="263"/>
      <c r="DE74" s="263"/>
      <c r="DF74" s="263"/>
      <c r="DG74" s="263"/>
      <c r="DH74" s="263"/>
      <c r="DI74" s="263"/>
      <c r="DJ74" s="263"/>
      <c r="DK74" s="263"/>
      <c r="DL74" s="263"/>
      <c r="DM74" s="263"/>
      <c r="DN74" s="263"/>
      <c r="DO74" s="263"/>
      <c r="DP74" s="263"/>
      <c r="DQ74" s="263"/>
      <c r="DR74" s="263"/>
      <c r="DS74" s="263"/>
      <c r="DT74" s="263"/>
      <c r="DU74" s="263"/>
      <c r="DV74" s="263"/>
      <c r="DW74" s="263"/>
      <c r="DX74" s="263"/>
      <c r="DY74" s="263"/>
      <c r="DZ74" s="278"/>
      <c r="EA74" s="406">
        <f>SUM(CW74:DZ74)</f>
        <v>0</v>
      </c>
      <c r="EB74" s="407"/>
      <c r="EC74" s="408"/>
      <c r="ED74" s="408"/>
      <c r="EE74" s="358"/>
      <c r="EF74" s="39"/>
      <c r="EI74" s="188"/>
      <c r="EJ74" s="189"/>
      <c r="EK74" s="189"/>
      <c r="EL74" s="190"/>
    </row>
    <row r="75" spans="1:156" s="38" customFormat="1" ht="90" customHeight="1" thickBot="1" x14ac:dyDescent="0.5">
      <c r="A75" s="146"/>
      <c r="B75" s="90"/>
      <c r="C75" s="341" t="s">
        <v>73</v>
      </c>
      <c r="D75" s="341"/>
      <c r="E75" s="341"/>
      <c r="F75" s="341"/>
      <c r="G75" s="341"/>
      <c r="H75" s="341"/>
      <c r="I75" s="341"/>
      <c r="J75" s="341"/>
      <c r="K75" s="341"/>
      <c r="L75" s="341"/>
      <c r="M75" s="341"/>
      <c r="N75" s="341"/>
      <c r="O75" s="341"/>
      <c r="P75" s="341"/>
      <c r="Q75" s="341"/>
      <c r="R75" s="341"/>
      <c r="S75" s="341"/>
      <c r="T75" s="341"/>
      <c r="U75" s="341"/>
      <c r="V75" s="341"/>
      <c r="W75" s="341"/>
      <c r="X75" s="341"/>
      <c r="Y75" s="341"/>
      <c r="Z75" s="292">
        <f>Z73+Z74</f>
        <v>750</v>
      </c>
      <c r="AA75" s="292"/>
      <c r="AB75" s="292"/>
      <c r="AC75" s="292"/>
      <c r="AD75" s="292"/>
      <c r="AE75" s="322">
        <f>Z75/$Z$76*100</f>
        <v>13.888888888888889</v>
      </c>
      <c r="AF75" s="322"/>
      <c r="AG75" s="322"/>
      <c r="AH75" s="322"/>
      <c r="AI75" s="322"/>
      <c r="AJ75" s="288">
        <f t="shared" ref="AJ75" si="43">AJ73+AJ74</f>
        <v>0</v>
      </c>
      <c r="AK75" s="289"/>
      <c r="AL75" s="289"/>
      <c r="AM75" s="289"/>
      <c r="AN75" s="289"/>
      <c r="AO75" s="288">
        <f t="shared" ref="AO75" si="44">AO73+AO74</f>
        <v>0</v>
      </c>
      <c r="AP75" s="289"/>
      <c r="AQ75" s="289"/>
      <c r="AR75" s="289"/>
      <c r="AS75" s="289"/>
      <c r="AT75" s="288">
        <f t="shared" ref="AT75" si="45">AT73+AT74</f>
        <v>0</v>
      </c>
      <c r="AU75" s="289"/>
      <c r="AV75" s="289"/>
      <c r="AW75" s="289"/>
      <c r="AX75" s="289"/>
      <c r="AY75" s="288">
        <f t="shared" ref="AY75" si="46">AY73+AY74</f>
        <v>0</v>
      </c>
      <c r="AZ75" s="289"/>
      <c r="BA75" s="289"/>
      <c r="BB75" s="289"/>
      <c r="BC75" s="289"/>
      <c r="BD75" s="288">
        <f t="shared" ref="BD75" si="47">BD73+BD74</f>
        <v>0</v>
      </c>
      <c r="BE75" s="289"/>
      <c r="BF75" s="289"/>
      <c r="BG75" s="289"/>
      <c r="BH75" s="289"/>
      <c r="BI75" s="288">
        <f t="shared" ref="BI75" si="48">BI73+BI74</f>
        <v>0</v>
      </c>
      <c r="BJ75" s="289"/>
      <c r="BK75" s="289"/>
      <c r="BL75" s="289"/>
      <c r="BM75" s="289"/>
      <c r="BN75" s="443">
        <f>BN73+BN74</f>
        <v>0</v>
      </c>
      <c r="BO75" s="346"/>
      <c r="BP75" s="346"/>
      <c r="BQ75" s="346"/>
      <c r="BR75" s="347"/>
      <c r="BS75" s="339">
        <f t="shared" ref="BS75:CR75" si="49">BS73+BS74</f>
        <v>0</v>
      </c>
      <c r="BT75" s="289"/>
      <c r="BU75" s="289"/>
      <c r="BV75" s="289"/>
      <c r="BW75" s="289"/>
      <c r="BX75" s="288">
        <f t="shared" si="49"/>
        <v>0</v>
      </c>
      <c r="BY75" s="289"/>
      <c r="BZ75" s="289"/>
      <c r="CA75" s="289"/>
      <c r="CB75" s="289"/>
      <c r="CC75" s="288">
        <f t="shared" si="49"/>
        <v>0</v>
      </c>
      <c r="CD75" s="289"/>
      <c r="CE75" s="289"/>
      <c r="CF75" s="289"/>
      <c r="CG75" s="289"/>
      <c r="CH75" s="288">
        <f t="shared" si="49"/>
        <v>0</v>
      </c>
      <c r="CI75" s="289"/>
      <c r="CJ75" s="289"/>
      <c r="CK75" s="289"/>
      <c r="CL75" s="289"/>
      <c r="CM75" s="288">
        <f t="shared" si="49"/>
        <v>0</v>
      </c>
      <c r="CN75" s="289"/>
      <c r="CO75" s="289"/>
      <c r="CP75" s="289"/>
      <c r="CQ75" s="289"/>
      <c r="CR75" s="288">
        <f t="shared" si="49"/>
        <v>0</v>
      </c>
      <c r="CS75" s="289"/>
      <c r="CT75" s="289"/>
      <c r="CU75" s="289"/>
      <c r="CV75" s="392"/>
      <c r="CW75" s="339">
        <f t="shared" ref="CW75" si="50">CW73+CW74</f>
        <v>0</v>
      </c>
      <c r="CX75" s="289"/>
      <c r="CY75" s="289"/>
      <c r="CZ75" s="289"/>
      <c r="DA75" s="289"/>
      <c r="DB75" s="288">
        <f t="shared" ref="DB75" si="51">DB73+DB74</f>
        <v>2</v>
      </c>
      <c r="DC75" s="289"/>
      <c r="DD75" s="289"/>
      <c r="DE75" s="289"/>
      <c r="DF75" s="289"/>
      <c r="DG75" s="288">
        <f t="shared" ref="DG75" si="52">DG73+DG74</f>
        <v>3</v>
      </c>
      <c r="DH75" s="289"/>
      <c r="DI75" s="289"/>
      <c r="DJ75" s="289"/>
      <c r="DK75" s="289"/>
      <c r="DL75" s="288">
        <f t="shared" ref="DL75" si="53">DL73+DL74</f>
        <v>6</v>
      </c>
      <c r="DM75" s="289"/>
      <c r="DN75" s="289"/>
      <c r="DO75" s="289"/>
      <c r="DP75" s="289"/>
      <c r="DQ75" s="288">
        <f t="shared" ref="DQ75" si="54">DQ73+DQ74</f>
        <v>5</v>
      </c>
      <c r="DR75" s="289"/>
      <c r="DS75" s="289"/>
      <c r="DT75" s="289"/>
      <c r="DU75" s="289"/>
      <c r="DV75" s="288">
        <f t="shared" ref="DV75" si="55">DV73+DV74</f>
        <v>9</v>
      </c>
      <c r="DW75" s="289"/>
      <c r="DX75" s="289"/>
      <c r="DY75" s="289"/>
      <c r="DZ75" s="392"/>
      <c r="EA75" s="403">
        <f>EA73+EA74</f>
        <v>25</v>
      </c>
      <c r="EB75" s="291"/>
      <c r="EC75" s="325"/>
      <c r="ED75" s="325"/>
      <c r="EE75" s="404"/>
      <c r="EF75" s="39"/>
      <c r="EI75" s="191"/>
      <c r="EJ75" s="192"/>
      <c r="EK75" s="192"/>
      <c r="EL75" s="193"/>
    </row>
    <row r="76" spans="1:156" s="37" customFormat="1" ht="90" customHeight="1" thickBot="1" x14ac:dyDescent="0.25">
      <c r="A76" s="147"/>
      <c r="B76" s="148"/>
      <c r="C76" s="444" t="s">
        <v>20</v>
      </c>
      <c r="D76" s="444"/>
      <c r="E76" s="444"/>
      <c r="F76" s="444"/>
      <c r="G76" s="444"/>
      <c r="H76" s="444"/>
      <c r="I76" s="444"/>
      <c r="J76" s="444"/>
      <c r="K76" s="444"/>
      <c r="L76" s="444"/>
      <c r="M76" s="444"/>
      <c r="N76" s="444"/>
      <c r="O76" s="444"/>
      <c r="P76" s="444"/>
      <c r="Q76" s="444"/>
      <c r="R76" s="444"/>
      <c r="S76" s="444"/>
      <c r="T76" s="444"/>
      <c r="U76" s="444"/>
      <c r="V76" s="444"/>
      <c r="W76" s="444"/>
      <c r="X76" s="444"/>
      <c r="Y76" s="444"/>
      <c r="Z76" s="439">
        <f>Z75+Z72</f>
        <v>5400</v>
      </c>
      <c r="AA76" s="440"/>
      <c r="AB76" s="440"/>
      <c r="AC76" s="440"/>
      <c r="AD76" s="440"/>
      <c r="AE76" s="441">
        <f>AE34+AE53+AE75</f>
        <v>100</v>
      </c>
      <c r="AF76" s="441"/>
      <c r="AG76" s="441"/>
      <c r="AH76" s="441"/>
      <c r="AI76" s="441"/>
      <c r="AJ76" s="442">
        <f t="shared" ref="AJ76" si="56">AJ75+AJ72</f>
        <v>1980</v>
      </c>
      <c r="AK76" s="442"/>
      <c r="AL76" s="442"/>
      <c r="AM76" s="442"/>
      <c r="AN76" s="442"/>
      <c r="AO76" s="442">
        <f t="shared" ref="AO76:BI76" si="57">AO75+AO72</f>
        <v>916</v>
      </c>
      <c r="AP76" s="442"/>
      <c r="AQ76" s="442"/>
      <c r="AR76" s="442"/>
      <c r="AS76" s="442"/>
      <c r="AT76" s="442">
        <f t="shared" si="57"/>
        <v>882</v>
      </c>
      <c r="AU76" s="442"/>
      <c r="AV76" s="442"/>
      <c r="AW76" s="442"/>
      <c r="AX76" s="442"/>
      <c r="AY76" s="442">
        <f t="shared" si="57"/>
        <v>302</v>
      </c>
      <c r="AZ76" s="442"/>
      <c r="BA76" s="442"/>
      <c r="BB76" s="442"/>
      <c r="BC76" s="442"/>
      <c r="BD76" s="442">
        <f t="shared" si="57"/>
        <v>0</v>
      </c>
      <c r="BE76" s="442"/>
      <c r="BF76" s="442"/>
      <c r="BG76" s="442"/>
      <c r="BH76" s="442"/>
      <c r="BI76" s="442">
        <f t="shared" si="57"/>
        <v>0</v>
      </c>
      <c r="BJ76" s="442"/>
      <c r="BK76" s="442"/>
      <c r="BL76" s="442"/>
      <c r="BM76" s="442"/>
      <c r="BN76" s="447">
        <f>BN72+BN75</f>
        <v>2814</v>
      </c>
      <c r="BO76" s="450"/>
      <c r="BP76" s="450"/>
      <c r="BQ76" s="450"/>
      <c r="BR76" s="451"/>
      <c r="BS76" s="449">
        <f t="shared" ref="BS76:CR76" si="58">BS75+BS72</f>
        <v>25</v>
      </c>
      <c r="BT76" s="442"/>
      <c r="BU76" s="442"/>
      <c r="BV76" s="442"/>
      <c r="BW76" s="442"/>
      <c r="BX76" s="442">
        <f t="shared" si="58"/>
        <v>22</v>
      </c>
      <c r="BY76" s="442"/>
      <c r="BZ76" s="442"/>
      <c r="CA76" s="442"/>
      <c r="CB76" s="442"/>
      <c r="CC76" s="442">
        <f t="shared" si="58"/>
        <v>21</v>
      </c>
      <c r="CD76" s="442"/>
      <c r="CE76" s="442"/>
      <c r="CF76" s="442"/>
      <c r="CG76" s="442"/>
      <c r="CH76" s="442">
        <f t="shared" si="58"/>
        <v>20</v>
      </c>
      <c r="CI76" s="442"/>
      <c r="CJ76" s="442"/>
      <c r="CK76" s="442"/>
      <c r="CL76" s="442"/>
      <c r="CM76" s="442">
        <f t="shared" si="58"/>
        <v>19</v>
      </c>
      <c r="CN76" s="442"/>
      <c r="CO76" s="442"/>
      <c r="CP76" s="442"/>
      <c r="CQ76" s="442"/>
      <c r="CR76" s="442">
        <f t="shared" si="58"/>
        <v>21</v>
      </c>
      <c r="CS76" s="442"/>
      <c r="CT76" s="442"/>
      <c r="CU76" s="442"/>
      <c r="CV76" s="445"/>
      <c r="CW76" s="449">
        <f>CW75+CW72</f>
        <v>30</v>
      </c>
      <c r="CX76" s="442"/>
      <c r="CY76" s="442"/>
      <c r="CZ76" s="442"/>
      <c r="DA76" s="442"/>
      <c r="DB76" s="442">
        <f>DB75+DB72</f>
        <v>30</v>
      </c>
      <c r="DC76" s="442"/>
      <c r="DD76" s="442"/>
      <c r="DE76" s="442"/>
      <c r="DF76" s="442"/>
      <c r="DG76" s="442">
        <f t="shared" ref="DG76" si="59">DG75+DG72</f>
        <v>30</v>
      </c>
      <c r="DH76" s="442"/>
      <c r="DI76" s="442"/>
      <c r="DJ76" s="442"/>
      <c r="DK76" s="442"/>
      <c r="DL76" s="442">
        <f t="shared" ref="DL76" si="60">DL75+DL72</f>
        <v>30</v>
      </c>
      <c r="DM76" s="442"/>
      <c r="DN76" s="442"/>
      <c r="DO76" s="442"/>
      <c r="DP76" s="442"/>
      <c r="DQ76" s="442">
        <f t="shared" ref="DQ76" si="61">DQ75+DQ72</f>
        <v>30</v>
      </c>
      <c r="DR76" s="442"/>
      <c r="DS76" s="442"/>
      <c r="DT76" s="442"/>
      <c r="DU76" s="442"/>
      <c r="DV76" s="442">
        <f t="shared" ref="DV76" si="62">DV75+DV72</f>
        <v>30</v>
      </c>
      <c r="DW76" s="442"/>
      <c r="DX76" s="442"/>
      <c r="DY76" s="442"/>
      <c r="DZ76" s="445"/>
      <c r="EA76" s="446">
        <f>EA75+EA72</f>
        <v>180</v>
      </c>
      <c r="EB76" s="439"/>
      <c r="EC76" s="447"/>
      <c r="ED76" s="447"/>
      <c r="EE76" s="448"/>
      <c r="EF76" s="38"/>
    </row>
    <row r="77" spans="1:156" s="39" customFormat="1" ht="46.5" thickTop="1" x14ac:dyDescent="0.65">
      <c r="A77" s="62"/>
      <c r="B77" s="62"/>
      <c r="C77" s="62"/>
      <c r="D77" s="63"/>
      <c r="E77" s="63"/>
      <c r="F77" s="63"/>
      <c r="G77" s="63"/>
      <c r="H77" s="63"/>
      <c r="I77" s="63"/>
      <c r="J77" s="63"/>
      <c r="K77" s="63"/>
      <c r="L77" s="63"/>
      <c r="M77" s="63"/>
      <c r="N77" s="63"/>
      <c r="O77" s="63"/>
      <c r="P77" s="63"/>
      <c r="Q77" s="63"/>
      <c r="R77" s="63"/>
      <c r="S77" s="63"/>
      <c r="T77" s="63"/>
      <c r="U77" s="63"/>
      <c r="V77" s="63"/>
      <c r="W77" s="63"/>
      <c r="X77" s="63"/>
      <c r="Y77" s="63"/>
      <c r="Z77" s="63"/>
      <c r="AA77" s="314"/>
      <c r="AB77" s="314"/>
      <c r="AC77" s="314"/>
      <c r="AD77" s="314"/>
      <c r="AE77" s="315"/>
      <c r="AF77" s="89"/>
      <c r="AG77" s="232"/>
      <c r="AH77" s="232"/>
      <c r="AI77" s="89"/>
      <c r="AJ77" s="88"/>
      <c r="AK77" s="89"/>
      <c r="AL77" s="89"/>
      <c r="AM77" s="89"/>
      <c r="AN77" s="88"/>
      <c r="AO77" s="89"/>
      <c r="AP77" s="89"/>
      <c r="AQ77" s="89"/>
      <c r="AR77" s="88"/>
      <c r="AS77" s="89"/>
      <c r="AT77" s="89"/>
      <c r="AU77" s="89"/>
      <c r="AV77" s="88"/>
      <c r="AW77" s="89"/>
      <c r="AX77" s="89"/>
      <c r="AY77" s="89"/>
      <c r="AZ77" s="88"/>
      <c r="BA77" s="89"/>
      <c r="BB77" s="89"/>
      <c r="BC77" s="89"/>
      <c r="BD77" s="88"/>
      <c r="BE77" s="89"/>
      <c r="BF77" s="89"/>
      <c r="BG77" s="89"/>
      <c r="BH77" s="88"/>
      <c r="BI77" s="88"/>
      <c r="BJ77" s="88"/>
      <c r="BK77" s="88"/>
      <c r="BL77" s="88"/>
      <c r="BM77" s="88"/>
      <c r="BN77" s="88"/>
      <c r="BO77" s="89"/>
      <c r="BP77" s="232"/>
      <c r="BQ77" s="89"/>
      <c r="BR77" s="89"/>
      <c r="BS77" s="88"/>
      <c r="BT77" s="89"/>
      <c r="BU77" s="88"/>
      <c r="BV77" s="88"/>
      <c r="BW77" s="88"/>
      <c r="BX77" s="89"/>
      <c r="BY77" s="88"/>
      <c r="BZ77" s="88"/>
      <c r="CA77" s="88"/>
      <c r="CB77" s="89"/>
      <c r="CC77" s="88"/>
      <c r="CD77" s="88"/>
      <c r="CE77" s="88"/>
      <c r="CF77" s="89"/>
      <c r="CG77" s="88"/>
      <c r="CH77" s="88"/>
      <c r="CI77" s="88"/>
      <c r="CJ77" s="89"/>
      <c r="CK77" s="88"/>
      <c r="CL77" s="88"/>
      <c r="CM77" s="88"/>
      <c r="CN77" s="89"/>
      <c r="CO77" s="88"/>
      <c r="CP77" s="88"/>
      <c r="CQ77" s="88"/>
      <c r="CR77" s="89"/>
      <c r="CS77" s="88"/>
      <c r="CT77" s="88"/>
      <c r="CU77" s="88"/>
      <c r="CV77" s="89"/>
      <c r="CW77" s="88"/>
      <c r="CX77" s="89"/>
      <c r="CY77" s="88"/>
      <c r="CZ77" s="88"/>
      <c r="DA77" s="88"/>
      <c r="DB77" s="89"/>
      <c r="DC77" s="88"/>
      <c r="DD77" s="88"/>
      <c r="DE77" s="88"/>
      <c r="DF77" s="89"/>
      <c r="DG77" s="88"/>
      <c r="DH77" s="88"/>
      <c r="DI77" s="88"/>
      <c r="DJ77" s="89"/>
      <c r="DK77" s="88"/>
      <c r="DL77" s="88"/>
      <c r="DM77" s="88"/>
      <c r="DN77" s="89"/>
      <c r="DO77" s="88"/>
      <c r="DP77" s="88"/>
      <c r="DQ77" s="88"/>
      <c r="DR77" s="89"/>
      <c r="DS77" s="88"/>
      <c r="DT77" s="88"/>
      <c r="DU77" s="88"/>
      <c r="DV77" s="89"/>
      <c r="DW77" s="88"/>
      <c r="DX77" s="88"/>
      <c r="DY77" s="88"/>
      <c r="DZ77" s="89"/>
      <c r="EA77" s="62"/>
      <c r="EB77" s="62"/>
      <c r="EC77" s="62"/>
      <c r="ED77" s="62"/>
      <c r="EE77" s="62"/>
      <c r="EF77" s="1"/>
      <c r="EG77" s="1"/>
      <c r="EH77" s="1"/>
      <c r="EI77" s="1"/>
      <c r="EJ77" s="1"/>
      <c r="EK77" s="1"/>
      <c r="EL77" s="1"/>
      <c r="EM77" s="1"/>
      <c r="EN77" s="1"/>
      <c r="EO77" s="1"/>
      <c r="EP77" s="1"/>
      <c r="EQ77" s="1"/>
      <c r="ER77" s="1"/>
    </row>
    <row r="78" spans="1:156" s="39" customFormat="1" ht="140.1" customHeight="1" x14ac:dyDescent="0.65">
      <c r="A78" s="62"/>
      <c r="B78" s="300" t="s">
        <v>86</v>
      </c>
      <c r="C78" s="300"/>
      <c r="D78" s="300"/>
      <c r="E78" s="300"/>
      <c r="F78" s="300"/>
      <c r="G78" s="271" t="s">
        <v>162</v>
      </c>
      <c r="H78" s="271"/>
      <c r="I78" s="273" t="s">
        <v>173</v>
      </c>
      <c r="J78" s="273"/>
      <c r="K78" s="273"/>
      <c r="L78" s="273"/>
      <c r="M78" s="273"/>
      <c r="N78" s="273"/>
      <c r="O78" s="273"/>
      <c r="P78" s="273"/>
      <c r="Q78" s="273"/>
      <c r="R78" s="273"/>
      <c r="S78" s="273"/>
      <c r="T78" s="273"/>
      <c r="U78" s="273"/>
      <c r="V78" s="273"/>
      <c r="W78" s="273"/>
      <c r="X78" s="273"/>
      <c r="Y78" s="273"/>
      <c r="Z78" s="273"/>
      <c r="AA78" s="273"/>
      <c r="AB78" s="273"/>
      <c r="AC78" s="273"/>
      <c r="AD78" s="273"/>
      <c r="AE78" s="273"/>
      <c r="AF78" s="273"/>
      <c r="AG78" s="273"/>
      <c r="AH78" s="273"/>
      <c r="AI78" s="273"/>
      <c r="AJ78" s="273"/>
      <c r="AK78" s="273"/>
      <c r="AL78" s="273"/>
      <c r="AM78" s="273"/>
      <c r="AN78" s="273"/>
      <c r="AO78" s="273"/>
      <c r="AP78" s="273"/>
      <c r="AQ78" s="273"/>
      <c r="AR78" s="273"/>
      <c r="AS78" s="273"/>
      <c r="AT78" s="273"/>
      <c r="AU78" s="273"/>
      <c r="AV78" s="273"/>
      <c r="AW78" s="273"/>
      <c r="AX78" s="273"/>
      <c r="AY78" s="273"/>
      <c r="AZ78" s="273"/>
      <c r="BA78" s="273"/>
      <c r="BB78" s="273"/>
      <c r="BC78" s="273"/>
      <c r="BD78" s="273"/>
      <c r="BE78" s="273"/>
      <c r="BF78" s="273"/>
      <c r="BG78" s="273"/>
      <c r="BH78" s="273"/>
      <c r="BI78" s="273"/>
      <c r="BJ78" s="273"/>
      <c r="BK78" s="273"/>
      <c r="BL78" s="273"/>
      <c r="BM78" s="273"/>
      <c r="BN78" s="273"/>
      <c r="BO78" s="273"/>
      <c r="BP78" s="273"/>
      <c r="BQ78" s="273"/>
      <c r="BR78" s="273"/>
      <c r="BS78" s="273"/>
      <c r="BT78" s="273"/>
      <c r="BU78" s="273"/>
      <c r="BV78" s="273"/>
      <c r="BW78" s="273"/>
      <c r="BX78" s="273"/>
      <c r="BY78" s="273"/>
      <c r="BZ78" s="273"/>
      <c r="CA78" s="273"/>
      <c r="CB78" s="273"/>
      <c r="CC78" s="273"/>
      <c r="CD78" s="273"/>
      <c r="CE78" s="273"/>
      <c r="CF78" s="273"/>
      <c r="CG78" s="273"/>
      <c r="CH78" s="273"/>
      <c r="CI78" s="273"/>
      <c r="CJ78" s="273"/>
      <c r="CK78" s="273"/>
      <c r="CL78" s="273"/>
      <c r="CM78" s="273"/>
      <c r="CN78" s="273"/>
      <c r="CO78" s="273"/>
      <c r="CP78" s="273"/>
      <c r="CQ78" s="273"/>
      <c r="CR78" s="273"/>
      <c r="CS78" s="273"/>
      <c r="CT78" s="273"/>
      <c r="CU78" s="273"/>
      <c r="CV78" s="273"/>
      <c r="CW78" s="273"/>
      <c r="CX78" s="273"/>
      <c r="CY78" s="273"/>
      <c r="CZ78" s="273"/>
      <c r="DA78" s="273"/>
      <c r="DB78" s="273"/>
      <c r="DC78" s="273"/>
      <c r="DD78" s="273"/>
      <c r="DE78" s="273"/>
      <c r="DF78" s="273"/>
      <c r="DG78" s="273"/>
      <c r="DH78" s="273"/>
      <c r="DI78" s="273"/>
      <c r="DJ78" s="273"/>
      <c r="DK78" s="273"/>
      <c r="DL78" s="273"/>
      <c r="DM78" s="273"/>
      <c r="DN78" s="273"/>
      <c r="DO78" s="273"/>
      <c r="DP78" s="273"/>
      <c r="DQ78" s="273"/>
      <c r="DR78" s="273"/>
      <c r="DS78" s="273"/>
      <c r="DT78" s="273"/>
      <c r="DU78" s="273"/>
      <c r="DV78" s="273"/>
      <c r="DW78" s="273"/>
      <c r="DX78" s="273"/>
      <c r="DY78" s="273"/>
      <c r="DZ78" s="273"/>
      <c r="EA78" s="273"/>
      <c r="EB78" s="273"/>
      <c r="EC78" s="233"/>
      <c r="ED78" s="233"/>
      <c r="EE78" s="64"/>
      <c r="EF78" s="1"/>
      <c r="EG78" s="1"/>
      <c r="EH78" s="1"/>
      <c r="EI78" s="1"/>
      <c r="EJ78" s="1"/>
      <c r="EK78" s="1"/>
      <c r="EL78" s="1"/>
      <c r="EM78" s="1"/>
      <c r="EN78" s="1"/>
      <c r="EO78" s="1"/>
      <c r="EP78" s="1"/>
      <c r="EQ78" s="1"/>
      <c r="ER78" s="1"/>
    </row>
    <row r="79" spans="1:156" s="39" customFormat="1" ht="140.1" customHeight="1" x14ac:dyDescent="0.65">
      <c r="A79" s="62"/>
      <c r="B79" s="62"/>
      <c r="C79" s="62"/>
      <c r="D79" s="118"/>
      <c r="E79" s="118"/>
      <c r="F79" s="118"/>
      <c r="G79" s="271" t="s">
        <v>163</v>
      </c>
      <c r="H79" s="271"/>
      <c r="I79" s="273" t="s">
        <v>174</v>
      </c>
      <c r="J79" s="274"/>
      <c r="K79" s="274"/>
      <c r="L79" s="274"/>
      <c r="M79" s="274"/>
      <c r="N79" s="274"/>
      <c r="O79" s="274"/>
      <c r="P79" s="274"/>
      <c r="Q79" s="274"/>
      <c r="R79" s="274"/>
      <c r="S79" s="274"/>
      <c r="T79" s="274"/>
      <c r="U79" s="274"/>
      <c r="V79" s="274"/>
      <c r="W79" s="274"/>
      <c r="X79" s="274"/>
      <c r="Y79" s="274"/>
      <c r="Z79" s="274"/>
      <c r="AA79" s="274"/>
      <c r="AB79" s="274"/>
      <c r="AC79" s="274"/>
      <c r="AD79" s="274"/>
      <c r="AE79" s="274"/>
      <c r="AF79" s="274"/>
      <c r="AG79" s="274"/>
      <c r="AH79" s="274"/>
      <c r="AI79" s="274"/>
      <c r="AJ79" s="274"/>
      <c r="AK79" s="274"/>
      <c r="AL79" s="274"/>
      <c r="AM79" s="274"/>
      <c r="AN79" s="274"/>
      <c r="AO79" s="274"/>
      <c r="AP79" s="274"/>
      <c r="AQ79" s="274"/>
      <c r="AR79" s="274"/>
      <c r="AS79" s="274"/>
      <c r="AT79" s="274"/>
      <c r="AU79" s="274"/>
      <c r="AV79" s="274"/>
      <c r="AW79" s="274"/>
      <c r="AX79" s="274"/>
      <c r="AY79" s="274"/>
      <c r="AZ79" s="274"/>
      <c r="BA79" s="274"/>
      <c r="BB79" s="274"/>
      <c r="BC79" s="274"/>
      <c r="BD79" s="274"/>
      <c r="BE79" s="274"/>
      <c r="BF79" s="274"/>
      <c r="BG79" s="274"/>
      <c r="BH79" s="274"/>
      <c r="BI79" s="274"/>
      <c r="BJ79" s="274"/>
      <c r="BK79" s="274"/>
      <c r="BL79" s="274"/>
      <c r="BM79" s="274"/>
      <c r="BN79" s="274"/>
      <c r="BO79" s="274"/>
      <c r="BP79" s="274"/>
      <c r="BQ79" s="274"/>
      <c r="BR79" s="274"/>
      <c r="BS79" s="274"/>
      <c r="BT79" s="274"/>
      <c r="BU79" s="274"/>
      <c r="BV79" s="274"/>
      <c r="BW79" s="274"/>
      <c r="BX79" s="274"/>
      <c r="BY79" s="274"/>
      <c r="BZ79" s="274"/>
      <c r="CA79" s="274"/>
      <c r="CB79" s="274"/>
      <c r="CC79" s="274"/>
      <c r="CD79" s="274"/>
      <c r="CE79" s="274"/>
      <c r="CF79" s="274"/>
      <c r="CG79" s="274"/>
      <c r="CH79" s="274"/>
      <c r="CI79" s="274"/>
      <c r="CJ79" s="274"/>
      <c r="CK79" s="274"/>
      <c r="CL79" s="274"/>
      <c r="CM79" s="274"/>
      <c r="CN79" s="274"/>
      <c r="CO79" s="274"/>
      <c r="CP79" s="274"/>
      <c r="CQ79" s="274"/>
      <c r="CR79" s="274"/>
      <c r="CS79" s="274"/>
      <c r="CT79" s="274"/>
      <c r="CU79" s="274"/>
      <c r="CV79" s="274"/>
      <c r="CW79" s="274"/>
      <c r="CX79" s="274"/>
      <c r="CY79" s="274"/>
      <c r="CZ79" s="274"/>
      <c r="DA79" s="274"/>
      <c r="DB79" s="274"/>
      <c r="DC79" s="274"/>
      <c r="DD79" s="274"/>
      <c r="DE79" s="274"/>
      <c r="DF79" s="274"/>
      <c r="DG79" s="274"/>
      <c r="DH79" s="274"/>
      <c r="DI79" s="274"/>
      <c r="DJ79" s="274"/>
      <c r="DK79" s="274"/>
      <c r="DL79" s="274"/>
      <c r="DM79" s="274"/>
      <c r="DN79" s="274"/>
      <c r="DO79" s="274"/>
      <c r="DP79" s="274"/>
      <c r="DQ79" s="274"/>
      <c r="DR79" s="274"/>
      <c r="DS79" s="274"/>
      <c r="DT79" s="274"/>
      <c r="DU79" s="274"/>
      <c r="DV79" s="274"/>
      <c r="DW79" s="274"/>
      <c r="DX79" s="274"/>
      <c r="DY79" s="274"/>
      <c r="DZ79" s="274"/>
      <c r="EA79" s="274"/>
      <c r="EB79" s="274"/>
      <c r="EC79" s="234"/>
      <c r="ED79" s="234"/>
      <c r="EE79" s="64"/>
      <c r="EF79" s="1"/>
      <c r="EG79" s="1"/>
      <c r="EH79" s="1"/>
      <c r="EI79" s="1"/>
      <c r="EJ79" s="1"/>
      <c r="EK79" s="1"/>
      <c r="EL79" s="1"/>
      <c r="EM79" s="1"/>
      <c r="EN79" s="1"/>
      <c r="EO79" s="1"/>
      <c r="EP79" s="1"/>
      <c r="EQ79" s="1"/>
      <c r="ER79" s="1"/>
    </row>
    <row r="80" spans="1:156" s="39" customFormat="1" ht="140.1" customHeight="1" x14ac:dyDescent="0.65">
      <c r="A80" s="62"/>
      <c r="B80" s="62"/>
      <c r="C80" s="62"/>
      <c r="D80" s="118"/>
      <c r="E80" s="118"/>
      <c r="F80" s="118"/>
      <c r="G80" s="271" t="s">
        <v>164</v>
      </c>
      <c r="H80" s="271"/>
      <c r="I80" s="273" t="s">
        <v>244</v>
      </c>
      <c r="J80" s="274"/>
      <c r="K80" s="274"/>
      <c r="L80" s="274"/>
      <c r="M80" s="274"/>
      <c r="N80" s="274"/>
      <c r="O80" s="274"/>
      <c r="P80" s="274"/>
      <c r="Q80" s="274"/>
      <c r="R80" s="274"/>
      <c r="S80" s="274"/>
      <c r="T80" s="274"/>
      <c r="U80" s="274"/>
      <c r="V80" s="274"/>
      <c r="W80" s="274"/>
      <c r="X80" s="274"/>
      <c r="Y80" s="274"/>
      <c r="Z80" s="274"/>
      <c r="AA80" s="274"/>
      <c r="AB80" s="274"/>
      <c r="AC80" s="274"/>
      <c r="AD80" s="274"/>
      <c r="AE80" s="274"/>
      <c r="AF80" s="274"/>
      <c r="AG80" s="274"/>
      <c r="AH80" s="274"/>
      <c r="AI80" s="274"/>
      <c r="AJ80" s="274"/>
      <c r="AK80" s="274"/>
      <c r="AL80" s="274"/>
      <c r="AM80" s="274"/>
      <c r="AN80" s="274"/>
      <c r="AO80" s="274"/>
      <c r="AP80" s="274"/>
      <c r="AQ80" s="274"/>
      <c r="AR80" s="274"/>
      <c r="AS80" s="274"/>
      <c r="AT80" s="274"/>
      <c r="AU80" s="274"/>
      <c r="AV80" s="274"/>
      <c r="AW80" s="274"/>
      <c r="AX80" s="274"/>
      <c r="AY80" s="274"/>
      <c r="AZ80" s="274"/>
      <c r="BA80" s="274"/>
      <c r="BB80" s="274"/>
      <c r="BC80" s="274"/>
      <c r="BD80" s="274"/>
      <c r="BE80" s="274"/>
      <c r="BF80" s="274"/>
      <c r="BG80" s="274"/>
      <c r="BH80" s="274"/>
      <c r="BI80" s="274"/>
      <c r="BJ80" s="274"/>
      <c r="BK80" s="274"/>
      <c r="BL80" s="274"/>
      <c r="BM80" s="274"/>
      <c r="BN80" s="274"/>
      <c r="BO80" s="274"/>
      <c r="BP80" s="274"/>
      <c r="BQ80" s="274"/>
      <c r="BR80" s="274"/>
      <c r="BS80" s="274"/>
      <c r="BT80" s="274"/>
      <c r="BU80" s="274"/>
      <c r="BV80" s="274"/>
      <c r="BW80" s="274"/>
      <c r="BX80" s="274"/>
      <c r="BY80" s="274"/>
      <c r="BZ80" s="274"/>
      <c r="CA80" s="274"/>
      <c r="CB80" s="274"/>
      <c r="CC80" s="274"/>
      <c r="CD80" s="274"/>
      <c r="CE80" s="274"/>
      <c r="CF80" s="274"/>
      <c r="CG80" s="274"/>
      <c r="CH80" s="274"/>
      <c r="CI80" s="274"/>
      <c r="CJ80" s="274"/>
      <c r="CK80" s="274"/>
      <c r="CL80" s="274"/>
      <c r="CM80" s="274"/>
      <c r="CN80" s="274"/>
      <c r="CO80" s="274"/>
      <c r="CP80" s="274"/>
      <c r="CQ80" s="274"/>
      <c r="CR80" s="274"/>
      <c r="CS80" s="274"/>
      <c r="CT80" s="274"/>
      <c r="CU80" s="274"/>
      <c r="CV80" s="274"/>
      <c r="CW80" s="274"/>
      <c r="CX80" s="274"/>
      <c r="CY80" s="274"/>
      <c r="CZ80" s="274"/>
      <c r="DA80" s="274"/>
      <c r="DB80" s="274"/>
      <c r="DC80" s="274"/>
      <c r="DD80" s="274"/>
      <c r="DE80" s="274"/>
      <c r="DF80" s="274"/>
      <c r="DG80" s="274"/>
      <c r="DH80" s="274"/>
      <c r="DI80" s="274"/>
      <c r="DJ80" s="274"/>
      <c r="DK80" s="274"/>
      <c r="DL80" s="274"/>
      <c r="DM80" s="274"/>
      <c r="DN80" s="274"/>
      <c r="DO80" s="274"/>
      <c r="DP80" s="274"/>
      <c r="DQ80" s="274"/>
      <c r="DR80" s="274"/>
      <c r="DS80" s="274"/>
      <c r="DT80" s="274"/>
      <c r="DU80" s="274"/>
      <c r="DV80" s="274"/>
      <c r="DW80" s="274"/>
      <c r="DX80" s="274"/>
      <c r="DY80" s="274"/>
      <c r="DZ80" s="274"/>
      <c r="EA80" s="274"/>
      <c r="EB80" s="274"/>
      <c r="EC80" s="234"/>
      <c r="ED80" s="234"/>
      <c r="EE80" s="64"/>
      <c r="EF80" s="1"/>
      <c r="EG80" s="1"/>
      <c r="EH80" s="1"/>
      <c r="EI80" s="1"/>
      <c r="EJ80" s="1"/>
      <c r="EK80" s="1"/>
      <c r="EL80" s="1"/>
      <c r="EM80" s="1"/>
      <c r="EN80" s="1"/>
      <c r="EO80" s="1"/>
      <c r="EP80" s="1"/>
      <c r="EQ80" s="1"/>
      <c r="ER80" s="1"/>
    </row>
    <row r="81" spans="1:148" s="39" customFormat="1" ht="140.1" customHeight="1" x14ac:dyDescent="0.65">
      <c r="A81" s="4"/>
      <c r="B81" s="4"/>
      <c r="C81" s="4"/>
      <c r="D81" s="118"/>
      <c r="E81" s="118"/>
      <c r="F81" s="118"/>
      <c r="G81" s="271" t="s">
        <v>166</v>
      </c>
      <c r="H81" s="271"/>
      <c r="I81" s="273" t="s">
        <v>245</v>
      </c>
      <c r="J81" s="274"/>
      <c r="K81" s="274"/>
      <c r="L81" s="274"/>
      <c r="M81" s="274"/>
      <c r="N81" s="274"/>
      <c r="O81" s="274"/>
      <c r="P81" s="274"/>
      <c r="Q81" s="274"/>
      <c r="R81" s="274"/>
      <c r="S81" s="274"/>
      <c r="T81" s="274"/>
      <c r="U81" s="274"/>
      <c r="V81" s="274"/>
      <c r="W81" s="274"/>
      <c r="X81" s="274"/>
      <c r="Y81" s="274"/>
      <c r="Z81" s="274"/>
      <c r="AA81" s="274"/>
      <c r="AB81" s="274"/>
      <c r="AC81" s="274"/>
      <c r="AD81" s="274"/>
      <c r="AE81" s="274"/>
      <c r="AF81" s="274"/>
      <c r="AG81" s="274"/>
      <c r="AH81" s="274"/>
      <c r="AI81" s="274"/>
      <c r="AJ81" s="274"/>
      <c r="AK81" s="274"/>
      <c r="AL81" s="274"/>
      <c r="AM81" s="274"/>
      <c r="AN81" s="274"/>
      <c r="AO81" s="274"/>
      <c r="AP81" s="274"/>
      <c r="AQ81" s="274"/>
      <c r="AR81" s="274"/>
      <c r="AS81" s="274"/>
      <c r="AT81" s="274"/>
      <c r="AU81" s="274"/>
      <c r="AV81" s="274"/>
      <c r="AW81" s="274"/>
      <c r="AX81" s="274"/>
      <c r="AY81" s="274"/>
      <c r="AZ81" s="274"/>
      <c r="BA81" s="274"/>
      <c r="BB81" s="274"/>
      <c r="BC81" s="274"/>
      <c r="BD81" s="274"/>
      <c r="BE81" s="274"/>
      <c r="BF81" s="274"/>
      <c r="BG81" s="274"/>
      <c r="BH81" s="274"/>
      <c r="BI81" s="274"/>
      <c r="BJ81" s="274"/>
      <c r="BK81" s="274"/>
      <c r="BL81" s="274"/>
      <c r="BM81" s="274"/>
      <c r="BN81" s="274"/>
      <c r="BO81" s="274"/>
      <c r="BP81" s="274"/>
      <c r="BQ81" s="274"/>
      <c r="BR81" s="274"/>
      <c r="BS81" s="274"/>
      <c r="BT81" s="274"/>
      <c r="BU81" s="274"/>
      <c r="BV81" s="274"/>
      <c r="BW81" s="274"/>
      <c r="BX81" s="274"/>
      <c r="BY81" s="274"/>
      <c r="BZ81" s="274"/>
      <c r="CA81" s="274"/>
      <c r="CB81" s="274"/>
      <c r="CC81" s="274"/>
      <c r="CD81" s="274"/>
      <c r="CE81" s="274"/>
      <c r="CF81" s="274"/>
      <c r="CG81" s="274"/>
      <c r="CH81" s="274"/>
      <c r="CI81" s="274"/>
      <c r="CJ81" s="274"/>
      <c r="CK81" s="274"/>
      <c r="CL81" s="274"/>
      <c r="CM81" s="274"/>
      <c r="CN81" s="274"/>
      <c r="CO81" s="274"/>
      <c r="CP81" s="274"/>
      <c r="CQ81" s="274"/>
      <c r="CR81" s="274"/>
      <c r="CS81" s="274"/>
      <c r="CT81" s="274"/>
      <c r="CU81" s="274"/>
      <c r="CV81" s="274"/>
      <c r="CW81" s="274"/>
      <c r="CX81" s="274"/>
      <c r="CY81" s="274"/>
      <c r="CZ81" s="274"/>
      <c r="DA81" s="274"/>
      <c r="DB81" s="274"/>
      <c r="DC81" s="274"/>
      <c r="DD81" s="274"/>
      <c r="DE81" s="274"/>
      <c r="DF81" s="274"/>
      <c r="DG81" s="274"/>
      <c r="DH81" s="274"/>
      <c r="DI81" s="274"/>
      <c r="DJ81" s="274"/>
      <c r="DK81" s="274"/>
      <c r="DL81" s="274"/>
      <c r="DM81" s="274"/>
      <c r="DN81" s="274"/>
      <c r="DO81" s="274"/>
      <c r="DP81" s="274"/>
      <c r="DQ81" s="274"/>
      <c r="DR81" s="274"/>
      <c r="DS81" s="274"/>
      <c r="DT81" s="274"/>
      <c r="DU81" s="274"/>
      <c r="DV81" s="274"/>
      <c r="DW81" s="274"/>
      <c r="DX81" s="274"/>
      <c r="DY81" s="274"/>
      <c r="DZ81" s="274"/>
      <c r="EA81" s="274"/>
      <c r="EB81" s="274"/>
      <c r="EC81" s="234"/>
      <c r="ED81" s="234"/>
      <c r="EE81" s="64"/>
      <c r="EF81" s="1"/>
      <c r="EG81" s="1"/>
      <c r="EH81" s="1"/>
      <c r="EI81" s="1"/>
      <c r="EJ81" s="1"/>
      <c r="EK81" s="1"/>
      <c r="EL81" s="1"/>
      <c r="EM81" s="1"/>
      <c r="EN81" s="1"/>
      <c r="EO81" s="1"/>
      <c r="EP81" s="1"/>
      <c r="EQ81" s="1"/>
      <c r="ER81" s="1"/>
    </row>
    <row r="82" spans="1:148" s="3" customFormat="1" ht="140.1" customHeight="1" x14ac:dyDescent="0.65">
      <c r="A82" s="4"/>
      <c r="B82" s="4"/>
      <c r="C82" s="4"/>
      <c r="D82" s="50"/>
      <c r="E82" s="50"/>
      <c r="F82" s="50"/>
      <c r="G82" s="271"/>
      <c r="H82" s="271"/>
      <c r="I82" s="273" t="s">
        <v>246</v>
      </c>
      <c r="J82" s="274"/>
      <c r="K82" s="274"/>
      <c r="L82" s="274"/>
      <c r="M82" s="274"/>
      <c r="N82" s="274"/>
      <c r="O82" s="274"/>
      <c r="P82" s="274"/>
      <c r="Q82" s="274"/>
      <c r="R82" s="274"/>
      <c r="S82" s="274"/>
      <c r="T82" s="274"/>
      <c r="U82" s="274"/>
      <c r="V82" s="274"/>
      <c r="W82" s="274"/>
      <c r="X82" s="274"/>
      <c r="Y82" s="274"/>
      <c r="Z82" s="274"/>
      <c r="AA82" s="274"/>
      <c r="AB82" s="274"/>
      <c r="AC82" s="274"/>
      <c r="AD82" s="274"/>
      <c r="AE82" s="274"/>
      <c r="AF82" s="274"/>
      <c r="AG82" s="274"/>
      <c r="AH82" s="274"/>
      <c r="AI82" s="274"/>
      <c r="AJ82" s="274"/>
      <c r="AK82" s="274"/>
      <c r="AL82" s="274"/>
      <c r="AM82" s="274"/>
      <c r="AN82" s="274"/>
      <c r="AO82" s="274"/>
      <c r="AP82" s="274"/>
      <c r="AQ82" s="274"/>
      <c r="AR82" s="274"/>
      <c r="AS82" s="274"/>
      <c r="AT82" s="274"/>
      <c r="AU82" s="274"/>
      <c r="AV82" s="274"/>
      <c r="AW82" s="274"/>
      <c r="AX82" s="274"/>
      <c r="AY82" s="274"/>
      <c r="AZ82" s="274"/>
      <c r="BA82" s="274"/>
      <c r="BB82" s="274"/>
      <c r="BC82" s="274"/>
      <c r="BD82" s="274"/>
      <c r="BE82" s="274"/>
      <c r="BF82" s="274"/>
      <c r="BG82" s="274"/>
      <c r="BH82" s="274"/>
      <c r="BI82" s="274"/>
      <c r="BJ82" s="274"/>
      <c r="BK82" s="274"/>
      <c r="BL82" s="274"/>
      <c r="BM82" s="274"/>
      <c r="BN82" s="274"/>
      <c r="BO82" s="274"/>
      <c r="BP82" s="274"/>
      <c r="BQ82" s="274"/>
      <c r="BR82" s="274"/>
      <c r="BS82" s="274"/>
      <c r="BT82" s="274"/>
      <c r="BU82" s="274"/>
      <c r="BV82" s="274"/>
      <c r="BW82" s="274"/>
      <c r="BX82" s="274"/>
      <c r="BY82" s="274"/>
      <c r="BZ82" s="274"/>
      <c r="CA82" s="274"/>
      <c r="CB82" s="274"/>
      <c r="CC82" s="274"/>
      <c r="CD82" s="274"/>
      <c r="CE82" s="274"/>
      <c r="CF82" s="274"/>
      <c r="CG82" s="274"/>
      <c r="CH82" s="274"/>
      <c r="CI82" s="274"/>
      <c r="CJ82" s="274"/>
      <c r="CK82" s="274"/>
      <c r="CL82" s="274"/>
      <c r="CM82" s="274"/>
      <c r="CN82" s="274"/>
      <c r="CO82" s="274"/>
      <c r="CP82" s="274"/>
      <c r="CQ82" s="274"/>
      <c r="CR82" s="274"/>
      <c r="CS82" s="274"/>
      <c r="CT82" s="274"/>
      <c r="CU82" s="274"/>
      <c r="CV82" s="274"/>
      <c r="CW82" s="274"/>
      <c r="CX82" s="274"/>
      <c r="CY82" s="274"/>
      <c r="CZ82" s="274"/>
      <c r="DA82" s="274"/>
      <c r="DB82" s="274"/>
      <c r="DC82" s="274"/>
      <c r="DD82" s="274"/>
      <c r="DE82" s="274"/>
      <c r="DF82" s="274"/>
      <c r="DG82" s="274"/>
      <c r="DH82" s="274"/>
      <c r="DI82" s="274"/>
      <c r="DJ82" s="274"/>
      <c r="DK82" s="274"/>
      <c r="DL82" s="274"/>
      <c r="DM82" s="274"/>
      <c r="DN82" s="274"/>
      <c r="DO82" s="274"/>
      <c r="DP82" s="274"/>
      <c r="DQ82" s="274"/>
      <c r="DR82" s="274"/>
      <c r="DS82" s="274"/>
      <c r="DT82" s="274"/>
      <c r="DU82" s="274"/>
      <c r="DV82" s="274"/>
      <c r="DW82" s="274"/>
      <c r="DX82" s="274"/>
      <c r="DY82" s="274"/>
      <c r="DZ82" s="274"/>
      <c r="EA82" s="274"/>
      <c r="EB82" s="274"/>
      <c r="EC82" s="234"/>
      <c r="ED82" s="234"/>
      <c r="EE82" s="64"/>
      <c r="EF82" s="1"/>
      <c r="EG82" s="1"/>
      <c r="EH82" s="1"/>
      <c r="EI82" s="1"/>
      <c r="EJ82" s="1"/>
      <c r="EK82" s="1"/>
      <c r="EL82" s="1"/>
      <c r="EM82" s="1"/>
      <c r="EN82" s="1"/>
      <c r="EO82" s="1"/>
      <c r="EP82" s="1"/>
      <c r="EQ82" s="1"/>
      <c r="ER82" s="1"/>
    </row>
    <row r="83" spans="1:148" s="3" customFormat="1" ht="140.1" customHeight="1" x14ac:dyDescent="0.65">
      <c r="A83" s="5"/>
      <c r="B83" s="5"/>
      <c r="C83" s="5"/>
      <c r="D83" s="64"/>
      <c r="E83" s="64"/>
      <c r="F83" s="64"/>
      <c r="G83" s="50"/>
      <c r="H83" s="50"/>
      <c r="I83" s="273" t="s">
        <v>267</v>
      </c>
      <c r="J83" s="273"/>
      <c r="K83" s="273"/>
      <c r="L83" s="273"/>
      <c r="M83" s="273"/>
      <c r="N83" s="273"/>
      <c r="O83" s="273"/>
      <c r="P83" s="273"/>
      <c r="Q83" s="273"/>
      <c r="R83" s="273"/>
      <c r="S83" s="273"/>
      <c r="T83" s="273"/>
      <c r="U83" s="273"/>
      <c r="V83" s="273"/>
      <c r="W83" s="273"/>
      <c r="X83" s="273"/>
      <c r="Y83" s="273"/>
      <c r="Z83" s="273"/>
      <c r="AA83" s="273"/>
      <c r="AB83" s="273"/>
      <c r="AC83" s="273"/>
      <c r="AD83" s="273"/>
      <c r="AE83" s="273"/>
      <c r="AF83" s="273"/>
      <c r="AG83" s="273"/>
      <c r="AH83" s="273"/>
      <c r="AI83" s="273"/>
      <c r="AJ83" s="273"/>
      <c r="AK83" s="273"/>
      <c r="AL83" s="273"/>
      <c r="AM83" s="273"/>
      <c r="AN83" s="273"/>
      <c r="AO83" s="273"/>
      <c r="AP83" s="273"/>
      <c r="AQ83" s="273"/>
      <c r="AR83" s="273"/>
      <c r="AS83" s="273"/>
      <c r="AT83" s="273"/>
      <c r="AU83" s="273"/>
      <c r="AV83" s="273"/>
      <c r="AW83" s="273"/>
      <c r="AX83" s="273"/>
      <c r="AY83" s="273"/>
      <c r="AZ83" s="273"/>
      <c r="BA83" s="273"/>
      <c r="BB83" s="273"/>
      <c r="BC83" s="273"/>
      <c r="BD83" s="273"/>
      <c r="BE83" s="273"/>
      <c r="BF83" s="273"/>
      <c r="BG83" s="273"/>
      <c r="BH83" s="273"/>
      <c r="BI83" s="273"/>
      <c r="BJ83" s="273"/>
      <c r="BK83" s="273"/>
      <c r="BL83" s="273"/>
      <c r="BM83" s="273"/>
      <c r="BN83" s="273"/>
      <c r="BO83" s="273"/>
      <c r="BP83" s="273"/>
      <c r="BQ83" s="273"/>
      <c r="BR83" s="273"/>
      <c r="BS83" s="273"/>
      <c r="BT83" s="273"/>
      <c r="BU83" s="273"/>
      <c r="BV83" s="273"/>
      <c r="BW83" s="273"/>
      <c r="BX83" s="273"/>
      <c r="BY83" s="273"/>
      <c r="BZ83" s="273"/>
      <c r="CA83" s="273"/>
      <c r="CB83" s="273"/>
      <c r="CC83" s="273"/>
      <c r="CD83" s="273"/>
      <c r="CE83" s="273"/>
      <c r="CF83" s="273"/>
      <c r="CG83" s="273"/>
      <c r="CH83" s="273"/>
      <c r="CI83" s="273"/>
      <c r="CJ83" s="273"/>
      <c r="CK83" s="273"/>
      <c r="CL83" s="273"/>
      <c r="CM83" s="273"/>
      <c r="CN83" s="273"/>
      <c r="CO83" s="273"/>
      <c r="CP83" s="273"/>
      <c r="CQ83" s="273"/>
      <c r="CR83" s="273"/>
      <c r="CS83" s="273"/>
      <c r="CT83" s="273"/>
      <c r="CU83" s="273"/>
      <c r="CV83" s="273"/>
      <c r="CW83" s="273"/>
      <c r="CX83" s="273"/>
      <c r="CY83" s="273"/>
      <c r="CZ83" s="273"/>
      <c r="DA83" s="273"/>
      <c r="DB83" s="273"/>
      <c r="DC83" s="273"/>
      <c r="DD83" s="273"/>
      <c r="DE83" s="273"/>
      <c r="DF83" s="273"/>
      <c r="DG83" s="273"/>
      <c r="DH83" s="273"/>
      <c r="DI83" s="273"/>
      <c r="DJ83" s="273"/>
      <c r="DK83" s="273"/>
      <c r="DL83" s="273"/>
      <c r="DM83" s="273"/>
      <c r="DN83" s="273"/>
      <c r="DO83" s="273"/>
      <c r="DP83" s="273"/>
      <c r="DQ83" s="273"/>
      <c r="DR83" s="273"/>
      <c r="DS83" s="273"/>
      <c r="DT83" s="273"/>
      <c r="DU83" s="273"/>
      <c r="DV83" s="273"/>
      <c r="DW83" s="273"/>
      <c r="DX83" s="273"/>
      <c r="DY83" s="273"/>
      <c r="DZ83" s="273"/>
      <c r="EA83" s="129"/>
      <c r="EB83" s="129"/>
      <c r="EC83" s="129"/>
      <c r="ED83" s="129"/>
      <c r="EE83" s="64"/>
      <c r="EF83" s="1"/>
      <c r="EG83" s="1"/>
      <c r="EH83" s="1"/>
      <c r="EI83" s="1"/>
      <c r="EJ83" s="1"/>
      <c r="EK83" s="1"/>
      <c r="EL83" s="1"/>
      <c r="EM83" s="1"/>
      <c r="EN83" s="1"/>
      <c r="EO83" s="1"/>
      <c r="EP83" s="1"/>
      <c r="EQ83" s="1"/>
      <c r="ER83" s="1"/>
    </row>
    <row r="84" spans="1:148" ht="140.1" customHeight="1" x14ac:dyDescent="0.65">
      <c r="A84" s="65"/>
      <c r="B84" s="65"/>
      <c r="C84" s="65"/>
      <c r="D84" s="64"/>
      <c r="E84" s="64"/>
      <c r="F84" s="64"/>
      <c r="G84" s="271">
        <v>5</v>
      </c>
      <c r="H84" s="271"/>
      <c r="I84" s="273" t="s">
        <v>167</v>
      </c>
      <c r="J84" s="273"/>
      <c r="K84" s="273"/>
      <c r="L84" s="273"/>
      <c r="M84" s="273"/>
      <c r="N84" s="273"/>
      <c r="O84" s="273"/>
      <c r="P84" s="273"/>
      <c r="Q84" s="273"/>
      <c r="R84" s="273"/>
      <c r="S84" s="273"/>
      <c r="T84" s="273"/>
      <c r="U84" s="273"/>
      <c r="V84" s="273"/>
      <c r="W84" s="273"/>
      <c r="X84" s="273"/>
      <c r="Y84" s="273"/>
      <c r="Z84" s="273"/>
      <c r="AA84" s="273"/>
      <c r="AB84" s="273"/>
      <c r="AC84" s="273"/>
      <c r="AD84" s="273"/>
      <c r="AE84" s="273"/>
      <c r="AF84" s="273"/>
      <c r="AG84" s="273"/>
      <c r="AH84" s="273"/>
      <c r="AI84" s="273"/>
      <c r="AJ84" s="273"/>
      <c r="AK84" s="273"/>
      <c r="AL84" s="273"/>
      <c r="AM84" s="273"/>
      <c r="AN84" s="273"/>
      <c r="AO84" s="273"/>
      <c r="AP84" s="273"/>
      <c r="AQ84" s="273"/>
      <c r="AR84" s="273"/>
      <c r="AS84" s="273"/>
      <c r="AT84" s="273"/>
      <c r="AU84" s="273"/>
      <c r="AV84" s="273"/>
      <c r="AW84" s="273"/>
      <c r="AX84" s="273"/>
      <c r="AY84" s="273"/>
      <c r="AZ84" s="273"/>
      <c r="BA84" s="273"/>
      <c r="BB84" s="273"/>
      <c r="BC84" s="273"/>
      <c r="BD84" s="273"/>
      <c r="BE84" s="273"/>
      <c r="BF84" s="273"/>
      <c r="BG84" s="273"/>
      <c r="BH84" s="273"/>
      <c r="BI84" s="273"/>
      <c r="BJ84" s="273"/>
      <c r="BK84" s="273"/>
      <c r="BL84" s="273"/>
      <c r="BM84" s="273"/>
      <c r="BN84" s="273"/>
      <c r="BO84" s="273"/>
      <c r="BP84" s="273"/>
      <c r="BQ84" s="273"/>
      <c r="BR84" s="273"/>
      <c r="BS84" s="273"/>
      <c r="BT84" s="273"/>
      <c r="BU84" s="273"/>
      <c r="BV84" s="273"/>
      <c r="BW84" s="273"/>
      <c r="BX84" s="273"/>
      <c r="BY84" s="273"/>
      <c r="BZ84" s="273"/>
      <c r="CA84" s="273"/>
      <c r="CB84" s="273"/>
      <c r="CC84" s="273"/>
      <c r="CD84" s="273"/>
      <c r="CE84" s="273"/>
      <c r="CF84" s="273"/>
      <c r="CG84" s="273"/>
      <c r="CH84" s="273"/>
      <c r="CI84" s="273"/>
      <c r="CJ84" s="273"/>
      <c r="CK84" s="273"/>
      <c r="CL84" s="273"/>
      <c r="CM84" s="273"/>
      <c r="CN84" s="273"/>
      <c r="CO84" s="273"/>
      <c r="CP84" s="273"/>
      <c r="CQ84" s="273"/>
      <c r="CR84" s="273"/>
      <c r="CS84" s="273"/>
      <c r="CT84" s="273"/>
      <c r="CU84" s="273"/>
      <c r="CV84" s="273"/>
      <c r="CW84" s="273"/>
      <c r="CX84" s="273"/>
      <c r="CY84" s="273"/>
      <c r="CZ84" s="273"/>
      <c r="DA84" s="273"/>
      <c r="DB84" s="273"/>
      <c r="DC84" s="273"/>
      <c r="DD84" s="273"/>
      <c r="DE84" s="273"/>
      <c r="DF84" s="273"/>
      <c r="DG84" s="273"/>
      <c r="DH84" s="273"/>
      <c r="DI84" s="273"/>
      <c r="DJ84" s="273"/>
      <c r="DK84" s="273"/>
      <c r="DL84" s="273"/>
      <c r="DM84" s="273"/>
      <c r="DN84" s="273"/>
      <c r="DO84" s="273"/>
      <c r="DP84" s="273"/>
      <c r="DQ84" s="273"/>
      <c r="DR84" s="273"/>
      <c r="DS84" s="273"/>
      <c r="DT84" s="273"/>
      <c r="DU84" s="273"/>
      <c r="DV84" s="273"/>
      <c r="DW84" s="273"/>
      <c r="DX84" s="273"/>
      <c r="DY84" s="273"/>
      <c r="DZ84" s="273"/>
      <c r="EA84" s="273"/>
      <c r="EB84" s="273"/>
      <c r="EC84" s="233"/>
      <c r="ED84" s="233"/>
      <c r="EE84" s="64"/>
      <c r="EF84" s="1"/>
      <c r="EG84" s="1"/>
      <c r="EH84" s="1"/>
      <c r="EI84" s="1"/>
      <c r="EJ84" s="1"/>
      <c r="EK84" s="1"/>
      <c r="EL84" s="1"/>
      <c r="EM84" s="1"/>
      <c r="EN84" s="1"/>
      <c r="EO84" s="1"/>
      <c r="EP84" s="1"/>
      <c r="EQ84" s="1"/>
      <c r="ER84" s="1"/>
    </row>
    <row r="85" spans="1:148" ht="140.1" customHeight="1" x14ac:dyDescent="0.65">
      <c r="A85" s="65"/>
      <c r="B85" s="65"/>
      <c r="C85" s="65"/>
      <c r="D85" s="64"/>
      <c r="E85" s="64"/>
      <c r="F85" s="64"/>
      <c r="G85" s="271">
        <v>6</v>
      </c>
      <c r="H85" s="271"/>
      <c r="I85" s="273" t="s">
        <v>168</v>
      </c>
      <c r="J85" s="273"/>
      <c r="K85" s="273"/>
      <c r="L85" s="273"/>
      <c r="M85" s="273"/>
      <c r="N85" s="273"/>
      <c r="O85" s="273"/>
      <c r="P85" s="273"/>
      <c r="Q85" s="273"/>
      <c r="R85" s="273"/>
      <c r="S85" s="273"/>
      <c r="T85" s="273"/>
      <c r="U85" s="273"/>
      <c r="V85" s="273"/>
      <c r="W85" s="273"/>
      <c r="X85" s="273"/>
      <c r="Y85" s="273"/>
      <c r="Z85" s="273"/>
      <c r="AA85" s="273"/>
      <c r="AB85" s="273"/>
      <c r="AC85" s="273"/>
      <c r="AD85" s="273"/>
      <c r="AE85" s="273"/>
      <c r="AF85" s="273"/>
      <c r="AG85" s="273"/>
      <c r="AH85" s="273"/>
      <c r="AI85" s="273"/>
      <c r="AJ85" s="273"/>
      <c r="AK85" s="273"/>
      <c r="AL85" s="273"/>
      <c r="AM85" s="273"/>
      <c r="AN85" s="273"/>
      <c r="AO85" s="273"/>
      <c r="AP85" s="273"/>
      <c r="AQ85" s="273"/>
      <c r="AR85" s="273"/>
      <c r="AS85" s="273"/>
      <c r="AT85" s="273"/>
      <c r="AU85" s="273"/>
      <c r="AV85" s="273"/>
      <c r="AW85" s="273"/>
      <c r="AX85" s="273"/>
      <c r="AY85" s="273"/>
      <c r="AZ85" s="273"/>
      <c r="BA85" s="273"/>
      <c r="BB85" s="273"/>
      <c r="BC85" s="273"/>
      <c r="BD85" s="273"/>
      <c r="BE85" s="273"/>
      <c r="BF85" s="273"/>
      <c r="BG85" s="273"/>
      <c r="BH85" s="273"/>
      <c r="BI85" s="273"/>
      <c r="BJ85" s="273"/>
      <c r="BK85" s="273"/>
      <c r="BL85" s="273"/>
      <c r="BM85" s="273"/>
      <c r="BN85" s="273"/>
      <c r="BO85" s="273"/>
      <c r="BP85" s="273"/>
      <c r="BQ85" s="273"/>
      <c r="BR85" s="273"/>
      <c r="BS85" s="273"/>
      <c r="BT85" s="273"/>
      <c r="BU85" s="273"/>
      <c r="BV85" s="273"/>
      <c r="BW85" s="273"/>
      <c r="BX85" s="273"/>
      <c r="BY85" s="273"/>
      <c r="BZ85" s="273"/>
      <c r="CA85" s="273"/>
      <c r="CB85" s="273"/>
      <c r="CC85" s="273"/>
      <c r="CD85" s="273"/>
      <c r="CE85" s="273"/>
      <c r="CF85" s="273"/>
      <c r="CG85" s="273"/>
      <c r="CH85" s="273"/>
      <c r="CI85" s="273"/>
      <c r="CJ85" s="273"/>
      <c r="CK85" s="273"/>
      <c r="CL85" s="273"/>
      <c r="CM85" s="273"/>
      <c r="CN85" s="273"/>
      <c r="CO85" s="273"/>
      <c r="CP85" s="273"/>
      <c r="CQ85" s="273"/>
      <c r="CR85" s="273"/>
      <c r="CS85" s="273"/>
      <c r="CT85" s="273"/>
      <c r="CU85" s="273"/>
      <c r="CV85" s="273"/>
      <c r="CW85" s="273"/>
      <c r="CX85" s="273"/>
      <c r="CY85" s="273"/>
      <c r="CZ85" s="273"/>
      <c r="DA85" s="273"/>
      <c r="DB85" s="273"/>
      <c r="DC85" s="273"/>
      <c r="DD85" s="273"/>
      <c r="DE85" s="273"/>
      <c r="DF85" s="273"/>
      <c r="DG85" s="273"/>
      <c r="DH85" s="273"/>
      <c r="DI85" s="273"/>
      <c r="DJ85" s="273"/>
      <c r="DK85" s="273"/>
      <c r="DL85" s="273"/>
      <c r="DM85" s="273"/>
      <c r="DN85" s="273"/>
      <c r="DO85" s="273"/>
      <c r="DP85" s="273"/>
      <c r="DQ85" s="273"/>
      <c r="DR85" s="273"/>
      <c r="DS85" s="273"/>
      <c r="DT85" s="273"/>
      <c r="DU85" s="273"/>
      <c r="DV85" s="273"/>
      <c r="DW85" s="273"/>
      <c r="DX85" s="273"/>
      <c r="DY85" s="273"/>
      <c r="DZ85" s="273"/>
      <c r="EA85" s="273"/>
      <c r="EB85" s="273"/>
      <c r="EC85" s="233"/>
      <c r="ED85" s="233"/>
      <c r="EE85" s="64"/>
      <c r="EF85" s="1"/>
      <c r="EG85" s="1"/>
      <c r="EH85" s="1"/>
      <c r="EI85" s="1"/>
      <c r="EJ85" s="1"/>
      <c r="EK85" s="1"/>
      <c r="EL85" s="1"/>
      <c r="EM85" s="1"/>
      <c r="EN85" s="1"/>
      <c r="EO85" s="1"/>
      <c r="EP85" s="1"/>
      <c r="EQ85" s="1"/>
      <c r="ER85" s="1"/>
    </row>
    <row r="86" spans="1:148" ht="45.75" x14ac:dyDescent="0.65">
      <c r="A86" s="65"/>
      <c r="B86" s="65"/>
      <c r="C86" s="65"/>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c r="AF86" s="64"/>
      <c r="AG86" s="64"/>
      <c r="AH86" s="64"/>
      <c r="AI86" s="64"/>
      <c r="AJ86" s="64"/>
      <c r="AK86" s="64"/>
      <c r="AL86" s="64"/>
      <c r="AM86" s="64"/>
      <c r="AN86" s="64"/>
      <c r="AO86" s="64"/>
      <c r="AP86" s="64"/>
      <c r="AQ86" s="64"/>
      <c r="AR86" s="64"/>
      <c r="AS86" s="64"/>
      <c r="AT86" s="64"/>
      <c r="AU86" s="64"/>
      <c r="AV86" s="64"/>
      <c r="AW86" s="64"/>
      <c r="AX86" s="64"/>
      <c r="AY86" s="64"/>
      <c r="AZ86" s="64"/>
      <c r="BA86" s="64"/>
      <c r="BB86" s="64"/>
      <c r="BC86" s="64"/>
      <c r="BD86" s="64"/>
      <c r="BE86" s="64"/>
      <c r="BF86" s="64"/>
      <c r="BG86" s="64"/>
      <c r="BH86" s="64"/>
      <c r="BI86" s="64"/>
      <c r="BJ86" s="64"/>
      <c r="BK86" s="64"/>
      <c r="BL86" s="64"/>
      <c r="BM86" s="64"/>
      <c r="BN86" s="64"/>
      <c r="BO86" s="64"/>
      <c r="BP86" s="64"/>
      <c r="BQ86" s="64"/>
      <c r="BR86" s="64"/>
      <c r="BS86" s="64"/>
      <c r="BT86" s="64"/>
      <c r="BU86" s="64"/>
      <c r="BV86" s="64"/>
      <c r="BW86" s="64"/>
      <c r="BX86" s="64"/>
      <c r="BY86" s="64"/>
      <c r="BZ86" s="64"/>
      <c r="CA86" s="64"/>
      <c r="CB86" s="64"/>
      <c r="CC86" s="64"/>
      <c r="CD86" s="64"/>
      <c r="CE86" s="64"/>
      <c r="CF86" s="64"/>
      <c r="CG86" s="64"/>
      <c r="CH86" s="64"/>
      <c r="CI86" s="64"/>
      <c r="CJ86" s="64"/>
      <c r="CK86" s="64"/>
      <c r="CL86" s="64"/>
      <c r="CM86" s="64"/>
      <c r="CN86" s="64"/>
      <c r="CO86" s="64"/>
      <c r="CP86" s="64"/>
      <c r="CQ86" s="64"/>
      <c r="CR86" s="64"/>
      <c r="CS86" s="64"/>
      <c r="CT86" s="64"/>
      <c r="CU86" s="64"/>
      <c r="CV86" s="64"/>
      <c r="CW86" s="64"/>
      <c r="CX86" s="64"/>
      <c r="CY86" s="64"/>
      <c r="CZ86" s="64"/>
      <c r="DA86" s="64"/>
      <c r="DB86" s="64"/>
      <c r="DC86" s="64"/>
      <c r="DD86" s="64"/>
      <c r="DE86" s="64"/>
      <c r="DF86" s="64"/>
      <c r="DG86" s="64"/>
      <c r="DH86" s="64"/>
      <c r="DI86" s="64"/>
      <c r="DJ86" s="64"/>
      <c r="DK86" s="64"/>
      <c r="DL86" s="64"/>
      <c r="DM86" s="64"/>
      <c r="DN86" s="64"/>
      <c r="DO86" s="64"/>
      <c r="DP86" s="64"/>
      <c r="DQ86" s="64"/>
      <c r="DR86" s="64"/>
      <c r="DS86" s="64"/>
      <c r="DT86" s="64"/>
      <c r="DU86" s="64"/>
      <c r="DV86" s="64"/>
      <c r="DW86" s="64"/>
      <c r="DX86" s="64"/>
      <c r="DY86" s="64"/>
      <c r="DZ86" s="64"/>
      <c r="EA86" s="64"/>
      <c r="EB86" s="64"/>
      <c r="EC86" s="64"/>
      <c r="ED86" s="64"/>
      <c r="EE86" s="64"/>
      <c r="EF86" s="1"/>
      <c r="EG86" s="1"/>
      <c r="EH86" s="1"/>
      <c r="EI86" s="1"/>
      <c r="EJ86" s="1"/>
      <c r="EK86" s="1"/>
      <c r="EL86" s="1"/>
      <c r="EM86" s="1"/>
      <c r="EN86" s="1"/>
      <c r="EO86" s="1"/>
      <c r="EP86" s="1"/>
      <c r="EQ86" s="1"/>
      <c r="ER86" s="1"/>
    </row>
    <row r="87" spans="1:148" ht="80.099999999999994" customHeight="1" x14ac:dyDescent="0.65">
      <c r="A87" s="65"/>
      <c r="B87" s="65"/>
      <c r="C87" s="65"/>
      <c r="D87" s="294" t="s">
        <v>87</v>
      </c>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5"/>
      <c r="AH87" s="295"/>
      <c r="AI87" s="295"/>
      <c r="AJ87" s="296"/>
      <c r="AK87" s="297" t="s">
        <v>88</v>
      </c>
      <c r="AL87" s="298"/>
      <c r="AM87" s="298"/>
      <c r="AN87" s="298"/>
      <c r="AO87" s="298"/>
      <c r="AP87" s="298"/>
      <c r="AQ87" s="298"/>
      <c r="AR87" s="298"/>
      <c r="AS87" s="299"/>
      <c r="AT87" s="294" t="s">
        <v>31</v>
      </c>
      <c r="AU87" s="295"/>
      <c r="AV87" s="295"/>
      <c r="AW87" s="295"/>
      <c r="AX87" s="295"/>
      <c r="AY87" s="295"/>
      <c r="AZ87" s="295"/>
      <c r="BA87" s="295"/>
      <c r="BB87" s="295"/>
      <c r="BC87" s="296"/>
      <c r="BD87" s="294" t="s">
        <v>89</v>
      </c>
      <c r="BE87" s="295"/>
      <c r="BF87" s="295"/>
      <c r="BG87" s="295"/>
      <c r="BH87" s="295"/>
      <c r="BI87" s="295"/>
      <c r="BJ87" s="295"/>
      <c r="BK87" s="295"/>
      <c r="BL87" s="295"/>
      <c r="BM87" s="295"/>
      <c r="BN87" s="295"/>
      <c r="BO87" s="295"/>
      <c r="BP87" s="295"/>
      <c r="BQ87" s="295"/>
      <c r="BR87" s="295"/>
      <c r="BS87" s="295"/>
      <c r="BT87" s="295"/>
      <c r="BU87" s="295"/>
      <c r="BV87" s="295"/>
      <c r="BW87" s="295"/>
      <c r="BX87" s="295"/>
      <c r="BY87" s="295"/>
      <c r="BZ87" s="295"/>
      <c r="CA87" s="295"/>
      <c r="CB87" s="295"/>
      <c r="CC87" s="295"/>
      <c r="CD87" s="295"/>
      <c r="CE87" s="295"/>
      <c r="CF87" s="295"/>
      <c r="CG87" s="295"/>
      <c r="CH87" s="295"/>
      <c r="CI87" s="295"/>
      <c r="CJ87" s="295"/>
      <c r="CK87" s="295"/>
      <c r="CL87" s="296"/>
      <c r="CM87" s="64"/>
      <c r="CN87" s="64"/>
      <c r="CO87" s="64"/>
      <c r="CP87" s="64"/>
      <c r="CQ87" s="64"/>
      <c r="CR87" s="64"/>
      <c r="CS87" s="64"/>
      <c r="CT87" s="64"/>
      <c r="CU87" s="64"/>
      <c r="CV87" s="64"/>
      <c r="CW87" s="64"/>
      <c r="CX87" s="64"/>
      <c r="CY87" s="64"/>
      <c r="CZ87" s="64"/>
      <c r="DA87" s="64"/>
      <c r="DB87" s="64"/>
      <c r="DC87" s="64"/>
      <c r="DD87" s="64"/>
      <c r="DE87" s="64"/>
      <c r="DF87" s="64"/>
      <c r="DG87" s="64"/>
      <c r="DH87" s="64"/>
      <c r="DI87" s="64"/>
      <c r="DJ87" s="64"/>
      <c r="DK87" s="64"/>
      <c r="DL87" s="64"/>
      <c r="DM87" s="64"/>
      <c r="DN87" s="64"/>
      <c r="DO87" s="64"/>
      <c r="DP87" s="64"/>
      <c r="DQ87" s="64"/>
      <c r="DR87" s="64"/>
      <c r="DS87" s="64"/>
      <c r="DT87" s="64"/>
      <c r="DU87" s="64"/>
      <c r="DV87" s="64"/>
      <c r="DW87" s="64"/>
      <c r="DX87" s="64"/>
      <c r="DY87" s="64"/>
      <c r="DZ87" s="64"/>
      <c r="EA87" s="64"/>
      <c r="EB87" s="64"/>
      <c r="EC87" s="64"/>
      <c r="ED87" s="64"/>
      <c r="EE87" s="64"/>
      <c r="EF87" s="1"/>
      <c r="EG87" s="1"/>
      <c r="EH87" s="1"/>
      <c r="EI87" s="1"/>
      <c r="EJ87" s="1"/>
      <c r="EK87" s="1"/>
      <c r="EL87" s="1"/>
      <c r="EM87" s="1"/>
      <c r="EN87" s="1"/>
      <c r="EO87" s="1"/>
      <c r="EP87" s="1"/>
      <c r="EQ87" s="1"/>
      <c r="ER87" s="1"/>
    </row>
    <row r="88" spans="1:148" ht="80.099999999999994" customHeight="1" x14ac:dyDescent="0.65">
      <c r="A88" s="65"/>
      <c r="B88" s="65"/>
      <c r="C88" s="65"/>
      <c r="D88" s="239" t="s">
        <v>19</v>
      </c>
      <c r="E88" s="240"/>
      <c r="F88" s="240"/>
      <c r="G88" s="240"/>
      <c r="H88" s="240"/>
      <c r="I88" s="240"/>
      <c r="J88" s="240"/>
      <c r="K88" s="240"/>
      <c r="L88" s="240"/>
      <c r="M88" s="240"/>
      <c r="N88" s="240"/>
      <c r="O88" s="240"/>
      <c r="P88" s="240"/>
      <c r="Q88" s="240"/>
      <c r="R88" s="240"/>
      <c r="S88" s="240"/>
      <c r="T88" s="240"/>
      <c r="U88" s="240"/>
      <c r="V88" s="240"/>
      <c r="W88" s="240"/>
      <c r="X88" s="240"/>
      <c r="Y88" s="240"/>
      <c r="Z88" s="240"/>
      <c r="AA88" s="240"/>
      <c r="AB88" s="240"/>
      <c r="AC88" s="240"/>
      <c r="AD88" s="240"/>
      <c r="AE88" s="240"/>
      <c r="AF88" s="240"/>
      <c r="AG88" s="240"/>
      <c r="AH88" s="240"/>
      <c r="AI88" s="240"/>
      <c r="AJ88" s="241"/>
      <c r="AK88" s="242">
        <f>GL18</f>
        <v>30</v>
      </c>
      <c r="AL88" s="243"/>
      <c r="AM88" s="243"/>
      <c r="AN88" s="243"/>
      <c r="AO88" s="243"/>
      <c r="AP88" s="243"/>
      <c r="AQ88" s="243"/>
      <c r="AR88" s="243"/>
      <c r="AS88" s="244"/>
      <c r="AT88" s="245" t="s">
        <v>258</v>
      </c>
      <c r="AU88" s="246"/>
      <c r="AV88" s="246"/>
      <c r="AW88" s="246"/>
      <c r="AX88" s="246"/>
      <c r="AY88" s="246"/>
      <c r="AZ88" s="246"/>
      <c r="BA88" s="246"/>
      <c r="BB88" s="246"/>
      <c r="BC88" s="247"/>
      <c r="BD88" s="248" t="s">
        <v>90</v>
      </c>
      <c r="BE88" s="249"/>
      <c r="BF88" s="249"/>
      <c r="BG88" s="249"/>
      <c r="BH88" s="249"/>
      <c r="BI88" s="249"/>
      <c r="BJ88" s="249"/>
      <c r="BK88" s="249"/>
      <c r="BL88" s="249"/>
      <c r="BM88" s="249"/>
      <c r="BN88" s="249"/>
      <c r="BO88" s="249"/>
      <c r="BP88" s="249"/>
      <c r="BQ88" s="249"/>
      <c r="BR88" s="249"/>
      <c r="BS88" s="249"/>
      <c r="BT88" s="249"/>
      <c r="BU88" s="249"/>
      <c r="BV88" s="249"/>
      <c r="BW88" s="249"/>
      <c r="BX88" s="249"/>
      <c r="BY88" s="249"/>
      <c r="BZ88" s="249"/>
      <c r="CA88" s="249"/>
      <c r="CB88" s="249"/>
      <c r="CC88" s="249"/>
      <c r="CD88" s="249"/>
      <c r="CE88" s="249"/>
      <c r="CF88" s="249"/>
      <c r="CG88" s="249"/>
      <c r="CH88" s="249"/>
      <c r="CI88" s="249"/>
      <c r="CJ88" s="249"/>
      <c r="CK88" s="249"/>
      <c r="CL88" s="250"/>
      <c r="CM88" s="64"/>
      <c r="CN88" s="64"/>
      <c r="CO88" s="64"/>
      <c r="CP88" s="64"/>
      <c r="CQ88" s="64"/>
      <c r="CR88" s="64"/>
      <c r="CS88" s="248" t="s">
        <v>226</v>
      </c>
      <c r="CT88" s="249"/>
      <c r="CU88" s="249"/>
      <c r="CV88" s="249"/>
      <c r="CW88" s="249"/>
      <c r="CX88" s="249"/>
      <c r="CY88" s="249"/>
      <c r="CZ88" s="249"/>
      <c r="DA88" s="249"/>
      <c r="DB88" s="249"/>
      <c r="DC88" s="249"/>
      <c r="DD88" s="249"/>
      <c r="DE88" s="249"/>
      <c r="DF88" s="249"/>
      <c r="DG88" s="249"/>
      <c r="DH88" s="249"/>
      <c r="DI88" s="249"/>
      <c r="DJ88" s="249"/>
      <c r="DK88" s="249"/>
      <c r="DL88" s="249"/>
      <c r="DM88" s="249"/>
      <c r="DN88" s="249"/>
      <c r="DO88" s="249"/>
      <c r="DP88" s="249"/>
      <c r="DQ88" s="249"/>
      <c r="DR88" s="249"/>
      <c r="DS88" s="249"/>
      <c r="DT88" s="249"/>
      <c r="DU88" s="249"/>
      <c r="DV88" s="249"/>
      <c r="DW88" s="249"/>
      <c r="DX88" s="249"/>
      <c r="DY88" s="249"/>
      <c r="DZ88" s="250"/>
      <c r="EA88" s="64"/>
      <c r="EB88" s="64"/>
      <c r="EC88" s="64"/>
      <c r="ED88" s="64"/>
      <c r="EE88" s="64"/>
      <c r="EF88" s="1"/>
      <c r="EG88" s="1"/>
      <c r="EH88" s="1"/>
      <c r="EI88" s="1"/>
      <c r="EJ88" s="1"/>
      <c r="EK88" s="1"/>
      <c r="EL88" s="1"/>
      <c r="EM88" s="1"/>
      <c r="EN88" s="1"/>
      <c r="EO88" s="1"/>
      <c r="EP88" s="1"/>
      <c r="EQ88" s="1"/>
      <c r="ER88" s="1"/>
    </row>
    <row r="89" spans="1:148" ht="80.099999999999994" customHeight="1" x14ac:dyDescent="0.65">
      <c r="A89" s="65"/>
      <c r="B89" s="65"/>
      <c r="C89" s="65"/>
      <c r="D89" s="239" t="s">
        <v>169</v>
      </c>
      <c r="E89" s="240"/>
      <c r="F89" s="240"/>
      <c r="G89" s="240"/>
      <c r="H89" s="240"/>
      <c r="I89" s="240"/>
      <c r="J89" s="240"/>
      <c r="K89" s="240"/>
      <c r="L89" s="240"/>
      <c r="M89" s="240"/>
      <c r="N89" s="240"/>
      <c r="O89" s="240"/>
      <c r="P89" s="240"/>
      <c r="Q89" s="240"/>
      <c r="R89" s="240"/>
      <c r="S89" s="240"/>
      <c r="T89" s="240"/>
      <c r="U89" s="240"/>
      <c r="V89" s="240"/>
      <c r="W89" s="240"/>
      <c r="X89" s="240"/>
      <c r="Y89" s="240"/>
      <c r="Z89" s="240"/>
      <c r="AA89" s="240"/>
      <c r="AB89" s="240"/>
      <c r="AC89" s="240"/>
      <c r="AD89" s="240"/>
      <c r="AE89" s="240"/>
      <c r="AF89" s="240"/>
      <c r="AG89" s="240"/>
      <c r="AH89" s="240"/>
      <c r="AI89" s="240"/>
      <c r="AJ89" s="241"/>
      <c r="AK89" s="242">
        <f>GV18</f>
        <v>58</v>
      </c>
      <c r="AL89" s="243"/>
      <c r="AM89" s="243"/>
      <c r="AN89" s="243"/>
      <c r="AO89" s="243"/>
      <c r="AP89" s="243"/>
      <c r="AQ89" s="243"/>
      <c r="AR89" s="243"/>
      <c r="AS89" s="244"/>
      <c r="AT89" s="245" t="s">
        <v>259</v>
      </c>
      <c r="AU89" s="246"/>
      <c r="AV89" s="246"/>
      <c r="AW89" s="246"/>
      <c r="AX89" s="246"/>
      <c r="AY89" s="246"/>
      <c r="AZ89" s="246"/>
      <c r="BA89" s="246"/>
      <c r="BB89" s="246"/>
      <c r="BC89" s="247"/>
      <c r="BD89" s="251"/>
      <c r="BE89" s="252"/>
      <c r="BF89" s="252"/>
      <c r="BG89" s="252"/>
      <c r="BH89" s="252"/>
      <c r="BI89" s="252"/>
      <c r="BJ89" s="252"/>
      <c r="BK89" s="252"/>
      <c r="BL89" s="252"/>
      <c r="BM89" s="252"/>
      <c r="BN89" s="252"/>
      <c r="BO89" s="252"/>
      <c r="BP89" s="252"/>
      <c r="BQ89" s="252"/>
      <c r="BR89" s="252"/>
      <c r="BS89" s="252"/>
      <c r="BT89" s="252"/>
      <c r="BU89" s="252"/>
      <c r="BV89" s="252"/>
      <c r="BW89" s="252"/>
      <c r="BX89" s="252"/>
      <c r="BY89" s="252"/>
      <c r="BZ89" s="252"/>
      <c r="CA89" s="252"/>
      <c r="CB89" s="252"/>
      <c r="CC89" s="252"/>
      <c r="CD89" s="252"/>
      <c r="CE89" s="252"/>
      <c r="CF89" s="252"/>
      <c r="CG89" s="252"/>
      <c r="CH89" s="252"/>
      <c r="CI89" s="252"/>
      <c r="CJ89" s="252"/>
      <c r="CK89" s="252"/>
      <c r="CL89" s="253"/>
      <c r="CM89" s="64"/>
      <c r="CN89" s="64"/>
      <c r="CO89" s="64"/>
      <c r="CP89" s="64"/>
      <c r="CQ89" s="64"/>
      <c r="CR89" s="64"/>
      <c r="CS89" s="251"/>
      <c r="CT89" s="252"/>
      <c r="CU89" s="252"/>
      <c r="CV89" s="252"/>
      <c r="CW89" s="252"/>
      <c r="CX89" s="252"/>
      <c r="CY89" s="252"/>
      <c r="CZ89" s="252"/>
      <c r="DA89" s="252"/>
      <c r="DB89" s="252"/>
      <c r="DC89" s="252"/>
      <c r="DD89" s="252"/>
      <c r="DE89" s="252"/>
      <c r="DF89" s="252"/>
      <c r="DG89" s="252"/>
      <c r="DH89" s="252"/>
      <c r="DI89" s="252"/>
      <c r="DJ89" s="252"/>
      <c r="DK89" s="252"/>
      <c r="DL89" s="252"/>
      <c r="DM89" s="252"/>
      <c r="DN89" s="252"/>
      <c r="DO89" s="252"/>
      <c r="DP89" s="252"/>
      <c r="DQ89" s="252"/>
      <c r="DR89" s="252"/>
      <c r="DS89" s="252"/>
      <c r="DT89" s="252"/>
      <c r="DU89" s="252"/>
      <c r="DV89" s="252"/>
      <c r="DW89" s="252"/>
      <c r="DX89" s="252"/>
      <c r="DY89" s="252"/>
      <c r="DZ89" s="253"/>
      <c r="EA89" s="64"/>
      <c r="EB89" s="64"/>
      <c r="EC89" s="64"/>
      <c r="ED89" s="64"/>
      <c r="EE89" s="64"/>
      <c r="EF89" s="1"/>
      <c r="EG89" s="1"/>
      <c r="EH89" s="1"/>
      <c r="EI89" s="1"/>
      <c r="EJ89" s="1"/>
      <c r="EK89" s="1"/>
      <c r="EL89" s="1"/>
      <c r="EM89" s="1"/>
      <c r="EN89" s="1"/>
      <c r="EO89" s="1"/>
      <c r="EP89" s="1"/>
      <c r="EQ89" s="1"/>
      <c r="ER89" s="1"/>
    </row>
    <row r="90" spans="1:148" ht="80.099999999999994" customHeight="1" x14ac:dyDescent="0.65">
      <c r="A90" s="65"/>
      <c r="B90" s="65"/>
      <c r="C90" s="65"/>
      <c r="D90" s="239" t="s">
        <v>14</v>
      </c>
      <c r="E90" s="240"/>
      <c r="F90" s="240"/>
      <c r="G90" s="240"/>
      <c r="H90" s="240"/>
      <c r="I90" s="240"/>
      <c r="J90" s="240"/>
      <c r="K90" s="240"/>
      <c r="L90" s="240"/>
      <c r="M90" s="240"/>
      <c r="N90" s="240"/>
      <c r="O90" s="240"/>
      <c r="P90" s="240"/>
      <c r="Q90" s="240"/>
      <c r="R90" s="240"/>
      <c r="S90" s="240"/>
      <c r="T90" s="240"/>
      <c r="U90" s="240"/>
      <c r="V90" s="240"/>
      <c r="W90" s="240"/>
      <c r="X90" s="240"/>
      <c r="Y90" s="240"/>
      <c r="Z90" s="240"/>
      <c r="AA90" s="240"/>
      <c r="AB90" s="240"/>
      <c r="AC90" s="240"/>
      <c r="AD90" s="240"/>
      <c r="AE90" s="240"/>
      <c r="AF90" s="240"/>
      <c r="AG90" s="240"/>
      <c r="AH90" s="240"/>
      <c r="AI90" s="240"/>
      <c r="AJ90" s="241"/>
      <c r="AK90" s="242">
        <f>GN18</f>
        <v>12</v>
      </c>
      <c r="AL90" s="243"/>
      <c r="AM90" s="243"/>
      <c r="AN90" s="243"/>
      <c r="AO90" s="243"/>
      <c r="AP90" s="243"/>
      <c r="AQ90" s="243"/>
      <c r="AR90" s="243"/>
      <c r="AS90" s="244"/>
      <c r="AT90" s="245" t="s">
        <v>260</v>
      </c>
      <c r="AU90" s="246"/>
      <c r="AV90" s="246"/>
      <c r="AW90" s="246"/>
      <c r="AX90" s="246"/>
      <c r="AY90" s="246"/>
      <c r="AZ90" s="246"/>
      <c r="BA90" s="246"/>
      <c r="BB90" s="246"/>
      <c r="BC90" s="247"/>
      <c r="BD90" s="251"/>
      <c r="BE90" s="252"/>
      <c r="BF90" s="252"/>
      <c r="BG90" s="252"/>
      <c r="BH90" s="252"/>
      <c r="BI90" s="252"/>
      <c r="BJ90" s="252"/>
      <c r="BK90" s="252"/>
      <c r="BL90" s="252"/>
      <c r="BM90" s="252"/>
      <c r="BN90" s="252"/>
      <c r="BO90" s="252"/>
      <c r="BP90" s="252"/>
      <c r="BQ90" s="252"/>
      <c r="BR90" s="252"/>
      <c r="BS90" s="252"/>
      <c r="BT90" s="252"/>
      <c r="BU90" s="252"/>
      <c r="BV90" s="252"/>
      <c r="BW90" s="252"/>
      <c r="BX90" s="252"/>
      <c r="BY90" s="252"/>
      <c r="BZ90" s="252"/>
      <c r="CA90" s="252"/>
      <c r="CB90" s="252"/>
      <c r="CC90" s="252"/>
      <c r="CD90" s="252"/>
      <c r="CE90" s="252"/>
      <c r="CF90" s="252"/>
      <c r="CG90" s="252"/>
      <c r="CH90" s="252"/>
      <c r="CI90" s="252"/>
      <c r="CJ90" s="252"/>
      <c r="CK90" s="252"/>
      <c r="CL90" s="253"/>
      <c r="CM90" s="64"/>
      <c r="CN90" s="64"/>
      <c r="CO90" s="64"/>
      <c r="CP90" s="64"/>
      <c r="CQ90" s="64"/>
      <c r="CR90" s="64"/>
      <c r="CS90" s="251"/>
      <c r="CT90" s="252"/>
      <c r="CU90" s="252"/>
      <c r="CV90" s="252"/>
      <c r="CW90" s="252"/>
      <c r="CX90" s="252"/>
      <c r="CY90" s="252"/>
      <c r="CZ90" s="252"/>
      <c r="DA90" s="252"/>
      <c r="DB90" s="252"/>
      <c r="DC90" s="252"/>
      <c r="DD90" s="252"/>
      <c r="DE90" s="252"/>
      <c r="DF90" s="252"/>
      <c r="DG90" s="252"/>
      <c r="DH90" s="252"/>
      <c r="DI90" s="252"/>
      <c r="DJ90" s="252"/>
      <c r="DK90" s="252"/>
      <c r="DL90" s="252"/>
      <c r="DM90" s="252"/>
      <c r="DN90" s="252"/>
      <c r="DO90" s="252"/>
      <c r="DP90" s="252"/>
      <c r="DQ90" s="252"/>
      <c r="DR90" s="252"/>
      <c r="DS90" s="252"/>
      <c r="DT90" s="252"/>
      <c r="DU90" s="252"/>
      <c r="DV90" s="252"/>
      <c r="DW90" s="252"/>
      <c r="DX90" s="252"/>
      <c r="DY90" s="252"/>
      <c r="DZ90" s="253"/>
      <c r="EA90" s="64"/>
      <c r="EB90" s="64"/>
      <c r="EC90" s="64"/>
      <c r="ED90" s="64"/>
      <c r="EE90" s="64"/>
      <c r="EF90" s="1"/>
      <c r="EG90" s="1"/>
      <c r="EH90" s="1"/>
      <c r="EI90" s="1"/>
      <c r="EJ90" s="1"/>
      <c r="EK90" s="1"/>
      <c r="EL90" s="1"/>
      <c r="EM90" s="1"/>
      <c r="EN90" s="1"/>
      <c r="EO90" s="1"/>
      <c r="EP90" s="1"/>
      <c r="EQ90" s="1"/>
      <c r="ER90" s="1"/>
    </row>
    <row r="91" spans="1:148" ht="80.099999999999994" customHeight="1" x14ac:dyDescent="0.65">
      <c r="A91" s="7"/>
      <c r="B91" s="7"/>
      <c r="C91" s="7"/>
      <c r="D91" s="239" t="s">
        <v>165</v>
      </c>
      <c r="E91" s="240"/>
      <c r="F91" s="240"/>
      <c r="G91" s="240"/>
      <c r="H91" s="240"/>
      <c r="I91" s="240"/>
      <c r="J91" s="240"/>
      <c r="K91" s="240"/>
      <c r="L91" s="240"/>
      <c r="M91" s="240"/>
      <c r="N91" s="240"/>
      <c r="O91" s="240"/>
      <c r="P91" s="240"/>
      <c r="Q91" s="240"/>
      <c r="R91" s="240"/>
      <c r="S91" s="240"/>
      <c r="T91" s="240"/>
      <c r="U91" s="240"/>
      <c r="V91" s="240"/>
      <c r="W91" s="240"/>
      <c r="X91" s="240"/>
      <c r="Y91" s="240"/>
      <c r="Z91" s="240"/>
      <c r="AA91" s="240"/>
      <c r="AB91" s="240"/>
      <c r="AC91" s="240"/>
      <c r="AD91" s="240"/>
      <c r="AE91" s="240"/>
      <c r="AF91" s="240"/>
      <c r="AG91" s="240"/>
      <c r="AH91" s="240"/>
      <c r="AI91" s="240"/>
      <c r="AJ91" s="241"/>
      <c r="AK91" s="242">
        <f>GR18</f>
        <v>8</v>
      </c>
      <c r="AL91" s="243"/>
      <c r="AM91" s="243"/>
      <c r="AN91" s="243"/>
      <c r="AO91" s="243"/>
      <c r="AP91" s="243"/>
      <c r="AQ91" s="243"/>
      <c r="AR91" s="243"/>
      <c r="AS91" s="244"/>
      <c r="AT91" s="245" t="s">
        <v>261</v>
      </c>
      <c r="AU91" s="246"/>
      <c r="AV91" s="246"/>
      <c r="AW91" s="246"/>
      <c r="AX91" s="246"/>
      <c r="AY91" s="246"/>
      <c r="AZ91" s="246"/>
      <c r="BA91" s="246"/>
      <c r="BB91" s="246"/>
      <c r="BC91" s="247"/>
      <c r="BD91" s="251"/>
      <c r="BE91" s="252"/>
      <c r="BF91" s="252"/>
      <c r="BG91" s="252"/>
      <c r="BH91" s="252"/>
      <c r="BI91" s="252"/>
      <c r="BJ91" s="252"/>
      <c r="BK91" s="252"/>
      <c r="BL91" s="252"/>
      <c r="BM91" s="252"/>
      <c r="BN91" s="252"/>
      <c r="BO91" s="252"/>
      <c r="BP91" s="252"/>
      <c r="BQ91" s="252"/>
      <c r="BR91" s="252"/>
      <c r="BS91" s="252"/>
      <c r="BT91" s="252"/>
      <c r="BU91" s="252"/>
      <c r="BV91" s="252"/>
      <c r="BW91" s="252"/>
      <c r="BX91" s="252"/>
      <c r="BY91" s="252"/>
      <c r="BZ91" s="252"/>
      <c r="CA91" s="252"/>
      <c r="CB91" s="252"/>
      <c r="CC91" s="252"/>
      <c r="CD91" s="252"/>
      <c r="CE91" s="252"/>
      <c r="CF91" s="252"/>
      <c r="CG91" s="252"/>
      <c r="CH91" s="252"/>
      <c r="CI91" s="252"/>
      <c r="CJ91" s="252"/>
      <c r="CK91" s="252"/>
      <c r="CL91" s="253"/>
      <c r="CM91" s="64"/>
      <c r="CN91" s="64"/>
      <c r="CO91" s="64"/>
      <c r="CP91" s="64"/>
      <c r="CQ91" s="64"/>
      <c r="CR91" s="64"/>
      <c r="CS91" s="251"/>
      <c r="CT91" s="252"/>
      <c r="CU91" s="252"/>
      <c r="CV91" s="252"/>
      <c r="CW91" s="252"/>
      <c r="CX91" s="252"/>
      <c r="CY91" s="252"/>
      <c r="CZ91" s="252"/>
      <c r="DA91" s="252"/>
      <c r="DB91" s="252"/>
      <c r="DC91" s="252"/>
      <c r="DD91" s="252"/>
      <c r="DE91" s="252"/>
      <c r="DF91" s="252"/>
      <c r="DG91" s="252"/>
      <c r="DH91" s="252"/>
      <c r="DI91" s="252"/>
      <c r="DJ91" s="252"/>
      <c r="DK91" s="252"/>
      <c r="DL91" s="252"/>
      <c r="DM91" s="252"/>
      <c r="DN91" s="252"/>
      <c r="DO91" s="252"/>
      <c r="DP91" s="252"/>
      <c r="DQ91" s="252"/>
      <c r="DR91" s="252"/>
      <c r="DS91" s="252"/>
      <c r="DT91" s="252"/>
      <c r="DU91" s="252"/>
      <c r="DV91" s="252"/>
      <c r="DW91" s="252"/>
      <c r="DX91" s="252"/>
      <c r="DY91" s="252"/>
      <c r="DZ91" s="253"/>
      <c r="EA91" s="64"/>
      <c r="EB91" s="64"/>
      <c r="EC91" s="64"/>
      <c r="ED91" s="64"/>
      <c r="EE91" s="64"/>
      <c r="EF91" s="1"/>
      <c r="EG91" s="1"/>
      <c r="EH91" s="1"/>
      <c r="EI91" s="1"/>
      <c r="EJ91" s="1"/>
      <c r="EK91" s="1"/>
      <c r="EL91" s="1"/>
      <c r="EM91" s="1"/>
      <c r="EN91" s="1"/>
      <c r="EO91" s="1"/>
      <c r="EP91" s="1"/>
      <c r="EQ91" s="1"/>
      <c r="ER91" s="1"/>
    </row>
    <row r="92" spans="1:148" ht="80.099999999999994" customHeight="1" x14ac:dyDescent="0.65">
      <c r="A92" s="66"/>
      <c r="B92" s="66"/>
      <c r="C92" s="66"/>
      <c r="D92" s="239" t="s">
        <v>262</v>
      </c>
      <c r="E92" s="240"/>
      <c r="F92" s="240"/>
      <c r="G92" s="240"/>
      <c r="H92" s="240"/>
      <c r="I92" s="240"/>
      <c r="J92" s="240"/>
      <c r="K92" s="240"/>
      <c r="L92" s="240"/>
      <c r="M92" s="240"/>
      <c r="N92" s="240"/>
      <c r="O92" s="240"/>
      <c r="P92" s="240"/>
      <c r="Q92" s="240"/>
      <c r="R92" s="240"/>
      <c r="S92" s="240"/>
      <c r="T92" s="240"/>
      <c r="U92" s="240"/>
      <c r="V92" s="240"/>
      <c r="W92" s="240"/>
      <c r="X92" s="240"/>
      <c r="Y92" s="240"/>
      <c r="Z92" s="240"/>
      <c r="AA92" s="240"/>
      <c r="AB92" s="240"/>
      <c r="AC92" s="240"/>
      <c r="AD92" s="240"/>
      <c r="AE92" s="240"/>
      <c r="AF92" s="240"/>
      <c r="AG92" s="240"/>
      <c r="AH92" s="240"/>
      <c r="AI92" s="240"/>
      <c r="AJ92" s="241"/>
      <c r="AK92" s="242">
        <f>GT18</f>
        <v>2</v>
      </c>
      <c r="AL92" s="243"/>
      <c r="AM92" s="243"/>
      <c r="AN92" s="243"/>
      <c r="AO92" s="243"/>
      <c r="AP92" s="243"/>
      <c r="AQ92" s="243"/>
      <c r="AR92" s="243"/>
      <c r="AS92" s="244"/>
      <c r="AT92" s="245" t="s">
        <v>263</v>
      </c>
      <c r="AU92" s="246"/>
      <c r="AV92" s="246"/>
      <c r="AW92" s="246"/>
      <c r="AX92" s="246"/>
      <c r="AY92" s="246"/>
      <c r="AZ92" s="246"/>
      <c r="BA92" s="246"/>
      <c r="BB92" s="246"/>
      <c r="BC92" s="247"/>
      <c r="BD92" s="251"/>
      <c r="BE92" s="252"/>
      <c r="BF92" s="252"/>
      <c r="BG92" s="252"/>
      <c r="BH92" s="252"/>
      <c r="BI92" s="252"/>
      <c r="BJ92" s="252"/>
      <c r="BK92" s="252"/>
      <c r="BL92" s="252"/>
      <c r="BM92" s="252"/>
      <c r="BN92" s="252"/>
      <c r="BO92" s="252"/>
      <c r="BP92" s="252"/>
      <c r="BQ92" s="252"/>
      <c r="BR92" s="252"/>
      <c r="BS92" s="252"/>
      <c r="BT92" s="252"/>
      <c r="BU92" s="252"/>
      <c r="BV92" s="252"/>
      <c r="BW92" s="252"/>
      <c r="BX92" s="252"/>
      <c r="BY92" s="252"/>
      <c r="BZ92" s="252"/>
      <c r="CA92" s="252"/>
      <c r="CB92" s="252"/>
      <c r="CC92" s="252"/>
      <c r="CD92" s="252"/>
      <c r="CE92" s="252"/>
      <c r="CF92" s="252"/>
      <c r="CG92" s="252"/>
      <c r="CH92" s="252"/>
      <c r="CI92" s="252"/>
      <c r="CJ92" s="252"/>
      <c r="CK92" s="252"/>
      <c r="CL92" s="253"/>
      <c r="CM92" s="64"/>
      <c r="CN92" s="64"/>
      <c r="CO92" s="64"/>
      <c r="CP92" s="64"/>
      <c r="CQ92" s="64"/>
      <c r="CR92" s="64"/>
      <c r="CS92" s="251"/>
      <c r="CT92" s="252"/>
      <c r="CU92" s="252"/>
      <c r="CV92" s="252"/>
      <c r="CW92" s="252"/>
      <c r="CX92" s="252"/>
      <c r="CY92" s="252"/>
      <c r="CZ92" s="252"/>
      <c r="DA92" s="252"/>
      <c r="DB92" s="252"/>
      <c r="DC92" s="252"/>
      <c r="DD92" s="252"/>
      <c r="DE92" s="252"/>
      <c r="DF92" s="252"/>
      <c r="DG92" s="252"/>
      <c r="DH92" s="252"/>
      <c r="DI92" s="252"/>
      <c r="DJ92" s="252"/>
      <c r="DK92" s="252"/>
      <c r="DL92" s="252"/>
      <c r="DM92" s="252"/>
      <c r="DN92" s="252"/>
      <c r="DO92" s="252"/>
      <c r="DP92" s="252"/>
      <c r="DQ92" s="252"/>
      <c r="DR92" s="252"/>
      <c r="DS92" s="252"/>
      <c r="DT92" s="252"/>
      <c r="DU92" s="252"/>
      <c r="DV92" s="252"/>
      <c r="DW92" s="252"/>
      <c r="DX92" s="252"/>
      <c r="DY92" s="252"/>
      <c r="DZ92" s="253"/>
      <c r="EA92" s="64"/>
      <c r="EB92" s="64"/>
      <c r="EC92" s="64"/>
      <c r="ED92" s="64"/>
      <c r="EE92" s="64"/>
      <c r="EF92" s="1"/>
      <c r="EG92" s="1"/>
      <c r="EH92" s="1"/>
      <c r="EI92" s="1"/>
      <c r="EJ92" s="1"/>
      <c r="EK92" s="1"/>
      <c r="EL92" s="1"/>
      <c r="EM92" s="1"/>
      <c r="EN92" s="1"/>
      <c r="EO92" s="1"/>
      <c r="EP92" s="1"/>
      <c r="EQ92" s="1"/>
      <c r="ER92" s="1"/>
    </row>
    <row r="93" spans="1:148" ht="80.099999999999994" customHeight="1" x14ac:dyDescent="0.65">
      <c r="A93" s="67"/>
      <c r="B93" s="67"/>
      <c r="C93" s="67"/>
      <c r="D93" s="239" t="s">
        <v>170</v>
      </c>
      <c r="E93" s="240"/>
      <c r="F93" s="240"/>
      <c r="G93" s="240"/>
      <c r="H93" s="240"/>
      <c r="I93" s="240"/>
      <c r="J93" s="240"/>
      <c r="K93" s="240"/>
      <c r="L93" s="240"/>
      <c r="M93" s="240"/>
      <c r="N93" s="240"/>
      <c r="O93" s="240"/>
      <c r="P93" s="240"/>
      <c r="Q93" s="240"/>
      <c r="R93" s="240"/>
      <c r="S93" s="240"/>
      <c r="T93" s="240"/>
      <c r="U93" s="240"/>
      <c r="V93" s="240"/>
      <c r="W93" s="240"/>
      <c r="X93" s="240"/>
      <c r="Y93" s="240"/>
      <c r="Z93" s="240"/>
      <c r="AA93" s="240"/>
      <c r="AB93" s="240"/>
      <c r="AC93" s="240"/>
      <c r="AD93" s="240"/>
      <c r="AE93" s="240"/>
      <c r="AF93" s="240"/>
      <c r="AG93" s="240"/>
      <c r="AH93" s="240"/>
      <c r="AI93" s="240"/>
      <c r="AJ93" s="241"/>
      <c r="AK93" s="242">
        <f>GP18</f>
        <v>4</v>
      </c>
      <c r="AL93" s="243"/>
      <c r="AM93" s="243"/>
      <c r="AN93" s="243"/>
      <c r="AO93" s="243"/>
      <c r="AP93" s="243"/>
      <c r="AQ93" s="243"/>
      <c r="AR93" s="243"/>
      <c r="AS93" s="244"/>
      <c r="AT93" s="245" t="s">
        <v>264</v>
      </c>
      <c r="AU93" s="246"/>
      <c r="AV93" s="246"/>
      <c r="AW93" s="246"/>
      <c r="AX93" s="246"/>
      <c r="AY93" s="246"/>
      <c r="AZ93" s="246"/>
      <c r="BA93" s="246"/>
      <c r="BB93" s="246"/>
      <c r="BC93" s="247"/>
      <c r="BD93" s="251"/>
      <c r="BE93" s="252"/>
      <c r="BF93" s="252"/>
      <c r="BG93" s="252"/>
      <c r="BH93" s="252"/>
      <c r="BI93" s="252"/>
      <c r="BJ93" s="252"/>
      <c r="BK93" s="252"/>
      <c r="BL93" s="252"/>
      <c r="BM93" s="252"/>
      <c r="BN93" s="252"/>
      <c r="BO93" s="252"/>
      <c r="BP93" s="252"/>
      <c r="BQ93" s="252"/>
      <c r="BR93" s="252"/>
      <c r="BS93" s="252"/>
      <c r="BT93" s="252"/>
      <c r="BU93" s="252"/>
      <c r="BV93" s="252"/>
      <c r="BW93" s="252"/>
      <c r="BX93" s="252"/>
      <c r="BY93" s="252"/>
      <c r="BZ93" s="252"/>
      <c r="CA93" s="252"/>
      <c r="CB93" s="252"/>
      <c r="CC93" s="252"/>
      <c r="CD93" s="252"/>
      <c r="CE93" s="252"/>
      <c r="CF93" s="252"/>
      <c r="CG93" s="252"/>
      <c r="CH93" s="252"/>
      <c r="CI93" s="252"/>
      <c r="CJ93" s="252"/>
      <c r="CK93" s="252"/>
      <c r="CL93" s="253"/>
      <c r="CM93" s="64"/>
      <c r="CN93" s="64"/>
      <c r="CO93" s="64"/>
      <c r="CP93" s="64"/>
      <c r="CQ93" s="64"/>
      <c r="CR93" s="64"/>
      <c r="CS93" s="251"/>
      <c r="CT93" s="252"/>
      <c r="CU93" s="252"/>
      <c r="CV93" s="252"/>
      <c r="CW93" s="252"/>
      <c r="CX93" s="252"/>
      <c r="CY93" s="252"/>
      <c r="CZ93" s="252"/>
      <c r="DA93" s="252"/>
      <c r="DB93" s="252"/>
      <c r="DC93" s="252"/>
      <c r="DD93" s="252"/>
      <c r="DE93" s="252"/>
      <c r="DF93" s="252"/>
      <c r="DG93" s="252"/>
      <c r="DH93" s="252"/>
      <c r="DI93" s="252"/>
      <c r="DJ93" s="252"/>
      <c r="DK93" s="252"/>
      <c r="DL93" s="252"/>
      <c r="DM93" s="252"/>
      <c r="DN93" s="252"/>
      <c r="DO93" s="252"/>
      <c r="DP93" s="252"/>
      <c r="DQ93" s="252"/>
      <c r="DR93" s="252"/>
      <c r="DS93" s="252"/>
      <c r="DT93" s="252"/>
      <c r="DU93" s="252"/>
      <c r="DV93" s="252"/>
      <c r="DW93" s="252"/>
      <c r="DX93" s="252"/>
      <c r="DY93" s="252"/>
      <c r="DZ93" s="253"/>
      <c r="EA93" s="64"/>
      <c r="EB93" s="64"/>
      <c r="EC93" s="64"/>
      <c r="ED93" s="64"/>
      <c r="EE93" s="64"/>
      <c r="EF93" s="1"/>
      <c r="EG93" s="1"/>
      <c r="EH93" s="1"/>
      <c r="EI93" s="1"/>
      <c r="EJ93" s="1"/>
      <c r="EK93" s="1"/>
      <c r="EL93" s="1"/>
      <c r="EM93" s="1"/>
      <c r="EN93" s="1"/>
      <c r="EO93" s="1"/>
      <c r="EP93" s="1"/>
      <c r="EQ93" s="1"/>
      <c r="ER93" s="1"/>
    </row>
    <row r="94" spans="1:148" ht="80.099999999999994" customHeight="1" x14ac:dyDescent="0.2">
      <c r="A94" s="67"/>
      <c r="B94" s="67"/>
      <c r="C94" s="67"/>
      <c r="D94" s="239" t="s">
        <v>171</v>
      </c>
      <c r="E94" s="240"/>
      <c r="F94" s="240"/>
      <c r="G94" s="240"/>
      <c r="H94" s="240"/>
      <c r="I94" s="240"/>
      <c r="J94" s="240"/>
      <c r="K94" s="240"/>
      <c r="L94" s="240"/>
      <c r="M94" s="240"/>
      <c r="N94" s="240"/>
      <c r="O94" s="240"/>
      <c r="P94" s="240"/>
      <c r="Q94" s="240"/>
      <c r="R94" s="240"/>
      <c r="S94" s="240"/>
      <c r="T94" s="240"/>
      <c r="U94" s="240"/>
      <c r="V94" s="240"/>
      <c r="W94" s="240"/>
      <c r="X94" s="240"/>
      <c r="Y94" s="240"/>
      <c r="Z94" s="240"/>
      <c r="AA94" s="240"/>
      <c r="AB94" s="240"/>
      <c r="AC94" s="240"/>
      <c r="AD94" s="240"/>
      <c r="AE94" s="240"/>
      <c r="AF94" s="240"/>
      <c r="AG94" s="240"/>
      <c r="AH94" s="240"/>
      <c r="AI94" s="240"/>
      <c r="AJ94" s="241"/>
      <c r="AK94" s="242">
        <f>GX18</f>
        <v>38</v>
      </c>
      <c r="AL94" s="243"/>
      <c r="AM94" s="243"/>
      <c r="AN94" s="243"/>
      <c r="AO94" s="243"/>
      <c r="AP94" s="243"/>
      <c r="AQ94" s="243"/>
      <c r="AR94" s="243"/>
      <c r="AS94" s="244"/>
      <c r="AT94" s="245" t="s">
        <v>260</v>
      </c>
      <c r="AU94" s="246"/>
      <c r="AV94" s="246"/>
      <c r="AW94" s="246"/>
      <c r="AX94" s="246"/>
      <c r="AY94" s="246"/>
      <c r="AZ94" s="246"/>
      <c r="BA94" s="246"/>
      <c r="BB94" s="246"/>
      <c r="BC94" s="247"/>
      <c r="BD94" s="251"/>
      <c r="BE94" s="252"/>
      <c r="BF94" s="252"/>
      <c r="BG94" s="252"/>
      <c r="BH94" s="252"/>
      <c r="BI94" s="252"/>
      <c r="BJ94" s="252"/>
      <c r="BK94" s="252"/>
      <c r="BL94" s="252"/>
      <c r="BM94" s="252"/>
      <c r="BN94" s="252"/>
      <c r="BO94" s="252"/>
      <c r="BP94" s="252"/>
      <c r="BQ94" s="252"/>
      <c r="BR94" s="252"/>
      <c r="BS94" s="252"/>
      <c r="BT94" s="252"/>
      <c r="BU94" s="252"/>
      <c r="BV94" s="252"/>
      <c r="BW94" s="252"/>
      <c r="BX94" s="252"/>
      <c r="BY94" s="252"/>
      <c r="BZ94" s="252"/>
      <c r="CA94" s="252"/>
      <c r="CB94" s="252"/>
      <c r="CC94" s="252"/>
      <c r="CD94" s="252"/>
      <c r="CE94" s="252"/>
      <c r="CF94" s="252"/>
      <c r="CG94" s="252"/>
      <c r="CH94" s="252"/>
      <c r="CI94" s="252"/>
      <c r="CJ94" s="252"/>
      <c r="CK94" s="252"/>
      <c r="CL94" s="253"/>
      <c r="CM94" s="64"/>
      <c r="CN94" s="64"/>
      <c r="CO94" s="64"/>
      <c r="CP94" s="64"/>
      <c r="CQ94" s="64"/>
      <c r="CR94" s="64"/>
      <c r="CS94" s="251"/>
      <c r="CT94" s="252"/>
      <c r="CU94" s="252"/>
      <c r="CV94" s="252"/>
      <c r="CW94" s="252"/>
      <c r="CX94" s="252"/>
      <c r="CY94" s="252"/>
      <c r="CZ94" s="252"/>
      <c r="DA94" s="252"/>
      <c r="DB94" s="252"/>
      <c r="DC94" s="252"/>
      <c r="DD94" s="252"/>
      <c r="DE94" s="252"/>
      <c r="DF94" s="252"/>
      <c r="DG94" s="252"/>
      <c r="DH94" s="252"/>
      <c r="DI94" s="252"/>
      <c r="DJ94" s="252"/>
      <c r="DK94" s="252"/>
      <c r="DL94" s="252"/>
      <c r="DM94" s="252"/>
      <c r="DN94" s="252"/>
      <c r="DO94" s="252"/>
      <c r="DP94" s="252"/>
      <c r="DQ94" s="252"/>
      <c r="DR94" s="252"/>
      <c r="DS94" s="252"/>
      <c r="DT94" s="252"/>
      <c r="DU94" s="252"/>
      <c r="DV94" s="252"/>
      <c r="DW94" s="252"/>
      <c r="DX94" s="252"/>
      <c r="DY94" s="252"/>
      <c r="DZ94" s="253"/>
      <c r="EA94" s="64"/>
      <c r="EB94" s="64"/>
      <c r="EC94" s="64"/>
      <c r="ED94" s="64"/>
      <c r="EE94" s="64"/>
    </row>
    <row r="95" spans="1:148" ht="80.099999999999994" customHeight="1" x14ac:dyDescent="0.2">
      <c r="A95" s="67"/>
      <c r="B95" s="67"/>
      <c r="C95" s="67"/>
      <c r="D95" s="307" t="s">
        <v>18</v>
      </c>
      <c r="E95" s="308"/>
      <c r="F95" s="308"/>
      <c r="G95" s="308"/>
      <c r="H95" s="308"/>
      <c r="I95" s="308"/>
      <c r="J95" s="308"/>
      <c r="K95" s="308"/>
      <c r="L95" s="308"/>
      <c r="M95" s="308"/>
      <c r="N95" s="308"/>
      <c r="O95" s="308"/>
      <c r="P95" s="308"/>
      <c r="Q95" s="308"/>
      <c r="R95" s="308"/>
      <c r="S95" s="308"/>
      <c r="T95" s="308"/>
      <c r="U95" s="308"/>
      <c r="V95" s="308"/>
      <c r="W95" s="308"/>
      <c r="X95" s="308"/>
      <c r="Y95" s="308"/>
      <c r="Z95" s="308"/>
      <c r="AA95" s="308"/>
      <c r="AB95" s="308"/>
      <c r="AC95" s="308"/>
      <c r="AD95" s="308"/>
      <c r="AE95" s="308"/>
      <c r="AF95" s="308"/>
      <c r="AG95" s="308"/>
      <c r="AH95" s="308"/>
      <c r="AI95" s="308"/>
      <c r="AJ95" s="309"/>
      <c r="AK95" s="294">
        <v>204</v>
      </c>
      <c r="AL95" s="295"/>
      <c r="AM95" s="295"/>
      <c r="AN95" s="295"/>
      <c r="AO95" s="295"/>
      <c r="AP95" s="295"/>
      <c r="AQ95" s="295"/>
      <c r="AR95" s="295"/>
      <c r="AS95" s="296"/>
      <c r="AT95" s="310"/>
      <c r="AU95" s="311"/>
      <c r="AV95" s="311"/>
      <c r="AW95" s="311"/>
      <c r="AX95" s="311"/>
      <c r="AY95" s="311"/>
      <c r="AZ95" s="311"/>
      <c r="BA95" s="311"/>
      <c r="BB95" s="311"/>
      <c r="BC95" s="312"/>
      <c r="BD95" s="254"/>
      <c r="BE95" s="255"/>
      <c r="BF95" s="255"/>
      <c r="BG95" s="255"/>
      <c r="BH95" s="255"/>
      <c r="BI95" s="255"/>
      <c r="BJ95" s="255"/>
      <c r="BK95" s="255"/>
      <c r="BL95" s="255"/>
      <c r="BM95" s="255"/>
      <c r="BN95" s="255"/>
      <c r="BO95" s="255"/>
      <c r="BP95" s="255"/>
      <c r="BQ95" s="255"/>
      <c r="BR95" s="255"/>
      <c r="BS95" s="255"/>
      <c r="BT95" s="255"/>
      <c r="BU95" s="255"/>
      <c r="BV95" s="255"/>
      <c r="BW95" s="255"/>
      <c r="BX95" s="255"/>
      <c r="BY95" s="255"/>
      <c r="BZ95" s="255"/>
      <c r="CA95" s="255"/>
      <c r="CB95" s="255"/>
      <c r="CC95" s="255"/>
      <c r="CD95" s="255"/>
      <c r="CE95" s="255"/>
      <c r="CF95" s="255"/>
      <c r="CG95" s="255"/>
      <c r="CH95" s="255"/>
      <c r="CI95" s="255"/>
      <c r="CJ95" s="255"/>
      <c r="CK95" s="255"/>
      <c r="CL95" s="256"/>
      <c r="CM95" s="64"/>
      <c r="CN95" s="64"/>
      <c r="CO95" s="64"/>
      <c r="CP95" s="64"/>
      <c r="CQ95" s="64"/>
      <c r="CR95" s="64"/>
      <c r="CS95" s="254"/>
      <c r="CT95" s="255"/>
      <c r="CU95" s="255"/>
      <c r="CV95" s="255"/>
      <c r="CW95" s="255"/>
      <c r="CX95" s="255"/>
      <c r="CY95" s="255"/>
      <c r="CZ95" s="255"/>
      <c r="DA95" s="255"/>
      <c r="DB95" s="255"/>
      <c r="DC95" s="255"/>
      <c r="DD95" s="255"/>
      <c r="DE95" s="255"/>
      <c r="DF95" s="255"/>
      <c r="DG95" s="255"/>
      <c r="DH95" s="255"/>
      <c r="DI95" s="255"/>
      <c r="DJ95" s="255"/>
      <c r="DK95" s="255"/>
      <c r="DL95" s="255"/>
      <c r="DM95" s="255"/>
      <c r="DN95" s="255"/>
      <c r="DO95" s="255"/>
      <c r="DP95" s="255"/>
      <c r="DQ95" s="255"/>
      <c r="DR95" s="255"/>
      <c r="DS95" s="255"/>
      <c r="DT95" s="255"/>
      <c r="DU95" s="255"/>
      <c r="DV95" s="255"/>
      <c r="DW95" s="255"/>
      <c r="DX95" s="255"/>
      <c r="DY95" s="255"/>
      <c r="DZ95" s="256"/>
      <c r="EA95" s="64"/>
      <c r="EB95" s="64"/>
      <c r="EC95" s="64"/>
      <c r="ED95" s="64"/>
      <c r="EE95" s="64"/>
    </row>
    <row r="96" spans="1:148" ht="71.25" customHeight="1" x14ac:dyDescent="0.2">
      <c r="A96" s="67"/>
      <c r="B96" s="67"/>
      <c r="C96" s="67"/>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4"/>
      <c r="AY96" s="64"/>
      <c r="AZ96" s="64"/>
      <c r="BA96" s="64"/>
      <c r="BB96" s="64"/>
      <c r="BC96" s="64"/>
      <c r="BD96" s="64"/>
      <c r="BE96" s="64"/>
      <c r="BF96" s="64"/>
      <c r="BG96" s="64"/>
      <c r="BH96" s="64"/>
      <c r="BI96" s="64"/>
      <c r="BJ96" s="64"/>
      <c r="BK96" s="64"/>
      <c r="BL96" s="64"/>
      <c r="BM96" s="64"/>
      <c r="BN96" s="64"/>
      <c r="BO96" s="64"/>
      <c r="BP96" s="64"/>
      <c r="BQ96" s="64"/>
      <c r="BR96" s="64"/>
      <c r="BS96" s="64"/>
      <c r="BT96" s="64"/>
      <c r="BU96" s="64"/>
      <c r="BV96" s="64"/>
      <c r="BW96" s="64"/>
      <c r="BX96" s="64"/>
      <c r="BY96" s="64"/>
      <c r="BZ96" s="64"/>
      <c r="CA96" s="64"/>
      <c r="CB96" s="64"/>
      <c r="CC96" s="64"/>
      <c r="CD96" s="64"/>
      <c r="CE96" s="64"/>
      <c r="CF96" s="64"/>
      <c r="CG96" s="64"/>
      <c r="CH96" s="64"/>
      <c r="CI96" s="64"/>
      <c r="CJ96" s="64"/>
      <c r="CK96" s="64"/>
      <c r="CL96" s="64"/>
      <c r="CM96" s="64"/>
      <c r="CN96" s="64"/>
      <c r="CO96" s="64"/>
      <c r="CP96" s="64"/>
      <c r="CQ96" s="64"/>
      <c r="CR96" s="64"/>
      <c r="CS96" s="64"/>
      <c r="CT96" s="64"/>
      <c r="CU96" s="64"/>
      <c r="CV96" s="64"/>
      <c r="CW96" s="64"/>
      <c r="CX96" s="64"/>
      <c r="CY96" s="64"/>
      <c r="CZ96" s="64"/>
      <c r="DA96" s="64"/>
      <c r="DB96" s="64"/>
      <c r="DC96" s="64"/>
      <c r="DD96" s="64"/>
      <c r="DE96" s="64"/>
      <c r="DF96" s="64"/>
      <c r="DG96" s="64"/>
      <c r="DH96" s="64"/>
      <c r="DI96" s="64"/>
      <c r="DJ96" s="64"/>
      <c r="DK96" s="64"/>
      <c r="DL96" s="64"/>
      <c r="DM96" s="64"/>
      <c r="DN96" s="64"/>
      <c r="DO96" s="64"/>
      <c r="DP96" s="64"/>
      <c r="DQ96" s="64"/>
      <c r="DR96" s="64"/>
      <c r="DS96" s="64"/>
      <c r="DT96" s="64"/>
      <c r="DU96" s="64"/>
      <c r="DV96" s="64"/>
      <c r="DW96" s="64"/>
      <c r="DX96" s="64"/>
      <c r="DY96" s="64"/>
      <c r="DZ96" s="64"/>
      <c r="EA96" s="64"/>
      <c r="EB96" s="64"/>
      <c r="EC96" s="64"/>
      <c r="ED96" s="64"/>
      <c r="EE96" s="64"/>
    </row>
    <row r="97" spans="2:53" s="91" customFormat="1" ht="120" customHeight="1" x14ac:dyDescent="0.2">
      <c r="B97" s="127" t="s">
        <v>186</v>
      </c>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93"/>
      <c r="AA97" s="93"/>
      <c r="AB97" s="93"/>
      <c r="AC97" s="196"/>
      <c r="AD97" s="93"/>
      <c r="AE97" s="93"/>
      <c r="AF97" s="467" t="s">
        <v>187</v>
      </c>
      <c r="AG97" s="467"/>
      <c r="AH97" s="467"/>
      <c r="AI97" s="467"/>
      <c r="AJ97" s="467"/>
      <c r="AK97" s="467"/>
      <c r="AL97" s="467"/>
      <c r="AM97" s="467"/>
      <c r="AN97" s="467"/>
      <c r="AO97" s="467"/>
      <c r="AP97" s="467"/>
      <c r="AQ97" s="467"/>
      <c r="AR97" s="467"/>
      <c r="AS97" s="467"/>
      <c r="AT97" s="467"/>
      <c r="AU97" s="467"/>
      <c r="AV97" s="467"/>
      <c r="AW97" s="467"/>
      <c r="AX97" s="467"/>
      <c r="AY97" s="467"/>
      <c r="AZ97" s="467"/>
      <c r="BA97" s="467"/>
    </row>
    <row r="98" spans="2:53" s="91" customFormat="1" ht="66.75" x14ac:dyDescent="0.2">
      <c r="B98" s="130"/>
      <c r="C98" s="92"/>
      <c r="D98" s="92"/>
      <c r="E98" s="92"/>
      <c r="F98" s="92"/>
      <c r="G98" s="92"/>
      <c r="H98" s="119"/>
      <c r="I98" s="119"/>
      <c r="J98" s="119"/>
      <c r="K98" s="119"/>
      <c r="L98" s="119"/>
      <c r="M98" s="119"/>
      <c r="N98" s="119"/>
      <c r="O98" s="119"/>
      <c r="P98" s="119"/>
      <c r="Q98" s="119"/>
      <c r="R98" s="119"/>
      <c r="S98" s="119"/>
      <c r="T98" s="119"/>
      <c r="U98" s="119"/>
      <c r="V98" s="119"/>
      <c r="W98" s="119"/>
      <c r="X98" s="119"/>
      <c r="Y98" s="119"/>
      <c r="Z98" s="93"/>
      <c r="AA98" s="93"/>
      <c r="AB98" s="93"/>
      <c r="AC98" s="196"/>
      <c r="AD98" s="93"/>
      <c r="AE98" s="93"/>
      <c r="AF98" s="93"/>
      <c r="AG98" s="196"/>
      <c r="AH98" s="196"/>
      <c r="AI98" s="93"/>
      <c r="AJ98" s="93"/>
      <c r="AK98" s="93"/>
      <c r="AL98" s="93"/>
      <c r="AM98" s="93"/>
      <c r="AN98" s="93"/>
      <c r="AO98" s="93"/>
      <c r="AP98" s="94"/>
      <c r="AQ98" s="94"/>
      <c r="AR98" s="94"/>
      <c r="AS98" s="94"/>
      <c r="AT98" s="94"/>
      <c r="AU98" s="94"/>
    </row>
    <row r="99" spans="2:53" s="91" customFormat="1" ht="120" customHeight="1" x14ac:dyDescent="0.2">
      <c r="B99" s="127" t="s">
        <v>204</v>
      </c>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93"/>
      <c r="AA99" s="93"/>
      <c r="AB99" s="93"/>
      <c r="AC99" s="196"/>
      <c r="AD99" s="93"/>
      <c r="AE99" s="93"/>
      <c r="AF99" s="467" t="s">
        <v>187</v>
      </c>
      <c r="AG99" s="467"/>
      <c r="AH99" s="467"/>
      <c r="AI99" s="467"/>
      <c r="AJ99" s="467"/>
      <c r="AK99" s="467"/>
      <c r="AL99" s="467"/>
      <c r="AM99" s="467"/>
      <c r="AN99" s="467"/>
      <c r="AO99" s="467"/>
      <c r="AP99" s="467"/>
      <c r="AQ99" s="467"/>
      <c r="AR99" s="467"/>
      <c r="AS99" s="467"/>
      <c r="AT99" s="467"/>
      <c r="AU99" s="467"/>
      <c r="AV99" s="467"/>
      <c r="AW99" s="467"/>
      <c r="AX99" s="467"/>
      <c r="AY99" s="467"/>
      <c r="AZ99" s="467"/>
      <c r="BA99" s="467"/>
    </row>
    <row r="100" spans="2:53" s="91" customFormat="1" ht="66.75" x14ac:dyDescent="0.2">
      <c r="B100" s="130"/>
      <c r="C100" s="92"/>
      <c r="D100" s="92"/>
      <c r="E100" s="92"/>
      <c r="F100" s="92"/>
      <c r="G100" s="92"/>
      <c r="H100" s="119"/>
      <c r="I100" s="119"/>
      <c r="J100" s="119"/>
      <c r="K100" s="119"/>
      <c r="L100" s="119"/>
      <c r="M100" s="119"/>
      <c r="N100" s="119"/>
      <c r="O100" s="119"/>
      <c r="P100" s="119"/>
      <c r="Q100" s="119"/>
      <c r="R100" s="119"/>
      <c r="S100" s="119"/>
      <c r="T100" s="119"/>
      <c r="U100" s="119"/>
      <c r="V100" s="119"/>
      <c r="W100" s="119"/>
      <c r="X100" s="119"/>
      <c r="Y100" s="119"/>
      <c r="Z100" s="93"/>
      <c r="AA100" s="93"/>
      <c r="AB100" s="93"/>
      <c r="AC100" s="196"/>
      <c r="AD100" s="93"/>
      <c r="AE100" s="93"/>
      <c r="AF100" s="93"/>
      <c r="AG100" s="196"/>
      <c r="AH100" s="196"/>
      <c r="AI100" s="93"/>
      <c r="AJ100" s="93"/>
      <c r="AK100" s="93"/>
      <c r="AL100" s="93"/>
      <c r="AM100" s="93"/>
      <c r="AN100" s="93"/>
      <c r="AO100" s="93"/>
      <c r="AP100" s="94"/>
      <c r="AQ100" s="94"/>
      <c r="AR100" s="94"/>
      <c r="AS100" s="94"/>
      <c r="AT100" s="94"/>
      <c r="AU100" s="94"/>
    </row>
    <row r="101" spans="2:53" s="91" customFormat="1" ht="120" customHeight="1" x14ac:dyDescent="0.2">
      <c r="B101" s="127" t="s">
        <v>172</v>
      </c>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93"/>
      <c r="AA101" s="93"/>
      <c r="AB101" s="93"/>
      <c r="AC101" s="196"/>
      <c r="AD101" s="93"/>
      <c r="AE101" s="93"/>
      <c r="AF101" s="467" t="s">
        <v>187</v>
      </c>
      <c r="AG101" s="467"/>
      <c r="AH101" s="467"/>
      <c r="AI101" s="467"/>
      <c r="AJ101" s="467"/>
      <c r="AK101" s="467"/>
      <c r="AL101" s="467"/>
      <c r="AM101" s="467"/>
      <c r="AN101" s="467"/>
      <c r="AO101" s="467"/>
      <c r="AP101" s="467"/>
      <c r="AQ101" s="467"/>
      <c r="AR101" s="467"/>
      <c r="AS101" s="467"/>
      <c r="AT101" s="467"/>
      <c r="AU101" s="467"/>
      <c r="AV101" s="467"/>
      <c r="AW101" s="467"/>
      <c r="AX101" s="467"/>
      <c r="AY101" s="467"/>
      <c r="AZ101" s="467"/>
      <c r="BA101" s="467"/>
    </row>
    <row r="102" spans="2:53" ht="45" customHeight="1" x14ac:dyDescent="0.25">
      <c r="B102" s="127"/>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row>
    <row r="103" spans="2:53" ht="120" customHeight="1" x14ac:dyDescent="0.25">
      <c r="B103" s="127" t="s">
        <v>205</v>
      </c>
      <c r="C103" s="119"/>
      <c r="D103" s="119"/>
      <c r="E103" s="119"/>
      <c r="F103" s="119"/>
      <c r="G103" s="119"/>
      <c r="H103" s="119"/>
      <c r="I103" s="119"/>
      <c r="J103" s="119"/>
      <c r="K103" s="119"/>
      <c r="L103" s="119"/>
      <c r="M103" s="119"/>
      <c r="N103" s="119"/>
      <c r="O103" s="119"/>
      <c r="P103" s="119"/>
      <c r="Q103" s="119"/>
      <c r="R103" s="120"/>
      <c r="S103" s="120"/>
      <c r="T103" s="120"/>
      <c r="U103" s="120"/>
      <c r="V103" s="120"/>
      <c r="W103" s="120"/>
      <c r="X103" s="120"/>
      <c r="Y103" s="119"/>
      <c r="Z103" s="95"/>
      <c r="AA103" s="95"/>
      <c r="AB103" s="95"/>
      <c r="AC103" s="196"/>
      <c r="AD103" s="95"/>
      <c r="AE103" s="95"/>
      <c r="AF103" s="467" t="s">
        <v>187</v>
      </c>
      <c r="AG103" s="467"/>
      <c r="AH103" s="467"/>
      <c r="AI103" s="467"/>
      <c r="AJ103" s="467"/>
      <c r="AK103" s="467"/>
      <c r="AL103" s="467"/>
      <c r="AM103" s="467"/>
      <c r="AN103" s="467"/>
      <c r="AO103" s="467"/>
      <c r="AP103" s="467"/>
      <c r="AQ103" s="467"/>
      <c r="AR103" s="467"/>
      <c r="AS103" s="467"/>
      <c r="AT103" s="467"/>
      <c r="AU103" s="467"/>
      <c r="AV103" s="467"/>
      <c r="AW103" s="467"/>
      <c r="AX103" s="467"/>
      <c r="AY103" s="467"/>
      <c r="AZ103" s="467"/>
      <c r="BA103" s="467"/>
    </row>
    <row r="104" spans="2:53" ht="61.5" x14ac:dyDescent="0.85">
      <c r="H104" s="121"/>
      <c r="I104" s="121"/>
      <c r="J104" s="121"/>
      <c r="K104" s="121"/>
      <c r="L104" s="121"/>
      <c r="M104" s="121"/>
      <c r="N104" s="121"/>
      <c r="O104" s="121"/>
      <c r="P104" s="121"/>
      <c r="Q104" s="121"/>
      <c r="R104" s="121"/>
      <c r="S104" s="121"/>
      <c r="T104" s="121"/>
      <c r="U104" s="121"/>
      <c r="V104" s="121"/>
      <c r="W104" s="122"/>
      <c r="X104" s="122"/>
      <c r="Y104" s="122"/>
    </row>
  </sheetData>
  <mergeCells count="1041">
    <mergeCell ref="A24:EE24"/>
    <mergeCell ref="GJ18:GK18"/>
    <mergeCell ref="GL18:GM18"/>
    <mergeCell ref="GN18:GO18"/>
    <mergeCell ref="GP18:GQ18"/>
    <mergeCell ref="GR18:GS18"/>
    <mergeCell ref="GT18:GU18"/>
    <mergeCell ref="GV18:GW18"/>
    <mergeCell ref="GX18:GY18"/>
    <mergeCell ref="BX54:CB55"/>
    <mergeCell ref="CH54:CL55"/>
    <mergeCell ref="CH52:CL52"/>
    <mergeCell ref="CW56:DA57"/>
    <mergeCell ref="DB56:DF57"/>
    <mergeCell ref="DG54:DK55"/>
    <mergeCell ref="EA52:EE52"/>
    <mergeCell ref="EA50:EE50"/>
    <mergeCell ref="EA51:EE51"/>
    <mergeCell ref="EA46:EE46"/>
    <mergeCell ref="EA56:EE57"/>
    <mergeCell ref="C39:Y39"/>
    <mergeCell ref="C44:Y44"/>
    <mergeCell ref="AY44:BC44"/>
    <mergeCell ref="Z44:AD44"/>
    <mergeCell ref="DL53:DP53"/>
    <mergeCell ref="BS52:BW52"/>
    <mergeCell ref="CR53:CV53"/>
    <mergeCell ref="Z56:AD57"/>
    <mergeCell ref="CC44:CG44"/>
    <mergeCell ref="DV56:DZ57"/>
    <mergeCell ref="DG36:DK36"/>
    <mergeCell ref="DG37:DK37"/>
    <mergeCell ref="GZ18:HA18"/>
    <mergeCell ref="EI20:EK20"/>
    <mergeCell ref="EL20:EQ20"/>
    <mergeCell ref="ES20:EU20"/>
    <mergeCell ref="EV20:FA20"/>
    <mergeCell ref="FC20:FE20"/>
    <mergeCell ref="FF20:FK20"/>
    <mergeCell ref="FM20:FO20"/>
    <mergeCell ref="FP20:FU20"/>
    <mergeCell ref="FW20:FY20"/>
    <mergeCell ref="FZ20:GE20"/>
    <mergeCell ref="GG20:GI20"/>
    <mergeCell ref="GJ20:GO20"/>
    <mergeCell ref="GQ20:GS20"/>
    <mergeCell ref="GT20:GY20"/>
    <mergeCell ref="GJ17:GK17"/>
    <mergeCell ref="GJ15:GK15"/>
    <mergeCell ref="GL15:GM15"/>
    <mergeCell ref="GN15:GO15"/>
    <mergeCell ref="GP15:GQ15"/>
    <mergeCell ref="GR15:GS15"/>
    <mergeCell ref="GT15:GU15"/>
    <mergeCell ref="GV15:GW15"/>
    <mergeCell ref="GX15:GY15"/>
    <mergeCell ref="GZ15:HA15"/>
    <mergeCell ref="EH16:EI16"/>
    <mergeCell ref="GJ16:GK16"/>
    <mergeCell ref="GL16:GM16"/>
    <mergeCell ref="GN16:GO16"/>
    <mergeCell ref="GP16:GQ16"/>
    <mergeCell ref="GR16:GS16"/>
    <mergeCell ref="GT16:GU16"/>
    <mergeCell ref="GV16:GW16"/>
    <mergeCell ref="GX16:GY16"/>
    <mergeCell ref="GZ16:HA16"/>
    <mergeCell ref="GL17:GM17"/>
    <mergeCell ref="GN17:GO17"/>
    <mergeCell ref="GP17:GQ17"/>
    <mergeCell ref="GR17:GS17"/>
    <mergeCell ref="GT17:GU17"/>
    <mergeCell ref="GV17:GW17"/>
    <mergeCell ref="GX17:GY17"/>
    <mergeCell ref="GZ17:HA17"/>
    <mergeCell ref="GJ9:GW9"/>
    <mergeCell ref="GX9:GY14"/>
    <mergeCell ref="GZ9:HA14"/>
    <mergeCell ref="GJ10:GK14"/>
    <mergeCell ref="GL10:GW10"/>
    <mergeCell ref="GL11:GM14"/>
    <mergeCell ref="GN11:GO14"/>
    <mergeCell ref="GP11:GQ14"/>
    <mergeCell ref="GR11:GS14"/>
    <mergeCell ref="GT11:GU14"/>
    <mergeCell ref="GV11:GW14"/>
    <mergeCell ref="EJ13:EN13"/>
    <mergeCell ref="EO13:ER13"/>
    <mergeCell ref="ES13:EW13"/>
    <mergeCell ref="EX13:FA13"/>
    <mergeCell ref="FB13:FF13"/>
    <mergeCell ref="FG13:FJ13"/>
    <mergeCell ref="FK13:FO13"/>
    <mergeCell ref="FP13:FS13"/>
    <mergeCell ref="FT13:FW13"/>
    <mergeCell ref="FX13:GA13"/>
    <mergeCell ref="GB13:GE13"/>
    <mergeCell ref="GF13:GI13"/>
    <mergeCell ref="AF97:BA97"/>
    <mergeCell ref="AF99:BA99"/>
    <mergeCell ref="AF101:BA101"/>
    <mergeCell ref="AF103:BA103"/>
    <mergeCell ref="A54:A55"/>
    <mergeCell ref="A56:A57"/>
    <mergeCell ref="A58:A59"/>
    <mergeCell ref="A60:A61"/>
    <mergeCell ref="A62:A63"/>
    <mergeCell ref="A64:A65"/>
    <mergeCell ref="A66:A67"/>
    <mergeCell ref="A68:A69"/>
    <mergeCell ref="A70:A71"/>
    <mergeCell ref="CR68:CV69"/>
    <mergeCell ref="BN66:BR67"/>
    <mergeCell ref="BS66:BW67"/>
    <mergeCell ref="BX66:CB67"/>
    <mergeCell ref="CC66:CG67"/>
    <mergeCell ref="CH66:CL67"/>
    <mergeCell ref="CM66:CQ67"/>
    <mergeCell ref="CR66:CV67"/>
    <mergeCell ref="AO68:AS69"/>
    <mergeCell ref="AT68:AX69"/>
    <mergeCell ref="AJ66:AN67"/>
    <mergeCell ref="AY70:BC71"/>
    <mergeCell ref="BD70:BH71"/>
    <mergeCell ref="BI70:BM71"/>
    <mergeCell ref="C62:Y62"/>
    <mergeCell ref="Z62:AD63"/>
    <mergeCell ref="AE62:AI63"/>
    <mergeCell ref="AJ62:AN63"/>
    <mergeCell ref="AO62:AS63"/>
    <mergeCell ref="C70:Y70"/>
    <mergeCell ref="Z70:AD71"/>
    <mergeCell ref="AE70:AI71"/>
    <mergeCell ref="C66:Y66"/>
    <mergeCell ref="Z66:AD67"/>
    <mergeCell ref="AE66:AI67"/>
    <mergeCell ref="C69:Y69"/>
    <mergeCell ref="C67:Y67"/>
    <mergeCell ref="C68:Y68"/>
    <mergeCell ref="Z68:AD69"/>
    <mergeCell ref="AE68:AI69"/>
    <mergeCell ref="C64:Y64"/>
    <mergeCell ref="Z64:AD65"/>
    <mergeCell ref="CC64:CG65"/>
    <mergeCell ref="CH64:CL65"/>
    <mergeCell ref="CM64:CQ65"/>
    <mergeCell ref="CC62:CG63"/>
    <mergeCell ref="CH62:CL63"/>
    <mergeCell ref="CM62:CQ63"/>
    <mergeCell ref="CR62:CV63"/>
    <mergeCell ref="CW66:DA67"/>
    <mergeCell ref="CH70:CL71"/>
    <mergeCell ref="CM70:CQ71"/>
    <mergeCell ref="CR70:CV71"/>
    <mergeCell ref="AJ70:AN71"/>
    <mergeCell ref="AO70:AS71"/>
    <mergeCell ref="BN70:BR71"/>
    <mergeCell ref="BS70:BW71"/>
    <mergeCell ref="EH9:EI14"/>
    <mergeCell ref="EJ9:GI12"/>
    <mergeCell ref="EH15:EI15"/>
    <mergeCell ref="EH17:EI17"/>
    <mergeCell ref="EH18:GI18"/>
    <mergeCell ref="AT62:AX63"/>
    <mergeCell ref="AY62:BC63"/>
    <mergeCell ref="BD62:BH63"/>
    <mergeCell ref="BI62:BM63"/>
    <mergeCell ref="BN62:BR63"/>
    <mergeCell ref="BS62:BW63"/>
    <mergeCell ref="DG66:DK67"/>
    <mergeCell ref="AJ68:AN69"/>
    <mergeCell ref="DB64:DF65"/>
    <mergeCell ref="DG64:DK65"/>
    <mergeCell ref="DL64:DP65"/>
    <mergeCell ref="DQ64:DU65"/>
    <mergeCell ref="DV64:DZ65"/>
    <mergeCell ref="AY66:BC67"/>
    <mergeCell ref="BD66:BH67"/>
    <mergeCell ref="BI66:BM67"/>
    <mergeCell ref="CR64:CV65"/>
    <mergeCell ref="BS64:BW65"/>
    <mergeCell ref="BX64:CB65"/>
    <mergeCell ref="DQ66:DU67"/>
    <mergeCell ref="DV66:DZ67"/>
    <mergeCell ref="AT66:AX67"/>
    <mergeCell ref="AO66:AS67"/>
    <mergeCell ref="AY64:BC65"/>
    <mergeCell ref="BD64:BH65"/>
    <mergeCell ref="BI64:BM65"/>
    <mergeCell ref="BN64:BR65"/>
    <mergeCell ref="C65:Y65"/>
    <mergeCell ref="AE64:AI65"/>
    <mergeCell ref="AJ64:AN65"/>
    <mergeCell ref="AO64:AS65"/>
    <mergeCell ref="AT64:AX65"/>
    <mergeCell ref="EA47:EE47"/>
    <mergeCell ref="BX46:CB46"/>
    <mergeCell ref="C63:Y63"/>
    <mergeCell ref="Z47:AD47"/>
    <mergeCell ref="AE47:AI47"/>
    <mergeCell ref="AJ47:AN47"/>
    <mergeCell ref="AO47:AS47"/>
    <mergeCell ref="AT47:AX47"/>
    <mergeCell ref="AY47:BC47"/>
    <mergeCell ref="BD47:BH47"/>
    <mergeCell ref="BI47:BM47"/>
    <mergeCell ref="BN47:BR47"/>
    <mergeCell ref="BS47:BW47"/>
    <mergeCell ref="BX47:CB47"/>
    <mergeCell ref="CC47:CG47"/>
    <mergeCell ref="CH47:CL47"/>
    <mergeCell ref="CM47:CQ47"/>
    <mergeCell ref="CR47:CV47"/>
    <mergeCell ref="BX62:CB63"/>
    <mergeCell ref="CH60:CL61"/>
    <mergeCell ref="EA58:EE59"/>
    <mergeCell ref="CC50:CG50"/>
    <mergeCell ref="CH50:CL50"/>
    <mergeCell ref="BS56:BW57"/>
    <mergeCell ref="AE54:AI55"/>
    <mergeCell ref="BD54:BH55"/>
    <mergeCell ref="BI54:BM55"/>
    <mergeCell ref="BN54:BR55"/>
    <mergeCell ref="AE56:AI57"/>
    <mergeCell ref="AO49:AS49"/>
    <mergeCell ref="DL49:DP49"/>
    <mergeCell ref="AY52:BC52"/>
    <mergeCell ref="AJ54:AN54"/>
    <mergeCell ref="AJ55:AN55"/>
    <mergeCell ref="AO54:AS54"/>
    <mergeCell ref="AT54:AX54"/>
    <mergeCell ref="AY54:BC54"/>
    <mergeCell ref="AO55:AS55"/>
    <mergeCell ref="AT55:AX55"/>
    <mergeCell ref="AT51:AX51"/>
    <mergeCell ref="CW49:DA49"/>
    <mergeCell ref="AO53:AS53"/>
    <mergeCell ref="AT53:AX53"/>
    <mergeCell ref="AJ53:AN53"/>
    <mergeCell ref="CM54:CQ55"/>
    <mergeCell ref="AY51:BC51"/>
    <mergeCell ref="BD51:BH51"/>
    <mergeCell ref="BX52:CB52"/>
    <mergeCell ref="AJ56:AN56"/>
    <mergeCell ref="AO56:AS56"/>
    <mergeCell ref="AT56:AX56"/>
    <mergeCell ref="DB58:DF59"/>
    <mergeCell ref="AT58:AX59"/>
    <mergeCell ref="AY58:BC59"/>
    <mergeCell ref="DB52:DF52"/>
    <mergeCell ref="CW52:DA52"/>
    <mergeCell ref="C56:Y56"/>
    <mergeCell ref="C54:Y54"/>
    <mergeCell ref="BN51:BR51"/>
    <mergeCell ref="Z58:AD59"/>
    <mergeCell ref="BI53:BM53"/>
    <mergeCell ref="DB49:DF49"/>
    <mergeCell ref="DG49:DK49"/>
    <mergeCell ref="BD52:BH52"/>
    <mergeCell ref="AE49:AI49"/>
    <mergeCell ref="DL56:DP57"/>
    <mergeCell ref="AY56:BC56"/>
    <mergeCell ref="AJ57:AN57"/>
    <mergeCell ref="AO57:AS57"/>
    <mergeCell ref="AT57:AX57"/>
    <mergeCell ref="AY57:BC57"/>
    <mergeCell ref="CC49:CG49"/>
    <mergeCell ref="CC52:CG52"/>
    <mergeCell ref="DG53:DK53"/>
    <mergeCell ref="BX56:CB57"/>
    <mergeCell ref="CC56:CG57"/>
    <mergeCell ref="CH56:CL57"/>
    <mergeCell ref="C55:Y55"/>
    <mergeCell ref="AE58:AI59"/>
    <mergeCell ref="C52:Y52"/>
    <mergeCell ref="AT52:AX52"/>
    <mergeCell ref="DL51:DP51"/>
    <mergeCell ref="Z60:AD61"/>
    <mergeCell ref="AE60:AI61"/>
    <mergeCell ref="AJ60:AN61"/>
    <mergeCell ref="AO60:AS61"/>
    <mergeCell ref="AT60:AX61"/>
    <mergeCell ref="AY60:BC61"/>
    <mergeCell ref="BD60:BH61"/>
    <mergeCell ref="BI60:BM61"/>
    <mergeCell ref="Z53:AD53"/>
    <mergeCell ref="AO42:AS42"/>
    <mergeCell ref="AT42:AX42"/>
    <mergeCell ref="BI51:BM51"/>
    <mergeCell ref="C53:Y53"/>
    <mergeCell ref="AE53:AI53"/>
    <mergeCell ref="Z54:AD55"/>
    <mergeCell ref="AT40:AX40"/>
    <mergeCell ref="AY40:BC40"/>
    <mergeCell ref="BD40:BH40"/>
    <mergeCell ref="AJ41:AN41"/>
    <mergeCell ref="AO41:AS41"/>
    <mergeCell ref="C48:Y48"/>
    <mergeCell ref="C45:Y45"/>
    <mergeCell ref="AE52:AI52"/>
    <mergeCell ref="AO52:AS52"/>
    <mergeCell ref="Z52:AD52"/>
    <mergeCell ref="AO51:AS51"/>
    <mergeCell ref="AO58:AS59"/>
    <mergeCell ref="C47:Y47"/>
    <mergeCell ref="AE48:AI48"/>
    <mergeCell ref="Z49:AD49"/>
    <mergeCell ref="BD45:BH45"/>
    <mergeCell ref="AJ52:AN52"/>
    <mergeCell ref="C58:Y58"/>
    <mergeCell ref="BI76:BM76"/>
    <mergeCell ref="BN76:BR76"/>
    <mergeCell ref="BS76:BW76"/>
    <mergeCell ref="BX76:CB76"/>
    <mergeCell ref="CC76:CG76"/>
    <mergeCell ref="CH76:CL76"/>
    <mergeCell ref="CM76:CQ76"/>
    <mergeCell ref="CR76:CV76"/>
    <mergeCell ref="CC74:CG74"/>
    <mergeCell ref="CW60:DA61"/>
    <mergeCell ref="AJ58:AN59"/>
    <mergeCell ref="AT72:AX72"/>
    <mergeCell ref="BD74:BH74"/>
    <mergeCell ref="BI74:BM74"/>
    <mergeCell ref="BN74:BR74"/>
    <mergeCell ref="BS74:BW74"/>
    <mergeCell ref="AY74:BC74"/>
    <mergeCell ref="BD68:BH69"/>
    <mergeCell ref="BI68:BM69"/>
    <mergeCell ref="BN68:BR69"/>
    <mergeCell ref="BS68:BW69"/>
    <mergeCell ref="AJ74:AN74"/>
    <mergeCell ref="AO74:AS74"/>
    <mergeCell ref="AT74:AX74"/>
    <mergeCell ref="CW64:DA65"/>
    <mergeCell ref="CM68:CQ69"/>
    <mergeCell ref="BX68:CB69"/>
    <mergeCell ref="AY68:BC69"/>
    <mergeCell ref="AJ76:AN76"/>
    <mergeCell ref="C60:Y60"/>
    <mergeCell ref="AO76:AS76"/>
    <mergeCell ref="CW70:DA71"/>
    <mergeCell ref="AY76:BC76"/>
    <mergeCell ref="DL76:DP76"/>
    <mergeCell ref="DQ76:DU76"/>
    <mergeCell ref="DV76:DZ76"/>
    <mergeCell ref="EA76:EE76"/>
    <mergeCell ref="CW76:DA76"/>
    <mergeCell ref="BS73:BW73"/>
    <mergeCell ref="EA74:EE74"/>
    <mergeCell ref="DL75:DP75"/>
    <mergeCell ref="DQ75:DU75"/>
    <mergeCell ref="DV75:DZ75"/>
    <mergeCell ref="EA75:EE75"/>
    <mergeCell ref="EA60:EE61"/>
    <mergeCell ref="EA72:EE72"/>
    <mergeCell ref="DL73:DP73"/>
    <mergeCell ref="DQ73:DU73"/>
    <mergeCell ref="DV73:DZ73"/>
    <mergeCell ref="EA73:EE73"/>
    <mergeCell ref="EA68:EE69"/>
    <mergeCell ref="EA66:EE67"/>
    <mergeCell ref="EA62:EE63"/>
    <mergeCell ref="DB62:DF63"/>
    <mergeCell ref="DV72:DZ72"/>
    <mergeCell ref="BX72:CB72"/>
    <mergeCell ref="DG75:DK75"/>
    <mergeCell ref="DL70:DP71"/>
    <mergeCell ref="CH74:CL74"/>
    <mergeCell ref="CM74:CQ74"/>
    <mergeCell ref="CR74:CV74"/>
    <mergeCell ref="CW74:DA74"/>
    <mergeCell ref="DB74:DF74"/>
    <mergeCell ref="CC72:CG72"/>
    <mergeCell ref="EA64:EE65"/>
    <mergeCell ref="BD76:BH76"/>
    <mergeCell ref="AT76:AX76"/>
    <mergeCell ref="C74:Y74"/>
    <mergeCell ref="BX73:CB73"/>
    <mergeCell ref="CC73:CG73"/>
    <mergeCell ref="CH73:CL73"/>
    <mergeCell ref="CM73:CQ73"/>
    <mergeCell ref="DB76:DF76"/>
    <mergeCell ref="DG76:DK76"/>
    <mergeCell ref="BX70:CB71"/>
    <mergeCell ref="CC70:CG71"/>
    <mergeCell ref="C71:Y71"/>
    <mergeCell ref="AT70:AX71"/>
    <mergeCell ref="AJ75:AN75"/>
    <mergeCell ref="AO75:AS75"/>
    <mergeCell ref="AT75:AX75"/>
    <mergeCell ref="AY75:BC75"/>
    <mergeCell ref="BD75:BH75"/>
    <mergeCell ref="BI75:BM75"/>
    <mergeCell ref="BN75:BR75"/>
    <mergeCell ref="BS75:BW75"/>
    <mergeCell ref="BX75:CB75"/>
    <mergeCell ref="CC75:CG75"/>
    <mergeCell ref="CH75:CL75"/>
    <mergeCell ref="CM75:CQ75"/>
    <mergeCell ref="CR75:CV75"/>
    <mergeCell ref="CW75:DA75"/>
    <mergeCell ref="BX74:CB74"/>
    <mergeCell ref="C76:Y76"/>
    <mergeCell ref="Z76:AD76"/>
    <mergeCell ref="AE76:AI76"/>
    <mergeCell ref="DB75:DF75"/>
    <mergeCell ref="AO72:AS72"/>
    <mergeCell ref="EA70:EE71"/>
    <mergeCell ref="BS49:BW49"/>
    <mergeCell ref="BX49:CB49"/>
    <mergeCell ref="BD58:BH59"/>
    <mergeCell ref="BI58:BM59"/>
    <mergeCell ref="BN58:BR59"/>
    <mergeCell ref="BS58:BW59"/>
    <mergeCell ref="BX58:CB59"/>
    <mergeCell ref="CC58:CG59"/>
    <mergeCell ref="DV43:DZ43"/>
    <mergeCell ref="CW54:DA55"/>
    <mergeCell ref="DG58:DK59"/>
    <mergeCell ref="DL58:DP59"/>
    <mergeCell ref="DQ58:DU59"/>
    <mergeCell ref="DV58:DZ59"/>
    <mergeCell ref="CR54:CV55"/>
    <mergeCell ref="BX53:CB53"/>
    <mergeCell ref="CC53:CG53"/>
    <mergeCell ref="EA43:EE43"/>
    <mergeCell ref="BD43:BH43"/>
    <mergeCell ref="DQ49:DU49"/>
    <mergeCell ref="DL52:DP52"/>
    <mergeCell ref="DQ52:DU52"/>
    <mergeCell ref="DV52:DZ52"/>
    <mergeCell ref="CW47:DA47"/>
    <mergeCell ref="DB60:DF61"/>
    <mergeCell ref="DG60:DK61"/>
    <mergeCell ref="DL60:DP61"/>
    <mergeCell ref="DV54:DZ55"/>
    <mergeCell ref="AJ43:AN43"/>
    <mergeCell ref="AO43:AS43"/>
    <mergeCell ref="AJ45:AN45"/>
    <mergeCell ref="AE44:AI44"/>
    <mergeCell ref="AJ49:AN49"/>
    <mergeCell ref="EA35:EE35"/>
    <mergeCell ref="EA39:EE39"/>
    <mergeCell ref="DG42:DK42"/>
    <mergeCell ref="EA44:EE44"/>
    <mergeCell ref="EA49:EE49"/>
    <mergeCell ref="EA48:EE48"/>
    <mergeCell ref="EA45:EE45"/>
    <mergeCell ref="EA54:EE55"/>
    <mergeCell ref="BD56:BH57"/>
    <mergeCell ref="CR50:CV50"/>
    <mergeCell ref="BS50:BW50"/>
    <mergeCell ref="BX50:CB50"/>
    <mergeCell ref="EA53:EE53"/>
    <mergeCell ref="DV53:DZ53"/>
    <mergeCell ref="DL54:DP55"/>
    <mergeCell ref="DQ54:DU55"/>
    <mergeCell ref="DG56:DK57"/>
    <mergeCell ref="DQ56:DU57"/>
    <mergeCell ref="EA36:EE36"/>
    <mergeCell ref="EA37:EE37"/>
    <mergeCell ref="EA38:EE38"/>
    <mergeCell ref="BS53:BW53"/>
    <mergeCell ref="DB54:DF55"/>
    <mergeCell ref="CW40:DA40"/>
    <mergeCell ref="AO38:AS38"/>
    <mergeCell ref="AJ36:AN36"/>
    <mergeCell ref="C41:Y41"/>
    <mergeCell ref="Z48:AD48"/>
    <mergeCell ref="Z45:AD45"/>
    <mergeCell ref="AJ48:AN48"/>
    <mergeCell ref="AO48:AS48"/>
    <mergeCell ref="AT48:AX48"/>
    <mergeCell ref="AY48:BC48"/>
    <mergeCell ref="BD48:BH48"/>
    <mergeCell ref="C43:Y43"/>
    <mergeCell ref="C51:Y51"/>
    <mergeCell ref="Z51:AD51"/>
    <mergeCell ref="AE51:AI51"/>
    <mergeCell ref="BN41:BR41"/>
    <mergeCell ref="BN49:BR49"/>
    <mergeCell ref="C46:Y46"/>
    <mergeCell ref="Z46:AD46"/>
    <mergeCell ref="Z41:AD41"/>
    <mergeCell ref="AE41:AI41"/>
    <mergeCell ref="C49:Y49"/>
    <mergeCell ref="AT49:AX49"/>
    <mergeCell ref="AY49:BC49"/>
    <mergeCell ref="BD49:BH49"/>
    <mergeCell ref="BN48:BR48"/>
    <mergeCell ref="BI48:BM48"/>
    <mergeCell ref="AE46:AI46"/>
    <mergeCell ref="AJ46:AN46"/>
    <mergeCell ref="AE43:AI43"/>
    <mergeCell ref="AE45:AI45"/>
    <mergeCell ref="AO46:AS46"/>
    <mergeCell ref="AT46:AX46"/>
    <mergeCell ref="EA42:EE42"/>
    <mergeCell ref="CC54:CG55"/>
    <mergeCell ref="AO45:AS45"/>
    <mergeCell ref="AT45:AX45"/>
    <mergeCell ref="AY45:BC45"/>
    <mergeCell ref="Z37:AD37"/>
    <mergeCell ref="Z36:AD36"/>
    <mergeCell ref="C40:Y40"/>
    <mergeCell ref="BS39:BW39"/>
    <mergeCell ref="CC38:CG38"/>
    <mergeCell ref="DB40:DF40"/>
    <mergeCell ref="CW41:DA41"/>
    <mergeCell ref="AJ39:AN39"/>
    <mergeCell ref="BD39:BH39"/>
    <mergeCell ref="BI39:BM39"/>
    <mergeCell ref="BI40:BM40"/>
    <mergeCell ref="AJ40:AN40"/>
    <mergeCell ref="AO40:AS40"/>
    <mergeCell ref="Z40:AD40"/>
    <mergeCell ref="BS38:BW38"/>
    <mergeCell ref="AJ38:AN38"/>
    <mergeCell ref="AJ37:AN37"/>
    <mergeCell ref="AO37:AS37"/>
    <mergeCell ref="AT37:AX37"/>
    <mergeCell ref="AO36:AS36"/>
    <mergeCell ref="AE36:AI36"/>
    <mergeCell ref="AY38:BC38"/>
    <mergeCell ref="BD38:BH38"/>
    <mergeCell ref="CM40:CQ40"/>
    <mergeCell ref="DB37:DF37"/>
    <mergeCell ref="C42:Y42"/>
    <mergeCell ref="AE40:AI40"/>
    <mergeCell ref="Z42:AD42"/>
    <mergeCell ref="Z43:AD43"/>
    <mergeCell ref="AY43:BC43"/>
    <mergeCell ref="DV39:DZ39"/>
    <mergeCell ref="AE37:AI37"/>
    <mergeCell ref="AE38:AI38"/>
    <mergeCell ref="CR39:CV39"/>
    <mergeCell ref="BN39:BR39"/>
    <mergeCell ref="CW44:DA44"/>
    <mergeCell ref="CR45:CV45"/>
    <mergeCell ref="DB46:DF46"/>
    <mergeCell ref="CC46:CG46"/>
    <mergeCell ref="CH46:CL46"/>
    <mergeCell ref="CM46:CQ46"/>
    <mergeCell ref="CR46:CV46"/>
    <mergeCell ref="BD42:BH42"/>
    <mergeCell ref="BI46:BM46"/>
    <mergeCell ref="BN46:BR46"/>
    <mergeCell ref="AE42:AI42"/>
    <mergeCell ref="AY46:BC46"/>
    <mergeCell ref="BD46:BH46"/>
    <mergeCell ref="AY42:BC42"/>
    <mergeCell ref="AE39:AI39"/>
    <mergeCell ref="DQ41:DU41"/>
    <mergeCell ref="AT43:AX43"/>
    <mergeCell ref="AY39:BC39"/>
    <mergeCell ref="DV46:DZ46"/>
    <mergeCell ref="DG40:DK40"/>
    <mergeCell ref="DL40:DP40"/>
    <mergeCell ref="Z38:AD38"/>
    <mergeCell ref="A25:A32"/>
    <mergeCell ref="CM36:CQ36"/>
    <mergeCell ref="CM37:CQ37"/>
    <mergeCell ref="CR37:CV37"/>
    <mergeCell ref="AT39:AX39"/>
    <mergeCell ref="BD37:BH37"/>
    <mergeCell ref="CW39:DA39"/>
    <mergeCell ref="DV37:DZ37"/>
    <mergeCell ref="DV35:DZ35"/>
    <mergeCell ref="AT38:AX38"/>
    <mergeCell ref="DL35:DP35"/>
    <mergeCell ref="DV38:DZ38"/>
    <mergeCell ref="B25:B32"/>
    <mergeCell ref="Z25:BR25"/>
    <mergeCell ref="AJ26:BM26"/>
    <mergeCell ref="C36:Y36"/>
    <mergeCell ref="C38:Y38"/>
    <mergeCell ref="BS29:CV29"/>
    <mergeCell ref="CR36:CV36"/>
    <mergeCell ref="CC36:CG36"/>
    <mergeCell ref="CH36:CL36"/>
    <mergeCell ref="BX37:CB37"/>
    <mergeCell ref="DQ36:DU36"/>
    <mergeCell ref="DV36:DZ36"/>
    <mergeCell ref="BN37:BR37"/>
    <mergeCell ref="BN38:BR38"/>
    <mergeCell ref="AY33:BC33"/>
    <mergeCell ref="BD33:BH33"/>
    <mergeCell ref="BN26:BR32"/>
    <mergeCell ref="CW38:DA38"/>
    <mergeCell ref="C37:Y37"/>
    <mergeCell ref="Z39:AD39"/>
    <mergeCell ref="DG35:DK35"/>
    <mergeCell ref="CH37:CL37"/>
    <mergeCell ref="EA40:EE40"/>
    <mergeCell ref="AT41:AX41"/>
    <mergeCell ref="AY41:BC41"/>
    <mergeCell ref="BD41:BH41"/>
    <mergeCell ref="BI41:BM41"/>
    <mergeCell ref="DG30:DK30"/>
    <mergeCell ref="DL30:DP30"/>
    <mergeCell ref="DQ30:DU30"/>
    <mergeCell ref="DV30:DZ30"/>
    <mergeCell ref="EA32:EE32"/>
    <mergeCell ref="CW32:DA32"/>
    <mergeCell ref="DB32:DF32"/>
    <mergeCell ref="DG32:DK32"/>
    <mergeCell ref="BS35:BW35"/>
    <mergeCell ref="BS36:BW36"/>
    <mergeCell ref="CH35:CL35"/>
    <mergeCell ref="CM35:CQ35"/>
    <mergeCell ref="CR35:CV35"/>
    <mergeCell ref="DL32:DP32"/>
    <mergeCell ref="DQ32:DU32"/>
    <mergeCell ref="DV32:DZ32"/>
    <mergeCell ref="CH33:CL33"/>
    <mergeCell ref="BX35:CB35"/>
    <mergeCell ref="BX33:CB33"/>
    <mergeCell ref="CC33:CG33"/>
    <mergeCell ref="CC37:CG37"/>
    <mergeCell ref="EA41:EE41"/>
    <mergeCell ref="CR38:CV38"/>
    <mergeCell ref="BN35:BR35"/>
    <mergeCell ref="EA25:EE31"/>
    <mergeCell ref="CW27:DZ27"/>
    <mergeCell ref="CW25:DZ25"/>
    <mergeCell ref="CW31:DZ31"/>
    <mergeCell ref="DG26:DP26"/>
    <mergeCell ref="DQ26:DZ26"/>
    <mergeCell ref="EA33:EE33"/>
    <mergeCell ref="EA34:EE34"/>
    <mergeCell ref="DV34:DZ34"/>
    <mergeCell ref="DG33:DK33"/>
    <mergeCell ref="DL34:DP34"/>
    <mergeCell ref="DQ34:DU34"/>
    <mergeCell ref="DG28:DP28"/>
    <mergeCell ref="DQ28:DZ28"/>
    <mergeCell ref="CW30:DA30"/>
    <mergeCell ref="DB30:DF30"/>
    <mergeCell ref="DQ33:DU33"/>
    <mergeCell ref="C34:Y34"/>
    <mergeCell ref="Z34:AD34"/>
    <mergeCell ref="C33:Y33"/>
    <mergeCell ref="Z33:AD33"/>
    <mergeCell ref="Z26:AI31"/>
    <mergeCell ref="Z32:AD32"/>
    <mergeCell ref="AE32:AI32"/>
    <mergeCell ref="AE34:AI34"/>
    <mergeCell ref="C25:Y32"/>
    <mergeCell ref="AJ27:AN32"/>
    <mergeCell ref="AO27:AS32"/>
    <mergeCell ref="AT27:AX32"/>
    <mergeCell ref="AO33:AS33"/>
    <mergeCell ref="BS25:CV25"/>
    <mergeCell ref="C35:Y35"/>
    <mergeCell ref="Z35:AD35"/>
    <mergeCell ref="AY27:BC32"/>
    <mergeCell ref="BI33:BM33"/>
    <mergeCell ref="BI27:BM32"/>
    <mergeCell ref="AJ35:AN35"/>
    <mergeCell ref="AO35:AS35"/>
    <mergeCell ref="BS26:CB26"/>
    <mergeCell ref="CR34:CV34"/>
    <mergeCell ref="BN34:BR34"/>
    <mergeCell ref="AT34:AX34"/>
    <mergeCell ref="CC32:CG32"/>
    <mergeCell ref="CH32:CL32"/>
    <mergeCell ref="AJ33:AN33"/>
    <mergeCell ref="CC35:CG35"/>
    <mergeCell ref="BS28:CB28"/>
    <mergeCell ref="BS30:BW30"/>
    <mergeCell ref="BS31:CV31"/>
    <mergeCell ref="DV42:DZ42"/>
    <mergeCell ref="CR30:CV30"/>
    <mergeCell ref="BS32:BW32"/>
    <mergeCell ref="BX32:CB32"/>
    <mergeCell ref="BD27:BH32"/>
    <mergeCell ref="AY35:BC35"/>
    <mergeCell ref="BD35:BH35"/>
    <mergeCell ref="BI35:BM35"/>
    <mergeCell ref="DQ35:DU35"/>
    <mergeCell ref="CW35:DA35"/>
    <mergeCell ref="AE33:AI33"/>
    <mergeCell ref="BS34:BW34"/>
    <mergeCell ref="BX34:CB34"/>
    <mergeCell ref="CC34:CG34"/>
    <mergeCell ref="AE35:AI35"/>
    <mergeCell ref="AJ34:AN34"/>
    <mergeCell ref="AO34:AS34"/>
    <mergeCell ref="CH34:CL34"/>
    <mergeCell ref="CM34:CQ34"/>
    <mergeCell ref="AT33:AX33"/>
    <mergeCell ref="BS27:CV27"/>
    <mergeCell ref="CM32:CQ32"/>
    <mergeCell ref="CR32:CV32"/>
    <mergeCell ref="BS33:BW33"/>
    <mergeCell ref="CR33:CV33"/>
    <mergeCell ref="CM33:CQ33"/>
    <mergeCell ref="BN33:BR33"/>
    <mergeCell ref="DB35:DF35"/>
    <mergeCell ref="AY34:BC34"/>
    <mergeCell ref="AT35:AX35"/>
    <mergeCell ref="DV40:DZ40"/>
    <mergeCell ref="BI37:BM37"/>
    <mergeCell ref="CW28:DF28"/>
    <mergeCell ref="CW26:DF26"/>
    <mergeCell ref="CW33:DA33"/>
    <mergeCell ref="DB33:DF33"/>
    <mergeCell ref="CW29:DZ29"/>
    <mergeCell ref="DV33:DZ33"/>
    <mergeCell ref="DL33:DP33"/>
    <mergeCell ref="CW34:DA34"/>
    <mergeCell ref="DB34:DF34"/>
    <mergeCell ref="BD34:BH34"/>
    <mergeCell ref="BI34:BM34"/>
    <mergeCell ref="DG34:DK34"/>
    <mergeCell ref="CM26:CV26"/>
    <mergeCell ref="CC26:CL26"/>
    <mergeCell ref="CC28:CL28"/>
    <mergeCell ref="CM28:CV28"/>
    <mergeCell ref="BX30:CB30"/>
    <mergeCell ref="CC30:CG30"/>
    <mergeCell ref="CH30:CL30"/>
    <mergeCell ref="CM30:CQ30"/>
    <mergeCell ref="AO39:AS39"/>
    <mergeCell ref="BI44:BM44"/>
    <mergeCell ref="BX40:CB40"/>
    <mergeCell ref="AT36:AX36"/>
    <mergeCell ref="AY36:BC36"/>
    <mergeCell ref="BD36:BH36"/>
    <mergeCell ref="BI36:BM36"/>
    <mergeCell ref="BN42:BR42"/>
    <mergeCell ref="BN36:BR36"/>
    <mergeCell ref="BX45:CB45"/>
    <mergeCell ref="CH44:CL44"/>
    <mergeCell ref="BS43:BW43"/>
    <mergeCell ref="BX43:CB43"/>
    <mergeCell ref="BS44:BW44"/>
    <mergeCell ref="BI45:BM45"/>
    <mergeCell ref="AO44:AS44"/>
    <mergeCell ref="BN45:BR45"/>
    <mergeCell ref="BI43:BM43"/>
    <mergeCell ref="BX36:CB36"/>
    <mergeCell ref="BD44:BH44"/>
    <mergeCell ref="BS45:BW45"/>
    <mergeCell ref="BX39:CB39"/>
    <mergeCell ref="BX41:CB41"/>
    <mergeCell ref="CC41:CG41"/>
    <mergeCell ref="BI38:BM38"/>
    <mergeCell ref="CC40:CG40"/>
    <mergeCell ref="AY37:BC37"/>
    <mergeCell ref="BS40:BW40"/>
    <mergeCell ref="BS41:BW41"/>
    <mergeCell ref="DG72:DK72"/>
    <mergeCell ref="C75:Y75"/>
    <mergeCell ref="Z75:AD75"/>
    <mergeCell ref="AE75:AI75"/>
    <mergeCell ref="BN53:BR53"/>
    <mergeCell ref="CW72:DA72"/>
    <mergeCell ref="C72:Y72"/>
    <mergeCell ref="Z72:AD72"/>
    <mergeCell ref="BN72:BR72"/>
    <mergeCell ref="BD53:BH53"/>
    <mergeCell ref="DQ53:DU53"/>
    <mergeCell ref="CW42:DA42"/>
    <mergeCell ref="DB42:DF42"/>
    <mergeCell ref="CW43:DA43"/>
    <mergeCell ref="CH53:CL53"/>
    <mergeCell ref="CM53:CQ53"/>
    <mergeCell ref="CC42:CG42"/>
    <mergeCell ref="CH42:CL42"/>
    <mergeCell ref="CR43:CV43"/>
    <mergeCell ref="AJ42:AN42"/>
    <mergeCell ref="BN44:BR44"/>
    <mergeCell ref="AT44:AX44"/>
    <mergeCell ref="BN52:BR52"/>
    <mergeCell ref="C61:Y61"/>
    <mergeCell ref="C59:Y59"/>
    <mergeCell ref="CW73:DA73"/>
    <mergeCell ref="AJ44:AN44"/>
    <mergeCell ref="DG43:DK43"/>
    <mergeCell ref="BI72:BM72"/>
    <mergeCell ref="BI50:BM50"/>
    <mergeCell ref="BS54:BW55"/>
    <mergeCell ref="BI56:BM57"/>
    <mergeCell ref="CH38:CL38"/>
    <mergeCell ref="DG62:DK63"/>
    <mergeCell ref="DQ68:DU69"/>
    <mergeCell ref="DG44:DK44"/>
    <mergeCell ref="BI49:BM49"/>
    <mergeCell ref="BN40:BR40"/>
    <mergeCell ref="BS37:BW37"/>
    <mergeCell ref="BX38:CB38"/>
    <mergeCell ref="DB36:DF36"/>
    <mergeCell ref="CW37:DA37"/>
    <mergeCell ref="DL36:DP36"/>
    <mergeCell ref="DL38:DP38"/>
    <mergeCell ref="DQ38:DU38"/>
    <mergeCell ref="BI42:BM42"/>
    <mergeCell ref="BS42:BW42"/>
    <mergeCell ref="BN43:BR43"/>
    <mergeCell ref="DG39:DK39"/>
    <mergeCell ref="DL39:DP39"/>
    <mergeCell ref="DQ43:DU43"/>
    <mergeCell ref="CW45:DA45"/>
    <mergeCell ref="DB43:DF43"/>
    <mergeCell ref="DB44:DF44"/>
    <mergeCell ref="DL43:DP43"/>
    <mergeCell ref="DL42:DP42"/>
    <mergeCell ref="CR42:CV42"/>
    <mergeCell ref="DB41:DF41"/>
    <mergeCell ref="CH41:CL41"/>
    <mergeCell ref="CM41:CQ41"/>
    <mergeCell ref="BN56:BR57"/>
    <mergeCell ref="BS48:BW48"/>
    <mergeCell ref="CM60:CQ61"/>
    <mergeCell ref="CW58:DA59"/>
    <mergeCell ref="AJ73:AN73"/>
    <mergeCell ref="AO73:AS73"/>
    <mergeCell ref="AT73:AX73"/>
    <mergeCell ref="AY73:BC73"/>
    <mergeCell ref="AE72:AI72"/>
    <mergeCell ref="AJ51:AN51"/>
    <mergeCell ref="CW50:DA50"/>
    <mergeCell ref="DB50:DF50"/>
    <mergeCell ref="AE50:AI50"/>
    <mergeCell ref="AJ50:AN50"/>
    <mergeCell ref="AO50:AS50"/>
    <mergeCell ref="AT50:AX50"/>
    <mergeCell ref="AY50:BC50"/>
    <mergeCell ref="BD50:BH50"/>
    <mergeCell ref="CW51:DA51"/>
    <mergeCell ref="DB51:DF51"/>
    <mergeCell ref="AJ72:AN72"/>
    <mergeCell ref="AY53:BC53"/>
    <mergeCell ref="BN50:BR50"/>
    <mergeCell ref="CH58:CL59"/>
    <mergeCell ref="CM58:CQ59"/>
    <mergeCell ref="CR58:CV59"/>
    <mergeCell ref="CM56:CQ57"/>
    <mergeCell ref="CR56:CV57"/>
    <mergeCell ref="CW53:DA53"/>
    <mergeCell ref="DB53:DF53"/>
    <mergeCell ref="BS60:BW61"/>
    <mergeCell ref="BX60:CB61"/>
    <mergeCell ref="CC60:CG61"/>
    <mergeCell ref="AY55:BC55"/>
    <mergeCell ref="BS72:BW72"/>
    <mergeCell ref="BI52:BM52"/>
    <mergeCell ref="DV51:DZ51"/>
    <mergeCell ref="CH43:CL43"/>
    <mergeCell ref="CM43:CQ43"/>
    <mergeCell ref="DG38:DK38"/>
    <mergeCell ref="CM38:CQ38"/>
    <mergeCell ref="DB70:DF71"/>
    <mergeCell ref="CH68:CL69"/>
    <mergeCell ref="DG50:DK50"/>
    <mergeCell ref="DB47:DF47"/>
    <mergeCell ref="DG47:DK47"/>
    <mergeCell ref="DV47:DZ47"/>
    <mergeCell ref="DG46:DK46"/>
    <mergeCell ref="DL46:DP46"/>
    <mergeCell ref="CW46:DA46"/>
    <mergeCell ref="DL44:DP44"/>
    <mergeCell ref="DQ44:DU44"/>
    <mergeCell ref="DL47:DP47"/>
    <mergeCell ref="DQ47:DU47"/>
    <mergeCell ref="DQ45:DU45"/>
    <mergeCell ref="CM44:CQ44"/>
    <mergeCell ref="CR44:CV44"/>
    <mergeCell ref="DQ50:DU50"/>
    <mergeCell ref="DQ39:DU39"/>
    <mergeCell ref="DQ60:DU61"/>
    <mergeCell ref="DV60:DZ61"/>
    <mergeCell ref="CW62:DA63"/>
    <mergeCell ref="DL41:DP41"/>
    <mergeCell ref="DL45:DP45"/>
    <mergeCell ref="DQ42:DU42"/>
    <mergeCell ref="CH48:CL48"/>
    <mergeCell ref="CM42:CQ42"/>
    <mergeCell ref="DQ51:DU51"/>
    <mergeCell ref="D95:AJ95"/>
    <mergeCell ref="AK95:AS95"/>
    <mergeCell ref="AT95:BC95"/>
    <mergeCell ref="CW36:DA36"/>
    <mergeCell ref="DQ37:DU37"/>
    <mergeCell ref="G81:H81"/>
    <mergeCell ref="G82:H82"/>
    <mergeCell ref="G84:H84"/>
    <mergeCell ref="DG41:DK41"/>
    <mergeCell ref="CR41:CV41"/>
    <mergeCell ref="BS51:BW51"/>
    <mergeCell ref="BX51:CB51"/>
    <mergeCell ref="CC51:CG51"/>
    <mergeCell ref="CH51:CL51"/>
    <mergeCell ref="CM51:CQ51"/>
    <mergeCell ref="CR51:CV51"/>
    <mergeCell ref="AA77:AE77"/>
    <mergeCell ref="CC39:CG39"/>
    <mergeCell ref="CH39:CL39"/>
    <mergeCell ref="CM39:CQ39"/>
    <mergeCell ref="CH72:CL72"/>
    <mergeCell ref="CM72:CQ72"/>
    <mergeCell ref="CR72:CV72"/>
    <mergeCell ref="DG51:DK51"/>
    <mergeCell ref="BD72:BH72"/>
    <mergeCell ref="DB73:DF73"/>
    <mergeCell ref="DG73:DK73"/>
    <mergeCell ref="DL62:DP63"/>
    <mergeCell ref="DB68:DF69"/>
    <mergeCell ref="CM52:CQ52"/>
    <mergeCell ref="CR52:CV52"/>
    <mergeCell ref="DG70:DK71"/>
    <mergeCell ref="AK87:AS87"/>
    <mergeCell ref="AT87:BC87"/>
    <mergeCell ref="BD87:CL87"/>
    <mergeCell ref="G79:H79"/>
    <mergeCell ref="B78:F78"/>
    <mergeCell ref="G78:H78"/>
    <mergeCell ref="G80:H80"/>
    <mergeCell ref="DQ40:DU40"/>
    <mergeCell ref="CW48:DA48"/>
    <mergeCell ref="DG48:DK48"/>
    <mergeCell ref="DL48:DP48"/>
    <mergeCell ref="DQ48:DU48"/>
    <mergeCell ref="I78:EB78"/>
    <mergeCell ref="I79:EB79"/>
    <mergeCell ref="BS46:BW46"/>
    <mergeCell ref="CH40:CL40"/>
    <mergeCell ref="BN60:BR61"/>
    <mergeCell ref="CR60:CV61"/>
    <mergeCell ref="DV68:DZ69"/>
    <mergeCell ref="DG68:DK69"/>
    <mergeCell ref="DQ70:DU71"/>
    <mergeCell ref="DG52:DK52"/>
    <mergeCell ref="BX48:CB48"/>
    <mergeCell ref="CC68:CG69"/>
    <mergeCell ref="DV70:DZ71"/>
    <mergeCell ref="DL66:DP67"/>
    <mergeCell ref="DB66:DF67"/>
    <mergeCell ref="DV50:DZ50"/>
    <mergeCell ref="CH49:CL49"/>
    <mergeCell ref="DV45:DZ45"/>
    <mergeCell ref="DB45:DF45"/>
    <mergeCell ref="DB48:DF48"/>
    <mergeCell ref="DQ74:DU74"/>
    <mergeCell ref="DQ62:DU63"/>
    <mergeCell ref="CW68:DA69"/>
    <mergeCell ref="DL68:DP69"/>
    <mergeCell ref="DB38:DF38"/>
    <mergeCell ref="CC45:CG45"/>
    <mergeCell ref="D93:AJ93"/>
    <mergeCell ref="AK93:AS93"/>
    <mergeCell ref="DB39:DF39"/>
    <mergeCell ref="DL37:DP37"/>
    <mergeCell ref="DL50:DP50"/>
    <mergeCell ref="CM50:CQ50"/>
    <mergeCell ref="BD73:BH73"/>
    <mergeCell ref="BI73:BM73"/>
    <mergeCell ref="BN73:BR73"/>
    <mergeCell ref="DL72:DP72"/>
    <mergeCell ref="DQ72:DU72"/>
    <mergeCell ref="C57:Y57"/>
    <mergeCell ref="AY72:BC72"/>
    <mergeCell ref="CR73:CV73"/>
    <mergeCell ref="C73:Y73"/>
    <mergeCell ref="Z73:AD73"/>
    <mergeCell ref="DB72:DF72"/>
    <mergeCell ref="I83:DZ83"/>
    <mergeCell ref="I84:EB84"/>
    <mergeCell ref="I85:EB85"/>
    <mergeCell ref="CS88:DZ95"/>
    <mergeCell ref="D94:AJ94"/>
    <mergeCell ref="AK94:AS94"/>
    <mergeCell ref="AT94:BC94"/>
    <mergeCell ref="G85:H85"/>
    <mergeCell ref="D87:AJ87"/>
    <mergeCell ref="EI33:EL34"/>
    <mergeCell ref="AL2:CB2"/>
    <mergeCell ref="AL3:CB3"/>
    <mergeCell ref="AL4:CB4"/>
    <mergeCell ref="AL5:CB5"/>
    <mergeCell ref="AL6:CB6"/>
    <mergeCell ref="AL7:CB7"/>
    <mergeCell ref="I80:EB80"/>
    <mergeCell ref="I81:EB81"/>
    <mergeCell ref="I82:EB82"/>
    <mergeCell ref="DV48:DZ48"/>
    <mergeCell ref="CR40:CV40"/>
    <mergeCell ref="BX42:CB42"/>
    <mergeCell ref="DV44:DZ44"/>
    <mergeCell ref="BX44:CB44"/>
    <mergeCell ref="CC43:CG43"/>
    <mergeCell ref="DV49:DZ49"/>
    <mergeCell ref="DV74:DZ74"/>
    <mergeCell ref="DV62:DZ63"/>
    <mergeCell ref="CH45:CL45"/>
    <mergeCell ref="CM45:CQ45"/>
    <mergeCell ref="DV41:DZ41"/>
    <mergeCell ref="D2:AI2"/>
    <mergeCell ref="CW2:EE2"/>
    <mergeCell ref="D3:AI3"/>
    <mergeCell ref="CW3:EE3"/>
    <mergeCell ref="D4:AI4"/>
    <mergeCell ref="D5:AI5"/>
    <mergeCell ref="CW4:EE4"/>
    <mergeCell ref="D6:AI6"/>
    <mergeCell ref="CW5:EE5"/>
    <mergeCell ref="A8:EE8"/>
    <mergeCell ref="A1:EB1"/>
    <mergeCell ref="D88:AJ88"/>
    <mergeCell ref="AK88:AS88"/>
    <mergeCell ref="AT88:BC88"/>
    <mergeCell ref="BD88:CL95"/>
    <mergeCell ref="D89:AJ89"/>
    <mergeCell ref="AK89:AS89"/>
    <mergeCell ref="AT89:BC89"/>
    <mergeCell ref="D90:AJ90"/>
    <mergeCell ref="AK90:AS90"/>
    <mergeCell ref="AT90:BC90"/>
    <mergeCell ref="D91:AJ91"/>
    <mergeCell ref="AK91:AS91"/>
    <mergeCell ref="AT91:BC91"/>
    <mergeCell ref="D92:AJ92"/>
    <mergeCell ref="AK92:AS92"/>
    <mergeCell ref="AT92:BC92"/>
    <mergeCell ref="AT93:BC93"/>
    <mergeCell ref="CM49:CQ49"/>
    <mergeCell ref="CR49:CV49"/>
    <mergeCell ref="Z74:AD74"/>
    <mergeCell ref="AE73:AI73"/>
    <mergeCell ref="AE74:AI74"/>
    <mergeCell ref="DG45:DK45"/>
    <mergeCell ref="DQ46:DU46"/>
    <mergeCell ref="C50:Y50"/>
    <mergeCell ref="Z50:AD50"/>
    <mergeCell ref="CC48:CG48"/>
    <mergeCell ref="CM48:CQ48"/>
    <mergeCell ref="CR48:CV48"/>
    <mergeCell ref="DG74:DK74"/>
    <mergeCell ref="DL74:DP74"/>
  </mergeCells>
  <phoneticPr fontId="2" type="noConversion"/>
  <printOptions horizontalCentered="1"/>
  <pageMargins left="0.5" right="0" top="0.5" bottom="0" header="0.3" footer="0"/>
  <pageSetup paperSize="9" scale="19" fitToHeight="0" orientation="landscape" horizontalDpi="360" verticalDpi="360" r:id="rId1"/>
  <headerFooter alignWithMargins="0"/>
  <rowBreaks count="2" manualBreakCount="2">
    <brk id="42" max="134" man="1"/>
    <brk id="76" max="134" man="1"/>
  </rowBreaks>
  <ignoredErrors>
    <ignoredError sqref="EA51:EE52" formulaRange="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A1:HN104"/>
  <sheetViews>
    <sheetView view="pageBreakPreview" topLeftCell="A50" zoomScale="20" zoomScaleNormal="18" zoomScaleSheetLayoutView="20" workbookViewId="0">
      <selection activeCell="Z56" sqref="Z56:AC56"/>
    </sheetView>
  </sheetViews>
  <sheetFormatPr defaultRowHeight="12.75" x14ac:dyDescent="0.2"/>
  <cols>
    <col min="1" max="1" width="20.7109375" customWidth="1"/>
    <col min="2" max="2" width="55" customWidth="1"/>
    <col min="3" max="25" width="6.7109375" customWidth="1"/>
    <col min="26" max="151" width="5.5703125" customWidth="1"/>
    <col min="152" max="152" width="30.140625" customWidth="1"/>
    <col min="153" max="222" width="8.7109375" customWidth="1"/>
  </cols>
  <sheetData>
    <row r="1" spans="1:222" ht="101.25" x14ac:dyDescent="0.2">
      <c r="A1" s="761" t="s">
        <v>159</v>
      </c>
      <c r="B1" s="761"/>
      <c r="C1" s="761"/>
      <c r="D1" s="761"/>
      <c r="E1" s="761"/>
      <c r="F1" s="761"/>
      <c r="G1" s="761"/>
      <c r="H1" s="761"/>
      <c r="I1" s="761"/>
      <c r="J1" s="761"/>
      <c r="K1" s="761"/>
      <c r="L1" s="761"/>
      <c r="M1" s="761"/>
      <c r="N1" s="761"/>
      <c r="O1" s="761"/>
      <c r="P1" s="761"/>
      <c r="Q1" s="761"/>
      <c r="R1" s="761"/>
      <c r="S1" s="761"/>
      <c r="T1" s="761"/>
      <c r="U1" s="761"/>
      <c r="V1" s="761"/>
      <c r="W1" s="761"/>
      <c r="X1" s="761"/>
      <c r="Y1" s="761"/>
      <c r="Z1" s="761"/>
      <c r="AA1" s="761"/>
      <c r="AB1" s="761"/>
      <c r="AC1" s="761"/>
      <c r="AD1" s="761"/>
      <c r="AE1" s="761"/>
      <c r="AF1" s="761"/>
      <c r="AG1" s="761"/>
      <c r="AH1" s="761"/>
      <c r="AI1" s="761"/>
      <c r="AJ1" s="761"/>
      <c r="AK1" s="761"/>
      <c r="AL1" s="761"/>
      <c r="AM1" s="761"/>
      <c r="AN1" s="761"/>
      <c r="AO1" s="761"/>
      <c r="AP1" s="761"/>
      <c r="AQ1" s="761"/>
      <c r="AR1" s="761"/>
      <c r="AS1" s="761"/>
      <c r="AT1" s="761"/>
      <c r="AU1" s="761"/>
      <c r="AV1" s="761"/>
      <c r="AW1" s="761"/>
      <c r="AX1" s="761"/>
      <c r="AY1" s="761"/>
      <c r="AZ1" s="761"/>
      <c r="BA1" s="761"/>
      <c r="BB1" s="761"/>
      <c r="BC1" s="761"/>
      <c r="BD1" s="761"/>
      <c r="BE1" s="761"/>
      <c r="BF1" s="761"/>
      <c r="BG1" s="761"/>
      <c r="BH1" s="761"/>
      <c r="BI1" s="761"/>
      <c r="BJ1" s="761"/>
      <c r="BK1" s="761"/>
      <c r="BL1" s="761"/>
      <c r="BM1" s="761"/>
      <c r="BN1" s="761"/>
      <c r="BO1" s="761"/>
      <c r="BP1" s="761"/>
      <c r="BQ1" s="761"/>
      <c r="BR1" s="761"/>
      <c r="BS1" s="761"/>
      <c r="BT1" s="761"/>
      <c r="BU1" s="761"/>
      <c r="BV1" s="761"/>
      <c r="BW1" s="761"/>
      <c r="BX1" s="761"/>
      <c r="BY1" s="761"/>
      <c r="BZ1" s="761"/>
      <c r="CA1" s="761"/>
      <c r="CB1" s="761"/>
      <c r="CC1" s="761"/>
      <c r="CD1" s="761"/>
      <c r="CE1" s="761"/>
      <c r="CF1" s="761"/>
      <c r="CG1" s="761"/>
      <c r="CH1" s="761"/>
      <c r="CI1" s="761"/>
      <c r="CJ1" s="761"/>
      <c r="CK1" s="761"/>
      <c r="CL1" s="761"/>
      <c r="CM1" s="761"/>
      <c r="CN1" s="761"/>
      <c r="CO1" s="761"/>
      <c r="CP1" s="761"/>
      <c r="CQ1" s="761"/>
      <c r="CR1" s="761"/>
      <c r="CS1" s="761"/>
      <c r="CT1" s="761"/>
      <c r="CU1" s="761"/>
      <c r="CV1" s="761"/>
      <c r="CW1" s="761"/>
      <c r="CX1" s="761"/>
      <c r="CY1" s="761"/>
      <c r="CZ1" s="761"/>
      <c r="DA1" s="761"/>
      <c r="DB1" s="761"/>
      <c r="DC1" s="761"/>
      <c r="DD1" s="761"/>
      <c r="DE1" s="761"/>
      <c r="DF1" s="761"/>
      <c r="DG1" s="761"/>
      <c r="DH1" s="761"/>
      <c r="DI1" s="761"/>
      <c r="DJ1" s="761"/>
      <c r="DK1" s="761"/>
      <c r="DL1" s="761"/>
      <c r="DM1" s="761"/>
      <c r="DN1" s="761"/>
      <c r="DO1" s="761"/>
      <c r="DP1" s="761"/>
      <c r="DQ1" s="761"/>
      <c r="DR1" s="761"/>
      <c r="DS1" s="761"/>
      <c r="DT1" s="761"/>
      <c r="DU1" s="761"/>
      <c r="DV1" s="761"/>
      <c r="DW1" s="761"/>
      <c r="DX1" s="761"/>
      <c r="DY1" s="761"/>
      <c r="DZ1" s="761"/>
      <c r="EA1" s="761"/>
      <c r="EB1" s="761"/>
      <c r="EC1" s="761"/>
      <c r="ED1" s="761"/>
      <c r="EE1" s="761"/>
      <c r="EF1" s="761"/>
      <c r="EG1" s="761"/>
      <c r="EH1" s="761"/>
      <c r="EI1" s="761"/>
      <c r="EJ1" s="761"/>
      <c r="EK1" s="761"/>
      <c r="EL1" s="761"/>
      <c r="EM1" s="761"/>
      <c r="EN1" s="761"/>
      <c r="EO1" s="761"/>
      <c r="EP1" s="761"/>
      <c r="EQ1" s="761"/>
      <c r="ER1" s="761"/>
      <c r="ES1" s="761"/>
      <c r="ET1" s="761"/>
      <c r="EU1" s="761"/>
    </row>
    <row r="2" spans="1:222" ht="99.95" customHeight="1" x14ac:dyDescent="0.2">
      <c r="A2" s="49"/>
      <c r="B2" s="49"/>
      <c r="C2" s="4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46"/>
      <c r="AI2" s="46"/>
      <c r="AJ2" s="46"/>
      <c r="AK2" s="497" t="s">
        <v>235</v>
      </c>
      <c r="AL2" s="497"/>
      <c r="AM2" s="497"/>
      <c r="AN2" s="497"/>
      <c r="AO2" s="497"/>
      <c r="AP2" s="497"/>
      <c r="AQ2" s="497"/>
      <c r="AR2" s="497"/>
      <c r="AS2" s="497"/>
      <c r="AT2" s="497"/>
      <c r="AU2" s="497"/>
      <c r="AV2" s="497"/>
      <c r="AW2" s="497"/>
      <c r="AX2" s="497"/>
      <c r="AY2" s="497"/>
      <c r="AZ2" s="497"/>
      <c r="BA2" s="497"/>
      <c r="BB2" s="497"/>
      <c r="BC2" s="497"/>
      <c r="BD2" s="497"/>
      <c r="BE2" s="497"/>
      <c r="BF2" s="497"/>
      <c r="BG2" s="497"/>
      <c r="BH2" s="497"/>
      <c r="BI2" s="497"/>
      <c r="BJ2" s="497"/>
      <c r="BK2" s="497"/>
      <c r="BL2" s="497"/>
      <c r="BM2" s="497"/>
      <c r="BN2" s="497"/>
      <c r="BO2" s="497"/>
      <c r="BP2" s="497"/>
      <c r="BQ2" s="497"/>
      <c r="BR2" s="497"/>
      <c r="BS2" s="497"/>
      <c r="BT2" s="497"/>
      <c r="BU2" s="497"/>
      <c r="BV2" s="497"/>
      <c r="BW2" s="497"/>
      <c r="BX2" s="497"/>
      <c r="BY2" s="497"/>
      <c r="BZ2" s="497"/>
      <c r="CA2" s="497"/>
      <c r="CB2" s="497"/>
      <c r="CC2" s="497"/>
      <c r="CD2" s="497"/>
      <c r="CE2" s="497"/>
      <c r="CF2" s="497"/>
      <c r="CG2" s="497"/>
      <c r="CH2" s="497"/>
      <c r="CI2" s="497"/>
      <c r="CJ2" s="497"/>
      <c r="CK2" s="497"/>
      <c r="CL2" s="497"/>
      <c r="CM2" s="497"/>
      <c r="CN2" s="497"/>
      <c r="CO2" s="497"/>
      <c r="CP2" s="497"/>
      <c r="CQ2" s="497"/>
      <c r="CR2" s="497"/>
      <c r="CS2" s="497"/>
      <c r="CT2" s="497"/>
      <c r="CU2" s="497"/>
      <c r="CV2" s="497"/>
      <c r="CW2" s="497"/>
      <c r="CX2" s="46"/>
      <c r="CY2" s="46"/>
      <c r="CZ2" s="46"/>
      <c r="DA2" s="46"/>
      <c r="DM2" s="497" t="s">
        <v>160</v>
      </c>
      <c r="DN2" s="497"/>
      <c r="DO2" s="497"/>
      <c r="DP2" s="497"/>
      <c r="DQ2" s="497"/>
      <c r="DR2" s="497"/>
      <c r="DS2" s="497"/>
      <c r="DT2" s="497"/>
      <c r="DU2" s="497"/>
      <c r="DV2" s="497"/>
      <c r="DW2" s="497"/>
      <c r="DX2" s="497"/>
      <c r="DY2" s="497"/>
      <c r="DZ2" s="497"/>
      <c r="EA2" s="497"/>
      <c r="EB2" s="497"/>
      <c r="EC2" s="497"/>
      <c r="ED2" s="497"/>
      <c r="EE2" s="497"/>
      <c r="EF2" s="497"/>
      <c r="EG2" s="497"/>
      <c r="EH2" s="497"/>
      <c r="EI2" s="497"/>
      <c r="EJ2" s="497"/>
      <c r="EK2" s="497"/>
      <c r="EL2" s="497"/>
      <c r="EM2" s="497"/>
      <c r="EN2" s="497"/>
      <c r="EO2" s="497"/>
      <c r="EP2" s="497"/>
      <c r="EQ2" s="497"/>
      <c r="ER2" s="497"/>
      <c r="ES2" s="497"/>
      <c r="ET2" s="497"/>
      <c r="EU2" s="51"/>
    </row>
    <row r="3" spans="1:222" ht="99.95" customHeight="1" x14ac:dyDescent="0.2">
      <c r="A3" s="52"/>
      <c r="B3" s="52"/>
      <c r="C3" s="52"/>
      <c r="D3" s="280"/>
      <c r="E3" s="280"/>
      <c r="F3" s="280"/>
      <c r="G3" s="280"/>
      <c r="H3" s="280"/>
      <c r="I3" s="280"/>
      <c r="J3" s="280"/>
      <c r="K3" s="280"/>
      <c r="L3" s="280"/>
      <c r="M3" s="280"/>
      <c r="N3" s="280"/>
      <c r="O3" s="280"/>
      <c r="P3" s="280"/>
      <c r="Q3" s="280"/>
      <c r="R3" s="280"/>
      <c r="S3" s="280"/>
      <c r="T3" s="280"/>
      <c r="U3" s="280"/>
      <c r="V3" s="280"/>
      <c r="W3" s="280"/>
      <c r="X3" s="280"/>
      <c r="Y3" s="280"/>
      <c r="Z3" s="280"/>
      <c r="AA3" s="280"/>
      <c r="AB3" s="280"/>
      <c r="AC3" s="280"/>
      <c r="AD3" s="280"/>
      <c r="AE3" s="280"/>
      <c r="AF3" s="280"/>
      <c r="AG3" s="280"/>
      <c r="AH3" s="46"/>
      <c r="AI3" s="46"/>
      <c r="AJ3" s="46"/>
      <c r="AK3" s="271" t="s">
        <v>225</v>
      </c>
      <c r="AL3" s="271"/>
      <c r="AM3" s="271"/>
      <c r="AN3" s="271"/>
      <c r="AO3" s="271"/>
      <c r="AP3" s="271"/>
      <c r="AQ3" s="271"/>
      <c r="AR3" s="271"/>
      <c r="AS3" s="271"/>
      <c r="AT3" s="271"/>
      <c r="AU3" s="271"/>
      <c r="AV3" s="271"/>
      <c r="AW3" s="271"/>
      <c r="AX3" s="271"/>
      <c r="AY3" s="271"/>
      <c r="AZ3" s="271"/>
      <c r="BA3" s="271"/>
      <c r="BB3" s="271"/>
      <c r="BC3" s="271"/>
      <c r="BD3" s="271"/>
      <c r="BE3" s="271"/>
      <c r="BF3" s="271"/>
      <c r="BG3" s="271"/>
      <c r="BH3" s="271"/>
      <c r="BI3" s="271"/>
      <c r="BJ3" s="271"/>
      <c r="BK3" s="271"/>
      <c r="BL3" s="271"/>
      <c r="BM3" s="271"/>
      <c r="BN3" s="271"/>
      <c r="BO3" s="271"/>
      <c r="BP3" s="271"/>
      <c r="BQ3" s="271"/>
      <c r="BR3" s="271"/>
      <c r="BS3" s="271"/>
      <c r="BT3" s="271"/>
      <c r="BU3" s="271"/>
      <c r="BV3" s="271"/>
      <c r="BW3" s="271"/>
      <c r="BX3" s="271"/>
      <c r="BY3" s="271"/>
      <c r="BZ3" s="271"/>
      <c r="CA3" s="271"/>
      <c r="CB3" s="271"/>
      <c r="CC3" s="271"/>
      <c r="CD3" s="271"/>
      <c r="CE3" s="271"/>
      <c r="CF3" s="271"/>
      <c r="CG3" s="271"/>
      <c r="CH3" s="271"/>
      <c r="CI3" s="271"/>
      <c r="CJ3" s="271"/>
      <c r="CK3" s="271"/>
      <c r="CL3" s="271"/>
      <c r="CM3" s="271"/>
      <c r="CN3" s="271"/>
      <c r="CO3" s="271"/>
      <c r="CP3" s="271"/>
      <c r="CQ3" s="271"/>
      <c r="CR3" s="271"/>
      <c r="CS3" s="271"/>
      <c r="CT3" s="271"/>
      <c r="CU3" s="271"/>
      <c r="CV3" s="271"/>
      <c r="CW3" s="271"/>
      <c r="CX3" s="46"/>
      <c r="CY3" s="46"/>
      <c r="CZ3" s="46"/>
      <c r="DA3" s="46"/>
      <c r="DM3" s="271" t="s">
        <v>206</v>
      </c>
      <c r="DN3" s="271"/>
      <c r="DO3" s="271"/>
      <c r="DP3" s="271"/>
      <c r="DQ3" s="271"/>
      <c r="DR3" s="271"/>
      <c r="DS3" s="271"/>
      <c r="DT3" s="271"/>
      <c r="DU3" s="271"/>
      <c r="DV3" s="271"/>
      <c r="DW3" s="271"/>
      <c r="DX3" s="271"/>
      <c r="DY3" s="271"/>
      <c r="DZ3" s="271"/>
      <c r="EA3" s="271"/>
      <c r="EB3" s="271"/>
      <c r="EC3" s="271"/>
      <c r="ED3" s="271"/>
      <c r="EE3" s="271"/>
      <c r="EF3" s="271"/>
      <c r="EG3" s="271"/>
      <c r="EH3" s="271"/>
      <c r="EI3" s="271"/>
      <c r="EJ3" s="271"/>
      <c r="EK3" s="271"/>
      <c r="EL3" s="271"/>
      <c r="EM3" s="271"/>
      <c r="EN3" s="271"/>
      <c r="EO3" s="271"/>
      <c r="EP3" s="271"/>
      <c r="EQ3" s="271"/>
      <c r="ER3" s="271"/>
      <c r="ES3" s="271"/>
      <c r="ET3" s="271"/>
      <c r="EU3" s="51"/>
    </row>
    <row r="4" spans="1:222" ht="99.95" customHeight="1" x14ac:dyDescent="0.2">
      <c r="A4" s="48"/>
      <c r="B4" s="48"/>
      <c r="C4" s="48"/>
      <c r="D4" s="281"/>
      <c r="E4" s="281"/>
      <c r="F4" s="281"/>
      <c r="G4" s="281"/>
      <c r="H4" s="281"/>
      <c r="I4" s="281"/>
      <c r="J4" s="281"/>
      <c r="K4" s="281"/>
      <c r="L4" s="281"/>
      <c r="M4" s="281"/>
      <c r="N4" s="281"/>
      <c r="O4" s="281"/>
      <c r="P4" s="281"/>
      <c r="Q4" s="281"/>
      <c r="R4" s="281"/>
      <c r="S4" s="281"/>
      <c r="T4" s="281"/>
      <c r="U4" s="281"/>
      <c r="V4" s="281"/>
      <c r="W4" s="281"/>
      <c r="X4" s="281"/>
      <c r="Y4" s="281"/>
      <c r="Z4" s="281"/>
      <c r="AA4" s="281"/>
      <c r="AB4" s="281"/>
      <c r="AC4" s="281"/>
      <c r="AD4" s="281"/>
      <c r="AE4" s="281"/>
      <c r="AF4" s="281"/>
      <c r="AG4" s="281"/>
      <c r="AH4" s="53"/>
      <c r="AI4" s="53"/>
      <c r="AJ4" s="53"/>
      <c r="AK4" s="272" t="s">
        <v>224</v>
      </c>
      <c r="AL4" s="272"/>
      <c r="AM4" s="272"/>
      <c r="AN4" s="272"/>
      <c r="AO4" s="272"/>
      <c r="AP4" s="272"/>
      <c r="AQ4" s="272"/>
      <c r="AR4" s="272"/>
      <c r="AS4" s="272"/>
      <c r="AT4" s="272"/>
      <c r="AU4" s="272"/>
      <c r="AV4" s="272"/>
      <c r="AW4" s="272"/>
      <c r="AX4" s="272"/>
      <c r="AY4" s="272"/>
      <c r="AZ4" s="272"/>
      <c r="BA4" s="272"/>
      <c r="BB4" s="272"/>
      <c r="BC4" s="272"/>
      <c r="BD4" s="272"/>
      <c r="BE4" s="272"/>
      <c r="BF4" s="272"/>
      <c r="BG4" s="272"/>
      <c r="BH4" s="272"/>
      <c r="BI4" s="272"/>
      <c r="BJ4" s="272"/>
      <c r="BK4" s="272"/>
      <c r="BL4" s="272"/>
      <c r="BM4" s="272"/>
      <c r="BN4" s="272"/>
      <c r="BO4" s="272"/>
      <c r="BP4" s="272"/>
      <c r="BQ4" s="272"/>
      <c r="BR4" s="272"/>
      <c r="BS4" s="272"/>
      <c r="BT4" s="272"/>
      <c r="BU4" s="272"/>
      <c r="BV4" s="272"/>
      <c r="BW4" s="272"/>
      <c r="BX4" s="272"/>
      <c r="BY4" s="272"/>
      <c r="BZ4" s="272"/>
      <c r="CA4" s="272"/>
      <c r="CB4" s="272"/>
      <c r="CC4" s="272"/>
      <c r="CD4" s="272"/>
      <c r="CE4" s="272"/>
      <c r="CF4" s="272"/>
      <c r="CG4" s="272"/>
      <c r="CH4" s="272"/>
      <c r="CI4" s="272"/>
      <c r="CJ4" s="272"/>
      <c r="CK4" s="272"/>
      <c r="CL4" s="272"/>
      <c r="CM4" s="272"/>
      <c r="CN4" s="272"/>
      <c r="CO4" s="272"/>
      <c r="CP4" s="272"/>
      <c r="CQ4" s="272"/>
      <c r="CR4" s="272"/>
      <c r="CS4" s="272"/>
      <c r="CT4" s="272"/>
      <c r="CU4" s="272"/>
      <c r="CV4" s="272"/>
      <c r="CW4" s="272"/>
      <c r="CX4" s="53"/>
      <c r="CY4" s="53"/>
      <c r="CZ4" s="53"/>
      <c r="DA4" s="53"/>
      <c r="DM4" s="272" t="s">
        <v>209</v>
      </c>
      <c r="DN4" s="272"/>
      <c r="DO4" s="272"/>
      <c r="DP4" s="272"/>
      <c r="DQ4" s="272"/>
      <c r="DR4" s="272"/>
      <c r="DS4" s="272"/>
      <c r="DT4" s="272"/>
      <c r="DU4" s="272"/>
      <c r="DV4" s="272"/>
      <c r="DW4" s="272"/>
      <c r="DX4" s="272"/>
      <c r="DY4" s="272"/>
      <c r="DZ4" s="272"/>
      <c r="EA4" s="272"/>
      <c r="EB4" s="272"/>
      <c r="EC4" s="272"/>
      <c r="ED4" s="272"/>
      <c r="EE4" s="272"/>
      <c r="EF4" s="272"/>
      <c r="EG4" s="272"/>
      <c r="EH4" s="272"/>
      <c r="EI4" s="272"/>
      <c r="EJ4" s="272"/>
      <c r="EK4" s="272"/>
      <c r="EL4" s="272"/>
      <c r="EM4" s="272"/>
      <c r="EN4" s="272"/>
      <c r="EO4" s="272"/>
      <c r="EP4" s="272"/>
      <c r="EQ4" s="272"/>
      <c r="ER4" s="272"/>
      <c r="ES4" s="272"/>
      <c r="ET4" s="272"/>
      <c r="EU4" s="51"/>
    </row>
    <row r="5" spans="1:222" ht="99.95" customHeight="1" x14ac:dyDescent="1.25">
      <c r="A5" s="12"/>
      <c r="B5" s="12"/>
      <c r="C5" s="12"/>
      <c r="D5" s="281"/>
      <c r="E5" s="281"/>
      <c r="F5" s="281"/>
      <c r="G5" s="281"/>
      <c r="H5" s="281"/>
      <c r="I5" s="281"/>
      <c r="J5" s="281"/>
      <c r="K5" s="281"/>
      <c r="L5" s="281"/>
      <c r="M5" s="281"/>
      <c r="N5" s="281"/>
      <c r="O5" s="281"/>
      <c r="P5" s="281"/>
      <c r="Q5" s="281"/>
      <c r="R5" s="281"/>
      <c r="S5" s="281"/>
      <c r="T5" s="281"/>
      <c r="U5" s="281"/>
      <c r="V5" s="281"/>
      <c r="W5" s="281"/>
      <c r="X5" s="281"/>
      <c r="Y5" s="281"/>
      <c r="Z5" s="281"/>
      <c r="AA5" s="281"/>
      <c r="AB5" s="281"/>
      <c r="AC5" s="281"/>
      <c r="AD5" s="281"/>
      <c r="AE5" s="281"/>
      <c r="AF5" s="281"/>
      <c r="AG5" s="281"/>
      <c r="AH5" s="53"/>
      <c r="AI5" s="53"/>
      <c r="AJ5" s="53"/>
      <c r="AK5" s="272" t="s">
        <v>11</v>
      </c>
      <c r="AL5" s="272"/>
      <c r="AM5" s="272"/>
      <c r="AN5" s="272"/>
      <c r="AO5" s="272"/>
      <c r="AP5" s="272"/>
      <c r="AQ5" s="272"/>
      <c r="AR5" s="272"/>
      <c r="AS5" s="272"/>
      <c r="AT5" s="272"/>
      <c r="AU5" s="272"/>
      <c r="AV5" s="272"/>
      <c r="AW5" s="272"/>
      <c r="AX5" s="272"/>
      <c r="AY5" s="272"/>
      <c r="AZ5" s="272"/>
      <c r="BA5" s="272"/>
      <c r="BB5" s="272"/>
      <c r="BC5" s="272"/>
      <c r="BD5" s="272"/>
      <c r="BE5" s="272"/>
      <c r="BF5" s="272"/>
      <c r="BG5" s="272"/>
      <c r="BH5" s="272"/>
      <c r="BI5" s="272"/>
      <c r="BJ5" s="272"/>
      <c r="BK5" s="272"/>
      <c r="BL5" s="272"/>
      <c r="BM5" s="272"/>
      <c r="BN5" s="272"/>
      <c r="BO5" s="272"/>
      <c r="BP5" s="272"/>
      <c r="BQ5" s="272"/>
      <c r="BR5" s="272"/>
      <c r="BS5" s="272"/>
      <c r="BT5" s="272"/>
      <c r="BU5" s="272"/>
      <c r="BV5" s="272"/>
      <c r="BW5" s="272"/>
      <c r="BX5" s="272"/>
      <c r="BY5" s="272"/>
      <c r="BZ5" s="272"/>
      <c r="CA5" s="272"/>
      <c r="CB5" s="272"/>
      <c r="CC5" s="272"/>
      <c r="CD5" s="272"/>
      <c r="CE5" s="272"/>
      <c r="CF5" s="272"/>
      <c r="CG5" s="272"/>
      <c r="CH5" s="272"/>
      <c r="CI5" s="272"/>
      <c r="CJ5" s="272"/>
      <c r="CK5" s="272"/>
      <c r="CL5" s="272"/>
      <c r="CM5" s="272"/>
      <c r="CN5" s="272"/>
      <c r="CO5" s="272"/>
      <c r="CP5" s="272"/>
      <c r="CQ5" s="272"/>
      <c r="CR5" s="272"/>
      <c r="CS5" s="272"/>
      <c r="CT5" s="272"/>
      <c r="CU5" s="272"/>
      <c r="CV5" s="272"/>
      <c r="CW5" s="272"/>
      <c r="CX5" s="53"/>
      <c r="CY5" s="53"/>
      <c r="CZ5" s="53"/>
      <c r="DA5" s="53"/>
      <c r="DM5" s="272" t="s">
        <v>161</v>
      </c>
      <c r="DN5" s="272"/>
      <c r="DO5" s="272"/>
      <c r="DP5" s="272"/>
      <c r="DQ5" s="272"/>
      <c r="DR5" s="272"/>
      <c r="DS5" s="272"/>
      <c r="DT5" s="272"/>
      <c r="DU5" s="272"/>
      <c r="DV5" s="272"/>
      <c r="DW5" s="272"/>
      <c r="DX5" s="272"/>
      <c r="DY5" s="272"/>
      <c r="DZ5" s="272"/>
      <c r="EA5" s="272"/>
      <c r="EB5" s="272"/>
      <c r="EC5" s="272"/>
      <c r="ED5" s="272"/>
      <c r="EE5" s="272"/>
      <c r="EF5" s="272"/>
      <c r="EG5" s="272"/>
      <c r="EH5" s="272"/>
      <c r="EI5" s="272"/>
      <c r="EJ5" s="272"/>
      <c r="EK5" s="272"/>
      <c r="EL5" s="272"/>
      <c r="EM5" s="272"/>
      <c r="EN5" s="272"/>
      <c r="EO5" s="272"/>
      <c r="EP5" s="272"/>
      <c r="EQ5" s="272"/>
      <c r="ER5" s="272"/>
      <c r="ES5" s="272"/>
      <c r="ET5" s="272"/>
      <c r="EU5" s="56"/>
    </row>
    <row r="6" spans="1:222" ht="80.25" customHeight="1" x14ac:dyDescent="1.25">
      <c r="A6" s="12"/>
      <c r="B6" s="12"/>
      <c r="C6" s="12"/>
      <c r="D6" s="281"/>
      <c r="E6" s="281"/>
      <c r="F6" s="281"/>
      <c r="G6" s="281"/>
      <c r="H6" s="281"/>
      <c r="I6" s="281"/>
      <c r="J6" s="281"/>
      <c r="K6" s="281"/>
      <c r="L6" s="281"/>
      <c r="M6" s="281"/>
      <c r="N6" s="281"/>
      <c r="O6" s="281"/>
      <c r="P6" s="281"/>
      <c r="Q6" s="281"/>
      <c r="R6" s="281"/>
      <c r="S6" s="281"/>
      <c r="T6" s="281"/>
      <c r="U6" s="281"/>
      <c r="V6" s="281"/>
      <c r="W6" s="281"/>
      <c r="X6" s="281"/>
      <c r="Y6" s="281"/>
      <c r="Z6" s="281"/>
      <c r="AA6" s="281"/>
      <c r="AB6" s="281"/>
      <c r="AC6" s="281"/>
      <c r="AD6" s="281"/>
      <c r="AE6" s="281"/>
      <c r="AF6" s="281"/>
      <c r="AG6" s="281"/>
      <c r="AH6" s="53"/>
      <c r="AI6" s="53"/>
      <c r="AJ6" s="53"/>
      <c r="AK6" s="272" t="s">
        <v>236</v>
      </c>
      <c r="AL6" s="272"/>
      <c r="AM6" s="272"/>
      <c r="AN6" s="272"/>
      <c r="AO6" s="272"/>
      <c r="AP6" s="272"/>
      <c r="AQ6" s="272"/>
      <c r="AR6" s="272"/>
      <c r="AS6" s="272"/>
      <c r="AT6" s="272"/>
      <c r="AU6" s="272"/>
      <c r="AV6" s="272"/>
      <c r="AW6" s="272"/>
      <c r="AX6" s="272"/>
      <c r="AY6" s="272"/>
      <c r="AZ6" s="272"/>
      <c r="BA6" s="272"/>
      <c r="BB6" s="272"/>
      <c r="BC6" s="272"/>
      <c r="BD6" s="272"/>
      <c r="BE6" s="272"/>
      <c r="BF6" s="272"/>
      <c r="BG6" s="272"/>
      <c r="BH6" s="272"/>
      <c r="BI6" s="272"/>
      <c r="BJ6" s="272"/>
      <c r="BK6" s="272"/>
      <c r="BL6" s="272"/>
      <c r="BM6" s="272"/>
      <c r="BN6" s="272"/>
      <c r="BO6" s="272"/>
      <c r="BP6" s="272"/>
      <c r="BQ6" s="272"/>
      <c r="BR6" s="272"/>
      <c r="BS6" s="272"/>
      <c r="BT6" s="272"/>
      <c r="BU6" s="272"/>
      <c r="BV6" s="272"/>
      <c r="BW6" s="272"/>
      <c r="BX6" s="272"/>
      <c r="BY6" s="272"/>
      <c r="BZ6" s="272"/>
      <c r="CA6" s="272"/>
      <c r="CB6" s="272"/>
      <c r="CC6" s="272"/>
      <c r="CD6" s="272"/>
      <c r="CE6" s="272"/>
      <c r="CF6" s="272"/>
      <c r="CG6" s="272"/>
      <c r="CH6" s="272"/>
      <c r="CI6" s="272"/>
      <c r="CJ6" s="272"/>
      <c r="CK6" s="272"/>
      <c r="CL6" s="272"/>
      <c r="CM6" s="272"/>
      <c r="CN6" s="272"/>
      <c r="CO6" s="272"/>
      <c r="CP6" s="272"/>
      <c r="CQ6" s="272"/>
      <c r="CR6" s="272"/>
      <c r="CS6" s="272"/>
      <c r="CT6" s="272"/>
      <c r="CU6" s="272"/>
      <c r="CV6" s="272"/>
      <c r="CW6" s="272"/>
      <c r="CX6" s="53"/>
      <c r="CY6" s="53"/>
      <c r="CZ6" s="53"/>
      <c r="DA6" s="53"/>
      <c r="EI6" s="54"/>
      <c r="EJ6" s="54"/>
      <c r="EK6" s="54"/>
      <c r="EL6" s="54"/>
      <c r="EM6" s="54"/>
      <c r="EN6" s="54"/>
      <c r="EO6" s="55"/>
      <c r="EP6" s="55"/>
      <c r="EQ6" s="55"/>
      <c r="ER6" s="56"/>
      <c r="ES6" s="56"/>
      <c r="ET6" s="56"/>
      <c r="EU6" s="56"/>
    </row>
    <row r="7" spans="1:222" ht="82.5" customHeight="1" x14ac:dyDescent="1.25">
      <c r="A7" s="12"/>
      <c r="B7" s="12"/>
      <c r="C7" s="12"/>
      <c r="D7" s="12"/>
      <c r="E7" s="12"/>
      <c r="F7" s="12"/>
      <c r="G7" s="12"/>
      <c r="H7" s="12"/>
      <c r="I7" s="12"/>
      <c r="J7" s="12"/>
      <c r="K7" s="12"/>
      <c r="L7" s="12"/>
      <c r="M7" s="12"/>
      <c r="N7" s="12"/>
      <c r="O7" s="12"/>
      <c r="P7" s="12"/>
      <c r="Q7" s="12"/>
      <c r="R7" s="12"/>
      <c r="S7" s="12"/>
      <c r="T7" s="12"/>
      <c r="U7" s="12"/>
      <c r="V7" s="12"/>
      <c r="W7" s="12"/>
      <c r="X7" s="12"/>
      <c r="Y7" s="12"/>
      <c r="Z7" s="57"/>
      <c r="AA7" s="53"/>
      <c r="AB7" s="53"/>
      <c r="AC7" s="53"/>
      <c r="AD7" s="53"/>
      <c r="AE7" s="53"/>
      <c r="AF7" s="53"/>
      <c r="AG7" s="53"/>
      <c r="AH7" s="53"/>
      <c r="AI7" s="53"/>
      <c r="AJ7" s="53"/>
      <c r="AK7" s="272" t="s">
        <v>237</v>
      </c>
      <c r="AL7" s="272"/>
      <c r="AM7" s="272"/>
      <c r="AN7" s="272"/>
      <c r="AO7" s="272"/>
      <c r="AP7" s="272"/>
      <c r="AQ7" s="272"/>
      <c r="AR7" s="272"/>
      <c r="AS7" s="272"/>
      <c r="AT7" s="272"/>
      <c r="AU7" s="272"/>
      <c r="AV7" s="272"/>
      <c r="AW7" s="272"/>
      <c r="AX7" s="272"/>
      <c r="AY7" s="272"/>
      <c r="AZ7" s="272"/>
      <c r="BA7" s="272"/>
      <c r="BB7" s="272"/>
      <c r="BC7" s="272"/>
      <c r="BD7" s="272"/>
      <c r="BE7" s="272"/>
      <c r="BF7" s="272"/>
      <c r="BG7" s="272"/>
      <c r="BH7" s="272"/>
      <c r="BI7" s="272"/>
      <c r="BJ7" s="272"/>
      <c r="BK7" s="272"/>
      <c r="BL7" s="272"/>
      <c r="BM7" s="272"/>
      <c r="BN7" s="272"/>
      <c r="BO7" s="272"/>
      <c r="BP7" s="272"/>
      <c r="BQ7" s="272"/>
      <c r="BR7" s="272"/>
      <c r="BS7" s="272"/>
      <c r="BT7" s="272"/>
      <c r="BU7" s="272"/>
      <c r="BV7" s="272"/>
      <c r="BW7" s="272"/>
      <c r="BX7" s="272"/>
      <c r="BY7" s="272"/>
      <c r="BZ7" s="272"/>
      <c r="CA7" s="272"/>
      <c r="CB7" s="272"/>
      <c r="CC7" s="272"/>
      <c r="CD7" s="272"/>
      <c r="CE7" s="272"/>
      <c r="CF7" s="272"/>
      <c r="CG7" s="272"/>
      <c r="CH7" s="272"/>
      <c r="CI7" s="272"/>
      <c r="CJ7" s="272"/>
      <c r="CK7" s="272"/>
      <c r="CL7" s="272"/>
      <c r="CM7" s="272"/>
      <c r="CN7" s="272"/>
      <c r="CO7" s="272"/>
      <c r="CP7" s="272"/>
      <c r="CQ7" s="272"/>
      <c r="CR7" s="272"/>
      <c r="CS7" s="272"/>
      <c r="CT7" s="272"/>
      <c r="CU7" s="272"/>
      <c r="CV7" s="272"/>
      <c r="CW7" s="272"/>
      <c r="CX7" s="53"/>
      <c r="CY7" s="53"/>
      <c r="CZ7" s="53"/>
      <c r="DA7" s="53"/>
      <c r="DB7" s="58"/>
      <c r="DC7" s="58"/>
      <c r="DD7" s="58"/>
      <c r="DE7" s="58"/>
      <c r="DF7" s="58"/>
      <c r="DG7" s="58"/>
      <c r="DH7" s="58"/>
      <c r="DI7" s="58"/>
      <c r="DJ7" s="58"/>
      <c r="DK7" s="58"/>
      <c r="DL7" s="58"/>
      <c r="DM7" s="58"/>
      <c r="DN7" s="58"/>
      <c r="DO7" s="58"/>
      <c r="DP7" s="59"/>
      <c r="DQ7" s="59"/>
      <c r="DR7" s="59"/>
      <c r="DS7" s="59"/>
      <c r="DT7" s="59"/>
      <c r="DU7" s="59"/>
      <c r="DV7" s="59"/>
      <c r="DW7" s="59"/>
      <c r="DX7" s="59"/>
      <c r="DY7" s="60"/>
      <c r="DZ7" s="60"/>
      <c r="EA7" s="60"/>
      <c r="EB7" s="60"/>
      <c r="EC7" s="60"/>
      <c r="ED7" s="60"/>
      <c r="EE7" s="60"/>
      <c r="EF7" s="60"/>
      <c r="EG7" s="61"/>
      <c r="EH7" s="61"/>
      <c r="EI7" s="54"/>
      <c r="EJ7" s="54"/>
      <c r="EK7" s="54"/>
      <c r="EL7" s="54"/>
      <c r="EM7" s="54"/>
      <c r="EN7" s="54"/>
      <c r="EO7" s="55"/>
      <c r="EP7" s="55"/>
      <c r="EQ7" s="55"/>
      <c r="ER7" s="56"/>
      <c r="ES7" s="56"/>
      <c r="ET7" s="56"/>
      <c r="EU7" s="56"/>
    </row>
    <row r="8" spans="1:222" ht="75" customHeight="1" x14ac:dyDescent="0.2">
      <c r="A8" s="625" t="s">
        <v>222</v>
      </c>
      <c r="B8" s="625"/>
      <c r="C8" s="625"/>
      <c r="D8" s="625"/>
      <c r="E8" s="625"/>
      <c r="F8" s="625"/>
      <c r="G8" s="625"/>
      <c r="H8" s="625"/>
      <c r="I8" s="625"/>
      <c r="J8" s="625"/>
      <c r="K8" s="625"/>
      <c r="L8" s="625"/>
      <c r="M8" s="625"/>
      <c r="N8" s="625"/>
      <c r="O8" s="625"/>
      <c r="P8" s="625"/>
      <c r="Q8" s="625"/>
      <c r="R8" s="625"/>
      <c r="S8" s="625"/>
      <c r="T8" s="625"/>
      <c r="U8" s="625"/>
      <c r="V8" s="625"/>
      <c r="W8" s="625"/>
      <c r="X8" s="625"/>
      <c r="Y8" s="625"/>
      <c r="Z8" s="625"/>
      <c r="AA8" s="625"/>
      <c r="AB8" s="625"/>
      <c r="AC8" s="625"/>
      <c r="AD8" s="625"/>
      <c r="AE8" s="625"/>
      <c r="AF8" s="625"/>
      <c r="AG8" s="625"/>
      <c r="AH8" s="625"/>
      <c r="AI8" s="625"/>
      <c r="AJ8" s="625"/>
      <c r="AK8" s="625"/>
      <c r="AL8" s="625"/>
      <c r="AM8" s="625"/>
      <c r="AN8" s="625"/>
      <c r="AO8" s="625"/>
      <c r="AP8" s="625"/>
      <c r="AQ8" s="625"/>
      <c r="AR8" s="625"/>
      <c r="AS8" s="625"/>
      <c r="AT8" s="625"/>
      <c r="AU8" s="625"/>
      <c r="AV8" s="625"/>
      <c r="AW8" s="625"/>
      <c r="AX8" s="625"/>
      <c r="AY8" s="625"/>
      <c r="AZ8" s="625"/>
      <c r="BA8" s="625"/>
      <c r="BB8" s="625"/>
      <c r="BC8" s="625"/>
      <c r="BD8" s="625"/>
      <c r="BE8" s="625"/>
      <c r="BF8" s="625"/>
      <c r="BG8" s="625"/>
      <c r="BH8" s="625"/>
      <c r="BI8" s="625"/>
      <c r="BJ8" s="625"/>
      <c r="BK8" s="625"/>
      <c r="BL8" s="625"/>
      <c r="BM8" s="625"/>
      <c r="BN8" s="625"/>
      <c r="BO8" s="625"/>
      <c r="BP8" s="625"/>
      <c r="BQ8" s="625"/>
      <c r="BR8" s="625"/>
      <c r="BS8" s="625"/>
      <c r="BT8" s="625"/>
      <c r="BU8" s="625"/>
      <c r="BV8" s="625"/>
      <c r="BW8" s="625"/>
      <c r="BX8" s="625"/>
      <c r="BY8" s="625"/>
      <c r="BZ8" s="625"/>
      <c r="CA8" s="625"/>
      <c r="CB8" s="625"/>
      <c r="CC8" s="625"/>
      <c r="CD8" s="625"/>
      <c r="CE8" s="625"/>
      <c r="CF8" s="625"/>
      <c r="CG8" s="625"/>
      <c r="CH8" s="625"/>
      <c r="CI8" s="625"/>
      <c r="CJ8" s="625"/>
      <c r="CK8" s="625"/>
      <c r="CL8" s="625"/>
      <c r="CM8" s="625"/>
      <c r="CN8" s="625"/>
      <c r="CO8" s="625"/>
      <c r="CP8" s="625"/>
      <c r="CQ8" s="625"/>
      <c r="CR8" s="625"/>
      <c r="CS8" s="625"/>
      <c r="CT8" s="625"/>
      <c r="CU8" s="625"/>
      <c r="CV8" s="625"/>
      <c r="CW8" s="625"/>
      <c r="CX8" s="625"/>
      <c r="CY8" s="625"/>
      <c r="CZ8" s="625"/>
      <c r="DA8" s="625"/>
      <c r="DB8" s="625"/>
      <c r="DC8" s="625"/>
      <c r="DD8" s="625"/>
      <c r="DE8" s="625"/>
      <c r="DF8" s="625"/>
      <c r="DG8" s="625"/>
      <c r="DH8" s="625"/>
      <c r="DI8" s="625"/>
      <c r="DJ8" s="625"/>
      <c r="DK8" s="625"/>
      <c r="DL8" s="625"/>
      <c r="DM8" s="625"/>
      <c r="DN8" s="625"/>
      <c r="DO8" s="625"/>
      <c r="DP8" s="625"/>
      <c r="DQ8" s="625"/>
      <c r="DR8" s="625"/>
      <c r="DS8" s="625"/>
      <c r="DT8" s="625"/>
      <c r="DU8" s="625"/>
      <c r="DV8" s="625"/>
      <c r="DW8" s="625"/>
      <c r="DX8" s="625"/>
      <c r="DY8" s="625"/>
      <c r="DZ8" s="625"/>
      <c r="EA8" s="625"/>
      <c r="EB8" s="625"/>
      <c r="EC8" s="625"/>
      <c r="ED8" s="625"/>
      <c r="EE8" s="625"/>
      <c r="EF8" s="625"/>
      <c r="EG8" s="625"/>
      <c r="EH8" s="625"/>
      <c r="EI8" s="625"/>
      <c r="EJ8" s="625"/>
      <c r="EK8" s="625"/>
      <c r="EL8" s="625"/>
      <c r="EM8" s="625"/>
      <c r="EN8" s="625"/>
      <c r="EO8" s="625"/>
      <c r="EP8" s="625"/>
      <c r="EQ8" s="625"/>
      <c r="ER8" s="625"/>
      <c r="ES8" s="625"/>
      <c r="ET8" s="625"/>
      <c r="EU8" s="625"/>
    </row>
    <row r="9" spans="1:222" ht="42" customHeight="1" x14ac:dyDescent="0.4">
      <c r="A9" s="13"/>
      <c r="B9" s="13"/>
      <c r="C9" s="14"/>
      <c r="D9" s="156"/>
      <c r="E9" s="156"/>
      <c r="F9" s="156"/>
      <c r="G9" s="156"/>
      <c r="H9" s="154"/>
      <c r="I9" s="154"/>
      <c r="J9" s="154"/>
      <c r="K9" s="154"/>
      <c r="L9" s="154"/>
      <c r="M9" s="154"/>
      <c r="N9" s="154"/>
      <c r="O9" s="154"/>
      <c r="P9" s="154"/>
      <c r="Q9" s="154"/>
      <c r="R9" s="154"/>
      <c r="S9" s="154"/>
      <c r="T9" s="154"/>
      <c r="U9" s="154"/>
      <c r="V9" s="154"/>
      <c r="W9" s="154"/>
      <c r="X9" s="154"/>
      <c r="Y9" s="154"/>
      <c r="Z9" s="154"/>
      <c r="AA9" s="154"/>
      <c r="AB9" s="154"/>
      <c r="AC9" s="154"/>
      <c r="AD9" s="154"/>
      <c r="AE9" s="154"/>
      <c r="AF9" s="154"/>
      <c r="AG9" s="154"/>
      <c r="AH9" s="154"/>
      <c r="AI9" s="154"/>
      <c r="AJ9" s="154"/>
      <c r="AK9" s="154"/>
      <c r="AL9" s="154"/>
      <c r="AM9" s="154"/>
      <c r="AN9" s="154"/>
      <c r="AO9" s="154"/>
      <c r="AP9" s="154"/>
      <c r="AQ9" s="154"/>
      <c r="AR9" s="154"/>
      <c r="AS9" s="154"/>
      <c r="AT9" s="154"/>
      <c r="AU9" s="154"/>
      <c r="AV9" s="154"/>
      <c r="AW9" s="154"/>
      <c r="AX9" s="154"/>
      <c r="AY9" s="154"/>
      <c r="AZ9" s="154"/>
      <c r="BA9" s="154"/>
      <c r="BB9" s="154"/>
      <c r="BC9" s="154"/>
      <c r="BD9" s="154"/>
      <c r="BE9" s="154"/>
      <c r="BF9" s="154"/>
      <c r="BG9" s="154"/>
      <c r="BH9" s="154"/>
      <c r="BI9" s="154"/>
      <c r="BJ9" s="154"/>
      <c r="BK9" s="154"/>
      <c r="BL9" s="154"/>
      <c r="BM9" s="154"/>
      <c r="BN9" s="154"/>
      <c r="BO9" s="154"/>
      <c r="BP9" s="154"/>
      <c r="BQ9" s="154"/>
      <c r="BR9" s="154"/>
      <c r="BS9" s="154"/>
      <c r="BT9" s="154"/>
      <c r="BU9" s="154"/>
      <c r="BV9" s="154"/>
      <c r="BW9" s="154"/>
      <c r="BX9" s="154"/>
      <c r="BY9" s="154"/>
      <c r="BZ9" s="154"/>
      <c r="CA9" s="154"/>
      <c r="CB9" s="154"/>
      <c r="CC9" s="154"/>
      <c r="CD9" s="154"/>
      <c r="CE9" s="154"/>
      <c r="CF9" s="154"/>
      <c r="CG9" s="154"/>
      <c r="CH9" s="154"/>
      <c r="CI9" s="154"/>
      <c r="CJ9" s="154"/>
      <c r="CK9" s="154"/>
      <c r="CL9" s="154"/>
      <c r="CM9" s="154"/>
      <c r="CN9" s="154"/>
      <c r="CO9" s="154"/>
      <c r="CP9" s="154"/>
      <c r="CQ9" s="154"/>
      <c r="CR9" s="154"/>
      <c r="CS9" s="154"/>
      <c r="CT9" s="154"/>
      <c r="CU9" s="154"/>
      <c r="CV9" s="154"/>
      <c r="CW9" s="154"/>
      <c r="CX9" s="154"/>
      <c r="CY9" s="154"/>
      <c r="CZ9" s="154"/>
      <c r="DA9" s="154"/>
      <c r="DB9" s="154"/>
      <c r="DC9" s="154"/>
      <c r="DD9" s="154"/>
      <c r="DE9" s="154"/>
      <c r="DF9" s="154"/>
      <c r="DG9" s="154"/>
      <c r="DH9" s="154"/>
      <c r="DI9" s="154"/>
      <c r="DJ9" s="154"/>
      <c r="DK9" s="154"/>
      <c r="DL9" s="158"/>
      <c r="DM9" s="158"/>
      <c r="DN9" s="158"/>
      <c r="DO9" s="158"/>
      <c r="DP9" s="158"/>
      <c r="DQ9" s="158"/>
      <c r="DR9" s="158"/>
      <c r="DS9" s="158"/>
      <c r="DT9" s="158"/>
      <c r="DU9" s="158"/>
      <c r="DV9" s="158"/>
      <c r="DW9" s="158"/>
      <c r="DX9" s="158"/>
      <c r="DY9" s="158"/>
      <c r="DZ9" s="158"/>
      <c r="EA9" s="158"/>
      <c r="EB9" s="158"/>
      <c r="EC9" s="158"/>
      <c r="ED9" s="158"/>
      <c r="EE9" s="131"/>
      <c r="EF9" s="131"/>
      <c r="EG9" s="131"/>
      <c r="EH9" s="131"/>
      <c r="EI9" s="131"/>
      <c r="EJ9" s="131"/>
      <c r="EK9" s="15"/>
      <c r="EL9" s="15"/>
      <c r="EM9" s="15"/>
      <c r="EN9" s="15"/>
      <c r="EO9" s="16"/>
      <c r="EP9" s="16"/>
      <c r="EQ9" s="16"/>
      <c r="ER9" s="8"/>
      <c r="ES9" s="8"/>
      <c r="ET9" s="8"/>
      <c r="EU9" s="8"/>
      <c r="EW9" s="464" t="s">
        <v>21</v>
      </c>
      <c r="EX9" s="464"/>
      <c r="EY9" s="259" t="s">
        <v>213</v>
      </c>
      <c r="EZ9" s="259"/>
      <c r="FA9" s="259"/>
      <c r="FB9" s="259"/>
      <c r="FC9" s="259"/>
      <c r="FD9" s="259"/>
      <c r="FE9" s="259"/>
      <c r="FF9" s="259"/>
      <c r="FG9" s="259"/>
      <c r="FH9" s="259"/>
      <c r="FI9" s="259"/>
      <c r="FJ9" s="259"/>
      <c r="FK9" s="259"/>
      <c r="FL9" s="259"/>
      <c r="FM9" s="259"/>
      <c r="FN9" s="259"/>
      <c r="FO9" s="259"/>
      <c r="FP9" s="259"/>
      <c r="FQ9" s="259"/>
      <c r="FR9" s="259"/>
      <c r="FS9" s="259"/>
      <c r="FT9" s="259"/>
      <c r="FU9" s="259"/>
      <c r="FV9" s="259"/>
      <c r="FW9" s="259"/>
      <c r="FX9" s="259"/>
      <c r="FY9" s="259"/>
      <c r="FZ9" s="259"/>
      <c r="GA9" s="259"/>
      <c r="GB9" s="259"/>
      <c r="GC9" s="259"/>
      <c r="GD9" s="259"/>
      <c r="GE9" s="259"/>
      <c r="GF9" s="259"/>
      <c r="GG9" s="259"/>
      <c r="GH9" s="259"/>
      <c r="GI9" s="259"/>
      <c r="GJ9" s="259"/>
      <c r="GK9" s="259"/>
      <c r="GL9" s="259"/>
      <c r="GM9" s="259"/>
      <c r="GN9" s="259"/>
      <c r="GO9" s="259"/>
      <c r="GP9" s="259"/>
      <c r="GQ9" s="259"/>
      <c r="GR9" s="259"/>
      <c r="GS9" s="259"/>
      <c r="GT9" s="259"/>
      <c r="GU9" s="259"/>
      <c r="GV9" s="259"/>
      <c r="GW9" s="259"/>
      <c r="GX9" s="259"/>
      <c r="GY9" s="357" t="s">
        <v>17</v>
      </c>
      <c r="GZ9" s="357"/>
      <c r="HA9" s="357"/>
      <c r="HB9" s="357"/>
      <c r="HC9" s="357"/>
      <c r="HD9" s="357"/>
      <c r="HE9" s="357"/>
      <c r="HF9" s="357"/>
      <c r="HG9" s="357"/>
      <c r="HH9" s="357"/>
      <c r="HI9" s="357"/>
      <c r="HJ9" s="357"/>
      <c r="HK9" s="470" t="s">
        <v>214</v>
      </c>
      <c r="HL9" s="470"/>
      <c r="HM9" s="470" t="s">
        <v>20</v>
      </c>
      <c r="HN9" s="470"/>
    </row>
    <row r="10" spans="1:222" ht="42" customHeight="1" x14ac:dyDescent="0.4">
      <c r="A10" s="13"/>
      <c r="B10" s="13"/>
      <c r="C10" s="14"/>
      <c r="D10" s="156"/>
      <c r="E10" s="156"/>
      <c r="F10" s="156"/>
      <c r="G10" s="156"/>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4"/>
      <c r="AO10" s="154"/>
      <c r="AP10" s="154"/>
      <c r="AQ10" s="154"/>
      <c r="AR10" s="154"/>
      <c r="AS10" s="154"/>
      <c r="AT10" s="154"/>
      <c r="AU10" s="154"/>
      <c r="AV10" s="154"/>
      <c r="AW10" s="154"/>
      <c r="AX10" s="154"/>
      <c r="AY10" s="154"/>
      <c r="AZ10" s="154"/>
      <c r="BA10" s="154"/>
      <c r="BB10" s="154"/>
      <c r="BC10" s="154"/>
      <c r="BD10" s="154"/>
      <c r="BE10" s="154"/>
      <c r="BF10" s="154"/>
      <c r="BG10" s="154"/>
      <c r="BH10" s="154"/>
      <c r="BI10" s="154"/>
      <c r="BJ10" s="154"/>
      <c r="BK10" s="154"/>
      <c r="BL10" s="154"/>
      <c r="BM10" s="154"/>
      <c r="BN10" s="154"/>
      <c r="BO10" s="154"/>
      <c r="BP10" s="154"/>
      <c r="BQ10" s="154"/>
      <c r="BR10" s="154"/>
      <c r="BS10" s="154"/>
      <c r="BT10" s="154"/>
      <c r="BU10" s="154"/>
      <c r="BV10" s="154"/>
      <c r="BW10" s="154"/>
      <c r="BX10" s="154"/>
      <c r="BY10" s="154"/>
      <c r="BZ10" s="154"/>
      <c r="CA10" s="154"/>
      <c r="CB10" s="154"/>
      <c r="CC10" s="154"/>
      <c r="CD10" s="154"/>
      <c r="CE10" s="154"/>
      <c r="CF10" s="154"/>
      <c r="CG10" s="154"/>
      <c r="CH10" s="154"/>
      <c r="CI10" s="154"/>
      <c r="CJ10" s="154"/>
      <c r="CK10" s="154"/>
      <c r="CL10" s="154"/>
      <c r="CM10" s="154"/>
      <c r="CN10" s="154"/>
      <c r="CO10" s="154"/>
      <c r="CP10" s="154"/>
      <c r="CQ10" s="154"/>
      <c r="CR10" s="154"/>
      <c r="CS10" s="154"/>
      <c r="CT10" s="154"/>
      <c r="CU10" s="154"/>
      <c r="CV10" s="154"/>
      <c r="CW10" s="154"/>
      <c r="CX10" s="154"/>
      <c r="CY10" s="154"/>
      <c r="CZ10" s="154"/>
      <c r="DA10" s="154"/>
      <c r="DB10" s="154"/>
      <c r="DC10" s="154"/>
      <c r="DD10" s="154"/>
      <c r="DE10" s="154"/>
      <c r="DF10" s="154"/>
      <c r="DG10" s="154"/>
      <c r="DH10" s="154"/>
      <c r="DI10" s="154"/>
      <c r="DJ10" s="154"/>
      <c r="DK10" s="154"/>
      <c r="DL10" s="131"/>
      <c r="DM10" s="131"/>
      <c r="DN10" s="131"/>
      <c r="DO10" s="131"/>
      <c r="DP10" s="137"/>
      <c r="DQ10" s="137"/>
      <c r="DR10" s="137"/>
      <c r="DS10" s="137"/>
      <c r="DT10" s="137"/>
      <c r="DU10" s="137"/>
      <c r="DV10" s="137"/>
      <c r="DW10" s="137"/>
      <c r="DX10" s="137"/>
      <c r="DY10" s="137"/>
      <c r="DZ10" s="137"/>
      <c r="EA10" s="137"/>
      <c r="EB10" s="137"/>
      <c r="EC10" s="137"/>
      <c r="ED10" s="137"/>
      <c r="EE10" s="131"/>
      <c r="EF10" s="131"/>
      <c r="EG10" s="131"/>
      <c r="EH10" s="131"/>
      <c r="EI10" s="131"/>
      <c r="EJ10" s="131"/>
      <c r="EK10" s="15"/>
      <c r="EL10" s="15"/>
      <c r="EM10" s="15"/>
      <c r="EN10" s="15"/>
      <c r="EO10" s="16"/>
      <c r="EP10" s="16"/>
      <c r="EQ10" s="16"/>
      <c r="ER10" s="8"/>
      <c r="ES10" s="8"/>
      <c r="ET10" s="8"/>
      <c r="EU10" s="8"/>
      <c r="EW10" s="464"/>
      <c r="EX10" s="464"/>
      <c r="EY10" s="259"/>
      <c r="EZ10" s="259"/>
      <c r="FA10" s="259"/>
      <c r="FB10" s="259"/>
      <c r="FC10" s="259"/>
      <c r="FD10" s="259"/>
      <c r="FE10" s="259"/>
      <c r="FF10" s="259"/>
      <c r="FG10" s="259"/>
      <c r="FH10" s="259"/>
      <c r="FI10" s="259"/>
      <c r="FJ10" s="259"/>
      <c r="FK10" s="259"/>
      <c r="FL10" s="259"/>
      <c r="FM10" s="259"/>
      <c r="FN10" s="259"/>
      <c r="FO10" s="259"/>
      <c r="FP10" s="259"/>
      <c r="FQ10" s="259"/>
      <c r="FR10" s="259"/>
      <c r="FS10" s="259"/>
      <c r="FT10" s="259"/>
      <c r="FU10" s="259"/>
      <c r="FV10" s="259"/>
      <c r="FW10" s="259"/>
      <c r="FX10" s="259"/>
      <c r="FY10" s="259"/>
      <c r="FZ10" s="259"/>
      <c r="GA10" s="259"/>
      <c r="GB10" s="259"/>
      <c r="GC10" s="259"/>
      <c r="GD10" s="259"/>
      <c r="GE10" s="259"/>
      <c r="GF10" s="259"/>
      <c r="GG10" s="259"/>
      <c r="GH10" s="259"/>
      <c r="GI10" s="259"/>
      <c r="GJ10" s="259"/>
      <c r="GK10" s="259"/>
      <c r="GL10" s="259"/>
      <c r="GM10" s="259"/>
      <c r="GN10" s="259"/>
      <c r="GO10" s="259"/>
      <c r="GP10" s="259"/>
      <c r="GQ10" s="259"/>
      <c r="GR10" s="259"/>
      <c r="GS10" s="259"/>
      <c r="GT10" s="259"/>
      <c r="GU10" s="259"/>
      <c r="GV10" s="259"/>
      <c r="GW10" s="259"/>
      <c r="GX10" s="259"/>
      <c r="GY10" s="470" t="s">
        <v>18</v>
      </c>
      <c r="GZ10" s="470"/>
      <c r="HA10" s="357" t="s">
        <v>75</v>
      </c>
      <c r="HB10" s="357"/>
      <c r="HC10" s="357"/>
      <c r="HD10" s="357"/>
      <c r="HE10" s="357"/>
      <c r="HF10" s="357"/>
      <c r="HG10" s="357"/>
      <c r="HH10" s="357"/>
      <c r="HI10" s="357"/>
      <c r="HJ10" s="357"/>
      <c r="HK10" s="470"/>
      <c r="HL10" s="470"/>
      <c r="HM10" s="470"/>
      <c r="HN10" s="470"/>
    </row>
    <row r="11" spans="1:222" ht="68.25" customHeight="1" x14ac:dyDescent="0.4">
      <c r="A11" s="13"/>
      <c r="B11" s="13"/>
      <c r="C11" s="14"/>
      <c r="D11" s="156"/>
      <c r="E11" s="156"/>
      <c r="F11" s="156"/>
      <c r="G11" s="156"/>
      <c r="H11" s="154"/>
      <c r="I11" s="154"/>
      <c r="J11" s="154"/>
      <c r="K11" s="154"/>
      <c r="L11" s="154"/>
      <c r="M11" s="154"/>
      <c r="N11" s="154"/>
      <c r="O11" s="154"/>
      <c r="P11" s="154"/>
      <c r="Q11" s="154"/>
      <c r="R11" s="154"/>
      <c r="S11" s="154"/>
      <c r="T11" s="154"/>
      <c r="U11" s="154"/>
      <c r="V11" s="154"/>
      <c r="W11" s="154"/>
      <c r="X11" s="154"/>
      <c r="Y11" s="154"/>
      <c r="Z11" s="154"/>
      <c r="AA11" s="154"/>
      <c r="AB11" s="154"/>
      <c r="AC11" s="154"/>
      <c r="AD11" s="154"/>
      <c r="AE11" s="154"/>
      <c r="AF11" s="154"/>
      <c r="AG11" s="154"/>
      <c r="AH11" s="154"/>
      <c r="AI11" s="154"/>
      <c r="AJ11" s="154"/>
      <c r="AK11" s="154"/>
      <c r="AL11" s="154"/>
      <c r="AM11" s="154"/>
      <c r="AN11" s="154"/>
      <c r="AO11" s="154"/>
      <c r="AP11" s="154"/>
      <c r="AQ11" s="154"/>
      <c r="AR11" s="154"/>
      <c r="AS11" s="154"/>
      <c r="AT11" s="154"/>
      <c r="AU11" s="154"/>
      <c r="AV11" s="154"/>
      <c r="AW11" s="154"/>
      <c r="AX11" s="154"/>
      <c r="AY11" s="154"/>
      <c r="AZ11" s="154"/>
      <c r="BA11" s="154"/>
      <c r="BB11" s="154"/>
      <c r="BC11" s="154"/>
      <c r="BD11" s="154"/>
      <c r="BE11" s="154"/>
      <c r="BF11" s="154"/>
      <c r="BG11" s="154"/>
      <c r="BH11" s="154"/>
      <c r="BI11" s="154"/>
      <c r="BJ11" s="154"/>
      <c r="BK11" s="154"/>
      <c r="BL11" s="154"/>
      <c r="BM11" s="154"/>
      <c r="BN11" s="154"/>
      <c r="BO11" s="154"/>
      <c r="BP11" s="154"/>
      <c r="BQ11" s="154"/>
      <c r="BR11" s="154"/>
      <c r="BS11" s="154"/>
      <c r="BT11" s="154"/>
      <c r="BU11" s="154"/>
      <c r="BV11" s="154"/>
      <c r="BW11" s="154"/>
      <c r="BX11" s="154"/>
      <c r="BY11" s="154"/>
      <c r="BZ11" s="154"/>
      <c r="CA11" s="154"/>
      <c r="CB11" s="154"/>
      <c r="CC11" s="154"/>
      <c r="CD11" s="154"/>
      <c r="CE11" s="154"/>
      <c r="CF11" s="154"/>
      <c r="CG11" s="154"/>
      <c r="CH11" s="154"/>
      <c r="CI11" s="154"/>
      <c r="CJ11" s="154"/>
      <c r="CK11" s="154"/>
      <c r="CL11" s="154"/>
      <c r="CM11" s="154"/>
      <c r="CN11" s="154"/>
      <c r="CO11" s="154"/>
      <c r="CP11" s="154"/>
      <c r="CQ11" s="154"/>
      <c r="CR11" s="154"/>
      <c r="CS11" s="154"/>
      <c r="CT11" s="154"/>
      <c r="CU11" s="154"/>
      <c r="CV11" s="154"/>
      <c r="CW11" s="154"/>
      <c r="CX11" s="154"/>
      <c r="CY11" s="154"/>
      <c r="CZ11" s="154"/>
      <c r="DA11" s="154"/>
      <c r="DB11" s="154"/>
      <c r="DC11" s="154"/>
      <c r="DD11" s="154"/>
      <c r="DE11" s="154"/>
      <c r="DF11" s="154"/>
      <c r="DG11" s="154"/>
      <c r="DH11" s="154"/>
      <c r="DI11" s="154"/>
      <c r="DJ11" s="154"/>
      <c r="DK11" s="154"/>
      <c r="DL11" s="131"/>
      <c r="DM11" s="131"/>
      <c r="DN11" s="131"/>
      <c r="DO11" s="131"/>
      <c r="DP11" s="131"/>
      <c r="DQ11" s="131"/>
      <c r="DR11" s="131"/>
      <c r="DS11" s="131"/>
      <c r="DT11" s="131"/>
      <c r="DU11" s="131"/>
      <c r="DV11" s="131"/>
      <c r="DW11" s="131"/>
      <c r="DX11" s="131"/>
      <c r="DY11" s="157"/>
      <c r="DZ11" s="157"/>
      <c r="EA11" s="157"/>
      <c r="EB11" s="131"/>
      <c r="EC11" s="131"/>
      <c r="ED11" s="131"/>
      <c r="EE11" s="131"/>
      <c r="EF11" s="131"/>
      <c r="EG11" s="131"/>
      <c r="EH11" s="131"/>
      <c r="EI11" s="131"/>
      <c r="EJ11" s="131"/>
      <c r="EK11" s="15"/>
      <c r="EL11" s="15"/>
      <c r="EM11" s="15"/>
      <c r="EN11" s="15"/>
      <c r="EO11" s="16"/>
      <c r="EP11" s="16"/>
      <c r="EQ11" s="16"/>
      <c r="ER11" s="8"/>
      <c r="ES11" s="8"/>
      <c r="ET11" s="8"/>
      <c r="EU11" s="8"/>
      <c r="EW11" s="464"/>
      <c r="EX11" s="464"/>
      <c r="EY11" s="259"/>
      <c r="EZ11" s="259"/>
      <c r="FA11" s="259"/>
      <c r="FB11" s="259"/>
      <c r="FC11" s="259"/>
      <c r="FD11" s="259"/>
      <c r="FE11" s="259"/>
      <c r="FF11" s="259"/>
      <c r="FG11" s="259"/>
      <c r="FH11" s="259"/>
      <c r="FI11" s="259"/>
      <c r="FJ11" s="259"/>
      <c r="FK11" s="259"/>
      <c r="FL11" s="259"/>
      <c r="FM11" s="259"/>
      <c r="FN11" s="259"/>
      <c r="FO11" s="259"/>
      <c r="FP11" s="259"/>
      <c r="FQ11" s="259"/>
      <c r="FR11" s="259"/>
      <c r="FS11" s="259"/>
      <c r="FT11" s="259"/>
      <c r="FU11" s="259"/>
      <c r="FV11" s="259"/>
      <c r="FW11" s="259"/>
      <c r="FX11" s="259"/>
      <c r="FY11" s="259"/>
      <c r="FZ11" s="259"/>
      <c r="GA11" s="259"/>
      <c r="GB11" s="259"/>
      <c r="GC11" s="259"/>
      <c r="GD11" s="259"/>
      <c r="GE11" s="259"/>
      <c r="GF11" s="259"/>
      <c r="GG11" s="259"/>
      <c r="GH11" s="259"/>
      <c r="GI11" s="259"/>
      <c r="GJ11" s="259"/>
      <c r="GK11" s="259"/>
      <c r="GL11" s="259"/>
      <c r="GM11" s="259"/>
      <c r="GN11" s="259"/>
      <c r="GO11" s="259"/>
      <c r="GP11" s="259"/>
      <c r="GQ11" s="259"/>
      <c r="GR11" s="259"/>
      <c r="GS11" s="259"/>
      <c r="GT11" s="259"/>
      <c r="GU11" s="259"/>
      <c r="GV11" s="259"/>
      <c r="GW11" s="259"/>
      <c r="GX11" s="259"/>
      <c r="GY11" s="470"/>
      <c r="GZ11" s="470"/>
      <c r="HA11" s="471" t="s">
        <v>215</v>
      </c>
      <c r="HB11" s="472"/>
      <c r="HC11" s="471" t="s">
        <v>14</v>
      </c>
      <c r="HD11" s="472"/>
      <c r="HE11" s="471" t="s">
        <v>216</v>
      </c>
      <c r="HF11" s="472"/>
      <c r="HG11" s="471" t="s">
        <v>12</v>
      </c>
      <c r="HH11" s="472"/>
      <c r="HI11" s="471" t="s">
        <v>15</v>
      </c>
      <c r="HJ11" s="472"/>
      <c r="HK11" s="470"/>
      <c r="HL11" s="470"/>
      <c r="HM11" s="470"/>
      <c r="HN11" s="470"/>
    </row>
    <row r="12" spans="1:222" ht="68.25" customHeight="1" x14ac:dyDescent="0.4">
      <c r="A12" s="13"/>
      <c r="B12" s="13"/>
      <c r="C12" s="14"/>
      <c r="D12" s="156"/>
      <c r="E12" s="156"/>
      <c r="F12" s="156"/>
      <c r="G12" s="156"/>
      <c r="H12" s="154"/>
      <c r="I12" s="154"/>
      <c r="J12" s="154"/>
      <c r="K12" s="154"/>
      <c r="L12" s="154"/>
      <c r="M12" s="154"/>
      <c r="N12" s="154"/>
      <c r="O12" s="154"/>
      <c r="P12" s="154"/>
      <c r="Q12" s="154"/>
      <c r="R12" s="154"/>
      <c r="S12" s="154"/>
      <c r="T12" s="154"/>
      <c r="U12" s="154"/>
      <c r="V12" s="154"/>
      <c r="W12" s="154"/>
      <c r="X12" s="154"/>
      <c r="Y12" s="154"/>
      <c r="Z12" s="154"/>
      <c r="AA12" s="154"/>
      <c r="AB12" s="154"/>
      <c r="AC12" s="154"/>
      <c r="AD12" s="154"/>
      <c r="AE12" s="154"/>
      <c r="AF12" s="154"/>
      <c r="AG12" s="154"/>
      <c r="AH12" s="154"/>
      <c r="AI12" s="154"/>
      <c r="AJ12" s="154"/>
      <c r="AK12" s="154"/>
      <c r="AL12" s="154"/>
      <c r="AM12" s="154"/>
      <c r="AN12" s="154"/>
      <c r="AO12" s="154"/>
      <c r="AP12" s="154"/>
      <c r="AQ12" s="154"/>
      <c r="AR12" s="154"/>
      <c r="AS12" s="154"/>
      <c r="AT12" s="154"/>
      <c r="AU12" s="154"/>
      <c r="AV12" s="154"/>
      <c r="AW12" s="154"/>
      <c r="AX12" s="154"/>
      <c r="AY12" s="154"/>
      <c r="AZ12" s="154"/>
      <c r="BA12" s="154"/>
      <c r="BB12" s="154"/>
      <c r="BC12" s="154"/>
      <c r="BD12" s="154"/>
      <c r="BE12" s="154"/>
      <c r="BF12" s="154"/>
      <c r="BG12" s="154"/>
      <c r="BH12" s="154"/>
      <c r="BI12" s="154"/>
      <c r="BJ12" s="154"/>
      <c r="BK12" s="154"/>
      <c r="BL12" s="154"/>
      <c r="BM12" s="154"/>
      <c r="BN12" s="154"/>
      <c r="BO12" s="154"/>
      <c r="BP12" s="154"/>
      <c r="BQ12" s="154"/>
      <c r="BR12" s="154"/>
      <c r="BS12" s="154"/>
      <c r="BT12" s="154"/>
      <c r="BU12" s="154"/>
      <c r="BV12" s="154"/>
      <c r="BW12" s="154"/>
      <c r="BX12" s="154"/>
      <c r="BY12" s="154"/>
      <c r="BZ12" s="154"/>
      <c r="CA12" s="154"/>
      <c r="CB12" s="154"/>
      <c r="CC12" s="154"/>
      <c r="CD12" s="154"/>
      <c r="CE12" s="154"/>
      <c r="CF12" s="154"/>
      <c r="CG12" s="154"/>
      <c r="CH12" s="154"/>
      <c r="CI12" s="154"/>
      <c r="CJ12" s="154"/>
      <c r="CK12" s="154"/>
      <c r="CL12" s="154"/>
      <c r="CM12" s="154"/>
      <c r="CN12" s="154"/>
      <c r="CO12" s="154"/>
      <c r="CP12" s="154"/>
      <c r="CQ12" s="154"/>
      <c r="CR12" s="154"/>
      <c r="CS12" s="154"/>
      <c r="CT12" s="154"/>
      <c r="CU12" s="154"/>
      <c r="CV12" s="154"/>
      <c r="CW12" s="154"/>
      <c r="CX12" s="154"/>
      <c r="CY12" s="154"/>
      <c r="CZ12" s="154"/>
      <c r="DA12" s="154"/>
      <c r="DB12" s="154"/>
      <c r="DC12" s="154"/>
      <c r="DD12" s="154"/>
      <c r="DE12" s="154"/>
      <c r="DF12" s="154"/>
      <c r="DG12" s="154"/>
      <c r="DH12" s="154"/>
      <c r="DI12" s="154"/>
      <c r="DJ12" s="154"/>
      <c r="DK12" s="154"/>
      <c r="DL12" s="131"/>
      <c r="DM12" s="131"/>
      <c r="DN12" s="131"/>
      <c r="DO12" s="131"/>
      <c r="DP12" s="131"/>
      <c r="DQ12" s="131"/>
      <c r="DR12" s="131"/>
      <c r="DS12" s="131"/>
      <c r="DT12" s="131"/>
      <c r="DU12" s="131"/>
      <c r="DV12" s="131"/>
      <c r="DW12" s="131"/>
      <c r="DX12" s="131"/>
      <c r="DY12" s="157"/>
      <c r="DZ12" s="157"/>
      <c r="EA12" s="157"/>
      <c r="EB12" s="131"/>
      <c r="EC12" s="131"/>
      <c r="ED12" s="131"/>
      <c r="EE12" s="131"/>
      <c r="EF12" s="131"/>
      <c r="EG12" s="131"/>
      <c r="EH12" s="131"/>
      <c r="EI12" s="131"/>
      <c r="EJ12" s="131"/>
      <c r="EK12" s="15"/>
      <c r="EL12" s="15"/>
      <c r="EM12" s="15"/>
      <c r="EN12" s="15"/>
      <c r="EO12" s="16"/>
      <c r="EP12" s="16"/>
      <c r="EQ12" s="16"/>
      <c r="ER12" s="8"/>
      <c r="ES12" s="8"/>
      <c r="ET12" s="8"/>
      <c r="EU12" s="8"/>
      <c r="EW12" s="464"/>
      <c r="EX12" s="464"/>
      <c r="EY12" s="259"/>
      <c r="EZ12" s="259"/>
      <c r="FA12" s="259"/>
      <c r="FB12" s="259"/>
      <c r="FC12" s="259"/>
      <c r="FD12" s="259"/>
      <c r="FE12" s="259"/>
      <c r="FF12" s="259"/>
      <c r="FG12" s="259"/>
      <c r="FH12" s="259"/>
      <c r="FI12" s="259"/>
      <c r="FJ12" s="259"/>
      <c r="FK12" s="259"/>
      <c r="FL12" s="259"/>
      <c r="FM12" s="259"/>
      <c r="FN12" s="259"/>
      <c r="FO12" s="259"/>
      <c r="FP12" s="259"/>
      <c r="FQ12" s="259"/>
      <c r="FR12" s="259"/>
      <c r="FS12" s="259"/>
      <c r="FT12" s="259"/>
      <c r="FU12" s="259"/>
      <c r="FV12" s="259"/>
      <c r="FW12" s="259"/>
      <c r="FX12" s="259"/>
      <c r="FY12" s="259"/>
      <c r="FZ12" s="259"/>
      <c r="GA12" s="259"/>
      <c r="GB12" s="259"/>
      <c r="GC12" s="259"/>
      <c r="GD12" s="259"/>
      <c r="GE12" s="259"/>
      <c r="GF12" s="259"/>
      <c r="GG12" s="259"/>
      <c r="GH12" s="259"/>
      <c r="GI12" s="259"/>
      <c r="GJ12" s="259"/>
      <c r="GK12" s="259"/>
      <c r="GL12" s="259"/>
      <c r="GM12" s="259"/>
      <c r="GN12" s="259"/>
      <c r="GO12" s="259"/>
      <c r="GP12" s="259"/>
      <c r="GQ12" s="259"/>
      <c r="GR12" s="259"/>
      <c r="GS12" s="259"/>
      <c r="GT12" s="259"/>
      <c r="GU12" s="259"/>
      <c r="GV12" s="259"/>
      <c r="GW12" s="259"/>
      <c r="GX12" s="259"/>
      <c r="GY12" s="470"/>
      <c r="GZ12" s="470"/>
      <c r="HA12" s="473"/>
      <c r="HB12" s="474"/>
      <c r="HC12" s="473"/>
      <c r="HD12" s="474"/>
      <c r="HE12" s="473"/>
      <c r="HF12" s="474"/>
      <c r="HG12" s="473"/>
      <c r="HH12" s="474"/>
      <c r="HI12" s="473"/>
      <c r="HJ12" s="474"/>
      <c r="HK12" s="470"/>
      <c r="HL12" s="470"/>
      <c r="HM12" s="470"/>
      <c r="HN12" s="470"/>
    </row>
    <row r="13" spans="1:222" ht="68.25" customHeight="1" x14ac:dyDescent="0.4">
      <c r="A13" s="13"/>
      <c r="B13" s="13"/>
      <c r="C13" s="14"/>
      <c r="D13" s="156"/>
      <c r="E13" s="156"/>
      <c r="F13" s="156"/>
      <c r="G13" s="156"/>
      <c r="H13" s="154"/>
      <c r="I13" s="154"/>
      <c r="J13" s="154"/>
      <c r="K13" s="154"/>
      <c r="L13" s="154"/>
      <c r="M13" s="154"/>
      <c r="N13" s="154"/>
      <c r="O13" s="154"/>
      <c r="P13" s="154"/>
      <c r="Q13" s="154"/>
      <c r="R13" s="154"/>
      <c r="S13" s="154"/>
      <c r="T13" s="154"/>
      <c r="U13" s="154"/>
      <c r="V13" s="154"/>
      <c r="W13" s="154"/>
      <c r="X13" s="154"/>
      <c r="Y13" s="154"/>
      <c r="Z13" s="154"/>
      <c r="AA13" s="154"/>
      <c r="AB13" s="154"/>
      <c r="AC13" s="154"/>
      <c r="AD13" s="154"/>
      <c r="AE13" s="154"/>
      <c r="AF13" s="154"/>
      <c r="AG13" s="154"/>
      <c r="AH13" s="154"/>
      <c r="AI13" s="154"/>
      <c r="AJ13" s="154"/>
      <c r="AK13" s="154"/>
      <c r="AL13" s="154"/>
      <c r="AM13" s="154"/>
      <c r="AN13" s="154"/>
      <c r="AO13" s="154"/>
      <c r="AP13" s="154"/>
      <c r="AQ13" s="154"/>
      <c r="AR13" s="154"/>
      <c r="AS13" s="154"/>
      <c r="AT13" s="154"/>
      <c r="AU13" s="154"/>
      <c r="AV13" s="154"/>
      <c r="AW13" s="154"/>
      <c r="AX13" s="154"/>
      <c r="AY13" s="154"/>
      <c r="AZ13" s="154"/>
      <c r="BA13" s="154"/>
      <c r="BB13" s="154"/>
      <c r="BC13" s="154"/>
      <c r="BD13" s="154"/>
      <c r="BE13" s="154"/>
      <c r="BF13" s="154"/>
      <c r="BG13" s="154"/>
      <c r="BH13" s="154"/>
      <c r="BI13" s="154"/>
      <c r="BJ13" s="154"/>
      <c r="BK13" s="154"/>
      <c r="BL13" s="154"/>
      <c r="BM13" s="154"/>
      <c r="BN13" s="154"/>
      <c r="BO13" s="154"/>
      <c r="BP13" s="154"/>
      <c r="BQ13" s="154"/>
      <c r="BR13" s="154"/>
      <c r="BS13" s="154"/>
      <c r="BT13" s="154"/>
      <c r="BU13" s="154"/>
      <c r="BV13" s="154"/>
      <c r="BW13" s="154"/>
      <c r="BX13" s="154"/>
      <c r="BY13" s="154"/>
      <c r="BZ13" s="154"/>
      <c r="CA13" s="154"/>
      <c r="CB13" s="154"/>
      <c r="CC13" s="154"/>
      <c r="CD13" s="154"/>
      <c r="CE13" s="154"/>
      <c r="CF13" s="154"/>
      <c r="CG13" s="154"/>
      <c r="CH13" s="154"/>
      <c r="CI13" s="154"/>
      <c r="CJ13" s="154"/>
      <c r="CK13" s="154"/>
      <c r="CL13" s="154"/>
      <c r="CM13" s="154"/>
      <c r="CN13" s="154"/>
      <c r="CO13" s="154"/>
      <c r="CP13" s="154"/>
      <c r="CQ13" s="154"/>
      <c r="CR13" s="154"/>
      <c r="CS13" s="154"/>
      <c r="CT13" s="154"/>
      <c r="CU13" s="154"/>
      <c r="CV13" s="154"/>
      <c r="CW13" s="154"/>
      <c r="CX13" s="154"/>
      <c r="CY13" s="154"/>
      <c r="CZ13" s="154"/>
      <c r="DA13" s="154"/>
      <c r="DB13" s="154"/>
      <c r="DC13" s="154"/>
      <c r="DD13" s="154"/>
      <c r="DE13" s="154"/>
      <c r="DF13" s="154"/>
      <c r="DG13" s="154"/>
      <c r="DH13" s="154"/>
      <c r="DI13" s="154"/>
      <c r="DJ13" s="154"/>
      <c r="DK13" s="154"/>
      <c r="DL13" s="131"/>
      <c r="DM13" s="131"/>
      <c r="DN13" s="131"/>
      <c r="DO13" s="131"/>
      <c r="DP13" s="131"/>
      <c r="DQ13" s="131"/>
      <c r="DR13" s="131"/>
      <c r="DS13" s="131"/>
      <c r="DT13" s="131"/>
      <c r="DU13" s="131"/>
      <c r="DV13" s="131"/>
      <c r="DW13" s="131"/>
      <c r="DX13" s="131"/>
      <c r="DY13" s="157"/>
      <c r="DZ13" s="157"/>
      <c r="EA13" s="157"/>
      <c r="EB13" s="131"/>
      <c r="EC13" s="131"/>
      <c r="ED13" s="131"/>
      <c r="EE13" s="131"/>
      <c r="EF13" s="131"/>
      <c r="EG13" s="131"/>
      <c r="EH13" s="131"/>
      <c r="EI13" s="131"/>
      <c r="EJ13" s="131"/>
      <c r="EK13" s="15"/>
      <c r="EL13" s="15"/>
      <c r="EM13" s="15"/>
      <c r="EN13" s="15"/>
      <c r="EO13" s="16"/>
      <c r="EP13" s="16"/>
      <c r="EQ13" s="16"/>
      <c r="ER13" s="8"/>
      <c r="ES13" s="8"/>
      <c r="ET13" s="8"/>
      <c r="EU13" s="8"/>
      <c r="EW13" s="464"/>
      <c r="EX13" s="464"/>
      <c r="EY13" s="377" t="s">
        <v>218</v>
      </c>
      <c r="EZ13" s="378"/>
      <c r="FA13" s="378"/>
      <c r="FB13" s="378"/>
      <c r="FC13" s="379"/>
      <c r="FD13" s="377" t="s">
        <v>219</v>
      </c>
      <c r="FE13" s="378"/>
      <c r="FF13" s="378"/>
      <c r="FG13" s="379"/>
      <c r="FH13" s="377" t="s">
        <v>45</v>
      </c>
      <c r="FI13" s="378"/>
      <c r="FJ13" s="378"/>
      <c r="FK13" s="378"/>
      <c r="FL13" s="379"/>
      <c r="FM13" s="377" t="s">
        <v>46</v>
      </c>
      <c r="FN13" s="378"/>
      <c r="FO13" s="378"/>
      <c r="FP13" s="379"/>
      <c r="FQ13" s="377" t="s">
        <v>47</v>
      </c>
      <c r="FR13" s="378"/>
      <c r="FS13" s="378"/>
      <c r="FT13" s="378"/>
      <c r="FU13" s="379"/>
      <c r="FV13" s="377" t="s">
        <v>48</v>
      </c>
      <c r="FW13" s="378"/>
      <c r="FX13" s="378"/>
      <c r="FY13" s="379"/>
      <c r="FZ13" s="377" t="s">
        <v>49</v>
      </c>
      <c r="GA13" s="378"/>
      <c r="GB13" s="378"/>
      <c r="GC13" s="378"/>
      <c r="GD13" s="379"/>
      <c r="GE13" s="377" t="s">
        <v>50</v>
      </c>
      <c r="GF13" s="378"/>
      <c r="GG13" s="378"/>
      <c r="GH13" s="379"/>
      <c r="GI13" s="377" t="s">
        <v>51</v>
      </c>
      <c r="GJ13" s="378"/>
      <c r="GK13" s="378"/>
      <c r="GL13" s="379"/>
      <c r="GM13" s="377" t="s">
        <v>52</v>
      </c>
      <c r="GN13" s="378"/>
      <c r="GO13" s="378"/>
      <c r="GP13" s="379"/>
      <c r="GQ13" s="377" t="s">
        <v>220</v>
      </c>
      <c r="GR13" s="378"/>
      <c r="GS13" s="378"/>
      <c r="GT13" s="379"/>
      <c r="GU13" s="377" t="s">
        <v>53</v>
      </c>
      <c r="GV13" s="378"/>
      <c r="GW13" s="378"/>
      <c r="GX13" s="379"/>
      <c r="GY13" s="470"/>
      <c r="GZ13" s="470"/>
      <c r="HA13" s="473"/>
      <c r="HB13" s="474"/>
      <c r="HC13" s="473"/>
      <c r="HD13" s="474"/>
      <c r="HE13" s="473"/>
      <c r="HF13" s="474"/>
      <c r="HG13" s="473"/>
      <c r="HH13" s="474"/>
      <c r="HI13" s="473"/>
      <c r="HJ13" s="474"/>
      <c r="HK13" s="470"/>
      <c r="HL13" s="470"/>
      <c r="HM13" s="470"/>
      <c r="HN13" s="470"/>
    </row>
    <row r="14" spans="1:222" ht="50.1" customHeight="1" x14ac:dyDescent="0.4">
      <c r="A14" s="13"/>
      <c r="B14" s="13"/>
      <c r="C14" s="14"/>
      <c r="D14" s="156"/>
      <c r="E14" s="156"/>
      <c r="F14" s="156"/>
      <c r="G14" s="156"/>
      <c r="H14" s="159"/>
      <c r="I14" s="159"/>
      <c r="J14" s="159"/>
      <c r="K14" s="159"/>
      <c r="L14" s="159"/>
      <c r="M14" s="159"/>
      <c r="N14" s="159"/>
      <c r="O14" s="159"/>
      <c r="P14" s="159"/>
      <c r="Q14" s="159"/>
      <c r="R14" s="159"/>
      <c r="S14" s="159"/>
      <c r="T14" s="159"/>
      <c r="U14" s="159"/>
      <c r="V14" s="159"/>
      <c r="W14" s="159"/>
      <c r="X14" s="159"/>
      <c r="Y14" s="159"/>
      <c r="Z14" s="159"/>
      <c r="AA14" s="159"/>
      <c r="AB14" s="159"/>
      <c r="AC14" s="159"/>
      <c r="AD14" s="159"/>
      <c r="AE14" s="159"/>
      <c r="AF14" s="159"/>
      <c r="AG14" s="159"/>
      <c r="AH14" s="159"/>
      <c r="AI14" s="159"/>
      <c r="AJ14" s="159"/>
      <c r="AK14" s="159"/>
      <c r="AL14" s="159"/>
      <c r="AM14" s="159"/>
      <c r="AN14" s="159"/>
      <c r="AO14" s="159"/>
      <c r="AP14" s="159"/>
      <c r="AQ14" s="159"/>
      <c r="AR14" s="159"/>
      <c r="AS14" s="159"/>
      <c r="AT14" s="159"/>
      <c r="AU14" s="159"/>
      <c r="AV14" s="159"/>
      <c r="AW14" s="159"/>
      <c r="AX14" s="159"/>
      <c r="AY14" s="159"/>
      <c r="AZ14" s="159"/>
      <c r="BA14" s="159"/>
      <c r="BB14" s="159"/>
      <c r="BC14" s="159"/>
      <c r="BD14" s="159"/>
      <c r="BE14" s="159"/>
      <c r="BF14" s="159"/>
      <c r="BG14" s="159"/>
      <c r="BH14" s="159"/>
      <c r="BI14" s="159"/>
      <c r="BJ14" s="159"/>
      <c r="BK14" s="159"/>
      <c r="BL14" s="159"/>
      <c r="BM14" s="159"/>
      <c r="BN14" s="159"/>
      <c r="BO14" s="159"/>
      <c r="BP14" s="159"/>
      <c r="BQ14" s="159"/>
      <c r="BR14" s="159"/>
      <c r="BS14" s="159"/>
      <c r="BT14" s="159"/>
      <c r="BU14" s="159"/>
      <c r="BV14" s="159"/>
      <c r="BW14" s="159"/>
      <c r="BX14" s="159"/>
      <c r="BY14" s="159"/>
      <c r="BZ14" s="159"/>
      <c r="CA14" s="159"/>
      <c r="CB14" s="159"/>
      <c r="CC14" s="159"/>
      <c r="CD14" s="159"/>
      <c r="CE14" s="159"/>
      <c r="CF14" s="159"/>
      <c r="CG14" s="159"/>
      <c r="CH14" s="159"/>
      <c r="CI14" s="159"/>
      <c r="CJ14" s="159"/>
      <c r="CK14" s="159"/>
      <c r="CL14" s="159"/>
      <c r="CM14" s="159"/>
      <c r="CN14" s="159"/>
      <c r="CO14" s="159"/>
      <c r="CP14" s="159"/>
      <c r="CQ14" s="159"/>
      <c r="CR14" s="159"/>
      <c r="CS14" s="159"/>
      <c r="CT14" s="159"/>
      <c r="CU14" s="159"/>
      <c r="CV14" s="159"/>
      <c r="CW14" s="159"/>
      <c r="CX14" s="159"/>
      <c r="CY14" s="159"/>
      <c r="CZ14" s="159"/>
      <c r="DA14" s="159"/>
      <c r="DB14" s="159"/>
      <c r="DC14" s="159"/>
      <c r="DD14" s="159"/>
      <c r="DE14" s="159"/>
      <c r="DF14" s="159"/>
      <c r="DG14" s="159"/>
      <c r="DH14" s="159"/>
      <c r="DI14" s="159"/>
      <c r="DJ14" s="159"/>
      <c r="DK14" s="159"/>
      <c r="DL14" s="131"/>
      <c r="DM14" s="131"/>
      <c r="DN14" s="131"/>
      <c r="DO14" s="131"/>
      <c r="DP14" s="131"/>
      <c r="DQ14" s="131"/>
      <c r="DR14" s="131"/>
      <c r="DS14" s="131"/>
      <c r="DT14" s="131"/>
      <c r="DU14" s="131"/>
      <c r="DV14" s="131"/>
      <c r="DW14" s="131"/>
      <c r="DX14" s="131"/>
      <c r="DY14" s="157"/>
      <c r="DZ14" s="157"/>
      <c r="EA14" s="157"/>
      <c r="EB14" s="131"/>
      <c r="EC14" s="131"/>
      <c r="ED14" s="131"/>
      <c r="EE14" s="131"/>
      <c r="EF14" s="131"/>
      <c r="EG14" s="131"/>
      <c r="EH14" s="131"/>
      <c r="EI14" s="131"/>
      <c r="EJ14" s="131"/>
      <c r="EK14" s="15"/>
      <c r="EL14" s="15"/>
      <c r="EM14" s="15"/>
      <c r="EN14" s="15"/>
      <c r="EO14" s="16"/>
      <c r="EP14" s="16"/>
      <c r="EQ14" s="16"/>
      <c r="ER14" s="8"/>
      <c r="ES14" s="8"/>
      <c r="ET14" s="8"/>
      <c r="EU14" s="8"/>
      <c r="EW14" s="464"/>
      <c r="EX14" s="464"/>
      <c r="EY14" s="124">
        <v>1</v>
      </c>
      <c r="EZ14" s="124">
        <v>2</v>
      </c>
      <c r="FA14" s="124">
        <v>3</v>
      </c>
      <c r="FB14" s="124">
        <v>4</v>
      </c>
      <c r="FC14" s="124">
        <v>5</v>
      </c>
      <c r="FD14" s="124">
        <v>6</v>
      </c>
      <c r="FE14" s="124">
        <v>7</v>
      </c>
      <c r="FF14" s="124">
        <v>8</v>
      </c>
      <c r="FG14" s="124">
        <v>9</v>
      </c>
      <c r="FH14" s="124">
        <v>10</v>
      </c>
      <c r="FI14" s="124">
        <v>11</v>
      </c>
      <c r="FJ14" s="124">
        <v>12</v>
      </c>
      <c r="FK14" s="124">
        <v>13</v>
      </c>
      <c r="FL14" s="124">
        <v>14</v>
      </c>
      <c r="FM14" s="124">
        <v>15</v>
      </c>
      <c r="FN14" s="124">
        <v>16</v>
      </c>
      <c r="FO14" s="124">
        <v>17</v>
      </c>
      <c r="FP14" s="124">
        <v>18</v>
      </c>
      <c r="FQ14" s="124">
        <v>19</v>
      </c>
      <c r="FR14" s="124">
        <v>20</v>
      </c>
      <c r="FS14" s="124">
        <v>21</v>
      </c>
      <c r="FT14" s="124">
        <v>22</v>
      </c>
      <c r="FU14" s="124">
        <v>23</v>
      </c>
      <c r="FV14" s="124">
        <v>24</v>
      </c>
      <c r="FW14" s="124">
        <v>25</v>
      </c>
      <c r="FX14" s="124">
        <v>26</v>
      </c>
      <c r="FY14" s="124">
        <v>27</v>
      </c>
      <c r="FZ14" s="124">
        <v>28</v>
      </c>
      <c r="GA14" s="124">
        <v>29</v>
      </c>
      <c r="GB14" s="124">
        <v>30</v>
      </c>
      <c r="GC14" s="124">
        <v>31</v>
      </c>
      <c r="GD14" s="124">
        <v>32</v>
      </c>
      <c r="GE14" s="124">
        <v>33</v>
      </c>
      <c r="GF14" s="124">
        <v>34</v>
      </c>
      <c r="GG14" s="124">
        <v>35</v>
      </c>
      <c r="GH14" s="124">
        <v>36</v>
      </c>
      <c r="GI14" s="124">
        <v>37</v>
      </c>
      <c r="GJ14" s="124">
        <v>38</v>
      </c>
      <c r="GK14" s="124">
        <v>39</v>
      </c>
      <c r="GL14" s="124">
        <v>40</v>
      </c>
      <c r="GM14" s="124">
        <v>41</v>
      </c>
      <c r="GN14" s="124">
        <v>42</v>
      </c>
      <c r="GO14" s="124">
        <v>43</v>
      </c>
      <c r="GP14" s="124">
        <v>44</v>
      </c>
      <c r="GQ14" s="124">
        <v>45</v>
      </c>
      <c r="GR14" s="124">
        <v>46</v>
      </c>
      <c r="GS14" s="124">
        <v>47</v>
      </c>
      <c r="GT14" s="124">
        <v>48</v>
      </c>
      <c r="GU14" s="124">
        <v>49</v>
      </c>
      <c r="GV14" s="124">
        <v>50</v>
      </c>
      <c r="GW14" s="124">
        <v>51</v>
      </c>
      <c r="GX14" s="124">
        <v>52</v>
      </c>
      <c r="GY14" s="470"/>
      <c r="GZ14" s="470"/>
      <c r="HA14" s="475"/>
      <c r="HB14" s="476"/>
      <c r="HC14" s="475"/>
      <c r="HD14" s="476"/>
      <c r="HE14" s="475"/>
      <c r="HF14" s="476"/>
      <c r="HG14" s="475"/>
      <c r="HH14" s="476"/>
      <c r="HI14" s="475"/>
      <c r="HJ14" s="476"/>
      <c r="HK14" s="470"/>
      <c r="HL14" s="470"/>
      <c r="HM14" s="470"/>
      <c r="HN14" s="470"/>
    </row>
    <row r="15" spans="1:222" ht="50.1" customHeight="1" x14ac:dyDescent="0.4">
      <c r="A15" s="13"/>
      <c r="B15" s="13"/>
      <c r="C15" s="14"/>
      <c r="D15" s="156"/>
      <c r="E15" s="156"/>
      <c r="F15" s="156"/>
      <c r="G15" s="156"/>
      <c r="H15" s="138"/>
      <c r="I15" s="138"/>
      <c r="J15" s="138"/>
      <c r="K15" s="138"/>
      <c r="L15" s="138"/>
      <c r="M15" s="138"/>
      <c r="N15" s="138"/>
      <c r="O15" s="138"/>
      <c r="P15" s="138"/>
      <c r="Q15" s="138"/>
      <c r="R15" s="138"/>
      <c r="S15" s="138"/>
      <c r="T15" s="138"/>
      <c r="U15" s="138"/>
      <c r="V15" s="138"/>
      <c r="W15" s="138"/>
      <c r="X15" s="138"/>
      <c r="Y15" s="138"/>
      <c r="Z15" s="138"/>
      <c r="AA15" s="138"/>
      <c r="AB15" s="138"/>
      <c r="AC15" s="138"/>
      <c r="AD15" s="138"/>
      <c r="AE15" s="138"/>
      <c r="AF15" s="138"/>
      <c r="AG15" s="138"/>
      <c r="AH15" s="138"/>
      <c r="AI15" s="138"/>
      <c r="AJ15" s="138"/>
      <c r="AK15" s="138"/>
      <c r="AL15" s="138"/>
      <c r="AM15" s="138"/>
      <c r="AN15" s="138"/>
      <c r="AO15" s="138"/>
      <c r="AP15" s="138"/>
      <c r="AQ15" s="138"/>
      <c r="AR15" s="138"/>
      <c r="AS15" s="138"/>
      <c r="AT15" s="138"/>
      <c r="AU15" s="138"/>
      <c r="AV15" s="138"/>
      <c r="AW15" s="138"/>
      <c r="AX15" s="138"/>
      <c r="AY15" s="138"/>
      <c r="AZ15" s="138"/>
      <c r="BA15" s="138"/>
      <c r="BB15" s="138"/>
      <c r="BC15" s="138"/>
      <c r="BD15" s="138"/>
      <c r="BE15" s="138"/>
      <c r="BF15" s="138"/>
      <c r="BG15" s="138"/>
      <c r="BH15" s="138"/>
      <c r="BI15" s="138"/>
      <c r="BJ15" s="138"/>
      <c r="BK15" s="138"/>
      <c r="BL15" s="138"/>
      <c r="BM15" s="138"/>
      <c r="BN15" s="138"/>
      <c r="BO15" s="138"/>
      <c r="BP15" s="138"/>
      <c r="BQ15" s="138"/>
      <c r="BR15" s="138"/>
      <c r="BS15" s="138"/>
      <c r="BT15" s="138"/>
      <c r="BU15" s="138"/>
      <c r="BV15" s="138"/>
      <c r="BW15" s="138"/>
      <c r="BX15" s="138"/>
      <c r="BY15" s="138"/>
      <c r="BZ15" s="160"/>
      <c r="CA15" s="160"/>
      <c r="CB15" s="160"/>
      <c r="CC15" s="160"/>
      <c r="CD15" s="160"/>
      <c r="CE15" s="160"/>
      <c r="CF15" s="160"/>
      <c r="CG15" s="160"/>
      <c r="CH15" s="160"/>
      <c r="CI15" s="160"/>
      <c r="CJ15" s="160"/>
      <c r="CK15" s="160"/>
      <c r="CL15" s="160"/>
      <c r="CM15" s="160"/>
      <c r="CN15" s="160"/>
      <c r="CO15" s="160"/>
      <c r="CP15" s="160"/>
      <c r="CQ15" s="160"/>
      <c r="CR15" s="160"/>
      <c r="CS15" s="160"/>
      <c r="CT15" s="160"/>
      <c r="CU15" s="160"/>
      <c r="CV15" s="160"/>
      <c r="CW15" s="160"/>
      <c r="CX15" s="160"/>
      <c r="CY15" s="160"/>
      <c r="CZ15" s="160"/>
      <c r="DA15" s="160"/>
      <c r="DB15" s="160"/>
      <c r="DC15" s="160"/>
      <c r="DD15" s="160"/>
      <c r="DE15" s="160"/>
      <c r="DF15" s="160"/>
      <c r="DG15" s="160"/>
      <c r="DH15" s="160"/>
      <c r="DI15" s="160"/>
      <c r="DJ15" s="160"/>
      <c r="DK15" s="160"/>
      <c r="DL15" s="131"/>
      <c r="DM15" s="131"/>
      <c r="DN15" s="131"/>
      <c r="DO15" s="131"/>
      <c r="DP15" s="131"/>
      <c r="DQ15" s="131"/>
      <c r="DR15" s="131"/>
      <c r="DS15" s="131"/>
      <c r="DT15" s="131"/>
      <c r="DU15" s="131"/>
      <c r="DV15" s="131"/>
      <c r="DW15" s="131"/>
      <c r="DX15" s="131"/>
      <c r="DY15" s="157"/>
      <c r="DZ15" s="157"/>
      <c r="EA15" s="157"/>
      <c r="EB15" s="131"/>
      <c r="EC15" s="131"/>
      <c r="ED15" s="131"/>
      <c r="EE15" s="131"/>
      <c r="EF15" s="131"/>
      <c r="EG15" s="131"/>
      <c r="EH15" s="131"/>
      <c r="EI15" s="131"/>
      <c r="EJ15" s="131"/>
      <c r="EK15" s="15"/>
      <c r="EL15" s="15"/>
      <c r="EM15" s="15"/>
      <c r="EN15" s="15"/>
      <c r="EO15" s="16"/>
      <c r="EP15" s="16"/>
      <c r="EQ15" s="16"/>
      <c r="ER15" s="8"/>
      <c r="ES15" s="8"/>
      <c r="ET15" s="8"/>
      <c r="EU15" s="8"/>
      <c r="EW15" s="465" t="s">
        <v>0</v>
      </c>
      <c r="EX15" s="465"/>
      <c r="EY15" s="155"/>
      <c r="EZ15" s="155"/>
      <c r="FA15" s="155"/>
      <c r="FB15" s="155"/>
      <c r="FC15" s="155"/>
      <c r="FD15" s="155"/>
      <c r="FE15" s="155"/>
      <c r="FF15" s="155"/>
      <c r="FG15" s="155"/>
      <c r="FH15" s="155"/>
      <c r="FI15" s="155"/>
      <c r="FJ15" s="155"/>
      <c r="FK15" s="155"/>
      <c r="FL15" s="155"/>
      <c r="FM15" s="155"/>
      <c r="FN15" s="155"/>
      <c r="FO15" s="155" t="s">
        <v>54</v>
      </c>
      <c r="FP15" s="155" t="s">
        <v>54</v>
      </c>
      <c r="FQ15" s="155" t="s">
        <v>44</v>
      </c>
      <c r="FR15" s="155" t="s">
        <v>176</v>
      </c>
      <c r="FS15" s="155" t="s">
        <v>176</v>
      </c>
      <c r="FT15" s="155" t="s">
        <v>176</v>
      </c>
      <c r="FU15" s="155" t="s">
        <v>55</v>
      </c>
      <c r="FV15" s="155" t="s">
        <v>55</v>
      </c>
      <c r="FW15" s="155"/>
      <c r="FX15" s="155"/>
      <c r="FY15" s="155"/>
      <c r="FZ15" s="155"/>
      <c r="GA15" s="155"/>
      <c r="GB15" s="155"/>
      <c r="GC15" s="155"/>
      <c r="GD15" s="155"/>
      <c r="GE15" s="155"/>
      <c r="GF15" s="155"/>
      <c r="GG15" s="155"/>
      <c r="GH15" s="155"/>
      <c r="GI15" s="155"/>
      <c r="GJ15" s="155"/>
      <c r="GK15" s="155"/>
      <c r="GL15" s="155"/>
      <c r="GM15" s="155" t="s">
        <v>176</v>
      </c>
      <c r="GN15" s="155" t="s">
        <v>176</v>
      </c>
      <c r="GO15" s="155" t="s">
        <v>176</v>
      </c>
      <c r="GP15" s="155" t="s">
        <v>55</v>
      </c>
      <c r="GQ15" s="155" t="s">
        <v>55</v>
      </c>
      <c r="GR15" s="155"/>
      <c r="GS15" s="155"/>
      <c r="GT15" s="155"/>
      <c r="GU15" s="155"/>
      <c r="GV15" s="155"/>
      <c r="GW15" s="155"/>
      <c r="GX15" s="155"/>
      <c r="GY15" s="377">
        <f>SUM(HA15:HJ15)</f>
        <v>12</v>
      </c>
      <c r="GZ15" s="379"/>
      <c r="HA15" s="377">
        <v>6</v>
      </c>
      <c r="HB15" s="379"/>
      <c r="HC15" s="377">
        <v>4</v>
      </c>
      <c r="HD15" s="379"/>
      <c r="HE15" s="377">
        <v>2</v>
      </c>
      <c r="HF15" s="379"/>
      <c r="HG15" s="377">
        <v>0</v>
      </c>
      <c r="HH15" s="379"/>
      <c r="HI15" s="377">
        <v>0</v>
      </c>
      <c r="HJ15" s="379"/>
      <c r="HK15" s="377">
        <v>40</v>
      </c>
      <c r="HL15" s="379"/>
      <c r="HM15" s="357">
        <f>GY15+HK15</f>
        <v>52</v>
      </c>
      <c r="HN15" s="357"/>
    </row>
    <row r="16" spans="1:222" ht="50.1" customHeight="1" x14ac:dyDescent="0.4">
      <c r="A16" s="13"/>
      <c r="B16" s="13"/>
      <c r="C16" s="14"/>
      <c r="D16" s="138"/>
      <c r="E16" s="138"/>
      <c r="F16" s="138"/>
      <c r="G16" s="138"/>
      <c r="H16" s="159"/>
      <c r="I16" s="159"/>
      <c r="J16" s="159"/>
      <c r="K16" s="159"/>
      <c r="L16" s="159"/>
      <c r="M16" s="159"/>
      <c r="N16" s="159"/>
      <c r="O16" s="159"/>
      <c r="P16" s="159"/>
      <c r="Q16" s="159"/>
      <c r="R16" s="159"/>
      <c r="S16" s="159"/>
      <c r="T16" s="159"/>
      <c r="U16" s="159"/>
      <c r="V16" s="159"/>
      <c r="W16" s="159"/>
      <c r="X16" s="159"/>
      <c r="Y16" s="159"/>
      <c r="Z16" s="159"/>
      <c r="AA16" s="159"/>
      <c r="AB16" s="159"/>
      <c r="AC16" s="159"/>
      <c r="AD16" s="159"/>
      <c r="AE16" s="159"/>
      <c r="AF16" s="159"/>
      <c r="AG16" s="159"/>
      <c r="AH16" s="159"/>
      <c r="AI16" s="159"/>
      <c r="AJ16" s="159"/>
      <c r="AK16" s="159"/>
      <c r="AL16" s="159"/>
      <c r="AM16" s="159"/>
      <c r="AN16" s="159"/>
      <c r="AO16" s="159"/>
      <c r="AP16" s="159"/>
      <c r="AQ16" s="159"/>
      <c r="AR16" s="159"/>
      <c r="AS16" s="159"/>
      <c r="AT16" s="159"/>
      <c r="AU16" s="159"/>
      <c r="AV16" s="159"/>
      <c r="AW16" s="159"/>
      <c r="AX16" s="159"/>
      <c r="AY16" s="159"/>
      <c r="AZ16" s="159"/>
      <c r="BA16" s="159"/>
      <c r="BB16" s="159"/>
      <c r="BC16" s="159"/>
      <c r="BD16" s="159"/>
      <c r="BE16" s="159"/>
      <c r="BF16" s="159"/>
      <c r="BG16" s="159"/>
      <c r="BH16" s="159"/>
      <c r="BI16" s="159"/>
      <c r="BJ16" s="159"/>
      <c r="BK16" s="159"/>
      <c r="BL16" s="159"/>
      <c r="BM16" s="159"/>
      <c r="BN16" s="159"/>
      <c r="BO16" s="159"/>
      <c r="BP16" s="159"/>
      <c r="BQ16" s="159"/>
      <c r="BR16" s="159"/>
      <c r="BS16" s="159"/>
      <c r="BT16" s="159"/>
      <c r="BU16" s="159"/>
      <c r="BV16" s="159"/>
      <c r="BW16" s="159"/>
      <c r="BX16" s="159"/>
      <c r="BY16" s="159"/>
      <c r="BZ16" s="159"/>
      <c r="CA16" s="159"/>
      <c r="CB16" s="159"/>
      <c r="CC16" s="159"/>
      <c r="CD16" s="159"/>
      <c r="CE16" s="159"/>
      <c r="CF16" s="159"/>
      <c r="CG16" s="159"/>
      <c r="CH16" s="159"/>
      <c r="CI16" s="159"/>
      <c r="CJ16" s="159"/>
      <c r="CK16" s="159"/>
      <c r="CL16" s="159"/>
      <c r="CM16" s="159"/>
      <c r="CN16" s="159"/>
      <c r="CO16" s="159"/>
      <c r="CP16" s="159"/>
      <c r="CQ16" s="159"/>
      <c r="CR16" s="159"/>
      <c r="CS16" s="159"/>
      <c r="CT16" s="159"/>
      <c r="CU16" s="159"/>
      <c r="CV16" s="159"/>
      <c r="CW16" s="159"/>
      <c r="CX16" s="159"/>
      <c r="CY16" s="159"/>
      <c r="CZ16" s="159"/>
      <c r="DA16" s="159"/>
      <c r="DB16" s="159"/>
      <c r="DC16" s="159"/>
      <c r="DD16" s="159"/>
      <c r="DE16" s="159"/>
      <c r="DF16" s="159"/>
      <c r="DG16" s="159"/>
      <c r="DH16" s="159"/>
      <c r="DI16" s="159"/>
      <c r="DJ16" s="159"/>
      <c r="DK16" s="159"/>
      <c r="DL16" s="138"/>
      <c r="DM16" s="138"/>
      <c r="DN16" s="138"/>
      <c r="DO16" s="138"/>
      <c r="DP16" s="139"/>
      <c r="DQ16" s="139"/>
      <c r="DR16" s="139"/>
      <c r="DS16" s="139"/>
      <c r="DT16" s="139"/>
      <c r="DU16" s="139"/>
      <c r="DV16" s="139"/>
      <c r="DW16" s="139"/>
      <c r="DX16" s="139"/>
      <c r="DY16" s="139"/>
      <c r="DZ16" s="139"/>
      <c r="EA16" s="139"/>
      <c r="EB16" s="139"/>
      <c r="EC16" s="139"/>
      <c r="ED16" s="139"/>
      <c r="EE16" s="138"/>
      <c r="EF16" s="138"/>
      <c r="EG16" s="138"/>
      <c r="EH16" s="138"/>
      <c r="EI16" s="138"/>
      <c r="EJ16" s="138"/>
      <c r="EK16" s="15"/>
      <c r="EL16" s="15"/>
      <c r="EM16" s="15"/>
      <c r="EN16" s="15"/>
      <c r="EO16" s="16"/>
      <c r="EP16" s="16"/>
      <c r="EQ16" s="16"/>
      <c r="ER16" s="8"/>
      <c r="ES16" s="8"/>
      <c r="ET16" s="8"/>
      <c r="EU16" s="8"/>
      <c r="EW16" s="465" t="s">
        <v>1</v>
      </c>
      <c r="EX16" s="465"/>
      <c r="EY16" s="155"/>
      <c r="EZ16" s="155"/>
      <c r="FA16" s="155"/>
      <c r="FB16" s="155"/>
      <c r="FC16" s="155"/>
      <c r="FD16" s="155"/>
      <c r="FE16" s="155"/>
      <c r="FF16" s="155"/>
      <c r="FG16" s="155"/>
      <c r="FH16" s="155"/>
      <c r="FI16" s="155"/>
      <c r="FJ16" s="155"/>
      <c r="FK16" s="155" t="s">
        <v>44</v>
      </c>
      <c r="FL16" s="155" t="s">
        <v>176</v>
      </c>
      <c r="FM16" s="155" t="s">
        <v>176</v>
      </c>
      <c r="FN16" s="155" t="s">
        <v>176</v>
      </c>
      <c r="FO16" s="155" t="s">
        <v>54</v>
      </c>
      <c r="FP16" s="155" t="s">
        <v>54</v>
      </c>
      <c r="FQ16" s="155" t="s">
        <v>55</v>
      </c>
      <c r="FR16" s="155"/>
      <c r="FS16" s="155"/>
      <c r="FT16" s="155"/>
      <c r="FU16" s="155"/>
      <c r="FV16" s="155"/>
      <c r="FW16" s="155"/>
      <c r="FX16" s="155"/>
      <c r="FY16" s="155"/>
      <c r="FZ16" s="155"/>
      <c r="GA16" s="155"/>
      <c r="GB16" s="155"/>
      <c r="GC16" s="155"/>
      <c r="GD16" s="155"/>
      <c r="GE16" s="155"/>
      <c r="GF16" s="155"/>
      <c r="GG16" s="155"/>
      <c r="GH16" s="155"/>
      <c r="GI16" s="155"/>
      <c r="GJ16" s="155" t="s">
        <v>176</v>
      </c>
      <c r="GK16" s="155" t="s">
        <v>176</v>
      </c>
      <c r="GL16" s="155" t="s">
        <v>176</v>
      </c>
      <c r="GM16" s="155" t="s">
        <v>55</v>
      </c>
      <c r="GN16" s="155" t="s">
        <v>56</v>
      </c>
      <c r="GO16" s="155" t="s">
        <v>56</v>
      </c>
      <c r="GP16" s="155"/>
      <c r="GQ16" s="155"/>
      <c r="GR16" s="155"/>
      <c r="GS16" s="155"/>
      <c r="GT16" s="155"/>
      <c r="GU16" s="155"/>
      <c r="GV16" s="155"/>
      <c r="GW16" s="155"/>
      <c r="GX16" s="155"/>
      <c r="GY16" s="377">
        <f>SUM(HA16:HJ16)</f>
        <v>13</v>
      </c>
      <c r="GZ16" s="379"/>
      <c r="HA16" s="377">
        <v>6</v>
      </c>
      <c r="HB16" s="379"/>
      <c r="HC16" s="377">
        <v>4</v>
      </c>
      <c r="HD16" s="379"/>
      <c r="HE16" s="377">
        <v>1</v>
      </c>
      <c r="HF16" s="379"/>
      <c r="HG16" s="377">
        <v>2</v>
      </c>
      <c r="HH16" s="379"/>
      <c r="HI16" s="377">
        <v>0</v>
      </c>
      <c r="HJ16" s="379"/>
      <c r="HK16" s="377">
        <v>39</v>
      </c>
      <c r="HL16" s="379"/>
      <c r="HM16" s="357">
        <f>GY16+HK16</f>
        <v>52</v>
      </c>
      <c r="HN16" s="357"/>
    </row>
    <row r="17" spans="1:222" ht="50.1" customHeight="1" x14ac:dyDescent="0.4">
      <c r="A17" s="13"/>
      <c r="B17" s="13"/>
      <c r="C17" s="14"/>
      <c r="D17" s="138"/>
      <c r="E17" s="138"/>
      <c r="F17" s="138"/>
      <c r="G17" s="138"/>
      <c r="H17" s="159"/>
      <c r="I17" s="159"/>
      <c r="J17" s="159"/>
      <c r="K17" s="159"/>
      <c r="L17" s="159"/>
      <c r="M17" s="159"/>
      <c r="N17" s="159"/>
      <c r="O17" s="159"/>
      <c r="P17" s="159"/>
      <c r="Q17" s="159"/>
      <c r="R17" s="159"/>
      <c r="S17" s="159"/>
      <c r="T17" s="159"/>
      <c r="U17" s="159"/>
      <c r="V17" s="159"/>
      <c r="W17" s="159"/>
      <c r="X17" s="159"/>
      <c r="Y17" s="159"/>
      <c r="Z17" s="159"/>
      <c r="AA17" s="159"/>
      <c r="AB17" s="159"/>
      <c r="AC17" s="159"/>
      <c r="AD17" s="159"/>
      <c r="AE17" s="159"/>
      <c r="AF17" s="159"/>
      <c r="AG17" s="159"/>
      <c r="AH17" s="159"/>
      <c r="AI17" s="159"/>
      <c r="AJ17" s="159"/>
      <c r="AK17" s="159"/>
      <c r="AL17" s="159"/>
      <c r="AM17" s="159"/>
      <c r="AN17" s="159"/>
      <c r="AO17" s="159"/>
      <c r="AP17" s="159"/>
      <c r="AQ17" s="159"/>
      <c r="AR17" s="159"/>
      <c r="AS17" s="159"/>
      <c r="AT17" s="159"/>
      <c r="AU17" s="159"/>
      <c r="AV17" s="159"/>
      <c r="AW17" s="159"/>
      <c r="AX17" s="159"/>
      <c r="AY17" s="159"/>
      <c r="AZ17" s="159"/>
      <c r="BA17" s="159"/>
      <c r="BB17" s="159"/>
      <c r="BC17" s="159"/>
      <c r="BD17" s="159"/>
      <c r="BE17" s="159"/>
      <c r="BF17" s="159"/>
      <c r="BG17" s="159"/>
      <c r="BH17" s="159"/>
      <c r="BI17" s="159"/>
      <c r="BJ17" s="159"/>
      <c r="BK17" s="159"/>
      <c r="BL17" s="159"/>
      <c r="BM17" s="159"/>
      <c r="BN17" s="159"/>
      <c r="BO17" s="159"/>
      <c r="BP17" s="159"/>
      <c r="BQ17" s="159"/>
      <c r="BR17" s="159"/>
      <c r="BS17" s="159"/>
      <c r="BT17" s="159"/>
      <c r="BU17" s="159"/>
      <c r="BV17" s="159"/>
      <c r="BW17" s="159"/>
      <c r="BX17" s="159"/>
      <c r="BY17" s="159"/>
      <c r="BZ17" s="159"/>
      <c r="CA17" s="159"/>
      <c r="CB17" s="159"/>
      <c r="CC17" s="159"/>
      <c r="CD17" s="159"/>
      <c r="CE17" s="159"/>
      <c r="CF17" s="159"/>
      <c r="CG17" s="159"/>
      <c r="CH17" s="159"/>
      <c r="CI17" s="159"/>
      <c r="CJ17" s="159"/>
      <c r="CK17" s="159"/>
      <c r="CL17" s="159"/>
      <c r="CM17" s="159"/>
      <c r="CN17" s="159"/>
      <c r="CO17" s="159"/>
      <c r="CP17" s="159"/>
      <c r="CQ17" s="159"/>
      <c r="CR17" s="159"/>
      <c r="CS17" s="159"/>
      <c r="CT17" s="159"/>
      <c r="CU17" s="159"/>
      <c r="CV17" s="159"/>
      <c r="CW17" s="159"/>
      <c r="CX17" s="159"/>
      <c r="CY17" s="159"/>
      <c r="CZ17" s="159"/>
      <c r="DA17" s="159"/>
      <c r="DB17" s="159"/>
      <c r="DC17" s="159"/>
      <c r="DD17" s="159"/>
      <c r="DE17" s="159"/>
      <c r="DF17" s="159"/>
      <c r="DG17" s="159"/>
      <c r="DH17" s="159"/>
      <c r="DI17" s="159"/>
      <c r="DJ17" s="159"/>
      <c r="DK17" s="159"/>
      <c r="DL17" s="138"/>
      <c r="DM17" s="138"/>
      <c r="DN17" s="138"/>
      <c r="DO17" s="138"/>
      <c r="DP17" s="139"/>
      <c r="DQ17" s="139"/>
      <c r="DR17" s="139"/>
      <c r="DS17" s="139"/>
      <c r="DT17" s="139"/>
      <c r="DU17" s="139"/>
      <c r="DV17" s="139"/>
      <c r="DW17" s="139"/>
      <c r="DX17" s="139"/>
      <c r="DY17" s="139"/>
      <c r="DZ17" s="139"/>
      <c r="EA17" s="139"/>
      <c r="EB17" s="139"/>
      <c r="EC17" s="139"/>
      <c r="ED17" s="139"/>
      <c r="EE17" s="138"/>
      <c r="EF17" s="138"/>
      <c r="EG17" s="138"/>
      <c r="EH17" s="138"/>
      <c r="EI17" s="138"/>
      <c r="EJ17" s="138"/>
      <c r="EK17" s="15"/>
      <c r="EL17" s="15"/>
      <c r="EM17" s="15"/>
      <c r="EN17" s="15"/>
      <c r="EO17" s="16"/>
      <c r="EP17" s="16"/>
      <c r="EQ17" s="141"/>
      <c r="ER17" s="8"/>
      <c r="ES17" s="8"/>
      <c r="ET17" s="8"/>
      <c r="EU17" s="8"/>
      <c r="EW17" s="465" t="s">
        <v>177</v>
      </c>
      <c r="EX17" s="465"/>
      <c r="EY17" s="155"/>
      <c r="EZ17" s="155"/>
      <c r="FA17" s="155"/>
      <c r="FB17" s="155"/>
      <c r="FC17" s="155"/>
      <c r="FD17" s="155"/>
      <c r="FE17" s="155"/>
      <c r="FF17" s="155"/>
      <c r="FG17" s="155"/>
      <c r="FH17" s="155"/>
      <c r="FI17" s="155"/>
      <c r="FJ17" s="155"/>
      <c r="FK17" s="155" t="s">
        <v>44</v>
      </c>
      <c r="FL17" s="155" t="s">
        <v>176</v>
      </c>
      <c r="FM17" s="155" t="s">
        <v>176</v>
      </c>
      <c r="FN17" s="155" t="s">
        <v>176</v>
      </c>
      <c r="FO17" s="155" t="s">
        <v>54</v>
      </c>
      <c r="FP17" s="155" t="s">
        <v>54</v>
      </c>
      <c r="FQ17" s="155" t="s">
        <v>55</v>
      </c>
      <c r="FR17" s="155" t="s">
        <v>56</v>
      </c>
      <c r="FS17" s="155" t="s">
        <v>56</v>
      </c>
      <c r="FT17" s="155" t="s">
        <v>56</v>
      </c>
      <c r="FU17" s="155"/>
      <c r="FV17" s="155"/>
      <c r="FW17" s="155"/>
      <c r="FX17" s="155"/>
      <c r="FY17" s="155"/>
      <c r="FZ17" s="155"/>
      <c r="GA17" s="155"/>
      <c r="GB17" s="155"/>
      <c r="GC17" s="155"/>
      <c r="GD17" s="155"/>
      <c r="GE17" s="155"/>
      <c r="GF17" s="155"/>
      <c r="GG17" s="155"/>
      <c r="GH17" s="155"/>
      <c r="GI17" s="155"/>
      <c r="GJ17" s="155" t="s">
        <v>176</v>
      </c>
      <c r="GK17" s="155" t="s">
        <v>176</v>
      </c>
      <c r="GL17" s="155" t="s">
        <v>176</v>
      </c>
      <c r="GM17" s="155" t="s">
        <v>55</v>
      </c>
      <c r="GN17" s="155" t="s">
        <v>56</v>
      </c>
      <c r="GO17" s="155" t="s">
        <v>56</v>
      </c>
      <c r="GP17" s="155" t="s">
        <v>56</v>
      </c>
      <c r="GQ17" s="155"/>
      <c r="GR17" s="155"/>
      <c r="GS17" s="155"/>
      <c r="GT17" s="155"/>
      <c r="GU17" s="155"/>
      <c r="GV17" s="155"/>
      <c r="GW17" s="155"/>
      <c r="GX17" s="155"/>
      <c r="GY17" s="377">
        <f>SUM(HA17:HJ17)</f>
        <v>17</v>
      </c>
      <c r="GZ17" s="379"/>
      <c r="HA17" s="377">
        <v>6</v>
      </c>
      <c r="HB17" s="379"/>
      <c r="HC17" s="377">
        <v>4</v>
      </c>
      <c r="HD17" s="379"/>
      <c r="HE17" s="377">
        <v>1</v>
      </c>
      <c r="HF17" s="379"/>
      <c r="HG17" s="377">
        <v>6</v>
      </c>
      <c r="HH17" s="379"/>
      <c r="HI17" s="377">
        <v>0</v>
      </c>
      <c r="HJ17" s="379"/>
      <c r="HK17" s="377">
        <v>35</v>
      </c>
      <c r="HL17" s="379"/>
      <c r="HM17" s="357">
        <f>GY17+HK17</f>
        <v>52</v>
      </c>
      <c r="HN17" s="357"/>
    </row>
    <row r="18" spans="1:222" ht="50.1" customHeight="1" x14ac:dyDescent="0.4">
      <c r="A18" s="13"/>
      <c r="B18" s="13"/>
      <c r="C18" s="14"/>
      <c r="D18" s="138"/>
      <c r="E18" s="138"/>
      <c r="F18" s="138"/>
      <c r="G18" s="138"/>
      <c r="H18" s="159"/>
      <c r="I18" s="159"/>
      <c r="J18" s="159"/>
      <c r="K18" s="159"/>
      <c r="L18" s="159"/>
      <c r="M18" s="159"/>
      <c r="N18" s="159"/>
      <c r="O18" s="159"/>
      <c r="P18" s="159"/>
      <c r="Q18" s="159"/>
      <c r="R18" s="159"/>
      <c r="S18" s="159"/>
      <c r="T18" s="159"/>
      <c r="U18" s="159"/>
      <c r="V18" s="159"/>
      <c r="W18" s="159"/>
      <c r="X18" s="159"/>
      <c r="Y18" s="159"/>
      <c r="Z18" s="159"/>
      <c r="AA18" s="159"/>
      <c r="AB18" s="159"/>
      <c r="AC18" s="159"/>
      <c r="AD18" s="159"/>
      <c r="AE18" s="159"/>
      <c r="AF18" s="159"/>
      <c r="AG18" s="159"/>
      <c r="AH18" s="159"/>
      <c r="AI18" s="159"/>
      <c r="AJ18" s="159"/>
      <c r="AK18" s="159"/>
      <c r="AL18" s="159"/>
      <c r="AM18" s="159"/>
      <c r="AN18" s="159"/>
      <c r="AO18" s="159"/>
      <c r="AP18" s="159"/>
      <c r="AQ18" s="159"/>
      <c r="AR18" s="159"/>
      <c r="AS18" s="159"/>
      <c r="AT18" s="159"/>
      <c r="AU18" s="159"/>
      <c r="AV18" s="159"/>
      <c r="AW18" s="159"/>
      <c r="AX18" s="159"/>
      <c r="AY18" s="159"/>
      <c r="AZ18" s="159"/>
      <c r="BA18" s="159"/>
      <c r="BB18" s="159"/>
      <c r="BC18" s="159"/>
      <c r="BD18" s="159"/>
      <c r="BE18" s="159"/>
      <c r="BF18" s="159"/>
      <c r="BG18" s="159"/>
      <c r="BH18" s="159"/>
      <c r="BI18" s="159"/>
      <c r="BJ18" s="159"/>
      <c r="BK18" s="159"/>
      <c r="BL18" s="159"/>
      <c r="BM18" s="159"/>
      <c r="BN18" s="159"/>
      <c r="BO18" s="159"/>
      <c r="BP18" s="159"/>
      <c r="BQ18" s="159"/>
      <c r="BR18" s="159"/>
      <c r="BS18" s="159"/>
      <c r="BT18" s="159"/>
      <c r="BU18" s="159"/>
      <c r="BV18" s="159"/>
      <c r="BW18" s="159"/>
      <c r="BX18" s="159"/>
      <c r="BY18" s="159"/>
      <c r="BZ18" s="159"/>
      <c r="CA18" s="159"/>
      <c r="CB18" s="159"/>
      <c r="CC18" s="159"/>
      <c r="CD18" s="159"/>
      <c r="CE18" s="159"/>
      <c r="CF18" s="159"/>
      <c r="CG18" s="159"/>
      <c r="CH18" s="159"/>
      <c r="CI18" s="159"/>
      <c r="CJ18" s="159"/>
      <c r="CK18" s="159"/>
      <c r="CL18" s="159"/>
      <c r="CM18" s="159"/>
      <c r="CN18" s="159"/>
      <c r="CO18" s="159"/>
      <c r="CP18" s="159"/>
      <c r="CQ18" s="159"/>
      <c r="CR18" s="159"/>
      <c r="CS18" s="159"/>
      <c r="CT18" s="159"/>
      <c r="CU18" s="159"/>
      <c r="CV18" s="159"/>
      <c r="CW18" s="159"/>
      <c r="CX18" s="159"/>
      <c r="CY18" s="159"/>
      <c r="CZ18" s="159"/>
      <c r="DA18" s="159"/>
      <c r="DB18" s="159"/>
      <c r="DC18" s="159"/>
      <c r="DD18" s="159"/>
      <c r="DE18" s="159"/>
      <c r="DF18" s="159"/>
      <c r="DG18" s="159"/>
      <c r="DH18" s="159"/>
      <c r="DI18" s="159"/>
      <c r="DJ18" s="159"/>
      <c r="DK18" s="159"/>
      <c r="DL18" s="138"/>
      <c r="DM18" s="138"/>
      <c r="DN18" s="138"/>
      <c r="DO18" s="138"/>
      <c r="DP18" s="139"/>
      <c r="DQ18" s="139"/>
      <c r="DR18" s="139"/>
      <c r="DS18" s="139"/>
      <c r="DT18" s="139"/>
      <c r="DU18" s="139"/>
      <c r="DV18" s="139"/>
      <c r="DW18" s="139"/>
      <c r="DX18" s="139"/>
      <c r="DY18" s="139"/>
      <c r="DZ18" s="139"/>
      <c r="EA18" s="139"/>
      <c r="EB18" s="139"/>
      <c r="EC18" s="139"/>
      <c r="ED18" s="139"/>
      <c r="EE18" s="138"/>
      <c r="EF18" s="138"/>
      <c r="EG18" s="138"/>
      <c r="EH18" s="138"/>
      <c r="EI18" s="138"/>
      <c r="EJ18" s="138"/>
      <c r="EK18" s="15"/>
      <c r="EL18" s="15"/>
      <c r="EM18" s="15"/>
      <c r="EN18" s="15"/>
      <c r="EO18" s="16"/>
      <c r="EP18" s="16"/>
      <c r="EQ18" s="141"/>
      <c r="ER18" s="8"/>
      <c r="ES18" s="8"/>
      <c r="ET18" s="8"/>
      <c r="EU18" s="8"/>
      <c r="EW18" s="465" t="s">
        <v>2</v>
      </c>
      <c r="EX18" s="465"/>
      <c r="EY18" s="155"/>
      <c r="EZ18" s="155"/>
      <c r="FA18" s="155"/>
      <c r="FB18" s="155"/>
      <c r="FC18" s="155"/>
      <c r="FD18" s="155"/>
      <c r="FE18" s="155"/>
      <c r="FF18" s="155"/>
      <c r="FG18" s="155"/>
      <c r="FH18" s="155"/>
      <c r="FI18" s="155"/>
      <c r="FJ18" s="155"/>
      <c r="FK18" s="155" t="s">
        <v>44</v>
      </c>
      <c r="FL18" s="155" t="s">
        <v>176</v>
      </c>
      <c r="FM18" s="155" t="s">
        <v>176</v>
      </c>
      <c r="FN18" s="155" t="s">
        <v>176</v>
      </c>
      <c r="FO18" s="155" t="s">
        <v>54</v>
      </c>
      <c r="FP18" s="155" t="s">
        <v>54</v>
      </c>
      <c r="FQ18" s="155" t="s">
        <v>55</v>
      </c>
      <c r="FR18" s="155" t="s">
        <v>56</v>
      </c>
      <c r="FS18" s="155" t="s">
        <v>56</v>
      </c>
      <c r="FT18" s="155" t="s">
        <v>56</v>
      </c>
      <c r="FU18" s="155"/>
      <c r="FV18" s="155"/>
      <c r="FW18" s="155"/>
      <c r="FX18" s="155"/>
      <c r="FY18" s="155"/>
      <c r="FZ18" s="155"/>
      <c r="GA18" s="155"/>
      <c r="GB18" s="155"/>
      <c r="GC18" s="155"/>
      <c r="GD18" s="155"/>
      <c r="GE18" s="155"/>
      <c r="GF18" s="155"/>
      <c r="GG18" s="155"/>
      <c r="GH18" s="155"/>
      <c r="GI18" s="155"/>
      <c r="GJ18" s="155" t="s">
        <v>176</v>
      </c>
      <c r="GK18" s="155" t="s">
        <v>176</v>
      </c>
      <c r="GL18" s="155" t="s">
        <v>176</v>
      </c>
      <c r="GM18" s="155" t="s">
        <v>55</v>
      </c>
      <c r="GN18" s="155" t="s">
        <v>56</v>
      </c>
      <c r="GO18" s="155" t="s">
        <v>56</v>
      </c>
      <c r="GP18" s="155" t="s">
        <v>56</v>
      </c>
      <c r="GQ18" s="155" t="s">
        <v>56</v>
      </c>
      <c r="GR18" s="155"/>
      <c r="GS18" s="155"/>
      <c r="GT18" s="155"/>
      <c r="GU18" s="155"/>
      <c r="GV18" s="155"/>
      <c r="GW18" s="155"/>
      <c r="GX18" s="155"/>
      <c r="GY18" s="377">
        <f>SUM(HA18:HJ18)</f>
        <v>18</v>
      </c>
      <c r="GZ18" s="379"/>
      <c r="HA18" s="377">
        <v>6</v>
      </c>
      <c r="HB18" s="379"/>
      <c r="HC18" s="377">
        <v>4</v>
      </c>
      <c r="HD18" s="379"/>
      <c r="HE18" s="377">
        <v>1</v>
      </c>
      <c r="HF18" s="379"/>
      <c r="HG18" s="377">
        <v>7</v>
      </c>
      <c r="HH18" s="379"/>
      <c r="HI18" s="377">
        <v>0</v>
      </c>
      <c r="HJ18" s="379"/>
      <c r="HK18" s="377">
        <v>34</v>
      </c>
      <c r="HL18" s="379"/>
      <c r="HM18" s="357">
        <f>GY18+HK18</f>
        <v>52</v>
      </c>
      <c r="HN18" s="357"/>
    </row>
    <row r="19" spans="1:222" ht="50.1" customHeight="1" x14ac:dyDescent="0.4">
      <c r="A19" s="13"/>
      <c r="B19" s="13"/>
      <c r="C19" s="14"/>
      <c r="D19" s="75"/>
      <c r="E19" s="75"/>
      <c r="F19" s="75"/>
      <c r="G19" s="75"/>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101"/>
      <c r="CL19" s="101"/>
      <c r="CM19" s="101"/>
      <c r="CN19" s="101"/>
      <c r="CO19" s="101"/>
      <c r="CP19" s="101"/>
      <c r="CQ19" s="101"/>
      <c r="CR19" s="101"/>
      <c r="CS19" s="101"/>
      <c r="CT19" s="101"/>
      <c r="CU19" s="101"/>
      <c r="CV19" s="101"/>
      <c r="CW19" s="101"/>
      <c r="CX19" s="101"/>
      <c r="CY19" s="101"/>
      <c r="CZ19" s="101"/>
      <c r="DA19" s="101"/>
      <c r="DB19" s="101"/>
      <c r="DC19" s="101"/>
      <c r="DD19" s="101"/>
      <c r="DE19" s="101"/>
      <c r="DF19" s="101"/>
      <c r="DG19" s="101"/>
      <c r="DH19" s="101"/>
      <c r="DI19" s="101"/>
      <c r="DJ19" s="101"/>
      <c r="DK19" s="101"/>
      <c r="DL19" s="75"/>
      <c r="DM19" s="75"/>
      <c r="DN19" s="75"/>
      <c r="DO19" s="75"/>
      <c r="DP19" s="161"/>
      <c r="DQ19" s="161"/>
      <c r="DR19" s="161"/>
      <c r="DS19" s="161"/>
      <c r="DT19" s="161"/>
      <c r="DU19" s="161"/>
      <c r="DV19" s="161"/>
      <c r="DW19" s="161"/>
      <c r="DX19" s="161"/>
      <c r="DY19" s="161"/>
      <c r="DZ19" s="161"/>
      <c r="EA19" s="161"/>
      <c r="EB19" s="161"/>
      <c r="EC19" s="161"/>
      <c r="ED19" s="161"/>
      <c r="EE19" s="75"/>
      <c r="EF19" s="75"/>
      <c r="EG19" s="75"/>
      <c r="EH19" s="75"/>
      <c r="EI19" s="75"/>
      <c r="EJ19" s="75"/>
      <c r="EK19" s="15"/>
      <c r="EL19" s="15"/>
      <c r="EM19" s="15"/>
      <c r="EN19" s="15"/>
      <c r="EO19" s="16"/>
      <c r="EP19" s="16"/>
      <c r="EQ19" s="141"/>
      <c r="ER19" s="8"/>
      <c r="ES19" s="8"/>
      <c r="ET19" s="8"/>
      <c r="EU19" s="8"/>
      <c r="EW19" s="465" t="s">
        <v>178</v>
      </c>
      <c r="EX19" s="465"/>
      <c r="EY19" s="155"/>
      <c r="EZ19" s="155"/>
      <c r="FA19" s="155"/>
      <c r="FB19" s="155"/>
      <c r="FC19" s="155"/>
      <c r="FD19" s="155"/>
      <c r="FE19" s="155"/>
      <c r="FF19" s="155" t="s">
        <v>44</v>
      </c>
      <c r="FG19" s="155" t="s">
        <v>176</v>
      </c>
      <c r="FH19" s="155" t="s">
        <v>176</v>
      </c>
      <c r="FI19" s="155" t="s">
        <v>176</v>
      </c>
      <c r="FJ19" s="155" t="s">
        <v>55</v>
      </c>
      <c r="FK19" s="155" t="s">
        <v>56</v>
      </c>
      <c r="FL19" s="155" t="s">
        <v>56</v>
      </c>
      <c r="FM19" s="155" t="s">
        <v>56</v>
      </c>
      <c r="FN19" s="155" t="s">
        <v>56</v>
      </c>
      <c r="FO19" s="155" t="s">
        <v>54</v>
      </c>
      <c r="FP19" s="155" t="s">
        <v>54</v>
      </c>
      <c r="FQ19" s="155"/>
      <c r="FR19" s="155"/>
      <c r="FS19" s="155"/>
      <c r="FT19" s="155"/>
      <c r="FU19" s="155"/>
      <c r="FV19" s="155"/>
      <c r="FW19" s="155"/>
      <c r="FX19" s="155"/>
      <c r="FY19" s="155"/>
      <c r="FZ19" s="155"/>
      <c r="GA19" s="155"/>
      <c r="GB19" s="155"/>
      <c r="GC19" s="155"/>
      <c r="GD19" s="155" t="s">
        <v>176</v>
      </c>
      <c r="GE19" s="155" t="s">
        <v>176</v>
      </c>
      <c r="GF19" s="155" t="s">
        <v>176</v>
      </c>
      <c r="GG19" s="155" t="s">
        <v>55</v>
      </c>
      <c r="GH19" s="155" t="s">
        <v>56</v>
      </c>
      <c r="GI19" s="155" t="s">
        <v>56</v>
      </c>
      <c r="GJ19" s="155" t="s">
        <v>56</v>
      </c>
      <c r="GK19" s="155" t="s">
        <v>56</v>
      </c>
      <c r="GL19" s="155" t="s">
        <v>56</v>
      </c>
      <c r="GM19" s="155" t="s">
        <v>56</v>
      </c>
      <c r="GN19" s="155" t="s">
        <v>16</v>
      </c>
      <c r="GO19" s="155" t="s">
        <v>16</v>
      </c>
      <c r="GP19" s="155"/>
      <c r="GQ19" s="155"/>
      <c r="GR19" s="155"/>
      <c r="GS19" s="155"/>
      <c r="GT19" s="155"/>
      <c r="GU19" s="155"/>
      <c r="GV19" s="155"/>
      <c r="GW19" s="155"/>
      <c r="GX19" s="155"/>
      <c r="GY19" s="377">
        <f>SUM(HA19:HJ19)</f>
        <v>23</v>
      </c>
      <c r="GZ19" s="379"/>
      <c r="HA19" s="377">
        <v>6</v>
      </c>
      <c r="HB19" s="379"/>
      <c r="HC19" s="377">
        <v>4</v>
      </c>
      <c r="HD19" s="379"/>
      <c r="HE19" s="377">
        <v>1</v>
      </c>
      <c r="HF19" s="379"/>
      <c r="HG19" s="377">
        <v>10</v>
      </c>
      <c r="HH19" s="379"/>
      <c r="HI19" s="377">
        <v>2</v>
      </c>
      <c r="HJ19" s="379"/>
      <c r="HK19" s="377">
        <v>25</v>
      </c>
      <c r="HL19" s="379"/>
      <c r="HM19" s="357">
        <f>GY19+HK19</f>
        <v>48</v>
      </c>
      <c r="HN19" s="357"/>
    </row>
    <row r="20" spans="1:222" ht="50.1" customHeight="1" x14ac:dyDescent="0.4">
      <c r="A20" s="13"/>
      <c r="B20" s="13"/>
      <c r="C20" s="14"/>
      <c r="D20" s="138"/>
      <c r="E20" s="138"/>
      <c r="F20" s="138"/>
      <c r="G20" s="138"/>
      <c r="H20" s="159"/>
      <c r="I20" s="159"/>
      <c r="J20" s="159"/>
      <c r="K20" s="159"/>
      <c r="L20" s="159"/>
      <c r="M20" s="159"/>
      <c r="N20" s="159"/>
      <c r="O20" s="159"/>
      <c r="P20" s="159"/>
      <c r="Q20" s="159"/>
      <c r="R20" s="159"/>
      <c r="S20" s="159"/>
      <c r="T20" s="159"/>
      <c r="U20" s="159"/>
      <c r="V20" s="159"/>
      <c r="W20" s="159"/>
      <c r="X20" s="159"/>
      <c r="Y20" s="159"/>
      <c r="Z20" s="159"/>
      <c r="AA20" s="159"/>
      <c r="AB20" s="159"/>
      <c r="AC20" s="159"/>
      <c r="AD20" s="159"/>
      <c r="AE20" s="159"/>
      <c r="AF20" s="159"/>
      <c r="AG20" s="159"/>
      <c r="AH20" s="159"/>
      <c r="AI20" s="159"/>
      <c r="AJ20" s="159"/>
      <c r="AK20" s="159"/>
      <c r="AL20" s="159"/>
      <c r="AM20" s="159"/>
      <c r="AN20" s="159"/>
      <c r="AO20" s="159"/>
      <c r="AP20" s="159"/>
      <c r="AQ20" s="159"/>
      <c r="AR20" s="159"/>
      <c r="AS20" s="159"/>
      <c r="AT20" s="159"/>
      <c r="AU20" s="159"/>
      <c r="AV20" s="159"/>
      <c r="AW20" s="159"/>
      <c r="AX20" s="159"/>
      <c r="AY20" s="159"/>
      <c r="AZ20" s="159"/>
      <c r="BA20" s="159"/>
      <c r="BB20" s="159"/>
      <c r="BC20" s="159"/>
      <c r="BD20" s="159"/>
      <c r="BE20" s="159"/>
      <c r="BF20" s="159"/>
      <c r="BG20" s="159"/>
      <c r="BH20" s="159"/>
      <c r="BI20" s="159"/>
      <c r="BJ20" s="159"/>
      <c r="BK20" s="159"/>
      <c r="BL20" s="159"/>
      <c r="BM20" s="159"/>
      <c r="BN20" s="159"/>
      <c r="BO20" s="159"/>
      <c r="BP20" s="159"/>
      <c r="BQ20" s="159"/>
      <c r="BR20" s="159"/>
      <c r="BS20" s="159"/>
      <c r="BT20" s="159"/>
      <c r="BU20" s="159"/>
      <c r="BV20" s="159"/>
      <c r="BW20" s="159"/>
      <c r="BX20" s="159"/>
      <c r="BY20" s="159"/>
      <c r="BZ20" s="159"/>
      <c r="CA20" s="159"/>
      <c r="CB20" s="159"/>
      <c r="CC20" s="159"/>
      <c r="CD20" s="159"/>
      <c r="CE20" s="159"/>
      <c r="CF20" s="159"/>
      <c r="CG20" s="159"/>
      <c r="CH20" s="159"/>
      <c r="CI20" s="159"/>
      <c r="CJ20" s="159"/>
      <c r="CK20" s="159"/>
      <c r="CL20" s="159"/>
      <c r="CM20" s="159"/>
      <c r="CN20" s="159"/>
      <c r="CO20" s="159"/>
      <c r="CP20" s="159"/>
      <c r="CQ20" s="159"/>
      <c r="CR20" s="159"/>
      <c r="CS20" s="159"/>
      <c r="CT20" s="159"/>
      <c r="CU20" s="159"/>
      <c r="CV20" s="159"/>
      <c r="CW20" s="159"/>
      <c r="CX20" s="159"/>
      <c r="CY20" s="159"/>
      <c r="CZ20" s="159"/>
      <c r="DA20" s="159"/>
      <c r="DB20" s="159"/>
      <c r="DC20" s="159"/>
      <c r="DD20" s="159"/>
      <c r="DE20" s="159"/>
      <c r="DF20" s="159"/>
      <c r="DG20" s="159"/>
      <c r="DH20" s="159"/>
      <c r="DI20" s="159"/>
      <c r="DJ20" s="159"/>
      <c r="DK20" s="159"/>
      <c r="DL20" s="138"/>
      <c r="DM20" s="138"/>
      <c r="DN20" s="138"/>
      <c r="DO20" s="138"/>
      <c r="DP20" s="139"/>
      <c r="DQ20" s="139"/>
      <c r="DR20" s="139"/>
      <c r="DS20" s="139"/>
      <c r="DT20" s="139"/>
      <c r="DU20" s="139"/>
      <c r="DV20" s="139"/>
      <c r="DW20" s="139"/>
      <c r="DX20" s="139"/>
      <c r="DY20" s="139"/>
      <c r="DZ20" s="139"/>
      <c r="EA20" s="139"/>
      <c r="EB20" s="139"/>
      <c r="EC20" s="139"/>
      <c r="ED20" s="139"/>
      <c r="EE20" s="138"/>
      <c r="EF20" s="138"/>
      <c r="EG20" s="138"/>
      <c r="EH20" s="138"/>
      <c r="EI20" s="138"/>
      <c r="EJ20" s="138"/>
      <c r="EK20" s="15"/>
      <c r="EL20" s="15"/>
      <c r="EM20" s="15"/>
      <c r="EN20" s="15"/>
      <c r="EO20" s="16"/>
      <c r="EP20" s="16"/>
      <c r="EQ20" s="16"/>
      <c r="ER20" s="8"/>
      <c r="ES20" s="8"/>
      <c r="ET20" s="8"/>
      <c r="EU20" s="8"/>
      <c r="EW20" s="762" t="s">
        <v>22</v>
      </c>
      <c r="EX20" s="762"/>
      <c r="EY20" s="762"/>
      <c r="EZ20" s="762"/>
      <c r="FA20" s="762"/>
      <c r="FB20" s="762"/>
      <c r="FC20" s="762"/>
      <c r="FD20" s="762"/>
      <c r="FE20" s="762"/>
      <c r="FF20" s="762"/>
      <c r="FG20" s="762"/>
      <c r="FH20" s="762"/>
      <c r="FI20" s="762"/>
      <c r="FJ20" s="762"/>
      <c r="FK20" s="762"/>
      <c r="FL20" s="762"/>
      <c r="FM20" s="762"/>
      <c r="FN20" s="762"/>
      <c r="FO20" s="762"/>
      <c r="FP20" s="762"/>
      <c r="FQ20" s="762"/>
      <c r="FR20" s="762"/>
      <c r="FS20" s="762"/>
      <c r="FT20" s="762"/>
      <c r="FU20" s="762"/>
      <c r="FV20" s="762"/>
      <c r="FW20" s="762"/>
      <c r="FX20" s="762"/>
      <c r="FY20" s="762"/>
      <c r="FZ20" s="762"/>
      <c r="GA20" s="762"/>
      <c r="GB20" s="762"/>
      <c r="GC20" s="762"/>
      <c r="GD20" s="762"/>
      <c r="GE20" s="762"/>
      <c r="GF20" s="762"/>
      <c r="GG20" s="762"/>
      <c r="GH20" s="762"/>
      <c r="GI20" s="762"/>
      <c r="GJ20" s="762"/>
      <c r="GK20" s="762"/>
      <c r="GL20" s="762"/>
      <c r="GM20" s="762"/>
      <c r="GN20" s="762"/>
      <c r="GO20" s="762"/>
      <c r="GP20" s="762"/>
      <c r="GQ20" s="762"/>
      <c r="GR20" s="762"/>
      <c r="GS20" s="762"/>
      <c r="GT20" s="762"/>
      <c r="GU20" s="762"/>
      <c r="GV20" s="762"/>
      <c r="GW20" s="762"/>
      <c r="GX20" s="762"/>
      <c r="GY20" s="377">
        <f>SUM(GY15:GZ19)</f>
        <v>83</v>
      </c>
      <c r="GZ20" s="379"/>
      <c r="HA20" s="377">
        <f t="shared" ref="HA20" si="0">SUM(HA15:HB19)</f>
        <v>30</v>
      </c>
      <c r="HB20" s="379"/>
      <c r="HC20" s="377">
        <f t="shared" ref="HC20" si="1">SUM(HC15:HD19)</f>
        <v>20</v>
      </c>
      <c r="HD20" s="379"/>
      <c r="HE20" s="377">
        <f t="shared" ref="HE20" si="2">SUM(HE15:HF19)</f>
        <v>6</v>
      </c>
      <c r="HF20" s="379"/>
      <c r="HG20" s="377">
        <f t="shared" ref="HG20" si="3">SUM(HG15:HH19)</f>
        <v>25</v>
      </c>
      <c r="HH20" s="379"/>
      <c r="HI20" s="377">
        <f t="shared" ref="HI20" si="4">SUM(HI15:HJ19)</f>
        <v>2</v>
      </c>
      <c r="HJ20" s="379"/>
      <c r="HK20" s="377">
        <f t="shared" ref="HK20" si="5">SUM(HK15:HL19)</f>
        <v>173</v>
      </c>
      <c r="HL20" s="379"/>
      <c r="HM20" s="377">
        <f t="shared" ref="HM20" si="6">SUM(HM15:HN19)</f>
        <v>256</v>
      </c>
      <c r="HN20" s="379"/>
    </row>
    <row r="21" spans="1:222" ht="43.5" thickBot="1" x14ac:dyDescent="0.45">
      <c r="A21" s="13"/>
      <c r="B21" s="13"/>
      <c r="C21" s="14"/>
      <c r="D21" s="138"/>
      <c r="E21" s="138"/>
      <c r="F21" s="138"/>
      <c r="G21" s="138"/>
      <c r="H21" s="159"/>
      <c r="I21" s="159"/>
      <c r="J21" s="159"/>
      <c r="K21" s="159"/>
      <c r="L21" s="159"/>
      <c r="M21" s="159"/>
      <c r="N21" s="159"/>
      <c r="O21" s="159"/>
      <c r="P21" s="159"/>
      <c r="Q21" s="159"/>
      <c r="R21" s="159"/>
      <c r="S21" s="159"/>
      <c r="T21" s="159"/>
      <c r="U21" s="159"/>
      <c r="V21" s="159"/>
      <c r="W21" s="159"/>
      <c r="X21" s="159"/>
      <c r="Y21" s="159"/>
      <c r="Z21" s="159"/>
      <c r="AA21" s="159"/>
      <c r="AB21" s="159"/>
      <c r="AC21" s="159"/>
      <c r="AD21" s="159"/>
      <c r="AE21" s="159"/>
      <c r="AF21" s="159"/>
      <c r="AG21" s="159"/>
      <c r="AH21" s="159"/>
      <c r="AI21" s="159"/>
      <c r="AJ21" s="159"/>
      <c r="AK21" s="159"/>
      <c r="AL21" s="159"/>
      <c r="AM21" s="159"/>
      <c r="AN21" s="159"/>
      <c r="AO21" s="159"/>
      <c r="AP21" s="159"/>
      <c r="AQ21" s="159"/>
      <c r="AR21" s="159"/>
      <c r="AS21" s="159"/>
      <c r="AT21" s="159"/>
      <c r="AU21" s="159"/>
      <c r="AV21" s="159"/>
      <c r="AW21" s="159"/>
      <c r="AX21" s="159"/>
      <c r="AY21" s="159"/>
      <c r="AZ21" s="159"/>
      <c r="BA21" s="159"/>
      <c r="BB21" s="159"/>
      <c r="BC21" s="159"/>
      <c r="BD21" s="159"/>
      <c r="BE21" s="159"/>
      <c r="BF21" s="159"/>
      <c r="BG21" s="159"/>
      <c r="BH21" s="159"/>
      <c r="BI21" s="159"/>
      <c r="BJ21" s="159"/>
      <c r="BK21" s="159"/>
      <c r="BL21" s="159"/>
      <c r="BM21" s="159"/>
      <c r="BN21" s="159"/>
      <c r="BO21" s="159"/>
      <c r="BP21" s="159"/>
      <c r="BQ21" s="159"/>
      <c r="BR21" s="159"/>
      <c r="BS21" s="159"/>
      <c r="BT21" s="159"/>
      <c r="BU21" s="159"/>
      <c r="BV21" s="159"/>
      <c r="BW21" s="159"/>
      <c r="BX21" s="159"/>
      <c r="BY21" s="159"/>
      <c r="BZ21" s="159"/>
      <c r="CA21" s="159"/>
      <c r="CB21" s="159"/>
      <c r="CC21" s="159"/>
      <c r="CD21" s="159"/>
      <c r="CE21" s="159"/>
      <c r="CF21" s="159"/>
      <c r="CG21" s="159"/>
      <c r="CH21" s="159"/>
      <c r="CI21" s="159"/>
      <c r="CJ21" s="159"/>
      <c r="CK21" s="159"/>
      <c r="CL21" s="159"/>
      <c r="CM21" s="159"/>
      <c r="CN21" s="159"/>
      <c r="CO21" s="159"/>
      <c r="CP21" s="159"/>
      <c r="CQ21" s="159"/>
      <c r="CR21" s="159"/>
      <c r="CS21" s="159"/>
      <c r="CT21" s="159"/>
      <c r="CU21" s="159"/>
      <c r="CV21" s="159"/>
      <c r="CW21" s="159"/>
      <c r="CX21" s="159"/>
      <c r="CY21" s="159"/>
      <c r="CZ21" s="159"/>
      <c r="DA21" s="159"/>
      <c r="DB21" s="159"/>
      <c r="DC21" s="159"/>
      <c r="DD21" s="159"/>
      <c r="DE21" s="159"/>
      <c r="DF21" s="159"/>
      <c r="DG21" s="159"/>
      <c r="DH21" s="159"/>
      <c r="DI21" s="159"/>
      <c r="DJ21" s="159"/>
      <c r="DK21" s="159"/>
      <c r="DL21" s="138"/>
      <c r="DM21" s="138"/>
      <c r="DN21" s="138"/>
      <c r="DO21" s="138"/>
      <c r="DP21" s="139"/>
      <c r="DQ21" s="139"/>
      <c r="DR21" s="139"/>
      <c r="DS21" s="139"/>
      <c r="DT21" s="139"/>
      <c r="DU21" s="139"/>
      <c r="DV21" s="139"/>
      <c r="DW21" s="139"/>
      <c r="DX21" s="139"/>
      <c r="DY21" s="139"/>
      <c r="DZ21" s="139"/>
      <c r="EA21" s="139"/>
      <c r="EB21" s="139"/>
      <c r="EC21" s="139"/>
      <c r="ED21" s="139"/>
      <c r="EE21" s="138"/>
      <c r="EF21" s="138"/>
      <c r="EG21" s="138"/>
      <c r="EH21" s="138"/>
      <c r="EI21" s="138"/>
      <c r="EJ21" s="138"/>
      <c r="EK21" s="15"/>
      <c r="EL21" s="15"/>
      <c r="EM21" s="15"/>
      <c r="EN21" s="15"/>
      <c r="EO21" s="16"/>
      <c r="EP21" s="16"/>
      <c r="EQ21" s="16"/>
      <c r="ER21" s="8"/>
      <c r="ES21" s="8"/>
      <c r="ET21" s="8"/>
      <c r="EU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row>
    <row r="22" spans="1:222" ht="120" customHeight="1" thickBot="1" x14ac:dyDescent="0.7">
      <c r="A22" s="13"/>
      <c r="B22" s="13"/>
      <c r="C22" s="14"/>
      <c r="D22" s="138"/>
      <c r="E22" s="138"/>
      <c r="F22" s="138"/>
      <c r="G22" s="138"/>
      <c r="H22" s="138"/>
      <c r="I22" s="138"/>
      <c r="J22" s="138"/>
      <c r="K22" s="138"/>
      <c r="L22" s="138"/>
      <c r="M22" s="138"/>
      <c r="N22" s="138"/>
      <c r="O22" s="138"/>
      <c r="P22" s="138"/>
      <c r="Q22" s="138"/>
      <c r="R22" s="138"/>
      <c r="S22" s="138"/>
      <c r="T22" s="138"/>
      <c r="U22" s="138"/>
      <c r="V22" s="138"/>
      <c r="W22" s="138"/>
      <c r="X22" s="138"/>
      <c r="Y22" s="138"/>
      <c r="Z22" s="138"/>
      <c r="AA22" s="138"/>
      <c r="AB22" s="138"/>
      <c r="AC22" s="138"/>
      <c r="AD22" s="138"/>
      <c r="AE22" s="138"/>
      <c r="AF22" s="138"/>
      <c r="AG22" s="138"/>
      <c r="AH22" s="138"/>
      <c r="AI22" s="138"/>
      <c r="AJ22" s="138"/>
      <c r="AK22" s="138"/>
      <c r="AL22" s="138"/>
      <c r="AM22" s="138"/>
      <c r="AN22" s="138"/>
      <c r="AO22" s="138"/>
      <c r="AP22" s="138"/>
      <c r="AQ22" s="138"/>
      <c r="AR22" s="138"/>
      <c r="AS22" s="138"/>
      <c r="AT22" s="138"/>
      <c r="AU22" s="138"/>
      <c r="AV22" s="138"/>
      <c r="AW22" s="138"/>
      <c r="AX22" s="138"/>
      <c r="AY22" s="138"/>
      <c r="AZ22" s="138"/>
      <c r="BA22" s="138"/>
      <c r="BB22" s="138"/>
      <c r="BC22" s="138"/>
      <c r="BD22" s="138"/>
      <c r="BE22" s="138"/>
      <c r="BF22" s="138"/>
      <c r="BG22" s="138"/>
      <c r="BH22" s="138"/>
      <c r="BI22" s="138"/>
      <c r="BJ22" s="138"/>
      <c r="BK22" s="138"/>
      <c r="BL22" s="138"/>
      <c r="BM22" s="138"/>
      <c r="BN22" s="138"/>
      <c r="BO22" s="138"/>
      <c r="BP22" s="138"/>
      <c r="BQ22" s="138"/>
      <c r="BR22" s="138"/>
      <c r="BS22" s="138"/>
      <c r="BT22" s="138"/>
      <c r="BU22" s="138"/>
      <c r="BV22" s="138"/>
      <c r="BW22" s="138"/>
      <c r="BX22" s="138"/>
      <c r="BY22" s="138"/>
      <c r="BZ22" s="138"/>
      <c r="CA22" s="138"/>
      <c r="CB22" s="138"/>
      <c r="CC22" s="138"/>
      <c r="CD22" s="138"/>
      <c r="CE22" s="138"/>
      <c r="CF22" s="138"/>
      <c r="CG22" s="138"/>
      <c r="CH22" s="138"/>
      <c r="CI22" s="138"/>
      <c r="CJ22" s="138"/>
      <c r="CK22" s="138"/>
      <c r="CL22" s="138"/>
      <c r="CM22" s="138"/>
      <c r="CN22" s="138"/>
      <c r="CO22" s="138"/>
      <c r="CP22" s="138"/>
      <c r="CQ22" s="138"/>
      <c r="CR22" s="138"/>
      <c r="CS22" s="138"/>
      <c r="CT22" s="138"/>
      <c r="CU22" s="138"/>
      <c r="CV22" s="138"/>
      <c r="CW22" s="138"/>
      <c r="CX22" s="138"/>
      <c r="CY22" s="138"/>
      <c r="CZ22" s="138"/>
      <c r="DA22" s="138"/>
      <c r="DB22" s="138"/>
      <c r="DC22" s="138"/>
      <c r="DD22" s="138"/>
      <c r="DE22" s="138"/>
      <c r="DF22" s="138"/>
      <c r="DG22" s="138"/>
      <c r="DH22" s="138"/>
      <c r="DI22" s="138"/>
      <c r="DJ22" s="138"/>
      <c r="DK22" s="138"/>
      <c r="DL22" s="138"/>
      <c r="DM22" s="138"/>
      <c r="DN22" s="138"/>
      <c r="DO22" s="138"/>
      <c r="DP22" s="138"/>
      <c r="DQ22" s="138"/>
      <c r="DR22" s="138"/>
      <c r="DS22" s="138"/>
      <c r="DT22" s="138"/>
      <c r="DU22" s="138"/>
      <c r="DV22" s="138"/>
      <c r="DW22" s="138"/>
      <c r="DX22" s="138"/>
      <c r="DY22" s="138"/>
      <c r="DZ22" s="138"/>
      <c r="EA22" s="138"/>
      <c r="EB22" s="138"/>
      <c r="EC22" s="138"/>
      <c r="ED22" s="138"/>
      <c r="EE22" s="138"/>
      <c r="EF22" s="138"/>
      <c r="EG22" s="138"/>
      <c r="EH22" s="138"/>
      <c r="EI22" s="138"/>
      <c r="EJ22" s="138"/>
      <c r="EK22" s="15"/>
      <c r="EL22" s="15"/>
      <c r="EM22" s="15"/>
      <c r="EN22" s="15"/>
      <c r="EO22" s="16"/>
      <c r="EP22" s="16"/>
      <c r="EQ22" s="16"/>
      <c r="ER22" s="8"/>
      <c r="ES22" s="8"/>
      <c r="ET22" s="8"/>
      <c r="EU22" s="8"/>
      <c r="EW22" s="4"/>
      <c r="EX22" s="102"/>
      <c r="EY22" s="102"/>
      <c r="EZ22" s="483"/>
      <c r="FA22" s="484"/>
      <c r="FB22" s="485"/>
      <c r="FC22" s="486" t="s">
        <v>215</v>
      </c>
      <c r="FD22" s="487"/>
      <c r="FE22" s="487"/>
      <c r="FF22" s="487"/>
      <c r="FG22" s="487"/>
      <c r="FH22" s="488"/>
      <c r="FI22" s="208"/>
      <c r="FJ22" s="208"/>
      <c r="FK22" s="483" t="s">
        <v>56</v>
      </c>
      <c r="FL22" s="484"/>
      <c r="FM22" s="485"/>
      <c r="FN22" s="486" t="s">
        <v>12</v>
      </c>
      <c r="FO22" s="487"/>
      <c r="FP22" s="487"/>
      <c r="FQ22" s="487"/>
      <c r="FR22" s="487"/>
      <c r="FS22" s="488"/>
      <c r="FT22" s="208"/>
      <c r="FU22" s="208"/>
      <c r="FV22" s="483" t="s">
        <v>44</v>
      </c>
      <c r="FW22" s="484"/>
      <c r="FX22" s="485"/>
      <c r="FY22" s="486" t="s">
        <v>13</v>
      </c>
      <c r="FZ22" s="487"/>
      <c r="GA22" s="487"/>
      <c r="GB22" s="487"/>
      <c r="GC22" s="487"/>
      <c r="GD22" s="488"/>
      <c r="GE22" s="208"/>
      <c r="GF22" s="208"/>
      <c r="GG22" s="483" t="s">
        <v>55</v>
      </c>
      <c r="GH22" s="484"/>
      <c r="GI22" s="485"/>
      <c r="GJ22" s="486" t="s">
        <v>14</v>
      </c>
      <c r="GK22" s="487"/>
      <c r="GL22" s="487"/>
      <c r="GM22" s="487"/>
      <c r="GN22" s="487"/>
      <c r="GO22" s="488"/>
      <c r="GP22" s="208"/>
      <c r="GQ22" s="208"/>
      <c r="GR22" s="483" t="s">
        <v>16</v>
      </c>
      <c r="GS22" s="484"/>
      <c r="GT22" s="485"/>
      <c r="GU22" s="486" t="s">
        <v>15</v>
      </c>
      <c r="GV22" s="487"/>
      <c r="GW22" s="487"/>
      <c r="GX22" s="487"/>
      <c r="GY22" s="487"/>
      <c r="GZ22" s="488"/>
      <c r="HA22" s="208"/>
      <c r="HB22" s="208"/>
      <c r="HC22" s="483" t="s">
        <v>54</v>
      </c>
      <c r="HD22" s="484"/>
      <c r="HE22" s="485"/>
      <c r="HF22" s="754" t="s">
        <v>171</v>
      </c>
      <c r="HG22" s="755"/>
      <c r="HH22" s="755"/>
      <c r="HI22" s="755"/>
      <c r="HJ22" s="755"/>
      <c r="HK22" s="756"/>
      <c r="HL22" s="207"/>
      <c r="HM22" s="4"/>
      <c r="HN22" s="4"/>
    </row>
    <row r="23" spans="1:222" ht="20.25" customHeight="1" x14ac:dyDescent="0.4">
      <c r="A23" s="13"/>
      <c r="B23" s="13"/>
      <c r="C23" s="14"/>
      <c r="D23" s="14"/>
      <c r="E23" s="140"/>
      <c r="F23" s="141"/>
      <c r="G23" s="142"/>
      <c r="H23" s="142"/>
      <c r="I23" s="15"/>
      <c r="J23" s="15"/>
      <c r="K23" s="15"/>
      <c r="L23" s="15"/>
      <c r="M23" s="15"/>
      <c r="N23" s="15"/>
      <c r="O23" s="15"/>
      <c r="P23" s="15"/>
      <c r="Q23" s="15"/>
      <c r="R23" s="15"/>
      <c r="S23" s="15"/>
      <c r="T23" s="15"/>
      <c r="U23" s="15"/>
      <c r="V23" s="15"/>
      <c r="W23" s="143"/>
      <c r="X23" s="143"/>
      <c r="Y23" s="143"/>
      <c r="Z23" s="143"/>
      <c r="AA23" s="143"/>
      <c r="AB23" s="143"/>
      <c r="AC23" s="143"/>
      <c r="AD23" s="143"/>
      <c r="AE23" s="143"/>
      <c r="AF23" s="143"/>
      <c r="AG23" s="143"/>
      <c r="AH23" s="143"/>
      <c r="AI23" s="143"/>
      <c r="AJ23" s="143"/>
      <c r="AK23" s="143"/>
      <c r="AL23" s="143"/>
      <c r="AM23" s="143"/>
      <c r="AN23" s="143"/>
      <c r="AO23" s="143"/>
      <c r="AP23" s="143"/>
      <c r="AQ23" s="143"/>
      <c r="AR23" s="143"/>
      <c r="AS23" s="143"/>
      <c r="AT23" s="143"/>
      <c r="AU23" s="143"/>
      <c r="AV23" s="143"/>
      <c r="AW23" s="143"/>
      <c r="AX23" s="143"/>
      <c r="AY23" s="143"/>
      <c r="AZ23" s="143"/>
      <c r="BA23" s="143"/>
      <c r="BB23" s="144"/>
      <c r="BC23" s="144"/>
      <c r="BD23" s="144"/>
      <c r="BE23" s="144"/>
      <c r="BF23" s="144"/>
      <c r="BG23" s="144"/>
      <c r="BH23" s="144"/>
      <c r="BI23" s="144"/>
      <c r="BJ23" s="144"/>
      <c r="BK23" s="144"/>
      <c r="BL23" s="144"/>
      <c r="BM23" s="144"/>
      <c r="BN23" s="144"/>
      <c r="BO23" s="144"/>
      <c r="BP23" s="144"/>
      <c r="BQ23" s="144"/>
      <c r="BR23" s="144"/>
      <c r="BS23" s="144"/>
      <c r="BT23" s="144"/>
      <c r="BU23" s="144"/>
      <c r="BV23" s="144"/>
      <c r="BW23" s="143"/>
      <c r="BX23" s="143"/>
      <c r="BY23" s="143"/>
      <c r="BZ23" s="143"/>
      <c r="CA23" s="143"/>
      <c r="CB23" s="143"/>
      <c r="CC23" s="143"/>
      <c r="CD23" s="143"/>
      <c r="CE23" s="143"/>
      <c r="CF23" s="143"/>
      <c r="CG23" s="143"/>
      <c r="CH23" s="143"/>
      <c r="CI23" s="143"/>
      <c r="CJ23" s="143"/>
      <c r="CK23" s="143"/>
      <c r="CL23" s="143"/>
      <c r="CM23" s="143"/>
      <c r="CN23" s="143"/>
      <c r="CO23" s="143"/>
      <c r="CP23" s="143"/>
      <c r="CQ23" s="143"/>
      <c r="CR23" s="143"/>
      <c r="CS23" s="143"/>
      <c r="CT23" s="143"/>
      <c r="CU23" s="143"/>
      <c r="CV23" s="141"/>
      <c r="CW23" s="141"/>
      <c r="CX23" s="141"/>
      <c r="CY23" s="141"/>
      <c r="CZ23" s="141"/>
      <c r="DA23" s="141"/>
      <c r="DB23" s="141"/>
      <c r="DC23" s="141"/>
      <c r="DD23" s="141"/>
      <c r="DE23" s="141"/>
      <c r="DF23" s="141"/>
      <c r="DG23" s="141"/>
      <c r="DH23" s="141"/>
      <c r="DI23" s="141"/>
      <c r="DJ23" s="141"/>
      <c r="DK23" s="141"/>
      <c r="DL23" s="141"/>
      <c r="DM23" s="141"/>
      <c r="DN23" s="141"/>
      <c r="DO23" s="141"/>
      <c r="DP23" s="141"/>
      <c r="DQ23" s="141"/>
      <c r="DR23" s="141"/>
      <c r="DS23" s="141"/>
      <c r="DT23" s="141"/>
      <c r="DU23" s="141"/>
      <c r="DV23" s="141"/>
      <c r="DW23" s="141"/>
      <c r="DX23" s="141"/>
      <c r="DY23" s="140"/>
      <c r="DZ23" s="140"/>
      <c r="EA23" s="140"/>
      <c r="EB23" s="140"/>
      <c r="EC23" s="140"/>
      <c r="ED23" s="140"/>
      <c r="EE23" s="140"/>
      <c r="EF23" s="140"/>
      <c r="EG23" s="16"/>
      <c r="EH23" s="16"/>
      <c r="EI23" s="16"/>
      <c r="EJ23" s="15"/>
      <c r="EK23" s="15"/>
      <c r="EL23" s="15"/>
      <c r="EM23" s="15"/>
      <c r="EN23" s="15"/>
      <c r="EO23" s="16"/>
      <c r="EP23" s="16"/>
      <c r="EQ23" s="16"/>
      <c r="ER23" s="8"/>
      <c r="ES23" s="8"/>
      <c r="ET23" s="8"/>
      <c r="EU23" s="8"/>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row>
    <row r="24" spans="1:222" ht="79.5" customHeight="1" x14ac:dyDescent="0.25">
      <c r="A24" s="7"/>
      <c r="B24" s="7"/>
      <c r="C24" s="6"/>
      <c r="D24" s="162"/>
      <c r="E24" s="162"/>
      <c r="F24" s="162"/>
      <c r="G24" s="162"/>
      <c r="H24" s="162"/>
      <c r="I24" s="162"/>
      <c r="J24" s="162"/>
      <c r="K24" s="162"/>
      <c r="L24" s="162"/>
      <c r="M24" s="162"/>
      <c r="N24" s="162"/>
      <c r="O24" s="162"/>
      <c r="P24" s="162"/>
      <c r="Q24" s="162"/>
      <c r="R24" s="162"/>
      <c r="S24" s="162"/>
      <c r="T24" s="162"/>
      <c r="U24" s="153"/>
      <c r="V24" s="64"/>
      <c r="W24" s="64"/>
      <c r="X24" s="64"/>
      <c r="Y24" s="64"/>
      <c r="Z24" s="64"/>
      <c r="AA24" s="135"/>
      <c r="AB24" s="135"/>
      <c r="AC24" s="135"/>
      <c r="AD24" s="135"/>
      <c r="AE24" s="135"/>
      <c r="AF24" s="135"/>
      <c r="AG24" s="135"/>
      <c r="AH24" s="135"/>
      <c r="AI24" s="135"/>
      <c r="AJ24" s="135"/>
      <c r="AK24" s="135"/>
      <c r="AL24" s="135"/>
      <c r="AM24" s="135"/>
      <c r="AN24" s="135"/>
      <c r="AO24" s="152"/>
      <c r="AP24" s="152"/>
      <c r="AQ24" s="152"/>
      <c r="AR24" s="152"/>
      <c r="AS24" s="152"/>
      <c r="AT24" s="152"/>
      <c r="AU24" s="152"/>
      <c r="AV24" s="152"/>
      <c r="AW24" s="17"/>
      <c r="AX24" s="12"/>
      <c r="AY24" s="12"/>
      <c r="AZ24" s="12"/>
      <c r="BA24" s="12"/>
      <c r="BB24" s="12"/>
      <c r="BC24" s="12"/>
      <c r="BD24" s="18"/>
      <c r="BE24" s="153"/>
      <c r="BF24" s="17"/>
      <c r="BG24" s="17"/>
      <c r="BH24" s="17"/>
      <c r="BI24" s="17"/>
      <c r="BJ24" s="17"/>
      <c r="BK24" s="17"/>
      <c r="BL24" s="17"/>
      <c r="BM24" s="17"/>
      <c r="BN24" s="17"/>
      <c r="BO24" s="17"/>
      <c r="BP24" s="17"/>
      <c r="BQ24" s="17"/>
      <c r="BR24" s="17"/>
      <c r="BS24" s="17"/>
      <c r="BT24" s="17"/>
      <c r="BU24" s="12"/>
      <c r="BV24" s="12"/>
      <c r="BW24" s="12"/>
      <c r="BX24" s="12"/>
      <c r="BY24" s="12"/>
      <c r="BZ24" s="17"/>
      <c r="CA24" s="17"/>
      <c r="CB24" s="17"/>
      <c r="CC24" s="17"/>
      <c r="CD24" s="17"/>
      <c r="CE24" s="17"/>
      <c r="CF24" s="17"/>
      <c r="CG24" s="17"/>
      <c r="CH24" s="17"/>
      <c r="CI24" s="17"/>
      <c r="CJ24" s="17"/>
      <c r="CK24" s="17"/>
      <c r="CL24" s="17"/>
      <c r="CM24" s="17"/>
      <c r="CN24" s="17"/>
      <c r="CO24" s="17"/>
      <c r="CP24" s="17"/>
      <c r="CQ24" s="17"/>
      <c r="CR24" s="64"/>
      <c r="CS24" s="64"/>
      <c r="CT24" s="64"/>
      <c r="CU24" s="64"/>
      <c r="CV24" s="64"/>
      <c r="CW24" s="17"/>
      <c r="CX24" s="17"/>
      <c r="CY24" s="17"/>
      <c r="CZ24" s="17"/>
      <c r="DA24" s="17"/>
      <c r="DB24" s="17"/>
      <c r="DC24" s="17"/>
      <c r="DD24" s="17"/>
      <c r="DE24" s="17"/>
      <c r="DF24" s="17"/>
      <c r="DG24" s="17"/>
      <c r="DH24" s="17"/>
      <c r="DI24" s="17"/>
      <c r="DJ24" s="64"/>
      <c r="DK24" s="64"/>
      <c r="DL24" s="64"/>
      <c r="DM24" s="64"/>
      <c r="DN24" s="64"/>
      <c r="DO24" s="17"/>
      <c r="DP24" s="17"/>
      <c r="DQ24" s="17"/>
      <c r="DR24" s="17"/>
      <c r="DS24" s="17"/>
      <c r="DT24" s="17"/>
      <c r="DU24" s="17"/>
      <c r="DV24" s="17"/>
      <c r="DW24" s="17"/>
      <c r="DX24" s="17"/>
      <c r="DY24" s="17"/>
      <c r="DZ24" s="17"/>
      <c r="EA24" s="64"/>
      <c r="EB24" s="64"/>
      <c r="EC24" s="64"/>
      <c r="ED24" s="64"/>
      <c r="EE24" s="64"/>
      <c r="EF24" s="17"/>
      <c r="EG24" s="17"/>
      <c r="EH24" s="17"/>
      <c r="EI24" s="17"/>
      <c r="EJ24" s="17"/>
      <c r="EK24" s="17"/>
      <c r="EL24" s="17"/>
      <c r="EM24" s="17"/>
      <c r="EN24" s="17"/>
      <c r="EO24" s="17"/>
      <c r="EP24" s="17"/>
      <c r="EQ24" s="17"/>
      <c r="ER24" s="4"/>
      <c r="ES24" s="4"/>
      <c r="ET24" s="4"/>
      <c r="EU24" s="4"/>
    </row>
    <row r="25" spans="1:222" ht="79.5" customHeight="1" x14ac:dyDescent="0.25">
      <c r="A25" s="7"/>
      <c r="B25" s="7"/>
      <c r="C25" s="6"/>
      <c r="D25" s="162"/>
      <c r="E25" s="162"/>
      <c r="F25" s="162"/>
      <c r="G25" s="162"/>
      <c r="H25" s="162"/>
      <c r="I25" s="162"/>
      <c r="J25" s="162"/>
      <c r="K25" s="162"/>
      <c r="L25" s="162"/>
      <c r="M25" s="162"/>
      <c r="N25" s="162"/>
      <c r="O25" s="162"/>
      <c r="P25" s="162"/>
      <c r="Q25" s="162"/>
      <c r="R25" s="162"/>
      <c r="S25" s="162"/>
      <c r="T25" s="162"/>
      <c r="U25" s="153"/>
      <c r="V25" s="64"/>
      <c r="W25" s="64"/>
      <c r="X25" s="64"/>
      <c r="Y25" s="64"/>
      <c r="Z25" s="64"/>
      <c r="AA25" s="135"/>
      <c r="AB25" s="135"/>
      <c r="AC25" s="135"/>
      <c r="AD25" s="135"/>
      <c r="AE25" s="135"/>
      <c r="AF25" s="135"/>
      <c r="AG25" s="135"/>
      <c r="AH25" s="135"/>
      <c r="AI25" s="135"/>
      <c r="AJ25" s="135"/>
      <c r="AK25" s="135"/>
      <c r="AL25" s="135"/>
      <c r="AM25" s="135"/>
      <c r="AN25" s="135"/>
      <c r="AO25" s="152"/>
      <c r="AP25" s="152"/>
      <c r="AQ25" s="152"/>
      <c r="AR25" s="152"/>
      <c r="AS25" s="152"/>
      <c r="AT25" s="152"/>
      <c r="AU25" s="152"/>
      <c r="AV25" s="152"/>
      <c r="AW25" s="17"/>
      <c r="AX25" s="12"/>
      <c r="AY25" s="12"/>
      <c r="AZ25" s="12"/>
      <c r="BA25" s="12"/>
      <c r="BB25" s="12"/>
      <c r="BC25" s="12"/>
      <c r="BD25" s="18"/>
      <c r="BE25" s="153"/>
      <c r="BF25" s="17"/>
      <c r="BG25" s="17"/>
      <c r="BH25" s="17"/>
      <c r="BI25" s="17"/>
      <c r="BJ25" s="17"/>
      <c r="BK25" s="17"/>
      <c r="BL25" s="17"/>
      <c r="BM25" s="17"/>
      <c r="BN25" s="17"/>
      <c r="BO25" s="17"/>
      <c r="BP25" s="17"/>
      <c r="BQ25" s="17"/>
      <c r="BR25" s="17"/>
      <c r="BS25" s="17"/>
      <c r="BT25" s="17"/>
      <c r="BU25" s="12"/>
      <c r="BV25" s="12"/>
      <c r="BW25" s="12"/>
      <c r="BX25" s="12"/>
      <c r="BY25" s="12"/>
      <c r="BZ25" s="17"/>
      <c r="CA25" s="17"/>
      <c r="CB25" s="17"/>
      <c r="CC25" s="17"/>
      <c r="CD25" s="17"/>
      <c r="CE25" s="17"/>
      <c r="CF25" s="17"/>
      <c r="CG25" s="17"/>
      <c r="CH25" s="17"/>
      <c r="CI25" s="17"/>
      <c r="CJ25" s="17"/>
      <c r="CK25" s="17"/>
      <c r="CL25" s="17"/>
      <c r="CM25" s="17"/>
      <c r="CN25" s="17"/>
      <c r="CO25" s="17"/>
      <c r="CP25" s="17"/>
      <c r="CQ25" s="17"/>
      <c r="CR25" s="64"/>
      <c r="CS25" s="64"/>
      <c r="CT25" s="64"/>
      <c r="CU25" s="64"/>
      <c r="CV25" s="64"/>
      <c r="CW25" s="17"/>
      <c r="CX25" s="17"/>
      <c r="CY25" s="17"/>
      <c r="CZ25" s="17"/>
      <c r="DA25" s="17"/>
      <c r="DB25" s="17"/>
      <c r="DC25" s="17"/>
      <c r="DD25" s="17"/>
      <c r="DE25" s="17"/>
      <c r="DF25" s="17"/>
      <c r="DG25" s="17"/>
      <c r="DH25" s="17"/>
      <c r="DI25" s="17"/>
      <c r="DJ25" s="64"/>
      <c r="DK25" s="64"/>
      <c r="DL25" s="64"/>
      <c r="DM25" s="64"/>
      <c r="DN25" s="64"/>
      <c r="DO25" s="17"/>
      <c r="DP25" s="17"/>
      <c r="DQ25" s="17"/>
      <c r="DR25" s="17"/>
      <c r="DS25" s="17"/>
      <c r="DT25" s="17"/>
      <c r="DU25" s="17"/>
      <c r="DV25" s="17"/>
      <c r="DW25" s="17"/>
      <c r="DX25" s="17"/>
      <c r="DY25" s="17"/>
      <c r="DZ25" s="17"/>
      <c r="EA25" s="64"/>
      <c r="EB25" s="64"/>
      <c r="EC25" s="64"/>
      <c r="ED25" s="64"/>
      <c r="EE25" s="64"/>
      <c r="EF25" s="17"/>
      <c r="EG25" s="17"/>
      <c r="EH25" s="17"/>
      <c r="EI25" s="17"/>
      <c r="EJ25" s="17"/>
      <c r="EK25" s="17"/>
      <c r="EL25" s="17"/>
      <c r="EM25" s="17"/>
      <c r="EN25" s="17"/>
      <c r="EO25" s="17"/>
      <c r="EP25" s="17"/>
      <c r="EQ25" s="17"/>
      <c r="ER25" s="4"/>
      <c r="ES25" s="4"/>
      <c r="ET25" s="4"/>
      <c r="EU25" s="4"/>
    </row>
    <row r="26" spans="1:222" ht="79.5" customHeight="1" x14ac:dyDescent="0.25">
      <c r="A26" s="19"/>
      <c r="B26" s="19"/>
      <c r="C26" s="20"/>
      <c r="D26" s="20"/>
      <c r="E26" s="20"/>
      <c r="F26" s="21"/>
      <c r="G26" s="21"/>
      <c r="H26" s="21"/>
      <c r="I26" s="21"/>
      <c r="J26" s="21"/>
      <c r="K26" s="21"/>
      <c r="L26" s="21"/>
      <c r="M26" s="21"/>
      <c r="N26" s="20"/>
      <c r="O26" s="20"/>
      <c r="P26" s="20"/>
      <c r="Q26" s="20"/>
      <c r="R26" s="22"/>
      <c r="S26" s="22"/>
      <c r="T26" s="20"/>
      <c r="U26" s="20"/>
      <c r="V26" s="20"/>
      <c r="W26" s="23"/>
      <c r="X26" s="23"/>
      <c r="Y26" s="23"/>
      <c r="Z26" s="24"/>
      <c r="AA26" s="24"/>
      <c r="AB26" s="25"/>
      <c r="AC26" s="25"/>
      <c r="AD26" s="26"/>
      <c r="AE26" s="26"/>
      <c r="AF26" s="26"/>
      <c r="AG26" s="27"/>
      <c r="AH26" s="26"/>
      <c r="AI26" s="26"/>
      <c r="AJ26" s="26"/>
      <c r="AK26" s="27"/>
      <c r="AL26" s="28"/>
      <c r="AM26" s="28"/>
      <c r="AN26" s="28"/>
      <c r="AO26" s="28"/>
      <c r="AP26" s="28"/>
      <c r="AQ26" s="28"/>
      <c r="AR26" s="28"/>
      <c r="AS26" s="28"/>
      <c r="AT26" s="28"/>
      <c r="AU26" s="28"/>
      <c r="AV26" s="28"/>
      <c r="AW26" s="28"/>
      <c r="AX26" s="27"/>
      <c r="AY26" s="27"/>
      <c r="AZ26" s="27"/>
      <c r="BA26" s="26"/>
      <c r="BB26" s="26"/>
      <c r="BC26" s="26"/>
      <c r="BD26" s="26"/>
      <c r="BE26" s="27"/>
      <c r="BF26" s="27"/>
      <c r="BG26" s="27"/>
      <c r="BH26" s="27"/>
      <c r="BI26" s="29"/>
      <c r="BJ26" s="23"/>
      <c r="BK26" s="30"/>
      <c r="BL26" s="30"/>
      <c r="BM26" s="30"/>
      <c r="BN26" s="30"/>
      <c r="BO26" s="23"/>
      <c r="BP26" s="27"/>
      <c r="BQ26" s="27"/>
      <c r="BR26" s="27"/>
      <c r="BS26" s="27"/>
      <c r="BT26" s="27"/>
      <c r="BU26" s="27"/>
      <c r="BV26" s="27"/>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27"/>
      <c r="DE26" s="27"/>
      <c r="DF26" s="27"/>
      <c r="DG26" s="27"/>
      <c r="DH26" s="27"/>
      <c r="DI26" s="27"/>
      <c r="DJ26" s="27"/>
      <c r="DK26" s="31"/>
      <c r="DL26" s="31"/>
      <c r="DM26" s="31"/>
      <c r="DN26" s="31"/>
      <c r="DO26" s="31"/>
      <c r="DP26" s="31"/>
      <c r="DQ26" s="31"/>
      <c r="DR26" s="31"/>
      <c r="DS26" s="31"/>
      <c r="DT26" s="31"/>
      <c r="DU26" s="31"/>
      <c r="DV26" s="31"/>
      <c r="DW26" s="31"/>
      <c r="DX26" s="31"/>
      <c r="DY26" s="31"/>
      <c r="DZ26" s="31"/>
      <c r="EA26" s="31"/>
      <c r="EB26" s="31"/>
      <c r="EC26" s="31"/>
      <c r="ED26" s="31"/>
      <c r="EE26" s="31"/>
      <c r="EF26" s="31"/>
      <c r="EG26" s="31"/>
      <c r="EH26" s="31"/>
      <c r="EI26" s="31"/>
      <c r="EJ26" s="31"/>
      <c r="EK26" s="31"/>
      <c r="EL26" s="31"/>
      <c r="EM26" s="31"/>
      <c r="EN26" s="31"/>
      <c r="EO26" s="31"/>
      <c r="EP26" s="31"/>
      <c r="EQ26" s="31"/>
      <c r="ER26" s="5"/>
      <c r="ES26" s="5"/>
      <c r="ET26" s="5"/>
      <c r="EU26" s="5"/>
    </row>
    <row r="27" spans="1:222" ht="60.75" customHeight="1" x14ac:dyDescent="0.2">
      <c r="A27" s="625" t="s">
        <v>238</v>
      </c>
      <c r="B27" s="625"/>
      <c r="C27" s="625"/>
      <c r="D27" s="625"/>
      <c r="E27" s="625"/>
      <c r="F27" s="625"/>
      <c r="G27" s="625"/>
      <c r="H27" s="625"/>
      <c r="I27" s="625"/>
      <c r="J27" s="625"/>
      <c r="K27" s="625"/>
      <c r="L27" s="625"/>
      <c r="M27" s="625"/>
      <c r="N27" s="625"/>
      <c r="O27" s="625"/>
      <c r="P27" s="625"/>
      <c r="Q27" s="625"/>
      <c r="R27" s="625"/>
      <c r="S27" s="625"/>
      <c r="T27" s="625"/>
      <c r="U27" s="625"/>
      <c r="V27" s="625"/>
      <c r="W27" s="625"/>
      <c r="X27" s="625"/>
      <c r="Y27" s="625"/>
      <c r="Z27" s="625"/>
      <c r="AA27" s="625"/>
      <c r="AB27" s="625"/>
      <c r="AC27" s="625"/>
      <c r="AD27" s="625"/>
      <c r="AE27" s="625"/>
      <c r="AF27" s="625"/>
      <c r="AG27" s="625"/>
      <c r="AH27" s="625"/>
      <c r="AI27" s="625"/>
      <c r="AJ27" s="625"/>
      <c r="AK27" s="625"/>
      <c r="AL27" s="625"/>
      <c r="AM27" s="625"/>
      <c r="AN27" s="625"/>
      <c r="AO27" s="625"/>
      <c r="AP27" s="625"/>
      <c r="AQ27" s="625"/>
      <c r="AR27" s="625"/>
      <c r="AS27" s="625"/>
      <c r="AT27" s="625"/>
      <c r="AU27" s="625"/>
      <c r="AV27" s="625"/>
      <c r="AW27" s="625"/>
      <c r="AX27" s="625"/>
      <c r="AY27" s="625"/>
      <c r="AZ27" s="625"/>
      <c r="BA27" s="625"/>
      <c r="BB27" s="625"/>
      <c r="BC27" s="625"/>
      <c r="BD27" s="625"/>
      <c r="BE27" s="625"/>
      <c r="BF27" s="625"/>
      <c r="BG27" s="625"/>
      <c r="BH27" s="625"/>
      <c r="BI27" s="625"/>
      <c r="BJ27" s="625"/>
      <c r="BK27" s="625"/>
      <c r="BL27" s="625"/>
      <c r="BM27" s="625"/>
      <c r="BN27" s="625"/>
      <c r="BO27" s="625"/>
      <c r="BP27" s="625"/>
      <c r="BQ27" s="625"/>
      <c r="BR27" s="625"/>
      <c r="BS27" s="625"/>
      <c r="BT27" s="625"/>
      <c r="BU27" s="625"/>
      <c r="BV27" s="625"/>
      <c r="BW27" s="625"/>
      <c r="BX27" s="625"/>
      <c r="BY27" s="625"/>
      <c r="BZ27" s="625"/>
      <c r="CA27" s="625"/>
      <c r="CB27" s="625"/>
      <c r="CC27" s="625"/>
      <c r="CD27" s="625"/>
      <c r="CE27" s="625"/>
      <c r="CF27" s="625"/>
      <c r="CG27" s="625"/>
      <c r="CH27" s="625"/>
      <c r="CI27" s="625"/>
      <c r="CJ27" s="625"/>
      <c r="CK27" s="625"/>
      <c r="CL27" s="625"/>
      <c r="CM27" s="625"/>
      <c r="CN27" s="625"/>
      <c r="CO27" s="625"/>
      <c r="CP27" s="625"/>
      <c r="CQ27" s="625"/>
      <c r="CR27" s="625"/>
      <c r="CS27" s="625"/>
      <c r="CT27" s="625"/>
      <c r="CU27" s="625"/>
      <c r="CV27" s="625"/>
      <c r="CW27" s="625"/>
      <c r="CX27" s="625"/>
      <c r="CY27" s="625"/>
      <c r="CZ27" s="625"/>
      <c r="DA27" s="625"/>
      <c r="DB27" s="625"/>
      <c r="DC27" s="625"/>
      <c r="DD27" s="625"/>
      <c r="DE27" s="625"/>
      <c r="DF27" s="625"/>
      <c r="DG27" s="625"/>
      <c r="DH27" s="625"/>
      <c r="DI27" s="625"/>
      <c r="DJ27" s="625"/>
      <c r="DK27" s="625"/>
      <c r="DL27" s="625"/>
      <c r="DM27" s="625"/>
      <c r="DN27" s="625"/>
      <c r="DO27" s="625"/>
      <c r="DP27" s="625"/>
      <c r="DQ27" s="625"/>
      <c r="DR27" s="625"/>
      <c r="DS27" s="625"/>
      <c r="DT27" s="625"/>
      <c r="DU27" s="625"/>
      <c r="DV27" s="625"/>
      <c r="DW27" s="625"/>
      <c r="DX27" s="625"/>
      <c r="DY27" s="625"/>
      <c r="DZ27" s="625"/>
      <c r="EA27" s="625"/>
      <c r="EB27" s="625"/>
      <c r="EC27" s="625"/>
      <c r="ED27" s="625"/>
      <c r="EE27" s="625"/>
      <c r="EF27" s="625"/>
      <c r="EG27" s="625"/>
      <c r="EH27" s="625"/>
      <c r="EI27" s="625"/>
      <c r="EJ27" s="625"/>
      <c r="EK27" s="625"/>
      <c r="EL27" s="625"/>
      <c r="EM27" s="625"/>
      <c r="EN27" s="625"/>
      <c r="EO27" s="625"/>
      <c r="EP27" s="625"/>
      <c r="EQ27" s="625"/>
      <c r="ER27" s="625"/>
      <c r="ES27" s="625"/>
      <c r="ET27" s="625"/>
      <c r="EU27" s="625"/>
    </row>
    <row r="28" spans="1:222" s="76" customFormat="1" ht="60.75" x14ac:dyDescent="0.75">
      <c r="A28" s="626" t="s">
        <v>23</v>
      </c>
      <c r="B28" s="604" t="s">
        <v>179</v>
      </c>
      <c r="C28" s="607" t="s">
        <v>57</v>
      </c>
      <c r="D28" s="607"/>
      <c r="E28" s="607"/>
      <c r="F28" s="607"/>
      <c r="G28" s="607"/>
      <c r="H28" s="607"/>
      <c r="I28" s="607"/>
      <c r="J28" s="607"/>
      <c r="K28" s="607"/>
      <c r="L28" s="607"/>
      <c r="M28" s="607"/>
      <c r="N28" s="607"/>
      <c r="O28" s="607"/>
      <c r="P28" s="607"/>
      <c r="Q28" s="607"/>
      <c r="R28" s="607"/>
      <c r="S28" s="607"/>
      <c r="T28" s="607"/>
      <c r="U28" s="607"/>
      <c r="V28" s="607"/>
      <c r="W28" s="607"/>
      <c r="X28" s="607"/>
      <c r="Y28" s="607"/>
      <c r="Z28" s="608" t="s">
        <v>230</v>
      </c>
      <c r="AA28" s="609"/>
      <c r="AB28" s="609"/>
      <c r="AC28" s="609"/>
      <c r="AD28" s="609"/>
      <c r="AE28" s="609"/>
      <c r="AF28" s="609"/>
      <c r="AG28" s="609"/>
      <c r="AH28" s="609"/>
      <c r="AI28" s="609"/>
      <c r="AJ28" s="609"/>
      <c r="AK28" s="609"/>
      <c r="AL28" s="609"/>
      <c r="AM28" s="609"/>
      <c r="AN28" s="609"/>
      <c r="AO28" s="609"/>
      <c r="AP28" s="609"/>
      <c r="AQ28" s="609"/>
      <c r="AR28" s="609"/>
      <c r="AS28" s="609"/>
      <c r="AT28" s="609"/>
      <c r="AU28" s="609"/>
      <c r="AV28" s="609"/>
      <c r="AW28" s="609"/>
      <c r="AX28" s="609"/>
      <c r="AY28" s="609"/>
      <c r="AZ28" s="609"/>
      <c r="BA28" s="609"/>
      <c r="BB28" s="609"/>
      <c r="BC28" s="609"/>
      <c r="BD28" s="609"/>
      <c r="BE28" s="609"/>
      <c r="BF28" s="609"/>
      <c r="BG28" s="609"/>
      <c r="BH28" s="609"/>
      <c r="BI28" s="609"/>
      <c r="BJ28" s="609"/>
      <c r="BK28" s="609"/>
      <c r="BL28" s="249"/>
      <c r="BM28" s="249"/>
      <c r="BN28" s="249"/>
      <c r="BO28" s="249"/>
      <c r="BP28" s="593" t="s">
        <v>231</v>
      </c>
      <c r="BQ28" s="565"/>
      <c r="BR28" s="565"/>
      <c r="BS28" s="565"/>
      <c r="BT28" s="565"/>
      <c r="BU28" s="565"/>
      <c r="BV28" s="565"/>
      <c r="BW28" s="565"/>
      <c r="BX28" s="565"/>
      <c r="BY28" s="565"/>
      <c r="BZ28" s="565"/>
      <c r="CA28" s="565"/>
      <c r="CB28" s="565"/>
      <c r="CC28" s="565"/>
      <c r="CD28" s="565"/>
      <c r="CE28" s="565"/>
      <c r="CF28" s="565"/>
      <c r="CG28" s="565"/>
      <c r="CH28" s="565"/>
      <c r="CI28" s="565"/>
      <c r="CJ28" s="565"/>
      <c r="CK28" s="565"/>
      <c r="CL28" s="565"/>
      <c r="CM28" s="565"/>
      <c r="CN28" s="565"/>
      <c r="CO28" s="565"/>
      <c r="CP28" s="565"/>
      <c r="CQ28" s="565"/>
      <c r="CR28" s="565"/>
      <c r="CS28" s="565"/>
      <c r="CT28" s="565"/>
      <c r="CU28" s="565"/>
      <c r="CV28" s="565"/>
      <c r="CW28" s="565"/>
      <c r="CX28" s="565"/>
      <c r="CY28" s="565"/>
      <c r="CZ28" s="565"/>
      <c r="DA28" s="565"/>
      <c r="DB28" s="565"/>
      <c r="DC28" s="580"/>
      <c r="DD28" s="296" t="s">
        <v>232</v>
      </c>
      <c r="DE28" s="565"/>
      <c r="DF28" s="565"/>
      <c r="DG28" s="565"/>
      <c r="DH28" s="565"/>
      <c r="DI28" s="565"/>
      <c r="DJ28" s="565"/>
      <c r="DK28" s="565"/>
      <c r="DL28" s="565"/>
      <c r="DM28" s="565"/>
      <c r="DN28" s="565"/>
      <c r="DO28" s="565"/>
      <c r="DP28" s="565"/>
      <c r="DQ28" s="565"/>
      <c r="DR28" s="565"/>
      <c r="DS28" s="565"/>
      <c r="DT28" s="565"/>
      <c r="DU28" s="565"/>
      <c r="DV28" s="565"/>
      <c r="DW28" s="565"/>
      <c r="DX28" s="565"/>
      <c r="DY28" s="565"/>
      <c r="DZ28" s="565"/>
      <c r="EA28" s="565"/>
      <c r="EB28" s="565"/>
      <c r="EC28" s="565"/>
      <c r="ED28" s="565"/>
      <c r="EE28" s="565"/>
      <c r="EF28" s="565"/>
      <c r="EG28" s="565"/>
      <c r="EH28" s="565"/>
      <c r="EI28" s="565"/>
      <c r="EJ28" s="565"/>
      <c r="EK28" s="565"/>
      <c r="EL28" s="565"/>
      <c r="EM28" s="565"/>
      <c r="EN28" s="565"/>
      <c r="EO28" s="565"/>
      <c r="EP28" s="565"/>
      <c r="EQ28" s="294"/>
      <c r="ER28" s="643" t="s">
        <v>34</v>
      </c>
      <c r="ES28" s="644"/>
      <c r="ET28" s="645"/>
      <c r="EU28" s="646"/>
    </row>
    <row r="29" spans="1:222" s="76" customFormat="1" ht="60.75" x14ac:dyDescent="0.75">
      <c r="A29" s="627"/>
      <c r="B29" s="605"/>
      <c r="C29" s="607"/>
      <c r="D29" s="607"/>
      <c r="E29" s="607"/>
      <c r="F29" s="607"/>
      <c r="G29" s="607"/>
      <c r="H29" s="607"/>
      <c r="I29" s="607"/>
      <c r="J29" s="607"/>
      <c r="K29" s="607"/>
      <c r="L29" s="607"/>
      <c r="M29" s="607"/>
      <c r="N29" s="607"/>
      <c r="O29" s="607"/>
      <c r="P29" s="607"/>
      <c r="Q29" s="607"/>
      <c r="R29" s="607"/>
      <c r="S29" s="607"/>
      <c r="T29" s="607"/>
      <c r="U29" s="607"/>
      <c r="V29" s="607"/>
      <c r="W29" s="607"/>
      <c r="X29" s="607"/>
      <c r="Y29" s="607"/>
      <c r="Z29" s="248" t="s">
        <v>59</v>
      </c>
      <c r="AA29" s="249"/>
      <c r="AB29" s="249"/>
      <c r="AC29" s="249"/>
      <c r="AD29" s="249"/>
      <c r="AE29" s="249"/>
      <c r="AF29" s="249"/>
      <c r="AG29" s="250"/>
      <c r="AH29" s="248" t="s">
        <v>60</v>
      </c>
      <c r="AI29" s="249"/>
      <c r="AJ29" s="249"/>
      <c r="AK29" s="249"/>
      <c r="AL29" s="249"/>
      <c r="AM29" s="249"/>
      <c r="AN29" s="249"/>
      <c r="AO29" s="249"/>
      <c r="AP29" s="249"/>
      <c r="AQ29" s="249"/>
      <c r="AR29" s="249"/>
      <c r="AS29" s="249"/>
      <c r="AT29" s="249"/>
      <c r="AU29" s="249"/>
      <c r="AV29" s="249"/>
      <c r="AW29" s="249"/>
      <c r="AX29" s="249"/>
      <c r="AY29" s="249"/>
      <c r="AZ29" s="249"/>
      <c r="BA29" s="249"/>
      <c r="BB29" s="249"/>
      <c r="BC29" s="249"/>
      <c r="BD29" s="249"/>
      <c r="BE29" s="249"/>
      <c r="BF29" s="249"/>
      <c r="BG29" s="249"/>
      <c r="BH29" s="249"/>
      <c r="BI29" s="249"/>
      <c r="BJ29" s="249"/>
      <c r="BK29" s="249"/>
      <c r="BL29" s="647" t="s">
        <v>24</v>
      </c>
      <c r="BM29" s="647"/>
      <c r="BN29" s="647"/>
      <c r="BO29" s="648"/>
      <c r="BP29" s="593" t="s">
        <v>25</v>
      </c>
      <c r="BQ29" s="565"/>
      <c r="BR29" s="565"/>
      <c r="BS29" s="565"/>
      <c r="BT29" s="565"/>
      <c r="BU29" s="565"/>
      <c r="BV29" s="565"/>
      <c r="BW29" s="565"/>
      <c r="BX29" s="565" t="s">
        <v>26</v>
      </c>
      <c r="BY29" s="565"/>
      <c r="BZ29" s="565"/>
      <c r="CA29" s="565"/>
      <c r="CB29" s="565"/>
      <c r="CC29" s="565"/>
      <c r="CD29" s="565"/>
      <c r="CE29" s="565"/>
      <c r="CF29" s="565" t="s">
        <v>27</v>
      </c>
      <c r="CG29" s="565"/>
      <c r="CH29" s="565"/>
      <c r="CI29" s="565"/>
      <c r="CJ29" s="565"/>
      <c r="CK29" s="565"/>
      <c r="CL29" s="565"/>
      <c r="CM29" s="565"/>
      <c r="CN29" s="565" t="s">
        <v>239</v>
      </c>
      <c r="CO29" s="565"/>
      <c r="CP29" s="565"/>
      <c r="CQ29" s="565"/>
      <c r="CR29" s="565"/>
      <c r="CS29" s="565"/>
      <c r="CT29" s="565"/>
      <c r="CU29" s="565"/>
      <c r="CV29" s="565" t="s">
        <v>181</v>
      </c>
      <c r="CW29" s="565"/>
      <c r="CX29" s="565"/>
      <c r="CY29" s="565"/>
      <c r="CZ29" s="565"/>
      <c r="DA29" s="565"/>
      <c r="DB29" s="565"/>
      <c r="DC29" s="580"/>
      <c r="DD29" s="296" t="s">
        <v>25</v>
      </c>
      <c r="DE29" s="565"/>
      <c r="DF29" s="565"/>
      <c r="DG29" s="565"/>
      <c r="DH29" s="565"/>
      <c r="DI29" s="565"/>
      <c r="DJ29" s="565"/>
      <c r="DK29" s="565"/>
      <c r="DL29" s="565" t="s">
        <v>26</v>
      </c>
      <c r="DM29" s="565"/>
      <c r="DN29" s="565"/>
      <c r="DO29" s="565"/>
      <c r="DP29" s="565"/>
      <c r="DQ29" s="565"/>
      <c r="DR29" s="565"/>
      <c r="DS29" s="565"/>
      <c r="DT29" s="565" t="s">
        <v>27</v>
      </c>
      <c r="DU29" s="565"/>
      <c r="DV29" s="565"/>
      <c r="DW29" s="565"/>
      <c r="DX29" s="565"/>
      <c r="DY29" s="565"/>
      <c r="DZ29" s="565"/>
      <c r="EA29" s="565"/>
      <c r="EB29" s="565" t="s">
        <v>239</v>
      </c>
      <c r="EC29" s="565"/>
      <c r="ED29" s="565"/>
      <c r="EE29" s="565"/>
      <c r="EF29" s="565"/>
      <c r="EG29" s="565"/>
      <c r="EH29" s="565"/>
      <c r="EI29" s="565"/>
      <c r="EJ29" s="565" t="s">
        <v>181</v>
      </c>
      <c r="EK29" s="565"/>
      <c r="EL29" s="565"/>
      <c r="EM29" s="565"/>
      <c r="EN29" s="565"/>
      <c r="EO29" s="565"/>
      <c r="EP29" s="565"/>
      <c r="EQ29" s="294"/>
      <c r="ER29" s="643"/>
      <c r="ES29" s="644"/>
      <c r="ET29" s="645"/>
      <c r="EU29" s="646"/>
    </row>
    <row r="30" spans="1:222" s="76" customFormat="1" ht="60.75" x14ac:dyDescent="0.75">
      <c r="A30" s="627"/>
      <c r="B30" s="605"/>
      <c r="C30" s="607"/>
      <c r="D30" s="607"/>
      <c r="E30" s="607"/>
      <c r="F30" s="607"/>
      <c r="G30" s="607"/>
      <c r="H30" s="607"/>
      <c r="I30" s="607"/>
      <c r="J30" s="607"/>
      <c r="K30" s="607"/>
      <c r="L30" s="607"/>
      <c r="M30" s="607"/>
      <c r="N30" s="607"/>
      <c r="O30" s="607"/>
      <c r="P30" s="607"/>
      <c r="Q30" s="607"/>
      <c r="R30" s="607"/>
      <c r="S30" s="607"/>
      <c r="T30" s="607"/>
      <c r="U30" s="607"/>
      <c r="V30" s="607"/>
      <c r="W30" s="607"/>
      <c r="X30" s="607"/>
      <c r="Y30" s="607"/>
      <c r="Z30" s="251"/>
      <c r="AA30" s="252"/>
      <c r="AB30" s="252"/>
      <c r="AC30" s="252"/>
      <c r="AD30" s="252"/>
      <c r="AE30" s="252"/>
      <c r="AF30" s="252"/>
      <c r="AG30" s="253"/>
      <c r="AH30" s="630" t="s">
        <v>18</v>
      </c>
      <c r="AI30" s="631"/>
      <c r="AJ30" s="631"/>
      <c r="AK30" s="631"/>
      <c r="AL30" s="632"/>
      <c r="AM30" s="630" t="s">
        <v>61</v>
      </c>
      <c r="AN30" s="631"/>
      <c r="AO30" s="631"/>
      <c r="AP30" s="631"/>
      <c r="AQ30" s="632"/>
      <c r="AR30" s="630" t="s">
        <v>62</v>
      </c>
      <c r="AS30" s="631"/>
      <c r="AT30" s="631"/>
      <c r="AU30" s="631"/>
      <c r="AV30" s="632"/>
      <c r="AW30" s="630" t="s">
        <v>63</v>
      </c>
      <c r="AX30" s="631"/>
      <c r="AY30" s="631"/>
      <c r="AZ30" s="631"/>
      <c r="BA30" s="632"/>
      <c r="BB30" s="630" t="s">
        <v>64</v>
      </c>
      <c r="BC30" s="631"/>
      <c r="BD30" s="631"/>
      <c r="BE30" s="631"/>
      <c r="BF30" s="632"/>
      <c r="BG30" s="630" t="s">
        <v>65</v>
      </c>
      <c r="BH30" s="631"/>
      <c r="BI30" s="631"/>
      <c r="BJ30" s="631"/>
      <c r="BK30" s="631"/>
      <c r="BL30" s="647"/>
      <c r="BM30" s="647"/>
      <c r="BN30" s="647"/>
      <c r="BO30" s="648"/>
      <c r="BP30" s="593" t="s">
        <v>30</v>
      </c>
      <c r="BQ30" s="565"/>
      <c r="BR30" s="565"/>
      <c r="BS30" s="565"/>
      <c r="BT30" s="565"/>
      <c r="BU30" s="565"/>
      <c r="BV30" s="565"/>
      <c r="BW30" s="565"/>
      <c r="BX30" s="565"/>
      <c r="BY30" s="565"/>
      <c r="BZ30" s="565"/>
      <c r="CA30" s="565"/>
      <c r="CB30" s="565"/>
      <c r="CC30" s="565"/>
      <c r="CD30" s="565"/>
      <c r="CE30" s="565"/>
      <c r="CF30" s="565"/>
      <c r="CG30" s="565"/>
      <c r="CH30" s="565"/>
      <c r="CI30" s="565"/>
      <c r="CJ30" s="565"/>
      <c r="CK30" s="565"/>
      <c r="CL30" s="565"/>
      <c r="CM30" s="565"/>
      <c r="CN30" s="565"/>
      <c r="CO30" s="565"/>
      <c r="CP30" s="565"/>
      <c r="CQ30" s="565"/>
      <c r="CR30" s="565"/>
      <c r="CS30" s="565"/>
      <c r="CT30" s="565"/>
      <c r="CU30" s="565"/>
      <c r="CV30" s="565"/>
      <c r="CW30" s="565"/>
      <c r="CX30" s="565"/>
      <c r="CY30" s="565"/>
      <c r="CZ30" s="565"/>
      <c r="DA30" s="565"/>
      <c r="DB30" s="565"/>
      <c r="DC30" s="580"/>
      <c r="DD30" s="296" t="s">
        <v>30</v>
      </c>
      <c r="DE30" s="565"/>
      <c r="DF30" s="565"/>
      <c r="DG30" s="565"/>
      <c r="DH30" s="565"/>
      <c r="DI30" s="565"/>
      <c r="DJ30" s="565"/>
      <c r="DK30" s="565"/>
      <c r="DL30" s="565"/>
      <c r="DM30" s="565"/>
      <c r="DN30" s="565"/>
      <c r="DO30" s="565"/>
      <c r="DP30" s="565"/>
      <c r="DQ30" s="565"/>
      <c r="DR30" s="565"/>
      <c r="DS30" s="565"/>
      <c r="DT30" s="565"/>
      <c r="DU30" s="565"/>
      <c r="DV30" s="565"/>
      <c r="DW30" s="565"/>
      <c r="DX30" s="565"/>
      <c r="DY30" s="565"/>
      <c r="DZ30" s="565"/>
      <c r="EA30" s="565"/>
      <c r="EB30" s="565"/>
      <c r="EC30" s="565"/>
      <c r="ED30" s="565"/>
      <c r="EE30" s="565"/>
      <c r="EF30" s="565"/>
      <c r="EG30" s="565"/>
      <c r="EH30" s="565"/>
      <c r="EI30" s="565"/>
      <c r="EJ30" s="565"/>
      <c r="EK30" s="565"/>
      <c r="EL30" s="565"/>
      <c r="EM30" s="565"/>
      <c r="EN30" s="565"/>
      <c r="EO30" s="565"/>
      <c r="EP30" s="565"/>
      <c r="EQ30" s="294"/>
      <c r="ER30" s="643"/>
      <c r="ES30" s="644"/>
      <c r="ET30" s="645"/>
      <c r="EU30" s="646"/>
    </row>
    <row r="31" spans="1:222" s="76" customFormat="1" ht="60.75" x14ac:dyDescent="0.75">
      <c r="A31" s="627"/>
      <c r="B31" s="605"/>
      <c r="C31" s="607"/>
      <c r="D31" s="607"/>
      <c r="E31" s="607"/>
      <c r="F31" s="607"/>
      <c r="G31" s="607"/>
      <c r="H31" s="607"/>
      <c r="I31" s="607"/>
      <c r="J31" s="607"/>
      <c r="K31" s="607"/>
      <c r="L31" s="607"/>
      <c r="M31" s="607"/>
      <c r="N31" s="607"/>
      <c r="O31" s="607"/>
      <c r="P31" s="607"/>
      <c r="Q31" s="607"/>
      <c r="R31" s="607"/>
      <c r="S31" s="607"/>
      <c r="T31" s="607"/>
      <c r="U31" s="607"/>
      <c r="V31" s="607"/>
      <c r="W31" s="607"/>
      <c r="X31" s="607"/>
      <c r="Y31" s="607"/>
      <c r="Z31" s="251"/>
      <c r="AA31" s="252"/>
      <c r="AB31" s="252"/>
      <c r="AC31" s="252"/>
      <c r="AD31" s="252"/>
      <c r="AE31" s="252"/>
      <c r="AF31" s="252"/>
      <c r="AG31" s="253"/>
      <c r="AH31" s="633"/>
      <c r="AI31" s="634"/>
      <c r="AJ31" s="634"/>
      <c r="AK31" s="634"/>
      <c r="AL31" s="635"/>
      <c r="AM31" s="633"/>
      <c r="AN31" s="634"/>
      <c r="AO31" s="634"/>
      <c r="AP31" s="634"/>
      <c r="AQ31" s="635"/>
      <c r="AR31" s="633"/>
      <c r="AS31" s="634"/>
      <c r="AT31" s="634"/>
      <c r="AU31" s="634"/>
      <c r="AV31" s="635"/>
      <c r="AW31" s="633"/>
      <c r="AX31" s="634"/>
      <c r="AY31" s="634"/>
      <c r="AZ31" s="634"/>
      <c r="BA31" s="635"/>
      <c r="BB31" s="633"/>
      <c r="BC31" s="634"/>
      <c r="BD31" s="634"/>
      <c r="BE31" s="634"/>
      <c r="BF31" s="635"/>
      <c r="BG31" s="633"/>
      <c r="BH31" s="634"/>
      <c r="BI31" s="634"/>
      <c r="BJ31" s="634"/>
      <c r="BK31" s="634"/>
      <c r="BL31" s="647"/>
      <c r="BM31" s="647"/>
      <c r="BN31" s="647"/>
      <c r="BO31" s="648"/>
      <c r="BP31" s="593">
        <v>6</v>
      </c>
      <c r="BQ31" s="565"/>
      <c r="BR31" s="565"/>
      <c r="BS31" s="565"/>
      <c r="BT31" s="565"/>
      <c r="BU31" s="565"/>
      <c r="BV31" s="565"/>
      <c r="BW31" s="565"/>
      <c r="BX31" s="565">
        <v>6</v>
      </c>
      <c r="BY31" s="565"/>
      <c r="BZ31" s="565"/>
      <c r="CA31" s="565"/>
      <c r="CB31" s="565"/>
      <c r="CC31" s="565"/>
      <c r="CD31" s="565"/>
      <c r="CE31" s="565"/>
      <c r="CF31" s="565">
        <v>6</v>
      </c>
      <c r="CG31" s="565"/>
      <c r="CH31" s="565"/>
      <c r="CI31" s="565"/>
      <c r="CJ31" s="565"/>
      <c r="CK31" s="565"/>
      <c r="CL31" s="565"/>
      <c r="CM31" s="565"/>
      <c r="CN31" s="565">
        <v>6</v>
      </c>
      <c r="CO31" s="565"/>
      <c r="CP31" s="565"/>
      <c r="CQ31" s="565"/>
      <c r="CR31" s="565"/>
      <c r="CS31" s="565"/>
      <c r="CT31" s="565"/>
      <c r="CU31" s="565"/>
      <c r="CV31" s="565">
        <v>6</v>
      </c>
      <c r="CW31" s="565"/>
      <c r="CX31" s="565"/>
      <c r="CY31" s="565"/>
      <c r="CZ31" s="565"/>
      <c r="DA31" s="565"/>
      <c r="DB31" s="565"/>
      <c r="DC31" s="580"/>
      <c r="DD31" s="593">
        <f>BP31</f>
        <v>6</v>
      </c>
      <c r="DE31" s="565"/>
      <c r="DF31" s="565"/>
      <c r="DG31" s="565"/>
      <c r="DH31" s="565"/>
      <c r="DI31" s="565"/>
      <c r="DJ31" s="565"/>
      <c r="DK31" s="294"/>
      <c r="DL31" s="565">
        <f t="shared" ref="DL31" si="7">BX31</f>
        <v>6</v>
      </c>
      <c r="DM31" s="565"/>
      <c r="DN31" s="565"/>
      <c r="DO31" s="565"/>
      <c r="DP31" s="565"/>
      <c r="DQ31" s="565"/>
      <c r="DR31" s="565"/>
      <c r="DS31" s="565"/>
      <c r="DT31" s="565">
        <f t="shared" ref="DT31" si="8">CF31</f>
        <v>6</v>
      </c>
      <c r="DU31" s="565"/>
      <c r="DV31" s="565"/>
      <c r="DW31" s="565"/>
      <c r="DX31" s="565"/>
      <c r="DY31" s="565"/>
      <c r="DZ31" s="565"/>
      <c r="EA31" s="565"/>
      <c r="EB31" s="565">
        <f t="shared" ref="EB31" si="9">CN31</f>
        <v>6</v>
      </c>
      <c r="EC31" s="565"/>
      <c r="ED31" s="565"/>
      <c r="EE31" s="565"/>
      <c r="EF31" s="565"/>
      <c r="EG31" s="565"/>
      <c r="EH31" s="565"/>
      <c r="EI31" s="565"/>
      <c r="EJ31" s="296">
        <f t="shared" ref="EJ31" si="10">CV31</f>
        <v>6</v>
      </c>
      <c r="EK31" s="565"/>
      <c r="EL31" s="565"/>
      <c r="EM31" s="565"/>
      <c r="EN31" s="565"/>
      <c r="EO31" s="565"/>
      <c r="EP31" s="565"/>
      <c r="EQ31" s="294"/>
      <c r="ER31" s="643"/>
      <c r="ES31" s="644"/>
      <c r="ET31" s="645"/>
      <c r="EU31" s="646"/>
    </row>
    <row r="32" spans="1:222" s="76" customFormat="1" ht="60.75" x14ac:dyDescent="0.75">
      <c r="A32" s="627"/>
      <c r="B32" s="605"/>
      <c r="C32" s="607"/>
      <c r="D32" s="607"/>
      <c r="E32" s="607"/>
      <c r="F32" s="607"/>
      <c r="G32" s="607"/>
      <c r="H32" s="607"/>
      <c r="I32" s="607"/>
      <c r="J32" s="607"/>
      <c r="K32" s="607"/>
      <c r="L32" s="607"/>
      <c r="M32" s="607"/>
      <c r="N32" s="607"/>
      <c r="O32" s="607"/>
      <c r="P32" s="607"/>
      <c r="Q32" s="607"/>
      <c r="R32" s="607"/>
      <c r="S32" s="607"/>
      <c r="T32" s="607"/>
      <c r="U32" s="607"/>
      <c r="V32" s="607"/>
      <c r="W32" s="607"/>
      <c r="X32" s="607"/>
      <c r="Y32" s="607"/>
      <c r="Z32" s="251"/>
      <c r="AA32" s="252"/>
      <c r="AB32" s="252"/>
      <c r="AC32" s="252"/>
      <c r="AD32" s="252"/>
      <c r="AE32" s="252"/>
      <c r="AF32" s="252"/>
      <c r="AG32" s="253"/>
      <c r="AH32" s="633"/>
      <c r="AI32" s="634"/>
      <c r="AJ32" s="634"/>
      <c r="AK32" s="634"/>
      <c r="AL32" s="635"/>
      <c r="AM32" s="633"/>
      <c r="AN32" s="634"/>
      <c r="AO32" s="634"/>
      <c r="AP32" s="634"/>
      <c r="AQ32" s="635"/>
      <c r="AR32" s="633"/>
      <c r="AS32" s="634"/>
      <c r="AT32" s="634"/>
      <c r="AU32" s="634"/>
      <c r="AV32" s="635"/>
      <c r="AW32" s="633"/>
      <c r="AX32" s="634"/>
      <c r="AY32" s="634"/>
      <c r="AZ32" s="634"/>
      <c r="BA32" s="635"/>
      <c r="BB32" s="633"/>
      <c r="BC32" s="634"/>
      <c r="BD32" s="634"/>
      <c r="BE32" s="634"/>
      <c r="BF32" s="635"/>
      <c r="BG32" s="633"/>
      <c r="BH32" s="634"/>
      <c r="BI32" s="634"/>
      <c r="BJ32" s="634"/>
      <c r="BK32" s="634"/>
      <c r="BL32" s="647"/>
      <c r="BM32" s="647"/>
      <c r="BN32" s="647"/>
      <c r="BO32" s="648"/>
      <c r="BP32" s="593" t="s">
        <v>31</v>
      </c>
      <c r="BQ32" s="565"/>
      <c r="BR32" s="565"/>
      <c r="BS32" s="565"/>
      <c r="BT32" s="565"/>
      <c r="BU32" s="565"/>
      <c r="BV32" s="565"/>
      <c r="BW32" s="565"/>
      <c r="BX32" s="565"/>
      <c r="BY32" s="565"/>
      <c r="BZ32" s="565"/>
      <c r="CA32" s="565"/>
      <c r="CB32" s="565"/>
      <c r="CC32" s="565"/>
      <c r="CD32" s="565"/>
      <c r="CE32" s="565"/>
      <c r="CF32" s="565"/>
      <c r="CG32" s="565"/>
      <c r="CH32" s="565"/>
      <c r="CI32" s="565"/>
      <c r="CJ32" s="565"/>
      <c r="CK32" s="565"/>
      <c r="CL32" s="565"/>
      <c r="CM32" s="565"/>
      <c r="CN32" s="565"/>
      <c r="CO32" s="565"/>
      <c r="CP32" s="565"/>
      <c r="CQ32" s="565"/>
      <c r="CR32" s="565"/>
      <c r="CS32" s="565"/>
      <c r="CT32" s="565"/>
      <c r="CU32" s="565"/>
      <c r="CV32" s="565"/>
      <c r="CW32" s="565"/>
      <c r="CX32" s="565"/>
      <c r="CY32" s="565"/>
      <c r="CZ32" s="565"/>
      <c r="DA32" s="565"/>
      <c r="DB32" s="565"/>
      <c r="DC32" s="580"/>
      <c r="DD32" s="296" t="s">
        <v>31</v>
      </c>
      <c r="DE32" s="565"/>
      <c r="DF32" s="565"/>
      <c r="DG32" s="565"/>
      <c r="DH32" s="565"/>
      <c r="DI32" s="565"/>
      <c r="DJ32" s="565"/>
      <c r="DK32" s="565"/>
      <c r="DL32" s="565"/>
      <c r="DM32" s="565"/>
      <c r="DN32" s="565"/>
      <c r="DO32" s="565"/>
      <c r="DP32" s="565"/>
      <c r="DQ32" s="565"/>
      <c r="DR32" s="565"/>
      <c r="DS32" s="565"/>
      <c r="DT32" s="565"/>
      <c r="DU32" s="565"/>
      <c r="DV32" s="565"/>
      <c r="DW32" s="565"/>
      <c r="DX32" s="565"/>
      <c r="DY32" s="565"/>
      <c r="DZ32" s="565"/>
      <c r="EA32" s="565"/>
      <c r="EB32" s="565"/>
      <c r="EC32" s="565"/>
      <c r="ED32" s="565"/>
      <c r="EE32" s="565"/>
      <c r="EF32" s="565"/>
      <c r="EG32" s="565"/>
      <c r="EH32" s="565"/>
      <c r="EI32" s="565"/>
      <c r="EJ32" s="565"/>
      <c r="EK32" s="565"/>
      <c r="EL32" s="565"/>
      <c r="EM32" s="565"/>
      <c r="EN32" s="565"/>
      <c r="EO32" s="565"/>
      <c r="EP32" s="565"/>
      <c r="EQ32" s="294"/>
      <c r="ER32" s="643"/>
      <c r="ES32" s="644"/>
      <c r="ET32" s="645"/>
      <c r="EU32" s="646"/>
    </row>
    <row r="33" spans="1:153" s="76" customFormat="1" ht="60.75" x14ac:dyDescent="0.75">
      <c r="A33" s="627"/>
      <c r="B33" s="605"/>
      <c r="C33" s="607"/>
      <c r="D33" s="607"/>
      <c r="E33" s="607"/>
      <c r="F33" s="607"/>
      <c r="G33" s="607"/>
      <c r="H33" s="607"/>
      <c r="I33" s="607"/>
      <c r="J33" s="607"/>
      <c r="K33" s="607"/>
      <c r="L33" s="607"/>
      <c r="M33" s="607"/>
      <c r="N33" s="607"/>
      <c r="O33" s="607"/>
      <c r="P33" s="607"/>
      <c r="Q33" s="607"/>
      <c r="R33" s="607"/>
      <c r="S33" s="607"/>
      <c r="T33" s="607"/>
      <c r="U33" s="607"/>
      <c r="V33" s="607"/>
      <c r="W33" s="607"/>
      <c r="X33" s="607"/>
      <c r="Y33" s="607"/>
      <c r="Z33" s="251"/>
      <c r="AA33" s="252"/>
      <c r="AB33" s="252"/>
      <c r="AC33" s="252"/>
      <c r="AD33" s="252"/>
      <c r="AE33" s="252"/>
      <c r="AF33" s="252"/>
      <c r="AG33" s="253"/>
      <c r="AH33" s="633"/>
      <c r="AI33" s="634"/>
      <c r="AJ33" s="634"/>
      <c r="AK33" s="634"/>
      <c r="AL33" s="635"/>
      <c r="AM33" s="633"/>
      <c r="AN33" s="634"/>
      <c r="AO33" s="634"/>
      <c r="AP33" s="634"/>
      <c r="AQ33" s="635"/>
      <c r="AR33" s="633"/>
      <c r="AS33" s="634"/>
      <c r="AT33" s="634"/>
      <c r="AU33" s="634"/>
      <c r="AV33" s="635"/>
      <c r="AW33" s="633"/>
      <c r="AX33" s="634"/>
      <c r="AY33" s="634"/>
      <c r="AZ33" s="634"/>
      <c r="BA33" s="635"/>
      <c r="BB33" s="633"/>
      <c r="BC33" s="634"/>
      <c r="BD33" s="634"/>
      <c r="BE33" s="634"/>
      <c r="BF33" s="635"/>
      <c r="BG33" s="633"/>
      <c r="BH33" s="634"/>
      <c r="BI33" s="634"/>
      <c r="BJ33" s="634"/>
      <c r="BK33" s="634"/>
      <c r="BL33" s="647"/>
      <c r="BM33" s="647"/>
      <c r="BN33" s="647"/>
      <c r="BO33" s="648"/>
      <c r="BP33" s="593">
        <v>1</v>
      </c>
      <c r="BQ33" s="565"/>
      <c r="BR33" s="565"/>
      <c r="BS33" s="565"/>
      <c r="BT33" s="565">
        <v>2</v>
      </c>
      <c r="BU33" s="565"/>
      <c r="BV33" s="565"/>
      <c r="BW33" s="565"/>
      <c r="BX33" s="565">
        <v>3</v>
      </c>
      <c r="BY33" s="565"/>
      <c r="BZ33" s="565"/>
      <c r="CA33" s="565"/>
      <c r="CB33" s="565">
        <v>4</v>
      </c>
      <c r="CC33" s="565"/>
      <c r="CD33" s="565"/>
      <c r="CE33" s="565"/>
      <c r="CF33" s="565">
        <v>5</v>
      </c>
      <c r="CG33" s="565"/>
      <c r="CH33" s="565"/>
      <c r="CI33" s="565"/>
      <c r="CJ33" s="565">
        <v>6</v>
      </c>
      <c r="CK33" s="565"/>
      <c r="CL33" s="565"/>
      <c r="CM33" s="565"/>
      <c r="CN33" s="565">
        <v>7</v>
      </c>
      <c r="CO33" s="565"/>
      <c r="CP33" s="565"/>
      <c r="CQ33" s="565"/>
      <c r="CR33" s="565">
        <v>8</v>
      </c>
      <c r="CS33" s="565"/>
      <c r="CT33" s="565"/>
      <c r="CU33" s="565"/>
      <c r="CV33" s="565">
        <v>9</v>
      </c>
      <c r="CW33" s="565"/>
      <c r="CX33" s="565"/>
      <c r="CY33" s="565"/>
      <c r="CZ33" s="565">
        <v>10</v>
      </c>
      <c r="DA33" s="565"/>
      <c r="DB33" s="565"/>
      <c r="DC33" s="580"/>
      <c r="DD33" s="296">
        <v>1</v>
      </c>
      <c r="DE33" s="565"/>
      <c r="DF33" s="565"/>
      <c r="DG33" s="565"/>
      <c r="DH33" s="565">
        <v>2</v>
      </c>
      <c r="DI33" s="565"/>
      <c r="DJ33" s="565"/>
      <c r="DK33" s="565"/>
      <c r="DL33" s="565">
        <v>3</v>
      </c>
      <c r="DM33" s="565"/>
      <c r="DN33" s="565"/>
      <c r="DO33" s="565"/>
      <c r="DP33" s="565">
        <v>4</v>
      </c>
      <c r="DQ33" s="565"/>
      <c r="DR33" s="565"/>
      <c r="DS33" s="565"/>
      <c r="DT33" s="565">
        <v>5</v>
      </c>
      <c r="DU33" s="565"/>
      <c r="DV33" s="565"/>
      <c r="DW33" s="565"/>
      <c r="DX33" s="565">
        <v>6</v>
      </c>
      <c r="DY33" s="565"/>
      <c r="DZ33" s="565"/>
      <c r="EA33" s="565"/>
      <c r="EB33" s="565">
        <v>7</v>
      </c>
      <c r="EC33" s="565"/>
      <c r="ED33" s="565"/>
      <c r="EE33" s="565"/>
      <c r="EF33" s="565">
        <v>8</v>
      </c>
      <c r="EG33" s="565"/>
      <c r="EH33" s="565"/>
      <c r="EI33" s="565"/>
      <c r="EJ33" s="565">
        <v>9</v>
      </c>
      <c r="EK33" s="565"/>
      <c r="EL33" s="565"/>
      <c r="EM33" s="565"/>
      <c r="EN33" s="565">
        <v>10</v>
      </c>
      <c r="EO33" s="565"/>
      <c r="EP33" s="565"/>
      <c r="EQ33" s="294"/>
      <c r="ER33" s="643"/>
      <c r="ES33" s="644"/>
      <c r="ET33" s="645"/>
      <c r="EU33" s="646"/>
    </row>
    <row r="34" spans="1:153" s="76" customFormat="1" ht="60.75" x14ac:dyDescent="0.75">
      <c r="A34" s="627"/>
      <c r="B34" s="605"/>
      <c r="C34" s="607"/>
      <c r="D34" s="607"/>
      <c r="E34" s="607"/>
      <c r="F34" s="607"/>
      <c r="G34" s="607"/>
      <c r="H34" s="607"/>
      <c r="I34" s="607"/>
      <c r="J34" s="607"/>
      <c r="K34" s="607"/>
      <c r="L34" s="607"/>
      <c r="M34" s="607"/>
      <c r="N34" s="607"/>
      <c r="O34" s="607"/>
      <c r="P34" s="607"/>
      <c r="Q34" s="607"/>
      <c r="R34" s="607"/>
      <c r="S34" s="607"/>
      <c r="T34" s="607"/>
      <c r="U34" s="607"/>
      <c r="V34" s="607"/>
      <c r="W34" s="607"/>
      <c r="X34" s="607"/>
      <c r="Y34" s="607"/>
      <c r="Z34" s="251"/>
      <c r="AA34" s="252"/>
      <c r="AB34" s="252"/>
      <c r="AC34" s="252"/>
      <c r="AD34" s="252"/>
      <c r="AE34" s="252"/>
      <c r="AF34" s="252"/>
      <c r="AG34" s="253"/>
      <c r="AH34" s="633"/>
      <c r="AI34" s="634"/>
      <c r="AJ34" s="634"/>
      <c r="AK34" s="634"/>
      <c r="AL34" s="635"/>
      <c r="AM34" s="633"/>
      <c r="AN34" s="634"/>
      <c r="AO34" s="634"/>
      <c r="AP34" s="634"/>
      <c r="AQ34" s="635"/>
      <c r="AR34" s="633"/>
      <c r="AS34" s="634"/>
      <c r="AT34" s="634"/>
      <c r="AU34" s="634"/>
      <c r="AV34" s="635"/>
      <c r="AW34" s="633"/>
      <c r="AX34" s="634"/>
      <c r="AY34" s="634"/>
      <c r="AZ34" s="634"/>
      <c r="BA34" s="635"/>
      <c r="BB34" s="633"/>
      <c r="BC34" s="634"/>
      <c r="BD34" s="634"/>
      <c r="BE34" s="634"/>
      <c r="BF34" s="635"/>
      <c r="BG34" s="633"/>
      <c r="BH34" s="634"/>
      <c r="BI34" s="634"/>
      <c r="BJ34" s="634"/>
      <c r="BK34" s="634"/>
      <c r="BL34" s="647"/>
      <c r="BM34" s="647"/>
      <c r="BN34" s="647"/>
      <c r="BO34" s="648"/>
      <c r="BP34" s="593" t="s">
        <v>32</v>
      </c>
      <c r="BQ34" s="565"/>
      <c r="BR34" s="565"/>
      <c r="BS34" s="565"/>
      <c r="BT34" s="565"/>
      <c r="BU34" s="565"/>
      <c r="BV34" s="565"/>
      <c r="BW34" s="565"/>
      <c r="BX34" s="565"/>
      <c r="BY34" s="565"/>
      <c r="BZ34" s="565"/>
      <c r="CA34" s="565"/>
      <c r="CB34" s="565"/>
      <c r="CC34" s="565"/>
      <c r="CD34" s="565"/>
      <c r="CE34" s="565"/>
      <c r="CF34" s="565"/>
      <c r="CG34" s="565"/>
      <c r="CH34" s="565"/>
      <c r="CI34" s="565"/>
      <c r="CJ34" s="565"/>
      <c r="CK34" s="565"/>
      <c r="CL34" s="565"/>
      <c r="CM34" s="565"/>
      <c r="CN34" s="565"/>
      <c r="CO34" s="565"/>
      <c r="CP34" s="565"/>
      <c r="CQ34" s="565"/>
      <c r="CR34" s="565"/>
      <c r="CS34" s="565"/>
      <c r="CT34" s="565"/>
      <c r="CU34" s="565"/>
      <c r="CV34" s="565"/>
      <c r="CW34" s="565"/>
      <c r="CX34" s="565"/>
      <c r="CY34" s="565"/>
      <c r="CZ34" s="565"/>
      <c r="DA34" s="565"/>
      <c r="DB34" s="565"/>
      <c r="DC34" s="580"/>
      <c r="DD34" s="296" t="s">
        <v>33</v>
      </c>
      <c r="DE34" s="565"/>
      <c r="DF34" s="565"/>
      <c r="DG34" s="565"/>
      <c r="DH34" s="565"/>
      <c r="DI34" s="565"/>
      <c r="DJ34" s="565"/>
      <c r="DK34" s="565"/>
      <c r="DL34" s="565"/>
      <c r="DM34" s="565"/>
      <c r="DN34" s="565"/>
      <c r="DO34" s="565"/>
      <c r="DP34" s="565"/>
      <c r="DQ34" s="565"/>
      <c r="DR34" s="565"/>
      <c r="DS34" s="565"/>
      <c r="DT34" s="565"/>
      <c r="DU34" s="565"/>
      <c r="DV34" s="565"/>
      <c r="DW34" s="565"/>
      <c r="DX34" s="565"/>
      <c r="DY34" s="565"/>
      <c r="DZ34" s="565"/>
      <c r="EA34" s="565"/>
      <c r="EB34" s="565"/>
      <c r="EC34" s="565"/>
      <c r="ED34" s="565"/>
      <c r="EE34" s="565"/>
      <c r="EF34" s="565"/>
      <c r="EG34" s="565"/>
      <c r="EH34" s="565"/>
      <c r="EI34" s="565"/>
      <c r="EJ34" s="565"/>
      <c r="EK34" s="565"/>
      <c r="EL34" s="565"/>
      <c r="EM34" s="565"/>
      <c r="EN34" s="565"/>
      <c r="EO34" s="565"/>
      <c r="EP34" s="565"/>
      <c r="EQ34" s="294"/>
      <c r="ER34" s="643"/>
      <c r="ES34" s="644"/>
      <c r="ET34" s="645"/>
      <c r="EU34" s="646"/>
    </row>
    <row r="35" spans="1:153" s="76" customFormat="1" ht="60.75" x14ac:dyDescent="0.75">
      <c r="A35" s="628"/>
      <c r="B35" s="606"/>
      <c r="C35" s="607"/>
      <c r="D35" s="607"/>
      <c r="E35" s="607"/>
      <c r="F35" s="607"/>
      <c r="G35" s="607"/>
      <c r="H35" s="607"/>
      <c r="I35" s="607"/>
      <c r="J35" s="607"/>
      <c r="K35" s="607"/>
      <c r="L35" s="607"/>
      <c r="M35" s="607"/>
      <c r="N35" s="607"/>
      <c r="O35" s="607"/>
      <c r="P35" s="607"/>
      <c r="Q35" s="607"/>
      <c r="R35" s="607"/>
      <c r="S35" s="607"/>
      <c r="T35" s="607"/>
      <c r="U35" s="607"/>
      <c r="V35" s="607"/>
      <c r="W35" s="607"/>
      <c r="X35" s="607"/>
      <c r="Y35" s="607"/>
      <c r="Z35" s="254"/>
      <c r="AA35" s="255"/>
      <c r="AB35" s="255"/>
      <c r="AC35" s="255"/>
      <c r="AD35" s="255"/>
      <c r="AE35" s="255"/>
      <c r="AF35" s="255"/>
      <c r="AG35" s="256"/>
      <c r="AH35" s="636"/>
      <c r="AI35" s="637"/>
      <c r="AJ35" s="637"/>
      <c r="AK35" s="637"/>
      <c r="AL35" s="638"/>
      <c r="AM35" s="636"/>
      <c r="AN35" s="637"/>
      <c r="AO35" s="637"/>
      <c r="AP35" s="637"/>
      <c r="AQ35" s="638"/>
      <c r="AR35" s="636"/>
      <c r="AS35" s="637"/>
      <c r="AT35" s="637"/>
      <c r="AU35" s="637"/>
      <c r="AV35" s="638"/>
      <c r="AW35" s="636"/>
      <c r="AX35" s="637"/>
      <c r="AY35" s="637"/>
      <c r="AZ35" s="637"/>
      <c r="BA35" s="638"/>
      <c r="BB35" s="636"/>
      <c r="BC35" s="637"/>
      <c r="BD35" s="637"/>
      <c r="BE35" s="637"/>
      <c r="BF35" s="638"/>
      <c r="BG35" s="636"/>
      <c r="BH35" s="637"/>
      <c r="BI35" s="637"/>
      <c r="BJ35" s="637"/>
      <c r="BK35" s="637"/>
      <c r="BL35" s="647"/>
      <c r="BM35" s="647"/>
      <c r="BN35" s="647"/>
      <c r="BO35" s="648"/>
      <c r="BP35" s="577">
        <v>3</v>
      </c>
      <c r="BQ35" s="565"/>
      <c r="BR35" s="565"/>
      <c r="BS35" s="565"/>
      <c r="BT35" s="579">
        <v>3</v>
      </c>
      <c r="BU35" s="565"/>
      <c r="BV35" s="565"/>
      <c r="BW35" s="565"/>
      <c r="BX35" s="579">
        <v>3</v>
      </c>
      <c r="BY35" s="565"/>
      <c r="BZ35" s="565"/>
      <c r="CA35" s="565"/>
      <c r="CB35" s="579">
        <v>3</v>
      </c>
      <c r="CC35" s="565"/>
      <c r="CD35" s="565"/>
      <c r="CE35" s="565"/>
      <c r="CF35" s="579">
        <v>3</v>
      </c>
      <c r="CG35" s="565"/>
      <c r="CH35" s="565"/>
      <c r="CI35" s="565"/>
      <c r="CJ35" s="579">
        <v>3</v>
      </c>
      <c r="CK35" s="565"/>
      <c r="CL35" s="565"/>
      <c r="CM35" s="565"/>
      <c r="CN35" s="579">
        <v>3</v>
      </c>
      <c r="CO35" s="565"/>
      <c r="CP35" s="565"/>
      <c r="CQ35" s="565"/>
      <c r="CR35" s="579">
        <v>3</v>
      </c>
      <c r="CS35" s="565"/>
      <c r="CT35" s="565"/>
      <c r="CU35" s="565"/>
      <c r="CV35" s="579">
        <v>3</v>
      </c>
      <c r="CW35" s="565"/>
      <c r="CX35" s="565"/>
      <c r="CY35" s="565"/>
      <c r="CZ35" s="586">
        <v>3</v>
      </c>
      <c r="DA35" s="586"/>
      <c r="DB35" s="586"/>
      <c r="DC35" s="587"/>
      <c r="DD35" s="578">
        <f>DD79</f>
        <v>19</v>
      </c>
      <c r="DE35" s="565"/>
      <c r="DF35" s="565"/>
      <c r="DG35" s="565"/>
      <c r="DH35" s="578">
        <f>DH79</f>
        <v>19</v>
      </c>
      <c r="DI35" s="565"/>
      <c r="DJ35" s="565"/>
      <c r="DK35" s="565"/>
      <c r="DL35" s="578">
        <f>DL79</f>
        <v>18</v>
      </c>
      <c r="DM35" s="565"/>
      <c r="DN35" s="565"/>
      <c r="DO35" s="565"/>
      <c r="DP35" s="578">
        <f>DP79</f>
        <v>17</v>
      </c>
      <c r="DQ35" s="565"/>
      <c r="DR35" s="565"/>
      <c r="DS35" s="565"/>
      <c r="DT35" s="578">
        <f>DT79</f>
        <v>19</v>
      </c>
      <c r="DU35" s="565"/>
      <c r="DV35" s="565"/>
      <c r="DW35" s="565"/>
      <c r="DX35" s="578">
        <f>DX79</f>
        <v>19</v>
      </c>
      <c r="DY35" s="565"/>
      <c r="DZ35" s="565"/>
      <c r="EA35" s="565"/>
      <c r="EB35" s="578">
        <f>EB79</f>
        <v>17</v>
      </c>
      <c r="EC35" s="565"/>
      <c r="ED35" s="565"/>
      <c r="EE35" s="565"/>
      <c r="EF35" s="578">
        <f>EF79</f>
        <v>16</v>
      </c>
      <c r="EG35" s="565"/>
      <c r="EH35" s="565"/>
      <c r="EI35" s="565"/>
      <c r="EJ35" s="578">
        <f>EJ79</f>
        <v>18</v>
      </c>
      <c r="EK35" s="565"/>
      <c r="EL35" s="565"/>
      <c r="EM35" s="565"/>
      <c r="EN35" s="579">
        <f>EN79</f>
        <v>18</v>
      </c>
      <c r="EO35" s="565"/>
      <c r="EP35" s="565"/>
      <c r="EQ35" s="580"/>
      <c r="ER35" s="577">
        <f>SUM(DD35:EQ35)</f>
        <v>180</v>
      </c>
      <c r="ES35" s="578"/>
      <c r="ET35" s="579"/>
      <c r="EU35" s="629"/>
    </row>
    <row r="36" spans="1:153" s="76" customFormat="1" ht="60.75" x14ac:dyDescent="0.75">
      <c r="A36" s="77">
        <v>1</v>
      </c>
      <c r="B36" s="78"/>
      <c r="C36" s="608">
        <v>2</v>
      </c>
      <c r="D36" s="609"/>
      <c r="E36" s="609"/>
      <c r="F36" s="609"/>
      <c r="G36" s="609"/>
      <c r="H36" s="609"/>
      <c r="I36" s="609"/>
      <c r="J36" s="609"/>
      <c r="K36" s="609"/>
      <c r="L36" s="609"/>
      <c r="M36" s="609"/>
      <c r="N36" s="609"/>
      <c r="O36" s="609"/>
      <c r="P36" s="609"/>
      <c r="Q36" s="609"/>
      <c r="R36" s="609"/>
      <c r="S36" s="609"/>
      <c r="T36" s="609"/>
      <c r="U36" s="609"/>
      <c r="V36" s="609"/>
      <c r="W36" s="609"/>
      <c r="X36" s="609"/>
      <c r="Y36" s="585"/>
      <c r="Z36" s="639">
        <v>3</v>
      </c>
      <c r="AA36" s="639"/>
      <c r="AB36" s="639"/>
      <c r="AC36" s="639"/>
      <c r="AD36" s="640">
        <v>4</v>
      </c>
      <c r="AE36" s="641"/>
      <c r="AF36" s="641"/>
      <c r="AG36" s="642"/>
      <c r="AH36" s="640">
        <v>5</v>
      </c>
      <c r="AI36" s="641"/>
      <c r="AJ36" s="641"/>
      <c r="AK36" s="641"/>
      <c r="AL36" s="642"/>
      <c r="AM36" s="640">
        <v>6</v>
      </c>
      <c r="AN36" s="641"/>
      <c r="AO36" s="641"/>
      <c r="AP36" s="641"/>
      <c r="AQ36" s="642"/>
      <c r="AR36" s="640">
        <v>7</v>
      </c>
      <c r="AS36" s="641"/>
      <c r="AT36" s="641"/>
      <c r="AU36" s="641"/>
      <c r="AV36" s="642"/>
      <c r="AW36" s="640">
        <v>8</v>
      </c>
      <c r="AX36" s="641"/>
      <c r="AY36" s="641"/>
      <c r="AZ36" s="641"/>
      <c r="BA36" s="642"/>
      <c r="BB36" s="640">
        <v>9</v>
      </c>
      <c r="BC36" s="641"/>
      <c r="BD36" s="641"/>
      <c r="BE36" s="641"/>
      <c r="BF36" s="642"/>
      <c r="BG36" s="640">
        <v>10</v>
      </c>
      <c r="BH36" s="641"/>
      <c r="BI36" s="641"/>
      <c r="BJ36" s="641"/>
      <c r="BK36" s="642"/>
      <c r="BL36" s="616">
        <v>11</v>
      </c>
      <c r="BM36" s="617"/>
      <c r="BN36" s="617"/>
      <c r="BO36" s="617"/>
      <c r="BP36" s="649">
        <v>12</v>
      </c>
      <c r="BQ36" s="617"/>
      <c r="BR36" s="617"/>
      <c r="BS36" s="617"/>
      <c r="BT36" s="616">
        <v>13</v>
      </c>
      <c r="BU36" s="617"/>
      <c r="BV36" s="617"/>
      <c r="BW36" s="617"/>
      <c r="BX36" s="616">
        <v>14</v>
      </c>
      <c r="BY36" s="617"/>
      <c r="BZ36" s="617"/>
      <c r="CA36" s="617"/>
      <c r="CB36" s="616">
        <v>15</v>
      </c>
      <c r="CC36" s="617"/>
      <c r="CD36" s="617"/>
      <c r="CE36" s="617"/>
      <c r="CF36" s="616">
        <v>16</v>
      </c>
      <c r="CG36" s="617"/>
      <c r="CH36" s="617"/>
      <c r="CI36" s="617"/>
      <c r="CJ36" s="616">
        <v>17</v>
      </c>
      <c r="CK36" s="617"/>
      <c r="CL36" s="617"/>
      <c r="CM36" s="617"/>
      <c r="CN36" s="616">
        <v>18</v>
      </c>
      <c r="CO36" s="617"/>
      <c r="CP36" s="617"/>
      <c r="CQ36" s="617"/>
      <c r="CR36" s="616">
        <v>19</v>
      </c>
      <c r="CS36" s="617"/>
      <c r="CT36" s="617"/>
      <c r="CU36" s="617"/>
      <c r="CV36" s="616">
        <v>20</v>
      </c>
      <c r="CW36" s="617"/>
      <c r="CX36" s="617"/>
      <c r="CY36" s="617"/>
      <c r="CZ36" s="616">
        <v>21</v>
      </c>
      <c r="DA36" s="617"/>
      <c r="DB36" s="617"/>
      <c r="DC36" s="618"/>
      <c r="DD36" s="617">
        <v>22</v>
      </c>
      <c r="DE36" s="617"/>
      <c r="DF36" s="617"/>
      <c r="DG36" s="617"/>
      <c r="DH36" s="616">
        <v>23</v>
      </c>
      <c r="DI36" s="617"/>
      <c r="DJ36" s="617"/>
      <c r="DK36" s="617"/>
      <c r="DL36" s="616">
        <v>24</v>
      </c>
      <c r="DM36" s="617"/>
      <c r="DN36" s="617"/>
      <c r="DO36" s="617"/>
      <c r="DP36" s="616">
        <v>25</v>
      </c>
      <c r="DQ36" s="617"/>
      <c r="DR36" s="617"/>
      <c r="DS36" s="617"/>
      <c r="DT36" s="616">
        <v>26</v>
      </c>
      <c r="DU36" s="617"/>
      <c r="DV36" s="617"/>
      <c r="DW36" s="617"/>
      <c r="DX36" s="616">
        <v>27</v>
      </c>
      <c r="DY36" s="617"/>
      <c r="DZ36" s="617"/>
      <c r="EA36" s="617"/>
      <c r="EB36" s="616">
        <v>28</v>
      </c>
      <c r="EC36" s="617"/>
      <c r="ED36" s="617"/>
      <c r="EE36" s="617"/>
      <c r="EF36" s="616">
        <v>29</v>
      </c>
      <c r="EG36" s="617"/>
      <c r="EH36" s="617"/>
      <c r="EI36" s="617"/>
      <c r="EJ36" s="616">
        <v>30</v>
      </c>
      <c r="EK36" s="617"/>
      <c r="EL36" s="617"/>
      <c r="EM36" s="617"/>
      <c r="EN36" s="616">
        <v>31</v>
      </c>
      <c r="EO36" s="617"/>
      <c r="EP36" s="617"/>
      <c r="EQ36" s="618"/>
      <c r="ER36" s="577"/>
      <c r="ES36" s="578"/>
      <c r="ET36" s="579"/>
      <c r="EU36" s="629"/>
    </row>
    <row r="37" spans="1:153" s="76" customFormat="1" ht="69.95" customHeight="1" x14ac:dyDescent="0.75">
      <c r="A37" s="79" t="s">
        <v>76</v>
      </c>
      <c r="B37" s="79"/>
      <c r="C37" s="611" t="s">
        <v>35</v>
      </c>
      <c r="D37" s="611"/>
      <c r="E37" s="611"/>
      <c r="F37" s="611"/>
      <c r="G37" s="611"/>
      <c r="H37" s="611"/>
      <c r="I37" s="611"/>
      <c r="J37" s="611"/>
      <c r="K37" s="611"/>
      <c r="L37" s="611"/>
      <c r="M37" s="611"/>
      <c r="N37" s="611"/>
      <c r="O37" s="611"/>
      <c r="P37" s="611"/>
      <c r="Q37" s="611"/>
      <c r="R37" s="611"/>
      <c r="S37" s="611"/>
      <c r="T37" s="611"/>
      <c r="U37" s="611"/>
      <c r="V37" s="611"/>
      <c r="W37" s="611"/>
      <c r="X37" s="611"/>
      <c r="Y37" s="611"/>
      <c r="Z37" s="612">
        <f>SUM(Z38:AC55)</f>
        <v>3210</v>
      </c>
      <c r="AA37" s="612"/>
      <c r="AB37" s="612"/>
      <c r="AC37" s="612"/>
      <c r="AD37" s="533">
        <f>Z37/$Z$79*100</f>
        <v>59.444444444444443</v>
      </c>
      <c r="AE37" s="533"/>
      <c r="AF37" s="533"/>
      <c r="AG37" s="533"/>
      <c r="AH37" s="613">
        <f>SUM(AH38:AL55)</f>
        <v>410</v>
      </c>
      <c r="AI37" s="614"/>
      <c r="AJ37" s="614"/>
      <c r="AK37" s="614"/>
      <c r="AL37" s="615"/>
      <c r="AM37" s="613">
        <f t="shared" ref="AM37" si="11">SUM(AM38:AQ55)</f>
        <v>210</v>
      </c>
      <c r="AN37" s="614"/>
      <c r="AO37" s="614"/>
      <c r="AP37" s="614"/>
      <c r="AQ37" s="615"/>
      <c r="AR37" s="613">
        <f t="shared" ref="AR37" si="12">SUM(AR38:AV55)</f>
        <v>130</v>
      </c>
      <c r="AS37" s="614"/>
      <c r="AT37" s="614"/>
      <c r="AU37" s="614"/>
      <c r="AV37" s="615"/>
      <c r="AW37" s="613">
        <f t="shared" ref="AW37" si="13">SUM(AW38:BA55)</f>
        <v>66</v>
      </c>
      <c r="AX37" s="614"/>
      <c r="AY37" s="614"/>
      <c r="AZ37" s="614"/>
      <c r="BA37" s="615"/>
      <c r="BB37" s="613">
        <f t="shared" ref="BB37" si="14">SUM(BB38:BF55)</f>
        <v>0</v>
      </c>
      <c r="BC37" s="614"/>
      <c r="BD37" s="614"/>
      <c r="BE37" s="614"/>
      <c r="BF37" s="615"/>
      <c r="BG37" s="613">
        <f>SUM(BG42:BK55)</f>
        <v>0</v>
      </c>
      <c r="BH37" s="614"/>
      <c r="BI37" s="614"/>
      <c r="BJ37" s="614"/>
      <c r="BK37" s="615"/>
      <c r="BL37" s="655">
        <f>SUM(BL38:BO55)</f>
        <v>2800</v>
      </c>
      <c r="BM37" s="655"/>
      <c r="BN37" s="655"/>
      <c r="BO37" s="613"/>
      <c r="BP37" s="624">
        <f>SUM(BP38:BS55)</f>
        <v>24</v>
      </c>
      <c r="BQ37" s="621"/>
      <c r="BR37" s="621"/>
      <c r="BS37" s="621"/>
      <c r="BT37" s="621">
        <f t="shared" ref="BT37" si="15">SUM(BT38:BW55)</f>
        <v>24</v>
      </c>
      <c r="BU37" s="621"/>
      <c r="BV37" s="621"/>
      <c r="BW37" s="621"/>
      <c r="BX37" s="621">
        <f t="shared" ref="BX37" si="16">SUM(BX38:CA55)</f>
        <v>24</v>
      </c>
      <c r="BY37" s="621"/>
      <c r="BZ37" s="621"/>
      <c r="CA37" s="621"/>
      <c r="CB37" s="621">
        <f t="shared" ref="CB37" si="17">SUM(CB38:CE55)</f>
        <v>12</v>
      </c>
      <c r="CC37" s="621"/>
      <c r="CD37" s="621"/>
      <c r="CE37" s="621"/>
      <c r="CF37" s="621">
        <f t="shared" ref="CF37" si="18">SUM(CF38:CI55)</f>
        <v>10</v>
      </c>
      <c r="CG37" s="621"/>
      <c r="CH37" s="621"/>
      <c r="CI37" s="621"/>
      <c r="CJ37" s="621">
        <f t="shared" ref="CJ37" si="19">SUM(CJ38:CM55)</f>
        <v>10</v>
      </c>
      <c r="CK37" s="621"/>
      <c r="CL37" s="621"/>
      <c r="CM37" s="621"/>
      <c r="CN37" s="621">
        <f t="shared" ref="CN37" si="20">SUM(CN38:CQ55)</f>
        <v>5</v>
      </c>
      <c r="CO37" s="621"/>
      <c r="CP37" s="621"/>
      <c r="CQ37" s="621"/>
      <c r="CR37" s="621">
        <f t="shared" ref="CR37" si="21">SUM(CR38:CU55)</f>
        <v>10</v>
      </c>
      <c r="CS37" s="621"/>
      <c r="CT37" s="621"/>
      <c r="CU37" s="621"/>
      <c r="CV37" s="621">
        <f t="shared" ref="CV37" si="22">SUM(CV38:CY55)</f>
        <v>12</v>
      </c>
      <c r="CW37" s="621"/>
      <c r="CX37" s="621"/>
      <c r="CY37" s="621"/>
      <c r="CZ37" s="621">
        <f t="shared" ref="CZ37" si="23">SUM(CZ38:DC55)</f>
        <v>5</v>
      </c>
      <c r="DA37" s="621"/>
      <c r="DB37" s="621"/>
      <c r="DC37" s="623"/>
      <c r="DD37" s="624">
        <f>SUM(DD38:DG55)</f>
        <v>19</v>
      </c>
      <c r="DE37" s="621"/>
      <c r="DF37" s="621"/>
      <c r="DG37" s="621"/>
      <c r="DH37" s="621">
        <f t="shared" ref="DH37" si="24">SUM(DH38:DK55)</f>
        <v>19</v>
      </c>
      <c r="DI37" s="621"/>
      <c r="DJ37" s="621"/>
      <c r="DK37" s="621"/>
      <c r="DL37" s="621">
        <f t="shared" ref="DL37" si="25">SUM(DL38:DO55)</f>
        <v>18</v>
      </c>
      <c r="DM37" s="621"/>
      <c r="DN37" s="621"/>
      <c r="DO37" s="621"/>
      <c r="DP37" s="621">
        <f t="shared" ref="DP37" si="26">SUM(DP38:DS55)</f>
        <v>9</v>
      </c>
      <c r="DQ37" s="621"/>
      <c r="DR37" s="621"/>
      <c r="DS37" s="621"/>
      <c r="DT37" s="621">
        <f t="shared" ref="DT37" si="27">SUM(DT38:DW55)</f>
        <v>8</v>
      </c>
      <c r="DU37" s="621"/>
      <c r="DV37" s="621"/>
      <c r="DW37" s="621"/>
      <c r="DX37" s="621">
        <f t="shared" ref="DX37" si="28">SUM(DX38:EA55)</f>
        <v>8</v>
      </c>
      <c r="DY37" s="621"/>
      <c r="DZ37" s="621"/>
      <c r="EA37" s="621"/>
      <c r="EB37" s="621">
        <f t="shared" ref="EB37" si="29">SUM(EB38:EE55)</f>
        <v>4</v>
      </c>
      <c r="EC37" s="621"/>
      <c r="ED37" s="621"/>
      <c r="EE37" s="621"/>
      <c r="EF37" s="621">
        <f t="shared" ref="EF37" si="30">SUM(EF38:EI55)</f>
        <v>8</v>
      </c>
      <c r="EG37" s="621"/>
      <c r="EH37" s="621"/>
      <c r="EI37" s="621"/>
      <c r="EJ37" s="621">
        <f t="shared" ref="EJ37" si="31">SUM(EJ38:EM55)</f>
        <v>10</v>
      </c>
      <c r="EK37" s="621"/>
      <c r="EL37" s="621"/>
      <c r="EM37" s="621"/>
      <c r="EN37" s="621">
        <f t="shared" ref="EN37" si="32">SUM(EN38:EQ55)</f>
        <v>4</v>
      </c>
      <c r="EO37" s="621"/>
      <c r="EP37" s="621"/>
      <c r="EQ37" s="654"/>
      <c r="ER37" s="650">
        <f t="shared" ref="ER37:ER51" si="33">DD37+DH37+DL37+DP37+DT37+DX37+EB37+EF37+EJ37+EN37</f>
        <v>107</v>
      </c>
      <c r="ES37" s="651"/>
      <c r="ET37" s="652"/>
      <c r="EU37" s="653"/>
    </row>
    <row r="38" spans="1:153" s="76" customFormat="1" ht="99.95" customHeight="1" x14ac:dyDescent="0.75">
      <c r="A38" s="80" t="s">
        <v>77</v>
      </c>
      <c r="B38" s="203" t="s">
        <v>109</v>
      </c>
      <c r="C38" s="564" t="s">
        <v>70</v>
      </c>
      <c r="D38" s="564"/>
      <c r="E38" s="564"/>
      <c r="F38" s="564"/>
      <c r="G38" s="564"/>
      <c r="H38" s="564"/>
      <c r="I38" s="564"/>
      <c r="J38" s="564"/>
      <c r="K38" s="564"/>
      <c r="L38" s="564"/>
      <c r="M38" s="564"/>
      <c r="N38" s="564"/>
      <c r="O38" s="564"/>
      <c r="P38" s="564"/>
      <c r="Q38" s="564"/>
      <c r="R38" s="564"/>
      <c r="S38" s="564"/>
      <c r="T38" s="564"/>
      <c r="U38" s="564"/>
      <c r="V38" s="564"/>
      <c r="W38" s="564"/>
      <c r="X38" s="564"/>
      <c r="Y38" s="564"/>
      <c r="Z38" s="565">
        <f t="shared" ref="Z38:Z51" si="34">ER38*30</f>
        <v>300</v>
      </c>
      <c r="AA38" s="565"/>
      <c r="AB38" s="565"/>
      <c r="AC38" s="565"/>
      <c r="AD38" s="566"/>
      <c r="AE38" s="566"/>
      <c r="AF38" s="566"/>
      <c r="AG38" s="566"/>
      <c r="AH38" s="567">
        <f>+AM38+AR38+AW38</f>
        <v>36</v>
      </c>
      <c r="AI38" s="567"/>
      <c r="AJ38" s="567"/>
      <c r="AK38" s="567"/>
      <c r="AL38" s="567"/>
      <c r="AM38" s="620">
        <v>24</v>
      </c>
      <c r="AN38" s="620"/>
      <c r="AO38" s="620"/>
      <c r="AP38" s="620"/>
      <c r="AQ38" s="620"/>
      <c r="AR38" s="620"/>
      <c r="AS38" s="620"/>
      <c r="AT38" s="620"/>
      <c r="AU38" s="620"/>
      <c r="AV38" s="620"/>
      <c r="AW38" s="620">
        <v>12</v>
      </c>
      <c r="AX38" s="620"/>
      <c r="AY38" s="620"/>
      <c r="AZ38" s="620"/>
      <c r="BA38" s="620"/>
      <c r="BB38" s="610"/>
      <c r="BC38" s="610"/>
      <c r="BD38" s="610"/>
      <c r="BE38" s="610"/>
      <c r="BF38" s="610"/>
      <c r="BG38" s="610"/>
      <c r="BH38" s="610"/>
      <c r="BI38" s="610"/>
      <c r="BJ38" s="610"/>
      <c r="BK38" s="610"/>
      <c r="BL38" s="571">
        <f t="shared" ref="BL38:BL51" si="35">Z38-AH38</f>
        <v>264</v>
      </c>
      <c r="BM38" s="571"/>
      <c r="BN38" s="571"/>
      <c r="BO38" s="572"/>
      <c r="BP38" s="559">
        <v>6</v>
      </c>
      <c r="BQ38" s="552"/>
      <c r="BR38" s="552"/>
      <c r="BS38" s="552"/>
      <c r="BT38" s="552">
        <v>6</v>
      </c>
      <c r="BU38" s="552"/>
      <c r="BV38" s="552"/>
      <c r="BW38" s="552"/>
      <c r="BX38" s="552"/>
      <c r="BY38" s="552"/>
      <c r="BZ38" s="552"/>
      <c r="CA38" s="552"/>
      <c r="CB38" s="552"/>
      <c r="CC38" s="552"/>
      <c r="CD38" s="552"/>
      <c r="CE38" s="552"/>
      <c r="CF38" s="552"/>
      <c r="CG38" s="552"/>
      <c r="CH38" s="552"/>
      <c r="CI38" s="552"/>
      <c r="CJ38" s="552"/>
      <c r="CK38" s="552"/>
      <c r="CL38" s="552"/>
      <c r="CM38" s="552"/>
      <c r="CN38" s="552"/>
      <c r="CO38" s="552"/>
      <c r="CP38" s="552"/>
      <c r="CQ38" s="552"/>
      <c r="CR38" s="552"/>
      <c r="CS38" s="552"/>
      <c r="CT38" s="552"/>
      <c r="CU38" s="552"/>
      <c r="CV38" s="552"/>
      <c r="CW38" s="552"/>
      <c r="CX38" s="552"/>
      <c r="CY38" s="552"/>
      <c r="CZ38" s="552"/>
      <c r="DA38" s="552"/>
      <c r="DB38" s="552"/>
      <c r="DC38" s="596"/>
      <c r="DD38" s="597">
        <v>5</v>
      </c>
      <c r="DE38" s="555"/>
      <c r="DF38" s="555"/>
      <c r="DG38" s="556"/>
      <c r="DH38" s="554">
        <v>5</v>
      </c>
      <c r="DI38" s="555"/>
      <c r="DJ38" s="555"/>
      <c r="DK38" s="556"/>
      <c r="DL38" s="554"/>
      <c r="DM38" s="555"/>
      <c r="DN38" s="555"/>
      <c r="DO38" s="556"/>
      <c r="DP38" s="619"/>
      <c r="DQ38" s="569"/>
      <c r="DR38" s="569"/>
      <c r="DS38" s="570"/>
      <c r="DT38" s="619"/>
      <c r="DU38" s="569"/>
      <c r="DV38" s="569"/>
      <c r="DW38" s="570"/>
      <c r="DX38" s="619"/>
      <c r="DY38" s="569"/>
      <c r="DZ38" s="569"/>
      <c r="EA38" s="570"/>
      <c r="EB38" s="619"/>
      <c r="EC38" s="569"/>
      <c r="ED38" s="569"/>
      <c r="EE38" s="570"/>
      <c r="EF38" s="619"/>
      <c r="EG38" s="569"/>
      <c r="EH38" s="569"/>
      <c r="EI38" s="570"/>
      <c r="EJ38" s="619"/>
      <c r="EK38" s="569"/>
      <c r="EL38" s="569"/>
      <c r="EM38" s="570"/>
      <c r="EN38" s="619"/>
      <c r="EO38" s="569"/>
      <c r="EP38" s="569"/>
      <c r="EQ38" s="622"/>
      <c r="ER38" s="577">
        <f t="shared" si="33"/>
        <v>10</v>
      </c>
      <c r="ES38" s="578"/>
      <c r="ET38" s="579"/>
      <c r="EU38" s="580"/>
      <c r="EV38" s="76">
        <v>10</v>
      </c>
      <c r="EW38" s="87"/>
    </row>
    <row r="39" spans="1:153" s="116" customFormat="1" ht="99.95" customHeight="1" x14ac:dyDescent="0.75">
      <c r="A39" s="80" t="s">
        <v>78</v>
      </c>
      <c r="B39" s="204" t="s">
        <v>68</v>
      </c>
      <c r="C39" s="560" t="s">
        <v>69</v>
      </c>
      <c r="D39" s="560"/>
      <c r="E39" s="560"/>
      <c r="F39" s="560"/>
      <c r="G39" s="560"/>
      <c r="H39" s="560"/>
      <c r="I39" s="560"/>
      <c r="J39" s="560"/>
      <c r="K39" s="560"/>
      <c r="L39" s="560"/>
      <c r="M39" s="560"/>
      <c r="N39" s="560"/>
      <c r="O39" s="560"/>
      <c r="P39" s="560"/>
      <c r="Q39" s="560"/>
      <c r="R39" s="560"/>
      <c r="S39" s="560"/>
      <c r="T39" s="560"/>
      <c r="U39" s="560"/>
      <c r="V39" s="560"/>
      <c r="W39" s="560"/>
      <c r="X39" s="560"/>
      <c r="Y39" s="560"/>
      <c r="Z39" s="562">
        <f t="shared" si="34"/>
        <v>120</v>
      </c>
      <c r="AA39" s="562"/>
      <c r="AB39" s="562"/>
      <c r="AC39" s="562"/>
      <c r="AD39" s="576"/>
      <c r="AE39" s="576"/>
      <c r="AF39" s="576"/>
      <c r="AG39" s="576"/>
      <c r="AH39" s="550">
        <v>16</v>
      </c>
      <c r="AI39" s="550"/>
      <c r="AJ39" s="550"/>
      <c r="AK39" s="550"/>
      <c r="AL39" s="550"/>
      <c r="AM39" s="551">
        <v>10</v>
      </c>
      <c r="AN39" s="551"/>
      <c r="AO39" s="551"/>
      <c r="AP39" s="551"/>
      <c r="AQ39" s="551"/>
      <c r="AR39" s="551"/>
      <c r="AS39" s="551"/>
      <c r="AT39" s="551"/>
      <c r="AU39" s="551"/>
      <c r="AV39" s="551"/>
      <c r="AW39" s="551">
        <v>6</v>
      </c>
      <c r="AX39" s="551"/>
      <c r="AY39" s="551"/>
      <c r="AZ39" s="551"/>
      <c r="BA39" s="551"/>
      <c r="BB39" s="553"/>
      <c r="BC39" s="553"/>
      <c r="BD39" s="553"/>
      <c r="BE39" s="553"/>
      <c r="BF39" s="553"/>
      <c r="BG39" s="553"/>
      <c r="BH39" s="553"/>
      <c r="BI39" s="553"/>
      <c r="BJ39" s="553"/>
      <c r="BK39" s="553"/>
      <c r="BL39" s="557">
        <f t="shared" si="35"/>
        <v>104</v>
      </c>
      <c r="BM39" s="557"/>
      <c r="BN39" s="557"/>
      <c r="BO39" s="558"/>
      <c r="BP39" s="559"/>
      <c r="BQ39" s="552"/>
      <c r="BR39" s="552"/>
      <c r="BS39" s="552"/>
      <c r="BT39" s="552"/>
      <c r="BU39" s="552"/>
      <c r="BV39" s="552"/>
      <c r="BW39" s="552"/>
      <c r="BX39" s="552">
        <v>6</v>
      </c>
      <c r="BY39" s="552"/>
      <c r="BZ39" s="552"/>
      <c r="CA39" s="552"/>
      <c r="CB39" s="552"/>
      <c r="CC39" s="552"/>
      <c r="CD39" s="552"/>
      <c r="CE39" s="552"/>
      <c r="CF39" s="552"/>
      <c r="CG39" s="552"/>
      <c r="CH39" s="552"/>
      <c r="CI39" s="552"/>
      <c r="CJ39" s="552"/>
      <c r="CK39" s="552"/>
      <c r="CL39" s="552"/>
      <c r="CM39" s="552"/>
      <c r="CN39" s="552"/>
      <c r="CO39" s="552"/>
      <c r="CP39" s="552"/>
      <c r="CQ39" s="552"/>
      <c r="CR39" s="552"/>
      <c r="CS39" s="552"/>
      <c r="CT39" s="552"/>
      <c r="CU39" s="552"/>
      <c r="CV39" s="552"/>
      <c r="CW39" s="552"/>
      <c r="CX39" s="552"/>
      <c r="CY39" s="552"/>
      <c r="CZ39" s="552"/>
      <c r="DA39" s="552"/>
      <c r="DB39" s="552"/>
      <c r="DC39" s="596"/>
      <c r="DD39" s="597"/>
      <c r="DE39" s="555"/>
      <c r="DF39" s="555"/>
      <c r="DG39" s="556"/>
      <c r="DH39" s="554"/>
      <c r="DI39" s="555"/>
      <c r="DJ39" s="555"/>
      <c r="DK39" s="556"/>
      <c r="DL39" s="554">
        <v>4</v>
      </c>
      <c r="DM39" s="555"/>
      <c r="DN39" s="555"/>
      <c r="DO39" s="556"/>
      <c r="DP39" s="554"/>
      <c r="DQ39" s="555"/>
      <c r="DR39" s="555"/>
      <c r="DS39" s="556"/>
      <c r="DT39" s="554"/>
      <c r="DU39" s="555"/>
      <c r="DV39" s="555"/>
      <c r="DW39" s="556"/>
      <c r="DX39" s="554"/>
      <c r="DY39" s="555"/>
      <c r="DZ39" s="555"/>
      <c r="EA39" s="556"/>
      <c r="EB39" s="554"/>
      <c r="EC39" s="555"/>
      <c r="ED39" s="555"/>
      <c r="EE39" s="556"/>
      <c r="EF39" s="554"/>
      <c r="EG39" s="555"/>
      <c r="EH39" s="555"/>
      <c r="EI39" s="556"/>
      <c r="EJ39" s="554"/>
      <c r="EK39" s="555"/>
      <c r="EL39" s="555"/>
      <c r="EM39" s="556"/>
      <c r="EN39" s="554"/>
      <c r="EO39" s="555"/>
      <c r="EP39" s="555"/>
      <c r="EQ39" s="588"/>
      <c r="ER39" s="589">
        <f t="shared" si="33"/>
        <v>4</v>
      </c>
      <c r="ES39" s="590"/>
      <c r="ET39" s="591"/>
      <c r="EU39" s="592"/>
      <c r="EV39" s="116">
        <v>4</v>
      </c>
      <c r="EW39" s="117"/>
    </row>
    <row r="40" spans="1:153" s="116" customFormat="1" ht="120" customHeight="1" x14ac:dyDescent="0.75">
      <c r="A40" s="80" t="s">
        <v>79</v>
      </c>
      <c r="B40" s="204" t="s">
        <v>110</v>
      </c>
      <c r="C40" s="560" t="s">
        <v>36</v>
      </c>
      <c r="D40" s="560"/>
      <c r="E40" s="560"/>
      <c r="F40" s="560"/>
      <c r="G40" s="560"/>
      <c r="H40" s="560"/>
      <c r="I40" s="560"/>
      <c r="J40" s="560"/>
      <c r="K40" s="560"/>
      <c r="L40" s="560"/>
      <c r="M40" s="560"/>
      <c r="N40" s="560"/>
      <c r="O40" s="560"/>
      <c r="P40" s="560"/>
      <c r="Q40" s="560"/>
      <c r="R40" s="560"/>
      <c r="S40" s="560"/>
      <c r="T40" s="560"/>
      <c r="U40" s="560"/>
      <c r="V40" s="560"/>
      <c r="W40" s="560"/>
      <c r="X40" s="560"/>
      <c r="Y40" s="560"/>
      <c r="Z40" s="562">
        <f t="shared" si="34"/>
        <v>150</v>
      </c>
      <c r="AA40" s="562"/>
      <c r="AB40" s="562"/>
      <c r="AC40" s="562"/>
      <c r="AD40" s="563"/>
      <c r="AE40" s="563"/>
      <c r="AF40" s="563"/>
      <c r="AG40" s="563"/>
      <c r="AH40" s="550">
        <f t="shared" ref="AH40:AH46" si="36">+AM40+AR40+AW40</f>
        <v>18</v>
      </c>
      <c r="AI40" s="550"/>
      <c r="AJ40" s="550"/>
      <c r="AK40" s="550"/>
      <c r="AL40" s="550"/>
      <c r="AM40" s="551">
        <v>12</v>
      </c>
      <c r="AN40" s="551"/>
      <c r="AO40" s="551"/>
      <c r="AP40" s="551"/>
      <c r="AQ40" s="551"/>
      <c r="AR40" s="551"/>
      <c r="AS40" s="551"/>
      <c r="AT40" s="551"/>
      <c r="AU40" s="551"/>
      <c r="AV40" s="551"/>
      <c r="AW40" s="551">
        <v>6</v>
      </c>
      <c r="AX40" s="551"/>
      <c r="AY40" s="551"/>
      <c r="AZ40" s="551"/>
      <c r="BA40" s="551"/>
      <c r="BB40" s="553"/>
      <c r="BC40" s="553"/>
      <c r="BD40" s="553"/>
      <c r="BE40" s="553"/>
      <c r="BF40" s="553"/>
      <c r="BG40" s="553"/>
      <c r="BH40" s="553"/>
      <c r="BI40" s="553"/>
      <c r="BJ40" s="553"/>
      <c r="BK40" s="553"/>
      <c r="BL40" s="557">
        <f t="shared" si="35"/>
        <v>132</v>
      </c>
      <c r="BM40" s="557"/>
      <c r="BN40" s="557"/>
      <c r="BO40" s="558"/>
      <c r="BP40" s="559"/>
      <c r="BQ40" s="552"/>
      <c r="BR40" s="552"/>
      <c r="BS40" s="552"/>
      <c r="BT40" s="552"/>
      <c r="BU40" s="552"/>
      <c r="BV40" s="552"/>
      <c r="BW40" s="552"/>
      <c r="BX40" s="552">
        <v>6</v>
      </c>
      <c r="BY40" s="552"/>
      <c r="BZ40" s="552"/>
      <c r="CA40" s="552"/>
      <c r="CB40" s="552"/>
      <c r="CC40" s="552"/>
      <c r="CD40" s="552"/>
      <c r="CE40" s="552"/>
      <c r="CF40" s="552"/>
      <c r="CG40" s="552"/>
      <c r="CH40" s="552"/>
      <c r="CI40" s="552"/>
      <c r="CJ40" s="552"/>
      <c r="CK40" s="552"/>
      <c r="CL40" s="552"/>
      <c r="CM40" s="552"/>
      <c r="CN40" s="552"/>
      <c r="CO40" s="552"/>
      <c r="CP40" s="552"/>
      <c r="CQ40" s="552"/>
      <c r="CR40" s="552"/>
      <c r="CS40" s="552"/>
      <c r="CT40" s="552"/>
      <c r="CU40" s="552"/>
      <c r="CV40" s="552"/>
      <c r="CW40" s="552"/>
      <c r="CX40" s="552"/>
      <c r="CY40" s="552"/>
      <c r="CZ40" s="552"/>
      <c r="DA40" s="552"/>
      <c r="DB40" s="552"/>
      <c r="DC40" s="596"/>
      <c r="DD40" s="597"/>
      <c r="DE40" s="555"/>
      <c r="DF40" s="555"/>
      <c r="DG40" s="556"/>
      <c r="DH40" s="554"/>
      <c r="DI40" s="555"/>
      <c r="DJ40" s="555"/>
      <c r="DK40" s="556"/>
      <c r="DL40" s="554">
        <v>5</v>
      </c>
      <c r="DM40" s="555"/>
      <c r="DN40" s="555"/>
      <c r="DO40" s="556"/>
      <c r="DP40" s="554"/>
      <c r="DQ40" s="555"/>
      <c r="DR40" s="555"/>
      <c r="DS40" s="556"/>
      <c r="DT40" s="554"/>
      <c r="DU40" s="555"/>
      <c r="DV40" s="555"/>
      <c r="DW40" s="556"/>
      <c r="DX40" s="554"/>
      <c r="DY40" s="555"/>
      <c r="DZ40" s="555"/>
      <c r="EA40" s="556"/>
      <c r="EB40" s="554"/>
      <c r="EC40" s="555"/>
      <c r="ED40" s="555"/>
      <c r="EE40" s="556"/>
      <c r="EF40" s="554"/>
      <c r="EG40" s="555"/>
      <c r="EH40" s="555"/>
      <c r="EI40" s="556"/>
      <c r="EJ40" s="554"/>
      <c r="EK40" s="555"/>
      <c r="EL40" s="555"/>
      <c r="EM40" s="556"/>
      <c r="EN40" s="554"/>
      <c r="EO40" s="555"/>
      <c r="EP40" s="555"/>
      <c r="EQ40" s="588"/>
      <c r="ER40" s="589">
        <f t="shared" si="33"/>
        <v>5</v>
      </c>
      <c r="ES40" s="590"/>
      <c r="ET40" s="591"/>
      <c r="EU40" s="592"/>
      <c r="EV40" s="116">
        <v>5</v>
      </c>
      <c r="EW40" s="117"/>
    </row>
    <row r="41" spans="1:153" s="116" customFormat="1" ht="99.95" customHeight="1" x14ac:dyDescent="0.75">
      <c r="A41" s="80" t="s">
        <v>80</v>
      </c>
      <c r="B41" s="204" t="s">
        <v>113</v>
      </c>
      <c r="C41" s="560" t="s">
        <v>111</v>
      </c>
      <c r="D41" s="560"/>
      <c r="E41" s="560"/>
      <c r="F41" s="560"/>
      <c r="G41" s="560"/>
      <c r="H41" s="560"/>
      <c r="I41" s="560"/>
      <c r="J41" s="560"/>
      <c r="K41" s="560"/>
      <c r="L41" s="560"/>
      <c r="M41" s="560"/>
      <c r="N41" s="560"/>
      <c r="O41" s="560"/>
      <c r="P41" s="560"/>
      <c r="Q41" s="560"/>
      <c r="R41" s="560"/>
      <c r="S41" s="560"/>
      <c r="T41" s="560"/>
      <c r="U41" s="560"/>
      <c r="V41" s="560"/>
      <c r="W41" s="560"/>
      <c r="X41" s="560"/>
      <c r="Y41" s="560"/>
      <c r="Z41" s="562">
        <f t="shared" si="34"/>
        <v>180</v>
      </c>
      <c r="AA41" s="562"/>
      <c r="AB41" s="562"/>
      <c r="AC41" s="562"/>
      <c r="AD41" s="576"/>
      <c r="AE41" s="576"/>
      <c r="AF41" s="576"/>
      <c r="AG41" s="576"/>
      <c r="AH41" s="550">
        <f>+AM41+AR41+AW41</f>
        <v>24</v>
      </c>
      <c r="AI41" s="550"/>
      <c r="AJ41" s="550"/>
      <c r="AK41" s="550"/>
      <c r="AL41" s="550"/>
      <c r="AM41" s="551"/>
      <c r="AN41" s="551"/>
      <c r="AO41" s="551"/>
      <c r="AP41" s="551"/>
      <c r="AQ41" s="551"/>
      <c r="AR41" s="551">
        <v>24</v>
      </c>
      <c r="AS41" s="551"/>
      <c r="AT41" s="551"/>
      <c r="AU41" s="551"/>
      <c r="AV41" s="551"/>
      <c r="AW41" s="551"/>
      <c r="AX41" s="551"/>
      <c r="AY41" s="551"/>
      <c r="AZ41" s="551"/>
      <c r="BA41" s="551"/>
      <c r="BB41" s="553"/>
      <c r="BC41" s="553"/>
      <c r="BD41" s="553"/>
      <c r="BE41" s="553"/>
      <c r="BF41" s="553"/>
      <c r="BG41" s="553"/>
      <c r="BH41" s="553"/>
      <c r="BI41" s="553"/>
      <c r="BJ41" s="553"/>
      <c r="BK41" s="553"/>
      <c r="BL41" s="557">
        <f t="shared" si="35"/>
        <v>156</v>
      </c>
      <c r="BM41" s="557"/>
      <c r="BN41" s="557"/>
      <c r="BO41" s="558"/>
      <c r="BP41" s="559">
        <v>4</v>
      </c>
      <c r="BQ41" s="552"/>
      <c r="BR41" s="552"/>
      <c r="BS41" s="552"/>
      <c r="BT41" s="552">
        <v>4</v>
      </c>
      <c r="BU41" s="552"/>
      <c r="BV41" s="552"/>
      <c r="BW41" s="552"/>
      <c r="BX41" s="552"/>
      <c r="BY41" s="552"/>
      <c r="BZ41" s="552"/>
      <c r="CA41" s="552"/>
      <c r="CB41" s="552"/>
      <c r="CC41" s="552"/>
      <c r="CD41" s="552"/>
      <c r="CE41" s="552"/>
      <c r="CF41" s="552"/>
      <c r="CG41" s="552"/>
      <c r="CH41" s="552"/>
      <c r="CI41" s="552"/>
      <c r="CJ41" s="552"/>
      <c r="CK41" s="552"/>
      <c r="CL41" s="552"/>
      <c r="CM41" s="552"/>
      <c r="CN41" s="552"/>
      <c r="CO41" s="552"/>
      <c r="CP41" s="552"/>
      <c r="CQ41" s="552"/>
      <c r="CR41" s="552"/>
      <c r="CS41" s="552"/>
      <c r="CT41" s="552"/>
      <c r="CU41" s="552"/>
      <c r="CV41" s="552"/>
      <c r="CW41" s="552"/>
      <c r="CX41" s="552"/>
      <c r="CY41" s="552"/>
      <c r="CZ41" s="552"/>
      <c r="DA41" s="552"/>
      <c r="DB41" s="552"/>
      <c r="DC41" s="596"/>
      <c r="DD41" s="597">
        <v>3</v>
      </c>
      <c r="DE41" s="555"/>
      <c r="DF41" s="555"/>
      <c r="DG41" s="556"/>
      <c r="DH41" s="554">
        <v>3</v>
      </c>
      <c r="DI41" s="555"/>
      <c r="DJ41" s="555"/>
      <c r="DK41" s="556"/>
      <c r="DL41" s="554"/>
      <c r="DM41" s="555"/>
      <c r="DN41" s="555"/>
      <c r="DO41" s="556"/>
      <c r="DP41" s="554"/>
      <c r="DQ41" s="555"/>
      <c r="DR41" s="555"/>
      <c r="DS41" s="556"/>
      <c r="DT41" s="554"/>
      <c r="DU41" s="555"/>
      <c r="DV41" s="555"/>
      <c r="DW41" s="556"/>
      <c r="DX41" s="554"/>
      <c r="DY41" s="555"/>
      <c r="DZ41" s="555"/>
      <c r="EA41" s="556"/>
      <c r="EB41" s="554"/>
      <c r="EC41" s="555"/>
      <c r="ED41" s="555"/>
      <c r="EE41" s="556"/>
      <c r="EF41" s="554"/>
      <c r="EG41" s="555"/>
      <c r="EH41" s="555"/>
      <c r="EI41" s="556"/>
      <c r="EJ41" s="554"/>
      <c r="EK41" s="555"/>
      <c r="EL41" s="555"/>
      <c r="EM41" s="556"/>
      <c r="EN41" s="554"/>
      <c r="EO41" s="555"/>
      <c r="EP41" s="555"/>
      <c r="EQ41" s="588"/>
      <c r="ER41" s="589">
        <f t="shared" si="33"/>
        <v>6</v>
      </c>
      <c r="ES41" s="590"/>
      <c r="ET41" s="591"/>
      <c r="EU41" s="592"/>
      <c r="EV41" s="116">
        <v>6</v>
      </c>
      <c r="EW41" s="117"/>
    </row>
    <row r="42" spans="1:153" s="116" customFormat="1" ht="99.95" customHeight="1" x14ac:dyDescent="0.75">
      <c r="A42" s="80" t="s">
        <v>81</v>
      </c>
      <c r="B42" s="204" t="s">
        <v>112</v>
      </c>
      <c r="C42" s="560" t="s">
        <v>175</v>
      </c>
      <c r="D42" s="560"/>
      <c r="E42" s="560"/>
      <c r="F42" s="560"/>
      <c r="G42" s="560"/>
      <c r="H42" s="560"/>
      <c r="I42" s="560"/>
      <c r="J42" s="560"/>
      <c r="K42" s="560"/>
      <c r="L42" s="560"/>
      <c r="M42" s="560"/>
      <c r="N42" s="560"/>
      <c r="O42" s="560"/>
      <c r="P42" s="560"/>
      <c r="Q42" s="560"/>
      <c r="R42" s="560"/>
      <c r="S42" s="560"/>
      <c r="T42" s="560"/>
      <c r="U42" s="560"/>
      <c r="V42" s="560"/>
      <c r="W42" s="560"/>
      <c r="X42" s="560"/>
      <c r="Y42" s="560"/>
      <c r="Z42" s="562">
        <f t="shared" si="34"/>
        <v>120</v>
      </c>
      <c r="AA42" s="562"/>
      <c r="AB42" s="562"/>
      <c r="AC42" s="562"/>
      <c r="AD42" s="563"/>
      <c r="AE42" s="563"/>
      <c r="AF42" s="563"/>
      <c r="AG42" s="563"/>
      <c r="AH42" s="550">
        <v>16</v>
      </c>
      <c r="AI42" s="550"/>
      <c r="AJ42" s="550"/>
      <c r="AK42" s="550"/>
      <c r="AL42" s="550"/>
      <c r="AM42" s="551">
        <v>10</v>
      </c>
      <c r="AN42" s="551"/>
      <c r="AO42" s="551"/>
      <c r="AP42" s="551"/>
      <c r="AQ42" s="551"/>
      <c r="AR42" s="551"/>
      <c r="AS42" s="551"/>
      <c r="AT42" s="551"/>
      <c r="AU42" s="551"/>
      <c r="AV42" s="551"/>
      <c r="AW42" s="551">
        <v>6</v>
      </c>
      <c r="AX42" s="551"/>
      <c r="AY42" s="551"/>
      <c r="AZ42" s="551"/>
      <c r="BA42" s="551"/>
      <c r="BB42" s="553"/>
      <c r="BC42" s="553"/>
      <c r="BD42" s="553"/>
      <c r="BE42" s="553"/>
      <c r="BF42" s="553"/>
      <c r="BG42" s="553"/>
      <c r="BH42" s="553"/>
      <c r="BI42" s="553"/>
      <c r="BJ42" s="553"/>
      <c r="BK42" s="553"/>
      <c r="BL42" s="557">
        <f t="shared" si="35"/>
        <v>104</v>
      </c>
      <c r="BM42" s="557"/>
      <c r="BN42" s="557"/>
      <c r="BO42" s="558"/>
      <c r="BP42" s="559"/>
      <c r="BQ42" s="552"/>
      <c r="BR42" s="552"/>
      <c r="BS42" s="552"/>
      <c r="BT42" s="552"/>
      <c r="BU42" s="552"/>
      <c r="BV42" s="552"/>
      <c r="BW42" s="552"/>
      <c r="BX42" s="552">
        <v>6</v>
      </c>
      <c r="BY42" s="552"/>
      <c r="BZ42" s="552"/>
      <c r="CA42" s="552"/>
      <c r="CB42" s="552"/>
      <c r="CC42" s="552"/>
      <c r="CD42" s="552"/>
      <c r="CE42" s="552"/>
      <c r="CF42" s="552"/>
      <c r="CG42" s="552"/>
      <c r="CH42" s="552"/>
      <c r="CI42" s="552"/>
      <c r="CJ42" s="552"/>
      <c r="CK42" s="552"/>
      <c r="CL42" s="552"/>
      <c r="CM42" s="552"/>
      <c r="CN42" s="552"/>
      <c r="CO42" s="552"/>
      <c r="CP42" s="552"/>
      <c r="CQ42" s="552"/>
      <c r="CR42" s="552"/>
      <c r="CS42" s="552"/>
      <c r="CT42" s="552"/>
      <c r="CU42" s="552"/>
      <c r="CV42" s="552"/>
      <c r="CW42" s="552"/>
      <c r="CX42" s="552"/>
      <c r="CY42" s="552"/>
      <c r="CZ42" s="552"/>
      <c r="DA42" s="552"/>
      <c r="DB42" s="552"/>
      <c r="DC42" s="596"/>
      <c r="DD42" s="597"/>
      <c r="DE42" s="555"/>
      <c r="DF42" s="555"/>
      <c r="DG42" s="556"/>
      <c r="DH42" s="554"/>
      <c r="DI42" s="555"/>
      <c r="DJ42" s="555"/>
      <c r="DK42" s="556"/>
      <c r="DL42" s="554">
        <v>4</v>
      </c>
      <c r="DM42" s="555"/>
      <c r="DN42" s="555"/>
      <c r="DO42" s="556"/>
      <c r="DP42" s="554"/>
      <c r="DQ42" s="555"/>
      <c r="DR42" s="555"/>
      <c r="DS42" s="556"/>
      <c r="DT42" s="554"/>
      <c r="DU42" s="555"/>
      <c r="DV42" s="555"/>
      <c r="DW42" s="556"/>
      <c r="DX42" s="554"/>
      <c r="DY42" s="555"/>
      <c r="DZ42" s="555"/>
      <c r="EA42" s="556"/>
      <c r="EB42" s="554"/>
      <c r="EC42" s="555"/>
      <c r="ED42" s="555"/>
      <c r="EE42" s="556"/>
      <c r="EF42" s="554"/>
      <c r="EG42" s="555"/>
      <c r="EH42" s="555"/>
      <c r="EI42" s="556"/>
      <c r="EJ42" s="554"/>
      <c r="EK42" s="555"/>
      <c r="EL42" s="555"/>
      <c r="EM42" s="556"/>
      <c r="EN42" s="554"/>
      <c r="EO42" s="555"/>
      <c r="EP42" s="555"/>
      <c r="EQ42" s="588"/>
      <c r="ER42" s="589">
        <f t="shared" si="33"/>
        <v>4</v>
      </c>
      <c r="ES42" s="590"/>
      <c r="ET42" s="591"/>
      <c r="EU42" s="592"/>
      <c r="EV42" s="116">
        <v>4</v>
      </c>
      <c r="EW42" s="117"/>
    </row>
    <row r="43" spans="1:153" s="116" customFormat="1" ht="120" customHeight="1" x14ac:dyDescent="0.75">
      <c r="A43" s="80" t="s">
        <v>82</v>
      </c>
      <c r="B43" s="204" t="s">
        <v>115</v>
      </c>
      <c r="C43" s="560" t="s">
        <v>114</v>
      </c>
      <c r="D43" s="560"/>
      <c r="E43" s="560"/>
      <c r="F43" s="560"/>
      <c r="G43" s="560"/>
      <c r="H43" s="560"/>
      <c r="I43" s="560"/>
      <c r="J43" s="560"/>
      <c r="K43" s="560"/>
      <c r="L43" s="560"/>
      <c r="M43" s="560"/>
      <c r="N43" s="560"/>
      <c r="O43" s="560"/>
      <c r="P43" s="560"/>
      <c r="Q43" s="560"/>
      <c r="R43" s="560"/>
      <c r="S43" s="560"/>
      <c r="T43" s="560"/>
      <c r="U43" s="560"/>
      <c r="V43" s="560"/>
      <c r="W43" s="560"/>
      <c r="X43" s="560"/>
      <c r="Y43" s="560"/>
      <c r="Z43" s="562">
        <f t="shared" si="34"/>
        <v>180</v>
      </c>
      <c r="AA43" s="562"/>
      <c r="AB43" s="562"/>
      <c r="AC43" s="562"/>
      <c r="AD43" s="576"/>
      <c r="AE43" s="576"/>
      <c r="AF43" s="576"/>
      <c r="AG43" s="576"/>
      <c r="AH43" s="550">
        <v>24</v>
      </c>
      <c r="AI43" s="550"/>
      <c r="AJ43" s="550"/>
      <c r="AK43" s="550"/>
      <c r="AL43" s="550"/>
      <c r="AM43" s="551">
        <v>12</v>
      </c>
      <c r="AN43" s="551"/>
      <c r="AO43" s="551"/>
      <c r="AP43" s="551"/>
      <c r="AQ43" s="551"/>
      <c r="AR43" s="551">
        <v>12</v>
      </c>
      <c r="AS43" s="551"/>
      <c r="AT43" s="551"/>
      <c r="AU43" s="551"/>
      <c r="AV43" s="551"/>
      <c r="AW43" s="551"/>
      <c r="AX43" s="551"/>
      <c r="AY43" s="551"/>
      <c r="AZ43" s="551"/>
      <c r="BA43" s="551"/>
      <c r="BB43" s="553"/>
      <c r="BC43" s="553"/>
      <c r="BD43" s="553"/>
      <c r="BE43" s="553"/>
      <c r="BF43" s="553"/>
      <c r="BG43" s="553"/>
      <c r="BH43" s="553"/>
      <c r="BI43" s="553"/>
      <c r="BJ43" s="553"/>
      <c r="BK43" s="553"/>
      <c r="BL43" s="557">
        <f t="shared" si="35"/>
        <v>156</v>
      </c>
      <c r="BM43" s="557"/>
      <c r="BN43" s="557"/>
      <c r="BO43" s="558"/>
      <c r="BP43" s="559">
        <v>4</v>
      </c>
      <c r="BQ43" s="552"/>
      <c r="BR43" s="552"/>
      <c r="BS43" s="552"/>
      <c r="BT43" s="552">
        <v>4</v>
      </c>
      <c r="BU43" s="552"/>
      <c r="BV43" s="552"/>
      <c r="BW43" s="552"/>
      <c r="BX43" s="552"/>
      <c r="BY43" s="552"/>
      <c r="BZ43" s="552"/>
      <c r="CA43" s="552"/>
      <c r="CB43" s="552"/>
      <c r="CC43" s="552"/>
      <c r="CD43" s="552"/>
      <c r="CE43" s="552"/>
      <c r="CF43" s="552"/>
      <c r="CG43" s="552"/>
      <c r="CH43" s="552"/>
      <c r="CI43" s="552"/>
      <c r="CJ43" s="552"/>
      <c r="CK43" s="552"/>
      <c r="CL43" s="552"/>
      <c r="CM43" s="552"/>
      <c r="CN43" s="552"/>
      <c r="CO43" s="552"/>
      <c r="CP43" s="552"/>
      <c r="CQ43" s="552"/>
      <c r="CR43" s="552"/>
      <c r="CS43" s="552"/>
      <c r="CT43" s="552"/>
      <c r="CU43" s="552"/>
      <c r="CV43" s="552"/>
      <c r="CW43" s="552"/>
      <c r="CX43" s="552"/>
      <c r="CY43" s="552"/>
      <c r="CZ43" s="552"/>
      <c r="DA43" s="552"/>
      <c r="DB43" s="552"/>
      <c r="DC43" s="596"/>
      <c r="DD43" s="597">
        <v>3</v>
      </c>
      <c r="DE43" s="555"/>
      <c r="DF43" s="555"/>
      <c r="DG43" s="556"/>
      <c r="DH43" s="554">
        <v>3</v>
      </c>
      <c r="DI43" s="555"/>
      <c r="DJ43" s="555"/>
      <c r="DK43" s="556"/>
      <c r="DL43" s="554"/>
      <c r="DM43" s="555"/>
      <c r="DN43" s="555"/>
      <c r="DO43" s="556"/>
      <c r="DP43" s="554"/>
      <c r="DQ43" s="555"/>
      <c r="DR43" s="555"/>
      <c r="DS43" s="556"/>
      <c r="DT43" s="554"/>
      <c r="DU43" s="555"/>
      <c r="DV43" s="555"/>
      <c r="DW43" s="556"/>
      <c r="DX43" s="554"/>
      <c r="DY43" s="555"/>
      <c r="DZ43" s="555"/>
      <c r="EA43" s="556"/>
      <c r="EB43" s="554"/>
      <c r="EC43" s="555"/>
      <c r="ED43" s="555"/>
      <c r="EE43" s="556"/>
      <c r="EF43" s="554"/>
      <c r="EG43" s="555"/>
      <c r="EH43" s="555"/>
      <c r="EI43" s="556"/>
      <c r="EJ43" s="554"/>
      <c r="EK43" s="555"/>
      <c r="EL43" s="555"/>
      <c r="EM43" s="556"/>
      <c r="EN43" s="554"/>
      <c r="EO43" s="555"/>
      <c r="EP43" s="555"/>
      <c r="EQ43" s="588"/>
      <c r="ER43" s="589">
        <f t="shared" si="33"/>
        <v>6</v>
      </c>
      <c r="ES43" s="590"/>
      <c r="ET43" s="591"/>
      <c r="EU43" s="592"/>
      <c r="EV43" s="116">
        <v>6</v>
      </c>
      <c r="EW43" s="117"/>
    </row>
    <row r="44" spans="1:153" s="116" customFormat="1" ht="99.95" customHeight="1" x14ac:dyDescent="0.75">
      <c r="A44" s="80" t="s">
        <v>83</v>
      </c>
      <c r="B44" s="204" t="s">
        <v>116</v>
      </c>
      <c r="C44" s="560" t="s">
        <v>91</v>
      </c>
      <c r="D44" s="560"/>
      <c r="E44" s="560"/>
      <c r="F44" s="560"/>
      <c r="G44" s="560"/>
      <c r="H44" s="560"/>
      <c r="I44" s="560"/>
      <c r="J44" s="560"/>
      <c r="K44" s="560"/>
      <c r="L44" s="560"/>
      <c r="M44" s="560"/>
      <c r="N44" s="560"/>
      <c r="O44" s="560"/>
      <c r="P44" s="560"/>
      <c r="Q44" s="560"/>
      <c r="R44" s="560"/>
      <c r="S44" s="560"/>
      <c r="T44" s="560"/>
      <c r="U44" s="560"/>
      <c r="V44" s="560"/>
      <c r="W44" s="560"/>
      <c r="X44" s="560"/>
      <c r="Y44" s="560"/>
      <c r="Z44" s="562">
        <f t="shared" si="34"/>
        <v>180</v>
      </c>
      <c r="AA44" s="562"/>
      <c r="AB44" s="562"/>
      <c r="AC44" s="562"/>
      <c r="AD44" s="563"/>
      <c r="AE44" s="563"/>
      <c r="AF44" s="563"/>
      <c r="AG44" s="563"/>
      <c r="AH44" s="550">
        <v>24</v>
      </c>
      <c r="AI44" s="550"/>
      <c r="AJ44" s="550"/>
      <c r="AK44" s="550"/>
      <c r="AL44" s="550"/>
      <c r="AM44" s="551">
        <v>12</v>
      </c>
      <c r="AN44" s="551"/>
      <c r="AO44" s="551"/>
      <c r="AP44" s="551"/>
      <c r="AQ44" s="551"/>
      <c r="AR44" s="551">
        <v>6</v>
      </c>
      <c r="AS44" s="551"/>
      <c r="AT44" s="551"/>
      <c r="AU44" s="551"/>
      <c r="AV44" s="551"/>
      <c r="AW44" s="551">
        <v>6</v>
      </c>
      <c r="AX44" s="551"/>
      <c r="AY44" s="551"/>
      <c r="AZ44" s="551"/>
      <c r="BA44" s="551"/>
      <c r="BB44" s="553"/>
      <c r="BC44" s="553"/>
      <c r="BD44" s="553"/>
      <c r="BE44" s="553"/>
      <c r="BF44" s="553"/>
      <c r="BG44" s="553"/>
      <c r="BH44" s="553"/>
      <c r="BI44" s="553"/>
      <c r="BJ44" s="553"/>
      <c r="BK44" s="553"/>
      <c r="BL44" s="557">
        <f t="shared" si="35"/>
        <v>156</v>
      </c>
      <c r="BM44" s="557"/>
      <c r="BN44" s="557"/>
      <c r="BO44" s="558"/>
      <c r="BP44" s="559">
        <v>4</v>
      </c>
      <c r="BQ44" s="552"/>
      <c r="BR44" s="552"/>
      <c r="BS44" s="552"/>
      <c r="BT44" s="552">
        <v>4</v>
      </c>
      <c r="BU44" s="552"/>
      <c r="BV44" s="552"/>
      <c r="BW44" s="552"/>
      <c r="BX44" s="552"/>
      <c r="BY44" s="552"/>
      <c r="BZ44" s="552"/>
      <c r="CA44" s="552"/>
      <c r="CB44" s="552"/>
      <c r="CC44" s="552"/>
      <c r="CD44" s="552"/>
      <c r="CE44" s="552"/>
      <c r="CF44" s="552"/>
      <c r="CG44" s="552"/>
      <c r="CH44" s="552"/>
      <c r="CI44" s="552"/>
      <c r="CJ44" s="552"/>
      <c r="CK44" s="552"/>
      <c r="CL44" s="552"/>
      <c r="CM44" s="552"/>
      <c r="CN44" s="552"/>
      <c r="CO44" s="552"/>
      <c r="CP44" s="552"/>
      <c r="CQ44" s="552"/>
      <c r="CR44" s="552"/>
      <c r="CS44" s="552"/>
      <c r="CT44" s="552"/>
      <c r="CU44" s="552"/>
      <c r="CV44" s="552"/>
      <c r="CW44" s="552"/>
      <c r="CX44" s="552"/>
      <c r="CY44" s="552"/>
      <c r="CZ44" s="552"/>
      <c r="DA44" s="552"/>
      <c r="DB44" s="552"/>
      <c r="DC44" s="596"/>
      <c r="DD44" s="597">
        <v>3</v>
      </c>
      <c r="DE44" s="555"/>
      <c r="DF44" s="555"/>
      <c r="DG44" s="556"/>
      <c r="DH44" s="554">
        <v>3</v>
      </c>
      <c r="DI44" s="555"/>
      <c r="DJ44" s="555"/>
      <c r="DK44" s="556"/>
      <c r="DL44" s="554"/>
      <c r="DM44" s="555"/>
      <c r="DN44" s="555"/>
      <c r="DO44" s="556"/>
      <c r="DP44" s="554"/>
      <c r="DQ44" s="555"/>
      <c r="DR44" s="555"/>
      <c r="DS44" s="556"/>
      <c r="DT44" s="554"/>
      <c r="DU44" s="555"/>
      <c r="DV44" s="555"/>
      <c r="DW44" s="556"/>
      <c r="DX44" s="554"/>
      <c r="DY44" s="555"/>
      <c r="DZ44" s="555"/>
      <c r="EA44" s="556"/>
      <c r="EB44" s="554"/>
      <c r="EC44" s="555"/>
      <c r="ED44" s="555"/>
      <c r="EE44" s="556"/>
      <c r="EF44" s="554"/>
      <c r="EG44" s="555"/>
      <c r="EH44" s="555"/>
      <c r="EI44" s="556"/>
      <c r="EJ44" s="554"/>
      <c r="EK44" s="555"/>
      <c r="EL44" s="555"/>
      <c r="EM44" s="556"/>
      <c r="EN44" s="554"/>
      <c r="EO44" s="555"/>
      <c r="EP44" s="555"/>
      <c r="EQ44" s="588"/>
      <c r="ER44" s="589">
        <f t="shared" si="33"/>
        <v>6</v>
      </c>
      <c r="ES44" s="590"/>
      <c r="ET44" s="591"/>
      <c r="EU44" s="592"/>
      <c r="EV44" s="116">
        <v>6</v>
      </c>
      <c r="EW44" s="117"/>
    </row>
    <row r="45" spans="1:153" s="116" customFormat="1" ht="120" customHeight="1" x14ac:dyDescent="0.75">
      <c r="A45" s="80" t="s">
        <v>84</v>
      </c>
      <c r="B45" s="204" t="s">
        <v>118</v>
      </c>
      <c r="C45" s="560" t="s">
        <v>117</v>
      </c>
      <c r="D45" s="560"/>
      <c r="E45" s="560"/>
      <c r="F45" s="560"/>
      <c r="G45" s="560"/>
      <c r="H45" s="560"/>
      <c r="I45" s="560"/>
      <c r="J45" s="560"/>
      <c r="K45" s="560"/>
      <c r="L45" s="560"/>
      <c r="M45" s="560"/>
      <c r="N45" s="560"/>
      <c r="O45" s="560"/>
      <c r="P45" s="560"/>
      <c r="Q45" s="560"/>
      <c r="R45" s="560"/>
      <c r="S45" s="560"/>
      <c r="T45" s="560"/>
      <c r="U45" s="560"/>
      <c r="V45" s="560"/>
      <c r="W45" s="560"/>
      <c r="X45" s="560"/>
      <c r="Y45" s="560"/>
      <c r="Z45" s="562">
        <f t="shared" si="34"/>
        <v>300</v>
      </c>
      <c r="AA45" s="562"/>
      <c r="AB45" s="562"/>
      <c r="AC45" s="562"/>
      <c r="AD45" s="563"/>
      <c r="AE45" s="563"/>
      <c r="AF45" s="563"/>
      <c r="AG45" s="563"/>
      <c r="AH45" s="550">
        <f t="shared" si="36"/>
        <v>36</v>
      </c>
      <c r="AI45" s="550"/>
      <c r="AJ45" s="550"/>
      <c r="AK45" s="550"/>
      <c r="AL45" s="550"/>
      <c r="AM45" s="551">
        <v>12</v>
      </c>
      <c r="AN45" s="551"/>
      <c r="AO45" s="551"/>
      <c r="AP45" s="551"/>
      <c r="AQ45" s="551"/>
      <c r="AR45" s="551">
        <v>12</v>
      </c>
      <c r="AS45" s="551"/>
      <c r="AT45" s="551"/>
      <c r="AU45" s="551"/>
      <c r="AV45" s="551"/>
      <c r="AW45" s="551">
        <v>12</v>
      </c>
      <c r="AX45" s="551"/>
      <c r="AY45" s="551"/>
      <c r="AZ45" s="551"/>
      <c r="BA45" s="551"/>
      <c r="BB45" s="553"/>
      <c r="BC45" s="553"/>
      <c r="BD45" s="553"/>
      <c r="BE45" s="553"/>
      <c r="BF45" s="553"/>
      <c r="BG45" s="553"/>
      <c r="BH45" s="553"/>
      <c r="BI45" s="553"/>
      <c r="BJ45" s="553"/>
      <c r="BK45" s="553"/>
      <c r="BL45" s="557">
        <f t="shared" si="35"/>
        <v>264</v>
      </c>
      <c r="BM45" s="557"/>
      <c r="BN45" s="557"/>
      <c r="BO45" s="558"/>
      <c r="BP45" s="559">
        <v>6</v>
      </c>
      <c r="BQ45" s="552"/>
      <c r="BR45" s="552"/>
      <c r="BS45" s="552"/>
      <c r="BT45" s="552">
        <v>6</v>
      </c>
      <c r="BU45" s="552"/>
      <c r="BV45" s="552"/>
      <c r="BW45" s="552"/>
      <c r="BX45" s="552"/>
      <c r="BY45" s="552"/>
      <c r="BZ45" s="552"/>
      <c r="CA45" s="552"/>
      <c r="CB45" s="552"/>
      <c r="CC45" s="552"/>
      <c r="CD45" s="552"/>
      <c r="CE45" s="552"/>
      <c r="CF45" s="552"/>
      <c r="CG45" s="552"/>
      <c r="CH45" s="552"/>
      <c r="CI45" s="552"/>
      <c r="CJ45" s="552"/>
      <c r="CK45" s="552"/>
      <c r="CL45" s="552"/>
      <c r="CM45" s="552"/>
      <c r="CN45" s="552"/>
      <c r="CO45" s="552"/>
      <c r="CP45" s="552"/>
      <c r="CQ45" s="552"/>
      <c r="CR45" s="552"/>
      <c r="CS45" s="552"/>
      <c r="CT45" s="552"/>
      <c r="CU45" s="552"/>
      <c r="CV45" s="552"/>
      <c r="CW45" s="552"/>
      <c r="CX45" s="552"/>
      <c r="CY45" s="552"/>
      <c r="CZ45" s="552"/>
      <c r="DA45" s="552"/>
      <c r="DB45" s="552"/>
      <c r="DC45" s="596"/>
      <c r="DD45" s="597">
        <v>5</v>
      </c>
      <c r="DE45" s="555"/>
      <c r="DF45" s="555"/>
      <c r="DG45" s="556"/>
      <c r="DH45" s="554">
        <v>5</v>
      </c>
      <c r="DI45" s="555"/>
      <c r="DJ45" s="555"/>
      <c r="DK45" s="556"/>
      <c r="DL45" s="554"/>
      <c r="DM45" s="555"/>
      <c r="DN45" s="555"/>
      <c r="DO45" s="556"/>
      <c r="DP45" s="554"/>
      <c r="DQ45" s="555"/>
      <c r="DR45" s="555"/>
      <c r="DS45" s="556"/>
      <c r="DT45" s="554"/>
      <c r="DU45" s="555"/>
      <c r="DV45" s="555"/>
      <c r="DW45" s="556"/>
      <c r="DX45" s="554"/>
      <c r="DY45" s="555"/>
      <c r="DZ45" s="555"/>
      <c r="EA45" s="556"/>
      <c r="EB45" s="554"/>
      <c r="EC45" s="555"/>
      <c r="ED45" s="555"/>
      <c r="EE45" s="556"/>
      <c r="EF45" s="554"/>
      <c r="EG45" s="555"/>
      <c r="EH45" s="555"/>
      <c r="EI45" s="556"/>
      <c r="EJ45" s="554"/>
      <c r="EK45" s="555"/>
      <c r="EL45" s="555"/>
      <c r="EM45" s="556"/>
      <c r="EN45" s="554"/>
      <c r="EO45" s="555"/>
      <c r="EP45" s="555"/>
      <c r="EQ45" s="588"/>
      <c r="ER45" s="589">
        <f t="shared" si="33"/>
        <v>10</v>
      </c>
      <c r="ES45" s="590"/>
      <c r="ET45" s="591"/>
      <c r="EU45" s="592"/>
      <c r="EV45" s="116">
        <v>10</v>
      </c>
      <c r="EW45" s="117"/>
    </row>
    <row r="46" spans="1:153" s="116" customFormat="1" ht="120" customHeight="1" x14ac:dyDescent="0.75">
      <c r="A46" s="80" t="s">
        <v>85</v>
      </c>
      <c r="B46" s="204" t="s">
        <v>119</v>
      </c>
      <c r="C46" s="560" t="s">
        <v>234</v>
      </c>
      <c r="D46" s="560"/>
      <c r="E46" s="560"/>
      <c r="F46" s="560"/>
      <c r="G46" s="560"/>
      <c r="H46" s="560"/>
      <c r="I46" s="560"/>
      <c r="J46" s="560"/>
      <c r="K46" s="560"/>
      <c r="L46" s="560"/>
      <c r="M46" s="560"/>
      <c r="N46" s="560"/>
      <c r="O46" s="560"/>
      <c r="P46" s="560"/>
      <c r="Q46" s="560"/>
      <c r="R46" s="560"/>
      <c r="S46" s="560"/>
      <c r="T46" s="560"/>
      <c r="U46" s="560"/>
      <c r="V46" s="560"/>
      <c r="W46" s="560"/>
      <c r="X46" s="560"/>
      <c r="Y46" s="560"/>
      <c r="Z46" s="562">
        <f t="shared" si="34"/>
        <v>150</v>
      </c>
      <c r="AA46" s="562"/>
      <c r="AB46" s="562"/>
      <c r="AC46" s="562"/>
      <c r="AD46" s="563"/>
      <c r="AE46" s="563"/>
      <c r="AF46" s="563"/>
      <c r="AG46" s="563"/>
      <c r="AH46" s="550">
        <f t="shared" si="36"/>
        <v>18</v>
      </c>
      <c r="AI46" s="550"/>
      <c r="AJ46" s="550"/>
      <c r="AK46" s="550"/>
      <c r="AL46" s="550"/>
      <c r="AM46" s="551">
        <v>10</v>
      </c>
      <c r="AN46" s="551"/>
      <c r="AO46" s="551"/>
      <c r="AP46" s="551"/>
      <c r="AQ46" s="551"/>
      <c r="AR46" s="551">
        <v>8</v>
      </c>
      <c r="AS46" s="551"/>
      <c r="AT46" s="551"/>
      <c r="AU46" s="551"/>
      <c r="AV46" s="551"/>
      <c r="AW46" s="551"/>
      <c r="AX46" s="551"/>
      <c r="AY46" s="551"/>
      <c r="AZ46" s="551"/>
      <c r="BA46" s="551"/>
      <c r="BB46" s="553"/>
      <c r="BC46" s="553"/>
      <c r="BD46" s="553"/>
      <c r="BE46" s="553"/>
      <c r="BF46" s="553"/>
      <c r="BG46" s="553"/>
      <c r="BH46" s="553"/>
      <c r="BI46" s="553"/>
      <c r="BJ46" s="553"/>
      <c r="BK46" s="553"/>
      <c r="BL46" s="557">
        <f t="shared" si="35"/>
        <v>132</v>
      </c>
      <c r="BM46" s="557"/>
      <c r="BN46" s="557"/>
      <c r="BO46" s="558"/>
      <c r="BP46" s="559"/>
      <c r="BQ46" s="552"/>
      <c r="BR46" s="552"/>
      <c r="BS46" s="552"/>
      <c r="BT46" s="552"/>
      <c r="BU46" s="552"/>
      <c r="BV46" s="552"/>
      <c r="BW46" s="552"/>
      <c r="BX46" s="552">
        <v>6</v>
      </c>
      <c r="BY46" s="552"/>
      <c r="BZ46" s="552"/>
      <c r="CA46" s="552"/>
      <c r="CB46" s="552"/>
      <c r="CC46" s="552"/>
      <c r="CD46" s="552"/>
      <c r="CE46" s="552"/>
      <c r="CF46" s="552"/>
      <c r="CG46" s="552"/>
      <c r="CH46" s="552"/>
      <c r="CI46" s="552"/>
      <c r="CJ46" s="552"/>
      <c r="CK46" s="552"/>
      <c r="CL46" s="552"/>
      <c r="CM46" s="552"/>
      <c r="CN46" s="552"/>
      <c r="CO46" s="552"/>
      <c r="CP46" s="552"/>
      <c r="CQ46" s="552"/>
      <c r="CR46" s="552"/>
      <c r="CS46" s="552"/>
      <c r="CT46" s="552"/>
      <c r="CU46" s="552"/>
      <c r="CV46" s="552"/>
      <c r="CW46" s="552"/>
      <c r="CX46" s="552"/>
      <c r="CY46" s="552"/>
      <c r="CZ46" s="552"/>
      <c r="DA46" s="552"/>
      <c r="DB46" s="552"/>
      <c r="DC46" s="596"/>
      <c r="DD46" s="597"/>
      <c r="DE46" s="555"/>
      <c r="DF46" s="555"/>
      <c r="DG46" s="556"/>
      <c r="DH46" s="554"/>
      <c r="DI46" s="555"/>
      <c r="DJ46" s="555"/>
      <c r="DK46" s="556"/>
      <c r="DL46" s="554">
        <v>5</v>
      </c>
      <c r="DM46" s="555"/>
      <c r="DN46" s="555"/>
      <c r="DO46" s="556"/>
      <c r="DP46" s="554"/>
      <c r="DQ46" s="555"/>
      <c r="DR46" s="555"/>
      <c r="DS46" s="556"/>
      <c r="DT46" s="554"/>
      <c r="DU46" s="555"/>
      <c r="DV46" s="555"/>
      <c r="DW46" s="556"/>
      <c r="DX46" s="554"/>
      <c r="DY46" s="555"/>
      <c r="DZ46" s="555"/>
      <c r="EA46" s="556"/>
      <c r="EB46" s="554"/>
      <c r="EC46" s="555"/>
      <c r="ED46" s="555"/>
      <c r="EE46" s="556"/>
      <c r="EF46" s="554"/>
      <c r="EG46" s="555"/>
      <c r="EH46" s="555"/>
      <c r="EI46" s="556"/>
      <c r="EJ46" s="554"/>
      <c r="EK46" s="555"/>
      <c r="EL46" s="555"/>
      <c r="EM46" s="556"/>
      <c r="EN46" s="554"/>
      <c r="EO46" s="555"/>
      <c r="EP46" s="555"/>
      <c r="EQ46" s="588"/>
      <c r="ER46" s="589">
        <f t="shared" si="33"/>
        <v>5</v>
      </c>
      <c r="ES46" s="590"/>
      <c r="ET46" s="591"/>
      <c r="EU46" s="592"/>
      <c r="EV46" s="116">
        <v>5</v>
      </c>
      <c r="EW46" s="117"/>
    </row>
    <row r="47" spans="1:153" s="212" customFormat="1" ht="99.95" customHeight="1" x14ac:dyDescent="0.75">
      <c r="A47" s="210" t="s">
        <v>3</v>
      </c>
      <c r="B47" s="211" t="s">
        <v>120</v>
      </c>
      <c r="C47" s="656" t="s">
        <v>71</v>
      </c>
      <c r="D47" s="656"/>
      <c r="E47" s="656"/>
      <c r="F47" s="656"/>
      <c r="G47" s="656"/>
      <c r="H47" s="656"/>
      <c r="I47" s="656"/>
      <c r="J47" s="656"/>
      <c r="K47" s="656"/>
      <c r="L47" s="656"/>
      <c r="M47" s="656"/>
      <c r="N47" s="656"/>
      <c r="O47" s="656"/>
      <c r="P47" s="656"/>
      <c r="Q47" s="656"/>
      <c r="R47" s="656"/>
      <c r="S47" s="656"/>
      <c r="T47" s="656"/>
      <c r="U47" s="656"/>
      <c r="V47" s="656"/>
      <c r="W47" s="656"/>
      <c r="X47" s="656"/>
      <c r="Y47" s="656"/>
      <c r="Z47" s="657">
        <f t="shared" si="34"/>
        <v>240</v>
      </c>
      <c r="AA47" s="657"/>
      <c r="AB47" s="657"/>
      <c r="AC47" s="657"/>
      <c r="AD47" s="662"/>
      <c r="AE47" s="662"/>
      <c r="AF47" s="662"/>
      <c r="AG47" s="662"/>
      <c r="AH47" s="659">
        <v>32</v>
      </c>
      <c r="AI47" s="659"/>
      <c r="AJ47" s="659"/>
      <c r="AK47" s="659"/>
      <c r="AL47" s="659"/>
      <c r="AM47" s="594">
        <v>16</v>
      </c>
      <c r="AN47" s="594"/>
      <c r="AO47" s="594"/>
      <c r="AP47" s="594"/>
      <c r="AQ47" s="594"/>
      <c r="AR47" s="594">
        <v>4</v>
      </c>
      <c r="AS47" s="594"/>
      <c r="AT47" s="594"/>
      <c r="AU47" s="594"/>
      <c r="AV47" s="594"/>
      <c r="AW47" s="594">
        <v>8</v>
      </c>
      <c r="AX47" s="594"/>
      <c r="AY47" s="594"/>
      <c r="AZ47" s="594"/>
      <c r="BA47" s="594"/>
      <c r="BB47" s="595"/>
      <c r="BC47" s="595"/>
      <c r="BD47" s="595"/>
      <c r="BE47" s="595"/>
      <c r="BF47" s="595"/>
      <c r="BG47" s="595"/>
      <c r="BH47" s="595"/>
      <c r="BI47" s="595"/>
      <c r="BJ47" s="595"/>
      <c r="BK47" s="595"/>
      <c r="BL47" s="660">
        <f t="shared" si="35"/>
        <v>208</v>
      </c>
      <c r="BM47" s="660"/>
      <c r="BN47" s="660"/>
      <c r="BO47" s="661"/>
      <c r="BP47" s="664"/>
      <c r="BQ47" s="601"/>
      <c r="BR47" s="601"/>
      <c r="BS47" s="601"/>
      <c r="BT47" s="601"/>
      <c r="BU47" s="601"/>
      <c r="BV47" s="601"/>
      <c r="BW47" s="601"/>
      <c r="BX47" s="601"/>
      <c r="BY47" s="601"/>
      <c r="BZ47" s="601"/>
      <c r="CA47" s="601"/>
      <c r="CB47" s="601"/>
      <c r="CC47" s="601"/>
      <c r="CD47" s="601"/>
      <c r="CE47" s="601"/>
      <c r="CF47" s="601">
        <v>5</v>
      </c>
      <c r="CG47" s="601"/>
      <c r="CH47" s="601"/>
      <c r="CI47" s="601"/>
      <c r="CJ47" s="601">
        <v>5</v>
      </c>
      <c r="CK47" s="601"/>
      <c r="CL47" s="601"/>
      <c r="CM47" s="601"/>
      <c r="CN47" s="601"/>
      <c r="CO47" s="601"/>
      <c r="CP47" s="601"/>
      <c r="CQ47" s="601"/>
      <c r="CR47" s="601"/>
      <c r="CS47" s="601"/>
      <c r="CT47" s="601"/>
      <c r="CU47" s="601"/>
      <c r="CV47" s="601"/>
      <c r="CW47" s="601"/>
      <c r="CX47" s="601"/>
      <c r="CY47" s="601"/>
      <c r="CZ47" s="601"/>
      <c r="DA47" s="601"/>
      <c r="DB47" s="601"/>
      <c r="DC47" s="602"/>
      <c r="DD47" s="603"/>
      <c r="DE47" s="599"/>
      <c r="DF47" s="599"/>
      <c r="DG47" s="600"/>
      <c r="DH47" s="598"/>
      <c r="DI47" s="599"/>
      <c r="DJ47" s="599"/>
      <c r="DK47" s="600"/>
      <c r="DL47" s="598"/>
      <c r="DM47" s="599"/>
      <c r="DN47" s="599"/>
      <c r="DO47" s="600"/>
      <c r="DP47" s="598"/>
      <c r="DQ47" s="599"/>
      <c r="DR47" s="599"/>
      <c r="DS47" s="600"/>
      <c r="DT47" s="598">
        <v>4</v>
      </c>
      <c r="DU47" s="599"/>
      <c r="DV47" s="599"/>
      <c r="DW47" s="600"/>
      <c r="DX47" s="598">
        <v>4</v>
      </c>
      <c r="DY47" s="599"/>
      <c r="DZ47" s="599"/>
      <c r="EA47" s="600"/>
      <c r="EB47" s="598"/>
      <c r="EC47" s="599"/>
      <c r="ED47" s="599"/>
      <c r="EE47" s="600"/>
      <c r="EF47" s="598"/>
      <c r="EG47" s="599"/>
      <c r="EH47" s="599"/>
      <c r="EI47" s="600"/>
      <c r="EJ47" s="598"/>
      <c r="EK47" s="599"/>
      <c r="EL47" s="599"/>
      <c r="EM47" s="600"/>
      <c r="EN47" s="598"/>
      <c r="EO47" s="599"/>
      <c r="EP47" s="599"/>
      <c r="EQ47" s="663"/>
      <c r="ER47" s="757">
        <f t="shared" si="33"/>
        <v>8</v>
      </c>
      <c r="ES47" s="758"/>
      <c r="ET47" s="759"/>
      <c r="EU47" s="760"/>
      <c r="EV47" s="212">
        <v>8</v>
      </c>
      <c r="EW47" s="213"/>
    </row>
    <row r="48" spans="1:153" s="212" customFormat="1" ht="120" customHeight="1" x14ac:dyDescent="0.75">
      <c r="A48" s="210" t="s">
        <v>4</v>
      </c>
      <c r="B48" s="211" t="s">
        <v>272</v>
      </c>
      <c r="C48" s="656" t="s">
        <v>121</v>
      </c>
      <c r="D48" s="656"/>
      <c r="E48" s="656"/>
      <c r="F48" s="656"/>
      <c r="G48" s="656"/>
      <c r="H48" s="656"/>
      <c r="I48" s="656"/>
      <c r="J48" s="656"/>
      <c r="K48" s="656"/>
      <c r="L48" s="656"/>
      <c r="M48" s="656"/>
      <c r="N48" s="656"/>
      <c r="O48" s="656"/>
      <c r="P48" s="656"/>
      <c r="Q48" s="656"/>
      <c r="R48" s="656"/>
      <c r="S48" s="656"/>
      <c r="T48" s="656"/>
      <c r="U48" s="656"/>
      <c r="V48" s="656"/>
      <c r="W48" s="656"/>
      <c r="X48" s="656"/>
      <c r="Y48" s="656"/>
      <c r="Z48" s="657">
        <f t="shared" si="34"/>
        <v>120</v>
      </c>
      <c r="AA48" s="657"/>
      <c r="AB48" s="657"/>
      <c r="AC48" s="657"/>
      <c r="AD48" s="658"/>
      <c r="AE48" s="658"/>
      <c r="AF48" s="658"/>
      <c r="AG48" s="658"/>
      <c r="AH48" s="659">
        <v>16</v>
      </c>
      <c r="AI48" s="659"/>
      <c r="AJ48" s="659"/>
      <c r="AK48" s="659"/>
      <c r="AL48" s="659"/>
      <c r="AM48" s="594">
        <v>8</v>
      </c>
      <c r="AN48" s="594"/>
      <c r="AO48" s="594"/>
      <c r="AP48" s="594"/>
      <c r="AQ48" s="594"/>
      <c r="AR48" s="594">
        <v>4</v>
      </c>
      <c r="AS48" s="594"/>
      <c r="AT48" s="594"/>
      <c r="AU48" s="594"/>
      <c r="AV48" s="594"/>
      <c r="AW48" s="594">
        <v>4</v>
      </c>
      <c r="AX48" s="594"/>
      <c r="AY48" s="594"/>
      <c r="AZ48" s="594"/>
      <c r="BA48" s="594"/>
      <c r="BB48" s="595"/>
      <c r="BC48" s="595"/>
      <c r="BD48" s="595"/>
      <c r="BE48" s="595"/>
      <c r="BF48" s="595"/>
      <c r="BG48" s="595"/>
      <c r="BH48" s="595"/>
      <c r="BI48" s="595"/>
      <c r="BJ48" s="595"/>
      <c r="BK48" s="595"/>
      <c r="BL48" s="660">
        <f t="shared" si="35"/>
        <v>104</v>
      </c>
      <c r="BM48" s="660"/>
      <c r="BN48" s="660"/>
      <c r="BO48" s="661"/>
      <c r="BP48" s="664"/>
      <c r="BQ48" s="601"/>
      <c r="BR48" s="601"/>
      <c r="BS48" s="601"/>
      <c r="BT48" s="601"/>
      <c r="BU48" s="601"/>
      <c r="BV48" s="601"/>
      <c r="BW48" s="601"/>
      <c r="BX48" s="601"/>
      <c r="BY48" s="601"/>
      <c r="BZ48" s="601"/>
      <c r="CA48" s="601"/>
      <c r="CB48" s="601"/>
      <c r="CC48" s="601"/>
      <c r="CD48" s="601"/>
      <c r="CE48" s="601"/>
      <c r="CF48" s="601">
        <v>5</v>
      </c>
      <c r="CG48" s="601"/>
      <c r="CH48" s="601"/>
      <c r="CI48" s="601"/>
      <c r="CJ48" s="601"/>
      <c r="CK48" s="601"/>
      <c r="CL48" s="601"/>
      <c r="CM48" s="601"/>
      <c r="CN48" s="601"/>
      <c r="CO48" s="601"/>
      <c r="CP48" s="601"/>
      <c r="CQ48" s="601"/>
      <c r="CR48" s="601"/>
      <c r="CS48" s="601"/>
      <c r="CT48" s="601"/>
      <c r="CU48" s="601"/>
      <c r="CV48" s="601"/>
      <c r="CW48" s="601"/>
      <c r="CX48" s="601"/>
      <c r="CY48" s="601"/>
      <c r="CZ48" s="601"/>
      <c r="DA48" s="601"/>
      <c r="DB48" s="601"/>
      <c r="DC48" s="602"/>
      <c r="DD48" s="603"/>
      <c r="DE48" s="599"/>
      <c r="DF48" s="599"/>
      <c r="DG48" s="600"/>
      <c r="DH48" s="598"/>
      <c r="DI48" s="599"/>
      <c r="DJ48" s="599"/>
      <c r="DK48" s="600"/>
      <c r="DL48" s="598"/>
      <c r="DM48" s="599"/>
      <c r="DN48" s="599"/>
      <c r="DO48" s="600"/>
      <c r="DP48" s="598"/>
      <c r="DQ48" s="599"/>
      <c r="DR48" s="599"/>
      <c r="DS48" s="600"/>
      <c r="DT48" s="598">
        <v>4</v>
      </c>
      <c r="DU48" s="599"/>
      <c r="DV48" s="599"/>
      <c r="DW48" s="600"/>
      <c r="DX48" s="598"/>
      <c r="DY48" s="599"/>
      <c r="DZ48" s="599"/>
      <c r="EA48" s="600"/>
      <c r="EB48" s="598"/>
      <c r="EC48" s="599"/>
      <c r="ED48" s="599"/>
      <c r="EE48" s="600"/>
      <c r="EF48" s="598"/>
      <c r="EG48" s="599"/>
      <c r="EH48" s="599"/>
      <c r="EI48" s="600"/>
      <c r="EJ48" s="598"/>
      <c r="EK48" s="599"/>
      <c r="EL48" s="599"/>
      <c r="EM48" s="600"/>
      <c r="EN48" s="598"/>
      <c r="EO48" s="599"/>
      <c r="EP48" s="599"/>
      <c r="EQ48" s="663"/>
      <c r="ER48" s="757">
        <f t="shared" si="33"/>
        <v>4</v>
      </c>
      <c r="ES48" s="758"/>
      <c r="ET48" s="759"/>
      <c r="EU48" s="760"/>
      <c r="EV48" s="212">
        <v>4</v>
      </c>
      <c r="EW48" s="213"/>
    </row>
    <row r="49" spans="1:153" s="116" customFormat="1" ht="99.95" customHeight="1" x14ac:dyDescent="0.75">
      <c r="A49" s="80" t="s">
        <v>5</v>
      </c>
      <c r="B49" s="204" t="s">
        <v>123</v>
      </c>
      <c r="C49" s="560" t="s">
        <v>122</v>
      </c>
      <c r="D49" s="560"/>
      <c r="E49" s="560"/>
      <c r="F49" s="560"/>
      <c r="G49" s="560"/>
      <c r="H49" s="560"/>
      <c r="I49" s="560"/>
      <c r="J49" s="560"/>
      <c r="K49" s="560"/>
      <c r="L49" s="560"/>
      <c r="M49" s="560"/>
      <c r="N49" s="560"/>
      <c r="O49" s="560"/>
      <c r="P49" s="560"/>
      <c r="Q49" s="560"/>
      <c r="R49" s="560"/>
      <c r="S49" s="560"/>
      <c r="T49" s="560"/>
      <c r="U49" s="560"/>
      <c r="V49" s="560"/>
      <c r="W49" s="560"/>
      <c r="X49" s="560"/>
      <c r="Y49" s="560"/>
      <c r="Z49" s="562">
        <f t="shared" si="34"/>
        <v>120</v>
      </c>
      <c r="AA49" s="562"/>
      <c r="AB49" s="562"/>
      <c r="AC49" s="562"/>
      <c r="AD49" s="563"/>
      <c r="AE49" s="563"/>
      <c r="AF49" s="563"/>
      <c r="AG49" s="563"/>
      <c r="AH49" s="550">
        <v>16</v>
      </c>
      <c r="AI49" s="550"/>
      <c r="AJ49" s="550"/>
      <c r="AK49" s="550"/>
      <c r="AL49" s="550"/>
      <c r="AM49" s="551">
        <v>10</v>
      </c>
      <c r="AN49" s="551"/>
      <c r="AO49" s="551"/>
      <c r="AP49" s="551"/>
      <c r="AQ49" s="551"/>
      <c r="AR49" s="551"/>
      <c r="AS49" s="551"/>
      <c r="AT49" s="551"/>
      <c r="AU49" s="551"/>
      <c r="AV49" s="551"/>
      <c r="AW49" s="551">
        <v>6</v>
      </c>
      <c r="AX49" s="551"/>
      <c r="AY49" s="551"/>
      <c r="AZ49" s="551"/>
      <c r="BA49" s="551"/>
      <c r="BB49" s="553"/>
      <c r="BC49" s="553"/>
      <c r="BD49" s="553"/>
      <c r="BE49" s="553"/>
      <c r="BF49" s="553"/>
      <c r="BG49" s="553"/>
      <c r="BH49" s="553"/>
      <c r="BI49" s="553"/>
      <c r="BJ49" s="553"/>
      <c r="BK49" s="553"/>
      <c r="BL49" s="557">
        <f t="shared" si="35"/>
        <v>104</v>
      </c>
      <c r="BM49" s="557"/>
      <c r="BN49" s="557"/>
      <c r="BO49" s="558"/>
      <c r="BP49" s="559"/>
      <c r="BQ49" s="552"/>
      <c r="BR49" s="552"/>
      <c r="BS49" s="552"/>
      <c r="BT49" s="552"/>
      <c r="BU49" s="552"/>
      <c r="BV49" s="552"/>
      <c r="BW49" s="552"/>
      <c r="BX49" s="552"/>
      <c r="BY49" s="552"/>
      <c r="BZ49" s="552"/>
      <c r="CA49" s="552"/>
      <c r="CB49" s="552">
        <v>6</v>
      </c>
      <c r="CC49" s="552"/>
      <c r="CD49" s="552"/>
      <c r="CE49" s="552"/>
      <c r="CF49" s="552"/>
      <c r="CG49" s="552"/>
      <c r="CH49" s="552"/>
      <c r="CI49" s="552"/>
      <c r="CJ49" s="552"/>
      <c r="CK49" s="552"/>
      <c r="CL49" s="552"/>
      <c r="CM49" s="552"/>
      <c r="CN49" s="552"/>
      <c r="CO49" s="552"/>
      <c r="CP49" s="552"/>
      <c r="CQ49" s="552"/>
      <c r="CR49" s="552"/>
      <c r="CS49" s="552"/>
      <c r="CT49" s="552"/>
      <c r="CU49" s="552"/>
      <c r="CV49" s="552"/>
      <c r="CW49" s="552"/>
      <c r="CX49" s="552"/>
      <c r="CY49" s="552"/>
      <c r="CZ49" s="552"/>
      <c r="DA49" s="552"/>
      <c r="DB49" s="552"/>
      <c r="DC49" s="596"/>
      <c r="DD49" s="597"/>
      <c r="DE49" s="555"/>
      <c r="DF49" s="555"/>
      <c r="DG49" s="556"/>
      <c r="DH49" s="554"/>
      <c r="DI49" s="555"/>
      <c r="DJ49" s="555"/>
      <c r="DK49" s="556"/>
      <c r="DL49" s="554"/>
      <c r="DM49" s="555"/>
      <c r="DN49" s="555"/>
      <c r="DO49" s="556"/>
      <c r="DP49" s="554">
        <v>4</v>
      </c>
      <c r="DQ49" s="555"/>
      <c r="DR49" s="555"/>
      <c r="DS49" s="556"/>
      <c r="DT49" s="554"/>
      <c r="DU49" s="555"/>
      <c r="DV49" s="555"/>
      <c r="DW49" s="556"/>
      <c r="DX49" s="554"/>
      <c r="DY49" s="555"/>
      <c r="DZ49" s="555"/>
      <c r="EA49" s="556"/>
      <c r="EB49" s="554"/>
      <c r="EC49" s="555"/>
      <c r="ED49" s="555"/>
      <c r="EE49" s="556"/>
      <c r="EF49" s="554"/>
      <c r="EG49" s="555"/>
      <c r="EH49" s="555"/>
      <c r="EI49" s="556"/>
      <c r="EJ49" s="554"/>
      <c r="EK49" s="555"/>
      <c r="EL49" s="555"/>
      <c r="EM49" s="556"/>
      <c r="EN49" s="554"/>
      <c r="EO49" s="555"/>
      <c r="EP49" s="555"/>
      <c r="EQ49" s="588"/>
      <c r="ER49" s="589">
        <f t="shared" si="33"/>
        <v>4</v>
      </c>
      <c r="ES49" s="590"/>
      <c r="ET49" s="591"/>
      <c r="EU49" s="592"/>
      <c r="EV49" s="116">
        <v>4</v>
      </c>
      <c r="EW49" s="117"/>
    </row>
    <row r="50" spans="1:153" s="116" customFormat="1" ht="120" customHeight="1" x14ac:dyDescent="0.75">
      <c r="A50" s="80" t="s">
        <v>6</v>
      </c>
      <c r="B50" s="204" t="s">
        <v>124</v>
      </c>
      <c r="C50" s="560" t="s">
        <v>182</v>
      </c>
      <c r="D50" s="560"/>
      <c r="E50" s="560"/>
      <c r="F50" s="560"/>
      <c r="G50" s="560"/>
      <c r="H50" s="560"/>
      <c r="I50" s="560"/>
      <c r="J50" s="560"/>
      <c r="K50" s="560"/>
      <c r="L50" s="560"/>
      <c r="M50" s="560"/>
      <c r="N50" s="560"/>
      <c r="O50" s="560"/>
      <c r="P50" s="560"/>
      <c r="Q50" s="560"/>
      <c r="R50" s="560"/>
      <c r="S50" s="560"/>
      <c r="T50" s="560"/>
      <c r="U50" s="560"/>
      <c r="V50" s="560"/>
      <c r="W50" s="560"/>
      <c r="X50" s="560"/>
      <c r="Y50" s="560"/>
      <c r="Z50" s="562">
        <f t="shared" si="34"/>
        <v>150</v>
      </c>
      <c r="AA50" s="562"/>
      <c r="AB50" s="562"/>
      <c r="AC50" s="562"/>
      <c r="AD50" s="563"/>
      <c r="AE50" s="563"/>
      <c r="AF50" s="563"/>
      <c r="AG50" s="563"/>
      <c r="AH50" s="550">
        <v>18</v>
      </c>
      <c r="AI50" s="550"/>
      <c r="AJ50" s="550"/>
      <c r="AK50" s="550"/>
      <c r="AL50" s="550"/>
      <c r="AM50" s="551">
        <v>10</v>
      </c>
      <c r="AN50" s="551"/>
      <c r="AO50" s="551"/>
      <c r="AP50" s="551"/>
      <c r="AQ50" s="551"/>
      <c r="AR50" s="551">
        <v>8</v>
      </c>
      <c r="AS50" s="551"/>
      <c r="AT50" s="551"/>
      <c r="AU50" s="551"/>
      <c r="AV50" s="551"/>
      <c r="AW50" s="551"/>
      <c r="AX50" s="551"/>
      <c r="AY50" s="551"/>
      <c r="AZ50" s="551"/>
      <c r="BA50" s="551"/>
      <c r="BB50" s="553"/>
      <c r="BC50" s="553"/>
      <c r="BD50" s="553"/>
      <c r="BE50" s="553"/>
      <c r="BF50" s="553"/>
      <c r="BG50" s="553"/>
      <c r="BH50" s="553"/>
      <c r="BI50" s="553"/>
      <c r="BJ50" s="553"/>
      <c r="BK50" s="553"/>
      <c r="BL50" s="557">
        <f t="shared" si="35"/>
        <v>132</v>
      </c>
      <c r="BM50" s="557"/>
      <c r="BN50" s="557"/>
      <c r="BO50" s="558"/>
      <c r="BP50" s="559"/>
      <c r="BQ50" s="552"/>
      <c r="BR50" s="552"/>
      <c r="BS50" s="552"/>
      <c r="BT50" s="552"/>
      <c r="BU50" s="552"/>
      <c r="BV50" s="552"/>
      <c r="BW50" s="552"/>
      <c r="BX50" s="552"/>
      <c r="BY50" s="552"/>
      <c r="BZ50" s="552"/>
      <c r="CA50" s="552"/>
      <c r="CB50" s="552">
        <v>6</v>
      </c>
      <c r="CC50" s="552"/>
      <c r="CD50" s="552"/>
      <c r="CE50" s="552"/>
      <c r="CF50" s="552"/>
      <c r="CG50" s="552"/>
      <c r="CH50" s="552"/>
      <c r="CI50" s="552"/>
      <c r="CJ50" s="552"/>
      <c r="CK50" s="552"/>
      <c r="CL50" s="552"/>
      <c r="CM50" s="552"/>
      <c r="CN50" s="552"/>
      <c r="CO50" s="552"/>
      <c r="CP50" s="552"/>
      <c r="CQ50" s="552"/>
      <c r="CR50" s="552"/>
      <c r="CS50" s="552"/>
      <c r="CT50" s="552"/>
      <c r="CU50" s="552"/>
      <c r="CV50" s="552"/>
      <c r="CW50" s="552"/>
      <c r="CX50" s="552"/>
      <c r="CY50" s="552"/>
      <c r="CZ50" s="552"/>
      <c r="DA50" s="552"/>
      <c r="DB50" s="552"/>
      <c r="DC50" s="596"/>
      <c r="DD50" s="597"/>
      <c r="DE50" s="555"/>
      <c r="DF50" s="555"/>
      <c r="DG50" s="556"/>
      <c r="DH50" s="554"/>
      <c r="DI50" s="555"/>
      <c r="DJ50" s="555"/>
      <c r="DK50" s="556"/>
      <c r="DL50" s="554"/>
      <c r="DM50" s="555"/>
      <c r="DN50" s="555"/>
      <c r="DO50" s="556"/>
      <c r="DP50" s="554">
        <v>5</v>
      </c>
      <c r="DQ50" s="555"/>
      <c r="DR50" s="555"/>
      <c r="DS50" s="556"/>
      <c r="DT50" s="554"/>
      <c r="DU50" s="555"/>
      <c r="DV50" s="555"/>
      <c r="DW50" s="556"/>
      <c r="DX50" s="554"/>
      <c r="DY50" s="555"/>
      <c r="DZ50" s="555"/>
      <c r="EA50" s="556"/>
      <c r="EB50" s="554"/>
      <c r="EC50" s="555"/>
      <c r="ED50" s="555"/>
      <c r="EE50" s="556"/>
      <c r="EF50" s="554"/>
      <c r="EG50" s="555"/>
      <c r="EH50" s="555"/>
      <c r="EI50" s="556"/>
      <c r="EJ50" s="554"/>
      <c r="EK50" s="555"/>
      <c r="EL50" s="555"/>
      <c r="EM50" s="556"/>
      <c r="EN50" s="554"/>
      <c r="EO50" s="555"/>
      <c r="EP50" s="555"/>
      <c r="EQ50" s="588"/>
      <c r="ER50" s="589">
        <f t="shared" si="33"/>
        <v>5</v>
      </c>
      <c r="ES50" s="590"/>
      <c r="ET50" s="591"/>
      <c r="EU50" s="592"/>
      <c r="EV50" s="116">
        <v>5</v>
      </c>
      <c r="EW50" s="117"/>
    </row>
    <row r="51" spans="1:153" s="116" customFormat="1" ht="99.95" customHeight="1" x14ac:dyDescent="0.75">
      <c r="A51" s="114" t="s">
        <v>95</v>
      </c>
      <c r="B51" s="204" t="s">
        <v>96</v>
      </c>
      <c r="C51" s="560" t="s">
        <v>94</v>
      </c>
      <c r="D51" s="560"/>
      <c r="E51" s="560"/>
      <c r="F51" s="560"/>
      <c r="G51" s="560"/>
      <c r="H51" s="560"/>
      <c r="I51" s="560"/>
      <c r="J51" s="560"/>
      <c r="K51" s="560"/>
      <c r="L51" s="560"/>
      <c r="M51" s="560"/>
      <c r="N51" s="560"/>
      <c r="O51" s="560"/>
      <c r="P51" s="560"/>
      <c r="Q51" s="560"/>
      <c r="R51" s="560"/>
      <c r="S51" s="560"/>
      <c r="T51" s="560"/>
      <c r="U51" s="560"/>
      <c r="V51" s="560"/>
      <c r="W51" s="560"/>
      <c r="X51" s="560"/>
      <c r="Y51" s="560"/>
      <c r="Z51" s="562">
        <f t="shared" si="34"/>
        <v>240</v>
      </c>
      <c r="AA51" s="562"/>
      <c r="AB51" s="562"/>
      <c r="AC51" s="562"/>
      <c r="AD51" s="563"/>
      <c r="AE51" s="563"/>
      <c r="AF51" s="563"/>
      <c r="AG51" s="563"/>
      <c r="AH51" s="550">
        <v>32</v>
      </c>
      <c r="AI51" s="550"/>
      <c r="AJ51" s="550"/>
      <c r="AK51" s="550"/>
      <c r="AL51" s="550"/>
      <c r="AM51" s="551">
        <v>16</v>
      </c>
      <c r="AN51" s="551"/>
      <c r="AO51" s="551"/>
      <c r="AP51" s="551"/>
      <c r="AQ51" s="551"/>
      <c r="AR51" s="551">
        <v>16</v>
      </c>
      <c r="AS51" s="551"/>
      <c r="AT51" s="551"/>
      <c r="AU51" s="551"/>
      <c r="AV51" s="551"/>
      <c r="AW51" s="551"/>
      <c r="AX51" s="551"/>
      <c r="AY51" s="551"/>
      <c r="AZ51" s="551"/>
      <c r="BA51" s="551"/>
      <c r="BB51" s="553"/>
      <c r="BC51" s="553"/>
      <c r="BD51" s="553"/>
      <c r="BE51" s="553"/>
      <c r="BF51" s="553"/>
      <c r="BG51" s="553"/>
      <c r="BH51" s="553"/>
      <c r="BI51" s="553"/>
      <c r="BJ51" s="553"/>
      <c r="BK51" s="553"/>
      <c r="BL51" s="557">
        <f t="shared" si="35"/>
        <v>208</v>
      </c>
      <c r="BM51" s="557"/>
      <c r="BN51" s="557"/>
      <c r="BO51" s="558"/>
      <c r="BP51" s="559"/>
      <c r="BQ51" s="552"/>
      <c r="BR51" s="552"/>
      <c r="BS51" s="552"/>
      <c r="BT51" s="552"/>
      <c r="BU51" s="552"/>
      <c r="BV51" s="552"/>
      <c r="BW51" s="552"/>
      <c r="BX51" s="552"/>
      <c r="BY51" s="552"/>
      <c r="BZ51" s="552"/>
      <c r="CA51" s="552"/>
      <c r="CB51" s="552"/>
      <c r="CC51" s="552"/>
      <c r="CD51" s="552"/>
      <c r="CE51" s="552"/>
      <c r="CF51" s="552"/>
      <c r="CG51" s="552"/>
      <c r="CH51" s="552"/>
      <c r="CI51" s="552"/>
      <c r="CJ51" s="552">
        <v>5</v>
      </c>
      <c r="CK51" s="552"/>
      <c r="CL51" s="552"/>
      <c r="CM51" s="552"/>
      <c r="CN51" s="552">
        <v>5</v>
      </c>
      <c r="CO51" s="552"/>
      <c r="CP51" s="552"/>
      <c r="CQ51" s="552"/>
      <c r="CR51" s="552"/>
      <c r="CS51" s="552"/>
      <c r="CT51" s="552"/>
      <c r="CU51" s="552"/>
      <c r="CV51" s="552"/>
      <c r="CW51" s="552"/>
      <c r="CX51" s="552"/>
      <c r="CY51" s="552"/>
      <c r="CZ51" s="552"/>
      <c r="DA51" s="552"/>
      <c r="DB51" s="552"/>
      <c r="DC51" s="596"/>
      <c r="DD51" s="597"/>
      <c r="DE51" s="555"/>
      <c r="DF51" s="555"/>
      <c r="DG51" s="556"/>
      <c r="DH51" s="554"/>
      <c r="DI51" s="555"/>
      <c r="DJ51" s="555"/>
      <c r="DK51" s="556"/>
      <c r="DL51" s="554"/>
      <c r="DM51" s="555"/>
      <c r="DN51" s="555"/>
      <c r="DO51" s="556"/>
      <c r="DP51" s="554"/>
      <c r="DQ51" s="555"/>
      <c r="DR51" s="555"/>
      <c r="DS51" s="556"/>
      <c r="DT51" s="554"/>
      <c r="DU51" s="555"/>
      <c r="DV51" s="555"/>
      <c r="DW51" s="556"/>
      <c r="DX51" s="554">
        <v>4</v>
      </c>
      <c r="DY51" s="555"/>
      <c r="DZ51" s="555"/>
      <c r="EA51" s="556"/>
      <c r="EB51" s="554">
        <v>4</v>
      </c>
      <c r="EC51" s="555"/>
      <c r="ED51" s="555"/>
      <c r="EE51" s="556"/>
      <c r="EF51" s="554"/>
      <c r="EG51" s="555"/>
      <c r="EH51" s="555"/>
      <c r="EI51" s="556"/>
      <c r="EJ51" s="554"/>
      <c r="EK51" s="555"/>
      <c r="EL51" s="555"/>
      <c r="EM51" s="556"/>
      <c r="EN51" s="554"/>
      <c r="EO51" s="555"/>
      <c r="EP51" s="555"/>
      <c r="EQ51" s="588"/>
      <c r="ER51" s="589">
        <f t="shared" si="33"/>
        <v>8</v>
      </c>
      <c r="ES51" s="590"/>
      <c r="ET51" s="591"/>
      <c r="EU51" s="592"/>
      <c r="EV51" s="116">
        <v>8</v>
      </c>
      <c r="EW51" s="117"/>
    </row>
    <row r="52" spans="1:153" s="76" customFormat="1" ht="99.95" customHeight="1" x14ac:dyDescent="0.75">
      <c r="A52" s="80" t="s">
        <v>7</v>
      </c>
      <c r="B52" s="203" t="s">
        <v>125</v>
      </c>
      <c r="C52" s="564" t="s">
        <v>102</v>
      </c>
      <c r="D52" s="564"/>
      <c r="E52" s="564"/>
      <c r="F52" s="564"/>
      <c r="G52" s="564"/>
      <c r="H52" s="564"/>
      <c r="I52" s="564"/>
      <c r="J52" s="564"/>
      <c r="K52" s="564"/>
      <c r="L52" s="564"/>
      <c r="M52" s="564"/>
      <c r="N52" s="564"/>
      <c r="O52" s="564"/>
      <c r="P52" s="564"/>
      <c r="Q52" s="564"/>
      <c r="R52" s="564"/>
      <c r="S52" s="564"/>
      <c r="T52" s="564"/>
      <c r="U52" s="564"/>
      <c r="V52" s="564"/>
      <c r="W52" s="564"/>
      <c r="X52" s="564"/>
      <c r="Y52" s="564"/>
      <c r="Z52" s="565">
        <f t="shared" ref="Z52" si="37">ER52*30</f>
        <v>120</v>
      </c>
      <c r="AA52" s="565"/>
      <c r="AB52" s="565"/>
      <c r="AC52" s="565"/>
      <c r="AD52" s="566"/>
      <c r="AE52" s="566"/>
      <c r="AF52" s="566"/>
      <c r="AG52" s="566"/>
      <c r="AH52" s="567">
        <v>16</v>
      </c>
      <c r="AI52" s="567"/>
      <c r="AJ52" s="567"/>
      <c r="AK52" s="567"/>
      <c r="AL52" s="567"/>
      <c r="AM52" s="620">
        <v>8</v>
      </c>
      <c r="AN52" s="620"/>
      <c r="AO52" s="620"/>
      <c r="AP52" s="620"/>
      <c r="AQ52" s="620"/>
      <c r="AR52" s="620">
        <v>8</v>
      </c>
      <c r="AS52" s="620"/>
      <c r="AT52" s="620"/>
      <c r="AU52" s="620"/>
      <c r="AV52" s="620"/>
      <c r="AW52" s="620"/>
      <c r="AX52" s="620"/>
      <c r="AY52" s="620"/>
      <c r="AZ52" s="620"/>
      <c r="BA52" s="620"/>
      <c r="BB52" s="610"/>
      <c r="BC52" s="610"/>
      <c r="BD52" s="610"/>
      <c r="BE52" s="610"/>
      <c r="BF52" s="610"/>
      <c r="BG52" s="610"/>
      <c r="BH52" s="610"/>
      <c r="BI52" s="610"/>
      <c r="BJ52" s="610"/>
      <c r="BK52" s="610"/>
      <c r="BL52" s="571">
        <f t="shared" ref="BL52" si="38">Z52-AH52</f>
        <v>104</v>
      </c>
      <c r="BM52" s="571"/>
      <c r="BN52" s="571"/>
      <c r="BO52" s="572"/>
      <c r="BP52" s="665"/>
      <c r="BQ52" s="526"/>
      <c r="BR52" s="526"/>
      <c r="BS52" s="526"/>
      <c r="BT52" s="526"/>
      <c r="BU52" s="526"/>
      <c r="BV52" s="526"/>
      <c r="BW52" s="526"/>
      <c r="BX52" s="526"/>
      <c r="BY52" s="526"/>
      <c r="BZ52" s="526"/>
      <c r="CA52" s="526"/>
      <c r="CB52" s="526"/>
      <c r="CC52" s="526"/>
      <c r="CD52" s="526"/>
      <c r="CE52" s="526"/>
      <c r="CF52" s="526"/>
      <c r="CG52" s="526"/>
      <c r="CH52" s="526"/>
      <c r="CI52" s="526"/>
      <c r="CJ52" s="526"/>
      <c r="CK52" s="526"/>
      <c r="CL52" s="526"/>
      <c r="CM52" s="526"/>
      <c r="CN52" s="526"/>
      <c r="CO52" s="526"/>
      <c r="CP52" s="526"/>
      <c r="CQ52" s="526"/>
      <c r="CR52" s="526">
        <v>5</v>
      </c>
      <c r="CS52" s="526"/>
      <c r="CT52" s="526"/>
      <c r="CU52" s="526"/>
      <c r="CV52" s="526"/>
      <c r="CW52" s="526"/>
      <c r="CX52" s="526"/>
      <c r="CY52" s="526"/>
      <c r="CZ52" s="526"/>
      <c r="DA52" s="526"/>
      <c r="DB52" s="526"/>
      <c r="DC52" s="561"/>
      <c r="DD52" s="568"/>
      <c r="DE52" s="569"/>
      <c r="DF52" s="569"/>
      <c r="DG52" s="570"/>
      <c r="DH52" s="619"/>
      <c r="DI52" s="569"/>
      <c r="DJ52" s="569"/>
      <c r="DK52" s="570"/>
      <c r="DL52" s="619"/>
      <c r="DM52" s="569"/>
      <c r="DN52" s="569"/>
      <c r="DO52" s="570"/>
      <c r="DP52" s="619"/>
      <c r="DQ52" s="569"/>
      <c r="DR52" s="569"/>
      <c r="DS52" s="570"/>
      <c r="DT52" s="619"/>
      <c r="DU52" s="569"/>
      <c r="DV52" s="569"/>
      <c r="DW52" s="570"/>
      <c r="DX52" s="619"/>
      <c r="DY52" s="569"/>
      <c r="DZ52" s="569"/>
      <c r="EA52" s="570"/>
      <c r="EB52" s="619"/>
      <c r="EC52" s="569"/>
      <c r="ED52" s="569"/>
      <c r="EE52" s="570"/>
      <c r="EF52" s="619">
        <v>4</v>
      </c>
      <c r="EG52" s="569"/>
      <c r="EH52" s="569"/>
      <c r="EI52" s="570"/>
      <c r="EJ52" s="619"/>
      <c r="EK52" s="569"/>
      <c r="EL52" s="569"/>
      <c r="EM52" s="570"/>
      <c r="EN52" s="619"/>
      <c r="EO52" s="569"/>
      <c r="EP52" s="569"/>
      <c r="EQ52" s="622"/>
      <c r="ER52" s="577">
        <f t="shared" ref="ER52:ER79" si="39">DD52+DH52+DL52+DP52+DT52+DX52+EB52+EF52+EJ52+EN52</f>
        <v>4</v>
      </c>
      <c r="ES52" s="578"/>
      <c r="ET52" s="579"/>
      <c r="EU52" s="580"/>
      <c r="EV52" s="76">
        <v>4</v>
      </c>
      <c r="EW52" s="87"/>
    </row>
    <row r="53" spans="1:153" s="76" customFormat="1" ht="120" customHeight="1" x14ac:dyDescent="0.75">
      <c r="A53" s="80" t="s">
        <v>8</v>
      </c>
      <c r="B53" s="203" t="s">
        <v>127</v>
      </c>
      <c r="C53" s="564" t="s">
        <v>126</v>
      </c>
      <c r="D53" s="564"/>
      <c r="E53" s="564"/>
      <c r="F53" s="564"/>
      <c r="G53" s="564"/>
      <c r="H53" s="564"/>
      <c r="I53" s="564"/>
      <c r="J53" s="564"/>
      <c r="K53" s="564"/>
      <c r="L53" s="564"/>
      <c r="M53" s="564"/>
      <c r="N53" s="564"/>
      <c r="O53" s="564"/>
      <c r="P53" s="564"/>
      <c r="Q53" s="564"/>
      <c r="R53" s="564"/>
      <c r="S53" s="564"/>
      <c r="T53" s="564"/>
      <c r="U53" s="564"/>
      <c r="V53" s="564"/>
      <c r="W53" s="564"/>
      <c r="X53" s="564"/>
      <c r="Y53" s="564"/>
      <c r="Z53" s="565">
        <f>ER53*30</f>
        <v>120</v>
      </c>
      <c r="AA53" s="565"/>
      <c r="AB53" s="565"/>
      <c r="AC53" s="565"/>
      <c r="AD53" s="566"/>
      <c r="AE53" s="566"/>
      <c r="AF53" s="566"/>
      <c r="AG53" s="566"/>
      <c r="AH53" s="567">
        <v>16</v>
      </c>
      <c r="AI53" s="567"/>
      <c r="AJ53" s="567"/>
      <c r="AK53" s="567"/>
      <c r="AL53" s="567"/>
      <c r="AM53" s="620">
        <v>8</v>
      </c>
      <c r="AN53" s="620"/>
      <c r="AO53" s="620"/>
      <c r="AP53" s="620"/>
      <c r="AQ53" s="620"/>
      <c r="AR53" s="620">
        <v>8</v>
      </c>
      <c r="AS53" s="620"/>
      <c r="AT53" s="620"/>
      <c r="AU53" s="620"/>
      <c r="AV53" s="620"/>
      <c r="AW53" s="620"/>
      <c r="AX53" s="620"/>
      <c r="AY53" s="620"/>
      <c r="AZ53" s="620"/>
      <c r="BA53" s="620"/>
      <c r="BB53" s="610"/>
      <c r="BC53" s="610"/>
      <c r="BD53" s="610"/>
      <c r="BE53" s="610"/>
      <c r="BF53" s="610"/>
      <c r="BG53" s="610"/>
      <c r="BH53" s="610"/>
      <c r="BI53" s="610"/>
      <c r="BJ53" s="610"/>
      <c r="BK53" s="610"/>
      <c r="BL53" s="571">
        <f>Z53-AH53</f>
        <v>104</v>
      </c>
      <c r="BM53" s="571"/>
      <c r="BN53" s="571"/>
      <c r="BO53" s="572"/>
      <c r="BP53" s="665"/>
      <c r="BQ53" s="526"/>
      <c r="BR53" s="526"/>
      <c r="BS53" s="526"/>
      <c r="BT53" s="526"/>
      <c r="BU53" s="526"/>
      <c r="BV53" s="526"/>
      <c r="BW53" s="526"/>
      <c r="BX53" s="526"/>
      <c r="BY53" s="526"/>
      <c r="BZ53" s="526"/>
      <c r="CA53" s="526"/>
      <c r="CB53" s="526"/>
      <c r="CC53" s="526"/>
      <c r="CD53" s="526"/>
      <c r="CE53" s="526"/>
      <c r="CF53" s="526"/>
      <c r="CG53" s="526"/>
      <c r="CH53" s="526"/>
      <c r="CI53" s="526"/>
      <c r="CJ53" s="526"/>
      <c r="CK53" s="526"/>
      <c r="CL53" s="526"/>
      <c r="CM53" s="526"/>
      <c r="CN53" s="526"/>
      <c r="CO53" s="526"/>
      <c r="CP53" s="526"/>
      <c r="CQ53" s="526"/>
      <c r="CR53" s="526">
        <v>5</v>
      </c>
      <c r="CS53" s="526"/>
      <c r="CT53" s="526"/>
      <c r="CU53" s="526"/>
      <c r="CV53" s="526"/>
      <c r="CW53" s="526"/>
      <c r="CX53" s="526"/>
      <c r="CY53" s="526"/>
      <c r="CZ53" s="526"/>
      <c r="DA53" s="526"/>
      <c r="DB53" s="526"/>
      <c r="DC53" s="561"/>
      <c r="DD53" s="568"/>
      <c r="DE53" s="569"/>
      <c r="DF53" s="569"/>
      <c r="DG53" s="570"/>
      <c r="DH53" s="619"/>
      <c r="DI53" s="569"/>
      <c r="DJ53" s="569"/>
      <c r="DK53" s="570"/>
      <c r="DL53" s="619"/>
      <c r="DM53" s="569"/>
      <c r="DN53" s="569"/>
      <c r="DO53" s="570"/>
      <c r="DP53" s="619"/>
      <c r="DQ53" s="569"/>
      <c r="DR53" s="569"/>
      <c r="DS53" s="570"/>
      <c r="DT53" s="619"/>
      <c r="DU53" s="569"/>
      <c r="DV53" s="569"/>
      <c r="DW53" s="570"/>
      <c r="DX53" s="619"/>
      <c r="DY53" s="569"/>
      <c r="DZ53" s="569"/>
      <c r="EA53" s="570"/>
      <c r="EB53" s="619"/>
      <c r="EC53" s="569"/>
      <c r="ED53" s="569"/>
      <c r="EE53" s="570"/>
      <c r="EF53" s="619">
        <v>4</v>
      </c>
      <c r="EG53" s="569"/>
      <c r="EH53" s="569"/>
      <c r="EI53" s="570"/>
      <c r="EJ53" s="619"/>
      <c r="EK53" s="569"/>
      <c r="EL53" s="569"/>
      <c r="EM53" s="570"/>
      <c r="EN53" s="619"/>
      <c r="EO53" s="569"/>
      <c r="EP53" s="569"/>
      <c r="EQ53" s="622"/>
      <c r="ER53" s="577">
        <f>DD53+DH53+DL53+DP53+DT53+DX53+EB53+EF53+EJ53+EN53</f>
        <v>4</v>
      </c>
      <c r="ES53" s="578"/>
      <c r="ET53" s="579"/>
      <c r="EU53" s="580"/>
      <c r="EV53" s="76">
        <v>4</v>
      </c>
      <c r="EW53" s="87"/>
    </row>
    <row r="54" spans="1:153" s="76" customFormat="1" ht="99.95" customHeight="1" x14ac:dyDescent="0.75">
      <c r="A54" s="80" t="s">
        <v>92</v>
      </c>
      <c r="B54" s="203" t="s">
        <v>129</v>
      </c>
      <c r="C54" s="564" t="s">
        <v>128</v>
      </c>
      <c r="D54" s="564"/>
      <c r="E54" s="564"/>
      <c r="F54" s="564"/>
      <c r="G54" s="564"/>
      <c r="H54" s="564"/>
      <c r="I54" s="564"/>
      <c r="J54" s="564"/>
      <c r="K54" s="564"/>
      <c r="L54" s="564"/>
      <c r="M54" s="564"/>
      <c r="N54" s="564"/>
      <c r="O54" s="564"/>
      <c r="P54" s="564"/>
      <c r="Q54" s="564"/>
      <c r="R54" s="564"/>
      <c r="S54" s="564"/>
      <c r="T54" s="564"/>
      <c r="U54" s="564"/>
      <c r="V54" s="564"/>
      <c r="W54" s="564"/>
      <c r="X54" s="564"/>
      <c r="Y54" s="564"/>
      <c r="Z54" s="565">
        <f>ER54*30</f>
        <v>150</v>
      </c>
      <c r="AA54" s="565"/>
      <c r="AB54" s="565"/>
      <c r="AC54" s="565"/>
      <c r="AD54" s="566"/>
      <c r="AE54" s="566"/>
      <c r="AF54" s="566"/>
      <c r="AG54" s="566"/>
      <c r="AH54" s="567">
        <v>18</v>
      </c>
      <c r="AI54" s="567"/>
      <c r="AJ54" s="567"/>
      <c r="AK54" s="567"/>
      <c r="AL54" s="567"/>
      <c r="AM54" s="620">
        <v>10</v>
      </c>
      <c r="AN54" s="620"/>
      <c r="AO54" s="620"/>
      <c r="AP54" s="620"/>
      <c r="AQ54" s="620"/>
      <c r="AR54" s="620">
        <v>8</v>
      </c>
      <c r="AS54" s="620"/>
      <c r="AT54" s="620"/>
      <c r="AU54" s="620"/>
      <c r="AV54" s="620"/>
      <c r="AW54" s="620"/>
      <c r="AX54" s="620"/>
      <c r="AY54" s="620"/>
      <c r="AZ54" s="620"/>
      <c r="BA54" s="620"/>
      <c r="BB54" s="610"/>
      <c r="BC54" s="610"/>
      <c r="BD54" s="610"/>
      <c r="BE54" s="610"/>
      <c r="BF54" s="610"/>
      <c r="BG54" s="610"/>
      <c r="BH54" s="610"/>
      <c r="BI54" s="610"/>
      <c r="BJ54" s="610"/>
      <c r="BK54" s="610"/>
      <c r="BL54" s="571">
        <f>Z54-AH54</f>
        <v>132</v>
      </c>
      <c r="BM54" s="571"/>
      <c r="BN54" s="571"/>
      <c r="BO54" s="572"/>
      <c r="BP54" s="665"/>
      <c r="BQ54" s="526"/>
      <c r="BR54" s="526"/>
      <c r="BS54" s="526"/>
      <c r="BT54" s="526"/>
      <c r="BU54" s="526"/>
      <c r="BV54" s="526"/>
      <c r="BW54" s="526"/>
      <c r="BX54" s="526"/>
      <c r="BY54" s="526"/>
      <c r="BZ54" s="526"/>
      <c r="CA54" s="526"/>
      <c r="CB54" s="526"/>
      <c r="CC54" s="526"/>
      <c r="CD54" s="526"/>
      <c r="CE54" s="526"/>
      <c r="CF54" s="526"/>
      <c r="CG54" s="526"/>
      <c r="CH54" s="526"/>
      <c r="CI54" s="526"/>
      <c r="CJ54" s="526"/>
      <c r="CK54" s="526"/>
      <c r="CL54" s="526"/>
      <c r="CM54" s="526"/>
      <c r="CN54" s="526"/>
      <c r="CO54" s="526"/>
      <c r="CP54" s="526"/>
      <c r="CQ54" s="526"/>
      <c r="CR54" s="526"/>
      <c r="CS54" s="526"/>
      <c r="CT54" s="526"/>
      <c r="CU54" s="526"/>
      <c r="CV54" s="526">
        <v>6</v>
      </c>
      <c r="CW54" s="526"/>
      <c r="CX54" s="526"/>
      <c r="CY54" s="526"/>
      <c r="CZ54" s="526"/>
      <c r="DA54" s="526"/>
      <c r="DB54" s="526"/>
      <c r="DC54" s="561"/>
      <c r="DD54" s="568"/>
      <c r="DE54" s="569"/>
      <c r="DF54" s="569"/>
      <c r="DG54" s="570"/>
      <c r="DH54" s="619"/>
      <c r="DI54" s="569"/>
      <c r="DJ54" s="569"/>
      <c r="DK54" s="570"/>
      <c r="DL54" s="619"/>
      <c r="DM54" s="569"/>
      <c r="DN54" s="569"/>
      <c r="DO54" s="570"/>
      <c r="DP54" s="619"/>
      <c r="DQ54" s="569"/>
      <c r="DR54" s="569"/>
      <c r="DS54" s="570"/>
      <c r="DT54" s="619"/>
      <c r="DU54" s="569"/>
      <c r="DV54" s="569"/>
      <c r="DW54" s="570"/>
      <c r="DX54" s="619"/>
      <c r="DY54" s="569"/>
      <c r="DZ54" s="569"/>
      <c r="EA54" s="570"/>
      <c r="EB54" s="619"/>
      <c r="EC54" s="569"/>
      <c r="ED54" s="569"/>
      <c r="EE54" s="570"/>
      <c r="EF54" s="619"/>
      <c r="EG54" s="569"/>
      <c r="EH54" s="569"/>
      <c r="EI54" s="570"/>
      <c r="EJ54" s="619">
        <v>5</v>
      </c>
      <c r="EK54" s="569"/>
      <c r="EL54" s="569"/>
      <c r="EM54" s="570"/>
      <c r="EN54" s="619"/>
      <c r="EO54" s="569"/>
      <c r="EP54" s="569"/>
      <c r="EQ54" s="622"/>
      <c r="ER54" s="577">
        <f>DD54+DH54+DL54+DP54+DT54+DX54+EB54+EF54+EJ54+EN54</f>
        <v>5</v>
      </c>
      <c r="ES54" s="578"/>
      <c r="ET54" s="579"/>
      <c r="EU54" s="580"/>
      <c r="EV54" s="76">
        <v>5</v>
      </c>
      <c r="EW54" s="87"/>
    </row>
    <row r="55" spans="1:153" s="76" customFormat="1" ht="120" customHeight="1" x14ac:dyDescent="0.75">
      <c r="A55" s="80" t="s">
        <v>93</v>
      </c>
      <c r="B55" s="203" t="s">
        <v>183</v>
      </c>
      <c r="C55" s="564" t="s">
        <v>130</v>
      </c>
      <c r="D55" s="564"/>
      <c r="E55" s="564"/>
      <c r="F55" s="564"/>
      <c r="G55" s="564"/>
      <c r="H55" s="564"/>
      <c r="I55" s="564"/>
      <c r="J55" s="564"/>
      <c r="K55" s="564"/>
      <c r="L55" s="564"/>
      <c r="M55" s="564"/>
      <c r="N55" s="564"/>
      <c r="O55" s="564"/>
      <c r="P55" s="564"/>
      <c r="Q55" s="564"/>
      <c r="R55" s="564"/>
      <c r="S55" s="564"/>
      <c r="T55" s="564"/>
      <c r="U55" s="564"/>
      <c r="V55" s="564"/>
      <c r="W55" s="564"/>
      <c r="X55" s="564"/>
      <c r="Y55" s="564"/>
      <c r="Z55" s="565">
        <f>ER55*30</f>
        <v>270</v>
      </c>
      <c r="AA55" s="565"/>
      <c r="AB55" s="565"/>
      <c r="AC55" s="565"/>
      <c r="AD55" s="566"/>
      <c r="AE55" s="566"/>
      <c r="AF55" s="566"/>
      <c r="AG55" s="566"/>
      <c r="AH55" s="567">
        <v>34</v>
      </c>
      <c r="AI55" s="567"/>
      <c r="AJ55" s="567"/>
      <c r="AK55" s="567"/>
      <c r="AL55" s="567"/>
      <c r="AM55" s="620">
        <v>22</v>
      </c>
      <c r="AN55" s="620"/>
      <c r="AO55" s="620"/>
      <c r="AP55" s="620"/>
      <c r="AQ55" s="620"/>
      <c r="AR55" s="620">
        <v>12</v>
      </c>
      <c r="AS55" s="620"/>
      <c r="AT55" s="620"/>
      <c r="AU55" s="620"/>
      <c r="AV55" s="620"/>
      <c r="AW55" s="620"/>
      <c r="AX55" s="620"/>
      <c r="AY55" s="620"/>
      <c r="AZ55" s="620"/>
      <c r="BA55" s="620"/>
      <c r="BB55" s="610"/>
      <c r="BC55" s="610"/>
      <c r="BD55" s="610"/>
      <c r="BE55" s="610"/>
      <c r="BF55" s="610"/>
      <c r="BG55" s="610" t="s">
        <v>268</v>
      </c>
      <c r="BH55" s="610"/>
      <c r="BI55" s="610"/>
      <c r="BJ55" s="610"/>
      <c r="BK55" s="610"/>
      <c r="BL55" s="571">
        <f>Z55-AH55</f>
        <v>236</v>
      </c>
      <c r="BM55" s="571"/>
      <c r="BN55" s="571"/>
      <c r="BO55" s="572"/>
      <c r="BP55" s="665"/>
      <c r="BQ55" s="526"/>
      <c r="BR55" s="526"/>
      <c r="BS55" s="526"/>
      <c r="BT55" s="526"/>
      <c r="BU55" s="526"/>
      <c r="BV55" s="526"/>
      <c r="BW55" s="526"/>
      <c r="BX55" s="526"/>
      <c r="BY55" s="526"/>
      <c r="BZ55" s="526"/>
      <c r="CA55" s="526"/>
      <c r="CB55" s="526"/>
      <c r="CC55" s="526"/>
      <c r="CD55" s="526"/>
      <c r="CE55" s="526"/>
      <c r="CF55" s="526"/>
      <c r="CG55" s="526"/>
      <c r="CH55" s="526"/>
      <c r="CI55" s="526"/>
      <c r="CJ55" s="526"/>
      <c r="CK55" s="526"/>
      <c r="CL55" s="526"/>
      <c r="CM55" s="526"/>
      <c r="CN55" s="526"/>
      <c r="CO55" s="526"/>
      <c r="CP55" s="526"/>
      <c r="CQ55" s="526"/>
      <c r="CR55" s="526"/>
      <c r="CS55" s="526"/>
      <c r="CT55" s="526"/>
      <c r="CU55" s="526"/>
      <c r="CV55" s="526">
        <v>6</v>
      </c>
      <c r="CW55" s="526"/>
      <c r="CX55" s="526"/>
      <c r="CY55" s="526"/>
      <c r="CZ55" s="526">
        <v>5</v>
      </c>
      <c r="DA55" s="526"/>
      <c r="DB55" s="526"/>
      <c r="DC55" s="561"/>
      <c r="DD55" s="568"/>
      <c r="DE55" s="569"/>
      <c r="DF55" s="569"/>
      <c r="DG55" s="570"/>
      <c r="DH55" s="619"/>
      <c r="DI55" s="569"/>
      <c r="DJ55" s="569"/>
      <c r="DK55" s="570"/>
      <c r="DL55" s="619"/>
      <c r="DM55" s="569"/>
      <c r="DN55" s="569"/>
      <c r="DO55" s="570"/>
      <c r="DP55" s="619"/>
      <c r="DQ55" s="569"/>
      <c r="DR55" s="569"/>
      <c r="DS55" s="570"/>
      <c r="DT55" s="619"/>
      <c r="DU55" s="569"/>
      <c r="DV55" s="569"/>
      <c r="DW55" s="570"/>
      <c r="DX55" s="619"/>
      <c r="DY55" s="569"/>
      <c r="DZ55" s="569"/>
      <c r="EA55" s="570"/>
      <c r="EB55" s="619"/>
      <c r="EC55" s="569"/>
      <c r="ED55" s="569"/>
      <c r="EE55" s="570"/>
      <c r="EF55" s="619"/>
      <c r="EG55" s="569"/>
      <c r="EH55" s="569"/>
      <c r="EI55" s="570"/>
      <c r="EJ55" s="619">
        <v>5</v>
      </c>
      <c r="EK55" s="569"/>
      <c r="EL55" s="569"/>
      <c r="EM55" s="570"/>
      <c r="EN55" s="619">
        <v>4</v>
      </c>
      <c r="EO55" s="569"/>
      <c r="EP55" s="569"/>
      <c r="EQ55" s="622"/>
      <c r="ER55" s="577">
        <f>DD55+DH55+DL55+DP55+DT55+DX55+EB55+EF55+EJ55+EN55</f>
        <v>9</v>
      </c>
      <c r="ES55" s="578"/>
      <c r="ET55" s="579"/>
      <c r="EU55" s="580"/>
      <c r="EV55" s="76">
        <v>9</v>
      </c>
      <c r="EW55" s="87"/>
    </row>
    <row r="56" spans="1:153" s="76" customFormat="1" ht="69.95" customHeight="1" x14ac:dyDescent="0.75">
      <c r="A56" s="79" t="s">
        <v>37</v>
      </c>
      <c r="B56" s="151"/>
      <c r="C56" s="611" t="s">
        <v>72</v>
      </c>
      <c r="D56" s="611"/>
      <c r="E56" s="611"/>
      <c r="F56" s="611"/>
      <c r="G56" s="611"/>
      <c r="H56" s="611"/>
      <c r="I56" s="611"/>
      <c r="J56" s="611"/>
      <c r="K56" s="611"/>
      <c r="L56" s="611"/>
      <c r="M56" s="611"/>
      <c r="N56" s="611"/>
      <c r="O56" s="611"/>
      <c r="P56" s="611"/>
      <c r="Q56" s="611"/>
      <c r="R56" s="611"/>
      <c r="S56" s="611"/>
      <c r="T56" s="611"/>
      <c r="U56" s="611"/>
      <c r="V56" s="611"/>
      <c r="W56" s="611"/>
      <c r="X56" s="611"/>
      <c r="Y56" s="611"/>
      <c r="Z56" s="655">
        <f>SUM(Z57:AC74)</f>
        <v>1440</v>
      </c>
      <c r="AA56" s="655"/>
      <c r="AB56" s="655"/>
      <c r="AC56" s="655"/>
      <c r="AD56" s="533">
        <f>Z56/$Z$79*100</f>
        <v>26.666666666666668</v>
      </c>
      <c r="AE56" s="533"/>
      <c r="AF56" s="533"/>
      <c r="AG56" s="533"/>
      <c r="AH56" s="613">
        <f>AH57+SUM(AH59:AL74)</f>
        <v>248</v>
      </c>
      <c r="AI56" s="614"/>
      <c r="AJ56" s="614"/>
      <c r="AK56" s="614"/>
      <c r="AL56" s="615"/>
      <c r="AM56" s="613">
        <f>SUM(AM57:AQ74)</f>
        <v>124</v>
      </c>
      <c r="AN56" s="614"/>
      <c r="AO56" s="614"/>
      <c r="AP56" s="614"/>
      <c r="AQ56" s="615"/>
      <c r="AR56" s="613">
        <f>SUM(AR57:AV74)</f>
        <v>172</v>
      </c>
      <c r="AS56" s="614"/>
      <c r="AT56" s="614"/>
      <c r="AU56" s="614"/>
      <c r="AV56" s="615"/>
      <c r="AW56" s="613">
        <f>SUM(AW57:BA74)</f>
        <v>0</v>
      </c>
      <c r="AX56" s="614"/>
      <c r="AY56" s="614"/>
      <c r="AZ56" s="614"/>
      <c r="BA56" s="615"/>
      <c r="BB56" s="613">
        <f>SUM(BB57:BF74)</f>
        <v>0</v>
      </c>
      <c r="BC56" s="614"/>
      <c r="BD56" s="614"/>
      <c r="BE56" s="614"/>
      <c r="BF56" s="615"/>
      <c r="BG56" s="613">
        <f>SUM(BG57:BK74)</f>
        <v>0</v>
      </c>
      <c r="BH56" s="614"/>
      <c r="BI56" s="614"/>
      <c r="BJ56" s="614"/>
      <c r="BK56" s="615"/>
      <c r="BL56" s="655">
        <f>SUM(BL57:BO74)</f>
        <v>1192</v>
      </c>
      <c r="BM56" s="655"/>
      <c r="BN56" s="655"/>
      <c r="BO56" s="666"/>
      <c r="BP56" s="728">
        <f>SUM(BP57:BS74)</f>
        <v>0</v>
      </c>
      <c r="BQ56" s="621"/>
      <c r="BR56" s="621"/>
      <c r="BS56" s="621"/>
      <c r="BT56" s="621">
        <f>SUM(BT57:BW74)</f>
        <v>0</v>
      </c>
      <c r="BU56" s="621"/>
      <c r="BV56" s="621"/>
      <c r="BW56" s="621"/>
      <c r="BX56" s="621">
        <f>SUM(BX57:CA74)</f>
        <v>0</v>
      </c>
      <c r="BY56" s="621"/>
      <c r="BZ56" s="621"/>
      <c r="CA56" s="621"/>
      <c r="CB56" s="621">
        <f>SUM(CB57:CE74)</f>
        <v>7</v>
      </c>
      <c r="CC56" s="621"/>
      <c r="CD56" s="621"/>
      <c r="CE56" s="621"/>
      <c r="CF56" s="621">
        <f>SUM(CF57:CI74)</f>
        <v>10</v>
      </c>
      <c r="CG56" s="621"/>
      <c r="CH56" s="621"/>
      <c r="CI56" s="621"/>
      <c r="CJ56" s="621">
        <f>SUM(CJ57:CM74)</f>
        <v>10</v>
      </c>
      <c r="CK56" s="621"/>
      <c r="CL56" s="621"/>
      <c r="CM56" s="621"/>
      <c r="CN56" s="621">
        <f>SUM(CN57:CQ74)</f>
        <v>12</v>
      </c>
      <c r="CO56" s="621"/>
      <c r="CP56" s="621"/>
      <c r="CQ56" s="621"/>
      <c r="CR56" s="621">
        <f>SUM(CR57:CU74)</f>
        <v>5</v>
      </c>
      <c r="CS56" s="621"/>
      <c r="CT56" s="621"/>
      <c r="CU56" s="621"/>
      <c r="CV56" s="621">
        <f>SUM(CV57:CY74)</f>
        <v>5</v>
      </c>
      <c r="CW56" s="621"/>
      <c r="CX56" s="621"/>
      <c r="CY56" s="621"/>
      <c r="CZ56" s="621">
        <f>SUM(CZ57:DC74)</f>
        <v>10</v>
      </c>
      <c r="DA56" s="621"/>
      <c r="DB56" s="621"/>
      <c r="DC56" s="623"/>
      <c r="DD56" s="624">
        <f>SUM(DD57:DG74)</f>
        <v>0</v>
      </c>
      <c r="DE56" s="621"/>
      <c r="DF56" s="621"/>
      <c r="DG56" s="621"/>
      <c r="DH56" s="621">
        <f>SUM(DH57:DK74)</f>
        <v>0</v>
      </c>
      <c r="DI56" s="621"/>
      <c r="DJ56" s="621"/>
      <c r="DK56" s="621"/>
      <c r="DL56" s="621">
        <f>SUM(DL57:DO74)</f>
        <v>0</v>
      </c>
      <c r="DM56" s="621"/>
      <c r="DN56" s="621"/>
      <c r="DO56" s="621"/>
      <c r="DP56" s="621">
        <f>SUM(DP57:DS74)</f>
        <v>6</v>
      </c>
      <c r="DQ56" s="621"/>
      <c r="DR56" s="621"/>
      <c r="DS56" s="621"/>
      <c r="DT56" s="621">
        <f>SUM(DT57:DW74)</f>
        <v>8</v>
      </c>
      <c r="DU56" s="621"/>
      <c r="DV56" s="621"/>
      <c r="DW56" s="621"/>
      <c r="DX56" s="621">
        <f>SUM(DX57:EA74)</f>
        <v>8</v>
      </c>
      <c r="DY56" s="621"/>
      <c r="DZ56" s="621"/>
      <c r="EA56" s="621"/>
      <c r="EB56" s="621">
        <f>SUM(EB57:EE74)</f>
        <v>10</v>
      </c>
      <c r="EC56" s="621"/>
      <c r="ED56" s="621"/>
      <c r="EE56" s="621"/>
      <c r="EF56" s="621">
        <f>SUM(EF57:EI74)</f>
        <v>4</v>
      </c>
      <c r="EG56" s="621"/>
      <c r="EH56" s="621"/>
      <c r="EI56" s="621"/>
      <c r="EJ56" s="621">
        <f>SUM(EJ57:EM74)</f>
        <v>4</v>
      </c>
      <c r="EK56" s="621"/>
      <c r="EL56" s="621"/>
      <c r="EM56" s="621"/>
      <c r="EN56" s="621">
        <f>SUM(EN57:EQ74)</f>
        <v>8</v>
      </c>
      <c r="EO56" s="621"/>
      <c r="EP56" s="621"/>
      <c r="EQ56" s="654"/>
      <c r="ER56" s="650">
        <f t="shared" si="39"/>
        <v>48</v>
      </c>
      <c r="ES56" s="651"/>
      <c r="ET56" s="652"/>
      <c r="EU56" s="653"/>
      <c r="EW56" s="87"/>
    </row>
    <row r="57" spans="1:153" s="212" customFormat="1" ht="99.95" customHeight="1" x14ac:dyDescent="0.75">
      <c r="A57" s="711" t="s">
        <v>9</v>
      </c>
      <c r="B57" s="214" t="s">
        <v>193</v>
      </c>
      <c r="C57" s="681" t="s">
        <v>184</v>
      </c>
      <c r="D57" s="682"/>
      <c r="E57" s="682"/>
      <c r="F57" s="682"/>
      <c r="G57" s="682"/>
      <c r="H57" s="682"/>
      <c r="I57" s="682"/>
      <c r="J57" s="682"/>
      <c r="K57" s="682"/>
      <c r="L57" s="682"/>
      <c r="M57" s="682"/>
      <c r="N57" s="682"/>
      <c r="O57" s="682"/>
      <c r="P57" s="682"/>
      <c r="Q57" s="682"/>
      <c r="R57" s="682"/>
      <c r="S57" s="682"/>
      <c r="T57" s="682"/>
      <c r="U57" s="682"/>
      <c r="V57" s="682"/>
      <c r="W57" s="682"/>
      <c r="X57" s="682"/>
      <c r="Y57" s="683"/>
      <c r="Z57" s="684">
        <f>ER57*30</f>
        <v>360</v>
      </c>
      <c r="AA57" s="685"/>
      <c r="AB57" s="685"/>
      <c r="AC57" s="686"/>
      <c r="AD57" s="690"/>
      <c r="AE57" s="674"/>
      <c r="AF57" s="674"/>
      <c r="AG57" s="691"/>
      <c r="AH57" s="492">
        <f>SUM(AM57:BA57)</f>
        <v>48</v>
      </c>
      <c r="AI57" s="493"/>
      <c r="AJ57" s="493"/>
      <c r="AK57" s="493"/>
      <c r="AL57" s="494"/>
      <c r="AM57" s="492"/>
      <c r="AN57" s="493"/>
      <c r="AO57" s="493"/>
      <c r="AP57" s="493"/>
      <c r="AQ57" s="494"/>
      <c r="AR57" s="492">
        <v>48</v>
      </c>
      <c r="AS57" s="493"/>
      <c r="AT57" s="493"/>
      <c r="AU57" s="493"/>
      <c r="AV57" s="494"/>
      <c r="AW57" s="492"/>
      <c r="AX57" s="493"/>
      <c r="AY57" s="493"/>
      <c r="AZ57" s="493"/>
      <c r="BA57" s="494"/>
      <c r="BB57" s="492"/>
      <c r="BC57" s="493"/>
      <c r="BD57" s="493"/>
      <c r="BE57" s="493"/>
      <c r="BF57" s="494"/>
      <c r="BG57" s="492"/>
      <c r="BH57" s="493"/>
      <c r="BI57" s="493"/>
      <c r="BJ57" s="493"/>
      <c r="BK57" s="494"/>
      <c r="BL57" s="667">
        <f>Z57-AH57</f>
        <v>312</v>
      </c>
      <c r="BM57" s="668"/>
      <c r="BN57" s="668"/>
      <c r="BO57" s="669"/>
      <c r="BP57" s="673"/>
      <c r="BQ57" s="674"/>
      <c r="BR57" s="674"/>
      <c r="BS57" s="674"/>
      <c r="BT57" s="601"/>
      <c r="BU57" s="601"/>
      <c r="BV57" s="601"/>
      <c r="BW57" s="601"/>
      <c r="BX57" s="601"/>
      <c r="BY57" s="601"/>
      <c r="BZ57" s="601"/>
      <c r="CA57" s="601"/>
      <c r="CB57" s="601">
        <v>5</v>
      </c>
      <c r="CC57" s="601"/>
      <c r="CD57" s="601"/>
      <c r="CE57" s="601"/>
      <c r="CF57" s="601">
        <v>5</v>
      </c>
      <c r="CG57" s="601"/>
      <c r="CH57" s="601"/>
      <c r="CI57" s="601"/>
      <c r="CJ57" s="601">
        <v>5</v>
      </c>
      <c r="CK57" s="601"/>
      <c r="CL57" s="601"/>
      <c r="CM57" s="601"/>
      <c r="CN57" s="601"/>
      <c r="CO57" s="601"/>
      <c r="CP57" s="601"/>
      <c r="CQ57" s="601"/>
      <c r="CR57" s="601"/>
      <c r="CS57" s="601"/>
      <c r="CT57" s="601"/>
      <c r="CU57" s="601"/>
      <c r="CV57" s="601"/>
      <c r="CW57" s="601"/>
      <c r="CX57" s="601"/>
      <c r="CY57" s="601"/>
      <c r="CZ57" s="601"/>
      <c r="DA57" s="601"/>
      <c r="DB57" s="601"/>
      <c r="DC57" s="602"/>
      <c r="DD57" s="600"/>
      <c r="DE57" s="601"/>
      <c r="DF57" s="601"/>
      <c r="DG57" s="601"/>
      <c r="DH57" s="601"/>
      <c r="DI57" s="601"/>
      <c r="DJ57" s="601"/>
      <c r="DK57" s="601"/>
      <c r="DL57" s="601"/>
      <c r="DM57" s="601"/>
      <c r="DN57" s="601"/>
      <c r="DO57" s="601"/>
      <c r="DP57" s="601">
        <v>4</v>
      </c>
      <c r="DQ57" s="601"/>
      <c r="DR57" s="601"/>
      <c r="DS57" s="601"/>
      <c r="DT57" s="601">
        <v>4</v>
      </c>
      <c r="DU57" s="601"/>
      <c r="DV57" s="601"/>
      <c r="DW57" s="601"/>
      <c r="DX57" s="601">
        <v>4</v>
      </c>
      <c r="DY57" s="601"/>
      <c r="DZ57" s="601"/>
      <c r="EA57" s="601"/>
      <c r="EB57" s="601"/>
      <c r="EC57" s="601"/>
      <c r="ED57" s="601"/>
      <c r="EE57" s="601"/>
      <c r="EF57" s="601"/>
      <c r="EG57" s="601"/>
      <c r="EH57" s="601"/>
      <c r="EI57" s="601"/>
      <c r="EJ57" s="601"/>
      <c r="EK57" s="601"/>
      <c r="EL57" s="601"/>
      <c r="EM57" s="601"/>
      <c r="EN57" s="601"/>
      <c r="EO57" s="601"/>
      <c r="EP57" s="601"/>
      <c r="EQ57" s="602"/>
      <c r="ER57" s="677">
        <f t="shared" si="39"/>
        <v>12</v>
      </c>
      <c r="ES57" s="678"/>
      <c r="ET57" s="679"/>
      <c r="EU57" s="680"/>
      <c r="EV57" s="212">
        <v>12</v>
      </c>
      <c r="EW57" s="213"/>
    </row>
    <row r="58" spans="1:153" s="212" customFormat="1" ht="120" customHeight="1" x14ac:dyDescent="0.75">
      <c r="A58" s="712"/>
      <c r="B58" s="214" t="s">
        <v>194</v>
      </c>
      <c r="C58" s="681" t="s">
        <v>195</v>
      </c>
      <c r="D58" s="682"/>
      <c r="E58" s="682"/>
      <c r="F58" s="682"/>
      <c r="G58" s="682"/>
      <c r="H58" s="682"/>
      <c r="I58" s="682"/>
      <c r="J58" s="682"/>
      <c r="K58" s="682"/>
      <c r="L58" s="682"/>
      <c r="M58" s="682"/>
      <c r="N58" s="682"/>
      <c r="O58" s="682"/>
      <c r="P58" s="682"/>
      <c r="Q58" s="682"/>
      <c r="R58" s="682"/>
      <c r="S58" s="682"/>
      <c r="T58" s="682"/>
      <c r="U58" s="682"/>
      <c r="V58" s="682"/>
      <c r="W58" s="682"/>
      <c r="X58" s="682"/>
      <c r="Y58" s="683"/>
      <c r="Z58" s="687"/>
      <c r="AA58" s="688"/>
      <c r="AB58" s="688"/>
      <c r="AC58" s="689"/>
      <c r="AD58" s="692"/>
      <c r="AE58" s="676"/>
      <c r="AF58" s="676"/>
      <c r="AG58" s="693"/>
      <c r="AH58" s="492">
        <f>SUM(AM58:BA58)</f>
        <v>48</v>
      </c>
      <c r="AI58" s="493"/>
      <c r="AJ58" s="493"/>
      <c r="AK58" s="493"/>
      <c r="AL58" s="494"/>
      <c r="AM58" s="492">
        <v>24</v>
      </c>
      <c r="AN58" s="493"/>
      <c r="AO58" s="493"/>
      <c r="AP58" s="493"/>
      <c r="AQ58" s="494"/>
      <c r="AR58" s="492">
        <v>24</v>
      </c>
      <c r="AS58" s="493"/>
      <c r="AT58" s="493"/>
      <c r="AU58" s="493"/>
      <c r="AV58" s="494"/>
      <c r="AW58" s="492"/>
      <c r="AX58" s="493"/>
      <c r="AY58" s="493"/>
      <c r="AZ58" s="493"/>
      <c r="BA58" s="494"/>
      <c r="BB58" s="581"/>
      <c r="BC58" s="582"/>
      <c r="BD58" s="582"/>
      <c r="BE58" s="582"/>
      <c r="BF58" s="583"/>
      <c r="BG58" s="581"/>
      <c r="BH58" s="582"/>
      <c r="BI58" s="582"/>
      <c r="BJ58" s="582"/>
      <c r="BK58" s="583"/>
      <c r="BL58" s="670"/>
      <c r="BM58" s="671"/>
      <c r="BN58" s="671"/>
      <c r="BO58" s="672"/>
      <c r="BP58" s="675"/>
      <c r="BQ58" s="676"/>
      <c r="BR58" s="676"/>
      <c r="BS58" s="676"/>
      <c r="BT58" s="601"/>
      <c r="BU58" s="601"/>
      <c r="BV58" s="601"/>
      <c r="BW58" s="601"/>
      <c r="BX58" s="601"/>
      <c r="BY58" s="601"/>
      <c r="BZ58" s="601"/>
      <c r="CA58" s="601"/>
      <c r="CB58" s="601"/>
      <c r="CC58" s="601"/>
      <c r="CD58" s="601"/>
      <c r="CE58" s="601"/>
      <c r="CF58" s="601"/>
      <c r="CG58" s="601"/>
      <c r="CH58" s="601"/>
      <c r="CI58" s="601"/>
      <c r="CJ58" s="601"/>
      <c r="CK58" s="601"/>
      <c r="CL58" s="601"/>
      <c r="CM58" s="601"/>
      <c r="CN58" s="601"/>
      <c r="CO58" s="601"/>
      <c r="CP58" s="601"/>
      <c r="CQ58" s="601"/>
      <c r="CR58" s="601"/>
      <c r="CS58" s="601"/>
      <c r="CT58" s="601"/>
      <c r="CU58" s="601"/>
      <c r="CV58" s="601"/>
      <c r="CW58" s="601"/>
      <c r="CX58" s="601"/>
      <c r="CY58" s="601"/>
      <c r="CZ58" s="601"/>
      <c r="DA58" s="601"/>
      <c r="DB58" s="601"/>
      <c r="DC58" s="602"/>
      <c r="DD58" s="600"/>
      <c r="DE58" s="601"/>
      <c r="DF58" s="601"/>
      <c r="DG58" s="601"/>
      <c r="DH58" s="601"/>
      <c r="DI58" s="601"/>
      <c r="DJ58" s="601"/>
      <c r="DK58" s="601"/>
      <c r="DL58" s="601"/>
      <c r="DM58" s="601"/>
      <c r="DN58" s="601"/>
      <c r="DO58" s="601"/>
      <c r="DP58" s="601"/>
      <c r="DQ58" s="601"/>
      <c r="DR58" s="601"/>
      <c r="DS58" s="601"/>
      <c r="DT58" s="601"/>
      <c r="DU58" s="601"/>
      <c r="DV58" s="601"/>
      <c r="DW58" s="601"/>
      <c r="DX58" s="601"/>
      <c r="DY58" s="601"/>
      <c r="DZ58" s="601"/>
      <c r="EA58" s="601"/>
      <c r="EB58" s="601"/>
      <c r="EC58" s="601"/>
      <c r="ED58" s="601"/>
      <c r="EE58" s="601"/>
      <c r="EF58" s="601"/>
      <c r="EG58" s="601"/>
      <c r="EH58" s="601"/>
      <c r="EI58" s="601"/>
      <c r="EJ58" s="601"/>
      <c r="EK58" s="601"/>
      <c r="EL58" s="601"/>
      <c r="EM58" s="601"/>
      <c r="EN58" s="601"/>
      <c r="EO58" s="601"/>
      <c r="EP58" s="601"/>
      <c r="EQ58" s="602"/>
      <c r="ER58" s="677">
        <f t="shared" si="39"/>
        <v>0</v>
      </c>
      <c r="ES58" s="678"/>
      <c r="ET58" s="679"/>
      <c r="EU58" s="680"/>
      <c r="EV58" s="212">
        <v>0</v>
      </c>
      <c r="EW58" s="213"/>
    </row>
    <row r="59" spans="1:153" s="116" customFormat="1" ht="99.95" customHeight="1" x14ac:dyDescent="0.75">
      <c r="A59" s="694" t="s">
        <v>10</v>
      </c>
      <c r="B59" s="205" t="s">
        <v>133</v>
      </c>
      <c r="C59" s="696" t="s">
        <v>196</v>
      </c>
      <c r="D59" s="697"/>
      <c r="E59" s="697"/>
      <c r="F59" s="697"/>
      <c r="G59" s="697"/>
      <c r="H59" s="697"/>
      <c r="I59" s="697"/>
      <c r="J59" s="697"/>
      <c r="K59" s="697"/>
      <c r="L59" s="697"/>
      <c r="M59" s="697"/>
      <c r="N59" s="697"/>
      <c r="O59" s="697"/>
      <c r="P59" s="697"/>
      <c r="Q59" s="697"/>
      <c r="R59" s="697"/>
      <c r="S59" s="697"/>
      <c r="T59" s="697"/>
      <c r="U59" s="697"/>
      <c r="V59" s="697"/>
      <c r="W59" s="697"/>
      <c r="X59" s="697"/>
      <c r="Y59" s="698"/>
      <c r="Z59" s="699">
        <f>ER59*30</f>
        <v>60</v>
      </c>
      <c r="AA59" s="700"/>
      <c r="AB59" s="700"/>
      <c r="AC59" s="701"/>
      <c r="AD59" s="705"/>
      <c r="AE59" s="706"/>
      <c r="AF59" s="706"/>
      <c r="AG59" s="707"/>
      <c r="AH59" s="506">
        <f t="shared" ref="AH59" si="40">SUM(AM59:BF60)</f>
        <v>16</v>
      </c>
      <c r="AI59" s="507"/>
      <c r="AJ59" s="507"/>
      <c r="AK59" s="507"/>
      <c r="AL59" s="508"/>
      <c r="AM59" s="506">
        <v>8</v>
      </c>
      <c r="AN59" s="507"/>
      <c r="AO59" s="507"/>
      <c r="AP59" s="507"/>
      <c r="AQ59" s="508"/>
      <c r="AR59" s="506">
        <v>8</v>
      </c>
      <c r="AS59" s="507"/>
      <c r="AT59" s="507"/>
      <c r="AU59" s="507"/>
      <c r="AV59" s="508"/>
      <c r="AW59" s="506"/>
      <c r="AX59" s="507"/>
      <c r="AY59" s="507"/>
      <c r="AZ59" s="507"/>
      <c r="BA59" s="508"/>
      <c r="BB59" s="506"/>
      <c r="BC59" s="507"/>
      <c r="BD59" s="507"/>
      <c r="BE59" s="507"/>
      <c r="BF59" s="508"/>
      <c r="BG59" s="506"/>
      <c r="BH59" s="507"/>
      <c r="BI59" s="507"/>
      <c r="BJ59" s="507"/>
      <c r="BK59" s="508"/>
      <c r="BL59" s="713">
        <f>Z59-AH59</f>
        <v>44</v>
      </c>
      <c r="BM59" s="714"/>
      <c r="BN59" s="714"/>
      <c r="BO59" s="715"/>
      <c r="BP59" s="719"/>
      <c r="BQ59" s="706"/>
      <c r="BR59" s="706"/>
      <c r="BS59" s="706"/>
      <c r="BT59" s="552"/>
      <c r="BU59" s="552"/>
      <c r="BV59" s="552"/>
      <c r="BW59" s="552"/>
      <c r="BX59" s="552"/>
      <c r="BY59" s="552"/>
      <c r="BZ59" s="552"/>
      <c r="CA59" s="552"/>
      <c r="CB59" s="552">
        <v>2</v>
      </c>
      <c r="CC59" s="552"/>
      <c r="CD59" s="552"/>
      <c r="CE59" s="552"/>
      <c r="CF59" s="552"/>
      <c r="CG59" s="552"/>
      <c r="CH59" s="552"/>
      <c r="CI59" s="552"/>
      <c r="CJ59" s="552"/>
      <c r="CK59" s="552"/>
      <c r="CL59" s="552"/>
      <c r="CM59" s="552"/>
      <c r="CN59" s="552"/>
      <c r="CO59" s="552"/>
      <c r="CP59" s="552"/>
      <c r="CQ59" s="552"/>
      <c r="CR59" s="552"/>
      <c r="CS59" s="552"/>
      <c r="CT59" s="552"/>
      <c r="CU59" s="552"/>
      <c r="CV59" s="552"/>
      <c r="CW59" s="552"/>
      <c r="CX59" s="552"/>
      <c r="CY59" s="552"/>
      <c r="CZ59" s="552"/>
      <c r="DA59" s="552"/>
      <c r="DB59" s="552"/>
      <c r="DC59" s="596"/>
      <c r="DD59" s="556"/>
      <c r="DE59" s="552"/>
      <c r="DF59" s="552"/>
      <c r="DG59" s="552"/>
      <c r="DH59" s="552"/>
      <c r="DI59" s="552"/>
      <c r="DJ59" s="552"/>
      <c r="DK59" s="552"/>
      <c r="DL59" s="552"/>
      <c r="DM59" s="552"/>
      <c r="DN59" s="552"/>
      <c r="DO59" s="552"/>
      <c r="DP59" s="552">
        <v>2</v>
      </c>
      <c r="DQ59" s="552"/>
      <c r="DR59" s="552"/>
      <c r="DS59" s="552"/>
      <c r="DT59" s="552"/>
      <c r="DU59" s="552"/>
      <c r="DV59" s="552"/>
      <c r="DW59" s="552"/>
      <c r="DX59" s="552"/>
      <c r="DY59" s="552"/>
      <c r="DZ59" s="552"/>
      <c r="EA59" s="552"/>
      <c r="EB59" s="552"/>
      <c r="EC59" s="552"/>
      <c r="ED59" s="552"/>
      <c r="EE59" s="552"/>
      <c r="EF59" s="552"/>
      <c r="EG59" s="552"/>
      <c r="EH59" s="552"/>
      <c r="EI59" s="552"/>
      <c r="EJ59" s="552"/>
      <c r="EK59" s="552"/>
      <c r="EL59" s="552"/>
      <c r="EM59" s="552"/>
      <c r="EN59" s="552"/>
      <c r="EO59" s="552"/>
      <c r="EP59" s="552"/>
      <c r="EQ59" s="596"/>
      <c r="ER59" s="721">
        <f t="shared" si="39"/>
        <v>2</v>
      </c>
      <c r="ES59" s="722"/>
      <c r="ET59" s="723"/>
      <c r="EU59" s="724"/>
      <c r="EV59" s="116">
        <v>2</v>
      </c>
      <c r="EW59" s="117" t="s">
        <v>249</v>
      </c>
    </row>
    <row r="60" spans="1:153" s="116" customFormat="1" ht="120" customHeight="1" x14ac:dyDescent="0.75">
      <c r="A60" s="695"/>
      <c r="B60" s="204" t="s">
        <v>134</v>
      </c>
      <c r="C60" s="696" t="s">
        <v>101</v>
      </c>
      <c r="D60" s="697"/>
      <c r="E60" s="697"/>
      <c r="F60" s="697"/>
      <c r="G60" s="697"/>
      <c r="H60" s="697"/>
      <c r="I60" s="697"/>
      <c r="J60" s="697"/>
      <c r="K60" s="697"/>
      <c r="L60" s="697"/>
      <c r="M60" s="697"/>
      <c r="N60" s="697"/>
      <c r="O60" s="697"/>
      <c r="P60" s="697"/>
      <c r="Q60" s="697"/>
      <c r="R60" s="697"/>
      <c r="S60" s="697"/>
      <c r="T60" s="697"/>
      <c r="U60" s="697"/>
      <c r="V60" s="697"/>
      <c r="W60" s="697"/>
      <c r="X60" s="697"/>
      <c r="Y60" s="698"/>
      <c r="Z60" s="702"/>
      <c r="AA60" s="703"/>
      <c r="AB60" s="703"/>
      <c r="AC60" s="704"/>
      <c r="AD60" s="708"/>
      <c r="AE60" s="709"/>
      <c r="AF60" s="709"/>
      <c r="AG60" s="710"/>
      <c r="AH60" s="509"/>
      <c r="AI60" s="510"/>
      <c r="AJ60" s="510"/>
      <c r="AK60" s="510"/>
      <c r="AL60" s="511"/>
      <c r="AM60" s="509"/>
      <c r="AN60" s="510"/>
      <c r="AO60" s="510"/>
      <c r="AP60" s="510"/>
      <c r="AQ60" s="511"/>
      <c r="AR60" s="509"/>
      <c r="AS60" s="510"/>
      <c r="AT60" s="510"/>
      <c r="AU60" s="510"/>
      <c r="AV60" s="511"/>
      <c r="AW60" s="509"/>
      <c r="AX60" s="510"/>
      <c r="AY60" s="510"/>
      <c r="AZ60" s="510"/>
      <c r="BA60" s="511"/>
      <c r="BB60" s="509"/>
      <c r="BC60" s="510"/>
      <c r="BD60" s="510"/>
      <c r="BE60" s="510"/>
      <c r="BF60" s="511"/>
      <c r="BG60" s="509"/>
      <c r="BH60" s="510"/>
      <c r="BI60" s="510"/>
      <c r="BJ60" s="510"/>
      <c r="BK60" s="511"/>
      <c r="BL60" s="716"/>
      <c r="BM60" s="717"/>
      <c r="BN60" s="717"/>
      <c r="BO60" s="718"/>
      <c r="BP60" s="720"/>
      <c r="BQ60" s="709"/>
      <c r="BR60" s="709"/>
      <c r="BS60" s="709"/>
      <c r="BT60" s="552"/>
      <c r="BU60" s="552"/>
      <c r="BV60" s="552"/>
      <c r="BW60" s="552"/>
      <c r="BX60" s="552"/>
      <c r="BY60" s="552"/>
      <c r="BZ60" s="552"/>
      <c r="CA60" s="552"/>
      <c r="CB60" s="552"/>
      <c r="CC60" s="552"/>
      <c r="CD60" s="552"/>
      <c r="CE60" s="552"/>
      <c r="CF60" s="552"/>
      <c r="CG60" s="552"/>
      <c r="CH60" s="552"/>
      <c r="CI60" s="552"/>
      <c r="CJ60" s="552"/>
      <c r="CK60" s="552"/>
      <c r="CL60" s="552"/>
      <c r="CM60" s="552"/>
      <c r="CN60" s="552"/>
      <c r="CO60" s="552"/>
      <c r="CP60" s="552"/>
      <c r="CQ60" s="552"/>
      <c r="CR60" s="552"/>
      <c r="CS60" s="552"/>
      <c r="CT60" s="552"/>
      <c r="CU60" s="552"/>
      <c r="CV60" s="552"/>
      <c r="CW60" s="552"/>
      <c r="CX60" s="552"/>
      <c r="CY60" s="552"/>
      <c r="CZ60" s="552"/>
      <c r="DA60" s="552"/>
      <c r="DB60" s="552"/>
      <c r="DC60" s="596"/>
      <c r="DD60" s="556"/>
      <c r="DE60" s="552"/>
      <c r="DF60" s="552"/>
      <c r="DG60" s="552"/>
      <c r="DH60" s="552"/>
      <c r="DI60" s="552"/>
      <c r="DJ60" s="552"/>
      <c r="DK60" s="552"/>
      <c r="DL60" s="552"/>
      <c r="DM60" s="552"/>
      <c r="DN60" s="552"/>
      <c r="DO60" s="552"/>
      <c r="DP60" s="552"/>
      <c r="DQ60" s="552"/>
      <c r="DR60" s="552"/>
      <c r="DS60" s="552"/>
      <c r="DT60" s="552"/>
      <c r="DU60" s="552"/>
      <c r="DV60" s="552"/>
      <c r="DW60" s="552"/>
      <c r="DX60" s="552"/>
      <c r="DY60" s="552"/>
      <c r="DZ60" s="552"/>
      <c r="EA60" s="552"/>
      <c r="EB60" s="552"/>
      <c r="EC60" s="552"/>
      <c r="ED60" s="552"/>
      <c r="EE60" s="552"/>
      <c r="EF60" s="552"/>
      <c r="EG60" s="552"/>
      <c r="EH60" s="552"/>
      <c r="EI60" s="552"/>
      <c r="EJ60" s="552"/>
      <c r="EK60" s="552"/>
      <c r="EL60" s="552"/>
      <c r="EM60" s="552"/>
      <c r="EN60" s="552"/>
      <c r="EO60" s="552"/>
      <c r="EP60" s="552"/>
      <c r="EQ60" s="596"/>
      <c r="ER60" s="721">
        <f t="shared" si="39"/>
        <v>0</v>
      </c>
      <c r="ES60" s="722"/>
      <c r="ET60" s="723"/>
      <c r="EU60" s="724"/>
      <c r="EW60" s="117"/>
    </row>
    <row r="61" spans="1:153" s="116" customFormat="1" ht="120" customHeight="1" x14ac:dyDescent="0.75">
      <c r="A61" s="694" t="s">
        <v>38</v>
      </c>
      <c r="B61" s="204" t="s">
        <v>135</v>
      </c>
      <c r="C61" s="573" t="s">
        <v>104</v>
      </c>
      <c r="D61" s="574"/>
      <c r="E61" s="574"/>
      <c r="F61" s="574"/>
      <c r="G61" s="574"/>
      <c r="H61" s="574"/>
      <c r="I61" s="574"/>
      <c r="J61" s="574"/>
      <c r="K61" s="574"/>
      <c r="L61" s="574"/>
      <c r="M61" s="574"/>
      <c r="N61" s="574"/>
      <c r="O61" s="574"/>
      <c r="P61" s="574"/>
      <c r="Q61" s="574"/>
      <c r="R61" s="574"/>
      <c r="S61" s="574"/>
      <c r="T61" s="574"/>
      <c r="U61" s="574"/>
      <c r="V61" s="574"/>
      <c r="W61" s="574"/>
      <c r="X61" s="574"/>
      <c r="Y61" s="575"/>
      <c r="Z61" s="699">
        <f>ER61*30</f>
        <v>120</v>
      </c>
      <c r="AA61" s="700"/>
      <c r="AB61" s="700"/>
      <c r="AC61" s="701"/>
      <c r="AD61" s="705"/>
      <c r="AE61" s="706"/>
      <c r="AF61" s="706"/>
      <c r="AG61" s="707"/>
      <c r="AH61" s="506">
        <f t="shared" ref="AH61" si="41">SUM(AM61:BF62)</f>
        <v>16</v>
      </c>
      <c r="AI61" s="507"/>
      <c r="AJ61" s="507"/>
      <c r="AK61" s="507"/>
      <c r="AL61" s="508"/>
      <c r="AM61" s="506">
        <v>8</v>
      </c>
      <c r="AN61" s="507"/>
      <c r="AO61" s="507"/>
      <c r="AP61" s="507"/>
      <c r="AQ61" s="508"/>
      <c r="AR61" s="506">
        <v>8</v>
      </c>
      <c r="AS61" s="507"/>
      <c r="AT61" s="507"/>
      <c r="AU61" s="507"/>
      <c r="AV61" s="508"/>
      <c r="AW61" s="506"/>
      <c r="AX61" s="507"/>
      <c r="AY61" s="507"/>
      <c r="AZ61" s="507"/>
      <c r="BA61" s="508"/>
      <c r="BB61" s="506"/>
      <c r="BC61" s="507"/>
      <c r="BD61" s="507"/>
      <c r="BE61" s="507"/>
      <c r="BF61" s="508"/>
      <c r="BG61" s="506"/>
      <c r="BH61" s="507"/>
      <c r="BI61" s="507"/>
      <c r="BJ61" s="507"/>
      <c r="BK61" s="508"/>
      <c r="BL61" s="713">
        <f>Z61-AH61</f>
        <v>104</v>
      </c>
      <c r="BM61" s="714"/>
      <c r="BN61" s="714"/>
      <c r="BO61" s="715"/>
      <c r="BP61" s="719"/>
      <c r="BQ61" s="706"/>
      <c r="BR61" s="706"/>
      <c r="BS61" s="706"/>
      <c r="BT61" s="552"/>
      <c r="BU61" s="552"/>
      <c r="BV61" s="552"/>
      <c r="BW61" s="552"/>
      <c r="BX61" s="552"/>
      <c r="BY61" s="552"/>
      <c r="BZ61" s="552"/>
      <c r="CA61" s="552"/>
      <c r="CB61" s="552"/>
      <c r="CC61" s="552"/>
      <c r="CD61" s="552"/>
      <c r="CE61" s="552"/>
      <c r="CF61" s="552"/>
      <c r="CG61" s="552"/>
      <c r="CH61" s="552"/>
      <c r="CI61" s="552"/>
      <c r="CJ61" s="552"/>
      <c r="CK61" s="552"/>
      <c r="CL61" s="552"/>
      <c r="CM61" s="552"/>
      <c r="CN61" s="552">
        <v>5</v>
      </c>
      <c r="CO61" s="552"/>
      <c r="CP61" s="552"/>
      <c r="CQ61" s="552"/>
      <c r="CR61" s="552"/>
      <c r="CS61" s="552"/>
      <c r="CT61" s="552"/>
      <c r="CU61" s="552"/>
      <c r="CV61" s="552"/>
      <c r="CW61" s="552"/>
      <c r="CX61" s="552"/>
      <c r="CY61" s="552"/>
      <c r="CZ61" s="552"/>
      <c r="DA61" s="552"/>
      <c r="DB61" s="552"/>
      <c r="DC61" s="596"/>
      <c r="DD61" s="556"/>
      <c r="DE61" s="552"/>
      <c r="DF61" s="552"/>
      <c r="DG61" s="552"/>
      <c r="DH61" s="552"/>
      <c r="DI61" s="552"/>
      <c r="DJ61" s="552"/>
      <c r="DK61" s="552"/>
      <c r="DL61" s="552"/>
      <c r="DM61" s="552"/>
      <c r="DN61" s="552"/>
      <c r="DO61" s="552"/>
      <c r="DP61" s="552"/>
      <c r="DQ61" s="552"/>
      <c r="DR61" s="552"/>
      <c r="DS61" s="552"/>
      <c r="DT61" s="552"/>
      <c r="DU61" s="552"/>
      <c r="DV61" s="552"/>
      <c r="DW61" s="552"/>
      <c r="DX61" s="552"/>
      <c r="DY61" s="552"/>
      <c r="DZ61" s="552"/>
      <c r="EA61" s="552"/>
      <c r="EB61" s="552">
        <v>4</v>
      </c>
      <c r="EC61" s="552"/>
      <c r="ED61" s="552"/>
      <c r="EE61" s="552"/>
      <c r="EF61" s="552"/>
      <c r="EG61" s="552"/>
      <c r="EH61" s="552"/>
      <c r="EI61" s="552"/>
      <c r="EJ61" s="552"/>
      <c r="EK61" s="552"/>
      <c r="EL61" s="552"/>
      <c r="EM61" s="552"/>
      <c r="EN61" s="552"/>
      <c r="EO61" s="552"/>
      <c r="EP61" s="552"/>
      <c r="EQ61" s="596"/>
      <c r="ER61" s="721">
        <f t="shared" si="39"/>
        <v>4</v>
      </c>
      <c r="ES61" s="722"/>
      <c r="ET61" s="723"/>
      <c r="EU61" s="724"/>
      <c r="EV61" s="116">
        <v>4</v>
      </c>
      <c r="EW61" s="117"/>
    </row>
    <row r="62" spans="1:153" s="116" customFormat="1" ht="120" customHeight="1" x14ac:dyDescent="0.75">
      <c r="A62" s="695"/>
      <c r="B62" s="204" t="s">
        <v>100</v>
      </c>
      <c r="C62" s="573" t="s">
        <v>98</v>
      </c>
      <c r="D62" s="574"/>
      <c r="E62" s="574"/>
      <c r="F62" s="574"/>
      <c r="G62" s="574"/>
      <c r="H62" s="574"/>
      <c r="I62" s="574"/>
      <c r="J62" s="574"/>
      <c r="K62" s="574"/>
      <c r="L62" s="574"/>
      <c r="M62" s="574"/>
      <c r="N62" s="574"/>
      <c r="O62" s="574"/>
      <c r="P62" s="574"/>
      <c r="Q62" s="574"/>
      <c r="R62" s="574"/>
      <c r="S62" s="574"/>
      <c r="T62" s="574"/>
      <c r="U62" s="574"/>
      <c r="V62" s="574"/>
      <c r="W62" s="574"/>
      <c r="X62" s="574"/>
      <c r="Y62" s="575"/>
      <c r="Z62" s="702"/>
      <c r="AA62" s="703"/>
      <c r="AB62" s="703"/>
      <c r="AC62" s="704"/>
      <c r="AD62" s="708"/>
      <c r="AE62" s="709"/>
      <c r="AF62" s="709"/>
      <c r="AG62" s="710"/>
      <c r="AH62" s="509"/>
      <c r="AI62" s="510"/>
      <c r="AJ62" s="510"/>
      <c r="AK62" s="510"/>
      <c r="AL62" s="511"/>
      <c r="AM62" s="509"/>
      <c r="AN62" s="510"/>
      <c r="AO62" s="510"/>
      <c r="AP62" s="510"/>
      <c r="AQ62" s="511"/>
      <c r="AR62" s="509"/>
      <c r="AS62" s="510"/>
      <c r="AT62" s="510"/>
      <c r="AU62" s="510"/>
      <c r="AV62" s="511"/>
      <c r="AW62" s="509"/>
      <c r="AX62" s="510"/>
      <c r="AY62" s="510"/>
      <c r="AZ62" s="510"/>
      <c r="BA62" s="511"/>
      <c r="BB62" s="509"/>
      <c r="BC62" s="510"/>
      <c r="BD62" s="510"/>
      <c r="BE62" s="510"/>
      <c r="BF62" s="511"/>
      <c r="BG62" s="509"/>
      <c r="BH62" s="510"/>
      <c r="BI62" s="510"/>
      <c r="BJ62" s="510"/>
      <c r="BK62" s="511"/>
      <c r="BL62" s="716"/>
      <c r="BM62" s="717"/>
      <c r="BN62" s="717"/>
      <c r="BO62" s="718"/>
      <c r="BP62" s="720"/>
      <c r="BQ62" s="709"/>
      <c r="BR62" s="709"/>
      <c r="BS62" s="709"/>
      <c r="BT62" s="552"/>
      <c r="BU62" s="552"/>
      <c r="BV62" s="552"/>
      <c r="BW62" s="552"/>
      <c r="BX62" s="552"/>
      <c r="BY62" s="552"/>
      <c r="BZ62" s="552"/>
      <c r="CA62" s="552"/>
      <c r="CB62" s="552"/>
      <c r="CC62" s="552"/>
      <c r="CD62" s="552"/>
      <c r="CE62" s="552"/>
      <c r="CF62" s="552"/>
      <c r="CG62" s="552"/>
      <c r="CH62" s="552"/>
      <c r="CI62" s="552"/>
      <c r="CJ62" s="552"/>
      <c r="CK62" s="552"/>
      <c r="CL62" s="552"/>
      <c r="CM62" s="552"/>
      <c r="CN62" s="552"/>
      <c r="CO62" s="552"/>
      <c r="CP62" s="552"/>
      <c r="CQ62" s="552"/>
      <c r="CR62" s="552"/>
      <c r="CS62" s="552"/>
      <c r="CT62" s="552"/>
      <c r="CU62" s="552"/>
      <c r="CV62" s="552"/>
      <c r="CW62" s="552"/>
      <c r="CX62" s="552"/>
      <c r="CY62" s="552"/>
      <c r="CZ62" s="552"/>
      <c r="DA62" s="552"/>
      <c r="DB62" s="552"/>
      <c r="DC62" s="596"/>
      <c r="DD62" s="556"/>
      <c r="DE62" s="552"/>
      <c r="DF62" s="552"/>
      <c r="DG62" s="552"/>
      <c r="DH62" s="552"/>
      <c r="DI62" s="552"/>
      <c r="DJ62" s="552"/>
      <c r="DK62" s="552"/>
      <c r="DL62" s="552"/>
      <c r="DM62" s="552"/>
      <c r="DN62" s="552"/>
      <c r="DO62" s="552"/>
      <c r="DP62" s="552"/>
      <c r="DQ62" s="552"/>
      <c r="DR62" s="552"/>
      <c r="DS62" s="552"/>
      <c r="DT62" s="552"/>
      <c r="DU62" s="552"/>
      <c r="DV62" s="552"/>
      <c r="DW62" s="552"/>
      <c r="DX62" s="552"/>
      <c r="DY62" s="552"/>
      <c r="DZ62" s="552"/>
      <c r="EA62" s="552"/>
      <c r="EB62" s="552"/>
      <c r="EC62" s="552"/>
      <c r="ED62" s="552"/>
      <c r="EE62" s="552"/>
      <c r="EF62" s="552"/>
      <c r="EG62" s="552"/>
      <c r="EH62" s="552"/>
      <c r="EI62" s="552"/>
      <c r="EJ62" s="552"/>
      <c r="EK62" s="552"/>
      <c r="EL62" s="552"/>
      <c r="EM62" s="552"/>
      <c r="EN62" s="552"/>
      <c r="EO62" s="552"/>
      <c r="EP62" s="552"/>
      <c r="EQ62" s="596"/>
      <c r="ER62" s="721">
        <f t="shared" si="39"/>
        <v>0</v>
      </c>
      <c r="ES62" s="722"/>
      <c r="ET62" s="723"/>
      <c r="EU62" s="724"/>
      <c r="EV62" s="116">
        <v>0</v>
      </c>
      <c r="EW62" s="117"/>
    </row>
    <row r="63" spans="1:153" s="116" customFormat="1" ht="120" customHeight="1" x14ac:dyDescent="0.75">
      <c r="A63" s="694" t="s">
        <v>39</v>
      </c>
      <c r="B63" s="204" t="s">
        <v>138</v>
      </c>
      <c r="C63" s="573" t="s">
        <v>136</v>
      </c>
      <c r="D63" s="574"/>
      <c r="E63" s="574"/>
      <c r="F63" s="574"/>
      <c r="G63" s="574"/>
      <c r="H63" s="574"/>
      <c r="I63" s="574"/>
      <c r="J63" s="574"/>
      <c r="K63" s="574"/>
      <c r="L63" s="574"/>
      <c r="M63" s="574"/>
      <c r="N63" s="574"/>
      <c r="O63" s="574"/>
      <c r="P63" s="574"/>
      <c r="Q63" s="574"/>
      <c r="R63" s="574"/>
      <c r="S63" s="574"/>
      <c r="T63" s="574"/>
      <c r="U63" s="574"/>
      <c r="V63" s="574"/>
      <c r="W63" s="574"/>
      <c r="X63" s="574"/>
      <c r="Y63" s="575"/>
      <c r="Z63" s="699">
        <f>ER63*30</f>
        <v>60</v>
      </c>
      <c r="AA63" s="700"/>
      <c r="AB63" s="700"/>
      <c r="AC63" s="701"/>
      <c r="AD63" s="705"/>
      <c r="AE63" s="706"/>
      <c r="AF63" s="706"/>
      <c r="AG63" s="707"/>
      <c r="AH63" s="506">
        <f t="shared" ref="AH63" si="42">SUM(AM63:BF64)</f>
        <v>8</v>
      </c>
      <c r="AI63" s="507"/>
      <c r="AJ63" s="507"/>
      <c r="AK63" s="507"/>
      <c r="AL63" s="508"/>
      <c r="AM63" s="506">
        <v>4</v>
      </c>
      <c r="AN63" s="507"/>
      <c r="AO63" s="507"/>
      <c r="AP63" s="507"/>
      <c r="AQ63" s="508"/>
      <c r="AR63" s="506">
        <v>4</v>
      </c>
      <c r="AS63" s="507"/>
      <c r="AT63" s="507"/>
      <c r="AU63" s="507"/>
      <c r="AV63" s="508"/>
      <c r="AW63" s="506"/>
      <c r="AX63" s="507"/>
      <c r="AY63" s="507"/>
      <c r="AZ63" s="507"/>
      <c r="BA63" s="508"/>
      <c r="BB63" s="506"/>
      <c r="BC63" s="507"/>
      <c r="BD63" s="507"/>
      <c r="BE63" s="507"/>
      <c r="BF63" s="508"/>
      <c r="BG63" s="506"/>
      <c r="BH63" s="507"/>
      <c r="BI63" s="507"/>
      <c r="BJ63" s="507"/>
      <c r="BK63" s="508"/>
      <c r="BL63" s="713">
        <f>Z63-AH63</f>
        <v>52</v>
      </c>
      <c r="BM63" s="714"/>
      <c r="BN63" s="714"/>
      <c r="BO63" s="715"/>
      <c r="BP63" s="719"/>
      <c r="BQ63" s="706"/>
      <c r="BR63" s="706"/>
      <c r="BS63" s="706"/>
      <c r="BT63" s="552"/>
      <c r="BU63" s="552"/>
      <c r="BV63" s="552"/>
      <c r="BW63" s="552"/>
      <c r="BX63" s="552"/>
      <c r="BY63" s="552"/>
      <c r="BZ63" s="552"/>
      <c r="CA63" s="552"/>
      <c r="CB63" s="552"/>
      <c r="CC63" s="552"/>
      <c r="CD63" s="552"/>
      <c r="CE63" s="552"/>
      <c r="CF63" s="552"/>
      <c r="CG63" s="552"/>
      <c r="CH63" s="552"/>
      <c r="CI63" s="552"/>
      <c r="CJ63" s="552"/>
      <c r="CK63" s="552"/>
      <c r="CL63" s="552"/>
      <c r="CM63" s="552"/>
      <c r="CN63" s="552">
        <v>2</v>
      </c>
      <c r="CO63" s="552"/>
      <c r="CP63" s="552"/>
      <c r="CQ63" s="552"/>
      <c r="CR63" s="552"/>
      <c r="CS63" s="552"/>
      <c r="CT63" s="552"/>
      <c r="CU63" s="552"/>
      <c r="CV63" s="552"/>
      <c r="CW63" s="552"/>
      <c r="CX63" s="552"/>
      <c r="CY63" s="552"/>
      <c r="CZ63" s="552"/>
      <c r="DA63" s="552"/>
      <c r="DB63" s="552"/>
      <c r="DC63" s="596"/>
      <c r="DD63" s="556"/>
      <c r="DE63" s="552"/>
      <c r="DF63" s="552"/>
      <c r="DG63" s="552"/>
      <c r="DH63" s="552"/>
      <c r="DI63" s="552"/>
      <c r="DJ63" s="552"/>
      <c r="DK63" s="552"/>
      <c r="DL63" s="552"/>
      <c r="DM63" s="552"/>
      <c r="DN63" s="552"/>
      <c r="DO63" s="552"/>
      <c r="DP63" s="552"/>
      <c r="DQ63" s="552"/>
      <c r="DR63" s="552"/>
      <c r="DS63" s="552"/>
      <c r="DT63" s="552"/>
      <c r="DU63" s="552"/>
      <c r="DV63" s="552"/>
      <c r="DW63" s="552"/>
      <c r="DX63" s="552"/>
      <c r="DY63" s="552"/>
      <c r="DZ63" s="552"/>
      <c r="EA63" s="552"/>
      <c r="EB63" s="552">
        <v>2</v>
      </c>
      <c r="EC63" s="552"/>
      <c r="ED63" s="552"/>
      <c r="EE63" s="552"/>
      <c r="EF63" s="552"/>
      <c r="EG63" s="552"/>
      <c r="EH63" s="552"/>
      <c r="EI63" s="552"/>
      <c r="EJ63" s="552"/>
      <c r="EK63" s="552"/>
      <c r="EL63" s="552"/>
      <c r="EM63" s="552"/>
      <c r="EN63" s="552"/>
      <c r="EO63" s="552"/>
      <c r="EP63" s="552"/>
      <c r="EQ63" s="596"/>
      <c r="ER63" s="721">
        <f t="shared" si="39"/>
        <v>2</v>
      </c>
      <c r="ES63" s="722"/>
      <c r="ET63" s="723"/>
      <c r="EU63" s="724"/>
      <c r="EV63" s="116">
        <v>2</v>
      </c>
      <c r="EW63" s="117"/>
    </row>
    <row r="64" spans="1:153" s="116" customFormat="1" ht="99.95" customHeight="1" x14ac:dyDescent="0.75">
      <c r="A64" s="695"/>
      <c r="B64" s="204" t="s">
        <v>139</v>
      </c>
      <c r="C64" s="573" t="s">
        <v>137</v>
      </c>
      <c r="D64" s="574"/>
      <c r="E64" s="574"/>
      <c r="F64" s="574"/>
      <c r="G64" s="574"/>
      <c r="H64" s="574"/>
      <c r="I64" s="574"/>
      <c r="J64" s="574"/>
      <c r="K64" s="574"/>
      <c r="L64" s="574"/>
      <c r="M64" s="574"/>
      <c r="N64" s="574"/>
      <c r="O64" s="574"/>
      <c r="P64" s="574"/>
      <c r="Q64" s="574"/>
      <c r="R64" s="574"/>
      <c r="S64" s="574"/>
      <c r="T64" s="574"/>
      <c r="U64" s="574"/>
      <c r="V64" s="574"/>
      <c r="W64" s="574"/>
      <c r="X64" s="574"/>
      <c r="Y64" s="575"/>
      <c r="Z64" s="702"/>
      <c r="AA64" s="703"/>
      <c r="AB64" s="703"/>
      <c r="AC64" s="704"/>
      <c r="AD64" s="708"/>
      <c r="AE64" s="709"/>
      <c r="AF64" s="709"/>
      <c r="AG64" s="710"/>
      <c r="AH64" s="509"/>
      <c r="AI64" s="510"/>
      <c r="AJ64" s="510"/>
      <c r="AK64" s="510"/>
      <c r="AL64" s="511"/>
      <c r="AM64" s="509"/>
      <c r="AN64" s="510"/>
      <c r="AO64" s="510"/>
      <c r="AP64" s="510"/>
      <c r="AQ64" s="511"/>
      <c r="AR64" s="509"/>
      <c r="AS64" s="510"/>
      <c r="AT64" s="510"/>
      <c r="AU64" s="510"/>
      <c r="AV64" s="511"/>
      <c r="AW64" s="509"/>
      <c r="AX64" s="510"/>
      <c r="AY64" s="510"/>
      <c r="AZ64" s="510"/>
      <c r="BA64" s="511"/>
      <c r="BB64" s="509"/>
      <c r="BC64" s="510"/>
      <c r="BD64" s="510"/>
      <c r="BE64" s="510"/>
      <c r="BF64" s="511"/>
      <c r="BG64" s="509"/>
      <c r="BH64" s="510"/>
      <c r="BI64" s="510"/>
      <c r="BJ64" s="510"/>
      <c r="BK64" s="511"/>
      <c r="BL64" s="716"/>
      <c r="BM64" s="717"/>
      <c r="BN64" s="717"/>
      <c r="BO64" s="718"/>
      <c r="BP64" s="720"/>
      <c r="BQ64" s="709"/>
      <c r="BR64" s="709"/>
      <c r="BS64" s="709"/>
      <c r="BT64" s="552"/>
      <c r="BU64" s="552"/>
      <c r="BV64" s="552"/>
      <c r="BW64" s="552"/>
      <c r="BX64" s="552"/>
      <c r="BY64" s="552"/>
      <c r="BZ64" s="552"/>
      <c r="CA64" s="552"/>
      <c r="CB64" s="552"/>
      <c r="CC64" s="552"/>
      <c r="CD64" s="552"/>
      <c r="CE64" s="552"/>
      <c r="CF64" s="552"/>
      <c r="CG64" s="552"/>
      <c r="CH64" s="552"/>
      <c r="CI64" s="552"/>
      <c r="CJ64" s="552"/>
      <c r="CK64" s="552"/>
      <c r="CL64" s="552"/>
      <c r="CM64" s="552"/>
      <c r="CN64" s="552"/>
      <c r="CO64" s="552"/>
      <c r="CP64" s="552"/>
      <c r="CQ64" s="552"/>
      <c r="CR64" s="552"/>
      <c r="CS64" s="552"/>
      <c r="CT64" s="552"/>
      <c r="CU64" s="552"/>
      <c r="CV64" s="552"/>
      <c r="CW64" s="552"/>
      <c r="CX64" s="552"/>
      <c r="CY64" s="552"/>
      <c r="CZ64" s="552"/>
      <c r="DA64" s="552"/>
      <c r="DB64" s="552"/>
      <c r="DC64" s="596"/>
      <c r="DD64" s="556"/>
      <c r="DE64" s="552"/>
      <c r="DF64" s="552"/>
      <c r="DG64" s="552"/>
      <c r="DH64" s="552"/>
      <c r="DI64" s="552"/>
      <c r="DJ64" s="552"/>
      <c r="DK64" s="552"/>
      <c r="DL64" s="552"/>
      <c r="DM64" s="552"/>
      <c r="DN64" s="552"/>
      <c r="DO64" s="552"/>
      <c r="DP64" s="552"/>
      <c r="DQ64" s="552"/>
      <c r="DR64" s="552"/>
      <c r="DS64" s="552"/>
      <c r="DT64" s="552"/>
      <c r="DU64" s="552"/>
      <c r="DV64" s="552"/>
      <c r="DW64" s="552"/>
      <c r="DX64" s="552"/>
      <c r="DY64" s="552"/>
      <c r="DZ64" s="552"/>
      <c r="EA64" s="552"/>
      <c r="EB64" s="552"/>
      <c r="EC64" s="552"/>
      <c r="ED64" s="552"/>
      <c r="EE64" s="552"/>
      <c r="EF64" s="552"/>
      <c r="EG64" s="552"/>
      <c r="EH64" s="552"/>
      <c r="EI64" s="552"/>
      <c r="EJ64" s="552"/>
      <c r="EK64" s="552"/>
      <c r="EL64" s="552"/>
      <c r="EM64" s="552"/>
      <c r="EN64" s="552"/>
      <c r="EO64" s="552"/>
      <c r="EP64" s="552"/>
      <c r="EQ64" s="596"/>
      <c r="ER64" s="721">
        <f t="shared" si="39"/>
        <v>0</v>
      </c>
      <c r="ES64" s="722"/>
      <c r="ET64" s="723"/>
      <c r="EU64" s="724"/>
      <c r="EV64" s="116">
        <v>0</v>
      </c>
      <c r="EW64" s="117"/>
    </row>
    <row r="65" spans="1:153" s="212" customFormat="1" ht="99.95" customHeight="1" x14ac:dyDescent="0.75">
      <c r="A65" s="711" t="s">
        <v>40</v>
      </c>
      <c r="B65" s="211" t="s">
        <v>192</v>
      </c>
      <c r="C65" s="725" t="s">
        <v>185</v>
      </c>
      <c r="D65" s="726"/>
      <c r="E65" s="726"/>
      <c r="F65" s="726"/>
      <c r="G65" s="726"/>
      <c r="H65" s="726"/>
      <c r="I65" s="726"/>
      <c r="J65" s="726"/>
      <c r="K65" s="726"/>
      <c r="L65" s="726"/>
      <c r="M65" s="726"/>
      <c r="N65" s="726"/>
      <c r="O65" s="726"/>
      <c r="P65" s="726"/>
      <c r="Q65" s="726"/>
      <c r="R65" s="726"/>
      <c r="S65" s="726"/>
      <c r="T65" s="726"/>
      <c r="U65" s="726"/>
      <c r="V65" s="726"/>
      <c r="W65" s="726"/>
      <c r="X65" s="726"/>
      <c r="Y65" s="727"/>
      <c r="Z65" s="684">
        <f>ER65*30</f>
        <v>360</v>
      </c>
      <c r="AA65" s="685"/>
      <c r="AB65" s="685"/>
      <c r="AC65" s="686"/>
      <c r="AD65" s="690"/>
      <c r="AE65" s="674"/>
      <c r="AF65" s="674"/>
      <c r="AG65" s="691"/>
      <c r="AH65" s="492">
        <f t="shared" ref="AH65" si="43">SUM(AM65:BF66)</f>
        <v>48</v>
      </c>
      <c r="AI65" s="493"/>
      <c r="AJ65" s="493"/>
      <c r="AK65" s="493"/>
      <c r="AL65" s="494"/>
      <c r="AM65" s="492">
        <v>24</v>
      </c>
      <c r="AN65" s="493"/>
      <c r="AO65" s="493"/>
      <c r="AP65" s="493"/>
      <c r="AQ65" s="494"/>
      <c r="AR65" s="492">
        <v>24</v>
      </c>
      <c r="AS65" s="493"/>
      <c r="AT65" s="493"/>
      <c r="AU65" s="493"/>
      <c r="AV65" s="494"/>
      <c r="AW65" s="492"/>
      <c r="AX65" s="493"/>
      <c r="AY65" s="493"/>
      <c r="AZ65" s="493"/>
      <c r="BA65" s="494"/>
      <c r="BB65" s="492"/>
      <c r="BC65" s="493"/>
      <c r="BD65" s="493"/>
      <c r="BE65" s="493"/>
      <c r="BF65" s="494"/>
      <c r="BG65" s="492"/>
      <c r="BH65" s="493"/>
      <c r="BI65" s="493"/>
      <c r="BJ65" s="493"/>
      <c r="BK65" s="494"/>
      <c r="BL65" s="667">
        <f>Z65-AH65</f>
        <v>312</v>
      </c>
      <c r="BM65" s="668"/>
      <c r="BN65" s="668"/>
      <c r="BO65" s="669"/>
      <c r="BP65" s="673"/>
      <c r="BQ65" s="674"/>
      <c r="BR65" s="674"/>
      <c r="BS65" s="674"/>
      <c r="BT65" s="601"/>
      <c r="BU65" s="601"/>
      <c r="BV65" s="601"/>
      <c r="BW65" s="601"/>
      <c r="BX65" s="601"/>
      <c r="BY65" s="601"/>
      <c r="BZ65" s="601"/>
      <c r="CA65" s="601"/>
      <c r="CB65" s="601"/>
      <c r="CC65" s="601"/>
      <c r="CD65" s="601"/>
      <c r="CE65" s="601"/>
      <c r="CF65" s="601">
        <v>5</v>
      </c>
      <c r="CG65" s="601"/>
      <c r="CH65" s="601"/>
      <c r="CI65" s="601"/>
      <c r="CJ65" s="601">
        <v>5</v>
      </c>
      <c r="CK65" s="601"/>
      <c r="CL65" s="601"/>
      <c r="CM65" s="601"/>
      <c r="CN65" s="601">
        <v>5</v>
      </c>
      <c r="CO65" s="601"/>
      <c r="CP65" s="601"/>
      <c r="CQ65" s="601"/>
      <c r="CR65" s="601"/>
      <c r="CS65" s="601"/>
      <c r="CT65" s="601"/>
      <c r="CU65" s="601"/>
      <c r="CV65" s="601"/>
      <c r="CW65" s="601"/>
      <c r="CX65" s="601"/>
      <c r="CY65" s="601"/>
      <c r="CZ65" s="601"/>
      <c r="DA65" s="601"/>
      <c r="DB65" s="601"/>
      <c r="DC65" s="602"/>
      <c r="DD65" s="600"/>
      <c r="DE65" s="601"/>
      <c r="DF65" s="601"/>
      <c r="DG65" s="601"/>
      <c r="DH65" s="601"/>
      <c r="DI65" s="601"/>
      <c r="DJ65" s="601"/>
      <c r="DK65" s="601"/>
      <c r="DL65" s="601"/>
      <c r="DM65" s="601"/>
      <c r="DN65" s="601"/>
      <c r="DO65" s="601"/>
      <c r="DP65" s="601"/>
      <c r="DQ65" s="601"/>
      <c r="DR65" s="601"/>
      <c r="DS65" s="601"/>
      <c r="DT65" s="601">
        <v>4</v>
      </c>
      <c r="DU65" s="601"/>
      <c r="DV65" s="601"/>
      <c r="DW65" s="601"/>
      <c r="DX65" s="601">
        <v>4</v>
      </c>
      <c r="DY65" s="601"/>
      <c r="DZ65" s="601"/>
      <c r="EA65" s="601"/>
      <c r="EB65" s="601">
        <v>4</v>
      </c>
      <c r="EC65" s="601"/>
      <c r="ED65" s="601"/>
      <c r="EE65" s="601"/>
      <c r="EF65" s="601"/>
      <c r="EG65" s="601"/>
      <c r="EH65" s="601"/>
      <c r="EI65" s="601"/>
      <c r="EJ65" s="601"/>
      <c r="EK65" s="601"/>
      <c r="EL65" s="601"/>
      <c r="EM65" s="601"/>
      <c r="EN65" s="601"/>
      <c r="EO65" s="601"/>
      <c r="EP65" s="601"/>
      <c r="EQ65" s="602"/>
      <c r="ER65" s="677">
        <f t="shared" si="39"/>
        <v>12</v>
      </c>
      <c r="ES65" s="678"/>
      <c r="ET65" s="679"/>
      <c r="EU65" s="680"/>
      <c r="EV65" s="212">
        <v>12</v>
      </c>
      <c r="EW65" s="213"/>
    </row>
    <row r="66" spans="1:153" s="212" customFormat="1" ht="99.95" customHeight="1" x14ac:dyDescent="0.75">
      <c r="A66" s="712"/>
      <c r="B66" s="211" t="s">
        <v>251</v>
      </c>
      <c r="C66" s="725" t="s">
        <v>140</v>
      </c>
      <c r="D66" s="726"/>
      <c r="E66" s="726"/>
      <c r="F66" s="726"/>
      <c r="G66" s="726"/>
      <c r="H66" s="726"/>
      <c r="I66" s="726"/>
      <c r="J66" s="726"/>
      <c r="K66" s="726"/>
      <c r="L66" s="726"/>
      <c r="M66" s="726"/>
      <c r="N66" s="726"/>
      <c r="O66" s="726"/>
      <c r="P66" s="726"/>
      <c r="Q66" s="726"/>
      <c r="R66" s="726"/>
      <c r="S66" s="726"/>
      <c r="T66" s="726"/>
      <c r="U66" s="726"/>
      <c r="V66" s="726"/>
      <c r="W66" s="726"/>
      <c r="X66" s="726"/>
      <c r="Y66" s="727"/>
      <c r="Z66" s="687"/>
      <c r="AA66" s="688"/>
      <c r="AB66" s="688"/>
      <c r="AC66" s="689"/>
      <c r="AD66" s="692"/>
      <c r="AE66" s="676"/>
      <c r="AF66" s="676"/>
      <c r="AG66" s="693"/>
      <c r="AH66" s="581"/>
      <c r="AI66" s="582"/>
      <c r="AJ66" s="582"/>
      <c r="AK66" s="582"/>
      <c r="AL66" s="583"/>
      <c r="AM66" s="581"/>
      <c r="AN66" s="582"/>
      <c r="AO66" s="582"/>
      <c r="AP66" s="582"/>
      <c r="AQ66" s="583"/>
      <c r="AR66" s="581"/>
      <c r="AS66" s="582"/>
      <c r="AT66" s="582"/>
      <c r="AU66" s="582"/>
      <c r="AV66" s="583"/>
      <c r="AW66" s="581"/>
      <c r="AX66" s="582"/>
      <c r="AY66" s="582"/>
      <c r="AZ66" s="582"/>
      <c r="BA66" s="583"/>
      <c r="BB66" s="581"/>
      <c r="BC66" s="582"/>
      <c r="BD66" s="582"/>
      <c r="BE66" s="582"/>
      <c r="BF66" s="583"/>
      <c r="BG66" s="581"/>
      <c r="BH66" s="582"/>
      <c r="BI66" s="582"/>
      <c r="BJ66" s="582"/>
      <c r="BK66" s="583"/>
      <c r="BL66" s="670"/>
      <c r="BM66" s="671"/>
      <c r="BN66" s="671"/>
      <c r="BO66" s="672"/>
      <c r="BP66" s="675"/>
      <c r="BQ66" s="676"/>
      <c r="BR66" s="676"/>
      <c r="BS66" s="676"/>
      <c r="BT66" s="601"/>
      <c r="BU66" s="601"/>
      <c r="BV66" s="601"/>
      <c r="BW66" s="601"/>
      <c r="BX66" s="601"/>
      <c r="BY66" s="601"/>
      <c r="BZ66" s="601"/>
      <c r="CA66" s="601"/>
      <c r="CB66" s="601"/>
      <c r="CC66" s="601"/>
      <c r="CD66" s="601"/>
      <c r="CE66" s="601"/>
      <c r="CF66" s="601"/>
      <c r="CG66" s="601"/>
      <c r="CH66" s="601"/>
      <c r="CI66" s="601"/>
      <c r="CJ66" s="601"/>
      <c r="CK66" s="601"/>
      <c r="CL66" s="601"/>
      <c r="CM66" s="601"/>
      <c r="CN66" s="601"/>
      <c r="CO66" s="601"/>
      <c r="CP66" s="601"/>
      <c r="CQ66" s="601"/>
      <c r="CR66" s="601"/>
      <c r="CS66" s="601"/>
      <c r="CT66" s="601"/>
      <c r="CU66" s="601"/>
      <c r="CV66" s="601"/>
      <c r="CW66" s="601"/>
      <c r="CX66" s="601"/>
      <c r="CY66" s="601"/>
      <c r="CZ66" s="601"/>
      <c r="DA66" s="601"/>
      <c r="DB66" s="601"/>
      <c r="DC66" s="602"/>
      <c r="DD66" s="600"/>
      <c r="DE66" s="601"/>
      <c r="DF66" s="601"/>
      <c r="DG66" s="601"/>
      <c r="DH66" s="601"/>
      <c r="DI66" s="601"/>
      <c r="DJ66" s="601"/>
      <c r="DK66" s="601"/>
      <c r="DL66" s="601"/>
      <c r="DM66" s="601"/>
      <c r="DN66" s="601"/>
      <c r="DO66" s="601"/>
      <c r="DP66" s="601"/>
      <c r="DQ66" s="601"/>
      <c r="DR66" s="601"/>
      <c r="DS66" s="601"/>
      <c r="DT66" s="601"/>
      <c r="DU66" s="601"/>
      <c r="DV66" s="601"/>
      <c r="DW66" s="601"/>
      <c r="DX66" s="601"/>
      <c r="DY66" s="601"/>
      <c r="DZ66" s="601"/>
      <c r="EA66" s="601"/>
      <c r="EB66" s="601"/>
      <c r="EC66" s="601"/>
      <c r="ED66" s="601"/>
      <c r="EE66" s="601"/>
      <c r="EF66" s="601"/>
      <c r="EG66" s="601"/>
      <c r="EH66" s="601"/>
      <c r="EI66" s="601"/>
      <c r="EJ66" s="601"/>
      <c r="EK66" s="601"/>
      <c r="EL66" s="601"/>
      <c r="EM66" s="601"/>
      <c r="EN66" s="601"/>
      <c r="EO66" s="601"/>
      <c r="EP66" s="601"/>
      <c r="EQ66" s="602"/>
      <c r="ER66" s="677">
        <f t="shared" si="39"/>
        <v>0</v>
      </c>
      <c r="ES66" s="678"/>
      <c r="ET66" s="679"/>
      <c r="EU66" s="680"/>
      <c r="EV66" s="212">
        <v>0</v>
      </c>
      <c r="EW66" s="213"/>
    </row>
    <row r="67" spans="1:153" s="116" customFormat="1" ht="120" customHeight="1" x14ac:dyDescent="0.75">
      <c r="A67" s="694" t="s">
        <v>41</v>
      </c>
      <c r="B67" s="204" t="s">
        <v>144</v>
      </c>
      <c r="C67" s="573" t="s">
        <v>143</v>
      </c>
      <c r="D67" s="574"/>
      <c r="E67" s="574"/>
      <c r="F67" s="574"/>
      <c r="G67" s="574"/>
      <c r="H67" s="574"/>
      <c r="I67" s="574"/>
      <c r="J67" s="574"/>
      <c r="K67" s="574"/>
      <c r="L67" s="574"/>
      <c r="M67" s="574"/>
      <c r="N67" s="574"/>
      <c r="O67" s="574"/>
      <c r="P67" s="574"/>
      <c r="Q67" s="574"/>
      <c r="R67" s="574"/>
      <c r="S67" s="574"/>
      <c r="T67" s="574"/>
      <c r="U67" s="574"/>
      <c r="V67" s="574"/>
      <c r="W67" s="574"/>
      <c r="X67" s="574"/>
      <c r="Y67" s="575"/>
      <c r="Z67" s="527">
        <f>ER67*30</f>
        <v>120</v>
      </c>
      <c r="AA67" s="528"/>
      <c r="AB67" s="528"/>
      <c r="AC67" s="529"/>
      <c r="AD67" s="500"/>
      <c r="AE67" s="501"/>
      <c r="AF67" s="501"/>
      <c r="AG67" s="502"/>
      <c r="AH67" s="506">
        <f t="shared" ref="AH67" si="44">SUM(AM67:BF68)</f>
        <v>16</v>
      </c>
      <c r="AI67" s="507"/>
      <c r="AJ67" s="507"/>
      <c r="AK67" s="507"/>
      <c r="AL67" s="508"/>
      <c r="AM67" s="512">
        <v>8</v>
      </c>
      <c r="AN67" s="513"/>
      <c r="AO67" s="513"/>
      <c r="AP67" s="513"/>
      <c r="AQ67" s="514"/>
      <c r="AR67" s="512">
        <v>8</v>
      </c>
      <c r="AS67" s="513"/>
      <c r="AT67" s="513"/>
      <c r="AU67" s="513"/>
      <c r="AV67" s="514"/>
      <c r="AW67" s="512"/>
      <c r="AX67" s="513"/>
      <c r="AY67" s="513"/>
      <c r="AZ67" s="513"/>
      <c r="BA67" s="514"/>
      <c r="BB67" s="512"/>
      <c r="BC67" s="513"/>
      <c r="BD67" s="513"/>
      <c r="BE67" s="513"/>
      <c r="BF67" s="514"/>
      <c r="BG67" s="512"/>
      <c r="BH67" s="513"/>
      <c r="BI67" s="513"/>
      <c r="BJ67" s="513"/>
      <c r="BK67" s="514"/>
      <c r="BL67" s="518">
        <f>Z67-AH67</f>
        <v>104</v>
      </c>
      <c r="BM67" s="519"/>
      <c r="BN67" s="519"/>
      <c r="BO67" s="520"/>
      <c r="BP67" s="524"/>
      <c r="BQ67" s="501"/>
      <c r="BR67" s="501"/>
      <c r="BS67" s="501"/>
      <c r="BT67" s="526"/>
      <c r="BU67" s="526"/>
      <c r="BV67" s="526"/>
      <c r="BW67" s="526"/>
      <c r="BX67" s="526"/>
      <c r="BY67" s="526"/>
      <c r="BZ67" s="526"/>
      <c r="CA67" s="526"/>
      <c r="CB67" s="526"/>
      <c r="CC67" s="526"/>
      <c r="CD67" s="526"/>
      <c r="CE67" s="526"/>
      <c r="CF67" s="526"/>
      <c r="CG67" s="526"/>
      <c r="CH67" s="526"/>
      <c r="CI67" s="526"/>
      <c r="CJ67" s="526"/>
      <c r="CK67" s="526"/>
      <c r="CL67" s="526"/>
      <c r="CM67" s="526"/>
      <c r="CN67" s="526"/>
      <c r="CO67" s="526"/>
      <c r="CP67" s="526"/>
      <c r="CQ67" s="526"/>
      <c r="CR67" s="526">
        <v>5</v>
      </c>
      <c r="CS67" s="526"/>
      <c r="CT67" s="526"/>
      <c r="CU67" s="526"/>
      <c r="CV67" s="526"/>
      <c r="CW67" s="526"/>
      <c r="CX67" s="526"/>
      <c r="CY67" s="526"/>
      <c r="CZ67" s="526"/>
      <c r="DA67" s="526"/>
      <c r="DB67" s="526"/>
      <c r="DC67" s="561"/>
      <c r="DD67" s="570"/>
      <c r="DE67" s="526"/>
      <c r="DF67" s="526"/>
      <c r="DG67" s="526"/>
      <c r="DH67" s="526"/>
      <c r="DI67" s="526"/>
      <c r="DJ67" s="526"/>
      <c r="DK67" s="526"/>
      <c r="DL67" s="526"/>
      <c r="DM67" s="526"/>
      <c r="DN67" s="526"/>
      <c r="DO67" s="526"/>
      <c r="DP67" s="526"/>
      <c r="DQ67" s="526"/>
      <c r="DR67" s="526"/>
      <c r="DS67" s="526"/>
      <c r="DT67" s="526"/>
      <c r="DU67" s="526"/>
      <c r="DV67" s="526"/>
      <c r="DW67" s="526"/>
      <c r="DX67" s="526"/>
      <c r="DY67" s="526"/>
      <c r="DZ67" s="526"/>
      <c r="EA67" s="526"/>
      <c r="EB67" s="526"/>
      <c r="EC67" s="526"/>
      <c r="ED67" s="526"/>
      <c r="EE67" s="526"/>
      <c r="EF67" s="526">
        <v>4</v>
      </c>
      <c r="EG67" s="526"/>
      <c r="EH67" s="526"/>
      <c r="EI67" s="526"/>
      <c r="EJ67" s="526"/>
      <c r="EK67" s="526"/>
      <c r="EL67" s="526"/>
      <c r="EM67" s="526"/>
      <c r="EN67" s="526"/>
      <c r="EO67" s="526"/>
      <c r="EP67" s="526"/>
      <c r="EQ67" s="561"/>
      <c r="ER67" s="584">
        <f t="shared" si="39"/>
        <v>4</v>
      </c>
      <c r="ES67" s="585"/>
      <c r="ET67" s="586"/>
      <c r="EU67" s="587"/>
      <c r="EV67" s="116">
        <v>4</v>
      </c>
      <c r="EW67" s="117"/>
    </row>
    <row r="68" spans="1:153" s="76" customFormat="1" ht="120" customHeight="1" x14ac:dyDescent="0.75">
      <c r="A68" s="695"/>
      <c r="B68" s="204" t="s">
        <v>146</v>
      </c>
      <c r="C68" s="573" t="s">
        <v>145</v>
      </c>
      <c r="D68" s="574"/>
      <c r="E68" s="574"/>
      <c r="F68" s="574"/>
      <c r="G68" s="574"/>
      <c r="H68" s="574"/>
      <c r="I68" s="574"/>
      <c r="J68" s="574"/>
      <c r="K68" s="574"/>
      <c r="L68" s="574"/>
      <c r="M68" s="574"/>
      <c r="N68" s="574"/>
      <c r="O68" s="574"/>
      <c r="P68" s="574"/>
      <c r="Q68" s="574"/>
      <c r="R68" s="574"/>
      <c r="S68" s="574"/>
      <c r="T68" s="574"/>
      <c r="U68" s="574"/>
      <c r="V68" s="574"/>
      <c r="W68" s="574"/>
      <c r="X68" s="574"/>
      <c r="Y68" s="575"/>
      <c r="Z68" s="530"/>
      <c r="AA68" s="531"/>
      <c r="AB68" s="531"/>
      <c r="AC68" s="532"/>
      <c r="AD68" s="503"/>
      <c r="AE68" s="504"/>
      <c r="AF68" s="504"/>
      <c r="AG68" s="505"/>
      <c r="AH68" s="509"/>
      <c r="AI68" s="510"/>
      <c r="AJ68" s="510"/>
      <c r="AK68" s="510"/>
      <c r="AL68" s="511"/>
      <c r="AM68" s="515"/>
      <c r="AN68" s="516"/>
      <c r="AO68" s="516"/>
      <c r="AP68" s="516"/>
      <c r="AQ68" s="517"/>
      <c r="AR68" s="515"/>
      <c r="AS68" s="516"/>
      <c r="AT68" s="516"/>
      <c r="AU68" s="516"/>
      <c r="AV68" s="517"/>
      <c r="AW68" s="515"/>
      <c r="AX68" s="516"/>
      <c r="AY68" s="516"/>
      <c r="AZ68" s="516"/>
      <c r="BA68" s="517"/>
      <c r="BB68" s="515"/>
      <c r="BC68" s="516"/>
      <c r="BD68" s="516"/>
      <c r="BE68" s="516"/>
      <c r="BF68" s="517"/>
      <c r="BG68" s="515"/>
      <c r="BH68" s="516"/>
      <c r="BI68" s="516"/>
      <c r="BJ68" s="516"/>
      <c r="BK68" s="517"/>
      <c r="BL68" s="521"/>
      <c r="BM68" s="522"/>
      <c r="BN68" s="522"/>
      <c r="BO68" s="523"/>
      <c r="BP68" s="525"/>
      <c r="BQ68" s="504"/>
      <c r="BR68" s="504"/>
      <c r="BS68" s="504"/>
      <c r="BT68" s="526"/>
      <c r="BU68" s="526"/>
      <c r="BV68" s="526"/>
      <c r="BW68" s="526"/>
      <c r="BX68" s="526"/>
      <c r="BY68" s="526"/>
      <c r="BZ68" s="526"/>
      <c r="CA68" s="526"/>
      <c r="CB68" s="526"/>
      <c r="CC68" s="526"/>
      <c r="CD68" s="526"/>
      <c r="CE68" s="526"/>
      <c r="CF68" s="526"/>
      <c r="CG68" s="526"/>
      <c r="CH68" s="526"/>
      <c r="CI68" s="526"/>
      <c r="CJ68" s="526"/>
      <c r="CK68" s="526"/>
      <c r="CL68" s="526"/>
      <c r="CM68" s="526"/>
      <c r="CN68" s="526"/>
      <c r="CO68" s="526"/>
      <c r="CP68" s="526"/>
      <c r="CQ68" s="526"/>
      <c r="CR68" s="526"/>
      <c r="CS68" s="526"/>
      <c r="CT68" s="526"/>
      <c r="CU68" s="526"/>
      <c r="CV68" s="526"/>
      <c r="CW68" s="526"/>
      <c r="CX68" s="526"/>
      <c r="CY68" s="526"/>
      <c r="CZ68" s="526"/>
      <c r="DA68" s="526"/>
      <c r="DB68" s="526"/>
      <c r="DC68" s="561"/>
      <c r="DD68" s="570"/>
      <c r="DE68" s="526"/>
      <c r="DF68" s="526"/>
      <c r="DG68" s="526"/>
      <c r="DH68" s="526"/>
      <c r="DI68" s="526"/>
      <c r="DJ68" s="526"/>
      <c r="DK68" s="526"/>
      <c r="DL68" s="526"/>
      <c r="DM68" s="526"/>
      <c r="DN68" s="526"/>
      <c r="DO68" s="526"/>
      <c r="DP68" s="526"/>
      <c r="DQ68" s="526"/>
      <c r="DR68" s="526"/>
      <c r="DS68" s="526"/>
      <c r="DT68" s="526"/>
      <c r="DU68" s="526"/>
      <c r="DV68" s="526"/>
      <c r="DW68" s="526"/>
      <c r="DX68" s="526"/>
      <c r="DY68" s="526"/>
      <c r="DZ68" s="526"/>
      <c r="EA68" s="526"/>
      <c r="EB68" s="526"/>
      <c r="EC68" s="526"/>
      <c r="ED68" s="526"/>
      <c r="EE68" s="526"/>
      <c r="EF68" s="526"/>
      <c r="EG68" s="526"/>
      <c r="EH68" s="526"/>
      <c r="EI68" s="526"/>
      <c r="EJ68" s="526"/>
      <c r="EK68" s="526"/>
      <c r="EL68" s="526"/>
      <c r="EM68" s="526"/>
      <c r="EN68" s="526"/>
      <c r="EO68" s="526"/>
      <c r="EP68" s="526"/>
      <c r="EQ68" s="561"/>
      <c r="ER68" s="584">
        <f t="shared" si="39"/>
        <v>0</v>
      </c>
      <c r="ES68" s="585"/>
      <c r="ET68" s="586"/>
      <c r="EU68" s="587"/>
      <c r="EV68" s="76">
        <v>0</v>
      </c>
      <c r="EW68" s="87"/>
    </row>
    <row r="69" spans="1:153" s="76" customFormat="1" ht="120" customHeight="1" x14ac:dyDescent="0.75">
      <c r="A69" s="694" t="s">
        <v>42</v>
      </c>
      <c r="B69" s="204" t="s">
        <v>152</v>
      </c>
      <c r="C69" s="573" t="s">
        <v>150</v>
      </c>
      <c r="D69" s="574"/>
      <c r="E69" s="574"/>
      <c r="F69" s="574"/>
      <c r="G69" s="574"/>
      <c r="H69" s="574"/>
      <c r="I69" s="574"/>
      <c r="J69" s="574"/>
      <c r="K69" s="574"/>
      <c r="L69" s="574"/>
      <c r="M69" s="574"/>
      <c r="N69" s="574"/>
      <c r="O69" s="574"/>
      <c r="P69" s="574"/>
      <c r="Q69" s="574"/>
      <c r="R69" s="574"/>
      <c r="S69" s="574"/>
      <c r="T69" s="574"/>
      <c r="U69" s="574"/>
      <c r="V69" s="574"/>
      <c r="W69" s="574"/>
      <c r="X69" s="574"/>
      <c r="Y69" s="575"/>
      <c r="Z69" s="527">
        <f>ER69*30</f>
        <v>120</v>
      </c>
      <c r="AA69" s="528"/>
      <c r="AB69" s="528"/>
      <c r="AC69" s="529"/>
      <c r="AD69" s="500"/>
      <c r="AE69" s="501"/>
      <c r="AF69" s="501"/>
      <c r="AG69" s="502"/>
      <c r="AH69" s="506">
        <f t="shared" ref="AH69" si="45">SUM(AM69:BF70)</f>
        <v>32</v>
      </c>
      <c r="AI69" s="507"/>
      <c r="AJ69" s="507"/>
      <c r="AK69" s="507"/>
      <c r="AL69" s="508"/>
      <c r="AM69" s="512">
        <v>16</v>
      </c>
      <c r="AN69" s="513"/>
      <c r="AO69" s="513"/>
      <c r="AP69" s="513"/>
      <c r="AQ69" s="514"/>
      <c r="AR69" s="512">
        <v>16</v>
      </c>
      <c r="AS69" s="513"/>
      <c r="AT69" s="513"/>
      <c r="AU69" s="513"/>
      <c r="AV69" s="514"/>
      <c r="AW69" s="512"/>
      <c r="AX69" s="513"/>
      <c r="AY69" s="513"/>
      <c r="AZ69" s="513"/>
      <c r="BA69" s="514"/>
      <c r="BB69" s="512"/>
      <c r="BC69" s="513"/>
      <c r="BD69" s="513"/>
      <c r="BE69" s="513"/>
      <c r="BF69" s="514"/>
      <c r="BG69" s="512"/>
      <c r="BH69" s="513"/>
      <c r="BI69" s="513"/>
      <c r="BJ69" s="513"/>
      <c r="BK69" s="514"/>
      <c r="BL69" s="518">
        <f>Z69-AH69</f>
        <v>88</v>
      </c>
      <c r="BM69" s="519"/>
      <c r="BN69" s="519"/>
      <c r="BO69" s="520"/>
      <c r="BP69" s="524"/>
      <c r="BQ69" s="501"/>
      <c r="BR69" s="501"/>
      <c r="BS69" s="501"/>
      <c r="BT69" s="526"/>
      <c r="BU69" s="526"/>
      <c r="BV69" s="526"/>
      <c r="BW69" s="526"/>
      <c r="BX69" s="526"/>
      <c r="BY69" s="526"/>
      <c r="BZ69" s="526"/>
      <c r="CA69" s="526"/>
      <c r="CB69" s="526"/>
      <c r="CC69" s="526"/>
      <c r="CD69" s="526"/>
      <c r="CE69" s="526"/>
      <c r="CF69" s="526"/>
      <c r="CG69" s="526"/>
      <c r="CH69" s="526"/>
      <c r="CI69" s="526"/>
      <c r="CJ69" s="526"/>
      <c r="CK69" s="526"/>
      <c r="CL69" s="526"/>
      <c r="CM69" s="526"/>
      <c r="CN69" s="526"/>
      <c r="CO69" s="526"/>
      <c r="CP69" s="526"/>
      <c r="CQ69" s="526"/>
      <c r="CR69" s="526"/>
      <c r="CS69" s="526"/>
      <c r="CT69" s="526"/>
      <c r="CU69" s="526"/>
      <c r="CV69" s="526">
        <v>5</v>
      </c>
      <c r="CW69" s="526"/>
      <c r="CX69" s="526"/>
      <c r="CY69" s="526"/>
      <c r="CZ69" s="526"/>
      <c r="DA69" s="526"/>
      <c r="DB69" s="526"/>
      <c r="DC69" s="561"/>
      <c r="DD69" s="570"/>
      <c r="DE69" s="526"/>
      <c r="DF69" s="526"/>
      <c r="DG69" s="526"/>
      <c r="DH69" s="526"/>
      <c r="DI69" s="526"/>
      <c r="DJ69" s="526"/>
      <c r="DK69" s="526"/>
      <c r="DL69" s="526"/>
      <c r="DM69" s="526"/>
      <c r="DN69" s="526"/>
      <c r="DO69" s="526"/>
      <c r="DP69" s="526"/>
      <c r="DQ69" s="526"/>
      <c r="DR69" s="526"/>
      <c r="DS69" s="526"/>
      <c r="DT69" s="526"/>
      <c r="DU69" s="526"/>
      <c r="DV69" s="526"/>
      <c r="DW69" s="526"/>
      <c r="DX69" s="526"/>
      <c r="DY69" s="526"/>
      <c r="DZ69" s="526"/>
      <c r="EA69" s="526"/>
      <c r="EB69" s="526"/>
      <c r="EC69" s="526"/>
      <c r="ED69" s="526"/>
      <c r="EE69" s="526"/>
      <c r="EF69" s="526"/>
      <c r="EG69" s="526"/>
      <c r="EH69" s="526"/>
      <c r="EI69" s="526"/>
      <c r="EJ69" s="526">
        <v>4</v>
      </c>
      <c r="EK69" s="526"/>
      <c r="EL69" s="526"/>
      <c r="EM69" s="526"/>
      <c r="EN69" s="526"/>
      <c r="EO69" s="526"/>
      <c r="EP69" s="526"/>
      <c r="EQ69" s="561"/>
      <c r="ER69" s="584">
        <f t="shared" si="39"/>
        <v>4</v>
      </c>
      <c r="ES69" s="585"/>
      <c r="ET69" s="586"/>
      <c r="EU69" s="587"/>
      <c r="EV69" s="76">
        <v>4</v>
      </c>
      <c r="EW69" s="87"/>
    </row>
    <row r="70" spans="1:153" s="76" customFormat="1" ht="120" customHeight="1" x14ac:dyDescent="0.75">
      <c r="A70" s="695"/>
      <c r="B70" s="204" t="s">
        <v>153</v>
      </c>
      <c r="C70" s="573" t="s">
        <v>151</v>
      </c>
      <c r="D70" s="574"/>
      <c r="E70" s="574"/>
      <c r="F70" s="574"/>
      <c r="G70" s="574"/>
      <c r="H70" s="574"/>
      <c r="I70" s="574"/>
      <c r="J70" s="574"/>
      <c r="K70" s="574"/>
      <c r="L70" s="574"/>
      <c r="M70" s="574"/>
      <c r="N70" s="574"/>
      <c r="O70" s="574"/>
      <c r="P70" s="574"/>
      <c r="Q70" s="574"/>
      <c r="R70" s="574"/>
      <c r="S70" s="574"/>
      <c r="T70" s="574"/>
      <c r="U70" s="574"/>
      <c r="V70" s="574"/>
      <c r="W70" s="574"/>
      <c r="X70" s="574"/>
      <c r="Y70" s="575"/>
      <c r="Z70" s="530"/>
      <c r="AA70" s="531"/>
      <c r="AB70" s="531"/>
      <c r="AC70" s="532"/>
      <c r="AD70" s="503"/>
      <c r="AE70" s="504"/>
      <c r="AF70" s="504"/>
      <c r="AG70" s="505"/>
      <c r="AH70" s="509"/>
      <c r="AI70" s="510"/>
      <c r="AJ70" s="510"/>
      <c r="AK70" s="510"/>
      <c r="AL70" s="511"/>
      <c r="AM70" s="515"/>
      <c r="AN70" s="516"/>
      <c r="AO70" s="516"/>
      <c r="AP70" s="516"/>
      <c r="AQ70" s="517"/>
      <c r="AR70" s="515"/>
      <c r="AS70" s="516"/>
      <c r="AT70" s="516"/>
      <c r="AU70" s="516"/>
      <c r="AV70" s="517"/>
      <c r="AW70" s="515"/>
      <c r="AX70" s="516"/>
      <c r="AY70" s="516"/>
      <c r="AZ70" s="516"/>
      <c r="BA70" s="517"/>
      <c r="BB70" s="515"/>
      <c r="BC70" s="516"/>
      <c r="BD70" s="516"/>
      <c r="BE70" s="516"/>
      <c r="BF70" s="517"/>
      <c r="BG70" s="515"/>
      <c r="BH70" s="516"/>
      <c r="BI70" s="516"/>
      <c r="BJ70" s="516"/>
      <c r="BK70" s="517"/>
      <c r="BL70" s="521"/>
      <c r="BM70" s="522"/>
      <c r="BN70" s="522"/>
      <c r="BO70" s="523"/>
      <c r="BP70" s="525"/>
      <c r="BQ70" s="504"/>
      <c r="BR70" s="504"/>
      <c r="BS70" s="504"/>
      <c r="BT70" s="526"/>
      <c r="BU70" s="526"/>
      <c r="BV70" s="526"/>
      <c r="BW70" s="526"/>
      <c r="BX70" s="526"/>
      <c r="BY70" s="526"/>
      <c r="BZ70" s="526"/>
      <c r="CA70" s="526"/>
      <c r="CB70" s="526"/>
      <c r="CC70" s="526"/>
      <c r="CD70" s="526"/>
      <c r="CE70" s="526"/>
      <c r="CF70" s="526"/>
      <c r="CG70" s="526"/>
      <c r="CH70" s="526"/>
      <c r="CI70" s="526"/>
      <c r="CJ70" s="526"/>
      <c r="CK70" s="526"/>
      <c r="CL70" s="526"/>
      <c r="CM70" s="526"/>
      <c r="CN70" s="526"/>
      <c r="CO70" s="526"/>
      <c r="CP70" s="526"/>
      <c r="CQ70" s="526"/>
      <c r="CR70" s="526"/>
      <c r="CS70" s="526"/>
      <c r="CT70" s="526"/>
      <c r="CU70" s="526"/>
      <c r="CV70" s="526"/>
      <c r="CW70" s="526"/>
      <c r="CX70" s="526"/>
      <c r="CY70" s="526"/>
      <c r="CZ70" s="526"/>
      <c r="DA70" s="526"/>
      <c r="DB70" s="526"/>
      <c r="DC70" s="561"/>
      <c r="DD70" s="570"/>
      <c r="DE70" s="526"/>
      <c r="DF70" s="526"/>
      <c r="DG70" s="526"/>
      <c r="DH70" s="526"/>
      <c r="DI70" s="526"/>
      <c r="DJ70" s="526"/>
      <c r="DK70" s="526"/>
      <c r="DL70" s="526"/>
      <c r="DM70" s="526"/>
      <c r="DN70" s="526"/>
      <c r="DO70" s="526"/>
      <c r="DP70" s="526"/>
      <c r="DQ70" s="526"/>
      <c r="DR70" s="526"/>
      <c r="DS70" s="526"/>
      <c r="DT70" s="526"/>
      <c r="DU70" s="526"/>
      <c r="DV70" s="526"/>
      <c r="DW70" s="526"/>
      <c r="DX70" s="526"/>
      <c r="DY70" s="526"/>
      <c r="DZ70" s="526"/>
      <c r="EA70" s="526"/>
      <c r="EB70" s="526"/>
      <c r="EC70" s="526"/>
      <c r="ED70" s="526"/>
      <c r="EE70" s="526"/>
      <c r="EF70" s="526"/>
      <c r="EG70" s="526"/>
      <c r="EH70" s="526"/>
      <c r="EI70" s="526"/>
      <c r="EJ70" s="526"/>
      <c r="EK70" s="526"/>
      <c r="EL70" s="526"/>
      <c r="EM70" s="526"/>
      <c r="EN70" s="526"/>
      <c r="EO70" s="526"/>
      <c r="EP70" s="526"/>
      <c r="EQ70" s="561"/>
      <c r="ER70" s="584">
        <f t="shared" si="39"/>
        <v>0</v>
      </c>
      <c r="ES70" s="585"/>
      <c r="ET70" s="586"/>
      <c r="EU70" s="587"/>
      <c r="EV70" s="76">
        <v>0</v>
      </c>
      <c r="EW70" s="87"/>
    </row>
    <row r="71" spans="1:153" s="76" customFormat="1" ht="120" customHeight="1" x14ac:dyDescent="0.75">
      <c r="A71" s="694" t="s">
        <v>43</v>
      </c>
      <c r="B71" s="204" t="s">
        <v>132</v>
      </c>
      <c r="C71" s="573" t="s">
        <v>131</v>
      </c>
      <c r="D71" s="574"/>
      <c r="E71" s="574"/>
      <c r="F71" s="574"/>
      <c r="G71" s="574"/>
      <c r="H71" s="574"/>
      <c r="I71" s="574"/>
      <c r="J71" s="574"/>
      <c r="K71" s="574"/>
      <c r="L71" s="574"/>
      <c r="M71" s="574"/>
      <c r="N71" s="574"/>
      <c r="O71" s="574"/>
      <c r="P71" s="574"/>
      <c r="Q71" s="574"/>
      <c r="R71" s="574"/>
      <c r="S71" s="574"/>
      <c r="T71" s="574"/>
      <c r="U71" s="574"/>
      <c r="V71" s="574"/>
      <c r="W71" s="574"/>
      <c r="X71" s="574"/>
      <c r="Y71" s="575"/>
      <c r="Z71" s="527">
        <f>ER71*30</f>
        <v>120</v>
      </c>
      <c r="AA71" s="528"/>
      <c r="AB71" s="528"/>
      <c r="AC71" s="529"/>
      <c r="AD71" s="500"/>
      <c r="AE71" s="501"/>
      <c r="AF71" s="501"/>
      <c r="AG71" s="502"/>
      <c r="AH71" s="506">
        <f t="shared" ref="AH71" si="46">SUM(AM71:BF72)</f>
        <v>32</v>
      </c>
      <c r="AI71" s="507"/>
      <c r="AJ71" s="507"/>
      <c r="AK71" s="507"/>
      <c r="AL71" s="508"/>
      <c r="AM71" s="512">
        <v>16</v>
      </c>
      <c r="AN71" s="513"/>
      <c r="AO71" s="513"/>
      <c r="AP71" s="513"/>
      <c r="AQ71" s="514"/>
      <c r="AR71" s="512">
        <v>16</v>
      </c>
      <c r="AS71" s="513"/>
      <c r="AT71" s="513"/>
      <c r="AU71" s="513"/>
      <c r="AV71" s="514"/>
      <c r="AW71" s="512"/>
      <c r="AX71" s="513"/>
      <c r="AY71" s="513"/>
      <c r="AZ71" s="513"/>
      <c r="BA71" s="514"/>
      <c r="BB71" s="512"/>
      <c r="BC71" s="513"/>
      <c r="BD71" s="513"/>
      <c r="BE71" s="513"/>
      <c r="BF71" s="514"/>
      <c r="BG71" s="512"/>
      <c r="BH71" s="513"/>
      <c r="BI71" s="513"/>
      <c r="BJ71" s="513"/>
      <c r="BK71" s="514"/>
      <c r="BL71" s="518">
        <f>Z71-AH71</f>
        <v>88</v>
      </c>
      <c r="BM71" s="519"/>
      <c r="BN71" s="519"/>
      <c r="BO71" s="520"/>
      <c r="BP71" s="524"/>
      <c r="BQ71" s="501"/>
      <c r="BR71" s="501"/>
      <c r="BS71" s="501"/>
      <c r="BT71" s="526"/>
      <c r="BU71" s="526"/>
      <c r="BV71" s="526"/>
      <c r="BW71" s="526"/>
      <c r="BX71" s="526"/>
      <c r="BY71" s="526"/>
      <c r="BZ71" s="526"/>
      <c r="CA71" s="526"/>
      <c r="CB71" s="526"/>
      <c r="CC71" s="526"/>
      <c r="CD71" s="526"/>
      <c r="CE71" s="526"/>
      <c r="CF71" s="526"/>
      <c r="CG71" s="526"/>
      <c r="CH71" s="526"/>
      <c r="CI71" s="526"/>
      <c r="CJ71" s="526"/>
      <c r="CK71" s="526"/>
      <c r="CL71" s="526"/>
      <c r="CM71" s="526"/>
      <c r="CN71" s="526"/>
      <c r="CO71" s="526"/>
      <c r="CP71" s="526"/>
      <c r="CQ71" s="526"/>
      <c r="CR71" s="526"/>
      <c r="CS71" s="526"/>
      <c r="CT71" s="526"/>
      <c r="CU71" s="526"/>
      <c r="CV71" s="526"/>
      <c r="CW71" s="526"/>
      <c r="CX71" s="526"/>
      <c r="CY71" s="526"/>
      <c r="CZ71" s="526">
        <v>5</v>
      </c>
      <c r="DA71" s="526"/>
      <c r="DB71" s="526"/>
      <c r="DC71" s="561"/>
      <c r="DD71" s="570"/>
      <c r="DE71" s="526"/>
      <c r="DF71" s="526"/>
      <c r="DG71" s="526"/>
      <c r="DH71" s="526"/>
      <c r="DI71" s="526"/>
      <c r="DJ71" s="526"/>
      <c r="DK71" s="526"/>
      <c r="DL71" s="526"/>
      <c r="DM71" s="526"/>
      <c r="DN71" s="526"/>
      <c r="DO71" s="526"/>
      <c r="DP71" s="526"/>
      <c r="DQ71" s="526"/>
      <c r="DR71" s="526"/>
      <c r="DS71" s="526"/>
      <c r="DT71" s="526"/>
      <c r="DU71" s="526"/>
      <c r="DV71" s="526"/>
      <c r="DW71" s="526"/>
      <c r="DX71" s="526"/>
      <c r="DY71" s="526"/>
      <c r="DZ71" s="526"/>
      <c r="EA71" s="526"/>
      <c r="EB71" s="526"/>
      <c r="EC71" s="526"/>
      <c r="ED71" s="526"/>
      <c r="EE71" s="526"/>
      <c r="EF71" s="526"/>
      <c r="EG71" s="526"/>
      <c r="EH71" s="526"/>
      <c r="EI71" s="526"/>
      <c r="EJ71" s="526"/>
      <c r="EK71" s="526"/>
      <c r="EL71" s="526"/>
      <c r="EM71" s="526"/>
      <c r="EN71" s="526">
        <v>4</v>
      </c>
      <c r="EO71" s="526"/>
      <c r="EP71" s="526"/>
      <c r="EQ71" s="561"/>
      <c r="ER71" s="584">
        <f t="shared" ref="ER71:ER72" si="47">DD71+DH71+DL71+DP71+DT71+DX71+EB71+EF71+EJ71+EN71</f>
        <v>4</v>
      </c>
      <c r="ES71" s="585"/>
      <c r="ET71" s="586"/>
      <c r="EU71" s="587"/>
      <c r="EV71" s="76">
        <v>4</v>
      </c>
      <c r="EW71" s="87"/>
    </row>
    <row r="72" spans="1:153" s="76" customFormat="1" ht="99.95" customHeight="1" x14ac:dyDescent="0.75">
      <c r="A72" s="695"/>
      <c r="B72" s="204" t="s">
        <v>149</v>
      </c>
      <c r="C72" s="573" t="s">
        <v>107</v>
      </c>
      <c r="D72" s="574"/>
      <c r="E72" s="574"/>
      <c r="F72" s="574"/>
      <c r="G72" s="574"/>
      <c r="H72" s="574"/>
      <c r="I72" s="574"/>
      <c r="J72" s="574"/>
      <c r="K72" s="574"/>
      <c r="L72" s="574"/>
      <c r="M72" s="574"/>
      <c r="N72" s="574"/>
      <c r="O72" s="574"/>
      <c r="P72" s="574"/>
      <c r="Q72" s="574"/>
      <c r="R72" s="574"/>
      <c r="S72" s="574"/>
      <c r="T72" s="574"/>
      <c r="U72" s="574"/>
      <c r="V72" s="574"/>
      <c r="W72" s="574"/>
      <c r="X72" s="574"/>
      <c r="Y72" s="575"/>
      <c r="Z72" s="530"/>
      <c r="AA72" s="531"/>
      <c r="AB72" s="531"/>
      <c r="AC72" s="532"/>
      <c r="AD72" s="503"/>
      <c r="AE72" s="504"/>
      <c r="AF72" s="504"/>
      <c r="AG72" s="505"/>
      <c r="AH72" s="509"/>
      <c r="AI72" s="510"/>
      <c r="AJ72" s="510"/>
      <c r="AK72" s="510"/>
      <c r="AL72" s="511"/>
      <c r="AM72" s="515"/>
      <c r="AN72" s="516"/>
      <c r="AO72" s="516"/>
      <c r="AP72" s="516"/>
      <c r="AQ72" s="517"/>
      <c r="AR72" s="515"/>
      <c r="AS72" s="516"/>
      <c r="AT72" s="516"/>
      <c r="AU72" s="516"/>
      <c r="AV72" s="517"/>
      <c r="AW72" s="515"/>
      <c r="AX72" s="516"/>
      <c r="AY72" s="516"/>
      <c r="AZ72" s="516"/>
      <c r="BA72" s="517"/>
      <c r="BB72" s="515"/>
      <c r="BC72" s="516"/>
      <c r="BD72" s="516"/>
      <c r="BE72" s="516"/>
      <c r="BF72" s="517"/>
      <c r="BG72" s="515"/>
      <c r="BH72" s="516"/>
      <c r="BI72" s="516"/>
      <c r="BJ72" s="516"/>
      <c r="BK72" s="517"/>
      <c r="BL72" s="521"/>
      <c r="BM72" s="522"/>
      <c r="BN72" s="522"/>
      <c r="BO72" s="523"/>
      <c r="BP72" s="525"/>
      <c r="BQ72" s="504"/>
      <c r="BR72" s="504"/>
      <c r="BS72" s="504"/>
      <c r="BT72" s="526"/>
      <c r="BU72" s="526"/>
      <c r="BV72" s="526"/>
      <c r="BW72" s="526"/>
      <c r="BX72" s="526"/>
      <c r="BY72" s="526"/>
      <c r="BZ72" s="526"/>
      <c r="CA72" s="526"/>
      <c r="CB72" s="526"/>
      <c r="CC72" s="526"/>
      <c r="CD72" s="526"/>
      <c r="CE72" s="526"/>
      <c r="CF72" s="526"/>
      <c r="CG72" s="526"/>
      <c r="CH72" s="526"/>
      <c r="CI72" s="526"/>
      <c r="CJ72" s="526"/>
      <c r="CK72" s="526"/>
      <c r="CL72" s="526"/>
      <c r="CM72" s="526"/>
      <c r="CN72" s="526"/>
      <c r="CO72" s="526"/>
      <c r="CP72" s="526"/>
      <c r="CQ72" s="526"/>
      <c r="CR72" s="526"/>
      <c r="CS72" s="526"/>
      <c r="CT72" s="526"/>
      <c r="CU72" s="526"/>
      <c r="CV72" s="526"/>
      <c r="CW72" s="526"/>
      <c r="CX72" s="526"/>
      <c r="CY72" s="526"/>
      <c r="CZ72" s="526"/>
      <c r="DA72" s="526"/>
      <c r="DB72" s="526"/>
      <c r="DC72" s="561"/>
      <c r="DD72" s="570"/>
      <c r="DE72" s="526"/>
      <c r="DF72" s="526"/>
      <c r="DG72" s="526"/>
      <c r="DH72" s="526"/>
      <c r="DI72" s="526"/>
      <c r="DJ72" s="526"/>
      <c r="DK72" s="526"/>
      <c r="DL72" s="526"/>
      <c r="DM72" s="526"/>
      <c r="DN72" s="526"/>
      <c r="DO72" s="526"/>
      <c r="DP72" s="526"/>
      <c r="DQ72" s="526"/>
      <c r="DR72" s="526"/>
      <c r="DS72" s="526"/>
      <c r="DT72" s="526"/>
      <c r="DU72" s="526"/>
      <c r="DV72" s="526"/>
      <c r="DW72" s="526"/>
      <c r="DX72" s="526"/>
      <c r="DY72" s="526"/>
      <c r="DZ72" s="526"/>
      <c r="EA72" s="526"/>
      <c r="EB72" s="526"/>
      <c r="EC72" s="526"/>
      <c r="ED72" s="526"/>
      <c r="EE72" s="526"/>
      <c r="EF72" s="526"/>
      <c r="EG72" s="526"/>
      <c r="EH72" s="526"/>
      <c r="EI72" s="526"/>
      <c r="EJ72" s="526"/>
      <c r="EK72" s="526"/>
      <c r="EL72" s="526"/>
      <c r="EM72" s="526"/>
      <c r="EN72" s="526"/>
      <c r="EO72" s="526"/>
      <c r="EP72" s="526"/>
      <c r="EQ72" s="561"/>
      <c r="ER72" s="584">
        <f t="shared" si="47"/>
        <v>0</v>
      </c>
      <c r="ES72" s="585"/>
      <c r="ET72" s="586"/>
      <c r="EU72" s="587"/>
      <c r="EW72" s="87"/>
    </row>
    <row r="73" spans="1:153" s="76" customFormat="1" ht="99.95" customHeight="1" x14ac:dyDescent="0.75">
      <c r="A73" s="694" t="s">
        <v>108</v>
      </c>
      <c r="B73" s="204" t="s">
        <v>156</v>
      </c>
      <c r="C73" s="573" t="s">
        <v>155</v>
      </c>
      <c r="D73" s="574"/>
      <c r="E73" s="574"/>
      <c r="F73" s="574"/>
      <c r="G73" s="574"/>
      <c r="H73" s="574"/>
      <c r="I73" s="574"/>
      <c r="J73" s="574"/>
      <c r="K73" s="574"/>
      <c r="L73" s="574"/>
      <c r="M73" s="574"/>
      <c r="N73" s="574"/>
      <c r="O73" s="574"/>
      <c r="P73" s="574"/>
      <c r="Q73" s="574"/>
      <c r="R73" s="574"/>
      <c r="S73" s="574"/>
      <c r="T73" s="574"/>
      <c r="U73" s="574"/>
      <c r="V73" s="574"/>
      <c r="W73" s="574"/>
      <c r="X73" s="574"/>
      <c r="Y73" s="575"/>
      <c r="Z73" s="527">
        <f>ER73*30</f>
        <v>120</v>
      </c>
      <c r="AA73" s="528"/>
      <c r="AB73" s="528"/>
      <c r="AC73" s="529"/>
      <c r="AD73" s="500"/>
      <c r="AE73" s="501"/>
      <c r="AF73" s="501"/>
      <c r="AG73" s="502"/>
      <c r="AH73" s="506">
        <f t="shared" ref="AH73" si="48">SUM(AM73:BF74)</f>
        <v>32</v>
      </c>
      <c r="AI73" s="507"/>
      <c r="AJ73" s="507"/>
      <c r="AK73" s="507"/>
      <c r="AL73" s="508"/>
      <c r="AM73" s="512">
        <v>16</v>
      </c>
      <c r="AN73" s="513"/>
      <c r="AO73" s="513"/>
      <c r="AP73" s="513"/>
      <c r="AQ73" s="514"/>
      <c r="AR73" s="512">
        <v>16</v>
      </c>
      <c r="AS73" s="513"/>
      <c r="AT73" s="513"/>
      <c r="AU73" s="513"/>
      <c r="AV73" s="514"/>
      <c r="AW73" s="512"/>
      <c r="AX73" s="513"/>
      <c r="AY73" s="513"/>
      <c r="AZ73" s="513"/>
      <c r="BA73" s="514"/>
      <c r="BB73" s="512"/>
      <c r="BC73" s="513"/>
      <c r="BD73" s="513"/>
      <c r="BE73" s="513"/>
      <c r="BF73" s="514"/>
      <c r="BG73" s="512"/>
      <c r="BH73" s="513"/>
      <c r="BI73" s="513"/>
      <c r="BJ73" s="513"/>
      <c r="BK73" s="514"/>
      <c r="BL73" s="518">
        <f>Z73-AH73</f>
        <v>88</v>
      </c>
      <c r="BM73" s="519"/>
      <c r="BN73" s="519"/>
      <c r="BO73" s="520"/>
      <c r="BP73" s="524"/>
      <c r="BQ73" s="501"/>
      <c r="BR73" s="501"/>
      <c r="BS73" s="501"/>
      <c r="BT73" s="526"/>
      <c r="BU73" s="526"/>
      <c r="BV73" s="526"/>
      <c r="BW73" s="526"/>
      <c r="BX73" s="526"/>
      <c r="BY73" s="526"/>
      <c r="BZ73" s="526"/>
      <c r="CA73" s="526"/>
      <c r="CB73" s="526"/>
      <c r="CC73" s="526"/>
      <c r="CD73" s="526"/>
      <c r="CE73" s="526"/>
      <c r="CF73" s="526"/>
      <c r="CG73" s="526"/>
      <c r="CH73" s="526"/>
      <c r="CI73" s="526"/>
      <c r="CJ73" s="526"/>
      <c r="CK73" s="526"/>
      <c r="CL73" s="526"/>
      <c r="CM73" s="526"/>
      <c r="CN73" s="526"/>
      <c r="CO73" s="526"/>
      <c r="CP73" s="526"/>
      <c r="CQ73" s="526"/>
      <c r="CR73" s="526"/>
      <c r="CS73" s="526"/>
      <c r="CT73" s="526"/>
      <c r="CU73" s="526"/>
      <c r="CV73" s="526"/>
      <c r="CW73" s="526"/>
      <c r="CX73" s="526"/>
      <c r="CY73" s="526"/>
      <c r="CZ73" s="526">
        <v>5</v>
      </c>
      <c r="DA73" s="526"/>
      <c r="DB73" s="526"/>
      <c r="DC73" s="561"/>
      <c r="DD73" s="570"/>
      <c r="DE73" s="526"/>
      <c r="DF73" s="526"/>
      <c r="DG73" s="526"/>
      <c r="DH73" s="526"/>
      <c r="DI73" s="526"/>
      <c r="DJ73" s="526"/>
      <c r="DK73" s="526"/>
      <c r="DL73" s="526"/>
      <c r="DM73" s="526"/>
      <c r="DN73" s="526"/>
      <c r="DO73" s="526"/>
      <c r="DP73" s="526"/>
      <c r="DQ73" s="526"/>
      <c r="DR73" s="526"/>
      <c r="DS73" s="526"/>
      <c r="DT73" s="526"/>
      <c r="DU73" s="526"/>
      <c r="DV73" s="526"/>
      <c r="DW73" s="526"/>
      <c r="DX73" s="526"/>
      <c r="DY73" s="526"/>
      <c r="DZ73" s="526"/>
      <c r="EA73" s="526"/>
      <c r="EB73" s="526"/>
      <c r="EC73" s="526"/>
      <c r="ED73" s="526"/>
      <c r="EE73" s="526"/>
      <c r="EF73" s="526"/>
      <c r="EG73" s="526"/>
      <c r="EH73" s="526"/>
      <c r="EI73" s="526"/>
      <c r="EJ73" s="526"/>
      <c r="EK73" s="526"/>
      <c r="EL73" s="526"/>
      <c r="EM73" s="526"/>
      <c r="EN73" s="526">
        <v>4</v>
      </c>
      <c r="EO73" s="526"/>
      <c r="EP73" s="526"/>
      <c r="EQ73" s="561"/>
      <c r="ER73" s="584">
        <f t="shared" si="39"/>
        <v>4</v>
      </c>
      <c r="ES73" s="585"/>
      <c r="ET73" s="586"/>
      <c r="EU73" s="587"/>
      <c r="EV73" s="76">
        <v>4</v>
      </c>
      <c r="EW73" s="87"/>
    </row>
    <row r="74" spans="1:153" s="76" customFormat="1" ht="99.95" customHeight="1" x14ac:dyDescent="0.75">
      <c r="A74" s="695"/>
      <c r="B74" s="204" t="s">
        <v>157</v>
      </c>
      <c r="C74" s="573" t="s">
        <v>99</v>
      </c>
      <c r="D74" s="574"/>
      <c r="E74" s="574"/>
      <c r="F74" s="574"/>
      <c r="G74" s="574"/>
      <c r="H74" s="574"/>
      <c r="I74" s="574"/>
      <c r="J74" s="574"/>
      <c r="K74" s="574"/>
      <c r="L74" s="574"/>
      <c r="M74" s="574"/>
      <c r="N74" s="574"/>
      <c r="O74" s="574"/>
      <c r="P74" s="574"/>
      <c r="Q74" s="574"/>
      <c r="R74" s="574"/>
      <c r="S74" s="574"/>
      <c r="T74" s="574"/>
      <c r="U74" s="574"/>
      <c r="V74" s="574"/>
      <c r="W74" s="574"/>
      <c r="X74" s="574"/>
      <c r="Y74" s="575"/>
      <c r="Z74" s="530"/>
      <c r="AA74" s="531"/>
      <c r="AB74" s="531"/>
      <c r="AC74" s="532"/>
      <c r="AD74" s="503"/>
      <c r="AE74" s="504"/>
      <c r="AF74" s="504"/>
      <c r="AG74" s="505"/>
      <c r="AH74" s="509"/>
      <c r="AI74" s="510"/>
      <c r="AJ74" s="510"/>
      <c r="AK74" s="510"/>
      <c r="AL74" s="511"/>
      <c r="AM74" s="515"/>
      <c r="AN74" s="516"/>
      <c r="AO74" s="516"/>
      <c r="AP74" s="516"/>
      <c r="AQ74" s="517"/>
      <c r="AR74" s="515"/>
      <c r="AS74" s="516"/>
      <c r="AT74" s="516"/>
      <c r="AU74" s="516"/>
      <c r="AV74" s="517"/>
      <c r="AW74" s="515"/>
      <c r="AX74" s="516"/>
      <c r="AY74" s="516"/>
      <c r="AZ74" s="516"/>
      <c r="BA74" s="517"/>
      <c r="BB74" s="515"/>
      <c r="BC74" s="516"/>
      <c r="BD74" s="516"/>
      <c r="BE74" s="516"/>
      <c r="BF74" s="517"/>
      <c r="BG74" s="515"/>
      <c r="BH74" s="516"/>
      <c r="BI74" s="516"/>
      <c r="BJ74" s="516"/>
      <c r="BK74" s="517"/>
      <c r="BL74" s="521"/>
      <c r="BM74" s="522"/>
      <c r="BN74" s="522"/>
      <c r="BO74" s="523"/>
      <c r="BP74" s="525"/>
      <c r="BQ74" s="504"/>
      <c r="BR74" s="504"/>
      <c r="BS74" s="504"/>
      <c r="BT74" s="526"/>
      <c r="BU74" s="526"/>
      <c r="BV74" s="526"/>
      <c r="BW74" s="526"/>
      <c r="BX74" s="526"/>
      <c r="BY74" s="526"/>
      <c r="BZ74" s="526"/>
      <c r="CA74" s="526"/>
      <c r="CB74" s="526"/>
      <c r="CC74" s="526"/>
      <c r="CD74" s="526"/>
      <c r="CE74" s="526"/>
      <c r="CF74" s="526"/>
      <c r="CG74" s="526"/>
      <c r="CH74" s="526"/>
      <c r="CI74" s="526"/>
      <c r="CJ74" s="526"/>
      <c r="CK74" s="526"/>
      <c r="CL74" s="526"/>
      <c r="CM74" s="526"/>
      <c r="CN74" s="526"/>
      <c r="CO74" s="526"/>
      <c r="CP74" s="526"/>
      <c r="CQ74" s="526"/>
      <c r="CR74" s="526"/>
      <c r="CS74" s="526"/>
      <c r="CT74" s="526"/>
      <c r="CU74" s="526"/>
      <c r="CV74" s="526"/>
      <c r="CW74" s="526"/>
      <c r="CX74" s="526"/>
      <c r="CY74" s="526"/>
      <c r="CZ74" s="526"/>
      <c r="DA74" s="526"/>
      <c r="DB74" s="526"/>
      <c r="DC74" s="561"/>
      <c r="DD74" s="570"/>
      <c r="DE74" s="526"/>
      <c r="DF74" s="526"/>
      <c r="DG74" s="526"/>
      <c r="DH74" s="526"/>
      <c r="DI74" s="526"/>
      <c r="DJ74" s="526"/>
      <c r="DK74" s="526"/>
      <c r="DL74" s="526"/>
      <c r="DM74" s="526"/>
      <c r="DN74" s="526"/>
      <c r="DO74" s="526"/>
      <c r="DP74" s="526"/>
      <c r="DQ74" s="526"/>
      <c r="DR74" s="526"/>
      <c r="DS74" s="526"/>
      <c r="DT74" s="526"/>
      <c r="DU74" s="526"/>
      <c r="DV74" s="526"/>
      <c r="DW74" s="526"/>
      <c r="DX74" s="526"/>
      <c r="DY74" s="526"/>
      <c r="DZ74" s="526"/>
      <c r="EA74" s="526"/>
      <c r="EB74" s="526"/>
      <c r="EC74" s="526"/>
      <c r="ED74" s="526"/>
      <c r="EE74" s="526"/>
      <c r="EF74" s="526"/>
      <c r="EG74" s="526"/>
      <c r="EH74" s="526"/>
      <c r="EI74" s="526"/>
      <c r="EJ74" s="526"/>
      <c r="EK74" s="526"/>
      <c r="EL74" s="526"/>
      <c r="EM74" s="526"/>
      <c r="EN74" s="526"/>
      <c r="EO74" s="526"/>
      <c r="EP74" s="526"/>
      <c r="EQ74" s="561"/>
      <c r="ER74" s="584">
        <f t="shared" si="39"/>
        <v>0</v>
      </c>
      <c r="ES74" s="585"/>
      <c r="ET74" s="586"/>
      <c r="EU74" s="587"/>
      <c r="EV74" s="76">
        <v>0</v>
      </c>
      <c r="EW74" s="87"/>
    </row>
    <row r="75" spans="1:153" s="76" customFormat="1" ht="69.95" customHeight="1" x14ac:dyDescent="0.75">
      <c r="A75" s="81"/>
      <c r="B75" s="82"/>
      <c r="C75" s="729" t="s">
        <v>73</v>
      </c>
      <c r="D75" s="729"/>
      <c r="E75" s="729"/>
      <c r="F75" s="729"/>
      <c r="G75" s="729"/>
      <c r="H75" s="729"/>
      <c r="I75" s="729"/>
      <c r="J75" s="729"/>
      <c r="K75" s="729"/>
      <c r="L75" s="729"/>
      <c r="M75" s="729"/>
      <c r="N75" s="729"/>
      <c r="O75" s="729"/>
      <c r="P75" s="729"/>
      <c r="Q75" s="729"/>
      <c r="R75" s="729"/>
      <c r="S75" s="729"/>
      <c r="T75" s="729"/>
      <c r="U75" s="729"/>
      <c r="V75" s="729"/>
      <c r="W75" s="729"/>
      <c r="X75" s="729"/>
      <c r="Y75" s="729"/>
      <c r="Z75" s="537">
        <f>Z56+Z37</f>
        <v>4650</v>
      </c>
      <c r="AA75" s="538"/>
      <c r="AB75" s="538"/>
      <c r="AC75" s="539"/>
      <c r="AD75" s="533">
        <f>Z75/$Z$79*100</f>
        <v>86.111111111111114</v>
      </c>
      <c r="AE75" s="533"/>
      <c r="AF75" s="533"/>
      <c r="AG75" s="533"/>
      <c r="AH75" s="652">
        <f>AH56+AH37</f>
        <v>658</v>
      </c>
      <c r="AI75" s="730"/>
      <c r="AJ75" s="730"/>
      <c r="AK75" s="730"/>
      <c r="AL75" s="730"/>
      <c r="AM75" s="652">
        <f>AM56+AM37</f>
        <v>334</v>
      </c>
      <c r="AN75" s="730"/>
      <c r="AO75" s="730"/>
      <c r="AP75" s="730"/>
      <c r="AQ75" s="730"/>
      <c r="AR75" s="652">
        <f>AR56+AR37</f>
        <v>302</v>
      </c>
      <c r="AS75" s="730"/>
      <c r="AT75" s="730"/>
      <c r="AU75" s="730"/>
      <c r="AV75" s="730"/>
      <c r="AW75" s="652">
        <f>AW56+AW37</f>
        <v>66</v>
      </c>
      <c r="AX75" s="730"/>
      <c r="AY75" s="730"/>
      <c r="AZ75" s="730"/>
      <c r="BA75" s="730"/>
      <c r="BB75" s="652">
        <f>BB56+BB37</f>
        <v>0</v>
      </c>
      <c r="BC75" s="730"/>
      <c r="BD75" s="730"/>
      <c r="BE75" s="730"/>
      <c r="BF75" s="730"/>
      <c r="BG75" s="652">
        <f>BG56+BG37</f>
        <v>0</v>
      </c>
      <c r="BH75" s="730"/>
      <c r="BI75" s="730"/>
      <c r="BJ75" s="730"/>
      <c r="BK75" s="730"/>
      <c r="BL75" s="731">
        <f>BL56+BL37</f>
        <v>3992</v>
      </c>
      <c r="BM75" s="732"/>
      <c r="BN75" s="732"/>
      <c r="BO75" s="732"/>
      <c r="BP75" s="624">
        <f>BP56+BP37</f>
        <v>24</v>
      </c>
      <c r="BQ75" s="621"/>
      <c r="BR75" s="621"/>
      <c r="BS75" s="621"/>
      <c r="BT75" s="621">
        <f>BT56+BT37</f>
        <v>24</v>
      </c>
      <c r="BU75" s="621"/>
      <c r="BV75" s="621"/>
      <c r="BW75" s="621"/>
      <c r="BX75" s="621">
        <f>BX56+BX37</f>
        <v>24</v>
      </c>
      <c r="BY75" s="621"/>
      <c r="BZ75" s="621"/>
      <c r="CA75" s="621"/>
      <c r="CB75" s="621">
        <f>CB56+CB37</f>
        <v>19</v>
      </c>
      <c r="CC75" s="621"/>
      <c r="CD75" s="621"/>
      <c r="CE75" s="621"/>
      <c r="CF75" s="621">
        <f>CF56+CF37</f>
        <v>20</v>
      </c>
      <c r="CG75" s="621"/>
      <c r="CH75" s="621"/>
      <c r="CI75" s="621"/>
      <c r="CJ75" s="621">
        <f>CJ56+CJ37</f>
        <v>20</v>
      </c>
      <c r="CK75" s="621"/>
      <c r="CL75" s="621"/>
      <c r="CM75" s="621"/>
      <c r="CN75" s="621">
        <f>CN56+CN37</f>
        <v>17</v>
      </c>
      <c r="CO75" s="621"/>
      <c r="CP75" s="621"/>
      <c r="CQ75" s="621"/>
      <c r="CR75" s="621">
        <f>CR56+CR37</f>
        <v>15</v>
      </c>
      <c r="CS75" s="621"/>
      <c r="CT75" s="621"/>
      <c r="CU75" s="621"/>
      <c r="CV75" s="621">
        <f>CV56+CV37</f>
        <v>17</v>
      </c>
      <c r="CW75" s="621"/>
      <c r="CX75" s="621"/>
      <c r="CY75" s="621"/>
      <c r="CZ75" s="621">
        <f>CZ56+CZ37</f>
        <v>15</v>
      </c>
      <c r="DA75" s="621"/>
      <c r="DB75" s="621"/>
      <c r="DC75" s="623"/>
      <c r="DD75" s="624">
        <f>DD56+DD37</f>
        <v>19</v>
      </c>
      <c r="DE75" s="621"/>
      <c r="DF75" s="621"/>
      <c r="DG75" s="621"/>
      <c r="DH75" s="728">
        <f>DH56+DH37</f>
        <v>19</v>
      </c>
      <c r="DI75" s="621"/>
      <c r="DJ75" s="621"/>
      <c r="DK75" s="621"/>
      <c r="DL75" s="728">
        <f>DL56+DL37</f>
        <v>18</v>
      </c>
      <c r="DM75" s="621"/>
      <c r="DN75" s="621"/>
      <c r="DO75" s="621"/>
      <c r="DP75" s="728">
        <f>DP56+DP37</f>
        <v>15</v>
      </c>
      <c r="DQ75" s="621"/>
      <c r="DR75" s="621"/>
      <c r="DS75" s="621"/>
      <c r="DT75" s="728">
        <f>DT56+DT37</f>
        <v>16</v>
      </c>
      <c r="DU75" s="621"/>
      <c r="DV75" s="621"/>
      <c r="DW75" s="621"/>
      <c r="DX75" s="728">
        <f>DX56+DX37</f>
        <v>16</v>
      </c>
      <c r="DY75" s="621"/>
      <c r="DZ75" s="621"/>
      <c r="EA75" s="621"/>
      <c r="EB75" s="728">
        <f>EB56+EB37</f>
        <v>14</v>
      </c>
      <c r="EC75" s="621"/>
      <c r="ED75" s="621"/>
      <c r="EE75" s="621"/>
      <c r="EF75" s="728">
        <f>EF56+EF37</f>
        <v>12</v>
      </c>
      <c r="EG75" s="621"/>
      <c r="EH75" s="621"/>
      <c r="EI75" s="621"/>
      <c r="EJ75" s="728">
        <f>EJ56+EJ37</f>
        <v>14</v>
      </c>
      <c r="EK75" s="621"/>
      <c r="EL75" s="621"/>
      <c r="EM75" s="621"/>
      <c r="EN75" s="621">
        <f>EN56+EN37</f>
        <v>12</v>
      </c>
      <c r="EO75" s="621"/>
      <c r="EP75" s="621"/>
      <c r="EQ75" s="654"/>
      <c r="ER75" s="650">
        <f t="shared" si="39"/>
        <v>155</v>
      </c>
      <c r="ES75" s="651"/>
      <c r="ET75" s="652"/>
      <c r="EU75" s="653"/>
      <c r="EW75" s="87"/>
    </row>
    <row r="76" spans="1:153" s="76" customFormat="1" ht="99" customHeight="1" x14ac:dyDescent="0.75">
      <c r="A76" s="80"/>
      <c r="B76" s="83"/>
      <c r="C76" s="735" t="s">
        <v>74</v>
      </c>
      <c r="D76" s="735"/>
      <c r="E76" s="735"/>
      <c r="F76" s="735"/>
      <c r="G76" s="735"/>
      <c r="H76" s="735"/>
      <c r="I76" s="735"/>
      <c r="J76" s="735"/>
      <c r="K76" s="735"/>
      <c r="L76" s="735"/>
      <c r="M76" s="735"/>
      <c r="N76" s="735"/>
      <c r="O76" s="735"/>
      <c r="P76" s="735"/>
      <c r="Q76" s="735"/>
      <c r="R76" s="735"/>
      <c r="S76" s="735"/>
      <c r="T76" s="735"/>
      <c r="U76" s="735"/>
      <c r="V76" s="735"/>
      <c r="W76" s="735"/>
      <c r="X76" s="735"/>
      <c r="Y76" s="735"/>
      <c r="Z76" s="565">
        <f>ER76*30</f>
        <v>750</v>
      </c>
      <c r="AA76" s="565"/>
      <c r="AB76" s="565"/>
      <c r="AC76" s="565"/>
      <c r="AD76" s="736"/>
      <c r="AE76" s="736"/>
      <c r="AF76" s="736"/>
      <c r="AG76" s="736"/>
      <c r="AH76" s="620">
        <f>AM76+AR76+AW76+BB76+BG76</f>
        <v>0</v>
      </c>
      <c r="AI76" s="620"/>
      <c r="AJ76" s="620"/>
      <c r="AK76" s="620"/>
      <c r="AL76" s="620"/>
      <c r="AM76" s="737"/>
      <c r="AN76" s="738"/>
      <c r="AO76" s="738"/>
      <c r="AP76" s="738"/>
      <c r="AQ76" s="739"/>
      <c r="AR76" s="620"/>
      <c r="AS76" s="620"/>
      <c r="AT76" s="620"/>
      <c r="AU76" s="620"/>
      <c r="AV76" s="620"/>
      <c r="AW76" s="620"/>
      <c r="AX76" s="620"/>
      <c r="AY76" s="620"/>
      <c r="AZ76" s="620"/>
      <c r="BA76" s="620"/>
      <c r="BB76" s="620"/>
      <c r="BC76" s="620"/>
      <c r="BD76" s="620"/>
      <c r="BE76" s="620"/>
      <c r="BF76" s="620"/>
      <c r="BG76" s="620"/>
      <c r="BH76" s="620"/>
      <c r="BI76" s="620"/>
      <c r="BJ76" s="620"/>
      <c r="BK76" s="620"/>
      <c r="BL76" s="733"/>
      <c r="BM76" s="734"/>
      <c r="BN76" s="734"/>
      <c r="BO76" s="734"/>
      <c r="BP76" s="584"/>
      <c r="BQ76" s="586"/>
      <c r="BR76" s="586"/>
      <c r="BS76" s="586"/>
      <c r="BT76" s="586"/>
      <c r="BU76" s="586"/>
      <c r="BV76" s="586"/>
      <c r="BW76" s="586"/>
      <c r="BX76" s="586"/>
      <c r="BY76" s="586"/>
      <c r="BZ76" s="586"/>
      <c r="CA76" s="586"/>
      <c r="CB76" s="586"/>
      <c r="CC76" s="586"/>
      <c r="CD76" s="586"/>
      <c r="CE76" s="586"/>
      <c r="CF76" s="586"/>
      <c r="CG76" s="586"/>
      <c r="CH76" s="586"/>
      <c r="CI76" s="586"/>
      <c r="CJ76" s="586"/>
      <c r="CK76" s="586"/>
      <c r="CL76" s="586"/>
      <c r="CM76" s="586"/>
      <c r="CN76" s="586"/>
      <c r="CO76" s="586"/>
      <c r="CP76" s="586"/>
      <c r="CQ76" s="586"/>
      <c r="CR76" s="586"/>
      <c r="CS76" s="586"/>
      <c r="CT76" s="586"/>
      <c r="CU76" s="586"/>
      <c r="CV76" s="586"/>
      <c r="CW76" s="586"/>
      <c r="CX76" s="586"/>
      <c r="CY76" s="586"/>
      <c r="CZ76" s="586"/>
      <c r="DA76" s="586"/>
      <c r="DB76" s="586"/>
      <c r="DC76" s="587"/>
      <c r="DD76" s="585"/>
      <c r="DE76" s="586"/>
      <c r="DF76" s="586"/>
      <c r="DG76" s="586"/>
      <c r="DH76" s="586"/>
      <c r="DI76" s="586"/>
      <c r="DJ76" s="586"/>
      <c r="DK76" s="586"/>
      <c r="DL76" s="586"/>
      <c r="DM76" s="586"/>
      <c r="DN76" s="586"/>
      <c r="DO76" s="586"/>
      <c r="DP76" s="526">
        <v>2</v>
      </c>
      <c r="DQ76" s="526"/>
      <c r="DR76" s="526"/>
      <c r="DS76" s="526"/>
      <c r="DT76" s="526">
        <v>3</v>
      </c>
      <c r="DU76" s="526"/>
      <c r="DV76" s="526"/>
      <c r="DW76" s="526"/>
      <c r="DX76" s="526">
        <v>3</v>
      </c>
      <c r="DY76" s="526"/>
      <c r="DZ76" s="526"/>
      <c r="EA76" s="526"/>
      <c r="EB76" s="526">
        <v>3</v>
      </c>
      <c r="EC76" s="526"/>
      <c r="ED76" s="526"/>
      <c r="EE76" s="526"/>
      <c r="EF76" s="526">
        <v>4</v>
      </c>
      <c r="EG76" s="526"/>
      <c r="EH76" s="526"/>
      <c r="EI76" s="526"/>
      <c r="EJ76" s="526">
        <v>4</v>
      </c>
      <c r="EK76" s="526"/>
      <c r="EL76" s="526"/>
      <c r="EM76" s="526"/>
      <c r="EN76" s="526">
        <v>6</v>
      </c>
      <c r="EO76" s="526"/>
      <c r="EP76" s="526"/>
      <c r="EQ76" s="561"/>
      <c r="ER76" s="577">
        <f t="shared" ref="ER76:ER77" si="49">DD76+DH76+DL76+DP76+DT76+DX76+EB76+EF76+EJ76+EN76</f>
        <v>25</v>
      </c>
      <c r="ES76" s="578"/>
      <c r="ET76" s="579"/>
      <c r="EU76" s="580"/>
      <c r="EW76" s="87"/>
    </row>
    <row r="77" spans="1:153" s="76" customFormat="1" ht="99" customHeight="1" x14ac:dyDescent="0.75">
      <c r="A77" s="80"/>
      <c r="B77" s="83"/>
      <c r="C77" s="735" t="s">
        <v>15</v>
      </c>
      <c r="D77" s="735"/>
      <c r="E77" s="735"/>
      <c r="F77" s="735"/>
      <c r="G77" s="735"/>
      <c r="H77" s="735"/>
      <c r="I77" s="735"/>
      <c r="J77" s="735"/>
      <c r="K77" s="735"/>
      <c r="L77" s="735"/>
      <c r="M77" s="735"/>
      <c r="N77" s="735"/>
      <c r="O77" s="735"/>
      <c r="P77" s="735"/>
      <c r="Q77" s="735"/>
      <c r="R77" s="735"/>
      <c r="S77" s="735"/>
      <c r="T77" s="735"/>
      <c r="U77" s="735"/>
      <c r="V77" s="735"/>
      <c r="W77" s="735"/>
      <c r="X77" s="735"/>
      <c r="Y77" s="735"/>
      <c r="Z77" s="565">
        <f>ER77*30</f>
        <v>0</v>
      </c>
      <c r="AA77" s="565"/>
      <c r="AB77" s="565"/>
      <c r="AC77" s="565"/>
      <c r="AD77" s="639"/>
      <c r="AE77" s="639"/>
      <c r="AF77" s="639"/>
      <c r="AG77" s="586"/>
      <c r="AH77" s="620">
        <f>AM77+AR77+AW77+BB77+BG77</f>
        <v>0</v>
      </c>
      <c r="AI77" s="620"/>
      <c r="AJ77" s="620"/>
      <c r="AK77" s="620"/>
      <c r="AL77" s="620"/>
      <c r="AM77" s="242"/>
      <c r="AN77" s="243"/>
      <c r="AO77" s="243"/>
      <c r="AP77" s="243"/>
      <c r="AQ77" s="244"/>
      <c r="AR77" s="620"/>
      <c r="AS77" s="620"/>
      <c r="AT77" s="620"/>
      <c r="AU77" s="620"/>
      <c r="AV77" s="620"/>
      <c r="AW77" s="620"/>
      <c r="AX77" s="620"/>
      <c r="AY77" s="620"/>
      <c r="AZ77" s="620"/>
      <c r="BA77" s="620"/>
      <c r="BB77" s="620"/>
      <c r="BC77" s="620"/>
      <c r="BD77" s="620"/>
      <c r="BE77" s="620"/>
      <c r="BF77" s="620"/>
      <c r="BG77" s="620"/>
      <c r="BH77" s="620"/>
      <c r="BI77" s="620"/>
      <c r="BJ77" s="620"/>
      <c r="BK77" s="620"/>
      <c r="BL77" s="733"/>
      <c r="BM77" s="734"/>
      <c r="BN77" s="734"/>
      <c r="BO77" s="734"/>
      <c r="BP77" s="584"/>
      <c r="BQ77" s="586"/>
      <c r="BR77" s="586"/>
      <c r="BS77" s="586"/>
      <c r="BT77" s="586"/>
      <c r="BU77" s="586"/>
      <c r="BV77" s="586"/>
      <c r="BW77" s="586"/>
      <c r="BX77" s="586"/>
      <c r="BY77" s="586"/>
      <c r="BZ77" s="586"/>
      <c r="CA77" s="586"/>
      <c r="CB77" s="586"/>
      <c r="CC77" s="586"/>
      <c r="CD77" s="586"/>
      <c r="CE77" s="586"/>
      <c r="CF77" s="586"/>
      <c r="CG77" s="586"/>
      <c r="CH77" s="586"/>
      <c r="CI77" s="586"/>
      <c r="CJ77" s="586"/>
      <c r="CK77" s="586"/>
      <c r="CL77" s="586"/>
      <c r="CM77" s="586"/>
      <c r="CN77" s="586"/>
      <c r="CO77" s="586"/>
      <c r="CP77" s="586"/>
      <c r="CQ77" s="586"/>
      <c r="CR77" s="586"/>
      <c r="CS77" s="586"/>
      <c r="CT77" s="586"/>
      <c r="CU77" s="586"/>
      <c r="CV77" s="586"/>
      <c r="CW77" s="586"/>
      <c r="CX77" s="586"/>
      <c r="CY77" s="586"/>
      <c r="CZ77" s="586"/>
      <c r="DA77" s="586"/>
      <c r="DB77" s="586"/>
      <c r="DC77" s="587"/>
      <c r="DD77" s="585"/>
      <c r="DE77" s="586"/>
      <c r="DF77" s="586"/>
      <c r="DG77" s="586"/>
      <c r="DH77" s="586"/>
      <c r="DI77" s="586"/>
      <c r="DJ77" s="586"/>
      <c r="DK77" s="586"/>
      <c r="DL77" s="586"/>
      <c r="DM77" s="586"/>
      <c r="DN77" s="586"/>
      <c r="DO77" s="586"/>
      <c r="DP77" s="526"/>
      <c r="DQ77" s="526"/>
      <c r="DR77" s="526"/>
      <c r="DS77" s="526"/>
      <c r="DT77" s="526"/>
      <c r="DU77" s="526"/>
      <c r="DV77" s="526"/>
      <c r="DW77" s="526"/>
      <c r="DX77" s="526"/>
      <c r="DY77" s="526"/>
      <c r="DZ77" s="526"/>
      <c r="EA77" s="526"/>
      <c r="EB77" s="526"/>
      <c r="EC77" s="526"/>
      <c r="ED77" s="526"/>
      <c r="EE77" s="526"/>
      <c r="EF77" s="526"/>
      <c r="EG77" s="526"/>
      <c r="EH77" s="526"/>
      <c r="EI77" s="526"/>
      <c r="EJ77" s="526"/>
      <c r="EK77" s="526"/>
      <c r="EL77" s="526"/>
      <c r="EM77" s="526"/>
      <c r="EN77" s="526"/>
      <c r="EO77" s="526"/>
      <c r="EP77" s="526"/>
      <c r="EQ77" s="561"/>
      <c r="ER77" s="577">
        <f t="shared" si="49"/>
        <v>0</v>
      </c>
      <c r="ES77" s="578"/>
      <c r="ET77" s="579"/>
      <c r="EU77" s="580"/>
      <c r="EW77" s="87"/>
    </row>
    <row r="78" spans="1:153" s="76" customFormat="1" ht="69.95" customHeight="1" x14ac:dyDescent="0.75">
      <c r="A78" s="81"/>
      <c r="B78" s="82"/>
      <c r="C78" s="729" t="s">
        <v>73</v>
      </c>
      <c r="D78" s="729"/>
      <c r="E78" s="729"/>
      <c r="F78" s="729"/>
      <c r="G78" s="729"/>
      <c r="H78" s="729"/>
      <c r="I78" s="729"/>
      <c r="J78" s="729"/>
      <c r="K78" s="729"/>
      <c r="L78" s="729"/>
      <c r="M78" s="729"/>
      <c r="N78" s="729"/>
      <c r="O78" s="729"/>
      <c r="P78" s="729"/>
      <c r="Q78" s="729"/>
      <c r="R78" s="729"/>
      <c r="S78" s="729"/>
      <c r="T78" s="729"/>
      <c r="U78" s="729"/>
      <c r="V78" s="729"/>
      <c r="W78" s="729"/>
      <c r="X78" s="729"/>
      <c r="Y78" s="729"/>
      <c r="Z78" s="730">
        <f>Z76+Z77</f>
        <v>750</v>
      </c>
      <c r="AA78" s="730"/>
      <c r="AB78" s="730"/>
      <c r="AC78" s="730"/>
      <c r="AD78" s="533">
        <f>Z78/$Z$79*100</f>
        <v>13.888888888888889</v>
      </c>
      <c r="AE78" s="533"/>
      <c r="AF78" s="533"/>
      <c r="AG78" s="533"/>
      <c r="AH78" s="730">
        <f>AH76+AH77</f>
        <v>0</v>
      </c>
      <c r="AI78" s="730"/>
      <c r="AJ78" s="730"/>
      <c r="AK78" s="730"/>
      <c r="AL78" s="730"/>
      <c r="AM78" s="731">
        <f>AM76+AM77</f>
        <v>0</v>
      </c>
      <c r="AN78" s="748"/>
      <c r="AO78" s="748"/>
      <c r="AP78" s="748"/>
      <c r="AQ78" s="651"/>
      <c r="AR78" s="731">
        <f t="shared" ref="AR78" si="50">AR76+AR77</f>
        <v>0</v>
      </c>
      <c r="AS78" s="748"/>
      <c r="AT78" s="748"/>
      <c r="AU78" s="748"/>
      <c r="AV78" s="651"/>
      <c r="AW78" s="731">
        <f t="shared" ref="AW78" si="51">AW76+AW77</f>
        <v>0</v>
      </c>
      <c r="AX78" s="748"/>
      <c r="AY78" s="748"/>
      <c r="AZ78" s="748"/>
      <c r="BA78" s="651"/>
      <c r="BB78" s="731">
        <f t="shared" ref="BB78" si="52">BB76+BB77</f>
        <v>0</v>
      </c>
      <c r="BC78" s="748"/>
      <c r="BD78" s="748"/>
      <c r="BE78" s="748"/>
      <c r="BF78" s="651"/>
      <c r="BG78" s="731">
        <f t="shared" ref="BG78" si="53">BG76+BG77</f>
        <v>0</v>
      </c>
      <c r="BH78" s="748"/>
      <c r="BI78" s="748"/>
      <c r="BJ78" s="748"/>
      <c r="BK78" s="651"/>
      <c r="BL78" s="750">
        <f>BL76+BL77</f>
        <v>0</v>
      </c>
      <c r="BM78" s="732"/>
      <c r="BN78" s="732"/>
      <c r="BO78" s="732"/>
      <c r="BP78" s="624">
        <f t="shared" ref="BP78" si="54">BP76+BP77</f>
        <v>0</v>
      </c>
      <c r="BQ78" s="621"/>
      <c r="BR78" s="621"/>
      <c r="BS78" s="621"/>
      <c r="BT78" s="621">
        <f t="shared" ref="BT78" si="55">BT76+BT77</f>
        <v>0</v>
      </c>
      <c r="BU78" s="621"/>
      <c r="BV78" s="621"/>
      <c r="BW78" s="621"/>
      <c r="BX78" s="621">
        <f t="shared" ref="BX78" si="56">BX76+BX77</f>
        <v>0</v>
      </c>
      <c r="BY78" s="621"/>
      <c r="BZ78" s="621"/>
      <c r="CA78" s="621"/>
      <c r="CB78" s="621">
        <f t="shared" ref="CB78" si="57">CB76+CB77</f>
        <v>0</v>
      </c>
      <c r="CC78" s="621"/>
      <c r="CD78" s="621"/>
      <c r="CE78" s="621"/>
      <c r="CF78" s="621">
        <f t="shared" ref="CF78" si="58">CF76+CF77</f>
        <v>0</v>
      </c>
      <c r="CG78" s="621"/>
      <c r="CH78" s="621"/>
      <c r="CI78" s="621"/>
      <c r="CJ78" s="621">
        <f t="shared" ref="CJ78" si="59">CJ76+CJ77</f>
        <v>0</v>
      </c>
      <c r="CK78" s="621"/>
      <c r="CL78" s="621"/>
      <c r="CM78" s="621"/>
      <c r="CN78" s="621">
        <f t="shared" ref="CN78" si="60">CN76+CN77</f>
        <v>0</v>
      </c>
      <c r="CO78" s="621"/>
      <c r="CP78" s="621"/>
      <c r="CQ78" s="621"/>
      <c r="CR78" s="621">
        <f t="shared" ref="CR78" si="61">CR76+CR77</f>
        <v>0</v>
      </c>
      <c r="CS78" s="621"/>
      <c r="CT78" s="621"/>
      <c r="CU78" s="621"/>
      <c r="CV78" s="621">
        <f t="shared" ref="CV78" si="62">CV76+CV77</f>
        <v>0</v>
      </c>
      <c r="CW78" s="621"/>
      <c r="CX78" s="621"/>
      <c r="CY78" s="621"/>
      <c r="CZ78" s="621">
        <f t="shared" ref="CZ78" si="63">CZ76+CZ77</f>
        <v>0</v>
      </c>
      <c r="DA78" s="621"/>
      <c r="DB78" s="621"/>
      <c r="DC78" s="623"/>
      <c r="DD78" s="624">
        <f>DD76+DD77</f>
        <v>0</v>
      </c>
      <c r="DE78" s="621"/>
      <c r="DF78" s="621"/>
      <c r="DG78" s="621"/>
      <c r="DH78" s="621">
        <f>DH76+DH77</f>
        <v>0</v>
      </c>
      <c r="DI78" s="621"/>
      <c r="DJ78" s="621"/>
      <c r="DK78" s="621"/>
      <c r="DL78" s="621">
        <f>DL76+DL77</f>
        <v>0</v>
      </c>
      <c r="DM78" s="621"/>
      <c r="DN78" s="621"/>
      <c r="DO78" s="621"/>
      <c r="DP78" s="621">
        <f>DP76+DP77</f>
        <v>2</v>
      </c>
      <c r="DQ78" s="621"/>
      <c r="DR78" s="621"/>
      <c r="DS78" s="621"/>
      <c r="DT78" s="621">
        <f>DT76+DT77</f>
        <v>3</v>
      </c>
      <c r="DU78" s="621"/>
      <c r="DV78" s="621"/>
      <c r="DW78" s="621"/>
      <c r="DX78" s="621">
        <f>DX76+DX77</f>
        <v>3</v>
      </c>
      <c r="DY78" s="621"/>
      <c r="DZ78" s="621"/>
      <c r="EA78" s="621"/>
      <c r="EB78" s="621">
        <f>EB76+EB77</f>
        <v>3</v>
      </c>
      <c r="EC78" s="621"/>
      <c r="ED78" s="621"/>
      <c r="EE78" s="621"/>
      <c r="EF78" s="621">
        <f>EF76+EF77</f>
        <v>4</v>
      </c>
      <c r="EG78" s="621"/>
      <c r="EH78" s="621"/>
      <c r="EI78" s="621"/>
      <c r="EJ78" s="621">
        <f>EJ76+EJ77</f>
        <v>4</v>
      </c>
      <c r="EK78" s="621"/>
      <c r="EL78" s="621"/>
      <c r="EM78" s="621"/>
      <c r="EN78" s="621">
        <f>EN76+EN77</f>
        <v>6</v>
      </c>
      <c r="EO78" s="621"/>
      <c r="EP78" s="621"/>
      <c r="EQ78" s="654"/>
      <c r="ER78" s="650">
        <f>DD78+DH78+DL78+DP78+DT78+DX78+EB78+EF78+EJ78+EN78</f>
        <v>25</v>
      </c>
      <c r="ES78" s="651"/>
      <c r="ET78" s="652"/>
      <c r="EU78" s="653"/>
      <c r="EW78" s="87"/>
    </row>
    <row r="79" spans="1:153" s="76" customFormat="1" ht="69.95" customHeight="1" x14ac:dyDescent="0.75">
      <c r="A79" s="84"/>
      <c r="B79" s="85"/>
      <c r="C79" s="534" t="s">
        <v>20</v>
      </c>
      <c r="D79" s="534"/>
      <c r="E79" s="534"/>
      <c r="F79" s="534"/>
      <c r="G79" s="534"/>
      <c r="H79" s="534"/>
      <c r="I79" s="534"/>
      <c r="J79" s="534"/>
      <c r="K79" s="534"/>
      <c r="L79" s="534"/>
      <c r="M79" s="534"/>
      <c r="N79" s="534"/>
      <c r="O79" s="534"/>
      <c r="P79" s="534"/>
      <c r="Q79" s="534"/>
      <c r="R79" s="534"/>
      <c r="S79" s="534"/>
      <c r="T79" s="534"/>
      <c r="U79" s="534"/>
      <c r="V79" s="534"/>
      <c r="W79" s="534"/>
      <c r="X79" s="534"/>
      <c r="Y79" s="534"/>
      <c r="Z79" s="535">
        <f>Z78+Z75</f>
        <v>5400</v>
      </c>
      <c r="AA79" s="536"/>
      <c r="AB79" s="536"/>
      <c r="AC79" s="536"/>
      <c r="AD79" s="749">
        <f>AD75+AD78</f>
        <v>100</v>
      </c>
      <c r="AE79" s="749"/>
      <c r="AF79" s="749"/>
      <c r="AG79" s="749"/>
      <c r="AH79" s="740">
        <f>AH75+AH78</f>
        <v>658</v>
      </c>
      <c r="AI79" s="741"/>
      <c r="AJ79" s="741"/>
      <c r="AK79" s="741"/>
      <c r="AL79" s="741"/>
      <c r="AM79" s="740">
        <f>AM75+AM78</f>
        <v>334</v>
      </c>
      <c r="AN79" s="741"/>
      <c r="AO79" s="741"/>
      <c r="AP79" s="741"/>
      <c r="AQ79" s="741"/>
      <c r="AR79" s="740">
        <f t="shared" ref="AR79" si="64">AR75+AR78</f>
        <v>302</v>
      </c>
      <c r="AS79" s="741"/>
      <c r="AT79" s="741"/>
      <c r="AU79" s="741"/>
      <c r="AV79" s="741"/>
      <c r="AW79" s="740">
        <f t="shared" ref="AW79" si="65">AW75+AW78</f>
        <v>66</v>
      </c>
      <c r="AX79" s="741"/>
      <c r="AY79" s="741"/>
      <c r="AZ79" s="741"/>
      <c r="BA79" s="741"/>
      <c r="BB79" s="740">
        <f t="shared" ref="BB79" si="66">BB75+BB78</f>
        <v>0</v>
      </c>
      <c r="BC79" s="741"/>
      <c r="BD79" s="741"/>
      <c r="BE79" s="741"/>
      <c r="BF79" s="741"/>
      <c r="BG79" s="740">
        <f t="shared" ref="BG79" si="67">BG75+BG78</f>
        <v>0</v>
      </c>
      <c r="BH79" s="741"/>
      <c r="BI79" s="741"/>
      <c r="BJ79" s="741"/>
      <c r="BK79" s="741"/>
      <c r="BL79" s="742">
        <f>BL75+BL78</f>
        <v>3992</v>
      </c>
      <c r="BM79" s="743"/>
      <c r="BN79" s="743"/>
      <c r="BO79" s="743"/>
      <c r="BP79" s="744">
        <f t="shared" ref="BP79:CZ79" si="68">BP75+BP78</f>
        <v>24</v>
      </c>
      <c r="BQ79" s="745"/>
      <c r="BR79" s="745"/>
      <c r="BS79" s="745"/>
      <c r="BT79" s="746">
        <f t="shared" si="68"/>
        <v>24</v>
      </c>
      <c r="BU79" s="745"/>
      <c r="BV79" s="745"/>
      <c r="BW79" s="745"/>
      <c r="BX79" s="746">
        <f t="shared" si="68"/>
        <v>24</v>
      </c>
      <c r="BY79" s="745"/>
      <c r="BZ79" s="745"/>
      <c r="CA79" s="745"/>
      <c r="CB79" s="746">
        <f t="shared" si="68"/>
        <v>19</v>
      </c>
      <c r="CC79" s="745"/>
      <c r="CD79" s="745"/>
      <c r="CE79" s="745"/>
      <c r="CF79" s="746">
        <f t="shared" si="68"/>
        <v>20</v>
      </c>
      <c r="CG79" s="745"/>
      <c r="CH79" s="745"/>
      <c r="CI79" s="745"/>
      <c r="CJ79" s="746">
        <f t="shared" si="68"/>
        <v>20</v>
      </c>
      <c r="CK79" s="745"/>
      <c r="CL79" s="745"/>
      <c r="CM79" s="745"/>
      <c r="CN79" s="746">
        <f t="shared" si="68"/>
        <v>17</v>
      </c>
      <c r="CO79" s="745"/>
      <c r="CP79" s="745"/>
      <c r="CQ79" s="745"/>
      <c r="CR79" s="746">
        <f t="shared" si="68"/>
        <v>15</v>
      </c>
      <c r="CS79" s="745"/>
      <c r="CT79" s="745"/>
      <c r="CU79" s="745"/>
      <c r="CV79" s="746">
        <f t="shared" si="68"/>
        <v>17</v>
      </c>
      <c r="CW79" s="745"/>
      <c r="CX79" s="745"/>
      <c r="CY79" s="745"/>
      <c r="CZ79" s="745">
        <f t="shared" si="68"/>
        <v>15</v>
      </c>
      <c r="DA79" s="745"/>
      <c r="DB79" s="745"/>
      <c r="DC79" s="747"/>
      <c r="DD79" s="746">
        <f>DD75+DD78</f>
        <v>19</v>
      </c>
      <c r="DE79" s="745"/>
      <c r="DF79" s="745"/>
      <c r="DG79" s="745"/>
      <c r="DH79" s="746">
        <f t="shared" ref="DH79" si="69">DH75+DH78</f>
        <v>19</v>
      </c>
      <c r="DI79" s="745"/>
      <c r="DJ79" s="745"/>
      <c r="DK79" s="745"/>
      <c r="DL79" s="746">
        <f t="shared" ref="DL79" si="70">DL75+DL78</f>
        <v>18</v>
      </c>
      <c r="DM79" s="745"/>
      <c r="DN79" s="745"/>
      <c r="DO79" s="745"/>
      <c r="DP79" s="746">
        <f t="shared" ref="DP79" si="71">DP75+DP78</f>
        <v>17</v>
      </c>
      <c r="DQ79" s="745"/>
      <c r="DR79" s="745"/>
      <c r="DS79" s="745"/>
      <c r="DT79" s="746">
        <f t="shared" ref="DT79" si="72">DT75+DT78</f>
        <v>19</v>
      </c>
      <c r="DU79" s="745"/>
      <c r="DV79" s="745"/>
      <c r="DW79" s="745"/>
      <c r="DX79" s="746">
        <f t="shared" ref="DX79" si="73">DX75+DX78</f>
        <v>19</v>
      </c>
      <c r="DY79" s="745"/>
      <c r="DZ79" s="745"/>
      <c r="EA79" s="745"/>
      <c r="EB79" s="746">
        <f t="shared" ref="EB79" si="74">EB75+EB78</f>
        <v>17</v>
      </c>
      <c r="EC79" s="745"/>
      <c r="ED79" s="745"/>
      <c r="EE79" s="745"/>
      <c r="EF79" s="746">
        <f t="shared" ref="EF79" si="75">EF75+EF78</f>
        <v>16</v>
      </c>
      <c r="EG79" s="745"/>
      <c r="EH79" s="745"/>
      <c r="EI79" s="745"/>
      <c r="EJ79" s="746">
        <f t="shared" ref="EJ79" si="76">EJ75+EJ78</f>
        <v>18</v>
      </c>
      <c r="EK79" s="745"/>
      <c r="EL79" s="745"/>
      <c r="EM79" s="745"/>
      <c r="EN79" s="745">
        <f t="shared" ref="EN79" si="77">EN75+EN78</f>
        <v>18</v>
      </c>
      <c r="EO79" s="745"/>
      <c r="EP79" s="745"/>
      <c r="EQ79" s="747"/>
      <c r="ER79" s="751">
        <f t="shared" si="39"/>
        <v>180</v>
      </c>
      <c r="ES79" s="752"/>
      <c r="ET79" s="740"/>
      <c r="EU79" s="753"/>
      <c r="EW79" s="87"/>
    </row>
    <row r="80" spans="1:153" ht="64.5" customHeight="1" x14ac:dyDescent="0.2">
      <c r="A80" s="96"/>
      <c r="B80" s="97"/>
      <c r="C80" s="98"/>
      <c r="D80" s="98"/>
      <c r="E80" s="98"/>
      <c r="F80" s="98"/>
      <c r="G80" s="98"/>
      <c r="H80" s="98"/>
      <c r="I80" s="98"/>
      <c r="J80" s="98"/>
      <c r="K80" s="98"/>
      <c r="L80" s="98"/>
      <c r="M80" s="98"/>
      <c r="N80" s="98"/>
      <c r="O80" s="98"/>
      <c r="P80" s="98"/>
      <c r="Q80" s="98"/>
      <c r="R80" s="98"/>
      <c r="S80" s="98"/>
      <c r="T80" s="98"/>
      <c r="U80" s="98"/>
      <c r="V80" s="98"/>
      <c r="W80" s="98"/>
      <c r="X80" s="98"/>
      <c r="Y80" s="98"/>
      <c r="Z80" s="74"/>
      <c r="AA80" s="75"/>
      <c r="AB80" s="75"/>
      <c r="AC80" s="75"/>
      <c r="AD80" s="99"/>
      <c r="AE80" s="99"/>
      <c r="AF80" s="99"/>
      <c r="AG80" s="99"/>
      <c r="AH80" s="74"/>
      <c r="AI80" s="75"/>
      <c r="AJ80" s="75"/>
      <c r="AK80" s="75"/>
      <c r="AL80" s="75"/>
      <c r="AM80" s="74"/>
      <c r="AN80" s="75"/>
      <c r="AO80" s="75"/>
      <c r="AP80" s="75"/>
      <c r="AQ80" s="75"/>
      <c r="AR80" s="74"/>
      <c r="AS80" s="75"/>
      <c r="AT80" s="75"/>
      <c r="AU80" s="75"/>
      <c r="AV80" s="75"/>
      <c r="AW80" s="74"/>
      <c r="AX80" s="75"/>
      <c r="AY80" s="75"/>
      <c r="AZ80" s="75"/>
      <c r="BA80" s="75"/>
      <c r="BB80" s="74"/>
      <c r="BC80" s="75"/>
      <c r="BD80" s="75"/>
      <c r="BE80" s="75"/>
      <c r="BF80" s="75"/>
      <c r="BG80" s="74"/>
      <c r="BH80" s="75"/>
      <c r="BI80" s="75"/>
      <c r="BJ80" s="75"/>
      <c r="BK80" s="75"/>
      <c r="BL80" s="74"/>
      <c r="BM80" s="100"/>
      <c r="BN80" s="100"/>
      <c r="BO80" s="100"/>
      <c r="BP80" s="101"/>
      <c r="BQ80" s="101"/>
      <c r="BR80" s="101"/>
      <c r="BS80" s="101"/>
      <c r="BT80" s="101"/>
      <c r="BU80" s="101"/>
      <c r="BV80" s="101"/>
      <c r="BW80" s="101"/>
      <c r="BX80" s="101"/>
      <c r="BY80" s="101"/>
      <c r="BZ80" s="101"/>
      <c r="CA80" s="101"/>
      <c r="CB80" s="101"/>
      <c r="CC80" s="101"/>
      <c r="CD80" s="101"/>
      <c r="CE80" s="101"/>
      <c r="CF80" s="101"/>
      <c r="CG80" s="101"/>
      <c r="CH80" s="101"/>
      <c r="CI80" s="101"/>
      <c r="CJ80" s="101"/>
      <c r="CK80" s="101"/>
      <c r="CL80" s="101"/>
      <c r="CM80" s="101"/>
      <c r="CN80" s="101"/>
      <c r="CO80" s="101"/>
      <c r="CP80" s="101"/>
      <c r="CQ80" s="101"/>
      <c r="CR80" s="101"/>
      <c r="CS80" s="101"/>
      <c r="CT80" s="101"/>
      <c r="CU80" s="101"/>
      <c r="CV80" s="101"/>
      <c r="CW80" s="101"/>
      <c r="CX80" s="101"/>
      <c r="CY80" s="101"/>
      <c r="CZ80" s="101"/>
      <c r="DA80" s="101"/>
      <c r="DB80" s="101"/>
      <c r="DC80" s="101"/>
      <c r="DD80" s="101"/>
      <c r="DE80" s="101"/>
      <c r="DF80" s="101"/>
      <c r="DG80" s="101"/>
      <c r="DH80" s="101"/>
      <c r="DI80" s="101"/>
      <c r="DJ80" s="101"/>
      <c r="DK80" s="101"/>
      <c r="DL80" s="101"/>
      <c r="DM80" s="101"/>
      <c r="DN80" s="101"/>
      <c r="DO80" s="101"/>
      <c r="DP80" s="101"/>
      <c r="DQ80" s="101"/>
      <c r="DR80" s="101"/>
      <c r="DS80" s="101"/>
      <c r="DT80" s="101"/>
      <c r="DU80" s="101"/>
      <c r="DV80" s="101"/>
      <c r="DW80" s="101"/>
      <c r="DX80" s="101"/>
      <c r="DY80" s="101"/>
      <c r="DZ80" s="101"/>
      <c r="EA80" s="101"/>
      <c r="EB80" s="101"/>
      <c r="EC80" s="101"/>
      <c r="ED80" s="101"/>
      <c r="EE80" s="101"/>
      <c r="EF80" s="101"/>
      <c r="EG80" s="101"/>
      <c r="EH80" s="101"/>
      <c r="EI80" s="101"/>
      <c r="EJ80" s="101"/>
      <c r="EK80" s="101"/>
      <c r="EL80" s="101"/>
      <c r="EM80" s="101"/>
      <c r="EN80" s="101"/>
      <c r="EO80" s="101"/>
      <c r="EP80" s="101"/>
      <c r="EQ80" s="101"/>
      <c r="ER80" s="74"/>
      <c r="ES80" s="74"/>
      <c r="ET80" s="74"/>
      <c r="EU80" s="75"/>
    </row>
    <row r="81" spans="2:150" ht="140.1" customHeight="1" x14ac:dyDescent="0.2">
      <c r="B81" s="497" t="s">
        <v>86</v>
      </c>
      <c r="C81" s="497"/>
      <c r="D81" s="497"/>
      <c r="E81" s="497"/>
      <c r="F81" s="497"/>
    </row>
    <row r="82" spans="2:150" ht="140.1" customHeight="1" x14ac:dyDescent="0.2">
      <c r="B82" s="62"/>
      <c r="C82" s="497" t="s">
        <v>162</v>
      </c>
      <c r="D82" s="497"/>
      <c r="E82" s="273" t="s">
        <v>254</v>
      </c>
      <c r="F82" s="273"/>
      <c r="G82" s="273"/>
      <c r="H82" s="273"/>
      <c r="I82" s="273"/>
      <c r="J82" s="273"/>
      <c r="K82" s="273"/>
      <c r="L82" s="273"/>
      <c r="M82" s="273"/>
      <c r="N82" s="273"/>
      <c r="O82" s="273"/>
      <c r="P82" s="273"/>
      <c r="Q82" s="273"/>
      <c r="R82" s="273"/>
      <c r="S82" s="273"/>
      <c r="T82" s="273"/>
      <c r="U82" s="273"/>
      <c r="V82" s="273"/>
      <c r="W82" s="273"/>
      <c r="X82" s="273"/>
      <c r="Y82" s="273"/>
      <c r="Z82" s="273"/>
      <c r="AA82" s="273"/>
      <c r="AB82" s="273"/>
      <c r="AC82" s="273"/>
      <c r="AD82" s="273"/>
      <c r="AE82" s="273"/>
      <c r="AF82" s="273"/>
      <c r="AG82" s="273"/>
      <c r="AH82" s="273"/>
      <c r="AI82" s="273"/>
      <c r="AJ82" s="273"/>
      <c r="AK82" s="273"/>
      <c r="AL82" s="273"/>
      <c r="AM82" s="273"/>
      <c r="AN82" s="273"/>
      <c r="AO82" s="273"/>
      <c r="AP82" s="273"/>
      <c r="AQ82" s="273"/>
      <c r="AR82" s="273"/>
      <c r="AS82" s="273"/>
      <c r="AT82" s="273"/>
      <c r="AU82" s="273"/>
      <c r="AV82" s="273"/>
      <c r="AW82" s="273"/>
      <c r="AX82" s="273"/>
      <c r="AY82" s="273"/>
      <c r="AZ82" s="273"/>
      <c r="BA82" s="273"/>
      <c r="BB82" s="273"/>
      <c r="BC82" s="273"/>
      <c r="BD82" s="273"/>
      <c r="BE82" s="273"/>
      <c r="BF82" s="273"/>
      <c r="BG82" s="273"/>
      <c r="BH82" s="273"/>
      <c r="BI82" s="273"/>
      <c r="BJ82" s="273"/>
      <c r="BK82" s="273"/>
      <c r="BL82" s="273"/>
      <c r="BM82" s="273"/>
      <c r="BN82" s="273"/>
      <c r="BO82" s="273"/>
      <c r="BP82" s="273"/>
      <c r="BQ82" s="273"/>
      <c r="BR82" s="273"/>
      <c r="BS82" s="273"/>
      <c r="BT82" s="273"/>
      <c r="BU82" s="273"/>
      <c r="BV82" s="273"/>
      <c r="BW82" s="273"/>
      <c r="BX82" s="273"/>
      <c r="BY82" s="273"/>
      <c r="BZ82" s="273"/>
      <c r="CA82" s="273"/>
      <c r="CB82" s="273"/>
      <c r="CC82" s="273"/>
      <c r="CD82" s="273"/>
      <c r="CE82" s="273"/>
      <c r="CF82" s="273"/>
      <c r="CG82" s="273"/>
      <c r="CH82" s="273"/>
      <c r="CI82" s="273"/>
      <c r="CJ82" s="273"/>
      <c r="CK82" s="273"/>
      <c r="CL82" s="273"/>
      <c r="CM82" s="273"/>
      <c r="CN82" s="273"/>
      <c r="CO82" s="273"/>
      <c r="CP82" s="273"/>
      <c r="CQ82" s="273"/>
      <c r="CR82" s="273"/>
      <c r="CS82" s="273"/>
      <c r="CT82" s="273"/>
      <c r="CU82" s="273"/>
      <c r="CV82" s="273"/>
      <c r="CW82" s="273"/>
      <c r="CX82" s="273"/>
      <c r="CY82" s="273"/>
      <c r="CZ82" s="273"/>
      <c r="DA82" s="273"/>
      <c r="DB82" s="273"/>
      <c r="DC82" s="273"/>
      <c r="DD82" s="273"/>
      <c r="DE82" s="273"/>
      <c r="DF82" s="273"/>
      <c r="DG82" s="273"/>
      <c r="DH82" s="273"/>
      <c r="DI82" s="273"/>
      <c r="DJ82" s="273"/>
      <c r="DK82" s="273"/>
      <c r="DL82" s="273"/>
      <c r="DM82" s="273"/>
      <c r="DN82" s="273"/>
      <c r="DO82" s="273"/>
      <c r="DP82" s="273"/>
      <c r="DQ82" s="273"/>
      <c r="DR82" s="273"/>
      <c r="DS82" s="273"/>
      <c r="DT82" s="273"/>
      <c r="DU82" s="273"/>
      <c r="DV82" s="273"/>
      <c r="DW82" s="273"/>
      <c r="DX82" s="273"/>
      <c r="DY82" s="273"/>
      <c r="DZ82" s="273"/>
      <c r="EA82" s="273"/>
      <c r="EB82" s="273"/>
      <c r="EC82" s="273"/>
      <c r="ED82" s="273"/>
      <c r="EE82" s="273"/>
      <c r="EF82" s="273"/>
      <c r="EG82" s="273"/>
      <c r="EH82" s="273"/>
      <c r="EI82" s="273"/>
      <c r="EJ82" s="273"/>
      <c r="EK82" s="273"/>
      <c r="EL82" s="273"/>
      <c r="EM82" s="273"/>
      <c r="EN82" s="273"/>
      <c r="EO82" s="273"/>
      <c r="EP82" s="273"/>
      <c r="EQ82" s="273"/>
      <c r="ER82" s="273"/>
      <c r="ES82" s="273"/>
      <c r="ET82" s="273"/>
    </row>
    <row r="83" spans="2:150" ht="140.1" customHeight="1" x14ac:dyDescent="0.2">
      <c r="B83" s="62"/>
      <c r="C83" s="497" t="s">
        <v>163</v>
      </c>
      <c r="D83" s="497"/>
      <c r="E83" s="273" t="s">
        <v>174</v>
      </c>
      <c r="F83" s="498"/>
      <c r="G83" s="498"/>
      <c r="H83" s="498"/>
      <c r="I83" s="498"/>
      <c r="J83" s="498"/>
      <c r="K83" s="498"/>
      <c r="L83" s="498"/>
      <c r="M83" s="498"/>
      <c r="N83" s="498"/>
      <c r="O83" s="498"/>
      <c r="P83" s="498"/>
      <c r="Q83" s="498"/>
      <c r="R83" s="498"/>
      <c r="S83" s="498"/>
      <c r="T83" s="498"/>
      <c r="U83" s="498"/>
      <c r="V83" s="498"/>
      <c r="W83" s="498"/>
      <c r="X83" s="498"/>
      <c r="Y83" s="498"/>
      <c r="Z83" s="498"/>
      <c r="AA83" s="498"/>
      <c r="AB83" s="498"/>
      <c r="AC83" s="498"/>
      <c r="AD83" s="498"/>
      <c r="AE83" s="498"/>
      <c r="AF83" s="498"/>
      <c r="AG83" s="498"/>
      <c r="AH83" s="498"/>
      <c r="AI83" s="498"/>
      <c r="AJ83" s="498"/>
      <c r="AK83" s="498"/>
      <c r="AL83" s="498"/>
      <c r="AM83" s="498"/>
      <c r="AN83" s="498"/>
      <c r="AO83" s="498"/>
      <c r="AP83" s="498"/>
      <c r="AQ83" s="498"/>
      <c r="AR83" s="498"/>
      <c r="AS83" s="498"/>
      <c r="AT83" s="498"/>
      <c r="AU83" s="498"/>
      <c r="AV83" s="498"/>
      <c r="AW83" s="498"/>
      <c r="AX83" s="498"/>
      <c r="AY83" s="498"/>
      <c r="AZ83" s="498"/>
      <c r="BA83" s="498"/>
      <c r="BB83" s="498"/>
      <c r="BC83" s="498"/>
      <c r="BD83" s="498"/>
      <c r="BE83" s="498"/>
      <c r="BF83" s="498"/>
      <c r="BG83" s="498"/>
      <c r="BH83" s="498"/>
      <c r="BI83" s="498"/>
      <c r="BJ83" s="498"/>
      <c r="BK83" s="498"/>
      <c r="BL83" s="498"/>
      <c r="BM83" s="498"/>
      <c r="BN83" s="498"/>
      <c r="BO83" s="498"/>
      <c r="BP83" s="498"/>
      <c r="BQ83" s="498"/>
      <c r="BR83" s="498"/>
      <c r="BS83" s="498"/>
      <c r="BT83" s="498"/>
      <c r="BU83" s="498"/>
      <c r="BV83" s="498"/>
      <c r="BW83" s="498"/>
      <c r="BX83" s="498"/>
      <c r="BY83" s="498"/>
      <c r="BZ83" s="498"/>
      <c r="CA83" s="498"/>
      <c r="CB83" s="498"/>
      <c r="CC83" s="498"/>
      <c r="CD83" s="498"/>
      <c r="CE83" s="498"/>
      <c r="CF83" s="498"/>
      <c r="CG83" s="498"/>
      <c r="CH83" s="498"/>
      <c r="CI83" s="498"/>
      <c r="CJ83" s="498"/>
      <c r="CK83" s="498"/>
      <c r="CL83" s="498"/>
      <c r="CM83" s="498"/>
      <c r="CN83" s="498"/>
      <c r="CO83" s="498"/>
      <c r="CP83" s="498"/>
      <c r="CQ83" s="498"/>
      <c r="CR83" s="498"/>
      <c r="CS83" s="498"/>
      <c r="CT83" s="498"/>
      <c r="CU83" s="498"/>
      <c r="CV83" s="498"/>
      <c r="CW83" s="498"/>
      <c r="CX83" s="498"/>
      <c r="CY83" s="498"/>
      <c r="CZ83" s="498"/>
      <c r="DA83" s="498"/>
      <c r="DB83" s="498"/>
      <c r="DC83" s="498"/>
      <c r="DD83" s="498"/>
      <c r="DE83" s="498"/>
      <c r="DF83" s="498"/>
      <c r="DG83" s="498"/>
      <c r="DH83" s="498"/>
      <c r="DI83" s="498"/>
      <c r="DJ83" s="498"/>
      <c r="DK83" s="498"/>
      <c r="DL83" s="498"/>
      <c r="DM83" s="498"/>
      <c r="DN83" s="498"/>
      <c r="DO83" s="498"/>
      <c r="DP83" s="498"/>
      <c r="DQ83" s="498"/>
      <c r="DR83" s="498"/>
      <c r="DS83" s="498"/>
      <c r="DT83" s="498"/>
      <c r="DU83" s="498"/>
      <c r="DV83" s="498"/>
      <c r="DW83" s="498"/>
      <c r="DX83" s="498"/>
      <c r="DY83" s="498"/>
      <c r="DZ83" s="498"/>
      <c r="EA83" s="498"/>
      <c r="EB83" s="498"/>
      <c r="EC83" s="498"/>
      <c r="ED83" s="498"/>
      <c r="EE83" s="498"/>
      <c r="EF83" s="498"/>
      <c r="EG83" s="498"/>
      <c r="EH83" s="498"/>
      <c r="EI83" s="498"/>
      <c r="EJ83" s="498"/>
      <c r="EK83" s="498"/>
      <c r="EL83" s="498"/>
      <c r="EM83" s="498"/>
      <c r="EN83" s="498"/>
      <c r="EO83" s="498"/>
      <c r="EP83" s="498"/>
      <c r="EQ83" s="498"/>
      <c r="ER83" s="498"/>
      <c r="ES83" s="498"/>
      <c r="ET83" s="498"/>
    </row>
    <row r="84" spans="2:150" ht="140.1" customHeight="1" x14ac:dyDescent="0.2">
      <c r="B84" s="62"/>
      <c r="C84" s="497" t="s">
        <v>164</v>
      </c>
      <c r="D84" s="497"/>
      <c r="E84" s="273" t="s">
        <v>255</v>
      </c>
      <c r="F84" s="498"/>
      <c r="G84" s="498"/>
      <c r="H84" s="498"/>
      <c r="I84" s="498"/>
      <c r="J84" s="498"/>
      <c r="K84" s="498"/>
      <c r="L84" s="498"/>
      <c r="M84" s="498"/>
      <c r="N84" s="498"/>
      <c r="O84" s="498"/>
      <c r="P84" s="498"/>
      <c r="Q84" s="498"/>
      <c r="R84" s="498"/>
      <c r="S84" s="498"/>
      <c r="T84" s="498"/>
      <c r="U84" s="498"/>
      <c r="V84" s="498"/>
      <c r="W84" s="498"/>
      <c r="X84" s="498"/>
      <c r="Y84" s="498"/>
      <c r="Z84" s="498"/>
      <c r="AA84" s="498"/>
      <c r="AB84" s="498"/>
      <c r="AC84" s="498"/>
      <c r="AD84" s="498"/>
      <c r="AE84" s="498"/>
      <c r="AF84" s="498"/>
      <c r="AG84" s="498"/>
      <c r="AH84" s="498"/>
      <c r="AI84" s="498"/>
      <c r="AJ84" s="498"/>
      <c r="AK84" s="498"/>
      <c r="AL84" s="498"/>
      <c r="AM84" s="498"/>
      <c r="AN84" s="498"/>
      <c r="AO84" s="498"/>
      <c r="AP84" s="498"/>
      <c r="AQ84" s="498"/>
      <c r="AR84" s="498"/>
      <c r="AS84" s="498"/>
      <c r="AT84" s="498"/>
      <c r="AU84" s="498"/>
      <c r="AV84" s="498"/>
      <c r="AW84" s="498"/>
      <c r="AX84" s="498"/>
      <c r="AY84" s="498"/>
      <c r="AZ84" s="498"/>
      <c r="BA84" s="498"/>
      <c r="BB84" s="498"/>
      <c r="BC84" s="498"/>
      <c r="BD84" s="498"/>
      <c r="BE84" s="498"/>
      <c r="BF84" s="498"/>
      <c r="BG84" s="498"/>
      <c r="BH84" s="498"/>
      <c r="BI84" s="498"/>
      <c r="BJ84" s="498"/>
      <c r="BK84" s="498"/>
      <c r="BL84" s="498"/>
      <c r="BM84" s="498"/>
      <c r="BN84" s="498"/>
      <c r="BO84" s="498"/>
      <c r="BP84" s="498"/>
      <c r="BQ84" s="498"/>
      <c r="BR84" s="498"/>
      <c r="BS84" s="498"/>
      <c r="BT84" s="498"/>
      <c r="BU84" s="498"/>
      <c r="BV84" s="498"/>
      <c r="BW84" s="498"/>
      <c r="BX84" s="498"/>
      <c r="BY84" s="498"/>
      <c r="BZ84" s="498"/>
      <c r="CA84" s="498"/>
      <c r="CB84" s="498"/>
      <c r="CC84" s="498"/>
      <c r="CD84" s="498"/>
      <c r="CE84" s="498"/>
      <c r="CF84" s="498"/>
      <c r="CG84" s="498"/>
      <c r="CH84" s="498"/>
      <c r="CI84" s="498"/>
      <c r="CJ84" s="498"/>
      <c r="CK84" s="498"/>
      <c r="CL84" s="498"/>
      <c r="CM84" s="498"/>
      <c r="CN84" s="498"/>
      <c r="CO84" s="498"/>
      <c r="CP84" s="498"/>
      <c r="CQ84" s="498"/>
      <c r="CR84" s="498"/>
      <c r="CS84" s="498"/>
      <c r="CT84" s="498"/>
      <c r="CU84" s="498"/>
      <c r="CV84" s="498"/>
      <c r="CW84" s="498"/>
      <c r="CX84" s="498"/>
      <c r="CY84" s="498"/>
      <c r="CZ84" s="498"/>
      <c r="DA84" s="498"/>
      <c r="DB84" s="498"/>
      <c r="DC84" s="498"/>
      <c r="DD84" s="498"/>
      <c r="DE84" s="498"/>
      <c r="DF84" s="498"/>
      <c r="DG84" s="498"/>
      <c r="DH84" s="498"/>
      <c r="DI84" s="498"/>
      <c r="DJ84" s="498"/>
      <c r="DK84" s="498"/>
      <c r="DL84" s="498"/>
      <c r="DM84" s="498"/>
      <c r="DN84" s="498"/>
      <c r="DO84" s="498"/>
      <c r="DP84" s="498"/>
      <c r="DQ84" s="498"/>
      <c r="DR84" s="498"/>
      <c r="DS84" s="498"/>
      <c r="DT84" s="498"/>
      <c r="DU84" s="498"/>
      <c r="DV84" s="498"/>
      <c r="DW84" s="498"/>
      <c r="DX84" s="498"/>
      <c r="DY84" s="498"/>
      <c r="DZ84" s="498"/>
      <c r="EA84" s="498"/>
      <c r="EB84" s="498"/>
      <c r="EC84" s="498"/>
      <c r="ED84" s="498"/>
      <c r="EE84" s="498"/>
      <c r="EF84" s="498"/>
      <c r="EG84" s="498"/>
      <c r="EH84" s="498"/>
      <c r="EI84" s="498"/>
      <c r="EJ84" s="498"/>
      <c r="EK84" s="498"/>
      <c r="EL84" s="498"/>
      <c r="EM84" s="498"/>
      <c r="EN84" s="498"/>
      <c r="EO84" s="498"/>
      <c r="EP84" s="498"/>
      <c r="EQ84" s="498"/>
      <c r="ER84" s="498"/>
      <c r="ES84" s="498"/>
      <c r="ET84" s="498"/>
    </row>
    <row r="85" spans="2:150" ht="140.1" customHeight="1" x14ac:dyDescent="0.45">
      <c r="B85" s="65"/>
      <c r="C85" s="497">
        <v>4</v>
      </c>
      <c r="D85" s="497"/>
      <c r="E85" s="273" t="s">
        <v>167</v>
      </c>
      <c r="F85" s="273"/>
      <c r="G85" s="273"/>
      <c r="H85" s="273"/>
      <c r="I85" s="273"/>
      <c r="J85" s="273"/>
      <c r="K85" s="273"/>
      <c r="L85" s="273"/>
      <c r="M85" s="273"/>
      <c r="N85" s="273"/>
      <c r="O85" s="273"/>
      <c r="P85" s="273"/>
      <c r="Q85" s="273"/>
      <c r="R85" s="273"/>
      <c r="S85" s="273"/>
      <c r="T85" s="273"/>
      <c r="U85" s="273"/>
      <c r="V85" s="273"/>
      <c r="W85" s="273"/>
      <c r="X85" s="273"/>
      <c r="Y85" s="273"/>
      <c r="Z85" s="273"/>
      <c r="AA85" s="273"/>
      <c r="AB85" s="273"/>
      <c r="AC85" s="273"/>
      <c r="AD85" s="273"/>
      <c r="AE85" s="273"/>
      <c r="AF85" s="273"/>
      <c r="AG85" s="273"/>
      <c r="AH85" s="273"/>
      <c r="AI85" s="273"/>
      <c r="AJ85" s="273"/>
      <c r="AK85" s="273"/>
      <c r="AL85" s="273"/>
      <c r="AM85" s="273"/>
      <c r="AN85" s="273"/>
      <c r="AO85" s="273"/>
      <c r="AP85" s="273"/>
      <c r="AQ85" s="273"/>
      <c r="AR85" s="273"/>
      <c r="AS85" s="273"/>
      <c r="AT85" s="273"/>
      <c r="AU85" s="273"/>
      <c r="AV85" s="273"/>
      <c r="AW85" s="273"/>
      <c r="AX85" s="273"/>
      <c r="AY85" s="273"/>
      <c r="AZ85" s="273"/>
      <c r="BA85" s="273"/>
      <c r="BB85" s="273"/>
      <c r="BC85" s="273"/>
      <c r="BD85" s="273"/>
      <c r="BE85" s="273"/>
      <c r="BF85" s="273"/>
      <c r="BG85" s="273"/>
      <c r="BH85" s="273"/>
      <c r="BI85" s="273"/>
      <c r="BJ85" s="273"/>
      <c r="BK85" s="273"/>
      <c r="BL85" s="273"/>
      <c r="BM85" s="273"/>
      <c r="BN85" s="273"/>
      <c r="BO85" s="273"/>
      <c r="BP85" s="273"/>
      <c r="BQ85" s="273"/>
      <c r="BR85" s="273"/>
      <c r="BS85" s="273"/>
      <c r="BT85" s="273"/>
      <c r="BU85" s="273"/>
      <c r="BV85" s="273"/>
      <c r="BW85" s="273"/>
      <c r="BX85" s="273"/>
      <c r="BY85" s="273"/>
      <c r="BZ85" s="273"/>
      <c r="CA85" s="273"/>
      <c r="CB85" s="273"/>
      <c r="CC85" s="273"/>
      <c r="CD85" s="273"/>
      <c r="CE85" s="273"/>
      <c r="CF85" s="273"/>
      <c r="CG85" s="273"/>
      <c r="CH85" s="273"/>
      <c r="CI85" s="273"/>
      <c r="CJ85" s="273"/>
      <c r="CK85" s="273"/>
      <c r="CL85" s="273"/>
      <c r="CM85" s="273"/>
      <c r="CN85" s="273"/>
      <c r="CO85" s="273"/>
      <c r="CP85" s="273"/>
      <c r="CQ85" s="273"/>
      <c r="CR85" s="273"/>
      <c r="CS85" s="273"/>
      <c r="CT85" s="273"/>
      <c r="CU85" s="273"/>
      <c r="CV85" s="273"/>
      <c r="CW85" s="273"/>
      <c r="CX85" s="273"/>
      <c r="CY85" s="273"/>
      <c r="CZ85" s="273"/>
      <c r="DA85" s="273"/>
      <c r="DB85" s="273"/>
      <c r="DC85" s="273"/>
      <c r="DD85" s="273"/>
      <c r="DE85" s="273"/>
      <c r="DF85" s="273"/>
      <c r="DG85" s="273"/>
      <c r="DH85" s="273"/>
      <c r="DI85" s="273"/>
      <c r="DJ85" s="273"/>
      <c r="DK85" s="273"/>
      <c r="DL85" s="273"/>
      <c r="DM85" s="273"/>
      <c r="DN85" s="273"/>
      <c r="DO85" s="273"/>
      <c r="DP85" s="273"/>
      <c r="DQ85" s="273"/>
      <c r="DR85" s="273"/>
      <c r="DS85" s="273"/>
      <c r="DT85" s="273"/>
      <c r="DU85" s="273"/>
      <c r="DV85" s="273"/>
      <c r="DW85" s="273"/>
      <c r="DX85" s="273"/>
      <c r="DY85" s="273"/>
      <c r="DZ85" s="273"/>
      <c r="EA85" s="273"/>
      <c r="EB85" s="273"/>
      <c r="EC85" s="273"/>
      <c r="ED85" s="273"/>
      <c r="EE85" s="273"/>
      <c r="EF85" s="273"/>
      <c r="EG85" s="273"/>
      <c r="EH85" s="273"/>
      <c r="EI85" s="273"/>
      <c r="EJ85" s="273"/>
      <c r="EK85" s="273"/>
      <c r="EL85" s="273"/>
      <c r="EM85" s="273"/>
      <c r="EN85" s="273"/>
      <c r="EO85" s="273"/>
      <c r="EP85" s="273"/>
      <c r="EQ85" s="273"/>
      <c r="ER85" s="273"/>
      <c r="ES85" s="273"/>
      <c r="ET85" s="273"/>
    </row>
    <row r="86" spans="2:150" ht="140.1" customHeight="1" x14ac:dyDescent="0.45">
      <c r="B86" s="65"/>
      <c r="C86" s="497">
        <v>5</v>
      </c>
      <c r="D86" s="497"/>
      <c r="E86" s="273" t="s">
        <v>168</v>
      </c>
      <c r="F86" s="498"/>
      <c r="G86" s="498"/>
      <c r="H86" s="498"/>
      <c r="I86" s="498"/>
      <c r="J86" s="498"/>
      <c r="K86" s="498"/>
      <c r="L86" s="498"/>
      <c r="M86" s="498"/>
      <c r="N86" s="498"/>
      <c r="O86" s="498"/>
      <c r="P86" s="498"/>
      <c r="Q86" s="498"/>
      <c r="R86" s="498"/>
      <c r="S86" s="498"/>
      <c r="T86" s="498"/>
      <c r="U86" s="498"/>
      <c r="V86" s="498"/>
      <c r="W86" s="498"/>
      <c r="X86" s="498"/>
      <c r="Y86" s="498"/>
      <c r="Z86" s="498"/>
      <c r="AA86" s="498"/>
      <c r="AB86" s="498"/>
      <c r="AC86" s="498"/>
      <c r="AD86" s="498"/>
      <c r="AE86" s="498"/>
      <c r="AF86" s="498"/>
      <c r="AG86" s="498"/>
      <c r="AH86" s="498"/>
      <c r="AI86" s="498"/>
      <c r="AJ86" s="498"/>
      <c r="AK86" s="498"/>
      <c r="AL86" s="498"/>
      <c r="AM86" s="498"/>
      <c r="AN86" s="498"/>
      <c r="AO86" s="498"/>
      <c r="AP86" s="498"/>
      <c r="AQ86" s="498"/>
      <c r="AR86" s="498"/>
      <c r="AS86" s="498"/>
      <c r="AT86" s="498"/>
      <c r="AU86" s="498"/>
      <c r="AV86" s="498"/>
      <c r="AW86" s="498"/>
      <c r="AX86" s="498"/>
      <c r="AY86" s="498"/>
      <c r="AZ86" s="498"/>
      <c r="BA86" s="498"/>
      <c r="BB86" s="498"/>
      <c r="BC86" s="498"/>
      <c r="BD86" s="498"/>
      <c r="BE86" s="498"/>
      <c r="BF86" s="498"/>
      <c r="BG86" s="498"/>
      <c r="BH86" s="498"/>
      <c r="BI86" s="498"/>
      <c r="BJ86" s="498"/>
      <c r="BK86" s="498"/>
      <c r="BL86" s="498"/>
      <c r="BM86" s="498"/>
      <c r="BN86" s="498"/>
      <c r="BO86" s="498"/>
      <c r="BP86" s="498"/>
      <c r="BQ86" s="498"/>
      <c r="BR86" s="498"/>
      <c r="BS86" s="498"/>
      <c r="BT86" s="498"/>
      <c r="BU86" s="498"/>
      <c r="BV86" s="498"/>
      <c r="BW86" s="498"/>
      <c r="BX86" s="498"/>
      <c r="BY86" s="498"/>
      <c r="BZ86" s="498"/>
      <c r="CA86" s="498"/>
      <c r="CB86" s="498"/>
      <c r="CC86" s="498"/>
      <c r="CD86" s="498"/>
      <c r="CE86" s="498"/>
      <c r="CF86" s="498"/>
      <c r="CG86" s="498"/>
      <c r="CH86" s="498"/>
      <c r="CI86" s="498"/>
      <c r="CJ86" s="498"/>
      <c r="CK86" s="498"/>
      <c r="CL86" s="498"/>
      <c r="CM86" s="498"/>
      <c r="CN86" s="498"/>
      <c r="CO86" s="498"/>
      <c r="CP86" s="498"/>
      <c r="CQ86" s="498"/>
      <c r="CR86" s="498"/>
      <c r="CS86" s="498"/>
      <c r="CT86" s="498"/>
      <c r="CU86" s="498"/>
      <c r="CV86" s="498"/>
      <c r="CW86" s="498"/>
      <c r="CX86" s="498"/>
      <c r="CY86" s="498"/>
      <c r="CZ86" s="498"/>
      <c r="DA86" s="498"/>
      <c r="DB86" s="498"/>
      <c r="DC86" s="498"/>
      <c r="DD86" s="498"/>
      <c r="DE86" s="498"/>
      <c r="DF86" s="498"/>
      <c r="DG86" s="498"/>
      <c r="DH86" s="498"/>
      <c r="DI86" s="498"/>
      <c r="DJ86" s="498"/>
      <c r="DK86" s="498"/>
      <c r="DL86" s="498"/>
      <c r="DM86" s="498"/>
      <c r="DN86" s="498"/>
      <c r="DO86" s="498"/>
      <c r="DP86" s="498"/>
      <c r="DQ86" s="498"/>
      <c r="DR86" s="498"/>
      <c r="DS86" s="498"/>
      <c r="DT86" s="498"/>
      <c r="DU86" s="498"/>
      <c r="DV86" s="498"/>
      <c r="DW86" s="498"/>
      <c r="DX86" s="498"/>
      <c r="DY86" s="498"/>
      <c r="DZ86" s="498"/>
      <c r="EA86" s="498"/>
      <c r="EB86" s="498"/>
      <c r="EC86" s="498"/>
      <c r="ED86" s="498"/>
      <c r="EE86" s="498"/>
      <c r="EF86" s="498"/>
      <c r="EG86" s="498"/>
      <c r="EH86" s="498"/>
      <c r="EI86" s="498"/>
      <c r="EJ86" s="498"/>
      <c r="EK86" s="498"/>
      <c r="EL86" s="498"/>
      <c r="EM86" s="498"/>
      <c r="EN86" s="498"/>
      <c r="EO86" s="498"/>
      <c r="EP86" s="498"/>
      <c r="EQ86" s="498"/>
      <c r="ER86" s="498"/>
      <c r="ES86" s="498"/>
      <c r="ET86" s="498"/>
    </row>
    <row r="87" spans="2:150" ht="45" x14ac:dyDescent="0.45">
      <c r="B87" s="65"/>
      <c r="C87" s="65"/>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c r="AF87" s="64"/>
      <c r="AG87" s="64"/>
      <c r="AH87" s="64"/>
      <c r="AI87" s="64"/>
      <c r="AJ87" s="64"/>
      <c r="AK87" s="64"/>
      <c r="AL87" s="64"/>
      <c r="AM87" s="64"/>
      <c r="AN87" s="64"/>
      <c r="AO87" s="64"/>
      <c r="AP87" s="64"/>
      <c r="AQ87" s="64"/>
      <c r="AR87" s="64"/>
      <c r="AS87" s="64"/>
      <c r="AT87" s="64"/>
      <c r="AU87" s="64"/>
      <c r="AV87" s="64"/>
      <c r="AW87" s="64"/>
      <c r="AX87" s="64"/>
      <c r="AY87" s="64"/>
      <c r="AZ87" s="64"/>
      <c r="BA87" s="64"/>
      <c r="BB87" s="64"/>
      <c r="BC87" s="64"/>
      <c r="BD87" s="64"/>
      <c r="BE87" s="64"/>
      <c r="BF87" s="64"/>
      <c r="BG87" s="64"/>
      <c r="BH87" s="64"/>
      <c r="BI87" s="64"/>
      <c r="BJ87" s="64"/>
      <c r="BK87" s="64"/>
      <c r="BL87" s="64"/>
      <c r="BM87" s="64"/>
      <c r="BN87" s="64"/>
      <c r="BO87" s="64"/>
      <c r="BP87" s="64"/>
      <c r="BQ87" s="64"/>
      <c r="BR87" s="64"/>
      <c r="BS87" s="64"/>
      <c r="BT87" s="64"/>
      <c r="BU87" s="64"/>
      <c r="BV87" s="64"/>
      <c r="BW87" s="64"/>
      <c r="BX87" s="64"/>
      <c r="BY87" s="64"/>
      <c r="BZ87" s="64"/>
      <c r="CA87" s="64"/>
      <c r="CB87" s="64"/>
      <c r="CC87" s="64"/>
      <c r="CD87" s="64"/>
      <c r="CE87" s="64"/>
      <c r="CF87" s="64"/>
      <c r="CG87" s="64"/>
      <c r="CH87" s="64"/>
      <c r="CI87" s="64"/>
      <c r="CJ87" s="64"/>
      <c r="CK87" s="64"/>
      <c r="CL87" s="64"/>
      <c r="CM87" s="64"/>
      <c r="CN87" s="64"/>
      <c r="CO87" s="64"/>
      <c r="CP87" s="64"/>
      <c r="CQ87" s="64"/>
      <c r="CR87" s="64"/>
      <c r="CS87" s="64"/>
      <c r="CT87" s="64"/>
      <c r="CU87" s="64"/>
      <c r="CV87" s="64"/>
      <c r="CW87" s="64"/>
      <c r="CX87" s="64"/>
      <c r="CY87" s="64"/>
      <c r="CZ87" s="64"/>
      <c r="DA87" s="64"/>
      <c r="DB87" s="64"/>
      <c r="DC87" s="64"/>
      <c r="DD87" s="64"/>
      <c r="DE87" s="64"/>
      <c r="DF87" s="64"/>
      <c r="DG87" s="64"/>
      <c r="DH87" s="64"/>
      <c r="DI87" s="64"/>
      <c r="DJ87" s="64"/>
      <c r="DK87" s="64"/>
      <c r="DL87" s="64"/>
      <c r="DM87" s="64"/>
      <c r="DN87" s="64"/>
      <c r="DO87" s="64"/>
      <c r="DP87" s="64"/>
      <c r="DQ87" s="64"/>
      <c r="DR87" s="64"/>
      <c r="DS87" s="64"/>
      <c r="DT87" s="64"/>
      <c r="DU87" s="64"/>
      <c r="DV87" s="64"/>
      <c r="DW87" s="64"/>
      <c r="DX87" s="64"/>
      <c r="DY87" s="64"/>
      <c r="DZ87" s="64"/>
      <c r="EA87" s="64"/>
      <c r="EB87" s="64"/>
      <c r="EC87" s="64"/>
      <c r="ED87" s="64"/>
      <c r="EE87" s="64"/>
      <c r="EF87" s="64"/>
      <c r="EG87" s="64"/>
      <c r="EH87" s="64"/>
      <c r="EI87" s="64"/>
      <c r="EJ87" s="64"/>
      <c r="EK87" s="64"/>
      <c r="EL87" s="64"/>
      <c r="EM87" s="64"/>
      <c r="EN87" s="64"/>
      <c r="EO87" s="64"/>
      <c r="EP87" s="64"/>
      <c r="EQ87" s="64"/>
      <c r="ER87" s="64"/>
      <c r="ES87" s="64"/>
      <c r="ET87" s="64"/>
    </row>
    <row r="88" spans="2:150" ht="120" customHeight="1" x14ac:dyDescent="0.45">
      <c r="B88" s="65"/>
      <c r="C88" s="65"/>
      <c r="D88" s="294" t="s">
        <v>87</v>
      </c>
      <c r="E88" s="295"/>
      <c r="F88" s="295"/>
      <c r="G88" s="295"/>
      <c r="H88" s="295"/>
      <c r="I88" s="295"/>
      <c r="J88" s="295"/>
      <c r="K88" s="295"/>
      <c r="L88" s="295"/>
      <c r="M88" s="295"/>
      <c r="N88" s="295"/>
      <c r="O88" s="295"/>
      <c r="P88" s="295"/>
      <c r="Q88" s="295"/>
      <c r="R88" s="295"/>
      <c r="S88" s="295"/>
      <c r="T88" s="295"/>
      <c r="U88" s="295"/>
      <c r="V88" s="295"/>
      <c r="W88" s="295"/>
      <c r="X88" s="295"/>
      <c r="Y88" s="295"/>
      <c r="Z88" s="295"/>
      <c r="AA88" s="295"/>
      <c r="AB88" s="295"/>
      <c r="AC88" s="295"/>
      <c r="AD88" s="295"/>
      <c r="AE88" s="295"/>
      <c r="AF88" s="295"/>
      <c r="AG88" s="295"/>
      <c r="AH88" s="296"/>
      <c r="AI88" s="294" t="s">
        <v>88</v>
      </c>
      <c r="AJ88" s="295"/>
      <c r="AK88" s="295"/>
      <c r="AL88" s="295"/>
      <c r="AM88" s="295"/>
      <c r="AN88" s="295"/>
      <c r="AO88" s="295"/>
      <c r="AP88" s="295"/>
      <c r="AQ88" s="296"/>
      <c r="AR88" s="294" t="s">
        <v>31</v>
      </c>
      <c r="AS88" s="295"/>
      <c r="AT88" s="295"/>
      <c r="AU88" s="295"/>
      <c r="AV88" s="295"/>
      <c r="AW88" s="295"/>
      <c r="AX88" s="295"/>
      <c r="AY88" s="295"/>
      <c r="AZ88" s="295"/>
      <c r="BA88" s="296"/>
      <c r="BB88" s="294" t="s">
        <v>89</v>
      </c>
      <c r="BC88" s="295"/>
      <c r="BD88" s="295"/>
      <c r="BE88" s="295"/>
      <c r="BF88" s="295"/>
      <c r="BG88" s="295"/>
      <c r="BH88" s="295"/>
      <c r="BI88" s="295"/>
      <c r="BJ88" s="295"/>
      <c r="BK88" s="295"/>
      <c r="BL88" s="295"/>
      <c r="BM88" s="295"/>
      <c r="BN88" s="295"/>
      <c r="BO88" s="295"/>
      <c r="BP88" s="295"/>
      <c r="BQ88" s="295"/>
      <c r="BR88" s="295"/>
      <c r="BS88" s="295"/>
      <c r="BT88" s="295"/>
      <c r="BU88" s="295"/>
      <c r="BV88" s="295"/>
      <c r="BW88" s="295"/>
      <c r="BX88" s="295"/>
      <c r="BY88" s="295"/>
      <c r="BZ88" s="295"/>
      <c r="CA88" s="295"/>
      <c r="CB88" s="295"/>
      <c r="CC88" s="295"/>
      <c r="CD88" s="295"/>
      <c r="CE88" s="295"/>
      <c r="CF88" s="295"/>
      <c r="CG88" s="295"/>
      <c r="CH88" s="295"/>
      <c r="CI88" s="296"/>
      <c r="CJ88" s="64"/>
      <c r="CK88" s="64"/>
      <c r="CL88" s="64"/>
      <c r="CM88" s="64"/>
      <c r="CN88" s="64"/>
      <c r="CO88" s="64"/>
      <c r="CP88" s="64"/>
      <c r="CQ88" s="64"/>
      <c r="CR88" s="64"/>
      <c r="CS88" s="64"/>
      <c r="CT88" s="64"/>
      <c r="CU88" s="64"/>
      <c r="CV88" s="64"/>
      <c r="CW88" s="64"/>
      <c r="CX88" s="64"/>
      <c r="CY88" s="64"/>
      <c r="CZ88" s="64"/>
      <c r="DA88" s="64"/>
      <c r="DB88" s="64"/>
      <c r="DC88" s="64"/>
      <c r="DD88" s="64"/>
      <c r="DE88" s="64"/>
      <c r="DF88" s="64"/>
      <c r="DG88" s="64"/>
      <c r="DH88" s="64"/>
      <c r="DI88" s="64"/>
      <c r="DJ88" s="499"/>
      <c r="DK88" s="499"/>
      <c r="DL88" s="499"/>
      <c r="DM88" s="499"/>
      <c r="DN88" s="499"/>
      <c r="DO88" s="499"/>
      <c r="DP88" s="499"/>
      <c r="DQ88" s="499"/>
      <c r="DR88" s="499"/>
      <c r="DS88" s="499"/>
      <c r="DT88" s="499"/>
      <c r="DU88" s="499"/>
      <c r="DV88" s="499"/>
      <c r="DW88" s="499"/>
      <c r="DX88" s="499"/>
      <c r="DY88" s="499"/>
      <c r="DZ88" s="499"/>
      <c r="EA88" s="499"/>
      <c r="EB88" s="499"/>
      <c r="EC88" s="499"/>
      <c r="ED88" s="499"/>
      <c r="EE88" s="499"/>
      <c r="EF88" s="499"/>
      <c r="EG88" s="499"/>
      <c r="EH88" s="499"/>
      <c r="EI88" s="499"/>
      <c r="EJ88" s="499"/>
      <c r="EK88" s="499"/>
      <c r="EL88" s="499"/>
      <c r="EM88" s="499"/>
      <c r="EN88" s="499"/>
      <c r="EO88" s="64"/>
      <c r="EP88" s="64"/>
      <c r="EQ88" s="64"/>
      <c r="ER88" s="64"/>
      <c r="ES88" s="64"/>
      <c r="ET88" s="64"/>
    </row>
    <row r="89" spans="2:150" ht="120" customHeight="1" x14ac:dyDescent="0.45">
      <c r="B89" s="65"/>
      <c r="C89" s="65"/>
      <c r="D89" s="239" t="s">
        <v>19</v>
      </c>
      <c r="E89" s="240"/>
      <c r="F89" s="240"/>
      <c r="G89" s="240"/>
      <c r="H89" s="240"/>
      <c r="I89" s="240"/>
      <c r="J89" s="240"/>
      <c r="K89" s="240"/>
      <c r="L89" s="240"/>
      <c r="M89" s="240"/>
      <c r="N89" s="240"/>
      <c r="O89" s="240"/>
      <c r="P89" s="240"/>
      <c r="Q89" s="240"/>
      <c r="R89" s="240"/>
      <c r="S89" s="240"/>
      <c r="T89" s="240"/>
      <c r="U89" s="240"/>
      <c r="V89" s="240"/>
      <c r="W89" s="240"/>
      <c r="X89" s="240"/>
      <c r="Y89" s="240"/>
      <c r="Z89" s="240"/>
      <c r="AA89" s="240"/>
      <c r="AB89" s="240"/>
      <c r="AC89" s="240"/>
      <c r="AD89" s="240"/>
      <c r="AE89" s="240"/>
      <c r="AF89" s="240"/>
      <c r="AG89" s="240"/>
      <c r="AH89" s="241"/>
      <c r="AI89" s="242">
        <f>HA20</f>
        <v>30</v>
      </c>
      <c r="AJ89" s="243"/>
      <c r="AK89" s="243"/>
      <c r="AL89" s="243"/>
      <c r="AM89" s="243"/>
      <c r="AN89" s="243"/>
      <c r="AO89" s="243"/>
      <c r="AP89" s="243"/>
      <c r="AQ89" s="244"/>
      <c r="AR89" s="245" t="s">
        <v>188</v>
      </c>
      <c r="AS89" s="246"/>
      <c r="AT89" s="246"/>
      <c r="AU89" s="246"/>
      <c r="AV89" s="246"/>
      <c r="AW89" s="246"/>
      <c r="AX89" s="246"/>
      <c r="AY89" s="246"/>
      <c r="AZ89" s="246"/>
      <c r="BA89" s="247"/>
      <c r="BB89" s="540" t="s">
        <v>90</v>
      </c>
      <c r="BC89" s="541"/>
      <c r="BD89" s="541"/>
      <c r="BE89" s="541"/>
      <c r="BF89" s="541"/>
      <c r="BG89" s="541"/>
      <c r="BH89" s="541"/>
      <c r="BI89" s="541"/>
      <c r="BJ89" s="541"/>
      <c r="BK89" s="541"/>
      <c r="BL89" s="541"/>
      <c r="BM89" s="541"/>
      <c r="BN89" s="541"/>
      <c r="BO89" s="541"/>
      <c r="BP89" s="541"/>
      <c r="BQ89" s="541"/>
      <c r="BR89" s="541"/>
      <c r="BS89" s="541"/>
      <c r="BT89" s="541"/>
      <c r="BU89" s="541"/>
      <c r="BV89" s="541"/>
      <c r="BW89" s="541"/>
      <c r="BX89" s="541"/>
      <c r="BY89" s="541"/>
      <c r="BZ89" s="541"/>
      <c r="CA89" s="541"/>
      <c r="CB89" s="541"/>
      <c r="CC89" s="541"/>
      <c r="CD89" s="541"/>
      <c r="CE89" s="541"/>
      <c r="CF89" s="541"/>
      <c r="CG89" s="541"/>
      <c r="CH89" s="541"/>
      <c r="CI89" s="542"/>
      <c r="CJ89" s="64"/>
      <c r="CK89" s="64"/>
      <c r="CL89" s="64"/>
      <c r="CM89" s="549" t="s">
        <v>256</v>
      </c>
      <c r="CN89" s="549"/>
      <c r="CO89" s="549"/>
      <c r="CP89" s="549"/>
      <c r="CQ89" s="549"/>
      <c r="CR89" s="549"/>
      <c r="CS89" s="549"/>
      <c r="CT89" s="549"/>
      <c r="CU89" s="549"/>
      <c r="CV89" s="549"/>
      <c r="CW89" s="549"/>
      <c r="CX89" s="549"/>
      <c r="CY89" s="549"/>
      <c r="CZ89" s="549"/>
      <c r="DA89" s="549"/>
      <c r="DB89" s="549"/>
      <c r="DC89" s="549"/>
      <c r="DD89" s="549"/>
      <c r="DE89" s="549"/>
      <c r="DF89" s="549"/>
      <c r="DG89" s="549"/>
      <c r="DH89" s="549"/>
      <c r="DI89" s="549"/>
      <c r="DJ89" s="549"/>
      <c r="DK89" s="549"/>
      <c r="DL89" s="549"/>
      <c r="DM89" s="549"/>
      <c r="DN89" s="549"/>
      <c r="DO89" s="549"/>
      <c r="DP89" s="549"/>
      <c r="DQ89" s="549"/>
      <c r="DR89" s="549"/>
      <c r="DS89" s="549"/>
      <c r="DT89" s="549"/>
      <c r="DU89" s="549"/>
      <c r="DV89" s="549"/>
      <c r="DW89" s="549"/>
      <c r="DX89" s="549"/>
      <c r="DY89" s="549"/>
      <c r="DZ89" s="549"/>
      <c r="EA89" s="549"/>
      <c r="EB89" s="549"/>
      <c r="EC89" s="549"/>
      <c r="ED89" s="549"/>
      <c r="EE89" s="549"/>
      <c r="EF89" s="549"/>
      <c r="EG89" s="549"/>
      <c r="EH89" s="549"/>
      <c r="EI89" s="549"/>
      <c r="EJ89" s="549"/>
      <c r="EK89" s="102"/>
      <c r="EL89" s="102"/>
      <c r="EM89" s="102"/>
      <c r="EN89" s="102"/>
      <c r="EO89" s="102"/>
      <c r="EP89" s="102"/>
      <c r="EQ89" s="64"/>
      <c r="ER89" s="64"/>
      <c r="ES89" s="64"/>
      <c r="ET89" s="64"/>
    </row>
    <row r="90" spans="2:150" ht="120" customHeight="1" x14ac:dyDescent="0.45">
      <c r="B90" s="65"/>
      <c r="C90" s="65"/>
      <c r="D90" s="239" t="s">
        <v>14</v>
      </c>
      <c r="E90" s="240"/>
      <c r="F90" s="240"/>
      <c r="G90" s="240"/>
      <c r="H90" s="240"/>
      <c r="I90" s="240"/>
      <c r="J90" s="240"/>
      <c r="K90" s="240"/>
      <c r="L90" s="240"/>
      <c r="M90" s="240"/>
      <c r="N90" s="240"/>
      <c r="O90" s="240"/>
      <c r="P90" s="240"/>
      <c r="Q90" s="240"/>
      <c r="R90" s="240"/>
      <c r="S90" s="240"/>
      <c r="T90" s="240"/>
      <c r="U90" s="240"/>
      <c r="V90" s="240"/>
      <c r="W90" s="240"/>
      <c r="X90" s="240"/>
      <c r="Y90" s="240"/>
      <c r="Z90" s="240"/>
      <c r="AA90" s="240"/>
      <c r="AB90" s="240"/>
      <c r="AC90" s="240"/>
      <c r="AD90" s="240"/>
      <c r="AE90" s="240"/>
      <c r="AF90" s="240"/>
      <c r="AG90" s="240"/>
      <c r="AH90" s="241"/>
      <c r="AI90" s="242">
        <f>HC20</f>
        <v>20</v>
      </c>
      <c r="AJ90" s="243"/>
      <c r="AK90" s="243"/>
      <c r="AL90" s="243"/>
      <c r="AM90" s="243"/>
      <c r="AN90" s="243"/>
      <c r="AO90" s="243"/>
      <c r="AP90" s="243"/>
      <c r="AQ90" s="244"/>
      <c r="AR90" s="245" t="s">
        <v>188</v>
      </c>
      <c r="AS90" s="246"/>
      <c r="AT90" s="246"/>
      <c r="AU90" s="246"/>
      <c r="AV90" s="246"/>
      <c r="AW90" s="246"/>
      <c r="AX90" s="246"/>
      <c r="AY90" s="246"/>
      <c r="AZ90" s="246"/>
      <c r="BA90" s="247"/>
      <c r="BB90" s="543"/>
      <c r="BC90" s="544"/>
      <c r="BD90" s="544"/>
      <c r="BE90" s="544"/>
      <c r="BF90" s="544"/>
      <c r="BG90" s="544"/>
      <c r="BH90" s="544"/>
      <c r="BI90" s="544"/>
      <c r="BJ90" s="544"/>
      <c r="BK90" s="544"/>
      <c r="BL90" s="544"/>
      <c r="BM90" s="544"/>
      <c r="BN90" s="544"/>
      <c r="BO90" s="544"/>
      <c r="BP90" s="544"/>
      <c r="BQ90" s="544"/>
      <c r="BR90" s="544"/>
      <c r="BS90" s="544"/>
      <c r="BT90" s="544"/>
      <c r="BU90" s="544"/>
      <c r="BV90" s="544"/>
      <c r="BW90" s="544"/>
      <c r="BX90" s="544"/>
      <c r="BY90" s="544"/>
      <c r="BZ90" s="544"/>
      <c r="CA90" s="544"/>
      <c r="CB90" s="544"/>
      <c r="CC90" s="544"/>
      <c r="CD90" s="544"/>
      <c r="CE90" s="544"/>
      <c r="CF90" s="544"/>
      <c r="CG90" s="544"/>
      <c r="CH90" s="544"/>
      <c r="CI90" s="545"/>
      <c r="CJ90" s="64"/>
      <c r="CK90" s="64"/>
      <c r="CL90" s="64"/>
      <c r="CM90" s="549"/>
      <c r="CN90" s="549"/>
      <c r="CO90" s="549"/>
      <c r="CP90" s="549"/>
      <c r="CQ90" s="549"/>
      <c r="CR90" s="549"/>
      <c r="CS90" s="549"/>
      <c r="CT90" s="549"/>
      <c r="CU90" s="549"/>
      <c r="CV90" s="549"/>
      <c r="CW90" s="549"/>
      <c r="CX90" s="549"/>
      <c r="CY90" s="549"/>
      <c r="CZ90" s="549"/>
      <c r="DA90" s="549"/>
      <c r="DB90" s="549"/>
      <c r="DC90" s="549"/>
      <c r="DD90" s="549"/>
      <c r="DE90" s="549"/>
      <c r="DF90" s="549"/>
      <c r="DG90" s="549"/>
      <c r="DH90" s="549"/>
      <c r="DI90" s="549"/>
      <c r="DJ90" s="549"/>
      <c r="DK90" s="549"/>
      <c r="DL90" s="549"/>
      <c r="DM90" s="549"/>
      <c r="DN90" s="549"/>
      <c r="DO90" s="549"/>
      <c r="DP90" s="549"/>
      <c r="DQ90" s="549"/>
      <c r="DR90" s="549"/>
      <c r="DS90" s="549"/>
      <c r="DT90" s="549"/>
      <c r="DU90" s="549"/>
      <c r="DV90" s="549"/>
      <c r="DW90" s="549"/>
      <c r="DX90" s="549"/>
      <c r="DY90" s="549"/>
      <c r="DZ90" s="549"/>
      <c r="EA90" s="549"/>
      <c r="EB90" s="549"/>
      <c r="EC90" s="549"/>
      <c r="ED90" s="549"/>
      <c r="EE90" s="549"/>
      <c r="EF90" s="549"/>
      <c r="EG90" s="549"/>
      <c r="EH90" s="549"/>
      <c r="EI90" s="549"/>
      <c r="EJ90" s="549"/>
      <c r="EK90" s="102"/>
      <c r="EL90" s="102"/>
      <c r="EM90" s="102"/>
      <c r="EN90" s="102"/>
      <c r="EO90" s="102"/>
      <c r="EP90" s="64"/>
      <c r="EQ90" s="64"/>
      <c r="ER90" s="64"/>
      <c r="ES90" s="64"/>
      <c r="ET90" s="64"/>
    </row>
    <row r="91" spans="2:150" ht="120" customHeight="1" x14ac:dyDescent="0.2">
      <c r="B91" s="7"/>
      <c r="C91" s="7"/>
      <c r="D91" s="239" t="s">
        <v>165</v>
      </c>
      <c r="E91" s="240"/>
      <c r="F91" s="240"/>
      <c r="G91" s="240"/>
      <c r="H91" s="240"/>
      <c r="I91" s="240"/>
      <c r="J91" s="240"/>
      <c r="K91" s="240"/>
      <c r="L91" s="240"/>
      <c r="M91" s="240"/>
      <c r="N91" s="240"/>
      <c r="O91" s="240"/>
      <c r="P91" s="240"/>
      <c r="Q91" s="240"/>
      <c r="R91" s="240"/>
      <c r="S91" s="240"/>
      <c r="T91" s="240"/>
      <c r="U91" s="240"/>
      <c r="V91" s="240"/>
      <c r="W91" s="240"/>
      <c r="X91" s="240"/>
      <c r="Y91" s="240"/>
      <c r="Z91" s="240"/>
      <c r="AA91" s="240"/>
      <c r="AB91" s="240"/>
      <c r="AC91" s="240"/>
      <c r="AD91" s="240"/>
      <c r="AE91" s="240"/>
      <c r="AF91" s="240"/>
      <c r="AG91" s="240"/>
      <c r="AH91" s="241"/>
      <c r="AI91" s="242">
        <f>HG20</f>
        <v>25</v>
      </c>
      <c r="AJ91" s="243"/>
      <c r="AK91" s="243"/>
      <c r="AL91" s="243"/>
      <c r="AM91" s="243"/>
      <c r="AN91" s="243"/>
      <c r="AO91" s="243"/>
      <c r="AP91" s="243"/>
      <c r="AQ91" s="244"/>
      <c r="AR91" s="245" t="s">
        <v>189</v>
      </c>
      <c r="AS91" s="246"/>
      <c r="AT91" s="246"/>
      <c r="AU91" s="246"/>
      <c r="AV91" s="246"/>
      <c r="AW91" s="246"/>
      <c r="AX91" s="246"/>
      <c r="AY91" s="246"/>
      <c r="AZ91" s="246"/>
      <c r="BA91" s="247"/>
      <c r="BB91" s="543"/>
      <c r="BC91" s="544"/>
      <c r="BD91" s="544"/>
      <c r="BE91" s="544"/>
      <c r="BF91" s="544"/>
      <c r="BG91" s="544"/>
      <c r="BH91" s="544"/>
      <c r="BI91" s="544"/>
      <c r="BJ91" s="544"/>
      <c r="BK91" s="544"/>
      <c r="BL91" s="544"/>
      <c r="BM91" s="544"/>
      <c r="BN91" s="544"/>
      <c r="BO91" s="544"/>
      <c r="BP91" s="544"/>
      <c r="BQ91" s="544"/>
      <c r="BR91" s="544"/>
      <c r="BS91" s="544"/>
      <c r="BT91" s="544"/>
      <c r="BU91" s="544"/>
      <c r="BV91" s="544"/>
      <c r="BW91" s="544"/>
      <c r="BX91" s="544"/>
      <c r="BY91" s="544"/>
      <c r="BZ91" s="544"/>
      <c r="CA91" s="544"/>
      <c r="CB91" s="544"/>
      <c r="CC91" s="544"/>
      <c r="CD91" s="544"/>
      <c r="CE91" s="544"/>
      <c r="CF91" s="544"/>
      <c r="CG91" s="544"/>
      <c r="CH91" s="544"/>
      <c r="CI91" s="545"/>
      <c r="CJ91" s="64"/>
      <c r="CK91" s="64"/>
      <c r="CL91" s="64"/>
      <c r="CM91" s="549"/>
      <c r="CN91" s="549"/>
      <c r="CO91" s="549"/>
      <c r="CP91" s="549"/>
      <c r="CQ91" s="549"/>
      <c r="CR91" s="549"/>
      <c r="CS91" s="549"/>
      <c r="CT91" s="549"/>
      <c r="CU91" s="549"/>
      <c r="CV91" s="549"/>
      <c r="CW91" s="549"/>
      <c r="CX91" s="549"/>
      <c r="CY91" s="549"/>
      <c r="CZ91" s="549"/>
      <c r="DA91" s="549"/>
      <c r="DB91" s="549"/>
      <c r="DC91" s="549"/>
      <c r="DD91" s="549"/>
      <c r="DE91" s="549"/>
      <c r="DF91" s="549"/>
      <c r="DG91" s="549"/>
      <c r="DH91" s="549"/>
      <c r="DI91" s="549"/>
      <c r="DJ91" s="549"/>
      <c r="DK91" s="549"/>
      <c r="DL91" s="549"/>
      <c r="DM91" s="549"/>
      <c r="DN91" s="549"/>
      <c r="DO91" s="549"/>
      <c r="DP91" s="549"/>
      <c r="DQ91" s="549"/>
      <c r="DR91" s="549"/>
      <c r="DS91" s="549"/>
      <c r="DT91" s="549"/>
      <c r="DU91" s="549"/>
      <c r="DV91" s="549"/>
      <c r="DW91" s="549"/>
      <c r="DX91" s="549"/>
      <c r="DY91" s="549"/>
      <c r="DZ91" s="549"/>
      <c r="EA91" s="549"/>
      <c r="EB91" s="549"/>
      <c r="EC91" s="549"/>
      <c r="ED91" s="549"/>
      <c r="EE91" s="549"/>
      <c r="EF91" s="549"/>
      <c r="EG91" s="549"/>
      <c r="EH91" s="549"/>
      <c r="EI91" s="549"/>
      <c r="EJ91" s="549"/>
      <c r="EK91" s="64"/>
      <c r="EL91" s="64"/>
      <c r="EM91" s="64"/>
      <c r="EN91" s="64"/>
      <c r="EO91" s="64"/>
      <c r="EP91" s="64"/>
      <c r="EQ91" s="64"/>
      <c r="ER91" s="64"/>
      <c r="ES91" s="64"/>
      <c r="ET91" s="64"/>
    </row>
    <row r="92" spans="2:150" ht="120" customHeight="1" x14ac:dyDescent="0.2">
      <c r="B92" s="66"/>
      <c r="C92" s="66"/>
      <c r="D92" s="239" t="s">
        <v>15</v>
      </c>
      <c r="E92" s="240"/>
      <c r="F92" s="240"/>
      <c r="G92" s="240"/>
      <c r="H92" s="240"/>
      <c r="I92" s="240"/>
      <c r="J92" s="240"/>
      <c r="K92" s="240"/>
      <c r="L92" s="240"/>
      <c r="M92" s="240"/>
      <c r="N92" s="240"/>
      <c r="O92" s="240"/>
      <c r="P92" s="240"/>
      <c r="Q92" s="240"/>
      <c r="R92" s="240"/>
      <c r="S92" s="240"/>
      <c r="T92" s="240"/>
      <c r="U92" s="240"/>
      <c r="V92" s="240"/>
      <c r="W92" s="240"/>
      <c r="X92" s="240"/>
      <c r="Y92" s="240"/>
      <c r="Z92" s="240"/>
      <c r="AA92" s="240"/>
      <c r="AB92" s="240"/>
      <c r="AC92" s="240"/>
      <c r="AD92" s="240"/>
      <c r="AE92" s="240"/>
      <c r="AF92" s="240"/>
      <c r="AG92" s="240"/>
      <c r="AH92" s="241"/>
      <c r="AI92" s="242">
        <f>HI20</f>
        <v>2</v>
      </c>
      <c r="AJ92" s="243"/>
      <c r="AK92" s="243"/>
      <c r="AL92" s="243"/>
      <c r="AM92" s="243"/>
      <c r="AN92" s="243"/>
      <c r="AO92" s="243"/>
      <c r="AP92" s="243"/>
      <c r="AQ92" s="244"/>
      <c r="AR92" s="245" t="s">
        <v>190</v>
      </c>
      <c r="AS92" s="246"/>
      <c r="AT92" s="246"/>
      <c r="AU92" s="246"/>
      <c r="AV92" s="246"/>
      <c r="AW92" s="246"/>
      <c r="AX92" s="246"/>
      <c r="AY92" s="246"/>
      <c r="AZ92" s="246"/>
      <c r="BA92" s="247"/>
      <c r="BB92" s="543"/>
      <c r="BC92" s="544"/>
      <c r="BD92" s="544"/>
      <c r="BE92" s="544"/>
      <c r="BF92" s="544"/>
      <c r="BG92" s="544"/>
      <c r="BH92" s="544"/>
      <c r="BI92" s="544"/>
      <c r="BJ92" s="544"/>
      <c r="BK92" s="544"/>
      <c r="BL92" s="544"/>
      <c r="BM92" s="544"/>
      <c r="BN92" s="544"/>
      <c r="BO92" s="544"/>
      <c r="BP92" s="544"/>
      <c r="BQ92" s="544"/>
      <c r="BR92" s="544"/>
      <c r="BS92" s="544"/>
      <c r="BT92" s="544"/>
      <c r="BU92" s="544"/>
      <c r="BV92" s="544"/>
      <c r="BW92" s="544"/>
      <c r="BX92" s="544"/>
      <c r="BY92" s="544"/>
      <c r="BZ92" s="544"/>
      <c r="CA92" s="544"/>
      <c r="CB92" s="544"/>
      <c r="CC92" s="544"/>
      <c r="CD92" s="544"/>
      <c r="CE92" s="544"/>
      <c r="CF92" s="544"/>
      <c r="CG92" s="544"/>
      <c r="CH92" s="544"/>
      <c r="CI92" s="545"/>
      <c r="CJ92" s="64"/>
      <c r="CK92" s="64"/>
      <c r="CL92" s="64"/>
      <c r="CM92" s="549"/>
      <c r="CN92" s="549"/>
      <c r="CO92" s="549"/>
      <c r="CP92" s="549"/>
      <c r="CQ92" s="549"/>
      <c r="CR92" s="549"/>
      <c r="CS92" s="549"/>
      <c r="CT92" s="549"/>
      <c r="CU92" s="549"/>
      <c r="CV92" s="549"/>
      <c r="CW92" s="549"/>
      <c r="CX92" s="549"/>
      <c r="CY92" s="549"/>
      <c r="CZ92" s="549"/>
      <c r="DA92" s="549"/>
      <c r="DB92" s="549"/>
      <c r="DC92" s="549"/>
      <c r="DD92" s="549"/>
      <c r="DE92" s="549"/>
      <c r="DF92" s="549"/>
      <c r="DG92" s="549"/>
      <c r="DH92" s="549"/>
      <c r="DI92" s="549"/>
      <c r="DJ92" s="549"/>
      <c r="DK92" s="549"/>
      <c r="DL92" s="549"/>
      <c r="DM92" s="549"/>
      <c r="DN92" s="549"/>
      <c r="DO92" s="549"/>
      <c r="DP92" s="549"/>
      <c r="DQ92" s="549"/>
      <c r="DR92" s="549"/>
      <c r="DS92" s="549"/>
      <c r="DT92" s="549"/>
      <c r="DU92" s="549"/>
      <c r="DV92" s="549"/>
      <c r="DW92" s="549"/>
      <c r="DX92" s="549"/>
      <c r="DY92" s="549"/>
      <c r="DZ92" s="549"/>
      <c r="EA92" s="549"/>
      <c r="EB92" s="549"/>
      <c r="EC92" s="549"/>
      <c r="ED92" s="549"/>
      <c r="EE92" s="549"/>
      <c r="EF92" s="549"/>
      <c r="EG92" s="549"/>
      <c r="EH92" s="549"/>
      <c r="EI92" s="549"/>
      <c r="EJ92" s="549"/>
      <c r="EK92" s="64"/>
      <c r="EL92" s="64"/>
      <c r="EM92" s="64"/>
      <c r="EN92" s="64"/>
      <c r="EO92" s="64"/>
      <c r="EP92" s="64"/>
      <c r="EQ92" s="64"/>
      <c r="ER92" s="64"/>
      <c r="ES92" s="64"/>
      <c r="ET92" s="64"/>
    </row>
    <row r="93" spans="2:150" ht="120" customHeight="1" x14ac:dyDescent="0.2">
      <c r="B93" s="66"/>
      <c r="C93" s="66"/>
      <c r="D93" s="239" t="s">
        <v>266</v>
      </c>
      <c r="E93" s="240"/>
      <c r="F93" s="240"/>
      <c r="G93" s="240"/>
      <c r="H93" s="240"/>
      <c r="I93" s="240"/>
      <c r="J93" s="240"/>
      <c r="K93" s="240"/>
      <c r="L93" s="240"/>
      <c r="M93" s="240"/>
      <c r="N93" s="240"/>
      <c r="O93" s="240"/>
      <c r="P93" s="240"/>
      <c r="Q93" s="240"/>
      <c r="R93" s="240"/>
      <c r="S93" s="240"/>
      <c r="T93" s="240"/>
      <c r="U93" s="240"/>
      <c r="V93" s="240"/>
      <c r="W93" s="240"/>
      <c r="X93" s="240"/>
      <c r="Y93" s="240"/>
      <c r="Z93" s="240"/>
      <c r="AA93" s="240"/>
      <c r="AB93" s="240"/>
      <c r="AC93" s="240"/>
      <c r="AD93" s="240"/>
      <c r="AE93" s="240"/>
      <c r="AF93" s="240"/>
      <c r="AG93" s="240"/>
      <c r="AH93" s="241"/>
      <c r="AI93" s="242">
        <f>HK20</f>
        <v>173</v>
      </c>
      <c r="AJ93" s="243"/>
      <c r="AK93" s="243"/>
      <c r="AL93" s="243"/>
      <c r="AM93" s="243"/>
      <c r="AN93" s="243"/>
      <c r="AO93" s="243"/>
      <c r="AP93" s="243"/>
      <c r="AQ93" s="244"/>
      <c r="AR93" s="245" t="s">
        <v>265</v>
      </c>
      <c r="AS93" s="246"/>
      <c r="AT93" s="246"/>
      <c r="AU93" s="246"/>
      <c r="AV93" s="246"/>
      <c r="AW93" s="246"/>
      <c r="AX93" s="246"/>
      <c r="AY93" s="246"/>
      <c r="AZ93" s="246"/>
      <c r="BA93" s="247"/>
      <c r="BB93" s="543"/>
      <c r="BC93" s="544"/>
      <c r="BD93" s="544"/>
      <c r="BE93" s="544"/>
      <c r="BF93" s="544"/>
      <c r="BG93" s="544"/>
      <c r="BH93" s="544"/>
      <c r="BI93" s="544"/>
      <c r="BJ93" s="544"/>
      <c r="BK93" s="544"/>
      <c r="BL93" s="544"/>
      <c r="BM93" s="544"/>
      <c r="BN93" s="544"/>
      <c r="BO93" s="544"/>
      <c r="BP93" s="544"/>
      <c r="BQ93" s="544"/>
      <c r="BR93" s="544"/>
      <c r="BS93" s="544"/>
      <c r="BT93" s="544"/>
      <c r="BU93" s="544"/>
      <c r="BV93" s="544"/>
      <c r="BW93" s="544"/>
      <c r="BX93" s="544"/>
      <c r="BY93" s="544"/>
      <c r="BZ93" s="544"/>
      <c r="CA93" s="544"/>
      <c r="CB93" s="544"/>
      <c r="CC93" s="544"/>
      <c r="CD93" s="544"/>
      <c r="CE93" s="544"/>
      <c r="CF93" s="544"/>
      <c r="CG93" s="544"/>
      <c r="CH93" s="544"/>
      <c r="CI93" s="545"/>
      <c r="CJ93" s="64"/>
      <c r="CK93" s="64"/>
      <c r="CL93" s="64"/>
      <c r="CM93" s="549"/>
      <c r="CN93" s="549"/>
      <c r="CO93" s="549"/>
      <c r="CP93" s="549"/>
      <c r="CQ93" s="549"/>
      <c r="CR93" s="549"/>
      <c r="CS93" s="549"/>
      <c r="CT93" s="549"/>
      <c r="CU93" s="549"/>
      <c r="CV93" s="549"/>
      <c r="CW93" s="549"/>
      <c r="CX93" s="549"/>
      <c r="CY93" s="549"/>
      <c r="CZ93" s="549"/>
      <c r="DA93" s="549"/>
      <c r="DB93" s="549"/>
      <c r="DC93" s="549"/>
      <c r="DD93" s="549"/>
      <c r="DE93" s="549"/>
      <c r="DF93" s="549"/>
      <c r="DG93" s="549"/>
      <c r="DH93" s="549"/>
      <c r="DI93" s="549"/>
      <c r="DJ93" s="549"/>
      <c r="DK93" s="549"/>
      <c r="DL93" s="549"/>
      <c r="DM93" s="549"/>
      <c r="DN93" s="549"/>
      <c r="DO93" s="549"/>
      <c r="DP93" s="549"/>
      <c r="DQ93" s="549"/>
      <c r="DR93" s="549"/>
      <c r="DS93" s="549"/>
      <c r="DT93" s="549"/>
      <c r="DU93" s="549"/>
      <c r="DV93" s="549"/>
      <c r="DW93" s="549"/>
      <c r="DX93" s="549"/>
      <c r="DY93" s="549"/>
      <c r="DZ93" s="549"/>
      <c r="EA93" s="549"/>
      <c r="EB93" s="549"/>
      <c r="EC93" s="549"/>
      <c r="ED93" s="549"/>
      <c r="EE93" s="549"/>
      <c r="EF93" s="549"/>
      <c r="EG93" s="549"/>
      <c r="EH93" s="549"/>
      <c r="EI93" s="549"/>
      <c r="EJ93" s="549"/>
      <c r="EK93" s="64"/>
      <c r="EL93" s="64"/>
      <c r="EM93" s="64"/>
      <c r="EN93" s="64"/>
      <c r="EO93" s="64"/>
      <c r="EP93" s="64"/>
      <c r="EQ93" s="64"/>
      <c r="ER93" s="64"/>
      <c r="ES93" s="64"/>
      <c r="ET93" s="64"/>
    </row>
    <row r="94" spans="2:150" ht="120" customHeight="1" x14ac:dyDescent="0.2">
      <c r="B94" s="67"/>
      <c r="C94" s="67"/>
      <c r="D94" s="239" t="s">
        <v>170</v>
      </c>
      <c r="E94" s="240"/>
      <c r="F94" s="240"/>
      <c r="G94" s="240"/>
      <c r="H94" s="240"/>
      <c r="I94" s="240"/>
      <c r="J94" s="240"/>
      <c r="K94" s="240"/>
      <c r="L94" s="240"/>
      <c r="M94" s="240"/>
      <c r="N94" s="240"/>
      <c r="O94" s="240"/>
      <c r="P94" s="240"/>
      <c r="Q94" s="240"/>
      <c r="R94" s="240"/>
      <c r="S94" s="240"/>
      <c r="T94" s="240"/>
      <c r="U94" s="240"/>
      <c r="V94" s="240"/>
      <c r="W94" s="240"/>
      <c r="X94" s="240"/>
      <c r="Y94" s="240"/>
      <c r="Z94" s="240"/>
      <c r="AA94" s="240"/>
      <c r="AB94" s="240"/>
      <c r="AC94" s="240"/>
      <c r="AD94" s="240"/>
      <c r="AE94" s="240"/>
      <c r="AF94" s="240"/>
      <c r="AG94" s="240"/>
      <c r="AH94" s="241"/>
      <c r="AI94" s="242">
        <f>HE20</f>
        <v>6</v>
      </c>
      <c r="AJ94" s="243"/>
      <c r="AK94" s="243"/>
      <c r="AL94" s="243"/>
      <c r="AM94" s="243"/>
      <c r="AN94" s="243"/>
      <c r="AO94" s="243"/>
      <c r="AP94" s="243"/>
      <c r="AQ94" s="244"/>
      <c r="AR94" s="245" t="s">
        <v>191</v>
      </c>
      <c r="AS94" s="246"/>
      <c r="AT94" s="246"/>
      <c r="AU94" s="246"/>
      <c r="AV94" s="246"/>
      <c r="AW94" s="246"/>
      <c r="AX94" s="246"/>
      <c r="AY94" s="246"/>
      <c r="AZ94" s="246"/>
      <c r="BA94" s="247"/>
      <c r="BB94" s="543"/>
      <c r="BC94" s="544"/>
      <c r="BD94" s="544"/>
      <c r="BE94" s="544"/>
      <c r="BF94" s="544"/>
      <c r="BG94" s="544"/>
      <c r="BH94" s="544"/>
      <c r="BI94" s="544"/>
      <c r="BJ94" s="544"/>
      <c r="BK94" s="544"/>
      <c r="BL94" s="544"/>
      <c r="BM94" s="544"/>
      <c r="BN94" s="544"/>
      <c r="BO94" s="544"/>
      <c r="BP94" s="544"/>
      <c r="BQ94" s="544"/>
      <c r="BR94" s="544"/>
      <c r="BS94" s="544"/>
      <c r="BT94" s="544"/>
      <c r="BU94" s="544"/>
      <c r="BV94" s="544"/>
      <c r="BW94" s="544"/>
      <c r="BX94" s="544"/>
      <c r="BY94" s="544"/>
      <c r="BZ94" s="544"/>
      <c r="CA94" s="544"/>
      <c r="CB94" s="544"/>
      <c r="CC94" s="544"/>
      <c r="CD94" s="544"/>
      <c r="CE94" s="544"/>
      <c r="CF94" s="544"/>
      <c r="CG94" s="544"/>
      <c r="CH94" s="544"/>
      <c r="CI94" s="545"/>
      <c r="CJ94" s="64"/>
      <c r="CK94" s="64"/>
      <c r="CL94" s="64"/>
      <c r="CM94" s="549"/>
      <c r="CN94" s="549"/>
      <c r="CO94" s="549"/>
      <c r="CP94" s="549"/>
      <c r="CQ94" s="549"/>
      <c r="CR94" s="549"/>
      <c r="CS94" s="549"/>
      <c r="CT94" s="549"/>
      <c r="CU94" s="549"/>
      <c r="CV94" s="549"/>
      <c r="CW94" s="549"/>
      <c r="CX94" s="549"/>
      <c r="CY94" s="549"/>
      <c r="CZ94" s="549"/>
      <c r="DA94" s="549"/>
      <c r="DB94" s="549"/>
      <c r="DC94" s="549"/>
      <c r="DD94" s="549"/>
      <c r="DE94" s="549"/>
      <c r="DF94" s="549"/>
      <c r="DG94" s="549"/>
      <c r="DH94" s="549"/>
      <c r="DI94" s="549"/>
      <c r="DJ94" s="549"/>
      <c r="DK94" s="549"/>
      <c r="DL94" s="549"/>
      <c r="DM94" s="549"/>
      <c r="DN94" s="549"/>
      <c r="DO94" s="549"/>
      <c r="DP94" s="549"/>
      <c r="DQ94" s="549"/>
      <c r="DR94" s="549"/>
      <c r="DS94" s="549"/>
      <c r="DT94" s="549"/>
      <c r="DU94" s="549"/>
      <c r="DV94" s="549"/>
      <c r="DW94" s="549"/>
      <c r="DX94" s="549"/>
      <c r="DY94" s="549"/>
      <c r="DZ94" s="549"/>
      <c r="EA94" s="549"/>
      <c r="EB94" s="549"/>
      <c r="EC94" s="549"/>
      <c r="ED94" s="549"/>
      <c r="EE94" s="549"/>
      <c r="EF94" s="549"/>
      <c r="EG94" s="549"/>
      <c r="EH94" s="549"/>
      <c r="EI94" s="549"/>
      <c r="EJ94" s="549"/>
      <c r="EK94" s="64"/>
      <c r="EL94" s="64"/>
      <c r="EM94" s="64"/>
      <c r="EN94" s="64"/>
      <c r="EO94" s="64"/>
      <c r="EP94" s="64"/>
      <c r="EQ94" s="64"/>
      <c r="ER94" s="64"/>
      <c r="ES94" s="64"/>
      <c r="ET94" s="64"/>
    </row>
    <row r="95" spans="2:150" ht="120" customHeight="1" x14ac:dyDescent="0.2">
      <c r="B95" s="67"/>
      <c r="C95" s="67"/>
      <c r="D95" s="307" t="s">
        <v>18</v>
      </c>
      <c r="E95" s="308"/>
      <c r="F95" s="308"/>
      <c r="G95" s="308"/>
      <c r="H95" s="308"/>
      <c r="I95" s="308"/>
      <c r="J95" s="308"/>
      <c r="K95" s="308"/>
      <c r="L95" s="308"/>
      <c r="M95" s="308"/>
      <c r="N95" s="308"/>
      <c r="O95" s="308"/>
      <c r="P95" s="308"/>
      <c r="Q95" s="308"/>
      <c r="R95" s="308"/>
      <c r="S95" s="308"/>
      <c r="T95" s="308"/>
      <c r="U95" s="308"/>
      <c r="V95" s="308"/>
      <c r="W95" s="308"/>
      <c r="X95" s="308"/>
      <c r="Y95" s="308"/>
      <c r="Z95" s="308"/>
      <c r="AA95" s="308"/>
      <c r="AB95" s="308"/>
      <c r="AC95" s="308"/>
      <c r="AD95" s="308"/>
      <c r="AE95" s="308"/>
      <c r="AF95" s="308"/>
      <c r="AG95" s="308"/>
      <c r="AH95" s="309"/>
      <c r="AI95" s="294">
        <f>SUM(AI89:AQ94)</f>
        <v>256</v>
      </c>
      <c r="AJ95" s="295"/>
      <c r="AK95" s="295"/>
      <c r="AL95" s="295"/>
      <c r="AM95" s="295"/>
      <c r="AN95" s="295"/>
      <c r="AO95" s="295"/>
      <c r="AP95" s="295"/>
      <c r="AQ95" s="296"/>
      <c r="AR95" s="245"/>
      <c r="AS95" s="246"/>
      <c r="AT95" s="246"/>
      <c r="AU95" s="246"/>
      <c r="AV95" s="246"/>
      <c r="AW95" s="246"/>
      <c r="AX95" s="246"/>
      <c r="AY95" s="246"/>
      <c r="AZ95" s="246"/>
      <c r="BA95" s="247"/>
      <c r="BB95" s="546"/>
      <c r="BC95" s="547"/>
      <c r="BD95" s="547"/>
      <c r="BE95" s="547"/>
      <c r="BF95" s="547"/>
      <c r="BG95" s="547"/>
      <c r="BH95" s="547"/>
      <c r="BI95" s="547"/>
      <c r="BJ95" s="547"/>
      <c r="BK95" s="547"/>
      <c r="BL95" s="547"/>
      <c r="BM95" s="547"/>
      <c r="BN95" s="547"/>
      <c r="BO95" s="547"/>
      <c r="BP95" s="547"/>
      <c r="BQ95" s="547"/>
      <c r="BR95" s="547"/>
      <c r="BS95" s="547"/>
      <c r="BT95" s="547"/>
      <c r="BU95" s="547"/>
      <c r="BV95" s="547"/>
      <c r="BW95" s="547"/>
      <c r="BX95" s="547"/>
      <c r="BY95" s="547"/>
      <c r="BZ95" s="547"/>
      <c r="CA95" s="547"/>
      <c r="CB95" s="547"/>
      <c r="CC95" s="547"/>
      <c r="CD95" s="547"/>
      <c r="CE95" s="547"/>
      <c r="CF95" s="547"/>
      <c r="CG95" s="547"/>
      <c r="CH95" s="547"/>
      <c r="CI95" s="548"/>
      <c r="CJ95" s="64"/>
      <c r="CK95" s="64"/>
      <c r="CL95" s="64"/>
      <c r="CM95" s="549"/>
      <c r="CN95" s="549"/>
      <c r="CO95" s="549"/>
      <c r="CP95" s="549"/>
      <c r="CQ95" s="549"/>
      <c r="CR95" s="549"/>
      <c r="CS95" s="549"/>
      <c r="CT95" s="549"/>
      <c r="CU95" s="549"/>
      <c r="CV95" s="549"/>
      <c r="CW95" s="549"/>
      <c r="CX95" s="549"/>
      <c r="CY95" s="549"/>
      <c r="CZ95" s="549"/>
      <c r="DA95" s="549"/>
      <c r="DB95" s="549"/>
      <c r="DC95" s="549"/>
      <c r="DD95" s="549"/>
      <c r="DE95" s="549"/>
      <c r="DF95" s="549"/>
      <c r="DG95" s="549"/>
      <c r="DH95" s="549"/>
      <c r="DI95" s="549"/>
      <c r="DJ95" s="549"/>
      <c r="DK95" s="549"/>
      <c r="DL95" s="549"/>
      <c r="DM95" s="549"/>
      <c r="DN95" s="549"/>
      <c r="DO95" s="549"/>
      <c r="DP95" s="549"/>
      <c r="DQ95" s="549"/>
      <c r="DR95" s="549"/>
      <c r="DS95" s="549"/>
      <c r="DT95" s="549"/>
      <c r="DU95" s="549"/>
      <c r="DV95" s="549"/>
      <c r="DW95" s="549"/>
      <c r="DX95" s="549"/>
      <c r="DY95" s="549"/>
      <c r="DZ95" s="549"/>
      <c r="EA95" s="549"/>
      <c r="EB95" s="549"/>
      <c r="EC95" s="549"/>
      <c r="ED95" s="549"/>
      <c r="EE95" s="549"/>
      <c r="EF95" s="549"/>
      <c r="EG95" s="549"/>
      <c r="EH95" s="549"/>
      <c r="EI95" s="549"/>
      <c r="EJ95" s="549"/>
      <c r="EK95" s="64"/>
      <c r="EL95" s="64"/>
      <c r="EM95" s="64"/>
      <c r="EN95" s="64"/>
      <c r="EO95" s="64"/>
      <c r="EP95" s="64"/>
      <c r="EQ95" s="64"/>
      <c r="ER95" s="64"/>
      <c r="ES95" s="64"/>
      <c r="ET95" s="64"/>
    </row>
    <row r="96" spans="2:150" ht="120" customHeight="1" x14ac:dyDescent="0.2">
      <c r="B96" s="67"/>
      <c r="C96" s="67"/>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4"/>
      <c r="AY96" s="64"/>
      <c r="AZ96" s="64"/>
      <c r="BA96" s="64"/>
      <c r="BB96" s="64"/>
      <c r="BC96" s="64"/>
      <c r="BD96" s="64"/>
      <c r="BE96" s="64"/>
      <c r="BF96" s="64"/>
      <c r="BG96" s="64"/>
      <c r="BH96" s="64"/>
      <c r="BI96" s="64"/>
      <c r="BJ96" s="64"/>
      <c r="BK96" s="64"/>
      <c r="BL96" s="64"/>
      <c r="BM96" s="64"/>
      <c r="BN96" s="64"/>
      <c r="BO96" s="64"/>
      <c r="BP96" s="64"/>
      <c r="BQ96" s="64"/>
      <c r="BR96" s="64"/>
      <c r="BS96" s="64"/>
      <c r="BT96" s="64"/>
      <c r="BU96" s="64"/>
      <c r="BV96" s="64"/>
      <c r="BW96" s="64"/>
      <c r="BX96" s="64"/>
      <c r="BY96" s="64"/>
      <c r="BZ96" s="64"/>
      <c r="CA96" s="64"/>
      <c r="CB96" s="64"/>
      <c r="CC96" s="64"/>
      <c r="CD96" s="64"/>
      <c r="CE96" s="64"/>
      <c r="CF96" s="64"/>
      <c r="CG96" s="64"/>
      <c r="CH96" s="64"/>
      <c r="CI96" s="64"/>
      <c r="CJ96" s="64"/>
      <c r="CK96" s="64"/>
      <c r="CL96" s="64"/>
      <c r="CM96" s="64"/>
      <c r="CN96" s="64"/>
      <c r="CO96" s="64"/>
      <c r="CP96" s="64"/>
      <c r="CQ96" s="64"/>
      <c r="CR96" s="64"/>
      <c r="CS96" s="64"/>
      <c r="CT96" s="64"/>
      <c r="CU96" s="64"/>
      <c r="CV96" s="64"/>
      <c r="CW96" s="64"/>
      <c r="CX96" s="64"/>
      <c r="CY96" s="64"/>
      <c r="CZ96" s="64"/>
      <c r="DA96" s="64"/>
      <c r="DB96" s="64"/>
      <c r="DC96" s="64"/>
      <c r="DD96" s="64"/>
      <c r="DE96" s="64"/>
      <c r="DF96" s="64"/>
      <c r="DG96" s="64"/>
      <c r="DH96" s="64"/>
      <c r="DI96" s="64"/>
      <c r="DJ96" s="64"/>
      <c r="DK96" s="64"/>
      <c r="DL96" s="64"/>
      <c r="DM96" s="64"/>
      <c r="DN96" s="64"/>
      <c r="DO96" s="64"/>
      <c r="DP96" s="64"/>
      <c r="DQ96" s="64"/>
      <c r="DR96" s="64"/>
      <c r="DS96" s="64"/>
      <c r="DT96" s="64"/>
      <c r="DU96" s="64"/>
      <c r="DV96" s="64"/>
      <c r="DW96" s="64"/>
      <c r="DX96" s="64"/>
      <c r="DY96" s="64"/>
      <c r="DZ96" s="64"/>
      <c r="EA96" s="64"/>
      <c r="EB96" s="64"/>
      <c r="EC96" s="64"/>
      <c r="ED96" s="64"/>
      <c r="EE96" s="64"/>
      <c r="EF96" s="64"/>
      <c r="EG96" s="64"/>
      <c r="EH96" s="64"/>
      <c r="EI96" s="64"/>
      <c r="EJ96" s="64"/>
      <c r="EK96" s="64"/>
      <c r="EL96" s="64"/>
      <c r="EM96" s="64"/>
      <c r="EN96" s="64"/>
      <c r="EO96" s="64"/>
      <c r="EP96" s="64"/>
      <c r="EQ96" s="64"/>
      <c r="ER96" s="64"/>
      <c r="ES96" s="64"/>
      <c r="ET96" s="64"/>
    </row>
    <row r="97" spans="2:150" ht="120" customHeight="1" x14ac:dyDescent="0.6">
      <c r="B97" s="495" t="s">
        <v>186</v>
      </c>
      <c r="C97" s="495"/>
      <c r="D97" s="495"/>
      <c r="E97" s="495"/>
      <c r="F97" s="495"/>
      <c r="G97" s="495"/>
      <c r="H97" s="495"/>
      <c r="I97" s="495"/>
      <c r="J97" s="495"/>
      <c r="K97" s="495"/>
      <c r="L97" s="495"/>
      <c r="M97" s="495"/>
      <c r="N97" s="495"/>
      <c r="O97" s="495"/>
      <c r="P97" s="495"/>
      <c r="Q97" s="495"/>
      <c r="R97" s="495"/>
      <c r="S97" s="495"/>
      <c r="T97" s="495"/>
      <c r="U97" s="495"/>
      <c r="V97" s="495"/>
      <c r="W97" s="196"/>
      <c r="X97" s="196"/>
      <c r="Y97" s="196"/>
      <c r="Z97" s="467" t="s">
        <v>252</v>
      </c>
      <c r="AA97" s="467"/>
      <c r="AB97" s="467"/>
      <c r="AC97" s="467"/>
      <c r="AD97" s="467"/>
      <c r="AE97" s="467"/>
      <c r="AF97" s="467"/>
      <c r="AG97" s="467"/>
      <c r="AH97" s="467"/>
      <c r="AI97" s="467"/>
      <c r="AJ97" s="467"/>
      <c r="AK97" s="467"/>
      <c r="AL97" s="467"/>
      <c r="AM97" s="467"/>
      <c r="AN97" s="202"/>
      <c r="AO97" s="467" t="s">
        <v>253</v>
      </c>
      <c r="AP97" s="467"/>
      <c r="AQ97" s="467"/>
      <c r="AR97" s="467"/>
      <c r="AS97" s="467"/>
      <c r="AT97" s="467"/>
      <c r="AU97" s="467"/>
      <c r="AV97" s="467"/>
      <c r="AW97" s="467"/>
      <c r="AX97" s="467"/>
      <c r="AY97" s="467"/>
      <c r="AZ97" s="467"/>
      <c r="BA97" s="467"/>
      <c r="BB97" s="467"/>
      <c r="BC97" s="467"/>
      <c r="BD97" s="467"/>
      <c r="BE97" s="467"/>
      <c r="BF97" s="467"/>
      <c r="BG97" s="467"/>
      <c r="BH97" s="467"/>
      <c r="BI97" s="467"/>
      <c r="BJ97" s="467"/>
      <c r="BK97" s="467"/>
      <c r="BL97" s="467"/>
      <c r="BM97" s="467"/>
      <c r="BN97" s="467"/>
      <c r="BO97" s="467"/>
      <c r="BP97" s="467"/>
      <c r="BQ97" s="467"/>
      <c r="BR97" s="467"/>
      <c r="BS97" s="467"/>
      <c r="BT97" s="467"/>
      <c r="BU97" s="467"/>
      <c r="BV97" s="467"/>
      <c r="BW97" s="467"/>
      <c r="BX97" s="467"/>
      <c r="BY97" s="467"/>
      <c r="BZ97" s="467"/>
      <c r="CA97" s="467"/>
      <c r="CB97" s="467"/>
      <c r="CC97" s="467"/>
      <c r="CD97" s="467"/>
      <c r="CE97" s="467"/>
      <c r="CF97" s="467"/>
      <c r="CG97" s="467"/>
      <c r="CH97" s="467"/>
      <c r="CI97" s="467"/>
      <c r="CJ97" s="103"/>
      <c r="CK97" s="103"/>
      <c r="CL97" s="103"/>
      <c r="CM97" s="103"/>
      <c r="CN97" s="103"/>
      <c r="CO97" s="103"/>
      <c r="CP97" s="103"/>
      <c r="CQ97" s="103"/>
      <c r="CR97" s="103"/>
      <c r="CS97" s="103"/>
      <c r="CT97" s="103"/>
      <c r="CU97" s="103"/>
      <c r="CV97" s="103"/>
      <c r="CW97" s="103"/>
      <c r="CX97" s="103"/>
      <c r="CY97" s="103"/>
      <c r="CZ97" s="103"/>
      <c r="DA97" s="103"/>
      <c r="DB97" s="103"/>
      <c r="DC97" s="103"/>
      <c r="DD97" s="103"/>
      <c r="DE97" s="103"/>
      <c r="DF97" s="103"/>
      <c r="DG97" s="103"/>
      <c r="DH97" s="103"/>
      <c r="DI97" s="103"/>
      <c r="DJ97" s="103"/>
      <c r="DK97" s="103"/>
      <c r="DL97" s="103"/>
      <c r="DM97" s="103"/>
      <c r="DN97" s="103"/>
      <c r="DO97" s="103"/>
      <c r="DP97" s="103"/>
      <c r="DQ97" s="103"/>
      <c r="DR97" s="103"/>
      <c r="DS97" s="103"/>
      <c r="DT97" s="103"/>
      <c r="DU97" s="103"/>
      <c r="DV97" s="103"/>
      <c r="DW97" s="103"/>
      <c r="DX97" s="103"/>
      <c r="DY97" s="71"/>
      <c r="DZ97" s="71"/>
      <c r="EA97" s="71"/>
      <c r="EB97" s="71"/>
      <c r="EC97" s="71"/>
      <c r="ED97" s="71"/>
      <c r="EE97" s="71"/>
      <c r="EF97" s="71"/>
      <c r="EG97" s="71"/>
      <c r="EH97" s="71"/>
      <c r="EI97" s="71"/>
      <c r="EJ97" s="71"/>
      <c r="EK97" s="71"/>
      <c r="EL97" s="71"/>
      <c r="EM97" s="71"/>
      <c r="EN97" s="71"/>
      <c r="EO97" s="71"/>
      <c r="EP97" s="71"/>
      <c r="EQ97" s="71"/>
      <c r="ER97" s="68"/>
      <c r="ES97" s="68"/>
      <c r="ET97" s="68"/>
    </row>
    <row r="98" spans="2:150" ht="120" customHeight="1" x14ac:dyDescent="0.65">
      <c r="B98" s="67"/>
      <c r="C98" s="67"/>
      <c r="D98" s="72"/>
      <c r="E98" s="199"/>
      <c r="F98" s="199"/>
      <c r="G98" s="199"/>
      <c r="H98" s="199"/>
      <c r="I98" s="199"/>
      <c r="J98" s="199"/>
      <c r="K98" s="199"/>
      <c r="L98" s="199"/>
      <c r="M98" s="199"/>
      <c r="N98" s="199"/>
      <c r="O98" s="199"/>
      <c r="P98" s="199"/>
      <c r="Q98" s="199"/>
      <c r="R98" s="199"/>
      <c r="S98" s="199"/>
      <c r="T98" s="199"/>
      <c r="U98" s="199"/>
      <c r="V98" s="199"/>
      <c r="W98" s="196"/>
      <c r="X98" s="196"/>
      <c r="Y98" s="196"/>
      <c r="Z98" s="196"/>
      <c r="AA98" s="196"/>
      <c r="AB98" s="196"/>
      <c r="AC98" s="196"/>
      <c r="AD98" s="196"/>
      <c r="AE98" s="196"/>
      <c r="AF98" s="196"/>
      <c r="AG98" s="196"/>
      <c r="AH98" s="196"/>
      <c r="AI98" s="196"/>
      <c r="AJ98" s="196"/>
      <c r="AK98" s="195"/>
      <c r="AL98" s="195"/>
      <c r="AM98" s="195"/>
      <c r="AN98" s="195"/>
      <c r="AO98" s="195"/>
      <c r="AP98" s="195"/>
      <c r="AQ98" s="91"/>
      <c r="AR98" s="91"/>
      <c r="AS98" s="91"/>
      <c r="AT98" s="91"/>
      <c r="AU98" s="91"/>
      <c r="AV98" s="91"/>
      <c r="AW98" s="72"/>
      <c r="AX98" s="72"/>
      <c r="AY98" s="72"/>
      <c r="AZ98" s="72"/>
      <c r="BA98" s="72"/>
      <c r="BB98" s="69"/>
      <c r="BC98" s="69"/>
      <c r="BD98" s="69"/>
      <c r="BE98" s="69"/>
      <c r="BF98" s="69"/>
      <c r="BG98" s="69"/>
      <c r="BH98" s="69"/>
      <c r="BI98" s="69"/>
      <c r="BJ98" s="69"/>
      <c r="BK98" s="70"/>
      <c r="BL98" s="70"/>
      <c r="BM98" s="70"/>
      <c r="BN98" s="70"/>
      <c r="BO98" s="70"/>
      <c r="BP98" s="70"/>
      <c r="BQ98" s="69"/>
      <c r="BR98" s="69"/>
      <c r="BS98" s="69"/>
      <c r="BT98" s="69"/>
      <c r="BU98" s="69"/>
      <c r="BV98" s="69"/>
      <c r="BW98" s="69"/>
      <c r="BX98" s="69"/>
      <c r="BY98" s="69"/>
      <c r="BZ98" s="69"/>
      <c r="CA98" s="69"/>
      <c r="CB98" s="69"/>
      <c r="CC98" s="69"/>
      <c r="CD98" s="69"/>
      <c r="CE98" s="69"/>
      <c r="CF98" s="69"/>
      <c r="CG98" s="69"/>
      <c r="CH98" s="69"/>
      <c r="CI98" s="69"/>
      <c r="CJ98" s="69"/>
      <c r="CK98" s="69"/>
      <c r="CL98" s="69"/>
      <c r="CM98" s="69"/>
      <c r="CN98" s="69"/>
      <c r="CO98" s="69"/>
      <c r="CP98" s="69"/>
      <c r="CQ98" s="69"/>
      <c r="CR98" s="69"/>
      <c r="CS98" s="69"/>
      <c r="CT98" s="69"/>
      <c r="CU98" s="71"/>
      <c r="CV98" s="71"/>
      <c r="CW98" s="71"/>
      <c r="CX98" s="71"/>
      <c r="CY98" s="71"/>
      <c r="CZ98" s="71"/>
      <c r="DA98" s="71"/>
      <c r="DB98" s="71"/>
      <c r="DC98" s="71"/>
      <c r="DD98" s="71"/>
      <c r="DE98" s="71"/>
      <c r="DF98" s="71"/>
      <c r="DG98" s="71"/>
      <c r="DH98" s="71"/>
      <c r="DI98" s="71"/>
      <c r="DJ98" s="71"/>
      <c r="DK98" s="71"/>
      <c r="DL98" s="71"/>
      <c r="DM98" s="71"/>
      <c r="DN98" s="71"/>
      <c r="DO98" s="71"/>
      <c r="DP98" s="71"/>
      <c r="DQ98" s="71"/>
      <c r="DR98" s="71"/>
      <c r="DS98" s="71"/>
      <c r="DT98" s="71"/>
      <c r="DU98" s="71"/>
      <c r="DV98" s="71"/>
      <c r="DW98" s="71"/>
      <c r="DX98" s="71"/>
      <c r="DY98" s="71"/>
      <c r="DZ98" s="71"/>
      <c r="EA98" s="71"/>
      <c r="EB98" s="71"/>
      <c r="EC98" s="71"/>
      <c r="ED98" s="71"/>
      <c r="EE98" s="71"/>
      <c r="EF98" s="71"/>
      <c r="EG98" s="71"/>
      <c r="EH98" s="71"/>
      <c r="EI98" s="71"/>
      <c r="EJ98" s="71"/>
      <c r="EK98" s="71"/>
      <c r="EL98" s="71"/>
      <c r="EM98" s="71"/>
      <c r="EN98" s="71"/>
      <c r="EO98" s="71"/>
      <c r="EP98" s="71"/>
      <c r="EQ98" s="71"/>
      <c r="ER98" s="67"/>
      <c r="ES98" s="67"/>
      <c r="ET98" s="67"/>
    </row>
    <row r="99" spans="2:150" ht="120" customHeight="1" x14ac:dyDescent="0.25">
      <c r="B99" s="495" t="s">
        <v>204</v>
      </c>
      <c r="C99" s="496"/>
      <c r="D99" s="496"/>
      <c r="E99" s="496"/>
      <c r="F99" s="496"/>
      <c r="G99" s="496"/>
      <c r="H99" s="496"/>
      <c r="I99" s="496"/>
      <c r="J99" s="496"/>
      <c r="K99" s="496"/>
      <c r="L99" s="496"/>
      <c r="M99" s="496"/>
      <c r="N99" s="496"/>
      <c r="O99" s="496"/>
      <c r="P99" s="496"/>
      <c r="Q99" s="496"/>
      <c r="R99" s="496"/>
      <c r="S99" s="496"/>
      <c r="T99" s="496"/>
      <c r="U99" s="496"/>
      <c r="V99" s="496"/>
      <c r="W99" s="196"/>
      <c r="X99" s="196"/>
      <c r="Y99" s="196"/>
      <c r="Z99" s="467" t="s">
        <v>252</v>
      </c>
      <c r="AA99" s="467"/>
      <c r="AB99" s="467"/>
      <c r="AC99" s="467"/>
      <c r="AD99" s="467"/>
      <c r="AE99" s="467"/>
      <c r="AF99" s="467"/>
      <c r="AG99" s="467"/>
      <c r="AH99" s="467"/>
      <c r="AI99" s="467"/>
      <c r="AJ99" s="467"/>
      <c r="AK99" s="467"/>
      <c r="AL99" s="467"/>
      <c r="AM99" s="467"/>
      <c r="AN99" s="202"/>
      <c r="AO99" s="467" t="s">
        <v>253</v>
      </c>
      <c r="AP99" s="467"/>
      <c r="AQ99" s="467"/>
      <c r="AR99" s="467"/>
      <c r="AS99" s="467"/>
      <c r="AT99" s="467"/>
      <c r="AU99" s="467"/>
      <c r="AV99" s="467"/>
      <c r="AW99" s="467"/>
      <c r="AX99" s="467"/>
      <c r="AY99" s="467"/>
      <c r="AZ99" s="467"/>
      <c r="BA99" s="467"/>
      <c r="BB99" s="467"/>
      <c r="BC99" s="467"/>
      <c r="BD99" s="467"/>
      <c r="BE99" s="467"/>
      <c r="BF99" s="467"/>
      <c r="BG99" s="467"/>
      <c r="BH99" s="467"/>
      <c r="BI99" s="467"/>
      <c r="BJ99" s="467"/>
      <c r="BK99" s="467"/>
      <c r="BL99" s="467"/>
      <c r="BM99" s="467"/>
      <c r="BN99" s="467"/>
      <c r="BO99" s="467"/>
      <c r="BP99" s="467"/>
      <c r="BQ99" s="467"/>
      <c r="BR99" s="467"/>
      <c r="BS99" s="467"/>
      <c r="BT99" s="467"/>
      <c r="BU99" s="467"/>
      <c r="BV99" s="467"/>
      <c r="BW99" s="467"/>
      <c r="BX99" s="467"/>
      <c r="BY99" s="467"/>
      <c r="BZ99" s="467"/>
      <c r="CA99" s="467"/>
      <c r="CB99" s="467"/>
      <c r="CC99" s="467"/>
      <c r="CD99" s="467"/>
      <c r="CE99" s="467"/>
      <c r="CF99" s="467"/>
      <c r="CG99" s="467"/>
      <c r="CH99" s="467"/>
      <c r="CI99" s="467"/>
      <c r="CJ99" s="71"/>
      <c r="CK99" s="71"/>
      <c r="CL99" s="71"/>
      <c r="CM99" s="71"/>
      <c r="CN99" s="71"/>
      <c r="CO99" s="71"/>
      <c r="CP99" s="71"/>
      <c r="CQ99" s="71"/>
      <c r="CR99" s="71"/>
      <c r="CS99" s="71"/>
      <c r="CT99" s="71"/>
      <c r="CU99" s="71"/>
      <c r="CV99" s="71"/>
      <c r="CW99" s="71"/>
      <c r="CX99" s="71"/>
      <c r="CY99" s="71"/>
      <c r="CZ99" s="71"/>
      <c r="DA99" s="71"/>
      <c r="DB99" s="71"/>
      <c r="DC99" s="71"/>
      <c r="DD99" s="71"/>
      <c r="DE99" s="71"/>
      <c r="DF99" s="71"/>
      <c r="DG99" s="71"/>
      <c r="DH99" s="71"/>
      <c r="DI99" s="71"/>
      <c r="DJ99" s="71"/>
      <c r="DK99" s="71"/>
      <c r="DL99" s="71"/>
      <c r="DM99" s="71"/>
      <c r="DN99" s="71"/>
      <c r="DO99" s="71"/>
      <c r="DP99" s="71"/>
      <c r="DQ99" s="71"/>
      <c r="DR99" s="71"/>
      <c r="DS99" s="71"/>
      <c r="DT99" s="71"/>
      <c r="DU99" s="71"/>
      <c r="DV99" s="71"/>
      <c r="DW99" s="71"/>
      <c r="DX99" s="71"/>
      <c r="DY99" s="71"/>
      <c r="DZ99" s="71"/>
      <c r="EA99" s="71"/>
      <c r="EB99" s="71"/>
      <c r="EC99" s="71"/>
      <c r="ED99" s="71"/>
      <c r="EE99" s="71"/>
      <c r="EF99" s="71"/>
      <c r="EG99" s="71"/>
      <c r="EH99" s="71"/>
      <c r="EI99" s="71"/>
      <c r="EJ99" s="71"/>
      <c r="EK99" s="71"/>
      <c r="EL99" s="71"/>
      <c r="EM99" s="71"/>
      <c r="EN99" s="71"/>
      <c r="EO99" s="71"/>
      <c r="EP99" s="71"/>
      <c r="EQ99" s="71"/>
      <c r="ER99" s="73"/>
      <c r="ES99" s="73"/>
      <c r="ET99" s="73"/>
    </row>
    <row r="100" spans="2:150" ht="120" customHeight="1" x14ac:dyDescent="0.25">
      <c r="B100" s="9"/>
      <c r="C100" s="6"/>
      <c r="D100" s="6"/>
      <c r="E100" s="199"/>
      <c r="F100" s="199"/>
      <c r="G100" s="199"/>
      <c r="H100" s="199"/>
      <c r="I100" s="199"/>
      <c r="J100" s="199"/>
      <c r="K100" s="199"/>
      <c r="L100" s="199"/>
      <c r="M100" s="199"/>
      <c r="N100" s="199"/>
      <c r="O100" s="199"/>
      <c r="P100" s="199"/>
      <c r="Q100" s="199"/>
      <c r="R100" s="199"/>
      <c r="S100" s="199"/>
      <c r="T100" s="199"/>
      <c r="U100" s="199"/>
      <c r="V100" s="199"/>
      <c r="W100" s="196"/>
      <c r="X100" s="196"/>
      <c r="Y100" s="196"/>
      <c r="Z100" s="196"/>
      <c r="AA100" s="196"/>
      <c r="AB100" s="196"/>
      <c r="AC100" s="196"/>
      <c r="AD100" s="196"/>
      <c r="AE100" s="196"/>
      <c r="AF100" s="196"/>
      <c r="AG100" s="196"/>
      <c r="AH100" s="196"/>
      <c r="AI100" s="196"/>
      <c r="AJ100" s="196"/>
      <c r="AK100" s="195"/>
      <c r="AL100" s="195"/>
      <c r="AM100" s="195"/>
      <c r="AN100" s="195"/>
      <c r="AO100" s="195"/>
      <c r="AP100" s="195"/>
      <c r="AQ100" s="91"/>
      <c r="AR100" s="91"/>
      <c r="AS100" s="91"/>
      <c r="AT100" s="91"/>
      <c r="AU100" s="91"/>
      <c r="AV100" s="91"/>
      <c r="AW100" s="2"/>
      <c r="AX100" s="3"/>
      <c r="AY100" s="3"/>
      <c r="AZ100" s="3"/>
      <c r="BA100" s="3"/>
      <c r="BB100" s="3"/>
      <c r="BC100" s="3"/>
      <c r="BD100" s="3"/>
      <c r="BE100" s="3"/>
      <c r="BF100" s="3"/>
      <c r="BG100" s="3"/>
      <c r="BH100" s="3"/>
      <c r="BI100" s="3"/>
      <c r="BJ100" s="10"/>
      <c r="BK100" s="10"/>
      <c r="BL100" s="10"/>
      <c r="BM100" s="10"/>
      <c r="BN100" s="10"/>
      <c r="BO100" s="10"/>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8"/>
      <c r="ES100" s="8"/>
      <c r="ET100" s="8"/>
    </row>
    <row r="101" spans="2:150" ht="120" customHeight="1" x14ac:dyDescent="0.25">
      <c r="B101" s="495" t="s">
        <v>172</v>
      </c>
      <c r="C101" s="496"/>
      <c r="D101" s="496"/>
      <c r="E101" s="496"/>
      <c r="F101" s="496"/>
      <c r="G101" s="496"/>
      <c r="H101" s="496"/>
      <c r="I101" s="496"/>
      <c r="J101" s="496"/>
      <c r="K101" s="496"/>
      <c r="L101" s="496"/>
      <c r="M101" s="496"/>
      <c r="N101" s="496"/>
      <c r="O101" s="199"/>
      <c r="P101" s="199"/>
      <c r="Q101" s="199"/>
      <c r="R101" s="199"/>
      <c r="S101" s="199"/>
      <c r="T101" s="199"/>
      <c r="U101" s="199"/>
      <c r="V101" s="199"/>
      <c r="W101" s="196"/>
      <c r="X101" s="196"/>
      <c r="Y101" s="196"/>
      <c r="Z101" s="467" t="s">
        <v>252</v>
      </c>
      <c r="AA101" s="467"/>
      <c r="AB101" s="467"/>
      <c r="AC101" s="467"/>
      <c r="AD101" s="467"/>
      <c r="AE101" s="467"/>
      <c r="AF101" s="467"/>
      <c r="AG101" s="467"/>
      <c r="AH101" s="467"/>
      <c r="AI101" s="467"/>
      <c r="AJ101" s="467"/>
      <c r="AK101" s="467"/>
      <c r="AL101" s="467"/>
      <c r="AM101" s="467"/>
      <c r="AN101" s="202"/>
      <c r="AO101" s="467" t="s">
        <v>253</v>
      </c>
      <c r="AP101" s="467"/>
      <c r="AQ101" s="467"/>
      <c r="AR101" s="467"/>
      <c r="AS101" s="467"/>
      <c r="AT101" s="467"/>
      <c r="AU101" s="467"/>
      <c r="AV101" s="467"/>
      <c r="AW101" s="467"/>
      <c r="AX101" s="467"/>
      <c r="AY101" s="467"/>
      <c r="AZ101" s="467"/>
      <c r="BA101" s="467"/>
      <c r="BB101" s="467"/>
      <c r="BC101" s="467"/>
      <c r="BD101" s="467"/>
      <c r="BE101" s="467"/>
      <c r="BF101" s="467"/>
      <c r="BG101" s="467"/>
      <c r="BH101" s="467"/>
      <c r="BI101" s="467"/>
      <c r="BJ101" s="467"/>
      <c r="BK101" s="467"/>
      <c r="BL101" s="467"/>
      <c r="BM101" s="467"/>
      <c r="BN101" s="467"/>
      <c r="BO101" s="467"/>
      <c r="BP101" s="467"/>
      <c r="BQ101" s="467"/>
      <c r="BR101" s="467"/>
      <c r="BS101" s="467"/>
      <c r="BT101" s="467"/>
      <c r="BU101" s="467"/>
      <c r="BV101" s="467"/>
      <c r="BW101" s="467"/>
      <c r="BX101" s="467"/>
      <c r="BY101" s="467"/>
      <c r="BZ101" s="467"/>
      <c r="CA101" s="467"/>
      <c r="CB101" s="467"/>
      <c r="CC101" s="467"/>
      <c r="CD101" s="467"/>
      <c r="CE101" s="467"/>
      <c r="CF101" s="467"/>
      <c r="CG101" s="467"/>
      <c r="CH101" s="467"/>
      <c r="CI101" s="467"/>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8"/>
      <c r="ES101" s="8"/>
      <c r="ET101" s="8"/>
    </row>
    <row r="102" spans="2:150" ht="120" customHeight="1" x14ac:dyDescent="1.05">
      <c r="B102" s="9"/>
      <c r="C102" s="6"/>
      <c r="D102" s="6"/>
      <c r="E102" s="200"/>
      <c r="F102" s="200"/>
      <c r="G102" s="200"/>
      <c r="H102" s="200"/>
      <c r="I102" s="200"/>
      <c r="J102" s="200"/>
      <c r="K102" s="200"/>
      <c r="L102" s="200"/>
      <c r="M102" s="200"/>
      <c r="N102" s="200"/>
      <c r="O102" s="200"/>
      <c r="P102" s="200"/>
      <c r="Q102" s="200"/>
      <c r="R102" s="200"/>
      <c r="S102" s="200"/>
      <c r="T102" s="201"/>
      <c r="U102" s="201"/>
      <c r="V102" s="201"/>
      <c r="W102" s="11"/>
      <c r="X102" s="11"/>
      <c r="Y102" s="11"/>
      <c r="Z102" s="11"/>
      <c r="AA102" s="3"/>
      <c r="AB102" s="3"/>
      <c r="AC102" s="3"/>
      <c r="AD102" s="3"/>
      <c r="AE102" s="3"/>
      <c r="AF102" s="3"/>
      <c r="AG102" s="3"/>
      <c r="AH102" s="3"/>
      <c r="AI102" s="2"/>
      <c r="AJ102" s="2"/>
      <c r="AK102" s="2"/>
      <c r="AL102" s="2"/>
      <c r="AM102" s="2"/>
      <c r="AN102" s="2"/>
      <c r="AO102" s="2"/>
      <c r="AP102" s="2"/>
      <c r="AQ102" s="2"/>
      <c r="AR102" s="2"/>
      <c r="AS102" s="2"/>
      <c r="AT102" s="2"/>
      <c r="AU102" s="3"/>
      <c r="AV102" s="3"/>
      <c r="AW102" s="2"/>
      <c r="AX102" s="3"/>
      <c r="AY102" s="3"/>
      <c r="AZ102" s="3"/>
      <c r="BA102" s="3"/>
      <c r="BB102" s="3"/>
      <c r="BC102" s="3"/>
      <c r="BD102" s="3"/>
      <c r="BE102" s="3"/>
      <c r="BF102" s="3"/>
      <c r="BG102" s="3"/>
      <c r="BH102" s="3"/>
      <c r="BI102" s="3"/>
      <c r="BJ102" s="10"/>
      <c r="BK102" s="10"/>
      <c r="BL102" s="10"/>
      <c r="BM102" s="10"/>
      <c r="BN102" s="10"/>
      <c r="BO102" s="10"/>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8"/>
      <c r="ES102" s="8"/>
      <c r="ET102" s="8"/>
    </row>
    <row r="103" spans="2:150" ht="120" customHeight="1" x14ac:dyDescent="0.2">
      <c r="B103" s="495" t="s">
        <v>205</v>
      </c>
      <c r="C103" s="496"/>
      <c r="D103" s="496"/>
      <c r="E103" s="496"/>
      <c r="F103" s="496"/>
      <c r="G103" s="496"/>
      <c r="H103" s="496"/>
      <c r="I103" s="496"/>
      <c r="J103" s="496"/>
      <c r="K103" s="496"/>
      <c r="L103" s="496"/>
      <c r="M103" s="496"/>
      <c r="N103" s="496"/>
      <c r="O103" s="199"/>
      <c r="P103" s="199"/>
      <c r="Q103" s="199"/>
      <c r="R103" s="199"/>
      <c r="S103" s="199"/>
      <c r="T103" s="199"/>
      <c r="U103" s="199"/>
      <c r="V103" s="199"/>
      <c r="W103" s="196"/>
      <c r="X103" s="196"/>
      <c r="Y103" s="196"/>
      <c r="Z103" s="467" t="s">
        <v>252</v>
      </c>
      <c r="AA103" s="467"/>
      <c r="AB103" s="467"/>
      <c r="AC103" s="467"/>
      <c r="AD103" s="467"/>
      <c r="AE103" s="467"/>
      <c r="AF103" s="467"/>
      <c r="AG103" s="467"/>
      <c r="AH103" s="467"/>
      <c r="AI103" s="467"/>
      <c r="AJ103" s="467"/>
      <c r="AK103" s="467"/>
      <c r="AL103" s="467"/>
      <c r="AM103" s="467"/>
      <c r="AN103" s="202"/>
      <c r="AO103" s="467" t="s">
        <v>253</v>
      </c>
      <c r="AP103" s="467"/>
      <c r="AQ103" s="467"/>
      <c r="AR103" s="467"/>
      <c r="AS103" s="467"/>
      <c r="AT103" s="467"/>
      <c r="AU103" s="467"/>
      <c r="AV103" s="467"/>
      <c r="AW103" s="467"/>
      <c r="AX103" s="467"/>
      <c r="AY103" s="467"/>
      <c r="AZ103" s="467"/>
      <c r="BA103" s="467"/>
      <c r="BB103" s="467"/>
      <c r="BC103" s="467"/>
      <c r="BD103" s="467"/>
      <c r="BE103" s="467"/>
      <c r="BF103" s="467"/>
      <c r="BG103" s="467"/>
      <c r="BH103" s="467"/>
      <c r="BI103" s="467"/>
      <c r="BJ103" s="467"/>
      <c r="BK103" s="467"/>
      <c r="BL103" s="467"/>
      <c r="BM103" s="467"/>
      <c r="BN103" s="467"/>
      <c r="BO103" s="467"/>
      <c r="BP103" s="467"/>
      <c r="BQ103" s="467"/>
      <c r="BR103" s="467"/>
      <c r="BS103" s="467"/>
      <c r="BT103" s="467"/>
      <c r="BU103" s="467"/>
      <c r="BV103" s="467"/>
      <c r="BW103" s="467"/>
      <c r="BX103" s="467"/>
      <c r="BY103" s="467"/>
      <c r="BZ103" s="467"/>
      <c r="CA103" s="467"/>
      <c r="CB103" s="467"/>
      <c r="CC103" s="467"/>
      <c r="CD103" s="467"/>
      <c r="CE103" s="467"/>
      <c r="CF103" s="467"/>
      <c r="CG103" s="467"/>
      <c r="CH103" s="467"/>
      <c r="CI103" s="467"/>
    </row>
    <row r="104" spans="2:150" ht="69.95" customHeight="1" x14ac:dyDescent="0.2"/>
  </sheetData>
  <mergeCells count="1348">
    <mergeCell ref="HI15:HJ15"/>
    <mergeCell ref="HK15:HL15"/>
    <mergeCell ref="HM15:HN15"/>
    <mergeCell ref="AK2:CW2"/>
    <mergeCell ref="AK3:CW3"/>
    <mergeCell ref="AK4:CW4"/>
    <mergeCell ref="AK5:CW5"/>
    <mergeCell ref="AK6:CW6"/>
    <mergeCell ref="AK7:CW7"/>
    <mergeCell ref="EZ22:FB22"/>
    <mergeCell ref="FC22:FH22"/>
    <mergeCell ref="FK22:FM22"/>
    <mergeCell ref="FN22:FS22"/>
    <mergeCell ref="FV22:FX22"/>
    <mergeCell ref="FY22:GD22"/>
    <mergeCell ref="GG22:GI22"/>
    <mergeCell ref="GJ22:GO22"/>
    <mergeCell ref="GR22:GT22"/>
    <mergeCell ref="GU22:GZ22"/>
    <mergeCell ref="HC22:HE22"/>
    <mergeCell ref="EW16:EX16"/>
    <mergeCell ref="GY16:GZ16"/>
    <mergeCell ref="HA16:HB16"/>
    <mergeCell ref="HC16:HD16"/>
    <mergeCell ref="HE16:HF16"/>
    <mergeCell ref="EY9:GX12"/>
    <mergeCell ref="GY9:HJ9"/>
    <mergeCell ref="HK9:HL14"/>
    <mergeCell ref="HM9:HN14"/>
    <mergeCell ref="GY10:GZ14"/>
    <mergeCell ref="HA10:HJ10"/>
    <mergeCell ref="HA11:HB14"/>
    <mergeCell ref="EN53:EQ53"/>
    <mergeCell ref="ER53:EU53"/>
    <mergeCell ref="EN41:EQ41"/>
    <mergeCell ref="ER41:EU41"/>
    <mergeCell ref="D93:AH93"/>
    <mergeCell ref="AI93:AQ93"/>
    <mergeCell ref="AR93:BA93"/>
    <mergeCell ref="HE18:HF18"/>
    <mergeCell ref="HG18:HH18"/>
    <mergeCell ref="HI18:HJ18"/>
    <mergeCell ref="HK18:HL18"/>
    <mergeCell ref="HM18:HN18"/>
    <mergeCell ref="A1:EU1"/>
    <mergeCell ref="A27:EU27"/>
    <mergeCell ref="EW19:EX19"/>
    <mergeCell ref="GY19:GZ19"/>
    <mergeCell ref="HA19:HB19"/>
    <mergeCell ref="HC19:HD19"/>
    <mergeCell ref="HE19:HF19"/>
    <mergeCell ref="HG19:HH19"/>
    <mergeCell ref="HI19:HJ19"/>
    <mergeCell ref="HK19:HL19"/>
    <mergeCell ref="HM19:HN19"/>
    <mergeCell ref="EW20:GX20"/>
    <mergeCell ref="GY20:GZ20"/>
    <mergeCell ref="HA20:HB20"/>
    <mergeCell ref="HC20:HD20"/>
    <mergeCell ref="HE20:HF20"/>
    <mergeCell ref="HG20:HH20"/>
    <mergeCell ref="HI20:HJ20"/>
    <mergeCell ref="HK20:HL20"/>
    <mergeCell ref="HM20:HN20"/>
    <mergeCell ref="ER44:EU44"/>
    <mergeCell ref="ER52:EU52"/>
    <mergeCell ref="ER51:EU51"/>
    <mergeCell ref="ER38:EU38"/>
    <mergeCell ref="EN52:EQ52"/>
    <mergeCell ref="ER50:EU50"/>
    <mergeCell ref="HG16:HH16"/>
    <mergeCell ref="HI16:HJ16"/>
    <mergeCell ref="HK16:HL16"/>
    <mergeCell ref="HM16:HN16"/>
    <mergeCell ref="EW17:EX17"/>
    <mergeCell ref="GY17:GZ17"/>
    <mergeCell ref="HA17:HB17"/>
    <mergeCell ref="HC17:HD17"/>
    <mergeCell ref="HE17:HF17"/>
    <mergeCell ref="HG17:HH17"/>
    <mergeCell ref="HI17:HJ17"/>
    <mergeCell ref="HK17:HL17"/>
    <mergeCell ref="HM17:HN17"/>
    <mergeCell ref="EW18:EX18"/>
    <mergeCell ref="GY18:GZ18"/>
    <mergeCell ref="HA18:HB18"/>
    <mergeCell ref="HC18:HD18"/>
    <mergeCell ref="HF22:HK22"/>
    <mergeCell ref="ER43:EU43"/>
    <mergeCell ref="ER47:EU47"/>
    <mergeCell ref="ER48:EU48"/>
    <mergeCell ref="ER40:EU40"/>
    <mergeCell ref="ER39:EU39"/>
    <mergeCell ref="ER42:EU42"/>
    <mergeCell ref="EN42:EQ42"/>
    <mergeCell ref="EN50:EQ50"/>
    <mergeCell ref="HC11:HD14"/>
    <mergeCell ref="HE11:HF14"/>
    <mergeCell ref="HG11:HH14"/>
    <mergeCell ref="HI11:HJ14"/>
    <mergeCell ref="EY13:FC13"/>
    <mergeCell ref="FD13:FG13"/>
    <mergeCell ref="FH13:FL13"/>
    <mergeCell ref="FM13:FP13"/>
    <mergeCell ref="FQ13:FU13"/>
    <mergeCell ref="FV13:FY13"/>
    <mergeCell ref="FZ13:GD13"/>
    <mergeCell ref="GE13:GH13"/>
    <mergeCell ref="GI13:GL13"/>
    <mergeCell ref="C77:Y77"/>
    <mergeCell ref="GM13:GP13"/>
    <mergeCell ref="GQ13:GT13"/>
    <mergeCell ref="GU13:GX13"/>
    <mergeCell ref="EW15:EX15"/>
    <mergeCell ref="GY15:GZ15"/>
    <mergeCell ref="HA15:HB15"/>
    <mergeCell ref="HC15:HD15"/>
    <mergeCell ref="HE15:HF15"/>
    <mergeCell ref="HG15:HH15"/>
    <mergeCell ref="EW9:EX14"/>
    <mergeCell ref="ER46:EU46"/>
    <mergeCell ref="C54:Y54"/>
    <mergeCell ref="Z54:AC54"/>
    <mergeCell ref="AD54:AG54"/>
    <mergeCell ref="AH54:AL54"/>
    <mergeCell ref="AM54:AQ54"/>
    <mergeCell ref="AR54:AV54"/>
    <mergeCell ref="AW54:BA54"/>
    <mergeCell ref="ER77:EU77"/>
    <mergeCell ref="DP54:DS54"/>
    <mergeCell ref="ER79:EU79"/>
    <mergeCell ref="EN77:EQ77"/>
    <mergeCell ref="ER56:EU56"/>
    <mergeCell ref="EJ56:EM56"/>
    <mergeCell ref="EN56:EQ56"/>
    <mergeCell ref="BL73:BO74"/>
    <mergeCell ref="BP73:BS74"/>
    <mergeCell ref="ER75:EU75"/>
    <mergeCell ref="CB69:CE70"/>
    <mergeCell ref="CF69:CI70"/>
    <mergeCell ref="CJ69:CM70"/>
    <mergeCell ref="ER67:EU68"/>
    <mergeCell ref="BP56:BS56"/>
    <mergeCell ref="BT56:BW56"/>
    <mergeCell ref="BX56:CA56"/>
    <mergeCell ref="ER63:EU64"/>
    <mergeCell ref="ER59:EU60"/>
    <mergeCell ref="EF56:EI56"/>
    <mergeCell ref="ER78:EU78"/>
    <mergeCell ref="DD79:DG79"/>
    <mergeCell ref="DH79:DK79"/>
    <mergeCell ref="DL79:DO79"/>
    <mergeCell ref="DP79:DS79"/>
    <mergeCell ref="CJ79:CM79"/>
    <mergeCell ref="CN79:CQ79"/>
    <mergeCell ref="CR79:CU79"/>
    <mergeCell ref="BX78:CA78"/>
    <mergeCell ref="CB78:CE78"/>
    <mergeCell ref="CF78:CI78"/>
    <mergeCell ref="EN54:EQ54"/>
    <mergeCell ref="EJ79:EM79"/>
    <mergeCell ref="EN79:EQ79"/>
    <mergeCell ref="BP78:BS78"/>
    <mergeCell ref="BT78:BW78"/>
    <mergeCell ref="AH78:AL78"/>
    <mergeCell ref="C78:Y78"/>
    <mergeCell ref="Z78:AC78"/>
    <mergeCell ref="AM78:AQ78"/>
    <mergeCell ref="AR78:AV78"/>
    <mergeCell ref="AW78:BA78"/>
    <mergeCell ref="BB78:BF78"/>
    <mergeCell ref="BG78:BK78"/>
    <mergeCell ref="DT77:DW77"/>
    <mergeCell ref="DX77:EA77"/>
    <mergeCell ref="EB77:EE77"/>
    <mergeCell ref="EF77:EI77"/>
    <mergeCell ref="DX79:EA79"/>
    <mergeCell ref="EB79:EE79"/>
    <mergeCell ref="EF79:EI79"/>
    <mergeCell ref="EF78:EI78"/>
    <mergeCell ref="EJ78:EM78"/>
    <mergeCell ref="EN78:EQ78"/>
    <mergeCell ref="EJ77:EM77"/>
    <mergeCell ref="CV79:CY79"/>
    <mergeCell ref="CZ79:DC79"/>
    <mergeCell ref="BT79:BW79"/>
    <mergeCell ref="BX79:CA79"/>
    <mergeCell ref="CB79:CE79"/>
    <mergeCell ref="CF79:CI79"/>
    <mergeCell ref="AD79:AG79"/>
    <mergeCell ref="DT79:DW79"/>
    <mergeCell ref="BL78:BO78"/>
    <mergeCell ref="ER54:EU54"/>
    <mergeCell ref="CV77:CY77"/>
    <mergeCell ref="CZ77:DC77"/>
    <mergeCell ref="DD77:DG77"/>
    <mergeCell ref="Z77:AC77"/>
    <mergeCell ref="AD77:AG77"/>
    <mergeCell ref="AM79:AQ79"/>
    <mergeCell ref="AR79:AV79"/>
    <mergeCell ref="DH78:DK78"/>
    <mergeCell ref="DL78:DO78"/>
    <mergeCell ref="DP78:DS78"/>
    <mergeCell ref="DT78:DW78"/>
    <mergeCell ref="DX78:EA78"/>
    <mergeCell ref="EB78:EE78"/>
    <mergeCell ref="CJ78:CM78"/>
    <mergeCell ref="CN78:CQ78"/>
    <mergeCell ref="CR78:CU78"/>
    <mergeCell ref="CV78:CY78"/>
    <mergeCell ref="CZ78:DC78"/>
    <mergeCell ref="DD78:DG78"/>
    <mergeCell ref="ER76:EU76"/>
    <mergeCell ref="EF76:EI76"/>
    <mergeCell ref="EN65:EQ66"/>
    <mergeCell ref="ER65:EU66"/>
    <mergeCell ref="EJ63:EM64"/>
    <mergeCell ref="EN63:EQ64"/>
    <mergeCell ref="AH79:AL79"/>
    <mergeCell ref="AW79:BA79"/>
    <mergeCell ref="BB79:BF79"/>
    <mergeCell ref="BG79:BK79"/>
    <mergeCell ref="BL79:BO79"/>
    <mergeCell ref="BP79:BS79"/>
    <mergeCell ref="DT54:DW54"/>
    <mergeCell ref="DX54:EA54"/>
    <mergeCell ref="EB54:EE54"/>
    <mergeCell ref="BG77:BK77"/>
    <mergeCell ref="BL77:BO77"/>
    <mergeCell ref="BP77:BS77"/>
    <mergeCell ref="BT77:BW77"/>
    <mergeCell ref="CF75:CI75"/>
    <mergeCell ref="CJ75:CM75"/>
    <mergeCell ref="CN75:CQ75"/>
    <mergeCell ref="CR75:CU75"/>
    <mergeCell ref="AR75:AV75"/>
    <mergeCell ref="AD75:AG75"/>
    <mergeCell ref="AH75:AL75"/>
    <mergeCell ref="AM75:AQ75"/>
    <mergeCell ref="AH77:AL77"/>
    <mergeCell ref="AM77:AQ77"/>
    <mergeCell ref="BB54:BF54"/>
    <mergeCell ref="BG54:BK54"/>
    <mergeCell ref="AW77:BA77"/>
    <mergeCell ref="DT75:DW75"/>
    <mergeCell ref="DX75:EA75"/>
    <mergeCell ref="EB75:EE75"/>
    <mergeCell ref="AM69:AQ70"/>
    <mergeCell ref="AR69:AV70"/>
    <mergeCell ref="AW69:BA70"/>
    <mergeCell ref="BB69:BF70"/>
    <mergeCell ref="BG69:BK70"/>
    <mergeCell ref="BL69:BO70"/>
    <mergeCell ref="AR67:AV68"/>
    <mergeCell ref="DP65:DS66"/>
    <mergeCell ref="DT65:DW66"/>
    <mergeCell ref="EF54:EI54"/>
    <mergeCell ref="EJ54:EM54"/>
    <mergeCell ref="CR53:CU53"/>
    <mergeCell ref="CV53:CY53"/>
    <mergeCell ref="AR77:AV77"/>
    <mergeCell ref="CF77:CI77"/>
    <mergeCell ref="CJ77:CM77"/>
    <mergeCell ref="DL76:DO76"/>
    <mergeCell ref="DP76:DS76"/>
    <mergeCell ref="DT76:DW76"/>
    <mergeCell ref="DX76:EA76"/>
    <mergeCell ref="EB76:EE76"/>
    <mergeCell ref="CJ76:CM76"/>
    <mergeCell ref="CN76:CQ76"/>
    <mergeCell ref="CR76:CU76"/>
    <mergeCell ref="CV76:CY76"/>
    <mergeCell ref="BP75:BS75"/>
    <mergeCell ref="BT75:BW75"/>
    <mergeCell ref="BX75:CA75"/>
    <mergeCell ref="CB75:CE75"/>
    <mergeCell ref="AW75:BA75"/>
    <mergeCell ref="EJ76:EM76"/>
    <mergeCell ref="CR77:CU77"/>
    <mergeCell ref="CN77:CQ77"/>
    <mergeCell ref="BT54:BW54"/>
    <mergeCell ref="BB77:BF77"/>
    <mergeCell ref="DH76:DK76"/>
    <mergeCell ref="DH77:DK77"/>
    <mergeCell ref="DL77:DO77"/>
    <mergeCell ref="BX77:CA77"/>
    <mergeCell ref="CB77:CE77"/>
    <mergeCell ref="DP77:DS77"/>
    <mergeCell ref="EF75:EI75"/>
    <mergeCell ref="EJ75:EM75"/>
    <mergeCell ref="EN75:EQ75"/>
    <mergeCell ref="CV75:CY75"/>
    <mergeCell ref="CZ75:DC75"/>
    <mergeCell ref="DD75:DG75"/>
    <mergeCell ref="DH75:DK75"/>
    <mergeCell ref="DL75:DO75"/>
    <mergeCell ref="C75:Y75"/>
    <mergeCell ref="BB75:BF75"/>
    <mergeCell ref="BG75:BK75"/>
    <mergeCell ref="BL75:BO75"/>
    <mergeCell ref="DP75:DS75"/>
    <mergeCell ref="EN76:EQ76"/>
    <mergeCell ref="BL76:BO76"/>
    <mergeCell ref="BP76:BS76"/>
    <mergeCell ref="BT76:BW76"/>
    <mergeCell ref="CZ76:DC76"/>
    <mergeCell ref="DD76:DG76"/>
    <mergeCell ref="BX76:CA76"/>
    <mergeCell ref="CB76:CE76"/>
    <mergeCell ref="CF76:CI76"/>
    <mergeCell ref="C76:Y76"/>
    <mergeCell ref="Z76:AC76"/>
    <mergeCell ref="AD76:AG76"/>
    <mergeCell ref="AH76:AL76"/>
    <mergeCell ref="AM76:AQ76"/>
    <mergeCell ref="AR76:AV76"/>
    <mergeCell ref="AW76:BA76"/>
    <mergeCell ref="BB76:BF76"/>
    <mergeCell ref="BG76:BK76"/>
    <mergeCell ref="ER73:EU74"/>
    <mergeCell ref="C74:Y74"/>
    <mergeCell ref="DP73:DS74"/>
    <mergeCell ref="DT73:DW74"/>
    <mergeCell ref="DX73:EA74"/>
    <mergeCell ref="EB73:EE74"/>
    <mergeCell ref="EF73:EI74"/>
    <mergeCell ref="EJ73:EM74"/>
    <mergeCell ref="CR73:CU74"/>
    <mergeCell ref="CV73:CY74"/>
    <mergeCell ref="CZ73:DC74"/>
    <mergeCell ref="DD73:DG74"/>
    <mergeCell ref="DH73:DK74"/>
    <mergeCell ref="DL73:DO74"/>
    <mergeCell ref="BT73:BW74"/>
    <mergeCell ref="BX73:CA74"/>
    <mergeCell ref="CB73:CE74"/>
    <mergeCell ref="CF73:CI74"/>
    <mergeCell ref="CJ73:CM74"/>
    <mergeCell ref="CN73:CQ74"/>
    <mergeCell ref="AR73:AV74"/>
    <mergeCell ref="AW73:BA74"/>
    <mergeCell ref="BB73:BF74"/>
    <mergeCell ref="BG73:BK74"/>
    <mergeCell ref="A69:A70"/>
    <mergeCell ref="C69:Y69"/>
    <mergeCell ref="Z69:AC70"/>
    <mergeCell ref="AD69:AG70"/>
    <mergeCell ref="AH69:AL70"/>
    <mergeCell ref="EJ69:EM70"/>
    <mergeCell ref="EN69:EQ70"/>
    <mergeCell ref="ER69:EU70"/>
    <mergeCell ref="C70:Y70"/>
    <mergeCell ref="A73:A74"/>
    <mergeCell ref="C73:Y73"/>
    <mergeCell ref="Z73:AC74"/>
    <mergeCell ref="AD73:AG74"/>
    <mergeCell ref="AH73:AL74"/>
    <mergeCell ref="AM73:AQ74"/>
    <mergeCell ref="DL69:DO70"/>
    <mergeCell ref="DP69:DS70"/>
    <mergeCell ref="DT69:DW70"/>
    <mergeCell ref="DX69:EA70"/>
    <mergeCell ref="EB69:EE70"/>
    <mergeCell ref="EF69:EI70"/>
    <mergeCell ref="CN69:CQ70"/>
    <mergeCell ref="CR69:CU70"/>
    <mergeCell ref="CV69:CY70"/>
    <mergeCell ref="CZ69:DC70"/>
    <mergeCell ref="DD69:DG70"/>
    <mergeCell ref="DH69:DK70"/>
    <mergeCell ref="BP69:BS70"/>
    <mergeCell ref="BT69:BW70"/>
    <mergeCell ref="BX69:CA70"/>
    <mergeCell ref="EB71:EE72"/>
    <mergeCell ref="EN73:EQ74"/>
    <mergeCell ref="A71:A72"/>
    <mergeCell ref="C68:Y68"/>
    <mergeCell ref="DT67:DW68"/>
    <mergeCell ref="DX67:EA68"/>
    <mergeCell ref="EB67:EE68"/>
    <mergeCell ref="EF67:EI68"/>
    <mergeCell ref="EJ67:EM68"/>
    <mergeCell ref="EN67:EQ68"/>
    <mergeCell ref="CV67:CY68"/>
    <mergeCell ref="CZ67:DC68"/>
    <mergeCell ref="DD67:DG68"/>
    <mergeCell ref="DH67:DK68"/>
    <mergeCell ref="DL67:DO68"/>
    <mergeCell ref="DP67:DS68"/>
    <mergeCell ref="BX67:CA68"/>
    <mergeCell ref="CB67:CE68"/>
    <mergeCell ref="CF67:CI68"/>
    <mergeCell ref="CJ67:CM68"/>
    <mergeCell ref="CN67:CQ68"/>
    <mergeCell ref="CR67:CU68"/>
    <mergeCell ref="AW67:BA68"/>
    <mergeCell ref="BB67:BF68"/>
    <mergeCell ref="BG67:BK68"/>
    <mergeCell ref="BL67:BO68"/>
    <mergeCell ref="BP67:BS68"/>
    <mergeCell ref="BT67:BW68"/>
    <mergeCell ref="A67:A68"/>
    <mergeCell ref="C67:Y67"/>
    <mergeCell ref="Z67:AC68"/>
    <mergeCell ref="AD67:AG68"/>
    <mergeCell ref="AH67:AL68"/>
    <mergeCell ref="AM67:AQ68"/>
    <mergeCell ref="DX65:EA66"/>
    <mergeCell ref="EB65:EE66"/>
    <mergeCell ref="EF65:EI66"/>
    <mergeCell ref="EJ65:EM66"/>
    <mergeCell ref="CR65:CU66"/>
    <mergeCell ref="CV65:CY66"/>
    <mergeCell ref="CZ65:DC66"/>
    <mergeCell ref="DD65:DG66"/>
    <mergeCell ref="DH65:DK66"/>
    <mergeCell ref="DL65:DO66"/>
    <mergeCell ref="BT65:BW66"/>
    <mergeCell ref="BX65:CA66"/>
    <mergeCell ref="CB65:CE66"/>
    <mergeCell ref="CF65:CI66"/>
    <mergeCell ref="CJ65:CM66"/>
    <mergeCell ref="CN65:CQ66"/>
    <mergeCell ref="AR65:AV66"/>
    <mergeCell ref="AW65:BA66"/>
    <mergeCell ref="BB65:BF66"/>
    <mergeCell ref="BG65:BK66"/>
    <mergeCell ref="BL65:BO66"/>
    <mergeCell ref="BP65:BS66"/>
    <mergeCell ref="A65:A66"/>
    <mergeCell ref="C65:Y65"/>
    <mergeCell ref="Z65:AC66"/>
    <mergeCell ref="AD65:AG66"/>
    <mergeCell ref="AH65:AL66"/>
    <mergeCell ref="AM65:AQ66"/>
    <mergeCell ref="DL63:DO64"/>
    <mergeCell ref="DP63:DS64"/>
    <mergeCell ref="DT63:DW64"/>
    <mergeCell ref="DX63:EA64"/>
    <mergeCell ref="EB63:EE64"/>
    <mergeCell ref="EF63:EI64"/>
    <mergeCell ref="CN63:CQ64"/>
    <mergeCell ref="CR63:CU64"/>
    <mergeCell ref="CV63:CY64"/>
    <mergeCell ref="CZ63:DC64"/>
    <mergeCell ref="DD63:DG64"/>
    <mergeCell ref="DH63:DK64"/>
    <mergeCell ref="BP63:BS64"/>
    <mergeCell ref="BT63:BW64"/>
    <mergeCell ref="BX63:CA64"/>
    <mergeCell ref="CB63:CE64"/>
    <mergeCell ref="CF63:CI64"/>
    <mergeCell ref="CJ63:CM64"/>
    <mergeCell ref="AM63:AQ64"/>
    <mergeCell ref="AR63:AV64"/>
    <mergeCell ref="AW63:BA64"/>
    <mergeCell ref="BB63:BF64"/>
    <mergeCell ref="BG63:BK64"/>
    <mergeCell ref="BL63:BO64"/>
    <mergeCell ref="C66:Y66"/>
    <mergeCell ref="A63:A64"/>
    <mergeCell ref="C63:Y63"/>
    <mergeCell ref="Z63:AC64"/>
    <mergeCell ref="AD63:AG64"/>
    <mergeCell ref="AH63:AL64"/>
    <mergeCell ref="DX61:EA62"/>
    <mergeCell ref="EB61:EE62"/>
    <mergeCell ref="EF61:EI62"/>
    <mergeCell ref="EJ61:EM62"/>
    <mergeCell ref="EN61:EQ62"/>
    <mergeCell ref="ER61:EU62"/>
    <mergeCell ref="CZ61:DC62"/>
    <mergeCell ref="DD61:DG62"/>
    <mergeCell ref="DH61:DK62"/>
    <mergeCell ref="DL61:DO62"/>
    <mergeCell ref="DP61:DS62"/>
    <mergeCell ref="DT61:DW62"/>
    <mergeCell ref="CB61:CE62"/>
    <mergeCell ref="CF61:CI62"/>
    <mergeCell ref="CJ61:CM62"/>
    <mergeCell ref="CN61:CQ62"/>
    <mergeCell ref="CR61:CU62"/>
    <mergeCell ref="CV61:CY62"/>
    <mergeCell ref="BB61:BF62"/>
    <mergeCell ref="BG61:BK62"/>
    <mergeCell ref="BL61:BO62"/>
    <mergeCell ref="BP61:BS62"/>
    <mergeCell ref="BT61:BW62"/>
    <mergeCell ref="BX61:CA62"/>
    <mergeCell ref="C64:Y64"/>
    <mergeCell ref="A61:A62"/>
    <mergeCell ref="C61:Y61"/>
    <mergeCell ref="Z61:AC62"/>
    <mergeCell ref="AD61:AG62"/>
    <mergeCell ref="AH61:AL62"/>
    <mergeCell ref="AM61:AQ62"/>
    <mergeCell ref="AR61:AV62"/>
    <mergeCell ref="AW61:BA62"/>
    <mergeCell ref="DT59:DW60"/>
    <mergeCell ref="DX59:EA60"/>
    <mergeCell ref="EB59:EE60"/>
    <mergeCell ref="EF59:EI60"/>
    <mergeCell ref="EJ59:EM60"/>
    <mergeCell ref="EN59:EQ60"/>
    <mergeCell ref="CV59:CY60"/>
    <mergeCell ref="CZ59:DC60"/>
    <mergeCell ref="DD59:DG60"/>
    <mergeCell ref="DH59:DK60"/>
    <mergeCell ref="DL59:DO60"/>
    <mergeCell ref="DP59:DS60"/>
    <mergeCell ref="BX59:CA60"/>
    <mergeCell ref="CB59:CE60"/>
    <mergeCell ref="CF59:CI60"/>
    <mergeCell ref="CJ59:CM60"/>
    <mergeCell ref="CN59:CQ60"/>
    <mergeCell ref="CR59:CU60"/>
    <mergeCell ref="AW59:BA60"/>
    <mergeCell ref="BB59:BF60"/>
    <mergeCell ref="BG59:BK60"/>
    <mergeCell ref="BL59:BO60"/>
    <mergeCell ref="BP59:BS60"/>
    <mergeCell ref="C62:Y62"/>
    <mergeCell ref="A59:A60"/>
    <mergeCell ref="C59:Y59"/>
    <mergeCell ref="Z59:AC60"/>
    <mergeCell ref="AD59:AG60"/>
    <mergeCell ref="AH59:AL60"/>
    <mergeCell ref="AM59:AQ60"/>
    <mergeCell ref="AR59:AV60"/>
    <mergeCell ref="DP57:DS58"/>
    <mergeCell ref="DT57:DW58"/>
    <mergeCell ref="DX57:EA58"/>
    <mergeCell ref="EB57:EE58"/>
    <mergeCell ref="EF57:EI58"/>
    <mergeCell ref="EJ57:EM58"/>
    <mergeCell ref="CR57:CU58"/>
    <mergeCell ref="CV57:CY58"/>
    <mergeCell ref="CZ57:DC58"/>
    <mergeCell ref="DD57:DG58"/>
    <mergeCell ref="DH57:DK58"/>
    <mergeCell ref="DL57:DO58"/>
    <mergeCell ref="BT57:BW58"/>
    <mergeCell ref="BX57:CA58"/>
    <mergeCell ref="CB57:CE58"/>
    <mergeCell ref="CF57:CI58"/>
    <mergeCell ref="CJ57:CM58"/>
    <mergeCell ref="CN57:CQ58"/>
    <mergeCell ref="A57:A58"/>
    <mergeCell ref="C60:Y60"/>
    <mergeCell ref="AH57:AL57"/>
    <mergeCell ref="AH58:AL58"/>
    <mergeCell ref="AM57:AQ57"/>
    <mergeCell ref="AR57:AV57"/>
    <mergeCell ref="AW57:BA57"/>
    <mergeCell ref="C56:Y56"/>
    <mergeCell ref="Z56:AC56"/>
    <mergeCell ref="AD56:AG56"/>
    <mergeCell ref="AH56:AL56"/>
    <mergeCell ref="AM56:AQ56"/>
    <mergeCell ref="AR56:AV56"/>
    <mergeCell ref="BL57:BO58"/>
    <mergeCell ref="BP57:BS58"/>
    <mergeCell ref="AW56:BA56"/>
    <mergeCell ref="BT59:BW60"/>
    <mergeCell ref="EN57:EQ58"/>
    <mergeCell ref="ER57:EU58"/>
    <mergeCell ref="C58:Y58"/>
    <mergeCell ref="DX41:EA41"/>
    <mergeCell ref="EB41:EE41"/>
    <mergeCell ref="CJ41:CM41"/>
    <mergeCell ref="CN41:CQ41"/>
    <mergeCell ref="CR41:CU41"/>
    <mergeCell ref="CV41:CY41"/>
    <mergeCell ref="CZ41:DC41"/>
    <mergeCell ref="DD41:DG41"/>
    <mergeCell ref="BL41:BO41"/>
    <mergeCell ref="BP41:BS41"/>
    <mergeCell ref="BT41:BW41"/>
    <mergeCell ref="BX41:CA41"/>
    <mergeCell ref="CB41:CE41"/>
    <mergeCell ref="CF41:CI41"/>
    <mergeCell ref="C57:Y57"/>
    <mergeCell ref="Z57:AC58"/>
    <mergeCell ref="AD57:AG58"/>
    <mergeCell ref="EN51:EQ51"/>
    <mergeCell ref="ER45:EU45"/>
    <mergeCell ref="DT56:DW56"/>
    <mergeCell ref="DX56:EA56"/>
    <mergeCell ref="EB56:EE56"/>
    <mergeCell ref="CJ56:CM56"/>
    <mergeCell ref="CN56:CQ56"/>
    <mergeCell ref="CR56:CU56"/>
    <mergeCell ref="CV56:CY56"/>
    <mergeCell ref="CZ56:DC56"/>
    <mergeCell ref="DD56:DG56"/>
    <mergeCell ref="BL56:BO56"/>
    <mergeCell ref="DT55:DW55"/>
    <mergeCell ref="DX55:EA55"/>
    <mergeCell ref="EB55:EE55"/>
    <mergeCell ref="CJ55:CM55"/>
    <mergeCell ref="CN55:CQ55"/>
    <mergeCell ref="CR55:CU55"/>
    <mergeCell ref="CV55:CY55"/>
    <mergeCell ref="CB56:CE56"/>
    <mergeCell ref="CF56:CI56"/>
    <mergeCell ref="DH56:DK56"/>
    <mergeCell ref="DL56:DO56"/>
    <mergeCell ref="DP56:DS56"/>
    <mergeCell ref="EJ41:EM41"/>
    <mergeCell ref="DH53:DK53"/>
    <mergeCell ref="DL53:DO53"/>
    <mergeCell ref="DP53:DS53"/>
    <mergeCell ref="DT53:DW53"/>
    <mergeCell ref="DX53:EA53"/>
    <mergeCell ref="EB53:EE53"/>
    <mergeCell ref="EF53:EI53"/>
    <mergeCell ref="EJ53:EM53"/>
    <mergeCell ref="EF47:EI47"/>
    <mergeCell ref="EJ47:EM47"/>
    <mergeCell ref="DT51:DW51"/>
    <mergeCell ref="DX51:EA51"/>
    <mergeCell ref="EB51:EE51"/>
    <mergeCell ref="EF52:EI52"/>
    <mergeCell ref="EF42:EI42"/>
    <mergeCell ref="EJ46:EM46"/>
    <mergeCell ref="DP46:DS46"/>
    <mergeCell ref="EF48:EI48"/>
    <mergeCell ref="EJ48:EM48"/>
    <mergeCell ref="DX47:EA47"/>
    <mergeCell ref="EB47:EE47"/>
    <mergeCell ref="EJ42:EM42"/>
    <mergeCell ref="DX52:EA52"/>
    <mergeCell ref="EB52:EE52"/>
    <mergeCell ref="DH45:DK45"/>
    <mergeCell ref="DT52:DW52"/>
    <mergeCell ref="DL46:DO46"/>
    <mergeCell ref="DH47:DK47"/>
    <mergeCell ref="DL47:DO47"/>
    <mergeCell ref="DX46:EA46"/>
    <mergeCell ref="EB46:EE46"/>
    <mergeCell ref="AH44:AL44"/>
    <mergeCell ref="AM44:AQ44"/>
    <mergeCell ref="AR44:AV44"/>
    <mergeCell ref="AD43:AG43"/>
    <mergeCell ref="C46:Y46"/>
    <mergeCell ref="Z46:AC46"/>
    <mergeCell ref="AD46:AG46"/>
    <mergeCell ref="AH46:AL46"/>
    <mergeCell ref="AM46:AQ46"/>
    <mergeCell ref="AM55:AQ55"/>
    <mergeCell ref="AR55:AV55"/>
    <mergeCell ref="DH55:DK55"/>
    <mergeCell ref="DL55:DO55"/>
    <mergeCell ref="DP55:DS55"/>
    <mergeCell ref="BL51:BO51"/>
    <mergeCell ref="BP51:BS51"/>
    <mergeCell ref="BT51:BW51"/>
    <mergeCell ref="BL45:BO45"/>
    <mergeCell ref="AM52:AQ52"/>
    <mergeCell ref="AR52:AV52"/>
    <mergeCell ref="AW50:BA50"/>
    <mergeCell ref="BB50:BF50"/>
    <mergeCell ref="BG50:BK50"/>
    <mergeCell ref="AW52:BA52"/>
    <mergeCell ref="BB52:BF52"/>
    <mergeCell ref="BG52:BK52"/>
    <mergeCell ref="CV49:CY49"/>
    <mergeCell ref="CZ49:DC49"/>
    <mergeCell ref="DD49:DG49"/>
    <mergeCell ref="CR54:CU54"/>
    <mergeCell ref="CV54:CY54"/>
    <mergeCell ref="CZ54:DC54"/>
    <mergeCell ref="BB56:BF56"/>
    <mergeCell ref="BB48:BF48"/>
    <mergeCell ref="BB46:BF46"/>
    <mergeCell ref="BG46:BK46"/>
    <mergeCell ref="CN54:CQ54"/>
    <mergeCell ref="BX46:CA46"/>
    <mergeCell ref="CJ47:CM47"/>
    <mergeCell ref="CN47:CQ47"/>
    <mergeCell ref="BP52:BS52"/>
    <mergeCell ref="BT52:BW52"/>
    <mergeCell ref="BX52:CA52"/>
    <mergeCell ref="CB52:CE52"/>
    <mergeCell ref="CF52:CI52"/>
    <mergeCell ref="AW55:BA55"/>
    <mergeCell ref="BB55:BF55"/>
    <mergeCell ref="BG55:BK55"/>
    <mergeCell ref="BP55:BS55"/>
    <mergeCell ref="BT55:BW55"/>
    <mergeCell ref="BG56:BK56"/>
    <mergeCell ref="CF55:CI55"/>
    <mergeCell ref="BT46:BW46"/>
    <mergeCell ref="BL54:BO54"/>
    <mergeCell ref="BP54:BS54"/>
    <mergeCell ref="BL48:BO48"/>
    <mergeCell ref="BP48:BS48"/>
    <mergeCell ref="BP53:BS53"/>
    <mergeCell ref="AW53:BA53"/>
    <mergeCell ref="BB53:BF53"/>
    <mergeCell ref="BG53:BK53"/>
    <mergeCell ref="AW48:BA48"/>
    <mergeCell ref="CB53:CE53"/>
    <mergeCell ref="CF53:CI53"/>
    <mergeCell ref="DP52:DS52"/>
    <mergeCell ref="CF50:CI50"/>
    <mergeCell ref="CR49:CU49"/>
    <mergeCell ref="BT48:BW48"/>
    <mergeCell ref="CJ52:CM52"/>
    <mergeCell ref="CN52:CQ52"/>
    <mergeCell ref="BP49:BS49"/>
    <mergeCell ref="CF54:CI54"/>
    <mergeCell ref="CJ54:CM54"/>
    <mergeCell ref="BX48:CA48"/>
    <mergeCell ref="CB48:CE48"/>
    <mergeCell ref="CF48:CI48"/>
    <mergeCell ref="DH54:DK54"/>
    <mergeCell ref="DL54:DO54"/>
    <mergeCell ref="CN53:CQ53"/>
    <mergeCell ref="CZ50:DC50"/>
    <mergeCell ref="DD50:DG50"/>
    <mergeCell ref="BL53:BO53"/>
    <mergeCell ref="C53:Y53"/>
    <mergeCell ref="Z53:AC53"/>
    <mergeCell ref="AD53:AG53"/>
    <mergeCell ref="AH53:AL53"/>
    <mergeCell ref="AM53:AQ53"/>
    <mergeCell ref="AR53:AV53"/>
    <mergeCell ref="CJ53:CM53"/>
    <mergeCell ref="BX54:CA54"/>
    <mergeCell ref="CB54:CE54"/>
    <mergeCell ref="BP47:BS47"/>
    <mergeCell ref="BT47:BW47"/>
    <mergeCell ref="BX47:CA47"/>
    <mergeCell ref="CB47:CE47"/>
    <mergeCell ref="CF47:CI47"/>
    <mergeCell ref="CN48:CQ48"/>
    <mergeCell ref="CR48:CU48"/>
    <mergeCell ref="CR51:CU51"/>
    <mergeCell ref="AW51:BA51"/>
    <mergeCell ref="BB51:BF51"/>
    <mergeCell ref="BG51:BK51"/>
    <mergeCell ref="CJ45:CM45"/>
    <mergeCell ref="CN45:CQ45"/>
    <mergeCell ref="CR45:CU45"/>
    <mergeCell ref="CV45:CY45"/>
    <mergeCell ref="CZ45:DC45"/>
    <mergeCell ref="DD45:DG45"/>
    <mergeCell ref="BP45:BS45"/>
    <mergeCell ref="BT45:BW45"/>
    <mergeCell ref="BX45:CA45"/>
    <mergeCell ref="DD54:DG54"/>
    <mergeCell ref="BT53:BW53"/>
    <mergeCell ref="BX53:CA53"/>
    <mergeCell ref="CZ48:DC48"/>
    <mergeCell ref="DD48:DG48"/>
    <mergeCell ref="CB46:CE46"/>
    <mergeCell ref="CF46:CI46"/>
    <mergeCell ref="CJ46:CM46"/>
    <mergeCell ref="CJ48:CM48"/>
    <mergeCell ref="CV51:CY51"/>
    <mergeCell ref="CZ53:DC53"/>
    <mergeCell ref="DD53:DG53"/>
    <mergeCell ref="CB51:CE51"/>
    <mergeCell ref="EF46:EI46"/>
    <mergeCell ref="EN45:EQ45"/>
    <mergeCell ref="EJ43:EM43"/>
    <mergeCell ref="EN43:EQ43"/>
    <mergeCell ref="BT44:BW44"/>
    <mergeCell ref="EF43:EI43"/>
    <mergeCell ref="EB44:EE44"/>
    <mergeCell ref="EF44:EI44"/>
    <mergeCell ref="EJ44:EM44"/>
    <mergeCell ref="EN47:EQ47"/>
    <mergeCell ref="EN46:EQ46"/>
    <mergeCell ref="EN48:EQ48"/>
    <mergeCell ref="EN44:EQ44"/>
    <mergeCell ref="CV44:CY44"/>
    <mergeCell ref="CZ44:DC44"/>
    <mergeCell ref="DD44:DG44"/>
    <mergeCell ref="DH44:DK44"/>
    <mergeCell ref="DL44:DO44"/>
    <mergeCell ref="DP44:DS44"/>
    <mergeCell ref="BX44:CA44"/>
    <mergeCell ref="DT43:DW43"/>
    <mergeCell ref="DX43:EA43"/>
    <mergeCell ref="EB43:EE43"/>
    <mergeCell ref="CJ43:CM43"/>
    <mergeCell ref="CN43:CQ43"/>
    <mergeCell ref="CR43:CU43"/>
    <mergeCell ref="CV43:CY43"/>
    <mergeCell ref="DL45:DO45"/>
    <mergeCell ref="DP45:DS45"/>
    <mergeCell ref="DT45:DW45"/>
    <mergeCell ref="DX48:EA48"/>
    <mergeCell ref="EB48:EE48"/>
    <mergeCell ref="AW46:BA46"/>
    <mergeCell ref="C48:Y48"/>
    <mergeCell ref="Z48:AC48"/>
    <mergeCell ref="AD48:AG48"/>
    <mergeCell ref="AH48:AL48"/>
    <mergeCell ref="AM48:AQ48"/>
    <mergeCell ref="AR48:AV48"/>
    <mergeCell ref="BL50:BO50"/>
    <mergeCell ref="BP50:BS50"/>
    <mergeCell ref="BT50:BW50"/>
    <mergeCell ref="BX50:CA50"/>
    <mergeCell ref="CB50:CE50"/>
    <mergeCell ref="C49:Y49"/>
    <mergeCell ref="Z49:AC49"/>
    <mergeCell ref="AD49:AG49"/>
    <mergeCell ref="AH49:AL49"/>
    <mergeCell ref="AM49:AQ49"/>
    <mergeCell ref="BL47:BO47"/>
    <mergeCell ref="AD47:AG47"/>
    <mergeCell ref="C47:Y47"/>
    <mergeCell ref="Z47:AC47"/>
    <mergeCell ref="AM47:AQ47"/>
    <mergeCell ref="BG48:BK48"/>
    <mergeCell ref="AH47:AL47"/>
    <mergeCell ref="BL49:BO49"/>
    <mergeCell ref="BL46:BO46"/>
    <mergeCell ref="EJ40:EM40"/>
    <mergeCell ref="EN40:EQ40"/>
    <mergeCell ref="BP39:BS39"/>
    <mergeCell ref="BT39:BW39"/>
    <mergeCell ref="BX39:CA39"/>
    <mergeCell ref="DT39:DW39"/>
    <mergeCell ref="EF38:EI38"/>
    <mergeCell ref="EF40:EI40"/>
    <mergeCell ref="EJ38:EM38"/>
    <mergeCell ref="EN38:EQ38"/>
    <mergeCell ref="DH40:DK40"/>
    <mergeCell ref="DL40:DO40"/>
    <mergeCell ref="DP40:DS40"/>
    <mergeCell ref="DT40:DW40"/>
    <mergeCell ref="DX40:EA40"/>
    <mergeCell ref="EB40:EE40"/>
    <mergeCell ref="CJ40:CM40"/>
    <mergeCell ref="CN40:CQ40"/>
    <mergeCell ref="CR40:CU40"/>
    <mergeCell ref="CV40:CY40"/>
    <mergeCell ref="CZ40:DC40"/>
    <mergeCell ref="DD40:DG40"/>
    <mergeCell ref="BP40:BS40"/>
    <mergeCell ref="BT40:BW40"/>
    <mergeCell ref="BX40:CA40"/>
    <mergeCell ref="CB40:CE40"/>
    <mergeCell ref="CF40:CI40"/>
    <mergeCell ref="EN39:EQ39"/>
    <mergeCell ref="CJ38:CM38"/>
    <mergeCell ref="CN38:CQ38"/>
    <mergeCell ref="CR38:CU38"/>
    <mergeCell ref="EB39:EE39"/>
    <mergeCell ref="DT42:DW42"/>
    <mergeCell ref="DX42:EA42"/>
    <mergeCell ref="Z42:AC42"/>
    <mergeCell ref="AD42:AG42"/>
    <mergeCell ref="AH42:AL42"/>
    <mergeCell ref="EB42:EE42"/>
    <mergeCell ref="BB43:BF43"/>
    <mergeCell ref="BG42:BK42"/>
    <mergeCell ref="CV42:CY42"/>
    <mergeCell ref="AM40:AQ40"/>
    <mergeCell ref="AR40:AV40"/>
    <mergeCell ref="AW40:BA40"/>
    <mergeCell ref="BB40:BF40"/>
    <mergeCell ref="BG40:BK40"/>
    <mergeCell ref="BL40:BO40"/>
    <mergeCell ref="BT43:BW43"/>
    <mergeCell ref="BX43:CA43"/>
    <mergeCell ref="CB43:CE43"/>
    <mergeCell ref="CF43:CI43"/>
    <mergeCell ref="CZ42:DC42"/>
    <mergeCell ref="DD42:DG42"/>
    <mergeCell ref="DH42:DK42"/>
    <mergeCell ref="AM42:AQ42"/>
    <mergeCell ref="AR42:AV42"/>
    <mergeCell ref="DH41:DK41"/>
    <mergeCell ref="DL41:DO41"/>
    <mergeCell ref="DL42:DO42"/>
    <mergeCell ref="ER37:EU37"/>
    <mergeCell ref="C45:Y45"/>
    <mergeCell ref="Z45:AC45"/>
    <mergeCell ref="AD45:AG45"/>
    <mergeCell ref="AH45:AL45"/>
    <mergeCell ref="AM45:AQ45"/>
    <mergeCell ref="AR45:AV45"/>
    <mergeCell ref="AW45:BA45"/>
    <mergeCell ref="BB45:BF45"/>
    <mergeCell ref="BG45:BK45"/>
    <mergeCell ref="DT37:DW37"/>
    <mergeCell ref="DX37:EA37"/>
    <mergeCell ref="EB37:EE37"/>
    <mergeCell ref="EF37:EI37"/>
    <mergeCell ref="EJ37:EM37"/>
    <mergeCell ref="EN37:EQ37"/>
    <mergeCell ref="CV37:CY37"/>
    <mergeCell ref="C38:Y38"/>
    <mergeCell ref="Z38:AC38"/>
    <mergeCell ref="AD38:AG38"/>
    <mergeCell ref="AH38:AL38"/>
    <mergeCell ref="AM38:AQ38"/>
    <mergeCell ref="AR38:AV38"/>
    <mergeCell ref="DH43:DK43"/>
    <mergeCell ref="CN37:CQ37"/>
    <mergeCell ref="CR37:CU37"/>
    <mergeCell ref="AW37:BA37"/>
    <mergeCell ref="BB37:BF37"/>
    <mergeCell ref="BG37:BK37"/>
    <mergeCell ref="BL37:BO37"/>
    <mergeCell ref="DT38:DW38"/>
    <mergeCell ref="DX38:EA38"/>
    <mergeCell ref="ER28:EU34"/>
    <mergeCell ref="Z29:AG35"/>
    <mergeCell ref="AH29:BK29"/>
    <mergeCell ref="BL29:BO35"/>
    <mergeCell ref="AR30:AV35"/>
    <mergeCell ref="AW30:BA35"/>
    <mergeCell ref="BB30:BF35"/>
    <mergeCell ref="BG30:BK35"/>
    <mergeCell ref="BP37:BS37"/>
    <mergeCell ref="BT37:BW37"/>
    <mergeCell ref="CV31:DC31"/>
    <mergeCell ref="EF35:EI35"/>
    <mergeCell ref="CN35:CQ35"/>
    <mergeCell ref="CR35:CU35"/>
    <mergeCell ref="CV35:CY35"/>
    <mergeCell ref="CZ35:DC35"/>
    <mergeCell ref="DD35:DG35"/>
    <mergeCell ref="BB36:BF36"/>
    <mergeCell ref="BG36:BK36"/>
    <mergeCell ref="BL36:BO36"/>
    <mergeCell ref="BP36:BS36"/>
    <mergeCell ref="BT36:BW36"/>
    <mergeCell ref="BX29:CE29"/>
    <mergeCell ref="CF29:CM29"/>
    <mergeCell ref="CN29:CU29"/>
    <mergeCell ref="CV29:DC29"/>
    <mergeCell ref="DD29:DK29"/>
    <mergeCell ref="DT36:DW36"/>
    <mergeCell ref="CB36:CE36"/>
    <mergeCell ref="CF36:CI36"/>
    <mergeCell ref="CJ36:CM36"/>
    <mergeCell ref="CN36:CQ36"/>
    <mergeCell ref="EJ35:EM35"/>
    <mergeCell ref="Z36:AC36"/>
    <mergeCell ref="AD36:AG36"/>
    <mergeCell ref="AH36:AL36"/>
    <mergeCell ref="AM36:AQ36"/>
    <mergeCell ref="AR36:AV36"/>
    <mergeCell ref="AW36:BA36"/>
    <mergeCell ref="DL35:DO35"/>
    <mergeCell ref="DP35:DS35"/>
    <mergeCell ref="DT35:DW35"/>
    <mergeCell ref="DX35:EA35"/>
    <mergeCell ref="EB35:EE35"/>
    <mergeCell ref="DD32:EQ32"/>
    <mergeCell ref="BP31:BW31"/>
    <mergeCell ref="BX31:CE31"/>
    <mergeCell ref="CF31:CM31"/>
    <mergeCell ref="CN31:CU31"/>
    <mergeCell ref="CR33:CU33"/>
    <mergeCell ref="CV33:CY33"/>
    <mergeCell ref="CZ33:DC33"/>
    <mergeCell ref="DD33:DG33"/>
    <mergeCell ref="DH33:DK33"/>
    <mergeCell ref="BP33:BS33"/>
    <mergeCell ref="BT33:BW33"/>
    <mergeCell ref="DP33:DS33"/>
    <mergeCell ref="DT33:DW33"/>
    <mergeCell ref="D2:AG2"/>
    <mergeCell ref="DM2:ET2"/>
    <mergeCell ref="D3:AG3"/>
    <mergeCell ref="DM3:ET3"/>
    <mergeCell ref="D4:AG4"/>
    <mergeCell ref="D5:AG5"/>
    <mergeCell ref="DM4:ET4"/>
    <mergeCell ref="D6:AG6"/>
    <mergeCell ref="DM5:ET5"/>
    <mergeCell ref="A8:EU8"/>
    <mergeCell ref="A28:A35"/>
    <mergeCell ref="ER35:EU36"/>
    <mergeCell ref="BP30:DC30"/>
    <mergeCell ref="DD30:EQ30"/>
    <mergeCell ref="EJ33:EM33"/>
    <mergeCell ref="EN33:EQ33"/>
    <mergeCell ref="BP34:DC34"/>
    <mergeCell ref="DD34:EQ34"/>
    <mergeCell ref="BP35:BS35"/>
    <mergeCell ref="BT35:BW35"/>
    <mergeCell ref="BX35:CA35"/>
    <mergeCell ref="CB35:CE35"/>
    <mergeCell ref="CF35:CI35"/>
    <mergeCell ref="DX33:EA33"/>
    <mergeCell ref="EB33:EE33"/>
    <mergeCell ref="EF33:EI33"/>
    <mergeCell ref="CN33:CQ33"/>
    <mergeCell ref="DD31:DK31"/>
    <mergeCell ref="EB29:EI29"/>
    <mergeCell ref="EJ29:EQ29"/>
    <mergeCell ref="AH30:AL35"/>
    <mergeCell ref="AM30:AQ35"/>
    <mergeCell ref="EF55:EI55"/>
    <mergeCell ref="EJ55:EM55"/>
    <mergeCell ref="EN55:EQ55"/>
    <mergeCell ref="EJ52:EM52"/>
    <mergeCell ref="EF50:EI50"/>
    <mergeCell ref="EF41:EI41"/>
    <mergeCell ref="DX45:EA45"/>
    <mergeCell ref="EB45:EE45"/>
    <mergeCell ref="DH35:DK35"/>
    <mergeCell ref="CR36:CU36"/>
    <mergeCell ref="CV36:CY36"/>
    <mergeCell ref="CZ37:DC37"/>
    <mergeCell ref="DD37:DG37"/>
    <mergeCell ref="DH37:DK37"/>
    <mergeCell ref="DL37:DO37"/>
    <mergeCell ref="DP37:DS37"/>
    <mergeCell ref="CZ38:DC38"/>
    <mergeCell ref="DD38:DG38"/>
    <mergeCell ref="DH38:DK38"/>
    <mergeCell ref="DL38:DO38"/>
    <mergeCell ref="DP38:DS38"/>
    <mergeCell ref="EN35:EQ35"/>
    <mergeCell ref="EJ45:EM45"/>
    <mergeCell ref="EF51:EI51"/>
    <mergeCell ref="EJ51:EM51"/>
    <mergeCell ref="DH52:DK52"/>
    <mergeCell ref="DL52:DO52"/>
    <mergeCell ref="CR44:CU44"/>
    <mergeCell ref="CZ43:DC43"/>
    <mergeCell ref="DD43:DG43"/>
    <mergeCell ref="DL43:DO43"/>
    <mergeCell ref="DP43:DS43"/>
    <mergeCell ref="CZ39:DC39"/>
    <mergeCell ref="DD39:DG39"/>
    <mergeCell ref="DH39:DK39"/>
    <mergeCell ref="DL39:DO39"/>
    <mergeCell ref="DP39:DS39"/>
    <mergeCell ref="BX36:CA36"/>
    <mergeCell ref="BX37:CA37"/>
    <mergeCell ref="CB37:CE37"/>
    <mergeCell ref="CF37:CI37"/>
    <mergeCell ref="CJ37:CM37"/>
    <mergeCell ref="DD36:DG36"/>
    <mergeCell ref="DH36:DK36"/>
    <mergeCell ref="DL36:DO36"/>
    <mergeCell ref="DP36:DS36"/>
    <mergeCell ref="BX33:CA33"/>
    <mergeCell ref="CB33:CE33"/>
    <mergeCell ref="CF33:CI33"/>
    <mergeCell ref="CJ33:CM33"/>
    <mergeCell ref="DX50:EA50"/>
    <mergeCell ref="EB50:EE50"/>
    <mergeCell ref="CJ51:CM51"/>
    <mergeCell ref="CN51:CQ51"/>
    <mergeCell ref="DT46:DW46"/>
    <mergeCell ref="DP49:DS49"/>
    <mergeCell ref="BL43:BO43"/>
    <mergeCell ref="BP43:BS43"/>
    <mergeCell ref="C36:Y36"/>
    <mergeCell ref="EB38:EE38"/>
    <mergeCell ref="CV38:CY38"/>
    <mergeCell ref="CR42:CU42"/>
    <mergeCell ref="DP42:DS42"/>
    <mergeCell ref="AW42:BA42"/>
    <mergeCell ref="BB42:BF42"/>
    <mergeCell ref="DP41:DS41"/>
    <mergeCell ref="DT41:DW41"/>
    <mergeCell ref="BX38:CA38"/>
    <mergeCell ref="CB38:CE38"/>
    <mergeCell ref="CF38:CI38"/>
    <mergeCell ref="DX39:EA39"/>
    <mergeCell ref="CV39:CY39"/>
    <mergeCell ref="AW38:BA38"/>
    <mergeCell ref="BB38:BF38"/>
    <mergeCell ref="BT38:BW38"/>
    <mergeCell ref="AW41:BA41"/>
    <mergeCell ref="BB41:BF41"/>
    <mergeCell ref="BG41:BK41"/>
    <mergeCell ref="C43:Y43"/>
    <mergeCell ref="Z43:AC43"/>
    <mergeCell ref="C40:Y40"/>
    <mergeCell ref="Z40:AC40"/>
    <mergeCell ref="B28:B35"/>
    <mergeCell ref="C28:Y35"/>
    <mergeCell ref="Z28:BO28"/>
    <mergeCell ref="BP28:DC28"/>
    <mergeCell ref="DD28:EQ28"/>
    <mergeCell ref="DL29:DS29"/>
    <mergeCell ref="DT29:EA29"/>
    <mergeCell ref="DL31:DS31"/>
    <mergeCell ref="DT31:EA31"/>
    <mergeCell ref="EB31:EI31"/>
    <mergeCell ref="EJ31:EQ31"/>
    <mergeCell ref="BP32:DC32"/>
    <mergeCell ref="BG38:BK38"/>
    <mergeCell ref="BL38:BO38"/>
    <mergeCell ref="BP38:BS38"/>
    <mergeCell ref="CR39:CU39"/>
    <mergeCell ref="DD46:DG46"/>
    <mergeCell ref="DH46:DK46"/>
    <mergeCell ref="C37:Y37"/>
    <mergeCell ref="Z37:AC37"/>
    <mergeCell ref="AD37:AG37"/>
    <mergeCell ref="AH37:AL37"/>
    <mergeCell ref="AM37:AQ37"/>
    <mergeCell ref="AR37:AV37"/>
    <mergeCell ref="DX36:EA36"/>
    <mergeCell ref="EB36:EE36"/>
    <mergeCell ref="EF36:EI36"/>
    <mergeCell ref="EJ36:EM36"/>
    <mergeCell ref="EN36:EQ36"/>
    <mergeCell ref="CZ36:DC36"/>
    <mergeCell ref="EF39:EI39"/>
    <mergeCell ref="EJ39:EM39"/>
    <mergeCell ref="DT49:DW49"/>
    <mergeCell ref="DT50:DW50"/>
    <mergeCell ref="CJ50:CM50"/>
    <mergeCell ref="CN50:CQ50"/>
    <mergeCell ref="CR50:CU50"/>
    <mergeCell ref="CN46:CQ46"/>
    <mergeCell ref="CR46:CU46"/>
    <mergeCell ref="CZ51:DC51"/>
    <mergeCell ref="DD51:DG51"/>
    <mergeCell ref="DH51:DK51"/>
    <mergeCell ref="CV46:CY46"/>
    <mergeCell ref="CZ46:DC46"/>
    <mergeCell ref="DT48:DW48"/>
    <mergeCell ref="DT47:DW47"/>
    <mergeCell ref="CR47:CU47"/>
    <mergeCell ref="CV47:CY47"/>
    <mergeCell ref="CZ47:DC47"/>
    <mergeCell ref="DD47:DG47"/>
    <mergeCell ref="CV48:CY48"/>
    <mergeCell ref="DH48:DK48"/>
    <mergeCell ref="DL48:DO48"/>
    <mergeCell ref="DP48:DS48"/>
    <mergeCell ref="DP47:DS47"/>
    <mergeCell ref="CV50:CY50"/>
    <mergeCell ref="DH50:DK50"/>
    <mergeCell ref="BP29:BW29"/>
    <mergeCell ref="DH49:DK49"/>
    <mergeCell ref="DL49:DO49"/>
    <mergeCell ref="CF45:CI45"/>
    <mergeCell ref="CB44:CE44"/>
    <mergeCell ref="CF44:CI44"/>
    <mergeCell ref="CJ44:CM44"/>
    <mergeCell ref="CN44:CQ44"/>
    <mergeCell ref="Z51:AC51"/>
    <mergeCell ref="AD51:AG51"/>
    <mergeCell ref="AH51:AL51"/>
    <mergeCell ref="AM51:AQ51"/>
    <mergeCell ref="AR51:AV51"/>
    <mergeCell ref="C50:Y50"/>
    <mergeCell ref="AR49:AV49"/>
    <mergeCell ref="AW49:BA49"/>
    <mergeCell ref="AW44:BA44"/>
    <mergeCell ref="Z50:AC50"/>
    <mergeCell ref="AD50:AG50"/>
    <mergeCell ref="CJ35:CM35"/>
    <mergeCell ref="DL33:DO33"/>
    <mergeCell ref="AD40:AG40"/>
    <mergeCell ref="AH40:AL40"/>
    <mergeCell ref="AH50:AL50"/>
    <mergeCell ref="AM50:AQ50"/>
    <mergeCell ref="AR50:AV50"/>
    <mergeCell ref="AR47:AV47"/>
    <mergeCell ref="AW47:BA47"/>
    <mergeCell ref="BB47:BF47"/>
    <mergeCell ref="BG47:BK47"/>
    <mergeCell ref="BP46:BS46"/>
    <mergeCell ref="BX51:CA51"/>
    <mergeCell ref="ER55:EU55"/>
    <mergeCell ref="BB57:BF58"/>
    <mergeCell ref="BG57:BK58"/>
    <mergeCell ref="CR71:CU72"/>
    <mergeCell ref="CV71:CY72"/>
    <mergeCell ref="CZ71:DC72"/>
    <mergeCell ref="DD71:DG72"/>
    <mergeCell ref="DH71:DK72"/>
    <mergeCell ref="DL71:DO72"/>
    <mergeCell ref="DP71:DS72"/>
    <mergeCell ref="DT71:DW72"/>
    <mergeCell ref="DX71:EA72"/>
    <mergeCell ref="BX55:CA55"/>
    <mergeCell ref="CB55:CE55"/>
    <mergeCell ref="BT49:BW49"/>
    <mergeCell ref="BX49:CA49"/>
    <mergeCell ref="CB49:CE49"/>
    <mergeCell ref="CF49:CI49"/>
    <mergeCell ref="CJ49:CM49"/>
    <mergeCell ref="CN49:CQ49"/>
    <mergeCell ref="EJ50:EM50"/>
    <mergeCell ref="EB49:EE49"/>
    <mergeCell ref="ER71:EU72"/>
    <mergeCell ref="DX49:EA49"/>
    <mergeCell ref="EJ49:EM49"/>
    <mergeCell ref="EN49:EQ49"/>
    <mergeCell ref="ER49:EU49"/>
    <mergeCell ref="CF51:CI51"/>
    <mergeCell ref="DL51:DO51"/>
    <mergeCell ref="DP51:DS51"/>
    <mergeCell ref="EF49:EI49"/>
    <mergeCell ref="DP50:DS50"/>
    <mergeCell ref="C39:Y39"/>
    <mergeCell ref="Z39:AC39"/>
    <mergeCell ref="AD39:AG39"/>
    <mergeCell ref="AH39:AL39"/>
    <mergeCell ref="AM39:AQ39"/>
    <mergeCell ref="AR39:AV39"/>
    <mergeCell ref="AW39:BA39"/>
    <mergeCell ref="BB39:BF39"/>
    <mergeCell ref="BG39:BK39"/>
    <mergeCell ref="BL39:BO39"/>
    <mergeCell ref="CB39:CE39"/>
    <mergeCell ref="CF39:CI39"/>
    <mergeCell ref="CJ39:CM39"/>
    <mergeCell ref="C42:Y42"/>
    <mergeCell ref="CN39:CQ39"/>
    <mergeCell ref="CB42:CE42"/>
    <mergeCell ref="BL42:BO42"/>
    <mergeCell ref="BP42:BS42"/>
    <mergeCell ref="BT42:BW42"/>
    <mergeCell ref="BX42:CA42"/>
    <mergeCell ref="CF42:CI42"/>
    <mergeCell ref="CJ42:CM42"/>
    <mergeCell ref="CN42:CQ42"/>
    <mergeCell ref="C41:Y41"/>
    <mergeCell ref="Z41:AC41"/>
    <mergeCell ref="AD41:AG41"/>
    <mergeCell ref="AH41:AL41"/>
    <mergeCell ref="AM41:AQ41"/>
    <mergeCell ref="AR41:AV41"/>
    <mergeCell ref="EJ71:EM72"/>
    <mergeCell ref="EN71:EQ72"/>
    <mergeCell ref="B97:V97"/>
    <mergeCell ref="Z97:AM97"/>
    <mergeCell ref="AO97:CI97"/>
    <mergeCell ref="CN71:CQ72"/>
    <mergeCell ref="AR46:AV46"/>
    <mergeCell ref="C44:Y44"/>
    <mergeCell ref="Z44:AC44"/>
    <mergeCell ref="AD44:AG44"/>
    <mergeCell ref="D89:AH89"/>
    <mergeCell ref="C55:Y55"/>
    <mergeCell ref="Z55:AC55"/>
    <mergeCell ref="AD55:AG55"/>
    <mergeCell ref="AH55:AL55"/>
    <mergeCell ref="AI89:AQ89"/>
    <mergeCell ref="DD52:DG52"/>
    <mergeCell ref="BL52:BO52"/>
    <mergeCell ref="C52:Y52"/>
    <mergeCell ref="Z52:AC52"/>
    <mergeCell ref="BB49:BF49"/>
    <mergeCell ref="AD52:AG52"/>
    <mergeCell ref="AH52:AL52"/>
    <mergeCell ref="BG49:BK49"/>
    <mergeCell ref="CZ55:DC55"/>
    <mergeCell ref="DD55:DG55"/>
    <mergeCell ref="BL55:BO55"/>
    <mergeCell ref="C71:Y71"/>
    <mergeCell ref="C72:Y72"/>
    <mergeCell ref="BB44:BF44"/>
    <mergeCell ref="CJ71:CM72"/>
    <mergeCell ref="DL50:DO50"/>
    <mergeCell ref="C79:Y79"/>
    <mergeCell ref="Z79:AC79"/>
    <mergeCell ref="Z75:AC75"/>
    <mergeCell ref="D94:AH94"/>
    <mergeCell ref="AI94:AQ94"/>
    <mergeCell ref="AR94:BA94"/>
    <mergeCell ref="AR89:BA89"/>
    <mergeCell ref="D90:AH90"/>
    <mergeCell ref="AR95:BA95"/>
    <mergeCell ref="BB89:CI95"/>
    <mergeCell ref="CM89:EJ95"/>
    <mergeCell ref="AH43:AL43"/>
    <mergeCell ref="AM43:AQ43"/>
    <mergeCell ref="AR43:AV43"/>
    <mergeCell ref="AW43:BA43"/>
    <mergeCell ref="CB45:CE45"/>
    <mergeCell ref="BG43:BK43"/>
    <mergeCell ref="DT44:DW44"/>
    <mergeCell ref="DX44:EA44"/>
    <mergeCell ref="EF45:EI45"/>
    <mergeCell ref="BG44:BK44"/>
    <mergeCell ref="BL44:BO44"/>
    <mergeCell ref="BP44:BS44"/>
    <mergeCell ref="C51:Y51"/>
    <mergeCell ref="CR52:CU52"/>
    <mergeCell ref="CV52:CY52"/>
    <mergeCell ref="CZ52:DC52"/>
    <mergeCell ref="D92:AH92"/>
    <mergeCell ref="AI91:AQ91"/>
    <mergeCell ref="AR91:BA91"/>
    <mergeCell ref="D95:AH95"/>
    <mergeCell ref="EF71:EI72"/>
    <mergeCell ref="Z99:AM99"/>
    <mergeCell ref="AO99:CI99"/>
    <mergeCell ref="AD71:AG72"/>
    <mergeCell ref="AH71:AL72"/>
    <mergeCell ref="AM71:AQ72"/>
    <mergeCell ref="AR71:AV72"/>
    <mergeCell ref="AW71:BA72"/>
    <mergeCell ref="BB71:BF72"/>
    <mergeCell ref="BG71:BK72"/>
    <mergeCell ref="BL71:BO72"/>
    <mergeCell ref="BP71:BS72"/>
    <mergeCell ref="BT71:BW72"/>
    <mergeCell ref="BX71:CA72"/>
    <mergeCell ref="CB71:CE72"/>
    <mergeCell ref="CF71:CI72"/>
    <mergeCell ref="Z71:AC72"/>
    <mergeCell ref="AD78:AG78"/>
    <mergeCell ref="AM58:AQ58"/>
    <mergeCell ref="AR58:AV58"/>
    <mergeCell ref="AW58:BA58"/>
    <mergeCell ref="B101:N101"/>
    <mergeCell ref="Z101:AM101"/>
    <mergeCell ref="AO101:CI101"/>
    <mergeCell ref="B103:N103"/>
    <mergeCell ref="Z103:AM103"/>
    <mergeCell ref="AO103:CI103"/>
    <mergeCell ref="B81:F81"/>
    <mergeCell ref="C82:D82"/>
    <mergeCell ref="E82:ET82"/>
    <mergeCell ref="C83:D83"/>
    <mergeCell ref="E83:ET83"/>
    <mergeCell ref="C84:D84"/>
    <mergeCell ref="E84:ET84"/>
    <mergeCell ref="C85:D85"/>
    <mergeCell ref="E85:ET85"/>
    <mergeCell ref="C86:D86"/>
    <mergeCell ref="E86:ET86"/>
    <mergeCell ref="D88:AH88"/>
    <mergeCell ref="AI88:AQ88"/>
    <mergeCell ref="AR88:BA88"/>
    <mergeCell ref="BB88:CI88"/>
    <mergeCell ref="DJ88:EN88"/>
    <mergeCell ref="AI90:AQ90"/>
    <mergeCell ref="AR90:BA90"/>
    <mergeCell ref="D91:AH91"/>
    <mergeCell ref="AI95:AQ95"/>
    <mergeCell ref="AI92:AQ92"/>
    <mergeCell ref="AR92:BA92"/>
    <mergeCell ref="B99:V99"/>
  </mergeCells>
  <printOptions horizontalCentered="1"/>
  <pageMargins left="0.5" right="0" top="0.5" bottom="0" header="0" footer="0"/>
  <pageSetup paperSize="9" scale="15" fitToHeight="0" orientation="landscape" horizontalDpi="360" verticalDpi="360" r:id="rId1"/>
  <rowBreaks count="2" manualBreakCount="2">
    <brk id="46" max="150" man="1"/>
    <brk id="79" max="148"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2:HO107"/>
  <sheetViews>
    <sheetView view="pageBreakPreview" topLeftCell="A48" zoomScale="20" zoomScaleNormal="18" zoomScaleSheetLayoutView="20" workbookViewId="0">
      <selection activeCell="AG68" sqref="AG68:AK69"/>
    </sheetView>
  </sheetViews>
  <sheetFormatPr defaultRowHeight="12.75" x14ac:dyDescent="0.2"/>
  <cols>
    <col min="1" max="1" width="20.7109375" customWidth="1"/>
    <col min="2" max="2" width="55" customWidth="1"/>
    <col min="3" max="29" width="6.7109375" customWidth="1"/>
    <col min="30" max="32" width="7.7109375" customWidth="1"/>
    <col min="33" max="62" width="5.7109375" customWidth="1"/>
    <col min="63" max="66" width="7.7109375" customWidth="1"/>
    <col min="67" max="146" width="6.7109375" customWidth="1"/>
    <col min="147" max="149" width="7.7109375" customWidth="1"/>
    <col min="150" max="150" width="30.140625" customWidth="1"/>
    <col min="151" max="151" width="19.5703125" customWidth="1"/>
  </cols>
  <sheetData>
    <row r="2" spans="1:223" ht="101.25" x14ac:dyDescent="1.25">
      <c r="A2" s="41"/>
      <c r="B2" s="42"/>
      <c r="C2" s="43"/>
      <c r="D2" s="43"/>
      <c r="E2" s="43"/>
      <c r="F2" s="43"/>
      <c r="G2" s="43"/>
      <c r="H2" s="43"/>
      <c r="I2" s="43"/>
      <c r="J2" s="43"/>
      <c r="K2" s="43"/>
      <c r="L2" s="43"/>
      <c r="M2" s="43"/>
      <c r="N2" s="43"/>
      <c r="O2" s="43"/>
      <c r="P2" s="43"/>
      <c r="Q2" s="43"/>
      <c r="R2" s="44"/>
      <c r="S2" s="45"/>
      <c r="T2" s="45"/>
      <c r="U2" s="45"/>
      <c r="V2" s="45"/>
      <c r="W2" s="45"/>
      <c r="X2" s="45"/>
      <c r="Y2" s="45"/>
      <c r="Z2" s="45"/>
      <c r="AA2" s="45"/>
      <c r="AB2" s="45"/>
      <c r="AC2" s="45"/>
      <c r="AD2" s="45"/>
      <c r="AE2" s="45"/>
      <c r="AF2" s="45"/>
      <c r="AG2" s="45"/>
      <c r="AH2" s="45"/>
      <c r="AI2" s="45"/>
      <c r="AJ2" s="45"/>
      <c r="AK2" s="45"/>
      <c r="AL2" s="45"/>
      <c r="AM2" s="45"/>
      <c r="AN2" s="45"/>
      <c r="AO2" s="761" t="s">
        <v>208</v>
      </c>
      <c r="AP2" s="761"/>
      <c r="AQ2" s="761"/>
      <c r="AR2" s="761"/>
      <c r="AS2" s="761"/>
      <c r="AT2" s="761"/>
      <c r="AU2" s="761"/>
      <c r="AV2" s="761"/>
      <c r="AW2" s="761"/>
      <c r="AX2" s="761"/>
      <c r="AY2" s="761"/>
      <c r="AZ2" s="761"/>
      <c r="BA2" s="761"/>
      <c r="BB2" s="761"/>
      <c r="BC2" s="761"/>
      <c r="BD2" s="761"/>
      <c r="BE2" s="761"/>
      <c r="BF2" s="761"/>
      <c r="BG2" s="761"/>
      <c r="BH2" s="761"/>
      <c r="BI2" s="761"/>
      <c r="BJ2" s="761"/>
      <c r="BK2" s="761"/>
      <c r="BL2" s="761"/>
      <c r="BM2" s="761"/>
      <c r="BN2" s="761"/>
      <c r="BO2" s="761"/>
      <c r="BP2" s="761"/>
      <c r="BQ2" s="761"/>
      <c r="BR2" s="761"/>
      <c r="BS2" s="761"/>
      <c r="BT2" s="761"/>
      <c r="BU2" s="761"/>
      <c r="BV2" s="761"/>
      <c r="BW2" s="761"/>
      <c r="BX2" s="761"/>
      <c r="BY2" s="761"/>
      <c r="BZ2" s="761"/>
      <c r="CA2" s="761"/>
      <c r="CB2" s="761"/>
      <c r="CC2" s="761"/>
      <c r="CD2" s="761"/>
      <c r="CE2" s="761"/>
      <c r="CF2" s="761"/>
      <c r="CG2" s="761"/>
      <c r="CH2" s="761"/>
      <c r="CI2" s="761"/>
      <c r="CJ2" s="761"/>
      <c r="CK2" s="761"/>
      <c r="CL2" s="761"/>
      <c r="CM2" s="761"/>
      <c r="CN2" s="761"/>
      <c r="CO2" s="761"/>
      <c r="CP2" s="761"/>
      <c r="CQ2" s="761"/>
      <c r="CR2" s="761"/>
      <c r="CS2" s="761"/>
      <c r="CT2" s="761"/>
      <c r="CU2" s="761"/>
      <c r="CV2" s="761"/>
      <c r="CW2" s="45"/>
      <c r="CX2" s="45"/>
      <c r="CY2" s="45"/>
      <c r="CZ2" s="45"/>
      <c r="DA2" s="45"/>
      <c r="DB2" s="45"/>
      <c r="DC2" s="45"/>
      <c r="DD2" s="45"/>
      <c r="DE2" s="45"/>
      <c r="DF2" s="45"/>
      <c r="DG2" s="45"/>
      <c r="DH2" s="45"/>
      <c r="DI2" s="45"/>
      <c r="DJ2" s="45"/>
      <c r="DK2" s="45"/>
      <c r="DL2" s="45"/>
      <c r="DM2" s="45"/>
      <c r="DN2" s="45"/>
      <c r="DO2" s="46"/>
      <c r="DP2" s="46"/>
      <c r="DQ2" s="46"/>
      <c r="DR2" s="46"/>
      <c r="DS2" s="46"/>
      <c r="DT2" s="46"/>
      <c r="DU2" s="46"/>
      <c r="DV2" s="46"/>
      <c r="DW2" s="46"/>
      <c r="DX2" s="46"/>
      <c r="DY2" s="46"/>
      <c r="DZ2" s="46"/>
      <c r="EA2" s="46"/>
      <c r="EB2" s="46"/>
      <c r="EC2" s="46"/>
      <c r="ED2" s="46"/>
      <c r="EE2" s="46"/>
      <c r="EF2" s="47"/>
      <c r="EG2" s="47"/>
      <c r="EH2" s="47"/>
      <c r="EI2" s="46"/>
      <c r="EJ2" s="46"/>
      <c r="EK2" s="46"/>
      <c r="EL2" s="46"/>
      <c r="EM2" s="46"/>
      <c r="EN2" s="47"/>
      <c r="EO2" s="47"/>
      <c r="EP2" s="47"/>
      <c r="EQ2" s="47"/>
      <c r="ER2" s="47"/>
      <c r="ES2" s="47"/>
    </row>
    <row r="3" spans="1:223" ht="78" customHeight="1" x14ac:dyDescent="0.2">
      <c r="A3" s="49"/>
      <c r="B3" s="49"/>
      <c r="C3" s="49"/>
      <c r="D3" s="279"/>
      <c r="E3" s="279"/>
      <c r="F3" s="279"/>
      <c r="G3" s="279"/>
      <c r="H3" s="279"/>
      <c r="I3" s="279"/>
      <c r="J3" s="279"/>
      <c r="K3" s="279"/>
      <c r="L3" s="279"/>
      <c r="M3" s="279"/>
      <c r="N3" s="279"/>
      <c r="O3" s="279"/>
      <c r="P3" s="279"/>
      <c r="Q3" s="279"/>
      <c r="R3" s="279"/>
      <c r="S3" s="279"/>
      <c r="T3" s="279"/>
      <c r="U3" s="279"/>
      <c r="V3" s="279"/>
      <c r="W3" s="279"/>
      <c r="X3" s="279"/>
      <c r="Y3" s="279"/>
      <c r="Z3" s="279"/>
      <c r="AA3" s="279"/>
      <c r="AB3" s="279"/>
      <c r="AC3" s="279"/>
      <c r="AD3" s="279"/>
      <c r="AE3" s="279"/>
      <c r="AF3" s="279"/>
      <c r="AG3" s="46"/>
      <c r="AH3" s="46"/>
      <c r="AI3" s="46"/>
      <c r="AJ3" s="46"/>
      <c r="AK3" s="46"/>
      <c r="AL3" s="46"/>
      <c r="AM3" s="46"/>
      <c r="AN3" s="46"/>
      <c r="AO3" s="497" t="s">
        <v>235</v>
      </c>
      <c r="AP3" s="497"/>
      <c r="AQ3" s="497"/>
      <c r="AR3" s="497"/>
      <c r="AS3" s="497"/>
      <c r="AT3" s="497"/>
      <c r="AU3" s="497"/>
      <c r="AV3" s="497"/>
      <c r="AW3" s="497"/>
      <c r="AX3" s="497"/>
      <c r="AY3" s="497"/>
      <c r="AZ3" s="497"/>
      <c r="BA3" s="497"/>
      <c r="BB3" s="497"/>
      <c r="BC3" s="497"/>
      <c r="BD3" s="497"/>
      <c r="BE3" s="497"/>
      <c r="BF3" s="497"/>
      <c r="BG3" s="497"/>
      <c r="BH3" s="497"/>
      <c r="BI3" s="497"/>
      <c r="BJ3" s="497"/>
      <c r="BK3" s="497"/>
      <c r="BL3" s="497"/>
      <c r="BM3" s="497"/>
      <c r="BN3" s="497"/>
      <c r="BO3" s="497"/>
      <c r="BP3" s="497"/>
      <c r="BQ3" s="497"/>
      <c r="BR3" s="497"/>
      <c r="BS3" s="497"/>
      <c r="BT3" s="497"/>
      <c r="BU3" s="497"/>
      <c r="BV3" s="497"/>
      <c r="BW3" s="497"/>
      <c r="BX3" s="497"/>
      <c r="BY3" s="497"/>
      <c r="BZ3" s="497"/>
      <c r="CA3" s="497"/>
      <c r="CB3" s="497"/>
      <c r="CC3" s="497"/>
      <c r="CD3" s="497"/>
      <c r="CE3" s="497"/>
      <c r="CF3" s="497"/>
      <c r="CG3" s="497"/>
      <c r="CH3" s="497"/>
      <c r="CI3" s="497"/>
      <c r="CJ3" s="497"/>
      <c r="CK3" s="497"/>
      <c r="CL3" s="497"/>
      <c r="CM3" s="497"/>
      <c r="CN3" s="497"/>
      <c r="CO3" s="497"/>
      <c r="CP3" s="497"/>
      <c r="CQ3" s="497"/>
      <c r="CR3" s="497"/>
      <c r="CS3" s="497"/>
      <c r="CT3" s="497"/>
      <c r="CU3" s="497"/>
      <c r="CV3" s="497"/>
      <c r="CW3" s="46"/>
      <c r="CX3" s="46"/>
      <c r="CY3" s="46"/>
      <c r="CZ3" s="46"/>
      <c r="DA3" s="497" t="s">
        <v>160</v>
      </c>
      <c r="DB3" s="497"/>
      <c r="DC3" s="497"/>
      <c r="DD3" s="497"/>
      <c r="DE3" s="497"/>
      <c r="DF3" s="497"/>
      <c r="DG3" s="497"/>
      <c r="DH3" s="497"/>
      <c r="DI3" s="497"/>
      <c r="DJ3" s="497"/>
      <c r="DK3" s="497"/>
      <c r="DL3" s="497"/>
      <c r="DM3" s="497"/>
      <c r="DN3" s="497"/>
      <c r="DO3" s="497"/>
      <c r="DP3" s="497"/>
      <c r="DQ3" s="497"/>
      <c r="DR3" s="497"/>
      <c r="DS3" s="497"/>
      <c r="DT3" s="497"/>
      <c r="DU3" s="497"/>
      <c r="DV3" s="497"/>
      <c r="DW3" s="497"/>
      <c r="DX3" s="497"/>
      <c r="DY3" s="497"/>
      <c r="DZ3" s="497"/>
      <c r="EA3" s="497"/>
      <c r="EB3" s="497"/>
      <c r="EC3" s="497"/>
      <c r="ED3" s="497"/>
      <c r="EE3" s="497"/>
      <c r="EF3" s="497"/>
      <c r="EG3" s="497"/>
      <c r="EH3" s="51"/>
      <c r="EI3" s="51"/>
      <c r="EJ3" s="51"/>
      <c r="EK3" s="51"/>
      <c r="EL3" s="51"/>
      <c r="EM3" s="51"/>
      <c r="EN3" s="51"/>
      <c r="EO3" s="51"/>
      <c r="EP3" s="51"/>
      <c r="EQ3" s="51"/>
      <c r="ER3" s="51"/>
      <c r="ES3" s="51"/>
    </row>
    <row r="4" spans="1:223" ht="90" x14ac:dyDescent="0.2">
      <c r="A4" s="52"/>
      <c r="B4" s="52"/>
      <c r="C4" s="52"/>
      <c r="D4" s="280"/>
      <c r="E4" s="280"/>
      <c r="F4" s="280"/>
      <c r="G4" s="280"/>
      <c r="H4" s="280"/>
      <c r="I4" s="280"/>
      <c r="J4" s="280"/>
      <c r="K4" s="280"/>
      <c r="L4" s="280"/>
      <c r="M4" s="280"/>
      <c r="N4" s="280"/>
      <c r="O4" s="280"/>
      <c r="P4" s="280"/>
      <c r="Q4" s="280"/>
      <c r="R4" s="280"/>
      <c r="S4" s="280"/>
      <c r="T4" s="280"/>
      <c r="U4" s="280"/>
      <c r="V4" s="280"/>
      <c r="W4" s="280"/>
      <c r="X4" s="280"/>
      <c r="Y4" s="280"/>
      <c r="Z4" s="280"/>
      <c r="AA4" s="280"/>
      <c r="AB4" s="280"/>
      <c r="AC4" s="280"/>
      <c r="AD4" s="280"/>
      <c r="AE4" s="280"/>
      <c r="AF4" s="280"/>
      <c r="AG4" s="46"/>
      <c r="AH4" s="46"/>
      <c r="AI4" s="46"/>
      <c r="AJ4" s="46"/>
      <c r="AK4" s="46"/>
      <c r="AL4" s="46"/>
      <c r="AM4" s="46"/>
      <c r="AN4" s="46"/>
      <c r="AO4" s="271" t="s">
        <v>225</v>
      </c>
      <c r="AP4" s="271"/>
      <c r="AQ4" s="271"/>
      <c r="AR4" s="271"/>
      <c r="AS4" s="271"/>
      <c r="AT4" s="271"/>
      <c r="AU4" s="271"/>
      <c r="AV4" s="271"/>
      <c r="AW4" s="271"/>
      <c r="AX4" s="271"/>
      <c r="AY4" s="271"/>
      <c r="AZ4" s="271"/>
      <c r="BA4" s="271"/>
      <c r="BB4" s="271"/>
      <c r="BC4" s="271"/>
      <c r="BD4" s="271"/>
      <c r="BE4" s="271"/>
      <c r="BF4" s="271"/>
      <c r="BG4" s="271"/>
      <c r="BH4" s="271"/>
      <c r="BI4" s="271"/>
      <c r="BJ4" s="271"/>
      <c r="BK4" s="271"/>
      <c r="BL4" s="271"/>
      <c r="BM4" s="271"/>
      <c r="BN4" s="271"/>
      <c r="BO4" s="271"/>
      <c r="BP4" s="271"/>
      <c r="BQ4" s="271"/>
      <c r="BR4" s="271"/>
      <c r="BS4" s="271"/>
      <c r="BT4" s="271"/>
      <c r="BU4" s="271"/>
      <c r="BV4" s="271"/>
      <c r="BW4" s="271"/>
      <c r="BX4" s="271"/>
      <c r="BY4" s="271"/>
      <c r="BZ4" s="271"/>
      <c r="CA4" s="271"/>
      <c r="CB4" s="271"/>
      <c r="CC4" s="271"/>
      <c r="CD4" s="271"/>
      <c r="CE4" s="271"/>
      <c r="CF4" s="271"/>
      <c r="CG4" s="271"/>
      <c r="CH4" s="271"/>
      <c r="CI4" s="271"/>
      <c r="CJ4" s="271"/>
      <c r="CK4" s="271"/>
      <c r="CL4" s="271"/>
      <c r="CM4" s="271"/>
      <c r="CN4" s="271"/>
      <c r="CO4" s="271"/>
      <c r="CP4" s="271"/>
      <c r="CQ4" s="271"/>
      <c r="CR4" s="271"/>
      <c r="CS4" s="271"/>
      <c r="CT4" s="271"/>
      <c r="CU4" s="271"/>
      <c r="CV4" s="271"/>
      <c r="CW4" s="46"/>
      <c r="CX4" s="46"/>
      <c r="CY4" s="46"/>
      <c r="CZ4" s="46"/>
      <c r="DA4" s="271" t="s">
        <v>206</v>
      </c>
      <c r="DB4" s="271"/>
      <c r="DC4" s="271"/>
      <c r="DD4" s="271"/>
      <c r="DE4" s="271"/>
      <c r="DF4" s="271"/>
      <c r="DG4" s="271"/>
      <c r="DH4" s="271"/>
      <c r="DI4" s="271"/>
      <c r="DJ4" s="271"/>
      <c r="DK4" s="271"/>
      <c r="DL4" s="271"/>
      <c r="DM4" s="271"/>
      <c r="DN4" s="271"/>
      <c r="DO4" s="271"/>
      <c r="DP4" s="271"/>
      <c r="DQ4" s="271"/>
      <c r="DR4" s="271"/>
      <c r="DS4" s="271"/>
      <c r="DT4" s="271"/>
      <c r="DU4" s="271"/>
      <c r="DV4" s="271"/>
      <c r="DW4" s="271"/>
      <c r="DX4" s="271"/>
      <c r="DY4" s="271"/>
      <c r="DZ4" s="271"/>
      <c r="EA4" s="271"/>
      <c r="EB4" s="271"/>
      <c r="EC4" s="271"/>
      <c r="ED4" s="271"/>
      <c r="EE4" s="271"/>
      <c r="EF4" s="271"/>
      <c r="EG4" s="271"/>
      <c r="EH4" s="51"/>
      <c r="EI4" s="51"/>
      <c r="EJ4" s="51"/>
      <c r="EK4" s="51"/>
      <c r="EL4" s="51"/>
      <c r="EM4" s="51"/>
      <c r="EN4" s="51"/>
      <c r="EO4" s="51"/>
      <c r="EP4" s="51"/>
      <c r="EQ4" s="51"/>
      <c r="ER4" s="51"/>
      <c r="ES4" s="51"/>
    </row>
    <row r="5" spans="1:223" ht="90" x14ac:dyDescent="0.2">
      <c r="A5" s="48"/>
      <c r="B5" s="48"/>
      <c r="C5" s="48"/>
      <c r="D5" s="281"/>
      <c r="E5" s="281"/>
      <c r="F5" s="281"/>
      <c r="G5" s="281"/>
      <c r="H5" s="281"/>
      <c r="I5" s="281"/>
      <c r="J5" s="281"/>
      <c r="K5" s="281"/>
      <c r="L5" s="281"/>
      <c r="M5" s="281"/>
      <c r="N5" s="281"/>
      <c r="O5" s="281"/>
      <c r="P5" s="281"/>
      <c r="Q5" s="281"/>
      <c r="R5" s="281"/>
      <c r="S5" s="281"/>
      <c r="T5" s="281"/>
      <c r="U5" s="281"/>
      <c r="V5" s="281"/>
      <c r="W5" s="281"/>
      <c r="X5" s="281"/>
      <c r="Y5" s="281"/>
      <c r="Z5" s="281"/>
      <c r="AA5" s="281"/>
      <c r="AB5" s="281"/>
      <c r="AC5" s="281"/>
      <c r="AD5" s="281"/>
      <c r="AE5" s="281"/>
      <c r="AF5" s="281"/>
      <c r="AG5" s="53"/>
      <c r="AH5" s="53"/>
      <c r="AI5" s="53"/>
      <c r="AJ5" s="53"/>
      <c r="AK5" s="53"/>
      <c r="AL5" s="53"/>
      <c r="AM5" s="53"/>
      <c r="AN5" s="53"/>
      <c r="AO5" s="272" t="s">
        <v>224</v>
      </c>
      <c r="AP5" s="272"/>
      <c r="AQ5" s="272"/>
      <c r="AR5" s="272"/>
      <c r="AS5" s="272"/>
      <c r="AT5" s="272"/>
      <c r="AU5" s="272"/>
      <c r="AV5" s="272"/>
      <c r="AW5" s="272"/>
      <c r="AX5" s="272"/>
      <c r="AY5" s="272"/>
      <c r="AZ5" s="272"/>
      <c r="BA5" s="272"/>
      <c r="BB5" s="272"/>
      <c r="BC5" s="272"/>
      <c r="BD5" s="272"/>
      <c r="BE5" s="272"/>
      <c r="BF5" s="272"/>
      <c r="BG5" s="272"/>
      <c r="BH5" s="272"/>
      <c r="BI5" s="272"/>
      <c r="BJ5" s="272"/>
      <c r="BK5" s="272"/>
      <c r="BL5" s="272"/>
      <c r="BM5" s="272"/>
      <c r="BN5" s="272"/>
      <c r="BO5" s="272"/>
      <c r="BP5" s="272"/>
      <c r="BQ5" s="272"/>
      <c r="BR5" s="272"/>
      <c r="BS5" s="272"/>
      <c r="BT5" s="272"/>
      <c r="BU5" s="272"/>
      <c r="BV5" s="272"/>
      <c r="BW5" s="272"/>
      <c r="BX5" s="272"/>
      <c r="BY5" s="272"/>
      <c r="BZ5" s="272"/>
      <c r="CA5" s="272"/>
      <c r="CB5" s="272"/>
      <c r="CC5" s="272"/>
      <c r="CD5" s="272"/>
      <c r="CE5" s="272"/>
      <c r="CF5" s="272"/>
      <c r="CG5" s="272"/>
      <c r="CH5" s="272"/>
      <c r="CI5" s="272"/>
      <c r="CJ5" s="272"/>
      <c r="CK5" s="272"/>
      <c r="CL5" s="272"/>
      <c r="CM5" s="272"/>
      <c r="CN5" s="272"/>
      <c r="CO5" s="272"/>
      <c r="CP5" s="272"/>
      <c r="CQ5" s="272"/>
      <c r="CR5" s="272"/>
      <c r="CS5" s="272"/>
      <c r="CT5" s="272"/>
      <c r="CU5" s="272"/>
      <c r="CV5" s="272"/>
      <c r="CW5" s="53"/>
      <c r="CX5" s="53"/>
      <c r="CY5" s="53"/>
      <c r="CZ5" s="53"/>
      <c r="DA5" s="280" t="s">
        <v>210</v>
      </c>
      <c r="DB5" s="280"/>
      <c r="DC5" s="280"/>
      <c r="DD5" s="280"/>
      <c r="DE5" s="280"/>
      <c r="DF5" s="280"/>
      <c r="DG5" s="280"/>
      <c r="DH5" s="280"/>
      <c r="DI5" s="280"/>
      <c r="DJ5" s="280"/>
      <c r="DK5" s="280"/>
      <c r="DL5" s="280"/>
      <c r="DM5" s="280"/>
      <c r="DN5" s="280"/>
      <c r="DO5" s="280"/>
      <c r="DP5" s="280"/>
      <c r="DQ5" s="280"/>
      <c r="DR5" s="280"/>
      <c r="DS5" s="280"/>
      <c r="DT5" s="280"/>
      <c r="DU5" s="280"/>
      <c r="DV5" s="280"/>
      <c r="DW5" s="280"/>
      <c r="DX5" s="280"/>
      <c r="DY5" s="280"/>
      <c r="DZ5" s="280"/>
      <c r="EA5" s="280"/>
      <c r="EB5" s="280"/>
      <c r="EC5" s="280"/>
      <c r="ED5" s="280"/>
      <c r="EE5" s="280"/>
      <c r="EF5" s="280"/>
      <c r="EG5" s="280"/>
      <c r="EH5" s="51"/>
      <c r="EI5" s="51"/>
      <c r="EJ5" s="51"/>
      <c r="EK5" s="51"/>
      <c r="EL5" s="51"/>
      <c r="EM5" s="51"/>
      <c r="EN5" s="51"/>
      <c r="EO5" s="51"/>
      <c r="EP5" s="51"/>
      <c r="EQ5" s="51"/>
      <c r="ER5" s="51"/>
      <c r="ES5" s="51"/>
    </row>
    <row r="6" spans="1:223" ht="91.5" x14ac:dyDescent="1.25">
      <c r="A6" s="12"/>
      <c r="B6" s="12"/>
      <c r="C6" s="12"/>
      <c r="D6" s="281"/>
      <c r="E6" s="281"/>
      <c r="F6" s="281"/>
      <c r="G6" s="281"/>
      <c r="H6" s="281"/>
      <c r="I6" s="281"/>
      <c r="J6" s="281"/>
      <c r="K6" s="281"/>
      <c r="L6" s="281"/>
      <c r="M6" s="281"/>
      <c r="N6" s="281"/>
      <c r="O6" s="281"/>
      <c r="P6" s="281"/>
      <c r="Q6" s="281"/>
      <c r="R6" s="281"/>
      <c r="S6" s="281"/>
      <c r="T6" s="281"/>
      <c r="U6" s="281"/>
      <c r="V6" s="281"/>
      <c r="W6" s="281"/>
      <c r="X6" s="281"/>
      <c r="Y6" s="281"/>
      <c r="Z6" s="281"/>
      <c r="AA6" s="281"/>
      <c r="AB6" s="281"/>
      <c r="AC6" s="281"/>
      <c r="AD6" s="281"/>
      <c r="AE6" s="281"/>
      <c r="AF6" s="281"/>
      <c r="AG6" s="53"/>
      <c r="AH6" s="53"/>
      <c r="AI6" s="53"/>
      <c r="AJ6" s="53"/>
      <c r="AK6" s="53"/>
      <c r="AL6" s="53"/>
      <c r="AM6" s="53"/>
      <c r="AN6" s="53"/>
      <c r="AO6" s="272" t="s">
        <v>11</v>
      </c>
      <c r="AP6" s="272"/>
      <c r="AQ6" s="272"/>
      <c r="AR6" s="272"/>
      <c r="AS6" s="272"/>
      <c r="AT6" s="272"/>
      <c r="AU6" s="272"/>
      <c r="AV6" s="272"/>
      <c r="AW6" s="272"/>
      <c r="AX6" s="272"/>
      <c r="AY6" s="272"/>
      <c r="AZ6" s="272"/>
      <c r="BA6" s="272"/>
      <c r="BB6" s="272"/>
      <c r="BC6" s="272"/>
      <c r="BD6" s="272"/>
      <c r="BE6" s="272"/>
      <c r="BF6" s="272"/>
      <c r="BG6" s="272"/>
      <c r="BH6" s="272"/>
      <c r="BI6" s="272"/>
      <c r="BJ6" s="272"/>
      <c r="BK6" s="272"/>
      <c r="BL6" s="272"/>
      <c r="BM6" s="272"/>
      <c r="BN6" s="272"/>
      <c r="BO6" s="272"/>
      <c r="BP6" s="272"/>
      <c r="BQ6" s="272"/>
      <c r="BR6" s="272"/>
      <c r="BS6" s="272"/>
      <c r="BT6" s="272"/>
      <c r="BU6" s="272"/>
      <c r="BV6" s="272"/>
      <c r="BW6" s="272"/>
      <c r="BX6" s="272"/>
      <c r="BY6" s="272"/>
      <c r="BZ6" s="272"/>
      <c r="CA6" s="272"/>
      <c r="CB6" s="272"/>
      <c r="CC6" s="272"/>
      <c r="CD6" s="272"/>
      <c r="CE6" s="272"/>
      <c r="CF6" s="272"/>
      <c r="CG6" s="272"/>
      <c r="CH6" s="272"/>
      <c r="CI6" s="272"/>
      <c r="CJ6" s="272"/>
      <c r="CK6" s="272"/>
      <c r="CL6" s="272"/>
      <c r="CM6" s="272"/>
      <c r="CN6" s="272"/>
      <c r="CO6" s="272"/>
      <c r="CP6" s="272"/>
      <c r="CQ6" s="272"/>
      <c r="CR6" s="272"/>
      <c r="CS6" s="272"/>
      <c r="CT6" s="272"/>
      <c r="CU6" s="272"/>
      <c r="CV6" s="272"/>
      <c r="CW6" s="53"/>
      <c r="CX6" s="53"/>
      <c r="CY6" s="53"/>
      <c r="CZ6" s="53"/>
      <c r="DA6" s="280" t="s">
        <v>161</v>
      </c>
      <c r="DB6" s="280"/>
      <c r="DC6" s="280"/>
      <c r="DD6" s="280"/>
      <c r="DE6" s="280"/>
      <c r="DF6" s="280"/>
      <c r="DG6" s="280"/>
      <c r="DH6" s="280"/>
      <c r="DI6" s="280"/>
      <c r="DJ6" s="280"/>
      <c r="DK6" s="280"/>
      <c r="DL6" s="280"/>
      <c r="DM6" s="280"/>
      <c r="DN6" s="280"/>
      <c r="DO6" s="280"/>
      <c r="DP6" s="280"/>
      <c r="DQ6" s="280"/>
      <c r="DR6" s="280"/>
      <c r="DS6" s="280"/>
      <c r="DT6" s="280"/>
      <c r="DU6" s="280"/>
      <c r="DV6" s="280"/>
      <c r="DW6" s="280"/>
      <c r="DX6" s="280"/>
      <c r="DY6" s="280"/>
      <c r="DZ6" s="280"/>
      <c r="EA6" s="280"/>
      <c r="EB6" s="280"/>
      <c r="EC6" s="280"/>
      <c r="ED6" s="280"/>
      <c r="EE6" s="280"/>
      <c r="EF6" s="280"/>
      <c r="EG6" s="280"/>
      <c r="EH6" s="54"/>
      <c r="EI6" s="54"/>
      <c r="EJ6" s="54"/>
      <c r="EK6" s="54"/>
      <c r="EL6" s="54"/>
      <c r="EM6" s="54"/>
      <c r="EN6" s="55"/>
      <c r="EO6" s="55"/>
      <c r="EP6" s="55"/>
      <c r="EQ6" s="56"/>
      <c r="ER6" s="56"/>
      <c r="ES6" s="56"/>
    </row>
    <row r="7" spans="1:223" ht="91.5" x14ac:dyDescent="1.25">
      <c r="A7" s="12"/>
      <c r="B7" s="12"/>
      <c r="C7" s="12"/>
      <c r="D7" s="281"/>
      <c r="E7" s="281"/>
      <c r="F7" s="281"/>
      <c r="G7" s="281"/>
      <c r="H7" s="281"/>
      <c r="I7" s="281"/>
      <c r="J7" s="281"/>
      <c r="K7" s="281"/>
      <c r="L7" s="281"/>
      <c r="M7" s="281"/>
      <c r="N7" s="281"/>
      <c r="O7" s="281"/>
      <c r="P7" s="281"/>
      <c r="Q7" s="281"/>
      <c r="R7" s="281"/>
      <c r="S7" s="281"/>
      <c r="T7" s="281"/>
      <c r="U7" s="281"/>
      <c r="V7" s="281"/>
      <c r="W7" s="281"/>
      <c r="X7" s="281"/>
      <c r="Y7" s="281"/>
      <c r="Z7" s="281"/>
      <c r="AA7" s="281"/>
      <c r="AB7" s="281"/>
      <c r="AC7" s="281"/>
      <c r="AD7" s="281"/>
      <c r="AE7" s="281"/>
      <c r="AF7" s="281"/>
      <c r="AG7" s="53"/>
      <c r="AH7" s="53"/>
      <c r="AI7" s="53"/>
      <c r="AJ7" s="53"/>
      <c r="AK7" s="53"/>
      <c r="AL7" s="53"/>
      <c r="AM7" s="53"/>
      <c r="AN7" s="53"/>
      <c r="AO7" s="272" t="s">
        <v>236</v>
      </c>
      <c r="AP7" s="272"/>
      <c r="AQ7" s="272"/>
      <c r="AR7" s="272"/>
      <c r="AS7" s="272"/>
      <c r="AT7" s="272"/>
      <c r="AU7" s="272"/>
      <c r="AV7" s="272"/>
      <c r="AW7" s="272"/>
      <c r="AX7" s="272"/>
      <c r="AY7" s="272"/>
      <c r="AZ7" s="272"/>
      <c r="BA7" s="272"/>
      <c r="BB7" s="272"/>
      <c r="BC7" s="272"/>
      <c r="BD7" s="272"/>
      <c r="BE7" s="272"/>
      <c r="BF7" s="272"/>
      <c r="BG7" s="272"/>
      <c r="BH7" s="272"/>
      <c r="BI7" s="272"/>
      <c r="BJ7" s="272"/>
      <c r="BK7" s="272"/>
      <c r="BL7" s="272"/>
      <c r="BM7" s="272"/>
      <c r="BN7" s="272"/>
      <c r="BO7" s="272"/>
      <c r="BP7" s="272"/>
      <c r="BQ7" s="272"/>
      <c r="BR7" s="272"/>
      <c r="BS7" s="272"/>
      <c r="BT7" s="272"/>
      <c r="BU7" s="272"/>
      <c r="BV7" s="272"/>
      <c r="BW7" s="272"/>
      <c r="BX7" s="272"/>
      <c r="BY7" s="272"/>
      <c r="BZ7" s="272"/>
      <c r="CA7" s="272"/>
      <c r="CB7" s="272"/>
      <c r="CC7" s="272"/>
      <c r="CD7" s="272"/>
      <c r="CE7" s="272"/>
      <c r="CF7" s="272"/>
      <c r="CG7" s="272"/>
      <c r="CH7" s="272"/>
      <c r="CI7" s="272"/>
      <c r="CJ7" s="272"/>
      <c r="CK7" s="272"/>
      <c r="CL7" s="272"/>
      <c r="CM7" s="272"/>
      <c r="CN7" s="272"/>
      <c r="CO7" s="272"/>
      <c r="CP7" s="272"/>
      <c r="CQ7" s="272"/>
      <c r="CR7" s="272"/>
      <c r="CS7" s="272"/>
      <c r="CT7" s="272"/>
      <c r="CU7" s="272"/>
      <c r="CV7" s="272"/>
      <c r="CW7" s="53"/>
      <c r="CX7" s="53"/>
      <c r="CY7" s="53"/>
      <c r="CZ7" s="53"/>
      <c r="EH7" s="54"/>
      <c r="EI7" s="54"/>
      <c r="EJ7" s="54"/>
      <c r="EK7" s="54"/>
      <c r="EL7" s="54"/>
      <c r="EM7" s="54"/>
      <c r="EN7" s="55"/>
      <c r="EO7" s="55"/>
      <c r="EP7" s="55"/>
      <c r="EQ7" s="56"/>
      <c r="ER7" s="56"/>
      <c r="ES7" s="56"/>
    </row>
    <row r="8" spans="1:223" ht="91.5" x14ac:dyDescent="1.25">
      <c r="A8" s="12"/>
      <c r="B8" s="12"/>
      <c r="C8" s="12"/>
      <c r="D8" s="12"/>
      <c r="E8" s="12"/>
      <c r="F8" s="12"/>
      <c r="G8" s="12"/>
      <c r="H8" s="12"/>
      <c r="I8" s="12"/>
      <c r="J8" s="12"/>
      <c r="K8" s="12"/>
      <c r="L8" s="12"/>
      <c r="M8" s="12"/>
      <c r="N8" s="12"/>
      <c r="O8" s="12"/>
      <c r="P8" s="12"/>
      <c r="Q8" s="12"/>
      <c r="R8" s="12"/>
      <c r="S8" s="12"/>
      <c r="T8" s="12"/>
      <c r="U8" s="12"/>
      <c r="V8" s="12"/>
      <c r="W8" s="12"/>
      <c r="X8" s="12"/>
      <c r="Y8" s="12"/>
      <c r="Z8" s="57"/>
      <c r="AA8" s="53"/>
      <c r="AB8" s="53"/>
      <c r="AC8" s="53"/>
      <c r="AD8" s="53"/>
      <c r="AE8" s="53"/>
      <c r="AF8" s="53"/>
      <c r="AG8" s="53"/>
      <c r="AH8" s="53"/>
      <c r="AI8" s="53"/>
      <c r="AJ8" s="53"/>
      <c r="AK8" s="53"/>
      <c r="AL8" s="53"/>
      <c r="AM8" s="53"/>
      <c r="AN8" s="53"/>
      <c r="AO8" s="272" t="s">
        <v>237</v>
      </c>
      <c r="AP8" s="272"/>
      <c r="AQ8" s="272"/>
      <c r="AR8" s="272"/>
      <c r="AS8" s="272"/>
      <c r="AT8" s="272"/>
      <c r="AU8" s="272"/>
      <c r="AV8" s="272"/>
      <c r="AW8" s="272"/>
      <c r="AX8" s="272"/>
      <c r="AY8" s="272"/>
      <c r="AZ8" s="272"/>
      <c r="BA8" s="272"/>
      <c r="BB8" s="272"/>
      <c r="BC8" s="272"/>
      <c r="BD8" s="272"/>
      <c r="BE8" s="272"/>
      <c r="BF8" s="272"/>
      <c r="BG8" s="272"/>
      <c r="BH8" s="272"/>
      <c r="BI8" s="272"/>
      <c r="BJ8" s="272"/>
      <c r="BK8" s="272"/>
      <c r="BL8" s="272"/>
      <c r="BM8" s="272"/>
      <c r="BN8" s="272"/>
      <c r="BO8" s="272"/>
      <c r="BP8" s="272"/>
      <c r="BQ8" s="272"/>
      <c r="BR8" s="272"/>
      <c r="BS8" s="272"/>
      <c r="BT8" s="272"/>
      <c r="BU8" s="272"/>
      <c r="BV8" s="272"/>
      <c r="BW8" s="272"/>
      <c r="BX8" s="272"/>
      <c r="BY8" s="272"/>
      <c r="BZ8" s="272"/>
      <c r="CA8" s="272"/>
      <c r="CB8" s="272"/>
      <c r="CC8" s="272"/>
      <c r="CD8" s="272"/>
      <c r="CE8" s="272"/>
      <c r="CF8" s="272"/>
      <c r="CG8" s="272"/>
      <c r="CH8" s="272"/>
      <c r="CI8" s="272"/>
      <c r="CJ8" s="272"/>
      <c r="CK8" s="272"/>
      <c r="CL8" s="272"/>
      <c r="CM8" s="272"/>
      <c r="CN8" s="272"/>
      <c r="CO8" s="272"/>
      <c r="CP8" s="272"/>
      <c r="CQ8" s="272"/>
      <c r="CR8" s="272"/>
      <c r="CS8" s="272"/>
      <c r="CT8" s="272"/>
      <c r="CU8" s="272"/>
      <c r="CV8" s="272"/>
      <c r="CW8" s="53"/>
      <c r="CX8" s="53"/>
      <c r="CY8" s="53"/>
      <c r="CZ8" s="53"/>
      <c r="DA8" s="58"/>
      <c r="DB8" s="58"/>
      <c r="DC8" s="58"/>
      <c r="DD8" s="58"/>
      <c r="DE8" s="58"/>
      <c r="DF8" s="58"/>
      <c r="DG8" s="58"/>
      <c r="DH8" s="58"/>
      <c r="DI8" s="58"/>
      <c r="DJ8" s="58"/>
      <c r="DK8" s="58"/>
      <c r="DL8" s="58"/>
      <c r="DM8" s="58"/>
      <c r="DN8" s="58"/>
      <c r="DO8" s="59"/>
      <c r="DP8" s="59"/>
      <c r="DQ8" s="59"/>
      <c r="DR8" s="59"/>
      <c r="DS8" s="59"/>
      <c r="DT8" s="59"/>
      <c r="DU8" s="59"/>
      <c r="DV8" s="59"/>
      <c r="DW8" s="59"/>
      <c r="DX8" s="60"/>
      <c r="DY8" s="60"/>
      <c r="DZ8" s="60"/>
      <c r="EA8" s="60"/>
      <c r="EB8" s="60"/>
      <c r="EC8" s="60"/>
      <c r="ED8" s="60"/>
      <c r="EE8" s="60"/>
      <c r="EF8" s="61"/>
      <c r="EG8" s="61"/>
      <c r="EH8" s="54"/>
      <c r="EI8" s="54"/>
      <c r="EJ8" s="54"/>
      <c r="EK8" s="54"/>
      <c r="EL8" s="54"/>
      <c r="EM8" s="54"/>
      <c r="EN8" s="55"/>
      <c r="EO8" s="55"/>
      <c r="EP8" s="55"/>
      <c r="EQ8" s="56"/>
      <c r="ER8" s="56"/>
      <c r="ES8" s="56"/>
    </row>
    <row r="9" spans="1:223" ht="69" x14ac:dyDescent="0.2">
      <c r="A9" s="763" t="s">
        <v>222</v>
      </c>
      <c r="B9" s="763"/>
      <c r="C9" s="763"/>
      <c r="D9" s="763"/>
      <c r="E9" s="763"/>
      <c r="F9" s="763"/>
      <c r="G9" s="763"/>
      <c r="H9" s="763"/>
      <c r="I9" s="763"/>
      <c r="J9" s="763"/>
      <c r="K9" s="763"/>
      <c r="L9" s="763"/>
      <c r="M9" s="763"/>
      <c r="N9" s="763"/>
      <c r="O9" s="763"/>
      <c r="P9" s="763"/>
      <c r="Q9" s="763"/>
      <c r="R9" s="763"/>
      <c r="S9" s="763"/>
      <c r="T9" s="763"/>
      <c r="U9" s="763"/>
      <c r="V9" s="763"/>
      <c r="W9" s="763"/>
      <c r="X9" s="763"/>
      <c r="Y9" s="763"/>
      <c r="Z9" s="763"/>
      <c r="AA9" s="763"/>
      <c r="AB9" s="763"/>
      <c r="AC9" s="763"/>
      <c r="AD9" s="763"/>
      <c r="AE9" s="763"/>
      <c r="AF9" s="763"/>
      <c r="AG9" s="763"/>
      <c r="AH9" s="763"/>
      <c r="AI9" s="763"/>
      <c r="AJ9" s="763"/>
      <c r="AK9" s="763"/>
      <c r="AL9" s="763"/>
      <c r="AM9" s="763"/>
      <c r="AN9" s="763"/>
      <c r="AO9" s="763"/>
      <c r="AP9" s="763"/>
      <c r="AQ9" s="763"/>
      <c r="AR9" s="763"/>
      <c r="AS9" s="763"/>
      <c r="AT9" s="763"/>
      <c r="AU9" s="763"/>
      <c r="AV9" s="763"/>
      <c r="AW9" s="763"/>
      <c r="AX9" s="763"/>
      <c r="AY9" s="763"/>
      <c r="AZ9" s="763"/>
      <c r="BA9" s="763"/>
      <c r="BB9" s="763"/>
      <c r="BC9" s="763"/>
      <c r="BD9" s="763"/>
      <c r="BE9" s="763"/>
      <c r="BF9" s="763"/>
      <c r="BG9" s="763"/>
      <c r="BH9" s="763"/>
      <c r="BI9" s="763"/>
      <c r="BJ9" s="763"/>
      <c r="BK9" s="763"/>
      <c r="BL9" s="763"/>
      <c r="BM9" s="763"/>
      <c r="BN9" s="763"/>
      <c r="BO9" s="763"/>
      <c r="BP9" s="763"/>
      <c r="BQ9" s="763"/>
      <c r="BR9" s="763"/>
      <c r="BS9" s="763"/>
      <c r="BT9" s="763"/>
      <c r="BU9" s="763"/>
      <c r="BV9" s="763"/>
      <c r="BW9" s="763"/>
      <c r="BX9" s="763"/>
      <c r="BY9" s="763"/>
      <c r="BZ9" s="763"/>
      <c r="CA9" s="763"/>
      <c r="CB9" s="763"/>
      <c r="CC9" s="763"/>
      <c r="CD9" s="763"/>
      <c r="CE9" s="763"/>
      <c r="CF9" s="763"/>
      <c r="CG9" s="763"/>
      <c r="CH9" s="763"/>
      <c r="CI9" s="763"/>
      <c r="CJ9" s="763"/>
      <c r="CK9" s="763"/>
      <c r="CL9" s="763"/>
      <c r="CM9" s="763"/>
      <c r="CN9" s="763"/>
      <c r="CO9" s="763"/>
      <c r="CP9" s="763"/>
      <c r="CQ9" s="763"/>
      <c r="CR9" s="763"/>
      <c r="CS9" s="763"/>
      <c r="CT9" s="763"/>
      <c r="CU9" s="763"/>
      <c r="CV9" s="763"/>
      <c r="CW9" s="763"/>
      <c r="CX9" s="763"/>
      <c r="CY9" s="763"/>
      <c r="CZ9" s="763"/>
      <c r="DA9" s="763"/>
      <c r="DB9" s="763"/>
      <c r="DC9" s="763"/>
      <c r="DD9" s="763"/>
      <c r="DE9" s="763"/>
      <c r="DF9" s="763"/>
      <c r="DG9" s="763"/>
      <c r="DH9" s="763"/>
      <c r="DI9" s="763"/>
      <c r="DJ9" s="763"/>
      <c r="DK9" s="763"/>
      <c r="DL9" s="763"/>
      <c r="DM9" s="763"/>
      <c r="DN9" s="763"/>
      <c r="DO9" s="763"/>
      <c r="DP9" s="763"/>
      <c r="DQ9" s="763"/>
      <c r="DR9" s="763"/>
      <c r="DS9" s="763"/>
      <c r="DT9" s="763"/>
      <c r="DU9" s="763"/>
      <c r="DV9" s="763"/>
      <c r="DW9" s="763"/>
      <c r="DX9" s="763"/>
      <c r="DY9" s="763"/>
      <c r="DZ9" s="763"/>
      <c r="EA9" s="763"/>
      <c r="EB9" s="763"/>
      <c r="EC9" s="763"/>
      <c r="ED9" s="763"/>
      <c r="EE9" s="763"/>
      <c r="EF9" s="763"/>
      <c r="EG9" s="763"/>
      <c r="EH9" s="763"/>
      <c r="EI9" s="763"/>
      <c r="EJ9" s="763"/>
      <c r="EK9" s="763"/>
      <c r="EL9" s="763"/>
      <c r="EM9" s="763"/>
      <c r="EN9" s="763"/>
      <c r="EO9" s="763"/>
      <c r="EP9" s="763"/>
      <c r="EQ9" s="763"/>
      <c r="ER9" s="763"/>
      <c r="ES9" s="763"/>
    </row>
    <row r="11" spans="1:223" ht="60.75" x14ac:dyDescent="0.4">
      <c r="A11" s="13"/>
      <c r="B11" s="13"/>
      <c r="C11" s="14"/>
      <c r="D11" s="156"/>
      <c r="E11" s="156"/>
      <c r="F11" s="156"/>
      <c r="G11" s="156"/>
      <c r="H11" s="154"/>
      <c r="I11" s="154"/>
      <c r="J11" s="154"/>
      <c r="K11" s="154"/>
      <c r="L11" s="154"/>
      <c r="M11" s="154"/>
      <c r="N11" s="154"/>
      <c r="O11" s="154"/>
      <c r="P11" s="154"/>
      <c r="Q11" s="154"/>
      <c r="R11" s="154"/>
      <c r="S11" s="154"/>
      <c r="T11" s="154"/>
      <c r="U11" s="154"/>
      <c r="V11" s="154"/>
      <c r="W11" s="154"/>
      <c r="X11" s="154"/>
      <c r="Y11" s="154"/>
      <c r="Z11" s="154"/>
      <c r="AA11" s="154"/>
      <c r="AB11" s="154"/>
      <c r="AC11" s="154"/>
      <c r="AD11" s="154"/>
      <c r="AE11" s="154"/>
      <c r="AF11" s="154"/>
      <c r="AG11" s="154"/>
      <c r="AH11" s="154"/>
      <c r="AI11" s="154"/>
      <c r="AJ11" s="154"/>
      <c r="AK11" s="154"/>
      <c r="AL11" s="154"/>
      <c r="AM11" s="154"/>
      <c r="AN11" s="154"/>
      <c r="AO11" s="154"/>
      <c r="AP11" s="154"/>
      <c r="AQ11" s="154"/>
      <c r="AR11" s="154"/>
      <c r="AS11" s="154"/>
      <c r="AT11" s="154"/>
      <c r="AU11" s="154"/>
      <c r="AV11" s="154"/>
      <c r="AW11" s="154"/>
      <c r="AX11" s="154"/>
      <c r="AY11" s="154"/>
      <c r="AZ11" s="154"/>
      <c r="BA11" s="154"/>
      <c r="BB11" s="154"/>
      <c r="BC11" s="154"/>
      <c r="BD11" s="154"/>
      <c r="BE11" s="154"/>
      <c r="BF11" s="154"/>
      <c r="BG11" s="154"/>
      <c r="BH11" s="154"/>
      <c r="BI11" s="154"/>
      <c r="BJ11" s="154"/>
      <c r="BK11" s="154"/>
      <c r="BL11" s="154"/>
      <c r="BM11" s="154"/>
      <c r="BN11" s="154"/>
      <c r="BO11" s="154"/>
      <c r="BP11" s="154"/>
      <c r="BQ11" s="154"/>
      <c r="BR11" s="154"/>
      <c r="BS11" s="154"/>
      <c r="BT11" s="154"/>
      <c r="BU11" s="154"/>
      <c r="BV11" s="154"/>
      <c r="BW11" s="154"/>
      <c r="BX11" s="154"/>
      <c r="BY11" s="154"/>
      <c r="BZ11" s="154"/>
      <c r="CA11" s="154"/>
      <c r="CB11" s="154"/>
      <c r="CC11" s="154"/>
      <c r="CD11" s="154"/>
      <c r="CE11" s="154"/>
      <c r="CF11" s="154"/>
      <c r="CG11" s="154"/>
      <c r="CH11" s="154"/>
      <c r="CI11" s="154"/>
      <c r="CJ11" s="154"/>
      <c r="CK11" s="154"/>
      <c r="CL11" s="154"/>
      <c r="CM11" s="154"/>
      <c r="CN11" s="154"/>
      <c r="CO11" s="154"/>
      <c r="CP11" s="154"/>
      <c r="CQ11" s="154"/>
      <c r="CR11" s="154"/>
      <c r="CS11" s="154"/>
      <c r="CT11" s="154"/>
      <c r="CU11" s="154"/>
      <c r="CV11" s="154"/>
      <c r="CW11" s="154"/>
      <c r="CX11" s="154"/>
      <c r="CY11" s="154"/>
      <c r="CZ11" s="154"/>
      <c r="DA11" s="154"/>
      <c r="DB11" s="154"/>
      <c r="DC11" s="154"/>
      <c r="DD11" s="154"/>
      <c r="DE11" s="154"/>
      <c r="DF11" s="154"/>
      <c r="DG11" s="154"/>
      <c r="DH11" s="154"/>
      <c r="DI11" s="154"/>
      <c r="DJ11" s="154"/>
      <c r="DK11" s="158"/>
      <c r="DL11" s="158"/>
      <c r="DM11" s="158"/>
      <c r="DN11" s="158"/>
      <c r="DO11" s="158"/>
      <c r="DP11" s="158"/>
      <c r="DQ11" s="158"/>
      <c r="DR11" s="158"/>
      <c r="DS11" s="158"/>
      <c r="DT11" s="158"/>
      <c r="DU11" s="158"/>
      <c r="DV11" s="158"/>
      <c r="DW11" s="158"/>
      <c r="DX11" s="158"/>
      <c r="DY11" s="158"/>
      <c r="DZ11" s="158"/>
      <c r="EA11" s="158"/>
      <c r="EB11" s="158"/>
      <c r="EC11" s="158"/>
      <c r="ED11" s="131"/>
      <c r="EE11" s="131"/>
      <c r="EF11" s="131"/>
      <c r="EG11" s="131"/>
      <c r="EH11" s="131"/>
      <c r="EI11" s="131"/>
      <c r="EJ11" s="15"/>
      <c r="EK11" s="15"/>
      <c r="EL11" s="15"/>
      <c r="EM11" s="15"/>
      <c r="EN11" s="16"/>
      <c r="EO11" s="16"/>
      <c r="EP11" s="16"/>
      <c r="EQ11" s="8"/>
      <c r="ER11" s="8"/>
      <c r="ES11" s="8"/>
      <c r="EV11" s="464" t="s">
        <v>21</v>
      </c>
      <c r="EW11" s="464"/>
      <c r="EX11" s="259" t="s">
        <v>213</v>
      </c>
      <c r="EY11" s="259"/>
      <c r="EZ11" s="259"/>
      <c r="FA11" s="259"/>
      <c r="FB11" s="259"/>
      <c r="FC11" s="259"/>
      <c r="FD11" s="259"/>
      <c r="FE11" s="259"/>
      <c r="FF11" s="259"/>
      <c r="FG11" s="259"/>
      <c r="FH11" s="259"/>
      <c r="FI11" s="259"/>
      <c r="FJ11" s="259"/>
      <c r="FK11" s="259"/>
      <c r="FL11" s="259"/>
      <c r="FM11" s="259"/>
      <c r="FN11" s="259"/>
      <c r="FO11" s="259"/>
      <c r="FP11" s="259"/>
      <c r="FQ11" s="259"/>
      <c r="FR11" s="259"/>
      <c r="FS11" s="259"/>
      <c r="FT11" s="259"/>
      <c r="FU11" s="259"/>
      <c r="FV11" s="259"/>
      <c r="FW11" s="259"/>
      <c r="FX11" s="259"/>
      <c r="FY11" s="259"/>
      <c r="FZ11" s="259"/>
      <c r="GA11" s="259"/>
      <c r="GB11" s="259"/>
      <c r="GC11" s="259"/>
      <c r="GD11" s="259"/>
      <c r="GE11" s="259"/>
      <c r="GF11" s="259"/>
      <c r="GG11" s="259"/>
      <c r="GH11" s="259"/>
      <c r="GI11" s="259"/>
      <c r="GJ11" s="259"/>
      <c r="GK11" s="259"/>
      <c r="GL11" s="259"/>
      <c r="GM11" s="259"/>
      <c r="GN11" s="259"/>
      <c r="GO11" s="259"/>
      <c r="GP11" s="259"/>
      <c r="GQ11" s="259"/>
      <c r="GR11" s="259"/>
      <c r="GS11" s="259"/>
      <c r="GT11" s="259"/>
      <c r="GU11" s="259"/>
      <c r="GV11" s="259"/>
      <c r="GW11" s="259"/>
      <c r="GX11" s="357" t="s">
        <v>17</v>
      </c>
      <c r="GY11" s="357"/>
      <c r="GZ11" s="357"/>
      <c r="HA11" s="357"/>
      <c r="HB11" s="357"/>
      <c r="HC11" s="357"/>
      <c r="HD11" s="357"/>
      <c r="HE11" s="357"/>
      <c r="HF11" s="357"/>
      <c r="HG11" s="357"/>
      <c r="HH11" s="357"/>
      <c r="HI11" s="357"/>
      <c r="HJ11" s="357"/>
      <c r="HK11" s="357"/>
      <c r="HL11" s="470" t="s">
        <v>214</v>
      </c>
      <c r="HM11" s="470"/>
      <c r="HN11" s="470" t="s">
        <v>20</v>
      </c>
      <c r="HO11" s="470"/>
    </row>
    <row r="12" spans="1:223" ht="60.75" x14ac:dyDescent="0.4">
      <c r="A12" s="13"/>
      <c r="B12" s="13"/>
      <c r="C12" s="14"/>
      <c r="D12" s="156"/>
      <c r="E12" s="156"/>
      <c r="F12" s="156"/>
      <c r="G12" s="156"/>
      <c r="H12" s="154"/>
      <c r="I12" s="154"/>
      <c r="J12" s="154"/>
      <c r="K12" s="154"/>
      <c r="L12" s="154"/>
      <c r="M12" s="154"/>
      <c r="N12" s="154"/>
      <c r="O12" s="154"/>
      <c r="P12" s="154"/>
      <c r="Q12" s="154"/>
      <c r="R12" s="154"/>
      <c r="S12" s="154"/>
      <c r="T12" s="154"/>
      <c r="U12" s="154"/>
      <c r="V12" s="154"/>
      <c r="W12" s="154"/>
      <c r="X12" s="154"/>
      <c r="Y12" s="154"/>
      <c r="Z12" s="154"/>
      <c r="AA12" s="154"/>
      <c r="AB12" s="154"/>
      <c r="AC12" s="154"/>
      <c r="AD12" s="154"/>
      <c r="AE12" s="154"/>
      <c r="AF12" s="154"/>
      <c r="AG12" s="154"/>
      <c r="AH12" s="154"/>
      <c r="AI12" s="154"/>
      <c r="AJ12" s="154"/>
      <c r="AK12" s="154"/>
      <c r="AL12" s="154"/>
      <c r="AM12" s="154"/>
      <c r="AN12" s="154"/>
      <c r="AO12" s="154"/>
      <c r="AP12" s="154"/>
      <c r="AQ12" s="154"/>
      <c r="AR12" s="154"/>
      <c r="AS12" s="154"/>
      <c r="AT12" s="154"/>
      <c r="AU12" s="154"/>
      <c r="AV12" s="154"/>
      <c r="AW12" s="154"/>
      <c r="AX12" s="154"/>
      <c r="AY12" s="154"/>
      <c r="AZ12" s="154"/>
      <c r="BA12" s="154"/>
      <c r="BB12" s="154"/>
      <c r="BC12" s="154"/>
      <c r="BD12" s="154"/>
      <c r="BE12" s="154"/>
      <c r="BF12" s="154"/>
      <c r="BG12" s="154"/>
      <c r="BH12" s="154"/>
      <c r="BI12" s="154"/>
      <c r="BJ12" s="154"/>
      <c r="BK12" s="154"/>
      <c r="BL12" s="154"/>
      <c r="BM12" s="154"/>
      <c r="BN12" s="154"/>
      <c r="BO12" s="154"/>
      <c r="BP12" s="154"/>
      <c r="BQ12" s="154"/>
      <c r="BR12" s="154"/>
      <c r="BS12" s="154"/>
      <c r="BT12" s="154"/>
      <c r="BU12" s="154"/>
      <c r="BV12" s="154"/>
      <c r="BW12" s="154"/>
      <c r="BX12" s="154"/>
      <c r="BY12" s="154"/>
      <c r="BZ12" s="154"/>
      <c r="CA12" s="154"/>
      <c r="CB12" s="154"/>
      <c r="CC12" s="154"/>
      <c r="CD12" s="154"/>
      <c r="CE12" s="154"/>
      <c r="CF12" s="154"/>
      <c r="CG12" s="154"/>
      <c r="CH12" s="154"/>
      <c r="CI12" s="154"/>
      <c r="CJ12" s="154"/>
      <c r="CK12" s="154"/>
      <c r="CL12" s="154"/>
      <c r="CM12" s="154"/>
      <c r="CN12" s="154"/>
      <c r="CO12" s="154"/>
      <c r="CP12" s="154"/>
      <c r="CQ12" s="154"/>
      <c r="CR12" s="154"/>
      <c r="CS12" s="154"/>
      <c r="CT12" s="154"/>
      <c r="CU12" s="154"/>
      <c r="CV12" s="154"/>
      <c r="CW12" s="154"/>
      <c r="CX12" s="154"/>
      <c r="CY12" s="154"/>
      <c r="CZ12" s="154"/>
      <c r="DA12" s="154"/>
      <c r="DB12" s="154"/>
      <c r="DC12" s="154"/>
      <c r="DD12" s="154"/>
      <c r="DE12" s="154"/>
      <c r="DF12" s="154"/>
      <c r="DG12" s="154"/>
      <c r="DH12" s="154"/>
      <c r="DI12" s="154"/>
      <c r="DJ12" s="154"/>
      <c r="DK12" s="131"/>
      <c r="DL12" s="131"/>
      <c r="DM12" s="131"/>
      <c r="DN12" s="131"/>
      <c r="DO12" s="137"/>
      <c r="DP12" s="137"/>
      <c r="DQ12" s="137"/>
      <c r="DR12" s="137"/>
      <c r="DS12" s="137"/>
      <c r="DT12" s="137"/>
      <c r="DU12" s="137"/>
      <c r="DV12" s="137"/>
      <c r="DW12" s="137"/>
      <c r="DX12" s="137"/>
      <c r="DY12" s="137"/>
      <c r="DZ12" s="137"/>
      <c r="EA12" s="137"/>
      <c r="EB12" s="137"/>
      <c r="EC12" s="137"/>
      <c r="ED12" s="131"/>
      <c r="EE12" s="131"/>
      <c r="EF12" s="131"/>
      <c r="EG12" s="131"/>
      <c r="EH12" s="131"/>
      <c r="EI12" s="131"/>
      <c r="EJ12" s="15"/>
      <c r="EK12" s="15"/>
      <c r="EL12" s="15"/>
      <c r="EM12" s="15"/>
      <c r="EN12" s="16"/>
      <c r="EO12" s="16"/>
      <c r="EP12" s="16"/>
      <c r="EQ12" s="8"/>
      <c r="ER12" s="8"/>
      <c r="ES12" s="8"/>
      <c r="EV12" s="464"/>
      <c r="EW12" s="464"/>
      <c r="EX12" s="259"/>
      <c r="EY12" s="259"/>
      <c r="EZ12" s="259"/>
      <c r="FA12" s="259"/>
      <c r="FB12" s="259"/>
      <c r="FC12" s="259"/>
      <c r="FD12" s="259"/>
      <c r="FE12" s="259"/>
      <c r="FF12" s="259"/>
      <c r="FG12" s="259"/>
      <c r="FH12" s="259"/>
      <c r="FI12" s="259"/>
      <c r="FJ12" s="259"/>
      <c r="FK12" s="259"/>
      <c r="FL12" s="259"/>
      <c r="FM12" s="259"/>
      <c r="FN12" s="259"/>
      <c r="FO12" s="259"/>
      <c r="FP12" s="259"/>
      <c r="FQ12" s="259"/>
      <c r="FR12" s="259"/>
      <c r="FS12" s="259"/>
      <c r="FT12" s="259"/>
      <c r="FU12" s="259"/>
      <c r="FV12" s="259"/>
      <c r="FW12" s="259"/>
      <c r="FX12" s="259"/>
      <c r="FY12" s="259"/>
      <c r="FZ12" s="259"/>
      <c r="GA12" s="259"/>
      <c r="GB12" s="259"/>
      <c r="GC12" s="259"/>
      <c r="GD12" s="259"/>
      <c r="GE12" s="259"/>
      <c r="GF12" s="259"/>
      <c r="GG12" s="259"/>
      <c r="GH12" s="259"/>
      <c r="GI12" s="259"/>
      <c r="GJ12" s="259"/>
      <c r="GK12" s="259"/>
      <c r="GL12" s="259"/>
      <c r="GM12" s="259"/>
      <c r="GN12" s="259"/>
      <c r="GO12" s="259"/>
      <c r="GP12" s="259"/>
      <c r="GQ12" s="259"/>
      <c r="GR12" s="259"/>
      <c r="GS12" s="259"/>
      <c r="GT12" s="259"/>
      <c r="GU12" s="259"/>
      <c r="GV12" s="259"/>
      <c r="GW12" s="259"/>
      <c r="GX12" s="470" t="s">
        <v>18</v>
      </c>
      <c r="GY12" s="470"/>
      <c r="GZ12" s="357" t="s">
        <v>75</v>
      </c>
      <c r="HA12" s="357"/>
      <c r="HB12" s="357"/>
      <c r="HC12" s="357"/>
      <c r="HD12" s="357"/>
      <c r="HE12" s="357"/>
      <c r="HF12" s="357"/>
      <c r="HG12" s="357"/>
      <c r="HH12" s="357"/>
      <c r="HI12" s="357"/>
      <c r="HJ12" s="357"/>
      <c r="HK12" s="357"/>
      <c r="HL12" s="470"/>
      <c r="HM12" s="470"/>
      <c r="HN12" s="470"/>
      <c r="HO12" s="470"/>
    </row>
    <row r="13" spans="1:223" ht="64.5" customHeight="1" x14ac:dyDescent="0.4">
      <c r="A13" s="13"/>
      <c r="B13" s="13"/>
      <c r="C13" s="14"/>
      <c r="D13" s="156"/>
      <c r="E13" s="156"/>
      <c r="F13" s="156"/>
      <c r="G13" s="156"/>
      <c r="H13" s="154"/>
      <c r="I13" s="154"/>
      <c r="J13" s="154"/>
      <c r="K13" s="154"/>
      <c r="L13" s="154"/>
      <c r="M13" s="154"/>
      <c r="N13" s="154"/>
      <c r="O13" s="154"/>
      <c r="P13" s="154"/>
      <c r="Q13" s="154"/>
      <c r="R13" s="154"/>
      <c r="S13" s="154"/>
      <c r="T13" s="154"/>
      <c r="U13" s="154"/>
      <c r="V13" s="154"/>
      <c r="W13" s="154"/>
      <c r="X13" s="154"/>
      <c r="Y13" s="154"/>
      <c r="Z13" s="154"/>
      <c r="AA13" s="154"/>
      <c r="AB13" s="154"/>
      <c r="AC13" s="154"/>
      <c r="AD13" s="154"/>
      <c r="AE13" s="154"/>
      <c r="AF13" s="154"/>
      <c r="AG13" s="154"/>
      <c r="AH13" s="154"/>
      <c r="AI13" s="154"/>
      <c r="AJ13" s="154"/>
      <c r="AK13" s="154"/>
      <c r="AL13" s="154"/>
      <c r="AM13" s="154"/>
      <c r="AN13" s="154"/>
      <c r="AO13" s="154"/>
      <c r="AP13" s="154"/>
      <c r="AQ13" s="154"/>
      <c r="AR13" s="154"/>
      <c r="AS13" s="154"/>
      <c r="AT13" s="154"/>
      <c r="AU13" s="154"/>
      <c r="AV13" s="154"/>
      <c r="AW13" s="154"/>
      <c r="AX13" s="154"/>
      <c r="AY13" s="154"/>
      <c r="AZ13" s="154"/>
      <c r="BA13" s="154"/>
      <c r="BB13" s="154"/>
      <c r="BC13" s="154"/>
      <c r="BD13" s="154"/>
      <c r="BE13" s="154"/>
      <c r="BF13" s="154"/>
      <c r="BG13" s="154"/>
      <c r="BH13" s="154"/>
      <c r="BI13" s="154"/>
      <c r="BJ13" s="154"/>
      <c r="BK13" s="154"/>
      <c r="BL13" s="154"/>
      <c r="BM13" s="154"/>
      <c r="BN13" s="154"/>
      <c r="BO13" s="154"/>
      <c r="BP13" s="154"/>
      <c r="BQ13" s="154"/>
      <c r="BR13" s="154"/>
      <c r="BS13" s="154"/>
      <c r="BT13" s="154"/>
      <c r="BU13" s="154"/>
      <c r="BV13" s="154"/>
      <c r="BW13" s="154"/>
      <c r="BX13" s="154"/>
      <c r="BY13" s="154"/>
      <c r="BZ13" s="154"/>
      <c r="CA13" s="154"/>
      <c r="CB13" s="154"/>
      <c r="CC13" s="154"/>
      <c r="CD13" s="154"/>
      <c r="CE13" s="154"/>
      <c r="CF13" s="154"/>
      <c r="CG13" s="154"/>
      <c r="CH13" s="154"/>
      <c r="CI13" s="154"/>
      <c r="CJ13" s="154"/>
      <c r="CK13" s="154"/>
      <c r="CL13" s="154"/>
      <c r="CM13" s="154"/>
      <c r="CN13" s="154"/>
      <c r="CO13" s="154"/>
      <c r="CP13" s="154"/>
      <c r="CQ13" s="154"/>
      <c r="CR13" s="154"/>
      <c r="CS13" s="154"/>
      <c r="CT13" s="154"/>
      <c r="CU13" s="154"/>
      <c r="CV13" s="154"/>
      <c r="CW13" s="154"/>
      <c r="CX13" s="154"/>
      <c r="CY13" s="154"/>
      <c r="CZ13" s="154"/>
      <c r="DA13" s="154"/>
      <c r="DB13" s="154"/>
      <c r="DC13" s="154"/>
      <c r="DD13" s="154"/>
      <c r="DE13" s="154"/>
      <c r="DF13" s="154"/>
      <c r="DG13" s="154"/>
      <c r="DH13" s="154"/>
      <c r="DI13" s="154"/>
      <c r="DJ13" s="154"/>
      <c r="DK13" s="131"/>
      <c r="DL13" s="131"/>
      <c r="DM13" s="131"/>
      <c r="DN13" s="131"/>
      <c r="DO13" s="131"/>
      <c r="DP13" s="131"/>
      <c r="DQ13" s="131"/>
      <c r="DR13" s="131"/>
      <c r="DS13" s="131"/>
      <c r="DT13" s="131"/>
      <c r="DU13" s="131"/>
      <c r="DV13" s="131"/>
      <c r="DW13" s="131"/>
      <c r="DX13" s="157"/>
      <c r="DY13" s="157"/>
      <c r="DZ13" s="157"/>
      <c r="EA13" s="131"/>
      <c r="EB13" s="131"/>
      <c r="EC13" s="131"/>
      <c r="ED13" s="131"/>
      <c r="EE13" s="131"/>
      <c r="EF13" s="131"/>
      <c r="EG13" s="131"/>
      <c r="EH13" s="131"/>
      <c r="EI13" s="131"/>
      <c r="EJ13" s="15"/>
      <c r="EK13" s="15"/>
      <c r="EL13" s="15"/>
      <c r="EM13" s="15"/>
      <c r="EN13" s="16"/>
      <c r="EO13" s="16"/>
      <c r="EP13" s="16"/>
      <c r="EQ13" s="8"/>
      <c r="ER13" s="8"/>
      <c r="ES13" s="8"/>
      <c r="EV13" s="464"/>
      <c r="EW13" s="464"/>
      <c r="EX13" s="259"/>
      <c r="EY13" s="259"/>
      <c r="EZ13" s="259"/>
      <c r="FA13" s="259"/>
      <c r="FB13" s="259"/>
      <c r="FC13" s="259"/>
      <c r="FD13" s="259"/>
      <c r="FE13" s="259"/>
      <c r="FF13" s="259"/>
      <c r="FG13" s="259"/>
      <c r="FH13" s="259"/>
      <c r="FI13" s="259"/>
      <c r="FJ13" s="259"/>
      <c r="FK13" s="259"/>
      <c r="FL13" s="259"/>
      <c r="FM13" s="259"/>
      <c r="FN13" s="259"/>
      <c r="FO13" s="259"/>
      <c r="FP13" s="259"/>
      <c r="FQ13" s="259"/>
      <c r="FR13" s="259"/>
      <c r="FS13" s="259"/>
      <c r="FT13" s="259"/>
      <c r="FU13" s="259"/>
      <c r="FV13" s="259"/>
      <c r="FW13" s="259"/>
      <c r="FX13" s="259"/>
      <c r="FY13" s="259"/>
      <c r="FZ13" s="259"/>
      <c r="GA13" s="259"/>
      <c r="GB13" s="259"/>
      <c r="GC13" s="259"/>
      <c r="GD13" s="259"/>
      <c r="GE13" s="259"/>
      <c r="GF13" s="259"/>
      <c r="GG13" s="259"/>
      <c r="GH13" s="259"/>
      <c r="GI13" s="259"/>
      <c r="GJ13" s="259"/>
      <c r="GK13" s="259"/>
      <c r="GL13" s="259"/>
      <c r="GM13" s="259"/>
      <c r="GN13" s="259"/>
      <c r="GO13" s="259"/>
      <c r="GP13" s="259"/>
      <c r="GQ13" s="259"/>
      <c r="GR13" s="259"/>
      <c r="GS13" s="259"/>
      <c r="GT13" s="259"/>
      <c r="GU13" s="259"/>
      <c r="GV13" s="259"/>
      <c r="GW13" s="259"/>
      <c r="GX13" s="470"/>
      <c r="GY13" s="470"/>
      <c r="GZ13" s="471" t="s">
        <v>215</v>
      </c>
      <c r="HA13" s="472"/>
      <c r="HB13" s="471" t="s">
        <v>14</v>
      </c>
      <c r="HC13" s="472"/>
      <c r="HD13" s="471" t="s">
        <v>216</v>
      </c>
      <c r="HE13" s="472"/>
      <c r="HF13" s="471" t="s">
        <v>12</v>
      </c>
      <c r="HG13" s="472"/>
      <c r="HH13" s="471" t="s">
        <v>15</v>
      </c>
      <c r="HI13" s="472"/>
      <c r="HJ13" s="772" t="s">
        <v>217</v>
      </c>
      <c r="HK13" s="773"/>
      <c r="HL13" s="470"/>
      <c r="HM13" s="470"/>
      <c r="HN13" s="470"/>
      <c r="HO13" s="470"/>
    </row>
    <row r="14" spans="1:223" ht="64.5" customHeight="1" x14ac:dyDescent="0.4">
      <c r="A14" s="13"/>
      <c r="B14" s="13"/>
      <c r="C14" s="14"/>
      <c r="D14" s="156"/>
      <c r="E14" s="156"/>
      <c r="F14" s="156"/>
      <c r="G14" s="156"/>
      <c r="H14" s="154"/>
      <c r="I14" s="154"/>
      <c r="J14" s="154"/>
      <c r="K14" s="154"/>
      <c r="L14" s="154"/>
      <c r="M14" s="154"/>
      <c r="N14" s="154"/>
      <c r="O14" s="154"/>
      <c r="P14" s="154"/>
      <c r="Q14" s="154"/>
      <c r="R14" s="154"/>
      <c r="S14" s="154"/>
      <c r="T14" s="154"/>
      <c r="U14" s="154"/>
      <c r="V14" s="154"/>
      <c r="W14" s="154"/>
      <c r="X14" s="154"/>
      <c r="Y14" s="154"/>
      <c r="Z14" s="154"/>
      <c r="AA14" s="154"/>
      <c r="AB14" s="154"/>
      <c r="AC14" s="154"/>
      <c r="AD14" s="154"/>
      <c r="AE14" s="154"/>
      <c r="AF14" s="154"/>
      <c r="AG14" s="154"/>
      <c r="AH14" s="154"/>
      <c r="AI14" s="154"/>
      <c r="AJ14" s="154"/>
      <c r="AK14" s="154"/>
      <c r="AL14" s="154"/>
      <c r="AM14" s="154"/>
      <c r="AN14" s="154"/>
      <c r="AO14" s="154"/>
      <c r="AP14" s="154"/>
      <c r="AQ14" s="154"/>
      <c r="AR14" s="154"/>
      <c r="AS14" s="154"/>
      <c r="AT14" s="154"/>
      <c r="AU14" s="154"/>
      <c r="AV14" s="154"/>
      <c r="AW14" s="154"/>
      <c r="AX14" s="154"/>
      <c r="AY14" s="154"/>
      <c r="AZ14" s="154"/>
      <c r="BA14" s="154"/>
      <c r="BB14" s="154"/>
      <c r="BC14" s="154"/>
      <c r="BD14" s="154"/>
      <c r="BE14" s="154"/>
      <c r="BF14" s="154"/>
      <c r="BG14" s="154"/>
      <c r="BH14" s="154"/>
      <c r="BI14" s="154"/>
      <c r="BJ14" s="154"/>
      <c r="BK14" s="154"/>
      <c r="BL14" s="154"/>
      <c r="BM14" s="154"/>
      <c r="BN14" s="154"/>
      <c r="BO14" s="154"/>
      <c r="BP14" s="154"/>
      <c r="BQ14" s="154"/>
      <c r="BR14" s="154"/>
      <c r="BS14" s="154"/>
      <c r="BT14" s="154"/>
      <c r="BU14" s="154"/>
      <c r="BV14" s="154"/>
      <c r="BW14" s="154"/>
      <c r="BX14" s="154"/>
      <c r="BY14" s="154"/>
      <c r="BZ14" s="154"/>
      <c r="CA14" s="154"/>
      <c r="CB14" s="154"/>
      <c r="CC14" s="154"/>
      <c r="CD14" s="154"/>
      <c r="CE14" s="154"/>
      <c r="CF14" s="154"/>
      <c r="CG14" s="154"/>
      <c r="CH14" s="154"/>
      <c r="CI14" s="154"/>
      <c r="CJ14" s="154"/>
      <c r="CK14" s="154"/>
      <c r="CL14" s="154"/>
      <c r="CM14" s="154"/>
      <c r="CN14" s="154"/>
      <c r="CO14" s="154"/>
      <c r="CP14" s="154"/>
      <c r="CQ14" s="154"/>
      <c r="CR14" s="154"/>
      <c r="CS14" s="154"/>
      <c r="CT14" s="154"/>
      <c r="CU14" s="154"/>
      <c r="CV14" s="154"/>
      <c r="CW14" s="154"/>
      <c r="CX14" s="154"/>
      <c r="CY14" s="154"/>
      <c r="CZ14" s="154"/>
      <c r="DA14" s="154"/>
      <c r="DB14" s="154"/>
      <c r="DC14" s="154"/>
      <c r="DD14" s="154"/>
      <c r="DE14" s="154"/>
      <c r="DF14" s="154"/>
      <c r="DG14" s="154"/>
      <c r="DH14" s="154"/>
      <c r="DI14" s="154"/>
      <c r="DJ14" s="154"/>
      <c r="DK14" s="131"/>
      <c r="DL14" s="131"/>
      <c r="DM14" s="131"/>
      <c r="DN14" s="131"/>
      <c r="DO14" s="131"/>
      <c r="DP14" s="131"/>
      <c r="DQ14" s="131"/>
      <c r="DR14" s="131"/>
      <c r="DS14" s="131"/>
      <c r="DT14" s="131"/>
      <c r="DU14" s="131"/>
      <c r="DV14" s="131"/>
      <c r="DW14" s="131"/>
      <c r="DX14" s="157"/>
      <c r="DY14" s="157"/>
      <c r="DZ14" s="157"/>
      <c r="EA14" s="131"/>
      <c r="EB14" s="131"/>
      <c r="EC14" s="131"/>
      <c r="ED14" s="131"/>
      <c r="EE14" s="131"/>
      <c r="EF14" s="131"/>
      <c r="EG14" s="131"/>
      <c r="EH14" s="131"/>
      <c r="EI14" s="131"/>
      <c r="EJ14" s="15"/>
      <c r="EK14" s="15"/>
      <c r="EL14" s="15"/>
      <c r="EM14" s="15"/>
      <c r="EN14" s="16"/>
      <c r="EO14" s="16"/>
      <c r="EP14" s="16"/>
      <c r="EQ14" s="8"/>
      <c r="ER14" s="8"/>
      <c r="ES14" s="8"/>
      <c r="EV14" s="464"/>
      <c r="EW14" s="464"/>
      <c r="EX14" s="259"/>
      <c r="EY14" s="259"/>
      <c r="EZ14" s="259"/>
      <c r="FA14" s="259"/>
      <c r="FB14" s="259"/>
      <c r="FC14" s="259"/>
      <c r="FD14" s="259"/>
      <c r="FE14" s="259"/>
      <c r="FF14" s="259"/>
      <c r="FG14" s="259"/>
      <c r="FH14" s="259"/>
      <c r="FI14" s="259"/>
      <c r="FJ14" s="259"/>
      <c r="FK14" s="259"/>
      <c r="FL14" s="259"/>
      <c r="FM14" s="259"/>
      <c r="FN14" s="259"/>
      <c r="FO14" s="259"/>
      <c r="FP14" s="259"/>
      <c r="FQ14" s="259"/>
      <c r="FR14" s="259"/>
      <c r="FS14" s="259"/>
      <c r="FT14" s="259"/>
      <c r="FU14" s="259"/>
      <c r="FV14" s="259"/>
      <c r="FW14" s="259"/>
      <c r="FX14" s="259"/>
      <c r="FY14" s="259"/>
      <c r="FZ14" s="259"/>
      <c r="GA14" s="259"/>
      <c r="GB14" s="259"/>
      <c r="GC14" s="259"/>
      <c r="GD14" s="259"/>
      <c r="GE14" s="259"/>
      <c r="GF14" s="259"/>
      <c r="GG14" s="259"/>
      <c r="GH14" s="259"/>
      <c r="GI14" s="259"/>
      <c r="GJ14" s="259"/>
      <c r="GK14" s="259"/>
      <c r="GL14" s="259"/>
      <c r="GM14" s="259"/>
      <c r="GN14" s="259"/>
      <c r="GO14" s="259"/>
      <c r="GP14" s="259"/>
      <c r="GQ14" s="259"/>
      <c r="GR14" s="259"/>
      <c r="GS14" s="259"/>
      <c r="GT14" s="259"/>
      <c r="GU14" s="259"/>
      <c r="GV14" s="259"/>
      <c r="GW14" s="259"/>
      <c r="GX14" s="470"/>
      <c r="GY14" s="470"/>
      <c r="GZ14" s="473"/>
      <c r="HA14" s="474"/>
      <c r="HB14" s="473"/>
      <c r="HC14" s="474"/>
      <c r="HD14" s="473"/>
      <c r="HE14" s="474"/>
      <c r="HF14" s="473"/>
      <c r="HG14" s="474"/>
      <c r="HH14" s="473"/>
      <c r="HI14" s="474"/>
      <c r="HJ14" s="774"/>
      <c r="HK14" s="775"/>
      <c r="HL14" s="470"/>
      <c r="HM14" s="470"/>
      <c r="HN14" s="470"/>
      <c r="HO14" s="470"/>
    </row>
    <row r="15" spans="1:223" ht="64.5" customHeight="1" x14ac:dyDescent="0.4">
      <c r="A15" s="13"/>
      <c r="B15" s="13"/>
      <c r="C15" s="14"/>
      <c r="D15" s="156"/>
      <c r="E15" s="156"/>
      <c r="F15" s="156"/>
      <c r="G15" s="156"/>
      <c r="H15" s="154"/>
      <c r="I15" s="154"/>
      <c r="J15" s="154"/>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4"/>
      <c r="AX15" s="154"/>
      <c r="AY15" s="154"/>
      <c r="AZ15" s="154"/>
      <c r="BA15" s="154"/>
      <c r="BB15" s="154"/>
      <c r="BC15" s="154"/>
      <c r="BD15" s="154"/>
      <c r="BE15" s="154"/>
      <c r="BF15" s="154"/>
      <c r="BG15" s="154"/>
      <c r="BH15" s="154"/>
      <c r="BI15" s="154"/>
      <c r="BJ15" s="154"/>
      <c r="BK15" s="154"/>
      <c r="BL15" s="154"/>
      <c r="BM15" s="154"/>
      <c r="BN15" s="154"/>
      <c r="BO15" s="154"/>
      <c r="BP15" s="154"/>
      <c r="BQ15" s="154"/>
      <c r="BR15" s="154"/>
      <c r="BS15" s="154"/>
      <c r="BT15" s="154"/>
      <c r="BU15" s="154"/>
      <c r="BV15" s="154"/>
      <c r="BW15" s="154"/>
      <c r="BX15" s="154"/>
      <c r="BY15" s="154"/>
      <c r="BZ15" s="154"/>
      <c r="CA15" s="154"/>
      <c r="CB15" s="154"/>
      <c r="CC15" s="154"/>
      <c r="CD15" s="154"/>
      <c r="CE15" s="154"/>
      <c r="CF15" s="154"/>
      <c r="CG15" s="154"/>
      <c r="CH15" s="154"/>
      <c r="CI15" s="154"/>
      <c r="CJ15" s="154"/>
      <c r="CK15" s="154"/>
      <c r="CL15" s="154"/>
      <c r="CM15" s="154"/>
      <c r="CN15" s="154"/>
      <c r="CO15" s="154"/>
      <c r="CP15" s="154"/>
      <c r="CQ15" s="154"/>
      <c r="CR15" s="154"/>
      <c r="CS15" s="154"/>
      <c r="CT15" s="154"/>
      <c r="CU15" s="154"/>
      <c r="CV15" s="154"/>
      <c r="CW15" s="154"/>
      <c r="CX15" s="154"/>
      <c r="CY15" s="154"/>
      <c r="CZ15" s="154"/>
      <c r="DA15" s="154"/>
      <c r="DB15" s="154"/>
      <c r="DC15" s="154"/>
      <c r="DD15" s="154"/>
      <c r="DE15" s="154"/>
      <c r="DF15" s="154"/>
      <c r="DG15" s="154"/>
      <c r="DH15" s="154"/>
      <c r="DI15" s="154"/>
      <c r="DJ15" s="154"/>
      <c r="DK15" s="131"/>
      <c r="DL15" s="131"/>
      <c r="DM15" s="131"/>
      <c r="DN15" s="131"/>
      <c r="DO15" s="131"/>
      <c r="DP15" s="131"/>
      <c r="DQ15" s="131"/>
      <c r="DR15" s="131"/>
      <c r="DS15" s="131"/>
      <c r="DT15" s="131"/>
      <c r="DU15" s="131"/>
      <c r="DV15" s="131"/>
      <c r="DW15" s="131"/>
      <c r="DX15" s="157"/>
      <c r="DY15" s="157"/>
      <c r="DZ15" s="157"/>
      <c r="EA15" s="131"/>
      <c r="EB15" s="131"/>
      <c r="EC15" s="131"/>
      <c r="ED15" s="131"/>
      <c r="EE15" s="131"/>
      <c r="EF15" s="131"/>
      <c r="EG15" s="131"/>
      <c r="EH15" s="131"/>
      <c r="EI15" s="131"/>
      <c r="EJ15" s="15"/>
      <c r="EK15" s="15"/>
      <c r="EL15" s="15"/>
      <c r="EM15" s="15"/>
      <c r="EN15" s="16"/>
      <c r="EO15" s="16"/>
      <c r="EP15" s="16"/>
      <c r="EQ15" s="8"/>
      <c r="ER15" s="8"/>
      <c r="ES15" s="8"/>
      <c r="EV15" s="464"/>
      <c r="EW15" s="464"/>
      <c r="EX15" s="377" t="s">
        <v>218</v>
      </c>
      <c r="EY15" s="378"/>
      <c r="EZ15" s="378"/>
      <c r="FA15" s="378"/>
      <c r="FB15" s="379"/>
      <c r="FC15" s="377" t="s">
        <v>219</v>
      </c>
      <c r="FD15" s="378"/>
      <c r="FE15" s="378"/>
      <c r="FF15" s="379"/>
      <c r="FG15" s="377" t="s">
        <v>45</v>
      </c>
      <c r="FH15" s="378"/>
      <c r="FI15" s="378"/>
      <c r="FJ15" s="378"/>
      <c r="FK15" s="379"/>
      <c r="FL15" s="377" t="s">
        <v>46</v>
      </c>
      <c r="FM15" s="378"/>
      <c r="FN15" s="378"/>
      <c r="FO15" s="379"/>
      <c r="FP15" s="377" t="s">
        <v>47</v>
      </c>
      <c r="FQ15" s="378"/>
      <c r="FR15" s="378"/>
      <c r="FS15" s="378"/>
      <c r="FT15" s="379"/>
      <c r="FU15" s="377" t="s">
        <v>48</v>
      </c>
      <c r="FV15" s="378"/>
      <c r="FW15" s="378"/>
      <c r="FX15" s="379"/>
      <c r="FY15" s="377" t="s">
        <v>49</v>
      </c>
      <c r="FZ15" s="378"/>
      <c r="GA15" s="378"/>
      <c r="GB15" s="378"/>
      <c r="GC15" s="379"/>
      <c r="GD15" s="377" t="s">
        <v>50</v>
      </c>
      <c r="GE15" s="378"/>
      <c r="GF15" s="378"/>
      <c r="GG15" s="379"/>
      <c r="GH15" s="377" t="s">
        <v>51</v>
      </c>
      <c r="GI15" s="378"/>
      <c r="GJ15" s="378"/>
      <c r="GK15" s="379"/>
      <c r="GL15" s="377" t="s">
        <v>52</v>
      </c>
      <c r="GM15" s="378"/>
      <c r="GN15" s="378"/>
      <c r="GO15" s="379"/>
      <c r="GP15" s="377" t="s">
        <v>220</v>
      </c>
      <c r="GQ15" s="378"/>
      <c r="GR15" s="378"/>
      <c r="GS15" s="379"/>
      <c r="GT15" s="377" t="s">
        <v>53</v>
      </c>
      <c r="GU15" s="378"/>
      <c r="GV15" s="378"/>
      <c r="GW15" s="379"/>
      <c r="GX15" s="470"/>
      <c r="GY15" s="470"/>
      <c r="GZ15" s="473"/>
      <c r="HA15" s="474"/>
      <c r="HB15" s="473"/>
      <c r="HC15" s="474"/>
      <c r="HD15" s="473"/>
      <c r="HE15" s="474"/>
      <c r="HF15" s="473"/>
      <c r="HG15" s="474"/>
      <c r="HH15" s="473"/>
      <c r="HI15" s="474"/>
      <c r="HJ15" s="774"/>
      <c r="HK15" s="775"/>
      <c r="HL15" s="470"/>
      <c r="HM15" s="470"/>
      <c r="HN15" s="470"/>
      <c r="HO15" s="470"/>
    </row>
    <row r="16" spans="1:223" ht="64.5" customHeight="1" x14ac:dyDescent="0.4">
      <c r="A16" s="13"/>
      <c r="B16" s="13"/>
      <c r="C16" s="14"/>
      <c r="D16" s="156"/>
      <c r="E16" s="156"/>
      <c r="F16" s="156"/>
      <c r="G16" s="156"/>
      <c r="H16" s="159"/>
      <c r="I16" s="159"/>
      <c r="J16" s="159"/>
      <c r="K16" s="159"/>
      <c r="L16" s="159"/>
      <c r="M16" s="159"/>
      <c r="N16" s="159"/>
      <c r="O16" s="159"/>
      <c r="P16" s="159"/>
      <c r="Q16" s="159"/>
      <c r="R16" s="159"/>
      <c r="S16" s="159"/>
      <c r="T16" s="159"/>
      <c r="U16" s="159"/>
      <c r="V16" s="159"/>
      <c r="W16" s="159"/>
      <c r="X16" s="159"/>
      <c r="Y16" s="159"/>
      <c r="Z16" s="159"/>
      <c r="AA16" s="159"/>
      <c r="AB16" s="159"/>
      <c r="AC16" s="159"/>
      <c r="AD16" s="159"/>
      <c r="AE16" s="159"/>
      <c r="AF16" s="159"/>
      <c r="AG16" s="159"/>
      <c r="AH16" s="159"/>
      <c r="AI16" s="159"/>
      <c r="AJ16" s="159"/>
      <c r="AK16" s="159"/>
      <c r="AL16" s="159"/>
      <c r="AM16" s="159"/>
      <c r="AN16" s="159"/>
      <c r="AO16" s="159"/>
      <c r="AP16" s="159"/>
      <c r="AQ16" s="159"/>
      <c r="AR16" s="159"/>
      <c r="AS16" s="159"/>
      <c r="AT16" s="159"/>
      <c r="AU16" s="159"/>
      <c r="AV16" s="159"/>
      <c r="AW16" s="159"/>
      <c r="AX16" s="159"/>
      <c r="AY16" s="159"/>
      <c r="AZ16" s="159"/>
      <c r="BA16" s="159"/>
      <c r="BB16" s="159"/>
      <c r="BC16" s="159"/>
      <c r="BD16" s="159"/>
      <c r="BE16" s="159"/>
      <c r="BF16" s="159"/>
      <c r="BG16" s="159"/>
      <c r="BH16" s="159"/>
      <c r="BI16" s="159"/>
      <c r="BJ16" s="159"/>
      <c r="BK16" s="159"/>
      <c r="BL16" s="159"/>
      <c r="BM16" s="159"/>
      <c r="BN16" s="159"/>
      <c r="BO16" s="159"/>
      <c r="BP16" s="159"/>
      <c r="BQ16" s="159"/>
      <c r="BR16" s="159"/>
      <c r="BS16" s="159"/>
      <c r="BT16" s="159"/>
      <c r="BU16" s="159"/>
      <c r="BV16" s="159"/>
      <c r="BW16" s="159"/>
      <c r="BX16" s="159"/>
      <c r="BY16" s="159"/>
      <c r="BZ16" s="159"/>
      <c r="CA16" s="159"/>
      <c r="CB16" s="159"/>
      <c r="CC16" s="159"/>
      <c r="CD16" s="159"/>
      <c r="CE16" s="159"/>
      <c r="CF16" s="159"/>
      <c r="CG16" s="159"/>
      <c r="CH16" s="159"/>
      <c r="CI16" s="159"/>
      <c r="CJ16" s="159"/>
      <c r="CK16" s="159"/>
      <c r="CL16" s="159"/>
      <c r="CM16" s="159"/>
      <c r="CN16" s="159"/>
      <c r="CO16" s="159"/>
      <c r="CP16" s="159"/>
      <c r="CQ16" s="159"/>
      <c r="CR16" s="159"/>
      <c r="CS16" s="159"/>
      <c r="CT16" s="159"/>
      <c r="CU16" s="159"/>
      <c r="CV16" s="159"/>
      <c r="CW16" s="159"/>
      <c r="CX16" s="159"/>
      <c r="CY16" s="159"/>
      <c r="CZ16" s="159"/>
      <c r="DA16" s="159"/>
      <c r="DB16" s="159"/>
      <c r="DC16" s="159"/>
      <c r="DD16" s="159"/>
      <c r="DE16" s="159"/>
      <c r="DF16" s="159"/>
      <c r="DG16" s="159"/>
      <c r="DH16" s="159"/>
      <c r="DI16" s="159"/>
      <c r="DJ16" s="159"/>
      <c r="DK16" s="131"/>
      <c r="DL16" s="131"/>
      <c r="DM16" s="131"/>
      <c r="DN16" s="131"/>
      <c r="DO16" s="131"/>
      <c r="DP16" s="131"/>
      <c r="DQ16" s="131"/>
      <c r="DR16" s="131"/>
      <c r="DS16" s="131"/>
      <c r="DT16" s="131"/>
      <c r="DU16" s="131"/>
      <c r="DV16" s="131"/>
      <c r="DW16" s="131"/>
      <c r="DX16" s="157"/>
      <c r="DY16" s="157"/>
      <c r="DZ16" s="157"/>
      <c r="EA16" s="131"/>
      <c r="EB16" s="131"/>
      <c r="EC16" s="131"/>
      <c r="ED16" s="131"/>
      <c r="EE16" s="131"/>
      <c r="EF16" s="131"/>
      <c r="EG16" s="131"/>
      <c r="EH16" s="131"/>
      <c r="EI16" s="131"/>
      <c r="EJ16" s="15"/>
      <c r="EK16" s="15"/>
      <c r="EL16" s="15"/>
      <c r="EM16" s="15"/>
      <c r="EN16" s="16"/>
      <c r="EO16" s="16"/>
      <c r="EP16" s="16"/>
      <c r="EQ16" s="8"/>
      <c r="ER16" s="8"/>
      <c r="ES16" s="8"/>
      <c r="EV16" s="464"/>
      <c r="EW16" s="464"/>
      <c r="EX16" s="163">
        <v>1</v>
      </c>
      <c r="EY16" s="163">
        <v>2</v>
      </c>
      <c r="EZ16" s="163">
        <v>3</v>
      </c>
      <c r="FA16" s="163">
        <v>4</v>
      </c>
      <c r="FB16" s="163">
        <v>5</v>
      </c>
      <c r="FC16" s="163">
        <v>6</v>
      </c>
      <c r="FD16" s="163">
        <v>7</v>
      </c>
      <c r="FE16" s="163">
        <v>8</v>
      </c>
      <c r="FF16" s="163">
        <v>9</v>
      </c>
      <c r="FG16" s="163">
        <v>10</v>
      </c>
      <c r="FH16" s="163">
        <v>11</v>
      </c>
      <c r="FI16" s="163">
        <v>12</v>
      </c>
      <c r="FJ16" s="163">
        <v>13</v>
      </c>
      <c r="FK16" s="163">
        <v>14</v>
      </c>
      <c r="FL16" s="163">
        <v>15</v>
      </c>
      <c r="FM16" s="163">
        <v>16</v>
      </c>
      <c r="FN16" s="163">
        <v>17</v>
      </c>
      <c r="FO16" s="163">
        <v>18</v>
      </c>
      <c r="FP16" s="163">
        <v>19</v>
      </c>
      <c r="FQ16" s="163">
        <v>20</v>
      </c>
      <c r="FR16" s="163">
        <v>21</v>
      </c>
      <c r="FS16" s="163">
        <v>22</v>
      </c>
      <c r="FT16" s="163">
        <v>23</v>
      </c>
      <c r="FU16" s="163">
        <v>24</v>
      </c>
      <c r="FV16" s="163">
        <v>25</v>
      </c>
      <c r="FW16" s="163">
        <v>26</v>
      </c>
      <c r="FX16" s="163">
        <v>27</v>
      </c>
      <c r="FY16" s="163">
        <v>28</v>
      </c>
      <c r="FZ16" s="163">
        <v>29</v>
      </c>
      <c r="GA16" s="163">
        <v>30</v>
      </c>
      <c r="GB16" s="163">
        <v>31</v>
      </c>
      <c r="GC16" s="163">
        <v>32</v>
      </c>
      <c r="GD16" s="163">
        <v>33</v>
      </c>
      <c r="GE16" s="163">
        <v>34</v>
      </c>
      <c r="GF16" s="163">
        <v>35</v>
      </c>
      <c r="GG16" s="163">
        <v>36</v>
      </c>
      <c r="GH16" s="163">
        <v>37</v>
      </c>
      <c r="GI16" s="163">
        <v>38</v>
      </c>
      <c r="GJ16" s="163">
        <v>39</v>
      </c>
      <c r="GK16" s="163">
        <v>40</v>
      </c>
      <c r="GL16" s="163">
        <v>41</v>
      </c>
      <c r="GM16" s="163">
        <v>42</v>
      </c>
      <c r="GN16" s="163">
        <v>43</v>
      </c>
      <c r="GO16" s="163">
        <v>44</v>
      </c>
      <c r="GP16" s="163">
        <v>45</v>
      </c>
      <c r="GQ16" s="163">
        <v>46</v>
      </c>
      <c r="GR16" s="163">
        <v>47</v>
      </c>
      <c r="GS16" s="163">
        <v>48</v>
      </c>
      <c r="GT16" s="163">
        <v>49</v>
      </c>
      <c r="GU16" s="163">
        <v>50</v>
      </c>
      <c r="GV16" s="163">
        <v>51</v>
      </c>
      <c r="GW16" s="163">
        <v>52</v>
      </c>
      <c r="GX16" s="470"/>
      <c r="GY16" s="470"/>
      <c r="GZ16" s="475"/>
      <c r="HA16" s="476"/>
      <c r="HB16" s="475"/>
      <c r="HC16" s="476"/>
      <c r="HD16" s="475"/>
      <c r="HE16" s="476"/>
      <c r="HF16" s="475"/>
      <c r="HG16" s="476"/>
      <c r="HH16" s="475"/>
      <c r="HI16" s="476"/>
      <c r="HJ16" s="776"/>
      <c r="HK16" s="777"/>
      <c r="HL16" s="470"/>
      <c r="HM16" s="470"/>
      <c r="HN16" s="470"/>
      <c r="HO16" s="470"/>
    </row>
    <row r="17" spans="1:223" ht="60" customHeight="1" x14ac:dyDescent="0.4">
      <c r="A17" s="13"/>
      <c r="B17" s="13"/>
      <c r="C17" s="14"/>
      <c r="D17" s="156"/>
      <c r="E17" s="156"/>
      <c r="F17" s="156"/>
      <c r="G17" s="156"/>
      <c r="H17" s="138"/>
      <c r="I17" s="138"/>
      <c r="J17" s="138"/>
      <c r="K17" s="138"/>
      <c r="L17" s="138"/>
      <c r="M17" s="138"/>
      <c r="N17" s="138"/>
      <c r="O17" s="138"/>
      <c r="P17" s="138"/>
      <c r="Q17" s="138"/>
      <c r="R17" s="138"/>
      <c r="S17" s="138"/>
      <c r="T17" s="138"/>
      <c r="U17" s="138"/>
      <c r="V17" s="138"/>
      <c r="W17" s="138"/>
      <c r="X17" s="138"/>
      <c r="Y17" s="138"/>
      <c r="Z17" s="138"/>
      <c r="AA17" s="138"/>
      <c r="AB17" s="138"/>
      <c r="AC17" s="138"/>
      <c r="AD17" s="138"/>
      <c r="AE17" s="138"/>
      <c r="AF17" s="138"/>
      <c r="AG17" s="138"/>
      <c r="AH17" s="138"/>
      <c r="AI17" s="138"/>
      <c r="AJ17" s="138"/>
      <c r="AK17" s="138"/>
      <c r="AL17" s="138"/>
      <c r="AM17" s="138"/>
      <c r="AN17" s="138"/>
      <c r="AO17" s="138"/>
      <c r="AP17" s="138"/>
      <c r="AQ17" s="138"/>
      <c r="AR17" s="138"/>
      <c r="AS17" s="138"/>
      <c r="AT17" s="138"/>
      <c r="AU17" s="138"/>
      <c r="AV17" s="138"/>
      <c r="AW17" s="138"/>
      <c r="AX17" s="138"/>
      <c r="AY17" s="138"/>
      <c r="AZ17" s="138"/>
      <c r="BA17" s="138"/>
      <c r="BB17" s="138"/>
      <c r="BC17" s="138"/>
      <c r="BD17" s="138"/>
      <c r="BE17" s="138"/>
      <c r="BF17" s="138"/>
      <c r="BG17" s="138"/>
      <c r="BH17" s="138"/>
      <c r="BI17" s="138"/>
      <c r="BJ17" s="138"/>
      <c r="BK17" s="138"/>
      <c r="BL17" s="138"/>
      <c r="BM17" s="138"/>
      <c r="BN17" s="138"/>
      <c r="BO17" s="138"/>
      <c r="BP17" s="138"/>
      <c r="BQ17" s="138"/>
      <c r="BR17" s="138"/>
      <c r="BS17" s="138"/>
      <c r="BT17" s="138"/>
      <c r="BU17" s="138"/>
      <c r="BV17" s="138"/>
      <c r="BW17" s="138"/>
      <c r="BX17" s="138"/>
      <c r="BY17" s="160"/>
      <c r="BZ17" s="160"/>
      <c r="CA17" s="160"/>
      <c r="CB17" s="160"/>
      <c r="CC17" s="160"/>
      <c r="CD17" s="160"/>
      <c r="CE17" s="160"/>
      <c r="CF17" s="160"/>
      <c r="CG17" s="160"/>
      <c r="CH17" s="160"/>
      <c r="CI17" s="160"/>
      <c r="CJ17" s="160"/>
      <c r="CK17" s="160"/>
      <c r="CL17" s="160"/>
      <c r="CM17" s="160"/>
      <c r="CN17" s="160"/>
      <c r="CO17" s="160"/>
      <c r="CP17" s="160"/>
      <c r="CQ17" s="160"/>
      <c r="CR17" s="160"/>
      <c r="CS17" s="160"/>
      <c r="CT17" s="160"/>
      <c r="CU17" s="160"/>
      <c r="CV17" s="160"/>
      <c r="CW17" s="160"/>
      <c r="CX17" s="160"/>
      <c r="CY17" s="160"/>
      <c r="CZ17" s="160"/>
      <c r="DA17" s="160"/>
      <c r="DB17" s="160"/>
      <c r="DC17" s="160"/>
      <c r="DD17" s="160"/>
      <c r="DE17" s="160"/>
      <c r="DF17" s="160"/>
      <c r="DG17" s="160"/>
      <c r="DH17" s="160"/>
      <c r="DI17" s="160"/>
      <c r="DJ17" s="160"/>
      <c r="DK17" s="131"/>
      <c r="DL17" s="131"/>
      <c r="DM17" s="131"/>
      <c r="DN17" s="131"/>
      <c r="DO17" s="131"/>
      <c r="DP17" s="131"/>
      <c r="DQ17" s="131"/>
      <c r="DR17" s="131"/>
      <c r="DS17" s="131"/>
      <c r="DT17" s="131"/>
      <c r="DU17" s="131"/>
      <c r="DV17" s="131"/>
      <c r="DW17" s="131"/>
      <c r="DX17" s="157"/>
      <c r="DY17" s="157"/>
      <c r="DZ17" s="157"/>
      <c r="EA17" s="131"/>
      <c r="EB17" s="131"/>
      <c r="EC17" s="131"/>
      <c r="ED17" s="131"/>
      <c r="EE17" s="131"/>
      <c r="EF17" s="131"/>
      <c r="EG17" s="131"/>
      <c r="EH17" s="131"/>
      <c r="EI17" s="131"/>
      <c r="EJ17" s="15"/>
      <c r="EK17" s="15"/>
      <c r="EL17" s="15"/>
      <c r="EM17" s="15"/>
      <c r="EN17" s="16"/>
      <c r="EO17" s="16"/>
      <c r="EP17" s="16"/>
      <c r="EQ17" s="8"/>
      <c r="ER17" s="8"/>
      <c r="ES17" s="8"/>
      <c r="EV17" s="465" t="s">
        <v>0</v>
      </c>
      <c r="EW17" s="465"/>
      <c r="EX17" s="155"/>
      <c r="EY17" s="155"/>
      <c r="EZ17" s="155"/>
      <c r="FA17" s="155"/>
      <c r="FB17" s="155"/>
      <c r="FC17" s="155"/>
      <c r="FD17" s="155"/>
      <c r="FE17" s="155"/>
      <c r="FF17" s="155"/>
      <c r="FG17" s="155"/>
      <c r="FH17" s="155"/>
      <c r="FI17" s="155"/>
      <c r="FJ17" s="155"/>
      <c r="FK17" s="155"/>
      <c r="FL17" s="155"/>
      <c r="FM17" s="155"/>
      <c r="FN17" s="155" t="s">
        <v>54</v>
      </c>
      <c r="FO17" s="155" t="s">
        <v>54</v>
      </c>
      <c r="FP17" s="155" t="s">
        <v>44</v>
      </c>
      <c r="FQ17" s="155" t="s">
        <v>176</v>
      </c>
      <c r="FR17" s="155" t="s">
        <v>176</v>
      </c>
      <c r="FS17" s="155" t="s">
        <v>176</v>
      </c>
      <c r="FT17" s="155" t="s">
        <v>55</v>
      </c>
      <c r="FU17" s="155" t="s">
        <v>55</v>
      </c>
      <c r="FV17" s="155"/>
      <c r="FW17" s="155"/>
      <c r="FX17" s="155"/>
      <c r="FY17" s="155"/>
      <c r="FZ17" s="155"/>
      <c r="GA17" s="155"/>
      <c r="GB17" s="155"/>
      <c r="GC17" s="155"/>
      <c r="GD17" s="155"/>
      <c r="GE17" s="155"/>
      <c r="GF17" s="155"/>
      <c r="GG17" s="155"/>
      <c r="GH17" s="155"/>
      <c r="GI17" s="155"/>
      <c r="GJ17" s="155"/>
      <c r="GK17" s="155"/>
      <c r="GL17" s="155" t="s">
        <v>176</v>
      </c>
      <c r="GM17" s="155" t="s">
        <v>176</v>
      </c>
      <c r="GN17" s="155" t="s">
        <v>176</v>
      </c>
      <c r="GO17" s="155" t="s">
        <v>55</v>
      </c>
      <c r="GP17" s="155" t="s">
        <v>55</v>
      </c>
      <c r="GQ17" s="155"/>
      <c r="GR17" s="155"/>
      <c r="GS17" s="155"/>
      <c r="GT17" s="155"/>
      <c r="GU17" s="155"/>
      <c r="GV17" s="155"/>
      <c r="GW17" s="155"/>
      <c r="GX17" s="377">
        <f>SUM(GZ17:HK17)</f>
        <v>36</v>
      </c>
      <c r="GY17" s="379"/>
      <c r="GZ17" s="377">
        <v>30</v>
      </c>
      <c r="HA17" s="379"/>
      <c r="HB17" s="377">
        <v>4</v>
      </c>
      <c r="HC17" s="379"/>
      <c r="HD17" s="377">
        <v>2</v>
      </c>
      <c r="HE17" s="379"/>
      <c r="HF17" s="377">
        <v>0</v>
      </c>
      <c r="HG17" s="379"/>
      <c r="HH17" s="377">
        <v>0</v>
      </c>
      <c r="HI17" s="379"/>
      <c r="HJ17" s="377">
        <v>0</v>
      </c>
      <c r="HK17" s="379"/>
      <c r="HL17" s="377">
        <v>16</v>
      </c>
      <c r="HM17" s="379"/>
      <c r="HN17" s="357">
        <f>GX17+HL17</f>
        <v>52</v>
      </c>
      <c r="HO17" s="357"/>
    </row>
    <row r="18" spans="1:223" ht="60" customHeight="1" x14ac:dyDescent="0.4">
      <c r="A18" s="13"/>
      <c r="B18" s="13"/>
      <c r="C18" s="14"/>
      <c r="D18" s="138"/>
      <c r="E18" s="138"/>
      <c r="F18" s="138"/>
      <c r="G18" s="138"/>
      <c r="H18" s="159"/>
      <c r="I18" s="159"/>
      <c r="J18" s="159"/>
      <c r="K18" s="159"/>
      <c r="L18" s="159"/>
      <c r="M18" s="159"/>
      <c r="N18" s="159"/>
      <c r="O18" s="159"/>
      <c r="P18" s="159"/>
      <c r="Q18" s="159"/>
      <c r="R18" s="159"/>
      <c r="S18" s="159"/>
      <c r="T18" s="159"/>
      <c r="U18" s="159"/>
      <c r="V18" s="159"/>
      <c r="W18" s="159"/>
      <c r="X18" s="159"/>
      <c r="Y18" s="159"/>
      <c r="Z18" s="159"/>
      <c r="AA18" s="159"/>
      <c r="AB18" s="159"/>
      <c r="AC18" s="159"/>
      <c r="AD18" s="159"/>
      <c r="AE18" s="159"/>
      <c r="AF18" s="159"/>
      <c r="AG18" s="159"/>
      <c r="AH18" s="159"/>
      <c r="AI18" s="159"/>
      <c r="AJ18" s="159"/>
      <c r="AK18" s="159"/>
      <c r="AL18" s="159"/>
      <c r="AM18" s="159"/>
      <c r="AN18" s="159"/>
      <c r="AO18" s="159"/>
      <c r="AP18" s="159"/>
      <c r="AQ18" s="159"/>
      <c r="AR18" s="159"/>
      <c r="AS18" s="159"/>
      <c r="AT18" s="159"/>
      <c r="AU18" s="159"/>
      <c r="AV18" s="159"/>
      <c r="AW18" s="159"/>
      <c r="AX18" s="159"/>
      <c r="AY18" s="159"/>
      <c r="AZ18" s="159"/>
      <c r="BA18" s="159"/>
      <c r="BB18" s="159"/>
      <c r="BC18" s="159"/>
      <c r="BD18" s="159"/>
      <c r="BE18" s="159"/>
      <c r="BF18" s="159"/>
      <c r="BG18" s="159"/>
      <c r="BH18" s="159"/>
      <c r="BI18" s="159"/>
      <c r="BJ18" s="159"/>
      <c r="BK18" s="159"/>
      <c r="BL18" s="159"/>
      <c r="BM18" s="159"/>
      <c r="BN18" s="159"/>
      <c r="BO18" s="159"/>
      <c r="BP18" s="159"/>
      <c r="BQ18" s="159"/>
      <c r="BR18" s="159"/>
      <c r="BS18" s="159"/>
      <c r="BT18" s="159"/>
      <c r="BU18" s="159"/>
      <c r="BV18" s="159"/>
      <c r="BW18" s="159"/>
      <c r="BX18" s="159"/>
      <c r="BY18" s="159"/>
      <c r="BZ18" s="159"/>
      <c r="CA18" s="159"/>
      <c r="CB18" s="159"/>
      <c r="CC18" s="159"/>
      <c r="CD18" s="159"/>
      <c r="CE18" s="159"/>
      <c r="CF18" s="159"/>
      <c r="CG18" s="159"/>
      <c r="CH18" s="159"/>
      <c r="CI18" s="159"/>
      <c r="CJ18" s="159"/>
      <c r="CK18" s="159"/>
      <c r="CL18" s="159"/>
      <c r="CM18" s="159"/>
      <c r="CN18" s="159"/>
      <c r="CO18" s="159"/>
      <c r="CP18" s="159"/>
      <c r="CQ18" s="159"/>
      <c r="CR18" s="159"/>
      <c r="CS18" s="159"/>
      <c r="CT18" s="159"/>
      <c r="CU18" s="159"/>
      <c r="CV18" s="159"/>
      <c r="CW18" s="159"/>
      <c r="CX18" s="159"/>
      <c r="CY18" s="159"/>
      <c r="CZ18" s="159"/>
      <c r="DA18" s="159"/>
      <c r="DB18" s="159"/>
      <c r="DC18" s="159"/>
      <c r="DD18" s="159"/>
      <c r="DE18" s="159"/>
      <c r="DF18" s="159"/>
      <c r="DG18" s="159"/>
      <c r="DH18" s="159"/>
      <c r="DI18" s="159"/>
      <c r="DJ18" s="159"/>
      <c r="DK18" s="138"/>
      <c r="DL18" s="138"/>
      <c r="DM18" s="138"/>
      <c r="DN18" s="138"/>
      <c r="DO18" s="139"/>
      <c r="DP18" s="139"/>
      <c r="DQ18" s="139"/>
      <c r="DR18" s="139"/>
      <c r="DS18" s="139"/>
      <c r="DT18" s="139"/>
      <c r="DU18" s="139"/>
      <c r="DV18" s="139"/>
      <c r="DW18" s="139"/>
      <c r="DX18" s="139"/>
      <c r="DY18" s="139"/>
      <c r="DZ18" s="139"/>
      <c r="EA18" s="139"/>
      <c r="EB18" s="139"/>
      <c r="EC18" s="139"/>
      <c r="ED18" s="138"/>
      <c r="EE18" s="138"/>
      <c r="EF18" s="138"/>
      <c r="EG18" s="138"/>
      <c r="EH18" s="138"/>
      <c r="EI18" s="138"/>
      <c r="EJ18" s="15"/>
      <c r="EK18" s="15"/>
      <c r="EL18" s="15"/>
      <c r="EM18" s="15"/>
      <c r="EN18" s="16"/>
      <c r="EO18" s="16"/>
      <c r="EP18" s="16"/>
      <c r="EQ18" s="8"/>
      <c r="ER18" s="8"/>
      <c r="ES18" s="8"/>
      <c r="EV18" s="465" t="s">
        <v>1</v>
      </c>
      <c r="EW18" s="465"/>
      <c r="EX18" s="155"/>
      <c r="EY18" s="155"/>
      <c r="EZ18" s="155"/>
      <c r="FA18" s="155"/>
      <c r="FB18" s="155"/>
      <c r="FC18" s="155"/>
      <c r="FD18" s="155"/>
      <c r="FE18" s="155"/>
      <c r="FF18" s="155"/>
      <c r="FG18" s="155"/>
      <c r="FH18" s="155"/>
      <c r="FI18" s="155"/>
      <c r="FJ18" s="155" t="s">
        <v>44</v>
      </c>
      <c r="FK18" s="155" t="s">
        <v>176</v>
      </c>
      <c r="FL18" s="155" t="s">
        <v>176</v>
      </c>
      <c r="FM18" s="155" t="s">
        <v>176</v>
      </c>
      <c r="FN18" s="155" t="s">
        <v>54</v>
      </c>
      <c r="FO18" s="155" t="s">
        <v>54</v>
      </c>
      <c r="FP18" s="155" t="s">
        <v>55</v>
      </c>
      <c r="FQ18" s="155"/>
      <c r="FR18" s="155"/>
      <c r="FS18" s="155"/>
      <c r="FT18" s="155"/>
      <c r="FU18" s="155"/>
      <c r="FV18" s="155"/>
      <c r="FW18" s="155"/>
      <c r="FX18" s="155"/>
      <c r="FY18" s="155"/>
      <c r="FZ18" s="155"/>
      <c r="GA18" s="155"/>
      <c r="GB18" s="155"/>
      <c r="GC18" s="155"/>
      <c r="GD18" s="155"/>
      <c r="GE18" s="155"/>
      <c r="GF18" s="155"/>
      <c r="GG18" s="155"/>
      <c r="GH18" s="155"/>
      <c r="GI18" s="155" t="s">
        <v>176</v>
      </c>
      <c r="GJ18" s="155" t="s">
        <v>176</v>
      </c>
      <c r="GK18" s="155" t="s">
        <v>176</v>
      </c>
      <c r="GL18" s="155" t="s">
        <v>55</v>
      </c>
      <c r="GM18" s="155" t="s">
        <v>56</v>
      </c>
      <c r="GN18" s="155" t="s">
        <v>56</v>
      </c>
      <c r="GO18" s="155" t="s">
        <v>56</v>
      </c>
      <c r="GP18" s="155" t="s">
        <v>56</v>
      </c>
      <c r="GQ18" s="155"/>
      <c r="GR18" s="155"/>
      <c r="GS18" s="155"/>
      <c r="GT18" s="155"/>
      <c r="GU18" s="155"/>
      <c r="GV18" s="155"/>
      <c r="GW18" s="155"/>
      <c r="GX18" s="377">
        <f>SUM(GZ18:HK18)</f>
        <v>35</v>
      </c>
      <c r="GY18" s="379"/>
      <c r="GZ18" s="377">
        <v>0</v>
      </c>
      <c r="HA18" s="379"/>
      <c r="HB18" s="377">
        <v>4</v>
      </c>
      <c r="HC18" s="379"/>
      <c r="HD18" s="377">
        <v>1</v>
      </c>
      <c r="HE18" s="379"/>
      <c r="HF18" s="377">
        <v>0</v>
      </c>
      <c r="HG18" s="379"/>
      <c r="HH18" s="377">
        <v>0</v>
      </c>
      <c r="HI18" s="379"/>
      <c r="HJ18" s="377">
        <v>30</v>
      </c>
      <c r="HK18" s="379"/>
      <c r="HL18" s="377">
        <v>17</v>
      </c>
      <c r="HM18" s="379"/>
      <c r="HN18" s="357">
        <f>GX18+HL18</f>
        <v>52</v>
      </c>
      <c r="HO18" s="357"/>
    </row>
    <row r="19" spans="1:223" ht="60" customHeight="1" x14ac:dyDescent="0.4">
      <c r="A19" s="13"/>
      <c r="B19" s="13"/>
      <c r="C19" s="14"/>
      <c r="D19" s="138"/>
      <c r="E19" s="138"/>
      <c r="F19" s="138"/>
      <c r="G19" s="138"/>
      <c r="H19" s="159"/>
      <c r="I19" s="159"/>
      <c r="J19" s="159"/>
      <c r="K19" s="159"/>
      <c r="L19" s="159"/>
      <c r="M19" s="159"/>
      <c r="N19" s="159"/>
      <c r="O19" s="159"/>
      <c r="P19" s="159"/>
      <c r="Q19" s="159"/>
      <c r="R19" s="159"/>
      <c r="S19" s="159"/>
      <c r="T19" s="159"/>
      <c r="U19" s="159"/>
      <c r="V19" s="159"/>
      <c r="W19" s="159"/>
      <c r="X19" s="159"/>
      <c r="Y19" s="159"/>
      <c r="Z19" s="159"/>
      <c r="AA19" s="159"/>
      <c r="AB19" s="159"/>
      <c r="AC19" s="159"/>
      <c r="AD19" s="159"/>
      <c r="AE19" s="159"/>
      <c r="AF19" s="159"/>
      <c r="AG19" s="159"/>
      <c r="AH19" s="159"/>
      <c r="AI19" s="159"/>
      <c r="AJ19" s="159"/>
      <c r="AK19" s="159"/>
      <c r="AL19" s="159"/>
      <c r="AM19" s="159"/>
      <c r="AN19" s="159"/>
      <c r="AO19" s="159"/>
      <c r="AP19" s="159"/>
      <c r="AQ19" s="159"/>
      <c r="AR19" s="159"/>
      <c r="AS19" s="159"/>
      <c r="AT19" s="159"/>
      <c r="AU19" s="159"/>
      <c r="AV19" s="159"/>
      <c r="AW19" s="159"/>
      <c r="AX19" s="159"/>
      <c r="AY19" s="159"/>
      <c r="AZ19" s="159"/>
      <c r="BA19" s="159"/>
      <c r="BB19" s="159"/>
      <c r="BC19" s="159"/>
      <c r="BD19" s="159"/>
      <c r="BE19" s="159"/>
      <c r="BF19" s="159"/>
      <c r="BG19" s="159"/>
      <c r="BH19" s="159"/>
      <c r="BI19" s="159"/>
      <c r="BJ19" s="159"/>
      <c r="BK19" s="159"/>
      <c r="BL19" s="159"/>
      <c r="BM19" s="159"/>
      <c r="BN19" s="159"/>
      <c r="BO19" s="159"/>
      <c r="BP19" s="159"/>
      <c r="BQ19" s="159"/>
      <c r="BR19" s="159"/>
      <c r="BS19" s="159"/>
      <c r="BT19" s="159"/>
      <c r="BU19" s="159"/>
      <c r="BV19" s="159"/>
      <c r="BW19" s="159"/>
      <c r="BX19" s="159"/>
      <c r="BY19" s="159"/>
      <c r="BZ19" s="159"/>
      <c r="CA19" s="159"/>
      <c r="CB19" s="159"/>
      <c r="CC19" s="159"/>
      <c r="CD19" s="159"/>
      <c r="CE19" s="159"/>
      <c r="CF19" s="159"/>
      <c r="CG19" s="159"/>
      <c r="CH19" s="159"/>
      <c r="CI19" s="159"/>
      <c r="CJ19" s="159"/>
      <c r="CK19" s="159"/>
      <c r="CL19" s="159"/>
      <c r="CM19" s="159"/>
      <c r="CN19" s="159"/>
      <c r="CO19" s="159"/>
      <c r="CP19" s="159"/>
      <c r="CQ19" s="159"/>
      <c r="CR19" s="159"/>
      <c r="CS19" s="159"/>
      <c r="CT19" s="159"/>
      <c r="CU19" s="159"/>
      <c r="CV19" s="159"/>
      <c r="CW19" s="159"/>
      <c r="CX19" s="159"/>
      <c r="CY19" s="159"/>
      <c r="CZ19" s="159"/>
      <c r="DA19" s="159"/>
      <c r="DB19" s="159"/>
      <c r="DC19" s="159"/>
      <c r="DD19" s="159"/>
      <c r="DE19" s="159"/>
      <c r="DF19" s="159"/>
      <c r="DG19" s="159"/>
      <c r="DH19" s="159"/>
      <c r="DI19" s="159"/>
      <c r="DJ19" s="159"/>
      <c r="DK19" s="138"/>
      <c r="DL19" s="138"/>
      <c r="DM19" s="138"/>
      <c r="DN19" s="138"/>
      <c r="DO19" s="139"/>
      <c r="DP19" s="139"/>
      <c r="DQ19" s="139"/>
      <c r="DR19" s="139"/>
      <c r="DS19" s="139"/>
      <c r="DT19" s="139"/>
      <c r="DU19" s="139"/>
      <c r="DV19" s="139"/>
      <c r="DW19" s="139"/>
      <c r="DX19" s="139"/>
      <c r="DY19" s="139"/>
      <c r="DZ19" s="139"/>
      <c r="EA19" s="139"/>
      <c r="EB19" s="139"/>
      <c r="EC19" s="139"/>
      <c r="ED19" s="138"/>
      <c r="EE19" s="138"/>
      <c r="EF19" s="138"/>
      <c r="EG19" s="138"/>
      <c r="EH19" s="138"/>
      <c r="EI19" s="138"/>
      <c r="EJ19" s="15"/>
      <c r="EK19" s="15"/>
      <c r="EL19" s="15"/>
      <c r="EM19" s="15"/>
      <c r="EN19" s="16"/>
      <c r="EO19" s="16"/>
      <c r="EP19" s="3"/>
      <c r="EQ19" s="8"/>
      <c r="ER19" s="8"/>
      <c r="ES19" s="8"/>
      <c r="EV19" s="465" t="s">
        <v>177</v>
      </c>
      <c r="EW19" s="465"/>
      <c r="EX19" s="155"/>
      <c r="EY19" s="155"/>
      <c r="EZ19" s="155"/>
      <c r="FA19" s="155"/>
      <c r="FB19" s="155"/>
      <c r="FC19" s="155"/>
      <c r="FD19" s="155"/>
      <c r="FE19" s="155"/>
      <c r="FF19" s="155"/>
      <c r="FG19" s="155"/>
      <c r="FH19" s="155"/>
      <c r="FI19" s="155"/>
      <c r="FJ19" s="155" t="s">
        <v>44</v>
      </c>
      <c r="FK19" s="155" t="s">
        <v>176</v>
      </c>
      <c r="FL19" s="155" t="s">
        <v>176</v>
      </c>
      <c r="FM19" s="155" t="s">
        <v>176</v>
      </c>
      <c r="FN19" s="155" t="s">
        <v>54</v>
      </c>
      <c r="FO19" s="155" t="s">
        <v>54</v>
      </c>
      <c r="FP19" s="155" t="s">
        <v>55</v>
      </c>
      <c r="FQ19" s="155"/>
      <c r="FR19" s="155"/>
      <c r="FS19" s="155"/>
      <c r="FT19" s="155"/>
      <c r="FU19" s="155"/>
      <c r="FV19" s="155"/>
      <c r="FW19" s="155"/>
      <c r="FX19" s="155"/>
      <c r="FY19" s="155"/>
      <c r="FZ19" s="155"/>
      <c r="GA19" s="155"/>
      <c r="GB19" s="155"/>
      <c r="GC19" s="155"/>
      <c r="GD19" s="155"/>
      <c r="GE19" s="155"/>
      <c r="GF19" s="155"/>
      <c r="GG19" s="155"/>
      <c r="GH19" s="155"/>
      <c r="GI19" s="155" t="s">
        <v>176</v>
      </c>
      <c r="GJ19" s="155" t="s">
        <v>176</v>
      </c>
      <c r="GK19" s="155" t="s">
        <v>176</v>
      </c>
      <c r="GL19" s="155" t="s">
        <v>55</v>
      </c>
      <c r="GM19" s="155" t="s">
        <v>56</v>
      </c>
      <c r="GN19" s="155" t="s">
        <v>56</v>
      </c>
      <c r="GO19" s="155"/>
      <c r="GP19" s="155"/>
      <c r="GQ19" s="155"/>
      <c r="GR19" s="155"/>
      <c r="GS19" s="155"/>
      <c r="GT19" s="155"/>
      <c r="GU19" s="155"/>
      <c r="GV19" s="155"/>
      <c r="GW19" s="155"/>
      <c r="GX19" s="377">
        <f>SUM(GZ19:HK19)</f>
        <v>35</v>
      </c>
      <c r="GY19" s="379"/>
      <c r="GZ19" s="377">
        <v>0</v>
      </c>
      <c r="HA19" s="379"/>
      <c r="HB19" s="377">
        <v>4</v>
      </c>
      <c r="HC19" s="379"/>
      <c r="HD19" s="377">
        <v>1</v>
      </c>
      <c r="HE19" s="379"/>
      <c r="HF19" s="377">
        <v>0</v>
      </c>
      <c r="HG19" s="379"/>
      <c r="HH19" s="377">
        <v>0</v>
      </c>
      <c r="HI19" s="379"/>
      <c r="HJ19" s="377">
        <v>30</v>
      </c>
      <c r="HK19" s="379"/>
      <c r="HL19" s="377">
        <v>17</v>
      </c>
      <c r="HM19" s="379"/>
      <c r="HN19" s="357">
        <f>GX19+HL19</f>
        <v>52</v>
      </c>
      <c r="HO19" s="357"/>
    </row>
    <row r="20" spans="1:223" ht="60" customHeight="1" x14ac:dyDescent="0.4">
      <c r="A20" s="13"/>
      <c r="B20" s="13"/>
      <c r="C20" s="14"/>
      <c r="D20" s="138"/>
      <c r="E20" s="138"/>
      <c r="F20" s="138"/>
      <c r="G20" s="138"/>
      <c r="H20" s="159"/>
      <c r="I20" s="159"/>
      <c r="J20" s="159"/>
      <c r="K20" s="159"/>
      <c r="L20" s="159"/>
      <c r="M20" s="159"/>
      <c r="N20" s="159"/>
      <c r="O20" s="159"/>
      <c r="P20" s="159"/>
      <c r="Q20" s="159"/>
      <c r="R20" s="159"/>
      <c r="S20" s="159"/>
      <c r="T20" s="159"/>
      <c r="U20" s="159"/>
      <c r="V20" s="159"/>
      <c r="W20" s="159"/>
      <c r="X20" s="159"/>
      <c r="Y20" s="159"/>
      <c r="Z20" s="159"/>
      <c r="AA20" s="159"/>
      <c r="AB20" s="159"/>
      <c r="AC20" s="159"/>
      <c r="AD20" s="159"/>
      <c r="AE20" s="159"/>
      <c r="AF20" s="159"/>
      <c r="AG20" s="159"/>
      <c r="AH20" s="159"/>
      <c r="AI20" s="159"/>
      <c r="AJ20" s="159"/>
      <c r="AK20" s="159"/>
      <c r="AL20" s="159"/>
      <c r="AM20" s="159"/>
      <c r="AN20" s="159"/>
      <c r="AO20" s="159"/>
      <c r="AP20" s="159"/>
      <c r="AQ20" s="159"/>
      <c r="AR20" s="159"/>
      <c r="AS20" s="159"/>
      <c r="AT20" s="159"/>
      <c r="AU20" s="159"/>
      <c r="AV20" s="159"/>
      <c r="AW20" s="159"/>
      <c r="AX20" s="159"/>
      <c r="AY20" s="159"/>
      <c r="AZ20" s="159"/>
      <c r="BA20" s="159"/>
      <c r="BB20" s="159"/>
      <c r="BC20" s="159"/>
      <c r="BD20" s="159"/>
      <c r="BE20" s="159"/>
      <c r="BF20" s="159"/>
      <c r="BG20" s="159"/>
      <c r="BH20" s="159"/>
      <c r="BI20" s="159"/>
      <c r="BJ20" s="159"/>
      <c r="BK20" s="159"/>
      <c r="BL20" s="159"/>
      <c r="BM20" s="159"/>
      <c r="BN20" s="159"/>
      <c r="BO20" s="159"/>
      <c r="BP20" s="159"/>
      <c r="BQ20" s="159"/>
      <c r="BR20" s="159"/>
      <c r="BS20" s="159"/>
      <c r="BT20" s="159"/>
      <c r="BU20" s="159"/>
      <c r="BV20" s="159"/>
      <c r="BW20" s="159"/>
      <c r="BX20" s="159"/>
      <c r="BY20" s="159"/>
      <c r="BZ20" s="159"/>
      <c r="CA20" s="159"/>
      <c r="CB20" s="159"/>
      <c r="CC20" s="159"/>
      <c r="CD20" s="159"/>
      <c r="CE20" s="159"/>
      <c r="CF20" s="159"/>
      <c r="CG20" s="159"/>
      <c r="CH20" s="159"/>
      <c r="CI20" s="159"/>
      <c r="CJ20" s="159"/>
      <c r="CK20" s="159"/>
      <c r="CL20" s="159"/>
      <c r="CM20" s="159"/>
      <c r="CN20" s="159"/>
      <c r="CO20" s="159"/>
      <c r="CP20" s="159"/>
      <c r="CQ20" s="159"/>
      <c r="CR20" s="159"/>
      <c r="CS20" s="159"/>
      <c r="CT20" s="159"/>
      <c r="CU20" s="159"/>
      <c r="CV20" s="159"/>
      <c r="CW20" s="159"/>
      <c r="CX20" s="159"/>
      <c r="CY20" s="159"/>
      <c r="CZ20" s="159"/>
      <c r="DA20" s="159"/>
      <c r="DB20" s="159"/>
      <c r="DC20" s="159"/>
      <c r="DD20" s="159"/>
      <c r="DE20" s="159"/>
      <c r="DF20" s="159"/>
      <c r="DG20" s="159"/>
      <c r="DH20" s="159"/>
      <c r="DI20" s="159"/>
      <c r="DJ20" s="159"/>
      <c r="DK20" s="138"/>
      <c r="DL20" s="138"/>
      <c r="DM20" s="138"/>
      <c r="DN20" s="138"/>
      <c r="DO20" s="139"/>
      <c r="DP20" s="139"/>
      <c r="DQ20" s="139"/>
      <c r="DR20" s="139"/>
      <c r="DS20" s="139"/>
      <c r="DT20" s="139"/>
      <c r="DU20" s="139"/>
      <c r="DV20" s="139"/>
      <c r="DW20" s="139"/>
      <c r="DX20" s="139"/>
      <c r="DY20" s="139"/>
      <c r="DZ20" s="139"/>
      <c r="EA20" s="139"/>
      <c r="EB20" s="139"/>
      <c r="EC20" s="139"/>
      <c r="ED20" s="138"/>
      <c r="EE20" s="138"/>
      <c r="EF20" s="138"/>
      <c r="EG20" s="138"/>
      <c r="EH20" s="138"/>
      <c r="EI20" s="138"/>
      <c r="EJ20" s="15"/>
      <c r="EK20" s="15"/>
      <c r="EL20" s="15"/>
      <c r="EM20" s="15"/>
      <c r="EN20" s="16"/>
      <c r="EO20" s="16"/>
      <c r="EP20" s="3"/>
      <c r="EQ20" s="8"/>
      <c r="ER20" s="8"/>
      <c r="ES20" s="8"/>
      <c r="EV20" s="465" t="s">
        <v>2</v>
      </c>
      <c r="EW20" s="465"/>
      <c r="EX20" s="155"/>
      <c r="EY20" s="155"/>
      <c r="EZ20" s="155"/>
      <c r="FA20" s="155"/>
      <c r="FB20" s="155"/>
      <c r="FC20" s="155"/>
      <c r="FD20" s="155"/>
      <c r="FE20" s="155"/>
      <c r="FF20" s="155"/>
      <c r="FG20" s="155"/>
      <c r="FH20" s="155"/>
      <c r="FI20" s="155"/>
      <c r="FJ20" s="155" t="s">
        <v>44</v>
      </c>
      <c r="FK20" s="155" t="s">
        <v>176</v>
      </c>
      <c r="FL20" s="155" t="s">
        <v>176</v>
      </c>
      <c r="FM20" s="155" t="s">
        <v>176</v>
      </c>
      <c r="FN20" s="155" t="s">
        <v>54</v>
      </c>
      <c r="FO20" s="155" t="s">
        <v>54</v>
      </c>
      <c r="FP20" s="155" t="s">
        <v>55</v>
      </c>
      <c r="FQ20" s="155"/>
      <c r="FR20" s="155"/>
      <c r="FS20" s="155"/>
      <c r="FT20" s="155"/>
      <c r="FU20" s="155"/>
      <c r="FV20" s="155"/>
      <c r="FW20" s="155"/>
      <c r="FX20" s="155"/>
      <c r="FY20" s="155"/>
      <c r="FZ20" s="155"/>
      <c r="GA20" s="155"/>
      <c r="GB20" s="155"/>
      <c r="GC20" s="155"/>
      <c r="GD20" s="155"/>
      <c r="GE20" s="155"/>
      <c r="GF20" s="155"/>
      <c r="GG20" s="155"/>
      <c r="GH20" s="155"/>
      <c r="GI20" s="155" t="s">
        <v>176</v>
      </c>
      <c r="GJ20" s="155" t="s">
        <v>176</v>
      </c>
      <c r="GK20" s="155" t="s">
        <v>176</v>
      </c>
      <c r="GL20" s="155" t="s">
        <v>55</v>
      </c>
      <c r="GM20" s="155" t="s">
        <v>56</v>
      </c>
      <c r="GN20" s="155" t="s">
        <v>56</v>
      </c>
      <c r="GO20" s="155" t="s">
        <v>56</v>
      </c>
      <c r="GP20" s="155" t="s">
        <v>56</v>
      </c>
      <c r="GQ20" s="155"/>
      <c r="GR20" s="155"/>
      <c r="GS20" s="155"/>
      <c r="GT20" s="155"/>
      <c r="GU20" s="155"/>
      <c r="GV20" s="155"/>
      <c r="GW20" s="155"/>
      <c r="GX20" s="377">
        <f>SUM(GZ20:HK20)</f>
        <v>35</v>
      </c>
      <c r="GY20" s="379"/>
      <c r="GZ20" s="377">
        <v>0</v>
      </c>
      <c r="HA20" s="379"/>
      <c r="HB20" s="377">
        <v>4</v>
      </c>
      <c r="HC20" s="379"/>
      <c r="HD20" s="377">
        <v>1</v>
      </c>
      <c r="HE20" s="379"/>
      <c r="HF20" s="377">
        <v>0</v>
      </c>
      <c r="HG20" s="379"/>
      <c r="HH20" s="377">
        <v>0</v>
      </c>
      <c r="HI20" s="379"/>
      <c r="HJ20" s="377">
        <v>30</v>
      </c>
      <c r="HK20" s="379"/>
      <c r="HL20" s="377">
        <v>17</v>
      </c>
      <c r="HM20" s="379"/>
      <c r="HN20" s="357">
        <f>GX20+HL20</f>
        <v>52</v>
      </c>
      <c r="HO20" s="357"/>
    </row>
    <row r="21" spans="1:223" ht="60" customHeight="1" x14ac:dyDescent="0.4">
      <c r="A21" s="13"/>
      <c r="B21" s="13"/>
      <c r="C21" s="14"/>
      <c r="D21" s="138"/>
      <c r="E21" s="138"/>
      <c r="F21" s="138"/>
      <c r="G21" s="138"/>
      <c r="H21" s="159"/>
      <c r="I21" s="159"/>
      <c r="J21" s="159"/>
      <c r="K21" s="159"/>
      <c r="L21" s="159"/>
      <c r="M21" s="159"/>
      <c r="N21" s="159"/>
      <c r="O21" s="159"/>
      <c r="P21" s="159"/>
      <c r="Q21" s="159"/>
      <c r="R21" s="159"/>
      <c r="S21" s="159"/>
      <c r="T21" s="159"/>
      <c r="U21" s="159"/>
      <c r="V21" s="159"/>
      <c r="W21" s="159"/>
      <c r="X21" s="159"/>
      <c r="Y21" s="159"/>
      <c r="Z21" s="159"/>
      <c r="AA21" s="159"/>
      <c r="AB21" s="159"/>
      <c r="AC21" s="159"/>
      <c r="AD21" s="159"/>
      <c r="AE21" s="159"/>
      <c r="AF21" s="159"/>
      <c r="AG21" s="159"/>
      <c r="AH21" s="159"/>
      <c r="AI21" s="159"/>
      <c r="AJ21" s="159"/>
      <c r="AK21" s="159"/>
      <c r="AL21" s="159"/>
      <c r="AM21" s="159"/>
      <c r="AN21" s="159"/>
      <c r="AO21" s="159"/>
      <c r="AP21" s="159"/>
      <c r="AQ21" s="159"/>
      <c r="AR21" s="159"/>
      <c r="AS21" s="159"/>
      <c r="AT21" s="159"/>
      <c r="AU21" s="159"/>
      <c r="AV21" s="159"/>
      <c r="AW21" s="159"/>
      <c r="AX21" s="159"/>
      <c r="AY21" s="159"/>
      <c r="AZ21" s="159"/>
      <c r="BA21" s="159"/>
      <c r="BB21" s="159"/>
      <c r="BC21" s="159"/>
      <c r="BD21" s="159"/>
      <c r="BE21" s="159"/>
      <c r="BF21" s="159"/>
      <c r="BG21" s="159"/>
      <c r="BH21" s="159"/>
      <c r="BI21" s="159"/>
      <c r="BJ21" s="159"/>
      <c r="BK21" s="159"/>
      <c r="BL21" s="159"/>
      <c r="BM21" s="159"/>
      <c r="BN21" s="159"/>
      <c r="BO21" s="159"/>
      <c r="BP21" s="159"/>
      <c r="BQ21" s="159"/>
      <c r="BR21" s="159"/>
      <c r="BS21" s="159"/>
      <c r="BT21" s="159"/>
      <c r="BU21" s="159"/>
      <c r="BV21" s="159"/>
      <c r="BW21" s="159"/>
      <c r="BX21" s="159"/>
      <c r="BY21" s="159"/>
      <c r="BZ21" s="159"/>
      <c r="CA21" s="159"/>
      <c r="CB21" s="159"/>
      <c r="CC21" s="159"/>
      <c r="CD21" s="159"/>
      <c r="CE21" s="159"/>
      <c r="CF21" s="159"/>
      <c r="CG21" s="159"/>
      <c r="CH21" s="159"/>
      <c r="CI21" s="159"/>
      <c r="CJ21" s="159"/>
      <c r="CK21" s="159"/>
      <c r="CL21" s="159"/>
      <c r="CM21" s="159"/>
      <c r="CN21" s="159"/>
      <c r="CO21" s="159"/>
      <c r="CP21" s="159"/>
      <c r="CQ21" s="159"/>
      <c r="CR21" s="159"/>
      <c r="CS21" s="159"/>
      <c r="CT21" s="159"/>
      <c r="CU21" s="159"/>
      <c r="CV21" s="159"/>
      <c r="CW21" s="159"/>
      <c r="CX21" s="159"/>
      <c r="CY21" s="159"/>
      <c r="CZ21" s="159"/>
      <c r="DA21" s="159"/>
      <c r="DB21" s="159"/>
      <c r="DC21" s="159"/>
      <c r="DD21" s="159"/>
      <c r="DE21" s="159"/>
      <c r="DF21" s="159"/>
      <c r="DG21" s="159"/>
      <c r="DH21" s="159"/>
      <c r="DI21" s="159"/>
      <c r="DJ21" s="159"/>
      <c r="DK21" s="138"/>
      <c r="DL21" s="138"/>
      <c r="DM21" s="138"/>
      <c r="DN21" s="138"/>
      <c r="DO21" s="139"/>
      <c r="DP21" s="139"/>
      <c r="DQ21" s="139"/>
      <c r="DR21" s="139"/>
      <c r="DS21" s="139"/>
      <c r="DT21" s="139"/>
      <c r="DU21" s="139"/>
      <c r="DV21" s="139"/>
      <c r="DW21" s="139"/>
      <c r="DX21" s="139"/>
      <c r="DY21" s="139"/>
      <c r="DZ21" s="139"/>
      <c r="EA21" s="139"/>
      <c r="EB21" s="139"/>
      <c r="EC21" s="139"/>
      <c r="ED21" s="138"/>
      <c r="EE21" s="138"/>
      <c r="EF21" s="138"/>
      <c r="EG21" s="138"/>
      <c r="EH21" s="138"/>
      <c r="EI21" s="138"/>
      <c r="EJ21" s="15"/>
      <c r="EK21" s="15"/>
      <c r="EL21" s="15"/>
      <c r="EM21" s="15"/>
      <c r="EN21" s="16"/>
      <c r="EO21" s="16"/>
      <c r="EP21" s="16"/>
      <c r="EQ21" s="8"/>
      <c r="ER21" s="8"/>
      <c r="ES21" s="8"/>
      <c r="EV21" s="465" t="s">
        <v>178</v>
      </c>
      <c r="EW21" s="465"/>
      <c r="EX21" s="155"/>
      <c r="EY21" s="155"/>
      <c r="EZ21" s="155"/>
      <c r="FA21" s="155"/>
      <c r="FB21" s="155"/>
      <c r="FC21" s="155"/>
      <c r="FD21" s="155"/>
      <c r="FE21" s="155" t="s">
        <v>44</v>
      </c>
      <c r="FF21" s="155" t="s">
        <v>176</v>
      </c>
      <c r="FG21" s="155" t="s">
        <v>176</v>
      </c>
      <c r="FH21" s="155" t="s">
        <v>176</v>
      </c>
      <c r="FI21" s="155" t="s">
        <v>55</v>
      </c>
      <c r="FJ21" s="155" t="s">
        <v>56</v>
      </c>
      <c r="FK21" s="155" t="s">
        <v>56</v>
      </c>
      <c r="FL21" s="155"/>
      <c r="FM21" s="155"/>
      <c r="FN21" s="155" t="s">
        <v>54</v>
      </c>
      <c r="FO21" s="155" t="s">
        <v>54</v>
      </c>
      <c r="FP21" s="155"/>
      <c r="FQ21" s="155"/>
      <c r="FR21" s="155"/>
      <c r="FS21" s="155"/>
      <c r="FT21" s="155"/>
      <c r="FU21" s="155"/>
      <c r="FV21" s="155"/>
      <c r="FW21" s="155"/>
      <c r="FX21" s="155"/>
      <c r="FY21" s="155"/>
      <c r="FZ21" s="155"/>
      <c r="GA21" s="155"/>
      <c r="GB21" s="155"/>
      <c r="GC21" s="155" t="s">
        <v>176</v>
      </c>
      <c r="GD21" s="155" t="s">
        <v>176</v>
      </c>
      <c r="GE21" s="155" t="s">
        <v>176</v>
      </c>
      <c r="GF21" s="155" t="s">
        <v>55</v>
      </c>
      <c r="GG21" s="155" t="s">
        <v>56</v>
      </c>
      <c r="GH21" s="155" t="s">
        <v>56</v>
      </c>
      <c r="GI21" s="155" t="s">
        <v>56</v>
      </c>
      <c r="GJ21" s="155" t="s">
        <v>56</v>
      </c>
      <c r="GK21" s="155" t="s">
        <v>16</v>
      </c>
      <c r="GL21" s="155" t="s">
        <v>16</v>
      </c>
      <c r="GM21" s="155" t="s">
        <v>16</v>
      </c>
      <c r="GN21" s="155" t="s">
        <v>16</v>
      </c>
      <c r="GO21" s="155"/>
      <c r="GP21" s="155"/>
      <c r="GQ21" s="155"/>
      <c r="GR21" s="155"/>
      <c r="GS21" s="155"/>
      <c r="GT21" s="155"/>
      <c r="GU21" s="155"/>
      <c r="GV21" s="155"/>
      <c r="GW21" s="155"/>
      <c r="GX21" s="377">
        <f>SUM(GZ21:HK21)</f>
        <v>37</v>
      </c>
      <c r="GY21" s="379"/>
      <c r="GZ21" s="377">
        <v>0</v>
      </c>
      <c r="HA21" s="379"/>
      <c r="HB21" s="377">
        <v>4</v>
      </c>
      <c r="HC21" s="379"/>
      <c r="HD21" s="377">
        <v>1</v>
      </c>
      <c r="HE21" s="379"/>
      <c r="HF21" s="377">
        <v>0</v>
      </c>
      <c r="HG21" s="379"/>
      <c r="HH21" s="377">
        <v>2</v>
      </c>
      <c r="HI21" s="379"/>
      <c r="HJ21" s="377">
        <v>30</v>
      </c>
      <c r="HK21" s="379"/>
      <c r="HL21" s="377">
        <v>11</v>
      </c>
      <c r="HM21" s="379"/>
      <c r="HN21" s="357">
        <f>GX21+HL21</f>
        <v>48</v>
      </c>
      <c r="HO21" s="357"/>
    </row>
    <row r="22" spans="1:223" ht="60" customHeight="1" x14ac:dyDescent="0.4">
      <c r="A22" s="13"/>
      <c r="B22" s="13"/>
      <c r="C22" s="14"/>
      <c r="D22" s="138"/>
      <c r="E22" s="138"/>
      <c r="F22" s="138"/>
      <c r="G22" s="138"/>
      <c r="H22" s="159"/>
      <c r="I22" s="159"/>
      <c r="J22" s="159"/>
      <c r="K22" s="159"/>
      <c r="L22" s="159"/>
      <c r="M22" s="159"/>
      <c r="N22" s="159"/>
      <c r="O22" s="159"/>
      <c r="P22" s="159"/>
      <c r="Q22" s="159"/>
      <c r="R22" s="159"/>
      <c r="S22" s="159"/>
      <c r="T22" s="159"/>
      <c r="U22" s="159"/>
      <c r="V22" s="159"/>
      <c r="W22" s="159"/>
      <c r="X22" s="159"/>
      <c r="Y22" s="159"/>
      <c r="Z22" s="159"/>
      <c r="AA22" s="159"/>
      <c r="AB22" s="159"/>
      <c r="AC22" s="159"/>
      <c r="AD22" s="159"/>
      <c r="AE22" s="159"/>
      <c r="AF22" s="159"/>
      <c r="AG22" s="159"/>
      <c r="AH22" s="159"/>
      <c r="AI22" s="159"/>
      <c r="AJ22" s="159"/>
      <c r="AK22" s="159"/>
      <c r="AL22" s="159"/>
      <c r="AM22" s="159"/>
      <c r="AN22" s="159"/>
      <c r="AO22" s="159"/>
      <c r="AP22" s="159"/>
      <c r="AQ22" s="159"/>
      <c r="AR22" s="159"/>
      <c r="AS22" s="159"/>
      <c r="AT22" s="159"/>
      <c r="AU22" s="159"/>
      <c r="AV22" s="159"/>
      <c r="AW22" s="159"/>
      <c r="AX22" s="159"/>
      <c r="AY22" s="159"/>
      <c r="AZ22" s="159"/>
      <c r="BA22" s="159"/>
      <c r="BB22" s="159"/>
      <c r="BC22" s="159"/>
      <c r="BD22" s="159"/>
      <c r="BE22" s="159"/>
      <c r="BF22" s="159"/>
      <c r="BG22" s="159"/>
      <c r="BH22" s="159"/>
      <c r="BI22" s="159"/>
      <c r="BJ22" s="159"/>
      <c r="BK22" s="159"/>
      <c r="BL22" s="159"/>
      <c r="BM22" s="159"/>
      <c r="BN22" s="159"/>
      <c r="BO22" s="159"/>
      <c r="BP22" s="159"/>
      <c r="BQ22" s="159"/>
      <c r="BR22" s="159"/>
      <c r="BS22" s="159"/>
      <c r="BT22" s="159"/>
      <c r="BU22" s="159"/>
      <c r="BV22" s="159"/>
      <c r="BW22" s="159"/>
      <c r="BX22" s="159"/>
      <c r="BY22" s="159"/>
      <c r="BZ22" s="159"/>
      <c r="CA22" s="159"/>
      <c r="CB22" s="159"/>
      <c r="CC22" s="159"/>
      <c r="CD22" s="159"/>
      <c r="CE22" s="159"/>
      <c r="CF22" s="159"/>
      <c r="CG22" s="159"/>
      <c r="CH22" s="159"/>
      <c r="CI22" s="159"/>
      <c r="CJ22" s="159"/>
      <c r="CK22" s="159"/>
      <c r="CL22" s="159"/>
      <c r="CM22" s="159"/>
      <c r="CN22" s="159"/>
      <c r="CO22" s="159"/>
      <c r="CP22" s="159"/>
      <c r="CQ22" s="159"/>
      <c r="CR22" s="159"/>
      <c r="CS22" s="159"/>
      <c r="CT22" s="159"/>
      <c r="CU22" s="159"/>
      <c r="CV22" s="159"/>
      <c r="CW22" s="159"/>
      <c r="CX22" s="159"/>
      <c r="CY22" s="159"/>
      <c r="CZ22" s="159"/>
      <c r="DA22" s="159"/>
      <c r="DB22" s="159"/>
      <c r="DC22" s="159"/>
      <c r="DD22" s="159"/>
      <c r="DE22" s="159"/>
      <c r="DF22" s="159"/>
      <c r="DG22" s="159"/>
      <c r="DH22" s="159"/>
      <c r="DI22" s="159"/>
      <c r="DJ22" s="159"/>
      <c r="DK22" s="138"/>
      <c r="DL22" s="138"/>
      <c r="DM22" s="138"/>
      <c r="DN22" s="138"/>
      <c r="DO22" s="139"/>
      <c r="DP22" s="139"/>
      <c r="DQ22" s="139"/>
      <c r="DR22" s="139"/>
      <c r="DS22" s="139"/>
      <c r="DT22" s="139"/>
      <c r="DU22" s="139"/>
      <c r="DV22" s="139"/>
      <c r="DW22" s="139"/>
      <c r="DX22" s="139"/>
      <c r="DY22" s="139"/>
      <c r="DZ22" s="139"/>
      <c r="EA22" s="139"/>
      <c r="EB22" s="139"/>
      <c r="EC22" s="139"/>
      <c r="ED22" s="138"/>
      <c r="EE22" s="138"/>
      <c r="EF22" s="138"/>
      <c r="EG22" s="138"/>
      <c r="EH22" s="138"/>
      <c r="EI22" s="138"/>
      <c r="EJ22" s="15"/>
      <c r="EK22" s="15"/>
      <c r="EL22" s="15"/>
      <c r="EM22" s="15"/>
      <c r="EN22" s="16"/>
      <c r="EO22" s="16"/>
      <c r="EP22" s="16"/>
      <c r="EQ22" s="8"/>
      <c r="ER22" s="8"/>
      <c r="ES22" s="8"/>
      <c r="EV22" s="762" t="s">
        <v>22</v>
      </c>
      <c r="EW22" s="762"/>
      <c r="EX22" s="762"/>
      <c r="EY22" s="762"/>
      <c r="EZ22" s="762"/>
      <c r="FA22" s="762"/>
      <c r="FB22" s="762"/>
      <c r="FC22" s="762"/>
      <c r="FD22" s="762"/>
      <c r="FE22" s="762"/>
      <c r="FF22" s="762"/>
      <c r="FG22" s="762"/>
      <c r="FH22" s="762"/>
      <c r="FI22" s="762"/>
      <c r="FJ22" s="762"/>
      <c r="FK22" s="762"/>
      <c r="FL22" s="762"/>
      <c r="FM22" s="762"/>
      <c r="FN22" s="762"/>
      <c r="FO22" s="762"/>
      <c r="FP22" s="762"/>
      <c r="FQ22" s="762"/>
      <c r="FR22" s="762"/>
      <c r="FS22" s="762"/>
      <c r="FT22" s="762"/>
      <c r="FU22" s="762"/>
      <c r="FV22" s="762"/>
      <c r="FW22" s="762"/>
      <c r="FX22" s="762"/>
      <c r="FY22" s="762"/>
      <c r="FZ22" s="762"/>
      <c r="GA22" s="762"/>
      <c r="GB22" s="762"/>
      <c r="GC22" s="762"/>
      <c r="GD22" s="762"/>
      <c r="GE22" s="762"/>
      <c r="GF22" s="762"/>
      <c r="GG22" s="762"/>
      <c r="GH22" s="762"/>
      <c r="GI22" s="762"/>
      <c r="GJ22" s="762"/>
      <c r="GK22" s="762"/>
      <c r="GL22" s="762"/>
      <c r="GM22" s="762"/>
      <c r="GN22" s="762"/>
      <c r="GO22" s="762"/>
      <c r="GP22" s="762"/>
      <c r="GQ22" s="762"/>
      <c r="GR22" s="762"/>
      <c r="GS22" s="762"/>
      <c r="GT22" s="762"/>
      <c r="GU22" s="762"/>
      <c r="GV22" s="762"/>
      <c r="GW22" s="762"/>
      <c r="GX22" s="377">
        <f>SUM(GX17:GY21)</f>
        <v>178</v>
      </c>
      <c r="GY22" s="379"/>
      <c r="GZ22" s="377">
        <f t="shared" ref="GZ22" si="0">SUM(GZ17:HA21)</f>
        <v>30</v>
      </c>
      <c r="HA22" s="379"/>
      <c r="HB22" s="377">
        <f t="shared" ref="HB22" si="1">SUM(HB17:HC21)</f>
        <v>20</v>
      </c>
      <c r="HC22" s="379"/>
      <c r="HD22" s="377">
        <f t="shared" ref="HD22" si="2">SUM(HD17:HE21)</f>
        <v>6</v>
      </c>
      <c r="HE22" s="379"/>
      <c r="HF22" s="377">
        <f t="shared" ref="HF22" si="3">SUM(HF17:HG21)</f>
        <v>0</v>
      </c>
      <c r="HG22" s="379"/>
      <c r="HH22" s="377">
        <f t="shared" ref="HH22" si="4">SUM(HH17:HI21)</f>
        <v>2</v>
      </c>
      <c r="HI22" s="379"/>
      <c r="HJ22" s="377">
        <f t="shared" ref="HJ22" si="5">SUM(HJ17:HK21)</f>
        <v>120</v>
      </c>
      <c r="HK22" s="379"/>
      <c r="HL22" s="377">
        <f t="shared" ref="HL22" si="6">SUM(HL17:HM21)</f>
        <v>78</v>
      </c>
      <c r="HM22" s="379"/>
      <c r="HN22" s="377">
        <f t="shared" ref="HN22" si="7">SUM(HN17:HO21)</f>
        <v>256</v>
      </c>
      <c r="HO22" s="379"/>
    </row>
    <row r="23" spans="1:223" ht="42.75" thickBot="1" x14ac:dyDescent="0.45">
      <c r="A23" s="13"/>
      <c r="B23" s="13"/>
      <c r="C23" s="14"/>
      <c r="D23" s="138"/>
      <c r="E23" s="138"/>
      <c r="F23" s="138"/>
      <c r="G23" s="138"/>
      <c r="H23" s="138"/>
      <c r="I23" s="138"/>
      <c r="J23" s="138"/>
      <c r="K23" s="138"/>
      <c r="L23" s="138"/>
      <c r="M23" s="138"/>
      <c r="N23" s="138"/>
      <c r="O23" s="138"/>
      <c r="P23" s="138"/>
      <c r="Q23" s="138"/>
      <c r="R23" s="138"/>
      <c r="S23" s="138"/>
      <c r="T23" s="138"/>
      <c r="U23" s="138"/>
      <c r="V23" s="138"/>
      <c r="W23" s="138"/>
      <c r="X23" s="138"/>
      <c r="Y23" s="138"/>
      <c r="Z23" s="138"/>
      <c r="AA23" s="138"/>
      <c r="AB23" s="138"/>
      <c r="AC23" s="138"/>
      <c r="AD23" s="138"/>
      <c r="AE23" s="138"/>
      <c r="AF23" s="138"/>
      <c r="AG23" s="138"/>
      <c r="AH23" s="138"/>
      <c r="AI23" s="138"/>
      <c r="AJ23" s="138"/>
      <c r="AK23" s="138"/>
      <c r="AL23" s="138"/>
      <c r="AM23" s="138"/>
      <c r="AN23" s="138"/>
      <c r="AO23" s="138"/>
      <c r="AP23" s="138"/>
      <c r="AQ23" s="138"/>
      <c r="AR23" s="138"/>
      <c r="AS23" s="138"/>
      <c r="AT23" s="138"/>
      <c r="AU23" s="138"/>
      <c r="AV23" s="138"/>
      <c r="AW23" s="138"/>
      <c r="AX23" s="138"/>
      <c r="AY23" s="138"/>
      <c r="AZ23" s="138"/>
      <c r="BA23" s="138"/>
      <c r="BB23" s="138"/>
      <c r="BC23" s="138"/>
      <c r="BD23" s="138"/>
      <c r="BE23" s="138"/>
      <c r="BF23" s="138"/>
      <c r="BG23" s="138"/>
      <c r="BH23" s="138"/>
      <c r="BI23" s="138"/>
      <c r="BJ23" s="138"/>
      <c r="BK23" s="138"/>
      <c r="BL23" s="138"/>
      <c r="BM23" s="138"/>
      <c r="BN23" s="138"/>
      <c r="BO23" s="138"/>
      <c r="BP23" s="138"/>
      <c r="BQ23" s="138"/>
      <c r="BR23" s="138"/>
      <c r="BS23" s="138"/>
      <c r="BT23" s="138"/>
      <c r="BU23" s="138"/>
      <c r="BV23" s="138"/>
      <c r="BW23" s="138"/>
      <c r="BX23" s="138"/>
      <c r="BY23" s="138"/>
      <c r="BZ23" s="138"/>
      <c r="CA23" s="138"/>
      <c r="CB23" s="138"/>
      <c r="CC23" s="138"/>
      <c r="CD23" s="138"/>
      <c r="CE23" s="138"/>
      <c r="CF23" s="138"/>
      <c r="CG23" s="138"/>
      <c r="CH23" s="138"/>
      <c r="CI23" s="138"/>
      <c r="CJ23" s="138"/>
      <c r="CK23" s="138"/>
      <c r="CL23" s="138"/>
      <c r="CM23" s="138"/>
      <c r="CN23" s="138"/>
      <c r="CO23" s="138"/>
      <c r="CP23" s="138"/>
      <c r="CQ23" s="138"/>
      <c r="CR23" s="138"/>
      <c r="CS23" s="138"/>
      <c r="CT23" s="138"/>
      <c r="CU23" s="138"/>
      <c r="CV23" s="138"/>
      <c r="CW23" s="138"/>
      <c r="CX23" s="138"/>
      <c r="CY23" s="138"/>
      <c r="CZ23" s="138"/>
      <c r="DA23" s="138"/>
      <c r="DB23" s="138"/>
      <c r="DC23" s="138"/>
      <c r="DD23" s="138"/>
      <c r="DE23" s="138"/>
      <c r="DF23" s="138"/>
      <c r="DG23" s="138"/>
      <c r="DH23" s="138"/>
      <c r="DI23" s="138"/>
      <c r="DJ23" s="138"/>
      <c r="DK23" s="138"/>
      <c r="DL23" s="138"/>
      <c r="DM23" s="138"/>
      <c r="DN23" s="138"/>
      <c r="DO23" s="138"/>
      <c r="DP23" s="138"/>
      <c r="DQ23" s="138"/>
      <c r="DR23" s="138"/>
      <c r="DS23" s="138"/>
      <c r="DT23" s="138"/>
      <c r="DU23" s="138"/>
      <c r="DV23" s="138"/>
      <c r="DW23" s="138"/>
      <c r="DX23" s="138"/>
      <c r="DY23" s="138"/>
      <c r="DZ23" s="138"/>
      <c r="EA23" s="138"/>
      <c r="EB23" s="138"/>
      <c r="EC23" s="138"/>
      <c r="ED23" s="138"/>
      <c r="EE23" s="138"/>
      <c r="EF23" s="138"/>
      <c r="EG23" s="138"/>
      <c r="EH23" s="138"/>
      <c r="EI23" s="138"/>
      <c r="EJ23" s="15"/>
      <c r="EK23" s="15"/>
      <c r="EL23" s="15"/>
      <c r="EM23" s="15"/>
      <c r="EN23" s="16"/>
      <c r="EO23" s="16"/>
      <c r="EP23" s="16"/>
      <c r="EQ23" s="8"/>
      <c r="ER23" s="8"/>
      <c r="ES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row>
    <row r="24" spans="1:223" ht="120" customHeight="1" thickBot="1" x14ac:dyDescent="0.45">
      <c r="A24" s="13"/>
      <c r="B24" s="13"/>
      <c r="C24" s="14"/>
      <c r="D24" s="14"/>
      <c r="E24" s="140"/>
      <c r="F24" s="141"/>
      <c r="G24" s="142"/>
      <c r="H24" s="142"/>
      <c r="I24" s="15"/>
      <c r="J24" s="15"/>
      <c r="K24" s="15"/>
      <c r="L24" s="15"/>
      <c r="M24" s="15"/>
      <c r="N24" s="15"/>
      <c r="O24" s="15"/>
      <c r="P24" s="15"/>
      <c r="Q24" s="15"/>
      <c r="R24" s="15"/>
      <c r="S24" s="15"/>
      <c r="T24" s="15"/>
      <c r="U24" s="15"/>
      <c r="V24" s="15"/>
      <c r="W24" s="143"/>
      <c r="X24" s="143"/>
      <c r="Y24" s="143"/>
      <c r="Z24" s="143"/>
      <c r="AA24" s="143"/>
      <c r="AB24" s="143"/>
      <c r="AC24" s="143"/>
      <c r="AD24" s="143"/>
      <c r="AE24" s="143"/>
      <c r="AF24" s="143"/>
      <c r="AG24" s="143"/>
      <c r="AH24" s="143"/>
      <c r="AI24" s="143"/>
      <c r="AJ24" s="143"/>
      <c r="AK24" s="143"/>
      <c r="AL24" s="143"/>
      <c r="AM24" s="143"/>
      <c r="AN24" s="143"/>
      <c r="AO24" s="143"/>
      <c r="AP24" s="143"/>
      <c r="AQ24" s="143"/>
      <c r="AR24" s="143"/>
      <c r="AS24" s="143"/>
      <c r="AT24" s="143"/>
      <c r="AU24" s="143"/>
      <c r="AV24" s="143"/>
      <c r="AW24" s="143"/>
      <c r="AX24" s="143"/>
      <c r="AY24" s="143"/>
      <c r="AZ24" s="143"/>
      <c r="BA24" s="144"/>
      <c r="BB24" s="144"/>
      <c r="BC24" s="144"/>
      <c r="BD24" s="144"/>
      <c r="BE24" s="144"/>
      <c r="BF24" s="144"/>
      <c r="BG24" s="144"/>
      <c r="BH24" s="144"/>
      <c r="BI24" s="144"/>
      <c r="BJ24" s="144"/>
      <c r="BK24" s="144"/>
      <c r="BL24" s="144"/>
      <c r="BM24" s="144"/>
      <c r="BN24" s="144"/>
      <c r="BO24" s="144"/>
      <c r="BP24" s="144"/>
      <c r="BQ24" s="144"/>
      <c r="BR24" s="144"/>
      <c r="BS24" s="144"/>
      <c r="BT24" s="144"/>
      <c r="BU24" s="144"/>
      <c r="BV24" s="143"/>
      <c r="BW24" s="143"/>
      <c r="BX24" s="143"/>
      <c r="BY24" s="143"/>
      <c r="BZ24" s="143"/>
      <c r="CA24" s="143"/>
      <c r="CB24" s="143"/>
      <c r="CC24" s="143"/>
      <c r="CD24" s="143"/>
      <c r="CE24" s="143"/>
      <c r="CF24" s="143"/>
      <c r="CG24" s="143"/>
      <c r="CH24" s="143"/>
      <c r="CI24" s="143"/>
      <c r="CJ24" s="143"/>
      <c r="CK24" s="143"/>
      <c r="CL24" s="143"/>
      <c r="CM24" s="143"/>
      <c r="CN24" s="143"/>
      <c r="CO24" s="143"/>
      <c r="CP24" s="143"/>
      <c r="CQ24" s="143"/>
      <c r="CR24" s="143"/>
      <c r="CS24" s="143"/>
      <c r="CT24" s="143"/>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0"/>
      <c r="DY24" s="140"/>
      <c r="DZ24" s="140"/>
      <c r="EA24" s="140"/>
      <c r="EB24" s="140"/>
      <c r="EC24" s="140"/>
      <c r="ED24" s="140"/>
      <c r="EE24" s="140"/>
      <c r="EF24" s="16"/>
      <c r="EG24" s="16"/>
      <c r="EH24" s="16"/>
      <c r="EI24" s="15"/>
      <c r="EJ24" s="15"/>
      <c r="EK24" s="15"/>
      <c r="EL24" s="15"/>
      <c r="EM24" s="15"/>
      <c r="EN24" s="16"/>
      <c r="EO24" s="16"/>
      <c r="EP24" s="16"/>
      <c r="EQ24" s="8"/>
      <c r="ER24" s="8"/>
      <c r="ES24" s="8"/>
      <c r="EV24" s="4"/>
      <c r="EW24" s="483"/>
      <c r="EX24" s="484"/>
      <c r="EY24" s="485"/>
      <c r="EZ24" s="779" t="s">
        <v>215</v>
      </c>
      <c r="FA24" s="780"/>
      <c r="FB24" s="780"/>
      <c r="FC24" s="780"/>
      <c r="FD24" s="780"/>
      <c r="FE24" s="781"/>
      <c r="FF24" s="4"/>
      <c r="FG24" s="489"/>
      <c r="FH24" s="490"/>
      <c r="FI24" s="491"/>
      <c r="FJ24" s="779" t="s">
        <v>217</v>
      </c>
      <c r="FK24" s="780"/>
      <c r="FL24" s="780"/>
      <c r="FM24" s="780"/>
      <c r="FN24" s="780"/>
      <c r="FO24" s="781"/>
      <c r="FP24" s="4"/>
      <c r="FQ24" s="483" t="s">
        <v>56</v>
      </c>
      <c r="FR24" s="484"/>
      <c r="FS24" s="485"/>
      <c r="FT24" s="779" t="s">
        <v>12</v>
      </c>
      <c r="FU24" s="780"/>
      <c r="FV24" s="780"/>
      <c r="FW24" s="780"/>
      <c r="FX24" s="780"/>
      <c r="FY24" s="781"/>
      <c r="FZ24" s="4"/>
      <c r="GA24" s="483" t="s">
        <v>44</v>
      </c>
      <c r="GB24" s="484"/>
      <c r="GC24" s="485"/>
      <c r="GD24" s="779" t="s">
        <v>13</v>
      </c>
      <c r="GE24" s="780"/>
      <c r="GF24" s="780"/>
      <c r="GG24" s="780"/>
      <c r="GH24" s="780"/>
      <c r="GI24" s="781"/>
      <c r="GJ24" s="4"/>
      <c r="GK24" s="483" t="s">
        <v>55</v>
      </c>
      <c r="GL24" s="484"/>
      <c r="GM24" s="485"/>
      <c r="GN24" s="779" t="s">
        <v>14</v>
      </c>
      <c r="GO24" s="780"/>
      <c r="GP24" s="780"/>
      <c r="GQ24" s="780"/>
      <c r="GR24" s="780"/>
      <c r="GS24" s="781"/>
      <c r="GT24" s="4"/>
      <c r="GU24" s="483" t="s">
        <v>16</v>
      </c>
      <c r="GV24" s="484"/>
      <c r="GW24" s="485"/>
      <c r="GX24" s="779" t="s">
        <v>15</v>
      </c>
      <c r="GY24" s="780"/>
      <c r="GZ24" s="780"/>
      <c r="HA24" s="780"/>
      <c r="HB24" s="780"/>
      <c r="HC24" s="781"/>
      <c r="HD24" s="4"/>
      <c r="HE24" s="483" t="s">
        <v>54</v>
      </c>
      <c r="HF24" s="484"/>
      <c r="HG24" s="485"/>
      <c r="HH24" s="779" t="s">
        <v>171</v>
      </c>
      <c r="HI24" s="780"/>
      <c r="HJ24" s="780"/>
      <c r="HK24" s="780"/>
      <c r="HL24" s="780"/>
      <c r="HM24" s="781"/>
      <c r="HN24" s="4"/>
      <c r="HO24" s="4"/>
    </row>
    <row r="25" spans="1:223" ht="15.75" customHeight="1" x14ac:dyDescent="0.25">
      <c r="A25" s="7"/>
      <c r="B25" s="7"/>
      <c r="C25" s="6"/>
      <c r="D25" s="162"/>
      <c r="E25" s="162"/>
      <c r="F25" s="162"/>
      <c r="G25" s="162"/>
      <c r="H25" s="162"/>
      <c r="I25" s="162"/>
      <c r="J25" s="162"/>
      <c r="K25" s="162"/>
      <c r="L25" s="162"/>
      <c r="M25" s="162"/>
      <c r="N25" s="162"/>
      <c r="O25" s="162"/>
      <c r="P25" s="162"/>
      <c r="Q25" s="162"/>
      <c r="R25" s="162"/>
      <c r="S25" s="162"/>
      <c r="T25" s="162"/>
      <c r="U25" s="164"/>
      <c r="V25" s="64"/>
      <c r="W25" s="64"/>
      <c r="X25" s="64"/>
      <c r="Y25" s="64"/>
      <c r="Z25" s="64"/>
      <c r="AA25" s="135"/>
      <c r="AB25" s="135"/>
      <c r="AC25" s="135"/>
      <c r="AD25" s="135"/>
      <c r="AE25" s="135"/>
      <c r="AF25" s="135"/>
      <c r="AG25" s="135"/>
      <c r="AH25" s="135"/>
      <c r="AI25" s="135"/>
      <c r="AJ25" s="135"/>
      <c r="AK25" s="135"/>
      <c r="AL25" s="135"/>
      <c r="AM25" s="135"/>
      <c r="AN25" s="165"/>
      <c r="AO25" s="165"/>
      <c r="AP25" s="165"/>
      <c r="AQ25" s="165"/>
      <c r="AR25" s="165"/>
      <c r="AS25" s="165"/>
      <c r="AT25" s="165"/>
      <c r="AU25" s="165"/>
      <c r="AV25" s="17"/>
      <c r="AW25" s="12"/>
      <c r="AX25" s="12"/>
      <c r="AY25" s="12"/>
      <c r="AZ25" s="12"/>
      <c r="BA25" s="12"/>
      <c r="BB25" s="12"/>
      <c r="BC25" s="18"/>
      <c r="BD25" s="164"/>
      <c r="BE25" s="17"/>
      <c r="BF25" s="17"/>
      <c r="BG25" s="17"/>
      <c r="BH25" s="17"/>
      <c r="BI25" s="17"/>
      <c r="BJ25" s="17"/>
      <c r="BK25" s="17"/>
      <c r="BL25" s="17"/>
      <c r="BM25" s="17"/>
      <c r="BN25" s="17"/>
      <c r="BO25" s="17"/>
      <c r="BP25" s="17"/>
      <c r="BQ25" s="17"/>
      <c r="BR25" s="17"/>
      <c r="BS25" s="17"/>
      <c r="BT25" s="12"/>
      <c r="BU25" s="12"/>
      <c r="BV25" s="12"/>
      <c r="BW25" s="12"/>
      <c r="BX25" s="12"/>
      <c r="BY25" s="17"/>
      <c r="BZ25" s="17"/>
      <c r="CA25" s="17"/>
      <c r="CB25" s="17"/>
      <c r="CC25" s="17"/>
      <c r="CD25" s="17"/>
      <c r="CE25" s="17"/>
      <c r="CF25" s="17"/>
      <c r="CG25" s="17"/>
      <c r="CH25" s="17"/>
      <c r="CI25" s="17"/>
      <c r="CJ25" s="17"/>
      <c r="CK25" s="17"/>
      <c r="CL25" s="17"/>
      <c r="CM25" s="17"/>
      <c r="CN25" s="17"/>
      <c r="CO25" s="17"/>
      <c r="CP25" s="17"/>
      <c r="CQ25" s="64"/>
      <c r="CR25" s="64"/>
      <c r="CS25" s="64"/>
      <c r="CT25" s="64"/>
      <c r="CU25" s="64"/>
      <c r="CV25" s="17"/>
      <c r="CW25" s="17"/>
      <c r="CX25" s="17"/>
      <c r="CY25" s="17"/>
      <c r="CZ25" s="17"/>
      <c r="DA25" s="17"/>
      <c r="DB25" s="17"/>
      <c r="DC25" s="17"/>
      <c r="DD25" s="17"/>
      <c r="DE25" s="17"/>
      <c r="DF25" s="17"/>
      <c r="DG25" s="17"/>
      <c r="DH25" s="17"/>
      <c r="DI25" s="64"/>
      <c r="DJ25" s="64"/>
      <c r="DK25" s="64"/>
      <c r="DL25" s="64"/>
      <c r="DM25" s="64"/>
      <c r="DN25" s="17"/>
      <c r="DO25" s="17"/>
      <c r="DP25" s="17"/>
      <c r="DQ25" s="17"/>
      <c r="DR25" s="17"/>
      <c r="DS25" s="17"/>
      <c r="DT25" s="17"/>
      <c r="DU25" s="17"/>
      <c r="DV25" s="17"/>
      <c r="DW25" s="17"/>
      <c r="DX25" s="17"/>
      <c r="DY25" s="17"/>
      <c r="DZ25" s="64"/>
      <c r="EA25" s="64"/>
      <c r="EB25" s="64"/>
      <c r="EC25" s="64"/>
      <c r="ED25" s="64"/>
      <c r="EE25" s="17"/>
      <c r="EF25" s="17"/>
      <c r="EG25" s="17"/>
      <c r="EH25" s="17"/>
      <c r="EI25" s="17"/>
      <c r="EJ25" s="17"/>
      <c r="EK25" s="17"/>
      <c r="EL25" s="17"/>
      <c r="EM25" s="17"/>
      <c r="EN25" s="17"/>
      <c r="EO25" s="17"/>
      <c r="EP25" s="17"/>
      <c r="EQ25" s="4"/>
      <c r="ER25" s="4"/>
      <c r="ES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row>
    <row r="26" spans="1:223" ht="45.75" x14ac:dyDescent="0.25">
      <c r="A26" s="7"/>
      <c r="B26" s="7"/>
      <c r="C26" s="6"/>
      <c r="D26" s="162"/>
      <c r="E26" s="162"/>
      <c r="F26" s="162"/>
      <c r="G26" s="162"/>
      <c r="H26" s="162"/>
      <c r="I26" s="162"/>
      <c r="J26" s="162"/>
      <c r="K26" s="162"/>
      <c r="L26" s="162"/>
      <c r="M26" s="162"/>
      <c r="N26" s="162"/>
      <c r="O26" s="162"/>
      <c r="P26" s="162"/>
      <c r="Q26" s="162"/>
      <c r="R26" s="162"/>
      <c r="S26" s="162"/>
      <c r="T26" s="162"/>
      <c r="U26" s="164"/>
      <c r="V26" s="64"/>
      <c r="W26" s="64"/>
      <c r="X26" s="64"/>
      <c r="Y26" s="64"/>
      <c r="Z26" s="64"/>
      <c r="AA26" s="135"/>
      <c r="AB26" s="135"/>
      <c r="AC26" s="135"/>
      <c r="AD26" s="135"/>
      <c r="AE26" s="135"/>
      <c r="AF26" s="135"/>
      <c r="AG26" s="135"/>
      <c r="AH26" s="135"/>
      <c r="AI26" s="135"/>
      <c r="AJ26" s="135"/>
      <c r="AK26" s="135"/>
      <c r="AL26" s="135"/>
      <c r="AM26" s="135"/>
      <c r="AN26" s="165"/>
      <c r="AO26" s="165"/>
      <c r="AP26" s="165"/>
      <c r="AQ26" s="165"/>
      <c r="AR26" s="165"/>
      <c r="AS26" s="165"/>
      <c r="AT26" s="165"/>
      <c r="AU26" s="165"/>
      <c r="AV26" s="17"/>
      <c r="AW26" s="12"/>
      <c r="AX26" s="12"/>
      <c r="AY26" s="12"/>
      <c r="AZ26" s="12"/>
      <c r="BA26" s="12"/>
      <c r="BB26" s="12"/>
      <c r="BC26" s="18"/>
      <c r="BD26" s="164"/>
      <c r="BE26" s="17"/>
      <c r="BF26" s="17"/>
      <c r="BG26" s="17"/>
      <c r="BH26" s="17"/>
      <c r="BI26" s="17"/>
      <c r="BJ26" s="17"/>
      <c r="BK26" s="17"/>
      <c r="BL26" s="17"/>
      <c r="BM26" s="17"/>
      <c r="BN26" s="17"/>
      <c r="BO26" s="17"/>
      <c r="BP26" s="17"/>
      <c r="BQ26" s="17"/>
      <c r="BR26" s="17"/>
      <c r="BS26" s="17"/>
      <c r="BT26" s="12"/>
      <c r="BU26" s="12"/>
      <c r="BV26" s="12"/>
      <c r="BW26" s="12"/>
      <c r="BX26" s="12"/>
      <c r="BY26" s="17"/>
      <c r="BZ26" s="17"/>
      <c r="CA26" s="17"/>
      <c r="CB26" s="17"/>
      <c r="CC26" s="17"/>
      <c r="CD26" s="17"/>
      <c r="CE26" s="17"/>
      <c r="CF26" s="17"/>
      <c r="CG26" s="17"/>
      <c r="CH26" s="17"/>
      <c r="CI26" s="17"/>
      <c r="CJ26" s="17"/>
      <c r="CK26" s="17"/>
      <c r="CL26" s="17"/>
      <c r="CM26" s="17"/>
      <c r="CN26" s="17"/>
      <c r="CO26" s="17"/>
      <c r="CP26" s="17"/>
      <c r="CQ26" s="64"/>
      <c r="CR26" s="64"/>
      <c r="CS26" s="64"/>
      <c r="CT26" s="64"/>
      <c r="CU26" s="64"/>
      <c r="CV26" s="17"/>
      <c r="CW26" s="17"/>
      <c r="CX26" s="17"/>
      <c r="CY26" s="17"/>
      <c r="CZ26" s="17"/>
      <c r="DA26" s="17"/>
      <c r="DB26" s="17"/>
      <c r="DC26" s="17"/>
      <c r="DD26" s="17"/>
      <c r="DE26" s="17"/>
      <c r="DF26" s="17"/>
      <c r="DG26" s="17"/>
      <c r="DH26" s="17"/>
      <c r="DI26" s="64"/>
      <c r="DJ26" s="64"/>
      <c r="DK26" s="64"/>
      <c r="DL26" s="64"/>
      <c r="DM26" s="64"/>
      <c r="DN26" s="17"/>
      <c r="DO26" s="17"/>
      <c r="DP26" s="17"/>
      <c r="DQ26" s="17"/>
      <c r="DR26" s="17"/>
      <c r="DS26" s="17"/>
      <c r="DT26" s="17"/>
      <c r="DU26" s="17"/>
      <c r="DV26" s="17"/>
      <c r="DW26" s="17"/>
      <c r="DX26" s="17"/>
      <c r="DY26" s="17"/>
      <c r="DZ26" s="64"/>
      <c r="EA26" s="64"/>
      <c r="EB26" s="64"/>
      <c r="EC26" s="64"/>
      <c r="ED26" s="64"/>
      <c r="EE26" s="17"/>
      <c r="EF26" s="17"/>
      <c r="EG26" s="17"/>
      <c r="EH26" s="17"/>
      <c r="EI26" s="17"/>
      <c r="EJ26" s="17"/>
      <c r="EK26" s="17"/>
      <c r="EL26" s="17"/>
      <c r="EM26" s="17"/>
      <c r="EN26" s="17"/>
      <c r="EO26" s="17"/>
      <c r="EP26" s="17"/>
      <c r="EQ26" s="4"/>
      <c r="ER26" s="4"/>
      <c r="ES26" s="4"/>
    </row>
    <row r="27" spans="1:223" ht="42" x14ac:dyDescent="0.25">
      <c r="A27" s="19"/>
      <c r="B27" s="19"/>
      <c r="C27" s="20"/>
      <c r="D27" s="20"/>
      <c r="E27" s="20"/>
      <c r="F27" s="21"/>
      <c r="G27" s="21"/>
      <c r="H27" s="21"/>
      <c r="I27" s="21"/>
      <c r="J27" s="21"/>
      <c r="K27" s="21"/>
      <c r="L27" s="21"/>
      <c r="M27" s="21"/>
      <c r="N27" s="20"/>
      <c r="O27" s="20"/>
      <c r="P27" s="20"/>
      <c r="Q27" s="20"/>
      <c r="R27" s="22"/>
      <c r="S27" s="22"/>
      <c r="T27" s="20"/>
      <c r="U27" s="20"/>
      <c r="V27" s="20"/>
      <c r="W27" s="23"/>
      <c r="X27" s="23"/>
      <c r="Y27" s="23"/>
      <c r="Z27" s="24"/>
      <c r="AA27" s="24"/>
      <c r="AB27" s="25"/>
      <c r="AC27" s="25"/>
      <c r="AD27" s="26"/>
      <c r="AE27" s="26"/>
      <c r="AF27" s="27"/>
      <c r="AG27" s="26"/>
      <c r="AH27" s="26"/>
      <c r="AI27" s="26"/>
      <c r="AJ27" s="27"/>
      <c r="AK27" s="28"/>
      <c r="AL27" s="28"/>
      <c r="AM27" s="28"/>
      <c r="AN27" s="28"/>
      <c r="AO27" s="28"/>
      <c r="AP27" s="28"/>
      <c r="AQ27" s="28"/>
      <c r="AR27" s="28"/>
      <c r="AS27" s="28"/>
      <c r="AT27" s="28"/>
      <c r="AU27" s="28"/>
      <c r="AV27" s="28"/>
      <c r="AW27" s="27"/>
      <c r="AX27" s="27"/>
      <c r="AY27" s="27"/>
      <c r="AZ27" s="26"/>
      <c r="BA27" s="26"/>
      <c r="BB27" s="26"/>
      <c r="BC27" s="26"/>
      <c r="BD27" s="27"/>
      <c r="BE27" s="27"/>
      <c r="BF27" s="27"/>
      <c r="BG27" s="27"/>
      <c r="BH27" s="29"/>
      <c r="BI27" s="23"/>
      <c r="BJ27" s="30"/>
      <c r="BK27" s="30"/>
      <c r="BL27" s="30"/>
      <c r="BM27" s="30"/>
      <c r="BN27" s="23"/>
      <c r="BO27" s="27"/>
      <c r="BP27" s="27"/>
      <c r="BQ27" s="27"/>
      <c r="BR27" s="27"/>
      <c r="BS27" s="27"/>
      <c r="BT27" s="27"/>
      <c r="BU27" s="27"/>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27"/>
      <c r="DD27" s="27"/>
      <c r="DE27" s="27"/>
      <c r="DF27" s="27"/>
      <c r="DG27" s="27"/>
      <c r="DH27" s="27"/>
      <c r="DI27" s="27"/>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1"/>
      <c r="EH27" s="31"/>
      <c r="EI27" s="31"/>
      <c r="EJ27" s="31"/>
      <c r="EK27" s="31"/>
      <c r="EL27" s="31"/>
      <c r="EM27" s="31"/>
      <c r="EN27" s="31"/>
      <c r="EO27" s="31"/>
      <c r="EP27" s="31"/>
      <c r="EQ27" s="5"/>
      <c r="ER27" s="5"/>
      <c r="ES27" s="5"/>
    </row>
    <row r="28" spans="1:223" ht="42" x14ac:dyDescent="0.25">
      <c r="A28" s="19"/>
      <c r="B28" s="19"/>
      <c r="C28" s="20"/>
      <c r="D28" s="20"/>
      <c r="E28" s="20"/>
      <c r="F28" s="21"/>
      <c r="G28" s="21"/>
      <c r="H28" s="21"/>
      <c r="I28" s="21"/>
      <c r="J28" s="21"/>
      <c r="K28" s="21"/>
      <c r="L28" s="21"/>
      <c r="M28" s="21"/>
      <c r="N28" s="20"/>
      <c r="O28" s="20"/>
      <c r="P28" s="20"/>
      <c r="Q28" s="20"/>
      <c r="R28" s="22"/>
      <c r="S28" s="22"/>
      <c r="T28" s="20"/>
      <c r="U28" s="20"/>
      <c r="V28" s="20"/>
      <c r="W28" s="23"/>
      <c r="X28" s="23"/>
      <c r="Y28" s="23"/>
      <c r="Z28" s="24"/>
      <c r="AA28" s="24"/>
      <c r="AB28" s="25"/>
      <c r="AC28" s="25"/>
      <c r="AD28" s="26"/>
      <c r="AE28" s="26"/>
      <c r="AF28" s="27"/>
      <c r="AG28" s="26"/>
      <c r="AH28" s="26"/>
      <c r="AI28" s="26"/>
      <c r="AJ28" s="27"/>
      <c r="AK28" s="28"/>
      <c r="AL28" s="28"/>
      <c r="AM28" s="28"/>
      <c r="AN28" s="28"/>
      <c r="AO28" s="28"/>
      <c r="AP28" s="28"/>
      <c r="AQ28" s="28"/>
      <c r="AR28" s="28"/>
      <c r="AS28" s="28"/>
      <c r="AT28" s="28"/>
      <c r="AU28" s="28"/>
      <c r="AV28" s="28"/>
      <c r="AW28" s="27"/>
      <c r="AX28" s="27"/>
      <c r="AY28" s="27"/>
      <c r="AZ28" s="26"/>
      <c r="BA28" s="26"/>
      <c r="BB28" s="26"/>
      <c r="BC28" s="26"/>
      <c r="BD28" s="27"/>
      <c r="BE28" s="27"/>
      <c r="BF28" s="27"/>
      <c r="BG28" s="27"/>
      <c r="BH28" s="29"/>
      <c r="BI28" s="23"/>
      <c r="BJ28" s="30"/>
      <c r="BK28" s="30"/>
      <c r="BL28" s="30"/>
      <c r="BM28" s="30"/>
      <c r="BN28" s="23"/>
      <c r="BO28" s="27"/>
      <c r="BP28" s="27"/>
      <c r="BQ28" s="27"/>
      <c r="BR28" s="27"/>
      <c r="BS28" s="27"/>
      <c r="BT28" s="27"/>
      <c r="BU28" s="27"/>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27"/>
      <c r="DD28" s="27"/>
      <c r="DE28" s="27"/>
      <c r="DF28" s="27"/>
      <c r="DG28" s="27"/>
      <c r="DH28" s="27"/>
      <c r="DI28" s="27"/>
      <c r="DJ28" s="31"/>
      <c r="DK28" s="31"/>
      <c r="DL28" s="31"/>
      <c r="DM28" s="31"/>
      <c r="DN28" s="31"/>
      <c r="DO28" s="31"/>
      <c r="DP28" s="31"/>
      <c r="DQ28" s="31"/>
      <c r="DR28" s="31"/>
      <c r="DS28" s="31"/>
      <c r="DT28" s="31"/>
      <c r="DU28" s="31"/>
      <c r="DV28" s="31"/>
      <c r="DW28" s="31"/>
      <c r="DX28" s="31"/>
      <c r="DY28" s="31"/>
      <c r="DZ28" s="31"/>
      <c r="EA28" s="31"/>
      <c r="EB28" s="31"/>
      <c r="EC28" s="31"/>
      <c r="ED28" s="31"/>
      <c r="EE28" s="31"/>
      <c r="EF28" s="31"/>
      <c r="EG28" s="31"/>
      <c r="EH28" s="31"/>
      <c r="EI28" s="31"/>
      <c r="EJ28" s="31"/>
      <c r="EK28" s="31"/>
      <c r="EL28" s="31"/>
      <c r="EM28" s="31"/>
      <c r="EN28" s="31"/>
      <c r="EO28" s="31"/>
      <c r="EP28" s="31"/>
      <c r="EQ28" s="5"/>
      <c r="ER28" s="5"/>
      <c r="ES28" s="5"/>
    </row>
    <row r="29" spans="1:223" ht="42" x14ac:dyDescent="0.25">
      <c r="A29" s="19"/>
      <c r="B29" s="19"/>
      <c r="C29" s="20"/>
      <c r="D29" s="20"/>
      <c r="E29" s="20"/>
      <c r="F29" s="21"/>
      <c r="G29" s="21"/>
      <c r="H29" s="21"/>
      <c r="I29" s="21"/>
      <c r="J29" s="21"/>
      <c r="K29" s="21"/>
      <c r="L29" s="21"/>
      <c r="M29" s="21"/>
      <c r="N29" s="20"/>
      <c r="O29" s="20"/>
      <c r="P29" s="20"/>
      <c r="Q29" s="20"/>
      <c r="R29" s="22"/>
      <c r="S29" s="22"/>
      <c r="T29" s="20"/>
      <c r="U29" s="20"/>
      <c r="V29" s="20"/>
      <c r="W29" s="23"/>
      <c r="X29" s="23"/>
      <c r="Y29" s="23"/>
      <c r="Z29" s="24"/>
      <c r="AA29" s="24"/>
      <c r="AB29" s="25"/>
      <c r="AC29" s="25"/>
      <c r="AD29" s="26"/>
      <c r="AE29" s="26"/>
      <c r="AF29" s="27"/>
      <c r="AG29" s="26"/>
      <c r="AH29" s="26"/>
      <c r="AI29" s="26"/>
      <c r="AJ29" s="27"/>
      <c r="AK29" s="28"/>
      <c r="AL29" s="28"/>
      <c r="AM29" s="28"/>
      <c r="AN29" s="28"/>
      <c r="AO29" s="28"/>
      <c r="AP29" s="28"/>
      <c r="AQ29" s="28"/>
      <c r="AR29" s="28"/>
      <c r="AS29" s="28"/>
      <c r="AT29" s="28"/>
      <c r="AU29" s="28"/>
      <c r="AV29" s="28"/>
      <c r="AW29" s="27"/>
      <c r="AX29" s="27"/>
      <c r="AY29" s="27"/>
      <c r="AZ29" s="26"/>
      <c r="BA29" s="26"/>
      <c r="BB29" s="26"/>
      <c r="BC29" s="26"/>
      <c r="BD29" s="27"/>
      <c r="BE29" s="27"/>
      <c r="BF29" s="27"/>
      <c r="BG29" s="27"/>
      <c r="BH29" s="29"/>
      <c r="BI29" s="23"/>
      <c r="BJ29" s="30"/>
      <c r="BK29" s="30"/>
      <c r="BL29" s="30"/>
      <c r="BM29" s="30"/>
      <c r="BN29" s="23"/>
      <c r="BO29" s="27"/>
      <c r="BP29" s="27"/>
      <c r="BQ29" s="27"/>
      <c r="BR29" s="27"/>
      <c r="BS29" s="27"/>
      <c r="BT29" s="27"/>
      <c r="BU29" s="27"/>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27"/>
      <c r="DD29" s="27"/>
      <c r="DE29" s="27"/>
      <c r="DF29" s="27"/>
      <c r="DG29" s="27"/>
      <c r="DH29" s="27"/>
      <c r="DI29" s="27"/>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5"/>
      <c r="ER29" s="5"/>
      <c r="ES29" s="5"/>
    </row>
    <row r="30" spans="1:223" ht="72.75" customHeight="1" x14ac:dyDescent="0.2">
      <c r="A30" s="778" t="s">
        <v>238</v>
      </c>
      <c r="B30" s="778"/>
      <c r="C30" s="778"/>
      <c r="D30" s="778"/>
      <c r="E30" s="778"/>
      <c r="F30" s="778"/>
      <c r="G30" s="778"/>
      <c r="H30" s="778"/>
      <c r="I30" s="778"/>
      <c r="J30" s="778"/>
      <c r="K30" s="778"/>
      <c r="L30" s="778"/>
      <c r="M30" s="778"/>
      <c r="N30" s="778"/>
      <c r="O30" s="778"/>
      <c r="P30" s="778"/>
      <c r="Q30" s="778"/>
      <c r="R30" s="778"/>
      <c r="S30" s="778"/>
      <c r="T30" s="778"/>
      <c r="U30" s="778"/>
      <c r="V30" s="778"/>
      <c r="W30" s="778"/>
      <c r="X30" s="778"/>
      <c r="Y30" s="778"/>
      <c r="Z30" s="778"/>
      <c r="AA30" s="778"/>
      <c r="AB30" s="778"/>
      <c r="AC30" s="778"/>
      <c r="AD30" s="778"/>
      <c r="AE30" s="778"/>
      <c r="AF30" s="778"/>
      <c r="AG30" s="778"/>
      <c r="AH30" s="778"/>
      <c r="AI30" s="778"/>
      <c r="AJ30" s="778"/>
      <c r="AK30" s="778"/>
      <c r="AL30" s="778"/>
      <c r="AM30" s="778"/>
      <c r="AN30" s="778"/>
      <c r="AO30" s="778"/>
      <c r="AP30" s="778"/>
      <c r="AQ30" s="778"/>
      <c r="AR30" s="778"/>
      <c r="AS30" s="778"/>
      <c r="AT30" s="778"/>
      <c r="AU30" s="778"/>
      <c r="AV30" s="778"/>
      <c r="AW30" s="778"/>
      <c r="AX30" s="778"/>
      <c r="AY30" s="778"/>
      <c r="AZ30" s="778"/>
      <c r="BA30" s="778"/>
      <c r="BB30" s="778"/>
      <c r="BC30" s="778"/>
      <c r="BD30" s="778"/>
      <c r="BE30" s="778"/>
      <c r="BF30" s="778"/>
      <c r="BG30" s="778"/>
      <c r="BH30" s="778"/>
      <c r="BI30" s="778"/>
      <c r="BJ30" s="778"/>
      <c r="BK30" s="778"/>
      <c r="BL30" s="778"/>
      <c r="BM30" s="778"/>
      <c r="BN30" s="778"/>
      <c r="BO30" s="778"/>
      <c r="BP30" s="778"/>
      <c r="BQ30" s="778"/>
      <c r="BR30" s="778"/>
      <c r="BS30" s="778"/>
      <c r="BT30" s="778"/>
      <c r="BU30" s="778"/>
      <c r="BV30" s="778"/>
      <c r="BW30" s="778"/>
      <c r="BX30" s="778"/>
      <c r="BY30" s="778"/>
      <c r="BZ30" s="778"/>
      <c r="CA30" s="778"/>
      <c r="CB30" s="778"/>
      <c r="CC30" s="778"/>
      <c r="CD30" s="778"/>
      <c r="CE30" s="778"/>
      <c r="CF30" s="778"/>
      <c r="CG30" s="778"/>
      <c r="CH30" s="778"/>
      <c r="CI30" s="778"/>
      <c r="CJ30" s="778"/>
      <c r="CK30" s="778"/>
      <c r="CL30" s="778"/>
      <c r="CM30" s="778"/>
      <c r="CN30" s="778"/>
      <c r="CO30" s="778"/>
      <c r="CP30" s="778"/>
      <c r="CQ30" s="778"/>
      <c r="CR30" s="778"/>
      <c r="CS30" s="778"/>
      <c r="CT30" s="778"/>
      <c r="CU30" s="778"/>
      <c r="CV30" s="778"/>
      <c r="CW30" s="778"/>
      <c r="CX30" s="778"/>
      <c r="CY30" s="778"/>
      <c r="CZ30" s="778"/>
      <c r="DA30" s="778"/>
      <c r="DB30" s="778"/>
      <c r="DC30" s="778"/>
      <c r="DD30" s="778"/>
      <c r="DE30" s="778"/>
      <c r="DF30" s="778"/>
      <c r="DG30" s="778"/>
      <c r="DH30" s="778"/>
      <c r="DI30" s="778"/>
      <c r="DJ30" s="778"/>
      <c r="DK30" s="778"/>
      <c r="DL30" s="778"/>
      <c r="DM30" s="778"/>
      <c r="DN30" s="778"/>
      <c r="DO30" s="778"/>
      <c r="DP30" s="778"/>
      <c r="DQ30" s="778"/>
      <c r="DR30" s="778"/>
      <c r="DS30" s="778"/>
      <c r="DT30" s="778"/>
      <c r="DU30" s="778"/>
      <c r="DV30" s="778"/>
      <c r="DW30" s="778"/>
      <c r="DX30" s="778"/>
      <c r="DY30" s="778"/>
      <c r="DZ30" s="778"/>
      <c r="EA30" s="778"/>
      <c r="EB30" s="778"/>
      <c r="EC30" s="778"/>
      <c r="ED30" s="778"/>
      <c r="EE30" s="778"/>
      <c r="EF30" s="778"/>
      <c r="EG30" s="778"/>
      <c r="EH30" s="778"/>
      <c r="EI30" s="778"/>
      <c r="EJ30" s="778"/>
      <c r="EK30" s="778"/>
      <c r="EL30" s="778"/>
      <c r="EM30" s="778"/>
      <c r="EN30" s="778"/>
      <c r="EO30" s="778"/>
      <c r="EP30" s="778"/>
      <c r="EQ30" s="778"/>
      <c r="ER30" s="778"/>
      <c r="ES30" s="778"/>
    </row>
    <row r="31" spans="1:223" s="76" customFormat="1" ht="60.75" x14ac:dyDescent="0.75">
      <c r="A31" s="626" t="s">
        <v>23</v>
      </c>
      <c r="B31" s="604" t="s">
        <v>179</v>
      </c>
      <c r="C31" s="607" t="s">
        <v>57</v>
      </c>
      <c r="D31" s="607"/>
      <c r="E31" s="607"/>
      <c r="F31" s="607"/>
      <c r="G31" s="607"/>
      <c r="H31" s="607"/>
      <c r="I31" s="607"/>
      <c r="J31" s="607"/>
      <c r="K31" s="607"/>
      <c r="L31" s="607"/>
      <c r="M31" s="607"/>
      <c r="N31" s="607"/>
      <c r="O31" s="607"/>
      <c r="P31" s="607"/>
      <c r="Q31" s="607"/>
      <c r="R31" s="607"/>
      <c r="S31" s="607"/>
      <c r="T31" s="607"/>
      <c r="U31" s="607"/>
      <c r="V31" s="607"/>
      <c r="W31" s="607"/>
      <c r="X31" s="607"/>
      <c r="Y31" s="607"/>
      <c r="Z31" s="608" t="s">
        <v>58</v>
      </c>
      <c r="AA31" s="609"/>
      <c r="AB31" s="609"/>
      <c r="AC31" s="609"/>
      <c r="AD31" s="609"/>
      <c r="AE31" s="609"/>
      <c r="AF31" s="609"/>
      <c r="AG31" s="609"/>
      <c r="AH31" s="609"/>
      <c r="AI31" s="609"/>
      <c r="AJ31" s="609"/>
      <c r="AK31" s="609"/>
      <c r="AL31" s="609"/>
      <c r="AM31" s="609"/>
      <c r="AN31" s="609"/>
      <c r="AO31" s="609"/>
      <c r="AP31" s="609"/>
      <c r="AQ31" s="609"/>
      <c r="AR31" s="609"/>
      <c r="AS31" s="609"/>
      <c r="AT31" s="609"/>
      <c r="AU31" s="609"/>
      <c r="AV31" s="609"/>
      <c r="AW31" s="609"/>
      <c r="AX31" s="609"/>
      <c r="AY31" s="609"/>
      <c r="AZ31" s="609"/>
      <c r="BA31" s="609"/>
      <c r="BB31" s="609"/>
      <c r="BC31" s="609"/>
      <c r="BD31" s="609"/>
      <c r="BE31" s="609"/>
      <c r="BF31" s="609"/>
      <c r="BG31" s="609"/>
      <c r="BH31" s="609"/>
      <c r="BI31" s="609"/>
      <c r="BJ31" s="609"/>
      <c r="BK31" s="249"/>
      <c r="BL31" s="249"/>
      <c r="BM31" s="249"/>
      <c r="BN31" s="249"/>
      <c r="BO31" s="584" t="s">
        <v>28</v>
      </c>
      <c r="BP31" s="586"/>
      <c r="BQ31" s="586"/>
      <c r="BR31" s="586"/>
      <c r="BS31" s="586"/>
      <c r="BT31" s="586"/>
      <c r="BU31" s="586"/>
      <c r="BV31" s="586"/>
      <c r="BW31" s="586"/>
      <c r="BX31" s="586"/>
      <c r="BY31" s="586"/>
      <c r="BZ31" s="586"/>
      <c r="CA31" s="586"/>
      <c r="CB31" s="586"/>
      <c r="CC31" s="586"/>
      <c r="CD31" s="586"/>
      <c r="CE31" s="586"/>
      <c r="CF31" s="586"/>
      <c r="CG31" s="586"/>
      <c r="CH31" s="586"/>
      <c r="CI31" s="586"/>
      <c r="CJ31" s="586"/>
      <c r="CK31" s="586"/>
      <c r="CL31" s="586"/>
      <c r="CM31" s="586"/>
      <c r="CN31" s="586"/>
      <c r="CO31" s="586"/>
      <c r="CP31" s="586"/>
      <c r="CQ31" s="586"/>
      <c r="CR31" s="586"/>
      <c r="CS31" s="586"/>
      <c r="CT31" s="586"/>
      <c r="CU31" s="586"/>
      <c r="CV31" s="586"/>
      <c r="CW31" s="586"/>
      <c r="CX31" s="586"/>
      <c r="CY31" s="586"/>
      <c r="CZ31" s="586"/>
      <c r="DA31" s="586"/>
      <c r="DB31" s="587"/>
      <c r="DC31" s="585" t="s">
        <v>29</v>
      </c>
      <c r="DD31" s="586"/>
      <c r="DE31" s="586"/>
      <c r="DF31" s="586"/>
      <c r="DG31" s="586"/>
      <c r="DH31" s="586"/>
      <c r="DI31" s="586"/>
      <c r="DJ31" s="586"/>
      <c r="DK31" s="586"/>
      <c r="DL31" s="586"/>
      <c r="DM31" s="586"/>
      <c r="DN31" s="586"/>
      <c r="DO31" s="586"/>
      <c r="DP31" s="586"/>
      <c r="DQ31" s="586"/>
      <c r="DR31" s="586"/>
      <c r="DS31" s="586"/>
      <c r="DT31" s="586"/>
      <c r="DU31" s="586"/>
      <c r="DV31" s="586"/>
      <c r="DW31" s="586"/>
      <c r="DX31" s="586"/>
      <c r="DY31" s="586"/>
      <c r="DZ31" s="586"/>
      <c r="EA31" s="586"/>
      <c r="EB31" s="586"/>
      <c r="EC31" s="586"/>
      <c r="ED31" s="586"/>
      <c r="EE31" s="586"/>
      <c r="EF31" s="586"/>
      <c r="EG31" s="586"/>
      <c r="EH31" s="586"/>
      <c r="EI31" s="586"/>
      <c r="EJ31" s="586"/>
      <c r="EK31" s="586"/>
      <c r="EL31" s="586"/>
      <c r="EM31" s="586"/>
      <c r="EN31" s="586"/>
      <c r="EO31" s="586"/>
      <c r="EP31" s="764"/>
      <c r="EQ31" s="765" t="s">
        <v>34</v>
      </c>
      <c r="ER31" s="765"/>
      <c r="ES31" s="766"/>
    </row>
    <row r="32" spans="1:223" s="76" customFormat="1" ht="60.75" x14ac:dyDescent="0.75">
      <c r="A32" s="627"/>
      <c r="B32" s="605"/>
      <c r="C32" s="607"/>
      <c r="D32" s="607"/>
      <c r="E32" s="607"/>
      <c r="F32" s="607"/>
      <c r="G32" s="607"/>
      <c r="H32" s="607"/>
      <c r="I32" s="607"/>
      <c r="J32" s="607"/>
      <c r="K32" s="607"/>
      <c r="L32" s="607"/>
      <c r="M32" s="607"/>
      <c r="N32" s="607"/>
      <c r="O32" s="607"/>
      <c r="P32" s="607"/>
      <c r="Q32" s="607"/>
      <c r="R32" s="607"/>
      <c r="S32" s="607"/>
      <c r="T32" s="607"/>
      <c r="U32" s="607"/>
      <c r="V32" s="607"/>
      <c r="W32" s="607"/>
      <c r="X32" s="607"/>
      <c r="Y32" s="607"/>
      <c r="Z32" s="248" t="s">
        <v>59</v>
      </c>
      <c r="AA32" s="249"/>
      <c r="AB32" s="249"/>
      <c r="AC32" s="249"/>
      <c r="AD32" s="249"/>
      <c r="AE32" s="249"/>
      <c r="AF32" s="250"/>
      <c r="AG32" s="248" t="s">
        <v>60</v>
      </c>
      <c r="AH32" s="249"/>
      <c r="AI32" s="249"/>
      <c r="AJ32" s="249"/>
      <c r="AK32" s="249"/>
      <c r="AL32" s="249"/>
      <c r="AM32" s="249"/>
      <c r="AN32" s="249"/>
      <c r="AO32" s="249"/>
      <c r="AP32" s="249"/>
      <c r="AQ32" s="249"/>
      <c r="AR32" s="249"/>
      <c r="AS32" s="249"/>
      <c r="AT32" s="249"/>
      <c r="AU32" s="249"/>
      <c r="AV32" s="249"/>
      <c r="AW32" s="249"/>
      <c r="AX32" s="249"/>
      <c r="AY32" s="249"/>
      <c r="AZ32" s="249"/>
      <c r="BA32" s="249"/>
      <c r="BB32" s="249"/>
      <c r="BC32" s="249"/>
      <c r="BD32" s="249"/>
      <c r="BE32" s="249"/>
      <c r="BF32" s="249"/>
      <c r="BG32" s="249"/>
      <c r="BH32" s="249"/>
      <c r="BI32" s="249"/>
      <c r="BJ32" s="249"/>
      <c r="BK32" s="647" t="s">
        <v>24</v>
      </c>
      <c r="BL32" s="647"/>
      <c r="BM32" s="647"/>
      <c r="BN32" s="648"/>
      <c r="BO32" s="584" t="s">
        <v>25</v>
      </c>
      <c r="BP32" s="586"/>
      <c r="BQ32" s="586"/>
      <c r="BR32" s="586"/>
      <c r="BS32" s="586"/>
      <c r="BT32" s="586"/>
      <c r="BU32" s="586"/>
      <c r="BV32" s="586"/>
      <c r="BW32" s="586" t="s">
        <v>26</v>
      </c>
      <c r="BX32" s="586"/>
      <c r="BY32" s="586"/>
      <c r="BZ32" s="586"/>
      <c r="CA32" s="586"/>
      <c r="CB32" s="586"/>
      <c r="CC32" s="586"/>
      <c r="CD32" s="586"/>
      <c r="CE32" s="586" t="s">
        <v>27</v>
      </c>
      <c r="CF32" s="586"/>
      <c r="CG32" s="586"/>
      <c r="CH32" s="586"/>
      <c r="CI32" s="586"/>
      <c r="CJ32" s="586"/>
      <c r="CK32" s="586"/>
      <c r="CL32" s="586"/>
      <c r="CM32" s="586" t="s">
        <v>180</v>
      </c>
      <c r="CN32" s="586"/>
      <c r="CO32" s="586"/>
      <c r="CP32" s="586"/>
      <c r="CQ32" s="586"/>
      <c r="CR32" s="586"/>
      <c r="CS32" s="586"/>
      <c r="CT32" s="586"/>
      <c r="CU32" s="586" t="s">
        <v>181</v>
      </c>
      <c r="CV32" s="586"/>
      <c r="CW32" s="586"/>
      <c r="CX32" s="586"/>
      <c r="CY32" s="586"/>
      <c r="CZ32" s="586"/>
      <c r="DA32" s="586"/>
      <c r="DB32" s="587"/>
      <c r="DC32" s="585" t="s">
        <v>25</v>
      </c>
      <c r="DD32" s="586"/>
      <c r="DE32" s="586"/>
      <c r="DF32" s="586"/>
      <c r="DG32" s="586"/>
      <c r="DH32" s="586"/>
      <c r="DI32" s="586"/>
      <c r="DJ32" s="586"/>
      <c r="DK32" s="586" t="s">
        <v>26</v>
      </c>
      <c r="DL32" s="586"/>
      <c r="DM32" s="586"/>
      <c r="DN32" s="586"/>
      <c r="DO32" s="586"/>
      <c r="DP32" s="586"/>
      <c r="DQ32" s="586"/>
      <c r="DR32" s="586"/>
      <c r="DS32" s="586" t="s">
        <v>27</v>
      </c>
      <c r="DT32" s="586"/>
      <c r="DU32" s="586"/>
      <c r="DV32" s="586"/>
      <c r="DW32" s="586"/>
      <c r="DX32" s="586"/>
      <c r="DY32" s="586"/>
      <c r="DZ32" s="586"/>
      <c r="EA32" s="586" t="s">
        <v>180</v>
      </c>
      <c r="EB32" s="586"/>
      <c r="EC32" s="586"/>
      <c r="ED32" s="586"/>
      <c r="EE32" s="586"/>
      <c r="EF32" s="586"/>
      <c r="EG32" s="586"/>
      <c r="EH32" s="586"/>
      <c r="EI32" s="586" t="s">
        <v>181</v>
      </c>
      <c r="EJ32" s="586"/>
      <c r="EK32" s="586"/>
      <c r="EL32" s="586"/>
      <c r="EM32" s="586"/>
      <c r="EN32" s="586"/>
      <c r="EO32" s="586"/>
      <c r="EP32" s="764"/>
      <c r="EQ32" s="765"/>
      <c r="ER32" s="765"/>
      <c r="ES32" s="766"/>
    </row>
    <row r="33" spans="1:151" s="76" customFormat="1" ht="60.75" x14ac:dyDescent="0.75">
      <c r="A33" s="627"/>
      <c r="B33" s="605"/>
      <c r="C33" s="607"/>
      <c r="D33" s="607"/>
      <c r="E33" s="607"/>
      <c r="F33" s="607"/>
      <c r="G33" s="607"/>
      <c r="H33" s="607"/>
      <c r="I33" s="607"/>
      <c r="J33" s="607"/>
      <c r="K33" s="607"/>
      <c r="L33" s="607"/>
      <c r="M33" s="607"/>
      <c r="N33" s="607"/>
      <c r="O33" s="607"/>
      <c r="P33" s="607"/>
      <c r="Q33" s="607"/>
      <c r="R33" s="607"/>
      <c r="S33" s="607"/>
      <c r="T33" s="607"/>
      <c r="U33" s="607"/>
      <c r="V33" s="607"/>
      <c r="W33" s="607"/>
      <c r="X33" s="607"/>
      <c r="Y33" s="607"/>
      <c r="Z33" s="251"/>
      <c r="AA33" s="252"/>
      <c r="AB33" s="252"/>
      <c r="AC33" s="252"/>
      <c r="AD33" s="252"/>
      <c r="AE33" s="252"/>
      <c r="AF33" s="253"/>
      <c r="AG33" s="630" t="s">
        <v>18</v>
      </c>
      <c r="AH33" s="631"/>
      <c r="AI33" s="631"/>
      <c r="AJ33" s="631"/>
      <c r="AK33" s="632"/>
      <c r="AL33" s="630" t="s">
        <v>61</v>
      </c>
      <c r="AM33" s="631"/>
      <c r="AN33" s="631"/>
      <c r="AO33" s="631"/>
      <c r="AP33" s="632"/>
      <c r="AQ33" s="630" t="s">
        <v>62</v>
      </c>
      <c r="AR33" s="631"/>
      <c r="AS33" s="631"/>
      <c r="AT33" s="631"/>
      <c r="AU33" s="632"/>
      <c r="AV33" s="630" t="s">
        <v>63</v>
      </c>
      <c r="AW33" s="631"/>
      <c r="AX33" s="631"/>
      <c r="AY33" s="631"/>
      <c r="AZ33" s="632"/>
      <c r="BA33" s="630" t="s">
        <v>64</v>
      </c>
      <c r="BB33" s="631"/>
      <c r="BC33" s="631"/>
      <c r="BD33" s="631"/>
      <c r="BE33" s="632"/>
      <c r="BF33" s="630" t="s">
        <v>65</v>
      </c>
      <c r="BG33" s="631"/>
      <c r="BH33" s="631"/>
      <c r="BI33" s="631"/>
      <c r="BJ33" s="631"/>
      <c r="BK33" s="647"/>
      <c r="BL33" s="647"/>
      <c r="BM33" s="647"/>
      <c r="BN33" s="648"/>
      <c r="BO33" s="584" t="s">
        <v>30</v>
      </c>
      <c r="BP33" s="586"/>
      <c r="BQ33" s="586"/>
      <c r="BR33" s="586"/>
      <c r="BS33" s="586"/>
      <c r="BT33" s="586"/>
      <c r="BU33" s="586"/>
      <c r="BV33" s="586"/>
      <c r="BW33" s="586"/>
      <c r="BX33" s="586"/>
      <c r="BY33" s="586"/>
      <c r="BZ33" s="586"/>
      <c r="CA33" s="586"/>
      <c r="CB33" s="586"/>
      <c r="CC33" s="586"/>
      <c r="CD33" s="586"/>
      <c r="CE33" s="586"/>
      <c r="CF33" s="586"/>
      <c r="CG33" s="586"/>
      <c r="CH33" s="586"/>
      <c r="CI33" s="586"/>
      <c r="CJ33" s="586"/>
      <c r="CK33" s="586"/>
      <c r="CL33" s="586"/>
      <c r="CM33" s="586"/>
      <c r="CN33" s="586"/>
      <c r="CO33" s="586"/>
      <c r="CP33" s="586"/>
      <c r="CQ33" s="586"/>
      <c r="CR33" s="586"/>
      <c r="CS33" s="586"/>
      <c r="CT33" s="586"/>
      <c r="CU33" s="586"/>
      <c r="CV33" s="586"/>
      <c r="CW33" s="586"/>
      <c r="CX33" s="586"/>
      <c r="CY33" s="586"/>
      <c r="CZ33" s="586"/>
      <c r="DA33" s="586"/>
      <c r="DB33" s="587"/>
      <c r="DC33" s="585" t="s">
        <v>30</v>
      </c>
      <c r="DD33" s="586"/>
      <c r="DE33" s="586"/>
      <c r="DF33" s="586"/>
      <c r="DG33" s="586"/>
      <c r="DH33" s="586"/>
      <c r="DI33" s="586"/>
      <c r="DJ33" s="586"/>
      <c r="DK33" s="586"/>
      <c r="DL33" s="586"/>
      <c r="DM33" s="586"/>
      <c r="DN33" s="586"/>
      <c r="DO33" s="586"/>
      <c r="DP33" s="586"/>
      <c r="DQ33" s="586"/>
      <c r="DR33" s="586"/>
      <c r="DS33" s="586"/>
      <c r="DT33" s="586"/>
      <c r="DU33" s="586"/>
      <c r="DV33" s="586"/>
      <c r="DW33" s="586"/>
      <c r="DX33" s="586"/>
      <c r="DY33" s="586"/>
      <c r="DZ33" s="586"/>
      <c r="EA33" s="586"/>
      <c r="EB33" s="586"/>
      <c r="EC33" s="586"/>
      <c r="ED33" s="586"/>
      <c r="EE33" s="586"/>
      <c r="EF33" s="586"/>
      <c r="EG33" s="586"/>
      <c r="EH33" s="586"/>
      <c r="EI33" s="586"/>
      <c r="EJ33" s="586"/>
      <c r="EK33" s="586"/>
      <c r="EL33" s="586"/>
      <c r="EM33" s="586"/>
      <c r="EN33" s="586"/>
      <c r="EO33" s="586"/>
      <c r="EP33" s="764"/>
      <c r="EQ33" s="765"/>
      <c r="ER33" s="765"/>
      <c r="ES33" s="766"/>
    </row>
    <row r="34" spans="1:151" s="76" customFormat="1" ht="60.75" x14ac:dyDescent="0.75">
      <c r="A34" s="627"/>
      <c r="B34" s="605"/>
      <c r="C34" s="607"/>
      <c r="D34" s="607"/>
      <c r="E34" s="607"/>
      <c r="F34" s="607"/>
      <c r="G34" s="607"/>
      <c r="H34" s="607"/>
      <c r="I34" s="607"/>
      <c r="J34" s="607"/>
      <c r="K34" s="607"/>
      <c r="L34" s="607"/>
      <c r="M34" s="607"/>
      <c r="N34" s="607"/>
      <c r="O34" s="607"/>
      <c r="P34" s="607"/>
      <c r="Q34" s="607"/>
      <c r="R34" s="607"/>
      <c r="S34" s="607"/>
      <c r="T34" s="607"/>
      <c r="U34" s="607"/>
      <c r="V34" s="607"/>
      <c r="W34" s="607"/>
      <c r="X34" s="607"/>
      <c r="Y34" s="607"/>
      <c r="Z34" s="251"/>
      <c r="AA34" s="252"/>
      <c r="AB34" s="252"/>
      <c r="AC34" s="252"/>
      <c r="AD34" s="252"/>
      <c r="AE34" s="252"/>
      <c r="AF34" s="253"/>
      <c r="AG34" s="633"/>
      <c r="AH34" s="634"/>
      <c r="AI34" s="634"/>
      <c r="AJ34" s="634"/>
      <c r="AK34" s="635"/>
      <c r="AL34" s="633"/>
      <c r="AM34" s="634"/>
      <c r="AN34" s="634"/>
      <c r="AO34" s="634"/>
      <c r="AP34" s="635"/>
      <c r="AQ34" s="633"/>
      <c r="AR34" s="634"/>
      <c r="AS34" s="634"/>
      <c r="AT34" s="634"/>
      <c r="AU34" s="635"/>
      <c r="AV34" s="633"/>
      <c r="AW34" s="634"/>
      <c r="AX34" s="634"/>
      <c r="AY34" s="634"/>
      <c r="AZ34" s="635"/>
      <c r="BA34" s="633"/>
      <c r="BB34" s="634"/>
      <c r="BC34" s="634"/>
      <c r="BD34" s="634"/>
      <c r="BE34" s="635"/>
      <c r="BF34" s="633"/>
      <c r="BG34" s="634"/>
      <c r="BH34" s="634"/>
      <c r="BI34" s="634"/>
      <c r="BJ34" s="634"/>
      <c r="BK34" s="647"/>
      <c r="BL34" s="647"/>
      <c r="BM34" s="647"/>
      <c r="BN34" s="648"/>
      <c r="BO34" s="584">
        <f>DK18</f>
        <v>0</v>
      </c>
      <c r="BP34" s="586"/>
      <c r="BQ34" s="586"/>
      <c r="BR34" s="586"/>
      <c r="BS34" s="586"/>
      <c r="BT34" s="586"/>
      <c r="BU34" s="586"/>
      <c r="BV34" s="586"/>
      <c r="BW34" s="586">
        <f>DK19</f>
        <v>0</v>
      </c>
      <c r="BX34" s="586"/>
      <c r="BY34" s="586"/>
      <c r="BZ34" s="586"/>
      <c r="CA34" s="586"/>
      <c r="CB34" s="586"/>
      <c r="CC34" s="586"/>
      <c r="CD34" s="586"/>
      <c r="CE34" s="586">
        <f>DK20</f>
        <v>0</v>
      </c>
      <c r="CF34" s="586"/>
      <c r="CG34" s="586"/>
      <c r="CH34" s="586"/>
      <c r="CI34" s="586"/>
      <c r="CJ34" s="586"/>
      <c r="CK34" s="586"/>
      <c r="CL34" s="586"/>
      <c r="CM34" s="586">
        <f>DK21</f>
        <v>0</v>
      </c>
      <c r="CN34" s="586"/>
      <c r="CO34" s="586"/>
      <c r="CP34" s="586"/>
      <c r="CQ34" s="586"/>
      <c r="CR34" s="586"/>
      <c r="CS34" s="586"/>
      <c r="CT34" s="586"/>
      <c r="CU34" s="586">
        <f>DK22</f>
        <v>0</v>
      </c>
      <c r="CV34" s="586"/>
      <c r="CW34" s="586"/>
      <c r="CX34" s="586"/>
      <c r="CY34" s="586"/>
      <c r="CZ34" s="586"/>
      <c r="DA34" s="586"/>
      <c r="DB34" s="587"/>
      <c r="DC34" s="584">
        <f>BO34</f>
        <v>0</v>
      </c>
      <c r="DD34" s="586"/>
      <c r="DE34" s="586"/>
      <c r="DF34" s="586"/>
      <c r="DG34" s="586"/>
      <c r="DH34" s="586"/>
      <c r="DI34" s="586"/>
      <c r="DJ34" s="608"/>
      <c r="DK34" s="586">
        <f t="shared" ref="DK34" si="8">BW34</f>
        <v>0</v>
      </c>
      <c r="DL34" s="586"/>
      <c r="DM34" s="586"/>
      <c r="DN34" s="586"/>
      <c r="DO34" s="586"/>
      <c r="DP34" s="586"/>
      <c r="DQ34" s="586"/>
      <c r="DR34" s="586"/>
      <c r="DS34" s="586">
        <f t="shared" ref="DS34" si="9">CE34</f>
        <v>0</v>
      </c>
      <c r="DT34" s="586"/>
      <c r="DU34" s="586"/>
      <c r="DV34" s="586"/>
      <c r="DW34" s="586"/>
      <c r="DX34" s="586"/>
      <c r="DY34" s="586"/>
      <c r="DZ34" s="586"/>
      <c r="EA34" s="586">
        <f t="shared" ref="EA34" si="10">CM34</f>
        <v>0</v>
      </c>
      <c r="EB34" s="586"/>
      <c r="EC34" s="586"/>
      <c r="ED34" s="586"/>
      <c r="EE34" s="586"/>
      <c r="EF34" s="586"/>
      <c r="EG34" s="586"/>
      <c r="EH34" s="586"/>
      <c r="EI34" s="585">
        <f t="shared" ref="EI34" si="11">CU34</f>
        <v>0</v>
      </c>
      <c r="EJ34" s="586"/>
      <c r="EK34" s="586"/>
      <c r="EL34" s="586"/>
      <c r="EM34" s="586"/>
      <c r="EN34" s="586"/>
      <c r="EO34" s="586"/>
      <c r="EP34" s="586"/>
      <c r="EQ34" s="765"/>
      <c r="ER34" s="765"/>
      <c r="ES34" s="766"/>
    </row>
    <row r="35" spans="1:151" s="76" customFormat="1" ht="60.75" x14ac:dyDescent="0.75">
      <c r="A35" s="627"/>
      <c r="B35" s="605"/>
      <c r="C35" s="607"/>
      <c r="D35" s="607"/>
      <c r="E35" s="607"/>
      <c r="F35" s="607"/>
      <c r="G35" s="607"/>
      <c r="H35" s="607"/>
      <c r="I35" s="607"/>
      <c r="J35" s="607"/>
      <c r="K35" s="607"/>
      <c r="L35" s="607"/>
      <c r="M35" s="607"/>
      <c r="N35" s="607"/>
      <c r="O35" s="607"/>
      <c r="P35" s="607"/>
      <c r="Q35" s="607"/>
      <c r="R35" s="607"/>
      <c r="S35" s="607"/>
      <c r="T35" s="607"/>
      <c r="U35" s="607"/>
      <c r="V35" s="607"/>
      <c r="W35" s="607"/>
      <c r="X35" s="607"/>
      <c r="Y35" s="607"/>
      <c r="Z35" s="251"/>
      <c r="AA35" s="252"/>
      <c r="AB35" s="252"/>
      <c r="AC35" s="252"/>
      <c r="AD35" s="252"/>
      <c r="AE35" s="252"/>
      <c r="AF35" s="253"/>
      <c r="AG35" s="633"/>
      <c r="AH35" s="634"/>
      <c r="AI35" s="634"/>
      <c r="AJ35" s="634"/>
      <c r="AK35" s="635"/>
      <c r="AL35" s="633"/>
      <c r="AM35" s="634"/>
      <c r="AN35" s="634"/>
      <c r="AO35" s="634"/>
      <c r="AP35" s="635"/>
      <c r="AQ35" s="633"/>
      <c r="AR35" s="634"/>
      <c r="AS35" s="634"/>
      <c r="AT35" s="634"/>
      <c r="AU35" s="635"/>
      <c r="AV35" s="633"/>
      <c r="AW35" s="634"/>
      <c r="AX35" s="634"/>
      <c r="AY35" s="634"/>
      <c r="AZ35" s="635"/>
      <c r="BA35" s="633"/>
      <c r="BB35" s="634"/>
      <c r="BC35" s="634"/>
      <c r="BD35" s="634"/>
      <c r="BE35" s="635"/>
      <c r="BF35" s="633"/>
      <c r="BG35" s="634"/>
      <c r="BH35" s="634"/>
      <c r="BI35" s="634"/>
      <c r="BJ35" s="634"/>
      <c r="BK35" s="647"/>
      <c r="BL35" s="647"/>
      <c r="BM35" s="647"/>
      <c r="BN35" s="648"/>
      <c r="BO35" s="584" t="s">
        <v>31</v>
      </c>
      <c r="BP35" s="586"/>
      <c r="BQ35" s="586"/>
      <c r="BR35" s="586"/>
      <c r="BS35" s="586"/>
      <c r="BT35" s="586"/>
      <c r="BU35" s="586"/>
      <c r="BV35" s="586"/>
      <c r="BW35" s="586"/>
      <c r="BX35" s="586"/>
      <c r="BY35" s="586"/>
      <c r="BZ35" s="586"/>
      <c r="CA35" s="586"/>
      <c r="CB35" s="586"/>
      <c r="CC35" s="586"/>
      <c r="CD35" s="586"/>
      <c r="CE35" s="586"/>
      <c r="CF35" s="586"/>
      <c r="CG35" s="586"/>
      <c r="CH35" s="586"/>
      <c r="CI35" s="586"/>
      <c r="CJ35" s="586"/>
      <c r="CK35" s="586"/>
      <c r="CL35" s="586"/>
      <c r="CM35" s="586"/>
      <c r="CN35" s="586"/>
      <c r="CO35" s="586"/>
      <c r="CP35" s="586"/>
      <c r="CQ35" s="586"/>
      <c r="CR35" s="586"/>
      <c r="CS35" s="586"/>
      <c r="CT35" s="586"/>
      <c r="CU35" s="586"/>
      <c r="CV35" s="586"/>
      <c r="CW35" s="586"/>
      <c r="CX35" s="586"/>
      <c r="CY35" s="586"/>
      <c r="CZ35" s="586"/>
      <c r="DA35" s="586"/>
      <c r="DB35" s="587"/>
      <c r="DC35" s="585" t="s">
        <v>31</v>
      </c>
      <c r="DD35" s="586"/>
      <c r="DE35" s="586"/>
      <c r="DF35" s="586"/>
      <c r="DG35" s="586"/>
      <c r="DH35" s="586"/>
      <c r="DI35" s="586"/>
      <c r="DJ35" s="586"/>
      <c r="DK35" s="586"/>
      <c r="DL35" s="586"/>
      <c r="DM35" s="586"/>
      <c r="DN35" s="586"/>
      <c r="DO35" s="586"/>
      <c r="DP35" s="586"/>
      <c r="DQ35" s="586"/>
      <c r="DR35" s="586"/>
      <c r="DS35" s="586"/>
      <c r="DT35" s="586"/>
      <c r="DU35" s="586"/>
      <c r="DV35" s="586"/>
      <c r="DW35" s="586"/>
      <c r="DX35" s="586"/>
      <c r="DY35" s="586"/>
      <c r="DZ35" s="586"/>
      <c r="EA35" s="586"/>
      <c r="EB35" s="586"/>
      <c r="EC35" s="586"/>
      <c r="ED35" s="586"/>
      <c r="EE35" s="586"/>
      <c r="EF35" s="586"/>
      <c r="EG35" s="586"/>
      <c r="EH35" s="586"/>
      <c r="EI35" s="586"/>
      <c r="EJ35" s="586"/>
      <c r="EK35" s="586"/>
      <c r="EL35" s="586"/>
      <c r="EM35" s="586"/>
      <c r="EN35" s="586"/>
      <c r="EO35" s="586"/>
      <c r="EP35" s="764"/>
      <c r="EQ35" s="765"/>
      <c r="ER35" s="765"/>
      <c r="ES35" s="766"/>
    </row>
    <row r="36" spans="1:151" s="76" customFormat="1" ht="60.75" x14ac:dyDescent="0.75">
      <c r="A36" s="627"/>
      <c r="B36" s="605"/>
      <c r="C36" s="607"/>
      <c r="D36" s="607"/>
      <c r="E36" s="607"/>
      <c r="F36" s="607"/>
      <c r="G36" s="607"/>
      <c r="H36" s="607"/>
      <c r="I36" s="607"/>
      <c r="J36" s="607"/>
      <c r="K36" s="607"/>
      <c r="L36" s="607"/>
      <c r="M36" s="607"/>
      <c r="N36" s="607"/>
      <c r="O36" s="607"/>
      <c r="P36" s="607"/>
      <c r="Q36" s="607"/>
      <c r="R36" s="607"/>
      <c r="S36" s="607"/>
      <c r="T36" s="607"/>
      <c r="U36" s="607"/>
      <c r="V36" s="607"/>
      <c r="W36" s="607"/>
      <c r="X36" s="607"/>
      <c r="Y36" s="607"/>
      <c r="Z36" s="251"/>
      <c r="AA36" s="252"/>
      <c r="AB36" s="252"/>
      <c r="AC36" s="252"/>
      <c r="AD36" s="252"/>
      <c r="AE36" s="252"/>
      <c r="AF36" s="253"/>
      <c r="AG36" s="633"/>
      <c r="AH36" s="634"/>
      <c r="AI36" s="634"/>
      <c r="AJ36" s="634"/>
      <c r="AK36" s="635"/>
      <c r="AL36" s="633"/>
      <c r="AM36" s="634"/>
      <c r="AN36" s="634"/>
      <c r="AO36" s="634"/>
      <c r="AP36" s="635"/>
      <c r="AQ36" s="633"/>
      <c r="AR36" s="634"/>
      <c r="AS36" s="634"/>
      <c r="AT36" s="634"/>
      <c r="AU36" s="635"/>
      <c r="AV36" s="633"/>
      <c r="AW36" s="634"/>
      <c r="AX36" s="634"/>
      <c r="AY36" s="634"/>
      <c r="AZ36" s="635"/>
      <c r="BA36" s="633"/>
      <c r="BB36" s="634"/>
      <c r="BC36" s="634"/>
      <c r="BD36" s="634"/>
      <c r="BE36" s="635"/>
      <c r="BF36" s="633"/>
      <c r="BG36" s="634"/>
      <c r="BH36" s="634"/>
      <c r="BI36" s="634"/>
      <c r="BJ36" s="634"/>
      <c r="BK36" s="647"/>
      <c r="BL36" s="647"/>
      <c r="BM36" s="647"/>
      <c r="BN36" s="648"/>
      <c r="BO36" s="584">
        <v>1</v>
      </c>
      <c r="BP36" s="586"/>
      <c r="BQ36" s="586"/>
      <c r="BR36" s="586"/>
      <c r="BS36" s="586">
        <v>2</v>
      </c>
      <c r="BT36" s="586"/>
      <c r="BU36" s="586"/>
      <c r="BV36" s="586"/>
      <c r="BW36" s="586">
        <v>3</v>
      </c>
      <c r="BX36" s="586"/>
      <c r="BY36" s="586"/>
      <c r="BZ36" s="586"/>
      <c r="CA36" s="586">
        <v>4</v>
      </c>
      <c r="CB36" s="586"/>
      <c r="CC36" s="586"/>
      <c r="CD36" s="586"/>
      <c r="CE36" s="586">
        <v>5</v>
      </c>
      <c r="CF36" s="586"/>
      <c r="CG36" s="586"/>
      <c r="CH36" s="586"/>
      <c r="CI36" s="586">
        <v>6</v>
      </c>
      <c r="CJ36" s="586"/>
      <c r="CK36" s="586"/>
      <c r="CL36" s="586"/>
      <c r="CM36" s="586">
        <v>7</v>
      </c>
      <c r="CN36" s="586"/>
      <c r="CO36" s="586"/>
      <c r="CP36" s="586"/>
      <c r="CQ36" s="586">
        <v>8</v>
      </c>
      <c r="CR36" s="586"/>
      <c r="CS36" s="586"/>
      <c r="CT36" s="586"/>
      <c r="CU36" s="586">
        <v>9</v>
      </c>
      <c r="CV36" s="586"/>
      <c r="CW36" s="586"/>
      <c r="CX36" s="586"/>
      <c r="CY36" s="586">
        <v>10</v>
      </c>
      <c r="CZ36" s="586"/>
      <c r="DA36" s="586"/>
      <c r="DB36" s="587"/>
      <c r="DC36" s="585">
        <v>1</v>
      </c>
      <c r="DD36" s="586"/>
      <c r="DE36" s="586"/>
      <c r="DF36" s="586"/>
      <c r="DG36" s="586">
        <v>2</v>
      </c>
      <c r="DH36" s="586"/>
      <c r="DI36" s="586"/>
      <c r="DJ36" s="586"/>
      <c r="DK36" s="586">
        <v>3</v>
      </c>
      <c r="DL36" s="586"/>
      <c r="DM36" s="586"/>
      <c r="DN36" s="586"/>
      <c r="DO36" s="586">
        <v>4</v>
      </c>
      <c r="DP36" s="586"/>
      <c r="DQ36" s="586"/>
      <c r="DR36" s="586"/>
      <c r="DS36" s="586">
        <v>5</v>
      </c>
      <c r="DT36" s="586"/>
      <c r="DU36" s="586"/>
      <c r="DV36" s="586"/>
      <c r="DW36" s="586">
        <v>6</v>
      </c>
      <c r="DX36" s="586"/>
      <c r="DY36" s="586"/>
      <c r="DZ36" s="586"/>
      <c r="EA36" s="586">
        <v>7</v>
      </c>
      <c r="EB36" s="586"/>
      <c r="EC36" s="586"/>
      <c r="ED36" s="586"/>
      <c r="EE36" s="586">
        <v>8</v>
      </c>
      <c r="EF36" s="586"/>
      <c r="EG36" s="586"/>
      <c r="EH36" s="586"/>
      <c r="EI36" s="586">
        <v>9</v>
      </c>
      <c r="EJ36" s="586"/>
      <c r="EK36" s="586"/>
      <c r="EL36" s="586"/>
      <c r="EM36" s="586">
        <v>10</v>
      </c>
      <c r="EN36" s="586"/>
      <c r="EO36" s="586"/>
      <c r="EP36" s="764"/>
      <c r="EQ36" s="765"/>
      <c r="ER36" s="765"/>
      <c r="ES36" s="766"/>
    </row>
    <row r="37" spans="1:151" s="76" customFormat="1" ht="60.75" x14ac:dyDescent="0.75">
      <c r="A37" s="627"/>
      <c r="B37" s="605"/>
      <c r="C37" s="607"/>
      <c r="D37" s="607"/>
      <c r="E37" s="607"/>
      <c r="F37" s="607"/>
      <c r="G37" s="607"/>
      <c r="H37" s="607"/>
      <c r="I37" s="607"/>
      <c r="J37" s="607"/>
      <c r="K37" s="607"/>
      <c r="L37" s="607"/>
      <c r="M37" s="607"/>
      <c r="N37" s="607"/>
      <c r="O37" s="607"/>
      <c r="P37" s="607"/>
      <c r="Q37" s="607"/>
      <c r="R37" s="607"/>
      <c r="S37" s="607"/>
      <c r="T37" s="607"/>
      <c r="U37" s="607"/>
      <c r="V37" s="607"/>
      <c r="W37" s="607"/>
      <c r="X37" s="607"/>
      <c r="Y37" s="607"/>
      <c r="Z37" s="251"/>
      <c r="AA37" s="252"/>
      <c r="AB37" s="252"/>
      <c r="AC37" s="252"/>
      <c r="AD37" s="252"/>
      <c r="AE37" s="252"/>
      <c r="AF37" s="253"/>
      <c r="AG37" s="633"/>
      <c r="AH37" s="634"/>
      <c r="AI37" s="634"/>
      <c r="AJ37" s="634"/>
      <c r="AK37" s="635"/>
      <c r="AL37" s="633"/>
      <c r="AM37" s="634"/>
      <c r="AN37" s="634"/>
      <c r="AO37" s="634"/>
      <c r="AP37" s="635"/>
      <c r="AQ37" s="633"/>
      <c r="AR37" s="634"/>
      <c r="AS37" s="634"/>
      <c r="AT37" s="634"/>
      <c r="AU37" s="635"/>
      <c r="AV37" s="633"/>
      <c r="AW37" s="634"/>
      <c r="AX37" s="634"/>
      <c r="AY37" s="634"/>
      <c r="AZ37" s="635"/>
      <c r="BA37" s="633"/>
      <c r="BB37" s="634"/>
      <c r="BC37" s="634"/>
      <c r="BD37" s="634"/>
      <c r="BE37" s="635"/>
      <c r="BF37" s="633"/>
      <c r="BG37" s="634"/>
      <c r="BH37" s="634"/>
      <c r="BI37" s="634"/>
      <c r="BJ37" s="634"/>
      <c r="BK37" s="647"/>
      <c r="BL37" s="647"/>
      <c r="BM37" s="647"/>
      <c r="BN37" s="648"/>
      <c r="BO37" s="584" t="s">
        <v>32</v>
      </c>
      <c r="BP37" s="586"/>
      <c r="BQ37" s="586"/>
      <c r="BR37" s="586"/>
      <c r="BS37" s="586"/>
      <c r="BT37" s="586"/>
      <c r="BU37" s="586"/>
      <c r="BV37" s="586"/>
      <c r="BW37" s="586"/>
      <c r="BX37" s="586"/>
      <c r="BY37" s="586"/>
      <c r="BZ37" s="586"/>
      <c r="CA37" s="586"/>
      <c r="CB37" s="586"/>
      <c r="CC37" s="586"/>
      <c r="CD37" s="586"/>
      <c r="CE37" s="586"/>
      <c r="CF37" s="586"/>
      <c r="CG37" s="586"/>
      <c r="CH37" s="586"/>
      <c r="CI37" s="586"/>
      <c r="CJ37" s="586"/>
      <c r="CK37" s="586"/>
      <c r="CL37" s="586"/>
      <c r="CM37" s="586"/>
      <c r="CN37" s="586"/>
      <c r="CO37" s="586"/>
      <c r="CP37" s="586"/>
      <c r="CQ37" s="586"/>
      <c r="CR37" s="586"/>
      <c r="CS37" s="586"/>
      <c r="CT37" s="586"/>
      <c r="CU37" s="586"/>
      <c r="CV37" s="586"/>
      <c r="CW37" s="586"/>
      <c r="CX37" s="586"/>
      <c r="CY37" s="586"/>
      <c r="CZ37" s="586"/>
      <c r="DA37" s="586"/>
      <c r="DB37" s="587"/>
      <c r="DC37" s="585" t="s">
        <v>33</v>
      </c>
      <c r="DD37" s="586"/>
      <c r="DE37" s="586"/>
      <c r="DF37" s="586"/>
      <c r="DG37" s="586"/>
      <c r="DH37" s="586"/>
      <c r="DI37" s="586"/>
      <c r="DJ37" s="586"/>
      <c r="DK37" s="586"/>
      <c r="DL37" s="586"/>
      <c r="DM37" s="586"/>
      <c r="DN37" s="586"/>
      <c r="DO37" s="586"/>
      <c r="DP37" s="586"/>
      <c r="DQ37" s="586"/>
      <c r="DR37" s="586"/>
      <c r="DS37" s="586"/>
      <c r="DT37" s="586"/>
      <c r="DU37" s="586"/>
      <c r="DV37" s="586"/>
      <c r="DW37" s="586"/>
      <c r="DX37" s="586"/>
      <c r="DY37" s="586"/>
      <c r="DZ37" s="586"/>
      <c r="EA37" s="586"/>
      <c r="EB37" s="586"/>
      <c r="EC37" s="586"/>
      <c r="ED37" s="586"/>
      <c r="EE37" s="586"/>
      <c r="EF37" s="586"/>
      <c r="EG37" s="586"/>
      <c r="EH37" s="586"/>
      <c r="EI37" s="586"/>
      <c r="EJ37" s="586"/>
      <c r="EK37" s="586"/>
      <c r="EL37" s="586"/>
      <c r="EM37" s="586"/>
      <c r="EN37" s="586"/>
      <c r="EO37" s="586"/>
      <c r="EP37" s="764"/>
      <c r="EQ37" s="765"/>
      <c r="ER37" s="765"/>
      <c r="ES37" s="766"/>
    </row>
    <row r="38" spans="1:151" s="76" customFormat="1" ht="60.75" x14ac:dyDescent="0.75">
      <c r="A38" s="628"/>
      <c r="B38" s="606"/>
      <c r="C38" s="607"/>
      <c r="D38" s="607"/>
      <c r="E38" s="607"/>
      <c r="F38" s="607"/>
      <c r="G38" s="607"/>
      <c r="H38" s="607"/>
      <c r="I38" s="607"/>
      <c r="J38" s="607"/>
      <c r="K38" s="607"/>
      <c r="L38" s="607"/>
      <c r="M38" s="607"/>
      <c r="N38" s="607"/>
      <c r="O38" s="607"/>
      <c r="P38" s="607"/>
      <c r="Q38" s="607"/>
      <c r="R38" s="607"/>
      <c r="S38" s="607"/>
      <c r="T38" s="607"/>
      <c r="U38" s="607"/>
      <c r="V38" s="607"/>
      <c r="W38" s="607"/>
      <c r="X38" s="607"/>
      <c r="Y38" s="607"/>
      <c r="Z38" s="254"/>
      <c r="AA38" s="255"/>
      <c r="AB38" s="255"/>
      <c r="AC38" s="255"/>
      <c r="AD38" s="255"/>
      <c r="AE38" s="255"/>
      <c r="AF38" s="256"/>
      <c r="AG38" s="636"/>
      <c r="AH38" s="637"/>
      <c r="AI38" s="637"/>
      <c r="AJ38" s="637"/>
      <c r="AK38" s="638"/>
      <c r="AL38" s="636"/>
      <c r="AM38" s="637"/>
      <c r="AN38" s="637"/>
      <c r="AO38" s="637"/>
      <c r="AP38" s="638"/>
      <c r="AQ38" s="636"/>
      <c r="AR38" s="637"/>
      <c r="AS38" s="637"/>
      <c r="AT38" s="637"/>
      <c r="AU38" s="638"/>
      <c r="AV38" s="636"/>
      <c r="AW38" s="637"/>
      <c r="AX38" s="637"/>
      <c r="AY38" s="637"/>
      <c r="AZ38" s="638"/>
      <c r="BA38" s="636"/>
      <c r="BB38" s="637"/>
      <c r="BC38" s="637"/>
      <c r="BD38" s="637"/>
      <c r="BE38" s="638"/>
      <c r="BF38" s="636"/>
      <c r="BG38" s="637"/>
      <c r="BH38" s="637"/>
      <c r="BI38" s="637"/>
      <c r="BJ38" s="637"/>
      <c r="BK38" s="647"/>
      <c r="BL38" s="647"/>
      <c r="BM38" s="647"/>
      <c r="BN38" s="648"/>
      <c r="BO38" s="577">
        <v>3</v>
      </c>
      <c r="BP38" s="565"/>
      <c r="BQ38" s="565"/>
      <c r="BR38" s="565"/>
      <c r="BS38" s="579">
        <v>3</v>
      </c>
      <c r="BT38" s="565"/>
      <c r="BU38" s="565"/>
      <c r="BV38" s="565"/>
      <c r="BW38" s="579">
        <v>3</v>
      </c>
      <c r="BX38" s="565"/>
      <c r="BY38" s="565"/>
      <c r="BZ38" s="565"/>
      <c r="CA38" s="579">
        <v>3</v>
      </c>
      <c r="CB38" s="565"/>
      <c r="CC38" s="565"/>
      <c r="CD38" s="565"/>
      <c r="CE38" s="579">
        <v>3</v>
      </c>
      <c r="CF38" s="565"/>
      <c r="CG38" s="565"/>
      <c r="CH38" s="565"/>
      <c r="CI38" s="579">
        <v>3</v>
      </c>
      <c r="CJ38" s="565"/>
      <c r="CK38" s="565"/>
      <c r="CL38" s="565"/>
      <c r="CM38" s="579">
        <v>3</v>
      </c>
      <c r="CN38" s="565"/>
      <c r="CO38" s="565"/>
      <c r="CP38" s="565"/>
      <c r="CQ38" s="579">
        <v>3</v>
      </c>
      <c r="CR38" s="565"/>
      <c r="CS38" s="565"/>
      <c r="CT38" s="565"/>
      <c r="CU38" s="579">
        <v>3</v>
      </c>
      <c r="CV38" s="565"/>
      <c r="CW38" s="565"/>
      <c r="CX38" s="565"/>
      <c r="CY38" s="586">
        <v>3</v>
      </c>
      <c r="CZ38" s="586"/>
      <c r="DA38" s="586"/>
      <c r="DB38" s="587"/>
      <c r="DC38" s="578">
        <f>DC82</f>
        <v>14</v>
      </c>
      <c r="DD38" s="565"/>
      <c r="DE38" s="565"/>
      <c r="DF38" s="565"/>
      <c r="DG38" s="578">
        <f>DG82</f>
        <v>19</v>
      </c>
      <c r="DH38" s="565"/>
      <c r="DI38" s="565"/>
      <c r="DJ38" s="565"/>
      <c r="DK38" s="578">
        <f>DK82</f>
        <v>23</v>
      </c>
      <c r="DL38" s="565"/>
      <c r="DM38" s="565"/>
      <c r="DN38" s="565"/>
      <c r="DO38" s="578">
        <f>DO82</f>
        <v>17</v>
      </c>
      <c r="DP38" s="565"/>
      <c r="DQ38" s="565"/>
      <c r="DR38" s="565"/>
      <c r="DS38" s="578">
        <f>DS82</f>
        <v>19</v>
      </c>
      <c r="DT38" s="565"/>
      <c r="DU38" s="565"/>
      <c r="DV38" s="565"/>
      <c r="DW38" s="578">
        <f>DW82</f>
        <v>19</v>
      </c>
      <c r="DX38" s="565"/>
      <c r="DY38" s="565"/>
      <c r="DZ38" s="565"/>
      <c r="EA38" s="578">
        <f>EA82</f>
        <v>17</v>
      </c>
      <c r="EB38" s="565"/>
      <c r="EC38" s="565"/>
      <c r="ED38" s="565"/>
      <c r="EE38" s="578">
        <f>EE82</f>
        <v>16</v>
      </c>
      <c r="EF38" s="565"/>
      <c r="EG38" s="565"/>
      <c r="EH38" s="565"/>
      <c r="EI38" s="578">
        <f>EI82</f>
        <v>18</v>
      </c>
      <c r="EJ38" s="565"/>
      <c r="EK38" s="565"/>
      <c r="EL38" s="565"/>
      <c r="EM38" s="578">
        <f>EM82</f>
        <v>18</v>
      </c>
      <c r="EN38" s="565"/>
      <c r="EO38" s="565"/>
      <c r="EP38" s="565"/>
      <c r="EQ38" s="579">
        <f>SUM(DC38:EP38)</f>
        <v>180</v>
      </c>
      <c r="ER38" s="579"/>
      <c r="ES38" s="579"/>
    </row>
    <row r="39" spans="1:151" s="76" customFormat="1" ht="60.75" x14ac:dyDescent="0.75">
      <c r="A39" s="107">
        <v>1</v>
      </c>
      <c r="B39" s="108"/>
      <c r="C39" s="608">
        <v>2</v>
      </c>
      <c r="D39" s="609"/>
      <c r="E39" s="609"/>
      <c r="F39" s="609"/>
      <c r="G39" s="609"/>
      <c r="H39" s="609"/>
      <c r="I39" s="609"/>
      <c r="J39" s="609"/>
      <c r="K39" s="609"/>
      <c r="L39" s="609"/>
      <c r="M39" s="609"/>
      <c r="N39" s="609"/>
      <c r="O39" s="609"/>
      <c r="P39" s="609"/>
      <c r="Q39" s="609"/>
      <c r="R39" s="609"/>
      <c r="S39" s="609"/>
      <c r="T39" s="609"/>
      <c r="U39" s="609"/>
      <c r="V39" s="609"/>
      <c r="W39" s="609"/>
      <c r="X39" s="609"/>
      <c r="Y39" s="585"/>
      <c r="Z39" s="639">
        <v>3</v>
      </c>
      <c r="AA39" s="639"/>
      <c r="AB39" s="639"/>
      <c r="AC39" s="639"/>
      <c r="AD39" s="640">
        <v>4</v>
      </c>
      <c r="AE39" s="641"/>
      <c r="AF39" s="642"/>
      <c r="AG39" s="640">
        <v>5</v>
      </c>
      <c r="AH39" s="641"/>
      <c r="AI39" s="641"/>
      <c r="AJ39" s="641"/>
      <c r="AK39" s="642"/>
      <c r="AL39" s="640">
        <v>6</v>
      </c>
      <c r="AM39" s="641"/>
      <c r="AN39" s="641"/>
      <c r="AO39" s="641"/>
      <c r="AP39" s="642"/>
      <c r="AQ39" s="640">
        <v>7</v>
      </c>
      <c r="AR39" s="641"/>
      <c r="AS39" s="641"/>
      <c r="AT39" s="641"/>
      <c r="AU39" s="642"/>
      <c r="AV39" s="640">
        <v>8</v>
      </c>
      <c r="AW39" s="641"/>
      <c r="AX39" s="641"/>
      <c r="AY39" s="641"/>
      <c r="AZ39" s="642"/>
      <c r="BA39" s="640">
        <v>9</v>
      </c>
      <c r="BB39" s="641"/>
      <c r="BC39" s="641"/>
      <c r="BD39" s="641"/>
      <c r="BE39" s="642"/>
      <c r="BF39" s="640">
        <v>10</v>
      </c>
      <c r="BG39" s="641"/>
      <c r="BH39" s="641"/>
      <c r="BI39" s="641"/>
      <c r="BJ39" s="642"/>
      <c r="BK39" s="616">
        <v>11</v>
      </c>
      <c r="BL39" s="617"/>
      <c r="BM39" s="617"/>
      <c r="BN39" s="617"/>
      <c r="BO39" s="649">
        <v>12</v>
      </c>
      <c r="BP39" s="617"/>
      <c r="BQ39" s="617"/>
      <c r="BR39" s="617"/>
      <c r="BS39" s="616">
        <v>13</v>
      </c>
      <c r="BT39" s="617"/>
      <c r="BU39" s="617"/>
      <c r="BV39" s="617"/>
      <c r="BW39" s="616">
        <v>14</v>
      </c>
      <c r="BX39" s="617"/>
      <c r="BY39" s="617"/>
      <c r="BZ39" s="617"/>
      <c r="CA39" s="616">
        <v>15</v>
      </c>
      <c r="CB39" s="617"/>
      <c r="CC39" s="617"/>
      <c r="CD39" s="617"/>
      <c r="CE39" s="616">
        <v>16</v>
      </c>
      <c r="CF39" s="617"/>
      <c r="CG39" s="617"/>
      <c r="CH39" s="617"/>
      <c r="CI39" s="616">
        <v>17</v>
      </c>
      <c r="CJ39" s="617"/>
      <c r="CK39" s="617"/>
      <c r="CL39" s="617"/>
      <c r="CM39" s="616">
        <v>18</v>
      </c>
      <c r="CN39" s="617"/>
      <c r="CO39" s="617"/>
      <c r="CP39" s="617"/>
      <c r="CQ39" s="616">
        <v>19</v>
      </c>
      <c r="CR39" s="617"/>
      <c r="CS39" s="617"/>
      <c r="CT39" s="617"/>
      <c r="CU39" s="616">
        <v>20</v>
      </c>
      <c r="CV39" s="617"/>
      <c r="CW39" s="617"/>
      <c r="CX39" s="617"/>
      <c r="CY39" s="616">
        <v>21</v>
      </c>
      <c r="CZ39" s="617"/>
      <c r="DA39" s="617"/>
      <c r="DB39" s="618"/>
      <c r="DC39" s="617">
        <v>22</v>
      </c>
      <c r="DD39" s="617"/>
      <c r="DE39" s="617"/>
      <c r="DF39" s="617"/>
      <c r="DG39" s="616">
        <v>23</v>
      </c>
      <c r="DH39" s="617"/>
      <c r="DI39" s="617"/>
      <c r="DJ39" s="617"/>
      <c r="DK39" s="616">
        <v>24</v>
      </c>
      <c r="DL39" s="617"/>
      <c r="DM39" s="617"/>
      <c r="DN39" s="617"/>
      <c r="DO39" s="616">
        <v>25</v>
      </c>
      <c r="DP39" s="617"/>
      <c r="DQ39" s="617"/>
      <c r="DR39" s="617"/>
      <c r="DS39" s="616">
        <v>26</v>
      </c>
      <c r="DT39" s="617"/>
      <c r="DU39" s="617"/>
      <c r="DV39" s="617"/>
      <c r="DW39" s="616">
        <v>27</v>
      </c>
      <c r="DX39" s="617"/>
      <c r="DY39" s="617"/>
      <c r="DZ39" s="617"/>
      <c r="EA39" s="616">
        <v>28</v>
      </c>
      <c r="EB39" s="617"/>
      <c r="EC39" s="617"/>
      <c r="ED39" s="617"/>
      <c r="EE39" s="616">
        <v>29</v>
      </c>
      <c r="EF39" s="617"/>
      <c r="EG39" s="617"/>
      <c r="EH39" s="617"/>
      <c r="EI39" s="616">
        <v>30</v>
      </c>
      <c r="EJ39" s="617"/>
      <c r="EK39" s="617"/>
      <c r="EL39" s="617"/>
      <c r="EM39" s="616">
        <v>31</v>
      </c>
      <c r="EN39" s="617"/>
      <c r="EO39" s="617"/>
      <c r="EP39" s="617"/>
      <c r="EQ39" s="579"/>
      <c r="ER39" s="579"/>
      <c r="ES39" s="579"/>
    </row>
    <row r="40" spans="1:151" s="76" customFormat="1" ht="80.099999999999994" customHeight="1" x14ac:dyDescent="0.75">
      <c r="A40" s="110" t="s">
        <v>76</v>
      </c>
      <c r="B40" s="110"/>
      <c r="C40" s="611" t="s">
        <v>35</v>
      </c>
      <c r="D40" s="611"/>
      <c r="E40" s="611"/>
      <c r="F40" s="611"/>
      <c r="G40" s="611"/>
      <c r="H40" s="611"/>
      <c r="I40" s="611"/>
      <c r="J40" s="611"/>
      <c r="K40" s="611"/>
      <c r="L40" s="611"/>
      <c r="M40" s="611"/>
      <c r="N40" s="611"/>
      <c r="O40" s="611"/>
      <c r="P40" s="611"/>
      <c r="Q40" s="611"/>
      <c r="R40" s="611"/>
      <c r="S40" s="611"/>
      <c r="T40" s="611"/>
      <c r="U40" s="611"/>
      <c r="V40" s="611"/>
      <c r="W40" s="611"/>
      <c r="X40" s="611"/>
      <c r="Y40" s="611"/>
      <c r="Z40" s="655">
        <f>SUM(Z41:AC58)</f>
        <v>3210</v>
      </c>
      <c r="AA40" s="655"/>
      <c r="AB40" s="655"/>
      <c r="AC40" s="655"/>
      <c r="AD40" s="533">
        <f>Z40/$Z$82*100</f>
        <v>59.444444444444443</v>
      </c>
      <c r="AE40" s="533"/>
      <c r="AF40" s="533"/>
      <c r="AG40" s="613">
        <f>SUM(AG41:AK58)</f>
        <v>410</v>
      </c>
      <c r="AH40" s="614"/>
      <c r="AI40" s="614"/>
      <c r="AJ40" s="614"/>
      <c r="AK40" s="615"/>
      <c r="AL40" s="613">
        <f t="shared" ref="AL40" si="12">SUM(AL41:AP58)</f>
        <v>210</v>
      </c>
      <c r="AM40" s="614"/>
      <c r="AN40" s="614"/>
      <c r="AO40" s="614"/>
      <c r="AP40" s="615"/>
      <c r="AQ40" s="613">
        <f t="shared" ref="AQ40" si="13">SUM(AQ41:AU58)</f>
        <v>128</v>
      </c>
      <c r="AR40" s="614"/>
      <c r="AS40" s="614"/>
      <c r="AT40" s="614"/>
      <c r="AU40" s="615"/>
      <c r="AV40" s="613">
        <f t="shared" ref="AV40" si="14">SUM(AV41:AZ58)</f>
        <v>68</v>
      </c>
      <c r="AW40" s="614"/>
      <c r="AX40" s="614"/>
      <c r="AY40" s="614"/>
      <c r="AZ40" s="615"/>
      <c r="BA40" s="613">
        <f t="shared" ref="BA40" si="15">SUM(BA41:BE58)</f>
        <v>0</v>
      </c>
      <c r="BB40" s="614"/>
      <c r="BC40" s="614"/>
      <c r="BD40" s="614"/>
      <c r="BE40" s="615"/>
      <c r="BF40" s="613">
        <f>SUM(BF45:BJ58)</f>
        <v>0</v>
      </c>
      <c r="BG40" s="614"/>
      <c r="BH40" s="614"/>
      <c r="BI40" s="614"/>
      <c r="BJ40" s="615"/>
      <c r="BK40" s="655">
        <f>SUM(BK41:BN58)</f>
        <v>2800</v>
      </c>
      <c r="BL40" s="655"/>
      <c r="BM40" s="655"/>
      <c r="BN40" s="613"/>
      <c r="BO40" s="621">
        <f>SUM(BO41:BR58)</f>
        <v>18</v>
      </c>
      <c r="BP40" s="621"/>
      <c r="BQ40" s="621"/>
      <c r="BR40" s="621"/>
      <c r="BS40" s="621">
        <f t="shared" ref="BS40" si="16">SUM(BS41:BV58)</f>
        <v>24</v>
      </c>
      <c r="BT40" s="621"/>
      <c r="BU40" s="621"/>
      <c r="BV40" s="621"/>
      <c r="BW40" s="621">
        <f t="shared" ref="BW40" si="17">SUM(BW41:BZ58)</f>
        <v>30</v>
      </c>
      <c r="BX40" s="621"/>
      <c r="BY40" s="621"/>
      <c r="BZ40" s="621"/>
      <c r="CA40" s="621">
        <f t="shared" ref="CA40" si="18">SUM(CA41:CD58)</f>
        <v>12</v>
      </c>
      <c r="CB40" s="621"/>
      <c r="CC40" s="621"/>
      <c r="CD40" s="621"/>
      <c r="CE40" s="621">
        <f t="shared" ref="CE40" si="19">SUM(CE41:CH58)</f>
        <v>24</v>
      </c>
      <c r="CF40" s="621"/>
      <c r="CG40" s="621"/>
      <c r="CH40" s="621"/>
      <c r="CI40" s="621">
        <f t="shared" ref="CI40" si="20">SUM(CI41:CL58)</f>
        <v>12</v>
      </c>
      <c r="CJ40" s="621"/>
      <c r="CK40" s="621"/>
      <c r="CL40" s="621"/>
      <c r="CM40" s="621">
        <f t="shared" ref="CM40" si="21">SUM(CM41:CP58)</f>
        <v>0</v>
      </c>
      <c r="CN40" s="621"/>
      <c r="CO40" s="621"/>
      <c r="CP40" s="621"/>
      <c r="CQ40" s="621">
        <f t="shared" ref="CQ40" si="22">SUM(CQ41:CT58)</f>
        <v>12</v>
      </c>
      <c r="CR40" s="621"/>
      <c r="CS40" s="621"/>
      <c r="CT40" s="621"/>
      <c r="CU40" s="621">
        <f t="shared" ref="CU40" si="23">SUM(CU41:CX58)</f>
        <v>12</v>
      </c>
      <c r="CV40" s="621"/>
      <c r="CW40" s="621"/>
      <c r="CX40" s="621"/>
      <c r="CY40" s="621">
        <f t="shared" ref="CY40" si="24">SUM(CY41:DB58)</f>
        <v>0</v>
      </c>
      <c r="CZ40" s="621"/>
      <c r="DA40" s="621"/>
      <c r="DB40" s="621"/>
      <c r="DC40" s="621">
        <f>SUM(DC41:DF58)</f>
        <v>14</v>
      </c>
      <c r="DD40" s="621"/>
      <c r="DE40" s="621"/>
      <c r="DF40" s="621"/>
      <c r="DG40" s="621">
        <f t="shared" ref="DG40" si="25">SUM(DG41:DJ58)</f>
        <v>19</v>
      </c>
      <c r="DH40" s="621"/>
      <c r="DI40" s="621"/>
      <c r="DJ40" s="621"/>
      <c r="DK40" s="621">
        <f t="shared" ref="DK40" si="26">SUM(DK41:DN58)</f>
        <v>23</v>
      </c>
      <c r="DL40" s="621"/>
      <c r="DM40" s="621"/>
      <c r="DN40" s="621"/>
      <c r="DO40" s="621">
        <f t="shared" ref="DO40" si="27">SUM(DO41:DR58)</f>
        <v>9</v>
      </c>
      <c r="DP40" s="621"/>
      <c r="DQ40" s="621"/>
      <c r="DR40" s="621"/>
      <c r="DS40" s="621">
        <f t="shared" ref="DS40" si="28">SUM(DS41:DV58)</f>
        <v>8</v>
      </c>
      <c r="DT40" s="621"/>
      <c r="DU40" s="621"/>
      <c r="DV40" s="621"/>
      <c r="DW40" s="621">
        <f t="shared" ref="DW40" si="29">SUM(DW41:DZ58)</f>
        <v>8</v>
      </c>
      <c r="DX40" s="621"/>
      <c r="DY40" s="621"/>
      <c r="DZ40" s="621"/>
      <c r="EA40" s="621">
        <f t="shared" ref="EA40" si="30">SUM(EA41:ED58)</f>
        <v>4</v>
      </c>
      <c r="EB40" s="621"/>
      <c r="EC40" s="621"/>
      <c r="ED40" s="621"/>
      <c r="EE40" s="621">
        <f t="shared" ref="EE40" si="31">SUM(EE41:EH58)</f>
        <v>8</v>
      </c>
      <c r="EF40" s="621"/>
      <c r="EG40" s="621"/>
      <c r="EH40" s="621"/>
      <c r="EI40" s="621">
        <f t="shared" ref="EI40" si="32">SUM(EI41:EL58)</f>
        <v>10</v>
      </c>
      <c r="EJ40" s="621"/>
      <c r="EK40" s="621"/>
      <c r="EL40" s="621"/>
      <c r="EM40" s="621">
        <f t="shared" ref="EM40" si="33">SUM(EM41:EP58)</f>
        <v>4</v>
      </c>
      <c r="EN40" s="621"/>
      <c r="EO40" s="621"/>
      <c r="EP40" s="621"/>
      <c r="EQ40" s="652">
        <f t="shared" ref="EQ40:EQ82" si="34">DC40+DG40+DK40+DO40+DS40+DW40+EA40+EE40+EI40+EM40</f>
        <v>107</v>
      </c>
      <c r="ER40" s="652"/>
      <c r="ES40" s="730"/>
    </row>
    <row r="41" spans="1:151" s="116" customFormat="1" ht="99.95" customHeight="1" x14ac:dyDescent="0.75">
      <c r="A41" s="114" t="s">
        <v>77</v>
      </c>
      <c r="B41" s="115" t="s">
        <v>109</v>
      </c>
      <c r="C41" s="560" t="s">
        <v>70</v>
      </c>
      <c r="D41" s="560"/>
      <c r="E41" s="560"/>
      <c r="F41" s="560"/>
      <c r="G41" s="560"/>
      <c r="H41" s="560"/>
      <c r="I41" s="560"/>
      <c r="J41" s="560"/>
      <c r="K41" s="560"/>
      <c r="L41" s="560"/>
      <c r="M41" s="560"/>
      <c r="N41" s="560"/>
      <c r="O41" s="560"/>
      <c r="P41" s="560"/>
      <c r="Q41" s="560"/>
      <c r="R41" s="560"/>
      <c r="S41" s="560"/>
      <c r="T41" s="560"/>
      <c r="U41" s="560"/>
      <c r="V41" s="560"/>
      <c r="W41" s="560"/>
      <c r="X41" s="560"/>
      <c r="Y41" s="560"/>
      <c r="Z41" s="562">
        <f t="shared" ref="Z41:Z55" si="35">EQ41*30</f>
        <v>300</v>
      </c>
      <c r="AA41" s="562"/>
      <c r="AB41" s="562"/>
      <c r="AC41" s="562"/>
      <c r="AD41" s="563">
        <f>+Z41*0.4*0.3</f>
        <v>36</v>
      </c>
      <c r="AE41" s="563"/>
      <c r="AF41" s="563"/>
      <c r="AG41" s="550">
        <f>+AL41+AQ41+AV41</f>
        <v>36</v>
      </c>
      <c r="AH41" s="550"/>
      <c r="AI41" s="550"/>
      <c r="AJ41" s="550"/>
      <c r="AK41" s="550"/>
      <c r="AL41" s="551">
        <v>24</v>
      </c>
      <c r="AM41" s="551"/>
      <c r="AN41" s="551"/>
      <c r="AO41" s="551"/>
      <c r="AP41" s="551"/>
      <c r="AQ41" s="551"/>
      <c r="AR41" s="551"/>
      <c r="AS41" s="551"/>
      <c r="AT41" s="551"/>
      <c r="AU41" s="551"/>
      <c r="AV41" s="551">
        <v>12</v>
      </c>
      <c r="AW41" s="551"/>
      <c r="AX41" s="551"/>
      <c r="AY41" s="551"/>
      <c r="AZ41" s="551"/>
      <c r="BA41" s="553"/>
      <c r="BB41" s="553"/>
      <c r="BC41" s="553"/>
      <c r="BD41" s="553"/>
      <c r="BE41" s="553"/>
      <c r="BF41" s="553"/>
      <c r="BG41" s="553"/>
      <c r="BH41" s="553"/>
      <c r="BI41" s="553"/>
      <c r="BJ41" s="553"/>
      <c r="BK41" s="557">
        <f t="shared" ref="BK41:BK55" si="36">Z41-AG41</f>
        <v>264</v>
      </c>
      <c r="BL41" s="557"/>
      <c r="BM41" s="557"/>
      <c r="BN41" s="558"/>
      <c r="BO41" s="559"/>
      <c r="BP41" s="552"/>
      <c r="BQ41" s="552"/>
      <c r="BR41" s="552"/>
      <c r="BS41" s="552">
        <v>6</v>
      </c>
      <c r="BT41" s="552"/>
      <c r="BU41" s="552"/>
      <c r="BV41" s="552"/>
      <c r="BW41" s="552">
        <v>6</v>
      </c>
      <c r="BX41" s="552"/>
      <c r="BY41" s="552"/>
      <c r="BZ41" s="552"/>
      <c r="CA41" s="552"/>
      <c r="CB41" s="552"/>
      <c r="CC41" s="552"/>
      <c r="CD41" s="552"/>
      <c r="CE41" s="552"/>
      <c r="CF41" s="552"/>
      <c r="CG41" s="552"/>
      <c r="CH41" s="552"/>
      <c r="CI41" s="552"/>
      <c r="CJ41" s="552"/>
      <c r="CK41" s="552"/>
      <c r="CL41" s="552"/>
      <c r="CM41" s="552"/>
      <c r="CN41" s="552"/>
      <c r="CO41" s="552"/>
      <c r="CP41" s="552"/>
      <c r="CQ41" s="552"/>
      <c r="CR41" s="552"/>
      <c r="CS41" s="552"/>
      <c r="CT41" s="552"/>
      <c r="CU41" s="552"/>
      <c r="CV41" s="552"/>
      <c r="CW41" s="552"/>
      <c r="CX41" s="552"/>
      <c r="CY41" s="552"/>
      <c r="CZ41" s="552"/>
      <c r="DA41" s="552"/>
      <c r="DB41" s="596"/>
      <c r="DC41" s="597"/>
      <c r="DD41" s="555"/>
      <c r="DE41" s="555"/>
      <c r="DF41" s="556"/>
      <c r="DG41" s="554">
        <v>5</v>
      </c>
      <c r="DH41" s="555"/>
      <c r="DI41" s="555"/>
      <c r="DJ41" s="556"/>
      <c r="DK41" s="554">
        <v>5</v>
      </c>
      <c r="DL41" s="555"/>
      <c r="DM41" s="555"/>
      <c r="DN41" s="556"/>
      <c r="DO41" s="554"/>
      <c r="DP41" s="555"/>
      <c r="DQ41" s="555"/>
      <c r="DR41" s="556"/>
      <c r="DS41" s="619"/>
      <c r="DT41" s="569"/>
      <c r="DU41" s="569"/>
      <c r="DV41" s="570"/>
      <c r="DW41" s="619"/>
      <c r="DX41" s="569"/>
      <c r="DY41" s="569"/>
      <c r="DZ41" s="570"/>
      <c r="EA41" s="619"/>
      <c r="EB41" s="569"/>
      <c r="EC41" s="569"/>
      <c r="ED41" s="570"/>
      <c r="EE41" s="619"/>
      <c r="EF41" s="569"/>
      <c r="EG41" s="569"/>
      <c r="EH41" s="570"/>
      <c r="EI41" s="619"/>
      <c r="EJ41" s="569"/>
      <c r="EK41" s="569"/>
      <c r="EL41" s="570"/>
      <c r="EM41" s="619"/>
      <c r="EN41" s="569"/>
      <c r="EO41" s="569"/>
      <c r="EP41" s="622"/>
      <c r="EQ41" s="591">
        <f t="shared" si="34"/>
        <v>10</v>
      </c>
      <c r="ER41" s="591"/>
      <c r="ES41" s="562"/>
      <c r="EU41" s="117"/>
    </row>
    <row r="42" spans="1:151" s="116" customFormat="1" ht="99.95" customHeight="1" x14ac:dyDescent="0.75">
      <c r="A42" s="114" t="s">
        <v>78</v>
      </c>
      <c r="B42" s="115" t="s">
        <v>68</v>
      </c>
      <c r="C42" s="560" t="s">
        <v>69</v>
      </c>
      <c r="D42" s="560"/>
      <c r="E42" s="560"/>
      <c r="F42" s="560"/>
      <c r="G42" s="560"/>
      <c r="H42" s="560"/>
      <c r="I42" s="560"/>
      <c r="J42" s="560"/>
      <c r="K42" s="560"/>
      <c r="L42" s="560"/>
      <c r="M42" s="560"/>
      <c r="N42" s="560"/>
      <c r="O42" s="560"/>
      <c r="P42" s="560"/>
      <c r="Q42" s="560"/>
      <c r="R42" s="560"/>
      <c r="S42" s="560"/>
      <c r="T42" s="560"/>
      <c r="U42" s="560"/>
      <c r="V42" s="560"/>
      <c r="W42" s="560"/>
      <c r="X42" s="560"/>
      <c r="Y42" s="560"/>
      <c r="Z42" s="562">
        <f t="shared" si="35"/>
        <v>120</v>
      </c>
      <c r="AA42" s="562"/>
      <c r="AB42" s="562"/>
      <c r="AC42" s="562"/>
      <c r="AD42" s="576">
        <f>Z42*0.4*0.3</f>
        <v>14.399999999999999</v>
      </c>
      <c r="AE42" s="576"/>
      <c r="AF42" s="576"/>
      <c r="AG42" s="550">
        <v>16</v>
      </c>
      <c r="AH42" s="550"/>
      <c r="AI42" s="550"/>
      <c r="AJ42" s="550"/>
      <c r="AK42" s="550"/>
      <c r="AL42" s="551">
        <v>10</v>
      </c>
      <c r="AM42" s="551"/>
      <c r="AN42" s="551"/>
      <c r="AO42" s="551"/>
      <c r="AP42" s="551"/>
      <c r="AQ42" s="551"/>
      <c r="AR42" s="551"/>
      <c r="AS42" s="551"/>
      <c r="AT42" s="551"/>
      <c r="AU42" s="551"/>
      <c r="AV42" s="551">
        <v>6</v>
      </c>
      <c r="AW42" s="551"/>
      <c r="AX42" s="551"/>
      <c r="AY42" s="551"/>
      <c r="AZ42" s="551"/>
      <c r="BA42" s="553"/>
      <c r="BB42" s="553"/>
      <c r="BC42" s="553"/>
      <c r="BD42" s="553"/>
      <c r="BE42" s="553"/>
      <c r="BF42" s="553"/>
      <c r="BG42" s="553"/>
      <c r="BH42" s="553"/>
      <c r="BI42" s="553"/>
      <c r="BJ42" s="553"/>
      <c r="BK42" s="557">
        <f t="shared" si="36"/>
        <v>104</v>
      </c>
      <c r="BL42" s="557"/>
      <c r="BM42" s="557"/>
      <c r="BN42" s="558"/>
      <c r="BO42" s="559"/>
      <c r="BP42" s="552"/>
      <c r="BQ42" s="552"/>
      <c r="BR42" s="552"/>
      <c r="BS42" s="552"/>
      <c r="BT42" s="552"/>
      <c r="BU42" s="552"/>
      <c r="BV42" s="552"/>
      <c r="BW42" s="552">
        <v>6</v>
      </c>
      <c r="BX42" s="552"/>
      <c r="BY42" s="552"/>
      <c r="BZ42" s="552"/>
      <c r="CA42" s="552"/>
      <c r="CB42" s="552"/>
      <c r="CC42" s="552"/>
      <c r="CD42" s="552"/>
      <c r="CE42" s="552"/>
      <c r="CF42" s="552"/>
      <c r="CG42" s="552"/>
      <c r="CH42" s="552"/>
      <c r="CI42" s="552"/>
      <c r="CJ42" s="552"/>
      <c r="CK42" s="552"/>
      <c r="CL42" s="552"/>
      <c r="CM42" s="552"/>
      <c r="CN42" s="552"/>
      <c r="CO42" s="552"/>
      <c r="CP42" s="552"/>
      <c r="CQ42" s="552"/>
      <c r="CR42" s="552"/>
      <c r="CS42" s="552"/>
      <c r="CT42" s="552"/>
      <c r="CU42" s="552"/>
      <c r="CV42" s="552"/>
      <c r="CW42" s="552"/>
      <c r="CX42" s="552"/>
      <c r="CY42" s="552"/>
      <c r="CZ42" s="552"/>
      <c r="DA42" s="552"/>
      <c r="DB42" s="596"/>
      <c r="DC42" s="597"/>
      <c r="DD42" s="555"/>
      <c r="DE42" s="555"/>
      <c r="DF42" s="556"/>
      <c r="DG42" s="554"/>
      <c r="DH42" s="555"/>
      <c r="DI42" s="555"/>
      <c r="DJ42" s="556"/>
      <c r="DK42" s="554">
        <v>4</v>
      </c>
      <c r="DL42" s="555"/>
      <c r="DM42" s="555"/>
      <c r="DN42" s="556"/>
      <c r="DO42" s="554"/>
      <c r="DP42" s="555"/>
      <c r="DQ42" s="555"/>
      <c r="DR42" s="556"/>
      <c r="DS42" s="554"/>
      <c r="DT42" s="555"/>
      <c r="DU42" s="555"/>
      <c r="DV42" s="556"/>
      <c r="DW42" s="554"/>
      <c r="DX42" s="555"/>
      <c r="DY42" s="555"/>
      <c r="DZ42" s="556"/>
      <c r="EA42" s="554"/>
      <c r="EB42" s="555"/>
      <c r="EC42" s="555"/>
      <c r="ED42" s="556"/>
      <c r="EE42" s="554"/>
      <c r="EF42" s="555"/>
      <c r="EG42" s="555"/>
      <c r="EH42" s="556"/>
      <c r="EI42" s="554"/>
      <c r="EJ42" s="555"/>
      <c r="EK42" s="555"/>
      <c r="EL42" s="556"/>
      <c r="EM42" s="554"/>
      <c r="EN42" s="555"/>
      <c r="EO42" s="555"/>
      <c r="EP42" s="588"/>
      <c r="EQ42" s="591">
        <f t="shared" si="34"/>
        <v>4</v>
      </c>
      <c r="ER42" s="591"/>
      <c r="ES42" s="562"/>
      <c r="EU42" s="117"/>
    </row>
    <row r="43" spans="1:151" s="116" customFormat="1" ht="120" customHeight="1" x14ac:dyDescent="0.75">
      <c r="A43" s="114" t="s">
        <v>79</v>
      </c>
      <c r="B43" s="115" t="s">
        <v>110</v>
      </c>
      <c r="C43" s="560" t="s">
        <v>36</v>
      </c>
      <c r="D43" s="560"/>
      <c r="E43" s="560"/>
      <c r="F43" s="560"/>
      <c r="G43" s="560"/>
      <c r="H43" s="560"/>
      <c r="I43" s="560"/>
      <c r="J43" s="560"/>
      <c r="K43" s="560"/>
      <c r="L43" s="560"/>
      <c r="M43" s="560"/>
      <c r="N43" s="560"/>
      <c r="O43" s="560"/>
      <c r="P43" s="560"/>
      <c r="Q43" s="560"/>
      <c r="R43" s="560"/>
      <c r="S43" s="560"/>
      <c r="T43" s="560"/>
      <c r="U43" s="560"/>
      <c r="V43" s="560"/>
      <c r="W43" s="560"/>
      <c r="X43" s="560"/>
      <c r="Y43" s="560"/>
      <c r="Z43" s="562">
        <f t="shared" si="35"/>
        <v>150</v>
      </c>
      <c r="AA43" s="562"/>
      <c r="AB43" s="562"/>
      <c r="AC43" s="562"/>
      <c r="AD43" s="563">
        <f t="shared" ref="AD43:AD58" si="37">+Z43*0.4*0.3</f>
        <v>18</v>
      </c>
      <c r="AE43" s="563"/>
      <c r="AF43" s="563"/>
      <c r="AG43" s="550">
        <f t="shared" ref="AG43:AG49" si="38">+AL43+AQ43+AV43</f>
        <v>18</v>
      </c>
      <c r="AH43" s="550"/>
      <c r="AI43" s="550"/>
      <c r="AJ43" s="550"/>
      <c r="AK43" s="550"/>
      <c r="AL43" s="551">
        <v>12</v>
      </c>
      <c r="AM43" s="551"/>
      <c r="AN43" s="551"/>
      <c r="AO43" s="551"/>
      <c r="AP43" s="551"/>
      <c r="AQ43" s="551"/>
      <c r="AR43" s="551"/>
      <c r="AS43" s="551"/>
      <c r="AT43" s="551"/>
      <c r="AU43" s="551"/>
      <c r="AV43" s="551">
        <v>6</v>
      </c>
      <c r="AW43" s="551"/>
      <c r="AX43" s="551"/>
      <c r="AY43" s="551"/>
      <c r="AZ43" s="551"/>
      <c r="BA43" s="553"/>
      <c r="BB43" s="553"/>
      <c r="BC43" s="553"/>
      <c r="BD43" s="553"/>
      <c r="BE43" s="553"/>
      <c r="BF43" s="553"/>
      <c r="BG43" s="553"/>
      <c r="BH43" s="553"/>
      <c r="BI43" s="553"/>
      <c r="BJ43" s="553"/>
      <c r="BK43" s="557">
        <f t="shared" si="36"/>
        <v>132</v>
      </c>
      <c r="BL43" s="557"/>
      <c r="BM43" s="557"/>
      <c r="BN43" s="558"/>
      <c r="BO43" s="559"/>
      <c r="BP43" s="552"/>
      <c r="BQ43" s="552"/>
      <c r="BR43" s="552"/>
      <c r="BS43" s="552"/>
      <c r="BT43" s="552"/>
      <c r="BU43" s="552"/>
      <c r="BV43" s="552"/>
      <c r="BW43" s="552">
        <v>6</v>
      </c>
      <c r="BX43" s="552"/>
      <c r="BY43" s="552"/>
      <c r="BZ43" s="552"/>
      <c r="CA43" s="552"/>
      <c r="CB43" s="552"/>
      <c r="CC43" s="552"/>
      <c r="CD43" s="552"/>
      <c r="CE43" s="552"/>
      <c r="CF43" s="552"/>
      <c r="CG43" s="552"/>
      <c r="CH43" s="552"/>
      <c r="CI43" s="552"/>
      <c r="CJ43" s="552"/>
      <c r="CK43" s="552"/>
      <c r="CL43" s="552"/>
      <c r="CM43" s="552"/>
      <c r="CN43" s="552"/>
      <c r="CO43" s="552"/>
      <c r="CP43" s="552"/>
      <c r="CQ43" s="552"/>
      <c r="CR43" s="552"/>
      <c r="CS43" s="552"/>
      <c r="CT43" s="552"/>
      <c r="CU43" s="552"/>
      <c r="CV43" s="552"/>
      <c r="CW43" s="552"/>
      <c r="CX43" s="552"/>
      <c r="CY43" s="552"/>
      <c r="CZ43" s="552"/>
      <c r="DA43" s="552"/>
      <c r="DB43" s="596"/>
      <c r="DC43" s="597"/>
      <c r="DD43" s="555"/>
      <c r="DE43" s="555"/>
      <c r="DF43" s="556"/>
      <c r="DG43" s="554"/>
      <c r="DH43" s="555"/>
      <c r="DI43" s="555"/>
      <c r="DJ43" s="556"/>
      <c r="DK43" s="554">
        <v>5</v>
      </c>
      <c r="DL43" s="555"/>
      <c r="DM43" s="555"/>
      <c r="DN43" s="556"/>
      <c r="DO43" s="554"/>
      <c r="DP43" s="555"/>
      <c r="DQ43" s="555"/>
      <c r="DR43" s="556"/>
      <c r="DS43" s="554"/>
      <c r="DT43" s="555"/>
      <c r="DU43" s="555"/>
      <c r="DV43" s="556"/>
      <c r="DW43" s="554"/>
      <c r="DX43" s="555"/>
      <c r="DY43" s="555"/>
      <c r="DZ43" s="556"/>
      <c r="EA43" s="554"/>
      <c r="EB43" s="555"/>
      <c r="EC43" s="555"/>
      <c r="ED43" s="556"/>
      <c r="EE43" s="554"/>
      <c r="EF43" s="555"/>
      <c r="EG43" s="555"/>
      <c r="EH43" s="556"/>
      <c r="EI43" s="554"/>
      <c r="EJ43" s="555"/>
      <c r="EK43" s="555"/>
      <c r="EL43" s="556"/>
      <c r="EM43" s="554"/>
      <c r="EN43" s="555"/>
      <c r="EO43" s="555"/>
      <c r="EP43" s="588"/>
      <c r="EQ43" s="591">
        <f t="shared" si="34"/>
        <v>5</v>
      </c>
      <c r="ER43" s="591"/>
      <c r="ES43" s="562"/>
      <c r="EU43" s="117"/>
    </row>
    <row r="44" spans="1:151" s="116" customFormat="1" ht="99.95" customHeight="1" x14ac:dyDescent="0.75">
      <c r="A44" s="114" t="s">
        <v>80</v>
      </c>
      <c r="B44" s="115" t="s">
        <v>113</v>
      </c>
      <c r="C44" s="560" t="s">
        <v>111</v>
      </c>
      <c r="D44" s="560"/>
      <c r="E44" s="560"/>
      <c r="F44" s="560"/>
      <c r="G44" s="560"/>
      <c r="H44" s="560"/>
      <c r="I44" s="560"/>
      <c r="J44" s="560"/>
      <c r="K44" s="560"/>
      <c r="L44" s="560"/>
      <c r="M44" s="560"/>
      <c r="N44" s="560"/>
      <c r="O44" s="560"/>
      <c r="P44" s="560"/>
      <c r="Q44" s="560"/>
      <c r="R44" s="560"/>
      <c r="S44" s="560"/>
      <c r="T44" s="560"/>
      <c r="U44" s="560"/>
      <c r="V44" s="560"/>
      <c r="W44" s="560"/>
      <c r="X44" s="560"/>
      <c r="Y44" s="560"/>
      <c r="Z44" s="562">
        <f t="shared" si="35"/>
        <v>180</v>
      </c>
      <c r="AA44" s="562"/>
      <c r="AB44" s="562"/>
      <c r="AC44" s="562"/>
      <c r="AD44" s="576">
        <f t="shared" si="37"/>
        <v>21.599999999999998</v>
      </c>
      <c r="AE44" s="576"/>
      <c r="AF44" s="576"/>
      <c r="AG44" s="550">
        <f>+AL44+AQ44+AV44</f>
        <v>24</v>
      </c>
      <c r="AH44" s="550"/>
      <c r="AI44" s="550"/>
      <c r="AJ44" s="550"/>
      <c r="AK44" s="550"/>
      <c r="AL44" s="551"/>
      <c r="AM44" s="551"/>
      <c r="AN44" s="551"/>
      <c r="AO44" s="551"/>
      <c r="AP44" s="551"/>
      <c r="AQ44" s="551">
        <v>24</v>
      </c>
      <c r="AR44" s="551"/>
      <c r="AS44" s="551"/>
      <c r="AT44" s="551"/>
      <c r="AU44" s="551"/>
      <c r="AV44" s="551"/>
      <c r="AW44" s="551"/>
      <c r="AX44" s="551"/>
      <c r="AY44" s="551"/>
      <c r="AZ44" s="551"/>
      <c r="BA44" s="553"/>
      <c r="BB44" s="553"/>
      <c r="BC44" s="553"/>
      <c r="BD44" s="553"/>
      <c r="BE44" s="553"/>
      <c r="BF44" s="553"/>
      <c r="BG44" s="553"/>
      <c r="BH44" s="553"/>
      <c r="BI44" s="553"/>
      <c r="BJ44" s="553"/>
      <c r="BK44" s="557">
        <f t="shared" si="36"/>
        <v>156</v>
      </c>
      <c r="BL44" s="557"/>
      <c r="BM44" s="557"/>
      <c r="BN44" s="558"/>
      <c r="BO44" s="559">
        <v>4</v>
      </c>
      <c r="BP44" s="552"/>
      <c r="BQ44" s="552"/>
      <c r="BR44" s="552"/>
      <c r="BS44" s="552">
        <v>4</v>
      </c>
      <c r="BT44" s="552"/>
      <c r="BU44" s="552"/>
      <c r="BV44" s="552"/>
      <c r="BW44" s="552"/>
      <c r="BX44" s="552"/>
      <c r="BY44" s="552"/>
      <c r="BZ44" s="552"/>
      <c r="CA44" s="552"/>
      <c r="CB44" s="552"/>
      <c r="CC44" s="552"/>
      <c r="CD44" s="552"/>
      <c r="CE44" s="552"/>
      <c r="CF44" s="552"/>
      <c r="CG44" s="552"/>
      <c r="CH44" s="552"/>
      <c r="CI44" s="552"/>
      <c r="CJ44" s="552"/>
      <c r="CK44" s="552"/>
      <c r="CL44" s="552"/>
      <c r="CM44" s="552"/>
      <c r="CN44" s="552"/>
      <c r="CO44" s="552"/>
      <c r="CP44" s="552"/>
      <c r="CQ44" s="552"/>
      <c r="CR44" s="552"/>
      <c r="CS44" s="552"/>
      <c r="CT44" s="552"/>
      <c r="CU44" s="552"/>
      <c r="CV44" s="552"/>
      <c r="CW44" s="552"/>
      <c r="CX44" s="552"/>
      <c r="CY44" s="552"/>
      <c r="CZ44" s="552"/>
      <c r="DA44" s="552"/>
      <c r="DB44" s="596"/>
      <c r="DC44" s="597">
        <v>3</v>
      </c>
      <c r="DD44" s="555"/>
      <c r="DE44" s="555"/>
      <c r="DF44" s="556"/>
      <c r="DG44" s="554">
        <v>3</v>
      </c>
      <c r="DH44" s="555"/>
      <c r="DI44" s="555"/>
      <c r="DJ44" s="556"/>
      <c r="DK44" s="554"/>
      <c r="DL44" s="555"/>
      <c r="DM44" s="555"/>
      <c r="DN44" s="556"/>
      <c r="DO44" s="554"/>
      <c r="DP44" s="555"/>
      <c r="DQ44" s="555"/>
      <c r="DR44" s="556"/>
      <c r="DS44" s="554"/>
      <c r="DT44" s="555"/>
      <c r="DU44" s="555"/>
      <c r="DV44" s="556"/>
      <c r="DW44" s="554"/>
      <c r="DX44" s="555"/>
      <c r="DY44" s="555"/>
      <c r="DZ44" s="556"/>
      <c r="EA44" s="554"/>
      <c r="EB44" s="555"/>
      <c r="EC44" s="555"/>
      <c r="ED44" s="556"/>
      <c r="EE44" s="554"/>
      <c r="EF44" s="555"/>
      <c r="EG44" s="555"/>
      <c r="EH44" s="556"/>
      <c r="EI44" s="554"/>
      <c r="EJ44" s="555"/>
      <c r="EK44" s="555"/>
      <c r="EL44" s="556"/>
      <c r="EM44" s="554"/>
      <c r="EN44" s="555"/>
      <c r="EO44" s="555"/>
      <c r="EP44" s="588"/>
      <c r="EQ44" s="591">
        <f t="shared" si="34"/>
        <v>6</v>
      </c>
      <c r="ER44" s="591"/>
      <c r="ES44" s="562"/>
      <c r="EU44" s="117"/>
    </row>
    <row r="45" spans="1:151" s="116" customFormat="1" ht="99.95" customHeight="1" x14ac:dyDescent="0.75">
      <c r="A45" s="114" t="s">
        <v>81</v>
      </c>
      <c r="B45" s="115" t="s">
        <v>112</v>
      </c>
      <c r="C45" s="560" t="s">
        <v>175</v>
      </c>
      <c r="D45" s="560"/>
      <c r="E45" s="560"/>
      <c r="F45" s="560"/>
      <c r="G45" s="560"/>
      <c r="H45" s="560"/>
      <c r="I45" s="560"/>
      <c r="J45" s="560"/>
      <c r="K45" s="560"/>
      <c r="L45" s="560"/>
      <c r="M45" s="560"/>
      <c r="N45" s="560"/>
      <c r="O45" s="560"/>
      <c r="P45" s="560"/>
      <c r="Q45" s="560"/>
      <c r="R45" s="560"/>
      <c r="S45" s="560"/>
      <c r="T45" s="560"/>
      <c r="U45" s="560"/>
      <c r="V45" s="560"/>
      <c r="W45" s="560"/>
      <c r="X45" s="560"/>
      <c r="Y45" s="560"/>
      <c r="Z45" s="562">
        <f t="shared" si="35"/>
        <v>120</v>
      </c>
      <c r="AA45" s="562"/>
      <c r="AB45" s="562"/>
      <c r="AC45" s="562"/>
      <c r="AD45" s="563">
        <f>Z45*0.4*0.3</f>
        <v>14.399999999999999</v>
      </c>
      <c r="AE45" s="563"/>
      <c r="AF45" s="563"/>
      <c r="AG45" s="550">
        <v>16</v>
      </c>
      <c r="AH45" s="550"/>
      <c r="AI45" s="550"/>
      <c r="AJ45" s="550"/>
      <c r="AK45" s="550"/>
      <c r="AL45" s="551">
        <v>10</v>
      </c>
      <c r="AM45" s="551"/>
      <c r="AN45" s="551"/>
      <c r="AO45" s="551"/>
      <c r="AP45" s="551"/>
      <c r="AQ45" s="551"/>
      <c r="AR45" s="551"/>
      <c r="AS45" s="551"/>
      <c r="AT45" s="551"/>
      <c r="AU45" s="551"/>
      <c r="AV45" s="551">
        <v>6</v>
      </c>
      <c r="AW45" s="551"/>
      <c r="AX45" s="551"/>
      <c r="AY45" s="551"/>
      <c r="AZ45" s="551"/>
      <c r="BA45" s="553"/>
      <c r="BB45" s="553"/>
      <c r="BC45" s="553"/>
      <c r="BD45" s="553"/>
      <c r="BE45" s="553"/>
      <c r="BF45" s="553"/>
      <c r="BG45" s="553"/>
      <c r="BH45" s="553"/>
      <c r="BI45" s="553"/>
      <c r="BJ45" s="553"/>
      <c r="BK45" s="557">
        <f t="shared" si="36"/>
        <v>104</v>
      </c>
      <c r="BL45" s="557"/>
      <c r="BM45" s="557"/>
      <c r="BN45" s="558"/>
      <c r="BO45" s="559"/>
      <c r="BP45" s="552"/>
      <c r="BQ45" s="552"/>
      <c r="BR45" s="552"/>
      <c r="BS45" s="552"/>
      <c r="BT45" s="552"/>
      <c r="BU45" s="552"/>
      <c r="BV45" s="552"/>
      <c r="BW45" s="552">
        <v>6</v>
      </c>
      <c r="BX45" s="552"/>
      <c r="BY45" s="552"/>
      <c r="BZ45" s="552"/>
      <c r="CA45" s="552"/>
      <c r="CB45" s="552"/>
      <c r="CC45" s="552"/>
      <c r="CD45" s="552"/>
      <c r="CE45" s="552"/>
      <c r="CF45" s="552"/>
      <c r="CG45" s="552"/>
      <c r="CH45" s="552"/>
      <c r="CI45" s="552"/>
      <c r="CJ45" s="552"/>
      <c r="CK45" s="552"/>
      <c r="CL45" s="552"/>
      <c r="CM45" s="552"/>
      <c r="CN45" s="552"/>
      <c r="CO45" s="552"/>
      <c r="CP45" s="552"/>
      <c r="CQ45" s="552"/>
      <c r="CR45" s="552"/>
      <c r="CS45" s="552"/>
      <c r="CT45" s="552"/>
      <c r="CU45" s="552"/>
      <c r="CV45" s="552"/>
      <c r="CW45" s="552"/>
      <c r="CX45" s="552"/>
      <c r="CY45" s="552"/>
      <c r="CZ45" s="552"/>
      <c r="DA45" s="552"/>
      <c r="DB45" s="596"/>
      <c r="DC45" s="597"/>
      <c r="DD45" s="555"/>
      <c r="DE45" s="555"/>
      <c r="DF45" s="556"/>
      <c r="DG45" s="554"/>
      <c r="DH45" s="555"/>
      <c r="DI45" s="555"/>
      <c r="DJ45" s="556"/>
      <c r="DK45" s="554">
        <v>4</v>
      </c>
      <c r="DL45" s="555"/>
      <c r="DM45" s="555"/>
      <c r="DN45" s="556"/>
      <c r="DO45" s="554"/>
      <c r="DP45" s="555"/>
      <c r="DQ45" s="555"/>
      <c r="DR45" s="556"/>
      <c r="DS45" s="554"/>
      <c r="DT45" s="555"/>
      <c r="DU45" s="555"/>
      <c r="DV45" s="556"/>
      <c r="DW45" s="554"/>
      <c r="DX45" s="555"/>
      <c r="DY45" s="555"/>
      <c r="DZ45" s="556"/>
      <c r="EA45" s="554"/>
      <c r="EB45" s="555"/>
      <c r="EC45" s="555"/>
      <c r="ED45" s="556"/>
      <c r="EE45" s="554"/>
      <c r="EF45" s="555"/>
      <c r="EG45" s="555"/>
      <c r="EH45" s="556"/>
      <c r="EI45" s="554"/>
      <c r="EJ45" s="555"/>
      <c r="EK45" s="555"/>
      <c r="EL45" s="556"/>
      <c r="EM45" s="554"/>
      <c r="EN45" s="555"/>
      <c r="EO45" s="555"/>
      <c r="EP45" s="588"/>
      <c r="EQ45" s="591">
        <f t="shared" si="34"/>
        <v>4</v>
      </c>
      <c r="ER45" s="591"/>
      <c r="ES45" s="562"/>
      <c r="EU45" s="117"/>
    </row>
    <row r="46" spans="1:151" s="116" customFormat="1" ht="120" customHeight="1" x14ac:dyDescent="0.75">
      <c r="A46" s="114" t="s">
        <v>82</v>
      </c>
      <c r="B46" s="115" t="s">
        <v>115</v>
      </c>
      <c r="C46" s="560" t="s">
        <v>114</v>
      </c>
      <c r="D46" s="560"/>
      <c r="E46" s="560"/>
      <c r="F46" s="560"/>
      <c r="G46" s="560"/>
      <c r="H46" s="560"/>
      <c r="I46" s="560"/>
      <c r="J46" s="560"/>
      <c r="K46" s="560"/>
      <c r="L46" s="560"/>
      <c r="M46" s="560"/>
      <c r="N46" s="560"/>
      <c r="O46" s="560"/>
      <c r="P46" s="560"/>
      <c r="Q46" s="560"/>
      <c r="R46" s="560"/>
      <c r="S46" s="560"/>
      <c r="T46" s="560"/>
      <c r="U46" s="560"/>
      <c r="V46" s="560"/>
      <c r="W46" s="560"/>
      <c r="X46" s="560"/>
      <c r="Y46" s="560"/>
      <c r="Z46" s="562">
        <f t="shared" si="35"/>
        <v>180</v>
      </c>
      <c r="AA46" s="562"/>
      <c r="AB46" s="562"/>
      <c r="AC46" s="562"/>
      <c r="AD46" s="576">
        <f t="shared" si="37"/>
        <v>21.599999999999998</v>
      </c>
      <c r="AE46" s="576"/>
      <c r="AF46" s="576"/>
      <c r="AG46" s="550">
        <v>24</v>
      </c>
      <c r="AH46" s="550"/>
      <c r="AI46" s="550"/>
      <c r="AJ46" s="550"/>
      <c r="AK46" s="550"/>
      <c r="AL46" s="551">
        <v>12</v>
      </c>
      <c r="AM46" s="551"/>
      <c r="AN46" s="551"/>
      <c r="AO46" s="551"/>
      <c r="AP46" s="551"/>
      <c r="AQ46" s="551">
        <v>12</v>
      </c>
      <c r="AR46" s="551"/>
      <c r="AS46" s="551"/>
      <c r="AT46" s="551"/>
      <c r="AU46" s="551"/>
      <c r="AV46" s="551"/>
      <c r="AW46" s="551"/>
      <c r="AX46" s="551"/>
      <c r="AY46" s="551"/>
      <c r="AZ46" s="551"/>
      <c r="BA46" s="553"/>
      <c r="BB46" s="553"/>
      <c r="BC46" s="553"/>
      <c r="BD46" s="553"/>
      <c r="BE46" s="553"/>
      <c r="BF46" s="553"/>
      <c r="BG46" s="553"/>
      <c r="BH46" s="553"/>
      <c r="BI46" s="553"/>
      <c r="BJ46" s="553"/>
      <c r="BK46" s="557">
        <f t="shared" si="36"/>
        <v>156</v>
      </c>
      <c r="BL46" s="557"/>
      <c r="BM46" s="557"/>
      <c r="BN46" s="558"/>
      <c r="BO46" s="559">
        <v>4</v>
      </c>
      <c r="BP46" s="552"/>
      <c r="BQ46" s="552"/>
      <c r="BR46" s="552"/>
      <c r="BS46" s="552">
        <v>4</v>
      </c>
      <c r="BT46" s="552"/>
      <c r="BU46" s="552"/>
      <c r="BV46" s="552"/>
      <c r="BW46" s="552"/>
      <c r="BX46" s="552"/>
      <c r="BY46" s="552"/>
      <c r="BZ46" s="552"/>
      <c r="CA46" s="552"/>
      <c r="CB46" s="552"/>
      <c r="CC46" s="552"/>
      <c r="CD46" s="552"/>
      <c r="CE46" s="552"/>
      <c r="CF46" s="552"/>
      <c r="CG46" s="552"/>
      <c r="CH46" s="552"/>
      <c r="CI46" s="552"/>
      <c r="CJ46" s="552"/>
      <c r="CK46" s="552"/>
      <c r="CL46" s="552"/>
      <c r="CM46" s="552"/>
      <c r="CN46" s="552"/>
      <c r="CO46" s="552"/>
      <c r="CP46" s="552"/>
      <c r="CQ46" s="552"/>
      <c r="CR46" s="552"/>
      <c r="CS46" s="552"/>
      <c r="CT46" s="552"/>
      <c r="CU46" s="552"/>
      <c r="CV46" s="552"/>
      <c r="CW46" s="552"/>
      <c r="CX46" s="552"/>
      <c r="CY46" s="552"/>
      <c r="CZ46" s="552"/>
      <c r="DA46" s="552"/>
      <c r="DB46" s="596"/>
      <c r="DC46" s="597">
        <v>3</v>
      </c>
      <c r="DD46" s="555"/>
      <c r="DE46" s="555"/>
      <c r="DF46" s="556"/>
      <c r="DG46" s="554">
        <v>3</v>
      </c>
      <c r="DH46" s="555"/>
      <c r="DI46" s="555"/>
      <c r="DJ46" s="556"/>
      <c r="DK46" s="554"/>
      <c r="DL46" s="555"/>
      <c r="DM46" s="555"/>
      <c r="DN46" s="556"/>
      <c r="DO46" s="554"/>
      <c r="DP46" s="555"/>
      <c r="DQ46" s="555"/>
      <c r="DR46" s="556"/>
      <c r="DS46" s="554"/>
      <c r="DT46" s="555"/>
      <c r="DU46" s="555"/>
      <c r="DV46" s="556"/>
      <c r="DW46" s="554"/>
      <c r="DX46" s="555"/>
      <c r="DY46" s="555"/>
      <c r="DZ46" s="556"/>
      <c r="EA46" s="554"/>
      <c r="EB46" s="555"/>
      <c r="EC46" s="555"/>
      <c r="ED46" s="556"/>
      <c r="EE46" s="554"/>
      <c r="EF46" s="555"/>
      <c r="EG46" s="555"/>
      <c r="EH46" s="556"/>
      <c r="EI46" s="554"/>
      <c r="EJ46" s="555"/>
      <c r="EK46" s="555"/>
      <c r="EL46" s="556"/>
      <c r="EM46" s="554"/>
      <c r="EN46" s="555"/>
      <c r="EO46" s="555"/>
      <c r="EP46" s="588"/>
      <c r="EQ46" s="591">
        <f t="shared" si="34"/>
        <v>6</v>
      </c>
      <c r="ER46" s="591"/>
      <c r="ES46" s="562"/>
      <c r="EU46" s="117"/>
    </row>
    <row r="47" spans="1:151" s="116" customFormat="1" ht="99.95" customHeight="1" x14ac:dyDescent="0.75">
      <c r="A47" s="114" t="s">
        <v>83</v>
      </c>
      <c r="B47" s="115" t="s">
        <v>116</v>
      </c>
      <c r="C47" s="560" t="s">
        <v>91</v>
      </c>
      <c r="D47" s="560"/>
      <c r="E47" s="560"/>
      <c r="F47" s="560"/>
      <c r="G47" s="560"/>
      <c r="H47" s="560"/>
      <c r="I47" s="560"/>
      <c r="J47" s="560"/>
      <c r="K47" s="560"/>
      <c r="L47" s="560"/>
      <c r="M47" s="560"/>
      <c r="N47" s="560"/>
      <c r="O47" s="560"/>
      <c r="P47" s="560"/>
      <c r="Q47" s="560"/>
      <c r="R47" s="560"/>
      <c r="S47" s="560"/>
      <c r="T47" s="560"/>
      <c r="U47" s="560"/>
      <c r="V47" s="560"/>
      <c r="W47" s="560"/>
      <c r="X47" s="560"/>
      <c r="Y47" s="560"/>
      <c r="Z47" s="562">
        <f t="shared" si="35"/>
        <v>180</v>
      </c>
      <c r="AA47" s="562"/>
      <c r="AB47" s="562"/>
      <c r="AC47" s="562"/>
      <c r="AD47" s="563">
        <f t="shared" si="37"/>
        <v>21.599999999999998</v>
      </c>
      <c r="AE47" s="563"/>
      <c r="AF47" s="563"/>
      <c r="AG47" s="550">
        <v>24</v>
      </c>
      <c r="AH47" s="550"/>
      <c r="AI47" s="550"/>
      <c r="AJ47" s="550"/>
      <c r="AK47" s="550"/>
      <c r="AL47" s="551">
        <v>12</v>
      </c>
      <c r="AM47" s="551"/>
      <c r="AN47" s="551"/>
      <c r="AO47" s="551"/>
      <c r="AP47" s="551"/>
      <c r="AQ47" s="551">
        <v>4</v>
      </c>
      <c r="AR47" s="551"/>
      <c r="AS47" s="551"/>
      <c r="AT47" s="551"/>
      <c r="AU47" s="551"/>
      <c r="AV47" s="551">
        <v>8</v>
      </c>
      <c r="AW47" s="551"/>
      <c r="AX47" s="551"/>
      <c r="AY47" s="551"/>
      <c r="AZ47" s="551"/>
      <c r="BA47" s="553"/>
      <c r="BB47" s="553"/>
      <c r="BC47" s="553"/>
      <c r="BD47" s="553"/>
      <c r="BE47" s="553"/>
      <c r="BF47" s="553"/>
      <c r="BG47" s="553"/>
      <c r="BH47" s="553"/>
      <c r="BI47" s="553"/>
      <c r="BJ47" s="553"/>
      <c r="BK47" s="557">
        <f t="shared" si="36"/>
        <v>156</v>
      </c>
      <c r="BL47" s="557"/>
      <c r="BM47" s="557"/>
      <c r="BN47" s="558"/>
      <c r="BO47" s="559">
        <v>4</v>
      </c>
      <c r="BP47" s="552"/>
      <c r="BQ47" s="552"/>
      <c r="BR47" s="552"/>
      <c r="BS47" s="552">
        <v>4</v>
      </c>
      <c r="BT47" s="552"/>
      <c r="BU47" s="552"/>
      <c r="BV47" s="552"/>
      <c r="BW47" s="552"/>
      <c r="BX47" s="552"/>
      <c r="BY47" s="552"/>
      <c r="BZ47" s="552"/>
      <c r="CA47" s="552"/>
      <c r="CB47" s="552"/>
      <c r="CC47" s="552"/>
      <c r="CD47" s="552"/>
      <c r="CE47" s="552"/>
      <c r="CF47" s="552"/>
      <c r="CG47" s="552"/>
      <c r="CH47" s="552"/>
      <c r="CI47" s="552"/>
      <c r="CJ47" s="552"/>
      <c r="CK47" s="552"/>
      <c r="CL47" s="552"/>
      <c r="CM47" s="552"/>
      <c r="CN47" s="552"/>
      <c r="CO47" s="552"/>
      <c r="CP47" s="552"/>
      <c r="CQ47" s="552"/>
      <c r="CR47" s="552"/>
      <c r="CS47" s="552"/>
      <c r="CT47" s="552"/>
      <c r="CU47" s="552"/>
      <c r="CV47" s="552"/>
      <c r="CW47" s="552"/>
      <c r="CX47" s="552"/>
      <c r="CY47" s="552"/>
      <c r="CZ47" s="552"/>
      <c r="DA47" s="552"/>
      <c r="DB47" s="596"/>
      <c r="DC47" s="597">
        <v>3</v>
      </c>
      <c r="DD47" s="555"/>
      <c r="DE47" s="555"/>
      <c r="DF47" s="556"/>
      <c r="DG47" s="554">
        <v>3</v>
      </c>
      <c r="DH47" s="555"/>
      <c r="DI47" s="555"/>
      <c r="DJ47" s="556"/>
      <c r="DK47" s="554"/>
      <c r="DL47" s="555"/>
      <c r="DM47" s="555"/>
      <c r="DN47" s="556"/>
      <c r="DO47" s="554"/>
      <c r="DP47" s="555"/>
      <c r="DQ47" s="555"/>
      <c r="DR47" s="556"/>
      <c r="DS47" s="554"/>
      <c r="DT47" s="555"/>
      <c r="DU47" s="555"/>
      <c r="DV47" s="556"/>
      <c r="DW47" s="554"/>
      <c r="DX47" s="555"/>
      <c r="DY47" s="555"/>
      <c r="DZ47" s="556"/>
      <c r="EA47" s="554"/>
      <c r="EB47" s="555"/>
      <c r="EC47" s="555"/>
      <c r="ED47" s="556"/>
      <c r="EE47" s="554"/>
      <c r="EF47" s="555"/>
      <c r="EG47" s="555"/>
      <c r="EH47" s="556"/>
      <c r="EI47" s="554"/>
      <c r="EJ47" s="555"/>
      <c r="EK47" s="555"/>
      <c r="EL47" s="556"/>
      <c r="EM47" s="554"/>
      <c r="EN47" s="555"/>
      <c r="EO47" s="555"/>
      <c r="EP47" s="588"/>
      <c r="EQ47" s="591">
        <f t="shared" si="34"/>
        <v>6</v>
      </c>
      <c r="ER47" s="591"/>
      <c r="ES47" s="562"/>
      <c r="EU47" s="117"/>
    </row>
    <row r="48" spans="1:151" s="116" customFormat="1" ht="120" customHeight="1" x14ac:dyDescent="0.75">
      <c r="A48" s="114" t="s">
        <v>84</v>
      </c>
      <c r="B48" s="115" t="s">
        <v>118</v>
      </c>
      <c r="C48" s="560" t="s">
        <v>117</v>
      </c>
      <c r="D48" s="560"/>
      <c r="E48" s="560"/>
      <c r="F48" s="560"/>
      <c r="G48" s="560"/>
      <c r="H48" s="560"/>
      <c r="I48" s="560"/>
      <c r="J48" s="560"/>
      <c r="K48" s="560"/>
      <c r="L48" s="560"/>
      <c r="M48" s="560"/>
      <c r="N48" s="560"/>
      <c r="O48" s="560"/>
      <c r="P48" s="560"/>
      <c r="Q48" s="560"/>
      <c r="R48" s="560"/>
      <c r="S48" s="560"/>
      <c r="T48" s="560"/>
      <c r="U48" s="560"/>
      <c r="V48" s="560"/>
      <c r="W48" s="560"/>
      <c r="X48" s="560"/>
      <c r="Y48" s="560"/>
      <c r="Z48" s="562">
        <f t="shared" si="35"/>
        <v>300</v>
      </c>
      <c r="AA48" s="562"/>
      <c r="AB48" s="562"/>
      <c r="AC48" s="562"/>
      <c r="AD48" s="563">
        <f t="shared" si="37"/>
        <v>36</v>
      </c>
      <c r="AE48" s="563"/>
      <c r="AF48" s="563"/>
      <c r="AG48" s="550">
        <f t="shared" si="38"/>
        <v>36</v>
      </c>
      <c r="AH48" s="550"/>
      <c r="AI48" s="550"/>
      <c r="AJ48" s="550"/>
      <c r="AK48" s="550"/>
      <c r="AL48" s="551">
        <v>12</v>
      </c>
      <c r="AM48" s="551"/>
      <c r="AN48" s="551"/>
      <c r="AO48" s="551"/>
      <c r="AP48" s="551"/>
      <c r="AQ48" s="551">
        <v>12</v>
      </c>
      <c r="AR48" s="551"/>
      <c r="AS48" s="551"/>
      <c r="AT48" s="551"/>
      <c r="AU48" s="551"/>
      <c r="AV48" s="551">
        <v>12</v>
      </c>
      <c r="AW48" s="551"/>
      <c r="AX48" s="551"/>
      <c r="AY48" s="551"/>
      <c r="AZ48" s="551"/>
      <c r="BA48" s="553"/>
      <c r="BB48" s="553"/>
      <c r="BC48" s="553"/>
      <c r="BD48" s="553"/>
      <c r="BE48" s="553"/>
      <c r="BF48" s="553"/>
      <c r="BG48" s="553"/>
      <c r="BH48" s="553"/>
      <c r="BI48" s="553"/>
      <c r="BJ48" s="553"/>
      <c r="BK48" s="557">
        <f t="shared" si="36"/>
        <v>264</v>
      </c>
      <c r="BL48" s="557"/>
      <c r="BM48" s="557"/>
      <c r="BN48" s="558"/>
      <c r="BO48" s="559">
        <v>6</v>
      </c>
      <c r="BP48" s="552"/>
      <c r="BQ48" s="552"/>
      <c r="BR48" s="552"/>
      <c r="BS48" s="552">
        <v>6</v>
      </c>
      <c r="BT48" s="552"/>
      <c r="BU48" s="552"/>
      <c r="BV48" s="552"/>
      <c r="BW48" s="552"/>
      <c r="BX48" s="552"/>
      <c r="BY48" s="552"/>
      <c r="BZ48" s="552"/>
      <c r="CA48" s="552"/>
      <c r="CB48" s="552"/>
      <c r="CC48" s="552"/>
      <c r="CD48" s="552"/>
      <c r="CE48" s="552"/>
      <c r="CF48" s="552"/>
      <c r="CG48" s="552"/>
      <c r="CH48" s="552"/>
      <c r="CI48" s="552"/>
      <c r="CJ48" s="552"/>
      <c r="CK48" s="552"/>
      <c r="CL48" s="552"/>
      <c r="CM48" s="552"/>
      <c r="CN48" s="552"/>
      <c r="CO48" s="552"/>
      <c r="CP48" s="552"/>
      <c r="CQ48" s="552"/>
      <c r="CR48" s="552"/>
      <c r="CS48" s="552"/>
      <c r="CT48" s="552"/>
      <c r="CU48" s="552"/>
      <c r="CV48" s="552"/>
      <c r="CW48" s="552"/>
      <c r="CX48" s="552"/>
      <c r="CY48" s="552"/>
      <c r="CZ48" s="552"/>
      <c r="DA48" s="552"/>
      <c r="DB48" s="596"/>
      <c r="DC48" s="597">
        <v>5</v>
      </c>
      <c r="DD48" s="555"/>
      <c r="DE48" s="555"/>
      <c r="DF48" s="556"/>
      <c r="DG48" s="554">
        <v>5</v>
      </c>
      <c r="DH48" s="555"/>
      <c r="DI48" s="555"/>
      <c r="DJ48" s="556"/>
      <c r="DK48" s="554"/>
      <c r="DL48" s="555"/>
      <c r="DM48" s="555"/>
      <c r="DN48" s="556"/>
      <c r="DO48" s="554"/>
      <c r="DP48" s="555"/>
      <c r="DQ48" s="555"/>
      <c r="DR48" s="556"/>
      <c r="DS48" s="554"/>
      <c r="DT48" s="555"/>
      <c r="DU48" s="555"/>
      <c r="DV48" s="556"/>
      <c r="DW48" s="554"/>
      <c r="DX48" s="555"/>
      <c r="DY48" s="555"/>
      <c r="DZ48" s="556"/>
      <c r="EA48" s="554"/>
      <c r="EB48" s="555"/>
      <c r="EC48" s="555"/>
      <c r="ED48" s="556"/>
      <c r="EE48" s="554"/>
      <c r="EF48" s="555"/>
      <c r="EG48" s="555"/>
      <c r="EH48" s="556"/>
      <c r="EI48" s="554"/>
      <c r="EJ48" s="555"/>
      <c r="EK48" s="555"/>
      <c r="EL48" s="556"/>
      <c r="EM48" s="554"/>
      <c r="EN48" s="555"/>
      <c r="EO48" s="555"/>
      <c r="EP48" s="588"/>
      <c r="EQ48" s="591">
        <f t="shared" si="34"/>
        <v>10</v>
      </c>
      <c r="ER48" s="591"/>
      <c r="ES48" s="562"/>
      <c r="EU48" s="117"/>
    </row>
    <row r="49" spans="1:151" s="116" customFormat="1" ht="120" customHeight="1" x14ac:dyDescent="0.75">
      <c r="A49" s="114" t="s">
        <v>85</v>
      </c>
      <c r="B49" s="115" t="s">
        <v>119</v>
      </c>
      <c r="C49" s="560" t="s">
        <v>103</v>
      </c>
      <c r="D49" s="560"/>
      <c r="E49" s="560"/>
      <c r="F49" s="560"/>
      <c r="G49" s="560"/>
      <c r="H49" s="560"/>
      <c r="I49" s="560"/>
      <c r="J49" s="560"/>
      <c r="K49" s="560"/>
      <c r="L49" s="560"/>
      <c r="M49" s="560"/>
      <c r="N49" s="560"/>
      <c r="O49" s="560"/>
      <c r="P49" s="560"/>
      <c r="Q49" s="560"/>
      <c r="R49" s="560"/>
      <c r="S49" s="560"/>
      <c r="T49" s="560"/>
      <c r="U49" s="560"/>
      <c r="V49" s="560"/>
      <c r="W49" s="560"/>
      <c r="X49" s="560"/>
      <c r="Y49" s="560"/>
      <c r="Z49" s="562">
        <f t="shared" si="35"/>
        <v>150</v>
      </c>
      <c r="AA49" s="562"/>
      <c r="AB49" s="562"/>
      <c r="AC49" s="562"/>
      <c r="AD49" s="563">
        <f t="shared" si="37"/>
        <v>18</v>
      </c>
      <c r="AE49" s="563"/>
      <c r="AF49" s="563"/>
      <c r="AG49" s="550">
        <f t="shared" si="38"/>
        <v>18</v>
      </c>
      <c r="AH49" s="550"/>
      <c r="AI49" s="550"/>
      <c r="AJ49" s="550"/>
      <c r="AK49" s="550"/>
      <c r="AL49" s="551">
        <v>10</v>
      </c>
      <c r="AM49" s="551"/>
      <c r="AN49" s="551"/>
      <c r="AO49" s="551"/>
      <c r="AP49" s="551"/>
      <c r="AQ49" s="551">
        <v>8</v>
      </c>
      <c r="AR49" s="551"/>
      <c r="AS49" s="551"/>
      <c r="AT49" s="551"/>
      <c r="AU49" s="551"/>
      <c r="AV49" s="551"/>
      <c r="AW49" s="551"/>
      <c r="AX49" s="551"/>
      <c r="AY49" s="551"/>
      <c r="AZ49" s="551"/>
      <c r="BA49" s="553"/>
      <c r="BB49" s="553"/>
      <c r="BC49" s="553"/>
      <c r="BD49" s="553"/>
      <c r="BE49" s="553"/>
      <c r="BF49" s="553"/>
      <c r="BG49" s="553"/>
      <c r="BH49" s="553"/>
      <c r="BI49" s="553"/>
      <c r="BJ49" s="553"/>
      <c r="BK49" s="557">
        <f t="shared" si="36"/>
        <v>132</v>
      </c>
      <c r="BL49" s="557"/>
      <c r="BM49" s="557"/>
      <c r="BN49" s="558"/>
      <c r="BO49" s="559"/>
      <c r="BP49" s="552"/>
      <c r="BQ49" s="552"/>
      <c r="BR49" s="552"/>
      <c r="BS49" s="552"/>
      <c r="BT49" s="552"/>
      <c r="BU49" s="552"/>
      <c r="BV49" s="552"/>
      <c r="BW49" s="552">
        <v>6</v>
      </c>
      <c r="BX49" s="552"/>
      <c r="BY49" s="552"/>
      <c r="BZ49" s="552"/>
      <c r="CA49" s="552"/>
      <c r="CB49" s="552"/>
      <c r="CC49" s="552"/>
      <c r="CD49" s="552"/>
      <c r="CE49" s="552"/>
      <c r="CF49" s="552"/>
      <c r="CG49" s="552"/>
      <c r="CH49" s="552"/>
      <c r="CI49" s="552"/>
      <c r="CJ49" s="552"/>
      <c r="CK49" s="552"/>
      <c r="CL49" s="552"/>
      <c r="CM49" s="552"/>
      <c r="CN49" s="552"/>
      <c r="CO49" s="552"/>
      <c r="CP49" s="552"/>
      <c r="CQ49" s="552"/>
      <c r="CR49" s="552"/>
      <c r="CS49" s="552"/>
      <c r="CT49" s="552"/>
      <c r="CU49" s="552"/>
      <c r="CV49" s="552"/>
      <c r="CW49" s="552"/>
      <c r="CX49" s="552"/>
      <c r="CY49" s="552"/>
      <c r="CZ49" s="552"/>
      <c r="DA49" s="552"/>
      <c r="DB49" s="596"/>
      <c r="DC49" s="597"/>
      <c r="DD49" s="555"/>
      <c r="DE49" s="555"/>
      <c r="DF49" s="556"/>
      <c r="DG49" s="554"/>
      <c r="DH49" s="555"/>
      <c r="DI49" s="555"/>
      <c r="DJ49" s="556"/>
      <c r="DK49" s="554">
        <v>5</v>
      </c>
      <c r="DL49" s="555"/>
      <c r="DM49" s="555"/>
      <c r="DN49" s="556"/>
      <c r="DO49" s="554"/>
      <c r="DP49" s="555"/>
      <c r="DQ49" s="555"/>
      <c r="DR49" s="556"/>
      <c r="DS49" s="554"/>
      <c r="DT49" s="555"/>
      <c r="DU49" s="555"/>
      <c r="DV49" s="556"/>
      <c r="DW49" s="554"/>
      <c r="DX49" s="555"/>
      <c r="DY49" s="555"/>
      <c r="DZ49" s="556"/>
      <c r="EA49" s="554"/>
      <c r="EB49" s="555"/>
      <c r="EC49" s="555"/>
      <c r="ED49" s="556"/>
      <c r="EE49" s="554"/>
      <c r="EF49" s="555"/>
      <c r="EG49" s="555"/>
      <c r="EH49" s="556"/>
      <c r="EI49" s="554"/>
      <c r="EJ49" s="555"/>
      <c r="EK49" s="555"/>
      <c r="EL49" s="556"/>
      <c r="EM49" s="554"/>
      <c r="EN49" s="555"/>
      <c r="EO49" s="555"/>
      <c r="EP49" s="588"/>
      <c r="EQ49" s="591">
        <f t="shared" si="34"/>
        <v>5</v>
      </c>
      <c r="ER49" s="591"/>
      <c r="ES49" s="562"/>
      <c r="EU49" s="117"/>
    </row>
    <row r="50" spans="1:151" s="212" customFormat="1" ht="99.95" customHeight="1" x14ac:dyDescent="0.75">
      <c r="A50" s="210" t="s">
        <v>3</v>
      </c>
      <c r="B50" s="236" t="s">
        <v>120</v>
      </c>
      <c r="C50" s="656" t="s">
        <v>71</v>
      </c>
      <c r="D50" s="656"/>
      <c r="E50" s="656"/>
      <c r="F50" s="656"/>
      <c r="G50" s="656"/>
      <c r="H50" s="656"/>
      <c r="I50" s="656"/>
      <c r="J50" s="656"/>
      <c r="K50" s="656"/>
      <c r="L50" s="656"/>
      <c r="M50" s="656"/>
      <c r="N50" s="656"/>
      <c r="O50" s="656"/>
      <c r="P50" s="656"/>
      <c r="Q50" s="656"/>
      <c r="R50" s="656"/>
      <c r="S50" s="656"/>
      <c r="T50" s="656"/>
      <c r="U50" s="656"/>
      <c r="V50" s="656"/>
      <c r="W50" s="656"/>
      <c r="X50" s="656"/>
      <c r="Y50" s="656"/>
      <c r="Z50" s="657">
        <f t="shared" si="35"/>
        <v>240</v>
      </c>
      <c r="AA50" s="657"/>
      <c r="AB50" s="657"/>
      <c r="AC50" s="657"/>
      <c r="AD50" s="662">
        <f>Z50*0.4*0.3</f>
        <v>28.799999999999997</v>
      </c>
      <c r="AE50" s="662"/>
      <c r="AF50" s="662"/>
      <c r="AG50" s="659">
        <v>32</v>
      </c>
      <c r="AH50" s="659"/>
      <c r="AI50" s="659"/>
      <c r="AJ50" s="659"/>
      <c r="AK50" s="659"/>
      <c r="AL50" s="594">
        <v>16</v>
      </c>
      <c r="AM50" s="594"/>
      <c r="AN50" s="594"/>
      <c r="AO50" s="594"/>
      <c r="AP50" s="594"/>
      <c r="AQ50" s="594">
        <v>4</v>
      </c>
      <c r="AR50" s="594"/>
      <c r="AS50" s="594"/>
      <c r="AT50" s="594"/>
      <c r="AU50" s="594"/>
      <c r="AV50" s="594">
        <v>8</v>
      </c>
      <c r="AW50" s="594"/>
      <c r="AX50" s="594"/>
      <c r="AY50" s="594"/>
      <c r="AZ50" s="594"/>
      <c r="BA50" s="595"/>
      <c r="BB50" s="595"/>
      <c r="BC50" s="595"/>
      <c r="BD50" s="595"/>
      <c r="BE50" s="595"/>
      <c r="BF50" s="595"/>
      <c r="BG50" s="595"/>
      <c r="BH50" s="595"/>
      <c r="BI50" s="595"/>
      <c r="BJ50" s="595"/>
      <c r="BK50" s="660">
        <f t="shared" si="36"/>
        <v>208</v>
      </c>
      <c r="BL50" s="660"/>
      <c r="BM50" s="660"/>
      <c r="BN50" s="661"/>
      <c r="BO50" s="664"/>
      <c r="BP50" s="601"/>
      <c r="BQ50" s="601"/>
      <c r="BR50" s="601"/>
      <c r="BS50" s="601"/>
      <c r="BT50" s="601"/>
      <c r="BU50" s="601"/>
      <c r="BV50" s="601"/>
      <c r="BW50" s="601"/>
      <c r="BX50" s="601"/>
      <c r="BY50" s="601"/>
      <c r="BZ50" s="601"/>
      <c r="CA50" s="601"/>
      <c r="CB50" s="601"/>
      <c r="CC50" s="601"/>
      <c r="CD50" s="601"/>
      <c r="CE50" s="601">
        <v>6</v>
      </c>
      <c r="CF50" s="601"/>
      <c r="CG50" s="601"/>
      <c r="CH50" s="601"/>
      <c r="CI50" s="601">
        <v>6</v>
      </c>
      <c r="CJ50" s="601"/>
      <c r="CK50" s="601"/>
      <c r="CL50" s="601"/>
      <c r="CM50" s="601"/>
      <c r="CN50" s="601"/>
      <c r="CO50" s="601"/>
      <c r="CP50" s="601"/>
      <c r="CQ50" s="601"/>
      <c r="CR50" s="601"/>
      <c r="CS50" s="601"/>
      <c r="CT50" s="601"/>
      <c r="CU50" s="601"/>
      <c r="CV50" s="601"/>
      <c r="CW50" s="601"/>
      <c r="CX50" s="601"/>
      <c r="CY50" s="601"/>
      <c r="CZ50" s="601"/>
      <c r="DA50" s="601"/>
      <c r="DB50" s="602"/>
      <c r="DC50" s="603"/>
      <c r="DD50" s="599"/>
      <c r="DE50" s="599"/>
      <c r="DF50" s="600"/>
      <c r="DG50" s="598"/>
      <c r="DH50" s="599"/>
      <c r="DI50" s="599"/>
      <c r="DJ50" s="600"/>
      <c r="DK50" s="598"/>
      <c r="DL50" s="599"/>
      <c r="DM50" s="599"/>
      <c r="DN50" s="600"/>
      <c r="DO50" s="598"/>
      <c r="DP50" s="599"/>
      <c r="DQ50" s="599"/>
      <c r="DR50" s="600"/>
      <c r="DS50" s="598">
        <v>4</v>
      </c>
      <c r="DT50" s="599"/>
      <c r="DU50" s="599"/>
      <c r="DV50" s="600"/>
      <c r="DW50" s="598">
        <v>4</v>
      </c>
      <c r="DX50" s="599"/>
      <c r="DY50" s="599"/>
      <c r="DZ50" s="600"/>
      <c r="EA50" s="598"/>
      <c r="EB50" s="599"/>
      <c r="EC50" s="599"/>
      <c r="ED50" s="600"/>
      <c r="EE50" s="598"/>
      <c r="EF50" s="599"/>
      <c r="EG50" s="599"/>
      <c r="EH50" s="600"/>
      <c r="EI50" s="598"/>
      <c r="EJ50" s="599"/>
      <c r="EK50" s="599"/>
      <c r="EL50" s="600"/>
      <c r="EM50" s="598"/>
      <c r="EN50" s="599"/>
      <c r="EO50" s="599"/>
      <c r="EP50" s="663"/>
      <c r="EQ50" s="759">
        <f t="shared" si="34"/>
        <v>8</v>
      </c>
      <c r="ER50" s="759"/>
      <c r="ES50" s="657"/>
      <c r="EU50" s="213"/>
    </row>
    <row r="51" spans="1:151" s="212" customFormat="1" ht="99.95" customHeight="1" x14ac:dyDescent="0.75">
      <c r="A51" s="210" t="s">
        <v>4</v>
      </c>
      <c r="B51" s="236" t="s">
        <v>257</v>
      </c>
      <c r="C51" s="656" t="s">
        <v>121</v>
      </c>
      <c r="D51" s="656"/>
      <c r="E51" s="656"/>
      <c r="F51" s="656"/>
      <c r="G51" s="656"/>
      <c r="H51" s="656"/>
      <c r="I51" s="656"/>
      <c r="J51" s="656"/>
      <c r="K51" s="656"/>
      <c r="L51" s="656"/>
      <c r="M51" s="656"/>
      <c r="N51" s="656"/>
      <c r="O51" s="656"/>
      <c r="P51" s="656"/>
      <c r="Q51" s="656"/>
      <c r="R51" s="656"/>
      <c r="S51" s="656"/>
      <c r="T51" s="656"/>
      <c r="U51" s="656"/>
      <c r="V51" s="656"/>
      <c r="W51" s="656"/>
      <c r="X51" s="656"/>
      <c r="Y51" s="656"/>
      <c r="Z51" s="657">
        <f t="shared" si="35"/>
        <v>120</v>
      </c>
      <c r="AA51" s="657"/>
      <c r="AB51" s="657"/>
      <c r="AC51" s="657"/>
      <c r="AD51" s="658">
        <f>Z51*0.4*0.3</f>
        <v>14.399999999999999</v>
      </c>
      <c r="AE51" s="658"/>
      <c r="AF51" s="658"/>
      <c r="AG51" s="659">
        <v>16</v>
      </c>
      <c r="AH51" s="659"/>
      <c r="AI51" s="659"/>
      <c r="AJ51" s="659"/>
      <c r="AK51" s="659"/>
      <c r="AL51" s="594">
        <v>8</v>
      </c>
      <c r="AM51" s="594"/>
      <c r="AN51" s="594"/>
      <c r="AO51" s="594"/>
      <c r="AP51" s="594"/>
      <c r="AQ51" s="594">
        <v>4</v>
      </c>
      <c r="AR51" s="594"/>
      <c r="AS51" s="594"/>
      <c r="AT51" s="594"/>
      <c r="AU51" s="594"/>
      <c r="AV51" s="594">
        <v>4</v>
      </c>
      <c r="AW51" s="594"/>
      <c r="AX51" s="594"/>
      <c r="AY51" s="594"/>
      <c r="AZ51" s="594"/>
      <c r="BA51" s="595"/>
      <c r="BB51" s="595"/>
      <c r="BC51" s="595"/>
      <c r="BD51" s="595"/>
      <c r="BE51" s="595"/>
      <c r="BF51" s="595"/>
      <c r="BG51" s="595"/>
      <c r="BH51" s="595"/>
      <c r="BI51" s="595"/>
      <c r="BJ51" s="595"/>
      <c r="BK51" s="660">
        <f t="shared" si="36"/>
        <v>104</v>
      </c>
      <c r="BL51" s="660"/>
      <c r="BM51" s="660"/>
      <c r="BN51" s="661"/>
      <c r="BO51" s="664"/>
      <c r="BP51" s="601"/>
      <c r="BQ51" s="601"/>
      <c r="BR51" s="601"/>
      <c r="BS51" s="601"/>
      <c r="BT51" s="601"/>
      <c r="BU51" s="601"/>
      <c r="BV51" s="601"/>
      <c r="BW51" s="601"/>
      <c r="BX51" s="601"/>
      <c r="BY51" s="601"/>
      <c r="BZ51" s="601"/>
      <c r="CA51" s="601"/>
      <c r="CB51" s="601"/>
      <c r="CC51" s="601"/>
      <c r="CD51" s="601"/>
      <c r="CE51" s="601">
        <v>6</v>
      </c>
      <c r="CF51" s="601"/>
      <c r="CG51" s="601"/>
      <c r="CH51" s="601"/>
      <c r="CI51" s="601"/>
      <c r="CJ51" s="601"/>
      <c r="CK51" s="601"/>
      <c r="CL51" s="601"/>
      <c r="CM51" s="601"/>
      <c r="CN51" s="601"/>
      <c r="CO51" s="601"/>
      <c r="CP51" s="601"/>
      <c r="CQ51" s="601"/>
      <c r="CR51" s="601"/>
      <c r="CS51" s="601"/>
      <c r="CT51" s="601"/>
      <c r="CU51" s="601"/>
      <c r="CV51" s="601"/>
      <c r="CW51" s="601"/>
      <c r="CX51" s="601"/>
      <c r="CY51" s="601"/>
      <c r="CZ51" s="601"/>
      <c r="DA51" s="601"/>
      <c r="DB51" s="602"/>
      <c r="DC51" s="603"/>
      <c r="DD51" s="599"/>
      <c r="DE51" s="599"/>
      <c r="DF51" s="600"/>
      <c r="DG51" s="598"/>
      <c r="DH51" s="599"/>
      <c r="DI51" s="599"/>
      <c r="DJ51" s="600"/>
      <c r="DK51" s="598"/>
      <c r="DL51" s="599"/>
      <c r="DM51" s="599"/>
      <c r="DN51" s="600"/>
      <c r="DO51" s="598"/>
      <c r="DP51" s="599"/>
      <c r="DQ51" s="599"/>
      <c r="DR51" s="600"/>
      <c r="DS51" s="598">
        <v>4</v>
      </c>
      <c r="DT51" s="599"/>
      <c r="DU51" s="599"/>
      <c r="DV51" s="600"/>
      <c r="DW51" s="598"/>
      <c r="DX51" s="599"/>
      <c r="DY51" s="599"/>
      <c r="DZ51" s="600"/>
      <c r="EA51" s="598"/>
      <c r="EB51" s="599"/>
      <c r="EC51" s="599"/>
      <c r="ED51" s="600"/>
      <c r="EE51" s="598"/>
      <c r="EF51" s="599"/>
      <c r="EG51" s="599"/>
      <c r="EH51" s="600"/>
      <c r="EI51" s="598"/>
      <c r="EJ51" s="599"/>
      <c r="EK51" s="599"/>
      <c r="EL51" s="600"/>
      <c r="EM51" s="598"/>
      <c r="EN51" s="599"/>
      <c r="EO51" s="599"/>
      <c r="EP51" s="663"/>
      <c r="EQ51" s="759">
        <f t="shared" si="34"/>
        <v>4</v>
      </c>
      <c r="ER51" s="759"/>
      <c r="ES51" s="657"/>
      <c r="EU51" s="213"/>
    </row>
    <row r="52" spans="1:151" s="116" customFormat="1" ht="99.95" customHeight="1" x14ac:dyDescent="0.75">
      <c r="A52" s="114" t="s">
        <v>5</v>
      </c>
      <c r="B52" s="115" t="s">
        <v>123</v>
      </c>
      <c r="C52" s="560" t="s">
        <v>122</v>
      </c>
      <c r="D52" s="560"/>
      <c r="E52" s="560"/>
      <c r="F52" s="560"/>
      <c r="G52" s="560"/>
      <c r="H52" s="560"/>
      <c r="I52" s="560"/>
      <c r="J52" s="560"/>
      <c r="K52" s="560"/>
      <c r="L52" s="560"/>
      <c r="M52" s="560"/>
      <c r="N52" s="560"/>
      <c r="O52" s="560"/>
      <c r="P52" s="560"/>
      <c r="Q52" s="560"/>
      <c r="R52" s="560"/>
      <c r="S52" s="560"/>
      <c r="T52" s="560"/>
      <c r="U52" s="560"/>
      <c r="V52" s="560"/>
      <c r="W52" s="560"/>
      <c r="X52" s="560"/>
      <c r="Y52" s="560"/>
      <c r="Z52" s="562">
        <f t="shared" si="35"/>
        <v>120</v>
      </c>
      <c r="AA52" s="562"/>
      <c r="AB52" s="562"/>
      <c r="AC52" s="562"/>
      <c r="AD52" s="563">
        <f t="shared" si="37"/>
        <v>14.399999999999999</v>
      </c>
      <c r="AE52" s="563"/>
      <c r="AF52" s="563"/>
      <c r="AG52" s="550">
        <v>16</v>
      </c>
      <c r="AH52" s="550"/>
      <c r="AI52" s="550"/>
      <c r="AJ52" s="550"/>
      <c r="AK52" s="550"/>
      <c r="AL52" s="551">
        <v>10</v>
      </c>
      <c r="AM52" s="551"/>
      <c r="AN52" s="551"/>
      <c r="AO52" s="551"/>
      <c r="AP52" s="551"/>
      <c r="AQ52" s="551"/>
      <c r="AR52" s="551"/>
      <c r="AS52" s="551"/>
      <c r="AT52" s="551"/>
      <c r="AU52" s="551"/>
      <c r="AV52" s="551">
        <v>6</v>
      </c>
      <c r="AW52" s="551"/>
      <c r="AX52" s="551"/>
      <c r="AY52" s="551"/>
      <c r="AZ52" s="551"/>
      <c r="BA52" s="553"/>
      <c r="BB52" s="553"/>
      <c r="BC52" s="553"/>
      <c r="BD52" s="553"/>
      <c r="BE52" s="553"/>
      <c r="BF52" s="553"/>
      <c r="BG52" s="553"/>
      <c r="BH52" s="553"/>
      <c r="BI52" s="553"/>
      <c r="BJ52" s="553"/>
      <c r="BK52" s="557">
        <f t="shared" si="36"/>
        <v>104</v>
      </c>
      <c r="BL52" s="557"/>
      <c r="BM52" s="557"/>
      <c r="BN52" s="558"/>
      <c r="BO52" s="559"/>
      <c r="BP52" s="552"/>
      <c r="BQ52" s="552"/>
      <c r="BR52" s="552"/>
      <c r="BS52" s="552"/>
      <c r="BT52" s="552"/>
      <c r="BU52" s="552"/>
      <c r="BV52" s="552"/>
      <c r="BW52" s="552"/>
      <c r="BX52" s="552"/>
      <c r="BY52" s="552"/>
      <c r="BZ52" s="552"/>
      <c r="CA52" s="552">
        <v>6</v>
      </c>
      <c r="CB52" s="552"/>
      <c r="CC52" s="552"/>
      <c r="CD52" s="552"/>
      <c r="CE52" s="552"/>
      <c r="CF52" s="552"/>
      <c r="CG52" s="552"/>
      <c r="CH52" s="552"/>
      <c r="CI52" s="552"/>
      <c r="CJ52" s="552"/>
      <c r="CK52" s="552"/>
      <c r="CL52" s="552"/>
      <c r="CM52" s="552"/>
      <c r="CN52" s="552"/>
      <c r="CO52" s="552"/>
      <c r="CP52" s="552"/>
      <c r="CQ52" s="552"/>
      <c r="CR52" s="552"/>
      <c r="CS52" s="552"/>
      <c r="CT52" s="552"/>
      <c r="CU52" s="552"/>
      <c r="CV52" s="552"/>
      <c r="CW52" s="552"/>
      <c r="CX52" s="552"/>
      <c r="CY52" s="552"/>
      <c r="CZ52" s="552"/>
      <c r="DA52" s="552"/>
      <c r="DB52" s="596"/>
      <c r="DC52" s="597"/>
      <c r="DD52" s="555"/>
      <c r="DE52" s="555"/>
      <c r="DF52" s="556"/>
      <c r="DG52" s="554"/>
      <c r="DH52" s="555"/>
      <c r="DI52" s="555"/>
      <c r="DJ52" s="556"/>
      <c r="DK52" s="554"/>
      <c r="DL52" s="555"/>
      <c r="DM52" s="555"/>
      <c r="DN52" s="556"/>
      <c r="DO52" s="554">
        <v>4</v>
      </c>
      <c r="DP52" s="555"/>
      <c r="DQ52" s="555"/>
      <c r="DR52" s="556"/>
      <c r="DS52" s="554"/>
      <c r="DT52" s="555"/>
      <c r="DU52" s="555"/>
      <c r="DV52" s="556"/>
      <c r="DW52" s="554"/>
      <c r="DX52" s="555"/>
      <c r="DY52" s="555"/>
      <c r="DZ52" s="556"/>
      <c r="EA52" s="554"/>
      <c r="EB52" s="555"/>
      <c r="EC52" s="555"/>
      <c r="ED52" s="556"/>
      <c r="EE52" s="554"/>
      <c r="EF52" s="555"/>
      <c r="EG52" s="555"/>
      <c r="EH52" s="556"/>
      <c r="EI52" s="554"/>
      <c r="EJ52" s="555"/>
      <c r="EK52" s="555"/>
      <c r="EL52" s="556"/>
      <c r="EM52" s="554"/>
      <c r="EN52" s="555"/>
      <c r="EO52" s="555"/>
      <c r="EP52" s="588"/>
      <c r="EQ52" s="591">
        <f t="shared" si="34"/>
        <v>4</v>
      </c>
      <c r="ER52" s="591"/>
      <c r="ES52" s="562"/>
      <c r="EU52" s="117"/>
    </row>
    <row r="53" spans="1:151" s="116" customFormat="1" ht="120" customHeight="1" x14ac:dyDescent="0.75">
      <c r="A53" s="114" t="s">
        <v>6</v>
      </c>
      <c r="B53" s="115" t="s">
        <v>124</v>
      </c>
      <c r="C53" s="560" t="s">
        <v>182</v>
      </c>
      <c r="D53" s="560"/>
      <c r="E53" s="560"/>
      <c r="F53" s="560"/>
      <c r="G53" s="560"/>
      <c r="H53" s="560"/>
      <c r="I53" s="560"/>
      <c r="J53" s="560"/>
      <c r="K53" s="560"/>
      <c r="L53" s="560"/>
      <c r="M53" s="560"/>
      <c r="N53" s="560"/>
      <c r="O53" s="560"/>
      <c r="P53" s="560"/>
      <c r="Q53" s="560"/>
      <c r="R53" s="560"/>
      <c r="S53" s="560"/>
      <c r="T53" s="560"/>
      <c r="U53" s="560"/>
      <c r="V53" s="560"/>
      <c r="W53" s="560"/>
      <c r="X53" s="560"/>
      <c r="Y53" s="560"/>
      <c r="Z53" s="562">
        <f t="shared" si="35"/>
        <v>150</v>
      </c>
      <c r="AA53" s="562"/>
      <c r="AB53" s="562"/>
      <c r="AC53" s="562"/>
      <c r="AD53" s="563">
        <f t="shared" si="37"/>
        <v>18</v>
      </c>
      <c r="AE53" s="563"/>
      <c r="AF53" s="563"/>
      <c r="AG53" s="550">
        <v>18</v>
      </c>
      <c r="AH53" s="550"/>
      <c r="AI53" s="550"/>
      <c r="AJ53" s="550"/>
      <c r="AK53" s="550"/>
      <c r="AL53" s="551">
        <v>10</v>
      </c>
      <c r="AM53" s="551"/>
      <c r="AN53" s="551"/>
      <c r="AO53" s="551"/>
      <c r="AP53" s="551"/>
      <c r="AQ53" s="551">
        <v>8</v>
      </c>
      <c r="AR53" s="551"/>
      <c r="AS53" s="551"/>
      <c r="AT53" s="551"/>
      <c r="AU53" s="551"/>
      <c r="AV53" s="551"/>
      <c r="AW53" s="551"/>
      <c r="AX53" s="551"/>
      <c r="AY53" s="551"/>
      <c r="AZ53" s="551"/>
      <c r="BA53" s="553"/>
      <c r="BB53" s="553"/>
      <c r="BC53" s="553"/>
      <c r="BD53" s="553"/>
      <c r="BE53" s="553"/>
      <c r="BF53" s="553"/>
      <c r="BG53" s="553"/>
      <c r="BH53" s="553"/>
      <c r="BI53" s="553"/>
      <c r="BJ53" s="553"/>
      <c r="BK53" s="557">
        <f t="shared" si="36"/>
        <v>132</v>
      </c>
      <c r="BL53" s="557"/>
      <c r="BM53" s="557"/>
      <c r="BN53" s="558"/>
      <c r="BO53" s="559"/>
      <c r="BP53" s="552"/>
      <c r="BQ53" s="552"/>
      <c r="BR53" s="552"/>
      <c r="BS53" s="552"/>
      <c r="BT53" s="552"/>
      <c r="BU53" s="552"/>
      <c r="BV53" s="552"/>
      <c r="BW53" s="552"/>
      <c r="BX53" s="552"/>
      <c r="BY53" s="552"/>
      <c r="BZ53" s="552"/>
      <c r="CA53" s="552">
        <v>6</v>
      </c>
      <c r="CB53" s="552"/>
      <c r="CC53" s="552"/>
      <c r="CD53" s="552"/>
      <c r="CE53" s="552"/>
      <c r="CF53" s="552"/>
      <c r="CG53" s="552"/>
      <c r="CH53" s="552"/>
      <c r="CI53" s="552"/>
      <c r="CJ53" s="552"/>
      <c r="CK53" s="552"/>
      <c r="CL53" s="552"/>
      <c r="CM53" s="552"/>
      <c r="CN53" s="552"/>
      <c r="CO53" s="552"/>
      <c r="CP53" s="552"/>
      <c r="CQ53" s="552"/>
      <c r="CR53" s="552"/>
      <c r="CS53" s="552"/>
      <c r="CT53" s="552"/>
      <c r="CU53" s="552"/>
      <c r="CV53" s="552"/>
      <c r="CW53" s="552"/>
      <c r="CX53" s="552"/>
      <c r="CY53" s="552"/>
      <c r="CZ53" s="552"/>
      <c r="DA53" s="552"/>
      <c r="DB53" s="596"/>
      <c r="DC53" s="597"/>
      <c r="DD53" s="555"/>
      <c r="DE53" s="555"/>
      <c r="DF53" s="556"/>
      <c r="DG53" s="554"/>
      <c r="DH53" s="555"/>
      <c r="DI53" s="555"/>
      <c r="DJ53" s="556"/>
      <c r="DK53" s="554"/>
      <c r="DL53" s="555"/>
      <c r="DM53" s="555"/>
      <c r="DN53" s="556"/>
      <c r="DO53" s="554">
        <v>5</v>
      </c>
      <c r="DP53" s="555"/>
      <c r="DQ53" s="555"/>
      <c r="DR53" s="556"/>
      <c r="DS53" s="554"/>
      <c r="DT53" s="555"/>
      <c r="DU53" s="555"/>
      <c r="DV53" s="556"/>
      <c r="DW53" s="554"/>
      <c r="DX53" s="555"/>
      <c r="DY53" s="555"/>
      <c r="DZ53" s="556"/>
      <c r="EA53" s="554"/>
      <c r="EB53" s="555"/>
      <c r="EC53" s="555"/>
      <c r="ED53" s="556"/>
      <c r="EE53" s="554"/>
      <c r="EF53" s="555"/>
      <c r="EG53" s="555"/>
      <c r="EH53" s="556"/>
      <c r="EI53" s="554"/>
      <c r="EJ53" s="555"/>
      <c r="EK53" s="555"/>
      <c r="EL53" s="556"/>
      <c r="EM53" s="554"/>
      <c r="EN53" s="555"/>
      <c r="EO53" s="555"/>
      <c r="EP53" s="588"/>
      <c r="EQ53" s="591">
        <f t="shared" si="34"/>
        <v>5</v>
      </c>
      <c r="ER53" s="591"/>
      <c r="ES53" s="562"/>
      <c r="EU53" s="117"/>
    </row>
    <row r="54" spans="1:151" s="116" customFormat="1" ht="99.95" customHeight="1" x14ac:dyDescent="0.75">
      <c r="A54" s="114" t="s">
        <v>95</v>
      </c>
      <c r="B54" s="115" t="s">
        <v>96</v>
      </c>
      <c r="C54" s="560" t="s">
        <v>94</v>
      </c>
      <c r="D54" s="560"/>
      <c r="E54" s="560"/>
      <c r="F54" s="560"/>
      <c r="G54" s="560"/>
      <c r="H54" s="560"/>
      <c r="I54" s="560"/>
      <c r="J54" s="560"/>
      <c r="K54" s="560"/>
      <c r="L54" s="560"/>
      <c r="M54" s="560"/>
      <c r="N54" s="560"/>
      <c r="O54" s="560"/>
      <c r="P54" s="560"/>
      <c r="Q54" s="560"/>
      <c r="R54" s="560"/>
      <c r="S54" s="560"/>
      <c r="T54" s="560"/>
      <c r="U54" s="560"/>
      <c r="V54" s="560"/>
      <c r="W54" s="560"/>
      <c r="X54" s="560"/>
      <c r="Y54" s="560"/>
      <c r="Z54" s="562">
        <f t="shared" si="35"/>
        <v>240</v>
      </c>
      <c r="AA54" s="562"/>
      <c r="AB54" s="562"/>
      <c r="AC54" s="562"/>
      <c r="AD54" s="563">
        <f t="shared" si="37"/>
        <v>28.799999999999997</v>
      </c>
      <c r="AE54" s="563"/>
      <c r="AF54" s="563"/>
      <c r="AG54" s="550">
        <v>32</v>
      </c>
      <c r="AH54" s="550"/>
      <c r="AI54" s="550"/>
      <c r="AJ54" s="550"/>
      <c r="AK54" s="550"/>
      <c r="AL54" s="551">
        <v>16</v>
      </c>
      <c r="AM54" s="551"/>
      <c r="AN54" s="551"/>
      <c r="AO54" s="551"/>
      <c r="AP54" s="551"/>
      <c r="AQ54" s="551">
        <v>16</v>
      </c>
      <c r="AR54" s="551"/>
      <c r="AS54" s="551"/>
      <c r="AT54" s="551"/>
      <c r="AU54" s="551"/>
      <c r="AV54" s="551"/>
      <c r="AW54" s="551"/>
      <c r="AX54" s="551"/>
      <c r="AY54" s="551"/>
      <c r="AZ54" s="551"/>
      <c r="BA54" s="553"/>
      <c r="BB54" s="553"/>
      <c r="BC54" s="553"/>
      <c r="BD54" s="553"/>
      <c r="BE54" s="553"/>
      <c r="BF54" s="553"/>
      <c r="BG54" s="553"/>
      <c r="BH54" s="553"/>
      <c r="BI54" s="553"/>
      <c r="BJ54" s="553"/>
      <c r="BK54" s="557">
        <f t="shared" si="36"/>
        <v>208</v>
      </c>
      <c r="BL54" s="557"/>
      <c r="BM54" s="557"/>
      <c r="BN54" s="558"/>
      <c r="BO54" s="559"/>
      <c r="BP54" s="552"/>
      <c r="BQ54" s="552"/>
      <c r="BR54" s="552"/>
      <c r="BS54" s="552"/>
      <c r="BT54" s="552"/>
      <c r="BU54" s="552"/>
      <c r="BV54" s="552"/>
      <c r="BW54" s="552"/>
      <c r="BX54" s="552"/>
      <c r="BY54" s="552"/>
      <c r="BZ54" s="552"/>
      <c r="CA54" s="552"/>
      <c r="CB54" s="552"/>
      <c r="CC54" s="552"/>
      <c r="CD54" s="552"/>
      <c r="CE54" s="552">
        <v>6</v>
      </c>
      <c r="CF54" s="552"/>
      <c r="CG54" s="552"/>
      <c r="CH54" s="552"/>
      <c r="CI54" s="552">
        <v>6</v>
      </c>
      <c r="CJ54" s="552"/>
      <c r="CK54" s="552"/>
      <c r="CL54" s="552"/>
      <c r="CM54" s="552"/>
      <c r="CN54" s="552"/>
      <c r="CO54" s="552"/>
      <c r="CP54" s="552"/>
      <c r="CQ54" s="552"/>
      <c r="CR54" s="552"/>
      <c r="CS54" s="552"/>
      <c r="CT54" s="552"/>
      <c r="CU54" s="552"/>
      <c r="CV54" s="552"/>
      <c r="CW54" s="552"/>
      <c r="CX54" s="552"/>
      <c r="CY54" s="552"/>
      <c r="CZ54" s="552"/>
      <c r="DA54" s="552"/>
      <c r="DB54" s="596"/>
      <c r="DC54" s="597"/>
      <c r="DD54" s="555"/>
      <c r="DE54" s="555"/>
      <c r="DF54" s="556"/>
      <c r="DG54" s="554"/>
      <c r="DH54" s="555"/>
      <c r="DI54" s="555"/>
      <c r="DJ54" s="556"/>
      <c r="DK54" s="554"/>
      <c r="DL54" s="555"/>
      <c r="DM54" s="555"/>
      <c r="DN54" s="556"/>
      <c r="DO54" s="554"/>
      <c r="DP54" s="555"/>
      <c r="DQ54" s="555"/>
      <c r="DR54" s="556"/>
      <c r="DS54" s="554"/>
      <c r="DT54" s="555"/>
      <c r="DU54" s="555"/>
      <c r="DV54" s="556"/>
      <c r="DW54" s="554">
        <v>4</v>
      </c>
      <c r="DX54" s="555"/>
      <c r="DY54" s="555"/>
      <c r="DZ54" s="556"/>
      <c r="EA54" s="554">
        <v>4</v>
      </c>
      <c r="EB54" s="555"/>
      <c r="EC54" s="555"/>
      <c r="ED54" s="556"/>
      <c r="EE54" s="554"/>
      <c r="EF54" s="555"/>
      <c r="EG54" s="555"/>
      <c r="EH54" s="556"/>
      <c r="EI54" s="554"/>
      <c r="EJ54" s="555"/>
      <c r="EK54" s="555"/>
      <c r="EL54" s="556"/>
      <c r="EM54" s="554"/>
      <c r="EN54" s="555"/>
      <c r="EO54" s="555"/>
      <c r="EP54" s="588"/>
      <c r="EQ54" s="591">
        <f t="shared" si="34"/>
        <v>8</v>
      </c>
      <c r="ER54" s="591"/>
      <c r="ES54" s="562"/>
      <c r="EU54" s="117"/>
    </row>
    <row r="55" spans="1:151" s="76" customFormat="1" ht="99.95" customHeight="1" x14ac:dyDescent="0.75">
      <c r="A55" s="80" t="s">
        <v>7</v>
      </c>
      <c r="B55" s="86" t="s">
        <v>125</v>
      </c>
      <c r="C55" s="564" t="s">
        <v>102</v>
      </c>
      <c r="D55" s="564"/>
      <c r="E55" s="564"/>
      <c r="F55" s="564"/>
      <c r="G55" s="564"/>
      <c r="H55" s="564"/>
      <c r="I55" s="564"/>
      <c r="J55" s="564"/>
      <c r="K55" s="564"/>
      <c r="L55" s="564"/>
      <c r="M55" s="564"/>
      <c r="N55" s="564"/>
      <c r="O55" s="564"/>
      <c r="P55" s="564"/>
      <c r="Q55" s="564"/>
      <c r="R55" s="564"/>
      <c r="S55" s="564"/>
      <c r="T55" s="564"/>
      <c r="U55" s="564"/>
      <c r="V55" s="564"/>
      <c r="W55" s="564"/>
      <c r="X55" s="564"/>
      <c r="Y55" s="564"/>
      <c r="Z55" s="565">
        <f t="shared" si="35"/>
        <v>120</v>
      </c>
      <c r="AA55" s="565"/>
      <c r="AB55" s="565"/>
      <c r="AC55" s="565"/>
      <c r="AD55" s="566">
        <f t="shared" si="37"/>
        <v>14.399999999999999</v>
      </c>
      <c r="AE55" s="566"/>
      <c r="AF55" s="566"/>
      <c r="AG55" s="567">
        <v>16</v>
      </c>
      <c r="AH55" s="567"/>
      <c r="AI55" s="567"/>
      <c r="AJ55" s="567"/>
      <c r="AK55" s="567"/>
      <c r="AL55" s="620">
        <v>8</v>
      </c>
      <c r="AM55" s="620"/>
      <c r="AN55" s="620"/>
      <c r="AO55" s="620"/>
      <c r="AP55" s="620"/>
      <c r="AQ55" s="620">
        <v>8</v>
      </c>
      <c r="AR55" s="620"/>
      <c r="AS55" s="620"/>
      <c r="AT55" s="620"/>
      <c r="AU55" s="620"/>
      <c r="AV55" s="620"/>
      <c r="AW55" s="620"/>
      <c r="AX55" s="620"/>
      <c r="AY55" s="620"/>
      <c r="AZ55" s="620"/>
      <c r="BA55" s="610"/>
      <c r="BB55" s="610"/>
      <c r="BC55" s="610"/>
      <c r="BD55" s="610"/>
      <c r="BE55" s="610"/>
      <c r="BF55" s="610"/>
      <c r="BG55" s="610"/>
      <c r="BH55" s="610"/>
      <c r="BI55" s="610"/>
      <c r="BJ55" s="610"/>
      <c r="BK55" s="571">
        <f t="shared" si="36"/>
        <v>104</v>
      </c>
      <c r="BL55" s="571"/>
      <c r="BM55" s="571"/>
      <c r="BN55" s="572"/>
      <c r="BO55" s="665"/>
      <c r="BP55" s="526"/>
      <c r="BQ55" s="526"/>
      <c r="BR55" s="526"/>
      <c r="BS55" s="526"/>
      <c r="BT55" s="526"/>
      <c r="BU55" s="526"/>
      <c r="BV55" s="526"/>
      <c r="BW55" s="526"/>
      <c r="BX55" s="526"/>
      <c r="BY55" s="526"/>
      <c r="BZ55" s="526"/>
      <c r="CA55" s="526"/>
      <c r="CB55" s="526"/>
      <c r="CC55" s="526"/>
      <c r="CD55" s="526"/>
      <c r="CE55" s="526">
        <v>6</v>
      </c>
      <c r="CF55" s="526"/>
      <c r="CG55" s="526"/>
      <c r="CH55" s="526"/>
      <c r="CI55" s="526"/>
      <c r="CJ55" s="526"/>
      <c r="CK55" s="526"/>
      <c r="CL55" s="526"/>
      <c r="CM55" s="526"/>
      <c r="CN55" s="526"/>
      <c r="CO55" s="526"/>
      <c r="CP55" s="526"/>
      <c r="CQ55" s="526"/>
      <c r="CR55" s="526"/>
      <c r="CS55" s="526"/>
      <c r="CT55" s="526"/>
      <c r="CU55" s="526"/>
      <c r="CV55" s="526"/>
      <c r="CW55" s="526"/>
      <c r="CX55" s="526"/>
      <c r="CY55" s="526"/>
      <c r="CZ55" s="526"/>
      <c r="DA55" s="526"/>
      <c r="DB55" s="561"/>
      <c r="DC55" s="568"/>
      <c r="DD55" s="569"/>
      <c r="DE55" s="569"/>
      <c r="DF55" s="570"/>
      <c r="DG55" s="619"/>
      <c r="DH55" s="569"/>
      <c r="DI55" s="569"/>
      <c r="DJ55" s="570"/>
      <c r="DK55" s="619"/>
      <c r="DL55" s="569"/>
      <c r="DM55" s="569"/>
      <c r="DN55" s="570"/>
      <c r="DO55" s="619"/>
      <c r="DP55" s="569"/>
      <c r="DQ55" s="569"/>
      <c r="DR55" s="570"/>
      <c r="DS55" s="619"/>
      <c r="DT55" s="569"/>
      <c r="DU55" s="569"/>
      <c r="DV55" s="570"/>
      <c r="DW55" s="619"/>
      <c r="DX55" s="569"/>
      <c r="DY55" s="569"/>
      <c r="DZ55" s="570"/>
      <c r="EA55" s="619"/>
      <c r="EB55" s="569"/>
      <c r="EC55" s="569"/>
      <c r="ED55" s="570"/>
      <c r="EE55" s="619">
        <v>4</v>
      </c>
      <c r="EF55" s="569"/>
      <c r="EG55" s="569"/>
      <c r="EH55" s="570"/>
      <c r="EI55" s="619"/>
      <c r="EJ55" s="569"/>
      <c r="EK55" s="569"/>
      <c r="EL55" s="570"/>
      <c r="EM55" s="619"/>
      <c r="EN55" s="569"/>
      <c r="EO55" s="569"/>
      <c r="EP55" s="622"/>
      <c r="EQ55" s="579">
        <f t="shared" si="34"/>
        <v>4</v>
      </c>
      <c r="ER55" s="579"/>
      <c r="ES55" s="565"/>
      <c r="EU55" s="87"/>
    </row>
    <row r="56" spans="1:151" s="76" customFormat="1" ht="120" customHeight="1" x14ac:dyDescent="0.75">
      <c r="A56" s="80" t="s">
        <v>8</v>
      </c>
      <c r="B56" s="86" t="s">
        <v>127</v>
      </c>
      <c r="C56" s="564" t="s">
        <v>126</v>
      </c>
      <c r="D56" s="564"/>
      <c r="E56" s="564"/>
      <c r="F56" s="564"/>
      <c r="G56" s="564"/>
      <c r="H56" s="564"/>
      <c r="I56" s="564"/>
      <c r="J56" s="564"/>
      <c r="K56" s="564"/>
      <c r="L56" s="564"/>
      <c r="M56" s="564"/>
      <c r="N56" s="564"/>
      <c r="O56" s="564"/>
      <c r="P56" s="564"/>
      <c r="Q56" s="564"/>
      <c r="R56" s="564"/>
      <c r="S56" s="564"/>
      <c r="T56" s="564"/>
      <c r="U56" s="564"/>
      <c r="V56" s="564"/>
      <c r="W56" s="564"/>
      <c r="X56" s="564"/>
      <c r="Y56" s="564"/>
      <c r="Z56" s="565">
        <f>EQ56*30</f>
        <v>120</v>
      </c>
      <c r="AA56" s="565"/>
      <c r="AB56" s="565"/>
      <c r="AC56" s="565"/>
      <c r="AD56" s="566">
        <f t="shared" si="37"/>
        <v>14.399999999999999</v>
      </c>
      <c r="AE56" s="566"/>
      <c r="AF56" s="566"/>
      <c r="AG56" s="567">
        <v>16</v>
      </c>
      <c r="AH56" s="567"/>
      <c r="AI56" s="567"/>
      <c r="AJ56" s="567"/>
      <c r="AK56" s="567"/>
      <c r="AL56" s="620">
        <v>8</v>
      </c>
      <c r="AM56" s="620"/>
      <c r="AN56" s="620"/>
      <c r="AO56" s="620"/>
      <c r="AP56" s="620"/>
      <c r="AQ56" s="620">
        <v>8</v>
      </c>
      <c r="AR56" s="620"/>
      <c r="AS56" s="620"/>
      <c r="AT56" s="620"/>
      <c r="AU56" s="620"/>
      <c r="AV56" s="620"/>
      <c r="AW56" s="620"/>
      <c r="AX56" s="620"/>
      <c r="AY56" s="620"/>
      <c r="AZ56" s="620"/>
      <c r="BA56" s="610"/>
      <c r="BB56" s="610"/>
      <c r="BC56" s="610"/>
      <c r="BD56" s="610"/>
      <c r="BE56" s="610"/>
      <c r="BF56" s="610"/>
      <c r="BG56" s="610"/>
      <c r="BH56" s="610"/>
      <c r="BI56" s="610"/>
      <c r="BJ56" s="610"/>
      <c r="BK56" s="571">
        <f>Z56-AG56</f>
        <v>104</v>
      </c>
      <c r="BL56" s="571"/>
      <c r="BM56" s="571"/>
      <c r="BN56" s="572"/>
      <c r="BO56" s="665"/>
      <c r="BP56" s="526"/>
      <c r="BQ56" s="526"/>
      <c r="BR56" s="526"/>
      <c r="BS56" s="526"/>
      <c r="BT56" s="526"/>
      <c r="BU56" s="526"/>
      <c r="BV56" s="526"/>
      <c r="BW56" s="526"/>
      <c r="BX56" s="526"/>
      <c r="BY56" s="526"/>
      <c r="BZ56" s="526"/>
      <c r="CA56" s="526"/>
      <c r="CB56" s="526"/>
      <c r="CC56" s="526"/>
      <c r="CD56" s="526"/>
      <c r="CE56" s="526"/>
      <c r="CF56" s="526"/>
      <c r="CG56" s="526"/>
      <c r="CH56" s="526"/>
      <c r="CI56" s="526"/>
      <c r="CJ56" s="526"/>
      <c r="CK56" s="526"/>
      <c r="CL56" s="526"/>
      <c r="CM56" s="526"/>
      <c r="CN56" s="526"/>
      <c r="CO56" s="526"/>
      <c r="CP56" s="526"/>
      <c r="CQ56" s="526">
        <v>6</v>
      </c>
      <c r="CR56" s="526"/>
      <c r="CS56" s="526"/>
      <c r="CT56" s="526"/>
      <c r="CU56" s="526"/>
      <c r="CV56" s="526"/>
      <c r="CW56" s="526"/>
      <c r="CX56" s="526"/>
      <c r="CY56" s="526"/>
      <c r="CZ56" s="526"/>
      <c r="DA56" s="526"/>
      <c r="DB56" s="561"/>
      <c r="DC56" s="568"/>
      <c r="DD56" s="569"/>
      <c r="DE56" s="569"/>
      <c r="DF56" s="570"/>
      <c r="DG56" s="619"/>
      <c r="DH56" s="569"/>
      <c r="DI56" s="569"/>
      <c r="DJ56" s="570"/>
      <c r="DK56" s="619"/>
      <c r="DL56" s="569"/>
      <c r="DM56" s="569"/>
      <c r="DN56" s="570"/>
      <c r="DO56" s="619"/>
      <c r="DP56" s="569"/>
      <c r="DQ56" s="569"/>
      <c r="DR56" s="570"/>
      <c r="DS56" s="619"/>
      <c r="DT56" s="569"/>
      <c r="DU56" s="569"/>
      <c r="DV56" s="570"/>
      <c r="DW56" s="619"/>
      <c r="DX56" s="569"/>
      <c r="DY56" s="569"/>
      <c r="DZ56" s="570"/>
      <c r="EA56" s="619"/>
      <c r="EB56" s="569"/>
      <c r="EC56" s="569"/>
      <c r="ED56" s="570"/>
      <c r="EE56" s="619">
        <v>4</v>
      </c>
      <c r="EF56" s="569"/>
      <c r="EG56" s="569"/>
      <c r="EH56" s="570"/>
      <c r="EI56" s="619"/>
      <c r="EJ56" s="569"/>
      <c r="EK56" s="569"/>
      <c r="EL56" s="570"/>
      <c r="EM56" s="619"/>
      <c r="EN56" s="569"/>
      <c r="EO56" s="569"/>
      <c r="EP56" s="622"/>
      <c r="EQ56" s="579">
        <f>DC56+DG56+DK56+DO56+DS56+DW56+EA56+EE56+EI56+EM56</f>
        <v>4</v>
      </c>
      <c r="ER56" s="579"/>
      <c r="ES56" s="565"/>
      <c r="EU56" s="87"/>
    </row>
    <row r="57" spans="1:151" s="76" customFormat="1" ht="99.95" customHeight="1" x14ac:dyDescent="0.75">
      <c r="A57" s="80" t="s">
        <v>92</v>
      </c>
      <c r="B57" s="86" t="s">
        <v>129</v>
      </c>
      <c r="C57" s="564" t="s">
        <v>128</v>
      </c>
      <c r="D57" s="564"/>
      <c r="E57" s="564"/>
      <c r="F57" s="564"/>
      <c r="G57" s="564"/>
      <c r="H57" s="564"/>
      <c r="I57" s="564"/>
      <c r="J57" s="564"/>
      <c r="K57" s="564"/>
      <c r="L57" s="564"/>
      <c r="M57" s="564"/>
      <c r="N57" s="564"/>
      <c r="O57" s="564"/>
      <c r="P57" s="564"/>
      <c r="Q57" s="564"/>
      <c r="R57" s="564"/>
      <c r="S57" s="564"/>
      <c r="T57" s="564"/>
      <c r="U57" s="564"/>
      <c r="V57" s="564"/>
      <c r="W57" s="564"/>
      <c r="X57" s="564"/>
      <c r="Y57" s="564"/>
      <c r="Z57" s="565">
        <f>EQ57*30</f>
        <v>150</v>
      </c>
      <c r="AA57" s="565"/>
      <c r="AB57" s="565"/>
      <c r="AC57" s="565"/>
      <c r="AD57" s="566">
        <f t="shared" si="37"/>
        <v>18</v>
      </c>
      <c r="AE57" s="566"/>
      <c r="AF57" s="566"/>
      <c r="AG57" s="567">
        <v>18</v>
      </c>
      <c r="AH57" s="567"/>
      <c r="AI57" s="567"/>
      <c r="AJ57" s="567"/>
      <c r="AK57" s="567"/>
      <c r="AL57" s="620">
        <v>10</v>
      </c>
      <c r="AM57" s="620"/>
      <c r="AN57" s="620"/>
      <c r="AO57" s="620"/>
      <c r="AP57" s="620"/>
      <c r="AQ57" s="620">
        <v>8</v>
      </c>
      <c r="AR57" s="620"/>
      <c r="AS57" s="620"/>
      <c r="AT57" s="620"/>
      <c r="AU57" s="620"/>
      <c r="AV57" s="620"/>
      <c r="AW57" s="620"/>
      <c r="AX57" s="620"/>
      <c r="AY57" s="620"/>
      <c r="AZ57" s="620"/>
      <c r="BA57" s="610"/>
      <c r="BB57" s="610"/>
      <c r="BC57" s="610"/>
      <c r="BD57" s="610"/>
      <c r="BE57" s="610"/>
      <c r="BF57" s="610"/>
      <c r="BG57" s="610"/>
      <c r="BH57" s="610"/>
      <c r="BI57" s="610"/>
      <c r="BJ57" s="610"/>
      <c r="BK57" s="571">
        <f>Z57-AG57</f>
        <v>132</v>
      </c>
      <c r="BL57" s="571"/>
      <c r="BM57" s="571"/>
      <c r="BN57" s="572"/>
      <c r="BO57" s="665"/>
      <c r="BP57" s="526"/>
      <c r="BQ57" s="526"/>
      <c r="BR57" s="526"/>
      <c r="BS57" s="526"/>
      <c r="BT57" s="526"/>
      <c r="BU57" s="526"/>
      <c r="BV57" s="526"/>
      <c r="BW57" s="526"/>
      <c r="BX57" s="526"/>
      <c r="BY57" s="526"/>
      <c r="BZ57" s="526"/>
      <c r="CA57" s="526"/>
      <c r="CB57" s="526"/>
      <c r="CC57" s="526"/>
      <c r="CD57" s="526"/>
      <c r="CE57" s="526"/>
      <c r="CF57" s="526"/>
      <c r="CG57" s="526"/>
      <c r="CH57" s="526"/>
      <c r="CI57" s="526"/>
      <c r="CJ57" s="526"/>
      <c r="CK57" s="526"/>
      <c r="CL57" s="526"/>
      <c r="CM57" s="526"/>
      <c r="CN57" s="526"/>
      <c r="CO57" s="526"/>
      <c r="CP57" s="526"/>
      <c r="CQ57" s="526"/>
      <c r="CR57" s="526"/>
      <c r="CS57" s="526"/>
      <c r="CT57" s="526"/>
      <c r="CU57" s="526">
        <v>6</v>
      </c>
      <c r="CV57" s="526"/>
      <c r="CW57" s="526"/>
      <c r="CX57" s="526"/>
      <c r="CY57" s="526"/>
      <c r="CZ57" s="526"/>
      <c r="DA57" s="526"/>
      <c r="DB57" s="561"/>
      <c r="DC57" s="568"/>
      <c r="DD57" s="569"/>
      <c r="DE57" s="569"/>
      <c r="DF57" s="570"/>
      <c r="DG57" s="619"/>
      <c r="DH57" s="569"/>
      <c r="DI57" s="569"/>
      <c r="DJ57" s="570"/>
      <c r="DK57" s="619"/>
      <c r="DL57" s="569"/>
      <c r="DM57" s="569"/>
      <c r="DN57" s="570"/>
      <c r="DO57" s="619"/>
      <c r="DP57" s="569"/>
      <c r="DQ57" s="569"/>
      <c r="DR57" s="570"/>
      <c r="DS57" s="619"/>
      <c r="DT57" s="569"/>
      <c r="DU57" s="569"/>
      <c r="DV57" s="570"/>
      <c r="DW57" s="619"/>
      <c r="DX57" s="569"/>
      <c r="DY57" s="569"/>
      <c r="DZ57" s="570"/>
      <c r="EA57" s="619"/>
      <c r="EB57" s="569"/>
      <c r="EC57" s="569"/>
      <c r="ED57" s="570"/>
      <c r="EE57" s="619"/>
      <c r="EF57" s="569"/>
      <c r="EG57" s="569"/>
      <c r="EH57" s="570"/>
      <c r="EI57" s="619">
        <v>5</v>
      </c>
      <c r="EJ57" s="569"/>
      <c r="EK57" s="569"/>
      <c r="EL57" s="570"/>
      <c r="EM57" s="619"/>
      <c r="EN57" s="569"/>
      <c r="EO57" s="569"/>
      <c r="EP57" s="622"/>
      <c r="EQ57" s="579">
        <f>DC57+DG57+DK57+DO57+DS57+DW57+EA57+EE57+EI57+EM57</f>
        <v>5</v>
      </c>
      <c r="ER57" s="579"/>
      <c r="ES57" s="565"/>
      <c r="EU57" s="87"/>
    </row>
    <row r="58" spans="1:151" s="76" customFormat="1" ht="99.95" customHeight="1" x14ac:dyDescent="0.75">
      <c r="A58" s="80" t="s">
        <v>93</v>
      </c>
      <c r="B58" s="86" t="s">
        <v>183</v>
      </c>
      <c r="C58" s="564" t="s">
        <v>130</v>
      </c>
      <c r="D58" s="564"/>
      <c r="E58" s="564"/>
      <c r="F58" s="564"/>
      <c r="G58" s="564"/>
      <c r="H58" s="564"/>
      <c r="I58" s="564"/>
      <c r="J58" s="564"/>
      <c r="K58" s="564"/>
      <c r="L58" s="564"/>
      <c r="M58" s="564"/>
      <c r="N58" s="564"/>
      <c r="O58" s="564"/>
      <c r="P58" s="564"/>
      <c r="Q58" s="564"/>
      <c r="R58" s="564"/>
      <c r="S58" s="564"/>
      <c r="T58" s="564"/>
      <c r="U58" s="564"/>
      <c r="V58" s="564"/>
      <c r="W58" s="564"/>
      <c r="X58" s="564"/>
      <c r="Y58" s="564"/>
      <c r="Z58" s="565">
        <f>EQ58*30</f>
        <v>270</v>
      </c>
      <c r="AA58" s="565"/>
      <c r="AB58" s="565"/>
      <c r="AC58" s="565"/>
      <c r="AD58" s="566">
        <f t="shared" si="37"/>
        <v>32.4</v>
      </c>
      <c r="AE58" s="566"/>
      <c r="AF58" s="566"/>
      <c r="AG58" s="567">
        <v>34</v>
      </c>
      <c r="AH58" s="567"/>
      <c r="AI58" s="567"/>
      <c r="AJ58" s="567"/>
      <c r="AK58" s="567"/>
      <c r="AL58" s="620">
        <v>22</v>
      </c>
      <c r="AM58" s="620"/>
      <c r="AN58" s="620"/>
      <c r="AO58" s="620"/>
      <c r="AP58" s="620"/>
      <c r="AQ58" s="620">
        <v>12</v>
      </c>
      <c r="AR58" s="620"/>
      <c r="AS58" s="620"/>
      <c r="AT58" s="620"/>
      <c r="AU58" s="620"/>
      <c r="AV58" s="620"/>
      <c r="AW58" s="620"/>
      <c r="AX58" s="620"/>
      <c r="AY58" s="620"/>
      <c r="AZ58" s="620"/>
      <c r="BA58" s="610"/>
      <c r="BB58" s="610"/>
      <c r="BC58" s="610"/>
      <c r="BD58" s="610"/>
      <c r="BE58" s="610"/>
      <c r="BF58" s="610"/>
      <c r="BG58" s="610"/>
      <c r="BH58" s="610"/>
      <c r="BI58" s="610"/>
      <c r="BJ58" s="610"/>
      <c r="BK58" s="571">
        <f>Z58-AG58</f>
        <v>236</v>
      </c>
      <c r="BL58" s="571"/>
      <c r="BM58" s="571"/>
      <c r="BN58" s="572"/>
      <c r="BO58" s="665"/>
      <c r="BP58" s="526"/>
      <c r="BQ58" s="526"/>
      <c r="BR58" s="526"/>
      <c r="BS58" s="526"/>
      <c r="BT58" s="526"/>
      <c r="BU58" s="526"/>
      <c r="BV58" s="526"/>
      <c r="BW58" s="526"/>
      <c r="BX58" s="526"/>
      <c r="BY58" s="526"/>
      <c r="BZ58" s="526"/>
      <c r="CA58" s="526"/>
      <c r="CB58" s="526"/>
      <c r="CC58" s="526"/>
      <c r="CD58" s="526"/>
      <c r="CE58" s="526"/>
      <c r="CF58" s="526"/>
      <c r="CG58" s="526"/>
      <c r="CH58" s="526"/>
      <c r="CI58" s="526"/>
      <c r="CJ58" s="526"/>
      <c r="CK58" s="526"/>
      <c r="CL58" s="526"/>
      <c r="CM58" s="526"/>
      <c r="CN58" s="526"/>
      <c r="CO58" s="526"/>
      <c r="CP58" s="526"/>
      <c r="CQ58" s="526">
        <v>6</v>
      </c>
      <c r="CR58" s="526"/>
      <c r="CS58" s="526"/>
      <c r="CT58" s="526"/>
      <c r="CU58" s="526">
        <v>6</v>
      </c>
      <c r="CV58" s="526"/>
      <c r="CW58" s="526"/>
      <c r="CX58" s="526"/>
      <c r="CY58" s="526"/>
      <c r="CZ58" s="526"/>
      <c r="DA58" s="526"/>
      <c r="DB58" s="561"/>
      <c r="DC58" s="568"/>
      <c r="DD58" s="569"/>
      <c r="DE58" s="569"/>
      <c r="DF58" s="570"/>
      <c r="DG58" s="619"/>
      <c r="DH58" s="569"/>
      <c r="DI58" s="569"/>
      <c r="DJ58" s="570"/>
      <c r="DK58" s="619"/>
      <c r="DL58" s="569"/>
      <c r="DM58" s="569"/>
      <c r="DN58" s="570"/>
      <c r="DO58" s="619"/>
      <c r="DP58" s="569"/>
      <c r="DQ58" s="569"/>
      <c r="DR58" s="570"/>
      <c r="DS58" s="619"/>
      <c r="DT58" s="569"/>
      <c r="DU58" s="569"/>
      <c r="DV58" s="570"/>
      <c r="DW58" s="619"/>
      <c r="DX58" s="569"/>
      <c r="DY58" s="569"/>
      <c r="DZ58" s="570"/>
      <c r="EA58" s="619"/>
      <c r="EB58" s="569"/>
      <c r="EC58" s="569"/>
      <c r="ED58" s="570"/>
      <c r="EE58" s="619"/>
      <c r="EF58" s="569"/>
      <c r="EG58" s="569"/>
      <c r="EH58" s="570"/>
      <c r="EI58" s="619">
        <v>5</v>
      </c>
      <c r="EJ58" s="569"/>
      <c r="EK58" s="569"/>
      <c r="EL58" s="570"/>
      <c r="EM58" s="619">
        <v>4</v>
      </c>
      <c r="EN58" s="569"/>
      <c r="EO58" s="569"/>
      <c r="EP58" s="622"/>
      <c r="EQ58" s="579">
        <f>DC58+DG58+DK58+DO58+DS58+DW58+EA58+EE58+EI58+EM58</f>
        <v>9</v>
      </c>
      <c r="ER58" s="579"/>
      <c r="ES58" s="565"/>
      <c r="EU58" s="87"/>
    </row>
    <row r="59" spans="1:151" s="76" customFormat="1" ht="80.099999999999994" customHeight="1" x14ac:dyDescent="0.75">
      <c r="A59" s="110" t="s">
        <v>37</v>
      </c>
      <c r="B59" s="110"/>
      <c r="C59" s="611" t="s">
        <v>72</v>
      </c>
      <c r="D59" s="611"/>
      <c r="E59" s="611"/>
      <c r="F59" s="611"/>
      <c r="G59" s="611"/>
      <c r="H59" s="611"/>
      <c r="I59" s="611"/>
      <c r="J59" s="611"/>
      <c r="K59" s="611"/>
      <c r="L59" s="611"/>
      <c r="M59" s="611"/>
      <c r="N59" s="611"/>
      <c r="O59" s="611"/>
      <c r="P59" s="611"/>
      <c r="Q59" s="611"/>
      <c r="R59" s="611"/>
      <c r="S59" s="611"/>
      <c r="T59" s="611"/>
      <c r="U59" s="611"/>
      <c r="V59" s="611"/>
      <c r="W59" s="611"/>
      <c r="X59" s="611"/>
      <c r="Y59" s="611"/>
      <c r="Z59" s="655">
        <f>SUM(Z60:AC77)</f>
        <v>1440</v>
      </c>
      <c r="AA59" s="655"/>
      <c r="AB59" s="655"/>
      <c r="AC59" s="655"/>
      <c r="AD59" s="533">
        <f>Z59/$Z$82*100</f>
        <v>26.666666666666668</v>
      </c>
      <c r="AE59" s="533"/>
      <c r="AF59" s="533"/>
      <c r="AG59" s="613">
        <f>SUM(AG60:AK77)</f>
        <v>176</v>
      </c>
      <c r="AH59" s="614"/>
      <c r="AI59" s="614"/>
      <c r="AJ59" s="614"/>
      <c r="AK59" s="615"/>
      <c r="AL59" s="613">
        <f>SUM(AL60:AP77)</f>
        <v>120</v>
      </c>
      <c r="AM59" s="614"/>
      <c r="AN59" s="614"/>
      <c r="AO59" s="614"/>
      <c r="AP59" s="615"/>
      <c r="AQ59" s="613">
        <f>SUM(AQ60:AU77)</f>
        <v>120</v>
      </c>
      <c r="AR59" s="614"/>
      <c r="AS59" s="614"/>
      <c r="AT59" s="614"/>
      <c r="AU59" s="615"/>
      <c r="AV59" s="613">
        <f>SUM(AV60:AZ77)</f>
        <v>0</v>
      </c>
      <c r="AW59" s="614"/>
      <c r="AX59" s="614"/>
      <c r="AY59" s="614"/>
      <c r="AZ59" s="615"/>
      <c r="BA59" s="613">
        <f>SUM(BA60:BE77)</f>
        <v>0</v>
      </c>
      <c r="BB59" s="614"/>
      <c r="BC59" s="614"/>
      <c r="BD59" s="614"/>
      <c r="BE59" s="615"/>
      <c r="BF59" s="613">
        <f>SUM(BF60:BJ77)</f>
        <v>0</v>
      </c>
      <c r="BG59" s="614"/>
      <c r="BH59" s="614"/>
      <c r="BI59" s="614"/>
      <c r="BJ59" s="615"/>
      <c r="BK59" s="655">
        <f>SUM(BK60:BN77)</f>
        <v>1264</v>
      </c>
      <c r="BL59" s="655"/>
      <c r="BM59" s="655"/>
      <c r="BN59" s="613"/>
      <c r="BO59" s="621">
        <f>SUM(BO60:BR77)</f>
        <v>0</v>
      </c>
      <c r="BP59" s="621"/>
      <c r="BQ59" s="621"/>
      <c r="BR59" s="621"/>
      <c r="BS59" s="621">
        <f>SUM(BS60:BV77)</f>
        <v>0</v>
      </c>
      <c r="BT59" s="621"/>
      <c r="BU59" s="621"/>
      <c r="BV59" s="621"/>
      <c r="BW59" s="621">
        <f>SUM(BW60:BZ77)</f>
        <v>0</v>
      </c>
      <c r="BX59" s="621"/>
      <c r="BY59" s="621"/>
      <c r="BZ59" s="621"/>
      <c r="CA59" s="621">
        <f>SUM(CA60:CD77)</f>
        <v>12</v>
      </c>
      <c r="CB59" s="621"/>
      <c r="CC59" s="621"/>
      <c r="CD59" s="621"/>
      <c r="CE59" s="621">
        <f>SUM(CE60:CH77)</f>
        <v>0</v>
      </c>
      <c r="CF59" s="621"/>
      <c r="CG59" s="621"/>
      <c r="CH59" s="621"/>
      <c r="CI59" s="621">
        <f>SUM(CI60:CL77)</f>
        <v>12</v>
      </c>
      <c r="CJ59" s="621"/>
      <c r="CK59" s="621"/>
      <c r="CL59" s="621"/>
      <c r="CM59" s="621">
        <f>SUM(CM60:CP77)</f>
        <v>24</v>
      </c>
      <c r="CN59" s="621"/>
      <c r="CO59" s="621"/>
      <c r="CP59" s="621"/>
      <c r="CQ59" s="621">
        <f>SUM(CQ60:CT77)</f>
        <v>12</v>
      </c>
      <c r="CR59" s="621"/>
      <c r="CS59" s="621"/>
      <c r="CT59" s="621"/>
      <c r="CU59" s="621">
        <f>SUM(CU60:CX77)</f>
        <v>6</v>
      </c>
      <c r="CV59" s="621"/>
      <c r="CW59" s="621"/>
      <c r="CX59" s="621"/>
      <c r="CY59" s="621">
        <f>SUM(CY60:DB77)</f>
        <v>0</v>
      </c>
      <c r="CZ59" s="621"/>
      <c r="DA59" s="621"/>
      <c r="DB59" s="621"/>
      <c r="DC59" s="621">
        <f>SUM(DC60:DF77)</f>
        <v>0</v>
      </c>
      <c r="DD59" s="621"/>
      <c r="DE59" s="621"/>
      <c r="DF59" s="621"/>
      <c r="DG59" s="621">
        <f>SUM(DG60:DJ77)</f>
        <v>0</v>
      </c>
      <c r="DH59" s="621"/>
      <c r="DI59" s="621"/>
      <c r="DJ59" s="621"/>
      <c r="DK59" s="621">
        <f>SUM(DK60:DN77)</f>
        <v>0</v>
      </c>
      <c r="DL59" s="621"/>
      <c r="DM59" s="621"/>
      <c r="DN59" s="621"/>
      <c r="DO59" s="621">
        <f>SUM(DO60:DR77)</f>
        <v>6</v>
      </c>
      <c r="DP59" s="621"/>
      <c r="DQ59" s="621"/>
      <c r="DR59" s="621"/>
      <c r="DS59" s="621">
        <f>SUM(DS60:DV77)</f>
        <v>8</v>
      </c>
      <c r="DT59" s="621"/>
      <c r="DU59" s="621"/>
      <c r="DV59" s="621"/>
      <c r="DW59" s="621">
        <f>SUM(DW60:DZ77)</f>
        <v>8</v>
      </c>
      <c r="DX59" s="621"/>
      <c r="DY59" s="621"/>
      <c r="DZ59" s="621"/>
      <c r="EA59" s="621">
        <f>SUM(EA60:ED77)</f>
        <v>10</v>
      </c>
      <c r="EB59" s="621"/>
      <c r="EC59" s="621"/>
      <c r="ED59" s="621"/>
      <c r="EE59" s="621">
        <f>SUM(EE60:EH77)</f>
        <v>4</v>
      </c>
      <c r="EF59" s="621"/>
      <c r="EG59" s="621"/>
      <c r="EH59" s="621"/>
      <c r="EI59" s="621">
        <f>SUM(EI60:EL77)</f>
        <v>4</v>
      </c>
      <c r="EJ59" s="621"/>
      <c r="EK59" s="621"/>
      <c r="EL59" s="621"/>
      <c r="EM59" s="621">
        <f>SUM(EM60:EP77)</f>
        <v>8</v>
      </c>
      <c r="EN59" s="621"/>
      <c r="EO59" s="621"/>
      <c r="EP59" s="621"/>
      <c r="EQ59" s="652">
        <f t="shared" si="34"/>
        <v>48</v>
      </c>
      <c r="ER59" s="652"/>
      <c r="ES59" s="730"/>
      <c r="EU59" s="87"/>
    </row>
    <row r="60" spans="1:151" s="212" customFormat="1" ht="99.95" customHeight="1" x14ac:dyDescent="0.75">
      <c r="A60" s="711" t="s">
        <v>9</v>
      </c>
      <c r="B60" s="237" t="s">
        <v>193</v>
      </c>
      <c r="C60" s="681" t="s">
        <v>184</v>
      </c>
      <c r="D60" s="682"/>
      <c r="E60" s="682"/>
      <c r="F60" s="682"/>
      <c r="G60" s="682"/>
      <c r="H60" s="682"/>
      <c r="I60" s="682"/>
      <c r="J60" s="682"/>
      <c r="K60" s="682"/>
      <c r="L60" s="682"/>
      <c r="M60" s="682"/>
      <c r="N60" s="682"/>
      <c r="O60" s="682"/>
      <c r="P60" s="682"/>
      <c r="Q60" s="682"/>
      <c r="R60" s="682"/>
      <c r="S60" s="682"/>
      <c r="T60" s="682"/>
      <c r="U60" s="682"/>
      <c r="V60" s="682"/>
      <c r="W60" s="682"/>
      <c r="X60" s="682"/>
      <c r="Y60" s="683"/>
      <c r="Z60" s="684">
        <f>EQ60*30</f>
        <v>360</v>
      </c>
      <c r="AA60" s="685"/>
      <c r="AB60" s="685"/>
      <c r="AC60" s="686"/>
      <c r="AD60" s="690"/>
      <c r="AE60" s="674"/>
      <c r="AF60" s="691"/>
      <c r="AG60" s="492">
        <v>16</v>
      </c>
      <c r="AH60" s="493"/>
      <c r="AI60" s="493"/>
      <c r="AJ60" s="493"/>
      <c r="AK60" s="494"/>
      <c r="AL60" s="492">
        <v>24</v>
      </c>
      <c r="AM60" s="493"/>
      <c r="AN60" s="493"/>
      <c r="AO60" s="493"/>
      <c r="AP60" s="494"/>
      <c r="AQ60" s="492">
        <v>24</v>
      </c>
      <c r="AR60" s="493"/>
      <c r="AS60" s="493"/>
      <c r="AT60" s="493"/>
      <c r="AU60" s="494"/>
      <c r="AV60" s="492"/>
      <c r="AW60" s="493"/>
      <c r="AX60" s="493"/>
      <c r="AY60" s="493"/>
      <c r="AZ60" s="494"/>
      <c r="BA60" s="492"/>
      <c r="BB60" s="493"/>
      <c r="BC60" s="493"/>
      <c r="BD60" s="493"/>
      <c r="BE60" s="494"/>
      <c r="BF60" s="492"/>
      <c r="BG60" s="493"/>
      <c r="BH60" s="493"/>
      <c r="BI60" s="493"/>
      <c r="BJ60" s="494"/>
      <c r="BK60" s="667">
        <f>Z60-AG60</f>
        <v>344</v>
      </c>
      <c r="BL60" s="668"/>
      <c r="BM60" s="668"/>
      <c r="BN60" s="669"/>
      <c r="BO60" s="673"/>
      <c r="BP60" s="674"/>
      <c r="BQ60" s="674"/>
      <c r="BR60" s="674"/>
      <c r="BS60" s="601"/>
      <c r="BT60" s="601"/>
      <c r="BU60" s="601"/>
      <c r="BV60" s="601"/>
      <c r="BW60" s="601"/>
      <c r="BX60" s="601"/>
      <c r="BY60" s="601"/>
      <c r="BZ60" s="601"/>
      <c r="CA60" s="601">
        <v>6</v>
      </c>
      <c r="CB60" s="601"/>
      <c r="CC60" s="601"/>
      <c r="CD60" s="601"/>
      <c r="CE60" s="601"/>
      <c r="CF60" s="601"/>
      <c r="CG60" s="601"/>
      <c r="CH60" s="601"/>
      <c r="CI60" s="601"/>
      <c r="CJ60" s="601"/>
      <c r="CK60" s="601"/>
      <c r="CL60" s="601"/>
      <c r="CM60" s="601"/>
      <c r="CN60" s="601"/>
      <c r="CO60" s="601"/>
      <c r="CP60" s="601"/>
      <c r="CQ60" s="601"/>
      <c r="CR60" s="601"/>
      <c r="CS60" s="601"/>
      <c r="CT60" s="601"/>
      <c r="CU60" s="601"/>
      <c r="CV60" s="601"/>
      <c r="CW60" s="601"/>
      <c r="CX60" s="601"/>
      <c r="CY60" s="601"/>
      <c r="CZ60" s="601"/>
      <c r="DA60" s="601"/>
      <c r="DB60" s="602"/>
      <c r="DC60" s="600"/>
      <c r="DD60" s="601"/>
      <c r="DE60" s="601"/>
      <c r="DF60" s="601"/>
      <c r="DG60" s="601"/>
      <c r="DH60" s="601"/>
      <c r="DI60" s="601"/>
      <c r="DJ60" s="601"/>
      <c r="DK60" s="601"/>
      <c r="DL60" s="601"/>
      <c r="DM60" s="601"/>
      <c r="DN60" s="601"/>
      <c r="DO60" s="601">
        <v>4</v>
      </c>
      <c r="DP60" s="601"/>
      <c r="DQ60" s="601"/>
      <c r="DR60" s="601"/>
      <c r="DS60" s="601">
        <v>4</v>
      </c>
      <c r="DT60" s="601"/>
      <c r="DU60" s="601"/>
      <c r="DV60" s="601"/>
      <c r="DW60" s="601">
        <v>4</v>
      </c>
      <c r="DX60" s="601"/>
      <c r="DY60" s="601"/>
      <c r="DZ60" s="601"/>
      <c r="EA60" s="601"/>
      <c r="EB60" s="601"/>
      <c r="EC60" s="601"/>
      <c r="ED60" s="601"/>
      <c r="EE60" s="601"/>
      <c r="EF60" s="601"/>
      <c r="EG60" s="601"/>
      <c r="EH60" s="601"/>
      <c r="EI60" s="601"/>
      <c r="EJ60" s="601"/>
      <c r="EK60" s="601"/>
      <c r="EL60" s="601"/>
      <c r="EM60" s="601"/>
      <c r="EN60" s="601"/>
      <c r="EO60" s="601"/>
      <c r="EP60" s="602"/>
      <c r="EQ60" s="679">
        <f t="shared" si="34"/>
        <v>12</v>
      </c>
      <c r="ER60" s="679"/>
      <c r="ES60" s="679"/>
      <c r="EU60" s="213"/>
    </row>
    <row r="61" spans="1:151" s="212" customFormat="1" ht="120" customHeight="1" x14ac:dyDescent="0.75">
      <c r="A61" s="712"/>
      <c r="B61" s="237" t="s">
        <v>194</v>
      </c>
      <c r="C61" s="681" t="s">
        <v>195</v>
      </c>
      <c r="D61" s="682"/>
      <c r="E61" s="682"/>
      <c r="F61" s="682"/>
      <c r="G61" s="682"/>
      <c r="H61" s="682"/>
      <c r="I61" s="682"/>
      <c r="J61" s="682"/>
      <c r="K61" s="682"/>
      <c r="L61" s="682"/>
      <c r="M61" s="682"/>
      <c r="N61" s="682"/>
      <c r="O61" s="682"/>
      <c r="P61" s="682"/>
      <c r="Q61" s="682"/>
      <c r="R61" s="682"/>
      <c r="S61" s="682"/>
      <c r="T61" s="682"/>
      <c r="U61" s="682"/>
      <c r="V61" s="682"/>
      <c r="W61" s="682"/>
      <c r="X61" s="682"/>
      <c r="Y61" s="683"/>
      <c r="Z61" s="687"/>
      <c r="AA61" s="688"/>
      <c r="AB61" s="688"/>
      <c r="AC61" s="689"/>
      <c r="AD61" s="692"/>
      <c r="AE61" s="676"/>
      <c r="AF61" s="693"/>
      <c r="AG61" s="581"/>
      <c r="AH61" s="582"/>
      <c r="AI61" s="582"/>
      <c r="AJ61" s="582"/>
      <c r="AK61" s="583"/>
      <c r="AL61" s="581"/>
      <c r="AM61" s="582"/>
      <c r="AN61" s="582"/>
      <c r="AO61" s="582"/>
      <c r="AP61" s="583"/>
      <c r="AQ61" s="581"/>
      <c r="AR61" s="582"/>
      <c r="AS61" s="582"/>
      <c r="AT61" s="582"/>
      <c r="AU61" s="583"/>
      <c r="AV61" s="581"/>
      <c r="AW61" s="582"/>
      <c r="AX61" s="582"/>
      <c r="AY61" s="582"/>
      <c r="AZ61" s="583"/>
      <c r="BA61" s="581"/>
      <c r="BB61" s="582"/>
      <c r="BC61" s="582"/>
      <c r="BD61" s="582"/>
      <c r="BE61" s="583"/>
      <c r="BF61" s="581"/>
      <c r="BG61" s="582"/>
      <c r="BH61" s="582"/>
      <c r="BI61" s="582"/>
      <c r="BJ61" s="583"/>
      <c r="BK61" s="670"/>
      <c r="BL61" s="671"/>
      <c r="BM61" s="671"/>
      <c r="BN61" s="672"/>
      <c r="BO61" s="675"/>
      <c r="BP61" s="676"/>
      <c r="BQ61" s="676"/>
      <c r="BR61" s="676"/>
      <c r="BS61" s="601"/>
      <c r="BT61" s="601"/>
      <c r="BU61" s="601"/>
      <c r="BV61" s="601"/>
      <c r="BW61" s="601"/>
      <c r="BX61" s="601"/>
      <c r="BY61" s="601"/>
      <c r="BZ61" s="601"/>
      <c r="CA61" s="601"/>
      <c r="CB61" s="601"/>
      <c r="CC61" s="601"/>
      <c r="CD61" s="601"/>
      <c r="CE61" s="601"/>
      <c r="CF61" s="601"/>
      <c r="CG61" s="601"/>
      <c r="CH61" s="601"/>
      <c r="CI61" s="601"/>
      <c r="CJ61" s="601"/>
      <c r="CK61" s="601"/>
      <c r="CL61" s="601"/>
      <c r="CM61" s="601"/>
      <c r="CN61" s="601"/>
      <c r="CO61" s="601"/>
      <c r="CP61" s="601"/>
      <c r="CQ61" s="601"/>
      <c r="CR61" s="601"/>
      <c r="CS61" s="601"/>
      <c r="CT61" s="601"/>
      <c r="CU61" s="601"/>
      <c r="CV61" s="601"/>
      <c r="CW61" s="601"/>
      <c r="CX61" s="601"/>
      <c r="CY61" s="601"/>
      <c r="CZ61" s="601"/>
      <c r="DA61" s="601"/>
      <c r="DB61" s="602"/>
      <c r="DC61" s="600"/>
      <c r="DD61" s="601"/>
      <c r="DE61" s="601"/>
      <c r="DF61" s="601"/>
      <c r="DG61" s="601"/>
      <c r="DH61" s="601"/>
      <c r="DI61" s="601"/>
      <c r="DJ61" s="601"/>
      <c r="DK61" s="601"/>
      <c r="DL61" s="601"/>
      <c r="DM61" s="601"/>
      <c r="DN61" s="601"/>
      <c r="DO61" s="601"/>
      <c r="DP61" s="601"/>
      <c r="DQ61" s="601"/>
      <c r="DR61" s="601"/>
      <c r="DS61" s="601"/>
      <c r="DT61" s="601"/>
      <c r="DU61" s="601"/>
      <c r="DV61" s="601"/>
      <c r="DW61" s="601"/>
      <c r="DX61" s="601"/>
      <c r="DY61" s="601"/>
      <c r="DZ61" s="601"/>
      <c r="EA61" s="601"/>
      <c r="EB61" s="601"/>
      <c r="EC61" s="601"/>
      <c r="ED61" s="601"/>
      <c r="EE61" s="601"/>
      <c r="EF61" s="601"/>
      <c r="EG61" s="601"/>
      <c r="EH61" s="601"/>
      <c r="EI61" s="601"/>
      <c r="EJ61" s="601"/>
      <c r="EK61" s="601"/>
      <c r="EL61" s="601"/>
      <c r="EM61" s="601"/>
      <c r="EN61" s="601"/>
      <c r="EO61" s="601"/>
      <c r="EP61" s="602"/>
      <c r="EQ61" s="679">
        <f t="shared" si="34"/>
        <v>0</v>
      </c>
      <c r="ER61" s="679"/>
      <c r="ES61" s="679"/>
      <c r="EU61" s="213"/>
    </row>
    <row r="62" spans="1:151" s="116" customFormat="1" ht="99.95" customHeight="1" x14ac:dyDescent="0.75">
      <c r="A62" s="694" t="s">
        <v>10</v>
      </c>
      <c r="B62" s="166" t="s">
        <v>133</v>
      </c>
      <c r="C62" s="767" t="s">
        <v>196</v>
      </c>
      <c r="D62" s="767"/>
      <c r="E62" s="767"/>
      <c r="F62" s="767"/>
      <c r="G62" s="767"/>
      <c r="H62" s="767"/>
      <c r="I62" s="767"/>
      <c r="J62" s="767"/>
      <c r="K62" s="767"/>
      <c r="L62" s="767"/>
      <c r="M62" s="767"/>
      <c r="N62" s="767"/>
      <c r="O62" s="767"/>
      <c r="P62" s="767"/>
      <c r="Q62" s="767"/>
      <c r="R62" s="767"/>
      <c r="S62" s="767"/>
      <c r="T62" s="767"/>
      <c r="U62" s="767"/>
      <c r="V62" s="767"/>
      <c r="W62" s="767"/>
      <c r="X62" s="767"/>
      <c r="Y62" s="767"/>
      <c r="Z62" s="699">
        <f>EQ62*30</f>
        <v>60</v>
      </c>
      <c r="AA62" s="700"/>
      <c r="AB62" s="700"/>
      <c r="AC62" s="701"/>
      <c r="AD62" s="705"/>
      <c r="AE62" s="706"/>
      <c r="AF62" s="707"/>
      <c r="AG62" s="506">
        <v>16</v>
      </c>
      <c r="AH62" s="507"/>
      <c r="AI62" s="507"/>
      <c r="AJ62" s="507"/>
      <c r="AK62" s="508"/>
      <c r="AL62" s="506">
        <v>8</v>
      </c>
      <c r="AM62" s="507"/>
      <c r="AN62" s="507"/>
      <c r="AO62" s="507"/>
      <c r="AP62" s="508"/>
      <c r="AQ62" s="506">
        <v>8</v>
      </c>
      <c r="AR62" s="507"/>
      <c r="AS62" s="507"/>
      <c r="AT62" s="507"/>
      <c r="AU62" s="508"/>
      <c r="AV62" s="506"/>
      <c r="AW62" s="507"/>
      <c r="AX62" s="507"/>
      <c r="AY62" s="507"/>
      <c r="AZ62" s="508"/>
      <c r="BA62" s="506"/>
      <c r="BB62" s="507"/>
      <c r="BC62" s="507"/>
      <c r="BD62" s="507"/>
      <c r="BE62" s="508"/>
      <c r="BF62" s="506"/>
      <c r="BG62" s="507"/>
      <c r="BH62" s="507"/>
      <c r="BI62" s="507"/>
      <c r="BJ62" s="508"/>
      <c r="BK62" s="713">
        <f>Z62-AG62</f>
        <v>44</v>
      </c>
      <c r="BL62" s="714"/>
      <c r="BM62" s="714"/>
      <c r="BN62" s="715"/>
      <c r="BO62" s="719"/>
      <c r="BP62" s="706"/>
      <c r="BQ62" s="706"/>
      <c r="BR62" s="706"/>
      <c r="BS62" s="552"/>
      <c r="BT62" s="552"/>
      <c r="BU62" s="552"/>
      <c r="BV62" s="552"/>
      <c r="BW62" s="552"/>
      <c r="BX62" s="552"/>
      <c r="BY62" s="552"/>
      <c r="BZ62" s="552"/>
      <c r="CA62" s="552">
        <v>6</v>
      </c>
      <c r="CB62" s="552"/>
      <c r="CC62" s="552"/>
      <c r="CD62" s="552"/>
      <c r="CE62" s="552"/>
      <c r="CF62" s="552"/>
      <c r="CG62" s="552"/>
      <c r="CH62" s="552"/>
      <c r="CI62" s="552"/>
      <c r="CJ62" s="552"/>
      <c r="CK62" s="552"/>
      <c r="CL62" s="552"/>
      <c r="CM62" s="552"/>
      <c r="CN62" s="552"/>
      <c r="CO62" s="552"/>
      <c r="CP62" s="552"/>
      <c r="CQ62" s="552"/>
      <c r="CR62" s="552"/>
      <c r="CS62" s="552"/>
      <c r="CT62" s="552"/>
      <c r="CU62" s="552"/>
      <c r="CV62" s="552"/>
      <c r="CW62" s="552"/>
      <c r="CX62" s="552"/>
      <c r="CY62" s="552"/>
      <c r="CZ62" s="552"/>
      <c r="DA62" s="552"/>
      <c r="DB62" s="596"/>
      <c r="DC62" s="556"/>
      <c r="DD62" s="552"/>
      <c r="DE62" s="552"/>
      <c r="DF62" s="552"/>
      <c r="DG62" s="552"/>
      <c r="DH62" s="552"/>
      <c r="DI62" s="552"/>
      <c r="DJ62" s="552"/>
      <c r="DK62" s="552"/>
      <c r="DL62" s="552"/>
      <c r="DM62" s="552"/>
      <c r="DN62" s="552"/>
      <c r="DO62" s="552">
        <v>2</v>
      </c>
      <c r="DP62" s="552"/>
      <c r="DQ62" s="552"/>
      <c r="DR62" s="552"/>
      <c r="DS62" s="552"/>
      <c r="DT62" s="552"/>
      <c r="DU62" s="552"/>
      <c r="DV62" s="552"/>
      <c r="DW62" s="552"/>
      <c r="DX62" s="552"/>
      <c r="DY62" s="552"/>
      <c r="DZ62" s="552"/>
      <c r="EA62" s="552"/>
      <c r="EB62" s="552"/>
      <c r="EC62" s="552"/>
      <c r="ED62" s="552"/>
      <c r="EE62" s="552"/>
      <c r="EF62" s="552"/>
      <c r="EG62" s="552"/>
      <c r="EH62" s="552"/>
      <c r="EI62" s="552"/>
      <c r="EJ62" s="552"/>
      <c r="EK62" s="552"/>
      <c r="EL62" s="552"/>
      <c r="EM62" s="552"/>
      <c r="EN62" s="552"/>
      <c r="EO62" s="552"/>
      <c r="EP62" s="596"/>
      <c r="EQ62" s="723">
        <f t="shared" si="34"/>
        <v>2</v>
      </c>
      <c r="ER62" s="723"/>
      <c r="ES62" s="723"/>
      <c r="EU62" s="117" t="s">
        <v>249</v>
      </c>
    </row>
    <row r="63" spans="1:151" s="116" customFormat="1" ht="120" customHeight="1" x14ac:dyDescent="0.75">
      <c r="A63" s="695"/>
      <c r="B63" s="115" t="s">
        <v>134</v>
      </c>
      <c r="C63" s="767" t="s">
        <v>101</v>
      </c>
      <c r="D63" s="767"/>
      <c r="E63" s="767"/>
      <c r="F63" s="767"/>
      <c r="G63" s="767"/>
      <c r="H63" s="767"/>
      <c r="I63" s="767"/>
      <c r="J63" s="767"/>
      <c r="K63" s="767"/>
      <c r="L63" s="767"/>
      <c r="M63" s="767"/>
      <c r="N63" s="767"/>
      <c r="O63" s="767"/>
      <c r="P63" s="767"/>
      <c r="Q63" s="767"/>
      <c r="R63" s="767"/>
      <c r="S63" s="767"/>
      <c r="T63" s="767"/>
      <c r="U63" s="767"/>
      <c r="V63" s="767"/>
      <c r="W63" s="767"/>
      <c r="X63" s="767"/>
      <c r="Y63" s="767"/>
      <c r="Z63" s="702"/>
      <c r="AA63" s="703"/>
      <c r="AB63" s="703"/>
      <c r="AC63" s="704"/>
      <c r="AD63" s="708"/>
      <c r="AE63" s="709"/>
      <c r="AF63" s="710"/>
      <c r="AG63" s="509"/>
      <c r="AH63" s="510"/>
      <c r="AI63" s="510"/>
      <c r="AJ63" s="510"/>
      <c r="AK63" s="511"/>
      <c r="AL63" s="509"/>
      <c r="AM63" s="510"/>
      <c r="AN63" s="510"/>
      <c r="AO63" s="510"/>
      <c r="AP63" s="511"/>
      <c r="AQ63" s="509"/>
      <c r="AR63" s="510"/>
      <c r="AS63" s="510"/>
      <c r="AT63" s="510"/>
      <c r="AU63" s="511"/>
      <c r="AV63" s="509"/>
      <c r="AW63" s="510"/>
      <c r="AX63" s="510"/>
      <c r="AY63" s="510"/>
      <c r="AZ63" s="511"/>
      <c r="BA63" s="509"/>
      <c r="BB63" s="510"/>
      <c r="BC63" s="510"/>
      <c r="BD63" s="510"/>
      <c r="BE63" s="511"/>
      <c r="BF63" s="509"/>
      <c r="BG63" s="510"/>
      <c r="BH63" s="510"/>
      <c r="BI63" s="510"/>
      <c r="BJ63" s="511"/>
      <c r="BK63" s="716"/>
      <c r="BL63" s="717"/>
      <c r="BM63" s="717"/>
      <c r="BN63" s="718"/>
      <c r="BO63" s="720"/>
      <c r="BP63" s="709"/>
      <c r="BQ63" s="709"/>
      <c r="BR63" s="709"/>
      <c r="BS63" s="552"/>
      <c r="BT63" s="552"/>
      <c r="BU63" s="552"/>
      <c r="BV63" s="552"/>
      <c r="BW63" s="552"/>
      <c r="BX63" s="552"/>
      <c r="BY63" s="552"/>
      <c r="BZ63" s="552"/>
      <c r="CA63" s="552"/>
      <c r="CB63" s="552"/>
      <c r="CC63" s="552"/>
      <c r="CD63" s="552"/>
      <c r="CE63" s="552"/>
      <c r="CF63" s="552"/>
      <c r="CG63" s="552"/>
      <c r="CH63" s="552"/>
      <c r="CI63" s="552"/>
      <c r="CJ63" s="552"/>
      <c r="CK63" s="552"/>
      <c r="CL63" s="552"/>
      <c r="CM63" s="552"/>
      <c r="CN63" s="552"/>
      <c r="CO63" s="552"/>
      <c r="CP63" s="552"/>
      <c r="CQ63" s="552"/>
      <c r="CR63" s="552"/>
      <c r="CS63" s="552"/>
      <c r="CT63" s="552"/>
      <c r="CU63" s="552"/>
      <c r="CV63" s="552"/>
      <c r="CW63" s="552"/>
      <c r="CX63" s="552"/>
      <c r="CY63" s="552"/>
      <c r="CZ63" s="552"/>
      <c r="DA63" s="552"/>
      <c r="DB63" s="596"/>
      <c r="DC63" s="556"/>
      <c r="DD63" s="552"/>
      <c r="DE63" s="552"/>
      <c r="DF63" s="552"/>
      <c r="DG63" s="552"/>
      <c r="DH63" s="552"/>
      <c r="DI63" s="552"/>
      <c r="DJ63" s="552"/>
      <c r="DK63" s="552"/>
      <c r="DL63" s="552"/>
      <c r="DM63" s="552"/>
      <c r="DN63" s="552"/>
      <c r="DO63" s="552"/>
      <c r="DP63" s="552"/>
      <c r="DQ63" s="552"/>
      <c r="DR63" s="552"/>
      <c r="DS63" s="552"/>
      <c r="DT63" s="552"/>
      <c r="DU63" s="552"/>
      <c r="DV63" s="552"/>
      <c r="DW63" s="552"/>
      <c r="DX63" s="552"/>
      <c r="DY63" s="552"/>
      <c r="DZ63" s="552"/>
      <c r="EA63" s="552"/>
      <c r="EB63" s="552"/>
      <c r="EC63" s="552"/>
      <c r="ED63" s="552"/>
      <c r="EE63" s="552"/>
      <c r="EF63" s="552"/>
      <c r="EG63" s="552"/>
      <c r="EH63" s="552"/>
      <c r="EI63" s="552"/>
      <c r="EJ63" s="552"/>
      <c r="EK63" s="552"/>
      <c r="EL63" s="552"/>
      <c r="EM63" s="552"/>
      <c r="EN63" s="552"/>
      <c r="EO63" s="552"/>
      <c r="EP63" s="596"/>
      <c r="EQ63" s="723">
        <f t="shared" si="34"/>
        <v>0</v>
      </c>
      <c r="ER63" s="723"/>
      <c r="ES63" s="723"/>
      <c r="EU63" s="117"/>
    </row>
    <row r="64" spans="1:151" s="76" customFormat="1" ht="120" customHeight="1" x14ac:dyDescent="0.75">
      <c r="A64" s="768" t="s">
        <v>38</v>
      </c>
      <c r="B64" s="115" t="s">
        <v>135</v>
      </c>
      <c r="C64" s="560" t="s">
        <v>104</v>
      </c>
      <c r="D64" s="560"/>
      <c r="E64" s="560"/>
      <c r="F64" s="560"/>
      <c r="G64" s="560"/>
      <c r="H64" s="560"/>
      <c r="I64" s="560"/>
      <c r="J64" s="560"/>
      <c r="K64" s="560"/>
      <c r="L64" s="560"/>
      <c r="M64" s="560"/>
      <c r="N64" s="560"/>
      <c r="O64" s="560"/>
      <c r="P64" s="560"/>
      <c r="Q64" s="560"/>
      <c r="R64" s="560"/>
      <c r="S64" s="560"/>
      <c r="T64" s="560"/>
      <c r="U64" s="560"/>
      <c r="V64" s="560"/>
      <c r="W64" s="560"/>
      <c r="X64" s="560"/>
      <c r="Y64" s="560"/>
      <c r="Z64" s="699">
        <f>EQ64*30</f>
        <v>120</v>
      </c>
      <c r="AA64" s="700"/>
      <c r="AB64" s="700"/>
      <c r="AC64" s="701"/>
      <c r="AD64" s="705"/>
      <c r="AE64" s="706"/>
      <c r="AF64" s="707"/>
      <c r="AG64" s="506">
        <v>16</v>
      </c>
      <c r="AH64" s="507"/>
      <c r="AI64" s="507"/>
      <c r="AJ64" s="507"/>
      <c r="AK64" s="508"/>
      <c r="AL64" s="506">
        <v>8</v>
      </c>
      <c r="AM64" s="507"/>
      <c r="AN64" s="507"/>
      <c r="AO64" s="507"/>
      <c r="AP64" s="508"/>
      <c r="AQ64" s="506">
        <v>8</v>
      </c>
      <c r="AR64" s="507"/>
      <c r="AS64" s="507"/>
      <c r="AT64" s="507"/>
      <c r="AU64" s="508"/>
      <c r="AV64" s="506"/>
      <c r="AW64" s="507"/>
      <c r="AX64" s="507"/>
      <c r="AY64" s="507"/>
      <c r="AZ64" s="508"/>
      <c r="BA64" s="506"/>
      <c r="BB64" s="507"/>
      <c r="BC64" s="507"/>
      <c r="BD64" s="507"/>
      <c r="BE64" s="508"/>
      <c r="BF64" s="506"/>
      <c r="BG64" s="507"/>
      <c r="BH64" s="507"/>
      <c r="BI64" s="507"/>
      <c r="BJ64" s="508"/>
      <c r="BK64" s="713">
        <f>Z64-AG64</f>
        <v>104</v>
      </c>
      <c r="BL64" s="714"/>
      <c r="BM64" s="714"/>
      <c r="BN64" s="715"/>
      <c r="BO64" s="719"/>
      <c r="BP64" s="706"/>
      <c r="BQ64" s="706"/>
      <c r="BR64" s="706"/>
      <c r="BS64" s="552"/>
      <c r="BT64" s="552"/>
      <c r="BU64" s="552"/>
      <c r="BV64" s="552"/>
      <c r="BW64" s="552"/>
      <c r="BX64" s="552"/>
      <c r="BY64" s="552"/>
      <c r="BZ64" s="552"/>
      <c r="CA64" s="552"/>
      <c r="CB64" s="552"/>
      <c r="CC64" s="552"/>
      <c r="CD64" s="552"/>
      <c r="CE64" s="552"/>
      <c r="CF64" s="552"/>
      <c r="CG64" s="552"/>
      <c r="CH64" s="552"/>
      <c r="CI64" s="552">
        <v>6</v>
      </c>
      <c r="CJ64" s="552"/>
      <c r="CK64" s="552"/>
      <c r="CL64" s="552"/>
      <c r="CM64" s="552"/>
      <c r="CN64" s="552"/>
      <c r="CO64" s="552"/>
      <c r="CP64" s="552"/>
      <c r="CQ64" s="552"/>
      <c r="CR64" s="552"/>
      <c r="CS64" s="552"/>
      <c r="CT64" s="552"/>
      <c r="CU64" s="552"/>
      <c r="CV64" s="552"/>
      <c r="CW64" s="552"/>
      <c r="CX64" s="552"/>
      <c r="CY64" s="552"/>
      <c r="CZ64" s="552"/>
      <c r="DA64" s="552"/>
      <c r="DB64" s="596"/>
      <c r="DC64" s="556"/>
      <c r="DD64" s="552"/>
      <c r="DE64" s="552"/>
      <c r="DF64" s="552"/>
      <c r="DG64" s="552"/>
      <c r="DH64" s="552"/>
      <c r="DI64" s="552"/>
      <c r="DJ64" s="552"/>
      <c r="DK64" s="552"/>
      <c r="DL64" s="552"/>
      <c r="DM64" s="552"/>
      <c r="DN64" s="552"/>
      <c r="DO64" s="552"/>
      <c r="DP64" s="552"/>
      <c r="DQ64" s="552"/>
      <c r="DR64" s="552"/>
      <c r="DS64" s="552"/>
      <c r="DT64" s="552"/>
      <c r="DU64" s="552"/>
      <c r="DV64" s="552"/>
      <c r="DW64" s="552"/>
      <c r="DX64" s="552"/>
      <c r="DY64" s="552"/>
      <c r="DZ64" s="552"/>
      <c r="EA64" s="552">
        <v>4</v>
      </c>
      <c r="EB64" s="552"/>
      <c r="EC64" s="552"/>
      <c r="ED64" s="552"/>
      <c r="EE64" s="552"/>
      <c r="EF64" s="552"/>
      <c r="EG64" s="552"/>
      <c r="EH64" s="552"/>
      <c r="EI64" s="552"/>
      <c r="EJ64" s="552"/>
      <c r="EK64" s="552"/>
      <c r="EL64" s="552"/>
      <c r="EM64" s="552"/>
      <c r="EN64" s="552"/>
      <c r="EO64" s="552"/>
      <c r="EP64" s="596"/>
      <c r="EQ64" s="586">
        <f t="shared" si="34"/>
        <v>4</v>
      </c>
      <c r="ER64" s="586"/>
      <c r="ES64" s="586"/>
      <c r="EU64" s="87"/>
    </row>
    <row r="65" spans="1:151" s="76" customFormat="1" ht="120" customHeight="1" x14ac:dyDescent="0.75">
      <c r="A65" s="769"/>
      <c r="B65" s="115" t="s">
        <v>100</v>
      </c>
      <c r="C65" s="560" t="s">
        <v>98</v>
      </c>
      <c r="D65" s="560"/>
      <c r="E65" s="560"/>
      <c r="F65" s="560"/>
      <c r="G65" s="560"/>
      <c r="H65" s="560"/>
      <c r="I65" s="560"/>
      <c r="J65" s="560"/>
      <c r="K65" s="560"/>
      <c r="L65" s="560"/>
      <c r="M65" s="560"/>
      <c r="N65" s="560"/>
      <c r="O65" s="560"/>
      <c r="P65" s="560"/>
      <c r="Q65" s="560"/>
      <c r="R65" s="560"/>
      <c r="S65" s="560"/>
      <c r="T65" s="560"/>
      <c r="U65" s="560"/>
      <c r="V65" s="560"/>
      <c r="W65" s="560"/>
      <c r="X65" s="560"/>
      <c r="Y65" s="560"/>
      <c r="Z65" s="702"/>
      <c r="AA65" s="703"/>
      <c r="AB65" s="703"/>
      <c r="AC65" s="704"/>
      <c r="AD65" s="708"/>
      <c r="AE65" s="709"/>
      <c r="AF65" s="710"/>
      <c r="AG65" s="509"/>
      <c r="AH65" s="510"/>
      <c r="AI65" s="510"/>
      <c r="AJ65" s="510"/>
      <c r="AK65" s="511"/>
      <c r="AL65" s="509"/>
      <c r="AM65" s="510"/>
      <c r="AN65" s="510"/>
      <c r="AO65" s="510"/>
      <c r="AP65" s="511"/>
      <c r="AQ65" s="509"/>
      <c r="AR65" s="510"/>
      <c r="AS65" s="510"/>
      <c r="AT65" s="510"/>
      <c r="AU65" s="511"/>
      <c r="AV65" s="509"/>
      <c r="AW65" s="510"/>
      <c r="AX65" s="510"/>
      <c r="AY65" s="510"/>
      <c r="AZ65" s="511"/>
      <c r="BA65" s="509"/>
      <c r="BB65" s="510"/>
      <c r="BC65" s="510"/>
      <c r="BD65" s="510"/>
      <c r="BE65" s="511"/>
      <c r="BF65" s="509"/>
      <c r="BG65" s="510"/>
      <c r="BH65" s="510"/>
      <c r="BI65" s="510"/>
      <c r="BJ65" s="511"/>
      <c r="BK65" s="716"/>
      <c r="BL65" s="717"/>
      <c r="BM65" s="717"/>
      <c r="BN65" s="718"/>
      <c r="BO65" s="720"/>
      <c r="BP65" s="709"/>
      <c r="BQ65" s="709"/>
      <c r="BR65" s="709"/>
      <c r="BS65" s="552"/>
      <c r="BT65" s="552"/>
      <c r="BU65" s="552"/>
      <c r="BV65" s="552"/>
      <c r="BW65" s="552"/>
      <c r="BX65" s="552"/>
      <c r="BY65" s="552"/>
      <c r="BZ65" s="552"/>
      <c r="CA65" s="552"/>
      <c r="CB65" s="552"/>
      <c r="CC65" s="552"/>
      <c r="CD65" s="552"/>
      <c r="CE65" s="552"/>
      <c r="CF65" s="552"/>
      <c r="CG65" s="552"/>
      <c r="CH65" s="552"/>
      <c r="CI65" s="552"/>
      <c r="CJ65" s="552"/>
      <c r="CK65" s="552"/>
      <c r="CL65" s="552"/>
      <c r="CM65" s="552"/>
      <c r="CN65" s="552"/>
      <c r="CO65" s="552"/>
      <c r="CP65" s="552"/>
      <c r="CQ65" s="552"/>
      <c r="CR65" s="552"/>
      <c r="CS65" s="552"/>
      <c r="CT65" s="552"/>
      <c r="CU65" s="552"/>
      <c r="CV65" s="552"/>
      <c r="CW65" s="552"/>
      <c r="CX65" s="552"/>
      <c r="CY65" s="552"/>
      <c r="CZ65" s="552"/>
      <c r="DA65" s="552"/>
      <c r="DB65" s="596"/>
      <c r="DC65" s="556"/>
      <c r="DD65" s="552"/>
      <c r="DE65" s="552"/>
      <c r="DF65" s="552"/>
      <c r="DG65" s="552"/>
      <c r="DH65" s="552"/>
      <c r="DI65" s="552"/>
      <c r="DJ65" s="552"/>
      <c r="DK65" s="552"/>
      <c r="DL65" s="552"/>
      <c r="DM65" s="552"/>
      <c r="DN65" s="552"/>
      <c r="DO65" s="552"/>
      <c r="DP65" s="552"/>
      <c r="DQ65" s="552"/>
      <c r="DR65" s="552"/>
      <c r="DS65" s="552"/>
      <c r="DT65" s="552"/>
      <c r="DU65" s="552"/>
      <c r="DV65" s="552"/>
      <c r="DW65" s="552"/>
      <c r="DX65" s="552"/>
      <c r="DY65" s="552"/>
      <c r="DZ65" s="552"/>
      <c r="EA65" s="552"/>
      <c r="EB65" s="552"/>
      <c r="EC65" s="552"/>
      <c r="ED65" s="552"/>
      <c r="EE65" s="552"/>
      <c r="EF65" s="552"/>
      <c r="EG65" s="552"/>
      <c r="EH65" s="552"/>
      <c r="EI65" s="552"/>
      <c r="EJ65" s="552"/>
      <c r="EK65" s="552"/>
      <c r="EL65" s="552"/>
      <c r="EM65" s="552"/>
      <c r="EN65" s="552"/>
      <c r="EO65" s="552"/>
      <c r="EP65" s="596"/>
      <c r="EQ65" s="586">
        <f t="shared" si="34"/>
        <v>0</v>
      </c>
      <c r="ER65" s="586"/>
      <c r="ES65" s="586"/>
      <c r="EU65" s="87"/>
    </row>
    <row r="66" spans="1:151" s="76" customFormat="1" ht="120" customHeight="1" x14ac:dyDescent="0.75">
      <c r="A66" s="768" t="s">
        <v>39</v>
      </c>
      <c r="B66" s="115" t="s">
        <v>138</v>
      </c>
      <c r="C66" s="560" t="s">
        <v>136</v>
      </c>
      <c r="D66" s="560"/>
      <c r="E66" s="560"/>
      <c r="F66" s="560"/>
      <c r="G66" s="560"/>
      <c r="H66" s="560"/>
      <c r="I66" s="560"/>
      <c r="J66" s="560"/>
      <c r="K66" s="560"/>
      <c r="L66" s="560"/>
      <c r="M66" s="560"/>
      <c r="N66" s="560"/>
      <c r="O66" s="560"/>
      <c r="P66" s="560"/>
      <c r="Q66" s="560"/>
      <c r="R66" s="560"/>
      <c r="S66" s="560"/>
      <c r="T66" s="560"/>
      <c r="U66" s="560"/>
      <c r="V66" s="560"/>
      <c r="W66" s="560"/>
      <c r="X66" s="560"/>
      <c r="Y66" s="560"/>
      <c r="Z66" s="699">
        <f>EQ66*30</f>
        <v>60</v>
      </c>
      <c r="AA66" s="700"/>
      <c r="AB66" s="700"/>
      <c r="AC66" s="701"/>
      <c r="AD66" s="705"/>
      <c r="AE66" s="706"/>
      <c r="AF66" s="707"/>
      <c r="AG66" s="506">
        <v>16</v>
      </c>
      <c r="AH66" s="507"/>
      <c r="AI66" s="507"/>
      <c r="AJ66" s="507"/>
      <c r="AK66" s="508"/>
      <c r="AL66" s="506">
        <v>8</v>
      </c>
      <c r="AM66" s="507"/>
      <c r="AN66" s="507"/>
      <c r="AO66" s="507"/>
      <c r="AP66" s="508"/>
      <c r="AQ66" s="506">
        <v>8</v>
      </c>
      <c r="AR66" s="507"/>
      <c r="AS66" s="507"/>
      <c r="AT66" s="507"/>
      <c r="AU66" s="508"/>
      <c r="AV66" s="506"/>
      <c r="AW66" s="507"/>
      <c r="AX66" s="507"/>
      <c r="AY66" s="507"/>
      <c r="AZ66" s="508"/>
      <c r="BA66" s="506"/>
      <c r="BB66" s="507"/>
      <c r="BC66" s="507"/>
      <c r="BD66" s="507"/>
      <c r="BE66" s="508"/>
      <c r="BF66" s="506"/>
      <c r="BG66" s="507"/>
      <c r="BH66" s="507"/>
      <c r="BI66" s="507"/>
      <c r="BJ66" s="508"/>
      <c r="BK66" s="713">
        <f>Z66-AG66</f>
        <v>44</v>
      </c>
      <c r="BL66" s="714"/>
      <c r="BM66" s="714"/>
      <c r="BN66" s="715"/>
      <c r="BO66" s="719"/>
      <c r="BP66" s="706"/>
      <c r="BQ66" s="706"/>
      <c r="BR66" s="706"/>
      <c r="BS66" s="552"/>
      <c r="BT66" s="552"/>
      <c r="BU66" s="552"/>
      <c r="BV66" s="552"/>
      <c r="BW66" s="552"/>
      <c r="BX66" s="552"/>
      <c r="BY66" s="552"/>
      <c r="BZ66" s="552"/>
      <c r="CA66" s="552"/>
      <c r="CB66" s="552"/>
      <c r="CC66" s="552"/>
      <c r="CD66" s="552"/>
      <c r="CE66" s="552"/>
      <c r="CF66" s="552"/>
      <c r="CG66" s="552"/>
      <c r="CH66" s="552"/>
      <c r="CI66" s="552">
        <v>6</v>
      </c>
      <c r="CJ66" s="552"/>
      <c r="CK66" s="552"/>
      <c r="CL66" s="552"/>
      <c r="CM66" s="552"/>
      <c r="CN66" s="552"/>
      <c r="CO66" s="552"/>
      <c r="CP66" s="552"/>
      <c r="CQ66" s="552"/>
      <c r="CR66" s="552"/>
      <c r="CS66" s="552"/>
      <c r="CT66" s="552"/>
      <c r="CU66" s="552"/>
      <c r="CV66" s="552"/>
      <c r="CW66" s="552"/>
      <c r="CX66" s="552"/>
      <c r="CY66" s="552"/>
      <c r="CZ66" s="552"/>
      <c r="DA66" s="552"/>
      <c r="DB66" s="596"/>
      <c r="DC66" s="556"/>
      <c r="DD66" s="552"/>
      <c r="DE66" s="552"/>
      <c r="DF66" s="552"/>
      <c r="DG66" s="552"/>
      <c r="DH66" s="552"/>
      <c r="DI66" s="552"/>
      <c r="DJ66" s="552"/>
      <c r="DK66" s="552"/>
      <c r="DL66" s="552"/>
      <c r="DM66" s="552"/>
      <c r="DN66" s="552"/>
      <c r="DO66" s="552"/>
      <c r="DP66" s="552"/>
      <c r="DQ66" s="552"/>
      <c r="DR66" s="552"/>
      <c r="DS66" s="552"/>
      <c r="DT66" s="552"/>
      <c r="DU66" s="552"/>
      <c r="DV66" s="552"/>
      <c r="DW66" s="552"/>
      <c r="DX66" s="552"/>
      <c r="DY66" s="552"/>
      <c r="DZ66" s="552"/>
      <c r="EA66" s="552">
        <v>2</v>
      </c>
      <c r="EB66" s="552"/>
      <c r="EC66" s="552"/>
      <c r="ED66" s="552"/>
      <c r="EE66" s="552"/>
      <c r="EF66" s="552"/>
      <c r="EG66" s="552"/>
      <c r="EH66" s="552"/>
      <c r="EI66" s="552"/>
      <c r="EJ66" s="552"/>
      <c r="EK66" s="552"/>
      <c r="EL66" s="552"/>
      <c r="EM66" s="552"/>
      <c r="EN66" s="552"/>
      <c r="EO66" s="552"/>
      <c r="EP66" s="596"/>
      <c r="EQ66" s="586">
        <f t="shared" si="34"/>
        <v>2</v>
      </c>
      <c r="ER66" s="586"/>
      <c r="ES66" s="586"/>
      <c r="EU66" s="87"/>
    </row>
    <row r="67" spans="1:151" s="76" customFormat="1" ht="99.95" customHeight="1" x14ac:dyDescent="0.75">
      <c r="A67" s="769"/>
      <c r="B67" s="115" t="s">
        <v>139</v>
      </c>
      <c r="C67" s="560" t="s">
        <v>137</v>
      </c>
      <c r="D67" s="560"/>
      <c r="E67" s="560"/>
      <c r="F67" s="560"/>
      <c r="G67" s="560"/>
      <c r="H67" s="560"/>
      <c r="I67" s="560"/>
      <c r="J67" s="560"/>
      <c r="K67" s="560"/>
      <c r="L67" s="560"/>
      <c r="M67" s="560"/>
      <c r="N67" s="560"/>
      <c r="O67" s="560"/>
      <c r="P67" s="560"/>
      <c r="Q67" s="560"/>
      <c r="R67" s="560"/>
      <c r="S67" s="560"/>
      <c r="T67" s="560"/>
      <c r="U67" s="560"/>
      <c r="V67" s="560"/>
      <c r="W67" s="560"/>
      <c r="X67" s="560"/>
      <c r="Y67" s="560"/>
      <c r="Z67" s="702"/>
      <c r="AA67" s="703"/>
      <c r="AB67" s="703"/>
      <c r="AC67" s="704"/>
      <c r="AD67" s="708"/>
      <c r="AE67" s="709"/>
      <c r="AF67" s="710"/>
      <c r="AG67" s="509"/>
      <c r="AH67" s="510"/>
      <c r="AI67" s="510"/>
      <c r="AJ67" s="510"/>
      <c r="AK67" s="511"/>
      <c r="AL67" s="509"/>
      <c r="AM67" s="510"/>
      <c r="AN67" s="510"/>
      <c r="AO67" s="510"/>
      <c r="AP67" s="511"/>
      <c r="AQ67" s="509"/>
      <c r="AR67" s="510"/>
      <c r="AS67" s="510"/>
      <c r="AT67" s="510"/>
      <c r="AU67" s="511"/>
      <c r="AV67" s="509"/>
      <c r="AW67" s="510"/>
      <c r="AX67" s="510"/>
      <c r="AY67" s="510"/>
      <c r="AZ67" s="511"/>
      <c r="BA67" s="509"/>
      <c r="BB67" s="510"/>
      <c r="BC67" s="510"/>
      <c r="BD67" s="510"/>
      <c r="BE67" s="511"/>
      <c r="BF67" s="509"/>
      <c r="BG67" s="510"/>
      <c r="BH67" s="510"/>
      <c r="BI67" s="510"/>
      <c r="BJ67" s="511"/>
      <c r="BK67" s="716"/>
      <c r="BL67" s="717"/>
      <c r="BM67" s="717"/>
      <c r="BN67" s="718"/>
      <c r="BO67" s="720"/>
      <c r="BP67" s="709"/>
      <c r="BQ67" s="709"/>
      <c r="BR67" s="709"/>
      <c r="BS67" s="552"/>
      <c r="BT67" s="552"/>
      <c r="BU67" s="552"/>
      <c r="BV67" s="552"/>
      <c r="BW67" s="552"/>
      <c r="BX67" s="552"/>
      <c r="BY67" s="552"/>
      <c r="BZ67" s="552"/>
      <c r="CA67" s="552"/>
      <c r="CB67" s="552"/>
      <c r="CC67" s="552"/>
      <c r="CD67" s="552"/>
      <c r="CE67" s="552"/>
      <c r="CF67" s="552"/>
      <c r="CG67" s="552"/>
      <c r="CH67" s="552"/>
      <c r="CI67" s="552"/>
      <c r="CJ67" s="552"/>
      <c r="CK67" s="552"/>
      <c r="CL67" s="552"/>
      <c r="CM67" s="552"/>
      <c r="CN67" s="552"/>
      <c r="CO67" s="552"/>
      <c r="CP67" s="552"/>
      <c r="CQ67" s="552"/>
      <c r="CR67" s="552"/>
      <c r="CS67" s="552"/>
      <c r="CT67" s="552"/>
      <c r="CU67" s="552"/>
      <c r="CV67" s="552"/>
      <c r="CW67" s="552"/>
      <c r="CX67" s="552"/>
      <c r="CY67" s="552"/>
      <c r="CZ67" s="552"/>
      <c r="DA67" s="552"/>
      <c r="DB67" s="596"/>
      <c r="DC67" s="556"/>
      <c r="DD67" s="552"/>
      <c r="DE67" s="552"/>
      <c r="DF67" s="552"/>
      <c r="DG67" s="552"/>
      <c r="DH67" s="552"/>
      <c r="DI67" s="552"/>
      <c r="DJ67" s="552"/>
      <c r="DK67" s="552"/>
      <c r="DL67" s="552"/>
      <c r="DM67" s="552"/>
      <c r="DN67" s="552"/>
      <c r="DO67" s="552"/>
      <c r="DP67" s="552"/>
      <c r="DQ67" s="552"/>
      <c r="DR67" s="552"/>
      <c r="DS67" s="552"/>
      <c r="DT67" s="552"/>
      <c r="DU67" s="552"/>
      <c r="DV67" s="552"/>
      <c r="DW67" s="552"/>
      <c r="DX67" s="552"/>
      <c r="DY67" s="552"/>
      <c r="DZ67" s="552"/>
      <c r="EA67" s="552"/>
      <c r="EB67" s="552"/>
      <c r="EC67" s="552"/>
      <c r="ED67" s="552"/>
      <c r="EE67" s="552"/>
      <c r="EF67" s="552"/>
      <c r="EG67" s="552"/>
      <c r="EH67" s="552"/>
      <c r="EI67" s="552"/>
      <c r="EJ67" s="552"/>
      <c r="EK67" s="552"/>
      <c r="EL67" s="552"/>
      <c r="EM67" s="552"/>
      <c r="EN67" s="552"/>
      <c r="EO67" s="552"/>
      <c r="EP67" s="596"/>
      <c r="EQ67" s="586">
        <f t="shared" si="34"/>
        <v>0</v>
      </c>
      <c r="ER67" s="586"/>
      <c r="ES67" s="586"/>
      <c r="EU67" s="87"/>
    </row>
    <row r="68" spans="1:151" s="212" customFormat="1" ht="99.95" customHeight="1" x14ac:dyDescent="0.75">
      <c r="A68" s="711" t="s">
        <v>40</v>
      </c>
      <c r="B68" s="236" t="s">
        <v>192</v>
      </c>
      <c r="C68" s="656" t="s">
        <v>185</v>
      </c>
      <c r="D68" s="656"/>
      <c r="E68" s="656"/>
      <c r="F68" s="656"/>
      <c r="G68" s="656"/>
      <c r="H68" s="656"/>
      <c r="I68" s="656"/>
      <c r="J68" s="656"/>
      <c r="K68" s="656"/>
      <c r="L68" s="656"/>
      <c r="M68" s="656"/>
      <c r="N68" s="656"/>
      <c r="O68" s="656"/>
      <c r="P68" s="656"/>
      <c r="Q68" s="656"/>
      <c r="R68" s="656"/>
      <c r="S68" s="656"/>
      <c r="T68" s="656"/>
      <c r="U68" s="656"/>
      <c r="V68" s="656"/>
      <c r="W68" s="656"/>
      <c r="X68" s="656"/>
      <c r="Y68" s="656"/>
      <c r="Z68" s="684">
        <f>EQ68*30</f>
        <v>360</v>
      </c>
      <c r="AA68" s="685"/>
      <c r="AB68" s="685"/>
      <c r="AC68" s="686"/>
      <c r="AD68" s="690"/>
      <c r="AE68" s="674"/>
      <c r="AF68" s="691"/>
      <c r="AG68" s="492">
        <v>16</v>
      </c>
      <c r="AH68" s="493"/>
      <c r="AI68" s="493"/>
      <c r="AJ68" s="493"/>
      <c r="AK68" s="494"/>
      <c r="AL68" s="492">
        <v>24</v>
      </c>
      <c r="AM68" s="493"/>
      <c r="AN68" s="493"/>
      <c r="AO68" s="493"/>
      <c r="AP68" s="494"/>
      <c r="AQ68" s="492">
        <v>24</v>
      </c>
      <c r="AR68" s="493"/>
      <c r="AS68" s="493"/>
      <c r="AT68" s="493"/>
      <c r="AU68" s="494"/>
      <c r="AV68" s="492"/>
      <c r="AW68" s="493"/>
      <c r="AX68" s="493"/>
      <c r="AY68" s="493"/>
      <c r="AZ68" s="494"/>
      <c r="BA68" s="492"/>
      <c r="BB68" s="493"/>
      <c r="BC68" s="493"/>
      <c r="BD68" s="493"/>
      <c r="BE68" s="494"/>
      <c r="BF68" s="492"/>
      <c r="BG68" s="493"/>
      <c r="BH68" s="493"/>
      <c r="BI68" s="493"/>
      <c r="BJ68" s="494"/>
      <c r="BK68" s="667">
        <f>Z68-AG68</f>
        <v>344</v>
      </c>
      <c r="BL68" s="668"/>
      <c r="BM68" s="668"/>
      <c r="BN68" s="669"/>
      <c r="BO68" s="673"/>
      <c r="BP68" s="674"/>
      <c r="BQ68" s="674"/>
      <c r="BR68" s="674"/>
      <c r="BS68" s="601"/>
      <c r="BT68" s="601"/>
      <c r="BU68" s="601"/>
      <c r="BV68" s="601"/>
      <c r="BW68" s="601"/>
      <c r="BX68" s="601"/>
      <c r="BY68" s="601"/>
      <c r="BZ68" s="601"/>
      <c r="CA68" s="601"/>
      <c r="CB68" s="601"/>
      <c r="CC68" s="601"/>
      <c r="CD68" s="601"/>
      <c r="CE68" s="601"/>
      <c r="CF68" s="601"/>
      <c r="CG68" s="601"/>
      <c r="CH68" s="601"/>
      <c r="CI68" s="601"/>
      <c r="CJ68" s="601"/>
      <c r="CK68" s="601"/>
      <c r="CL68" s="601"/>
      <c r="CM68" s="601">
        <v>6</v>
      </c>
      <c r="CN68" s="601"/>
      <c r="CO68" s="601"/>
      <c r="CP68" s="601"/>
      <c r="CQ68" s="601"/>
      <c r="CR68" s="601"/>
      <c r="CS68" s="601"/>
      <c r="CT68" s="601"/>
      <c r="CU68" s="601"/>
      <c r="CV68" s="601"/>
      <c r="CW68" s="601"/>
      <c r="CX68" s="601"/>
      <c r="CY68" s="601"/>
      <c r="CZ68" s="601"/>
      <c r="DA68" s="601"/>
      <c r="DB68" s="602"/>
      <c r="DC68" s="600"/>
      <c r="DD68" s="601"/>
      <c r="DE68" s="601"/>
      <c r="DF68" s="601"/>
      <c r="DG68" s="601"/>
      <c r="DH68" s="601"/>
      <c r="DI68" s="601"/>
      <c r="DJ68" s="601"/>
      <c r="DK68" s="601"/>
      <c r="DL68" s="601"/>
      <c r="DM68" s="601"/>
      <c r="DN68" s="601"/>
      <c r="DO68" s="601"/>
      <c r="DP68" s="601"/>
      <c r="DQ68" s="601"/>
      <c r="DR68" s="601"/>
      <c r="DS68" s="601">
        <v>4</v>
      </c>
      <c r="DT68" s="601"/>
      <c r="DU68" s="601"/>
      <c r="DV68" s="601"/>
      <c r="DW68" s="601">
        <v>4</v>
      </c>
      <c r="DX68" s="601"/>
      <c r="DY68" s="601"/>
      <c r="DZ68" s="601"/>
      <c r="EA68" s="601">
        <v>4</v>
      </c>
      <c r="EB68" s="601"/>
      <c r="EC68" s="601"/>
      <c r="ED68" s="601"/>
      <c r="EE68" s="601"/>
      <c r="EF68" s="601"/>
      <c r="EG68" s="601"/>
      <c r="EH68" s="601"/>
      <c r="EI68" s="601"/>
      <c r="EJ68" s="601"/>
      <c r="EK68" s="601"/>
      <c r="EL68" s="601"/>
      <c r="EM68" s="601"/>
      <c r="EN68" s="601"/>
      <c r="EO68" s="601"/>
      <c r="EP68" s="602"/>
      <c r="EQ68" s="679">
        <f t="shared" si="34"/>
        <v>12</v>
      </c>
      <c r="ER68" s="679"/>
      <c r="ES68" s="679"/>
      <c r="EU68" s="213"/>
    </row>
    <row r="69" spans="1:151" s="212" customFormat="1" ht="99.95" customHeight="1" x14ac:dyDescent="0.75">
      <c r="A69" s="712"/>
      <c r="B69" s="236" t="s">
        <v>250</v>
      </c>
      <c r="C69" s="656" t="s">
        <v>140</v>
      </c>
      <c r="D69" s="656"/>
      <c r="E69" s="656"/>
      <c r="F69" s="656"/>
      <c r="G69" s="656"/>
      <c r="H69" s="656"/>
      <c r="I69" s="656"/>
      <c r="J69" s="656"/>
      <c r="K69" s="656"/>
      <c r="L69" s="656"/>
      <c r="M69" s="656"/>
      <c r="N69" s="656"/>
      <c r="O69" s="656"/>
      <c r="P69" s="656"/>
      <c r="Q69" s="656"/>
      <c r="R69" s="656"/>
      <c r="S69" s="656"/>
      <c r="T69" s="656"/>
      <c r="U69" s="656"/>
      <c r="V69" s="656"/>
      <c r="W69" s="656"/>
      <c r="X69" s="656"/>
      <c r="Y69" s="656"/>
      <c r="Z69" s="687"/>
      <c r="AA69" s="688"/>
      <c r="AB69" s="688"/>
      <c r="AC69" s="689"/>
      <c r="AD69" s="692"/>
      <c r="AE69" s="676"/>
      <c r="AF69" s="693"/>
      <c r="AG69" s="581"/>
      <c r="AH69" s="582"/>
      <c r="AI69" s="582"/>
      <c r="AJ69" s="582"/>
      <c r="AK69" s="583"/>
      <c r="AL69" s="581"/>
      <c r="AM69" s="582"/>
      <c r="AN69" s="582"/>
      <c r="AO69" s="582"/>
      <c r="AP69" s="583"/>
      <c r="AQ69" s="581"/>
      <c r="AR69" s="582"/>
      <c r="AS69" s="582"/>
      <c r="AT69" s="582"/>
      <c r="AU69" s="583"/>
      <c r="AV69" s="581"/>
      <c r="AW69" s="582"/>
      <c r="AX69" s="582"/>
      <c r="AY69" s="582"/>
      <c r="AZ69" s="583"/>
      <c r="BA69" s="581"/>
      <c r="BB69" s="582"/>
      <c r="BC69" s="582"/>
      <c r="BD69" s="582"/>
      <c r="BE69" s="583"/>
      <c r="BF69" s="581"/>
      <c r="BG69" s="582"/>
      <c r="BH69" s="582"/>
      <c r="BI69" s="582"/>
      <c r="BJ69" s="583"/>
      <c r="BK69" s="670"/>
      <c r="BL69" s="671"/>
      <c r="BM69" s="671"/>
      <c r="BN69" s="672"/>
      <c r="BO69" s="675"/>
      <c r="BP69" s="676"/>
      <c r="BQ69" s="676"/>
      <c r="BR69" s="676"/>
      <c r="BS69" s="601"/>
      <c r="BT69" s="601"/>
      <c r="BU69" s="601"/>
      <c r="BV69" s="601"/>
      <c r="BW69" s="601"/>
      <c r="BX69" s="601"/>
      <c r="BY69" s="601"/>
      <c r="BZ69" s="601"/>
      <c r="CA69" s="601"/>
      <c r="CB69" s="601"/>
      <c r="CC69" s="601"/>
      <c r="CD69" s="601"/>
      <c r="CE69" s="601"/>
      <c r="CF69" s="601"/>
      <c r="CG69" s="601"/>
      <c r="CH69" s="601"/>
      <c r="CI69" s="601"/>
      <c r="CJ69" s="601"/>
      <c r="CK69" s="601"/>
      <c r="CL69" s="601"/>
      <c r="CM69" s="601"/>
      <c r="CN69" s="601"/>
      <c r="CO69" s="601"/>
      <c r="CP69" s="601"/>
      <c r="CQ69" s="601"/>
      <c r="CR69" s="601"/>
      <c r="CS69" s="601"/>
      <c r="CT69" s="601"/>
      <c r="CU69" s="601"/>
      <c r="CV69" s="601"/>
      <c r="CW69" s="601"/>
      <c r="CX69" s="601"/>
      <c r="CY69" s="601"/>
      <c r="CZ69" s="601"/>
      <c r="DA69" s="601"/>
      <c r="DB69" s="602"/>
      <c r="DC69" s="600"/>
      <c r="DD69" s="601"/>
      <c r="DE69" s="601"/>
      <c r="DF69" s="601"/>
      <c r="DG69" s="601"/>
      <c r="DH69" s="601"/>
      <c r="DI69" s="601"/>
      <c r="DJ69" s="601"/>
      <c r="DK69" s="601"/>
      <c r="DL69" s="601"/>
      <c r="DM69" s="601"/>
      <c r="DN69" s="601"/>
      <c r="DO69" s="601"/>
      <c r="DP69" s="601"/>
      <c r="DQ69" s="601"/>
      <c r="DR69" s="601"/>
      <c r="DS69" s="601"/>
      <c r="DT69" s="601"/>
      <c r="DU69" s="601"/>
      <c r="DV69" s="601"/>
      <c r="DW69" s="601"/>
      <c r="DX69" s="601"/>
      <c r="DY69" s="601"/>
      <c r="DZ69" s="601"/>
      <c r="EA69" s="601"/>
      <c r="EB69" s="601"/>
      <c r="EC69" s="601"/>
      <c r="ED69" s="601"/>
      <c r="EE69" s="601"/>
      <c r="EF69" s="601"/>
      <c r="EG69" s="601"/>
      <c r="EH69" s="601"/>
      <c r="EI69" s="601"/>
      <c r="EJ69" s="601"/>
      <c r="EK69" s="601"/>
      <c r="EL69" s="601"/>
      <c r="EM69" s="601"/>
      <c r="EN69" s="601"/>
      <c r="EO69" s="601"/>
      <c r="EP69" s="602"/>
      <c r="EQ69" s="679">
        <f t="shared" si="34"/>
        <v>0</v>
      </c>
      <c r="ER69" s="679"/>
      <c r="ES69" s="679"/>
      <c r="EU69" s="213"/>
    </row>
    <row r="70" spans="1:151" s="76" customFormat="1" ht="120" customHeight="1" x14ac:dyDescent="0.75">
      <c r="A70" s="768" t="s">
        <v>41</v>
      </c>
      <c r="B70" s="115" t="s">
        <v>144</v>
      </c>
      <c r="C70" s="560" t="s">
        <v>143</v>
      </c>
      <c r="D70" s="560"/>
      <c r="E70" s="560"/>
      <c r="F70" s="560"/>
      <c r="G70" s="560"/>
      <c r="H70" s="560"/>
      <c r="I70" s="560"/>
      <c r="J70" s="560"/>
      <c r="K70" s="560"/>
      <c r="L70" s="560"/>
      <c r="M70" s="560"/>
      <c r="N70" s="560"/>
      <c r="O70" s="560"/>
      <c r="P70" s="560"/>
      <c r="Q70" s="560"/>
      <c r="R70" s="560"/>
      <c r="S70" s="560"/>
      <c r="T70" s="560"/>
      <c r="U70" s="560"/>
      <c r="V70" s="560"/>
      <c r="W70" s="560"/>
      <c r="X70" s="560"/>
      <c r="Y70" s="560"/>
      <c r="Z70" s="699">
        <f>EQ70*30</f>
        <v>120</v>
      </c>
      <c r="AA70" s="700"/>
      <c r="AB70" s="700"/>
      <c r="AC70" s="701"/>
      <c r="AD70" s="705"/>
      <c r="AE70" s="706"/>
      <c r="AF70" s="707"/>
      <c r="AG70" s="506">
        <v>16</v>
      </c>
      <c r="AH70" s="507"/>
      <c r="AI70" s="507"/>
      <c r="AJ70" s="507"/>
      <c r="AK70" s="508"/>
      <c r="AL70" s="506">
        <v>8</v>
      </c>
      <c r="AM70" s="507"/>
      <c r="AN70" s="507"/>
      <c r="AO70" s="507"/>
      <c r="AP70" s="508"/>
      <c r="AQ70" s="506">
        <v>8</v>
      </c>
      <c r="AR70" s="507"/>
      <c r="AS70" s="507"/>
      <c r="AT70" s="507"/>
      <c r="AU70" s="508"/>
      <c r="AV70" s="506"/>
      <c r="AW70" s="507"/>
      <c r="AX70" s="507"/>
      <c r="AY70" s="507"/>
      <c r="AZ70" s="508"/>
      <c r="BA70" s="506"/>
      <c r="BB70" s="507"/>
      <c r="BC70" s="507"/>
      <c r="BD70" s="507"/>
      <c r="BE70" s="508"/>
      <c r="BF70" s="506"/>
      <c r="BG70" s="507"/>
      <c r="BH70" s="507"/>
      <c r="BI70" s="507"/>
      <c r="BJ70" s="508"/>
      <c r="BK70" s="713">
        <f>Z70-AG70</f>
        <v>104</v>
      </c>
      <c r="BL70" s="714"/>
      <c r="BM70" s="714"/>
      <c r="BN70" s="715"/>
      <c r="BO70" s="719"/>
      <c r="BP70" s="706"/>
      <c r="BQ70" s="706"/>
      <c r="BR70" s="706"/>
      <c r="BS70" s="552"/>
      <c r="BT70" s="552"/>
      <c r="BU70" s="552"/>
      <c r="BV70" s="552"/>
      <c r="BW70" s="552"/>
      <c r="BX70" s="552"/>
      <c r="BY70" s="552"/>
      <c r="BZ70" s="552"/>
      <c r="CA70" s="552"/>
      <c r="CB70" s="552"/>
      <c r="CC70" s="552"/>
      <c r="CD70" s="552"/>
      <c r="CE70" s="552"/>
      <c r="CF70" s="552"/>
      <c r="CG70" s="552"/>
      <c r="CH70" s="552"/>
      <c r="CI70" s="552"/>
      <c r="CJ70" s="552"/>
      <c r="CK70" s="552"/>
      <c r="CL70" s="552"/>
      <c r="CM70" s="552">
        <v>6</v>
      </c>
      <c r="CN70" s="552"/>
      <c r="CO70" s="552"/>
      <c r="CP70" s="552"/>
      <c r="CQ70" s="552"/>
      <c r="CR70" s="552"/>
      <c r="CS70" s="552"/>
      <c r="CT70" s="552"/>
      <c r="CU70" s="552"/>
      <c r="CV70" s="552"/>
      <c r="CW70" s="552"/>
      <c r="CX70" s="552"/>
      <c r="CY70" s="552"/>
      <c r="CZ70" s="552"/>
      <c r="DA70" s="552"/>
      <c r="DB70" s="596"/>
      <c r="DC70" s="556"/>
      <c r="DD70" s="552"/>
      <c r="DE70" s="552"/>
      <c r="DF70" s="552"/>
      <c r="DG70" s="552"/>
      <c r="DH70" s="552"/>
      <c r="DI70" s="552"/>
      <c r="DJ70" s="552"/>
      <c r="DK70" s="552"/>
      <c r="DL70" s="552"/>
      <c r="DM70" s="552"/>
      <c r="DN70" s="552"/>
      <c r="DO70" s="552"/>
      <c r="DP70" s="552"/>
      <c r="DQ70" s="552"/>
      <c r="DR70" s="552"/>
      <c r="DS70" s="526"/>
      <c r="DT70" s="526"/>
      <c r="DU70" s="526"/>
      <c r="DV70" s="526"/>
      <c r="DW70" s="526"/>
      <c r="DX70" s="526"/>
      <c r="DY70" s="526"/>
      <c r="DZ70" s="526"/>
      <c r="EA70" s="526"/>
      <c r="EB70" s="526"/>
      <c r="EC70" s="526"/>
      <c r="ED70" s="526"/>
      <c r="EE70" s="526">
        <v>4</v>
      </c>
      <c r="EF70" s="526"/>
      <c r="EG70" s="526"/>
      <c r="EH70" s="526"/>
      <c r="EI70" s="526"/>
      <c r="EJ70" s="526"/>
      <c r="EK70" s="526"/>
      <c r="EL70" s="526"/>
      <c r="EM70" s="526"/>
      <c r="EN70" s="526"/>
      <c r="EO70" s="526"/>
      <c r="EP70" s="561"/>
      <c r="EQ70" s="586">
        <f t="shared" si="34"/>
        <v>4</v>
      </c>
      <c r="ER70" s="586"/>
      <c r="ES70" s="586"/>
      <c r="EU70" s="87"/>
    </row>
    <row r="71" spans="1:151" s="76" customFormat="1" ht="120" customHeight="1" x14ac:dyDescent="0.75">
      <c r="A71" s="769"/>
      <c r="B71" s="115" t="s">
        <v>146</v>
      </c>
      <c r="C71" s="560" t="s">
        <v>145</v>
      </c>
      <c r="D71" s="560"/>
      <c r="E71" s="560"/>
      <c r="F71" s="560"/>
      <c r="G71" s="560"/>
      <c r="H71" s="560"/>
      <c r="I71" s="560"/>
      <c r="J71" s="560"/>
      <c r="K71" s="560"/>
      <c r="L71" s="560"/>
      <c r="M71" s="560"/>
      <c r="N71" s="560"/>
      <c r="O71" s="560"/>
      <c r="P71" s="560"/>
      <c r="Q71" s="560"/>
      <c r="R71" s="560"/>
      <c r="S71" s="560"/>
      <c r="T71" s="560"/>
      <c r="U71" s="560"/>
      <c r="V71" s="560"/>
      <c r="W71" s="560"/>
      <c r="X71" s="560"/>
      <c r="Y71" s="560"/>
      <c r="Z71" s="702"/>
      <c r="AA71" s="703"/>
      <c r="AB71" s="703"/>
      <c r="AC71" s="704"/>
      <c r="AD71" s="708"/>
      <c r="AE71" s="709"/>
      <c r="AF71" s="710"/>
      <c r="AG71" s="509"/>
      <c r="AH71" s="510"/>
      <c r="AI71" s="510"/>
      <c r="AJ71" s="510"/>
      <c r="AK71" s="511"/>
      <c r="AL71" s="509"/>
      <c r="AM71" s="510"/>
      <c r="AN71" s="510"/>
      <c r="AO71" s="510"/>
      <c r="AP71" s="511"/>
      <c r="AQ71" s="509"/>
      <c r="AR71" s="510"/>
      <c r="AS71" s="510"/>
      <c r="AT71" s="510"/>
      <c r="AU71" s="511"/>
      <c r="AV71" s="509"/>
      <c r="AW71" s="510"/>
      <c r="AX71" s="510"/>
      <c r="AY71" s="510"/>
      <c r="AZ71" s="511"/>
      <c r="BA71" s="509"/>
      <c r="BB71" s="510"/>
      <c r="BC71" s="510"/>
      <c r="BD71" s="510"/>
      <c r="BE71" s="511"/>
      <c r="BF71" s="509"/>
      <c r="BG71" s="510"/>
      <c r="BH71" s="510"/>
      <c r="BI71" s="510"/>
      <c r="BJ71" s="511"/>
      <c r="BK71" s="716"/>
      <c r="BL71" s="717"/>
      <c r="BM71" s="717"/>
      <c r="BN71" s="718"/>
      <c r="BO71" s="720"/>
      <c r="BP71" s="709"/>
      <c r="BQ71" s="709"/>
      <c r="BR71" s="709"/>
      <c r="BS71" s="552"/>
      <c r="BT71" s="552"/>
      <c r="BU71" s="552"/>
      <c r="BV71" s="552"/>
      <c r="BW71" s="552"/>
      <c r="BX71" s="552"/>
      <c r="BY71" s="552"/>
      <c r="BZ71" s="552"/>
      <c r="CA71" s="552"/>
      <c r="CB71" s="552"/>
      <c r="CC71" s="552"/>
      <c r="CD71" s="552"/>
      <c r="CE71" s="552"/>
      <c r="CF71" s="552"/>
      <c r="CG71" s="552"/>
      <c r="CH71" s="552"/>
      <c r="CI71" s="552"/>
      <c r="CJ71" s="552"/>
      <c r="CK71" s="552"/>
      <c r="CL71" s="552"/>
      <c r="CM71" s="552"/>
      <c r="CN71" s="552"/>
      <c r="CO71" s="552"/>
      <c r="CP71" s="552"/>
      <c r="CQ71" s="552"/>
      <c r="CR71" s="552"/>
      <c r="CS71" s="552"/>
      <c r="CT71" s="552"/>
      <c r="CU71" s="552"/>
      <c r="CV71" s="552"/>
      <c r="CW71" s="552"/>
      <c r="CX71" s="552"/>
      <c r="CY71" s="552"/>
      <c r="CZ71" s="552"/>
      <c r="DA71" s="552"/>
      <c r="DB71" s="596"/>
      <c r="DC71" s="556"/>
      <c r="DD71" s="552"/>
      <c r="DE71" s="552"/>
      <c r="DF71" s="552"/>
      <c r="DG71" s="552"/>
      <c r="DH71" s="552"/>
      <c r="DI71" s="552"/>
      <c r="DJ71" s="552"/>
      <c r="DK71" s="552"/>
      <c r="DL71" s="552"/>
      <c r="DM71" s="552"/>
      <c r="DN71" s="552"/>
      <c r="DO71" s="552"/>
      <c r="DP71" s="552"/>
      <c r="DQ71" s="552"/>
      <c r="DR71" s="552"/>
      <c r="DS71" s="526"/>
      <c r="DT71" s="526"/>
      <c r="DU71" s="526"/>
      <c r="DV71" s="526"/>
      <c r="DW71" s="526"/>
      <c r="DX71" s="526"/>
      <c r="DY71" s="526"/>
      <c r="DZ71" s="526"/>
      <c r="EA71" s="526"/>
      <c r="EB71" s="526"/>
      <c r="EC71" s="526"/>
      <c r="ED71" s="526"/>
      <c r="EE71" s="526"/>
      <c r="EF71" s="526"/>
      <c r="EG71" s="526"/>
      <c r="EH71" s="526"/>
      <c r="EI71" s="526"/>
      <c r="EJ71" s="526"/>
      <c r="EK71" s="526"/>
      <c r="EL71" s="526"/>
      <c r="EM71" s="526"/>
      <c r="EN71" s="526"/>
      <c r="EO71" s="526"/>
      <c r="EP71" s="561"/>
      <c r="EQ71" s="586">
        <f t="shared" si="34"/>
        <v>0</v>
      </c>
      <c r="ER71" s="586"/>
      <c r="ES71" s="586"/>
      <c r="EU71" s="87"/>
    </row>
    <row r="72" spans="1:151" s="76" customFormat="1" ht="120" customHeight="1" x14ac:dyDescent="0.75">
      <c r="A72" s="768" t="s">
        <v>43</v>
      </c>
      <c r="B72" s="115" t="s">
        <v>152</v>
      </c>
      <c r="C72" s="560" t="s">
        <v>150</v>
      </c>
      <c r="D72" s="560"/>
      <c r="E72" s="560"/>
      <c r="F72" s="560"/>
      <c r="G72" s="560"/>
      <c r="H72" s="560"/>
      <c r="I72" s="560"/>
      <c r="J72" s="560"/>
      <c r="K72" s="560"/>
      <c r="L72" s="560"/>
      <c r="M72" s="560"/>
      <c r="N72" s="560"/>
      <c r="O72" s="560"/>
      <c r="P72" s="560"/>
      <c r="Q72" s="560"/>
      <c r="R72" s="560"/>
      <c r="S72" s="560"/>
      <c r="T72" s="560"/>
      <c r="U72" s="560"/>
      <c r="V72" s="560"/>
      <c r="W72" s="560"/>
      <c r="X72" s="560"/>
      <c r="Y72" s="560"/>
      <c r="Z72" s="699">
        <f>EQ72*30</f>
        <v>120</v>
      </c>
      <c r="AA72" s="700"/>
      <c r="AB72" s="700"/>
      <c r="AC72" s="701"/>
      <c r="AD72" s="705"/>
      <c r="AE72" s="706"/>
      <c r="AF72" s="707"/>
      <c r="AG72" s="506">
        <v>32</v>
      </c>
      <c r="AH72" s="507"/>
      <c r="AI72" s="507"/>
      <c r="AJ72" s="507"/>
      <c r="AK72" s="508"/>
      <c r="AL72" s="506">
        <v>16</v>
      </c>
      <c r="AM72" s="507"/>
      <c r="AN72" s="507"/>
      <c r="AO72" s="507"/>
      <c r="AP72" s="508"/>
      <c r="AQ72" s="506">
        <v>16</v>
      </c>
      <c r="AR72" s="507"/>
      <c r="AS72" s="507"/>
      <c r="AT72" s="507"/>
      <c r="AU72" s="508"/>
      <c r="AV72" s="506"/>
      <c r="AW72" s="507"/>
      <c r="AX72" s="507"/>
      <c r="AY72" s="507"/>
      <c r="AZ72" s="508"/>
      <c r="BA72" s="506"/>
      <c r="BB72" s="507"/>
      <c r="BC72" s="507"/>
      <c r="BD72" s="507"/>
      <c r="BE72" s="508"/>
      <c r="BF72" s="506"/>
      <c r="BG72" s="507"/>
      <c r="BH72" s="507"/>
      <c r="BI72" s="507"/>
      <c r="BJ72" s="508"/>
      <c r="BK72" s="713">
        <f>Z72-AG72</f>
        <v>88</v>
      </c>
      <c r="BL72" s="714"/>
      <c r="BM72" s="714"/>
      <c r="BN72" s="715"/>
      <c r="BO72" s="719"/>
      <c r="BP72" s="706"/>
      <c r="BQ72" s="706"/>
      <c r="BR72" s="706"/>
      <c r="BS72" s="552"/>
      <c r="BT72" s="552"/>
      <c r="BU72" s="552"/>
      <c r="BV72" s="552"/>
      <c r="BW72" s="552"/>
      <c r="BX72" s="552"/>
      <c r="BY72" s="552"/>
      <c r="BZ72" s="552"/>
      <c r="CA72" s="552"/>
      <c r="CB72" s="552"/>
      <c r="CC72" s="552"/>
      <c r="CD72" s="552"/>
      <c r="CE72" s="552"/>
      <c r="CF72" s="552"/>
      <c r="CG72" s="552"/>
      <c r="CH72" s="552"/>
      <c r="CI72" s="552"/>
      <c r="CJ72" s="552"/>
      <c r="CK72" s="552"/>
      <c r="CL72" s="552"/>
      <c r="CM72" s="552">
        <v>6</v>
      </c>
      <c r="CN72" s="552"/>
      <c r="CO72" s="552"/>
      <c r="CP72" s="552"/>
      <c r="CQ72" s="552">
        <v>6</v>
      </c>
      <c r="CR72" s="552"/>
      <c r="CS72" s="552"/>
      <c r="CT72" s="552"/>
      <c r="CU72" s="552"/>
      <c r="CV72" s="552"/>
      <c r="CW72" s="552"/>
      <c r="CX72" s="552"/>
      <c r="CY72" s="552"/>
      <c r="CZ72" s="552"/>
      <c r="DA72" s="552"/>
      <c r="DB72" s="596"/>
      <c r="DC72" s="556"/>
      <c r="DD72" s="552"/>
      <c r="DE72" s="552"/>
      <c r="DF72" s="552"/>
      <c r="DG72" s="552"/>
      <c r="DH72" s="552"/>
      <c r="DI72" s="552"/>
      <c r="DJ72" s="552"/>
      <c r="DK72" s="552"/>
      <c r="DL72" s="552"/>
      <c r="DM72" s="552"/>
      <c r="DN72" s="552"/>
      <c r="DO72" s="552"/>
      <c r="DP72" s="552"/>
      <c r="DQ72" s="552"/>
      <c r="DR72" s="552"/>
      <c r="DS72" s="526"/>
      <c r="DT72" s="526"/>
      <c r="DU72" s="526"/>
      <c r="DV72" s="526"/>
      <c r="DW72" s="526"/>
      <c r="DX72" s="526"/>
      <c r="DY72" s="526"/>
      <c r="DZ72" s="526"/>
      <c r="EA72" s="526"/>
      <c r="EB72" s="526"/>
      <c r="EC72" s="526"/>
      <c r="ED72" s="526"/>
      <c r="EE72" s="526"/>
      <c r="EF72" s="526"/>
      <c r="EG72" s="526"/>
      <c r="EH72" s="526"/>
      <c r="EI72" s="526">
        <v>4</v>
      </c>
      <c r="EJ72" s="526"/>
      <c r="EK72" s="526"/>
      <c r="EL72" s="526"/>
      <c r="EM72" s="526"/>
      <c r="EN72" s="526"/>
      <c r="EO72" s="526"/>
      <c r="EP72" s="561"/>
      <c r="EQ72" s="586">
        <f t="shared" si="34"/>
        <v>4</v>
      </c>
      <c r="ER72" s="586"/>
      <c r="ES72" s="586"/>
      <c r="EU72" s="87"/>
    </row>
    <row r="73" spans="1:151" s="76" customFormat="1" ht="120" customHeight="1" x14ac:dyDescent="0.75">
      <c r="A73" s="769"/>
      <c r="B73" s="115" t="s">
        <v>153</v>
      </c>
      <c r="C73" s="560" t="s">
        <v>151</v>
      </c>
      <c r="D73" s="560"/>
      <c r="E73" s="560"/>
      <c r="F73" s="560"/>
      <c r="G73" s="560"/>
      <c r="H73" s="560"/>
      <c r="I73" s="560"/>
      <c r="J73" s="560"/>
      <c r="K73" s="560"/>
      <c r="L73" s="560"/>
      <c r="M73" s="560"/>
      <c r="N73" s="560"/>
      <c r="O73" s="560"/>
      <c r="P73" s="560"/>
      <c r="Q73" s="560"/>
      <c r="R73" s="560"/>
      <c r="S73" s="560"/>
      <c r="T73" s="560"/>
      <c r="U73" s="560"/>
      <c r="V73" s="560"/>
      <c r="W73" s="560"/>
      <c r="X73" s="560"/>
      <c r="Y73" s="560"/>
      <c r="Z73" s="702"/>
      <c r="AA73" s="703"/>
      <c r="AB73" s="703"/>
      <c r="AC73" s="704"/>
      <c r="AD73" s="708"/>
      <c r="AE73" s="709"/>
      <c r="AF73" s="710"/>
      <c r="AG73" s="509"/>
      <c r="AH73" s="510"/>
      <c r="AI73" s="510"/>
      <c r="AJ73" s="510"/>
      <c r="AK73" s="511"/>
      <c r="AL73" s="509"/>
      <c r="AM73" s="510"/>
      <c r="AN73" s="510"/>
      <c r="AO73" s="510"/>
      <c r="AP73" s="511"/>
      <c r="AQ73" s="509"/>
      <c r="AR73" s="510"/>
      <c r="AS73" s="510"/>
      <c r="AT73" s="510"/>
      <c r="AU73" s="511"/>
      <c r="AV73" s="509"/>
      <c r="AW73" s="510"/>
      <c r="AX73" s="510"/>
      <c r="AY73" s="510"/>
      <c r="AZ73" s="511"/>
      <c r="BA73" s="509"/>
      <c r="BB73" s="510"/>
      <c r="BC73" s="510"/>
      <c r="BD73" s="510"/>
      <c r="BE73" s="511"/>
      <c r="BF73" s="509"/>
      <c r="BG73" s="510"/>
      <c r="BH73" s="510"/>
      <c r="BI73" s="510"/>
      <c r="BJ73" s="511"/>
      <c r="BK73" s="716"/>
      <c r="BL73" s="717"/>
      <c r="BM73" s="717"/>
      <c r="BN73" s="718"/>
      <c r="BO73" s="720"/>
      <c r="BP73" s="709"/>
      <c r="BQ73" s="709"/>
      <c r="BR73" s="709"/>
      <c r="BS73" s="552"/>
      <c r="BT73" s="552"/>
      <c r="BU73" s="552"/>
      <c r="BV73" s="552"/>
      <c r="BW73" s="552"/>
      <c r="BX73" s="552"/>
      <c r="BY73" s="552"/>
      <c r="BZ73" s="552"/>
      <c r="CA73" s="552"/>
      <c r="CB73" s="552"/>
      <c r="CC73" s="552"/>
      <c r="CD73" s="552"/>
      <c r="CE73" s="552"/>
      <c r="CF73" s="552"/>
      <c r="CG73" s="552"/>
      <c r="CH73" s="552"/>
      <c r="CI73" s="552"/>
      <c r="CJ73" s="552"/>
      <c r="CK73" s="552"/>
      <c r="CL73" s="552"/>
      <c r="CM73" s="552"/>
      <c r="CN73" s="552"/>
      <c r="CO73" s="552"/>
      <c r="CP73" s="552"/>
      <c r="CQ73" s="552"/>
      <c r="CR73" s="552"/>
      <c r="CS73" s="552"/>
      <c r="CT73" s="552"/>
      <c r="CU73" s="552"/>
      <c r="CV73" s="552"/>
      <c r="CW73" s="552"/>
      <c r="CX73" s="552"/>
      <c r="CY73" s="552"/>
      <c r="CZ73" s="552"/>
      <c r="DA73" s="552"/>
      <c r="DB73" s="596"/>
      <c r="DC73" s="556"/>
      <c r="DD73" s="552"/>
      <c r="DE73" s="552"/>
      <c r="DF73" s="552"/>
      <c r="DG73" s="552"/>
      <c r="DH73" s="552"/>
      <c r="DI73" s="552"/>
      <c r="DJ73" s="552"/>
      <c r="DK73" s="552"/>
      <c r="DL73" s="552"/>
      <c r="DM73" s="552"/>
      <c r="DN73" s="552"/>
      <c r="DO73" s="552"/>
      <c r="DP73" s="552"/>
      <c r="DQ73" s="552"/>
      <c r="DR73" s="552"/>
      <c r="DS73" s="526"/>
      <c r="DT73" s="526"/>
      <c r="DU73" s="526"/>
      <c r="DV73" s="526"/>
      <c r="DW73" s="526"/>
      <c r="DX73" s="526"/>
      <c r="DY73" s="526"/>
      <c r="DZ73" s="526"/>
      <c r="EA73" s="526"/>
      <c r="EB73" s="526"/>
      <c r="EC73" s="526"/>
      <c r="ED73" s="526"/>
      <c r="EE73" s="526"/>
      <c r="EF73" s="526"/>
      <c r="EG73" s="526"/>
      <c r="EH73" s="526"/>
      <c r="EI73" s="526"/>
      <c r="EJ73" s="526"/>
      <c r="EK73" s="526"/>
      <c r="EL73" s="526"/>
      <c r="EM73" s="526"/>
      <c r="EN73" s="526"/>
      <c r="EO73" s="526"/>
      <c r="EP73" s="561"/>
      <c r="EQ73" s="586">
        <f t="shared" si="34"/>
        <v>0</v>
      </c>
      <c r="ER73" s="586"/>
      <c r="ES73" s="586"/>
      <c r="EU73" s="87"/>
    </row>
    <row r="74" spans="1:151" s="76" customFormat="1" ht="120" customHeight="1" x14ac:dyDescent="0.75">
      <c r="A74" s="768" t="s">
        <v>108</v>
      </c>
      <c r="B74" s="115" t="s">
        <v>197</v>
      </c>
      <c r="C74" s="560" t="s">
        <v>131</v>
      </c>
      <c r="D74" s="560"/>
      <c r="E74" s="560"/>
      <c r="F74" s="560"/>
      <c r="G74" s="560"/>
      <c r="H74" s="560"/>
      <c r="I74" s="560"/>
      <c r="J74" s="560"/>
      <c r="K74" s="560"/>
      <c r="L74" s="560"/>
      <c r="M74" s="560"/>
      <c r="N74" s="560"/>
      <c r="O74" s="560"/>
      <c r="P74" s="560"/>
      <c r="Q74" s="560"/>
      <c r="R74" s="560"/>
      <c r="S74" s="560"/>
      <c r="T74" s="560"/>
      <c r="U74" s="560"/>
      <c r="V74" s="560"/>
      <c r="W74" s="560"/>
      <c r="X74" s="560"/>
      <c r="Y74" s="560"/>
      <c r="Z74" s="699">
        <f>EQ74*30</f>
        <v>120</v>
      </c>
      <c r="AA74" s="700"/>
      <c r="AB74" s="700"/>
      <c r="AC74" s="701"/>
      <c r="AD74" s="705"/>
      <c r="AE74" s="706"/>
      <c r="AF74" s="707"/>
      <c r="AG74" s="506">
        <v>32</v>
      </c>
      <c r="AH74" s="507"/>
      <c r="AI74" s="507"/>
      <c r="AJ74" s="507"/>
      <c r="AK74" s="508"/>
      <c r="AL74" s="506">
        <v>16</v>
      </c>
      <c r="AM74" s="507"/>
      <c r="AN74" s="507"/>
      <c r="AO74" s="507"/>
      <c r="AP74" s="508"/>
      <c r="AQ74" s="506">
        <v>16</v>
      </c>
      <c r="AR74" s="507"/>
      <c r="AS74" s="507"/>
      <c r="AT74" s="507"/>
      <c r="AU74" s="508"/>
      <c r="AV74" s="506"/>
      <c r="AW74" s="507"/>
      <c r="AX74" s="507"/>
      <c r="AY74" s="507"/>
      <c r="AZ74" s="508"/>
      <c r="BA74" s="506"/>
      <c r="BB74" s="507"/>
      <c r="BC74" s="507"/>
      <c r="BD74" s="507"/>
      <c r="BE74" s="508"/>
      <c r="BF74" s="506"/>
      <c r="BG74" s="507"/>
      <c r="BH74" s="507"/>
      <c r="BI74" s="507"/>
      <c r="BJ74" s="508"/>
      <c r="BK74" s="713">
        <f>Z74-AG74</f>
        <v>88</v>
      </c>
      <c r="BL74" s="714"/>
      <c r="BM74" s="714"/>
      <c r="BN74" s="715"/>
      <c r="BO74" s="719"/>
      <c r="BP74" s="706"/>
      <c r="BQ74" s="706"/>
      <c r="BR74" s="706"/>
      <c r="BS74" s="552"/>
      <c r="BT74" s="552"/>
      <c r="BU74" s="552"/>
      <c r="BV74" s="552"/>
      <c r="BW74" s="552"/>
      <c r="BX74" s="552"/>
      <c r="BY74" s="552"/>
      <c r="BZ74" s="552"/>
      <c r="CA74" s="552"/>
      <c r="CB74" s="552"/>
      <c r="CC74" s="552"/>
      <c r="CD74" s="552"/>
      <c r="CE74" s="552"/>
      <c r="CF74" s="552"/>
      <c r="CG74" s="552"/>
      <c r="CH74" s="552"/>
      <c r="CI74" s="552"/>
      <c r="CJ74" s="552"/>
      <c r="CK74" s="552"/>
      <c r="CL74" s="552"/>
      <c r="CM74" s="552">
        <v>6</v>
      </c>
      <c r="CN74" s="552"/>
      <c r="CO74" s="552"/>
      <c r="CP74" s="552"/>
      <c r="CQ74" s="552">
        <v>6</v>
      </c>
      <c r="CR74" s="552"/>
      <c r="CS74" s="552"/>
      <c r="CT74" s="552"/>
      <c r="CU74" s="552"/>
      <c r="CV74" s="552"/>
      <c r="CW74" s="552"/>
      <c r="CX74" s="552"/>
      <c r="CY74" s="552"/>
      <c r="CZ74" s="552"/>
      <c r="DA74" s="552"/>
      <c r="DB74" s="596"/>
      <c r="DC74" s="556"/>
      <c r="DD74" s="552"/>
      <c r="DE74" s="552"/>
      <c r="DF74" s="552"/>
      <c r="DG74" s="552"/>
      <c r="DH74" s="552"/>
      <c r="DI74" s="552"/>
      <c r="DJ74" s="552"/>
      <c r="DK74" s="552"/>
      <c r="DL74" s="552"/>
      <c r="DM74" s="552"/>
      <c r="DN74" s="552"/>
      <c r="DO74" s="552"/>
      <c r="DP74" s="552"/>
      <c r="DQ74" s="552"/>
      <c r="DR74" s="552"/>
      <c r="DS74" s="526"/>
      <c r="DT74" s="526"/>
      <c r="DU74" s="526"/>
      <c r="DV74" s="526"/>
      <c r="DW74" s="526"/>
      <c r="DX74" s="526"/>
      <c r="DY74" s="526"/>
      <c r="DZ74" s="526"/>
      <c r="EA74" s="526"/>
      <c r="EB74" s="526"/>
      <c r="EC74" s="526"/>
      <c r="ED74" s="526"/>
      <c r="EE74" s="526"/>
      <c r="EF74" s="526"/>
      <c r="EG74" s="526"/>
      <c r="EH74" s="526"/>
      <c r="EI74" s="526"/>
      <c r="EJ74" s="526"/>
      <c r="EK74" s="526"/>
      <c r="EL74" s="526"/>
      <c r="EM74" s="526">
        <v>4</v>
      </c>
      <c r="EN74" s="526"/>
      <c r="EO74" s="526"/>
      <c r="EP74" s="561"/>
      <c r="EQ74" s="586">
        <f t="shared" si="34"/>
        <v>4</v>
      </c>
      <c r="ER74" s="586"/>
      <c r="ES74" s="586"/>
      <c r="EU74" s="87"/>
    </row>
    <row r="75" spans="1:151" s="76" customFormat="1" ht="99.95" customHeight="1" x14ac:dyDescent="0.75">
      <c r="A75" s="769"/>
      <c r="B75" s="115" t="s">
        <v>198</v>
      </c>
      <c r="C75" s="560" t="s">
        <v>107</v>
      </c>
      <c r="D75" s="560"/>
      <c r="E75" s="560"/>
      <c r="F75" s="560"/>
      <c r="G75" s="560"/>
      <c r="H75" s="560"/>
      <c r="I75" s="560"/>
      <c r="J75" s="560"/>
      <c r="K75" s="560"/>
      <c r="L75" s="560"/>
      <c r="M75" s="560"/>
      <c r="N75" s="560"/>
      <c r="O75" s="560"/>
      <c r="P75" s="560"/>
      <c r="Q75" s="560"/>
      <c r="R75" s="560"/>
      <c r="S75" s="560"/>
      <c r="T75" s="560"/>
      <c r="U75" s="560"/>
      <c r="V75" s="560"/>
      <c r="W75" s="560"/>
      <c r="X75" s="560"/>
      <c r="Y75" s="560"/>
      <c r="Z75" s="702"/>
      <c r="AA75" s="703"/>
      <c r="AB75" s="703"/>
      <c r="AC75" s="704"/>
      <c r="AD75" s="708"/>
      <c r="AE75" s="709"/>
      <c r="AF75" s="710"/>
      <c r="AG75" s="509"/>
      <c r="AH75" s="510"/>
      <c r="AI75" s="510"/>
      <c r="AJ75" s="510"/>
      <c r="AK75" s="511"/>
      <c r="AL75" s="509"/>
      <c r="AM75" s="510"/>
      <c r="AN75" s="510"/>
      <c r="AO75" s="510"/>
      <c r="AP75" s="511"/>
      <c r="AQ75" s="509"/>
      <c r="AR75" s="510"/>
      <c r="AS75" s="510"/>
      <c r="AT75" s="510"/>
      <c r="AU75" s="511"/>
      <c r="AV75" s="509"/>
      <c r="AW75" s="510"/>
      <c r="AX75" s="510"/>
      <c r="AY75" s="510"/>
      <c r="AZ75" s="511"/>
      <c r="BA75" s="509"/>
      <c r="BB75" s="510"/>
      <c r="BC75" s="510"/>
      <c r="BD75" s="510"/>
      <c r="BE75" s="511"/>
      <c r="BF75" s="509"/>
      <c r="BG75" s="510"/>
      <c r="BH75" s="510"/>
      <c r="BI75" s="510"/>
      <c r="BJ75" s="511"/>
      <c r="BK75" s="716"/>
      <c r="BL75" s="717"/>
      <c r="BM75" s="717"/>
      <c r="BN75" s="718"/>
      <c r="BO75" s="720"/>
      <c r="BP75" s="709"/>
      <c r="BQ75" s="709"/>
      <c r="BR75" s="709"/>
      <c r="BS75" s="552"/>
      <c r="BT75" s="552"/>
      <c r="BU75" s="552"/>
      <c r="BV75" s="552"/>
      <c r="BW75" s="552"/>
      <c r="BX75" s="552"/>
      <c r="BY75" s="552"/>
      <c r="BZ75" s="552"/>
      <c r="CA75" s="552"/>
      <c r="CB75" s="552"/>
      <c r="CC75" s="552"/>
      <c r="CD75" s="552"/>
      <c r="CE75" s="552"/>
      <c r="CF75" s="552"/>
      <c r="CG75" s="552"/>
      <c r="CH75" s="552"/>
      <c r="CI75" s="552"/>
      <c r="CJ75" s="552"/>
      <c r="CK75" s="552"/>
      <c r="CL75" s="552"/>
      <c r="CM75" s="552"/>
      <c r="CN75" s="552"/>
      <c r="CO75" s="552"/>
      <c r="CP75" s="552"/>
      <c r="CQ75" s="552"/>
      <c r="CR75" s="552"/>
      <c r="CS75" s="552"/>
      <c r="CT75" s="552"/>
      <c r="CU75" s="552"/>
      <c r="CV75" s="552"/>
      <c r="CW75" s="552"/>
      <c r="CX75" s="552"/>
      <c r="CY75" s="552"/>
      <c r="CZ75" s="552"/>
      <c r="DA75" s="552"/>
      <c r="DB75" s="596"/>
      <c r="DC75" s="556"/>
      <c r="DD75" s="552"/>
      <c r="DE75" s="552"/>
      <c r="DF75" s="552"/>
      <c r="DG75" s="552"/>
      <c r="DH75" s="552"/>
      <c r="DI75" s="552"/>
      <c r="DJ75" s="552"/>
      <c r="DK75" s="552"/>
      <c r="DL75" s="552"/>
      <c r="DM75" s="552"/>
      <c r="DN75" s="552"/>
      <c r="DO75" s="552"/>
      <c r="DP75" s="552"/>
      <c r="DQ75" s="552"/>
      <c r="DR75" s="552"/>
      <c r="DS75" s="526"/>
      <c r="DT75" s="526"/>
      <c r="DU75" s="526"/>
      <c r="DV75" s="526"/>
      <c r="DW75" s="526"/>
      <c r="DX75" s="526"/>
      <c r="DY75" s="526"/>
      <c r="DZ75" s="526"/>
      <c r="EA75" s="526"/>
      <c r="EB75" s="526"/>
      <c r="EC75" s="526"/>
      <c r="ED75" s="526"/>
      <c r="EE75" s="526"/>
      <c r="EF75" s="526"/>
      <c r="EG75" s="526"/>
      <c r="EH75" s="526"/>
      <c r="EI75" s="526"/>
      <c r="EJ75" s="526"/>
      <c r="EK75" s="526"/>
      <c r="EL75" s="526"/>
      <c r="EM75" s="526"/>
      <c r="EN75" s="526"/>
      <c r="EO75" s="526"/>
      <c r="EP75" s="561"/>
      <c r="EQ75" s="586">
        <f t="shared" si="34"/>
        <v>0</v>
      </c>
      <c r="ER75" s="586"/>
      <c r="ES75" s="586"/>
      <c r="EU75" s="87"/>
    </row>
    <row r="76" spans="1:151" s="76" customFormat="1" ht="99.95" customHeight="1" x14ac:dyDescent="0.75">
      <c r="A76" s="768" t="s">
        <v>158</v>
      </c>
      <c r="B76" s="115" t="s">
        <v>156</v>
      </c>
      <c r="C76" s="560" t="s">
        <v>155</v>
      </c>
      <c r="D76" s="560"/>
      <c r="E76" s="560"/>
      <c r="F76" s="560"/>
      <c r="G76" s="560"/>
      <c r="H76" s="560"/>
      <c r="I76" s="560"/>
      <c r="J76" s="560"/>
      <c r="K76" s="560"/>
      <c r="L76" s="560"/>
      <c r="M76" s="560"/>
      <c r="N76" s="560"/>
      <c r="O76" s="560"/>
      <c r="P76" s="560"/>
      <c r="Q76" s="560"/>
      <c r="R76" s="560"/>
      <c r="S76" s="560"/>
      <c r="T76" s="560"/>
      <c r="U76" s="560"/>
      <c r="V76" s="560"/>
      <c r="W76" s="560"/>
      <c r="X76" s="560"/>
      <c r="Y76" s="560"/>
      <c r="Z76" s="699">
        <f>EQ76*30</f>
        <v>120</v>
      </c>
      <c r="AA76" s="700"/>
      <c r="AB76" s="700"/>
      <c r="AC76" s="701"/>
      <c r="AD76" s="705"/>
      <c r="AE76" s="706"/>
      <c r="AF76" s="707"/>
      <c r="AG76" s="506">
        <v>16</v>
      </c>
      <c r="AH76" s="507"/>
      <c r="AI76" s="507"/>
      <c r="AJ76" s="507"/>
      <c r="AK76" s="508"/>
      <c r="AL76" s="506">
        <v>8</v>
      </c>
      <c r="AM76" s="507"/>
      <c r="AN76" s="507"/>
      <c r="AO76" s="507"/>
      <c r="AP76" s="508"/>
      <c r="AQ76" s="506">
        <v>8</v>
      </c>
      <c r="AR76" s="507"/>
      <c r="AS76" s="507"/>
      <c r="AT76" s="507"/>
      <c r="AU76" s="508"/>
      <c r="AV76" s="506"/>
      <c r="AW76" s="507"/>
      <c r="AX76" s="507"/>
      <c r="AY76" s="507"/>
      <c r="AZ76" s="508"/>
      <c r="BA76" s="506"/>
      <c r="BB76" s="507"/>
      <c r="BC76" s="507"/>
      <c r="BD76" s="507"/>
      <c r="BE76" s="508"/>
      <c r="BF76" s="506"/>
      <c r="BG76" s="507"/>
      <c r="BH76" s="507"/>
      <c r="BI76" s="507"/>
      <c r="BJ76" s="508"/>
      <c r="BK76" s="713">
        <f>Z76-AG76</f>
        <v>104</v>
      </c>
      <c r="BL76" s="714"/>
      <c r="BM76" s="714"/>
      <c r="BN76" s="715"/>
      <c r="BO76" s="719"/>
      <c r="BP76" s="706"/>
      <c r="BQ76" s="706"/>
      <c r="BR76" s="706"/>
      <c r="BS76" s="552"/>
      <c r="BT76" s="552"/>
      <c r="BU76" s="552"/>
      <c r="BV76" s="552"/>
      <c r="BW76" s="552"/>
      <c r="BX76" s="552"/>
      <c r="BY76" s="552"/>
      <c r="BZ76" s="552"/>
      <c r="CA76" s="552"/>
      <c r="CB76" s="552"/>
      <c r="CC76" s="552"/>
      <c r="CD76" s="552"/>
      <c r="CE76" s="552"/>
      <c r="CF76" s="552"/>
      <c r="CG76" s="552"/>
      <c r="CH76" s="552"/>
      <c r="CI76" s="552"/>
      <c r="CJ76" s="552"/>
      <c r="CK76" s="552"/>
      <c r="CL76" s="552"/>
      <c r="CM76" s="552"/>
      <c r="CN76" s="552"/>
      <c r="CO76" s="552"/>
      <c r="CP76" s="552"/>
      <c r="CQ76" s="552"/>
      <c r="CR76" s="552"/>
      <c r="CS76" s="552"/>
      <c r="CT76" s="552"/>
      <c r="CU76" s="552">
        <v>6</v>
      </c>
      <c r="CV76" s="552"/>
      <c r="CW76" s="552"/>
      <c r="CX76" s="552"/>
      <c r="CY76" s="552"/>
      <c r="CZ76" s="552"/>
      <c r="DA76" s="552"/>
      <c r="DB76" s="596"/>
      <c r="DC76" s="556"/>
      <c r="DD76" s="552"/>
      <c r="DE76" s="552"/>
      <c r="DF76" s="552"/>
      <c r="DG76" s="552"/>
      <c r="DH76" s="552"/>
      <c r="DI76" s="552"/>
      <c r="DJ76" s="552"/>
      <c r="DK76" s="552"/>
      <c r="DL76" s="552"/>
      <c r="DM76" s="552"/>
      <c r="DN76" s="552"/>
      <c r="DO76" s="552"/>
      <c r="DP76" s="552"/>
      <c r="DQ76" s="552"/>
      <c r="DR76" s="552"/>
      <c r="DS76" s="526"/>
      <c r="DT76" s="526"/>
      <c r="DU76" s="526"/>
      <c r="DV76" s="526"/>
      <c r="DW76" s="526"/>
      <c r="DX76" s="526"/>
      <c r="DY76" s="526"/>
      <c r="DZ76" s="526"/>
      <c r="EA76" s="526"/>
      <c r="EB76" s="526"/>
      <c r="EC76" s="526"/>
      <c r="ED76" s="526"/>
      <c r="EE76" s="526"/>
      <c r="EF76" s="526"/>
      <c r="EG76" s="526"/>
      <c r="EH76" s="526"/>
      <c r="EI76" s="526"/>
      <c r="EJ76" s="526"/>
      <c r="EK76" s="526"/>
      <c r="EL76" s="526"/>
      <c r="EM76" s="526">
        <v>4</v>
      </c>
      <c r="EN76" s="526"/>
      <c r="EO76" s="526"/>
      <c r="EP76" s="561"/>
      <c r="EQ76" s="586">
        <f t="shared" si="34"/>
        <v>4</v>
      </c>
      <c r="ER76" s="586"/>
      <c r="ES76" s="586"/>
      <c r="EU76" s="87"/>
    </row>
    <row r="77" spans="1:151" s="76" customFormat="1" ht="99.95" customHeight="1" x14ac:dyDescent="0.75">
      <c r="A77" s="769"/>
      <c r="B77" s="115" t="s">
        <v>157</v>
      </c>
      <c r="C77" s="560" t="s">
        <v>99</v>
      </c>
      <c r="D77" s="560"/>
      <c r="E77" s="560"/>
      <c r="F77" s="560"/>
      <c r="G77" s="560"/>
      <c r="H77" s="560"/>
      <c r="I77" s="560"/>
      <c r="J77" s="560"/>
      <c r="K77" s="560"/>
      <c r="L77" s="560"/>
      <c r="M77" s="560"/>
      <c r="N77" s="560"/>
      <c r="O77" s="560"/>
      <c r="P77" s="560"/>
      <c r="Q77" s="560"/>
      <c r="R77" s="560"/>
      <c r="S77" s="560"/>
      <c r="T77" s="560"/>
      <c r="U77" s="560"/>
      <c r="V77" s="560"/>
      <c r="W77" s="560"/>
      <c r="X77" s="560"/>
      <c r="Y77" s="560"/>
      <c r="Z77" s="702"/>
      <c r="AA77" s="703"/>
      <c r="AB77" s="703"/>
      <c r="AC77" s="704"/>
      <c r="AD77" s="708"/>
      <c r="AE77" s="709"/>
      <c r="AF77" s="710"/>
      <c r="AG77" s="509"/>
      <c r="AH77" s="510"/>
      <c r="AI77" s="510"/>
      <c r="AJ77" s="510"/>
      <c r="AK77" s="511"/>
      <c r="AL77" s="509"/>
      <c r="AM77" s="510"/>
      <c r="AN77" s="510"/>
      <c r="AO77" s="510"/>
      <c r="AP77" s="511"/>
      <c r="AQ77" s="509"/>
      <c r="AR77" s="510"/>
      <c r="AS77" s="510"/>
      <c r="AT77" s="510"/>
      <c r="AU77" s="511"/>
      <c r="AV77" s="509"/>
      <c r="AW77" s="510"/>
      <c r="AX77" s="510"/>
      <c r="AY77" s="510"/>
      <c r="AZ77" s="511"/>
      <c r="BA77" s="509"/>
      <c r="BB77" s="510"/>
      <c r="BC77" s="510"/>
      <c r="BD77" s="510"/>
      <c r="BE77" s="511"/>
      <c r="BF77" s="509"/>
      <c r="BG77" s="510"/>
      <c r="BH77" s="510"/>
      <c r="BI77" s="510"/>
      <c r="BJ77" s="511"/>
      <c r="BK77" s="716"/>
      <c r="BL77" s="717"/>
      <c r="BM77" s="717"/>
      <c r="BN77" s="718"/>
      <c r="BO77" s="720"/>
      <c r="BP77" s="709"/>
      <c r="BQ77" s="709"/>
      <c r="BR77" s="709"/>
      <c r="BS77" s="552"/>
      <c r="BT77" s="552"/>
      <c r="BU77" s="552"/>
      <c r="BV77" s="552"/>
      <c r="BW77" s="552"/>
      <c r="BX77" s="552"/>
      <c r="BY77" s="552"/>
      <c r="BZ77" s="552"/>
      <c r="CA77" s="552"/>
      <c r="CB77" s="552"/>
      <c r="CC77" s="552"/>
      <c r="CD77" s="552"/>
      <c r="CE77" s="552"/>
      <c r="CF77" s="552"/>
      <c r="CG77" s="552"/>
      <c r="CH77" s="552"/>
      <c r="CI77" s="552"/>
      <c r="CJ77" s="552"/>
      <c r="CK77" s="552"/>
      <c r="CL77" s="552"/>
      <c r="CM77" s="552"/>
      <c r="CN77" s="552"/>
      <c r="CO77" s="552"/>
      <c r="CP77" s="552"/>
      <c r="CQ77" s="552"/>
      <c r="CR77" s="552"/>
      <c r="CS77" s="552"/>
      <c r="CT77" s="552"/>
      <c r="CU77" s="552"/>
      <c r="CV77" s="552"/>
      <c r="CW77" s="552"/>
      <c r="CX77" s="552"/>
      <c r="CY77" s="552"/>
      <c r="CZ77" s="552"/>
      <c r="DA77" s="552"/>
      <c r="DB77" s="596"/>
      <c r="DC77" s="556"/>
      <c r="DD77" s="552"/>
      <c r="DE77" s="552"/>
      <c r="DF77" s="552"/>
      <c r="DG77" s="552"/>
      <c r="DH77" s="552"/>
      <c r="DI77" s="552"/>
      <c r="DJ77" s="552"/>
      <c r="DK77" s="552"/>
      <c r="DL77" s="552"/>
      <c r="DM77" s="552"/>
      <c r="DN77" s="552"/>
      <c r="DO77" s="552"/>
      <c r="DP77" s="552"/>
      <c r="DQ77" s="552"/>
      <c r="DR77" s="552"/>
      <c r="DS77" s="526"/>
      <c r="DT77" s="526"/>
      <c r="DU77" s="526"/>
      <c r="DV77" s="526"/>
      <c r="DW77" s="526"/>
      <c r="DX77" s="526"/>
      <c r="DY77" s="526"/>
      <c r="DZ77" s="526"/>
      <c r="EA77" s="526"/>
      <c r="EB77" s="526"/>
      <c r="EC77" s="526"/>
      <c r="ED77" s="526"/>
      <c r="EE77" s="526"/>
      <c r="EF77" s="526"/>
      <c r="EG77" s="526"/>
      <c r="EH77" s="526"/>
      <c r="EI77" s="526"/>
      <c r="EJ77" s="526"/>
      <c r="EK77" s="526"/>
      <c r="EL77" s="526"/>
      <c r="EM77" s="526"/>
      <c r="EN77" s="526"/>
      <c r="EO77" s="526"/>
      <c r="EP77" s="561"/>
      <c r="EQ77" s="586">
        <f t="shared" si="34"/>
        <v>0</v>
      </c>
      <c r="ER77" s="586"/>
      <c r="ES77" s="586"/>
      <c r="EU77" s="87"/>
    </row>
    <row r="78" spans="1:151" s="76" customFormat="1" ht="80.099999999999994" customHeight="1" x14ac:dyDescent="0.75">
      <c r="A78" s="111"/>
      <c r="B78" s="82"/>
      <c r="C78" s="729" t="s">
        <v>73</v>
      </c>
      <c r="D78" s="729"/>
      <c r="E78" s="729"/>
      <c r="F78" s="729"/>
      <c r="G78" s="729"/>
      <c r="H78" s="729"/>
      <c r="I78" s="729"/>
      <c r="J78" s="729"/>
      <c r="K78" s="729"/>
      <c r="L78" s="729"/>
      <c r="M78" s="729"/>
      <c r="N78" s="729"/>
      <c r="O78" s="729"/>
      <c r="P78" s="729"/>
      <c r="Q78" s="729"/>
      <c r="R78" s="729"/>
      <c r="S78" s="729"/>
      <c r="T78" s="729"/>
      <c r="U78" s="729"/>
      <c r="V78" s="729"/>
      <c r="W78" s="729"/>
      <c r="X78" s="729"/>
      <c r="Y78" s="729"/>
      <c r="Z78" s="613">
        <f>Z59+Z40</f>
        <v>4650</v>
      </c>
      <c r="AA78" s="614"/>
      <c r="AB78" s="614"/>
      <c r="AC78" s="615"/>
      <c r="AD78" s="533">
        <f>Z78/$Z$82*100</f>
        <v>86.111111111111114</v>
      </c>
      <c r="AE78" s="533"/>
      <c r="AF78" s="533"/>
      <c r="AG78" s="652">
        <f>AG59+AG40</f>
        <v>586</v>
      </c>
      <c r="AH78" s="730"/>
      <c r="AI78" s="730"/>
      <c r="AJ78" s="730"/>
      <c r="AK78" s="730"/>
      <c r="AL78" s="652">
        <f>AL59+AL40</f>
        <v>330</v>
      </c>
      <c r="AM78" s="730"/>
      <c r="AN78" s="730"/>
      <c r="AO78" s="730"/>
      <c r="AP78" s="730"/>
      <c r="AQ78" s="652">
        <f>AQ59+AQ40</f>
        <v>248</v>
      </c>
      <c r="AR78" s="730"/>
      <c r="AS78" s="730"/>
      <c r="AT78" s="730"/>
      <c r="AU78" s="730"/>
      <c r="AV78" s="652">
        <f>AV59+AV40</f>
        <v>68</v>
      </c>
      <c r="AW78" s="730"/>
      <c r="AX78" s="730"/>
      <c r="AY78" s="730"/>
      <c r="AZ78" s="730"/>
      <c r="BA78" s="652">
        <f>BA59+BA40</f>
        <v>0</v>
      </c>
      <c r="BB78" s="730"/>
      <c r="BC78" s="730"/>
      <c r="BD78" s="730"/>
      <c r="BE78" s="730"/>
      <c r="BF78" s="652">
        <f>BF59+BF40</f>
        <v>0</v>
      </c>
      <c r="BG78" s="730"/>
      <c r="BH78" s="730"/>
      <c r="BI78" s="730"/>
      <c r="BJ78" s="730"/>
      <c r="BK78" s="731">
        <f>BK59+BK40</f>
        <v>4064</v>
      </c>
      <c r="BL78" s="732"/>
      <c r="BM78" s="732"/>
      <c r="BN78" s="732"/>
      <c r="BO78" s="624">
        <f>BO59+BO40</f>
        <v>18</v>
      </c>
      <c r="BP78" s="621"/>
      <c r="BQ78" s="621"/>
      <c r="BR78" s="621"/>
      <c r="BS78" s="621">
        <f>BS59+BS40</f>
        <v>24</v>
      </c>
      <c r="BT78" s="621"/>
      <c r="BU78" s="621"/>
      <c r="BV78" s="621"/>
      <c r="BW78" s="621">
        <f>BW59+BW40</f>
        <v>30</v>
      </c>
      <c r="BX78" s="621"/>
      <c r="BY78" s="621"/>
      <c r="BZ78" s="621"/>
      <c r="CA78" s="621">
        <f>CA59+CA40</f>
        <v>24</v>
      </c>
      <c r="CB78" s="621"/>
      <c r="CC78" s="621"/>
      <c r="CD78" s="621"/>
      <c r="CE78" s="621">
        <f>CE59+CE40</f>
        <v>24</v>
      </c>
      <c r="CF78" s="621"/>
      <c r="CG78" s="621"/>
      <c r="CH78" s="621"/>
      <c r="CI78" s="621">
        <f>CI59+CI40</f>
        <v>24</v>
      </c>
      <c r="CJ78" s="621"/>
      <c r="CK78" s="621"/>
      <c r="CL78" s="621"/>
      <c r="CM78" s="621">
        <f>CM59+CM40</f>
        <v>24</v>
      </c>
      <c r="CN78" s="621"/>
      <c r="CO78" s="621"/>
      <c r="CP78" s="621"/>
      <c r="CQ78" s="621">
        <f>CQ59+CQ40</f>
        <v>24</v>
      </c>
      <c r="CR78" s="621"/>
      <c r="CS78" s="621"/>
      <c r="CT78" s="621"/>
      <c r="CU78" s="621">
        <f>CU59+CU40</f>
        <v>18</v>
      </c>
      <c r="CV78" s="621"/>
      <c r="CW78" s="621"/>
      <c r="CX78" s="621"/>
      <c r="CY78" s="621">
        <f>CY59+CY40</f>
        <v>0</v>
      </c>
      <c r="CZ78" s="621"/>
      <c r="DA78" s="621"/>
      <c r="DB78" s="621"/>
      <c r="DC78" s="728">
        <f>DC59+DC40</f>
        <v>14</v>
      </c>
      <c r="DD78" s="621"/>
      <c r="DE78" s="621"/>
      <c r="DF78" s="621"/>
      <c r="DG78" s="728">
        <f>DG59+DG40</f>
        <v>19</v>
      </c>
      <c r="DH78" s="621"/>
      <c r="DI78" s="621"/>
      <c r="DJ78" s="621"/>
      <c r="DK78" s="728">
        <f>DK59+DK40</f>
        <v>23</v>
      </c>
      <c r="DL78" s="621"/>
      <c r="DM78" s="621"/>
      <c r="DN78" s="621"/>
      <c r="DO78" s="728">
        <f>DO59+DO40</f>
        <v>15</v>
      </c>
      <c r="DP78" s="621"/>
      <c r="DQ78" s="621"/>
      <c r="DR78" s="621"/>
      <c r="DS78" s="728">
        <f>DS59+DS40</f>
        <v>16</v>
      </c>
      <c r="DT78" s="621"/>
      <c r="DU78" s="621"/>
      <c r="DV78" s="621"/>
      <c r="DW78" s="728">
        <f>DW59+DW40</f>
        <v>16</v>
      </c>
      <c r="DX78" s="621"/>
      <c r="DY78" s="621"/>
      <c r="DZ78" s="621"/>
      <c r="EA78" s="728">
        <f>EA59+EA40</f>
        <v>14</v>
      </c>
      <c r="EB78" s="621"/>
      <c r="EC78" s="621"/>
      <c r="ED78" s="621"/>
      <c r="EE78" s="728">
        <f>EE59+EE40</f>
        <v>12</v>
      </c>
      <c r="EF78" s="621"/>
      <c r="EG78" s="621"/>
      <c r="EH78" s="621"/>
      <c r="EI78" s="728">
        <f>EI59+EI40</f>
        <v>14</v>
      </c>
      <c r="EJ78" s="621"/>
      <c r="EK78" s="621"/>
      <c r="EL78" s="621"/>
      <c r="EM78" s="728">
        <f>EM59+EM40</f>
        <v>12</v>
      </c>
      <c r="EN78" s="621"/>
      <c r="EO78" s="621"/>
      <c r="EP78" s="621"/>
      <c r="EQ78" s="652">
        <f t="shared" si="34"/>
        <v>155</v>
      </c>
      <c r="ER78" s="652"/>
      <c r="ES78" s="730"/>
      <c r="EU78" s="87"/>
    </row>
    <row r="79" spans="1:151" s="76" customFormat="1" ht="99" customHeight="1" x14ac:dyDescent="0.75">
      <c r="A79" s="80"/>
      <c r="B79" s="109"/>
      <c r="C79" s="735" t="s">
        <v>74</v>
      </c>
      <c r="D79" s="735"/>
      <c r="E79" s="735"/>
      <c r="F79" s="735"/>
      <c r="G79" s="735"/>
      <c r="H79" s="735"/>
      <c r="I79" s="735"/>
      <c r="J79" s="735"/>
      <c r="K79" s="735"/>
      <c r="L79" s="735"/>
      <c r="M79" s="735"/>
      <c r="N79" s="735"/>
      <c r="O79" s="735"/>
      <c r="P79" s="735"/>
      <c r="Q79" s="735"/>
      <c r="R79" s="735"/>
      <c r="S79" s="735"/>
      <c r="T79" s="735"/>
      <c r="U79" s="735"/>
      <c r="V79" s="735"/>
      <c r="W79" s="735"/>
      <c r="X79" s="735"/>
      <c r="Y79" s="735"/>
      <c r="Z79" s="565">
        <f>EQ79*30</f>
        <v>750</v>
      </c>
      <c r="AA79" s="565"/>
      <c r="AB79" s="565"/>
      <c r="AC79" s="565"/>
      <c r="AD79" s="736"/>
      <c r="AE79" s="736"/>
      <c r="AF79" s="736"/>
      <c r="AG79" s="620">
        <f>AL79+AQ79+AV79+BA79+BF79</f>
        <v>0</v>
      </c>
      <c r="AH79" s="620"/>
      <c r="AI79" s="620"/>
      <c r="AJ79" s="620"/>
      <c r="AK79" s="620"/>
      <c r="AL79" s="737"/>
      <c r="AM79" s="738"/>
      <c r="AN79" s="738"/>
      <c r="AO79" s="738"/>
      <c r="AP79" s="739"/>
      <c r="AQ79" s="620"/>
      <c r="AR79" s="620"/>
      <c r="AS79" s="620"/>
      <c r="AT79" s="620"/>
      <c r="AU79" s="620"/>
      <c r="AV79" s="620"/>
      <c r="AW79" s="620"/>
      <c r="AX79" s="620"/>
      <c r="AY79" s="620"/>
      <c r="AZ79" s="620"/>
      <c r="BA79" s="620"/>
      <c r="BB79" s="620"/>
      <c r="BC79" s="620"/>
      <c r="BD79" s="620"/>
      <c r="BE79" s="620"/>
      <c r="BF79" s="620"/>
      <c r="BG79" s="620"/>
      <c r="BH79" s="620"/>
      <c r="BI79" s="620"/>
      <c r="BJ79" s="620"/>
      <c r="BK79" s="572"/>
      <c r="BL79" s="770"/>
      <c r="BM79" s="770"/>
      <c r="BN79" s="770"/>
      <c r="BO79" s="584"/>
      <c r="BP79" s="586"/>
      <c r="BQ79" s="586"/>
      <c r="BR79" s="586"/>
      <c r="BS79" s="586"/>
      <c r="BT79" s="586"/>
      <c r="BU79" s="586"/>
      <c r="BV79" s="586"/>
      <c r="BW79" s="586"/>
      <c r="BX79" s="586"/>
      <c r="BY79" s="586"/>
      <c r="BZ79" s="586"/>
      <c r="CA79" s="586"/>
      <c r="CB79" s="586"/>
      <c r="CC79" s="586"/>
      <c r="CD79" s="586"/>
      <c r="CE79" s="586"/>
      <c r="CF79" s="586"/>
      <c r="CG79" s="586"/>
      <c r="CH79" s="586"/>
      <c r="CI79" s="586"/>
      <c r="CJ79" s="586"/>
      <c r="CK79" s="586"/>
      <c r="CL79" s="586"/>
      <c r="CM79" s="586"/>
      <c r="CN79" s="586"/>
      <c r="CO79" s="586"/>
      <c r="CP79" s="586"/>
      <c r="CQ79" s="586"/>
      <c r="CR79" s="586"/>
      <c r="CS79" s="586"/>
      <c r="CT79" s="586"/>
      <c r="CU79" s="586"/>
      <c r="CV79" s="586"/>
      <c r="CW79" s="586"/>
      <c r="CX79" s="586"/>
      <c r="CY79" s="586"/>
      <c r="CZ79" s="586"/>
      <c r="DA79" s="586"/>
      <c r="DB79" s="587"/>
      <c r="DC79" s="585"/>
      <c r="DD79" s="586"/>
      <c r="DE79" s="586"/>
      <c r="DF79" s="586"/>
      <c r="DG79" s="586"/>
      <c r="DH79" s="586"/>
      <c r="DI79" s="586"/>
      <c r="DJ79" s="586"/>
      <c r="DK79" s="586"/>
      <c r="DL79" s="586"/>
      <c r="DM79" s="586"/>
      <c r="DN79" s="586"/>
      <c r="DO79" s="526">
        <v>2</v>
      </c>
      <c r="DP79" s="526"/>
      <c r="DQ79" s="526"/>
      <c r="DR79" s="526"/>
      <c r="DS79" s="526">
        <v>3</v>
      </c>
      <c r="DT79" s="526"/>
      <c r="DU79" s="526"/>
      <c r="DV79" s="526"/>
      <c r="DW79" s="526">
        <v>3</v>
      </c>
      <c r="DX79" s="526"/>
      <c r="DY79" s="526"/>
      <c r="DZ79" s="526"/>
      <c r="EA79" s="526">
        <v>3</v>
      </c>
      <c r="EB79" s="526"/>
      <c r="EC79" s="526"/>
      <c r="ED79" s="526"/>
      <c r="EE79" s="526">
        <v>4</v>
      </c>
      <c r="EF79" s="526"/>
      <c r="EG79" s="526"/>
      <c r="EH79" s="526"/>
      <c r="EI79" s="526">
        <v>4</v>
      </c>
      <c r="EJ79" s="526"/>
      <c r="EK79" s="526"/>
      <c r="EL79" s="526"/>
      <c r="EM79" s="526">
        <v>6</v>
      </c>
      <c r="EN79" s="526"/>
      <c r="EO79" s="526"/>
      <c r="EP79" s="526"/>
      <c r="EQ79" s="579">
        <f t="shared" si="34"/>
        <v>25</v>
      </c>
      <c r="ER79" s="579"/>
      <c r="ES79" s="565"/>
      <c r="EU79" s="87"/>
    </row>
    <row r="80" spans="1:151" s="76" customFormat="1" ht="99" customHeight="1" x14ac:dyDescent="0.75">
      <c r="A80" s="80"/>
      <c r="B80" s="109"/>
      <c r="C80" s="735" t="s">
        <v>15</v>
      </c>
      <c r="D80" s="735"/>
      <c r="E80" s="735"/>
      <c r="F80" s="735"/>
      <c r="G80" s="735"/>
      <c r="H80" s="735"/>
      <c r="I80" s="735"/>
      <c r="J80" s="735"/>
      <c r="K80" s="735"/>
      <c r="L80" s="735"/>
      <c r="M80" s="735"/>
      <c r="N80" s="735"/>
      <c r="O80" s="735"/>
      <c r="P80" s="735"/>
      <c r="Q80" s="735"/>
      <c r="R80" s="735"/>
      <c r="S80" s="735"/>
      <c r="T80" s="735"/>
      <c r="U80" s="735"/>
      <c r="V80" s="735"/>
      <c r="W80" s="735"/>
      <c r="X80" s="735"/>
      <c r="Y80" s="735"/>
      <c r="Z80" s="565">
        <f>EQ80*30</f>
        <v>0</v>
      </c>
      <c r="AA80" s="565"/>
      <c r="AB80" s="565"/>
      <c r="AC80" s="565"/>
      <c r="AD80" s="639"/>
      <c r="AE80" s="639"/>
      <c r="AF80" s="586"/>
      <c r="AG80" s="620">
        <f>AL80+AQ80+AV80+BA80+BF80</f>
        <v>0</v>
      </c>
      <c r="AH80" s="620"/>
      <c r="AI80" s="620"/>
      <c r="AJ80" s="620"/>
      <c r="AK80" s="620"/>
      <c r="AL80" s="242"/>
      <c r="AM80" s="243"/>
      <c r="AN80" s="243"/>
      <c r="AO80" s="243"/>
      <c r="AP80" s="244"/>
      <c r="AQ80" s="620"/>
      <c r="AR80" s="620"/>
      <c r="AS80" s="620"/>
      <c r="AT80" s="620"/>
      <c r="AU80" s="620"/>
      <c r="AV80" s="620"/>
      <c r="AW80" s="620"/>
      <c r="AX80" s="620"/>
      <c r="AY80" s="620"/>
      <c r="AZ80" s="620"/>
      <c r="BA80" s="620"/>
      <c r="BB80" s="620"/>
      <c r="BC80" s="620"/>
      <c r="BD80" s="620"/>
      <c r="BE80" s="620"/>
      <c r="BF80" s="620"/>
      <c r="BG80" s="620"/>
      <c r="BH80" s="620"/>
      <c r="BI80" s="620"/>
      <c r="BJ80" s="620"/>
      <c r="BK80" s="572"/>
      <c r="BL80" s="770"/>
      <c r="BM80" s="770"/>
      <c r="BN80" s="770"/>
      <c r="BO80" s="584"/>
      <c r="BP80" s="586"/>
      <c r="BQ80" s="586"/>
      <c r="BR80" s="586"/>
      <c r="BS80" s="586"/>
      <c r="BT80" s="586"/>
      <c r="BU80" s="586"/>
      <c r="BV80" s="586"/>
      <c r="BW80" s="586"/>
      <c r="BX80" s="586"/>
      <c r="BY80" s="586"/>
      <c r="BZ80" s="586"/>
      <c r="CA80" s="586"/>
      <c r="CB80" s="586"/>
      <c r="CC80" s="586"/>
      <c r="CD80" s="586"/>
      <c r="CE80" s="586"/>
      <c r="CF80" s="586"/>
      <c r="CG80" s="586"/>
      <c r="CH80" s="586"/>
      <c r="CI80" s="586"/>
      <c r="CJ80" s="586"/>
      <c r="CK80" s="586"/>
      <c r="CL80" s="586"/>
      <c r="CM80" s="586"/>
      <c r="CN80" s="586"/>
      <c r="CO80" s="586"/>
      <c r="CP80" s="586"/>
      <c r="CQ80" s="586"/>
      <c r="CR80" s="586"/>
      <c r="CS80" s="586"/>
      <c r="CT80" s="586"/>
      <c r="CU80" s="586"/>
      <c r="CV80" s="586"/>
      <c r="CW80" s="586"/>
      <c r="CX80" s="586"/>
      <c r="CY80" s="586"/>
      <c r="CZ80" s="586"/>
      <c r="DA80" s="586"/>
      <c r="DB80" s="587"/>
      <c r="DC80" s="585"/>
      <c r="DD80" s="586"/>
      <c r="DE80" s="586"/>
      <c r="DF80" s="586"/>
      <c r="DG80" s="586"/>
      <c r="DH80" s="586"/>
      <c r="DI80" s="586"/>
      <c r="DJ80" s="586"/>
      <c r="DK80" s="586"/>
      <c r="DL80" s="586"/>
      <c r="DM80" s="586"/>
      <c r="DN80" s="586"/>
      <c r="DO80" s="526"/>
      <c r="DP80" s="526"/>
      <c r="DQ80" s="526"/>
      <c r="DR80" s="526"/>
      <c r="DS80" s="526"/>
      <c r="DT80" s="526"/>
      <c r="DU80" s="526"/>
      <c r="DV80" s="526"/>
      <c r="DW80" s="526"/>
      <c r="DX80" s="526"/>
      <c r="DY80" s="526"/>
      <c r="DZ80" s="526"/>
      <c r="EA80" s="526"/>
      <c r="EB80" s="526"/>
      <c r="EC80" s="526"/>
      <c r="ED80" s="526"/>
      <c r="EE80" s="526"/>
      <c r="EF80" s="526"/>
      <c r="EG80" s="526"/>
      <c r="EH80" s="526"/>
      <c r="EI80" s="526"/>
      <c r="EJ80" s="526"/>
      <c r="EK80" s="526"/>
      <c r="EL80" s="526"/>
      <c r="EM80" s="526"/>
      <c r="EN80" s="526"/>
      <c r="EO80" s="526"/>
      <c r="EP80" s="526"/>
      <c r="EQ80" s="579">
        <f t="shared" si="34"/>
        <v>0</v>
      </c>
      <c r="ER80" s="579"/>
      <c r="ES80" s="565"/>
      <c r="EU80" s="87"/>
    </row>
    <row r="81" spans="1:151" s="76" customFormat="1" ht="80.099999999999994" customHeight="1" x14ac:dyDescent="0.75">
      <c r="A81" s="111"/>
      <c r="B81" s="82"/>
      <c r="C81" s="729" t="s">
        <v>73</v>
      </c>
      <c r="D81" s="729"/>
      <c r="E81" s="729"/>
      <c r="F81" s="729"/>
      <c r="G81" s="729"/>
      <c r="H81" s="729"/>
      <c r="I81" s="729"/>
      <c r="J81" s="729"/>
      <c r="K81" s="729"/>
      <c r="L81" s="729"/>
      <c r="M81" s="729"/>
      <c r="N81" s="729"/>
      <c r="O81" s="729"/>
      <c r="P81" s="729"/>
      <c r="Q81" s="729"/>
      <c r="R81" s="729"/>
      <c r="S81" s="729"/>
      <c r="T81" s="729"/>
      <c r="U81" s="729"/>
      <c r="V81" s="729"/>
      <c r="W81" s="729"/>
      <c r="X81" s="729"/>
      <c r="Y81" s="729"/>
      <c r="Z81" s="730">
        <f>Z79+Z80</f>
        <v>750</v>
      </c>
      <c r="AA81" s="730"/>
      <c r="AB81" s="730"/>
      <c r="AC81" s="730"/>
      <c r="AD81" s="533">
        <f>Z81/$Z$82*100</f>
        <v>13.888888888888889</v>
      </c>
      <c r="AE81" s="533"/>
      <c r="AF81" s="533"/>
      <c r="AG81" s="730">
        <f>AG79+AG80</f>
        <v>0</v>
      </c>
      <c r="AH81" s="730"/>
      <c r="AI81" s="730"/>
      <c r="AJ81" s="730"/>
      <c r="AK81" s="730"/>
      <c r="AL81" s="731">
        <f>AL79+AL80</f>
        <v>0</v>
      </c>
      <c r="AM81" s="748"/>
      <c r="AN81" s="748"/>
      <c r="AO81" s="748"/>
      <c r="AP81" s="651"/>
      <c r="AQ81" s="731">
        <f t="shared" ref="AQ81" si="39">AQ79+AQ80</f>
        <v>0</v>
      </c>
      <c r="AR81" s="748"/>
      <c r="AS81" s="748"/>
      <c r="AT81" s="748"/>
      <c r="AU81" s="651"/>
      <c r="AV81" s="731">
        <f t="shared" ref="AV81" si="40">AV79+AV80</f>
        <v>0</v>
      </c>
      <c r="AW81" s="748"/>
      <c r="AX81" s="748"/>
      <c r="AY81" s="748"/>
      <c r="AZ81" s="651"/>
      <c r="BA81" s="731">
        <f t="shared" ref="BA81" si="41">BA79+BA80</f>
        <v>0</v>
      </c>
      <c r="BB81" s="748"/>
      <c r="BC81" s="748"/>
      <c r="BD81" s="748"/>
      <c r="BE81" s="651"/>
      <c r="BF81" s="731">
        <f t="shared" ref="BF81" si="42">BF79+BF80</f>
        <v>0</v>
      </c>
      <c r="BG81" s="748"/>
      <c r="BH81" s="748"/>
      <c r="BI81" s="748"/>
      <c r="BJ81" s="651"/>
      <c r="BK81" s="750">
        <f>BK79+BK80</f>
        <v>0</v>
      </c>
      <c r="BL81" s="732"/>
      <c r="BM81" s="732"/>
      <c r="BN81" s="732"/>
      <c r="BO81" s="621">
        <f t="shared" ref="BO81" si="43">BO79+BO80</f>
        <v>0</v>
      </c>
      <c r="BP81" s="621"/>
      <c r="BQ81" s="621"/>
      <c r="BR81" s="621"/>
      <c r="BS81" s="621">
        <f t="shared" ref="BS81" si="44">BS79+BS80</f>
        <v>0</v>
      </c>
      <c r="BT81" s="621"/>
      <c r="BU81" s="621"/>
      <c r="BV81" s="621"/>
      <c r="BW81" s="621">
        <f t="shared" ref="BW81" si="45">BW79+BW80</f>
        <v>0</v>
      </c>
      <c r="BX81" s="621"/>
      <c r="BY81" s="621"/>
      <c r="BZ81" s="621"/>
      <c r="CA81" s="621">
        <f t="shared" ref="CA81" si="46">CA79+CA80</f>
        <v>0</v>
      </c>
      <c r="CB81" s="621"/>
      <c r="CC81" s="621"/>
      <c r="CD81" s="621"/>
      <c r="CE81" s="621">
        <f t="shared" ref="CE81" si="47">CE79+CE80</f>
        <v>0</v>
      </c>
      <c r="CF81" s="621"/>
      <c r="CG81" s="621"/>
      <c r="CH81" s="621"/>
      <c r="CI81" s="621">
        <f t="shared" ref="CI81" si="48">CI79+CI80</f>
        <v>0</v>
      </c>
      <c r="CJ81" s="621"/>
      <c r="CK81" s="621"/>
      <c r="CL81" s="621"/>
      <c r="CM81" s="621">
        <f t="shared" ref="CM81" si="49">CM79+CM80</f>
        <v>0</v>
      </c>
      <c r="CN81" s="621"/>
      <c r="CO81" s="621"/>
      <c r="CP81" s="621"/>
      <c r="CQ81" s="621">
        <f t="shared" ref="CQ81" si="50">CQ79+CQ80</f>
        <v>0</v>
      </c>
      <c r="CR81" s="621"/>
      <c r="CS81" s="621"/>
      <c r="CT81" s="621"/>
      <c r="CU81" s="621">
        <f t="shared" ref="CU81" si="51">CU79+CU80</f>
        <v>0</v>
      </c>
      <c r="CV81" s="621"/>
      <c r="CW81" s="621"/>
      <c r="CX81" s="621"/>
      <c r="CY81" s="621">
        <f t="shared" ref="CY81" si="52">CY79+CY80</f>
        <v>0</v>
      </c>
      <c r="CZ81" s="621"/>
      <c r="DA81" s="621"/>
      <c r="DB81" s="621"/>
      <c r="DC81" s="621">
        <f>DC79+DC80</f>
        <v>0</v>
      </c>
      <c r="DD81" s="621"/>
      <c r="DE81" s="621"/>
      <c r="DF81" s="621"/>
      <c r="DG81" s="621">
        <f>DG79+DG80</f>
        <v>0</v>
      </c>
      <c r="DH81" s="621"/>
      <c r="DI81" s="621"/>
      <c r="DJ81" s="621"/>
      <c r="DK81" s="621">
        <f>DK79+DK80</f>
        <v>0</v>
      </c>
      <c r="DL81" s="621"/>
      <c r="DM81" s="621"/>
      <c r="DN81" s="621"/>
      <c r="DO81" s="621">
        <f>DO79+DO80</f>
        <v>2</v>
      </c>
      <c r="DP81" s="621"/>
      <c r="DQ81" s="621"/>
      <c r="DR81" s="621"/>
      <c r="DS81" s="621">
        <f>DS79+DS80</f>
        <v>3</v>
      </c>
      <c r="DT81" s="621"/>
      <c r="DU81" s="621"/>
      <c r="DV81" s="621"/>
      <c r="DW81" s="621">
        <f>DW79+DW80</f>
        <v>3</v>
      </c>
      <c r="DX81" s="621"/>
      <c r="DY81" s="621"/>
      <c r="DZ81" s="621"/>
      <c r="EA81" s="621">
        <f>EA79+EA80</f>
        <v>3</v>
      </c>
      <c r="EB81" s="621"/>
      <c r="EC81" s="621"/>
      <c r="ED81" s="621"/>
      <c r="EE81" s="621">
        <f>EE79+EE80</f>
        <v>4</v>
      </c>
      <c r="EF81" s="621"/>
      <c r="EG81" s="621"/>
      <c r="EH81" s="621"/>
      <c r="EI81" s="621">
        <f>EI79+EI80</f>
        <v>4</v>
      </c>
      <c r="EJ81" s="621"/>
      <c r="EK81" s="621"/>
      <c r="EL81" s="621"/>
      <c r="EM81" s="621">
        <f>EM79+EM80</f>
        <v>6</v>
      </c>
      <c r="EN81" s="621"/>
      <c r="EO81" s="621"/>
      <c r="EP81" s="621"/>
      <c r="EQ81" s="652">
        <f>DC81+DG81+DK81+DO81+DS81+DW81+EA81+EE81+EI81+EM81</f>
        <v>25</v>
      </c>
      <c r="ER81" s="652"/>
      <c r="ES81" s="730"/>
      <c r="EU81" s="87"/>
    </row>
    <row r="82" spans="1:151" s="76" customFormat="1" ht="80.099999999999994" customHeight="1" x14ac:dyDescent="0.75">
      <c r="A82" s="84"/>
      <c r="B82" s="85"/>
      <c r="C82" s="534" t="s">
        <v>20</v>
      </c>
      <c r="D82" s="534"/>
      <c r="E82" s="534"/>
      <c r="F82" s="534"/>
      <c r="G82" s="534"/>
      <c r="H82" s="534"/>
      <c r="I82" s="534"/>
      <c r="J82" s="534"/>
      <c r="K82" s="534"/>
      <c r="L82" s="534"/>
      <c r="M82" s="534"/>
      <c r="N82" s="534"/>
      <c r="O82" s="534"/>
      <c r="P82" s="534"/>
      <c r="Q82" s="534"/>
      <c r="R82" s="534"/>
      <c r="S82" s="534"/>
      <c r="T82" s="534"/>
      <c r="U82" s="534"/>
      <c r="V82" s="534"/>
      <c r="W82" s="534"/>
      <c r="X82" s="534"/>
      <c r="Y82" s="534"/>
      <c r="Z82" s="740">
        <f>Z81+Z78</f>
        <v>5400</v>
      </c>
      <c r="AA82" s="741"/>
      <c r="AB82" s="741"/>
      <c r="AC82" s="741"/>
      <c r="AD82" s="771">
        <f>AD78+AD81</f>
        <v>100</v>
      </c>
      <c r="AE82" s="771"/>
      <c r="AF82" s="771"/>
      <c r="AG82" s="740">
        <f>AG78+AG81</f>
        <v>586</v>
      </c>
      <c r="AH82" s="741"/>
      <c r="AI82" s="741"/>
      <c r="AJ82" s="741"/>
      <c r="AK82" s="741"/>
      <c r="AL82" s="740">
        <f>AL78+AL81</f>
        <v>330</v>
      </c>
      <c r="AM82" s="741"/>
      <c r="AN82" s="741"/>
      <c r="AO82" s="741"/>
      <c r="AP82" s="741"/>
      <c r="AQ82" s="740">
        <f t="shared" ref="AQ82" si="53">AQ78+AQ81</f>
        <v>248</v>
      </c>
      <c r="AR82" s="741"/>
      <c r="AS82" s="741"/>
      <c r="AT82" s="741"/>
      <c r="AU82" s="741"/>
      <c r="AV82" s="740">
        <f t="shared" ref="AV82" si="54">AV78+AV81</f>
        <v>68</v>
      </c>
      <c r="AW82" s="741"/>
      <c r="AX82" s="741"/>
      <c r="AY82" s="741"/>
      <c r="AZ82" s="741"/>
      <c r="BA82" s="740">
        <f t="shared" ref="BA82" si="55">BA78+BA81</f>
        <v>0</v>
      </c>
      <c r="BB82" s="741"/>
      <c r="BC82" s="741"/>
      <c r="BD82" s="741"/>
      <c r="BE82" s="741"/>
      <c r="BF82" s="740">
        <f t="shared" ref="BF82" si="56">BF78+BF81</f>
        <v>0</v>
      </c>
      <c r="BG82" s="741"/>
      <c r="BH82" s="741"/>
      <c r="BI82" s="741"/>
      <c r="BJ82" s="741"/>
      <c r="BK82" s="742">
        <f>BK78+BK81</f>
        <v>4064</v>
      </c>
      <c r="BL82" s="743"/>
      <c r="BM82" s="743"/>
      <c r="BN82" s="743"/>
      <c r="BO82" s="746">
        <f t="shared" ref="BO82:CY82" si="57">BO78+BO81</f>
        <v>18</v>
      </c>
      <c r="BP82" s="745"/>
      <c r="BQ82" s="745"/>
      <c r="BR82" s="745"/>
      <c r="BS82" s="746">
        <f t="shared" si="57"/>
        <v>24</v>
      </c>
      <c r="BT82" s="745"/>
      <c r="BU82" s="745"/>
      <c r="BV82" s="745"/>
      <c r="BW82" s="746">
        <f t="shared" si="57"/>
        <v>30</v>
      </c>
      <c r="BX82" s="745"/>
      <c r="BY82" s="745"/>
      <c r="BZ82" s="745"/>
      <c r="CA82" s="746">
        <f t="shared" si="57"/>
        <v>24</v>
      </c>
      <c r="CB82" s="745"/>
      <c r="CC82" s="745"/>
      <c r="CD82" s="745"/>
      <c r="CE82" s="746">
        <f t="shared" si="57"/>
        <v>24</v>
      </c>
      <c r="CF82" s="745"/>
      <c r="CG82" s="745"/>
      <c r="CH82" s="745"/>
      <c r="CI82" s="746">
        <f t="shared" si="57"/>
        <v>24</v>
      </c>
      <c r="CJ82" s="745"/>
      <c r="CK82" s="745"/>
      <c r="CL82" s="745"/>
      <c r="CM82" s="746">
        <f t="shared" si="57"/>
        <v>24</v>
      </c>
      <c r="CN82" s="745"/>
      <c r="CO82" s="745"/>
      <c r="CP82" s="745"/>
      <c r="CQ82" s="746">
        <f t="shared" si="57"/>
        <v>24</v>
      </c>
      <c r="CR82" s="745"/>
      <c r="CS82" s="745"/>
      <c r="CT82" s="745"/>
      <c r="CU82" s="746">
        <f t="shared" si="57"/>
        <v>18</v>
      </c>
      <c r="CV82" s="745"/>
      <c r="CW82" s="745"/>
      <c r="CX82" s="745"/>
      <c r="CY82" s="746">
        <f t="shared" si="57"/>
        <v>0</v>
      </c>
      <c r="CZ82" s="745"/>
      <c r="DA82" s="745"/>
      <c r="DB82" s="745"/>
      <c r="DC82" s="746">
        <f>DC78+DC81</f>
        <v>14</v>
      </c>
      <c r="DD82" s="745"/>
      <c r="DE82" s="745"/>
      <c r="DF82" s="745"/>
      <c r="DG82" s="746">
        <f t="shared" ref="DG82" si="58">DG78+DG81</f>
        <v>19</v>
      </c>
      <c r="DH82" s="745"/>
      <c r="DI82" s="745"/>
      <c r="DJ82" s="745"/>
      <c r="DK82" s="746">
        <f t="shared" ref="DK82" si="59">DK78+DK81</f>
        <v>23</v>
      </c>
      <c r="DL82" s="745"/>
      <c r="DM82" s="745"/>
      <c r="DN82" s="745"/>
      <c r="DO82" s="746">
        <f t="shared" ref="DO82" si="60">DO78+DO81</f>
        <v>17</v>
      </c>
      <c r="DP82" s="745"/>
      <c r="DQ82" s="745"/>
      <c r="DR82" s="745"/>
      <c r="DS82" s="746">
        <f t="shared" ref="DS82" si="61">DS78+DS81</f>
        <v>19</v>
      </c>
      <c r="DT82" s="745"/>
      <c r="DU82" s="745"/>
      <c r="DV82" s="745"/>
      <c r="DW82" s="746">
        <f t="shared" ref="DW82" si="62">DW78+DW81</f>
        <v>19</v>
      </c>
      <c r="DX82" s="745"/>
      <c r="DY82" s="745"/>
      <c r="DZ82" s="745"/>
      <c r="EA82" s="746">
        <f t="shared" ref="EA82" si="63">EA78+EA81</f>
        <v>17</v>
      </c>
      <c r="EB82" s="745"/>
      <c r="EC82" s="745"/>
      <c r="ED82" s="745"/>
      <c r="EE82" s="746">
        <f t="shared" ref="EE82" si="64">EE78+EE81</f>
        <v>16</v>
      </c>
      <c r="EF82" s="745"/>
      <c r="EG82" s="745"/>
      <c r="EH82" s="745"/>
      <c r="EI82" s="746">
        <f t="shared" ref="EI82" si="65">EI78+EI81</f>
        <v>18</v>
      </c>
      <c r="EJ82" s="745"/>
      <c r="EK82" s="745"/>
      <c r="EL82" s="745"/>
      <c r="EM82" s="746">
        <f t="shared" ref="EM82" si="66">EM78+EM81</f>
        <v>18</v>
      </c>
      <c r="EN82" s="745"/>
      <c r="EO82" s="745"/>
      <c r="EP82" s="745"/>
      <c r="EQ82" s="740">
        <f t="shared" si="34"/>
        <v>180</v>
      </c>
      <c r="ER82" s="740"/>
      <c r="ES82" s="741"/>
      <c r="EU82" s="87"/>
    </row>
    <row r="83" spans="1:151" ht="42" x14ac:dyDescent="0.2">
      <c r="A83" s="96"/>
      <c r="B83" s="97"/>
      <c r="C83" s="98"/>
      <c r="D83" s="98"/>
      <c r="E83" s="98"/>
      <c r="F83" s="98"/>
      <c r="G83" s="98"/>
      <c r="H83" s="98"/>
      <c r="I83" s="98"/>
      <c r="J83" s="98"/>
      <c r="K83" s="98"/>
      <c r="L83" s="98"/>
      <c r="M83" s="98"/>
      <c r="N83" s="98"/>
      <c r="O83" s="98"/>
      <c r="P83" s="98"/>
      <c r="Q83" s="98"/>
      <c r="R83" s="98"/>
      <c r="S83" s="98"/>
      <c r="T83" s="98"/>
      <c r="U83" s="98"/>
      <c r="V83" s="98"/>
      <c r="W83" s="98"/>
      <c r="X83" s="98"/>
      <c r="Y83" s="98"/>
      <c r="Z83" s="74"/>
      <c r="AA83" s="75"/>
      <c r="AB83" s="75"/>
      <c r="AC83" s="75"/>
      <c r="AD83" s="99"/>
      <c r="AE83" s="99"/>
      <c r="AF83" s="99"/>
      <c r="AG83" s="74"/>
      <c r="AH83" s="75"/>
      <c r="AI83" s="75"/>
      <c r="AJ83" s="75"/>
      <c r="AK83" s="75"/>
      <c r="AL83" s="74"/>
      <c r="AM83" s="75"/>
      <c r="AN83" s="75"/>
      <c r="AO83" s="75"/>
      <c r="AP83" s="75"/>
      <c r="AQ83" s="74"/>
      <c r="AR83" s="75"/>
      <c r="AS83" s="75"/>
      <c r="AT83" s="75"/>
      <c r="AU83" s="75"/>
      <c r="AV83" s="74"/>
      <c r="AW83" s="75"/>
      <c r="AX83" s="75"/>
      <c r="AY83" s="75"/>
      <c r="AZ83" s="75"/>
      <c r="BA83" s="74"/>
      <c r="BB83" s="75"/>
      <c r="BC83" s="75"/>
      <c r="BD83" s="75"/>
      <c r="BE83" s="75"/>
      <c r="BF83" s="74"/>
      <c r="BG83" s="75"/>
      <c r="BH83" s="75"/>
      <c r="BI83" s="75"/>
      <c r="BJ83" s="75"/>
      <c r="BK83" s="74"/>
      <c r="BL83" s="100"/>
      <c r="BM83" s="100"/>
      <c r="BN83" s="100"/>
      <c r="BO83" s="101"/>
      <c r="BP83" s="101"/>
      <c r="BQ83" s="101"/>
      <c r="BR83" s="101"/>
      <c r="BS83" s="101"/>
      <c r="BT83" s="101"/>
      <c r="BU83" s="101"/>
      <c r="BV83" s="101"/>
      <c r="BW83" s="101"/>
      <c r="BX83" s="101"/>
      <c r="BY83" s="101"/>
      <c r="BZ83" s="101"/>
      <c r="CA83" s="101"/>
      <c r="CB83" s="101"/>
      <c r="CC83" s="101"/>
      <c r="CD83" s="101"/>
      <c r="CE83" s="101"/>
      <c r="CF83" s="101"/>
      <c r="CG83" s="101"/>
      <c r="CH83" s="101"/>
      <c r="CI83" s="101"/>
      <c r="CJ83" s="101"/>
      <c r="CK83" s="101"/>
      <c r="CL83" s="101"/>
      <c r="CM83" s="101"/>
      <c r="CN83" s="101"/>
      <c r="CO83" s="101"/>
      <c r="CP83" s="101"/>
      <c r="CQ83" s="101"/>
      <c r="CR83" s="101"/>
      <c r="CS83" s="101"/>
      <c r="CT83" s="101"/>
      <c r="CU83" s="101"/>
      <c r="CV83" s="101"/>
      <c r="CW83" s="101"/>
      <c r="CX83" s="101"/>
      <c r="CY83" s="101"/>
      <c r="CZ83" s="101"/>
      <c r="DA83" s="101"/>
      <c r="DB83" s="101"/>
      <c r="DC83" s="101"/>
      <c r="DD83" s="101"/>
      <c r="DE83" s="101"/>
      <c r="DF83" s="101"/>
      <c r="DG83" s="101"/>
      <c r="DH83" s="101"/>
      <c r="DI83" s="101"/>
      <c r="DJ83" s="101"/>
      <c r="DK83" s="101"/>
      <c r="DL83" s="101"/>
      <c r="DM83" s="101"/>
      <c r="DN83" s="101"/>
      <c r="DO83" s="101"/>
      <c r="DP83" s="101"/>
      <c r="DQ83" s="101"/>
      <c r="DR83" s="101"/>
      <c r="DS83" s="101"/>
      <c r="DT83" s="101"/>
      <c r="DU83" s="101"/>
      <c r="DV83" s="101"/>
      <c r="DW83" s="101"/>
      <c r="DX83" s="101"/>
      <c r="DY83" s="101"/>
      <c r="DZ83" s="101"/>
      <c r="EA83" s="101"/>
      <c r="EB83" s="101"/>
      <c r="EC83" s="101"/>
      <c r="ED83" s="101"/>
      <c r="EE83" s="101"/>
      <c r="EF83" s="101"/>
      <c r="EG83" s="101"/>
      <c r="EH83" s="101"/>
      <c r="EI83" s="101"/>
      <c r="EJ83" s="101"/>
      <c r="EK83" s="101"/>
      <c r="EL83" s="101"/>
      <c r="EM83" s="101"/>
      <c r="EN83" s="101"/>
      <c r="EO83" s="101"/>
      <c r="EP83" s="101"/>
      <c r="EQ83" s="74"/>
      <c r="ER83" s="74"/>
      <c r="ES83" s="75"/>
    </row>
    <row r="84" spans="1:151" ht="86.25" customHeight="1" x14ac:dyDescent="0.2">
      <c r="B84" s="497" t="s">
        <v>86</v>
      </c>
      <c r="C84" s="497"/>
      <c r="D84" s="497"/>
      <c r="E84" s="497"/>
      <c r="F84" s="497"/>
    </row>
    <row r="85" spans="1:151" ht="45" x14ac:dyDescent="0.2">
      <c r="B85" s="62"/>
      <c r="C85" s="62"/>
      <c r="D85" s="63"/>
      <c r="E85" s="63"/>
      <c r="F85" s="63"/>
      <c r="G85" s="63"/>
      <c r="H85" s="63"/>
      <c r="I85" s="63"/>
      <c r="J85" s="63"/>
      <c r="K85" s="63"/>
      <c r="L85" s="63"/>
      <c r="M85" s="63"/>
      <c r="N85" s="63"/>
      <c r="O85" s="63"/>
      <c r="P85" s="63"/>
      <c r="Q85" s="63"/>
      <c r="R85" s="63"/>
      <c r="S85" s="63"/>
      <c r="T85" s="63"/>
      <c r="U85" s="63"/>
      <c r="V85" s="63"/>
      <c r="W85" s="63"/>
      <c r="X85" s="63"/>
      <c r="Y85" s="63"/>
      <c r="Z85" s="63"/>
      <c r="AA85" s="314"/>
      <c r="AB85" s="314"/>
      <c r="AC85" s="314"/>
      <c r="AD85" s="315"/>
      <c r="AE85" s="105"/>
      <c r="AF85" s="105"/>
      <c r="AG85" s="104"/>
      <c r="AH85" s="105"/>
      <c r="AI85" s="105"/>
      <c r="AJ85" s="105"/>
      <c r="AK85" s="104"/>
      <c r="AL85" s="105"/>
      <c r="AM85" s="105"/>
      <c r="AN85" s="105"/>
      <c r="AO85" s="104"/>
      <c r="AP85" s="105"/>
      <c r="AQ85" s="105"/>
      <c r="AR85" s="105"/>
      <c r="AS85" s="104"/>
      <c r="AT85" s="105"/>
      <c r="AU85" s="105"/>
      <c r="AV85" s="105"/>
      <c r="AW85" s="104"/>
      <c r="AX85" s="105"/>
      <c r="AY85" s="105"/>
      <c r="AZ85" s="105"/>
      <c r="BA85" s="104"/>
      <c r="BB85" s="105"/>
      <c r="BC85" s="105"/>
      <c r="BD85" s="105"/>
      <c r="BE85" s="104"/>
      <c r="BF85" s="104"/>
      <c r="BG85" s="104"/>
      <c r="BH85" s="104"/>
      <c r="BI85" s="104"/>
      <c r="BJ85" s="104"/>
      <c r="BK85" s="104"/>
      <c r="BL85" s="105"/>
      <c r="BM85" s="105"/>
      <c r="BN85" s="105"/>
      <c r="BO85" s="104"/>
      <c r="BP85" s="105"/>
      <c r="BQ85" s="104"/>
      <c r="BR85" s="104"/>
      <c r="BS85" s="104"/>
      <c r="BT85" s="105"/>
      <c r="BU85" s="104"/>
      <c r="BV85" s="104"/>
      <c r="BW85" s="104"/>
      <c r="BX85" s="105"/>
      <c r="BY85" s="104"/>
      <c r="BZ85" s="104"/>
      <c r="CA85" s="104"/>
      <c r="CB85" s="105"/>
      <c r="CC85" s="104"/>
      <c r="CD85" s="104"/>
      <c r="CE85" s="104"/>
      <c r="CF85" s="105"/>
      <c r="CG85" s="104"/>
      <c r="CH85" s="104"/>
      <c r="CI85" s="104"/>
      <c r="CJ85" s="105"/>
      <c r="CK85" s="104"/>
      <c r="CL85" s="104"/>
      <c r="CM85" s="104"/>
      <c r="CN85" s="105"/>
      <c r="CO85" s="104"/>
      <c r="CP85" s="104"/>
      <c r="CQ85" s="104"/>
      <c r="CR85" s="105"/>
      <c r="CS85" s="104"/>
      <c r="CT85" s="104"/>
      <c r="CU85" s="104"/>
      <c r="CV85" s="105"/>
      <c r="CW85" s="104"/>
      <c r="CX85" s="104"/>
      <c r="CY85" s="104"/>
      <c r="CZ85" s="105"/>
      <c r="DA85" s="104"/>
      <c r="DB85" s="104"/>
      <c r="DC85" s="104"/>
      <c r="DD85" s="105"/>
      <c r="DE85" s="104"/>
      <c r="DF85" s="104"/>
      <c r="DG85" s="104"/>
      <c r="DH85" s="105"/>
      <c r="DI85" s="104"/>
      <c r="DJ85" s="104"/>
      <c r="DK85" s="104"/>
      <c r="DL85" s="105"/>
      <c r="DM85" s="104"/>
      <c r="DN85" s="104"/>
      <c r="DO85" s="104"/>
      <c r="DP85" s="105"/>
      <c r="DQ85" s="104"/>
      <c r="DR85" s="104"/>
      <c r="DS85" s="104"/>
      <c r="DT85" s="105"/>
      <c r="DU85" s="104"/>
      <c r="DV85" s="104"/>
      <c r="DW85" s="104"/>
      <c r="DX85" s="105"/>
      <c r="DY85" s="104"/>
      <c r="DZ85" s="104"/>
      <c r="EA85" s="104"/>
      <c r="EB85" s="105"/>
      <c r="EC85" s="104"/>
      <c r="ED85" s="104"/>
      <c r="EE85" s="104"/>
      <c r="EF85" s="105"/>
      <c r="EG85" s="104"/>
      <c r="EH85" s="104"/>
      <c r="EI85" s="104"/>
      <c r="EJ85" s="105"/>
      <c r="EK85" s="104"/>
      <c r="EL85" s="104"/>
      <c r="EM85" s="104"/>
      <c r="EN85" s="105"/>
      <c r="EO85" s="105"/>
      <c r="EP85" s="104"/>
      <c r="EQ85" s="62"/>
      <c r="ER85" s="62"/>
    </row>
    <row r="86" spans="1:151" ht="140.1" customHeight="1" x14ac:dyDescent="0.2">
      <c r="B86" s="62"/>
      <c r="C86" s="497" t="s">
        <v>162</v>
      </c>
      <c r="D86" s="497"/>
      <c r="E86" s="273" t="s">
        <v>254</v>
      </c>
      <c r="F86" s="273"/>
      <c r="G86" s="273"/>
      <c r="H86" s="273"/>
      <c r="I86" s="273"/>
      <c r="J86" s="273"/>
      <c r="K86" s="273"/>
      <c r="L86" s="273"/>
      <c r="M86" s="273"/>
      <c r="N86" s="273"/>
      <c r="O86" s="273"/>
      <c r="P86" s="273"/>
      <c r="Q86" s="273"/>
      <c r="R86" s="273"/>
      <c r="S86" s="273"/>
      <c r="T86" s="273"/>
      <c r="U86" s="273"/>
      <c r="V86" s="273"/>
      <c r="W86" s="273"/>
      <c r="X86" s="273"/>
      <c r="Y86" s="273"/>
      <c r="Z86" s="273"/>
      <c r="AA86" s="273"/>
      <c r="AB86" s="273"/>
      <c r="AC86" s="273"/>
      <c r="AD86" s="273"/>
      <c r="AE86" s="273"/>
      <c r="AF86" s="273"/>
      <c r="AG86" s="273"/>
      <c r="AH86" s="273"/>
      <c r="AI86" s="273"/>
      <c r="AJ86" s="273"/>
      <c r="AK86" s="273"/>
      <c r="AL86" s="273"/>
      <c r="AM86" s="273"/>
      <c r="AN86" s="273"/>
      <c r="AO86" s="273"/>
      <c r="AP86" s="273"/>
      <c r="AQ86" s="273"/>
      <c r="AR86" s="273"/>
      <c r="AS86" s="273"/>
      <c r="AT86" s="273"/>
      <c r="AU86" s="273"/>
      <c r="AV86" s="273"/>
      <c r="AW86" s="273"/>
      <c r="AX86" s="273"/>
      <c r="AY86" s="273"/>
      <c r="AZ86" s="273"/>
      <c r="BA86" s="273"/>
      <c r="BB86" s="273"/>
      <c r="BC86" s="273"/>
      <c r="BD86" s="273"/>
      <c r="BE86" s="273"/>
      <c r="BF86" s="273"/>
      <c r="BG86" s="273"/>
      <c r="BH86" s="273"/>
      <c r="BI86" s="273"/>
      <c r="BJ86" s="273"/>
      <c r="BK86" s="273"/>
      <c r="BL86" s="273"/>
      <c r="BM86" s="273"/>
      <c r="BN86" s="273"/>
      <c r="BO86" s="273"/>
      <c r="BP86" s="273"/>
      <c r="BQ86" s="273"/>
      <c r="BR86" s="273"/>
      <c r="BS86" s="273"/>
      <c r="BT86" s="273"/>
      <c r="BU86" s="273"/>
      <c r="BV86" s="273"/>
      <c r="BW86" s="273"/>
      <c r="BX86" s="273"/>
      <c r="BY86" s="273"/>
      <c r="BZ86" s="273"/>
      <c r="CA86" s="273"/>
      <c r="CB86" s="273"/>
      <c r="CC86" s="273"/>
      <c r="CD86" s="273"/>
      <c r="CE86" s="273"/>
      <c r="CF86" s="273"/>
      <c r="CG86" s="273"/>
      <c r="CH86" s="273"/>
      <c r="CI86" s="273"/>
      <c r="CJ86" s="273"/>
      <c r="CK86" s="273"/>
      <c r="CL86" s="273"/>
      <c r="CM86" s="273"/>
      <c r="CN86" s="273"/>
      <c r="CO86" s="273"/>
      <c r="CP86" s="273"/>
      <c r="CQ86" s="273"/>
      <c r="CR86" s="273"/>
      <c r="CS86" s="273"/>
      <c r="CT86" s="273"/>
      <c r="CU86" s="273"/>
      <c r="CV86" s="273"/>
      <c r="CW86" s="273"/>
      <c r="CX86" s="273"/>
      <c r="CY86" s="273"/>
      <c r="CZ86" s="273"/>
      <c r="DA86" s="273"/>
      <c r="DB86" s="273"/>
      <c r="DC86" s="273"/>
      <c r="DD86" s="273"/>
      <c r="DE86" s="273"/>
      <c r="DF86" s="273"/>
      <c r="DG86" s="273"/>
      <c r="DH86" s="273"/>
      <c r="DI86" s="273"/>
      <c r="DJ86" s="273"/>
      <c r="DK86" s="273"/>
      <c r="DL86" s="273"/>
      <c r="DM86" s="273"/>
      <c r="DN86" s="273"/>
      <c r="DO86" s="273"/>
      <c r="DP86" s="273"/>
      <c r="DQ86" s="273"/>
      <c r="DR86" s="273"/>
      <c r="DS86" s="273"/>
      <c r="DT86" s="273"/>
      <c r="DU86" s="273"/>
      <c r="DV86" s="273"/>
      <c r="DW86" s="273"/>
      <c r="DX86" s="273"/>
      <c r="DY86" s="273"/>
      <c r="DZ86" s="273"/>
      <c r="EA86" s="273"/>
      <c r="EB86" s="273"/>
      <c r="EC86" s="273"/>
      <c r="ED86" s="273"/>
      <c r="EE86" s="273"/>
      <c r="EF86" s="273"/>
      <c r="EG86" s="273"/>
      <c r="EH86" s="273"/>
      <c r="EI86" s="273"/>
      <c r="EJ86" s="273"/>
      <c r="EK86" s="273"/>
      <c r="EL86" s="273"/>
      <c r="EM86" s="273"/>
      <c r="EN86" s="273"/>
      <c r="EO86" s="273"/>
      <c r="EP86" s="273"/>
      <c r="EQ86" s="273"/>
      <c r="ER86" s="273"/>
    </row>
    <row r="87" spans="1:151" ht="140.1" customHeight="1" x14ac:dyDescent="0.2">
      <c r="B87" s="62"/>
      <c r="C87" s="497" t="s">
        <v>163</v>
      </c>
      <c r="D87" s="497"/>
      <c r="E87" s="273" t="s">
        <v>174</v>
      </c>
      <c r="F87" s="498"/>
      <c r="G87" s="498"/>
      <c r="H87" s="498"/>
      <c r="I87" s="498"/>
      <c r="J87" s="498"/>
      <c r="K87" s="498"/>
      <c r="L87" s="498"/>
      <c r="M87" s="498"/>
      <c r="N87" s="498"/>
      <c r="O87" s="498"/>
      <c r="P87" s="498"/>
      <c r="Q87" s="498"/>
      <c r="R87" s="498"/>
      <c r="S87" s="498"/>
      <c r="T87" s="498"/>
      <c r="U87" s="498"/>
      <c r="V87" s="498"/>
      <c r="W87" s="498"/>
      <c r="X87" s="498"/>
      <c r="Y87" s="498"/>
      <c r="Z87" s="498"/>
      <c r="AA87" s="498"/>
      <c r="AB87" s="498"/>
      <c r="AC87" s="498"/>
      <c r="AD87" s="498"/>
      <c r="AE87" s="498"/>
      <c r="AF87" s="498"/>
      <c r="AG87" s="498"/>
      <c r="AH87" s="498"/>
      <c r="AI87" s="498"/>
      <c r="AJ87" s="498"/>
      <c r="AK87" s="498"/>
      <c r="AL87" s="498"/>
      <c r="AM87" s="498"/>
      <c r="AN87" s="498"/>
      <c r="AO87" s="498"/>
      <c r="AP87" s="498"/>
      <c r="AQ87" s="498"/>
      <c r="AR87" s="498"/>
      <c r="AS87" s="498"/>
      <c r="AT87" s="498"/>
      <c r="AU87" s="498"/>
      <c r="AV87" s="498"/>
      <c r="AW87" s="498"/>
      <c r="AX87" s="498"/>
      <c r="AY87" s="498"/>
      <c r="AZ87" s="498"/>
      <c r="BA87" s="498"/>
      <c r="BB87" s="498"/>
      <c r="BC87" s="498"/>
      <c r="BD87" s="498"/>
      <c r="BE87" s="498"/>
      <c r="BF87" s="498"/>
      <c r="BG87" s="498"/>
      <c r="BH87" s="498"/>
      <c r="BI87" s="498"/>
      <c r="BJ87" s="498"/>
      <c r="BK87" s="498"/>
      <c r="BL87" s="498"/>
      <c r="BM87" s="498"/>
      <c r="BN87" s="498"/>
      <c r="BO87" s="498"/>
      <c r="BP87" s="498"/>
      <c r="BQ87" s="498"/>
      <c r="BR87" s="498"/>
      <c r="BS87" s="498"/>
      <c r="BT87" s="498"/>
      <c r="BU87" s="498"/>
      <c r="BV87" s="498"/>
      <c r="BW87" s="498"/>
      <c r="BX87" s="498"/>
      <c r="BY87" s="498"/>
      <c r="BZ87" s="498"/>
      <c r="CA87" s="498"/>
      <c r="CB87" s="498"/>
      <c r="CC87" s="498"/>
      <c r="CD87" s="498"/>
      <c r="CE87" s="498"/>
      <c r="CF87" s="498"/>
      <c r="CG87" s="498"/>
      <c r="CH87" s="498"/>
      <c r="CI87" s="498"/>
      <c r="CJ87" s="498"/>
      <c r="CK87" s="498"/>
      <c r="CL87" s="498"/>
      <c r="CM87" s="498"/>
      <c r="CN87" s="498"/>
      <c r="CO87" s="498"/>
      <c r="CP87" s="498"/>
      <c r="CQ87" s="498"/>
      <c r="CR87" s="498"/>
      <c r="CS87" s="498"/>
      <c r="CT87" s="498"/>
      <c r="CU87" s="498"/>
      <c r="CV87" s="498"/>
      <c r="CW87" s="498"/>
      <c r="CX87" s="498"/>
      <c r="CY87" s="498"/>
      <c r="CZ87" s="498"/>
      <c r="DA87" s="498"/>
      <c r="DB87" s="498"/>
      <c r="DC87" s="498"/>
      <c r="DD87" s="498"/>
      <c r="DE87" s="498"/>
      <c r="DF87" s="498"/>
      <c r="DG87" s="498"/>
      <c r="DH87" s="498"/>
      <c r="DI87" s="498"/>
      <c r="DJ87" s="498"/>
      <c r="DK87" s="498"/>
      <c r="DL87" s="498"/>
      <c r="DM87" s="498"/>
      <c r="DN87" s="498"/>
      <c r="DO87" s="498"/>
      <c r="DP87" s="498"/>
      <c r="DQ87" s="498"/>
      <c r="DR87" s="498"/>
      <c r="DS87" s="498"/>
      <c r="DT87" s="498"/>
      <c r="DU87" s="498"/>
      <c r="DV87" s="498"/>
      <c r="DW87" s="498"/>
      <c r="DX87" s="498"/>
      <c r="DY87" s="498"/>
      <c r="DZ87" s="498"/>
      <c r="EA87" s="498"/>
      <c r="EB87" s="498"/>
      <c r="EC87" s="498"/>
      <c r="ED87" s="498"/>
      <c r="EE87" s="498"/>
      <c r="EF87" s="498"/>
      <c r="EG87" s="498"/>
      <c r="EH87" s="498"/>
      <c r="EI87" s="498"/>
      <c r="EJ87" s="498"/>
      <c r="EK87" s="498"/>
      <c r="EL87" s="498"/>
      <c r="EM87" s="498"/>
      <c r="EN87" s="498"/>
      <c r="EO87" s="498"/>
      <c r="EP87" s="498"/>
      <c r="EQ87" s="498"/>
      <c r="ER87" s="498"/>
    </row>
    <row r="88" spans="1:151" ht="140.1" customHeight="1" x14ac:dyDescent="0.2">
      <c r="B88" s="62"/>
      <c r="C88" s="497" t="s">
        <v>164</v>
      </c>
      <c r="D88" s="497"/>
      <c r="E88" s="273" t="s">
        <v>255</v>
      </c>
      <c r="F88" s="498"/>
      <c r="G88" s="498"/>
      <c r="H88" s="498"/>
      <c r="I88" s="498"/>
      <c r="J88" s="498"/>
      <c r="K88" s="498"/>
      <c r="L88" s="498"/>
      <c r="M88" s="498"/>
      <c r="N88" s="498"/>
      <c r="O88" s="498"/>
      <c r="P88" s="498"/>
      <c r="Q88" s="498"/>
      <c r="R88" s="498"/>
      <c r="S88" s="498"/>
      <c r="T88" s="498"/>
      <c r="U88" s="498"/>
      <c r="V88" s="498"/>
      <c r="W88" s="498"/>
      <c r="X88" s="498"/>
      <c r="Y88" s="498"/>
      <c r="Z88" s="498"/>
      <c r="AA88" s="498"/>
      <c r="AB88" s="498"/>
      <c r="AC88" s="498"/>
      <c r="AD88" s="498"/>
      <c r="AE88" s="498"/>
      <c r="AF88" s="498"/>
      <c r="AG88" s="498"/>
      <c r="AH88" s="498"/>
      <c r="AI88" s="498"/>
      <c r="AJ88" s="498"/>
      <c r="AK88" s="498"/>
      <c r="AL88" s="498"/>
      <c r="AM88" s="498"/>
      <c r="AN88" s="498"/>
      <c r="AO88" s="498"/>
      <c r="AP88" s="498"/>
      <c r="AQ88" s="498"/>
      <c r="AR88" s="498"/>
      <c r="AS88" s="498"/>
      <c r="AT88" s="498"/>
      <c r="AU88" s="498"/>
      <c r="AV88" s="498"/>
      <c r="AW88" s="498"/>
      <c r="AX88" s="498"/>
      <c r="AY88" s="498"/>
      <c r="AZ88" s="498"/>
      <c r="BA88" s="498"/>
      <c r="BB88" s="498"/>
      <c r="BC88" s="498"/>
      <c r="BD88" s="498"/>
      <c r="BE88" s="498"/>
      <c r="BF88" s="498"/>
      <c r="BG88" s="498"/>
      <c r="BH88" s="498"/>
      <c r="BI88" s="498"/>
      <c r="BJ88" s="498"/>
      <c r="BK88" s="498"/>
      <c r="BL88" s="498"/>
      <c r="BM88" s="498"/>
      <c r="BN88" s="498"/>
      <c r="BO88" s="498"/>
      <c r="BP88" s="498"/>
      <c r="BQ88" s="498"/>
      <c r="BR88" s="498"/>
      <c r="BS88" s="498"/>
      <c r="BT88" s="498"/>
      <c r="BU88" s="498"/>
      <c r="BV88" s="498"/>
      <c r="BW88" s="498"/>
      <c r="BX88" s="498"/>
      <c r="BY88" s="498"/>
      <c r="BZ88" s="498"/>
      <c r="CA88" s="498"/>
      <c r="CB88" s="498"/>
      <c r="CC88" s="498"/>
      <c r="CD88" s="498"/>
      <c r="CE88" s="498"/>
      <c r="CF88" s="498"/>
      <c r="CG88" s="498"/>
      <c r="CH88" s="498"/>
      <c r="CI88" s="498"/>
      <c r="CJ88" s="498"/>
      <c r="CK88" s="498"/>
      <c r="CL88" s="498"/>
      <c r="CM88" s="498"/>
      <c r="CN88" s="498"/>
      <c r="CO88" s="498"/>
      <c r="CP88" s="498"/>
      <c r="CQ88" s="498"/>
      <c r="CR88" s="498"/>
      <c r="CS88" s="498"/>
      <c r="CT88" s="498"/>
      <c r="CU88" s="498"/>
      <c r="CV88" s="498"/>
      <c r="CW88" s="498"/>
      <c r="CX88" s="498"/>
      <c r="CY88" s="498"/>
      <c r="CZ88" s="498"/>
      <c r="DA88" s="498"/>
      <c r="DB88" s="498"/>
      <c r="DC88" s="498"/>
      <c r="DD88" s="498"/>
      <c r="DE88" s="498"/>
      <c r="DF88" s="498"/>
      <c r="DG88" s="498"/>
      <c r="DH88" s="498"/>
      <c r="DI88" s="498"/>
      <c r="DJ88" s="498"/>
      <c r="DK88" s="498"/>
      <c r="DL88" s="498"/>
      <c r="DM88" s="498"/>
      <c r="DN88" s="498"/>
      <c r="DO88" s="498"/>
      <c r="DP88" s="498"/>
      <c r="DQ88" s="498"/>
      <c r="DR88" s="498"/>
      <c r="DS88" s="498"/>
      <c r="DT88" s="498"/>
      <c r="DU88" s="498"/>
      <c r="DV88" s="498"/>
      <c r="DW88" s="498"/>
      <c r="DX88" s="498"/>
      <c r="DY88" s="498"/>
      <c r="DZ88" s="498"/>
      <c r="EA88" s="498"/>
      <c r="EB88" s="498"/>
      <c r="EC88" s="498"/>
      <c r="ED88" s="498"/>
      <c r="EE88" s="498"/>
      <c r="EF88" s="498"/>
      <c r="EG88" s="498"/>
      <c r="EH88" s="498"/>
      <c r="EI88" s="498"/>
      <c r="EJ88" s="498"/>
      <c r="EK88" s="498"/>
      <c r="EL88" s="498"/>
      <c r="EM88" s="498"/>
      <c r="EN88" s="498"/>
      <c r="EO88" s="498"/>
      <c r="EP88" s="498"/>
      <c r="EQ88" s="498"/>
      <c r="ER88" s="498"/>
    </row>
    <row r="89" spans="1:151" ht="140.1" customHeight="1" x14ac:dyDescent="0.45">
      <c r="B89" s="65"/>
      <c r="C89" s="497">
        <v>4</v>
      </c>
      <c r="D89" s="497"/>
      <c r="E89" s="273" t="s">
        <v>167</v>
      </c>
      <c r="F89" s="273"/>
      <c r="G89" s="273"/>
      <c r="H89" s="273"/>
      <c r="I89" s="273"/>
      <c r="J89" s="273"/>
      <c r="K89" s="273"/>
      <c r="L89" s="273"/>
      <c r="M89" s="273"/>
      <c r="N89" s="273"/>
      <c r="O89" s="273"/>
      <c r="P89" s="273"/>
      <c r="Q89" s="273"/>
      <c r="R89" s="273"/>
      <c r="S89" s="273"/>
      <c r="T89" s="273"/>
      <c r="U89" s="273"/>
      <c r="V89" s="273"/>
      <c r="W89" s="273"/>
      <c r="X89" s="273"/>
      <c r="Y89" s="273"/>
      <c r="Z89" s="273"/>
      <c r="AA89" s="273"/>
      <c r="AB89" s="273"/>
      <c r="AC89" s="273"/>
      <c r="AD89" s="273"/>
      <c r="AE89" s="273"/>
      <c r="AF89" s="273"/>
      <c r="AG89" s="273"/>
      <c r="AH89" s="273"/>
      <c r="AI89" s="273"/>
      <c r="AJ89" s="273"/>
      <c r="AK89" s="273"/>
      <c r="AL89" s="273"/>
      <c r="AM89" s="273"/>
      <c r="AN89" s="273"/>
      <c r="AO89" s="273"/>
      <c r="AP89" s="273"/>
      <c r="AQ89" s="273"/>
      <c r="AR89" s="273"/>
      <c r="AS89" s="273"/>
      <c r="AT89" s="273"/>
      <c r="AU89" s="273"/>
      <c r="AV89" s="273"/>
      <c r="AW89" s="273"/>
      <c r="AX89" s="273"/>
      <c r="AY89" s="273"/>
      <c r="AZ89" s="273"/>
      <c r="BA89" s="273"/>
      <c r="BB89" s="273"/>
      <c r="BC89" s="273"/>
      <c r="BD89" s="273"/>
      <c r="BE89" s="273"/>
      <c r="BF89" s="273"/>
      <c r="BG89" s="273"/>
      <c r="BH89" s="273"/>
      <c r="BI89" s="273"/>
      <c r="BJ89" s="273"/>
      <c r="BK89" s="273"/>
      <c r="BL89" s="273"/>
      <c r="BM89" s="273"/>
      <c r="BN89" s="273"/>
      <c r="BO89" s="273"/>
      <c r="BP89" s="273"/>
      <c r="BQ89" s="273"/>
      <c r="BR89" s="273"/>
      <c r="BS89" s="273"/>
      <c r="BT89" s="273"/>
      <c r="BU89" s="273"/>
      <c r="BV89" s="273"/>
      <c r="BW89" s="273"/>
      <c r="BX89" s="273"/>
      <c r="BY89" s="273"/>
      <c r="BZ89" s="273"/>
      <c r="CA89" s="273"/>
      <c r="CB89" s="273"/>
      <c r="CC89" s="273"/>
      <c r="CD89" s="273"/>
      <c r="CE89" s="273"/>
      <c r="CF89" s="273"/>
      <c r="CG89" s="273"/>
      <c r="CH89" s="273"/>
      <c r="CI89" s="273"/>
      <c r="CJ89" s="273"/>
      <c r="CK89" s="273"/>
      <c r="CL89" s="273"/>
      <c r="CM89" s="273"/>
      <c r="CN89" s="273"/>
      <c r="CO89" s="273"/>
      <c r="CP89" s="273"/>
      <c r="CQ89" s="273"/>
      <c r="CR89" s="273"/>
      <c r="CS89" s="273"/>
      <c r="CT89" s="273"/>
      <c r="CU89" s="273"/>
      <c r="CV89" s="273"/>
      <c r="CW89" s="273"/>
      <c r="CX89" s="273"/>
      <c r="CY89" s="273"/>
      <c r="CZ89" s="273"/>
      <c r="DA89" s="273"/>
      <c r="DB89" s="273"/>
      <c r="DC89" s="273"/>
      <c r="DD89" s="273"/>
      <c r="DE89" s="273"/>
      <c r="DF89" s="273"/>
      <c r="DG89" s="273"/>
      <c r="DH89" s="273"/>
      <c r="DI89" s="273"/>
      <c r="DJ89" s="273"/>
      <c r="DK89" s="273"/>
      <c r="DL89" s="273"/>
      <c r="DM89" s="273"/>
      <c r="DN89" s="273"/>
      <c r="DO89" s="273"/>
      <c r="DP89" s="273"/>
      <c r="DQ89" s="273"/>
      <c r="DR89" s="273"/>
      <c r="DS89" s="273"/>
      <c r="DT89" s="273"/>
      <c r="DU89" s="273"/>
      <c r="DV89" s="273"/>
      <c r="DW89" s="273"/>
      <c r="DX89" s="273"/>
      <c r="DY89" s="273"/>
      <c r="DZ89" s="273"/>
      <c r="EA89" s="273"/>
      <c r="EB89" s="273"/>
      <c r="EC89" s="273"/>
      <c r="ED89" s="273"/>
      <c r="EE89" s="273"/>
      <c r="EF89" s="273"/>
      <c r="EG89" s="273"/>
      <c r="EH89" s="273"/>
      <c r="EI89" s="273"/>
      <c r="EJ89" s="273"/>
      <c r="EK89" s="273"/>
      <c r="EL89" s="273"/>
      <c r="EM89" s="273"/>
      <c r="EN89" s="273"/>
      <c r="EO89" s="273"/>
      <c r="EP89" s="273"/>
      <c r="EQ89" s="273"/>
      <c r="ER89" s="273"/>
    </row>
    <row r="90" spans="1:151" ht="140.1" customHeight="1" x14ac:dyDescent="0.45">
      <c r="B90" s="65"/>
      <c r="C90" s="497">
        <v>5</v>
      </c>
      <c r="D90" s="497"/>
      <c r="E90" s="273" t="s">
        <v>168</v>
      </c>
      <c r="F90" s="498"/>
      <c r="G90" s="498"/>
      <c r="H90" s="498"/>
      <c r="I90" s="498"/>
      <c r="J90" s="498"/>
      <c r="K90" s="498"/>
      <c r="L90" s="498"/>
      <c r="M90" s="498"/>
      <c r="N90" s="498"/>
      <c r="O90" s="498"/>
      <c r="P90" s="498"/>
      <c r="Q90" s="498"/>
      <c r="R90" s="498"/>
      <c r="S90" s="498"/>
      <c r="T90" s="498"/>
      <c r="U90" s="498"/>
      <c r="V90" s="498"/>
      <c r="W90" s="498"/>
      <c r="X90" s="498"/>
      <c r="Y90" s="498"/>
      <c r="Z90" s="498"/>
      <c r="AA90" s="498"/>
      <c r="AB90" s="498"/>
      <c r="AC90" s="498"/>
      <c r="AD90" s="498"/>
      <c r="AE90" s="498"/>
      <c r="AF90" s="498"/>
      <c r="AG90" s="498"/>
      <c r="AH90" s="498"/>
      <c r="AI90" s="498"/>
      <c r="AJ90" s="498"/>
      <c r="AK90" s="498"/>
      <c r="AL90" s="498"/>
      <c r="AM90" s="498"/>
      <c r="AN90" s="498"/>
      <c r="AO90" s="498"/>
      <c r="AP90" s="498"/>
      <c r="AQ90" s="498"/>
      <c r="AR90" s="498"/>
      <c r="AS90" s="498"/>
      <c r="AT90" s="498"/>
      <c r="AU90" s="498"/>
      <c r="AV90" s="498"/>
      <c r="AW90" s="498"/>
      <c r="AX90" s="498"/>
      <c r="AY90" s="498"/>
      <c r="AZ90" s="498"/>
      <c r="BA90" s="498"/>
      <c r="BB90" s="498"/>
      <c r="BC90" s="498"/>
      <c r="BD90" s="498"/>
      <c r="BE90" s="498"/>
      <c r="BF90" s="498"/>
      <c r="BG90" s="498"/>
      <c r="BH90" s="498"/>
      <c r="BI90" s="498"/>
      <c r="BJ90" s="498"/>
      <c r="BK90" s="498"/>
      <c r="BL90" s="498"/>
      <c r="BM90" s="498"/>
      <c r="BN90" s="498"/>
      <c r="BO90" s="498"/>
      <c r="BP90" s="498"/>
      <c r="BQ90" s="498"/>
      <c r="BR90" s="498"/>
      <c r="BS90" s="498"/>
      <c r="BT90" s="498"/>
      <c r="BU90" s="498"/>
      <c r="BV90" s="498"/>
      <c r="BW90" s="498"/>
      <c r="BX90" s="498"/>
      <c r="BY90" s="498"/>
      <c r="BZ90" s="498"/>
      <c r="CA90" s="498"/>
      <c r="CB90" s="498"/>
      <c r="CC90" s="498"/>
      <c r="CD90" s="498"/>
      <c r="CE90" s="498"/>
      <c r="CF90" s="498"/>
      <c r="CG90" s="498"/>
      <c r="CH90" s="498"/>
      <c r="CI90" s="498"/>
      <c r="CJ90" s="498"/>
      <c r="CK90" s="498"/>
      <c r="CL90" s="498"/>
      <c r="CM90" s="498"/>
      <c r="CN90" s="498"/>
      <c r="CO90" s="498"/>
      <c r="CP90" s="498"/>
      <c r="CQ90" s="498"/>
      <c r="CR90" s="498"/>
      <c r="CS90" s="498"/>
      <c r="CT90" s="498"/>
      <c r="CU90" s="498"/>
      <c r="CV90" s="498"/>
      <c r="CW90" s="498"/>
      <c r="CX90" s="498"/>
      <c r="CY90" s="498"/>
      <c r="CZ90" s="498"/>
      <c r="DA90" s="498"/>
      <c r="DB90" s="498"/>
      <c r="DC90" s="498"/>
      <c r="DD90" s="498"/>
      <c r="DE90" s="498"/>
      <c r="DF90" s="498"/>
      <c r="DG90" s="498"/>
      <c r="DH90" s="498"/>
      <c r="DI90" s="498"/>
      <c r="DJ90" s="498"/>
      <c r="DK90" s="498"/>
      <c r="DL90" s="498"/>
      <c r="DM90" s="498"/>
      <c r="DN90" s="498"/>
      <c r="DO90" s="498"/>
      <c r="DP90" s="498"/>
      <c r="DQ90" s="498"/>
      <c r="DR90" s="498"/>
      <c r="DS90" s="498"/>
      <c r="DT90" s="498"/>
      <c r="DU90" s="498"/>
      <c r="DV90" s="498"/>
      <c r="DW90" s="498"/>
      <c r="DX90" s="498"/>
      <c r="DY90" s="498"/>
      <c r="DZ90" s="498"/>
      <c r="EA90" s="498"/>
      <c r="EB90" s="498"/>
      <c r="EC90" s="498"/>
      <c r="ED90" s="498"/>
      <c r="EE90" s="498"/>
      <c r="EF90" s="498"/>
      <c r="EG90" s="498"/>
      <c r="EH90" s="498"/>
      <c r="EI90" s="498"/>
      <c r="EJ90" s="498"/>
      <c r="EK90" s="498"/>
      <c r="EL90" s="498"/>
      <c r="EM90" s="498"/>
      <c r="EN90" s="498"/>
      <c r="EO90" s="498"/>
      <c r="EP90" s="498"/>
      <c r="EQ90" s="498"/>
      <c r="ER90" s="498"/>
    </row>
    <row r="91" spans="1:151" ht="45" x14ac:dyDescent="0.45">
      <c r="B91" s="65"/>
      <c r="C91" s="65"/>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c r="AG91" s="64"/>
      <c r="AH91" s="64"/>
      <c r="AI91" s="64"/>
      <c r="AJ91" s="64"/>
      <c r="AK91" s="64"/>
      <c r="AL91" s="64"/>
      <c r="AM91" s="64"/>
      <c r="AN91" s="64"/>
      <c r="AO91" s="64"/>
      <c r="AP91" s="64"/>
      <c r="AQ91" s="64"/>
      <c r="AR91" s="64"/>
      <c r="AS91" s="64"/>
      <c r="AT91" s="64"/>
      <c r="AU91" s="64"/>
      <c r="AV91" s="64"/>
      <c r="AW91" s="64"/>
      <c r="AX91" s="64"/>
      <c r="AY91" s="64"/>
      <c r="AZ91" s="64"/>
      <c r="BA91" s="64"/>
      <c r="BB91" s="64"/>
      <c r="BC91" s="64"/>
      <c r="BD91" s="64"/>
      <c r="BE91" s="64"/>
      <c r="BF91" s="64"/>
      <c r="BG91" s="64"/>
      <c r="BH91" s="64"/>
      <c r="BI91" s="64"/>
      <c r="BJ91" s="64"/>
      <c r="BK91" s="64"/>
      <c r="BL91" s="64"/>
      <c r="BM91" s="64"/>
      <c r="BN91" s="64"/>
      <c r="BO91" s="64"/>
      <c r="BP91" s="64"/>
      <c r="BQ91" s="64"/>
      <c r="BR91" s="64"/>
      <c r="BS91" s="64"/>
      <c r="BT91" s="64"/>
      <c r="BU91" s="64"/>
      <c r="BV91" s="64"/>
      <c r="BW91" s="64"/>
      <c r="BX91" s="64"/>
      <c r="BY91" s="64"/>
      <c r="BZ91" s="64"/>
      <c r="CA91" s="64"/>
      <c r="CB91" s="64"/>
      <c r="CC91" s="64"/>
      <c r="CD91" s="64"/>
      <c r="CE91" s="64"/>
      <c r="CF91" s="64"/>
      <c r="CG91" s="64"/>
      <c r="CH91" s="64"/>
      <c r="CI91" s="64"/>
      <c r="CJ91" s="64"/>
      <c r="CK91" s="64"/>
      <c r="CL91" s="64"/>
      <c r="CM91" s="64"/>
      <c r="CN91" s="64"/>
      <c r="CO91" s="64"/>
      <c r="CP91" s="64"/>
      <c r="CQ91" s="64"/>
      <c r="CR91" s="64"/>
      <c r="CS91" s="64"/>
      <c r="CT91" s="64"/>
      <c r="CU91" s="64"/>
      <c r="CV91" s="64"/>
      <c r="CW91" s="64"/>
      <c r="CX91" s="64"/>
      <c r="CY91" s="64"/>
      <c r="CZ91" s="64"/>
      <c r="DA91" s="64"/>
      <c r="DB91" s="64"/>
      <c r="DC91" s="64"/>
      <c r="DD91" s="64"/>
      <c r="DE91" s="64"/>
      <c r="DF91" s="64"/>
      <c r="DG91" s="64"/>
      <c r="DH91" s="64"/>
      <c r="DI91" s="64"/>
      <c r="DJ91" s="64"/>
      <c r="DK91" s="64"/>
      <c r="DL91" s="64"/>
      <c r="DM91" s="64"/>
      <c r="DN91" s="64"/>
      <c r="DO91" s="64"/>
      <c r="DP91" s="64"/>
      <c r="DQ91" s="64"/>
      <c r="DR91" s="64"/>
      <c r="DS91" s="64"/>
      <c r="DT91" s="64"/>
      <c r="DU91" s="64"/>
      <c r="DV91" s="64"/>
      <c r="DW91" s="64"/>
      <c r="DX91" s="64"/>
      <c r="DY91" s="64"/>
      <c r="DZ91" s="64"/>
      <c r="EA91" s="64"/>
      <c r="EB91" s="64"/>
      <c r="EC91" s="64"/>
      <c r="ED91" s="64"/>
      <c r="EE91" s="64"/>
      <c r="EF91" s="64"/>
      <c r="EG91" s="64"/>
      <c r="EH91" s="64"/>
      <c r="EI91" s="64"/>
      <c r="EJ91" s="64"/>
      <c r="EK91" s="64"/>
      <c r="EL91" s="64"/>
      <c r="EM91" s="64"/>
      <c r="EN91" s="64"/>
      <c r="EO91" s="64"/>
      <c r="EP91" s="64"/>
      <c r="EQ91" s="64"/>
      <c r="ER91" s="64"/>
    </row>
    <row r="92" spans="1:151" ht="120" customHeight="1" x14ac:dyDescent="0.45">
      <c r="B92" s="65"/>
      <c r="C92" s="65"/>
      <c r="D92" s="294" t="s">
        <v>87</v>
      </c>
      <c r="E92" s="295"/>
      <c r="F92" s="295"/>
      <c r="G92" s="295"/>
      <c r="H92" s="295"/>
      <c r="I92" s="295"/>
      <c r="J92" s="295"/>
      <c r="K92" s="295"/>
      <c r="L92" s="295"/>
      <c r="M92" s="295"/>
      <c r="N92" s="295"/>
      <c r="O92" s="295"/>
      <c r="P92" s="295"/>
      <c r="Q92" s="295"/>
      <c r="R92" s="295"/>
      <c r="S92" s="295"/>
      <c r="T92" s="295"/>
      <c r="U92" s="295"/>
      <c r="V92" s="295"/>
      <c r="W92" s="295"/>
      <c r="X92" s="295"/>
      <c r="Y92" s="295"/>
      <c r="Z92" s="295"/>
      <c r="AA92" s="295"/>
      <c r="AB92" s="295"/>
      <c r="AC92" s="295"/>
      <c r="AD92" s="295"/>
      <c r="AE92" s="295"/>
      <c r="AF92" s="295"/>
      <c r="AG92" s="296"/>
      <c r="AH92" s="294" t="s">
        <v>88</v>
      </c>
      <c r="AI92" s="295"/>
      <c r="AJ92" s="295"/>
      <c r="AK92" s="295"/>
      <c r="AL92" s="295"/>
      <c r="AM92" s="295"/>
      <c r="AN92" s="295"/>
      <c r="AO92" s="295"/>
      <c r="AP92" s="296"/>
      <c r="AQ92" s="294" t="s">
        <v>31</v>
      </c>
      <c r="AR92" s="295"/>
      <c r="AS92" s="295"/>
      <c r="AT92" s="295"/>
      <c r="AU92" s="295"/>
      <c r="AV92" s="295"/>
      <c r="AW92" s="295"/>
      <c r="AX92" s="295"/>
      <c r="AY92" s="295"/>
      <c r="AZ92" s="296"/>
      <c r="BA92" s="294" t="s">
        <v>89</v>
      </c>
      <c r="BB92" s="295"/>
      <c r="BC92" s="295"/>
      <c r="BD92" s="295"/>
      <c r="BE92" s="295"/>
      <c r="BF92" s="295"/>
      <c r="BG92" s="295"/>
      <c r="BH92" s="295"/>
      <c r="BI92" s="295"/>
      <c r="BJ92" s="295"/>
      <c r="BK92" s="295"/>
      <c r="BL92" s="295"/>
      <c r="BM92" s="295"/>
      <c r="BN92" s="295"/>
      <c r="BO92" s="295"/>
      <c r="BP92" s="295"/>
      <c r="BQ92" s="295"/>
      <c r="BR92" s="295"/>
      <c r="BS92" s="295"/>
      <c r="BT92" s="295"/>
      <c r="BU92" s="295"/>
      <c r="BV92" s="295"/>
      <c r="BW92" s="295"/>
      <c r="BX92" s="295"/>
      <c r="BY92" s="295"/>
      <c r="BZ92" s="295"/>
      <c r="CA92" s="295"/>
      <c r="CB92" s="295"/>
      <c r="CC92" s="295"/>
      <c r="CD92" s="295"/>
      <c r="CE92" s="295"/>
      <c r="CF92" s="295"/>
      <c r="CG92" s="295"/>
      <c r="CH92" s="296"/>
      <c r="CI92" s="64"/>
      <c r="CJ92" s="64"/>
      <c r="CK92" s="64"/>
      <c r="CL92" s="64"/>
      <c r="CM92" s="64"/>
      <c r="CN92" s="64"/>
      <c r="CO92" s="64"/>
      <c r="CP92" s="64"/>
      <c r="CQ92" s="64"/>
      <c r="CR92" s="64"/>
      <c r="CS92" s="64"/>
      <c r="CT92" s="64"/>
      <c r="CU92" s="64"/>
      <c r="CV92" s="64"/>
      <c r="CW92" s="64"/>
      <c r="CX92" s="64"/>
      <c r="CY92" s="64"/>
      <c r="CZ92" s="64"/>
      <c r="DA92" s="64"/>
      <c r="DB92" s="64"/>
      <c r="DC92" s="64"/>
      <c r="DD92" s="64"/>
      <c r="DE92" s="64"/>
      <c r="DF92" s="64"/>
      <c r="DG92" s="64"/>
      <c r="DH92" s="64"/>
      <c r="DI92" s="499"/>
      <c r="DJ92" s="499"/>
      <c r="DK92" s="499"/>
      <c r="DL92" s="499"/>
      <c r="DM92" s="499"/>
      <c r="DN92" s="499"/>
      <c r="DO92" s="499"/>
      <c r="DP92" s="499"/>
      <c r="DQ92" s="499"/>
      <c r="DR92" s="499"/>
      <c r="DS92" s="499"/>
      <c r="DT92" s="499"/>
      <c r="DU92" s="499"/>
      <c r="DV92" s="499"/>
      <c r="DW92" s="499"/>
      <c r="DX92" s="499"/>
      <c r="DY92" s="499"/>
      <c r="DZ92" s="499"/>
      <c r="EA92" s="499"/>
      <c r="EB92" s="499"/>
      <c r="EC92" s="499"/>
      <c r="ED92" s="499"/>
      <c r="EE92" s="499"/>
      <c r="EF92" s="499"/>
      <c r="EG92" s="499"/>
      <c r="EH92" s="499"/>
      <c r="EI92" s="499"/>
      <c r="EJ92" s="499"/>
      <c r="EK92" s="499"/>
      <c r="EL92" s="499"/>
      <c r="EM92" s="499"/>
      <c r="EN92" s="64"/>
      <c r="EO92" s="64"/>
      <c r="EP92" s="64"/>
      <c r="EQ92" s="64"/>
      <c r="ER92" s="64"/>
    </row>
    <row r="93" spans="1:151" ht="120" customHeight="1" x14ac:dyDescent="0.45">
      <c r="B93" s="65"/>
      <c r="C93" s="65"/>
      <c r="D93" s="239" t="s">
        <v>19</v>
      </c>
      <c r="E93" s="240"/>
      <c r="F93" s="240"/>
      <c r="G93" s="240"/>
      <c r="H93" s="240"/>
      <c r="I93" s="240"/>
      <c r="J93" s="240"/>
      <c r="K93" s="240"/>
      <c r="L93" s="240"/>
      <c r="M93" s="240"/>
      <c r="N93" s="240"/>
      <c r="O93" s="240"/>
      <c r="P93" s="240"/>
      <c r="Q93" s="240"/>
      <c r="R93" s="240"/>
      <c r="S93" s="240"/>
      <c r="T93" s="240"/>
      <c r="U93" s="240"/>
      <c r="V93" s="240"/>
      <c r="W93" s="240"/>
      <c r="X93" s="240"/>
      <c r="Y93" s="240"/>
      <c r="Z93" s="240"/>
      <c r="AA93" s="240"/>
      <c r="AB93" s="240"/>
      <c r="AC93" s="240"/>
      <c r="AD93" s="240"/>
      <c r="AE93" s="240"/>
      <c r="AF93" s="240"/>
      <c r="AG93" s="241"/>
      <c r="AH93" s="242">
        <f>DO23</f>
        <v>0</v>
      </c>
      <c r="AI93" s="243"/>
      <c r="AJ93" s="243"/>
      <c r="AK93" s="243"/>
      <c r="AL93" s="243"/>
      <c r="AM93" s="243"/>
      <c r="AN93" s="243"/>
      <c r="AO93" s="243"/>
      <c r="AP93" s="244"/>
      <c r="AQ93" s="245" t="s">
        <v>188</v>
      </c>
      <c r="AR93" s="246"/>
      <c r="AS93" s="246"/>
      <c r="AT93" s="246"/>
      <c r="AU93" s="246"/>
      <c r="AV93" s="246"/>
      <c r="AW93" s="246"/>
      <c r="AX93" s="246"/>
      <c r="AY93" s="246"/>
      <c r="AZ93" s="247"/>
      <c r="BA93" s="540" t="s">
        <v>90</v>
      </c>
      <c r="BB93" s="541"/>
      <c r="BC93" s="541"/>
      <c r="BD93" s="541"/>
      <c r="BE93" s="541"/>
      <c r="BF93" s="541"/>
      <c r="BG93" s="541"/>
      <c r="BH93" s="541"/>
      <c r="BI93" s="541"/>
      <c r="BJ93" s="541"/>
      <c r="BK93" s="541"/>
      <c r="BL93" s="541"/>
      <c r="BM93" s="541"/>
      <c r="BN93" s="541"/>
      <c r="BO93" s="541"/>
      <c r="BP93" s="541"/>
      <c r="BQ93" s="541"/>
      <c r="BR93" s="541"/>
      <c r="BS93" s="541"/>
      <c r="BT93" s="541"/>
      <c r="BU93" s="541"/>
      <c r="BV93" s="541"/>
      <c r="BW93" s="541"/>
      <c r="BX93" s="541"/>
      <c r="BY93" s="541"/>
      <c r="BZ93" s="541"/>
      <c r="CA93" s="541"/>
      <c r="CB93" s="541"/>
      <c r="CC93" s="541"/>
      <c r="CD93" s="541"/>
      <c r="CE93" s="541"/>
      <c r="CF93" s="541"/>
      <c r="CG93" s="541"/>
      <c r="CH93" s="542"/>
      <c r="CI93" s="64"/>
      <c r="CJ93" s="64"/>
      <c r="CK93" s="64"/>
      <c r="CL93" s="549" t="s">
        <v>256</v>
      </c>
      <c r="CM93" s="549"/>
      <c r="CN93" s="549"/>
      <c r="CO93" s="549"/>
      <c r="CP93" s="549"/>
      <c r="CQ93" s="549"/>
      <c r="CR93" s="549"/>
      <c r="CS93" s="549"/>
      <c r="CT93" s="549"/>
      <c r="CU93" s="549"/>
      <c r="CV93" s="549"/>
      <c r="CW93" s="549"/>
      <c r="CX93" s="549"/>
      <c r="CY93" s="549"/>
      <c r="CZ93" s="549"/>
      <c r="DA93" s="549"/>
      <c r="DB93" s="549"/>
      <c r="DC93" s="549"/>
      <c r="DD93" s="549"/>
      <c r="DE93" s="549"/>
      <c r="DF93" s="549"/>
      <c r="DG93" s="549"/>
      <c r="DH93" s="549"/>
      <c r="DI93" s="549"/>
      <c r="DJ93" s="549"/>
      <c r="DK93" s="549"/>
      <c r="DL93" s="549"/>
      <c r="DM93" s="549"/>
      <c r="DN93" s="549"/>
      <c r="DO93" s="549"/>
      <c r="DP93" s="549"/>
      <c r="DQ93" s="549"/>
      <c r="DR93" s="549"/>
      <c r="DS93" s="549"/>
      <c r="DT93" s="549"/>
      <c r="DU93" s="549"/>
      <c r="DV93" s="549"/>
      <c r="DW93" s="549"/>
      <c r="DX93" s="549"/>
      <c r="DY93" s="549"/>
      <c r="DZ93" s="549"/>
      <c r="EA93" s="549"/>
      <c r="EB93" s="549"/>
      <c r="EC93" s="549"/>
      <c r="ED93" s="549"/>
      <c r="EE93" s="549"/>
      <c r="EF93" s="549"/>
      <c r="EG93" s="549"/>
      <c r="EH93" s="549"/>
      <c r="EI93" s="549"/>
      <c r="EJ93" s="102"/>
      <c r="EK93" s="102"/>
      <c r="EL93" s="102"/>
      <c r="EM93" s="102"/>
      <c r="EN93" s="102"/>
      <c r="EO93" s="102"/>
      <c r="EP93" s="64"/>
      <c r="EQ93" s="64"/>
      <c r="ER93" s="64"/>
    </row>
    <row r="94" spans="1:151" ht="120" customHeight="1" x14ac:dyDescent="0.45">
      <c r="B94" s="65"/>
      <c r="C94" s="65"/>
      <c r="D94" s="239" t="s">
        <v>14</v>
      </c>
      <c r="E94" s="240"/>
      <c r="F94" s="240"/>
      <c r="G94" s="240"/>
      <c r="H94" s="240"/>
      <c r="I94" s="240"/>
      <c r="J94" s="240"/>
      <c r="K94" s="240"/>
      <c r="L94" s="240"/>
      <c r="M94" s="240"/>
      <c r="N94" s="240"/>
      <c r="O94" s="240"/>
      <c r="P94" s="240"/>
      <c r="Q94" s="240"/>
      <c r="R94" s="240"/>
      <c r="S94" s="240"/>
      <c r="T94" s="240"/>
      <c r="U94" s="240"/>
      <c r="V94" s="240"/>
      <c r="W94" s="240"/>
      <c r="X94" s="240"/>
      <c r="Y94" s="240"/>
      <c r="Z94" s="240"/>
      <c r="AA94" s="240"/>
      <c r="AB94" s="240"/>
      <c r="AC94" s="240"/>
      <c r="AD94" s="240"/>
      <c r="AE94" s="240"/>
      <c r="AF94" s="240"/>
      <c r="AG94" s="241"/>
      <c r="AH94" s="242">
        <f>DR23</f>
        <v>0</v>
      </c>
      <c r="AI94" s="243"/>
      <c r="AJ94" s="243"/>
      <c r="AK94" s="243"/>
      <c r="AL94" s="243"/>
      <c r="AM94" s="243"/>
      <c r="AN94" s="243"/>
      <c r="AO94" s="243"/>
      <c r="AP94" s="244"/>
      <c r="AQ94" s="245" t="s">
        <v>188</v>
      </c>
      <c r="AR94" s="246"/>
      <c r="AS94" s="246"/>
      <c r="AT94" s="246"/>
      <c r="AU94" s="246"/>
      <c r="AV94" s="246"/>
      <c r="AW94" s="246"/>
      <c r="AX94" s="246"/>
      <c r="AY94" s="246"/>
      <c r="AZ94" s="247"/>
      <c r="BA94" s="543"/>
      <c r="BB94" s="544"/>
      <c r="BC94" s="544"/>
      <c r="BD94" s="544"/>
      <c r="BE94" s="544"/>
      <c r="BF94" s="544"/>
      <c r="BG94" s="544"/>
      <c r="BH94" s="544"/>
      <c r="BI94" s="544"/>
      <c r="BJ94" s="544"/>
      <c r="BK94" s="544"/>
      <c r="BL94" s="544"/>
      <c r="BM94" s="544"/>
      <c r="BN94" s="544"/>
      <c r="BO94" s="544"/>
      <c r="BP94" s="544"/>
      <c r="BQ94" s="544"/>
      <c r="BR94" s="544"/>
      <c r="BS94" s="544"/>
      <c r="BT94" s="544"/>
      <c r="BU94" s="544"/>
      <c r="BV94" s="544"/>
      <c r="BW94" s="544"/>
      <c r="BX94" s="544"/>
      <c r="BY94" s="544"/>
      <c r="BZ94" s="544"/>
      <c r="CA94" s="544"/>
      <c r="CB94" s="544"/>
      <c r="CC94" s="544"/>
      <c r="CD94" s="544"/>
      <c r="CE94" s="544"/>
      <c r="CF94" s="544"/>
      <c r="CG94" s="544"/>
      <c r="CH94" s="545"/>
      <c r="CI94" s="64"/>
      <c r="CJ94" s="64"/>
      <c r="CK94" s="64"/>
      <c r="CL94" s="549"/>
      <c r="CM94" s="549"/>
      <c r="CN94" s="549"/>
      <c r="CO94" s="549"/>
      <c r="CP94" s="549"/>
      <c r="CQ94" s="549"/>
      <c r="CR94" s="549"/>
      <c r="CS94" s="549"/>
      <c r="CT94" s="549"/>
      <c r="CU94" s="549"/>
      <c r="CV94" s="549"/>
      <c r="CW94" s="549"/>
      <c r="CX94" s="549"/>
      <c r="CY94" s="549"/>
      <c r="CZ94" s="549"/>
      <c r="DA94" s="549"/>
      <c r="DB94" s="549"/>
      <c r="DC94" s="549"/>
      <c r="DD94" s="549"/>
      <c r="DE94" s="549"/>
      <c r="DF94" s="549"/>
      <c r="DG94" s="549"/>
      <c r="DH94" s="549"/>
      <c r="DI94" s="549"/>
      <c r="DJ94" s="549"/>
      <c r="DK94" s="549"/>
      <c r="DL94" s="549"/>
      <c r="DM94" s="549"/>
      <c r="DN94" s="549"/>
      <c r="DO94" s="549"/>
      <c r="DP94" s="549"/>
      <c r="DQ94" s="549"/>
      <c r="DR94" s="549"/>
      <c r="DS94" s="549"/>
      <c r="DT94" s="549"/>
      <c r="DU94" s="549"/>
      <c r="DV94" s="549"/>
      <c r="DW94" s="549"/>
      <c r="DX94" s="549"/>
      <c r="DY94" s="549"/>
      <c r="DZ94" s="549"/>
      <c r="EA94" s="549"/>
      <c r="EB94" s="549"/>
      <c r="EC94" s="549"/>
      <c r="ED94" s="549"/>
      <c r="EE94" s="549"/>
      <c r="EF94" s="549"/>
      <c r="EG94" s="549"/>
      <c r="EH94" s="549"/>
      <c r="EI94" s="549"/>
      <c r="EJ94" s="102"/>
      <c r="EK94" s="102"/>
      <c r="EL94" s="102"/>
      <c r="EM94" s="102"/>
      <c r="EN94" s="102"/>
      <c r="EO94" s="64"/>
      <c r="EP94" s="64"/>
      <c r="EQ94" s="64"/>
      <c r="ER94" s="64"/>
    </row>
    <row r="95" spans="1:151" ht="120" customHeight="1" x14ac:dyDescent="0.2">
      <c r="B95" s="7"/>
      <c r="C95" s="7"/>
      <c r="D95" s="239" t="s">
        <v>165</v>
      </c>
      <c r="E95" s="240"/>
      <c r="F95" s="240"/>
      <c r="G95" s="240"/>
      <c r="H95" s="240"/>
      <c r="I95" s="240"/>
      <c r="J95" s="240"/>
      <c r="K95" s="240"/>
      <c r="L95" s="240"/>
      <c r="M95" s="240"/>
      <c r="N95" s="240"/>
      <c r="O95" s="240"/>
      <c r="P95" s="240"/>
      <c r="Q95" s="240"/>
      <c r="R95" s="240"/>
      <c r="S95" s="240"/>
      <c r="T95" s="240"/>
      <c r="U95" s="240"/>
      <c r="V95" s="240"/>
      <c r="W95" s="240"/>
      <c r="X95" s="240"/>
      <c r="Y95" s="240"/>
      <c r="Z95" s="240"/>
      <c r="AA95" s="240"/>
      <c r="AB95" s="240"/>
      <c r="AC95" s="240"/>
      <c r="AD95" s="240"/>
      <c r="AE95" s="240"/>
      <c r="AF95" s="240"/>
      <c r="AG95" s="241"/>
      <c r="AH95" s="242">
        <f>DX23</f>
        <v>0</v>
      </c>
      <c r="AI95" s="243"/>
      <c r="AJ95" s="243"/>
      <c r="AK95" s="243"/>
      <c r="AL95" s="243"/>
      <c r="AM95" s="243"/>
      <c r="AN95" s="243"/>
      <c r="AO95" s="243"/>
      <c r="AP95" s="244"/>
      <c r="AQ95" s="245" t="s">
        <v>189</v>
      </c>
      <c r="AR95" s="246"/>
      <c r="AS95" s="246"/>
      <c r="AT95" s="246"/>
      <c r="AU95" s="246"/>
      <c r="AV95" s="246"/>
      <c r="AW95" s="246"/>
      <c r="AX95" s="246"/>
      <c r="AY95" s="246"/>
      <c r="AZ95" s="247"/>
      <c r="BA95" s="543"/>
      <c r="BB95" s="544"/>
      <c r="BC95" s="544"/>
      <c r="BD95" s="544"/>
      <c r="BE95" s="544"/>
      <c r="BF95" s="544"/>
      <c r="BG95" s="544"/>
      <c r="BH95" s="544"/>
      <c r="BI95" s="544"/>
      <c r="BJ95" s="544"/>
      <c r="BK95" s="544"/>
      <c r="BL95" s="544"/>
      <c r="BM95" s="544"/>
      <c r="BN95" s="544"/>
      <c r="BO95" s="544"/>
      <c r="BP95" s="544"/>
      <c r="BQ95" s="544"/>
      <c r="BR95" s="544"/>
      <c r="BS95" s="544"/>
      <c r="BT95" s="544"/>
      <c r="BU95" s="544"/>
      <c r="BV95" s="544"/>
      <c r="BW95" s="544"/>
      <c r="BX95" s="544"/>
      <c r="BY95" s="544"/>
      <c r="BZ95" s="544"/>
      <c r="CA95" s="544"/>
      <c r="CB95" s="544"/>
      <c r="CC95" s="544"/>
      <c r="CD95" s="544"/>
      <c r="CE95" s="544"/>
      <c r="CF95" s="544"/>
      <c r="CG95" s="544"/>
      <c r="CH95" s="545"/>
      <c r="CI95" s="64"/>
      <c r="CJ95" s="64"/>
      <c r="CK95" s="64"/>
      <c r="CL95" s="549"/>
      <c r="CM95" s="549"/>
      <c r="CN95" s="549"/>
      <c r="CO95" s="549"/>
      <c r="CP95" s="549"/>
      <c r="CQ95" s="549"/>
      <c r="CR95" s="549"/>
      <c r="CS95" s="549"/>
      <c r="CT95" s="549"/>
      <c r="CU95" s="549"/>
      <c r="CV95" s="549"/>
      <c r="CW95" s="549"/>
      <c r="CX95" s="549"/>
      <c r="CY95" s="549"/>
      <c r="CZ95" s="549"/>
      <c r="DA95" s="549"/>
      <c r="DB95" s="549"/>
      <c r="DC95" s="549"/>
      <c r="DD95" s="549"/>
      <c r="DE95" s="549"/>
      <c r="DF95" s="549"/>
      <c r="DG95" s="549"/>
      <c r="DH95" s="549"/>
      <c r="DI95" s="549"/>
      <c r="DJ95" s="549"/>
      <c r="DK95" s="549"/>
      <c r="DL95" s="549"/>
      <c r="DM95" s="549"/>
      <c r="DN95" s="549"/>
      <c r="DO95" s="549"/>
      <c r="DP95" s="549"/>
      <c r="DQ95" s="549"/>
      <c r="DR95" s="549"/>
      <c r="DS95" s="549"/>
      <c r="DT95" s="549"/>
      <c r="DU95" s="549"/>
      <c r="DV95" s="549"/>
      <c r="DW95" s="549"/>
      <c r="DX95" s="549"/>
      <c r="DY95" s="549"/>
      <c r="DZ95" s="549"/>
      <c r="EA95" s="549"/>
      <c r="EB95" s="549"/>
      <c r="EC95" s="549"/>
      <c r="ED95" s="549"/>
      <c r="EE95" s="549"/>
      <c r="EF95" s="549"/>
      <c r="EG95" s="549"/>
      <c r="EH95" s="549"/>
      <c r="EI95" s="549"/>
      <c r="EJ95" s="64"/>
      <c r="EK95" s="64"/>
      <c r="EL95" s="64"/>
      <c r="EM95" s="64"/>
      <c r="EN95" s="64"/>
      <c r="EO95" s="64"/>
      <c r="EP95" s="64"/>
      <c r="EQ95" s="64"/>
      <c r="ER95" s="64"/>
    </row>
    <row r="96" spans="1:151" ht="120" customHeight="1" x14ac:dyDescent="0.2">
      <c r="B96" s="66"/>
      <c r="C96" s="66"/>
      <c r="D96" s="239" t="s">
        <v>15</v>
      </c>
      <c r="E96" s="240"/>
      <c r="F96" s="240"/>
      <c r="G96" s="240"/>
      <c r="H96" s="240"/>
      <c r="I96" s="240"/>
      <c r="J96" s="240"/>
      <c r="K96" s="240"/>
      <c r="L96" s="240"/>
      <c r="M96" s="240"/>
      <c r="N96" s="240"/>
      <c r="O96" s="240"/>
      <c r="P96" s="240"/>
      <c r="Q96" s="240"/>
      <c r="R96" s="240"/>
      <c r="S96" s="240"/>
      <c r="T96" s="240"/>
      <c r="U96" s="240"/>
      <c r="V96" s="240"/>
      <c r="W96" s="240"/>
      <c r="X96" s="240"/>
      <c r="Y96" s="240"/>
      <c r="Z96" s="240"/>
      <c r="AA96" s="240"/>
      <c r="AB96" s="240"/>
      <c r="AC96" s="240"/>
      <c r="AD96" s="240"/>
      <c r="AE96" s="240"/>
      <c r="AF96" s="240"/>
      <c r="AG96" s="241"/>
      <c r="AH96" s="242">
        <f>EA23</f>
        <v>0</v>
      </c>
      <c r="AI96" s="243"/>
      <c r="AJ96" s="243"/>
      <c r="AK96" s="243"/>
      <c r="AL96" s="243"/>
      <c r="AM96" s="243"/>
      <c r="AN96" s="243"/>
      <c r="AO96" s="243"/>
      <c r="AP96" s="244"/>
      <c r="AQ96" s="245" t="s">
        <v>190</v>
      </c>
      <c r="AR96" s="246"/>
      <c r="AS96" s="246"/>
      <c r="AT96" s="246"/>
      <c r="AU96" s="246"/>
      <c r="AV96" s="246"/>
      <c r="AW96" s="246"/>
      <c r="AX96" s="246"/>
      <c r="AY96" s="246"/>
      <c r="AZ96" s="247"/>
      <c r="BA96" s="543"/>
      <c r="BB96" s="544"/>
      <c r="BC96" s="544"/>
      <c r="BD96" s="544"/>
      <c r="BE96" s="544"/>
      <c r="BF96" s="544"/>
      <c r="BG96" s="544"/>
      <c r="BH96" s="544"/>
      <c r="BI96" s="544"/>
      <c r="BJ96" s="544"/>
      <c r="BK96" s="544"/>
      <c r="BL96" s="544"/>
      <c r="BM96" s="544"/>
      <c r="BN96" s="544"/>
      <c r="BO96" s="544"/>
      <c r="BP96" s="544"/>
      <c r="BQ96" s="544"/>
      <c r="BR96" s="544"/>
      <c r="BS96" s="544"/>
      <c r="BT96" s="544"/>
      <c r="BU96" s="544"/>
      <c r="BV96" s="544"/>
      <c r="BW96" s="544"/>
      <c r="BX96" s="544"/>
      <c r="BY96" s="544"/>
      <c r="BZ96" s="544"/>
      <c r="CA96" s="544"/>
      <c r="CB96" s="544"/>
      <c r="CC96" s="544"/>
      <c r="CD96" s="544"/>
      <c r="CE96" s="544"/>
      <c r="CF96" s="544"/>
      <c r="CG96" s="544"/>
      <c r="CH96" s="545"/>
      <c r="CI96" s="64"/>
      <c r="CJ96" s="64"/>
      <c r="CK96" s="64"/>
      <c r="CL96" s="549"/>
      <c r="CM96" s="549"/>
      <c r="CN96" s="549"/>
      <c r="CO96" s="549"/>
      <c r="CP96" s="549"/>
      <c r="CQ96" s="549"/>
      <c r="CR96" s="549"/>
      <c r="CS96" s="549"/>
      <c r="CT96" s="549"/>
      <c r="CU96" s="549"/>
      <c r="CV96" s="549"/>
      <c r="CW96" s="549"/>
      <c r="CX96" s="549"/>
      <c r="CY96" s="549"/>
      <c r="CZ96" s="549"/>
      <c r="DA96" s="549"/>
      <c r="DB96" s="549"/>
      <c r="DC96" s="549"/>
      <c r="DD96" s="549"/>
      <c r="DE96" s="549"/>
      <c r="DF96" s="549"/>
      <c r="DG96" s="549"/>
      <c r="DH96" s="549"/>
      <c r="DI96" s="549"/>
      <c r="DJ96" s="549"/>
      <c r="DK96" s="549"/>
      <c r="DL96" s="549"/>
      <c r="DM96" s="549"/>
      <c r="DN96" s="549"/>
      <c r="DO96" s="549"/>
      <c r="DP96" s="549"/>
      <c r="DQ96" s="549"/>
      <c r="DR96" s="549"/>
      <c r="DS96" s="549"/>
      <c r="DT96" s="549"/>
      <c r="DU96" s="549"/>
      <c r="DV96" s="549"/>
      <c r="DW96" s="549"/>
      <c r="DX96" s="549"/>
      <c r="DY96" s="549"/>
      <c r="DZ96" s="549"/>
      <c r="EA96" s="549"/>
      <c r="EB96" s="549"/>
      <c r="EC96" s="549"/>
      <c r="ED96" s="549"/>
      <c r="EE96" s="549"/>
      <c r="EF96" s="549"/>
      <c r="EG96" s="549"/>
      <c r="EH96" s="549"/>
      <c r="EI96" s="549"/>
      <c r="EJ96" s="64"/>
      <c r="EK96" s="64"/>
      <c r="EL96" s="64"/>
      <c r="EM96" s="64"/>
      <c r="EN96" s="64"/>
      <c r="EO96" s="64"/>
      <c r="EP96" s="64"/>
      <c r="EQ96" s="64"/>
      <c r="ER96" s="64"/>
    </row>
    <row r="97" spans="2:148" ht="120" customHeight="1" x14ac:dyDescent="0.2">
      <c r="B97" s="67"/>
      <c r="C97" s="67"/>
      <c r="D97" s="239" t="s">
        <v>170</v>
      </c>
      <c r="E97" s="240"/>
      <c r="F97" s="240"/>
      <c r="G97" s="240"/>
      <c r="H97" s="240"/>
      <c r="I97" s="240"/>
      <c r="J97" s="240"/>
      <c r="K97" s="240"/>
      <c r="L97" s="240"/>
      <c r="M97" s="240"/>
      <c r="N97" s="240"/>
      <c r="O97" s="240"/>
      <c r="P97" s="240"/>
      <c r="Q97" s="240"/>
      <c r="R97" s="240"/>
      <c r="S97" s="240"/>
      <c r="T97" s="240"/>
      <c r="U97" s="240"/>
      <c r="V97" s="240"/>
      <c r="W97" s="240"/>
      <c r="X97" s="240"/>
      <c r="Y97" s="240"/>
      <c r="Z97" s="240"/>
      <c r="AA97" s="240"/>
      <c r="AB97" s="240"/>
      <c r="AC97" s="240"/>
      <c r="AD97" s="240"/>
      <c r="AE97" s="240"/>
      <c r="AF97" s="240"/>
      <c r="AG97" s="241"/>
      <c r="AH97" s="242">
        <f>DU23</f>
        <v>0</v>
      </c>
      <c r="AI97" s="243"/>
      <c r="AJ97" s="243"/>
      <c r="AK97" s="243"/>
      <c r="AL97" s="243"/>
      <c r="AM97" s="243"/>
      <c r="AN97" s="243"/>
      <c r="AO97" s="243"/>
      <c r="AP97" s="244"/>
      <c r="AQ97" s="245" t="s">
        <v>191</v>
      </c>
      <c r="AR97" s="246"/>
      <c r="AS97" s="246"/>
      <c r="AT97" s="246"/>
      <c r="AU97" s="246"/>
      <c r="AV97" s="246"/>
      <c r="AW97" s="246"/>
      <c r="AX97" s="246"/>
      <c r="AY97" s="246"/>
      <c r="AZ97" s="247"/>
      <c r="BA97" s="543"/>
      <c r="BB97" s="544"/>
      <c r="BC97" s="544"/>
      <c r="BD97" s="544"/>
      <c r="BE97" s="544"/>
      <c r="BF97" s="544"/>
      <c r="BG97" s="544"/>
      <c r="BH97" s="544"/>
      <c r="BI97" s="544"/>
      <c r="BJ97" s="544"/>
      <c r="BK97" s="544"/>
      <c r="BL97" s="544"/>
      <c r="BM97" s="544"/>
      <c r="BN97" s="544"/>
      <c r="BO97" s="544"/>
      <c r="BP97" s="544"/>
      <c r="BQ97" s="544"/>
      <c r="BR97" s="544"/>
      <c r="BS97" s="544"/>
      <c r="BT97" s="544"/>
      <c r="BU97" s="544"/>
      <c r="BV97" s="544"/>
      <c r="BW97" s="544"/>
      <c r="BX97" s="544"/>
      <c r="BY97" s="544"/>
      <c r="BZ97" s="544"/>
      <c r="CA97" s="544"/>
      <c r="CB97" s="544"/>
      <c r="CC97" s="544"/>
      <c r="CD97" s="544"/>
      <c r="CE97" s="544"/>
      <c r="CF97" s="544"/>
      <c r="CG97" s="544"/>
      <c r="CH97" s="545"/>
      <c r="CI97" s="64"/>
      <c r="CJ97" s="64"/>
      <c r="CK97" s="64"/>
      <c r="CL97" s="549"/>
      <c r="CM97" s="549"/>
      <c r="CN97" s="549"/>
      <c r="CO97" s="549"/>
      <c r="CP97" s="549"/>
      <c r="CQ97" s="549"/>
      <c r="CR97" s="549"/>
      <c r="CS97" s="549"/>
      <c r="CT97" s="549"/>
      <c r="CU97" s="549"/>
      <c r="CV97" s="549"/>
      <c r="CW97" s="549"/>
      <c r="CX97" s="549"/>
      <c r="CY97" s="549"/>
      <c r="CZ97" s="549"/>
      <c r="DA97" s="549"/>
      <c r="DB97" s="549"/>
      <c r="DC97" s="549"/>
      <c r="DD97" s="549"/>
      <c r="DE97" s="549"/>
      <c r="DF97" s="549"/>
      <c r="DG97" s="549"/>
      <c r="DH97" s="549"/>
      <c r="DI97" s="549"/>
      <c r="DJ97" s="549"/>
      <c r="DK97" s="549"/>
      <c r="DL97" s="549"/>
      <c r="DM97" s="549"/>
      <c r="DN97" s="549"/>
      <c r="DO97" s="549"/>
      <c r="DP97" s="549"/>
      <c r="DQ97" s="549"/>
      <c r="DR97" s="549"/>
      <c r="DS97" s="549"/>
      <c r="DT97" s="549"/>
      <c r="DU97" s="549"/>
      <c r="DV97" s="549"/>
      <c r="DW97" s="549"/>
      <c r="DX97" s="549"/>
      <c r="DY97" s="549"/>
      <c r="DZ97" s="549"/>
      <c r="EA97" s="549"/>
      <c r="EB97" s="549"/>
      <c r="EC97" s="549"/>
      <c r="ED97" s="549"/>
      <c r="EE97" s="549"/>
      <c r="EF97" s="549"/>
      <c r="EG97" s="549"/>
      <c r="EH97" s="549"/>
      <c r="EI97" s="549"/>
      <c r="EJ97" s="64"/>
      <c r="EK97" s="64"/>
      <c r="EL97" s="64"/>
      <c r="EM97" s="64"/>
      <c r="EN97" s="64"/>
      <c r="EO97" s="64"/>
      <c r="EP97" s="64"/>
      <c r="EQ97" s="64"/>
      <c r="ER97" s="64"/>
    </row>
    <row r="98" spans="2:148" ht="120" customHeight="1" x14ac:dyDescent="0.2">
      <c r="B98" s="67"/>
      <c r="C98" s="67"/>
      <c r="D98" s="307" t="s">
        <v>18</v>
      </c>
      <c r="E98" s="308"/>
      <c r="F98" s="308"/>
      <c r="G98" s="308"/>
      <c r="H98" s="308"/>
      <c r="I98" s="308"/>
      <c r="J98" s="308"/>
      <c r="K98" s="308"/>
      <c r="L98" s="308"/>
      <c r="M98" s="308"/>
      <c r="N98" s="308"/>
      <c r="O98" s="308"/>
      <c r="P98" s="308"/>
      <c r="Q98" s="308"/>
      <c r="R98" s="308"/>
      <c r="S98" s="308"/>
      <c r="T98" s="308"/>
      <c r="U98" s="308"/>
      <c r="V98" s="308"/>
      <c r="W98" s="308"/>
      <c r="X98" s="308"/>
      <c r="Y98" s="308"/>
      <c r="Z98" s="308"/>
      <c r="AA98" s="308"/>
      <c r="AB98" s="308"/>
      <c r="AC98" s="308"/>
      <c r="AD98" s="308"/>
      <c r="AE98" s="308"/>
      <c r="AF98" s="308"/>
      <c r="AG98" s="309"/>
      <c r="AH98" s="294">
        <f>SUM(AH93:AP97)</f>
        <v>0</v>
      </c>
      <c r="AI98" s="295"/>
      <c r="AJ98" s="295"/>
      <c r="AK98" s="295"/>
      <c r="AL98" s="295"/>
      <c r="AM98" s="295"/>
      <c r="AN98" s="295"/>
      <c r="AO98" s="295"/>
      <c r="AP98" s="296"/>
      <c r="AQ98" s="245"/>
      <c r="AR98" s="246"/>
      <c r="AS98" s="246"/>
      <c r="AT98" s="246"/>
      <c r="AU98" s="246"/>
      <c r="AV98" s="246"/>
      <c r="AW98" s="246"/>
      <c r="AX98" s="246"/>
      <c r="AY98" s="246"/>
      <c r="AZ98" s="247"/>
      <c r="BA98" s="546"/>
      <c r="BB98" s="547"/>
      <c r="BC98" s="547"/>
      <c r="BD98" s="547"/>
      <c r="BE98" s="547"/>
      <c r="BF98" s="547"/>
      <c r="BG98" s="547"/>
      <c r="BH98" s="547"/>
      <c r="BI98" s="547"/>
      <c r="BJ98" s="547"/>
      <c r="BK98" s="547"/>
      <c r="BL98" s="547"/>
      <c r="BM98" s="547"/>
      <c r="BN98" s="547"/>
      <c r="BO98" s="547"/>
      <c r="BP98" s="547"/>
      <c r="BQ98" s="547"/>
      <c r="BR98" s="547"/>
      <c r="BS98" s="547"/>
      <c r="BT98" s="547"/>
      <c r="BU98" s="547"/>
      <c r="BV98" s="547"/>
      <c r="BW98" s="547"/>
      <c r="BX98" s="547"/>
      <c r="BY98" s="547"/>
      <c r="BZ98" s="547"/>
      <c r="CA98" s="547"/>
      <c r="CB98" s="547"/>
      <c r="CC98" s="547"/>
      <c r="CD98" s="547"/>
      <c r="CE98" s="547"/>
      <c r="CF98" s="547"/>
      <c r="CG98" s="547"/>
      <c r="CH98" s="548"/>
      <c r="CI98" s="64"/>
      <c r="CJ98" s="64"/>
      <c r="CK98" s="64"/>
      <c r="CL98" s="549"/>
      <c r="CM98" s="549"/>
      <c r="CN98" s="549"/>
      <c r="CO98" s="549"/>
      <c r="CP98" s="549"/>
      <c r="CQ98" s="549"/>
      <c r="CR98" s="549"/>
      <c r="CS98" s="549"/>
      <c r="CT98" s="549"/>
      <c r="CU98" s="549"/>
      <c r="CV98" s="549"/>
      <c r="CW98" s="549"/>
      <c r="CX98" s="549"/>
      <c r="CY98" s="549"/>
      <c r="CZ98" s="549"/>
      <c r="DA98" s="549"/>
      <c r="DB98" s="549"/>
      <c r="DC98" s="549"/>
      <c r="DD98" s="549"/>
      <c r="DE98" s="549"/>
      <c r="DF98" s="549"/>
      <c r="DG98" s="549"/>
      <c r="DH98" s="549"/>
      <c r="DI98" s="549"/>
      <c r="DJ98" s="549"/>
      <c r="DK98" s="549"/>
      <c r="DL98" s="549"/>
      <c r="DM98" s="549"/>
      <c r="DN98" s="549"/>
      <c r="DO98" s="549"/>
      <c r="DP98" s="549"/>
      <c r="DQ98" s="549"/>
      <c r="DR98" s="549"/>
      <c r="DS98" s="549"/>
      <c r="DT98" s="549"/>
      <c r="DU98" s="549"/>
      <c r="DV98" s="549"/>
      <c r="DW98" s="549"/>
      <c r="DX98" s="549"/>
      <c r="DY98" s="549"/>
      <c r="DZ98" s="549"/>
      <c r="EA98" s="549"/>
      <c r="EB98" s="549"/>
      <c r="EC98" s="549"/>
      <c r="ED98" s="549"/>
      <c r="EE98" s="549"/>
      <c r="EF98" s="549"/>
      <c r="EG98" s="549"/>
      <c r="EH98" s="549"/>
      <c r="EI98" s="549"/>
      <c r="EJ98" s="64"/>
      <c r="EK98" s="64"/>
      <c r="EL98" s="64"/>
      <c r="EM98" s="64"/>
      <c r="EN98" s="64"/>
      <c r="EO98" s="64"/>
      <c r="EP98" s="64"/>
      <c r="EQ98" s="64"/>
      <c r="ER98" s="64"/>
    </row>
    <row r="99" spans="2:148" ht="90" customHeight="1" x14ac:dyDescent="0.2">
      <c r="B99" s="67"/>
      <c r="C99" s="67"/>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4"/>
      <c r="AY99" s="64"/>
      <c r="AZ99" s="64"/>
      <c r="BA99" s="64"/>
      <c r="BB99" s="64"/>
      <c r="BC99" s="64"/>
      <c r="BD99" s="64"/>
      <c r="BE99" s="64"/>
      <c r="BF99" s="64"/>
      <c r="BG99" s="64"/>
      <c r="BH99" s="64"/>
      <c r="BI99" s="64"/>
      <c r="BJ99" s="64"/>
      <c r="BK99" s="64"/>
      <c r="BL99" s="64"/>
      <c r="BM99" s="64"/>
      <c r="BN99" s="64"/>
      <c r="BO99" s="64"/>
      <c r="BP99" s="64"/>
      <c r="BQ99" s="64"/>
      <c r="BR99" s="64"/>
      <c r="BS99" s="64"/>
      <c r="BT99" s="64"/>
      <c r="BU99" s="64"/>
      <c r="BV99" s="64"/>
      <c r="BW99" s="64"/>
      <c r="BX99" s="64"/>
      <c r="BY99" s="64"/>
      <c r="BZ99" s="64"/>
      <c r="CA99" s="64"/>
      <c r="CB99" s="64"/>
      <c r="CC99" s="64"/>
      <c r="CD99" s="64"/>
      <c r="CE99" s="64"/>
      <c r="CF99" s="64"/>
      <c r="CG99" s="64"/>
      <c r="CH99" s="64"/>
      <c r="CI99" s="64"/>
      <c r="CJ99" s="64"/>
      <c r="CK99" s="64"/>
      <c r="CL99" s="64"/>
      <c r="CM99" s="64"/>
      <c r="CN99" s="64"/>
      <c r="CO99" s="64"/>
      <c r="CP99" s="64"/>
      <c r="CQ99" s="64"/>
      <c r="CR99" s="64"/>
      <c r="CS99" s="64"/>
      <c r="CT99" s="64"/>
      <c r="CU99" s="64"/>
      <c r="CV99" s="64"/>
      <c r="CW99" s="64"/>
      <c r="CX99" s="64"/>
      <c r="CY99" s="64"/>
      <c r="CZ99" s="64"/>
      <c r="DA99" s="64"/>
      <c r="DB99" s="64"/>
      <c r="DC99" s="64"/>
      <c r="DD99" s="64"/>
      <c r="DE99" s="64"/>
      <c r="DF99" s="64"/>
      <c r="DG99" s="64"/>
      <c r="DH99" s="64"/>
      <c r="DI99" s="64"/>
      <c r="DJ99" s="64"/>
      <c r="DK99" s="64"/>
      <c r="DL99" s="64"/>
      <c r="DM99" s="64"/>
      <c r="DN99" s="64"/>
      <c r="DO99" s="64"/>
      <c r="DP99" s="64"/>
      <c r="DQ99" s="64"/>
      <c r="DR99" s="64"/>
      <c r="DS99" s="64"/>
      <c r="DT99" s="64"/>
      <c r="DU99" s="64"/>
      <c r="DV99" s="64"/>
      <c r="DW99" s="64"/>
      <c r="DX99" s="64"/>
      <c r="DY99" s="64"/>
      <c r="DZ99" s="64"/>
      <c r="EA99" s="64"/>
      <c r="EB99" s="64"/>
      <c r="EC99" s="64"/>
      <c r="ED99" s="64"/>
      <c r="EE99" s="64"/>
      <c r="EF99" s="64"/>
      <c r="EG99" s="64"/>
      <c r="EH99" s="64"/>
      <c r="EI99" s="64"/>
      <c r="EJ99" s="64"/>
      <c r="EK99" s="64"/>
      <c r="EL99" s="64"/>
      <c r="EM99" s="64"/>
      <c r="EN99" s="64"/>
      <c r="EO99" s="64"/>
      <c r="EP99" s="64"/>
      <c r="EQ99" s="64"/>
      <c r="ER99" s="64"/>
    </row>
    <row r="100" spans="2:148" ht="90" customHeight="1" x14ac:dyDescent="0.6">
      <c r="B100" s="495" t="s">
        <v>186</v>
      </c>
      <c r="C100" s="495"/>
      <c r="D100" s="495"/>
      <c r="E100" s="495"/>
      <c r="F100" s="495"/>
      <c r="G100" s="495"/>
      <c r="H100" s="495"/>
      <c r="I100" s="495"/>
      <c r="J100" s="495"/>
      <c r="K100" s="495"/>
      <c r="L100" s="495"/>
      <c r="M100" s="495"/>
      <c r="N100" s="495"/>
      <c r="O100" s="495"/>
      <c r="P100" s="495"/>
      <c r="Q100" s="495"/>
      <c r="R100" s="495"/>
      <c r="S100" s="495"/>
      <c r="T100" s="495"/>
      <c r="U100" s="495"/>
      <c r="V100" s="495"/>
      <c r="W100" s="106"/>
      <c r="X100" s="106"/>
      <c r="Y100" s="106"/>
      <c r="Z100" s="467" t="s">
        <v>252</v>
      </c>
      <c r="AA100" s="467"/>
      <c r="AB100" s="467"/>
      <c r="AC100" s="467"/>
      <c r="AD100" s="467"/>
      <c r="AE100" s="467"/>
      <c r="AF100" s="467"/>
      <c r="AG100" s="467"/>
      <c r="AH100" s="467"/>
      <c r="AI100" s="467"/>
      <c r="AJ100" s="467"/>
      <c r="AK100" s="467"/>
      <c r="AL100" s="467"/>
      <c r="AM100" s="202"/>
      <c r="AN100" s="467" t="s">
        <v>253</v>
      </c>
      <c r="AO100" s="467"/>
      <c r="AP100" s="467"/>
      <c r="AQ100" s="467"/>
      <c r="AR100" s="467"/>
      <c r="AS100" s="467"/>
      <c r="AT100" s="467"/>
      <c r="AU100" s="467"/>
      <c r="AV100" s="467"/>
      <c r="AW100" s="467"/>
      <c r="AX100" s="467"/>
      <c r="AY100" s="467"/>
      <c r="AZ100" s="467"/>
      <c r="BA100" s="467"/>
      <c r="BB100" s="467"/>
      <c r="BC100" s="467"/>
      <c r="BD100" s="467"/>
      <c r="BE100" s="467"/>
      <c r="BF100" s="467"/>
      <c r="BG100" s="467"/>
      <c r="BH100" s="467"/>
      <c r="BI100" s="467"/>
      <c r="BJ100" s="467"/>
      <c r="BK100" s="467"/>
      <c r="BL100" s="467"/>
      <c r="BM100" s="467"/>
      <c r="BN100" s="467"/>
      <c r="BO100" s="467"/>
      <c r="BP100" s="467"/>
      <c r="BQ100" s="467"/>
      <c r="BR100" s="467"/>
      <c r="BS100" s="467"/>
      <c r="BT100" s="467"/>
      <c r="BU100" s="467"/>
      <c r="BV100" s="467"/>
      <c r="BW100" s="467"/>
      <c r="BX100" s="467"/>
      <c r="BY100" s="467"/>
      <c r="BZ100" s="467"/>
      <c r="CA100" s="467"/>
      <c r="CB100" s="467"/>
      <c r="CC100" s="467"/>
      <c r="CD100" s="467"/>
      <c r="CE100" s="467"/>
      <c r="CF100" s="467"/>
      <c r="CG100" s="467"/>
      <c r="CH100" s="467"/>
      <c r="CI100" s="103"/>
      <c r="CJ100" s="103"/>
      <c r="CK100" s="103"/>
      <c r="CL100" s="103"/>
      <c r="CM100" s="103"/>
      <c r="CN100" s="103"/>
      <c r="CO100" s="103"/>
      <c r="CP100" s="103"/>
      <c r="CQ100" s="103"/>
      <c r="CR100" s="103"/>
      <c r="CS100" s="103"/>
      <c r="CT100" s="103"/>
      <c r="CU100" s="103"/>
      <c r="CV100" s="103"/>
      <c r="CW100" s="103"/>
      <c r="CX100" s="103"/>
      <c r="CY100" s="103"/>
      <c r="CZ100" s="103"/>
      <c r="DA100" s="103"/>
      <c r="DB100" s="103"/>
      <c r="DC100" s="103"/>
      <c r="DD100" s="103"/>
      <c r="DE100" s="103"/>
      <c r="DF100" s="103"/>
      <c r="DG100" s="103"/>
      <c r="DH100" s="103"/>
      <c r="DI100" s="103"/>
      <c r="DJ100" s="103"/>
      <c r="DK100" s="103"/>
      <c r="DL100" s="103"/>
      <c r="DM100" s="103"/>
      <c r="DN100" s="103"/>
      <c r="DO100" s="103"/>
      <c r="DP100" s="103"/>
      <c r="DQ100" s="103"/>
      <c r="DR100" s="103"/>
      <c r="DS100" s="103"/>
      <c r="DT100" s="103"/>
      <c r="DU100" s="103"/>
      <c r="DV100" s="103"/>
      <c r="DW100" s="103"/>
      <c r="DX100" s="71"/>
      <c r="DY100" s="71"/>
      <c r="DZ100" s="71"/>
      <c r="EA100" s="71"/>
      <c r="EB100" s="71"/>
      <c r="EC100" s="71"/>
      <c r="ED100" s="71"/>
      <c r="EE100" s="71"/>
      <c r="EF100" s="71"/>
      <c r="EG100" s="71"/>
      <c r="EH100" s="71"/>
      <c r="EI100" s="71"/>
      <c r="EJ100" s="71"/>
      <c r="EK100" s="71"/>
      <c r="EL100" s="71"/>
      <c r="EM100" s="71"/>
      <c r="EN100" s="71"/>
      <c r="EO100" s="71"/>
      <c r="EP100" s="71"/>
      <c r="EQ100" s="68"/>
      <c r="ER100" s="68"/>
    </row>
    <row r="101" spans="2:148" ht="90" customHeight="1" x14ac:dyDescent="0.65">
      <c r="B101" s="67"/>
      <c r="C101" s="67"/>
      <c r="D101" s="72"/>
      <c r="E101" s="199"/>
      <c r="F101" s="199"/>
      <c r="G101" s="199"/>
      <c r="H101" s="199"/>
      <c r="I101" s="199"/>
      <c r="J101" s="199"/>
      <c r="K101" s="199"/>
      <c r="L101" s="199"/>
      <c r="M101" s="199"/>
      <c r="N101" s="199"/>
      <c r="O101" s="199"/>
      <c r="P101" s="199"/>
      <c r="Q101" s="199"/>
      <c r="R101" s="199"/>
      <c r="S101" s="199"/>
      <c r="T101" s="199"/>
      <c r="U101" s="199"/>
      <c r="V101" s="199"/>
      <c r="W101" s="106"/>
      <c r="X101" s="106"/>
      <c r="Y101" s="106"/>
      <c r="Z101" s="106"/>
      <c r="AA101" s="106"/>
      <c r="AB101" s="196"/>
      <c r="AC101" s="196"/>
      <c r="AD101" s="196"/>
      <c r="AE101" s="196"/>
      <c r="AF101" s="196"/>
      <c r="AG101" s="196"/>
      <c r="AH101" s="196"/>
      <c r="AI101" s="196"/>
      <c r="AJ101" s="195"/>
      <c r="AK101" s="195"/>
      <c r="AL101" s="195"/>
      <c r="AM101" s="195"/>
      <c r="AN101" s="195"/>
      <c r="AO101" s="195"/>
      <c r="AP101" s="91"/>
      <c r="AQ101" s="91"/>
      <c r="AR101" s="91"/>
      <c r="AS101" s="91"/>
      <c r="AT101" s="91"/>
      <c r="AU101" s="91"/>
      <c r="AV101" s="72"/>
      <c r="AW101" s="72"/>
      <c r="AX101" s="72"/>
      <c r="AY101" s="72"/>
      <c r="AZ101" s="72"/>
      <c r="BA101" s="69"/>
      <c r="BB101" s="69"/>
      <c r="BC101" s="69"/>
      <c r="BD101" s="69"/>
      <c r="BE101" s="69"/>
      <c r="BF101" s="69"/>
      <c r="BG101" s="69"/>
      <c r="BH101" s="69"/>
      <c r="BI101" s="69"/>
      <c r="BJ101" s="70"/>
      <c r="BK101" s="70"/>
      <c r="BL101" s="70"/>
      <c r="BM101" s="70"/>
      <c r="BN101" s="70"/>
      <c r="BO101" s="70"/>
      <c r="BP101" s="69"/>
      <c r="BQ101" s="69"/>
      <c r="BR101" s="69"/>
      <c r="BS101" s="69"/>
      <c r="BT101" s="69"/>
      <c r="BU101" s="69"/>
      <c r="BV101" s="69"/>
      <c r="BW101" s="69"/>
      <c r="BX101" s="69"/>
      <c r="BY101" s="69"/>
      <c r="BZ101" s="69"/>
      <c r="CA101" s="69"/>
      <c r="CB101" s="69"/>
      <c r="CC101" s="69"/>
      <c r="CD101" s="69"/>
      <c r="CE101" s="69"/>
      <c r="CF101" s="69"/>
      <c r="CG101" s="69"/>
      <c r="CH101" s="69"/>
      <c r="CI101" s="69"/>
      <c r="CJ101" s="69"/>
      <c r="CK101" s="69"/>
      <c r="CL101" s="69"/>
      <c r="CM101" s="69"/>
      <c r="CN101" s="69"/>
      <c r="CO101" s="69"/>
      <c r="CP101" s="69"/>
      <c r="CQ101" s="69"/>
      <c r="CR101" s="69"/>
      <c r="CS101" s="69"/>
      <c r="CT101" s="71"/>
      <c r="CU101" s="71"/>
      <c r="CV101" s="71"/>
      <c r="CW101" s="71"/>
      <c r="CX101" s="71"/>
      <c r="CY101" s="71"/>
      <c r="CZ101" s="71"/>
      <c r="DA101" s="71"/>
      <c r="DB101" s="71"/>
      <c r="DC101" s="71"/>
      <c r="DD101" s="71"/>
      <c r="DE101" s="71"/>
      <c r="DF101" s="71"/>
      <c r="DG101" s="71"/>
      <c r="DH101" s="71"/>
      <c r="DI101" s="71"/>
      <c r="DJ101" s="71"/>
      <c r="DK101" s="71"/>
      <c r="DL101" s="71"/>
      <c r="DM101" s="71"/>
      <c r="DN101" s="71"/>
      <c r="DO101" s="71"/>
      <c r="DP101" s="71"/>
      <c r="DQ101" s="71"/>
      <c r="DR101" s="71"/>
      <c r="DS101" s="71"/>
      <c r="DT101" s="71"/>
      <c r="DU101" s="71"/>
      <c r="DV101" s="71"/>
      <c r="DW101" s="71"/>
      <c r="DX101" s="71"/>
      <c r="DY101" s="71"/>
      <c r="DZ101" s="71"/>
      <c r="EA101" s="71"/>
      <c r="EB101" s="71"/>
      <c r="EC101" s="71"/>
      <c r="ED101" s="71"/>
      <c r="EE101" s="71"/>
      <c r="EF101" s="71"/>
      <c r="EG101" s="71"/>
      <c r="EH101" s="71"/>
      <c r="EI101" s="71"/>
      <c r="EJ101" s="71"/>
      <c r="EK101" s="71"/>
      <c r="EL101" s="71"/>
      <c r="EM101" s="71"/>
      <c r="EN101" s="71"/>
      <c r="EO101" s="71"/>
      <c r="EP101" s="71"/>
      <c r="EQ101" s="67"/>
      <c r="ER101" s="67"/>
    </row>
    <row r="102" spans="2:148" ht="90" customHeight="1" x14ac:dyDescent="0.25">
      <c r="B102" s="495" t="s">
        <v>204</v>
      </c>
      <c r="C102" s="496"/>
      <c r="D102" s="496"/>
      <c r="E102" s="496"/>
      <c r="F102" s="496"/>
      <c r="G102" s="496"/>
      <c r="H102" s="496"/>
      <c r="I102" s="496"/>
      <c r="J102" s="496"/>
      <c r="K102" s="496"/>
      <c r="L102" s="496"/>
      <c r="M102" s="496"/>
      <c r="N102" s="496"/>
      <c r="O102" s="496"/>
      <c r="P102" s="496"/>
      <c r="Q102" s="496"/>
      <c r="R102" s="496"/>
      <c r="S102" s="496"/>
      <c r="T102" s="496"/>
      <c r="U102" s="496"/>
      <c r="V102" s="496"/>
      <c r="W102" s="106"/>
      <c r="X102" s="106"/>
      <c r="Y102" s="106"/>
      <c r="Z102" s="467" t="s">
        <v>252</v>
      </c>
      <c r="AA102" s="467"/>
      <c r="AB102" s="467"/>
      <c r="AC102" s="467"/>
      <c r="AD102" s="467"/>
      <c r="AE102" s="467"/>
      <c r="AF102" s="467"/>
      <c r="AG102" s="467"/>
      <c r="AH102" s="467"/>
      <c r="AI102" s="467"/>
      <c r="AJ102" s="467"/>
      <c r="AK102" s="467"/>
      <c r="AL102" s="467"/>
      <c r="AM102" s="202"/>
      <c r="AN102" s="467" t="s">
        <v>253</v>
      </c>
      <c r="AO102" s="467"/>
      <c r="AP102" s="467"/>
      <c r="AQ102" s="467"/>
      <c r="AR102" s="467"/>
      <c r="AS102" s="467"/>
      <c r="AT102" s="467"/>
      <c r="AU102" s="467"/>
      <c r="AV102" s="467"/>
      <c r="AW102" s="467"/>
      <c r="AX102" s="467"/>
      <c r="AY102" s="467"/>
      <c r="AZ102" s="467"/>
      <c r="BA102" s="467"/>
      <c r="BB102" s="467"/>
      <c r="BC102" s="467"/>
      <c r="BD102" s="467"/>
      <c r="BE102" s="467"/>
      <c r="BF102" s="467"/>
      <c r="BG102" s="467"/>
      <c r="BH102" s="467"/>
      <c r="BI102" s="467"/>
      <c r="BJ102" s="467"/>
      <c r="BK102" s="467"/>
      <c r="BL102" s="467"/>
      <c r="BM102" s="467"/>
      <c r="BN102" s="467"/>
      <c r="BO102" s="467"/>
      <c r="BP102" s="467"/>
      <c r="BQ102" s="467"/>
      <c r="BR102" s="467"/>
      <c r="BS102" s="467"/>
      <c r="BT102" s="467"/>
      <c r="BU102" s="467"/>
      <c r="BV102" s="467"/>
      <c r="BW102" s="467"/>
      <c r="BX102" s="467"/>
      <c r="BY102" s="467"/>
      <c r="BZ102" s="467"/>
      <c r="CA102" s="467"/>
      <c r="CB102" s="467"/>
      <c r="CC102" s="467"/>
      <c r="CD102" s="467"/>
      <c r="CE102" s="467"/>
      <c r="CF102" s="467"/>
      <c r="CG102" s="467"/>
      <c r="CH102" s="467"/>
      <c r="CI102" s="71"/>
      <c r="CJ102" s="71"/>
      <c r="CK102" s="71"/>
      <c r="CL102" s="71"/>
      <c r="CM102" s="71"/>
      <c r="CN102" s="71"/>
      <c r="CO102" s="71"/>
      <c r="CP102" s="71"/>
      <c r="CQ102" s="71"/>
      <c r="CR102" s="71"/>
      <c r="CS102" s="71"/>
      <c r="CT102" s="71"/>
      <c r="CU102" s="71"/>
      <c r="CV102" s="71"/>
      <c r="CW102" s="71"/>
      <c r="CX102" s="71"/>
      <c r="CY102" s="71"/>
      <c r="CZ102" s="71"/>
      <c r="DA102" s="71"/>
      <c r="DB102" s="71"/>
      <c r="DC102" s="71"/>
      <c r="DD102" s="71"/>
      <c r="DE102" s="71"/>
      <c r="DF102" s="71"/>
      <c r="DG102" s="71"/>
      <c r="DH102" s="71"/>
      <c r="DI102" s="71"/>
      <c r="DJ102" s="71"/>
      <c r="DK102" s="71"/>
      <c r="DL102" s="71"/>
      <c r="DM102" s="71"/>
      <c r="DN102" s="71"/>
      <c r="DO102" s="71"/>
      <c r="DP102" s="71"/>
      <c r="DQ102" s="71"/>
      <c r="DR102" s="71"/>
      <c r="DS102" s="71"/>
      <c r="DT102" s="71"/>
      <c r="DU102" s="71"/>
      <c r="DV102" s="71"/>
      <c r="DW102" s="71"/>
      <c r="DX102" s="71"/>
      <c r="DY102" s="71"/>
      <c r="DZ102" s="71"/>
      <c r="EA102" s="71"/>
      <c r="EB102" s="71"/>
      <c r="EC102" s="71"/>
      <c r="ED102" s="71"/>
      <c r="EE102" s="71"/>
      <c r="EF102" s="71"/>
      <c r="EG102" s="71"/>
      <c r="EH102" s="71"/>
      <c r="EI102" s="71"/>
      <c r="EJ102" s="71"/>
      <c r="EK102" s="71"/>
      <c r="EL102" s="71"/>
      <c r="EM102" s="71"/>
      <c r="EN102" s="71"/>
      <c r="EO102" s="71"/>
      <c r="EP102" s="71"/>
      <c r="EQ102" s="73"/>
      <c r="ER102" s="73"/>
    </row>
    <row r="103" spans="2:148" ht="90" customHeight="1" x14ac:dyDescent="0.25">
      <c r="B103" s="9"/>
      <c r="C103" s="6"/>
      <c r="D103" s="6"/>
      <c r="E103" s="199"/>
      <c r="F103" s="199"/>
      <c r="G103" s="199"/>
      <c r="H103" s="199"/>
      <c r="I103" s="199"/>
      <c r="J103" s="199"/>
      <c r="K103" s="199"/>
      <c r="L103" s="199"/>
      <c r="M103" s="199"/>
      <c r="N103" s="199"/>
      <c r="O103" s="199"/>
      <c r="P103" s="199"/>
      <c r="Q103" s="199"/>
      <c r="R103" s="199"/>
      <c r="S103" s="199"/>
      <c r="T103" s="199"/>
      <c r="U103" s="199"/>
      <c r="V103" s="199"/>
      <c r="W103" s="106"/>
      <c r="X103" s="106"/>
      <c r="Y103" s="106"/>
      <c r="Z103" s="106"/>
      <c r="AA103" s="106"/>
      <c r="AB103" s="196"/>
      <c r="AC103" s="196"/>
      <c r="AD103" s="196"/>
      <c r="AE103" s="196"/>
      <c r="AF103" s="196"/>
      <c r="AG103" s="196"/>
      <c r="AH103" s="196"/>
      <c r="AI103" s="196"/>
      <c r="AJ103" s="195"/>
      <c r="AK103" s="195"/>
      <c r="AL103" s="195"/>
      <c r="AM103" s="195"/>
      <c r="AN103" s="195"/>
      <c r="AO103" s="195"/>
      <c r="AP103" s="91"/>
      <c r="AQ103" s="91"/>
      <c r="AR103" s="91"/>
      <c r="AS103" s="91"/>
      <c r="AT103" s="91"/>
      <c r="AU103" s="91"/>
      <c r="AV103" s="2"/>
      <c r="AW103" s="3"/>
      <c r="AX103" s="3"/>
      <c r="AY103" s="3"/>
      <c r="AZ103" s="3"/>
      <c r="BA103" s="3"/>
      <c r="BB103" s="3"/>
      <c r="BC103" s="3"/>
      <c r="BD103" s="3"/>
      <c r="BE103" s="3"/>
      <c r="BF103" s="3"/>
      <c r="BG103" s="3"/>
      <c r="BH103" s="3"/>
      <c r="BI103" s="10"/>
      <c r="BJ103" s="10"/>
      <c r="BK103" s="10"/>
      <c r="BL103" s="10"/>
      <c r="BM103" s="10"/>
      <c r="BN103" s="10"/>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8"/>
      <c r="ER103" s="8"/>
    </row>
    <row r="104" spans="2:148" ht="90" customHeight="1" x14ac:dyDescent="0.25">
      <c r="B104" s="495" t="s">
        <v>172</v>
      </c>
      <c r="C104" s="496"/>
      <c r="D104" s="496"/>
      <c r="E104" s="496"/>
      <c r="F104" s="496"/>
      <c r="G104" s="496"/>
      <c r="H104" s="496"/>
      <c r="I104" s="496"/>
      <c r="J104" s="496"/>
      <c r="K104" s="496"/>
      <c r="L104" s="496"/>
      <c r="M104" s="496"/>
      <c r="N104" s="496"/>
      <c r="O104" s="199"/>
      <c r="P104" s="199"/>
      <c r="Q104" s="199"/>
      <c r="R104" s="199"/>
      <c r="S104" s="199"/>
      <c r="T104" s="199"/>
      <c r="U104" s="199"/>
      <c r="V104" s="199"/>
      <c r="W104" s="106"/>
      <c r="X104" s="106"/>
      <c r="Y104" s="106"/>
      <c r="Z104" s="467" t="s">
        <v>252</v>
      </c>
      <c r="AA104" s="467"/>
      <c r="AB104" s="467"/>
      <c r="AC104" s="467"/>
      <c r="AD104" s="467"/>
      <c r="AE104" s="467"/>
      <c r="AF104" s="467"/>
      <c r="AG104" s="467"/>
      <c r="AH104" s="467"/>
      <c r="AI104" s="467"/>
      <c r="AJ104" s="467"/>
      <c r="AK104" s="467"/>
      <c r="AL104" s="467"/>
      <c r="AM104" s="202"/>
      <c r="AN104" s="467" t="s">
        <v>253</v>
      </c>
      <c r="AO104" s="467"/>
      <c r="AP104" s="467"/>
      <c r="AQ104" s="467"/>
      <c r="AR104" s="467"/>
      <c r="AS104" s="467"/>
      <c r="AT104" s="467"/>
      <c r="AU104" s="467"/>
      <c r="AV104" s="467"/>
      <c r="AW104" s="467"/>
      <c r="AX104" s="467"/>
      <c r="AY104" s="467"/>
      <c r="AZ104" s="467"/>
      <c r="BA104" s="467"/>
      <c r="BB104" s="467"/>
      <c r="BC104" s="467"/>
      <c r="BD104" s="467"/>
      <c r="BE104" s="467"/>
      <c r="BF104" s="467"/>
      <c r="BG104" s="467"/>
      <c r="BH104" s="467"/>
      <c r="BI104" s="467"/>
      <c r="BJ104" s="467"/>
      <c r="BK104" s="467"/>
      <c r="BL104" s="467"/>
      <c r="BM104" s="467"/>
      <c r="BN104" s="467"/>
      <c r="BO104" s="467"/>
      <c r="BP104" s="467"/>
      <c r="BQ104" s="467"/>
      <c r="BR104" s="467"/>
      <c r="BS104" s="467"/>
      <c r="BT104" s="467"/>
      <c r="BU104" s="467"/>
      <c r="BV104" s="467"/>
      <c r="BW104" s="467"/>
      <c r="BX104" s="467"/>
      <c r="BY104" s="467"/>
      <c r="BZ104" s="467"/>
      <c r="CA104" s="467"/>
      <c r="CB104" s="467"/>
      <c r="CC104" s="467"/>
      <c r="CD104" s="467"/>
      <c r="CE104" s="467"/>
      <c r="CF104" s="467"/>
      <c r="CG104" s="467"/>
      <c r="CH104" s="467"/>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8"/>
      <c r="ER104" s="8"/>
    </row>
    <row r="105" spans="2:148" ht="90" customHeight="1" x14ac:dyDescent="1.05">
      <c r="B105" s="9"/>
      <c r="C105" s="6"/>
      <c r="D105" s="6"/>
      <c r="E105" s="200"/>
      <c r="F105" s="200"/>
      <c r="G105" s="200"/>
      <c r="H105" s="200"/>
      <c r="I105" s="200"/>
      <c r="J105" s="200"/>
      <c r="K105" s="200"/>
      <c r="L105" s="200"/>
      <c r="M105" s="200"/>
      <c r="N105" s="200"/>
      <c r="O105" s="200"/>
      <c r="P105" s="200"/>
      <c r="Q105" s="200"/>
      <c r="R105" s="200"/>
      <c r="S105" s="200"/>
      <c r="T105" s="201"/>
      <c r="U105" s="201"/>
      <c r="V105" s="201"/>
      <c r="W105" s="11"/>
      <c r="X105" s="11"/>
      <c r="Y105" s="11"/>
      <c r="Z105" s="11"/>
      <c r="AA105" s="3"/>
      <c r="AB105" s="3"/>
      <c r="AC105" s="3"/>
      <c r="AD105" s="3"/>
      <c r="AE105" s="3"/>
      <c r="AF105" s="3"/>
      <c r="AG105" s="3"/>
      <c r="AH105" s="2"/>
      <c r="AI105" s="2"/>
      <c r="AJ105" s="2"/>
      <c r="AK105" s="2"/>
      <c r="AL105" s="2"/>
      <c r="AM105" s="2"/>
      <c r="AN105" s="2"/>
      <c r="AO105" s="2"/>
      <c r="AP105" s="2"/>
      <c r="AQ105" s="2"/>
      <c r="AR105" s="2"/>
      <c r="AS105" s="2"/>
      <c r="AT105" s="3"/>
      <c r="AU105" s="3"/>
      <c r="AV105" s="2"/>
      <c r="AW105" s="3"/>
      <c r="AX105" s="3"/>
      <c r="AY105" s="3"/>
      <c r="AZ105" s="3"/>
      <c r="BA105" s="3"/>
      <c r="BB105" s="3"/>
      <c r="BC105" s="3"/>
      <c r="BD105" s="3"/>
      <c r="BE105" s="3"/>
      <c r="BF105" s="3"/>
      <c r="BG105" s="3"/>
      <c r="BH105" s="3"/>
      <c r="BI105" s="10"/>
      <c r="BJ105" s="10"/>
      <c r="BK105" s="10"/>
      <c r="BL105" s="10"/>
      <c r="BM105" s="10"/>
      <c r="BN105" s="10"/>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8"/>
      <c r="ER105" s="8"/>
    </row>
    <row r="106" spans="2:148" ht="90" customHeight="1" x14ac:dyDescent="0.2">
      <c r="B106" s="495" t="s">
        <v>205</v>
      </c>
      <c r="C106" s="496"/>
      <c r="D106" s="496"/>
      <c r="E106" s="496"/>
      <c r="F106" s="496"/>
      <c r="G106" s="496"/>
      <c r="H106" s="496"/>
      <c r="I106" s="496"/>
      <c r="J106" s="496"/>
      <c r="K106" s="496"/>
      <c r="L106" s="496"/>
      <c r="M106" s="496"/>
      <c r="N106" s="496"/>
      <c r="O106" s="199"/>
      <c r="P106" s="199"/>
      <c r="Q106" s="199"/>
      <c r="R106" s="199"/>
      <c r="S106" s="199"/>
      <c r="T106" s="199"/>
      <c r="U106" s="199"/>
      <c r="V106" s="199"/>
      <c r="W106" s="106"/>
      <c r="X106" s="106"/>
      <c r="Y106" s="106"/>
      <c r="Z106" s="467" t="s">
        <v>252</v>
      </c>
      <c r="AA106" s="467"/>
      <c r="AB106" s="467"/>
      <c r="AC106" s="467"/>
      <c r="AD106" s="467"/>
      <c r="AE106" s="467"/>
      <c r="AF106" s="467"/>
      <c r="AG106" s="467"/>
      <c r="AH106" s="467"/>
      <c r="AI106" s="467"/>
      <c r="AJ106" s="467"/>
      <c r="AK106" s="467"/>
      <c r="AL106" s="467"/>
      <c r="AM106" s="202"/>
      <c r="AN106" s="467" t="s">
        <v>253</v>
      </c>
      <c r="AO106" s="467"/>
      <c r="AP106" s="467"/>
      <c r="AQ106" s="467"/>
      <c r="AR106" s="467"/>
      <c r="AS106" s="467"/>
      <c r="AT106" s="467"/>
      <c r="AU106" s="467"/>
      <c r="AV106" s="467"/>
      <c r="AW106" s="467"/>
      <c r="AX106" s="467"/>
      <c r="AY106" s="467"/>
      <c r="AZ106" s="467"/>
      <c r="BA106" s="467"/>
      <c r="BB106" s="467"/>
      <c r="BC106" s="467"/>
      <c r="BD106" s="467"/>
      <c r="BE106" s="467"/>
      <c r="BF106" s="467"/>
      <c r="BG106" s="467"/>
      <c r="BH106" s="467"/>
      <c r="BI106" s="467"/>
      <c r="BJ106" s="467"/>
      <c r="BK106" s="467"/>
      <c r="BL106" s="467"/>
      <c r="BM106" s="467"/>
      <c r="BN106" s="467"/>
      <c r="BO106" s="467"/>
      <c r="BP106" s="467"/>
      <c r="BQ106" s="467"/>
      <c r="BR106" s="467"/>
      <c r="BS106" s="467"/>
      <c r="BT106" s="467"/>
      <c r="BU106" s="467"/>
      <c r="BV106" s="467"/>
      <c r="BW106" s="467"/>
      <c r="BX106" s="467"/>
      <c r="BY106" s="467"/>
      <c r="BZ106" s="467"/>
      <c r="CA106" s="467"/>
      <c r="CB106" s="467"/>
      <c r="CC106" s="467"/>
      <c r="CD106" s="467"/>
      <c r="CE106" s="467"/>
      <c r="CF106" s="467"/>
      <c r="CG106" s="467"/>
      <c r="CH106" s="467"/>
    </row>
    <row r="107" spans="2:148" ht="15.75" x14ac:dyDescent="0.25">
      <c r="E107" s="6"/>
      <c r="F107" s="6"/>
      <c r="G107" s="6"/>
      <c r="H107" s="6"/>
      <c r="I107" s="6"/>
      <c r="J107" s="6"/>
      <c r="K107" s="6"/>
      <c r="L107" s="6"/>
      <c r="M107" s="6"/>
      <c r="N107" s="6"/>
      <c r="O107" s="6"/>
      <c r="P107" s="6"/>
      <c r="Q107" s="6"/>
      <c r="R107" s="6"/>
      <c r="S107" s="6"/>
      <c r="T107" s="10"/>
      <c r="U107" s="10"/>
      <c r="V107" s="10"/>
      <c r="W107" s="11"/>
      <c r="X107" s="11"/>
      <c r="Y107" s="11"/>
      <c r="Z107" s="11"/>
      <c r="AA107" s="3"/>
      <c r="AB107" s="3"/>
      <c r="AC107" s="3"/>
      <c r="AD107" s="3"/>
      <c r="AE107" s="3"/>
      <c r="AF107" s="3"/>
      <c r="AG107" s="3"/>
      <c r="AH107" s="2"/>
      <c r="AI107" s="2"/>
      <c r="AJ107" s="2"/>
      <c r="AK107" s="2"/>
      <c r="AL107" s="2"/>
      <c r="AM107" s="2"/>
      <c r="AN107" s="2"/>
      <c r="AO107" s="2"/>
      <c r="AP107" s="2"/>
      <c r="AQ107" s="2"/>
      <c r="AR107" s="2"/>
      <c r="AS107" s="2"/>
      <c r="AT107" s="3"/>
      <c r="AU107" s="3"/>
    </row>
  </sheetData>
  <mergeCells count="1351">
    <mergeCell ref="HN20:HO20"/>
    <mergeCell ref="A30:ES30"/>
    <mergeCell ref="EW24:EY24"/>
    <mergeCell ref="EZ24:FE24"/>
    <mergeCell ref="FG24:FI24"/>
    <mergeCell ref="FJ24:FO24"/>
    <mergeCell ref="FQ24:FS24"/>
    <mergeCell ref="FT24:FY24"/>
    <mergeCell ref="GA24:GC24"/>
    <mergeCell ref="GD24:GI24"/>
    <mergeCell ref="GK24:GM24"/>
    <mergeCell ref="GN24:GS24"/>
    <mergeCell ref="GU24:GW24"/>
    <mergeCell ref="GX24:HC24"/>
    <mergeCell ref="HE24:HG24"/>
    <mergeCell ref="HH24:HM24"/>
    <mergeCell ref="EV21:EW21"/>
    <mergeCell ref="GX21:GY21"/>
    <mergeCell ref="GZ21:HA21"/>
    <mergeCell ref="HB21:HC21"/>
    <mergeCell ref="HD21:HE21"/>
    <mergeCell ref="HL18:HM18"/>
    <mergeCell ref="HN18:HO18"/>
    <mergeCell ref="HN21:HO21"/>
    <mergeCell ref="EV22:GW22"/>
    <mergeCell ref="GX22:GY22"/>
    <mergeCell ref="GZ22:HA22"/>
    <mergeCell ref="HB22:HC22"/>
    <mergeCell ref="HD22:HE22"/>
    <mergeCell ref="HF22:HG22"/>
    <mergeCell ref="HH22:HI22"/>
    <mergeCell ref="HJ22:HK22"/>
    <mergeCell ref="HL22:HM22"/>
    <mergeCell ref="HN22:HO22"/>
    <mergeCell ref="EV19:EW19"/>
    <mergeCell ref="GX19:GY19"/>
    <mergeCell ref="GZ19:HA19"/>
    <mergeCell ref="HB19:HC19"/>
    <mergeCell ref="HD19:HE19"/>
    <mergeCell ref="HF19:HG19"/>
    <mergeCell ref="HH19:HI19"/>
    <mergeCell ref="HJ19:HK19"/>
    <mergeCell ref="HL21:HM21"/>
    <mergeCell ref="HN19:HO19"/>
    <mergeCell ref="EV20:EW20"/>
    <mergeCell ref="GX20:GY20"/>
    <mergeCell ref="GZ20:HA20"/>
    <mergeCell ref="HB20:HC20"/>
    <mergeCell ref="HD20:HE20"/>
    <mergeCell ref="HF20:HG20"/>
    <mergeCell ref="HH20:HI20"/>
    <mergeCell ref="HJ20:HK20"/>
    <mergeCell ref="HL20:HM20"/>
    <mergeCell ref="HL19:HM19"/>
    <mergeCell ref="HL11:HM16"/>
    <mergeCell ref="HN11:HO16"/>
    <mergeCell ref="GX12:GY16"/>
    <mergeCell ref="GZ12:HK12"/>
    <mergeCell ref="GZ13:HA16"/>
    <mergeCell ref="HB13:HC16"/>
    <mergeCell ref="HD13:HE16"/>
    <mergeCell ref="HF13:HG16"/>
    <mergeCell ref="HH13:HI16"/>
    <mergeCell ref="HJ13:HK16"/>
    <mergeCell ref="EX15:FB15"/>
    <mergeCell ref="FC15:FF15"/>
    <mergeCell ref="FG15:FK15"/>
    <mergeCell ref="FL15:FO15"/>
    <mergeCell ref="FP15:FT15"/>
    <mergeCell ref="FU15:FX15"/>
    <mergeCell ref="FY15:GC15"/>
    <mergeCell ref="GD15:GG15"/>
    <mergeCell ref="GH15:GK15"/>
    <mergeCell ref="GL15:GO15"/>
    <mergeCell ref="GP15:GS15"/>
    <mergeCell ref="GT15:GW15"/>
    <mergeCell ref="HL17:HM17"/>
    <mergeCell ref="HN17:HO17"/>
    <mergeCell ref="GX18:GY18"/>
    <mergeCell ref="GZ18:HA18"/>
    <mergeCell ref="HB18:HC18"/>
    <mergeCell ref="HD18:HE18"/>
    <mergeCell ref="HF18:HG18"/>
    <mergeCell ref="HH18:HI18"/>
    <mergeCell ref="HJ18:HK18"/>
    <mergeCell ref="B100:V100"/>
    <mergeCell ref="B102:V102"/>
    <mergeCell ref="B104:N104"/>
    <mergeCell ref="B106:N106"/>
    <mergeCell ref="Z100:AL100"/>
    <mergeCell ref="AN100:CH100"/>
    <mergeCell ref="Z102:AL102"/>
    <mergeCell ref="AN102:CH102"/>
    <mergeCell ref="Z104:AL104"/>
    <mergeCell ref="AN104:CH104"/>
    <mergeCell ref="Z106:AL106"/>
    <mergeCell ref="AN106:CH106"/>
    <mergeCell ref="EV11:EW16"/>
    <mergeCell ref="EX11:GW14"/>
    <mergeCell ref="GX11:HK11"/>
    <mergeCell ref="EV17:EW17"/>
    <mergeCell ref="GX17:GY17"/>
    <mergeCell ref="GZ17:HA17"/>
    <mergeCell ref="HB17:HC17"/>
    <mergeCell ref="HD17:HE17"/>
    <mergeCell ref="HF17:HG17"/>
    <mergeCell ref="HH17:HI17"/>
    <mergeCell ref="HJ17:HK17"/>
    <mergeCell ref="HH21:HI21"/>
    <mergeCell ref="HJ21:HK21"/>
    <mergeCell ref="C90:D90"/>
    <mergeCell ref="C88:D88"/>
    <mergeCell ref="C89:D89"/>
    <mergeCell ref="C87:D87"/>
    <mergeCell ref="E86:ER86"/>
    <mergeCell ref="HF21:HG21"/>
    <mergeCell ref="EV18:EW18"/>
    <mergeCell ref="E87:ER87"/>
    <mergeCell ref="E88:ER88"/>
    <mergeCell ref="E89:ER89"/>
    <mergeCell ref="E90:ER90"/>
    <mergeCell ref="D93:AG93"/>
    <mergeCell ref="AH93:AP93"/>
    <mergeCell ref="AQ93:AZ93"/>
    <mergeCell ref="BA93:CH98"/>
    <mergeCell ref="D94:AG94"/>
    <mergeCell ref="AH94:AP94"/>
    <mergeCell ref="AQ94:AZ94"/>
    <mergeCell ref="D95:AG95"/>
    <mergeCell ref="D92:AG92"/>
    <mergeCell ref="AH92:AP92"/>
    <mergeCell ref="AQ92:AZ92"/>
    <mergeCell ref="BA92:CH92"/>
    <mergeCell ref="DI92:EM92"/>
    <mergeCell ref="CL93:EI98"/>
    <mergeCell ref="D98:AG98"/>
    <mergeCell ref="AH98:AP98"/>
    <mergeCell ref="AQ98:AZ98"/>
    <mergeCell ref="AH95:AP95"/>
    <mergeCell ref="AQ95:AZ95"/>
    <mergeCell ref="D96:AG96"/>
    <mergeCell ref="AH96:AP96"/>
    <mergeCell ref="AQ96:AZ96"/>
    <mergeCell ref="D97:AG97"/>
    <mergeCell ref="AH97:AP97"/>
    <mergeCell ref="AQ97:AZ97"/>
    <mergeCell ref="EQ82:ES82"/>
    <mergeCell ref="AA85:AD85"/>
    <mergeCell ref="B84:F84"/>
    <mergeCell ref="C86:D86"/>
    <mergeCell ref="DG82:DJ82"/>
    <mergeCell ref="DK82:DN82"/>
    <mergeCell ref="DO82:DR82"/>
    <mergeCell ref="DS82:DV82"/>
    <mergeCell ref="DW82:DZ82"/>
    <mergeCell ref="EA82:ED82"/>
    <mergeCell ref="CI82:CL82"/>
    <mergeCell ref="CM82:CP82"/>
    <mergeCell ref="CQ82:CT82"/>
    <mergeCell ref="CU82:CX82"/>
    <mergeCell ref="CY82:DB82"/>
    <mergeCell ref="DC82:DF82"/>
    <mergeCell ref="BK82:BN82"/>
    <mergeCell ref="BO82:BR82"/>
    <mergeCell ref="BS82:BV82"/>
    <mergeCell ref="BW82:BZ82"/>
    <mergeCell ref="CA82:CD82"/>
    <mergeCell ref="CE82:CH82"/>
    <mergeCell ref="C82:Y82"/>
    <mergeCell ref="Z82:AC82"/>
    <mergeCell ref="AD82:AF82"/>
    <mergeCell ref="AG82:AK82"/>
    <mergeCell ref="AL82:AP82"/>
    <mergeCell ref="AQ82:AU82"/>
    <mergeCell ref="AV82:AZ82"/>
    <mergeCell ref="BA82:BE82"/>
    <mergeCell ref="BF82:BJ82"/>
    <mergeCell ref="DS81:DV81"/>
    <mergeCell ref="DW81:DZ81"/>
    <mergeCell ref="EA81:ED81"/>
    <mergeCell ref="EE81:EH81"/>
    <mergeCell ref="EI81:EL81"/>
    <mergeCell ref="EM81:EP81"/>
    <mergeCell ref="CU81:CX81"/>
    <mergeCell ref="CY81:DB81"/>
    <mergeCell ref="DC81:DF81"/>
    <mergeCell ref="DG81:DJ81"/>
    <mergeCell ref="DK81:DN81"/>
    <mergeCell ref="DO81:DR81"/>
    <mergeCell ref="BW81:BZ81"/>
    <mergeCell ref="CA81:CD81"/>
    <mergeCell ref="CE81:CH81"/>
    <mergeCell ref="CI81:CL81"/>
    <mergeCell ref="CM81:CP81"/>
    <mergeCell ref="CQ81:CT81"/>
    <mergeCell ref="AV81:AZ81"/>
    <mergeCell ref="BA81:BE81"/>
    <mergeCell ref="BF81:BJ81"/>
    <mergeCell ref="BK81:BN81"/>
    <mergeCell ref="EE82:EH82"/>
    <mergeCell ref="BO81:BR81"/>
    <mergeCell ref="BS81:BV81"/>
    <mergeCell ref="EI82:EL82"/>
    <mergeCell ref="EM82:EP82"/>
    <mergeCell ref="EE80:EH80"/>
    <mergeCell ref="EI80:EL80"/>
    <mergeCell ref="EM80:EP80"/>
    <mergeCell ref="EQ80:ES80"/>
    <mergeCell ref="C81:Y81"/>
    <mergeCell ref="Z81:AC81"/>
    <mergeCell ref="AD81:AF81"/>
    <mergeCell ref="AG81:AK81"/>
    <mergeCell ref="AL81:AP81"/>
    <mergeCell ref="AQ81:AU81"/>
    <mergeCell ref="DG80:DJ80"/>
    <mergeCell ref="DK80:DN80"/>
    <mergeCell ref="DO80:DR80"/>
    <mergeCell ref="DS80:DV80"/>
    <mergeCell ref="DW80:DZ80"/>
    <mergeCell ref="EA80:ED80"/>
    <mergeCell ref="CI80:CL80"/>
    <mergeCell ref="CM80:CP80"/>
    <mergeCell ref="CQ80:CT80"/>
    <mergeCell ref="CU80:CX80"/>
    <mergeCell ref="CY80:DB80"/>
    <mergeCell ref="DC80:DF80"/>
    <mergeCell ref="BK80:BN80"/>
    <mergeCell ref="BO80:BR80"/>
    <mergeCell ref="BS80:BV80"/>
    <mergeCell ref="BW80:BZ80"/>
    <mergeCell ref="CA80:CD80"/>
    <mergeCell ref="CE80:CH80"/>
    <mergeCell ref="EQ81:ES81"/>
    <mergeCell ref="EQ79:ES79"/>
    <mergeCell ref="C80:Y80"/>
    <mergeCell ref="Z80:AC80"/>
    <mergeCell ref="AD80:AF80"/>
    <mergeCell ref="AG80:AK80"/>
    <mergeCell ref="AL80:AP80"/>
    <mergeCell ref="AQ80:AU80"/>
    <mergeCell ref="AV80:AZ80"/>
    <mergeCell ref="BA80:BE80"/>
    <mergeCell ref="BF80:BJ80"/>
    <mergeCell ref="DS79:DV79"/>
    <mergeCell ref="DW79:DZ79"/>
    <mergeCell ref="EA79:ED79"/>
    <mergeCell ref="EE79:EH79"/>
    <mergeCell ref="EI79:EL79"/>
    <mergeCell ref="EM79:EP79"/>
    <mergeCell ref="CU79:CX79"/>
    <mergeCell ref="CY79:DB79"/>
    <mergeCell ref="DC79:DF79"/>
    <mergeCell ref="DG79:DJ79"/>
    <mergeCell ref="DK79:DN79"/>
    <mergeCell ref="DO79:DR79"/>
    <mergeCell ref="BW79:BZ79"/>
    <mergeCell ref="CA79:CD79"/>
    <mergeCell ref="CE79:CH79"/>
    <mergeCell ref="CI79:CL79"/>
    <mergeCell ref="CM79:CP79"/>
    <mergeCell ref="CQ79:CT79"/>
    <mergeCell ref="AV79:AZ79"/>
    <mergeCell ref="BA79:BE79"/>
    <mergeCell ref="BF79:BJ79"/>
    <mergeCell ref="BK79:BN79"/>
    <mergeCell ref="BO79:BR79"/>
    <mergeCell ref="BS79:BV79"/>
    <mergeCell ref="C79:Y79"/>
    <mergeCell ref="Z79:AC79"/>
    <mergeCell ref="AD79:AF79"/>
    <mergeCell ref="AG79:AK79"/>
    <mergeCell ref="AL79:AP79"/>
    <mergeCell ref="AQ79:AU79"/>
    <mergeCell ref="DW78:DZ78"/>
    <mergeCell ref="EA78:ED78"/>
    <mergeCell ref="EE78:EH78"/>
    <mergeCell ref="EI78:EL78"/>
    <mergeCell ref="EM78:EP78"/>
    <mergeCell ref="EQ78:ES78"/>
    <mergeCell ref="CY78:DB78"/>
    <mergeCell ref="DC78:DF78"/>
    <mergeCell ref="DG78:DJ78"/>
    <mergeCell ref="DK78:DN78"/>
    <mergeCell ref="DO78:DR78"/>
    <mergeCell ref="DS78:DV78"/>
    <mergeCell ref="CA78:CD78"/>
    <mergeCell ref="CE78:CH78"/>
    <mergeCell ref="CI78:CL78"/>
    <mergeCell ref="CM78:CP78"/>
    <mergeCell ref="CQ78:CT78"/>
    <mergeCell ref="CU78:CX78"/>
    <mergeCell ref="BA78:BE78"/>
    <mergeCell ref="BF78:BJ78"/>
    <mergeCell ref="BK78:BN78"/>
    <mergeCell ref="BO78:BR78"/>
    <mergeCell ref="BS78:BV78"/>
    <mergeCell ref="BW78:BZ78"/>
    <mergeCell ref="EM76:EP77"/>
    <mergeCell ref="EQ76:ES77"/>
    <mergeCell ref="C77:Y77"/>
    <mergeCell ref="C78:Y78"/>
    <mergeCell ref="Z78:AC78"/>
    <mergeCell ref="AD78:AF78"/>
    <mergeCell ref="AG78:AK78"/>
    <mergeCell ref="AL78:AP78"/>
    <mergeCell ref="AQ78:AU78"/>
    <mergeCell ref="AV78:AZ78"/>
    <mergeCell ref="DO76:DR77"/>
    <mergeCell ref="DS76:DV77"/>
    <mergeCell ref="DW76:DZ77"/>
    <mergeCell ref="EA76:ED77"/>
    <mergeCell ref="EE76:EH77"/>
    <mergeCell ref="EI76:EL77"/>
    <mergeCell ref="CQ76:CT77"/>
    <mergeCell ref="CU76:CX77"/>
    <mergeCell ref="CY76:DB77"/>
    <mergeCell ref="DC76:DF77"/>
    <mergeCell ref="DG76:DJ77"/>
    <mergeCell ref="DK76:DN77"/>
    <mergeCell ref="BS76:BV77"/>
    <mergeCell ref="BW76:BZ77"/>
    <mergeCell ref="CA76:CD77"/>
    <mergeCell ref="CE76:CH77"/>
    <mergeCell ref="CI76:CL77"/>
    <mergeCell ref="CM76:CP77"/>
    <mergeCell ref="AQ76:AU77"/>
    <mergeCell ref="AV76:AZ77"/>
    <mergeCell ref="BA76:BE77"/>
    <mergeCell ref="BF76:BJ77"/>
    <mergeCell ref="BK76:BN77"/>
    <mergeCell ref="BO76:BR77"/>
    <mergeCell ref="EI74:EL75"/>
    <mergeCell ref="EM74:EP75"/>
    <mergeCell ref="EQ74:ES75"/>
    <mergeCell ref="C75:Y75"/>
    <mergeCell ref="A76:A77"/>
    <mergeCell ref="C76:Y76"/>
    <mergeCell ref="Z76:AC77"/>
    <mergeCell ref="AD76:AF77"/>
    <mergeCell ref="AG76:AK77"/>
    <mergeCell ref="AL76:AP77"/>
    <mergeCell ref="DK74:DN75"/>
    <mergeCell ref="DO74:DR75"/>
    <mergeCell ref="DS74:DV75"/>
    <mergeCell ref="DW74:DZ75"/>
    <mergeCell ref="EA74:ED75"/>
    <mergeCell ref="EE74:EH75"/>
    <mergeCell ref="CM74:CP75"/>
    <mergeCell ref="CQ74:CT75"/>
    <mergeCell ref="CU74:CX75"/>
    <mergeCell ref="CY74:DB75"/>
    <mergeCell ref="DC74:DF75"/>
    <mergeCell ref="DG74:DJ75"/>
    <mergeCell ref="BO74:BR75"/>
    <mergeCell ref="BS74:BV75"/>
    <mergeCell ref="BW74:BZ75"/>
    <mergeCell ref="CA74:CD75"/>
    <mergeCell ref="CE74:CH75"/>
    <mergeCell ref="CI74:CL75"/>
    <mergeCell ref="AL74:AP75"/>
    <mergeCell ref="AQ74:AU75"/>
    <mergeCell ref="DW72:DZ73"/>
    <mergeCell ref="EA72:ED73"/>
    <mergeCell ref="EE72:EH73"/>
    <mergeCell ref="EI72:EL73"/>
    <mergeCell ref="EM72:EP73"/>
    <mergeCell ref="EQ72:ES73"/>
    <mergeCell ref="CY72:DB73"/>
    <mergeCell ref="DC72:DF73"/>
    <mergeCell ref="DG72:DJ73"/>
    <mergeCell ref="DK72:DN73"/>
    <mergeCell ref="DO72:DR73"/>
    <mergeCell ref="DS72:DV73"/>
    <mergeCell ref="CA72:CD73"/>
    <mergeCell ref="CE72:CH73"/>
    <mergeCell ref="CI72:CL73"/>
    <mergeCell ref="CM72:CP73"/>
    <mergeCell ref="CQ72:CT73"/>
    <mergeCell ref="CU72:CX73"/>
    <mergeCell ref="BS72:BV73"/>
    <mergeCell ref="BW72:BZ73"/>
    <mergeCell ref="A72:A73"/>
    <mergeCell ref="C72:Y72"/>
    <mergeCell ref="Z72:AC73"/>
    <mergeCell ref="AD72:AF73"/>
    <mergeCell ref="AG72:AK73"/>
    <mergeCell ref="AL72:AP73"/>
    <mergeCell ref="AQ72:AU73"/>
    <mergeCell ref="AV72:AZ73"/>
    <mergeCell ref="AV74:AZ75"/>
    <mergeCell ref="BA74:BE75"/>
    <mergeCell ref="BF74:BJ75"/>
    <mergeCell ref="BK74:BN75"/>
    <mergeCell ref="C73:Y73"/>
    <mergeCell ref="A74:A75"/>
    <mergeCell ref="C74:Y74"/>
    <mergeCell ref="Z74:AC75"/>
    <mergeCell ref="AD74:AF75"/>
    <mergeCell ref="AG74:AK75"/>
    <mergeCell ref="BA72:BE73"/>
    <mergeCell ref="BF72:BJ73"/>
    <mergeCell ref="BK72:BN73"/>
    <mergeCell ref="BO72:BR73"/>
    <mergeCell ref="EM70:EP71"/>
    <mergeCell ref="EQ70:ES71"/>
    <mergeCell ref="C71:Y71"/>
    <mergeCell ref="DO70:DR71"/>
    <mergeCell ref="DS70:DV71"/>
    <mergeCell ref="DW70:DZ71"/>
    <mergeCell ref="EA70:ED71"/>
    <mergeCell ref="EE70:EH71"/>
    <mergeCell ref="EI70:EL71"/>
    <mergeCell ref="CQ70:CT71"/>
    <mergeCell ref="CU70:CX71"/>
    <mergeCell ref="CY70:DB71"/>
    <mergeCell ref="DC70:DF71"/>
    <mergeCell ref="DG70:DJ71"/>
    <mergeCell ref="DK70:DN71"/>
    <mergeCell ref="BS70:BV71"/>
    <mergeCell ref="BW70:BZ71"/>
    <mergeCell ref="CA70:CD71"/>
    <mergeCell ref="CE70:CH71"/>
    <mergeCell ref="CI70:CL71"/>
    <mergeCell ref="CM70:CP71"/>
    <mergeCell ref="AQ70:AU71"/>
    <mergeCell ref="AV70:AZ71"/>
    <mergeCell ref="BA70:BE71"/>
    <mergeCell ref="BF70:BJ71"/>
    <mergeCell ref="BK70:BN71"/>
    <mergeCell ref="BO70:BR71"/>
    <mergeCell ref="EI68:EL69"/>
    <mergeCell ref="EM68:EP69"/>
    <mergeCell ref="EQ68:ES69"/>
    <mergeCell ref="C69:Y69"/>
    <mergeCell ref="A70:A71"/>
    <mergeCell ref="C70:Y70"/>
    <mergeCell ref="Z70:AC71"/>
    <mergeCell ref="AD70:AF71"/>
    <mergeCell ref="AG70:AK71"/>
    <mergeCell ref="AL70:AP71"/>
    <mergeCell ref="DK68:DN69"/>
    <mergeCell ref="DO68:DR69"/>
    <mergeCell ref="DS68:DV69"/>
    <mergeCell ref="DW68:DZ69"/>
    <mergeCell ref="EA68:ED69"/>
    <mergeCell ref="EE68:EH69"/>
    <mergeCell ref="CM68:CP69"/>
    <mergeCell ref="CQ68:CT69"/>
    <mergeCell ref="CU68:CX69"/>
    <mergeCell ref="CY68:DB69"/>
    <mergeCell ref="DC68:DF69"/>
    <mergeCell ref="DG68:DJ69"/>
    <mergeCell ref="BO68:BR69"/>
    <mergeCell ref="BS68:BV69"/>
    <mergeCell ref="BW68:BZ69"/>
    <mergeCell ref="CA68:CD69"/>
    <mergeCell ref="CE68:CH69"/>
    <mergeCell ref="CI68:CL69"/>
    <mergeCell ref="AL68:AP69"/>
    <mergeCell ref="AQ68:AU69"/>
    <mergeCell ref="AV68:AZ69"/>
    <mergeCell ref="BA68:BE69"/>
    <mergeCell ref="BF68:BJ69"/>
    <mergeCell ref="BK68:BN69"/>
    <mergeCell ref="C67:Y67"/>
    <mergeCell ref="A68:A69"/>
    <mergeCell ref="C68:Y68"/>
    <mergeCell ref="Z68:AC69"/>
    <mergeCell ref="AD68:AF69"/>
    <mergeCell ref="AG68:AK69"/>
    <mergeCell ref="DW66:DZ67"/>
    <mergeCell ref="EA66:ED67"/>
    <mergeCell ref="EE66:EH67"/>
    <mergeCell ref="EI66:EL67"/>
    <mergeCell ref="EM66:EP67"/>
    <mergeCell ref="EQ66:ES67"/>
    <mergeCell ref="CY66:DB67"/>
    <mergeCell ref="DC66:DF67"/>
    <mergeCell ref="DG66:DJ67"/>
    <mergeCell ref="DK66:DN67"/>
    <mergeCell ref="DO66:DR67"/>
    <mergeCell ref="DS66:DV67"/>
    <mergeCell ref="CA66:CD67"/>
    <mergeCell ref="CE66:CH67"/>
    <mergeCell ref="CI66:CL67"/>
    <mergeCell ref="CM66:CP67"/>
    <mergeCell ref="CQ66:CT67"/>
    <mergeCell ref="CU66:CX67"/>
    <mergeCell ref="BA66:BE67"/>
    <mergeCell ref="BF66:BJ67"/>
    <mergeCell ref="BK66:BN67"/>
    <mergeCell ref="BO66:BR67"/>
    <mergeCell ref="BS66:BV67"/>
    <mergeCell ref="BW66:BZ67"/>
    <mergeCell ref="EQ64:ES65"/>
    <mergeCell ref="C65:Y65"/>
    <mergeCell ref="A66:A67"/>
    <mergeCell ref="C66:Y66"/>
    <mergeCell ref="Z66:AC67"/>
    <mergeCell ref="AD66:AF67"/>
    <mergeCell ref="AG66:AK67"/>
    <mergeCell ref="AL66:AP67"/>
    <mergeCell ref="AQ66:AU67"/>
    <mergeCell ref="AV66:AZ67"/>
    <mergeCell ref="DS64:DV65"/>
    <mergeCell ref="DW64:DZ65"/>
    <mergeCell ref="EA64:ED65"/>
    <mergeCell ref="EE64:EH65"/>
    <mergeCell ref="EI64:EL65"/>
    <mergeCell ref="EM64:EP65"/>
    <mergeCell ref="CU64:CX65"/>
    <mergeCell ref="CY64:DB65"/>
    <mergeCell ref="DC64:DF65"/>
    <mergeCell ref="DG64:DJ65"/>
    <mergeCell ref="DK64:DN65"/>
    <mergeCell ref="DO64:DR65"/>
    <mergeCell ref="BW64:BZ65"/>
    <mergeCell ref="CA64:CD65"/>
    <mergeCell ref="CE64:CH65"/>
    <mergeCell ref="CI64:CL65"/>
    <mergeCell ref="CM64:CP65"/>
    <mergeCell ref="CQ64:CT65"/>
    <mergeCell ref="AV64:AZ65"/>
    <mergeCell ref="BA64:BE65"/>
    <mergeCell ref="BF64:BJ65"/>
    <mergeCell ref="BK64:BN65"/>
    <mergeCell ref="BO64:BR65"/>
    <mergeCell ref="BS64:BV65"/>
    <mergeCell ref="EM62:EP63"/>
    <mergeCell ref="EQ62:ES63"/>
    <mergeCell ref="C63:Y63"/>
    <mergeCell ref="A64:A65"/>
    <mergeCell ref="C64:Y64"/>
    <mergeCell ref="Z64:AC65"/>
    <mergeCell ref="AD64:AF65"/>
    <mergeCell ref="AG64:AK65"/>
    <mergeCell ref="AL64:AP65"/>
    <mergeCell ref="AQ64:AU65"/>
    <mergeCell ref="DO62:DR63"/>
    <mergeCell ref="DS62:DV63"/>
    <mergeCell ref="DW62:DZ63"/>
    <mergeCell ref="EA62:ED63"/>
    <mergeCell ref="EE62:EH63"/>
    <mergeCell ref="EI62:EL63"/>
    <mergeCell ref="CQ62:CT63"/>
    <mergeCell ref="CU62:CX63"/>
    <mergeCell ref="CY62:DB63"/>
    <mergeCell ref="DC62:DF63"/>
    <mergeCell ref="DG62:DJ63"/>
    <mergeCell ref="DK62:DN63"/>
    <mergeCell ref="BS62:BV63"/>
    <mergeCell ref="BW62:BZ63"/>
    <mergeCell ref="CA62:CD63"/>
    <mergeCell ref="CE62:CH63"/>
    <mergeCell ref="CI62:CL63"/>
    <mergeCell ref="CM62:CP63"/>
    <mergeCell ref="AQ62:AU63"/>
    <mergeCell ref="AV62:AZ63"/>
    <mergeCell ref="BA62:BE63"/>
    <mergeCell ref="BF62:BJ63"/>
    <mergeCell ref="BK62:BN63"/>
    <mergeCell ref="BO62:BR63"/>
    <mergeCell ref="EI60:EL61"/>
    <mergeCell ref="EM60:EP61"/>
    <mergeCell ref="EQ60:ES61"/>
    <mergeCell ref="C61:Y61"/>
    <mergeCell ref="A62:A63"/>
    <mergeCell ref="C62:Y62"/>
    <mergeCell ref="Z62:AC63"/>
    <mergeCell ref="AD62:AF63"/>
    <mergeCell ref="AG62:AK63"/>
    <mergeCell ref="AL62:AP63"/>
    <mergeCell ref="DK60:DN61"/>
    <mergeCell ref="DO60:DR61"/>
    <mergeCell ref="DS60:DV61"/>
    <mergeCell ref="DW60:DZ61"/>
    <mergeCell ref="EA60:ED61"/>
    <mergeCell ref="EE60:EH61"/>
    <mergeCell ref="CM60:CP61"/>
    <mergeCell ref="CQ60:CT61"/>
    <mergeCell ref="CU60:CX61"/>
    <mergeCell ref="CY60:DB61"/>
    <mergeCell ref="DC60:DF61"/>
    <mergeCell ref="DG60:DJ61"/>
    <mergeCell ref="BO60:BR61"/>
    <mergeCell ref="BS60:BV61"/>
    <mergeCell ref="BW60:BZ61"/>
    <mergeCell ref="CA60:CD61"/>
    <mergeCell ref="CE60:CH61"/>
    <mergeCell ref="CI60:CL61"/>
    <mergeCell ref="AL60:AP61"/>
    <mergeCell ref="AQ60:AU61"/>
    <mergeCell ref="AV60:AZ61"/>
    <mergeCell ref="BA60:BE61"/>
    <mergeCell ref="BF60:BJ61"/>
    <mergeCell ref="BK60:BN61"/>
    <mergeCell ref="EA59:ED59"/>
    <mergeCell ref="EE59:EH59"/>
    <mergeCell ref="EI59:EL59"/>
    <mergeCell ref="EM59:EP59"/>
    <mergeCell ref="EQ59:ES59"/>
    <mergeCell ref="A60:A61"/>
    <mergeCell ref="C60:Y60"/>
    <mergeCell ref="Z60:AC61"/>
    <mergeCell ref="AD60:AF61"/>
    <mergeCell ref="AG60:AK61"/>
    <mergeCell ref="DC59:DF59"/>
    <mergeCell ref="DG59:DJ59"/>
    <mergeCell ref="DK59:DN59"/>
    <mergeCell ref="DO59:DR59"/>
    <mergeCell ref="DS59:DV59"/>
    <mergeCell ref="DW59:DZ59"/>
    <mergeCell ref="CE59:CH59"/>
    <mergeCell ref="CI59:CL59"/>
    <mergeCell ref="CM59:CP59"/>
    <mergeCell ref="CQ59:CT59"/>
    <mergeCell ref="CU59:CX59"/>
    <mergeCell ref="CY59:DB59"/>
    <mergeCell ref="BF59:BJ59"/>
    <mergeCell ref="BK59:BN59"/>
    <mergeCell ref="BO59:BR59"/>
    <mergeCell ref="BS59:BV59"/>
    <mergeCell ref="BW59:BZ59"/>
    <mergeCell ref="CA59:CD59"/>
    <mergeCell ref="EM58:EP58"/>
    <mergeCell ref="EQ58:ES58"/>
    <mergeCell ref="C59:Y59"/>
    <mergeCell ref="Z59:AC59"/>
    <mergeCell ref="AD59:AF59"/>
    <mergeCell ref="AG59:AK59"/>
    <mergeCell ref="AL59:AP59"/>
    <mergeCell ref="AQ59:AU59"/>
    <mergeCell ref="AV59:AZ59"/>
    <mergeCell ref="BA59:BE59"/>
    <mergeCell ref="DO58:DR58"/>
    <mergeCell ref="DS58:DV58"/>
    <mergeCell ref="DW58:DZ58"/>
    <mergeCell ref="EA58:ED58"/>
    <mergeCell ref="EE58:EH58"/>
    <mergeCell ref="EI58:EL58"/>
    <mergeCell ref="CQ58:CT58"/>
    <mergeCell ref="CU58:CX58"/>
    <mergeCell ref="CY58:DB58"/>
    <mergeCell ref="DC58:DF58"/>
    <mergeCell ref="DG58:DJ58"/>
    <mergeCell ref="DK58:DN58"/>
    <mergeCell ref="BS58:BV58"/>
    <mergeCell ref="BW58:BZ58"/>
    <mergeCell ref="CA58:CD58"/>
    <mergeCell ref="CE58:CH58"/>
    <mergeCell ref="CI58:CL58"/>
    <mergeCell ref="CM58:CP58"/>
    <mergeCell ref="AQ58:AU58"/>
    <mergeCell ref="AV58:AZ58"/>
    <mergeCell ref="BA58:BE58"/>
    <mergeCell ref="BF58:BJ58"/>
    <mergeCell ref="BK58:BN58"/>
    <mergeCell ref="BO58:BR58"/>
    <mergeCell ref="EA57:ED57"/>
    <mergeCell ref="EE57:EH57"/>
    <mergeCell ref="EI57:EL57"/>
    <mergeCell ref="EM57:EP57"/>
    <mergeCell ref="EQ57:ES57"/>
    <mergeCell ref="C58:Y58"/>
    <mergeCell ref="Z58:AC58"/>
    <mergeCell ref="AD58:AF58"/>
    <mergeCell ref="AG58:AK58"/>
    <mergeCell ref="AL58:AP58"/>
    <mergeCell ref="DC57:DF57"/>
    <mergeCell ref="DG57:DJ57"/>
    <mergeCell ref="DK57:DN57"/>
    <mergeCell ref="DO57:DR57"/>
    <mergeCell ref="DS57:DV57"/>
    <mergeCell ref="DW57:DZ57"/>
    <mergeCell ref="CE57:CH57"/>
    <mergeCell ref="CI57:CL57"/>
    <mergeCell ref="CM57:CP57"/>
    <mergeCell ref="CQ57:CT57"/>
    <mergeCell ref="CU57:CX57"/>
    <mergeCell ref="CY57:DB57"/>
    <mergeCell ref="BF57:BJ57"/>
    <mergeCell ref="BK57:BN57"/>
    <mergeCell ref="BO57:BR57"/>
    <mergeCell ref="BS57:BV57"/>
    <mergeCell ref="BW57:BZ57"/>
    <mergeCell ref="CA57:CD57"/>
    <mergeCell ref="C57:Y57"/>
    <mergeCell ref="Z57:AC57"/>
    <mergeCell ref="AD57:AF57"/>
    <mergeCell ref="AG57:AK57"/>
    <mergeCell ref="AL57:AP57"/>
    <mergeCell ref="AQ57:AU57"/>
    <mergeCell ref="AV57:AZ57"/>
    <mergeCell ref="BA57:BE57"/>
    <mergeCell ref="DO56:DR56"/>
    <mergeCell ref="DS56:DV56"/>
    <mergeCell ref="DW56:DZ56"/>
    <mergeCell ref="EA56:ED56"/>
    <mergeCell ref="EE56:EH56"/>
    <mergeCell ref="EI56:EL56"/>
    <mergeCell ref="CQ56:CT56"/>
    <mergeCell ref="CU56:CX56"/>
    <mergeCell ref="CY56:DB56"/>
    <mergeCell ref="DC56:DF56"/>
    <mergeCell ref="DG56:DJ56"/>
    <mergeCell ref="DK56:DN56"/>
    <mergeCell ref="BS56:BV56"/>
    <mergeCell ref="BW56:BZ56"/>
    <mergeCell ref="CA56:CD56"/>
    <mergeCell ref="CE56:CH56"/>
    <mergeCell ref="CI56:CL56"/>
    <mergeCell ref="CM56:CP56"/>
    <mergeCell ref="AQ56:AU56"/>
    <mergeCell ref="AV56:AZ56"/>
    <mergeCell ref="BA56:BE56"/>
    <mergeCell ref="BF56:BJ56"/>
    <mergeCell ref="BK56:BN56"/>
    <mergeCell ref="BO56:BR56"/>
    <mergeCell ref="EM55:EP55"/>
    <mergeCell ref="EQ55:ES55"/>
    <mergeCell ref="C56:Y56"/>
    <mergeCell ref="Z56:AC56"/>
    <mergeCell ref="AD56:AF56"/>
    <mergeCell ref="AG56:AK56"/>
    <mergeCell ref="AL56:AP56"/>
    <mergeCell ref="DC55:DF55"/>
    <mergeCell ref="DG55:DJ55"/>
    <mergeCell ref="DK55:DN55"/>
    <mergeCell ref="DO55:DR55"/>
    <mergeCell ref="DS55:DV55"/>
    <mergeCell ref="DW55:DZ55"/>
    <mergeCell ref="CE55:CH55"/>
    <mergeCell ref="CI55:CL55"/>
    <mergeCell ref="CM55:CP55"/>
    <mergeCell ref="CQ55:CT55"/>
    <mergeCell ref="CU55:CX55"/>
    <mergeCell ref="CY55:DB55"/>
    <mergeCell ref="BF55:BJ55"/>
    <mergeCell ref="BK55:BN55"/>
    <mergeCell ref="BO55:BR55"/>
    <mergeCell ref="BS55:BV55"/>
    <mergeCell ref="BW55:BZ55"/>
    <mergeCell ref="CA55:CD55"/>
    <mergeCell ref="EM56:EP56"/>
    <mergeCell ref="EQ56:ES56"/>
    <mergeCell ref="C55:Y55"/>
    <mergeCell ref="Z55:AC55"/>
    <mergeCell ref="AD55:AF55"/>
    <mergeCell ref="AG55:AK55"/>
    <mergeCell ref="AL55:AP55"/>
    <mergeCell ref="AQ55:AU55"/>
    <mergeCell ref="AV55:AZ55"/>
    <mergeCell ref="BA55:BE55"/>
    <mergeCell ref="DO54:DR54"/>
    <mergeCell ref="DS54:DV54"/>
    <mergeCell ref="DW54:DZ54"/>
    <mergeCell ref="EA54:ED54"/>
    <mergeCell ref="EE54:EH54"/>
    <mergeCell ref="EI54:EL54"/>
    <mergeCell ref="CQ54:CT54"/>
    <mergeCell ref="CU54:CX54"/>
    <mergeCell ref="CY54:DB54"/>
    <mergeCell ref="DC54:DF54"/>
    <mergeCell ref="DG54:DJ54"/>
    <mergeCell ref="DK54:DN54"/>
    <mergeCell ref="BS54:BV54"/>
    <mergeCell ref="BW54:BZ54"/>
    <mergeCell ref="CA54:CD54"/>
    <mergeCell ref="CE54:CH54"/>
    <mergeCell ref="CI54:CL54"/>
    <mergeCell ref="CM54:CP54"/>
    <mergeCell ref="AQ54:AU54"/>
    <mergeCell ref="AV54:AZ54"/>
    <mergeCell ref="BA54:BE54"/>
    <mergeCell ref="BF54:BJ54"/>
    <mergeCell ref="BK54:BN54"/>
    <mergeCell ref="BO54:BR54"/>
    <mergeCell ref="EA55:ED55"/>
    <mergeCell ref="EE55:EH55"/>
    <mergeCell ref="EI55:EL55"/>
    <mergeCell ref="EM53:EP53"/>
    <mergeCell ref="EQ53:ES53"/>
    <mergeCell ref="C54:Y54"/>
    <mergeCell ref="Z54:AC54"/>
    <mergeCell ref="AD54:AF54"/>
    <mergeCell ref="AG54:AK54"/>
    <mergeCell ref="AL54:AP54"/>
    <mergeCell ref="DC53:DF53"/>
    <mergeCell ref="DG53:DJ53"/>
    <mergeCell ref="DK53:DN53"/>
    <mergeCell ref="DO53:DR53"/>
    <mergeCell ref="DS53:DV53"/>
    <mergeCell ref="DW53:DZ53"/>
    <mergeCell ref="CE53:CH53"/>
    <mergeCell ref="CI53:CL53"/>
    <mergeCell ref="CM53:CP53"/>
    <mergeCell ref="CQ53:CT53"/>
    <mergeCell ref="CU53:CX53"/>
    <mergeCell ref="CY53:DB53"/>
    <mergeCell ref="BF53:BJ53"/>
    <mergeCell ref="BK53:BN53"/>
    <mergeCell ref="BO53:BR53"/>
    <mergeCell ref="BS53:BV53"/>
    <mergeCell ref="BW53:BZ53"/>
    <mergeCell ref="CA53:CD53"/>
    <mergeCell ref="EM54:EP54"/>
    <mergeCell ref="EQ54:ES54"/>
    <mergeCell ref="C53:Y53"/>
    <mergeCell ref="Z53:AC53"/>
    <mergeCell ref="AD53:AF53"/>
    <mergeCell ref="AG53:AK53"/>
    <mergeCell ref="AL53:AP53"/>
    <mergeCell ref="AQ53:AU53"/>
    <mergeCell ref="AV53:AZ53"/>
    <mergeCell ref="BA53:BE53"/>
    <mergeCell ref="DO52:DR52"/>
    <mergeCell ref="DS52:DV52"/>
    <mergeCell ref="DW52:DZ52"/>
    <mergeCell ref="EA52:ED52"/>
    <mergeCell ref="EE52:EH52"/>
    <mergeCell ref="EI52:EL52"/>
    <mergeCell ref="CQ52:CT52"/>
    <mergeCell ref="CU52:CX52"/>
    <mergeCell ref="CY52:DB52"/>
    <mergeCell ref="DC52:DF52"/>
    <mergeCell ref="DG52:DJ52"/>
    <mergeCell ref="DK52:DN52"/>
    <mergeCell ref="BS52:BV52"/>
    <mergeCell ref="BW52:BZ52"/>
    <mergeCell ref="CA52:CD52"/>
    <mergeCell ref="CE52:CH52"/>
    <mergeCell ref="CI52:CL52"/>
    <mergeCell ref="CM52:CP52"/>
    <mergeCell ref="AQ52:AU52"/>
    <mergeCell ref="AV52:AZ52"/>
    <mergeCell ref="BA52:BE52"/>
    <mergeCell ref="BF52:BJ52"/>
    <mergeCell ref="BK52:BN52"/>
    <mergeCell ref="BO52:BR52"/>
    <mergeCell ref="EA53:ED53"/>
    <mergeCell ref="EE53:EH53"/>
    <mergeCell ref="EI53:EL53"/>
    <mergeCell ref="EM51:EP51"/>
    <mergeCell ref="EQ51:ES51"/>
    <mergeCell ref="C52:Y52"/>
    <mergeCell ref="Z52:AC52"/>
    <mergeCell ref="AD52:AF52"/>
    <mergeCell ref="AG52:AK52"/>
    <mergeCell ref="AL52:AP52"/>
    <mergeCell ref="DC51:DF51"/>
    <mergeCell ref="DG51:DJ51"/>
    <mergeCell ref="DK51:DN51"/>
    <mergeCell ref="DO51:DR51"/>
    <mergeCell ref="DS51:DV51"/>
    <mergeCell ref="DW51:DZ51"/>
    <mergeCell ref="CE51:CH51"/>
    <mergeCell ref="CI51:CL51"/>
    <mergeCell ref="CM51:CP51"/>
    <mergeCell ref="CQ51:CT51"/>
    <mergeCell ref="CU51:CX51"/>
    <mergeCell ref="CY51:DB51"/>
    <mergeCell ref="BF51:BJ51"/>
    <mergeCell ref="BK51:BN51"/>
    <mergeCell ref="BO51:BR51"/>
    <mergeCell ref="BS51:BV51"/>
    <mergeCell ref="BW51:BZ51"/>
    <mergeCell ref="CA51:CD51"/>
    <mergeCell ref="EM52:EP52"/>
    <mergeCell ref="EQ52:ES52"/>
    <mergeCell ref="C51:Y51"/>
    <mergeCell ref="Z51:AC51"/>
    <mergeCell ref="AD51:AF51"/>
    <mergeCell ref="AG51:AK51"/>
    <mergeCell ref="AL51:AP51"/>
    <mergeCell ref="AQ51:AU51"/>
    <mergeCell ref="AV51:AZ51"/>
    <mergeCell ref="BA51:BE51"/>
    <mergeCell ref="DO50:DR50"/>
    <mergeCell ref="DS50:DV50"/>
    <mergeCell ref="DW50:DZ50"/>
    <mergeCell ref="EA50:ED50"/>
    <mergeCell ref="EE50:EH50"/>
    <mergeCell ref="EI50:EL50"/>
    <mergeCell ref="CQ50:CT50"/>
    <mergeCell ref="CU50:CX50"/>
    <mergeCell ref="CY50:DB50"/>
    <mergeCell ref="DC50:DF50"/>
    <mergeCell ref="DG50:DJ50"/>
    <mergeCell ref="DK50:DN50"/>
    <mergeCell ref="BS50:BV50"/>
    <mergeCell ref="BW50:BZ50"/>
    <mergeCell ref="CA50:CD50"/>
    <mergeCell ref="CE50:CH50"/>
    <mergeCell ref="CI50:CL50"/>
    <mergeCell ref="CM50:CP50"/>
    <mergeCell ref="AQ50:AU50"/>
    <mergeCell ref="AV50:AZ50"/>
    <mergeCell ref="BA50:BE50"/>
    <mergeCell ref="BF50:BJ50"/>
    <mergeCell ref="BK50:BN50"/>
    <mergeCell ref="BO50:BR50"/>
    <mergeCell ref="EA51:ED51"/>
    <mergeCell ref="EE51:EH51"/>
    <mergeCell ref="EI51:EL51"/>
    <mergeCell ref="EM49:EP49"/>
    <mergeCell ref="EQ49:ES49"/>
    <mergeCell ref="C50:Y50"/>
    <mergeCell ref="Z50:AC50"/>
    <mergeCell ref="AD50:AF50"/>
    <mergeCell ref="AG50:AK50"/>
    <mergeCell ref="AL50:AP50"/>
    <mergeCell ref="DC49:DF49"/>
    <mergeCell ref="DG49:DJ49"/>
    <mergeCell ref="DK49:DN49"/>
    <mergeCell ref="DO49:DR49"/>
    <mergeCell ref="DS49:DV49"/>
    <mergeCell ref="DW49:DZ49"/>
    <mergeCell ref="CE49:CH49"/>
    <mergeCell ref="CI49:CL49"/>
    <mergeCell ref="CM49:CP49"/>
    <mergeCell ref="CQ49:CT49"/>
    <mergeCell ref="CU49:CX49"/>
    <mergeCell ref="CY49:DB49"/>
    <mergeCell ref="BF49:BJ49"/>
    <mergeCell ref="BK49:BN49"/>
    <mergeCell ref="BO49:BR49"/>
    <mergeCell ref="BS49:BV49"/>
    <mergeCell ref="BW49:BZ49"/>
    <mergeCell ref="CA49:CD49"/>
    <mergeCell ref="EM50:EP50"/>
    <mergeCell ref="EQ50:ES50"/>
    <mergeCell ref="C49:Y49"/>
    <mergeCell ref="Z49:AC49"/>
    <mergeCell ref="AD49:AF49"/>
    <mergeCell ref="AG49:AK49"/>
    <mergeCell ref="AL49:AP49"/>
    <mergeCell ref="AQ49:AU49"/>
    <mergeCell ref="AV49:AZ49"/>
    <mergeCell ref="BA49:BE49"/>
    <mergeCell ref="DO48:DR48"/>
    <mergeCell ref="DS48:DV48"/>
    <mergeCell ref="DW48:DZ48"/>
    <mergeCell ref="EA48:ED48"/>
    <mergeCell ref="EE48:EH48"/>
    <mergeCell ref="EI48:EL48"/>
    <mergeCell ref="CQ48:CT48"/>
    <mergeCell ref="CU48:CX48"/>
    <mergeCell ref="CY48:DB48"/>
    <mergeCell ref="DC48:DF48"/>
    <mergeCell ref="DG48:DJ48"/>
    <mergeCell ref="DK48:DN48"/>
    <mergeCell ref="BS48:BV48"/>
    <mergeCell ref="BW48:BZ48"/>
    <mergeCell ref="CA48:CD48"/>
    <mergeCell ref="CE48:CH48"/>
    <mergeCell ref="CI48:CL48"/>
    <mergeCell ref="CM48:CP48"/>
    <mergeCell ref="AQ48:AU48"/>
    <mergeCell ref="AV48:AZ48"/>
    <mergeCell ref="BA48:BE48"/>
    <mergeCell ref="BF48:BJ48"/>
    <mergeCell ref="BK48:BN48"/>
    <mergeCell ref="BO48:BR48"/>
    <mergeCell ref="EA49:ED49"/>
    <mergeCell ref="EE49:EH49"/>
    <mergeCell ref="EI49:EL49"/>
    <mergeCell ref="EM47:EP47"/>
    <mergeCell ref="EQ47:ES47"/>
    <mergeCell ref="C48:Y48"/>
    <mergeCell ref="Z48:AC48"/>
    <mergeCell ref="AD48:AF48"/>
    <mergeCell ref="AG48:AK48"/>
    <mergeCell ref="AL48:AP48"/>
    <mergeCell ref="DC47:DF47"/>
    <mergeCell ref="DG47:DJ47"/>
    <mergeCell ref="DK47:DN47"/>
    <mergeCell ref="DO47:DR47"/>
    <mergeCell ref="DS47:DV47"/>
    <mergeCell ref="DW47:DZ47"/>
    <mergeCell ref="CE47:CH47"/>
    <mergeCell ref="CI47:CL47"/>
    <mergeCell ref="CM47:CP47"/>
    <mergeCell ref="CQ47:CT47"/>
    <mergeCell ref="CU47:CX47"/>
    <mergeCell ref="CY47:DB47"/>
    <mergeCell ref="BF47:BJ47"/>
    <mergeCell ref="BK47:BN47"/>
    <mergeCell ref="BO47:BR47"/>
    <mergeCell ref="BS47:BV47"/>
    <mergeCell ref="BW47:BZ47"/>
    <mergeCell ref="CA47:CD47"/>
    <mergeCell ref="EM48:EP48"/>
    <mergeCell ref="EQ48:ES48"/>
    <mergeCell ref="C47:Y47"/>
    <mergeCell ref="Z47:AC47"/>
    <mergeCell ref="AD47:AF47"/>
    <mergeCell ref="AG47:AK47"/>
    <mergeCell ref="AL47:AP47"/>
    <mergeCell ref="AQ47:AU47"/>
    <mergeCell ref="AV47:AZ47"/>
    <mergeCell ref="BA47:BE47"/>
    <mergeCell ref="DO46:DR46"/>
    <mergeCell ref="DS46:DV46"/>
    <mergeCell ref="DW46:DZ46"/>
    <mergeCell ref="EA46:ED46"/>
    <mergeCell ref="EE46:EH46"/>
    <mergeCell ref="EI46:EL46"/>
    <mergeCell ref="CQ46:CT46"/>
    <mergeCell ref="CU46:CX46"/>
    <mergeCell ref="CY46:DB46"/>
    <mergeCell ref="DC46:DF46"/>
    <mergeCell ref="DG46:DJ46"/>
    <mergeCell ref="DK46:DN46"/>
    <mergeCell ref="BS46:BV46"/>
    <mergeCell ref="BW46:BZ46"/>
    <mergeCell ref="CA46:CD46"/>
    <mergeCell ref="CE46:CH46"/>
    <mergeCell ref="CI46:CL46"/>
    <mergeCell ref="CM46:CP46"/>
    <mergeCell ref="AQ46:AU46"/>
    <mergeCell ref="AV46:AZ46"/>
    <mergeCell ref="BA46:BE46"/>
    <mergeCell ref="BF46:BJ46"/>
    <mergeCell ref="BK46:BN46"/>
    <mergeCell ref="BO46:BR46"/>
    <mergeCell ref="EA47:ED47"/>
    <mergeCell ref="EE47:EH47"/>
    <mergeCell ref="EI47:EL47"/>
    <mergeCell ref="EM45:EP45"/>
    <mergeCell ref="EQ45:ES45"/>
    <mergeCell ref="C46:Y46"/>
    <mergeCell ref="Z46:AC46"/>
    <mergeCell ref="AD46:AF46"/>
    <mergeCell ref="AG46:AK46"/>
    <mergeCell ref="AL46:AP46"/>
    <mergeCell ref="DC45:DF45"/>
    <mergeCell ref="DG45:DJ45"/>
    <mergeCell ref="DK45:DN45"/>
    <mergeCell ref="DO45:DR45"/>
    <mergeCell ref="DS45:DV45"/>
    <mergeCell ref="DW45:DZ45"/>
    <mergeCell ref="CE45:CH45"/>
    <mergeCell ref="CI45:CL45"/>
    <mergeCell ref="CM45:CP45"/>
    <mergeCell ref="CQ45:CT45"/>
    <mergeCell ref="CU45:CX45"/>
    <mergeCell ref="CY45:DB45"/>
    <mergeCell ref="BF45:BJ45"/>
    <mergeCell ref="BK45:BN45"/>
    <mergeCell ref="BO45:BR45"/>
    <mergeCell ref="BS45:BV45"/>
    <mergeCell ref="BW45:BZ45"/>
    <mergeCell ref="CA45:CD45"/>
    <mergeCell ref="EM46:EP46"/>
    <mergeCell ref="EQ46:ES46"/>
    <mergeCell ref="C45:Y45"/>
    <mergeCell ref="Z45:AC45"/>
    <mergeCell ref="AD45:AF45"/>
    <mergeCell ref="AG45:AK45"/>
    <mergeCell ref="AL45:AP45"/>
    <mergeCell ref="AQ45:AU45"/>
    <mergeCell ref="AV45:AZ45"/>
    <mergeCell ref="BA45:BE45"/>
    <mergeCell ref="DO44:DR44"/>
    <mergeCell ref="DS44:DV44"/>
    <mergeCell ref="DW44:DZ44"/>
    <mergeCell ref="EA44:ED44"/>
    <mergeCell ref="EE44:EH44"/>
    <mergeCell ref="EI44:EL44"/>
    <mergeCell ref="CQ44:CT44"/>
    <mergeCell ref="CU44:CX44"/>
    <mergeCell ref="CY44:DB44"/>
    <mergeCell ref="DC44:DF44"/>
    <mergeCell ref="DG44:DJ44"/>
    <mergeCell ref="DK44:DN44"/>
    <mergeCell ref="BS44:BV44"/>
    <mergeCell ref="BW44:BZ44"/>
    <mergeCell ref="CA44:CD44"/>
    <mergeCell ref="CE44:CH44"/>
    <mergeCell ref="CI44:CL44"/>
    <mergeCell ref="CM44:CP44"/>
    <mergeCell ref="AQ44:AU44"/>
    <mergeCell ref="AV44:AZ44"/>
    <mergeCell ref="BA44:BE44"/>
    <mergeCell ref="BF44:BJ44"/>
    <mergeCell ref="BK44:BN44"/>
    <mergeCell ref="BO44:BR44"/>
    <mergeCell ref="EA45:ED45"/>
    <mergeCell ref="EE45:EH45"/>
    <mergeCell ref="EI45:EL45"/>
    <mergeCell ref="EM43:EP43"/>
    <mergeCell ref="EQ43:ES43"/>
    <mergeCell ref="C44:Y44"/>
    <mergeCell ref="Z44:AC44"/>
    <mergeCell ref="AD44:AF44"/>
    <mergeCell ref="AG44:AK44"/>
    <mergeCell ref="AL44:AP44"/>
    <mergeCell ref="DC43:DF43"/>
    <mergeCell ref="DG43:DJ43"/>
    <mergeCell ref="DK43:DN43"/>
    <mergeCell ref="DO43:DR43"/>
    <mergeCell ref="DS43:DV43"/>
    <mergeCell ref="DW43:DZ43"/>
    <mergeCell ref="CE43:CH43"/>
    <mergeCell ref="CI43:CL43"/>
    <mergeCell ref="CM43:CP43"/>
    <mergeCell ref="CQ43:CT43"/>
    <mergeCell ref="CU43:CX43"/>
    <mergeCell ref="CY43:DB43"/>
    <mergeCell ref="BF43:BJ43"/>
    <mergeCell ref="BK43:BN43"/>
    <mergeCell ref="BO43:BR43"/>
    <mergeCell ref="BS43:BV43"/>
    <mergeCell ref="BW43:BZ43"/>
    <mergeCell ref="CA43:CD43"/>
    <mergeCell ref="EM44:EP44"/>
    <mergeCell ref="EQ44:ES44"/>
    <mergeCell ref="C43:Y43"/>
    <mergeCell ref="Z43:AC43"/>
    <mergeCell ref="AD43:AF43"/>
    <mergeCell ref="AG43:AK43"/>
    <mergeCell ref="AL43:AP43"/>
    <mergeCell ref="AQ43:AU43"/>
    <mergeCell ref="AV43:AZ43"/>
    <mergeCell ref="BA43:BE43"/>
    <mergeCell ref="DO42:DR42"/>
    <mergeCell ref="DS42:DV42"/>
    <mergeCell ref="DW42:DZ42"/>
    <mergeCell ref="EA42:ED42"/>
    <mergeCell ref="EE42:EH42"/>
    <mergeCell ref="EI42:EL42"/>
    <mergeCell ref="CQ42:CT42"/>
    <mergeCell ref="CU42:CX42"/>
    <mergeCell ref="CY42:DB42"/>
    <mergeCell ref="DC42:DF42"/>
    <mergeCell ref="DG42:DJ42"/>
    <mergeCell ref="DK42:DN42"/>
    <mergeCell ref="BS42:BV42"/>
    <mergeCell ref="BW42:BZ42"/>
    <mergeCell ref="CA42:CD42"/>
    <mergeCell ref="CE42:CH42"/>
    <mergeCell ref="CI42:CL42"/>
    <mergeCell ref="CM42:CP42"/>
    <mergeCell ref="AQ42:AU42"/>
    <mergeCell ref="AV42:AZ42"/>
    <mergeCell ref="BA42:BE42"/>
    <mergeCell ref="BF42:BJ42"/>
    <mergeCell ref="BK42:BN42"/>
    <mergeCell ref="BO42:BR42"/>
    <mergeCell ref="EA43:ED43"/>
    <mergeCell ref="EE43:EH43"/>
    <mergeCell ref="EI43:EL43"/>
    <mergeCell ref="EA41:ED41"/>
    <mergeCell ref="EE41:EH41"/>
    <mergeCell ref="EI41:EL41"/>
    <mergeCell ref="EM41:EP41"/>
    <mergeCell ref="EQ41:ES41"/>
    <mergeCell ref="C42:Y42"/>
    <mergeCell ref="Z42:AC42"/>
    <mergeCell ref="AD42:AF42"/>
    <mergeCell ref="AG42:AK42"/>
    <mergeCell ref="AL42:AP42"/>
    <mergeCell ref="DC41:DF41"/>
    <mergeCell ref="DG41:DJ41"/>
    <mergeCell ref="DK41:DN41"/>
    <mergeCell ref="DO41:DR41"/>
    <mergeCell ref="DS41:DV41"/>
    <mergeCell ref="DW41:DZ41"/>
    <mergeCell ref="CE41:CH41"/>
    <mergeCell ref="CI41:CL41"/>
    <mergeCell ref="CM41:CP41"/>
    <mergeCell ref="CQ41:CT41"/>
    <mergeCell ref="CU41:CX41"/>
    <mergeCell ref="CY41:DB41"/>
    <mergeCell ref="BF41:BJ41"/>
    <mergeCell ref="BK41:BN41"/>
    <mergeCell ref="BO41:BR41"/>
    <mergeCell ref="BS41:BV41"/>
    <mergeCell ref="BW41:BZ41"/>
    <mergeCell ref="CA41:CD41"/>
    <mergeCell ref="EM42:EP42"/>
    <mergeCell ref="EQ42:ES42"/>
    <mergeCell ref="EQ40:ES40"/>
    <mergeCell ref="C41:Y41"/>
    <mergeCell ref="Z41:AC41"/>
    <mergeCell ref="AD41:AF41"/>
    <mergeCell ref="AG41:AK41"/>
    <mergeCell ref="AL41:AP41"/>
    <mergeCell ref="AQ41:AU41"/>
    <mergeCell ref="AV41:AZ41"/>
    <mergeCell ref="BA41:BE41"/>
    <mergeCell ref="DO40:DR40"/>
    <mergeCell ref="DS40:DV40"/>
    <mergeCell ref="DW40:DZ40"/>
    <mergeCell ref="EA40:ED40"/>
    <mergeCell ref="EE40:EH40"/>
    <mergeCell ref="EI40:EL40"/>
    <mergeCell ref="CQ40:CT40"/>
    <mergeCell ref="CU40:CX40"/>
    <mergeCell ref="CY40:DB40"/>
    <mergeCell ref="DC40:DF40"/>
    <mergeCell ref="DG40:DJ40"/>
    <mergeCell ref="DK40:DN40"/>
    <mergeCell ref="BS40:BV40"/>
    <mergeCell ref="BW40:BZ40"/>
    <mergeCell ref="CA40:CD40"/>
    <mergeCell ref="CE40:CH40"/>
    <mergeCell ref="CI40:CL40"/>
    <mergeCell ref="CM40:CP40"/>
    <mergeCell ref="AQ40:AU40"/>
    <mergeCell ref="AV40:AZ40"/>
    <mergeCell ref="BA40:BE40"/>
    <mergeCell ref="BF40:BJ40"/>
    <mergeCell ref="BK40:BN40"/>
    <mergeCell ref="BO40:BR40"/>
    <mergeCell ref="DW39:DZ39"/>
    <mergeCell ref="EA39:ED39"/>
    <mergeCell ref="EE39:EH39"/>
    <mergeCell ref="EI39:EL39"/>
    <mergeCell ref="EM39:EP39"/>
    <mergeCell ref="C40:Y40"/>
    <mergeCell ref="Z40:AC40"/>
    <mergeCell ref="AD40:AF40"/>
    <mergeCell ref="AG40:AK40"/>
    <mergeCell ref="AL40:AP40"/>
    <mergeCell ref="CY39:DB39"/>
    <mergeCell ref="DC39:DF39"/>
    <mergeCell ref="DG39:DJ39"/>
    <mergeCell ref="DK39:DN39"/>
    <mergeCell ref="DO39:DR39"/>
    <mergeCell ref="DS39:DV39"/>
    <mergeCell ref="CA39:CD39"/>
    <mergeCell ref="CE39:CH39"/>
    <mergeCell ref="CI39:CL39"/>
    <mergeCell ref="CM39:CP39"/>
    <mergeCell ref="CQ39:CT39"/>
    <mergeCell ref="CU39:CX39"/>
    <mergeCell ref="BA39:BE39"/>
    <mergeCell ref="BF39:BJ39"/>
    <mergeCell ref="BK39:BN39"/>
    <mergeCell ref="BO39:BR39"/>
    <mergeCell ref="BS39:BV39"/>
    <mergeCell ref="BW39:BZ39"/>
    <mergeCell ref="EM40:EP40"/>
    <mergeCell ref="EQ38:ES39"/>
    <mergeCell ref="C39:Y39"/>
    <mergeCell ref="Z39:AC39"/>
    <mergeCell ref="AD39:AF39"/>
    <mergeCell ref="AG39:AK39"/>
    <mergeCell ref="AL39:AP39"/>
    <mergeCell ref="AQ39:AU39"/>
    <mergeCell ref="AV39:AZ39"/>
    <mergeCell ref="DK38:DN38"/>
    <mergeCell ref="DO38:DR38"/>
    <mergeCell ref="DS38:DV38"/>
    <mergeCell ref="DW38:DZ38"/>
    <mergeCell ref="EA38:ED38"/>
    <mergeCell ref="EE38:EH38"/>
    <mergeCell ref="CM38:CP38"/>
    <mergeCell ref="CQ38:CT38"/>
    <mergeCell ref="CU38:CX38"/>
    <mergeCell ref="CY38:DB38"/>
    <mergeCell ref="DC38:DF38"/>
    <mergeCell ref="DG38:DJ38"/>
    <mergeCell ref="AG33:AK38"/>
    <mergeCell ref="AL33:AP38"/>
    <mergeCell ref="AQ33:AU38"/>
    <mergeCell ref="AV33:AZ38"/>
    <mergeCell ref="BA33:BE38"/>
    <mergeCell ref="BF33:BJ38"/>
    <mergeCell ref="EQ31:ES37"/>
    <mergeCell ref="Z32:AF38"/>
    <mergeCell ref="AG32:BJ32"/>
    <mergeCell ref="BK32:BN38"/>
    <mergeCell ref="DC33:EP33"/>
    <mergeCell ref="BO34:BV34"/>
    <mergeCell ref="DK34:DR34"/>
    <mergeCell ref="DS34:DZ34"/>
    <mergeCell ref="EI36:EL36"/>
    <mergeCell ref="EM36:EP36"/>
    <mergeCell ref="BO37:DB37"/>
    <mergeCell ref="DC37:EP37"/>
    <mergeCell ref="BO38:BR38"/>
    <mergeCell ref="BS38:BV38"/>
    <mergeCell ref="BW38:BZ38"/>
    <mergeCell ref="CA38:CD38"/>
    <mergeCell ref="CE38:CH38"/>
    <mergeCell ref="CI38:CL38"/>
    <mergeCell ref="DK36:DN36"/>
    <mergeCell ref="DO36:DR36"/>
    <mergeCell ref="DS36:DV36"/>
    <mergeCell ref="DW36:DZ36"/>
    <mergeCell ref="EA36:ED36"/>
    <mergeCell ref="EE36:EH36"/>
    <mergeCell ref="CM36:CP36"/>
    <mergeCell ref="CQ36:CT36"/>
    <mergeCell ref="CU36:CX36"/>
    <mergeCell ref="CY36:DB36"/>
    <mergeCell ref="DC36:DF36"/>
    <mergeCell ref="DG36:DJ36"/>
    <mergeCell ref="EI38:EL38"/>
    <mergeCell ref="EM38:EP38"/>
    <mergeCell ref="BO32:BV32"/>
    <mergeCell ref="BW32:CD32"/>
    <mergeCell ref="CE32:CL32"/>
    <mergeCell ref="CM32:CT32"/>
    <mergeCell ref="CU32:DB32"/>
    <mergeCell ref="DC32:DJ32"/>
    <mergeCell ref="A31:A38"/>
    <mergeCell ref="B31:B38"/>
    <mergeCell ref="C31:Y38"/>
    <mergeCell ref="Z31:BN31"/>
    <mergeCell ref="BO31:DB31"/>
    <mergeCell ref="DC31:EP31"/>
    <mergeCell ref="DK32:DR32"/>
    <mergeCell ref="DS32:DZ32"/>
    <mergeCell ref="EA32:EH32"/>
    <mergeCell ref="EI32:EP32"/>
    <mergeCell ref="EA34:EH34"/>
    <mergeCell ref="EI34:EP34"/>
    <mergeCell ref="BO35:DB35"/>
    <mergeCell ref="DC35:EP35"/>
    <mergeCell ref="BO36:BR36"/>
    <mergeCell ref="BS36:BV36"/>
    <mergeCell ref="BW36:BZ36"/>
    <mergeCell ref="CA36:CD36"/>
    <mergeCell ref="CE36:CH36"/>
    <mergeCell ref="CI36:CL36"/>
    <mergeCell ref="BO33:DB33"/>
    <mergeCell ref="BW34:CD34"/>
    <mergeCell ref="CE34:CL34"/>
    <mergeCell ref="CM34:CT34"/>
    <mergeCell ref="CU34:DB34"/>
    <mergeCell ref="DC34:DJ34"/>
    <mergeCell ref="D5:AF5"/>
    <mergeCell ref="AO5:CV5"/>
    <mergeCell ref="D6:AF6"/>
    <mergeCell ref="AO6:CV6"/>
    <mergeCell ref="DA5:EG5"/>
    <mergeCell ref="AO2:CV2"/>
    <mergeCell ref="D3:AF3"/>
    <mergeCell ref="AO3:CV3"/>
    <mergeCell ref="DA3:EG3"/>
    <mergeCell ref="D4:AF4"/>
    <mergeCell ref="AO4:CV4"/>
    <mergeCell ref="DA4:EG4"/>
    <mergeCell ref="D7:AF7"/>
    <mergeCell ref="AO7:CV7"/>
    <mergeCell ref="DA6:EG6"/>
    <mergeCell ref="AO8:CV8"/>
    <mergeCell ref="A9:ES9"/>
  </mergeCells>
  <printOptions horizontalCentered="1" verticalCentered="1"/>
  <pageMargins left="0.5" right="0.5" top="0.5" bottom="0.25" header="0.31496062992126" footer="0.31496062992126"/>
  <pageSetup paperSize="9" scale="13" fitToHeight="0" orientation="landscape" horizontalDpi="360" verticalDpi="360" r:id="rId1"/>
  <rowBreaks count="2" manualBreakCount="2">
    <brk id="53" max="148" man="1"/>
    <brk id="82" max="148"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9"/>
  <sheetViews>
    <sheetView topLeftCell="F21" workbookViewId="0">
      <selection activeCell="M36" sqref="M36"/>
    </sheetView>
  </sheetViews>
  <sheetFormatPr defaultRowHeight="12.75" x14ac:dyDescent="0.2"/>
  <cols>
    <col min="1" max="1" width="11.7109375" bestFit="1" customWidth="1"/>
    <col min="2" max="2" width="33.7109375" customWidth="1"/>
    <col min="5" max="5" width="40.85546875" customWidth="1"/>
    <col min="8" max="8" width="35.85546875" customWidth="1"/>
    <col min="11" max="11" width="52.28515625" bestFit="1" customWidth="1"/>
  </cols>
  <sheetData>
    <row r="1" spans="1:9" ht="12.75" customHeight="1" x14ac:dyDescent="0.2">
      <c r="A1" s="197" t="s">
        <v>193</v>
      </c>
      <c r="B1" s="197" t="s">
        <v>184</v>
      </c>
      <c r="C1" s="197">
        <v>12</v>
      </c>
      <c r="D1" s="197" t="s">
        <v>193</v>
      </c>
      <c r="E1" s="197" t="s">
        <v>184</v>
      </c>
      <c r="F1" s="197">
        <v>12</v>
      </c>
      <c r="G1" s="197" t="s">
        <v>194</v>
      </c>
      <c r="H1" s="197" t="s">
        <v>195</v>
      </c>
      <c r="I1" s="197">
        <v>12</v>
      </c>
    </row>
    <row r="2" spans="1:9" ht="12.75" customHeight="1" x14ac:dyDescent="0.2">
      <c r="A2" s="197" t="s">
        <v>194</v>
      </c>
      <c r="B2" s="197" t="s">
        <v>195</v>
      </c>
      <c r="C2" s="197"/>
      <c r="D2" s="197" t="s">
        <v>194</v>
      </c>
      <c r="E2" s="197" t="s">
        <v>195</v>
      </c>
      <c r="F2" s="197">
        <v>0</v>
      </c>
      <c r="G2" s="197" t="s">
        <v>132</v>
      </c>
      <c r="H2" s="197" t="s">
        <v>131</v>
      </c>
      <c r="I2" s="197">
        <v>0</v>
      </c>
    </row>
    <row r="3" spans="1:9" ht="12.75" customHeight="1" x14ac:dyDescent="0.2">
      <c r="A3" s="198" t="s">
        <v>192</v>
      </c>
      <c r="B3" s="198" t="s">
        <v>185</v>
      </c>
      <c r="C3" s="198">
        <v>12</v>
      </c>
      <c r="D3" s="197" t="s">
        <v>133</v>
      </c>
      <c r="E3" s="197" t="s">
        <v>196</v>
      </c>
      <c r="F3" s="197">
        <v>2</v>
      </c>
      <c r="G3" s="197" t="s">
        <v>133</v>
      </c>
      <c r="H3" s="197" t="s">
        <v>196</v>
      </c>
      <c r="I3" s="197">
        <v>2</v>
      </c>
    </row>
    <row r="4" spans="1:9" ht="12.75" customHeight="1" x14ac:dyDescent="0.2">
      <c r="A4" s="198" t="s">
        <v>141</v>
      </c>
      <c r="B4" s="198" t="s">
        <v>140</v>
      </c>
      <c r="C4" s="198"/>
      <c r="D4" s="197" t="s">
        <v>134</v>
      </c>
      <c r="E4" s="197" t="s">
        <v>101</v>
      </c>
      <c r="F4" s="197">
        <v>0</v>
      </c>
      <c r="G4" s="197" t="s">
        <v>134</v>
      </c>
      <c r="H4" s="197" t="s">
        <v>101</v>
      </c>
      <c r="I4" s="197">
        <v>0</v>
      </c>
    </row>
    <row r="5" spans="1:9" ht="12.75" customHeight="1" x14ac:dyDescent="0.2">
      <c r="A5" s="197" t="s">
        <v>135</v>
      </c>
      <c r="B5" s="197" t="s">
        <v>104</v>
      </c>
      <c r="C5" s="197">
        <v>4</v>
      </c>
      <c r="D5" s="197" t="s">
        <v>135</v>
      </c>
      <c r="E5" s="197" t="s">
        <v>104</v>
      </c>
      <c r="F5" s="197">
        <v>4</v>
      </c>
      <c r="G5" s="197" t="s">
        <v>135</v>
      </c>
      <c r="H5" s="197" t="s">
        <v>104</v>
      </c>
      <c r="I5" s="197">
        <v>4</v>
      </c>
    </row>
    <row r="6" spans="1:9" ht="12.75" customHeight="1" x14ac:dyDescent="0.2">
      <c r="A6" s="197" t="s">
        <v>100</v>
      </c>
      <c r="B6" s="197" t="s">
        <v>98</v>
      </c>
      <c r="C6" s="197"/>
      <c r="D6" s="197" t="s">
        <v>100</v>
      </c>
      <c r="E6" s="197" t="s">
        <v>98</v>
      </c>
      <c r="F6" s="197">
        <v>0</v>
      </c>
      <c r="G6" s="197" t="s">
        <v>100</v>
      </c>
      <c r="H6" s="197" t="s">
        <v>98</v>
      </c>
      <c r="I6" s="197">
        <v>0</v>
      </c>
    </row>
    <row r="7" spans="1:9" ht="12.75" customHeight="1" x14ac:dyDescent="0.2">
      <c r="A7" s="197" t="s">
        <v>202</v>
      </c>
      <c r="B7" s="197" t="s">
        <v>136</v>
      </c>
      <c r="C7" s="197">
        <v>2</v>
      </c>
      <c r="D7" s="197" t="s">
        <v>138</v>
      </c>
      <c r="E7" s="197" t="s">
        <v>136</v>
      </c>
      <c r="F7" s="197">
        <v>2</v>
      </c>
      <c r="G7" s="197" t="s">
        <v>138</v>
      </c>
      <c r="H7" s="197" t="s">
        <v>136</v>
      </c>
      <c r="I7" s="197">
        <v>2</v>
      </c>
    </row>
    <row r="8" spans="1:9" ht="12.75" customHeight="1" x14ac:dyDescent="0.2">
      <c r="A8" s="197" t="s">
        <v>203</v>
      </c>
      <c r="B8" s="197" t="s">
        <v>137</v>
      </c>
      <c r="C8" s="197"/>
      <c r="D8" s="197" t="s">
        <v>139</v>
      </c>
      <c r="E8" s="197" t="s">
        <v>137</v>
      </c>
      <c r="F8" s="197">
        <v>0</v>
      </c>
      <c r="G8" s="197" t="s">
        <v>139</v>
      </c>
      <c r="H8" s="197" t="s">
        <v>137</v>
      </c>
      <c r="I8" s="197">
        <v>0</v>
      </c>
    </row>
    <row r="9" spans="1:9" ht="12.75" customHeight="1" x14ac:dyDescent="0.2">
      <c r="A9" s="197" t="s">
        <v>233</v>
      </c>
      <c r="B9" s="197" t="s">
        <v>196</v>
      </c>
      <c r="C9" s="197">
        <v>2</v>
      </c>
      <c r="D9" s="197" t="s">
        <v>192</v>
      </c>
      <c r="E9" s="197" t="s">
        <v>185</v>
      </c>
      <c r="F9" s="197">
        <v>12</v>
      </c>
      <c r="G9" t="s">
        <v>141</v>
      </c>
      <c r="H9" t="s">
        <v>140</v>
      </c>
      <c r="I9">
        <v>12</v>
      </c>
    </row>
    <row r="10" spans="1:9" ht="12.75" customHeight="1" x14ac:dyDescent="0.2">
      <c r="A10" s="197" t="s">
        <v>201</v>
      </c>
      <c r="B10" s="197" t="s">
        <v>101</v>
      </c>
      <c r="C10" s="197"/>
      <c r="D10" s="197" t="s">
        <v>141</v>
      </c>
      <c r="E10" s="197" t="s">
        <v>140</v>
      </c>
      <c r="F10" s="197">
        <v>0</v>
      </c>
      <c r="G10" t="s">
        <v>142</v>
      </c>
      <c r="H10" t="s">
        <v>105</v>
      </c>
      <c r="I10">
        <v>0</v>
      </c>
    </row>
    <row r="11" spans="1:9" ht="12.75" customHeight="1" x14ac:dyDescent="0.2">
      <c r="A11" s="197" t="s">
        <v>199</v>
      </c>
      <c r="B11" s="197" t="s">
        <v>143</v>
      </c>
      <c r="C11" s="197">
        <v>4</v>
      </c>
      <c r="D11" s="197" t="s">
        <v>144</v>
      </c>
      <c r="E11" s="197" t="s">
        <v>143</v>
      </c>
      <c r="F11" s="197">
        <v>4</v>
      </c>
      <c r="G11" s="197" t="s">
        <v>144</v>
      </c>
      <c r="H11" s="197" t="s">
        <v>143</v>
      </c>
      <c r="I11" s="197">
        <v>4</v>
      </c>
    </row>
    <row r="12" spans="1:9" ht="12.75" customHeight="1" x14ac:dyDescent="0.2">
      <c r="A12" s="197" t="s">
        <v>200</v>
      </c>
      <c r="B12" s="197" t="s">
        <v>106</v>
      </c>
      <c r="C12" s="197"/>
      <c r="D12" s="197" t="s">
        <v>146</v>
      </c>
      <c r="E12" s="197" t="s">
        <v>145</v>
      </c>
      <c r="F12" s="197">
        <v>0</v>
      </c>
      <c r="G12" s="197" t="s">
        <v>146</v>
      </c>
      <c r="H12" s="197" t="s">
        <v>145</v>
      </c>
      <c r="I12" s="197">
        <v>0</v>
      </c>
    </row>
    <row r="13" spans="1:9" ht="12.75" customHeight="1" x14ac:dyDescent="0.2">
      <c r="A13" s="197" t="s">
        <v>152</v>
      </c>
      <c r="B13" s="197" t="s">
        <v>150</v>
      </c>
      <c r="C13" s="197">
        <v>4</v>
      </c>
      <c r="D13" t="s">
        <v>147</v>
      </c>
      <c r="E13" t="s">
        <v>106</v>
      </c>
      <c r="F13">
        <v>4</v>
      </c>
      <c r="G13" s="197" t="s">
        <v>152</v>
      </c>
      <c r="H13" s="197" t="s">
        <v>150</v>
      </c>
      <c r="I13" s="197">
        <v>4</v>
      </c>
    </row>
    <row r="14" spans="1:9" ht="12.75" customHeight="1" x14ac:dyDescent="0.2">
      <c r="A14" s="197" t="s">
        <v>153</v>
      </c>
      <c r="B14" s="197" t="s">
        <v>151</v>
      </c>
      <c r="C14" s="197"/>
      <c r="D14" t="s">
        <v>149</v>
      </c>
      <c r="E14" t="s">
        <v>148</v>
      </c>
      <c r="F14">
        <v>0</v>
      </c>
      <c r="G14" s="197" t="s">
        <v>153</v>
      </c>
      <c r="H14" s="197" t="s">
        <v>151</v>
      </c>
      <c r="I14" s="197">
        <v>0</v>
      </c>
    </row>
    <row r="15" spans="1:9" ht="12.75" customHeight="1" x14ac:dyDescent="0.2">
      <c r="A15" s="197" t="s">
        <v>197</v>
      </c>
      <c r="B15" s="197" t="s">
        <v>131</v>
      </c>
      <c r="C15" s="197">
        <v>4</v>
      </c>
      <c r="D15" s="197" t="s">
        <v>152</v>
      </c>
      <c r="E15" s="197" t="s">
        <v>150</v>
      </c>
      <c r="F15" s="197">
        <v>4</v>
      </c>
      <c r="G15" s="197" t="s">
        <v>147</v>
      </c>
      <c r="H15" s="197" t="s">
        <v>154</v>
      </c>
      <c r="I15" s="197">
        <v>4</v>
      </c>
    </row>
    <row r="16" spans="1:9" ht="12.75" customHeight="1" x14ac:dyDescent="0.2">
      <c r="A16" s="197" t="s">
        <v>198</v>
      </c>
      <c r="B16" s="197" t="s">
        <v>107</v>
      </c>
      <c r="C16" s="197"/>
      <c r="D16" s="197" t="s">
        <v>153</v>
      </c>
      <c r="E16" s="197" t="s">
        <v>151</v>
      </c>
      <c r="F16" s="197">
        <v>0</v>
      </c>
      <c r="G16" s="197" t="s">
        <v>149</v>
      </c>
      <c r="H16" s="197" t="s">
        <v>107</v>
      </c>
      <c r="I16" s="197">
        <v>0</v>
      </c>
    </row>
    <row r="17" spans="1:13" ht="12.75" customHeight="1" x14ac:dyDescent="0.2">
      <c r="A17" s="197" t="s">
        <v>156</v>
      </c>
      <c r="B17" s="197" t="s">
        <v>155</v>
      </c>
      <c r="C17" s="197">
        <v>4</v>
      </c>
      <c r="D17" s="197" t="s">
        <v>132</v>
      </c>
      <c r="E17" s="197" t="s">
        <v>131</v>
      </c>
      <c r="F17" s="197">
        <v>8</v>
      </c>
      <c r="G17" s="197" t="s">
        <v>156</v>
      </c>
      <c r="H17" s="197" t="s">
        <v>155</v>
      </c>
      <c r="I17" s="197">
        <v>4</v>
      </c>
    </row>
    <row r="18" spans="1:13" ht="12.75" customHeight="1" x14ac:dyDescent="0.2">
      <c r="A18" s="197" t="s">
        <v>157</v>
      </c>
      <c r="B18" s="197" t="s">
        <v>99</v>
      </c>
      <c r="C18" s="197"/>
      <c r="D18" s="197" t="s">
        <v>149</v>
      </c>
      <c r="E18" s="197" t="s">
        <v>107</v>
      </c>
      <c r="F18" s="197">
        <v>0</v>
      </c>
      <c r="G18" s="197" t="s">
        <v>157</v>
      </c>
      <c r="H18" s="197" t="s">
        <v>99</v>
      </c>
      <c r="I18" s="197">
        <v>0</v>
      </c>
    </row>
    <row r="19" spans="1:13" ht="12.75" customHeight="1" x14ac:dyDescent="0.2">
      <c r="D19" s="197" t="s">
        <v>156</v>
      </c>
      <c r="E19" s="197" t="s">
        <v>155</v>
      </c>
      <c r="F19" s="197">
        <v>4</v>
      </c>
    </row>
    <row r="20" spans="1:13" ht="12.75" customHeight="1" x14ac:dyDescent="0.2">
      <c r="D20" s="197" t="s">
        <v>157</v>
      </c>
      <c r="E20" s="197" t="s">
        <v>99</v>
      </c>
      <c r="F20" s="197">
        <v>0</v>
      </c>
    </row>
    <row r="24" spans="1:13" x14ac:dyDescent="0.2">
      <c r="A24" s="219" t="s">
        <v>109</v>
      </c>
      <c r="B24" s="219" t="s">
        <v>70</v>
      </c>
      <c r="C24" s="221" t="s">
        <v>258</v>
      </c>
      <c r="D24" s="219" t="s">
        <v>109</v>
      </c>
      <c r="E24" s="219" t="s">
        <v>70</v>
      </c>
      <c r="F24" s="222" t="s">
        <v>258</v>
      </c>
      <c r="G24" s="219" t="s">
        <v>109</v>
      </c>
      <c r="H24" s="219" t="s">
        <v>70</v>
      </c>
      <c r="I24" s="222" t="s">
        <v>269</v>
      </c>
      <c r="J24" s="219" t="s">
        <v>109</v>
      </c>
      <c r="K24" s="219" t="s">
        <v>70</v>
      </c>
      <c r="L24" s="221">
        <v>10</v>
      </c>
      <c r="M24" s="221" t="s">
        <v>269</v>
      </c>
    </row>
    <row r="25" spans="1:13" x14ac:dyDescent="0.2">
      <c r="A25" s="219" t="s">
        <v>68</v>
      </c>
      <c r="B25" s="219" t="s">
        <v>69</v>
      </c>
      <c r="C25" s="221">
        <v>2</v>
      </c>
      <c r="D25" s="219" t="s">
        <v>68</v>
      </c>
      <c r="E25" s="219" t="s">
        <v>69</v>
      </c>
      <c r="F25" s="222">
        <v>3</v>
      </c>
      <c r="G25" s="219" t="s">
        <v>68</v>
      </c>
      <c r="H25" s="219" t="s">
        <v>69</v>
      </c>
      <c r="I25" s="222">
        <v>3</v>
      </c>
      <c r="J25" s="219" t="s">
        <v>68</v>
      </c>
      <c r="K25" s="219" t="s">
        <v>69</v>
      </c>
      <c r="L25" s="221">
        <v>4</v>
      </c>
      <c r="M25" s="221">
        <v>3</v>
      </c>
    </row>
    <row r="26" spans="1:13" x14ac:dyDescent="0.2">
      <c r="A26" s="219" t="s">
        <v>110</v>
      </c>
      <c r="B26" s="219" t="s">
        <v>36</v>
      </c>
      <c r="C26" s="221">
        <v>2</v>
      </c>
      <c r="D26" s="219" t="s">
        <v>110</v>
      </c>
      <c r="E26" s="219" t="s">
        <v>36</v>
      </c>
      <c r="F26" s="222">
        <v>3</v>
      </c>
      <c r="G26" s="219" t="s">
        <v>110</v>
      </c>
      <c r="H26" s="219" t="s">
        <v>36</v>
      </c>
      <c r="I26" s="222">
        <v>3</v>
      </c>
      <c r="J26" s="219" t="s">
        <v>110</v>
      </c>
      <c r="K26" s="219" t="s">
        <v>36</v>
      </c>
      <c r="L26" s="221">
        <v>5</v>
      </c>
      <c r="M26" s="221">
        <v>3</v>
      </c>
    </row>
    <row r="27" spans="1:13" x14ac:dyDescent="0.2">
      <c r="A27" s="219" t="s">
        <v>113</v>
      </c>
      <c r="B27" s="219" t="s">
        <v>111</v>
      </c>
      <c r="C27" s="221">
        <v>1</v>
      </c>
      <c r="D27" s="219" t="s">
        <v>113</v>
      </c>
      <c r="E27" s="219" t="s">
        <v>111</v>
      </c>
      <c r="F27" s="222">
        <v>1</v>
      </c>
      <c r="G27" s="219" t="s">
        <v>113</v>
      </c>
      <c r="H27" s="219" t="s">
        <v>111</v>
      </c>
      <c r="I27" s="222" t="s">
        <v>258</v>
      </c>
      <c r="J27" s="219" t="s">
        <v>113</v>
      </c>
      <c r="K27" s="219" t="s">
        <v>111</v>
      </c>
      <c r="L27" s="221">
        <v>6</v>
      </c>
      <c r="M27" s="221" t="s">
        <v>258</v>
      </c>
    </row>
    <row r="28" spans="1:13" x14ac:dyDescent="0.2">
      <c r="A28" s="219" t="s">
        <v>112</v>
      </c>
      <c r="B28" s="219" t="s">
        <v>175</v>
      </c>
      <c r="C28" s="221">
        <v>2</v>
      </c>
      <c r="D28" s="219" t="s">
        <v>112</v>
      </c>
      <c r="E28" s="219" t="s">
        <v>175</v>
      </c>
      <c r="F28" s="222">
        <v>3</v>
      </c>
      <c r="G28" s="219" t="s">
        <v>112</v>
      </c>
      <c r="H28" s="219" t="s">
        <v>175</v>
      </c>
      <c r="I28" s="222">
        <v>3</v>
      </c>
      <c r="J28" s="219" t="s">
        <v>112</v>
      </c>
      <c r="K28" s="219" t="s">
        <v>175</v>
      </c>
      <c r="L28" s="221">
        <v>4</v>
      </c>
      <c r="M28" s="221">
        <v>3</v>
      </c>
    </row>
    <row r="29" spans="1:13" x14ac:dyDescent="0.2">
      <c r="A29" s="219" t="s">
        <v>115</v>
      </c>
      <c r="B29" s="219" t="s">
        <v>114</v>
      </c>
      <c r="C29" s="221">
        <v>1</v>
      </c>
      <c r="D29" s="219" t="s">
        <v>115</v>
      </c>
      <c r="E29" s="219" t="s">
        <v>114</v>
      </c>
      <c r="F29" s="222" t="s">
        <v>258</v>
      </c>
      <c r="G29" s="219" t="s">
        <v>115</v>
      </c>
      <c r="H29" s="219" t="s">
        <v>114</v>
      </c>
      <c r="I29" s="222" t="s">
        <v>258</v>
      </c>
      <c r="J29" s="219" t="s">
        <v>115</v>
      </c>
      <c r="K29" s="219" t="s">
        <v>114</v>
      </c>
      <c r="L29" s="221">
        <v>6</v>
      </c>
      <c r="M29" s="221" t="s">
        <v>258</v>
      </c>
    </row>
    <row r="30" spans="1:13" x14ac:dyDescent="0.2">
      <c r="A30" s="219" t="s">
        <v>116</v>
      </c>
      <c r="B30" s="219" t="s">
        <v>91</v>
      </c>
      <c r="C30" s="221">
        <v>1</v>
      </c>
      <c r="D30" s="219" t="s">
        <v>116</v>
      </c>
      <c r="E30" s="219" t="s">
        <v>91</v>
      </c>
      <c r="F30" s="222" t="s">
        <v>258</v>
      </c>
      <c r="G30" s="219" t="s">
        <v>116</v>
      </c>
      <c r="H30" s="219" t="s">
        <v>91</v>
      </c>
      <c r="I30" s="222" t="s">
        <v>258</v>
      </c>
      <c r="J30" s="219" t="s">
        <v>116</v>
      </c>
      <c r="K30" s="219" t="s">
        <v>91</v>
      </c>
      <c r="L30" s="221">
        <v>6</v>
      </c>
      <c r="M30" s="221" t="s">
        <v>258</v>
      </c>
    </row>
    <row r="31" spans="1:13" x14ac:dyDescent="0.2">
      <c r="A31" s="219" t="s">
        <v>118</v>
      </c>
      <c r="B31" s="219" t="s">
        <v>117</v>
      </c>
      <c r="C31" s="221" t="s">
        <v>258</v>
      </c>
      <c r="D31" s="219" t="s">
        <v>118</v>
      </c>
      <c r="E31" s="219" t="s">
        <v>117</v>
      </c>
      <c r="F31" s="222" t="s">
        <v>258</v>
      </c>
      <c r="G31" s="219" t="s">
        <v>118</v>
      </c>
      <c r="H31" s="219" t="s">
        <v>117</v>
      </c>
      <c r="I31" s="222" t="s">
        <v>258</v>
      </c>
      <c r="J31" s="219" t="s">
        <v>118</v>
      </c>
      <c r="K31" s="219" t="s">
        <v>117</v>
      </c>
      <c r="L31" s="221">
        <v>10</v>
      </c>
      <c r="M31" s="221" t="s">
        <v>258</v>
      </c>
    </row>
    <row r="32" spans="1:13" x14ac:dyDescent="0.2">
      <c r="A32" s="219" t="s">
        <v>119</v>
      </c>
      <c r="B32" s="219" t="s">
        <v>234</v>
      </c>
      <c r="C32" s="221">
        <v>2</v>
      </c>
      <c r="D32" s="219" t="s">
        <v>119</v>
      </c>
      <c r="E32" s="219" t="s">
        <v>103</v>
      </c>
      <c r="F32" s="222">
        <v>3</v>
      </c>
      <c r="G32" s="219" t="s">
        <v>119</v>
      </c>
      <c r="H32" s="219" t="s">
        <v>103</v>
      </c>
      <c r="I32" s="222">
        <v>3</v>
      </c>
      <c r="J32" s="219" t="s">
        <v>119</v>
      </c>
      <c r="K32" s="219" t="s">
        <v>103</v>
      </c>
      <c r="L32" s="221">
        <v>5</v>
      </c>
      <c r="M32" s="221">
        <v>3</v>
      </c>
    </row>
    <row r="33" spans="1:13" x14ac:dyDescent="0.2">
      <c r="A33" s="219" t="s">
        <v>120</v>
      </c>
      <c r="B33" s="219" t="s">
        <v>71</v>
      </c>
      <c r="C33" s="221" t="s">
        <v>270</v>
      </c>
      <c r="D33" s="219" t="s">
        <v>120</v>
      </c>
      <c r="E33" s="219" t="s">
        <v>71</v>
      </c>
      <c r="F33" s="222"/>
      <c r="G33" s="219" t="s">
        <v>120</v>
      </c>
      <c r="H33" s="219" t="s">
        <v>71</v>
      </c>
      <c r="I33" s="222"/>
      <c r="J33" s="219" t="s">
        <v>120</v>
      </c>
      <c r="K33" s="219" t="s">
        <v>71</v>
      </c>
      <c r="L33" s="221">
        <v>8</v>
      </c>
      <c r="M33" s="221"/>
    </row>
    <row r="34" spans="1:13" x14ac:dyDescent="0.2">
      <c r="A34" s="219" t="s">
        <v>257</v>
      </c>
      <c r="B34" s="219" t="s">
        <v>121</v>
      </c>
      <c r="C34" s="221">
        <v>4</v>
      </c>
      <c r="D34" s="219" t="s">
        <v>257</v>
      </c>
      <c r="E34" s="219" t="s">
        <v>121</v>
      </c>
      <c r="F34" s="222"/>
      <c r="G34" s="219" t="s">
        <v>257</v>
      </c>
      <c r="H34" s="219" t="s">
        <v>121</v>
      </c>
      <c r="I34" s="222"/>
      <c r="J34" s="219" t="s">
        <v>257</v>
      </c>
      <c r="K34" s="219" t="s">
        <v>121</v>
      </c>
      <c r="L34" s="221">
        <v>4</v>
      </c>
      <c r="M34" s="221"/>
    </row>
    <row r="35" spans="1:13" x14ac:dyDescent="0.2">
      <c r="A35" s="219" t="s">
        <v>123</v>
      </c>
      <c r="B35" s="219" t="s">
        <v>122</v>
      </c>
      <c r="C35" s="221">
        <v>3</v>
      </c>
      <c r="D35" s="219" t="s">
        <v>123</v>
      </c>
      <c r="E35" s="219" t="s">
        <v>122</v>
      </c>
      <c r="F35" s="222">
        <v>4</v>
      </c>
      <c r="G35" s="219" t="s">
        <v>123</v>
      </c>
      <c r="H35" s="219" t="s">
        <v>122</v>
      </c>
      <c r="I35" s="222">
        <v>4</v>
      </c>
      <c r="J35" s="219" t="s">
        <v>123</v>
      </c>
      <c r="K35" s="219" t="s">
        <v>122</v>
      </c>
      <c r="L35" s="221">
        <v>4</v>
      </c>
      <c r="M35" s="221">
        <v>4</v>
      </c>
    </row>
    <row r="36" spans="1:13" x14ac:dyDescent="0.2">
      <c r="A36" s="219" t="s">
        <v>124</v>
      </c>
      <c r="B36" s="219" t="s">
        <v>182</v>
      </c>
      <c r="C36" s="221">
        <v>3</v>
      </c>
      <c r="D36" s="219" t="s">
        <v>124</v>
      </c>
      <c r="E36" s="219" t="s">
        <v>182</v>
      </c>
      <c r="F36" s="222">
        <v>4</v>
      </c>
      <c r="G36" s="219" t="s">
        <v>124</v>
      </c>
      <c r="H36" s="219" t="s">
        <v>182</v>
      </c>
      <c r="I36" s="222">
        <v>4</v>
      </c>
      <c r="J36" s="219" t="s">
        <v>124</v>
      </c>
      <c r="K36" s="219" t="s">
        <v>182</v>
      </c>
      <c r="L36" s="221">
        <v>5</v>
      </c>
      <c r="M36" s="221">
        <v>4</v>
      </c>
    </row>
    <row r="37" spans="1:13" x14ac:dyDescent="0.2">
      <c r="A37" s="219" t="s">
        <v>96</v>
      </c>
      <c r="B37" s="219" t="s">
        <v>94</v>
      </c>
      <c r="C37" s="221" t="s">
        <v>270</v>
      </c>
      <c r="D37" s="219" t="s">
        <v>96</v>
      </c>
      <c r="E37" s="219" t="s">
        <v>94</v>
      </c>
      <c r="F37" s="222"/>
      <c r="G37" s="219" t="s">
        <v>96</v>
      </c>
      <c r="H37" s="219" t="s">
        <v>94</v>
      </c>
      <c r="I37" s="222"/>
      <c r="J37" s="219" t="s">
        <v>96</v>
      </c>
      <c r="K37" s="219" t="s">
        <v>94</v>
      </c>
      <c r="L37" s="221">
        <v>8</v>
      </c>
      <c r="M37" s="221"/>
    </row>
    <row r="38" spans="1:13" x14ac:dyDescent="0.2">
      <c r="A38" s="219" t="s">
        <v>125</v>
      </c>
      <c r="B38" s="219" t="s">
        <v>102</v>
      </c>
      <c r="C38" s="221">
        <v>4</v>
      </c>
      <c r="D38" s="219" t="s">
        <v>125</v>
      </c>
      <c r="E38" s="219" t="s">
        <v>102</v>
      </c>
      <c r="F38" s="222"/>
      <c r="G38" s="219" t="s">
        <v>125</v>
      </c>
      <c r="H38" s="219" t="s">
        <v>102</v>
      </c>
      <c r="I38" s="222"/>
      <c r="J38" s="219" t="s">
        <v>125</v>
      </c>
      <c r="K38" s="219" t="s">
        <v>102</v>
      </c>
      <c r="L38" s="221">
        <v>4</v>
      </c>
      <c r="M38" s="221"/>
    </row>
    <row r="39" spans="1:13" x14ac:dyDescent="0.2">
      <c r="A39" s="219" t="s">
        <v>127</v>
      </c>
      <c r="B39" s="219" t="s">
        <v>126</v>
      </c>
      <c r="C39" s="221"/>
      <c r="D39" s="219" t="s">
        <v>127</v>
      </c>
      <c r="E39" s="219" t="s">
        <v>126</v>
      </c>
      <c r="F39" s="222"/>
      <c r="G39" s="219" t="s">
        <v>127</v>
      </c>
      <c r="H39" s="219" t="s">
        <v>126</v>
      </c>
      <c r="I39" s="222"/>
      <c r="J39" s="219" t="s">
        <v>127</v>
      </c>
      <c r="K39" s="219" t="s">
        <v>126</v>
      </c>
      <c r="L39" s="221">
        <v>4</v>
      </c>
      <c r="M39" s="221"/>
    </row>
    <row r="40" spans="1:13" x14ac:dyDescent="0.2">
      <c r="A40" s="219" t="s">
        <v>129</v>
      </c>
      <c r="B40" s="219" t="s">
        <v>128</v>
      </c>
      <c r="C40" s="221"/>
      <c r="D40" s="219" t="s">
        <v>129</v>
      </c>
      <c r="E40" s="219" t="s">
        <v>128</v>
      </c>
      <c r="F40" s="222"/>
      <c r="G40" s="219" t="s">
        <v>129</v>
      </c>
      <c r="H40" s="219" t="s">
        <v>128</v>
      </c>
      <c r="I40" s="222"/>
      <c r="J40" s="219" t="s">
        <v>129</v>
      </c>
      <c r="K40" s="219" t="s">
        <v>128</v>
      </c>
      <c r="L40" s="221">
        <v>5</v>
      </c>
      <c r="M40" s="221"/>
    </row>
    <row r="41" spans="1:13" ht="13.5" thickBot="1" x14ac:dyDescent="0.25">
      <c r="A41" s="220" t="s">
        <v>183</v>
      </c>
      <c r="B41" s="220" t="s">
        <v>130</v>
      </c>
      <c r="C41" s="221"/>
      <c r="D41" s="220" t="s">
        <v>183</v>
      </c>
      <c r="E41" s="220" t="s">
        <v>130</v>
      </c>
      <c r="F41" s="222"/>
      <c r="G41" s="220" t="s">
        <v>183</v>
      </c>
      <c r="H41" s="220" t="s">
        <v>130</v>
      </c>
      <c r="I41" s="222"/>
      <c r="J41" s="220" t="s">
        <v>183</v>
      </c>
      <c r="K41" s="220" t="s">
        <v>130</v>
      </c>
      <c r="L41" s="221">
        <v>9</v>
      </c>
      <c r="M41" s="221"/>
    </row>
    <row r="42" spans="1:13" ht="12.75" customHeight="1" x14ac:dyDescent="0.2">
      <c r="A42" s="215" t="s">
        <v>193</v>
      </c>
      <c r="B42" s="216" t="s">
        <v>184</v>
      </c>
      <c r="C42" s="221" t="s">
        <v>271</v>
      </c>
      <c r="D42" s="215" t="s">
        <v>193</v>
      </c>
      <c r="E42" s="216" t="s">
        <v>184</v>
      </c>
      <c r="F42" s="222"/>
      <c r="G42" s="215" t="s">
        <v>193</v>
      </c>
      <c r="H42" s="216" t="s">
        <v>184</v>
      </c>
      <c r="I42" s="222"/>
      <c r="J42" s="223" t="s">
        <v>193</v>
      </c>
      <c r="K42" s="224" t="s">
        <v>184</v>
      </c>
      <c r="L42" s="221">
        <v>12</v>
      </c>
      <c r="M42" s="221"/>
    </row>
    <row r="43" spans="1:13" ht="13.5" customHeight="1" thickBot="1" x14ac:dyDescent="0.25">
      <c r="A43" s="217" t="s">
        <v>194</v>
      </c>
      <c r="B43" s="218" t="s">
        <v>195</v>
      </c>
      <c r="C43" s="221"/>
      <c r="D43" s="217" t="s">
        <v>194</v>
      </c>
      <c r="E43" s="218" t="s">
        <v>195</v>
      </c>
      <c r="F43" s="222">
        <v>4</v>
      </c>
      <c r="G43" s="217" t="s">
        <v>194</v>
      </c>
      <c r="H43" s="218" t="s">
        <v>195</v>
      </c>
      <c r="I43" s="222">
        <v>4</v>
      </c>
      <c r="J43" s="225" t="s">
        <v>194</v>
      </c>
      <c r="K43" s="226" t="s">
        <v>195</v>
      </c>
      <c r="L43" s="221"/>
      <c r="M43" s="221">
        <v>4</v>
      </c>
    </row>
    <row r="44" spans="1:13" ht="12.75" customHeight="1" x14ac:dyDescent="0.2">
      <c r="A44" s="215" t="s">
        <v>133</v>
      </c>
      <c r="B44" s="216" t="s">
        <v>196</v>
      </c>
      <c r="C44" s="221">
        <v>4</v>
      </c>
      <c r="D44" s="215" t="s">
        <v>133</v>
      </c>
      <c r="E44" s="216" t="s">
        <v>196</v>
      </c>
      <c r="F44" s="222">
        <v>4</v>
      </c>
      <c r="G44" s="215" t="s">
        <v>133</v>
      </c>
      <c r="H44" s="216" t="s">
        <v>196</v>
      </c>
      <c r="I44" s="222">
        <v>4</v>
      </c>
      <c r="J44" s="223" t="s">
        <v>133</v>
      </c>
      <c r="K44" s="224" t="s">
        <v>196</v>
      </c>
      <c r="L44" s="221">
        <v>2</v>
      </c>
      <c r="M44" s="221">
        <v>4</v>
      </c>
    </row>
    <row r="45" spans="1:13" ht="13.5" customHeight="1" thickBot="1" x14ac:dyDescent="0.25">
      <c r="A45" s="217" t="s">
        <v>134</v>
      </c>
      <c r="B45" s="218" t="s">
        <v>101</v>
      </c>
      <c r="C45" s="221"/>
      <c r="D45" s="217" t="s">
        <v>134</v>
      </c>
      <c r="E45" s="218" t="s">
        <v>101</v>
      </c>
      <c r="F45" s="222"/>
      <c r="G45" s="217" t="s">
        <v>134</v>
      </c>
      <c r="H45" s="218" t="s">
        <v>101</v>
      </c>
      <c r="I45" s="222"/>
      <c r="J45" s="225" t="s">
        <v>134</v>
      </c>
      <c r="K45" s="226" t="s">
        <v>101</v>
      </c>
      <c r="L45" s="221"/>
      <c r="M45" s="221"/>
    </row>
    <row r="46" spans="1:13" ht="12.75" customHeight="1" x14ac:dyDescent="0.2">
      <c r="A46" s="215" t="s">
        <v>135</v>
      </c>
      <c r="B46" s="216" t="s">
        <v>104</v>
      </c>
      <c r="C46" s="221"/>
      <c r="D46" s="215" t="s">
        <v>135</v>
      </c>
      <c r="E46" s="216" t="s">
        <v>104</v>
      </c>
      <c r="F46" s="222"/>
      <c r="G46" s="215" t="s">
        <v>135</v>
      </c>
      <c r="H46" s="216" t="s">
        <v>104</v>
      </c>
      <c r="I46" s="222"/>
      <c r="J46" s="223" t="s">
        <v>135</v>
      </c>
      <c r="K46" s="224" t="s">
        <v>104</v>
      </c>
      <c r="L46" s="221">
        <v>4</v>
      </c>
      <c r="M46" s="221"/>
    </row>
    <row r="47" spans="1:13" ht="13.5" customHeight="1" thickBot="1" x14ac:dyDescent="0.25">
      <c r="A47" s="217" t="s">
        <v>100</v>
      </c>
      <c r="B47" s="218" t="s">
        <v>98</v>
      </c>
      <c r="C47" s="221"/>
      <c r="D47" s="217" t="s">
        <v>100</v>
      </c>
      <c r="E47" s="218" t="s">
        <v>98</v>
      </c>
      <c r="F47" s="222"/>
      <c r="G47" s="217" t="s">
        <v>100</v>
      </c>
      <c r="H47" s="218" t="s">
        <v>98</v>
      </c>
      <c r="I47" s="222"/>
      <c r="J47" s="225" t="s">
        <v>100</v>
      </c>
      <c r="K47" s="226" t="s">
        <v>98</v>
      </c>
      <c r="L47" s="221"/>
      <c r="M47" s="221"/>
    </row>
    <row r="48" spans="1:13" ht="12.75" customHeight="1" x14ac:dyDescent="0.2">
      <c r="A48" s="215" t="s">
        <v>138</v>
      </c>
      <c r="B48" s="216" t="s">
        <v>136</v>
      </c>
      <c r="C48" s="221"/>
      <c r="D48" s="215" t="s">
        <v>138</v>
      </c>
      <c r="E48" s="216" t="s">
        <v>136</v>
      </c>
      <c r="F48" s="222"/>
      <c r="G48" s="215" t="s">
        <v>138</v>
      </c>
      <c r="H48" s="216" t="s">
        <v>136</v>
      </c>
      <c r="I48" s="222"/>
      <c r="J48" s="223" t="s">
        <v>138</v>
      </c>
      <c r="K48" s="224" t="s">
        <v>136</v>
      </c>
      <c r="L48" s="221">
        <v>2</v>
      </c>
      <c r="M48" s="221"/>
    </row>
    <row r="49" spans="1:13" ht="13.5" customHeight="1" thickBot="1" x14ac:dyDescent="0.25">
      <c r="A49" s="217" t="s">
        <v>139</v>
      </c>
      <c r="B49" s="218" t="s">
        <v>137</v>
      </c>
      <c r="C49" s="221">
        <v>4</v>
      </c>
      <c r="D49" s="217" t="s">
        <v>139</v>
      </c>
      <c r="E49" s="218" t="s">
        <v>137</v>
      </c>
      <c r="F49" s="222"/>
      <c r="G49" s="217" t="s">
        <v>139</v>
      </c>
      <c r="H49" s="218" t="s">
        <v>137</v>
      </c>
      <c r="I49" s="222"/>
      <c r="J49" s="225" t="s">
        <v>139</v>
      </c>
      <c r="K49" s="226" t="s">
        <v>137</v>
      </c>
      <c r="L49" s="221"/>
      <c r="M49" s="221"/>
    </row>
    <row r="50" spans="1:13" ht="12.75" customHeight="1" x14ac:dyDescent="0.2">
      <c r="A50" s="215" t="s">
        <v>192</v>
      </c>
      <c r="B50" s="216" t="s">
        <v>185</v>
      </c>
      <c r="C50" s="221" t="s">
        <v>271</v>
      </c>
      <c r="D50" s="215" t="s">
        <v>192</v>
      </c>
      <c r="E50" s="216" t="s">
        <v>185</v>
      </c>
      <c r="F50" s="222"/>
      <c r="G50" s="215" t="s">
        <v>192</v>
      </c>
      <c r="H50" s="216" t="s">
        <v>185</v>
      </c>
      <c r="I50" s="222"/>
      <c r="J50" s="223" t="s">
        <v>192</v>
      </c>
      <c r="K50" s="224" t="s">
        <v>185</v>
      </c>
      <c r="L50" s="221">
        <v>12</v>
      </c>
      <c r="M50" s="221"/>
    </row>
    <row r="51" spans="1:13" ht="13.5" customHeight="1" thickBot="1" x14ac:dyDescent="0.25">
      <c r="A51" s="217" t="s">
        <v>251</v>
      </c>
      <c r="B51" s="218" t="s">
        <v>140</v>
      </c>
      <c r="C51" s="221"/>
      <c r="D51" s="217" t="s">
        <v>250</v>
      </c>
      <c r="E51" s="218" t="s">
        <v>140</v>
      </c>
      <c r="F51" s="222"/>
      <c r="G51" s="217" t="s">
        <v>250</v>
      </c>
      <c r="H51" s="218" t="s">
        <v>140</v>
      </c>
      <c r="I51" s="222"/>
      <c r="J51" s="225" t="s">
        <v>250</v>
      </c>
      <c r="K51" s="226" t="s">
        <v>140</v>
      </c>
      <c r="L51" s="221"/>
      <c r="M51" s="221"/>
    </row>
    <row r="52" spans="1:13" ht="12.75" customHeight="1" x14ac:dyDescent="0.2">
      <c r="A52" s="215" t="s">
        <v>144</v>
      </c>
      <c r="B52" s="216" t="s">
        <v>143</v>
      </c>
      <c r="C52" s="221"/>
      <c r="D52" s="215" t="s">
        <v>144</v>
      </c>
      <c r="E52" s="216" t="s">
        <v>143</v>
      </c>
      <c r="F52" s="222"/>
      <c r="G52" s="215" t="s">
        <v>144</v>
      </c>
      <c r="H52" s="216" t="s">
        <v>143</v>
      </c>
      <c r="I52" s="222"/>
      <c r="J52" s="223" t="s">
        <v>144</v>
      </c>
      <c r="K52" s="224" t="s">
        <v>143</v>
      </c>
      <c r="L52" s="221">
        <v>4</v>
      </c>
      <c r="M52" s="221"/>
    </row>
    <row r="53" spans="1:13" ht="13.5" customHeight="1" thickBot="1" x14ac:dyDescent="0.25">
      <c r="A53" s="217" t="s">
        <v>146</v>
      </c>
      <c r="B53" s="218" t="s">
        <v>145</v>
      </c>
      <c r="C53" s="221"/>
      <c r="D53" s="217" t="s">
        <v>146</v>
      </c>
      <c r="E53" s="218" t="s">
        <v>145</v>
      </c>
      <c r="F53" s="222"/>
      <c r="G53" s="217" t="s">
        <v>146</v>
      </c>
      <c r="H53" s="218" t="s">
        <v>145</v>
      </c>
      <c r="I53" s="222"/>
      <c r="J53" s="225" t="s">
        <v>146</v>
      </c>
      <c r="K53" s="226" t="s">
        <v>145</v>
      </c>
      <c r="L53" s="221"/>
      <c r="M53" s="221"/>
    </row>
    <row r="54" spans="1:13" ht="12.75" customHeight="1" x14ac:dyDescent="0.2">
      <c r="A54" s="215" t="s">
        <v>152</v>
      </c>
      <c r="B54" s="216" t="s">
        <v>150</v>
      </c>
      <c r="C54" s="221"/>
      <c r="D54" s="215" t="s">
        <v>152</v>
      </c>
      <c r="E54" s="216" t="s">
        <v>150</v>
      </c>
      <c r="F54" s="222"/>
      <c r="G54" s="215" t="s">
        <v>152</v>
      </c>
      <c r="H54" s="216" t="s">
        <v>150</v>
      </c>
      <c r="I54" s="222"/>
      <c r="J54" s="223" t="s">
        <v>152</v>
      </c>
      <c r="K54" s="224" t="s">
        <v>150</v>
      </c>
      <c r="L54" s="221">
        <v>4</v>
      </c>
      <c r="M54" s="221"/>
    </row>
    <row r="55" spans="1:13" ht="13.5" customHeight="1" thickBot="1" x14ac:dyDescent="0.25">
      <c r="A55" s="217" t="s">
        <v>153</v>
      </c>
      <c r="B55" s="218" t="s">
        <v>151</v>
      </c>
      <c r="C55" s="221"/>
      <c r="D55" s="217" t="s">
        <v>153</v>
      </c>
      <c r="E55" s="218" t="s">
        <v>151</v>
      </c>
      <c r="F55" s="222"/>
      <c r="G55" s="217" t="s">
        <v>153</v>
      </c>
      <c r="H55" s="218" t="s">
        <v>151</v>
      </c>
      <c r="I55" s="222"/>
      <c r="J55" s="225" t="s">
        <v>153</v>
      </c>
      <c r="K55" s="226" t="s">
        <v>151</v>
      </c>
      <c r="L55" s="221"/>
      <c r="M55" s="221"/>
    </row>
    <row r="56" spans="1:13" ht="12.75" customHeight="1" x14ac:dyDescent="0.2">
      <c r="A56" s="215" t="s">
        <v>132</v>
      </c>
      <c r="B56" s="216" t="s">
        <v>131</v>
      </c>
      <c r="C56" s="221"/>
      <c r="D56" s="215" t="s">
        <v>197</v>
      </c>
      <c r="E56" s="216" t="s">
        <v>131</v>
      </c>
      <c r="F56" s="222"/>
      <c r="G56" s="215" t="s">
        <v>197</v>
      </c>
      <c r="H56" s="216" t="s">
        <v>131</v>
      </c>
      <c r="I56" s="222"/>
      <c r="J56" s="223" t="s">
        <v>197</v>
      </c>
      <c r="K56" s="224" t="s">
        <v>131</v>
      </c>
      <c r="L56" s="221">
        <v>4</v>
      </c>
      <c r="M56" s="221"/>
    </row>
    <row r="57" spans="1:13" ht="13.5" customHeight="1" thickBot="1" x14ac:dyDescent="0.25">
      <c r="A57" s="217" t="s">
        <v>149</v>
      </c>
      <c r="B57" s="218" t="s">
        <v>107</v>
      </c>
      <c r="C57" s="221"/>
      <c r="D57" s="217" t="s">
        <v>198</v>
      </c>
      <c r="E57" s="218" t="s">
        <v>107</v>
      </c>
      <c r="F57" s="222"/>
      <c r="G57" s="217" t="s">
        <v>198</v>
      </c>
      <c r="H57" s="218" t="s">
        <v>107</v>
      </c>
      <c r="I57" s="222"/>
      <c r="J57" s="225" t="s">
        <v>198</v>
      </c>
      <c r="K57" s="226" t="s">
        <v>107</v>
      </c>
      <c r="L57" s="221"/>
      <c r="M57" s="221"/>
    </row>
    <row r="58" spans="1:13" ht="12.75" customHeight="1" x14ac:dyDescent="0.2">
      <c r="A58" s="215" t="s">
        <v>156</v>
      </c>
      <c r="B58" s="216" t="s">
        <v>155</v>
      </c>
      <c r="C58" s="221"/>
      <c r="D58" s="215" t="s">
        <v>156</v>
      </c>
      <c r="E58" s="216" t="s">
        <v>155</v>
      </c>
      <c r="F58" s="222"/>
      <c r="G58" s="215" t="s">
        <v>156</v>
      </c>
      <c r="H58" s="216" t="s">
        <v>155</v>
      </c>
      <c r="I58" s="222"/>
      <c r="J58" s="223" t="s">
        <v>156</v>
      </c>
      <c r="K58" s="224" t="s">
        <v>155</v>
      </c>
      <c r="L58" s="221">
        <v>4</v>
      </c>
      <c r="M58" s="221"/>
    </row>
    <row r="59" spans="1:13" ht="13.5" customHeight="1" thickBot="1" x14ac:dyDescent="0.25">
      <c r="A59" s="217" t="s">
        <v>157</v>
      </c>
      <c r="B59" s="218" t="s">
        <v>99</v>
      </c>
      <c r="C59" s="221"/>
      <c r="D59" s="217" t="s">
        <v>157</v>
      </c>
      <c r="E59" s="218" t="s">
        <v>99</v>
      </c>
      <c r="F59" s="222"/>
      <c r="G59" s="217" t="s">
        <v>157</v>
      </c>
      <c r="H59" s="218" t="s">
        <v>99</v>
      </c>
      <c r="I59" s="222"/>
      <c r="J59" s="225" t="s">
        <v>157</v>
      </c>
      <c r="K59" s="226" t="s">
        <v>99</v>
      </c>
      <c r="L59" s="221"/>
      <c r="M59" s="2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3</vt:i4>
      </vt:variant>
    </vt:vector>
  </HeadingPairs>
  <TitlesOfParts>
    <vt:vector size="7" baseType="lpstr">
      <vt:lpstr>Maktabgacha ta'lim</vt:lpstr>
      <vt:lpstr>Sirtqi</vt:lpstr>
      <vt:lpstr>Sirtqi (RUS)</vt:lpstr>
      <vt:lpstr>Лист1</vt:lpstr>
      <vt:lpstr>'Maktabgacha ta''lim'!Область_печати</vt:lpstr>
      <vt:lpstr>Sirtqi!Область_печати</vt:lpstr>
      <vt:lpstr>'Sirtqi (RUS)'!Область_печати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user07</dc:creator>
  <cp:lastModifiedBy>umbrella_dev</cp:lastModifiedBy>
  <cp:lastPrinted>2026-02-14T05:28:29Z</cp:lastPrinted>
  <dcterms:created xsi:type="dcterms:W3CDTF">2008-07-03T09:29:27Z</dcterms:created>
  <dcterms:modified xsi:type="dcterms:W3CDTF">2026-02-14T09:55:48Z</dcterms:modified>
</cp:coreProperties>
</file>