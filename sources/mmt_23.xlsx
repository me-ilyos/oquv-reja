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mbrella_dev\Desktop\22-23 bakalavr\"/>
    </mc:Choice>
  </mc:AlternateContent>
  <bookViews>
    <workbookView xWindow="0" yWindow="0" windowWidth="28800" windowHeight="12330" tabRatio="776" firstSheet="1" activeTab="1"/>
  </bookViews>
  <sheets>
    <sheet name="Moliya va moliyavit tex" sheetId="11" state="hidden" r:id="rId1"/>
    <sheet name="MMT (Moliy Instit tayanch O‘R)" sheetId="18" r:id="rId2"/>
    <sheet name="Sirtqi (MolIns)" sheetId="15" r:id="rId3"/>
    <sheet name="Kechki (MolIns)" sheetId="17" r:id="rId4"/>
    <sheet name="Лист1" sheetId="19" r:id="rId5"/>
  </sheets>
  <definedNames>
    <definedName name="_xlnm._FilterDatabase" localSheetId="3" hidden="1">'Kechki (MolIns)'!$A$38:$FI$97</definedName>
    <definedName name="_xlnm._FilterDatabase" localSheetId="1" hidden="1">'MMT (Moliy Instit tayanch O‘R)'!$A$31:$ES$87</definedName>
    <definedName name="_xlnm._FilterDatabase" localSheetId="0" hidden="1">'Moliya va moliyavit tex'!$A$34:$ES$84</definedName>
    <definedName name="_xlnm._FilterDatabase" localSheetId="2" hidden="1">'Sirtqi (MolIns)'!$A$37:$ES$96</definedName>
    <definedName name="_xlnm.Print_Area" localSheetId="3">'Kechki (MolIns)'!$A$1:$FI$121</definedName>
    <definedName name="_xlnm.Print_Area" localSheetId="1">'MMT (Moliy Instit tayanch O‘R)'!$A$1:$ES$117</definedName>
    <definedName name="_xlnm.Print_Area" localSheetId="0">'Moliya va moliyavit tex'!$A$1:$ES$115</definedName>
    <definedName name="_xlnm.Print_Area" localSheetId="2">'Sirtqi (MolIns)'!$A$1:$ES$123</definedName>
  </definedNames>
  <calcPr calcId="162913"/>
</workbook>
</file>

<file path=xl/calcChain.xml><?xml version="1.0" encoding="utf-8"?>
<calcChain xmlns="http://schemas.openxmlformats.org/spreadsheetml/2006/main">
  <c r="AG53" i="15" l="1"/>
  <c r="EQ53" i="15"/>
  <c r="Z53" i="15" s="1"/>
  <c r="BK53" i="15" s="1"/>
  <c r="AJ54" i="17" l="1"/>
  <c r="FE54" i="17"/>
  <c r="Z54" i="17" s="1"/>
  <c r="AG48" i="18"/>
  <c r="EQ48" i="18"/>
  <c r="Z48" i="18" s="1"/>
  <c r="BK48" i="18" s="1"/>
  <c r="BN54" i="17" l="1"/>
  <c r="AE112" i="15"/>
  <c r="AE113" i="15"/>
  <c r="AE111" i="15"/>
  <c r="AE110" i="15"/>
  <c r="AE109" i="15"/>
  <c r="AE108" i="15"/>
  <c r="FE40" i="17" l="1"/>
  <c r="FE41" i="17"/>
  <c r="FE42" i="17"/>
  <c r="FE43" i="17"/>
  <c r="FE44" i="17"/>
  <c r="FE45" i="17"/>
  <c r="Z45" i="17" s="1"/>
  <c r="FE46" i="17"/>
  <c r="FE47" i="17"/>
  <c r="FE48" i="17"/>
  <c r="FE49" i="17"/>
  <c r="FE50" i="17"/>
  <c r="FE51" i="17"/>
  <c r="FE52" i="17"/>
  <c r="FE53" i="17"/>
  <c r="FE55" i="17"/>
  <c r="FE56" i="17"/>
  <c r="Z56" i="17" s="1"/>
  <c r="FE57" i="17"/>
  <c r="Z57" i="17" s="1"/>
  <c r="FE58" i="17"/>
  <c r="Z58" i="17" s="1"/>
  <c r="FE59" i="17"/>
  <c r="Z59" i="17" s="1"/>
  <c r="FE60" i="17"/>
  <c r="Z60" i="17" s="1"/>
  <c r="FE61" i="17"/>
  <c r="Z61" i="17" s="1"/>
  <c r="FE62" i="17"/>
  <c r="Z62" i="17" s="1"/>
  <c r="FE63" i="17"/>
  <c r="Z63" i="17" s="1"/>
  <c r="FE39" i="17"/>
  <c r="AJ56" i="17"/>
  <c r="AJ57" i="17"/>
  <c r="AJ58" i="17"/>
  <c r="AJ59" i="17"/>
  <c r="AJ60" i="17"/>
  <c r="AJ61" i="17"/>
  <c r="AJ62" i="17"/>
  <c r="AJ63" i="17"/>
  <c r="AJ45" i="17"/>
  <c r="AJ73" i="17"/>
  <c r="FE73" i="17"/>
  <c r="Z73" i="17" s="1"/>
  <c r="AJ75" i="17"/>
  <c r="FE75" i="17"/>
  <c r="Z75" i="17" s="1"/>
  <c r="AJ77" i="17"/>
  <c r="FE77" i="17"/>
  <c r="Z77" i="17" s="1"/>
  <c r="AJ79" i="17"/>
  <c r="FE79" i="17"/>
  <c r="Z79" i="17" s="1"/>
  <c r="AJ81" i="17"/>
  <c r="FE81" i="17"/>
  <c r="Z81" i="17" s="1"/>
  <c r="AJ83" i="17"/>
  <c r="FE83" i="17"/>
  <c r="Z83" i="17" s="1"/>
  <c r="AJ85" i="17"/>
  <c r="FE85" i="17"/>
  <c r="Z85" i="17" s="1"/>
  <c r="BN57" i="17" l="1"/>
  <c r="BN59" i="17"/>
  <c r="BN60" i="17"/>
  <c r="BN62" i="17"/>
  <c r="BN61" i="17"/>
  <c r="BN58" i="17"/>
  <c r="BN56" i="17"/>
  <c r="BN63" i="17"/>
  <c r="BN45" i="17"/>
  <c r="BN79" i="17"/>
  <c r="BN75" i="17"/>
  <c r="BN85" i="17"/>
  <c r="BN81" i="17"/>
  <c r="BN73" i="17"/>
  <c r="BN77" i="17"/>
  <c r="BN83" i="17"/>
  <c r="EZ96" i="17"/>
  <c r="EU96" i="17"/>
  <c r="EP96" i="17"/>
  <c r="EK96" i="17"/>
  <c r="EF96" i="17"/>
  <c r="EA96" i="17"/>
  <c r="DV96" i="17"/>
  <c r="DQ96" i="17"/>
  <c r="DL96" i="17"/>
  <c r="DG96" i="17"/>
  <c r="DB96" i="17"/>
  <c r="CW96" i="17"/>
  <c r="CR96" i="17"/>
  <c r="CM96" i="17"/>
  <c r="CH96" i="17"/>
  <c r="CC96" i="17"/>
  <c r="BX96" i="17"/>
  <c r="BS96" i="17"/>
  <c r="BI96" i="17"/>
  <c r="BD96" i="17"/>
  <c r="AY96" i="17"/>
  <c r="AT96" i="17"/>
  <c r="AO96" i="17"/>
  <c r="FE95" i="17"/>
  <c r="Z95" i="17" s="1"/>
  <c r="AJ95" i="17"/>
  <c r="FE94" i="17"/>
  <c r="Z94" i="17" s="1"/>
  <c r="AJ94" i="17"/>
  <c r="FE91" i="17"/>
  <c r="Z91" i="17" s="1"/>
  <c r="AJ91" i="17"/>
  <c r="FE89" i="17"/>
  <c r="Z89" i="17" s="1"/>
  <c r="AJ89" i="17"/>
  <c r="FE87" i="17"/>
  <c r="Z87" i="17" s="1"/>
  <c r="AJ87" i="17"/>
  <c r="FE71" i="17"/>
  <c r="Z71" i="17" s="1"/>
  <c r="AJ71" i="17"/>
  <c r="FE69" i="17"/>
  <c r="Z69" i="17" s="1"/>
  <c r="AJ69" i="17"/>
  <c r="FE67" i="17"/>
  <c r="Z67" i="17" s="1"/>
  <c r="AJ67" i="17"/>
  <c r="FE65" i="17"/>
  <c r="Z65" i="17" s="1"/>
  <c r="AJ65" i="17"/>
  <c r="EZ64" i="17"/>
  <c r="EU64" i="17"/>
  <c r="EP64" i="17"/>
  <c r="EK64" i="17"/>
  <c r="EF64" i="17"/>
  <c r="EA64" i="17"/>
  <c r="DV64" i="17"/>
  <c r="DQ64" i="17"/>
  <c r="DL64" i="17"/>
  <c r="DG64" i="17"/>
  <c r="DB64" i="17"/>
  <c r="CW64" i="17"/>
  <c r="CR64" i="17"/>
  <c r="CM64" i="17"/>
  <c r="CH64" i="17"/>
  <c r="CC64" i="17"/>
  <c r="BX64" i="17"/>
  <c r="BS64" i="17"/>
  <c r="BI64" i="17"/>
  <c r="BD64" i="17"/>
  <c r="AY64" i="17"/>
  <c r="AT64" i="17"/>
  <c r="AO64" i="17"/>
  <c r="Z55" i="17"/>
  <c r="AJ55" i="17"/>
  <c r="Z53" i="17"/>
  <c r="AJ53" i="17"/>
  <c r="Z52" i="17"/>
  <c r="AJ52" i="17"/>
  <c r="Z51" i="17"/>
  <c r="AJ51" i="17"/>
  <c r="Z50" i="17"/>
  <c r="AJ50" i="17"/>
  <c r="Z49" i="17"/>
  <c r="AJ49" i="17"/>
  <c r="Z48" i="17"/>
  <c r="AJ48" i="17"/>
  <c r="Z47" i="17"/>
  <c r="AJ47" i="17"/>
  <c r="Z46" i="17"/>
  <c r="AJ46" i="17"/>
  <c r="Z44" i="17"/>
  <c r="AJ44" i="17"/>
  <c r="Z43" i="17"/>
  <c r="AJ43" i="17"/>
  <c r="Z42" i="17"/>
  <c r="AJ42" i="17"/>
  <c r="Z41" i="17"/>
  <c r="AJ41" i="17"/>
  <c r="Z40" i="17"/>
  <c r="AJ40" i="17"/>
  <c r="AJ39" i="17"/>
  <c r="EZ38" i="17"/>
  <c r="EU38" i="17"/>
  <c r="EP38" i="17"/>
  <c r="EK38" i="17"/>
  <c r="EF38" i="17"/>
  <c r="EA38" i="17"/>
  <c r="DV38" i="17"/>
  <c r="DQ38" i="17"/>
  <c r="DL38" i="17"/>
  <c r="DG38" i="17"/>
  <c r="DB38" i="17"/>
  <c r="CW38" i="17"/>
  <c r="CR38" i="17"/>
  <c r="CM38" i="17"/>
  <c r="CH38" i="17"/>
  <c r="CC38" i="17"/>
  <c r="BX38" i="17"/>
  <c r="BS38" i="17"/>
  <c r="BI38" i="17"/>
  <c r="BD38" i="17"/>
  <c r="AY38" i="17"/>
  <c r="AT38" i="17"/>
  <c r="AO38" i="17"/>
  <c r="HZ23" i="17"/>
  <c r="AF110" i="17" s="1"/>
  <c r="HX23" i="17"/>
  <c r="AF109" i="17" s="1"/>
  <c r="HV23" i="17"/>
  <c r="AF107" i="17" s="1"/>
  <c r="HT23" i="17"/>
  <c r="AF111" i="17" s="1"/>
  <c r="HR23" i="17"/>
  <c r="AF108" i="17" s="1"/>
  <c r="HP23" i="17"/>
  <c r="AF106" i="17" s="1"/>
  <c r="HN22" i="17"/>
  <c r="IB22" i="17" s="1"/>
  <c r="HN21" i="17"/>
  <c r="IB21" i="17" s="1"/>
  <c r="HN20" i="17"/>
  <c r="IB20" i="17" s="1"/>
  <c r="HN19" i="17"/>
  <c r="IB19" i="17" s="1"/>
  <c r="HN18" i="17"/>
  <c r="EM95" i="15"/>
  <c r="EI95" i="15"/>
  <c r="EE95" i="15"/>
  <c r="EA95" i="15"/>
  <c r="DW95" i="15"/>
  <c r="DS95" i="15"/>
  <c r="DO95" i="15"/>
  <c r="DK95" i="15"/>
  <c r="DG95" i="15"/>
  <c r="DC95" i="15"/>
  <c r="CY95" i="15"/>
  <c r="CU95" i="15"/>
  <c r="CQ95" i="15"/>
  <c r="CM95" i="15"/>
  <c r="CI95" i="15"/>
  <c r="CE95" i="15"/>
  <c r="CA95" i="15"/>
  <c r="BW95" i="15"/>
  <c r="BS95" i="15"/>
  <c r="BO95" i="15"/>
  <c r="BK95" i="15"/>
  <c r="BF95" i="15"/>
  <c r="BA95" i="15"/>
  <c r="AV95" i="15"/>
  <c r="AQ95" i="15"/>
  <c r="AL95" i="15"/>
  <c r="EQ94" i="15"/>
  <c r="Z94" i="15" s="1"/>
  <c r="AG94" i="15"/>
  <c r="EQ93" i="15"/>
  <c r="Z93" i="15" s="1"/>
  <c r="AG93" i="15"/>
  <c r="EQ90" i="15"/>
  <c r="Z90" i="15" s="1"/>
  <c r="BK90" i="15" s="1"/>
  <c r="EQ88" i="15"/>
  <c r="Z88" i="15" s="1"/>
  <c r="BK88" i="15" s="1"/>
  <c r="EQ86" i="15"/>
  <c r="Z86" i="15" s="1"/>
  <c r="BK86" i="15" s="1"/>
  <c r="EQ84" i="15"/>
  <c r="Z84" i="15" s="1"/>
  <c r="BK84" i="15" s="1"/>
  <c r="EQ82" i="15"/>
  <c r="Z82" i="15" s="1"/>
  <c r="AG82" i="15"/>
  <c r="EQ80" i="15"/>
  <c r="Z80" i="15" s="1"/>
  <c r="AG80" i="15"/>
  <c r="EQ78" i="15"/>
  <c r="Z78" i="15" s="1"/>
  <c r="AG78" i="15"/>
  <c r="EQ76" i="15"/>
  <c r="Z76" i="15" s="1"/>
  <c r="BK76" i="15" s="1"/>
  <c r="AG76" i="15"/>
  <c r="EQ74" i="15"/>
  <c r="Z74" i="15" s="1"/>
  <c r="AG74" i="15"/>
  <c r="EQ72" i="15"/>
  <c r="Z72" i="15" s="1"/>
  <c r="AG72" i="15"/>
  <c r="EQ70" i="15"/>
  <c r="Z70" i="15" s="1"/>
  <c r="AG70" i="15"/>
  <c r="AG63" i="15" s="1"/>
  <c r="EQ68" i="15"/>
  <c r="Z68" i="15" s="1"/>
  <c r="BK68" i="15" s="1"/>
  <c r="AG68" i="15"/>
  <c r="EQ66" i="15"/>
  <c r="Z66" i="15" s="1"/>
  <c r="AG66" i="15"/>
  <c r="EQ64" i="15"/>
  <c r="Z64" i="15" s="1"/>
  <c r="AG64" i="15"/>
  <c r="EM63" i="15"/>
  <c r="EI63" i="15"/>
  <c r="EE63" i="15"/>
  <c r="EA63" i="15"/>
  <c r="DW63" i="15"/>
  <c r="DS63" i="15"/>
  <c r="DO63" i="15"/>
  <c r="DK63" i="15"/>
  <c r="DG63" i="15"/>
  <c r="DC63" i="15"/>
  <c r="CY63" i="15"/>
  <c r="CU63" i="15"/>
  <c r="CQ63" i="15"/>
  <c r="CM63" i="15"/>
  <c r="CI63" i="15"/>
  <c r="CE63" i="15"/>
  <c r="CA63" i="15"/>
  <c r="BW63" i="15"/>
  <c r="BS63" i="15"/>
  <c r="BO63" i="15"/>
  <c r="BF63" i="15"/>
  <c r="BA63" i="15"/>
  <c r="AV63" i="15"/>
  <c r="AQ63" i="15"/>
  <c r="AL63" i="15"/>
  <c r="EQ62" i="15"/>
  <c r="Z62" i="15" s="1"/>
  <c r="AG62" i="15"/>
  <c r="EQ61" i="15"/>
  <c r="Z61" i="15" s="1"/>
  <c r="AG61" i="15"/>
  <c r="EQ60" i="15"/>
  <c r="Z60" i="15" s="1"/>
  <c r="AG60" i="15"/>
  <c r="EQ59" i="15"/>
  <c r="Z59" i="15" s="1"/>
  <c r="AG59" i="15"/>
  <c r="EQ58" i="15"/>
  <c r="Z58" i="15" s="1"/>
  <c r="AG58" i="15"/>
  <c r="EQ57" i="15"/>
  <c r="Z57" i="15" s="1"/>
  <c r="AG57" i="15"/>
  <c r="EQ56" i="15"/>
  <c r="Z56" i="15" s="1"/>
  <c r="AG56" i="15"/>
  <c r="EQ55" i="15"/>
  <c r="Z55" i="15" s="1"/>
  <c r="AG55" i="15"/>
  <c r="EQ54" i="15"/>
  <c r="Z54" i="15" s="1"/>
  <c r="AG54" i="15"/>
  <c r="EQ52" i="15"/>
  <c r="Z52" i="15" s="1"/>
  <c r="BK52" i="15" s="1"/>
  <c r="AG52" i="15"/>
  <c r="EQ51" i="15"/>
  <c r="Z51" i="15" s="1"/>
  <c r="AG51" i="15"/>
  <c r="EQ50" i="15"/>
  <c r="Z50" i="15" s="1"/>
  <c r="BK50" i="15" s="1"/>
  <c r="AG50" i="15"/>
  <c r="EQ49" i="15"/>
  <c r="Z49" i="15" s="1"/>
  <c r="BK49" i="15" s="1"/>
  <c r="AG49" i="15"/>
  <c r="EQ48" i="15"/>
  <c r="Z48" i="15" s="1"/>
  <c r="BK48" i="15" s="1"/>
  <c r="AG48" i="15"/>
  <c r="EQ47" i="15"/>
  <c r="Z47" i="15" s="1"/>
  <c r="BK47" i="15" s="1"/>
  <c r="AG47" i="15"/>
  <c r="EQ46" i="15"/>
  <c r="Z46" i="15" s="1"/>
  <c r="BK46" i="15" s="1"/>
  <c r="AG46" i="15"/>
  <c r="EQ45" i="15"/>
  <c r="Z45" i="15" s="1"/>
  <c r="BK45" i="15" s="1"/>
  <c r="AG45" i="15"/>
  <c r="EQ44" i="15"/>
  <c r="Z44" i="15" s="1"/>
  <c r="BK44" i="15" s="1"/>
  <c r="AG44" i="15"/>
  <c r="EQ43" i="15"/>
  <c r="Z43" i="15" s="1"/>
  <c r="BK43" i="15" s="1"/>
  <c r="AG43" i="15"/>
  <c r="EQ42" i="15"/>
  <c r="Z42" i="15" s="1"/>
  <c r="AG42" i="15"/>
  <c r="EQ41" i="15"/>
  <c r="Z41" i="15" s="1"/>
  <c r="BK41" i="15" s="1"/>
  <c r="AG41" i="15"/>
  <c r="EQ40" i="15"/>
  <c r="Z40" i="15" s="1"/>
  <c r="AG40" i="15"/>
  <c r="EQ39" i="15"/>
  <c r="Z39" i="15" s="1"/>
  <c r="AG39" i="15"/>
  <c r="EQ38" i="15"/>
  <c r="Z38" i="15" s="1"/>
  <c r="BK38" i="15" s="1"/>
  <c r="AG38" i="15"/>
  <c r="EM37" i="15"/>
  <c r="EI37" i="15"/>
  <c r="EE37" i="15"/>
  <c r="EA37" i="15"/>
  <c r="DW37" i="15"/>
  <c r="DS37" i="15"/>
  <c r="DO37" i="15"/>
  <c r="DO92" i="15" s="1"/>
  <c r="DO96" i="15" s="1"/>
  <c r="DO35" i="15" s="1"/>
  <c r="DK37" i="15"/>
  <c r="DG37" i="15"/>
  <c r="DC37" i="15"/>
  <c r="CY37" i="15"/>
  <c r="CY92" i="15" s="1"/>
  <c r="CY96" i="15" s="1"/>
  <c r="CU37" i="15"/>
  <c r="CQ37" i="15"/>
  <c r="CM37" i="15"/>
  <c r="CI37" i="15"/>
  <c r="CI92" i="15" s="1"/>
  <c r="CI96" i="15" s="1"/>
  <c r="CE37" i="15"/>
  <c r="CA37" i="15"/>
  <c r="BW37" i="15"/>
  <c r="BS37" i="15"/>
  <c r="BO37" i="15"/>
  <c r="BF37" i="15"/>
  <c r="BA37" i="15"/>
  <c r="AV37" i="15"/>
  <c r="AQ37" i="15"/>
  <c r="AL37" i="15"/>
  <c r="AL92" i="15" s="1"/>
  <c r="AL96" i="15" s="1"/>
  <c r="HK23" i="15"/>
  <c r="HI23" i="15"/>
  <c r="HG23" i="15"/>
  <c r="HE23" i="15"/>
  <c r="HC23" i="15"/>
  <c r="HA23" i="15"/>
  <c r="GY22" i="15"/>
  <c r="HM22" i="15" s="1"/>
  <c r="GY21" i="15"/>
  <c r="HM21" i="15" s="1"/>
  <c r="GY20" i="15"/>
  <c r="HM20" i="15" s="1"/>
  <c r="GY19" i="15"/>
  <c r="HM19" i="15" s="1"/>
  <c r="GY18" i="15"/>
  <c r="EQ90" i="18"/>
  <c r="EL90" i="18"/>
  <c r="EG90" i="18"/>
  <c r="EB90" i="18"/>
  <c r="DW90" i="18"/>
  <c r="DR90" i="18"/>
  <c r="DM90" i="18"/>
  <c r="DH90" i="18"/>
  <c r="DC90" i="18"/>
  <c r="CX90" i="18"/>
  <c r="CS90" i="18"/>
  <c r="CN90" i="18"/>
  <c r="CI90" i="18"/>
  <c r="CD90" i="18"/>
  <c r="BY90" i="18"/>
  <c r="BT90" i="18"/>
  <c r="BO90" i="18"/>
  <c r="AG90" i="18"/>
  <c r="EQ89" i="18"/>
  <c r="AG89" i="18"/>
  <c r="Z89" i="18"/>
  <c r="EQ88" i="18"/>
  <c r="AG88" i="18"/>
  <c r="Z88" i="18"/>
  <c r="Z90" i="18" s="1"/>
  <c r="EQ85" i="18"/>
  <c r="Z85" i="18" s="1"/>
  <c r="BK85" i="18" s="1"/>
  <c r="AG85" i="18"/>
  <c r="EQ83" i="18"/>
  <c r="Z83" i="18" s="1"/>
  <c r="AG83" i="18"/>
  <c r="EQ81" i="18"/>
  <c r="Z81" i="18" s="1"/>
  <c r="AG81" i="18"/>
  <c r="EQ79" i="18"/>
  <c r="Z79" i="18" s="1"/>
  <c r="AG79" i="18"/>
  <c r="EQ77" i="18"/>
  <c r="Z77" i="18" s="1"/>
  <c r="BK77" i="18" s="1"/>
  <c r="AG77" i="18"/>
  <c r="EQ75" i="18"/>
  <c r="Z75" i="18" s="1"/>
  <c r="BK75" i="18" s="1"/>
  <c r="AG75" i="18"/>
  <c r="EQ73" i="18"/>
  <c r="Z73" i="18" s="1"/>
  <c r="BK73" i="18" s="1"/>
  <c r="AG73" i="18"/>
  <c r="EQ71" i="18"/>
  <c r="Z71" i="18" s="1"/>
  <c r="AG71" i="18"/>
  <c r="EQ69" i="18"/>
  <c r="Z69" i="18" s="1"/>
  <c r="BK69" i="18" s="1"/>
  <c r="AG69" i="18"/>
  <c r="EQ67" i="18"/>
  <c r="Z67" i="18" s="1"/>
  <c r="AG67" i="18"/>
  <c r="EQ65" i="18"/>
  <c r="AG65" i="18"/>
  <c r="EQ63" i="18"/>
  <c r="AG63" i="18"/>
  <c r="Z63" i="18"/>
  <c r="BK63" i="18" s="1"/>
  <c r="EQ61" i="18"/>
  <c r="Z61" i="18" s="1"/>
  <c r="AG61" i="18"/>
  <c r="EQ59" i="18"/>
  <c r="Z59" i="18" s="1"/>
  <c r="BK59" i="18" s="1"/>
  <c r="AG59" i="18"/>
  <c r="EL58" i="18"/>
  <c r="EG58" i="18"/>
  <c r="EB58" i="18"/>
  <c r="DW58" i="18"/>
  <c r="DR58" i="18"/>
  <c r="DM58" i="18"/>
  <c r="DH58" i="18"/>
  <c r="DC58" i="18"/>
  <c r="CX58" i="18"/>
  <c r="CS58" i="18"/>
  <c r="CN58" i="18"/>
  <c r="CI58" i="18"/>
  <c r="CD58" i="18"/>
  <c r="BY58" i="18"/>
  <c r="BT58" i="18"/>
  <c r="BO58" i="18"/>
  <c r="BF58" i="18"/>
  <c r="BA58" i="18"/>
  <c r="AV58" i="18"/>
  <c r="AQ58" i="18"/>
  <c r="AL58" i="18"/>
  <c r="EQ57" i="18"/>
  <c r="Z57" i="18" s="1"/>
  <c r="AG57" i="18"/>
  <c r="EQ56" i="18"/>
  <c r="Z56" i="18" s="1"/>
  <c r="AG56" i="18"/>
  <c r="EQ55" i="18"/>
  <c r="Z55" i="18" s="1"/>
  <c r="AG55" i="18"/>
  <c r="EQ54" i="18"/>
  <c r="Z54" i="18" s="1"/>
  <c r="AG54" i="18"/>
  <c r="EQ53" i="18"/>
  <c r="Z53" i="18" s="1"/>
  <c r="AG53" i="18"/>
  <c r="EQ52" i="18"/>
  <c r="Z52" i="18" s="1"/>
  <c r="AG52" i="18"/>
  <c r="EQ51" i="18"/>
  <c r="Z51" i="18" s="1"/>
  <c r="AG51" i="18"/>
  <c r="EQ50" i="18"/>
  <c r="Z50" i="18" s="1"/>
  <c r="AG50" i="18"/>
  <c r="EQ49" i="18"/>
  <c r="Z49" i="18" s="1"/>
  <c r="AG49" i="18"/>
  <c r="EQ47" i="18"/>
  <c r="Z47" i="18" s="1"/>
  <c r="AG47" i="18"/>
  <c r="EQ46" i="18"/>
  <c r="Z46" i="18" s="1"/>
  <c r="AG46" i="18"/>
  <c r="EQ45" i="18"/>
  <c r="Z45" i="18" s="1"/>
  <c r="AG45" i="18"/>
  <c r="EQ44" i="18"/>
  <c r="Z44" i="18" s="1"/>
  <c r="AG44" i="18"/>
  <c r="EQ43" i="18"/>
  <c r="Z43" i="18" s="1"/>
  <c r="BK43" i="18" s="1"/>
  <c r="AG43" i="18"/>
  <c r="EQ42" i="18"/>
  <c r="Z42" i="18" s="1"/>
  <c r="AG42" i="18"/>
  <c r="EQ41" i="18"/>
  <c r="Z41" i="18" s="1"/>
  <c r="AG41" i="18"/>
  <c r="EQ40" i="18"/>
  <c r="Z40" i="18" s="1"/>
  <c r="BK40" i="18" s="1"/>
  <c r="AG40" i="18"/>
  <c r="EQ39" i="18"/>
  <c r="Z39" i="18" s="1"/>
  <c r="BK39" i="18" s="1"/>
  <c r="AG39" i="18"/>
  <c r="EQ38" i="18"/>
  <c r="Z38" i="18" s="1"/>
  <c r="BK38" i="18" s="1"/>
  <c r="AG38" i="18"/>
  <c r="EQ37" i="18"/>
  <c r="Z37" i="18" s="1"/>
  <c r="AG37" i="18"/>
  <c r="EQ36" i="18"/>
  <c r="AG36" i="18"/>
  <c r="Z36" i="18"/>
  <c r="BK36" i="18" s="1"/>
  <c r="EQ35" i="18"/>
  <c r="Z35" i="18" s="1"/>
  <c r="BK35" i="18" s="1"/>
  <c r="AG35" i="18"/>
  <c r="EQ34" i="18"/>
  <c r="AG34" i="18"/>
  <c r="Z34" i="18"/>
  <c r="BK34" i="18" s="1"/>
  <c r="EQ33" i="18"/>
  <c r="Z33" i="18" s="1"/>
  <c r="BK33" i="18" s="1"/>
  <c r="AG33" i="18"/>
  <c r="EL32" i="18"/>
  <c r="EG32" i="18"/>
  <c r="EB32" i="18"/>
  <c r="EB87" i="18" s="1"/>
  <c r="DW32" i="18"/>
  <c r="DW87" i="18" s="1"/>
  <c r="DR32" i="18"/>
  <c r="DM32" i="18"/>
  <c r="DM87" i="18" s="1"/>
  <c r="DM91" i="18" s="1"/>
  <c r="DM30" i="18" s="1"/>
  <c r="DH32" i="18"/>
  <c r="DC32" i="18"/>
  <c r="CX32" i="18"/>
  <c r="CS32" i="18"/>
  <c r="CN32" i="18"/>
  <c r="CN87" i="18" s="1"/>
  <c r="CN91" i="18" s="1"/>
  <c r="CI32" i="18"/>
  <c r="CI87" i="18" s="1"/>
  <c r="CI91" i="18" s="1"/>
  <c r="CD32" i="18"/>
  <c r="BY32" i="18"/>
  <c r="BY87" i="18" s="1"/>
  <c r="BY91" i="18" s="1"/>
  <c r="BT32" i="18"/>
  <c r="BO32" i="18"/>
  <c r="BF32" i="18"/>
  <c r="BA32" i="18"/>
  <c r="AV32" i="18"/>
  <c r="AQ32" i="18"/>
  <c r="AL32" i="18"/>
  <c r="HL20" i="18"/>
  <c r="AE104" i="18" s="1"/>
  <c r="HJ20" i="18"/>
  <c r="AE103" i="18" s="1"/>
  <c r="HH20" i="18"/>
  <c r="AE101" i="18" s="1"/>
  <c r="HF20" i="18"/>
  <c r="AE105" i="18" s="1"/>
  <c r="HD20" i="18"/>
  <c r="AE102" i="18" s="1"/>
  <c r="HB20" i="18"/>
  <c r="AE100" i="18" s="1"/>
  <c r="GZ19" i="18"/>
  <c r="HN19" i="18" s="1"/>
  <c r="GZ18" i="18"/>
  <c r="HN18" i="18" s="1"/>
  <c r="GZ17" i="18"/>
  <c r="HN17" i="18" s="1"/>
  <c r="GZ16" i="18"/>
  <c r="HN16" i="18" s="1"/>
  <c r="AE103" i="11"/>
  <c r="AE101" i="11"/>
  <c r="AE100" i="11"/>
  <c r="AE99" i="11"/>
  <c r="AE98" i="11"/>
  <c r="AE97" i="11"/>
  <c r="EQ88" i="11"/>
  <c r="EL88" i="11"/>
  <c r="EG88" i="11"/>
  <c r="EB88" i="11"/>
  <c r="DW88" i="11"/>
  <c r="DR88" i="11"/>
  <c r="DM88" i="11"/>
  <c r="DH88" i="11"/>
  <c r="DC88" i="11"/>
  <c r="CX88" i="11"/>
  <c r="CS88" i="11"/>
  <c r="CN88" i="11"/>
  <c r="CI88" i="11"/>
  <c r="CD88" i="11"/>
  <c r="BY88" i="11"/>
  <c r="BT88" i="11"/>
  <c r="BO88" i="11"/>
  <c r="BK88" i="11"/>
  <c r="BF88" i="11"/>
  <c r="BA88" i="11"/>
  <c r="AV88" i="11"/>
  <c r="AQ88" i="11"/>
  <c r="AL88" i="11"/>
  <c r="AG88" i="11"/>
  <c r="AD88" i="11"/>
  <c r="Z88" i="11"/>
  <c r="EQ87" i="11"/>
  <c r="EL87" i="11"/>
  <c r="EG87" i="11"/>
  <c r="EB87" i="11"/>
  <c r="DW87" i="11"/>
  <c r="DR87" i="11"/>
  <c r="DM87" i="11"/>
  <c r="DH87" i="11"/>
  <c r="DC87" i="11"/>
  <c r="CX87" i="11"/>
  <c r="CS87" i="11"/>
  <c r="CN87" i="11"/>
  <c r="CI87" i="11"/>
  <c r="CD87" i="11"/>
  <c r="BY87" i="11"/>
  <c r="BT87" i="11"/>
  <c r="BO87" i="11"/>
  <c r="AG87" i="11"/>
  <c r="AD87" i="11"/>
  <c r="Z87" i="11"/>
  <c r="EQ86" i="11"/>
  <c r="AG86" i="11"/>
  <c r="Z86" i="11"/>
  <c r="EQ85" i="11"/>
  <c r="AG85" i="11"/>
  <c r="Z85" i="11"/>
  <c r="EQ84" i="11"/>
  <c r="EL84" i="11"/>
  <c r="EG84" i="11"/>
  <c r="EB84" i="11"/>
  <c r="DW84" i="11"/>
  <c r="DR84" i="11"/>
  <c r="DM84" i="11"/>
  <c r="DH84" i="11"/>
  <c r="DC84" i="11"/>
  <c r="CX84" i="11"/>
  <c r="CS84" i="11"/>
  <c r="CN84" i="11"/>
  <c r="CI84" i="11"/>
  <c r="CD84" i="11"/>
  <c r="BY84" i="11"/>
  <c r="BT84" i="11"/>
  <c r="BO84" i="11"/>
  <c r="BK84" i="11"/>
  <c r="BF84" i="11"/>
  <c r="BA84" i="11"/>
  <c r="AV84" i="11"/>
  <c r="AQ84" i="11"/>
  <c r="AL84" i="11"/>
  <c r="AG84" i="11"/>
  <c r="AD84" i="11"/>
  <c r="Z84" i="11"/>
  <c r="EQ82" i="11"/>
  <c r="BK82" i="11"/>
  <c r="AG82" i="11"/>
  <c r="Z82" i="11"/>
  <c r="EQ80" i="11"/>
  <c r="BK80" i="11"/>
  <c r="AG80" i="11"/>
  <c r="Z80" i="11"/>
  <c r="EQ78" i="11"/>
  <c r="BK78" i="11"/>
  <c r="AG78" i="11"/>
  <c r="Z78" i="11"/>
  <c r="EQ76" i="11"/>
  <c r="BK76" i="11"/>
  <c r="AG76" i="11"/>
  <c r="Z76" i="11"/>
  <c r="EQ74" i="11"/>
  <c r="BK74" i="11"/>
  <c r="AG74" i="11"/>
  <c r="Z74" i="11"/>
  <c r="EQ72" i="11"/>
  <c r="BK72" i="11"/>
  <c r="AG72" i="11"/>
  <c r="Z72" i="11"/>
  <c r="EQ70" i="11"/>
  <c r="BK70" i="11"/>
  <c r="AG70" i="11"/>
  <c r="Z70" i="11"/>
  <c r="EQ68" i="11"/>
  <c r="BK68" i="11"/>
  <c r="AG68" i="11"/>
  <c r="Z68" i="11"/>
  <c r="EQ66" i="11"/>
  <c r="BK66" i="11"/>
  <c r="AG66" i="11"/>
  <c r="Z66" i="11"/>
  <c r="EQ64" i="11"/>
  <c r="BK64" i="11"/>
  <c r="AG64" i="11"/>
  <c r="Z64" i="11"/>
  <c r="EQ62" i="11"/>
  <c r="BK62" i="11"/>
  <c r="AG62" i="11"/>
  <c r="Z62" i="11"/>
  <c r="EQ60" i="11"/>
  <c r="BK60" i="11"/>
  <c r="AG60" i="11"/>
  <c r="Z60" i="11"/>
  <c r="EQ59" i="11"/>
  <c r="EL59" i="11"/>
  <c r="EG59" i="11"/>
  <c r="EB59" i="11"/>
  <c r="DW59" i="11"/>
  <c r="DR59" i="11"/>
  <c r="DM59" i="11"/>
  <c r="DH59" i="11"/>
  <c r="DC59" i="11"/>
  <c r="CX59" i="11"/>
  <c r="CS59" i="11"/>
  <c r="CN59" i="11"/>
  <c r="CI59" i="11"/>
  <c r="CD59" i="11"/>
  <c r="BY59" i="11"/>
  <c r="BT59" i="11"/>
  <c r="BO59" i="11"/>
  <c r="BK59" i="11"/>
  <c r="BF59" i="11"/>
  <c r="BA59" i="11"/>
  <c r="AV59" i="11"/>
  <c r="AQ59" i="11"/>
  <c r="AL59" i="11"/>
  <c r="AG59" i="11"/>
  <c r="AD59" i="11"/>
  <c r="Z59" i="11"/>
  <c r="EQ58" i="11"/>
  <c r="BK58" i="11"/>
  <c r="AG58" i="11"/>
  <c r="Z58" i="11"/>
  <c r="EQ57" i="11"/>
  <c r="BK57" i="11"/>
  <c r="AG57" i="11"/>
  <c r="Z57" i="11"/>
  <c r="EQ56" i="11"/>
  <c r="BK56" i="11"/>
  <c r="AG56" i="11"/>
  <c r="Z56" i="11"/>
  <c r="EQ55" i="11"/>
  <c r="BK55" i="11"/>
  <c r="AG55" i="11"/>
  <c r="Z55" i="11"/>
  <c r="EQ54" i="11"/>
  <c r="BK54" i="11"/>
  <c r="AG54" i="11"/>
  <c r="Z54" i="11"/>
  <c r="EQ53" i="11"/>
  <c r="BK53" i="11"/>
  <c r="AG53" i="11"/>
  <c r="Z53" i="11"/>
  <c r="EQ52" i="11"/>
  <c r="BK52" i="11"/>
  <c r="AG52" i="11"/>
  <c r="Z52" i="11"/>
  <c r="EQ51" i="11"/>
  <c r="BK51" i="11"/>
  <c r="AG51" i="11"/>
  <c r="Z51" i="11"/>
  <c r="EQ50" i="11"/>
  <c r="BK50" i="11"/>
  <c r="AG50" i="11"/>
  <c r="Z50" i="11"/>
  <c r="EQ49" i="11"/>
  <c r="BK49" i="11"/>
  <c r="AG49" i="11"/>
  <c r="Z49" i="11"/>
  <c r="EQ48" i="11"/>
  <c r="BK48" i="11"/>
  <c r="AG48" i="11"/>
  <c r="Z48" i="11"/>
  <c r="EQ47" i="11"/>
  <c r="BK47" i="11"/>
  <c r="AG47" i="11"/>
  <c r="Z47" i="11"/>
  <c r="EQ46" i="11"/>
  <c r="BK46" i="11"/>
  <c r="AG46" i="11"/>
  <c r="Z46" i="11"/>
  <c r="EQ45" i="11"/>
  <c r="BK45" i="11"/>
  <c r="AG45" i="11"/>
  <c r="Z45" i="11"/>
  <c r="EQ44" i="11"/>
  <c r="BK44" i="11"/>
  <c r="AG44" i="11"/>
  <c r="Z44" i="11"/>
  <c r="EQ43" i="11"/>
  <c r="BK43" i="11"/>
  <c r="AG43" i="11"/>
  <c r="Z43" i="11"/>
  <c r="EQ42" i="11"/>
  <c r="BK42" i="11"/>
  <c r="AG42" i="11"/>
  <c r="Z42" i="11"/>
  <c r="EQ41" i="11"/>
  <c r="BK41" i="11"/>
  <c r="AG41" i="11"/>
  <c r="Z41" i="11"/>
  <c r="EQ40" i="11"/>
  <c r="BK40" i="11"/>
  <c r="AG40" i="11"/>
  <c r="Z40" i="11"/>
  <c r="EQ39" i="11"/>
  <c r="BK39" i="11"/>
  <c r="AG39" i="11"/>
  <c r="Z39" i="11"/>
  <c r="EQ38" i="11"/>
  <c r="BK38" i="11"/>
  <c r="AG38" i="11"/>
  <c r="Z38" i="11"/>
  <c r="EQ37" i="11"/>
  <c r="BK37" i="11"/>
  <c r="AG37" i="11"/>
  <c r="Z37" i="11"/>
  <c r="EQ36" i="11"/>
  <c r="BK36" i="11"/>
  <c r="AG36" i="11"/>
  <c r="Z36" i="11"/>
  <c r="EQ35" i="11"/>
  <c r="EL35" i="11"/>
  <c r="EG35" i="11"/>
  <c r="EB35" i="11"/>
  <c r="DW35" i="11"/>
  <c r="DR35" i="11"/>
  <c r="DM35" i="11"/>
  <c r="DH35" i="11"/>
  <c r="DC35" i="11"/>
  <c r="CX35" i="11"/>
  <c r="CS35" i="11"/>
  <c r="CN35" i="11"/>
  <c r="CI35" i="11"/>
  <c r="CD35" i="11"/>
  <c r="BY35" i="11"/>
  <c r="BT35" i="11"/>
  <c r="BO35" i="11"/>
  <c r="BK35" i="11"/>
  <c r="BF35" i="11"/>
  <c r="BA35" i="11"/>
  <c r="AV35" i="11"/>
  <c r="AQ35" i="11"/>
  <c r="AL35" i="11"/>
  <c r="AG35" i="11"/>
  <c r="AD35" i="11"/>
  <c r="Z35" i="11"/>
  <c r="EQ33" i="11"/>
  <c r="EL33" i="11"/>
  <c r="EG33" i="11"/>
  <c r="EB33" i="11"/>
  <c r="DW33" i="11"/>
  <c r="DR33" i="11"/>
  <c r="DM33" i="11"/>
  <c r="DH33" i="11"/>
  <c r="DC33" i="11"/>
  <c r="HP21" i="11"/>
  <c r="HN21" i="11"/>
  <c r="HL21" i="11"/>
  <c r="HJ21" i="11"/>
  <c r="HH21" i="11"/>
  <c r="HF21" i="11"/>
  <c r="HD21" i="11"/>
  <c r="HB21" i="11"/>
  <c r="GZ21" i="11"/>
  <c r="HP20" i="11"/>
  <c r="GZ20" i="11"/>
  <c r="HP19" i="11"/>
  <c r="GZ19" i="11"/>
  <c r="HP18" i="11"/>
  <c r="GZ18" i="11"/>
  <c r="HP17" i="11"/>
  <c r="GZ17" i="11"/>
  <c r="HP16" i="11"/>
  <c r="GZ16" i="11"/>
  <c r="AL87" i="18" l="1"/>
  <c r="AL91" i="18" s="1"/>
  <c r="AQ87" i="18"/>
  <c r="AQ91" i="18" s="1"/>
  <c r="BK44" i="18"/>
  <c r="BK51" i="18"/>
  <c r="BK57" i="18"/>
  <c r="BK83" i="18"/>
  <c r="BK45" i="18"/>
  <c r="BK61" i="18"/>
  <c r="BK46" i="18"/>
  <c r="BK41" i="18"/>
  <c r="BK47" i="18"/>
  <c r="BK54" i="18"/>
  <c r="BK55" i="18"/>
  <c r="BK37" i="18"/>
  <c r="BK67" i="18"/>
  <c r="BK79" i="18"/>
  <c r="BK56" i="18"/>
  <c r="BK49" i="18"/>
  <c r="AV87" i="18"/>
  <c r="AV91" i="18" s="1"/>
  <c r="BK42" i="18"/>
  <c r="BA87" i="18"/>
  <c r="BA91" i="18" s="1"/>
  <c r="AG32" i="18"/>
  <c r="DC87" i="18"/>
  <c r="DC91" i="18" s="1"/>
  <c r="DC30" i="18" s="1"/>
  <c r="DH87" i="18"/>
  <c r="DH91" i="18" s="1"/>
  <c r="DH30" i="18" s="1"/>
  <c r="DR87" i="18"/>
  <c r="DR91" i="18" s="1"/>
  <c r="DR30" i="18" s="1"/>
  <c r="DW91" i="18"/>
  <c r="DW30" i="18" s="1"/>
  <c r="BK52" i="18"/>
  <c r="BK50" i="18"/>
  <c r="BT87" i="18"/>
  <c r="BT91" i="18" s="1"/>
  <c r="CX87" i="18"/>
  <c r="CX91" i="18" s="1"/>
  <c r="BO87" i="18"/>
  <c r="BO91" i="18" s="1"/>
  <c r="CD87" i="18"/>
  <c r="CD91" i="18" s="1"/>
  <c r="CS87" i="18"/>
  <c r="CS91" i="18" s="1"/>
  <c r="BK81" i="18"/>
  <c r="BK71" i="18"/>
  <c r="AG58" i="18"/>
  <c r="AE106" i="18"/>
  <c r="HN20" i="18"/>
  <c r="EB91" i="18"/>
  <c r="EB30" i="18" s="1"/>
  <c r="GZ20" i="18"/>
  <c r="BF87" i="18"/>
  <c r="BF91" i="18" s="1"/>
  <c r="EL87" i="18"/>
  <c r="EL91" i="18" s="1"/>
  <c r="EL30" i="18" s="1"/>
  <c r="EQ58" i="18"/>
  <c r="BS92" i="15"/>
  <c r="BS96" i="15" s="1"/>
  <c r="BN49" i="17"/>
  <c r="BK80" i="15"/>
  <c r="BK40" i="15"/>
  <c r="BK82" i="15"/>
  <c r="AE114" i="15"/>
  <c r="BA92" i="15"/>
  <c r="BA96" i="15" s="1"/>
  <c r="BK62" i="15"/>
  <c r="BK61" i="15"/>
  <c r="BK60" i="15"/>
  <c r="BK58" i="15"/>
  <c r="BK57" i="15"/>
  <c r="BK55" i="15"/>
  <c r="BK54" i="15"/>
  <c r="BN52" i="17"/>
  <c r="BN87" i="17"/>
  <c r="BN42" i="17"/>
  <c r="BN53" i="17"/>
  <c r="BN43" i="17"/>
  <c r="BN48" i="17"/>
  <c r="AF112" i="17"/>
  <c r="BN51" i="17"/>
  <c r="BN71" i="17"/>
  <c r="BN40" i="17"/>
  <c r="BN44" i="17"/>
  <c r="BN55" i="17"/>
  <c r="BN91" i="17"/>
  <c r="AJ64" i="17"/>
  <c r="HN23" i="17"/>
  <c r="AO93" i="17"/>
  <c r="AO97" i="17" s="1"/>
  <c r="BN41" i="17"/>
  <c r="BN67" i="17"/>
  <c r="BD93" i="17"/>
  <c r="BD97" i="17" s="1"/>
  <c r="BN50" i="17"/>
  <c r="EA93" i="17"/>
  <c r="EA97" i="17" s="1"/>
  <c r="EA36" i="17" s="1"/>
  <c r="BN95" i="17"/>
  <c r="FE96" i="17"/>
  <c r="BN46" i="17"/>
  <c r="CR93" i="17"/>
  <c r="CR97" i="17" s="1"/>
  <c r="AJ38" i="17"/>
  <c r="BN47" i="17"/>
  <c r="BN69" i="17"/>
  <c r="IB18" i="17"/>
  <c r="IB23" i="17" s="1"/>
  <c r="BN89" i="17"/>
  <c r="AJ96" i="17"/>
  <c r="CC93" i="17"/>
  <c r="CC97" i="17" s="1"/>
  <c r="DQ93" i="17"/>
  <c r="DQ97" i="17" s="1"/>
  <c r="DQ36" i="17" s="1"/>
  <c r="Z64" i="17"/>
  <c r="Z96" i="17"/>
  <c r="BN94" i="17"/>
  <c r="CH93" i="17"/>
  <c r="CH97" i="17" s="1"/>
  <c r="DV93" i="17"/>
  <c r="DV97" i="17" s="1"/>
  <c r="DV36" i="17" s="1"/>
  <c r="AT93" i="17"/>
  <c r="AT97" i="17" s="1"/>
  <c r="CM93" i="17"/>
  <c r="CM97" i="17" s="1"/>
  <c r="FE64" i="17"/>
  <c r="AY93" i="17"/>
  <c r="AY97" i="17" s="1"/>
  <c r="EF93" i="17"/>
  <c r="EF97" i="17" s="1"/>
  <c r="EF36" i="17" s="1"/>
  <c r="BN65" i="17"/>
  <c r="CW93" i="17"/>
  <c r="CW97" i="17" s="1"/>
  <c r="EK93" i="17"/>
  <c r="EK97" i="17" s="1"/>
  <c r="EK36" i="17" s="1"/>
  <c r="BI93" i="17"/>
  <c r="BI97" i="17" s="1"/>
  <c r="DB93" i="17"/>
  <c r="DB97" i="17" s="1"/>
  <c r="EP93" i="17"/>
  <c r="EP97" i="17" s="1"/>
  <c r="EP36" i="17" s="1"/>
  <c r="BS93" i="17"/>
  <c r="BS97" i="17" s="1"/>
  <c r="DG93" i="17"/>
  <c r="DG97" i="17" s="1"/>
  <c r="EU93" i="17"/>
  <c r="EU97" i="17" s="1"/>
  <c r="EU36" i="17" s="1"/>
  <c r="BX93" i="17"/>
  <c r="BX97" i="17" s="1"/>
  <c r="DL93" i="17"/>
  <c r="DL97" i="17" s="1"/>
  <c r="DL36" i="17" s="1"/>
  <c r="EZ93" i="17"/>
  <c r="EZ97" i="17" s="1"/>
  <c r="EZ36" i="17" s="1"/>
  <c r="CM92" i="15"/>
  <c r="CM96" i="15" s="1"/>
  <c r="EE92" i="15"/>
  <c r="EE96" i="15" s="1"/>
  <c r="EE35" i="15" s="1"/>
  <c r="DS92" i="15"/>
  <c r="DS96" i="15" s="1"/>
  <c r="DS35" i="15" s="1"/>
  <c r="EG87" i="18"/>
  <c r="EG91" i="18" s="1"/>
  <c r="EG30" i="18" s="1"/>
  <c r="Z65" i="18"/>
  <c r="EQ32" i="18"/>
  <c r="Z32" i="18"/>
  <c r="BK53" i="18"/>
  <c r="Z95" i="15"/>
  <c r="BK51" i="15"/>
  <c r="BK59" i="15"/>
  <c r="BK56" i="15"/>
  <c r="AG37" i="15"/>
  <c r="AG92" i="15" s="1"/>
  <c r="BK64" i="15"/>
  <c r="BK72" i="15"/>
  <c r="BK39" i="15"/>
  <c r="BK42" i="15"/>
  <c r="CQ92" i="15"/>
  <c r="CQ96" i="15" s="1"/>
  <c r="DW92" i="15"/>
  <c r="DW96" i="15" s="1"/>
  <c r="DW35" i="15" s="1"/>
  <c r="BK74" i="15"/>
  <c r="BW92" i="15"/>
  <c r="BW96" i="15" s="1"/>
  <c r="EI92" i="15"/>
  <c r="EI96" i="15" s="1"/>
  <c r="EI35" i="15" s="1"/>
  <c r="EQ37" i="15"/>
  <c r="BO92" i="15"/>
  <c r="BO96" i="15" s="1"/>
  <c r="CU92" i="15"/>
  <c r="CU96" i="15" s="1"/>
  <c r="EA92" i="15"/>
  <c r="EA96" i="15" s="1"/>
  <c r="EA35" i="15" s="1"/>
  <c r="BK70" i="15"/>
  <c r="GY23" i="15"/>
  <c r="CA92" i="15"/>
  <c r="CA96" i="15" s="1"/>
  <c r="DG92" i="15"/>
  <c r="DG96" i="15" s="1"/>
  <c r="DG35" i="15" s="1"/>
  <c r="EM92" i="15"/>
  <c r="EM96" i="15" s="1"/>
  <c r="EM35" i="15" s="1"/>
  <c r="AQ92" i="15"/>
  <c r="AQ96" i="15" s="1"/>
  <c r="CE92" i="15"/>
  <c r="CE96" i="15" s="1"/>
  <c r="DK92" i="15"/>
  <c r="DK96" i="15" s="1"/>
  <c r="DK35" i="15" s="1"/>
  <c r="EQ63" i="15"/>
  <c r="BK78" i="15"/>
  <c r="AG95" i="15"/>
  <c r="BF92" i="15"/>
  <c r="BF96" i="15" s="1"/>
  <c r="AV92" i="15"/>
  <c r="AV96" i="15" s="1"/>
  <c r="EQ95" i="15"/>
  <c r="BK66" i="15"/>
  <c r="Z63" i="15"/>
  <c r="Z37" i="15"/>
  <c r="DC92" i="15"/>
  <c r="HM18" i="15"/>
  <c r="HM23" i="15" s="1"/>
  <c r="AG87" i="18" l="1"/>
  <c r="AG91" i="18" s="1"/>
  <c r="BK32" i="18"/>
  <c r="EQ87" i="18"/>
  <c r="EQ91" i="18" s="1"/>
  <c r="EQ30" i="18"/>
  <c r="BK37" i="15"/>
  <c r="BN96" i="17"/>
  <c r="AJ93" i="17"/>
  <c r="AJ97" i="17" s="1"/>
  <c r="BN64" i="17"/>
  <c r="BK65" i="18"/>
  <c r="BK58" i="18" s="1"/>
  <c r="Z58" i="18"/>
  <c r="Z87" i="18" s="1"/>
  <c r="BK63" i="15"/>
  <c r="AG96" i="15"/>
  <c r="Z92" i="15"/>
  <c r="DC96" i="15"/>
  <c r="EQ92" i="15"/>
  <c r="BK87" i="18" l="1"/>
  <c r="BK91" i="18" s="1"/>
  <c r="BK92" i="15"/>
  <c r="BK96" i="15" s="1"/>
  <c r="Z91" i="18"/>
  <c r="AD87" i="18" s="1"/>
  <c r="EQ96" i="15"/>
  <c r="DC35" i="15"/>
  <c r="Z96" i="15"/>
  <c r="AD58" i="18" l="1"/>
  <c r="AD90" i="18"/>
  <c r="AD91" i="18" s="1"/>
  <c r="AD32" i="18"/>
  <c r="AD95" i="15"/>
  <c r="AD37" i="15"/>
  <c r="AD63" i="15"/>
  <c r="AD92" i="15"/>
  <c r="AD96" i="15" s="1"/>
  <c r="Z38" i="17"/>
  <c r="FE38" i="17"/>
  <c r="FE93" i="17" s="1"/>
  <c r="FE97" i="17" s="1"/>
  <c r="Z39" i="17"/>
  <c r="BN39" i="17" s="1"/>
  <c r="BN38" i="17" s="1"/>
  <c r="BN93" i="17" s="1"/>
  <c r="BN97" i="17" s="1"/>
  <c r="Z93" i="17" l="1"/>
  <c r="Z97" i="17" l="1"/>
  <c r="AE93" i="17" s="1"/>
  <c r="AE64" i="17" l="1"/>
  <c r="AE96" i="17"/>
  <c r="AE97" i="17" s="1"/>
  <c r="AE38" i="17"/>
</calcChain>
</file>

<file path=xl/sharedStrings.xml><?xml version="1.0" encoding="utf-8"?>
<sst xmlns="http://schemas.openxmlformats.org/spreadsheetml/2006/main" count="1525" uniqueCount="350">
  <si>
    <t>I</t>
  </si>
  <si>
    <t>II</t>
  </si>
  <si>
    <t>III</t>
  </si>
  <si>
    <t>IV</t>
  </si>
  <si>
    <t>1.10</t>
  </si>
  <si>
    <t>1.11</t>
  </si>
  <si>
    <t>1.12</t>
  </si>
  <si>
    <t>1.13</t>
  </si>
  <si>
    <t>1.15</t>
  </si>
  <si>
    <t>1.16</t>
  </si>
  <si>
    <t>2.01</t>
  </si>
  <si>
    <t>2.02</t>
  </si>
  <si>
    <t xml:space="preserve"> TURAN INTERNATIONAL UNIVERSITY</t>
  </si>
  <si>
    <t>Akademik daraja - BAKALAVR</t>
  </si>
  <si>
    <t>Malakaviy amaliyot</t>
  </si>
  <si>
    <t>Kredit ta'lim tizimiga kirish</t>
  </si>
  <si>
    <t>Attestatsiya</t>
  </si>
  <si>
    <t>Yakuniy davlat attestatsiyasi</t>
  </si>
  <si>
    <t>Y</t>
  </si>
  <si>
    <t>O‘quv jarayoni (haftalarda)</t>
  </si>
  <si>
    <t>Jami</t>
  </si>
  <si>
    <t>Nazariy va amaliy ta'lim</t>
  </si>
  <si>
    <t>Hammasi</t>
  </si>
  <si>
    <t>KURS</t>
  </si>
  <si>
    <t>JAMI</t>
  </si>
  <si>
    <t>T/R</t>
  </si>
  <si>
    <t>Mustaqil ta'lim</t>
  </si>
  <si>
    <t>1-kurs</t>
  </si>
  <si>
    <t>2-kurs</t>
  </si>
  <si>
    <t>3-kurs</t>
  </si>
  <si>
    <t>Soatlarning kurs, semestr va haftalar bo'yicha taqsimoti</t>
  </si>
  <si>
    <t>Kreditlarning kurs, semestr va haftalar bo'yicha taqsimoti</t>
  </si>
  <si>
    <t>Kurslardagi haftalar soni</t>
  </si>
  <si>
    <t>Semestrlar</t>
  </si>
  <si>
    <t>Semestrdagi auditoriya mashg'lotlari haftalarining soni</t>
  </si>
  <si>
    <t>Kredit taqsimoti</t>
  </si>
  <si>
    <t>Jami kreditlar soni</t>
  </si>
  <si>
    <t>Majburiy fanlar</t>
  </si>
  <si>
    <t>2.00</t>
  </si>
  <si>
    <t>2.03</t>
  </si>
  <si>
    <t>2.04</t>
  </si>
  <si>
    <t>2.05</t>
  </si>
  <si>
    <t>2.06</t>
  </si>
  <si>
    <t>2.07</t>
  </si>
  <si>
    <t>2.08</t>
  </si>
  <si>
    <t>2.09</t>
  </si>
  <si>
    <t>2.10</t>
  </si>
  <si>
    <t>2.11</t>
  </si>
  <si>
    <t>2.12</t>
  </si>
  <si>
    <t>K</t>
  </si>
  <si>
    <t>Noyabr</t>
  </si>
  <si>
    <t>Dekabr</t>
  </si>
  <si>
    <t>Yanvar</t>
  </si>
  <si>
    <t>Fevral</t>
  </si>
  <si>
    <t>Mart</t>
  </si>
  <si>
    <t>Aprel</t>
  </si>
  <si>
    <t>May</t>
  </si>
  <si>
    <t>Iyun</t>
  </si>
  <si>
    <t>Avgust</t>
  </si>
  <si>
    <t>T</t>
  </si>
  <si>
    <t>A</t>
  </si>
  <si>
    <t>M</t>
  </si>
  <si>
    <t>Fanning malakaviy kodi</t>
  </si>
  <si>
    <t>O'quv bloklari, fanlar va faoliyat turlarining nomlari</t>
  </si>
  <si>
    <t>Talabaning o'quv yuklamasi, soatlarda ishi hajmi soatlarda</t>
  </si>
  <si>
    <t>Umumiy yuklama hajmi</t>
  </si>
  <si>
    <t>Auditoriya mashg'ulotlari soatlarda</t>
  </si>
  <si>
    <t>Ma'ruza</t>
  </si>
  <si>
    <t>Amaliy</t>
  </si>
  <si>
    <t>Seminar</t>
  </si>
  <si>
    <t>Laboratoriya</t>
  </si>
  <si>
    <t>Kurs ishi</t>
  </si>
  <si>
    <t>4-kurs</t>
  </si>
  <si>
    <t>soat</t>
  </si>
  <si>
    <t>%</t>
  </si>
  <si>
    <t>Falsafa</t>
  </si>
  <si>
    <t>Tanlov fanlari</t>
  </si>
  <si>
    <t>Jami:</t>
  </si>
  <si>
    <t>Shundan</t>
  </si>
  <si>
    <t>1.00</t>
  </si>
  <si>
    <t>1.01</t>
  </si>
  <si>
    <t>1.02</t>
  </si>
  <si>
    <t>1.03</t>
  </si>
  <si>
    <t>1.04</t>
  </si>
  <si>
    <t>1.05</t>
  </si>
  <si>
    <t>1.06</t>
  </si>
  <si>
    <t>1.07</t>
  </si>
  <si>
    <t>1.08</t>
  </si>
  <si>
    <t>1.09</t>
  </si>
  <si>
    <t>Izoh:</t>
  </si>
  <si>
    <t>O'quv jarayonining tarkibiy qismlari</t>
  </si>
  <si>
    <t>Haftalar soni</t>
  </si>
  <si>
    <t>Semestr</t>
  </si>
  <si>
    <t>Davlat attestatsiyasi</t>
  </si>
  <si>
    <t xml:space="preserve"> Nazariy va amaliy ta'lim</t>
  </si>
  <si>
    <t xml:space="preserve"> Attestatsiyalar</t>
  </si>
  <si>
    <t xml:space="preserve"> Yakuniy davlat attestatsiyalari</t>
  </si>
  <si>
    <t xml:space="preserve"> Ta'tillar</t>
  </si>
  <si>
    <t xml:space="preserve"> Kredit ta'lim tizimiga kirish</t>
  </si>
  <si>
    <t>1,2,8</t>
  </si>
  <si>
    <t>1-8</t>
  </si>
  <si>
    <t>8</t>
  </si>
  <si>
    <t>1-7</t>
  </si>
  <si>
    <t>Bitiruv malakaviy ishini himoya qilish yoki ixtisoslik fanlaridan Davlat attestatsiyasi</t>
  </si>
  <si>
    <t>_______________________________</t>
  </si>
  <si>
    <t>1.17</t>
  </si>
  <si>
    <t>Akademik yozuv</t>
  </si>
  <si>
    <t>1.14</t>
  </si>
  <si>
    <t>1.18</t>
  </si>
  <si>
    <t>2, 7</t>
  </si>
  <si>
    <t>Xorijiy tilning intensiv kursi</t>
  </si>
  <si>
    <t>Menedjment</t>
  </si>
  <si>
    <t>Iqtisodiyot nazariyasi</t>
  </si>
  <si>
    <t>Biznesni tashkil etish va raqamli texnologiyalar</t>
  </si>
  <si>
    <t>Amaliy xorijiy til</t>
  </si>
  <si>
    <t>Statistika</t>
  </si>
  <si>
    <t>N</t>
  </si>
  <si>
    <t>V</t>
  </si>
  <si>
    <t>5-kurs</t>
  </si>
  <si>
    <t xml:space="preserve">60410400 - Moliya va moliyaviy texnologiyalar </t>
  </si>
  <si>
    <t>Sertifikatlangan chet tili</t>
  </si>
  <si>
    <t>O'zbekistonning eng yangi ta'rixi</t>
  </si>
  <si>
    <t>Matematika</t>
  </si>
  <si>
    <t>Buxgalteriya hisobi asoslari</t>
  </si>
  <si>
    <t>Moliya</t>
  </si>
  <si>
    <t>Bank ishi</t>
  </si>
  <si>
    <t>Moliya bozorlari va Moliyaviy texnologiyalar</t>
  </si>
  <si>
    <t>Moliyaviy menedjment</t>
  </si>
  <si>
    <t>Islom moliyasi asoslari</t>
  </si>
  <si>
    <t>O'zEYT104</t>
  </si>
  <si>
    <t>Fal104</t>
  </si>
  <si>
    <t>Men104</t>
  </si>
  <si>
    <t>Mat112</t>
  </si>
  <si>
    <t>BuxAs115</t>
  </si>
  <si>
    <t>Mik204</t>
  </si>
  <si>
    <t>Mkr205</t>
  </si>
  <si>
    <t>Stat205</t>
  </si>
  <si>
    <t>Mol204</t>
  </si>
  <si>
    <t>PvaB204</t>
  </si>
  <si>
    <t>BizIT212</t>
  </si>
  <si>
    <t>BI305</t>
  </si>
  <si>
    <t>SvaST307</t>
  </si>
  <si>
    <t>SI/QQB306</t>
  </si>
  <si>
    <t>MBvaMT406</t>
  </si>
  <si>
    <t>MM408</t>
  </si>
  <si>
    <t>XoTIK118</t>
  </si>
  <si>
    <t>IqN106</t>
  </si>
  <si>
    <t>Ayo106</t>
  </si>
  <si>
    <t>BTERT104</t>
  </si>
  <si>
    <t>Biznesda IT qo'llash</t>
  </si>
  <si>
    <t>SeCHT405</t>
  </si>
  <si>
    <t>LM405</t>
  </si>
  <si>
    <t>1.19</t>
  </si>
  <si>
    <t>SATQ104</t>
  </si>
  <si>
    <t>Sohada axborot texnologiyalarini qo'llash</t>
  </si>
  <si>
    <t>Emer305</t>
  </si>
  <si>
    <t>Byud404</t>
  </si>
  <si>
    <t>BizR405</t>
  </si>
  <si>
    <r>
      <t xml:space="preserve">2. </t>
    </r>
    <r>
      <rPr>
        <sz val="48"/>
        <rFont val="Times New Roman"/>
        <family val="1"/>
        <charset val="204"/>
      </rPr>
      <t>3-8 semestrdagi mutaxassislik fanlarining o'quv rejalaridagi mustaqil ta’lim mazmuni joriy semestrdagi amaliyot dasturi mazmuniga mos kelishi va bir birini to`ldirishi, talabaning amaliyoti mustaqil ta’lim topshirig`ini bajarish uchun asos sifatida xizmat qilishi nazarda tutilishi kerak.</t>
    </r>
  </si>
  <si>
    <r>
      <t xml:space="preserve">3. </t>
    </r>
    <r>
      <rPr>
        <sz val="48"/>
        <rFont val="Times New Roman"/>
        <family val="1"/>
        <charset val="204"/>
      </rPr>
      <t>1-3 kurs talabalarining yozgi ta’til davrida avvalgi semestrlarda o'zlashtirilmagan fanlari uchun yozgi semestr tashkil qilinishi mumkin. Bunda yozgi ta’tilning birinchi xaftasi ro`yxatga olish xaftaligi, keyingi to`rt xafta yozgi semestr hisobidan akademik davr hisoblanadi.</t>
    </r>
  </si>
  <si>
    <r>
      <t xml:space="preserve">4. </t>
    </r>
    <r>
      <rPr>
        <sz val="48"/>
        <rFont val="Times New Roman"/>
        <family val="1"/>
        <charset val="204"/>
      </rPr>
      <t>O'quv rejaga kiritiladigan ixtisoslikka oid fanlarning amaliy mashg'ulotlari va laboratoriya ishlari oliy ta’lim muassasasi hamda bazaviy  tashkilotlarda o`tkazilishi mumkin.</t>
    </r>
  </si>
  <si>
    <t>Amaliyotlar</t>
  </si>
  <si>
    <t>Axo108</t>
  </si>
  <si>
    <t>1.20</t>
  </si>
  <si>
    <t>1.21</t>
  </si>
  <si>
    <t>1.22</t>
  </si>
  <si>
    <t>1.23</t>
  </si>
  <si>
    <t>2,4,6,8</t>
  </si>
  <si>
    <t>Attestatsiyalar</t>
  </si>
  <si>
    <t>Yakuniy davlat attestatsiyalari</t>
  </si>
  <si>
    <t>Ta'tillar</t>
  </si>
  <si>
    <t>1-9</t>
  </si>
  <si>
    <t>9</t>
  </si>
  <si>
    <t>1,3,5,7,9</t>
  </si>
  <si>
    <t>"TASDIQLAYMAN"</t>
  </si>
  <si>
    <t xml:space="preserve">M.O‘. </t>
  </si>
  <si>
    <t>O‘quv muddati - 4 yil</t>
  </si>
  <si>
    <t>Ta’lim shakli - kunduzgi</t>
  </si>
  <si>
    <t>Mikro-makro iqtisodiyot</t>
  </si>
  <si>
    <t>Malakaviy amaliyotlar</t>
  </si>
  <si>
    <t>Marketing</t>
  </si>
  <si>
    <t>Sug'urta ishi</t>
  </si>
  <si>
    <t>IO'304</t>
  </si>
  <si>
    <t>Iqtisodiy o‘sish</t>
  </si>
  <si>
    <t>BP305</t>
  </si>
  <si>
    <t>Boshqaruv psixologiyasi</t>
  </si>
  <si>
    <t>Soliq va soliqqa tortish</t>
  </si>
  <si>
    <t>Pul va banklar</t>
  </si>
  <si>
    <t>XMANA405</t>
  </si>
  <si>
    <r>
      <t xml:space="preserve">1. </t>
    </r>
    <r>
      <rPr>
        <sz val="48"/>
        <rFont val="Times New Roman"/>
        <family val="1"/>
        <charset val="204"/>
      </rPr>
      <t>1 kredit 30 akademik soatni tashkil qiladi.</t>
    </r>
  </si>
  <si>
    <t>Boshqaruv hisobi</t>
  </si>
  <si>
    <t>Iqtisodiy tahlil nazariyasi</t>
  </si>
  <si>
    <t>MHXS2402</t>
  </si>
  <si>
    <t>Moliyaviy hisobotning xalqaro standartlari</t>
  </si>
  <si>
    <t>BHMS2402</t>
  </si>
  <si>
    <t>Buxgalteriya hisobining milliy standartlari</t>
  </si>
  <si>
    <t>BH306</t>
  </si>
  <si>
    <t>ITN306</t>
  </si>
  <si>
    <t>Ta’lim shakli - sirtqi</t>
  </si>
  <si>
    <r>
      <t xml:space="preserve">5. </t>
    </r>
    <r>
      <rPr>
        <sz val="48"/>
        <rFont val="Times New Roman"/>
        <family val="1"/>
        <charset val="204"/>
      </rPr>
      <t>Sirtqi o‘qish shakli uchun ishlab chiqarishdan ajralgan holda (kundizgi) o‘qish shaklining kamida 30% etib belgilanadi.</t>
    </r>
  </si>
  <si>
    <t>1,3,5,7</t>
  </si>
  <si>
    <t xml:space="preserve">Kafedra mudiri: </t>
  </si>
  <si>
    <t>4,6,8,10</t>
  </si>
  <si>
    <t>МТ204</t>
  </si>
  <si>
    <t>ГИ204</t>
  </si>
  <si>
    <t>Matematika 1,2</t>
  </si>
  <si>
    <t>SITQ2</t>
  </si>
  <si>
    <t>Sohada IT texnologiyalarini qo'llash</t>
  </si>
  <si>
    <t>SYIT2</t>
  </si>
  <si>
    <t>Sohaga yo'naltirilgan ingliz tili</t>
  </si>
  <si>
    <t>Ekonometrika</t>
  </si>
  <si>
    <t>Pul kredit orqali tartiblash</t>
  </si>
  <si>
    <t>PKOT305</t>
  </si>
  <si>
    <t>Iqtisodiy tahlil</t>
  </si>
  <si>
    <t>Innovatsion Marketing</t>
  </si>
  <si>
    <t>IT305</t>
  </si>
  <si>
    <t>IM305</t>
  </si>
  <si>
    <t>Islom406</t>
  </si>
  <si>
    <t>Loyiha menejmenti</t>
  </si>
  <si>
    <t>Inson resurslarini boshqarish</t>
  </si>
  <si>
    <t>IRB405</t>
  </si>
  <si>
    <t>Byudjetlashtirish</t>
  </si>
  <si>
    <t>Valyuta orqali tartiblash</t>
  </si>
  <si>
    <t>VOT404</t>
  </si>
  <si>
    <t>Qimmatli qog'ozlar bozori.</t>
  </si>
  <si>
    <t>InM406</t>
  </si>
  <si>
    <t>QQB406</t>
  </si>
  <si>
    <t>Biznes jarayonlarini boshqarish</t>
  </si>
  <si>
    <t>Biznes rejalashtirish</t>
  </si>
  <si>
    <t>BizJB405</t>
  </si>
  <si>
    <t>Fakultet dekani:</t>
  </si>
  <si>
    <t>sonli qarori bilan ma'qullangan</t>
  </si>
  <si>
    <t>O‘quv muddati - 5 yil</t>
  </si>
  <si>
    <t>O‘quv muddati - 4,5 yil</t>
  </si>
  <si>
    <t>Turan International University kengashining</t>
  </si>
  <si>
    <t>20__-yil "____" ____________dagi ______</t>
  </si>
  <si>
    <t>ISHCHI O‘QUV REJA</t>
  </si>
  <si>
    <t>__________   __________________</t>
  </si>
  <si>
    <t>«___»________________20__ yil</t>
  </si>
  <si>
    <t>__________   _________________</t>
  </si>
  <si>
    <t>________   ___________________</t>
  </si>
  <si>
    <t>Ta’lim shakli - kechki</t>
  </si>
  <si>
    <t>O‘QUV REJA</t>
  </si>
  <si>
    <t>Ta’lim yo‘nalishi:</t>
  </si>
  <si>
    <t>60410400 - Moliya va moliyaviy texnologiyalar</t>
  </si>
  <si>
    <t>2022/2023 o‘quv yili</t>
  </si>
  <si>
    <t>Turan International University rektori</t>
  </si>
  <si>
    <t>II. O‘QUV REJASI</t>
  </si>
  <si>
    <t>I. O‘QUV JARAYONI JADVALI</t>
  </si>
  <si>
    <t>Xalqaro moliya asoslari: nazariza va siyosat</t>
  </si>
  <si>
    <t>Global iqtisodiyot</t>
  </si>
  <si>
    <t>Moliya tamoyillari</t>
  </si>
  <si>
    <t>HEMISda fan nomlari harxil</t>
  </si>
  <si>
    <t>Tanlov fanning juftini NOFAOL qilish kerak</t>
  </si>
  <si>
    <t xml:space="preserve"> Malakaviy amaliyot</t>
  </si>
  <si>
    <t>O‘quv ishlari bo‘yicha prorektor:</t>
  </si>
  <si>
    <t>O‘quv departamenti direktori:</t>
  </si>
  <si>
    <t>II. ISHCHI O‘QUV REJASI</t>
  </si>
  <si>
    <t>Semestrdagi auditoriya mashg'lotlari
haftalarining soni</t>
  </si>
  <si>
    <t>HEMISda kreditini to'g'irlash kerak</t>
  </si>
  <si>
    <t>Soatlarning kurs, semestr va 
haftalar bo'yicha taqsimoti</t>
  </si>
  <si>
    <t>Kreditlarning kurs, semestr va 
haftalar bo'yicha taqsimoti</t>
  </si>
  <si>
    <t>Kafedra mudiri:</t>
  </si>
  <si>
    <t>4-semda amaliyot kreditini to'g'irlash kerak</t>
  </si>
  <si>
    <t>Semestrlarda fan nomi har xil</t>
  </si>
  <si>
    <t>HAFTALAR</t>
  </si>
  <si>
    <t>Ta‘tillar haftasi</t>
  </si>
  <si>
    <t>Nazariy va amaliy ta‘lim</t>
  </si>
  <si>
    <t>Kredit tizimiga kirish</t>
  </si>
  <si>
    <t>4kun nazariy / 2kun malaka amaliyot</t>
  </si>
  <si>
    <t>Sentabr</t>
  </si>
  <si>
    <t>Oktabr</t>
  </si>
  <si>
    <t xml:space="preserve"> Iyul</t>
  </si>
  <si>
    <t>4kun nazariy / 2kun malakaviy amaliyot</t>
  </si>
  <si>
    <t>Ta'til</t>
  </si>
  <si>
    <t>Kurslardagi kreditlar soni</t>
  </si>
  <si>
    <t>Talabaning o‘quv yuklamasi, soatlarda ishi hajmi soatlarda</t>
  </si>
  <si>
    <t>Soatlarning kurs, semestr va haftalar bo‘yicha taqsimoti</t>
  </si>
  <si>
    <t>Kreditlarning kurs, semestr va haftalar bo‘yicha taqsimoti</t>
  </si>
  <si>
    <t>Mustaqil ta’lim</t>
  </si>
  <si>
    <t>Ma’ruza</t>
  </si>
  <si>
    <t>MHXS2305</t>
  </si>
  <si>
    <t>BHMS2305</t>
  </si>
  <si>
    <t>NamDU</t>
  </si>
  <si>
    <t xml:space="preserve">O‘zbek rus tili </t>
  </si>
  <si>
    <t>Jismoniy tarbiya va sport</t>
  </si>
  <si>
    <t>Tadqiqot metodologiyasi</t>
  </si>
  <si>
    <t>Moliyaviy hisob asoslari</t>
  </si>
  <si>
    <t>Davlat xaridlari</t>
  </si>
  <si>
    <t>Majburiy</t>
  </si>
  <si>
    <t>Korporativ moliya</t>
  </si>
  <si>
    <t>Davlat byudjeti va maqsadli jamg‘armalar</t>
  </si>
  <si>
    <t>Moliya 2</t>
  </si>
  <si>
    <t>Xalqaro moliya</t>
  </si>
  <si>
    <t>XM405</t>
  </si>
  <si>
    <t>Tanlov</t>
  </si>
  <si>
    <t>Investitsiya</t>
  </si>
  <si>
    <t>Tanlovga olish kerak</t>
  </si>
  <si>
    <t>Nomini iqtisodiy tahlilga o‘zgartirib majburiyga olish kerak</t>
  </si>
  <si>
    <t>Majburiyga olib kreditini 5dan 4 ga tushurish kerak</t>
  </si>
  <si>
    <t>HEMISDA tanlovga olish kerak</t>
  </si>
  <si>
    <t>2.13</t>
  </si>
  <si>
    <t>Kreditini 4dan 5ga ko‘tarish kerak</t>
  </si>
  <si>
    <t>1.24</t>
  </si>
  <si>
    <t>O‘zbek (rus) tili</t>
  </si>
  <si>
    <t>O‘RT405</t>
  </si>
  <si>
    <t>SI306</t>
  </si>
  <si>
    <t>Moliya II</t>
  </si>
  <si>
    <t>MM407</t>
  </si>
  <si>
    <t>KL</t>
  </si>
  <si>
    <t>HEMISda 2-semestrda 6dan 5 kreditga tushurish kerak</t>
  </si>
  <si>
    <t>Emer404</t>
  </si>
  <si>
    <t>TM404</t>
  </si>
  <si>
    <t>MHA408</t>
  </si>
  <si>
    <t>Mo406</t>
  </si>
  <si>
    <t>DBMJ406</t>
  </si>
  <si>
    <t>KORM404</t>
  </si>
  <si>
    <t>DAVX404</t>
  </si>
  <si>
    <t>LM305</t>
  </si>
  <si>
    <t>IRB205</t>
  </si>
  <si>
    <t>GI204</t>
  </si>
  <si>
    <t>Moliya Instituti</t>
  </si>
  <si>
    <t>Fanning 
malakaviy kodi</t>
  </si>
  <si>
    <t>Amaliy mashg‘ulot</t>
  </si>
  <si>
    <t>MBMT406</t>
  </si>
  <si>
    <t>2.14</t>
  </si>
  <si>
    <t>HEMISda kreditini to‘g‘irlash kerak</t>
  </si>
  <si>
    <t>Moliyaviy menejment</t>
  </si>
  <si>
    <t>MMG405</t>
  </si>
  <si>
    <t>Turan International University kengashining 20__-yil "____" ____________dagi ______ sonli qarori bilan ma'qullangan</t>
  </si>
  <si>
    <t>O'zbekistonning eng yangi ta’rixi</t>
  </si>
  <si>
    <t>KI</t>
  </si>
  <si>
    <t>Turan International University kengashining 20__-yil "____" ____________dagi ______-sonli qarori bilan ma'qullangan</t>
  </si>
  <si>
    <t>Qimmatli qog'ozlar bozori</t>
  </si>
  <si>
    <t>Malakaviy amaliyot (Bitiruv malakaviy amaliyoti)</t>
  </si>
  <si>
    <t>1-10</t>
  </si>
  <si>
    <t>10</t>
  </si>
  <si>
    <t>Xorijiy til 1,2</t>
  </si>
  <si>
    <t>XT113</t>
  </si>
  <si>
    <t>1.25</t>
  </si>
  <si>
    <t>XT18</t>
  </si>
  <si>
    <t>1.26</t>
  </si>
  <si>
    <t>1.27</t>
  </si>
  <si>
    <t>1.28</t>
  </si>
  <si>
    <t>1.29</t>
  </si>
  <si>
    <t>1.30</t>
  </si>
  <si>
    <t>________   G.Nurmuxanova</t>
  </si>
  <si>
    <t>_______________</t>
  </si>
  <si>
    <t>A.Buzello</t>
  </si>
  <si>
    <t>X.Qosimov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</si>
</sst>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9" x14ac:knownFonts="1">
    <font>
      <sz val="10"/>
      <name val="Arial Cyr"/>
      <charset val="204"/>
    </font>
    <font>
      <sz val="8"/>
      <name val="Arial Cyr"/>
      <charset val="204"/>
    </font>
    <font>
      <b/>
      <sz val="38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sz val="1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name val="Times New Roman"/>
      <family val="1"/>
      <charset val="204"/>
    </font>
    <font>
      <sz val="36"/>
      <name val="Arial Cyr"/>
      <charset val="204"/>
    </font>
    <font>
      <sz val="20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34"/>
      <name val="Times New Roman"/>
      <family val="1"/>
      <charset val="204"/>
    </font>
    <font>
      <b/>
      <sz val="72"/>
      <name val="Times New Roman"/>
      <family val="1"/>
      <charset val="204"/>
    </font>
    <font>
      <sz val="72"/>
      <name val="Times New Roman"/>
      <family val="1"/>
      <charset val="204"/>
    </font>
    <font>
      <b/>
      <sz val="60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30"/>
      <name val="Times New Roman"/>
      <family val="1"/>
      <charset val="204"/>
    </font>
    <font>
      <b/>
      <sz val="29"/>
      <name val="Times New Roman"/>
      <family val="1"/>
      <charset val="204"/>
    </font>
    <font>
      <sz val="38"/>
      <name val="Times New Roman"/>
      <family val="1"/>
      <charset val="204"/>
    </font>
    <font>
      <b/>
      <sz val="48"/>
      <name val="Times New Roman"/>
      <family val="1"/>
      <charset val="204"/>
    </font>
    <font>
      <sz val="48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32"/>
      <name val="Times New Roman"/>
      <family val="1"/>
      <charset val="204"/>
    </font>
    <font>
      <sz val="26"/>
      <name val="Times New Roman"/>
      <family val="1"/>
      <charset val="204"/>
    </font>
    <font>
      <i/>
      <sz val="26"/>
      <name val="Times New Roman"/>
      <family val="1"/>
      <charset val="204"/>
    </font>
    <font>
      <b/>
      <sz val="48"/>
      <name val="Arial Cyr"/>
      <charset val="204"/>
    </font>
    <font>
      <sz val="48"/>
      <name val="Arial Cyr"/>
      <charset val="204"/>
    </font>
    <font>
      <b/>
      <sz val="52"/>
      <name val="Times New Roman"/>
      <family val="1"/>
      <charset val="204"/>
    </font>
    <font>
      <b/>
      <sz val="54"/>
      <name val="Times New Roman"/>
      <family val="1"/>
      <charset val="204"/>
    </font>
    <font>
      <b/>
      <sz val="42"/>
      <name val="Times New Roman"/>
      <family val="1"/>
      <charset val="204"/>
    </font>
    <font>
      <b/>
      <i/>
      <sz val="72"/>
      <name val="Times New Roman"/>
      <family val="1"/>
      <charset val="204"/>
    </font>
    <font>
      <b/>
      <sz val="52"/>
      <name val="Arial Cyr"/>
      <charset val="204"/>
    </font>
    <font>
      <sz val="54"/>
      <name val="Times New Roman"/>
      <family val="1"/>
      <charset val="204"/>
    </font>
    <font>
      <b/>
      <sz val="80"/>
      <name val="Times New Roman"/>
      <family val="1"/>
      <charset val="204"/>
    </font>
    <font>
      <sz val="40"/>
      <name val="Times New Roman"/>
      <family val="1"/>
      <charset val="204"/>
    </font>
    <font>
      <b/>
      <sz val="40"/>
      <name val="Times New Roman"/>
      <family val="1"/>
      <charset val="204"/>
    </font>
    <font>
      <b/>
      <sz val="46"/>
      <name val="Times New Roman"/>
      <family val="1"/>
      <charset val="204"/>
    </font>
    <font>
      <sz val="46"/>
      <name val="Times New Roman"/>
      <family val="1"/>
      <charset val="204"/>
    </font>
    <font>
      <sz val="50"/>
      <name val="Arial Cyr"/>
      <charset val="204"/>
    </font>
    <font>
      <b/>
      <sz val="50"/>
      <name val="Times New Roman"/>
      <family val="1"/>
      <charset val="204"/>
    </font>
    <font>
      <sz val="6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36"/>
      <color theme="1"/>
      <name val="Times New Roman"/>
      <family val="1"/>
      <charset val="204"/>
    </font>
    <font>
      <b/>
      <sz val="32"/>
      <color theme="1"/>
      <name val="Times New Roman"/>
      <family val="1"/>
      <charset val="204"/>
    </font>
    <font>
      <sz val="40"/>
      <name val="Arial Cyr"/>
      <charset val="204"/>
    </font>
    <font>
      <sz val="35"/>
      <name val="Times New Roman"/>
      <family val="1"/>
      <charset val="204"/>
    </font>
    <font>
      <b/>
      <sz val="35"/>
      <name val="Times New Roman"/>
      <family val="1"/>
      <charset val="204"/>
    </font>
    <font>
      <i/>
      <sz val="35"/>
      <name val="Times New Roman"/>
      <family val="1"/>
      <charset val="204"/>
    </font>
    <font>
      <i/>
      <sz val="36"/>
      <name val="Times New Roman"/>
      <family val="1"/>
      <charset val="204"/>
    </font>
    <font>
      <sz val="42"/>
      <name val="Times New Roman"/>
      <family val="1"/>
      <charset val="204"/>
    </font>
    <font>
      <b/>
      <sz val="70"/>
      <name val="Times New Roman"/>
      <family val="1"/>
      <charset val="204"/>
    </font>
    <font>
      <b/>
      <i/>
      <sz val="36"/>
      <name val="Times New Roman"/>
      <family val="1"/>
      <charset val="204"/>
    </font>
    <font>
      <b/>
      <sz val="34"/>
      <color theme="1"/>
      <name val="Times New Roman"/>
      <family val="1"/>
      <charset val="204"/>
    </font>
    <font>
      <b/>
      <sz val="44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medium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6" fillId="0" borderId="0"/>
  </cellStyleXfs>
  <cellXfs count="1197">
    <xf numFmtId="0" fontId="0" fillId="0" borderId="0" xfId="0"/>
    <xf numFmtId="0" fontId="3" fillId="2" borderId="0" xfId="0" applyFont="1" applyFill="1"/>
    <xf numFmtId="49" fontId="4" fillId="2" borderId="0" xfId="0" applyNumberFormat="1" applyFont="1" applyFill="1"/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8" fillId="2" borderId="0" xfId="0" applyFont="1" applyFill="1" applyBorder="1" applyAlignment="1">
      <alignment horizontal="center" vertical="center" wrapText="1"/>
    </xf>
    <xf numFmtId="49" fontId="9" fillId="2" borderId="0" xfId="0" applyNumberFormat="1" applyFont="1" applyFill="1" applyBorder="1" applyAlignment="1">
      <alignment horizontal="justify" vertical="center" wrapText="1"/>
    </xf>
    <xf numFmtId="1" fontId="11" fillId="2" borderId="0" xfId="0" applyNumberFormat="1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" fontId="9" fillId="2" borderId="0" xfId="0" applyNumberFormat="1" applyFont="1" applyFill="1" applyBorder="1" applyAlignment="1">
      <alignment horizontal="center" vertical="center" wrapText="1"/>
    </xf>
    <xf numFmtId="1" fontId="9" fillId="2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8" fillId="2" borderId="0" xfId="0" applyFont="1" applyFill="1"/>
    <xf numFmtId="1" fontId="4" fillId="2" borderId="0" xfId="0" applyNumberFormat="1" applyFont="1" applyFill="1"/>
    <xf numFmtId="2" fontId="10" fillId="2" borderId="0" xfId="0" applyNumberFormat="1" applyFont="1" applyFill="1"/>
    <xf numFmtId="0" fontId="4" fillId="2" borderId="0" xfId="0" applyFont="1" applyFill="1"/>
    <xf numFmtId="0" fontId="10" fillId="2" borderId="0" xfId="0" applyFont="1" applyFill="1"/>
    <xf numFmtId="0" fontId="10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/>
    <xf numFmtId="0" fontId="17" fillId="2" borderId="0" xfId="0" applyFont="1" applyFill="1" applyAlignment="1">
      <alignment vertical="center"/>
    </xf>
    <xf numFmtId="0" fontId="18" fillId="2" borderId="0" xfId="0" applyFont="1" applyFill="1"/>
    <xf numFmtId="49" fontId="14" fillId="2" borderId="0" xfId="0" applyNumberFormat="1" applyFont="1" applyFill="1" applyBorder="1" applyAlignment="1"/>
    <xf numFmtId="0" fontId="14" fillId="2" borderId="0" xfId="0" applyFont="1" applyFill="1"/>
    <xf numFmtId="49" fontId="14" fillId="2" borderId="0" xfId="0" applyNumberFormat="1" applyFont="1" applyFill="1" applyBorder="1" applyAlignment="1">
      <alignment horizontal="center" vertical="center"/>
    </xf>
    <xf numFmtId="49" fontId="20" fillId="2" borderId="0" xfId="0" applyNumberFormat="1" applyFont="1" applyFill="1" applyAlignment="1">
      <alignment vertical="center" wrapText="1"/>
    </xf>
    <xf numFmtId="49" fontId="20" fillId="2" borderId="0" xfId="0" applyNumberFormat="1" applyFont="1" applyFill="1" applyAlignment="1">
      <alignment horizontal="center" vertical="center" wrapText="1"/>
    </xf>
    <xf numFmtId="49" fontId="7" fillId="2" borderId="0" xfId="0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vertical="center" wrapText="1"/>
    </xf>
    <xf numFmtId="49" fontId="24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49" fontId="4" fillId="2" borderId="0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Border="1" applyAlignment="1">
      <alignment horizontal="center" vertical="center" wrapText="1"/>
    </xf>
    <xf numFmtId="2" fontId="10" fillId="2" borderId="0" xfId="0" applyNumberFormat="1" applyFont="1" applyFill="1" applyBorder="1" applyAlignment="1">
      <alignment horizontal="center" vertical="center" wrapText="1"/>
    </xf>
    <xf numFmtId="2" fontId="16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/>
    </xf>
    <xf numFmtId="1" fontId="4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26" fillId="2" borderId="0" xfId="0" applyFont="1" applyFill="1" applyAlignment="1">
      <alignment horizontal="center"/>
    </xf>
    <xf numFmtId="0" fontId="26" fillId="2" borderId="0" xfId="0" applyFont="1" applyFill="1"/>
    <xf numFmtId="0" fontId="24" fillId="2" borderId="3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49" fontId="27" fillId="2" borderId="1" xfId="0" applyNumberFormat="1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28" fillId="2" borderId="1" xfId="0" applyFont="1" applyFill="1" applyBorder="1" applyAlignment="1">
      <alignment horizontal="left" vertical="center" wrapText="1"/>
    </xf>
    <xf numFmtId="49" fontId="27" fillId="4" borderId="1" xfId="0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8" fillId="2" borderId="0" xfId="0" applyFont="1" applyFill="1"/>
    <xf numFmtId="49" fontId="27" fillId="5" borderId="1" xfId="0" applyNumberFormat="1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24" fillId="2" borderId="0" xfId="0" applyFont="1" applyFill="1" applyBorder="1" applyAlignment="1">
      <alignment horizontal="center" vertical="center" wrapText="1"/>
    </xf>
    <xf numFmtId="49" fontId="24" fillId="2" borderId="0" xfId="0" applyNumberFormat="1" applyFont="1" applyFill="1" applyBorder="1" applyAlignment="1">
      <alignment horizontal="justify" vertical="center" wrapText="1"/>
    </xf>
    <xf numFmtId="1" fontId="24" fillId="2" borderId="0" xfId="0" applyNumberFormat="1" applyFont="1" applyFill="1" applyBorder="1" applyAlignment="1">
      <alignment horizontal="center" vertical="center" wrapText="1"/>
    </xf>
    <xf numFmtId="1" fontId="24" fillId="2" borderId="0" xfId="0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/>
    </xf>
    <xf numFmtId="0" fontId="24" fillId="2" borderId="0" xfId="0" applyFont="1" applyFill="1"/>
    <xf numFmtId="0" fontId="30" fillId="2" borderId="0" xfId="0" applyFont="1" applyFill="1"/>
    <xf numFmtId="49" fontId="25" fillId="2" borderId="0" xfId="0" applyNumberFormat="1" applyFont="1" applyFill="1" applyAlignment="1">
      <alignment horizontal="center" vertical="center"/>
    </xf>
    <xf numFmtId="0" fontId="25" fillId="2" borderId="0" xfId="0" applyFont="1" applyFill="1" applyBorder="1" applyAlignment="1">
      <alignment horizontal="justify" vertical="center" wrapText="1"/>
    </xf>
    <xf numFmtId="0" fontId="31" fillId="2" borderId="0" xfId="0" applyFont="1" applyFill="1" applyAlignment="1">
      <alignment horizontal="justify"/>
    </xf>
    <xf numFmtId="0" fontId="31" fillId="2" borderId="0" xfId="0" applyFont="1" applyFill="1"/>
    <xf numFmtId="0" fontId="25" fillId="2" borderId="0" xfId="0" applyFont="1" applyFill="1" applyAlignment="1">
      <alignment horizontal="center" vertical="center"/>
    </xf>
    <xf numFmtId="49" fontId="25" fillId="2" borderId="0" xfId="0" applyNumberFormat="1" applyFont="1" applyFill="1"/>
    <xf numFmtId="0" fontId="25" fillId="2" borderId="0" xfId="0" applyFont="1" applyFill="1"/>
    <xf numFmtId="1" fontId="25" fillId="2" borderId="0" xfId="0" applyNumberFormat="1" applyFont="1" applyFill="1"/>
    <xf numFmtId="2" fontId="24" fillId="2" borderId="0" xfId="0" applyNumberFormat="1" applyFont="1" applyFill="1"/>
    <xf numFmtId="1" fontId="5" fillId="2" borderId="0" xfId="0" applyNumberFormat="1" applyFont="1" applyFill="1"/>
    <xf numFmtId="0" fontId="0" fillId="0" borderId="0" xfId="0" applyFont="1"/>
    <xf numFmtId="0" fontId="3" fillId="2" borderId="0" xfId="0" applyFont="1" applyFill="1" applyAlignment="1"/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 wrapText="1"/>
    </xf>
    <xf numFmtId="49" fontId="6" fillId="2" borderId="0" xfId="0" applyNumberFormat="1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justify" vertical="center" wrapText="1"/>
    </xf>
    <xf numFmtId="0" fontId="24" fillId="2" borderId="0" xfId="0" applyFont="1" applyFill="1" applyBorder="1" applyAlignment="1">
      <alignment horizontal="left" vertical="center" wrapText="1"/>
    </xf>
    <xf numFmtId="49" fontId="20" fillId="2" borderId="0" xfId="0" applyNumberFormat="1" applyFont="1" applyFill="1" applyAlignment="1">
      <alignment horizontal="center" vertical="center" wrapText="1"/>
    </xf>
    <xf numFmtId="0" fontId="17" fillId="2" borderId="0" xfId="0" applyFont="1" applyFill="1" applyBorder="1" applyAlignment="1">
      <alignment vertical="center"/>
    </xf>
    <xf numFmtId="49" fontId="24" fillId="2" borderId="0" xfId="0" applyNumberFormat="1" applyFont="1" applyFill="1" applyBorder="1" applyAlignment="1">
      <alignment horizontal="center"/>
    </xf>
    <xf numFmtId="0" fontId="12" fillId="2" borderId="0" xfId="0" applyFont="1" applyFill="1" applyAlignment="1"/>
    <xf numFmtId="0" fontId="15" fillId="2" borderId="0" xfId="0" applyFont="1" applyFill="1" applyAlignment="1"/>
    <xf numFmtId="49" fontId="24" fillId="2" borderId="0" xfId="0" applyNumberFormat="1" applyFont="1" applyFill="1" applyAlignment="1">
      <alignment horizontal="center" vertical="center"/>
    </xf>
    <xf numFmtId="0" fontId="32" fillId="2" borderId="0" xfId="0" applyFont="1" applyFill="1" applyAlignment="1">
      <alignment vertical="center"/>
    </xf>
    <xf numFmtId="0" fontId="33" fillId="2" borderId="0" xfId="0" applyFont="1" applyFill="1" applyAlignment="1">
      <alignment vertical="center"/>
    </xf>
    <xf numFmtId="0" fontId="24" fillId="2" borderId="0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justify" vertical="center" wrapText="1"/>
    </xf>
    <xf numFmtId="1" fontId="24" fillId="2" borderId="0" xfId="0" applyNumberFormat="1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/>
    </xf>
    <xf numFmtId="0" fontId="24" fillId="2" borderId="0" xfId="0" applyFont="1" applyFill="1" applyBorder="1" applyAlignment="1">
      <alignment horizontal="center"/>
    </xf>
    <xf numFmtId="49" fontId="25" fillId="2" borderId="0" xfId="0" applyNumberFormat="1" applyFont="1" applyFill="1" applyBorder="1" applyAlignment="1">
      <alignment horizontal="center"/>
    </xf>
    <xf numFmtId="0" fontId="25" fillId="2" borderId="0" xfId="0" applyFont="1" applyFill="1" applyBorder="1" applyAlignment="1">
      <alignment horizontal="justify"/>
    </xf>
    <xf numFmtId="0" fontId="31" fillId="0" borderId="0" xfId="0" applyFont="1"/>
    <xf numFmtId="0" fontId="13" fillId="0" borderId="0" xfId="0" applyFont="1"/>
    <xf numFmtId="0" fontId="24" fillId="2" borderId="0" xfId="0" applyFont="1" applyFill="1" applyBorder="1" applyAlignment="1">
      <alignment horizontal="center" vertical="center" wrapText="1"/>
    </xf>
    <xf numFmtId="1" fontId="24" fillId="2" borderId="0" xfId="0" applyNumberFormat="1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justify" vertical="center" wrapText="1"/>
    </xf>
    <xf numFmtId="49" fontId="20" fillId="2" borderId="0" xfId="0" applyNumberFormat="1" applyFont="1" applyFill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1" fontId="24" fillId="2" borderId="0" xfId="0" applyNumberFormat="1" applyFont="1" applyFill="1" applyBorder="1" applyAlignment="1">
      <alignment horizontal="center" vertical="center" wrapText="1"/>
    </xf>
    <xf numFmtId="49" fontId="27" fillId="0" borderId="0" xfId="0" applyNumberFormat="1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left" vertical="center" wrapText="1"/>
    </xf>
    <xf numFmtId="49" fontId="24" fillId="0" borderId="0" xfId="0" applyNumberFormat="1" applyFont="1" applyFill="1" applyBorder="1" applyAlignment="1">
      <alignment horizontal="right" vertical="center" wrapText="1"/>
    </xf>
    <xf numFmtId="1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164" fontId="24" fillId="0" borderId="0" xfId="0" applyNumberFormat="1" applyFont="1" applyFill="1" applyBorder="1" applyAlignment="1">
      <alignment horizontal="center" vertical="center" wrapText="1"/>
    </xf>
    <xf numFmtId="0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13" fillId="7" borderId="0" xfId="0" applyFont="1" applyFill="1"/>
    <xf numFmtId="0" fontId="0" fillId="7" borderId="0" xfId="0" applyFont="1" applyFill="1"/>
    <xf numFmtId="0" fontId="24" fillId="2" borderId="0" xfId="0" applyFont="1" applyFill="1" applyBorder="1" applyAlignment="1">
      <alignment vertical="center"/>
    </xf>
    <xf numFmtId="49" fontId="27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/>
    <xf numFmtId="0" fontId="13" fillId="0" borderId="0" xfId="0" applyFont="1" applyFill="1"/>
    <xf numFmtId="0" fontId="28" fillId="0" borderId="0" xfId="0" applyFont="1" applyFill="1" applyAlignment="1">
      <alignment horizontal="center" vertical="center" wrapText="1"/>
    </xf>
    <xf numFmtId="0" fontId="29" fillId="0" borderId="0" xfId="0" applyFont="1" applyFill="1" applyAlignment="1">
      <alignment horizontal="center" vertical="center" wrapText="1"/>
    </xf>
    <xf numFmtId="0" fontId="35" fillId="0" borderId="0" xfId="0" applyFont="1" applyFill="1" applyAlignment="1">
      <alignment horizontal="left" vertical="center"/>
    </xf>
    <xf numFmtId="0" fontId="36" fillId="0" borderId="0" xfId="0" applyFont="1" applyFill="1"/>
    <xf numFmtId="0" fontId="24" fillId="4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9" fontId="20" fillId="2" borderId="0" xfId="0" applyNumberFormat="1" applyFont="1" applyFill="1" applyAlignment="1">
      <alignment horizontal="center" vertical="center" wrapText="1"/>
    </xf>
    <xf numFmtId="49" fontId="32" fillId="2" borderId="0" xfId="0" applyNumberFormat="1" applyFont="1" applyFill="1" applyAlignment="1">
      <alignment vertical="center"/>
    </xf>
    <xf numFmtId="0" fontId="39" fillId="3" borderId="1" xfId="0" applyFont="1" applyFill="1" applyBorder="1" applyAlignment="1">
      <alignment vertical="center"/>
    </xf>
    <xf numFmtId="0" fontId="39" fillId="0" borderId="1" xfId="0" applyFont="1" applyFill="1" applyBorder="1" applyAlignment="1">
      <alignment vertical="center"/>
    </xf>
    <xf numFmtId="0" fontId="39" fillId="3" borderId="1" xfId="0" applyFont="1" applyFill="1" applyBorder="1" applyAlignment="1">
      <alignment vertical="center" wrapText="1"/>
    </xf>
    <xf numFmtId="49" fontId="39" fillId="2" borderId="1" xfId="0" applyNumberFormat="1" applyFont="1" applyFill="1" applyBorder="1" applyAlignment="1">
      <alignment horizontal="left" vertical="center" wrapText="1"/>
    </xf>
    <xf numFmtId="49" fontId="39" fillId="0" borderId="1" xfId="0" applyNumberFormat="1" applyFont="1" applyFill="1" applyBorder="1" applyAlignment="1">
      <alignment horizontal="left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left" vertical="center"/>
    </xf>
    <xf numFmtId="0" fontId="33" fillId="2" borderId="5" xfId="0" applyFont="1" applyFill="1" applyBorder="1"/>
    <xf numFmtId="0" fontId="33" fillId="2" borderId="6" xfId="0" applyFont="1" applyFill="1" applyBorder="1"/>
    <xf numFmtId="0" fontId="33" fillId="2" borderId="7" xfId="0" applyFont="1" applyFill="1" applyBorder="1"/>
    <xf numFmtId="0" fontId="33" fillId="2" borderId="9" xfId="0" applyFont="1" applyFill="1" applyBorder="1" applyAlignment="1">
      <alignment vertical="center"/>
    </xf>
    <xf numFmtId="0" fontId="33" fillId="2" borderId="8" xfId="0" applyFont="1" applyFill="1" applyBorder="1"/>
    <xf numFmtId="0" fontId="33" fillId="2" borderId="0" xfId="0" applyFont="1" applyFill="1" applyBorder="1"/>
    <xf numFmtId="0" fontId="33" fillId="2" borderId="9" xfId="0" applyFont="1" applyFill="1" applyBorder="1"/>
    <xf numFmtId="0" fontId="33" fillId="2" borderId="10" xfId="0" applyFont="1" applyFill="1" applyBorder="1"/>
    <xf numFmtId="0" fontId="33" fillId="2" borderId="11" xfId="0" applyFont="1" applyFill="1" applyBorder="1"/>
    <xf numFmtId="0" fontId="33" fillId="2" borderId="12" xfId="0" applyFont="1" applyFill="1" applyBorder="1"/>
    <xf numFmtId="49" fontId="24" fillId="2" borderId="0" xfId="0" applyNumberFormat="1" applyFont="1" applyFill="1" applyAlignment="1">
      <alignment vertical="center"/>
    </xf>
    <xf numFmtId="0" fontId="43" fillId="0" borderId="0" xfId="0" applyFont="1" applyAlignment="1">
      <alignment vertical="center"/>
    </xf>
    <xf numFmtId="0" fontId="6" fillId="2" borderId="33" xfId="0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center" vertical="center" wrapText="1"/>
    </xf>
    <xf numFmtId="49" fontId="40" fillId="2" borderId="33" xfId="0" applyNumberFormat="1" applyFont="1" applyFill="1" applyBorder="1" applyAlignment="1">
      <alignment horizontal="center" vertical="center" wrapText="1"/>
    </xf>
    <xf numFmtId="49" fontId="40" fillId="0" borderId="33" xfId="0" applyNumberFormat="1" applyFont="1" applyFill="1" applyBorder="1" applyAlignment="1">
      <alignment horizontal="center" vertical="center" wrapText="1"/>
    </xf>
    <xf numFmtId="0" fontId="40" fillId="4" borderId="33" xfId="0" applyFont="1" applyFill="1" applyBorder="1" applyAlignment="1">
      <alignment horizontal="center" vertical="center" wrapText="1"/>
    </xf>
    <xf numFmtId="49" fontId="27" fillId="4" borderId="33" xfId="0" applyNumberFormat="1" applyFont="1" applyFill="1" applyBorder="1" applyAlignment="1">
      <alignment horizontal="center" vertical="center" wrapText="1"/>
    </xf>
    <xf numFmtId="49" fontId="27" fillId="2" borderId="33" xfId="0" applyNumberFormat="1" applyFont="1" applyFill="1" applyBorder="1" applyAlignment="1">
      <alignment horizontal="center" vertical="center" wrapText="1"/>
    </xf>
    <xf numFmtId="49" fontId="27" fillId="5" borderId="38" xfId="0" applyNumberFormat="1" applyFont="1" applyFill="1" applyBorder="1" applyAlignment="1">
      <alignment horizontal="center" vertical="center" wrapText="1"/>
    </xf>
    <xf numFmtId="0" fontId="26" fillId="5" borderId="39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5" fillId="2" borderId="0" xfId="0" applyFont="1" applyFill="1" applyBorder="1" applyAlignment="1">
      <alignment vertical="center"/>
    </xf>
    <xf numFmtId="0" fontId="19" fillId="2" borderId="0" xfId="0" applyFont="1" applyFill="1"/>
    <xf numFmtId="0" fontId="45" fillId="2" borderId="0" xfId="0" applyFont="1" applyFill="1"/>
    <xf numFmtId="0" fontId="45" fillId="2" borderId="0" xfId="0" applyFont="1" applyFill="1" applyBorder="1" applyAlignment="1">
      <alignment horizontal="center"/>
    </xf>
    <xf numFmtId="0" fontId="43" fillId="0" borderId="0" xfId="0" applyFont="1" applyAlignment="1">
      <alignment horizontal="left" vertical="center"/>
    </xf>
    <xf numFmtId="0" fontId="2" fillId="2" borderId="0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/>
    </xf>
    <xf numFmtId="0" fontId="39" fillId="2" borderId="0" xfId="0" applyFont="1" applyFill="1"/>
    <xf numFmtId="0" fontId="39" fillId="2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 wrapText="1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textRotation="90" wrapText="1"/>
    </xf>
    <xf numFmtId="0" fontId="21" fillId="2" borderId="0" xfId="0" applyFont="1" applyFill="1" applyBorder="1" applyAlignment="1">
      <alignment vertical="center" textRotation="90" wrapText="1"/>
    </xf>
    <xf numFmtId="49" fontId="24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textRotation="90"/>
    </xf>
    <xf numFmtId="0" fontId="2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 textRotation="90" wrapText="1"/>
    </xf>
    <xf numFmtId="0" fontId="23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4" fillId="2" borderId="0" xfId="0" applyFont="1" applyFill="1" applyBorder="1"/>
    <xf numFmtId="49" fontId="20" fillId="2" borderId="0" xfId="0" applyNumberFormat="1" applyFont="1" applyFill="1" applyBorder="1" applyAlignment="1">
      <alignment vertical="center" wrapText="1"/>
    </xf>
    <xf numFmtId="49" fontId="2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/>
    <xf numFmtId="49" fontId="24" fillId="2" borderId="0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left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4" borderId="33" xfId="0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/>
    </xf>
    <xf numFmtId="0" fontId="39" fillId="2" borderId="0" xfId="0" applyFont="1" applyFill="1" applyBorder="1" applyAlignment="1">
      <alignment horizontal="center" vertical="center"/>
    </xf>
    <xf numFmtId="0" fontId="39" fillId="2" borderId="0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vertical="center" textRotation="90"/>
    </xf>
    <xf numFmtId="0" fontId="27" fillId="2" borderId="0" xfId="0" applyFont="1" applyFill="1" applyBorder="1" applyAlignment="1">
      <alignment vertical="center" textRotation="90" wrapText="1"/>
    </xf>
    <xf numFmtId="49" fontId="6" fillId="2" borderId="0" xfId="0" applyNumberFormat="1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/>
    </xf>
    <xf numFmtId="0" fontId="27" fillId="2" borderId="0" xfId="0" applyFont="1" applyFill="1" applyBorder="1" applyAlignment="1">
      <alignment vertical="center" wrapText="1"/>
    </xf>
    <xf numFmtId="0" fontId="27" fillId="2" borderId="0" xfId="0" applyFont="1" applyFill="1" applyBorder="1" applyAlignment="1">
      <alignment vertical="center"/>
    </xf>
    <xf numFmtId="0" fontId="16" fillId="2" borderId="0" xfId="0" applyFont="1" applyFill="1" applyBorder="1" applyAlignment="1">
      <alignment vertical="center" wrapText="1"/>
    </xf>
    <xf numFmtId="0" fontId="16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49" fontId="4" fillId="2" borderId="0" xfId="0" applyNumberFormat="1" applyFont="1" applyFill="1" applyBorder="1"/>
    <xf numFmtId="49" fontId="6" fillId="2" borderId="0" xfId="0" applyNumberFormat="1" applyFont="1" applyFill="1" applyBorder="1" applyAlignment="1">
      <alignment vertical="center"/>
    </xf>
    <xf numFmtId="0" fontId="27" fillId="2" borderId="1" xfId="0" applyFont="1" applyFill="1" applyBorder="1" applyAlignment="1">
      <alignment horizontal="center" vertical="center"/>
    </xf>
    <xf numFmtId="0" fontId="48" fillId="2" borderId="1" xfId="1" applyFont="1" applyFill="1" applyBorder="1" applyAlignment="1">
      <alignment horizontal="center" vertical="center"/>
    </xf>
    <xf numFmtId="0" fontId="48" fillId="2" borderId="13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0" fontId="48" fillId="2" borderId="0" xfId="1" applyFont="1" applyFill="1" applyBorder="1" applyAlignment="1">
      <alignment horizontal="center" vertical="center"/>
    </xf>
    <xf numFmtId="49" fontId="24" fillId="2" borderId="33" xfId="0" applyNumberFormat="1" applyFont="1" applyFill="1" applyBorder="1" applyAlignment="1">
      <alignment horizontal="center" vertical="center" wrapText="1"/>
    </xf>
    <xf numFmtId="49" fontId="24" fillId="0" borderId="33" xfId="0" applyNumberFormat="1" applyFont="1" applyFill="1" applyBorder="1" applyAlignment="1">
      <alignment horizontal="center" vertical="center" wrapText="1"/>
    </xf>
    <xf numFmtId="49" fontId="24" fillId="4" borderId="33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 wrapText="1"/>
    </xf>
    <xf numFmtId="49" fontId="24" fillId="5" borderId="38" xfId="0" applyNumberFormat="1" applyFont="1" applyFill="1" applyBorder="1" applyAlignment="1">
      <alignment horizontal="center" vertical="center" wrapText="1"/>
    </xf>
    <xf numFmtId="0" fontId="24" fillId="5" borderId="39" xfId="0" applyFont="1" applyFill="1" applyBorder="1" applyAlignment="1">
      <alignment horizontal="left" vertical="center" wrapText="1"/>
    </xf>
    <xf numFmtId="0" fontId="24" fillId="2" borderId="0" xfId="0" applyFont="1" applyFill="1" applyBorder="1" applyAlignment="1">
      <alignment horizontal="center" vertical="center" wrapText="1"/>
    </xf>
    <xf numFmtId="1" fontId="24" fillId="2" borderId="0" xfId="0" applyNumberFormat="1" applyFont="1" applyFill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justify" vertical="center" wrapText="1"/>
    </xf>
    <xf numFmtId="0" fontId="24" fillId="2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49" fillId="0" borderId="8" xfId="0" applyFont="1" applyBorder="1"/>
    <xf numFmtId="0" fontId="49" fillId="0" borderId="0" xfId="0" applyFont="1" applyBorder="1"/>
    <xf numFmtId="0" fontId="49" fillId="0" borderId="9" xfId="0" applyFont="1" applyBorder="1"/>
    <xf numFmtId="0" fontId="49" fillId="0" borderId="8" xfId="0" applyFont="1" applyFill="1" applyBorder="1"/>
    <xf numFmtId="0" fontId="49" fillId="0" borderId="0" xfId="0" applyFont="1" applyFill="1" applyBorder="1"/>
    <xf numFmtId="0" fontId="49" fillId="0" borderId="9" xfId="0" applyFont="1" applyFill="1" applyBorder="1"/>
    <xf numFmtId="0" fontId="49" fillId="7" borderId="8" xfId="0" applyFont="1" applyFill="1" applyBorder="1"/>
    <xf numFmtId="0" fontId="49" fillId="7" borderId="0" xfId="0" applyFont="1" applyFill="1" applyBorder="1"/>
    <xf numFmtId="0" fontId="49" fillId="7" borderId="9" xfId="0" applyFont="1" applyFill="1" applyBorder="1"/>
    <xf numFmtId="0" fontId="49" fillId="0" borderId="10" xfId="0" applyFont="1" applyBorder="1"/>
    <xf numFmtId="0" fontId="49" fillId="0" borderId="11" xfId="0" applyFont="1" applyBorder="1"/>
    <xf numFmtId="0" fontId="49" fillId="0" borderId="12" xfId="0" applyFont="1" applyBorder="1"/>
    <xf numFmtId="0" fontId="26" fillId="2" borderId="0" xfId="0" applyFont="1" applyFill="1" applyAlignment="1">
      <alignment horizontal="center" vertical="center"/>
    </xf>
    <xf numFmtId="0" fontId="50" fillId="2" borderId="0" xfId="0" applyFont="1" applyFill="1" applyAlignment="1">
      <alignment horizontal="center" vertical="center" wrapText="1"/>
    </xf>
    <xf numFmtId="0" fontId="50" fillId="2" borderId="0" xfId="0" applyFont="1" applyFill="1" applyAlignment="1">
      <alignment horizontal="left" vertical="center"/>
    </xf>
    <xf numFmtId="0" fontId="51" fillId="2" borderId="0" xfId="0" applyFont="1" applyFill="1" applyAlignment="1">
      <alignment horizontal="center" vertical="center" wrapText="1"/>
    </xf>
    <xf numFmtId="0" fontId="51" fillId="2" borderId="0" xfId="0" applyFont="1" applyFill="1" applyAlignment="1">
      <alignment horizontal="left" vertical="center"/>
    </xf>
    <xf numFmtId="0" fontId="50" fillId="0" borderId="0" xfId="0" applyFont="1" applyFill="1" applyAlignment="1">
      <alignment horizontal="center" vertical="center" wrapText="1"/>
    </xf>
    <xf numFmtId="0" fontId="50" fillId="0" borderId="0" xfId="0" applyFont="1" applyFill="1" applyAlignment="1">
      <alignment horizontal="left" vertical="center"/>
    </xf>
    <xf numFmtId="0" fontId="52" fillId="0" borderId="0" xfId="0" applyFont="1" applyFill="1" applyAlignment="1">
      <alignment horizontal="center" vertical="center" wrapText="1"/>
    </xf>
    <xf numFmtId="0" fontId="52" fillId="0" borderId="0" xfId="0" applyFont="1" applyFill="1" applyAlignment="1">
      <alignment horizontal="left" vertical="center"/>
    </xf>
    <xf numFmtId="0" fontId="52" fillId="2" borderId="0" xfId="0" applyFont="1" applyFill="1" applyAlignment="1">
      <alignment horizontal="center" vertical="center" wrapText="1"/>
    </xf>
    <xf numFmtId="0" fontId="52" fillId="2" borderId="0" xfId="0" applyFont="1" applyFill="1" applyAlignment="1">
      <alignment horizontal="left" vertical="center"/>
    </xf>
    <xf numFmtId="0" fontId="51" fillId="0" borderId="0" xfId="0" applyFont="1" applyFill="1" applyAlignment="1">
      <alignment horizontal="center" vertical="center" wrapText="1"/>
    </xf>
    <xf numFmtId="0" fontId="51" fillId="0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3" fillId="0" borderId="0" xfId="0" applyFont="1" applyFill="1" applyAlignment="1">
      <alignment horizontal="center" vertical="center" wrapText="1"/>
    </xf>
    <xf numFmtId="0" fontId="53" fillId="2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28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8" fillId="0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0" fontId="26" fillId="0" borderId="0" xfId="0" applyFont="1" applyFill="1" applyAlignment="1">
      <alignment horizontal="left" vertical="center"/>
    </xf>
    <xf numFmtId="0" fontId="29" fillId="0" borderId="0" xfId="0" applyFont="1" applyFill="1" applyAlignment="1">
      <alignment horizontal="left" vertical="center"/>
    </xf>
    <xf numFmtId="0" fontId="50" fillId="1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3" fillId="0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9" fillId="0" borderId="0" xfId="0" applyFont="1" applyBorder="1" applyAlignment="1">
      <alignment vertical="center"/>
    </xf>
    <xf numFmtId="0" fontId="39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 wrapText="1"/>
    </xf>
    <xf numFmtId="49" fontId="25" fillId="0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9" fillId="0" borderId="0" xfId="0" applyFont="1" applyFill="1"/>
    <xf numFmtId="0" fontId="54" fillId="3" borderId="1" xfId="0" applyFont="1" applyFill="1" applyBorder="1" applyAlignment="1">
      <alignment vertical="center"/>
    </xf>
    <xf numFmtId="0" fontId="54" fillId="0" borderId="1" xfId="0" applyFont="1" applyFill="1" applyBorder="1" applyAlignment="1">
      <alignment vertical="center"/>
    </xf>
    <xf numFmtId="49" fontId="54" fillId="0" borderId="1" xfId="0" applyNumberFormat="1" applyFont="1" applyFill="1" applyBorder="1" applyAlignment="1">
      <alignment horizontal="left" vertical="center" wrapText="1"/>
    </xf>
    <xf numFmtId="49" fontId="54" fillId="2" borderId="1" xfId="0" applyNumberFormat="1" applyFont="1" applyFill="1" applyBorder="1" applyAlignment="1">
      <alignment horizontal="left" vertical="center" wrapText="1"/>
    </xf>
    <xf numFmtId="0" fontId="25" fillId="2" borderId="0" xfId="0" applyFont="1" applyFill="1" applyBorder="1" applyAlignment="1">
      <alignment horizontal="center" vertical="center"/>
    </xf>
    <xf numFmtId="0" fontId="55" fillId="2" borderId="0" xfId="0" applyFont="1" applyFill="1" applyBorder="1" applyAlignment="1">
      <alignment horizontal="center" vertical="center" wrapText="1"/>
    </xf>
    <xf numFmtId="0" fontId="56" fillId="0" borderId="0" xfId="0" applyFont="1" applyFill="1" applyAlignment="1">
      <alignment horizontal="left" vertical="center"/>
    </xf>
    <xf numFmtId="0" fontId="19" fillId="2" borderId="0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57" fillId="2" borderId="1" xfId="1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center" vertical="center"/>
    </xf>
    <xf numFmtId="0" fontId="58" fillId="2" borderId="3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justify" vertical="center" wrapText="1"/>
    </xf>
    <xf numFmtId="1" fontId="24" fillId="2" borderId="0" xfId="0" applyNumberFormat="1" applyFont="1" applyFill="1" applyBorder="1" applyAlignment="1">
      <alignment horizontal="center" vertical="center" wrapText="1"/>
    </xf>
    <xf numFmtId="49" fontId="54" fillId="8" borderId="1" xfId="0" applyNumberFormat="1" applyFont="1" applyFill="1" applyBorder="1" applyAlignment="1">
      <alignment horizontal="left" vertical="center" wrapText="1"/>
    </xf>
    <xf numFmtId="0" fontId="36" fillId="8" borderId="0" xfId="0" applyFont="1" applyFill="1"/>
    <xf numFmtId="0" fontId="54" fillId="8" borderId="1" xfId="0" applyFont="1" applyFill="1" applyBorder="1" applyAlignment="1">
      <alignment vertical="center"/>
    </xf>
    <xf numFmtId="0" fontId="54" fillId="8" borderId="1" xfId="0" applyFont="1" applyFill="1" applyBorder="1" applyAlignment="1">
      <alignment vertical="center" wrapText="1"/>
    </xf>
    <xf numFmtId="0" fontId="39" fillId="0" borderId="1" xfId="0" applyFont="1" applyFill="1" applyBorder="1" applyAlignment="1">
      <alignment vertical="center" wrapText="1"/>
    </xf>
    <xf numFmtId="0" fontId="43" fillId="0" borderId="0" xfId="0" applyFont="1" applyFill="1" applyAlignment="1">
      <alignment vertical="center"/>
    </xf>
    <xf numFmtId="49" fontId="40" fillId="8" borderId="33" xfId="0" applyNumberFormat="1" applyFont="1" applyFill="1" applyBorder="1" applyAlignment="1">
      <alignment horizontal="center" vertical="center" wrapText="1"/>
    </xf>
    <xf numFmtId="0" fontId="39" fillId="8" borderId="1" xfId="0" applyFont="1" applyFill="1" applyBorder="1" applyAlignment="1">
      <alignment vertical="center"/>
    </xf>
    <xf numFmtId="0" fontId="0" fillId="8" borderId="0" xfId="0" applyFont="1" applyFill="1"/>
    <xf numFmtId="0" fontId="13" fillId="8" borderId="0" xfId="0" applyFont="1" applyFill="1"/>
    <xf numFmtId="0" fontId="49" fillId="8" borderId="8" xfId="0" applyFont="1" applyFill="1" applyBorder="1"/>
    <xf numFmtId="0" fontId="49" fillId="8" borderId="0" xfId="0" applyFont="1" applyFill="1" applyBorder="1"/>
    <xf numFmtId="0" fontId="49" fillId="8" borderId="9" xfId="0" applyFont="1" applyFill="1" applyBorder="1"/>
    <xf numFmtId="49" fontId="39" fillId="8" borderId="1" xfId="0" applyNumberFormat="1" applyFont="1" applyFill="1" applyBorder="1" applyAlignment="1">
      <alignment horizontal="left" vertical="center" wrapText="1"/>
    </xf>
    <xf numFmtId="0" fontId="43" fillId="8" borderId="0" xfId="0" applyFont="1" applyFill="1" applyAlignment="1">
      <alignment vertical="center"/>
    </xf>
    <xf numFmtId="0" fontId="49" fillId="0" borderId="5" xfId="0" applyFont="1" applyBorder="1" applyAlignment="1">
      <alignment horizontal="center"/>
    </xf>
    <xf numFmtId="0" fontId="49" fillId="0" borderId="6" xfId="0" applyFont="1" applyBorder="1" applyAlignment="1">
      <alignment horizontal="center"/>
    </xf>
    <xf numFmtId="0" fontId="49" fillId="0" borderId="7" xfId="0" applyFont="1" applyBorder="1" applyAlignment="1">
      <alignment horizontal="center"/>
    </xf>
    <xf numFmtId="0" fontId="33" fillId="2" borderId="8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5" fillId="2" borderId="6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center" vertical="center" wrapText="1"/>
    </xf>
    <xf numFmtId="49" fontId="27" fillId="2" borderId="13" xfId="0" applyNumberFormat="1" applyFont="1" applyFill="1" applyBorder="1" applyAlignment="1">
      <alignment horizontal="center" vertical="center" wrapText="1"/>
    </xf>
    <xf numFmtId="49" fontId="27" fillId="2" borderId="15" xfId="0" applyNumberFormat="1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164" fontId="24" fillId="2" borderId="5" xfId="0" applyNumberFormat="1" applyFont="1" applyFill="1" applyBorder="1" applyAlignment="1">
      <alignment horizontal="center" vertical="center" wrapText="1"/>
    </xf>
    <xf numFmtId="164" fontId="24" fillId="2" borderId="6" xfId="0" applyNumberFormat="1" applyFont="1" applyFill="1" applyBorder="1" applyAlignment="1">
      <alignment horizontal="center" vertical="center" wrapText="1"/>
    </xf>
    <xf numFmtId="164" fontId="24" fillId="2" borderId="7" xfId="0" applyNumberFormat="1" applyFont="1" applyFill="1" applyBorder="1" applyAlignment="1">
      <alignment horizontal="center" vertical="center" wrapText="1"/>
    </xf>
    <xf numFmtId="164" fontId="24" fillId="2" borderId="10" xfId="0" applyNumberFormat="1" applyFont="1" applyFill="1" applyBorder="1" applyAlignment="1">
      <alignment horizontal="center" vertical="center" wrapText="1"/>
    </xf>
    <xf numFmtId="164" fontId="24" fillId="2" borderId="11" xfId="0" applyNumberFormat="1" applyFont="1" applyFill="1" applyBorder="1" applyAlignment="1">
      <alignment horizontal="center" vertical="center" wrapText="1"/>
    </xf>
    <xf numFmtId="164" fontId="24" fillId="2" borderId="12" xfId="0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left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9" xfId="0" applyFont="1" applyFill="1" applyBorder="1" applyAlignment="1">
      <alignment horizontal="center" vertical="center" wrapText="1"/>
    </xf>
    <xf numFmtId="49" fontId="25" fillId="2" borderId="0" xfId="0" applyNumberFormat="1" applyFont="1" applyFill="1" applyBorder="1" applyAlignment="1">
      <alignment horizontal="center"/>
    </xf>
    <xf numFmtId="0" fontId="25" fillId="2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6" xfId="0" applyFont="1" applyFill="1" applyBorder="1" applyAlignment="1">
      <alignment horizontal="center" vertical="center" wrapText="1"/>
    </xf>
    <xf numFmtId="0" fontId="25" fillId="0" borderId="7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 wrapText="1"/>
    </xf>
    <xf numFmtId="0" fontId="25" fillId="0" borderId="12" xfId="0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5" fillId="0" borderId="5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center" vertical="center" wrapText="1"/>
    </xf>
    <xf numFmtId="0" fontId="25" fillId="0" borderId="18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16" xfId="0" applyFont="1" applyFill="1" applyBorder="1" applyAlignment="1">
      <alignment horizontal="center" vertical="center" wrapText="1"/>
    </xf>
    <xf numFmtId="49" fontId="24" fillId="2" borderId="1" xfId="0" applyNumberFormat="1" applyFont="1" applyFill="1" applyBorder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0" fontId="25" fillId="0" borderId="10" xfId="0" applyFont="1" applyFill="1" applyBorder="1" applyAlignment="1">
      <alignment horizontal="center" vertical="center"/>
    </xf>
    <xf numFmtId="0" fontId="25" fillId="0" borderId="11" xfId="0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center" vertical="center"/>
    </xf>
    <xf numFmtId="0" fontId="25" fillId="0" borderId="17" xfId="0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9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4" fillId="0" borderId="20" xfId="0" applyFont="1" applyFill="1" applyBorder="1" applyAlignment="1">
      <alignment horizontal="center" vertical="center" wrapText="1"/>
    </xf>
    <xf numFmtId="49" fontId="27" fillId="0" borderId="13" xfId="0" applyNumberFormat="1" applyFont="1" applyFill="1" applyBorder="1" applyAlignment="1">
      <alignment horizontal="center" vertical="center" wrapText="1"/>
    </xf>
    <xf numFmtId="49" fontId="27" fillId="0" borderId="15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24" fillId="0" borderId="5" xfId="0" applyFont="1" applyFill="1" applyBorder="1" applyAlignment="1">
      <alignment horizontal="center" vertical="center"/>
    </xf>
    <xf numFmtId="0" fontId="24" fillId="0" borderId="6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4" fillId="0" borderId="11" xfId="0" applyFont="1" applyFill="1" applyBorder="1" applyAlignment="1">
      <alignment horizontal="center" vertical="center"/>
    </xf>
    <xf numFmtId="0" fontId="24" fillId="0" borderId="12" xfId="0" applyFont="1" applyFill="1" applyBorder="1" applyAlignment="1">
      <alignment horizontal="center" vertical="center"/>
    </xf>
    <xf numFmtId="164" fontId="24" fillId="0" borderId="5" xfId="0" applyNumberFormat="1" applyFont="1" applyFill="1" applyBorder="1" applyAlignment="1">
      <alignment horizontal="center" vertical="center" wrapText="1"/>
    </xf>
    <xf numFmtId="164" fontId="24" fillId="0" borderId="6" xfId="0" applyNumberFormat="1" applyFont="1" applyFill="1" applyBorder="1" applyAlignment="1">
      <alignment horizontal="center" vertical="center" wrapText="1"/>
    </xf>
    <xf numFmtId="164" fontId="24" fillId="0" borderId="7" xfId="0" applyNumberFormat="1" applyFont="1" applyFill="1" applyBorder="1" applyAlignment="1">
      <alignment horizontal="center" vertical="center" wrapText="1"/>
    </xf>
    <xf numFmtId="164" fontId="24" fillId="0" borderId="10" xfId="0" applyNumberFormat="1" applyFont="1" applyFill="1" applyBorder="1" applyAlignment="1">
      <alignment horizontal="center" vertical="center" wrapText="1"/>
    </xf>
    <xf numFmtId="164" fontId="24" fillId="0" borderId="11" xfId="0" applyNumberFormat="1" applyFont="1" applyFill="1" applyBorder="1" applyAlignment="1">
      <alignment horizontal="center" vertical="center" wrapText="1"/>
    </xf>
    <xf numFmtId="164" fontId="24" fillId="0" borderId="12" xfId="0" applyNumberFormat="1" applyFont="1" applyFill="1" applyBorder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left" vertical="center" wrapText="1"/>
    </xf>
    <xf numFmtId="49" fontId="25" fillId="0" borderId="1" xfId="0" applyNumberFormat="1" applyFont="1" applyFill="1" applyBorder="1" applyAlignment="1">
      <alignment horizontal="left" vertical="center" wrapText="1"/>
    </xf>
    <xf numFmtId="49" fontId="25" fillId="9" borderId="1" xfId="0" applyNumberFormat="1" applyFont="1" applyFill="1" applyBorder="1" applyAlignment="1">
      <alignment horizontal="left" vertical="center" wrapText="1"/>
    </xf>
    <xf numFmtId="0" fontId="25" fillId="0" borderId="5" xfId="0" applyFont="1" applyFill="1" applyBorder="1" applyAlignment="1">
      <alignment horizontal="left" vertical="center" wrapText="1"/>
    </xf>
    <xf numFmtId="0" fontId="25" fillId="0" borderId="6" xfId="0" applyFont="1" applyFill="1" applyBorder="1" applyAlignment="1">
      <alignment horizontal="left" vertical="center" wrapText="1"/>
    </xf>
    <xf numFmtId="0" fontId="25" fillId="0" borderId="7" xfId="0" applyFont="1" applyFill="1" applyBorder="1" applyAlignment="1">
      <alignment horizontal="left" vertical="center" wrapText="1"/>
    </xf>
    <xf numFmtId="1" fontId="24" fillId="4" borderId="1" xfId="0" applyNumberFormat="1" applyFont="1" applyFill="1" applyBorder="1" applyAlignment="1">
      <alignment horizontal="center" vertical="center" wrapText="1"/>
    </xf>
    <xf numFmtId="1" fontId="24" fillId="4" borderId="3" xfId="0" applyNumberFormat="1" applyFont="1" applyFill="1" applyBorder="1" applyAlignment="1">
      <alignment horizontal="center" vertical="center" wrapText="1"/>
    </xf>
    <xf numFmtId="1" fontId="24" fillId="4" borderId="4" xfId="0" applyNumberFormat="1" applyFont="1" applyFill="1" applyBorder="1" applyAlignment="1">
      <alignment horizontal="center" vertical="center" wrapText="1"/>
    </xf>
    <xf numFmtId="1" fontId="24" fillId="4" borderId="2" xfId="0" applyNumberFormat="1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25" fillId="0" borderId="3" xfId="0" applyFont="1" applyFill="1" applyBorder="1" applyAlignment="1">
      <alignment horizontal="left" vertical="center"/>
    </xf>
    <xf numFmtId="0" fontId="25" fillId="0" borderId="4" xfId="0" applyFont="1" applyFill="1" applyBorder="1" applyAlignment="1">
      <alignment horizontal="left" vertical="center"/>
    </xf>
    <xf numFmtId="0" fontId="25" fillId="0" borderId="2" xfId="0" applyFont="1" applyFill="1" applyBorder="1" applyAlignment="1">
      <alignment horizontal="left" vertical="center"/>
    </xf>
    <xf numFmtId="0" fontId="25" fillId="8" borderId="5" xfId="0" applyFont="1" applyFill="1" applyBorder="1" applyAlignment="1">
      <alignment horizontal="left" vertical="center"/>
    </xf>
    <xf numFmtId="0" fontId="25" fillId="8" borderId="6" xfId="0" applyFont="1" applyFill="1" applyBorder="1" applyAlignment="1">
      <alignment horizontal="left" vertical="center"/>
    </xf>
    <xf numFmtId="0" fontId="25" fillId="8" borderId="7" xfId="0" applyFont="1" applyFill="1" applyBorder="1" applyAlignment="1">
      <alignment horizontal="left" vertical="center"/>
    </xf>
    <xf numFmtId="49" fontId="25" fillId="2" borderId="3" xfId="0" applyNumberFormat="1" applyFont="1" applyFill="1" applyBorder="1" applyAlignment="1">
      <alignment horizontal="left" vertical="center" wrapText="1"/>
    </xf>
    <xf numFmtId="49" fontId="25" fillId="2" borderId="4" xfId="0" applyNumberFormat="1" applyFont="1" applyFill="1" applyBorder="1" applyAlignment="1">
      <alignment horizontal="left" vertical="center" wrapText="1"/>
    </xf>
    <xf numFmtId="49" fontId="25" fillId="2" borderId="2" xfId="0" applyNumberFormat="1" applyFont="1" applyFill="1" applyBorder="1" applyAlignment="1">
      <alignment horizontal="left" vertical="center" wrapText="1"/>
    </xf>
    <xf numFmtId="49" fontId="24" fillId="2" borderId="3" xfId="0" applyNumberFormat="1" applyFont="1" applyFill="1" applyBorder="1" applyAlignment="1">
      <alignment horizontal="center" vertical="center"/>
    </xf>
    <xf numFmtId="49" fontId="24" fillId="2" borderId="4" xfId="0" applyNumberFormat="1" applyFont="1" applyFill="1" applyBorder="1" applyAlignment="1">
      <alignment horizontal="center" vertical="center"/>
    </xf>
    <xf numFmtId="49" fontId="24" fillId="2" borderId="2" xfId="0" applyNumberFormat="1" applyFont="1" applyFill="1" applyBorder="1" applyAlignment="1">
      <alignment horizontal="center" vertical="center"/>
    </xf>
    <xf numFmtId="49" fontId="24" fillId="2" borderId="3" xfId="0" applyNumberFormat="1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center" vertical="center" wrapText="1"/>
    </xf>
    <xf numFmtId="49" fontId="24" fillId="2" borderId="2" xfId="0" applyNumberFormat="1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left" vertical="center" wrapText="1"/>
    </xf>
    <xf numFmtId="16" fontId="24" fillId="2" borderId="0" xfId="0" applyNumberFormat="1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4" fillId="4" borderId="21" xfId="0" applyFont="1" applyFill="1" applyBorder="1" applyAlignment="1">
      <alignment horizontal="center" vertical="center" wrapText="1"/>
    </xf>
    <xf numFmtId="0" fontId="24" fillId="4" borderId="2" xfId="0" applyFont="1" applyFill="1" applyBorder="1" applyAlignment="1">
      <alignment horizontal="center" vertical="center" wrapText="1"/>
    </xf>
    <xf numFmtId="0" fontId="25" fillId="2" borderId="18" xfId="0" applyFont="1" applyFill="1" applyBorder="1" applyAlignment="1">
      <alignment horizontal="center" vertical="center" wrapText="1"/>
    </xf>
    <xf numFmtId="0" fontId="25" fillId="2" borderId="20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164" fontId="25" fillId="2" borderId="1" xfId="0" applyNumberFormat="1" applyFont="1" applyFill="1" applyBorder="1" applyAlignment="1">
      <alignment horizontal="center" vertical="center" wrapText="1"/>
    </xf>
    <xf numFmtId="0" fontId="24" fillId="2" borderId="1" xfId="0" applyNumberFormat="1" applyFont="1" applyFill="1" applyBorder="1" applyAlignment="1">
      <alignment horizontal="center" vertical="center"/>
    </xf>
    <xf numFmtId="0" fontId="24" fillId="2" borderId="3" xfId="0" applyNumberFormat="1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justify" vertical="center" wrapText="1"/>
    </xf>
    <xf numFmtId="0" fontId="25" fillId="2" borderId="3" xfId="0" applyNumberFormat="1" applyFont="1" applyFill="1" applyBorder="1" applyAlignment="1">
      <alignment horizontal="center" vertical="center"/>
    </xf>
    <xf numFmtId="0" fontId="25" fillId="2" borderId="4" xfId="0" applyNumberFormat="1" applyFont="1" applyFill="1" applyBorder="1" applyAlignment="1">
      <alignment horizontal="center" vertical="center"/>
    </xf>
    <xf numFmtId="0" fontId="25" fillId="2" borderId="2" xfId="0" applyNumberFormat="1" applyFont="1" applyFill="1" applyBorder="1" applyAlignment="1">
      <alignment horizontal="center" vertical="center"/>
    </xf>
    <xf numFmtId="49" fontId="25" fillId="2" borderId="3" xfId="0" applyNumberFormat="1" applyFont="1" applyFill="1" applyBorder="1" applyAlignment="1">
      <alignment horizontal="center" vertical="center"/>
    </xf>
    <xf numFmtId="49" fontId="25" fillId="2" borderId="4" xfId="0" applyNumberFormat="1" applyFont="1" applyFill="1" applyBorder="1" applyAlignment="1">
      <alignment horizontal="center" vertical="center"/>
    </xf>
    <xf numFmtId="49" fontId="25" fillId="2" borderId="2" xfId="0" applyNumberFormat="1" applyFont="1" applyFill="1" applyBorder="1" applyAlignment="1">
      <alignment horizontal="center" vertical="center"/>
    </xf>
    <xf numFmtId="0" fontId="24" fillId="2" borderId="0" xfId="0" applyFont="1" applyFill="1" applyAlignment="1">
      <alignment horizontal="left" vertical="center"/>
    </xf>
    <xf numFmtId="0" fontId="24" fillId="2" borderId="4" xfId="0" applyNumberFormat="1" applyFont="1" applyFill="1" applyBorder="1" applyAlignment="1">
      <alignment horizontal="center" vertical="center"/>
    </xf>
    <xf numFmtId="0" fontId="24" fillId="2" borderId="2" xfId="0" applyNumberFormat="1" applyFont="1" applyFill="1" applyBorder="1" applyAlignment="1">
      <alignment horizontal="center" vertical="center"/>
    </xf>
    <xf numFmtId="49" fontId="25" fillId="2" borderId="3" xfId="0" applyNumberFormat="1" applyFont="1" applyFill="1" applyBorder="1" applyAlignment="1">
      <alignment horizontal="center"/>
    </xf>
    <xf numFmtId="49" fontId="25" fillId="2" borderId="4" xfId="0" applyNumberFormat="1" applyFont="1" applyFill="1" applyBorder="1" applyAlignment="1">
      <alignment horizontal="center"/>
    </xf>
    <xf numFmtId="49" fontId="25" fillId="2" borderId="2" xfId="0" applyNumberFormat="1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 vertical="center" wrapText="1"/>
    </xf>
    <xf numFmtId="0" fontId="33" fillId="2" borderId="6" xfId="0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center" vertical="center" wrapText="1"/>
    </xf>
    <xf numFmtId="0" fontId="33" fillId="2" borderId="0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33" fillId="2" borderId="11" xfId="0" applyFont="1" applyFill="1" applyBorder="1" applyAlignment="1">
      <alignment horizontal="center" vertical="center" wrapText="1"/>
    </xf>
    <xf numFmtId="0" fontId="33" fillId="2" borderId="12" xfId="0" applyFont="1" applyFill="1" applyBorder="1" applyAlignment="1">
      <alignment horizontal="center" vertical="center" wrapText="1"/>
    </xf>
    <xf numFmtId="49" fontId="24" fillId="4" borderId="1" xfId="0" applyNumberFormat="1" applyFont="1" applyFill="1" applyBorder="1" applyAlignment="1">
      <alignment horizontal="right" vertical="center" wrapText="1"/>
    </xf>
    <xf numFmtId="49" fontId="25" fillId="2" borderId="1" xfId="0" applyNumberFormat="1" applyFont="1" applyFill="1" applyBorder="1" applyAlignment="1">
      <alignment horizontal="center" vertical="center" wrapText="1"/>
    </xf>
    <xf numFmtId="49" fontId="24" fillId="2" borderId="1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164" fontId="24" fillId="2" borderId="1" xfId="0" applyNumberFormat="1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/>
    </xf>
    <xf numFmtId="164" fontId="24" fillId="4" borderId="1" xfId="0" applyNumberFormat="1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1" fontId="24" fillId="4" borderId="1" xfId="0" applyNumberFormat="1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0" borderId="21" xfId="0" applyFont="1" applyFill="1" applyBorder="1" applyAlignment="1">
      <alignment horizontal="center" vertical="center" wrapText="1"/>
    </xf>
    <xf numFmtId="1" fontId="24" fillId="2" borderId="2" xfId="0" applyNumberFormat="1" applyFont="1" applyFill="1" applyBorder="1" applyAlignment="1">
      <alignment horizontal="center" vertical="center"/>
    </xf>
    <xf numFmtId="1" fontId="24" fillId="2" borderId="1" xfId="0" applyNumberFormat="1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2" fontId="24" fillId="2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vertical="center" wrapText="1"/>
    </xf>
    <xf numFmtId="1" fontId="25" fillId="0" borderId="21" xfId="0" applyNumberFormat="1" applyFont="1" applyFill="1" applyBorder="1" applyAlignment="1">
      <alignment horizontal="center" vertical="center" wrapText="1"/>
    </xf>
    <xf numFmtId="1" fontId="25" fillId="0" borderId="1" xfId="0" applyNumberFormat="1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center" vertical="center"/>
    </xf>
    <xf numFmtId="0" fontId="24" fillId="2" borderId="13" xfId="0" applyFont="1" applyFill="1" applyBorder="1" applyAlignment="1">
      <alignment horizontal="center" vertical="center" textRotation="90" wrapText="1"/>
    </xf>
    <xf numFmtId="0" fontId="24" fillId="2" borderId="14" xfId="0" applyFont="1" applyFill="1" applyBorder="1" applyAlignment="1">
      <alignment horizontal="center" vertical="center" textRotation="90" wrapText="1"/>
    </xf>
    <xf numFmtId="0" fontId="24" fillId="2" borderId="15" xfId="0" applyFont="1" applyFill="1" applyBorder="1" applyAlignment="1">
      <alignment horizontal="center" vertical="center" textRotation="90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textRotation="90" wrapText="1"/>
    </xf>
    <xf numFmtId="0" fontId="24" fillId="2" borderId="6" xfId="0" applyFont="1" applyFill="1" applyBorder="1" applyAlignment="1">
      <alignment horizontal="center" vertical="center" textRotation="90" wrapText="1"/>
    </xf>
    <xf numFmtId="0" fontId="24" fillId="2" borderId="7" xfId="0" applyFont="1" applyFill="1" applyBorder="1" applyAlignment="1">
      <alignment horizontal="center" vertical="center" textRotation="90" wrapText="1"/>
    </xf>
    <xf numFmtId="0" fontId="24" fillId="2" borderId="8" xfId="0" applyFont="1" applyFill="1" applyBorder="1" applyAlignment="1">
      <alignment horizontal="center" vertical="center" textRotation="90" wrapText="1"/>
    </xf>
    <xf numFmtId="0" fontId="24" fillId="2" borderId="0" xfId="0" applyFont="1" applyFill="1" applyBorder="1" applyAlignment="1">
      <alignment horizontal="center" vertical="center" textRotation="90" wrapText="1"/>
    </xf>
    <xf numFmtId="0" fontId="24" fillId="2" borderId="9" xfId="0" applyFont="1" applyFill="1" applyBorder="1" applyAlignment="1">
      <alignment horizontal="center" vertical="center" textRotation="90" wrapText="1"/>
    </xf>
    <xf numFmtId="0" fontId="24" fillId="2" borderId="10" xfId="0" applyFont="1" applyFill="1" applyBorder="1" applyAlignment="1">
      <alignment horizontal="center" vertical="center" textRotation="90" wrapText="1"/>
    </xf>
    <xf numFmtId="0" fontId="24" fillId="2" borderId="11" xfId="0" applyFont="1" applyFill="1" applyBorder="1" applyAlignment="1">
      <alignment horizontal="center" vertical="center" textRotation="90" wrapText="1"/>
    </xf>
    <xf numFmtId="0" fontId="24" fillId="2" borderId="12" xfId="0" applyFont="1" applyFill="1" applyBorder="1" applyAlignment="1">
      <alignment horizontal="center" vertical="center" textRotation="90" wrapText="1"/>
    </xf>
    <xf numFmtId="1" fontId="24" fillId="2" borderId="3" xfId="0" applyNumberFormat="1" applyFont="1" applyFill="1" applyBorder="1" applyAlignment="1">
      <alignment horizontal="center" vertical="center" wrapText="1"/>
    </xf>
    <xf numFmtId="1" fontId="24" fillId="2" borderId="4" xfId="0" applyNumberFormat="1" applyFont="1" applyFill="1" applyBorder="1" applyAlignment="1">
      <alignment horizontal="center" vertical="center" wrapText="1"/>
    </xf>
    <xf numFmtId="1" fontId="24" fillId="2" borderId="2" xfId="0" applyNumberFormat="1" applyFont="1" applyFill="1" applyBorder="1" applyAlignment="1">
      <alignment horizontal="center" vertical="center" wrapText="1"/>
    </xf>
    <xf numFmtId="1" fontId="24" fillId="2" borderId="10" xfId="0" applyNumberFormat="1" applyFont="1" applyFill="1" applyBorder="1" applyAlignment="1">
      <alignment horizontal="center" vertical="center" wrapText="1"/>
    </xf>
    <xf numFmtId="1" fontId="24" fillId="2" borderId="11" xfId="0" applyNumberFormat="1" applyFont="1" applyFill="1" applyBorder="1" applyAlignment="1">
      <alignment horizontal="center" vertical="center" wrapText="1"/>
    </xf>
    <xf numFmtId="49" fontId="24" fillId="4" borderId="1" xfId="0" applyNumberFormat="1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1" fontId="24" fillId="2" borderId="2" xfId="0" applyNumberFormat="1" applyFont="1" applyFill="1" applyBorder="1" applyAlignment="1">
      <alignment horizontal="center" vertical="center" textRotation="90" wrapText="1"/>
    </xf>
    <xf numFmtId="1" fontId="24" fillId="2" borderId="1" xfId="0" applyNumberFormat="1" applyFont="1" applyFill="1" applyBorder="1" applyAlignment="1">
      <alignment horizontal="center" vertical="center" textRotation="90" wrapText="1"/>
    </xf>
    <xf numFmtId="1" fontId="24" fillId="2" borderId="3" xfId="0" applyNumberFormat="1" applyFont="1" applyFill="1" applyBorder="1" applyAlignment="1">
      <alignment horizontal="center" vertical="center" textRotation="90" wrapText="1"/>
    </xf>
    <xf numFmtId="0" fontId="24" fillId="0" borderId="3" xfId="0" applyFont="1" applyFill="1" applyBorder="1" applyAlignment="1">
      <alignment horizontal="center" vertical="center"/>
    </xf>
    <xf numFmtId="0" fontId="24" fillId="0" borderId="4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164" fontId="25" fillId="0" borderId="1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/>
    </xf>
    <xf numFmtId="0" fontId="24" fillId="0" borderId="3" xfId="0" applyNumberFormat="1" applyFont="1" applyFill="1" applyBorder="1" applyAlignment="1">
      <alignment horizontal="center" vertical="center"/>
    </xf>
    <xf numFmtId="1" fontId="24" fillId="0" borderId="2" xfId="0" applyNumberFormat="1" applyFont="1" applyFill="1" applyBorder="1" applyAlignment="1">
      <alignment horizontal="center" vertical="center"/>
    </xf>
    <xf numFmtId="1" fontId="24" fillId="0" borderId="1" xfId="0" applyNumberFormat="1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1" fontId="24" fillId="2" borderId="0" xfId="0" applyNumberFormat="1" applyFont="1" applyFill="1" applyBorder="1" applyAlignment="1">
      <alignment horizontal="center" vertical="center" wrapText="1"/>
    </xf>
    <xf numFmtId="0" fontId="24" fillId="2" borderId="0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left" vertical="center"/>
    </xf>
    <xf numFmtId="0" fontId="24" fillId="2" borderId="13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1" fontId="24" fillId="2" borderId="1" xfId="0" applyNumberFormat="1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left" vertical="center"/>
    </xf>
    <xf numFmtId="0" fontId="25" fillId="9" borderId="1" xfId="0" applyFont="1" applyFill="1" applyBorder="1" applyAlignment="1">
      <alignment horizontal="left" vertical="center"/>
    </xf>
    <xf numFmtId="1" fontId="25" fillId="2" borderId="1" xfId="0" applyNumberFormat="1" applyFont="1" applyFill="1" applyBorder="1" applyAlignment="1">
      <alignment horizontal="center" vertical="center" wrapText="1"/>
    </xf>
    <xf numFmtId="49" fontId="25" fillId="8" borderId="1" xfId="0" applyNumberFormat="1" applyFont="1" applyFill="1" applyBorder="1" applyAlignment="1">
      <alignment horizontal="left" vertical="center" wrapText="1"/>
    </xf>
    <xf numFmtId="0" fontId="24" fillId="4" borderId="22" xfId="0" applyFont="1" applyFill="1" applyBorder="1" applyAlignment="1">
      <alignment horizontal="center" vertical="center" wrapText="1"/>
    </xf>
    <xf numFmtId="1" fontId="24" fillId="4" borderId="2" xfId="0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left" vertical="center" wrapText="1"/>
    </xf>
    <xf numFmtId="0" fontId="24" fillId="5" borderId="2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5" borderId="21" xfId="0" applyFont="1" applyFill="1" applyBorder="1" applyAlignment="1">
      <alignment horizontal="center" vertical="center" wrapText="1"/>
    </xf>
    <xf numFmtId="0" fontId="24" fillId="5" borderId="16" xfId="0" applyFont="1" applyFill="1" applyBorder="1" applyAlignment="1">
      <alignment horizontal="center" vertical="center" wrapText="1"/>
    </xf>
    <xf numFmtId="1" fontId="24" fillId="5" borderId="2" xfId="0" applyNumberFormat="1" applyFont="1" applyFill="1" applyBorder="1" applyAlignment="1">
      <alignment horizontal="center" vertical="center"/>
    </xf>
    <xf numFmtId="1" fontId="24" fillId="5" borderId="1" xfId="0" applyNumberFormat="1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4" fillId="4" borderId="3" xfId="0" applyNumberFormat="1" applyFont="1" applyFill="1" applyBorder="1" applyAlignment="1">
      <alignment horizontal="center" vertical="center"/>
    </xf>
    <xf numFmtId="0" fontId="24" fillId="4" borderId="4" xfId="0" applyNumberFormat="1" applyFont="1" applyFill="1" applyBorder="1" applyAlignment="1">
      <alignment horizontal="center" vertical="center"/>
    </xf>
    <xf numFmtId="49" fontId="24" fillId="5" borderId="1" xfId="0" applyNumberFormat="1" applyFont="1" applyFill="1" applyBorder="1" applyAlignment="1">
      <alignment horizontal="right" vertical="center" wrapText="1"/>
    </xf>
    <xf numFmtId="164" fontId="24" fillId="5" borderId="1" xfId="0" applyNumberFormat="1" applyFont="1" applyFill="1" applyBorder="1" applyAlignment="1">
      <alignment horizontal="center" vertical="center" wrapText="1"/>
    </xf>
    <xf numFmtId="1" fontId="24" fillId="5" borderId="3" xfId="0" applyNumberFormat="1" applyFont="1" applyFill="1" applyBorder="1" applyAlignment="1">
      <alignment horizontal="center" vertical="center"/>
    </xf>
    <xf numFmtId="0" fontId="24" fillId="5" borderId="4" xfId="0" applyNumberFormat="1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 wrapText="1"/>
    </xf>
    <xf numFmtId="1" fontId="24" fillId="4" borderId="3" xfId="0" applyNumberFormat="1" applyFont="1" applyFill="1" applyBorder="1" applyAlignment="1">
      <alignment horizontal="center" vertical="center"/>
    </xf>
    <xf numFmtId="49" fontId="19" fillId="2" borderId="0" xfId="0" applyNumberFormat="1" applyFont="1" applyFill="1" applyBorder="1" applyAlignment="1">
      <alignment horizontal="center" vertical="center"/>
    </xf>
    <xf numFmtId="49" fontId="19" fillId="2" borderId="0" xfId="0" applyNumberFormat="1" applyFont="1" applyFill="1" applyBorder="1" applyAlignment="1">
      <alignment horizontal="center" vertical="center" wrapText="1"/>
    </xf>
    <xf numFmtId="49" fontId="38" fillId="2" borderId="0" xfId="0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49" fontId="32" fillId="2" borderId="0" xfId="0" applyNumberFormat="1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49" fontId="33" fillId="2" borderId="0" xfId="0" applyNumberFormat="1" applyFont="1" applyFill="1" applyBorder="1" applyAlignment="1">
      <alignment horizontal="center" vertical="center" wrapText="1"/>
    </xf>
    <xf numFmtId="49" fontId="37" fillId="2" borderId="0" xfId="0" applyNumberFormat="1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textRotation="90"/>
    </xf>
    <xf numFmtId="0" fontId="6" fillId="2" borderId="5" xfId="0" applyFont="1" applyFill="1" applyBorder="1" applyAlignment="1">
      <alignment horizontal="center" vertical="center" textRotation="90" wrapText="1"/>
    </xf>
    <xf numFmtId="0" fontId="6" fillId="2" borderId="7" xfId="0" applyFont="1" applyFill="1" applyBorder="1" applyAlignment="1">
      <alignment horizontal="center" vertical="center" textRotation="90" wrapText="1"/>
    </xf>
    <xf numFmtId="0" fontId="6" fillId="2" borderId="8" xfId="0" applyFont="1" applyFill="1" applyBorder="1" applyAlignment="1">
      <alignment horizontal="center" vertical="center" textRotation="90" wrapText="1"/>
    </xf>
    <xf numFmtId="0" fontId="6" fillId="2" borderId="9" xfId="0" applyFont="1" applyFill="1" applyBorder="1" applyAlignment="1">
      <alignment horizontal="center" vertical="center" textRotation="90" wrapText="1"/>
    </xf>
    <xf numFmtId="0" fontId="6" fillId="2" borderId="10" xfId="0" applyFont="1" applyFill="1" applyBorder="1" applyAlignment="1">
      <alignment horizontal="center" vertical="center" textRotation="90" wrapText="1"/>
    </xf>
    <xf numFmtId="0" fontId="6" fillId="2" borderId="12" xfId="0" applyFont="1" applyFill="1" applyBorder="1" applyAlignment="1">
      <alignment horizontal="center" vertical="center" textRotation="90" wrapText="1"/>
    </xf>
    <xf numFmtId="0" fontId="40" fillId="2" borderId="3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right"/>
    </xf>
    <xf numFmtId="0" fontId="40" fillId="2" borderId="4" xfId="0" applyFont="1" applyFill="1" applyBorder="1" applyAlignment="1">
      <alignment horizontal="right"/>
    </xf>
    <xf numFmtId="0" fontId="40" fillId="2" borderId="2" xfId="0" applyFont="1" applyFill="1" applyBorder="1" applyAlignment="1">
      <alignment horizontal="right"/>
    </xf>
    <xf numFmtId="0" fontId="39" fillId="2" borderId="51" xfId="0" applyFont="1" applyFill="1" applyBorder="1" applyAlignment="1">
      <alignment horizontal="center" vertical="center"/>
    </xf>
    <xf numFmtId="0" fontId="39" fillId="2" borderId="52" xfId="0" applyFont="1" applyFill="1" applyBorder="1" applyAlignment="1">
      <alignment horizontal="center" vertical="center"/>
    </xf>
    <xf numFmtId="0" fontId="39" fillId="2" borderId="53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39" fillId="2" borderId="54" xfId="0" applyFont="1" applyFill="1" applyBorder="1" applyAlignment="1">
      <alignment horizontal="center" vertical="center"/>
    </xf>
    <xf numFmtId="0" fontId="39" fillId="2" borderId="55" xfId="0" applyFont="1" applyFill="1" applyBorder="1" applyAlignment="1">
      <alignment horizontal="center" vertical="center"/>
    </xf>
    <xf numFmtId="0" fontId="39" fillId="2" borderId="5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textRotation="90" wrapText="1"/>
    </xf>
    <xf numFmtId="0" fontId="16" fillId="2" borderId="7" xfId="0" applyFont="1" applyFill="1" applyBorder="1" applyAlignment="1">
      <alignment horizontal="center" vertical="center" textRotation="90" wrapText="1"/>
    </xf>
    <xf numFmtId="0" fontId="16" fillId="2" borderId="8" xfId="0" applyFont="1" applyFill="1" applyBorder="1" applyAlignment="1">
      <alignment horizontal="center" vertical="center" textRotation="90" wrapText="1"/>
    </xf>
    <xf numFmtId="0" fontId="16" fillId="2" borderId="9" xfId="0" applyFont="1" applyFill="1" applyBorder="1" applyAlignment="1">
      <alignment horizontal="center" vertical="center" textRotation="90" wrapText="1"/>
    </xf>
    <xf numFmtId="0" fontId="16" fillId="2" borderId="10" xfId="0" applyFont="1" applyFill="1" applyBorder="1" applyAlignment="1">
      <alignment horizontal="center" vertical="center" textRotation="90" wrapText="1"/>
    </xf>
    <xf numFmtId="0" fontId="16" fillId="2" borderId="12" xfId="0" applyFont="1" applyFill="1" applyBorder="1" applyAlignment="1">
      <alignment horizontal="center" vertical="center" textRotation="90" wrapText="1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5" fillId="2" borderId="58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58" fillId="2" borderId="13" xfId="0" applyFont="1" applyFill="1" applyBorder="1" applyAlignment="1">
      <alignment horizontal="center" vertical="center"/>
    </xf>
    <xf numFmtId="0" fontId="58" fillId="2" borderId="14" xfId="0" applyFont="1" applyFill="1" applyBorder="1" applyAlignment="1">
      <alignment horizontal="center" vertical="center"/>
    </xf>
    <xf numFmtId="0" fontId="58" fillId="2" borderId="15" xfId="0" applyFont="1" applyFill="1" applyBorder="1" applyAlignment="1">
      <alignment horizontal="center" vertical="center"/>
    </xf>
    <xf numFmtId="0" fontId="58" fillId="2" borderId="13" xfId="0" applyFont="1" applyFill="1" applyBorder="1" applyAlignment="1">
      <alignment horizontal="center" vertical="center" textRotation="90" wrapText="1"/>
    </xf>
    <xf numFmtId="0" fontId="58" fillId="2" borderId="14" xfId="0" applyFont="1" applyFill="1" applyBorder="1" applyAlignment="1">
      <alignment horizontal="center" vertical="center" textRotation="90" wrapText="1"/>
    </xf>
    <xf numFmtId="0" fontId="58" fillId="2" borderId="15" xfId="0" applyFont="1" applyFill="1" applyBorder="1" applyAlignment="1">
      <alignment horizontal="center" vertical="center" textRotation="90" wrapText="1"/>
    </xf>
    <xf numFmtId="2" fontId="58" fillId="2" borderId="1" xfId="0" applyNumberFormat="1" applyFont="1" applyFill="1" applyBorder="1" applyAlignment="1">
      <alignment horizontal="center" vertical="center" wrapText="1"/>
    </xf>
    <xf numFmtId="0" fontId="58" fillId="2" borderId="3" xfId="0" applyFont="1" applyFill="1" applyBorder="1" applyAlignment="1">
      <alignment horizontal="center" vertical="center"/>
    </xf>
    <xf numFmtId="0" fontId="58" fillId="2" borderId="4" xfId="0" applyFont="1" applyFill="1" applyBorder="1" applyAlignment="1">
      <alignment horizontal="center" vertical="center"/>
    </xf>
    <xf numFmtId="0" fontId="58" fillId="2" borderId="6" xfId="0" applyFont="1" applyFill="1" applyBorder="1" applyAlignment="1">
      <alignment horizontal="center" vertical="center"/>
    </xf>
    <xf numFmtId="0" fontId="58" fillId="2" borderId="21" xfId="0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center" vertical="center"/>
    </xf>
    <xf numFmtId="0" fontId="58" fillId="2" borderId="16" xfId="0" applyFont="1" applyFill="1" applyBorder="1" applyAlignment="1">
      <alignment horizontal="center" vertical="center"/>
    </xf>
    <xf numFmtId="1" fontId="58" fillId="2" borderId="2" xfId="0" applyNumberFormat="1" applyFont="1" applyFill="1" applyBorder="1" applyAlignment="1">
      <alignment horizontal="center" vertical="center" textRotation="90" wrapText="1"/>
    </xf>
    <xf numFmtId="1" fontId="58" fillId="2" borderId="1" xfId="0" applyNumberFormat="1" applyFont="1" applyFill="1" applyBorder="1" applyAlignment="1">
      <alignment horizontal="center" vertical="center" textRotation="90" wrapText="1"/>
    </xf>
    <xf numFmtId="0" fontId="58" fillId="2" borderId="1" xfId="0" applyFont="1" applyFill="1" applyBorder="1" applyAlignment="1">
      <alignment horizontal="center" vertical="center" textRotation="90" wrapText="1"/>
    </xf>
    <xf numFmtId="0" fontId="58" fillId="2" borderId="2" xfId="0" applyFont="1" applyFill="1" applyBorder="1" applyAlignment="1">
      <alignment horizontal="center" vertical="center"/>
    </xf>
    <xf numFmtId="1" fontId="58" fillId="2" borderId="2" xfId="0" applyNumberFormat="1" applyFont="1" applyFill="1" applyBorder="1" applyAlignment="1">
      <alignment horizontal="center" vertical="center"/>
    </xf>
    <xf numFmtId="1" fontId="58" fillId="2" borderId="1" xfId="0" applyNumberFormat="1" applyFont="1" applyFill="1" applyBorder="1" applyAlignment="1">
      <alignment horizontal="center" vertical="center"/>
    </xf>
    <xf numFmtId="0" fontId="58" fillId="2" borderId="5" xfId="0" applyFont="1" applyFill="1" applyBorder="1" applyAlignment="1">
      <alignment horizontal="center" vertical="center" wrapText="1"/>
    </xf>
    <xf numFmtId="0" fontId="58" fillId="2" borderId="6" xfId="0" applyFont="1" applyFill="1" applyBorder="1" applyAlignment="1">
      <alignment horizontal="center" vertical="center" wrapText="1"/>
    </xf>
    <xf numFmtId="0" fontId="58" fillId="2" borderId="7" xfId="0" applyFont="1" applyFill="1" applyBorder="1" applyAlignment="1">
      <alignment horizontal="center" vertical="center" wrapText="1"/>
    </xf>
    <xf numFmtId="0" fontId="58" fillId="2" borderId="8" xfId="0" applyFont="1" applyFill="1" applyBorder="1" applyAlignment="1">
      <alignment horizontal="center" vertical="center" wrapText="1"/>
    </xf>
    <xf numFmtId="0" fontId="58" fillId="2" borderId="0" xfId="0" applyFont="1" applyFill="1" applyBorder="1" applyAlignment="1">
      <alignment horizontal="center" vertical="center" wrapText="1"/>
    </xf>
    <xf numFmtId="0" fontId="58" fillId="2" borderId="9" xfId="0" applyFont="1" applyFill="1" applyBorder="1" applyAlignment="1">
      <alignment horizontal="center" vertical="center" wrapText="1"/>
    </xf>
    <xf numFmtId="1" fontId="58" fillId="2" borderId="3" xfId="0" applyNumberFormat="1" applyFont="1" applyFill="1" applyBorder="1" applyAlignment="1">
      <alignment horizontal="center" vertical="center" textRotation="90" wrapText="1"/>
    </xf>
    <xf numFmtId="1" fontId="58" fillId="2" borderId="3" xfId="0" applyNumberFormat="1" applyFont="1" applyFill="1" applyBorder="1" applyAlignment="1">
      <alignment horizontal="center" vertical="center"/>
    </xf>
    <xf numFmtId="1" fontId="58" fillId="2" borderId="4" xfId="0" applyNumberFormat="1" applyFont="1" applyFill="1" applyBorder="1" applyAlignment="1">
      <alignment horizontal="center" vertical="center"/>
    </xf>
    <xf numFmtId="49" fontId="58" fillId="4" borderId="1" xfId="0" applyNumberFormat="1" applyFont="1" applyFill="1" applyBorder="1" applyAlignment="1">
      <alignment horizontal="center" vertical="center" wrapText="1"/>
    </xf>
    <xf numFmtId="1" fontId="58" fillId="4" borderId="1" xfId="0" applyNumberFormat="1" applyFont="1" applyFill="1" applyBorder="1" applyAlignment="1">
      <alignment horizontal="center" vertical="center" wrapText="1"/>
    </xf>
    <xf numFmtId="164" fontId="58" fillId="4" borderId="1" xfId="0" applyNumberFormat="1" applyFont="1" applyFill="1" applyBorder="1" applyAlignment="1">
      <alignment horizontal="center" vertical="center" wrapText="1"/>
    </xf>
    <xf numFmtId="1" fontId="58" fillId="4" borderId="3" xfId="0" applyNumberFormat="1" applyFont="1" applyFill="1" applyBorder="1" applyAlignment="1">
      <alignment horizontal="center" vertical="center" wrapText="1"/>
    </xf>
    <xf numFmtId="1" fontId="58" fillId="4" borderId="4" xfId="0" applyNumberFormat="1" applyFont="1" applyFill="1" applyBorder="1" applyAlignment="1">
      <alignment horizontal="center" vertical="center" wrapText="1"/>
    </xf>
    <xf numFmtId="1" fontId="58" fillId="4" borderId="2" xfId="0" applyNumberFormat="1" applyFont="1" applyFill="1" applyBorder="1" applyAlignment="1">
      <alignment horizontal="center" vertical="center" wrapText="1"/>
    </xf>
    <xf numFmtId="1" fontId="58" fillId="2" borderId="10" xfId="0" applyNumberFormat="1" applyFont="1" applyFill="1" applyBorder="1" applyAlignment="1">
      <alignment horizontal="center" vertical="center"/>
    </xf>
    <xf numFmtId="1" fontId="58" fillId="2" borderId="11" xfId="0" applyNumberFormat="1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 wrapText="1"/>
    </xf>
    <xf numFmtId="0" fontId="58" fillId="4" borderId="16" xfId="0" applyFont="1" applyFill="1" applyBorder="1" applyAlignment="1">
      <alignment horizontal="center" vertical="center" wrapText="1"/>
    </xf>
    <xf numFmtId="1" fontId="58" fillId="4" borderId="2" xfId="0" applyNumberFormat="1" applyFont="1" applyFill="1" applyBorder="1" applyAlignment="1">
      <alignment horizontal="center" vertical="center"/>
    </xf>
    <xf numFmtId="1" fontId="58" fillId="4" borderId="1" xfId="0" applyNumberFormat="1" applyFont="1" applyFill="1" applyBorder="1" applyAlignment="1">
      <alignment horizontal="center" vertical="center"/>
    </xf>
    <xf numFmtId="0" fontId="58" fillId="4" borderId="1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left" vertical="center"/>
    </xf>
    <xf numFmtId="0" fontId="34" fillId="2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center" vertical="center"/>
    </xf>
    <xf numFmtId="0" fontId="58" fillId="4" borderId="21" xfId="0" applyFont="1" applyFill="1" applyBorder="1" applyAlignment="1">
      <alignment horizontal="center" vertical="center" wrapText="1"/>
    </xf>
    <xf numFmtId="0" fontId="54" fillId="2" borderId="16" xfId="0" applyFont="1" applyFill="1" applyBorder="1" applyAlignment="1">
      <alignment horizontal="center" vertical="center" wrapText="1"/>
    </xf>
    <xf numFmtId="1" fontId="34" fillId="2" borderId="2" xfId="0" applyNumberFormat="1" applyFont="1" applyFill="1" applyBorder="1" applyAlignment="1">
      <alignment horizontal="center" vertical="center"/>
    </xf>
    <xf numFmtId="1" fontId="34" fillId="2" borderId="1" xfId="0" applyNumberFormat="1" applyFont="1" applyFill="1" applyBorder="1" applyAlignment="1">
      <alignment horizontal="center" vertical="center"/>
    </xf>
    <xf numFmtId="0" fontId="54" fillId="2" borderId="21" xfId="0" applyFont="1" applyFill="1" applyBorder="1" applyAlignment="1">
      <alignment horizontal="center" vertical="center" wrapText="1"/>
    </xf>
    <xf numFmtId="0" fontId="54" fillId="0" borderId="1" xfId="0" applyFont="1" applyFill="1" applyBorder="1" applyAlignment="1">
      <alignment horizontal="center" vertical="center" wrapText="1"/>
    </xf>
    <xf numFmtId="164" fontId="54" fillId="2" borderId="1" xfId="0" applyNumberFormat="1" applyFont="1" applyFill="1" applyBorder="1" applyAlignment="1">
      <alignment horizontal="center" vertical="center" wrapText="1"/>
    </xf>
    <xf numFmtId="0" fontId="34" fillId="2" borderId="1" xfId="0" applyNumberFormat="1" applyFont="1" applyFill="1" applyBorder="1" applyAlignment="1">
      <alignment horizontal="center" vertical="center"/>
    </xf>
    <xf numFmtId="0" fontId="34" fillId="2" borderId="3" xfId="0" applyNumberFormat="1" applyFont="1" applyFill="1" applyBorder="1" applyAlignment="1">
      <alignment horizontal="center" vertical="center"/>
    </xf>
    <xf numFmtId="0" fontId="54" fillId="2" borderId="3" xfId="0" applyFont="1" applyFill="1" applyBorder="1" applyAlignment="1">
      <alignment horizontal="center" vertical="center" wrapText="1"/>
    </xf>
    <xf numFmtId="0" fontId="54" fillId="2" borderId="4" xfId="0" applyFont="1" applyFill="1" applyBorder="1" applyAlignment="1">
      <alignment horizontal="center" vertical="center" wrapText="1"/>
    </xf>
    <xf numFmtId="0" fontId="54" fillId="2" borderId="22" xfId="0" applyFont="1" applyFill="1" applyBorder="1" applyAlignment="1">
      <alignment horizontal="center" vertical="center" wrapText="1"/>
    </xf>
    <xf numFmtId="1" fontId="34" fillId="2" borderId="57" xfId="0" applyNumberFormat="1" applyFont="1" applyFill="1" applyBorder="1" applyAlignment="1">
      <alignment horizontal="center" vertical="center"/>
    </xf>
    <xf numFmtId="1" fontId="34" fillId="2" borderId="4" xfId="0" applyNumberFormat="1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0" fontId="54" fillId="2" borderId="2" xfId="0" applyFont="1" applyFill="1" applyBorder="1" applyAlignment="1">
      <alignment horizontal="center" vertical="center" wrapText="1"/>
    </xf>
    <xf numFmtId="0" fontId="54" fillId="0" borderId="3" xfId="0" applyFont="1" applyFill="1" applyBorder="1" applyAlignment="1">
      <alignment horizontal="center" vertical="center" wrapText="1"/>
    </xf>
    <xf numFmtId="0" fontId="54" fillId="0" borderId="4" xfId="0" applyFont="1" applyFill="1" applyBorder="1" applyAlignment="1">
      <alignment horizontal="center" vertical="center" wrapText="1"/>
    </xf>
    <xf numFmtId="0" fontId="54" fillId="0" borderId="2" xfId="0" applyFont="1" applyFill="1" applyBorder="1" applyAlignment="1">
      <alignment horizontal="center" vertical="center" wrapText="1"/>
    </xf>
    <xf numFmtId="0" fontId="54" fillId="2" borderId="57" xfId="0" applyFont="1" applyFill="1" applyBorder="1" applyAlignment="1">
      <alignment horizontal="center" vertical="center" wrapText="1"/>
    </xf>
    <xf numFmtId="164" fontId="54" fillId="2" borderId="3" xfId="0" applyNumberFormat="1" applyFont="1" applyFill="1" applyBorder="1" applyAlignment="1">
      <alignment horizontal="center" vertical="center" wrapText="1"/>
    </xf>
    <xf numFmtId="164" fontId="54" fillId="2" borderId="4" xfId="0" applyNumberFormat="1" applyFont="1" applyFill="1" applyBorder="1" applyAlignment="1">
      <alignment horizontal="center" vertical="center" wrapText="1"/>
    </xf>
    <xf numFmtId="164" fontId="54" fillId="2" borderId="2" xfId="0" applyNumberFormat="1" applyFont="1" applyFill="1" applyBorder="1" applyAlignment="1">
      <alignment horizontal="center" vertical="center" wrapText="1"/>
    </xf>
    <xf numFmtId="0" fontId="34" fillId="2" borderId="4" xfId="0" applyNumberFormat="1" applyFont="1" applyFill="1" applyBorder="1" applyAlignment="1">
      <alignment horizontal="center" vertical="center"/>
    </xf>
    <xf numFmtId="0" fontId="34" fillId="2" borderId="22" xfId="0" applyNumberFormat="1" applyFont="1" applyFill="1" applyBorder="1" applyAlignment="1">
      <alignment horizontal="center" vertical="center"/>
    </xf>
    <xf numFmtId="0" fontId="54" fillId="2" borderId="3" xfId="0" applyFont="1" applyFill="1" applyBorder="1" applyAlignment="1">
      <alignment horizontal="center" vertical="center"/>
    </xf>
    <xf numFmtId="0" fontId="54" fillId="2" borderId="4" xfId="0" applyFont="1" applyFill="1" applyBorder="1" applyAlignment="1">
      <alignment horizontal="center" vertical="center"/>
    </xf>
    <xf numFmtId="0" fontId="54" fillId="2" borderId="2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left" vertical="center" wrapText="1"/>
    </xf>
    <xf numFmtId="0" fontId="54" fillId="0" borderId="21" xfId="0" applyFont="1" applyFill="1" applyBorder="1" applyAlignment="1">
      <alignment horizontal="center" vertical="center" wrapText="1"/>
    </xf>
    <xf numFmtId="1" fontId="54" fillId="2" borderId="1" xfId="0" applyNumberFormat="1" applyFont="1" applyFill="1" applyBorder="1" applyAlignment="1">
      <alignment horizontal="center" vertical="center" wrapText="1"/>
    </xf>
    <xf numFmtId="1" fontId="34" fillId="0" borderId="2" xfId="0" applyNumberFormat="1" applyFont="1" applyFill="1" applyBorder="1" applyAlignment="1">
      <alignment horizontal="center" vertical="center"/>
    </xf>
    <xf numFmtId="1" fontId="34" fillId="0" borderId="1" xfId="0" applyNumberFormat="1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54" fillId="0" borderId="16" xfId="0" applyFont="1" applyFill="1" applyBorder="1" applyAlignment="1">
      <alignment horizontal="center" vertical="center" wrapText="1"/>
    </xf>
    <xf numFmtId="164" fontId="54" fillId="0" borderId="1" xfId="0" applyNumberFormat="1" applyFont="1" applyFill="1" applyBorder="1" applyAlignment="1">
      <alignment horizontal="center" vertical="center" wrapText="1"/>
    </xf>
    <xf numFmtId="0" fontId="34" fillId="0" borderId="1" xfId="0" applyNumberFormat="1" applyFont="1" applyFill="1" applyBorder="1" applyAlignment="1">
      <alignment horizontal="center" vertical="center"/>
    </xf>
    <xf numFmtId="0" fontId="34" fillId="0" borderId="3" xfId="0" applyNumberFormat="1" applyFont="1" applyFill="1" applyBorder="1" applyAlignment="1">
      <alignment horizontal="center" vertical="center"/>
    </xf>
    <xf numFmtId="0" fontId="34" fillId="0" borderId="3" xfId="0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 vertical="center"/>
    </xf>
    <xf numFmtId="1" fontId="54" fillId="0" borderId="21" xfId="0" applyNumberFormat="1" applyFont="1" applyFill="1" applyBorder="1" applyAlignment="1">
      <alignment horizontal="center" vertical="center" wrapText="1"/>
    </xf>
    <xf numFmtId="1" fontId="54" fillId="0" borderId="1" xfId="0" applyNumberFormat="1" applyFont="1" applyFill="1" applyBorder="1" applyAlignment="1">
      <alignment horizontal="center" vertical="center" wrapText="1"/>
    </xf>
    <xf numFmtId="49" fontId="34" fillId="4" borderId="1" xfId="0" applyNumberFormat="1" applyFont="1" applyFill="1" applyBorder="1" applyAlignment="1">
      <alignment horizontal="center" vertical="center" wrapText="1"/>
    </xf>
    <xf numFmtId="1" fontId="34" fillId="4" borderId="1" xfId="0" applyNumberFormat="1" applyFont="1" applyFill="1" applyBorder="1" applyAlignment="1">
      <alignment horizontal="center" vertical="center" wrapText="1"/>
    </xf>
    <xf numFmtId="164" fontId="34" fillId="4" borderId="1" xfId="0" applyNumberFormat="1" applyFont="1" applyFill="1" applyBorder="1" applyAlignment="1">
      <alignment horizontal="center" vertical="center" wrapText="1"/>
    </xf>
    <xf numFmtId="1" fontId="34" fillId="4" borderId="3" xfId="0" applyNumberFormat="1" applyFont="1" applyFill="1" applyBorder="1" applyAlignment="1">
      <alignment horizontal="center" vertical="center" wrapText="1"/>
    </xf>
    <xf numFmtId="1" fontId="34" fillId="4" borderId="4" xfId="0" applyNumberFormat="1" applyFont="1" applyFill="1" applyBorder="1" applyAlignment="1">
      <alignment horizontal="center" vertical="center" wrapText="1"/>
    </xf>
    <xf numFmtId="1" fontId="34" fillId="4" borderId="2" xfId="0" applyNumberFormat="1" applyFont="1" applyFill="1" applyBorder="1" applyAlignment="1">
      <alignment horizontal="center" vertical="center" wrapText="1"/>
    </xf>
    <xf numFmtId="164" fontId="34" fillId="2" borderId="5" xfId="0" applyNumberFormat="1" applyFont="1" applyFill="1" applyBorder="1" applyAlignment="1">
      <alignment horizontal="center" vertical="center" wrapText="1"/>
    </xf>
    <xf numFmtId="164" fontId="34" fillId="2" borderId="6" xfId="0" applyNumberFormat="1" applyFont="1" applyFill="1" applyBorder="1" applyAlignment="1">
      <alignment horizontal="center" vertical="center" wrapText="1"/>
    </xf>
    <xf numFmtId="164" fontId="34" fillId="2" borderId="7" xfId="0" applyNumberFormat="1" applyFont="1" applyFill="1" applyBorder="1" applyAlignment="1">
      <alignment horizontal="center" vertical="center" wrapText="1"/>
    </xf>
    <xf numFmtId="164" fontId="34" fillId="2" borderId="10" xfId="0" applyNumberFormat="1" applyFont="1" applyFill="1" applyBorder="1" applyAlignment="1">
      <alignment horizontal="center" vertical="center" wrapText="1"/>
    </xf>
    <xf numFmtId="164" fontId="34" fillId="2" borderId="11" xfId="0" applyNumberFormat="1" applyFont="1" applyFill="1" applyBorder="1" applyAlignment="1">
      <alignment horizontal="center" vertical="center" wrapText="1"/>
    </xf>
    <xf numFmtId="164" fontId="34" fillId="2" borderId="12" xfId="0" applyNumberFormat="1" applyFont="1" applyFill="1" applyBorder="1" applyAlignment="1">
      <alignment horizontal="center" vertical="center" wrapText="1"/>
    </xf>
    <xf numFmtId="0" fontId="54" fillId="2" borderId="5" xfId="0" applyFont="1" applyFill="1" applyBorder="1" applyAlignment="1">
      <alignment horizontal="center" vertical="center"/>
    </xf>
    <xf numFmtId="0" fontId="54" fillId="2" borderId="6" xfId="0" applyFont="1" applyFill="1" applyBorder="1" applyAlignment="1">
      <alignment horizontal="center" vertical="center"/>
    </xf>
    <xf numFmtId="0" fontId="54" fillId="2" borderId="7" xfId="0" applyFont="1" applyFill="1" applyBorder="1" applyAlignment="1">
      <alignment horizontal="center" vertical="center"/>
    </xf>
    <xf numFmtId="0" fontId="54" fillId="2" borderId="10" xfId="0" applyFont="1" applyFill="1" applyBorder="1" applyAlignment="1">
      <alignment horizontal="center" vertical="center"/>
    </xf>
    <xf numFmtId="0" fontId="54" fillId="2" borderId="11" xfId="0" applyFont="1" applyFill="1" applyBorder="1" applyAlignment="1">
      <alignment horizontal="center" vertical="center"/>
    </xf>
    <xf numFmtId="0" fontId="54" fillId="2" borderId="12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 wrapText="1"/>
    </xf>
    <xf numFmtId="0" fontId="34" fillId="4" borderId="16" xfId="0" applyFont="1" applyFill="1" applyBorder="1" applyAlignment="1">
      <alignment horizontal="center" vertical="center" wrapText="1"/>
    </xf>
    <xf numFmtId="1" fontId="34" fillId="4" borderId="2" xfId="0" applyNumberFormat="1" applyFont="1" applyFill="1" applyBorder="1" applyAlignment="1">
      <alignment horizontal="center" vertical="center"/>
    </xf>
    <xf numFmtId="1" fontId="34" fillId="4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4" fillId="4" borderId="21" xfId="0" applyFont="1" applyFill="1" applyBorder="1" applyAlignment="1">
      <alignment horizontal="center" vertical="center" wrapText="1"/>
    </xf>
    <xf numFmtId="0" fontId="54" fillId="0" borderId="5" xfId="0" applyFont="1" applyFill="1" applyBorder="1" applyAlignment="1">
      <alignment horizontal="center" vertical="center" wrapText="1"/>
    </xf>
    <xf numFmtId="0" fontId="54" fillId="0" borderId="6" xfId="0" applyFont="1" applyFill="1" applyBorder="1" applyAlignment="1">
      <alignment horizontal="center" vertical="center" wrapText="1"/>
    </xf>
    <xf numFmtId="0" fontId="54" fillId="0" borderId="7" xfId="0" applyFont="1" applyFill="1" applyBorder="1" applyAlignment="1">
      <alignment horizontal="center" vertical="center" wrapText="1"/>
    </xf>
    <xf numFmtId="0" fontId="54" fillId="0" borderId="10" xfId="0" applyFont="1" applyFill="1" applyBorder="1" applyAlignment="1">
      <alignment horizontal="center" vertical="center" wrapText="1"/>
    </xf>
    <xf numFmtId="0" fontId="54" fillId="0" borderId="11" xfId="0" applyFont="1" applyFill="1" applyBorder="1" applyAlignment="1">
      <alignment horizontal="center" vertical="center" wrapText="1"/>
    </xf>
    <xf numFmtId="0" fontId="54" fillId="0" borderId="12" xfId="0" applyFont="1" applyFill="1" applyBorder="1" applyAlignment="1">
      <alignment horizontal="center" vertical="center" wrapText="1"/>
    </xf>
    <xf numFmtId="0" fontId="54" fillId="0" borderId="18" xfId="0" applyFont="1" applyFill="1" applyBorder="1" applyAlignment="1">
      <alignment horizontal="center" vertical="center" wrapText="1"/>
    </xf>
    <xf numFmtId="0" fontId="54" fillId="0" borderId="20" xfId="0" applyFont="1" applyFill="1" applyBorder="1" applyAlignment="1">
      <alignment horizontal="center" vertical="center" wrapText="1"/>
    </xf>
    <xf numFmtId="0" fontId="34" fillId="2" borderId="17" xfId="0" applyFont="1" applyFill="1" applyBorder="1" applyAlignment="1">
      <alignment horizontal="center" vertical="center" wrapText="1"/>
    </xf>
    <xf numFmtId="0" fontId="34" fillId="2" borderId="6" xfId="0" applyFont="1" applyFill="1" applyBorder="1" applyAlignment="1">
      <alignment horizontal="center" vertical="center" wrapText="1"/>
    </xf>
    <xf numFmtId="0" fontId="34" fillId="2" borderId="18" xfId="0" applyFont="1" applyFill="1" applyBorder="1" applyAlignment="1">
      <alignment horizontal="center" vertical="center" wrapText="1"/>
    </xf>
    <xf numFmtId="0" fontId="34" fillId="2" borderId="19" xfId="0" applyFont="1" applyFill="1" applyBorder="1" applyAlignment="1">
      <alignment horizontal="center" vertical="center" wrapText="1"/>
    </xf>
    <xf numFmtId="0" fontId="34" fillId="2" borderId="11" xfId="0" applyFont="1" applyFill="1" applyBorder="1" applyAlignment="1">
      <alignment horizontal="center" vertical="center" wrapText="1"/>
    </xf>
    <xf numFmtId="0" fontId="34" fillId="2" borderId="20" xfId="0" applyFont="1" applyFill="1" applyBorder="1" applyAlignment="1">
      <alignment horizontal="center" vertical="center" wrapText="1"/>
    </xf>
    <xf numFmtId="0" fontId="54" fillId="0" borderId="5" xfId="0" applyFont="1" applyFill="1" applyBorder="1" applyAlignment="1">
      <alignment horizontal="left" vertical="center"/>
    </xf>
    <xf numFmtId="0" fontId="54" fillId="0" borderId="6" xfId="0" applyFont="1" applyFill="1" applyBorder="1" applyAlignment="1">
      <alignment horizontal="left" vertical="center"/>
    </xf>
    <xf numFmtId="0" fontId="54" fillId="0" borderId="7" xfId="0" applyFont="1" applyFill="1" applyBorder="1" applyAlignment="1">
      <alignment horizontal="left" vertical="center"/>
    </xf>
    <xf numFmtId="0" fontId="54" fillId="0" borderId="5" xfId="0" applyFont="1" applyFill="1" applyBorder="1" applyAlignment="1">
      <alignment horizontal="left" vertical="center" wrapText="1"/>
    </xf>
    <xf numFmtId="0" fontId="54" fillId="0" borderId="6" xfId="0" applyFont="1" applyFill="1" applyBorder="1" applyAlignment="1">
      <alignment horizontal="left" vertical="center" wrapText="1"/>
    </xf>
    <xf numFmtId="0" fontId="54" fillId="0" borderId="7" xfId="0" applyFont="1" applyFill="1" applyBorder="1" applyAlignment="1">
      <alignment horizontal="left" vertical="center" wrapText="1"/>
    </xf>
    <xf numFmtId="0" fontId="34" fillId="2" borderId="5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0" fontId="34" fillId="2" borderId="7" xfId="0" applyFont="1" applyFill="1" applyBorder="1" applyAlignment="1">
      <alignment horizontal="center" vertical="center"/>
    </xf>
    <xf numFmtId="0" fontId="34" fillId="2" borderId="10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4" fillId="2" borderId="12" xfId="0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 wrapText="1"/>
    </xf>
    <xf numFmtId="0" fontId="54" fillId="2" borderId="6" xfId="0" applyFont="1" applyFill="1" applyBorder="1" applyAlignment="1">
      <alignment horizontal="center" vertical="center" wrapText="1"/>
    </xf>
    <xf numFmtId="0" fontId="54" fillId="2" borderId="18" xfId="0" applyFont="1" applyFill="1" applyBorder="1" applyAlignment="1">
      <alignment horizontal="center" vertical="center" wrapText="1"/>
    </xf>
    <xf numFmtId="0" fontId="54" fillId="2" borderId="10" xfId="0" applyFont="1" applyFill="1" applyBorder="1" applyAlignment="1">
      <alignment horizontal="center" vertical="center" wrapText="1"/>
    </xf>
    <xf numFmtId="0" fontId="54" fillId="2" borderId="11" xfId="0" applyFont="1" applyFill="1" applyBorder="1" applyAlignment="1">
      <alignment horizontal="center" vertical="center" wrapText="1"/>
    </xf>
    <xf numFmtId="0" fontId="54" fillId="2" borderId="20" xfId="0" applyFont="1" applyFill="1" applyBorder="1" applyAlignment="1">
      <alignment horizontal="center" vertical="center" wrapText="1"/>
    </xf>
    <xf numFmtId="0" fontId="54" fillId="0" borderId="17" xfId="0" applyFont="1" applyFill="1" applyBorder="1" applyAlignment="1">
      <alignment horizontal="center" vertical="center" wrapText="1"/>
    </xf>
    <xf numFmtId="0" fontId="54" fillId="0" borderId="19" xfId="0" applyFont="1" applyFill="1" applyBorder="1" applyAlignment="1">
      <alignment horizontal="center" vertical="center" wrapText="1"/>
    </xf>
    <xf numFmtId="0" fontId="54" fillId="2" borderId="17" xfId="0" applyFont="1" applyFill="1" applyBorder="1" applyAlignment="1">
      <alignment horizontal="center" vertical="center" wrapText="1"/>
    </xf>
    <xf numFmtId="0" fontId="54" fillId="2" borderId="19" xfId="0" applyFont="1" applyFill="1" applyBorder="1" applyAlignment="1">
      <alignment horizontal="center" vertical="center" wrapText="1"/>
    </xf>
    <xf numFmtId="0" fontId="54" fillId="0" borderId="3" xfId="0" applyFont="1" applyFill="1" applyBorder="1" applyAlignment="1">
      <alignment horizontal="left" vertical="center"/>
    </xf>
    <xf numFmtId="0" fontId="54" fillId="0" borderId="4" xfId="0" applyFont="1" applyFill="1" applyBorder="1" applyAlignment="1">
      <alignment horizontal="left" vertical="center"/>
    </xf>
    <xf numFmtId="0" fontId="54" fillId="0" borderId="2" xfId="0" applyFont="1" applyFill="1" applyBorder="1" applyAlignment="1">
      <alignment horizontal="left" vertical="center"/>
    </xf>
    <xf numFmtId="49" fontId="54" fillId="0" borderId="1" xfId="0" applyNumberFormat="1" applyFont="1" applyFill="1" applyBorder="1" applyAlignment="1">
      <alignment horizontal="left" vertical="center" wrapText="1"/>
    </xf>
    <xf numFmtId="0" fontId="34" fillId="0" borderId="5" xfId="0" applyFont="1" applyFill="1" applyBorder="1" applyAlignment="1">
      <alignment horizontal="center" vertical="center"/>
    </xf>
    <xf numFmtId="0" fontId="34" fillId="0" borderId="6" xfId="0" applyFont="1" applyFill="1" applyBorder="1" applyAlignment="1">
      <alignment horizontal="center" vertical="center"/>
    </xf>
    <xf numFmtId="0" fontId="34" fillId="0" borderId="7" xfId="0" applyFont="1" applyFill="1" applyBorder="1" applyAlignment="1">
      <alignment horizontal="center" vertical="center"/>
    </xf>
    <xf numFmtId="0" fontId="34" fillId="0" borderId="10" xfId="0" applyFont="1" applyFill="1" applyBorder="1" applyAlignment="1">
      <alignment horizontal="center" vertical="center"/>
    </xf>
    <xf numFmtId="0" fontId="34" fillId="0" borderId="11" xfId="0" applyFont="1" applyFill="1" applyBorder="1" applyAlignment="1">
      <alignment horizontal="center" vertical="center"/>
    </xf>
    <xf numFmtId="0" fontId="34" fillId="0" borderId="12" xfId="0" applyFont="1" applyFill="1" applyBorder="1" applyAlignment="1">
      <alignment horizontal="center" vertical="center"/>
    </xf>
    <xf numFmtId="164" fontId="34" fillId="0" borderId="5" xfId="0" applyNumberFormat="1" applyFont="1" applyFill="1" applyBorder="1" applyAlignment="1">
      <alignment horizontal="center" vertical="center" wrapText="1"/>
    </xf>
    <xf numFmtId="164" fontId="34" fillId="0" borderId="6" xfId="0" applyNumberFormat="1" applyFont="1" applyFill="1" applyBorder="1" applyAlignment="1">
      <alignment horizontal="center" vertical="center" wrapText="1"/>
    </xf>
    <xf numFmtId="164" fontId="34" fillId="0" borderId="7" xfId="0" applyNumberFormat="1" applyFont="1" applyFill="1" applyBorder="1" applyAlignment="1">
      <alignment horizontal="center" vertical="center" wrapText="1"/>
    </xf>
    <xf numFmtId="164" fontId="34" fillId="0" borderId="10" xfId="0" applyNumberFormat="1" applyFont="1" applyFill="1" applyBorder="1" applyAlignment="1">
      <alignment horizontal="center" vertical="center" wrapText="1"/>
    </xf>
    <xf numFmtId="164" fontId="34" fillId="0" borderId="11" xfId="0" applyNumberFormat="1" applyFont="1" applyFill="1" applyBorder="1" applyAlignment="1">
      <alignment horizontal="center" vertical="center" wrapText="1"/>
    </xf>
    <xf numFmtId="164" fontId="34" fillId="0" borderId="12" xfId="0" applyNumberFormat="1" applyFont="1" applyFill="1" applyBorder="1" applyAlignment="1">
      <alignment horizontal="center" vertical="center" wrapText="1"/>
    </xf>
    <xf numFmtId="0" fontId="54" fillId="0" borderId="5" xfId="0" applyFont="1" applyFill="1" applyBorder="1" applyAlignment="1">
      <alignment horizontal="center" vertical="center"/>
    </xf>
    <xf numFmtId="0" fontId="54" fillId="0" borderId="6" xfId="0" applyFont="1" applyFill="1" applyBorder="1" applyAlignment="1">
      <alignment horizontal="center" vertical="center"/>
    </xf>
    <xf numFmtId="0" fontId="54" fillId="0" borderId="7" xfId="0" applyFont="1" applyFill="1" applyBorder="1" applyAlignment="1">
      <alignment horizontal="center" vertical="center"/>
    </xf>
    <xf numFmtId="0" fontId="54" fillId="0" borderId="10" xfId="0" applyFont="1" applyFill="1" applyBorder="1" applyAlignment="1">
      <alignment horizontal="center" vertical="center"/>
    </xf>
    <xf numFmtId="0" fontId="54" fillId="0" borderId="11" xfId="0" applyFont="1" applyFill="1" applyBorder="1" applyAlignment="1">
      <alignment horizontal="center" vertical="center"/>
    </xf>
    <xf numFmtId="0" fontId="54" fillId="0" borderId="12" xfId="0" applyFont="1" applyFill="1" applyBorder="1" applyAlignment="1">
      <alignment horizontal="center" vertical="center"/>
    </xf>
    <xf numFmtId="0" fontId="54" fillId="2" borderId="7" xfId="0" applyFont="1" applyFill="1" applyBorder="1" applyAlignment="1">
      <alignment horizontal="center" vertical="center" wrapText="1"/>
    </xf>
    <xf numFmtId="0" fontId="54" fillId="2" borderId="12" xfId="0" applyFont="1" applyFill="1" applyBorder="1" applyAlignment="1">
      <alignment horizontal="center" vertical="center" wrapText="1"/>
    </xf>
    <xf numFmtId="0" fontId="34" fillId="0" borderId="17" xfId="0" applyFont="1" applyFill="1" applyBorder="1" applyAlignment="1">
      <alignment horizontal="center" vertical="center" wrapText="1"/>
    </xf>
    <xf numFmtId="0" fontId="34" fillId="0" borderId="6" xfId="0" applyFont="1" applyFill="1" applyBorder="1" applyAlignment="1">
      <alignment horizontal="center" vertical="center" wrapText="1"/>
    </xf>
    <xf numFmtId="0" fontId="34" fillId="0" borderId="18" xfId="0" applyFont="1" applyFill="1" applyBorder="1" applyAlignment="1">
      <alignment horizontal="center" vertical="center" wrapText="1"/>
    </xf>
    <xf numFmtId="0" fontId="34" fillId="0" borderId="19" xfId="0" applyFont="1" applyFill="1" applyBorder="1" applyAlignment="1">
      <alignment horizontal="center" vertical="center" wrapText="1"/>
    </xf>
    <xf numFmtId="0" fontId="34" fillId="0" borderId="11" xfId="0" applyFont="1" applyFill="1" applyBorder="1" applyAlignment="1">
      <alignment horizontal="center" vertical="center" wrapText="1"/>
    </xf>
    <xf numFmtId="0" fontId="34" fillId="0" borderId="20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 vertical="center" wrapText="1"/>
    </xf>
    <xf numFmtId="49" fontId="34" fillId="2" borderId="1" xfId="0" applyNumberFormat="1" applyFont="1" applyFill="1" applyBorder="1" applyAlignment="1">
      <alignment horizontal="left" vertical="center" wrapText="1"/>
    </xf>
    <xf numFmtId="164" fontId="34" fillId="2" borderId="1" xfId="0" applyNumberFormat="1" applyFont="1" applyFill="1" applyBorder="1" applyAlignment="1">
      <alignment horizontal="center" vertical="center" wrapText="1"/>
    </xf>
    <xf numFmtId="0" fontId="34" fillId="4" borderId="3" xfId="0" applyFont="1" applyFill="1" applyBorder="1" applyAlignment="1">
      <alignment horizontal="center" vertical="center" wrapText="1"/>
    </xf>
    <xf numFmtId="0" fontId="34" fillId="4" borderId="4" xfId="0" applyFont="1" applyFill="1" applyBorder="1" applyAlignment="1">
      <alignment horizontal="center" vertical="center" wrapText="1"/>
    </xf>
    <xf numFmtId="0" fontId="34" fillId="4" borderId="22" xfId="0" applyFont="1" applyFill="1" applyBorder="1" applyAlignment="1">
      <alignment horizontal="center" vertical="center" wrapText="1"/>
    </xf>
    <xf numFmtId="1" fontId="34" fillId="4" borderId="3" xfId="0" applyNumberFormat="1" applyFont="1" applyFill="1" applyBorder="1" applyAlignment="1">
      <alignment horizontal="center" vertical="center"/>
    </xf>
    <xf numFmtId="0" fontId="34" fillId="4" borderId="4" xfId="0" applyNumberFormat="1" applyFont="1" applyFill="1" applyBorder="1" applyAlignment="1">
      <alignment horizontal="center" vertical="center"/>
    </xf>
    <xf numFmtId="49" fontId="34" fillId="4" borderId="1" xfId="0" applyNumberFormat="1" applyFont="1" applyFill="1" applyBorder="1" applyAlignment="1">
      <alignment horizontal="right" vertical="center" wrapText="1"/>
    </xf>
    <xf numFmtId="1" fontId="34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" borderId="16" xfId="0" applyFont="1" applyFill="1" applyBorder="1" applyAlignment="1">
      <alignment horizontal="center" vertical="center" wrapText="1"/>
    </xf>
    <xf numFmtId="0" fontId="34" fillId="2" borderId="21" xfId="0" applyFont="1" applyFill="1" applyBorder="1" applyAlignment="1">
      <alignment horizontal="center" vertical="center" wrapText="1"/>
    </xf>
    <xf numFmtId="0" fontId="54" fillId="2" borderId="3" xfId="0" applyNumberFormat="1" applyFont="1" applyFill="1" applyBorder="1" applyAlignment="1">
      <alignment horizontal="center" vertical="center"/>
    </xf>
    <xf numFmtId="0" fontId="54" fillId="2" borderId="4" xfId="0" applyNumberFormat="1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 wrapText="1"/>
    </xf>
    <xf numFmtId="0" fontId="34" fillId="5" borderId="2" xfId="0" applyFont="1" applyFill="1" applyBorder="1" applyAlignment="1">
      <alignment horizontal="center" vertical="center" wrapText="1"/>
    </xf>
    <xf numFmtId="1" fontId="34" fillId="5" borderId="1" xfId="0" applyNumberFormat="1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1" fontId="34" fillId="5" borderId="3" xfId="0" applyNumberFormat="1" applyFont="1" applyFill="1" applyBorder="1" applyAlignment="1">
      <alignment horizontal="center" vertical="center"/>
    </xf>
    <xf numFmtId="0" fontId="34" fillId="5" borderId="4" xfId="0" applyNumberFormat="1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34" fillId="4" borderId="4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4" fillId="4" borderId="3" xfId="0" applyNumberFormat="1" applyFont="1" applyFill="1" applyBorder="1" applyAlignment="1">
      <alignment horizontal="center" vertical="center"/>
    </xf>
    <xf numFmtId="0" fontId="34" fillId="5" borderId="16" xfId="0" applyFont="1" applyFill="1" applyBorder="1" applyAlignment="1">
      <alignment horizontal="center" vertical="center" wrapText="1"/>
    </xf>
    <xf numFmtId="1" fontId="34" fillId="5" borderId="2" xfId="0" applyNumberFormat="1" applyFont="1" applyFill="1" applyBorder="1" applyAlignment="1">
      <alignment horizontal="center" vertical="center"/>
    </xf>
    <xf numFmtId="49" fontId="25" fillId="2" borderId="1" xfId="0" applyNumberFormat="1" applyFont="1" applyFill="1" applyBorder="1" applyAlignment="1">
      <alignment horizontal="left" vertical="center"/>
    </xf>
    <xf numFmtId="0" fontId="54" fillId="0" borderId="3" xfId="0" applyFont="1" applyFill="1" applyBorder="1" applyAlignment="1">
      <alignment horizontal="left" vertical="center" wrapText="1"/>
    </xf>
    <xf numFmtId="0" fontId="54" fillId="0" borderId="4" xfId="0" applyFont="1" applyFill="1" applyBorder="1" applyAlignment="1">
      <alignment horizontal="left" vertical="center" wrapText="1"/>
    </xf>
    <xf numFmtId="0" fontId="54" fillId="0" borderId="2" xfId="0" applyFont="1" applyFill="1" applyBorder="1" applyAlignment="1">
      <alignment horizontal="left" vertical="center" wrapText="1"/>
    </xf>
    <xf numFmtId="0" fontId="34" fillId="5" borderId="21" xfId="0" applyFont="1" applyFill="1" applyBorder="1" applyAlignment="1">
      <alignment horizontal="center" vertical="center" wrapText="1"/>
    </xf>
    <xf numFmtId="0" fontId="34" fillId="5" borderId="3" xfId="0" applyFont="1" applyFill="1" applyBorder="1" applyAlignment="1">
      <alignment horizontal="center" vertical="center" wrapText="1"/>
    </xf>
    <xf numFmtId="49" fontId="34" fillId="5" borderId="1" xfId="0" applyNumberFormat="1" applyFont="1" applyFill="1" applyBorder="1" applyAlignment="1">
      <alignment horizontal="right" vertical="center" wrapText="1"/>
    </xf>
    <xf numFmtId="164" fontId="34" fillId="5" borderId="1" xfId="0" applyNumberFormat="1" applyFont="1" applyFill="1" applyBorder="1" applyAlignment="1">
      <alignment horizontal="center" vertical="center" wrapText="1"/>
    </xf>
    <xf numFmtId="0" fontId="54" fillId="2" borderId="1" xfId="0" applyFont="1" applyFill="1" applyBorder="1" applyAlignment="1">
      <alignment horizontal="left" vertical="center" wrapText="1"/>
    </xf>
    <xf numFmtId="49" fontId="54" fillId="0" borderId="3" xfId="0" applyNumberFormat="1" applyFont="1" applyFill="1" applyBorder="1" applyAlignment="1">
      <alignment horizontal="left" vertical="center" wrapText="1"/>
    </xf>
    <xf numFmtId="49" fontId="54" fillId="0" borderId="4" xfId="0" applyNumberFormat="1" applyFont="1" applyFill="1" applyBorder="1" applyAlignment="1">
      <alignment horizontal="left" vertical="center" wrapText="1"/>
    </xf>
    <xf numFmtId="49" fontId="54" fillId="0" borderId="2" xfId="0" applyNumberFormat="1" applyFont="1" applyFill="1" applyBorder="1" applyAlignment="1">
      <alignment horizontal="left" vertical="center" wrapText="1"/>
    </xf>
    <xf numFmtId="0" fontId="42" fillId="0" borderId="1" xfId="0" applyFont="1" applyFill="1" applyBorder="1" applyAlignment="1">
      <alignment horizontal="center" vertical="center" wrapText="1"/>
    </xf>
    <xf numFmtId="0" fontId="42" fillId="0" borderId="31" xfId="0" applyFont="1" applyFill="1" applyBorder="1" applyAlignment="1">
      <alignment horizontal="center" vertical="center" wrapText="1"/>
    </xf>
    <xf numFmtId="0" fontId="42" fillId="0" borderId="33" xfId="0" applyFont="1" applyFill="1" applyBorder="1" applyAlignment="1">
      <alignment horizontal="center" vertical="center" wrapText="1"/>
    </xf>
    <xf numFmtId="1" fontId="41" fillId="0" borderId="2" xfId="0" applyNumberFormat="1" applyFont="1" applyFill="1" applyBorder="1" applyAlignment="1">
      <alignment horizontal="center" vertical="center"/>
    </xf>
    <xf numFmtId="1" fontId="41" fillId="0" borderId="1" xfId="0" applyNumberFormat="1" applyFont="1" applyFill="1" applyBorder="1" applyAlignment="1">
      <alignment horizontal="center" vertical="center"/>
    </xf>
    <xf numFmtId="0" fontId="41" fillId="0" borderId="31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/>
    </xf>
    <xf numFmtId="0" fontId="42" fillId="0" borderId="1" xfId="0" applyFont="1" applyFill="1" applyBorder="1" applyAlignment="1">
      <alignment horizontal="center" vertical="center"/>
    </xf>
    <xf numFmtId="0" fontId="41" fillId="0" borderId="1" xfId="0" applyNumberFormat="1" applyFont="1" applyFill="1" applyBorder="1" applyAlignment="1">
      <alignment horizontal="center" vertical="center"/>
    </xf>
    <xf numFmtId="0" fontId="41" fillId="0" borderId="31" xfId="0" applyNumberFormat="1" applyFont="1" applyFill="1" applyBorder="1" applyAlignment="1">
      <alignment horizontal="center" vertical="center"/>
    </xf>
    <xf numFmtId="1" fontId="41" fillId="0" borderId="6" xfId="0" applyNumberFormat="1" applyFont="1" applyFill="1" applyBorder="1" applyAlignment="1">
      <alignment horizontal="center" vertical="center"/>
    </xf>
    <xf numFmtId="1" fontId="41" fillId="0" borderId="36" xfId="0" applyNumberFormat="1" applyFont="1" applyFill="1" applyBorder="1" applyAlignment="1">
      <alignment horizontal="center" vertical="center"/>
    </xf>
    <xf numFmtId="1" fontId="41" fillId="0" borderId="11" xfId="0" applyNumberFormat="1" applyFont="1" applyFill="1" applyBorder="1" applyAlignment="1">
      <alignment horizontal="center" vertical="center"/>
    </xf>
    <xf numFmtId="1" fontId="41" fillId="0" borderId="34" xfId="0" applyNumberFormat="1" applyFont="1" applyFill="1" applyBorder="1" applyAlignment="1">
      <alignment horizontal="center" vertical="center"/>
    </xf>
    <xf numFmtId="0" fontId="42" fillId="0" borderId="5" xfId="0" applyFont="1" applyFill="1" applyBorder="1" applyAlignment="1">
      <alignment horizontal="center" vertical="center" wrapText="1"/>
    </xf>
    <xf numFmtId="0" fontId="42" fillId="0" borderId="6" xfId="0" applyFont="1" applyFill="1" applyBorder="1" applyAlignment="1">
      <alignment horizontal="center" vertical="center" wrapText="1"/>
    </xf>
    <xf numFmtId="0" fontId="42" fillId="0" borderId="7" xfId="0" applyFont="1" applyFill="1" applyBorder="1" applyAlignment="1">
      <alignment horizontal="center" vertical="center" wrapText="1"/>
    </xf>
    <xf numFmtId="0" fontId="42" fillId="0" borderId="10" xfId="0" applyFont="1" applyFill="1" applyBorder="1" applyAlignment="1">
      <alignment horizontal="center" vertical="center" wrapText="1"/>
    </xf>
    <xf numFmtId="0" fontId="42" fillId="0" borderId="11" xfId="0" applyFont="1" applyFill="1" applyBorder="1" applyAlignment="1">
      <alignment horizontal="center" vertical="center" wrapText="1"/>
    </xf>
    <xf numFmtId="0" fontId="42" fillId="0" borderId="12" xfId="0" applyFont="1" applyFill="1" applyBorder="1" applyAlignment="1">
      <alignment horizontal="center" vertical="center" wrapText="1"/>
    </xf>
    <xf numFmtId="49" fontId="32" fillId="2" borderId="0" xfId="0" applyNumberFormat="1" applyFont="1" applyFill="1" applyBorder="1" applyAlignment="1">
      <alignment horizontal="center" vertical="center" wrapText="1"/>
    </xf>
    <xf numFmtId="49" fontId="32" fillId="2" borderId="0" xfId="0" applyNumberFormat="1" applyFont="1" applyFill="1" applyBorder="1" applyAlignment="1">
      <alignment horizontal="center" vertical="center"/>
    </xf>
    <xf numFmtId="49" fontId="40" fillId="2" borderId="35" xfId="0" applyNumberFormat="1" applyFont="1" applyFill="1" applyBorder="1" applyAlignment="1">
      <alignment horizontal="center" vertical="center" wrapText="1"/>
    </xf>
    <xf numFmtId="49" fontId="40" fillId="2" borderId="32" xfId="0" applyNumberFormat="1" applyFont="1" applyFill="1" applyBorder="1" applyAlignment="1">
      <alignment horizontal="center" vertical="center" wrapText="1"/>
    </xf>
    <xf numFmtId="0" fontId="42" fillId="0" borderId="36" xfId="0" applyFont="1" applyFill="1" applyBorder="1" applyAlignment="1">
      <alignment horizontal="center" vertical="center" wrapText="1"/>
    </xf>
    <xf numFmtId="0" fontId="42" fillId="0" borderId="34" xfId="0" applyFont="1" applyFill="1" applyBorder="1" applyAlignment="1">
      <alignment horizontal="center" vertical="center" wrapText="1"/>
    </xf>
    <xf numFmtId="0" fontId="42" fillId="0" borderId="5" xfId="0" applyFont="1" applyFill="1" applyBorder="1" applyAlignment="1">
      <alignment horizontal="center" vertical="center"/>
    </xf>
    <xf numFmtId="0" fontId="42" fillId="0" borderId="6" xfId="0" applyFont="1" applyFill="1" applyBorder="1" applyAlignment="1">
      <alignment horizontal="center" vertical="center"/>
    </xf>
    <xf numFmtId="0" fontId="42" fillId="0" borderId="7" xfId="0" applyFont="1" applyFill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/>
    </xf>
    <xf numFmtId="0" fontId="42" fillId="0" borderId="11" xfId="0" applyFont="1" applyFill="1" applyBorder="1" applyAlignment="1">
      <alignment horizontal="center" vertical="center"/>
    </xf>
    <xf numFmtId="0" fontId="42" fillId="0" borderId="12" xfId="0" applyFont="1" applyFill="1" applyBorder="1" applyAlignment="1">
      <alignment horizontal="center" vertical="center"/>
    </xf>
    <xf numFmtId="0" fontId="41" fillId="0" borderId="5" xfId="0" applyNumberFormat="1" applyFont="1" applyFill="1" applyBorder="1" applyAlignment="1">
      <alignment horizontal="center" vertical="center"/>
    </xf>
    <xf numFmtId="0" fontId="41" fillId="0" borderId="6" xfId="0" applyNumberFormat="1" applyFont="1" applyFill="1" applyBorder="1" applyAlignment="1">
      <alignment horizontal="center" vertical="center"/>
    </xf>
    <xf numFmtId="0" fontId="41" fillId="0" borderId="36" xfId="0" applyNumberFormat="1" applyFont="1" applyFill="1" applyBorder="1" applyAlignment="1">
      <alignment horizontal="center" vertical="center"/>
    </xf>
    <xf numFmtId="0" fontId="41" fillId="0" borderId="10" xfId="0" applyNumberFormat="1" applyFont="1" applyFill="1" applyBorder="1" applyAlignment="1">
      <alignment horizontal="center" vertical="center"/>
    </xf>
    <xf numFmtId="0" fontId="41" fillId="0" borderId="11" xfId="0" applyNumberFormat="1" applyFont="1" applyFill="1" applyBorder="1" applyAlignment="1">
      <alignment horizontal="center" vertical="center"/>
    </xf>
    <xf numFmtId="0" fontId="41" fillId="0" borderId="34" xfId="0" applyNumberFormat="1" applyFont="1" applyFill="1" applyBorder="1" applyAlignment="1">
      <alignment horizontal="center" vertical="center"/>
    </xf>
    <xf numFmtId="0" fontId="42" fillId="0" borderId="46" xfId="0" applyFont="1" applyFill="1" applyBorder="1" applyAlignment="1">
      <alignment horizontal="center" vertical="center" wrapText="1"/>
    </xf>
    <xf numFmtId="0" fontId="42" fillId="0" borderId="45" xfId="0" applyFont="1" applyFill="1" applyBorder="1" applyAlignment="1">
      <alignment horizontal="center" vertical="center" wrapText="1"/>
    </xf>
    <xf numFmtId="1" fontId="41" fillId="4" borderId="2" xfId="0" applyNumberFormat="1" applyFont="1" applyFill="1" applyBorder="1" applyAlignment="1">
      <alignment horizontal="center" vertical="center"/>
    </xf>
    <xf numFmtId="1" fontId="41" fillId="4" borderId="1" xfId="0" applyNumberFormat="1" applyFont="1" applyFill="1" applyBorder="1" applyAlignment="1">
      <alignment horizontal="center" vertical="center"/>
    </xf>
    <xf numFmtId="0" fontId="41" fillId="4" borderId="3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 wrapText="1"/>
    </xf>
    <xf numFmtId="49" fontId="40" fillId="4" borderId="1" xfId="0" applyNumberFormat="1" applyFont="1" applyFill="1" applyBorder="1" applyAlignment="1">
      <alignment horizontal="right" vertical="center" wrapText="1"/>
    </xf>
    <xf numFmtId="49" fontId="44" fillId="5" borderId="39" xfId="0" applyNumberFormat="1" applyFont="1" applyFill="1" applyBorder="1" applyAlignment="1">
      <alignment horizontal="right" vertical="center" wrapText="1"/>
    </xf>
    <xf numFmtId="1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/>
    </xf>
    <xf numFmtId="0" fontId="42" fillId="2" borderId="3" xfId="0" applyFont="1" applyFill="1" applyBorder="1" applyAlignment="1">
      <alignment horizontal="center" vertical="center"/>
    </xf>
    <xf numFmtId="0" fontId="42" fillId="2" borderId="4" xfId="0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/>
    </xf>
    <xf numFmtId="1" fontId="41" fillId="5" borderId="47" xfId="0" applyNumberFormat="1" applyFont="1" applyFill="1" applyBorder="1" applyAlignment="1">
      <alignment horizontal="center" vertical="center"/>
    </xf>
    <xf numFmtId="1" fontId="41" fillId="5" borderId="39" xfId="0" applyNumberFormat="1" applyFont="1" applyFill="1" applyBorder="1" applyAlignment="1">
      <alignment horizontal="center" vertical="center"/>
    </xf>
    <xf numFmtId="0" fontId="41" fillId="5" borderId="48" xfId="0" applyFont="1" applyFill="1" applyBorder="1" applyAlignment="1">
      <alignment horizontal="center" vertical="center"/>
    </xf>
    <xf numFmtId="0" fontId="41" fillId="5" borderId="47" xfId="0" applyFont="1" applyFill="1" applyBorder="1" applyAlignment="1">
      <alignment horizontal="center" vertical="center" wrapText="1"/>
    </xf>
    <xf numFmtId="0" fontId="41" fillId="5" borderId="39" xfId="0" applyFont="1" applyFill="1" applyBorder="1" applyAlignment="1">
      <alignment horizontal="center" vertical="center" wrapText="1"/>
    </xf>
    <xf numFmtId="0" fontId="41" fillId="5" borderId="48" xfId="0" applyFont="1" applyFill="1" applyBorder="1" applyAlignment="1">
      <alignment horizontal="center" vertical="center" wrapText="1"/>
    </xf>
    <xf numFmtId="0" fontId="41" fillId="5" borderId="38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0" borderId="5" xfId="0" applyFont="1" applyFill="1" applyBorder="1" applyAlignment="1">
      <alignment horizontal="center" vertical="center"/>
    </xf>
    <xf numFmtId="0" fontId="41" fillId="0" borderId="6" xfId="0" applyFont="1" applyFill="1" applyBorder="1" applyAlignment="1">
      <alignment horizontal="center" vertical="center"/>
    </xf>
    <xf numFmtId="0" fontId="41" fillId="0" borderId="7" xfId="0" applyFont="1" applyFill="1" applyBorder="1" applyAlignment="1">
      <alignment horizontal="center" vertical="center"/>
    </xf>
    <xf numFmtId="0" fontId="41" fillId="0" borderId="10" xfId="0" applyFont="1" applyFill="1" applyBorder="1" applyAlignment="1">
      <alignment horizontal="center" vertical="center"/>
    </xf>
    <xf numFmtId="0" fontId="41" fillId="0" borderId="11" xfId="0" applyFont="1" applyFill="1" applyBorder="1" applyAlignment="1">
      <alignment horizontal="center" vertical="center"/>
    </xf>
    <xf numFmtId="0" fontId="41" fillId="0" borderId="12" xfId="0" applyFont="1" applyFill="1" applyBorder="1" applyAlignment="1">
      <alignment horizontal="center" vertical="center"/>
    </xf>
    <xf numFmtId="0" fontId="41" fillId="5" borderId="39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1" fillId="4" borderId="33" xfId="0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32" fillId="2" borderId="6" xfId="0" applyFont="1" applyFill="1" applyBorder="1" applyAlignment="1">
      <alignment horizontal="center" vertical="center" wrapText="1"/>
    </xf>
    <xf numFmtId="0" fontId="32" fillId="2" borderId="7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32" fillId="2" borderId="0" xfId="0" applyFont="1" applyFill="1" applyBorder="1" applyAlignment="1">
      <alignment horizontal="center" vertical="center" wrapText="1"/>
    </xf>
    <xf numFmtId="0" fontId="32" fillId="2" borderId="9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center" wrapText="1"/>
    </xf>
    <xf numFmtId="0" fontId="32" fillId="2" borderId="11" xfId="0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center" vertical="center" wrapText="1"/>
    </xf>
    <xf numFmtId="164" fontId="41" fillId="5" borderId="39" xfId="0" applyNumberFormat="1" applyFont="1" applyFill="1" applyBorder="1" applyAlignment="1">
      <alignment horizontal="center" vertical="center" wrapText="1"/>
    </xf>
    <xf numFmtId="49" fontId="24" fillId="2" borderId="1" xfId="0" applyNumberFormat="1" applyFont="1" applyFill="1" applyBorder="1" applyAlignment="1">
      <alignment horizontal="right" vertical="center"/>
    </xf>
    <xf numFmtId="1" fontId="10" fillId="2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1" fontId="41" fillId="4" borderId="3" xfId="0" applyNumberFormat="1" applyFont="1" applyFill="1" applyBorder="1" applyAlignment="1">
      <alignment horizontal="center" vertical="center"/>
    </xf>
    <xf numFmtId="0" fontId="41" fillId="4" borderId="4" xfId="0" applyNumberFormat="1" applyFont="1" applyFill="1" applyBorder="1" applyAlignment="1">
      <alignment horizontal="center" vertical="center"/>
    </xf>
    <xf numFmtId="0" fontId="41" fillId="4" borderId="37" xfId="0" applyNumberFormat="1" applyFont="1" applyFill="1" applyBorder="1" applyAlignment="1">
      <alignment horizontal="center" vertical="center"/>
    </xf>
    <xf numFmtId="0" fontId="25" fillId="0" borderId="5" xfId="0" applyFont="1" applyFill="1" applyBorder="1" applyAlignment="1">
      <alignment horizontal="left" vertical="center"/>
    </xf>
    <xf numFmtId="0" fontId="25" fillId="0" borderId="6" xfId="0" applyFont="1" applyFill="1" applyBorder="1" applyAlignment="1">
      <alignment horizontal="left" vertical="center"/>
    </xf>
    <xf numFmtId="0" fontId="25" fillId="0" borderId="7" xfId="0" applyFont="1" applyFill="1" applyBorder="1" applyAlignment="1">
      <alignment horizontal="left" vertical="center"/>
    </xf>
    <xf numFmtId="49" fontId="25" fillId="0" borderId="3" xfId="0" applyNumberFormat="1" applyFont="1" applyFill="1" applyBorder="1" applyAlignment="1">
      <alignment horizontal="left" vertical="center" wrapText="1"/>
    </xf>
    <xf numFmtId="49" fontId="25" fillId="0" borderId="4" xfId="0" applyNumberFormat="1" applyFont="1" applyFill="1" applyBorder="1" applyAlignment="1">
      <alignment horizontal="left" vertical="center" wrapText="1"/>
    </xf>
    <xf numFmtId="49" fontId="25" fillId="0" borderId="2" xfId="0" applyNumberFormat="1" applyFont="1" applyFill="1" applyBorder="1" applyAlignment="1">
      <alignment horizontal="left" vertical="center" wrapText="1"/>
    </xf>
    <xf numFmtId="0" fontId="42" fillId="2" borderId="1" xfId="0" applyFont="1" applyFill="1" applyBorder="1" applyAlignment="1">
      <alignment horizontal="center" vertical="center" wrapText="1"/>
    </xf>
    <xf numFmtId="1" fontId="41" fillId="5" borderId="40" xfId="0" applyNumberFormat="1" applyFont="1" applyFill="1" applyBorder="1" applyAlignment="1">
      <alignment horizontal="center" vertical="center"/>
    </xf>
    <xf numFmtId="0" fontId="41" fillId="5" borderId="41" xfId="0" applyNumberFormat="1" applyFont="1" applyFill="1" applyBorder="1" applyAlignment="1">
      <alignment horizontal="center" vertical="center"/>
    </xf>
    <xf numFmtId="0" fontId="41" fillId="5" borderId="42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 wrapText="1"/>
    </xf>
    <xf numFmtId="0" fontId="41" fillId="4" borderId="31" xfId="0" applyFont="1" applyFill="1" applyBorder="1" applyAlignment="1">
      <alignment horizontal="center" vertical="center" wrapText="1"/>
    </xf>
    <xf numFmtId="0" fontId="41" fillId="4" borderId="3" xfId="0" applyNumberFormat="1" applyFont="1" applyFill="1" applyBorder="1" applyAlignment="1">
      <alignment horizontal="center" vertical="center"/>
    </xf>
    <xf numFmtId="0" fontId="42" fillId="2" borderId="5" xfId="0" applyFont="1" applyFill="1" applyBorder="1" applyAlignment="1">
      <alignment horizontal="center" vertical="center"/>
    </xf>
    <xf numFmtId="0" fontId="42" fillId="2" borderId="6" xfId="0" applyFont="1" applyFill="1" applyBorder="1" applyAlignment="1">
      <alignment horizontal="center" vertical="center"/>
    </xf>
    <xf numFmtId="0" fontId="42" fillId="2" borderId="7" xfId="0" applyFont="1" applyFill="1" applyBorder="1" applyAlignment="1">
      <alignment horizontal="center" vertical="center"/>
    </xf>
    <xf numFmtId="0" fontId="42" fillId="2" borderId="10" xfId="0" applyFont="1" applyFill="1" applyBorder="1" applyAlignment="1">
      <alignment horizontal="center" vertical="center"/>
    </xf>
    <xf numFmtId="0" fontId="42" fillId="2" borderId="11" xfId="0" applyFont="1" applyFill="1" applyBorder="1" applyAlignment="1">
      <alignment horizontal="center" vertical="center"/>
    </xf>
    <xf numFmtId="0" fontId="42" fillId="2" borderId="12" xfId="0" applyFont="1" applyFill="1" applyBorder="1" applyAlignment="1">
      <alignment horizontal="center" vertical="center"/>
    </xf>
    <xf numFmtId="0" fontId="41" fillId="2" borderId="5" xfId="0" applyNumberFormat="1" applyFont="1" applyFill="1" applyBorder="1" applyAlignment="1">
      <alignment horizontal="center" vertical="center"/>
    </xf>
    <xf numFmtId="0" fontId="41" fillId="2" borderId="6" xfId="0" applyNumberFormat="1" applyFont="1" applyFill="1" applyBorder="1" applyAlignment="1">
      <alignment horizontal="center" vertical="center"/>
    </xf>
    <xf numFmtId="0" fontId="41" fillId="2" borderId="36" xfId="0" applyNumberFormat="1" applyFont="1" applyFill="1" applyBorder="1" applyAlignment="1">
      <alignment horizontal="center" vertical="center"/>
    </xf>
    <xf numFmtId="0" fontId="41" fillId="2" borderId="10" xfId="0" applyNumberFormat="1" applyFont="1" applyFill="1" applyBorder="1" applyAlignment="1">
      <alignment horizontal="center" vertical="center"/>
    </xf>
    <xf numFmtId="0" fontId="41" fillId="2" borderId="11" xfId="0" applyNumberFormat="1" applyFont="1" applyFill="1" applyBorder="1" applyAlignment="1">
      <alignment horizontal="center" vertical="center"/>
    </xf>
    <xf numFmtId="0" fontId="41" fillId="2" borderId="34" xfId="0" applyNumberFormat="1" applyFont="1" applyFill="1" applyBorder="1" applyAlignment="1">
      <alignment horizontal="center" vertical="center"/>
    </xf>
    <xf numFmtId="0" fontId="42" fillId="2" borderId="46" xfId="0" applyFont="1" applyFill="1" applyBorder="1" applyAlignment="1">
      <alignment horizontal="center" vertical="center" wrapText="1"/>
    </xf>
    <xf numFmtId="0" fontId="42" fillId="2" borderId="6" xfId="0" applyFont="1" applyFill="1" applyBorder="1" applyAlignment="1">
      <alignment horizontal="center" vertical="center" wrapText="1"/>
    </xf>
    <xf numFmtId="0" fontId="42" fillId="2" borderId="7" xfId="0" applyFont="1" applyFill="1" applyBorder="1" applyAlignment="1">
      <alignment horizontal="center" vertical="center" wrapText="1"/>
    </xf>
    <xf numFmtId="0" fontId="42" fillId="2" borderId="45" xfId="0" applyFont="1" applyFill="1" applyBorder="1" applyAlignment="1">
      <alignment horizontal="center" vertical="center" wrapText="1"/>
    </xf>
    <xf numFmtId="0" fontId="42" fillId="2" borderId="11" xfId="0" applyFont="1" applyFill="1" applyBorder="1" applyAlignment="1">
      <alignment horizontal="center" vertical="center" wrapText="1"/>
    </xf>
    <xf numFmtId="0" fontId="42" fillId="2" borderId="12" xfId="0" applyFont="1" applyFill="1" applyBorder="1" applyAlignment="1">
      <alignment horizontal="center" vertical="center" wrapText="1"/>
    </xf>
    <xf numFmtId="0" fontId="41" fillId="4" borderId="2" xfId="0" applyFont="1" applyFill="1" applyBorder="1" applyAlignment="1">
      <alignment horizontal="center" vertical="center" wrapText="1"/>
    </xf>
    <xf numFmtId="0" fontId="41" fillId="2" borderId="5" xfId="0" applyFont="1" applyFill="1" applyBorder="1" applyAlignment="1">
      <alignment horizontal="center" vertical="center"/>
    </xf>
    <xf numFmtId="0" fontId="41" fillId="2" borderId="6" xfId="0" applyFont="1" applyFill="1" applyBorder="1" applyAlignment="1">
      <alignment horizontal="center" vertical="center"/>
    </xf>
    <xf numFmtId="0" fontId="41" fillId="2" borderId="7" xfId="0" applyFont="1" applyFill="1" applyBorder="1" applyAlignment="1">
      <alignment horizontal="center" vertical="center"/>
    </xf>
    <xf numFmtId="0" fontId="41" fillId="2" borderId="10" xfId="0" applyFont="1" applyFill="1" applyBorder="1" applyAlignment="1">
      <alignment horizontal="center" vertical="center"/>
    </xf>
    <xf numFmtId="0" fontId="41" fillId="2" borderId="11" xfId="0" applyFont="1" applyFill="1" applyBorder="1" applyAlignment="1">
      <alignment horizontal="center" vertical="center"/>
    </xf>
    <xf numFmtId="0" fontId="41" fillId="2" borderId="12" xfId="0" applyFont="1" applyFill="1" applyBorder="1" applyAlignment="1">
      <alignment horizontal="center" vertical="center"/>
    </xf>
    <xf numFmtId="0" fontId="42" fillId="2" borderId="31" xfId="0" applyFont="1" applyFill="1" applyBorder="1" applyAlignment="1">
      <alignment horizontal="center" vertical="center" wrapText="1"/>
    </xf>
    <xf numFmtId="0" fontId="41" fillId="2" borderId="31" xfId="0" applyFont="1" applyFill="1" applyBorder="1" applyAlignment="1">
      <alignment horizontal="center" vertical="center" wrapText="1"/>
    </xf>
    <xf numFmtId="1" fontId="41" fillId="4" borderId="1" xfId="0" applyNumberFormat="1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2" fillId="2" borderId="3" xfId="0" applyNumberFormat="1" applyFont="1" applyFill="1" applyBorder="1" applyAlignment="1">
      <alignment horizontal="center" vertical="center"/>
    </xf>
    <xf numFmtId="0" fontId="42" fillId="2" borderId="4" xfId="0" applyNumberFormat="1" applyFont="1" applyFill="1" applyBorder="1" applyAlignment="1">
      <alignment horizontal="center" vertical="center"/>
    </xf>
    <xf numFmtId="0" fontId="42" fillId="2" borderId="37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164" fontId="41" fillId="2" borderId="1" xfId="0" applyNumberFormat="1" applyFont="1" applyFill="1" applyBorder="1" applyAlignment="1">
      <alignment horizontal="center" vertical="center" wrapText="1"/>
    </xf>
    <xf numFmtId="1" fontId="41" fillId="2" borderId="6" xfId="0" applyNumberFormat="1" applyFont="1" applyFill="1" applyBorder="1" applyAlignment="1">
      <alignment horizontal="center" vertical="center"/>
    </xf>
    <xf numFmtId="1" fontId="41" fillId="2" borderId="36" xfId="0" applyNumberFormat="1" applyFont="1" applyFill="1" applyBorder="1" applyAlignment="1">
      <alignment horizontal="center" vertical="center"/>
    </xf>
    <xf numFmtId="1" fontId="41" fillId="2" borderId="11" xfId="0" applyNumberFormat="1" applyFont="1" applyFill="1" applyBorder="1" applyAlignment="1">
      <alignment horizontal="center" vertical="center"/>
    </xf>
    <xf numFmtId="1" fontId="41" fillId="2" borderId="34" xfId="0" applyNumberFormat="1" applyFont="1" applyFill="1" applyBorder="1" applyAlignment="1">
      <alignment horizontal="center" vertical="center"/>
    </xf>
    <xf numFmtId="164" fontId="42" fillId="0" borderId="1" xfId="0" applyNumberFormat="1" applyFont="1" applyFill="1" applyBorder="1" applyAlignment="1">
      <alignment horizontal="center" vertical="center" wrapText="1"/>
    </xf>
    <xf numFmtId="1" fontId="41" fillId="4" borderId="3" xfId="0" applyNumberFormat="1" applyFont="1" applyFill="1" applyBorder="1" applyAlignment="1">
      <alignment horizontal="center" vertical="center" wrapText="1"/>
    </xf>
    <xf numFmtId="1" fontId="41" fillId="4" borderId="4" xfId="0" applyNumberFormat="1" applyFont="1" applyFill="1" applyBorder="1" applyAlignment="1">
      <alignment horizontal="center" vertical="center" wrapText="1"/>
    </xf>
    <xf numFmtId="1" fontId="41" fillId="4" borderId="2" xfId="0" applyNumberFormat="1" applyFont="1" applyFill="1" applyBorder="1" applyAlignment="1">
      <alignment horizontal="center" vertical="center" wrapText="1"/>
    </xf>
    <xf numFmtId="1" fontId="41" fillId="4" borderId="31" xfId="0" applyNumberFormat="1" applyFont="1" applyFill="1" applyBorder="1" applyAlignment="1">
      <alignment horizontal="center" vertical="center" wrapText="1"/>
    </xf>
    <xf numFmtId="0" fontId="42" fillId="2" borderId="5" xfId="0" applyFont="1" applyFill="1" applyBorder="1" applyAlignment="1">
      <alignment horizontal="center" vertical="center" wrapText="1"/>
    </xf>
    <xf numFmtId="0" fontId="42" fillId="2" borderId="10" xfId="0" applyFont="1" applyFill="1" applyBorder="1" applyAlignment="1">
      <alignment horizontal="center" vertical="center" wrapText="1"/>
    </xf>
    <xf numFmtId="0" fontId="42" fillId="8" borderId="33" xfId="0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center" vertical="center" wrapText="1"/>
    </xf>
    <xf numFmtId="1" fontId="41" fillId="8" borderId="2" xfId="0" applyNumberFormat="1" applyFont="1" applyFill="1" applyBorder="1" applyAlignment="1">
      <alignment horizontal="center" vertical="center"/>
    </xf>
    <xf numFmtId="1" fontId="41" fillId="8" borderId="1" xfId="0" applyNumberFormat="1" applyFont="1" applyFill="1" applyBorder="1" applyAlignment="1">
      <alignment horizontal="center" vertical="center"/>
    </xf>
    <xf numFmtId="0" fontId="41" fillId="8" borderId="31" xfId="0" applyFont="1" applyFill="1" applyBorder="1" applyAlignment="1">
      <alignment horizontal="center" vertical="center"/>
    </xf>
    <xf numFmtId="0" fontId="42" fillId="8" borderId="31" xfId="0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center" vertical="center"/>
    </xf>
    <xf numFmtId="164" fontId="42" fillId="8" borderId="1" xfId="0" applyNumberFormat="1" applyFont="1" applyFill="1" applyBorder="1" applyAlignment="1">
      <alignment horizontal="center" vertical="center" wrapText="1"/>
    </xf>
    <xf numFmtId="0" fontId="41" fillId="8" borderId="1" xfId="0" applyNumberFormat="1" applyFont="1" applyFill="1" applyBorder="1" applyAlignment="1">
      <alignment horizontal="center" vertical="center"/>
    </xf>
    <xf numFmtId="0" fontId="41" fillId="8" borderId="31" xfId="0" applyNumberFormat="1" applyFont="1" applyFill="1" applyBorder="1" applyAlignment="1">
      <alignment horizontal="center" vertical="center"/>
    </xf>
    <xf numFmtId="0" fontId="41" fillId="8" borderId="1" xfId="0" applyFont="1" applyFill="1" applyBorder="1" applyAlignment="1">
      <alignment horizontal="center" vertical="center"/>
    </xf>
    <xf numFmtId="0" fontId="41" fillId="2" borderId="1" xfId="0" applyNumberFormat="1" applyFont="1" applyFill="1" applyBorder="1" applyAlignment="1">
      <alignment horizontal="center" vertical="center"/>
    </xf>
    <xf numFmtId="0" fontId="41" fillId="2" borderId="31" xfId="0" applyNumberFormat="1" applyFont="1" applyFill="1" applyBorder="1" applyAlignment="1">
      <alignment horizontal="center" vertical="center"/>
    </xf>
    <xf numFmtId="0" fontId="42" fillId="2" borderId="33" xfId="0" applyFont="1" applyFill="1" applyBorder="1" applyAlignment="1">
      <alignment horizontal="center" vertical="center" wrapText="1"/>
    </xf>
    <xf numFmtId="164" fontId="42" fillId="2" borderId="1" xfId="0" applyNumberFormat="1" applyFont="1" applyFill="1" applyBorder="1" applyAlignment="1">
      <alignment horizontal="center" vertical="center" wrapText="1"/>
    </xf>
    <xf numFmtId="1" fontId="41" fillId="2" borderId="2" xfId="0" applyNumberFormat="1" applyFont="1" applyFill="1" applyBorder="1" applyAlignment="1">
      <alignment horizontal="center" vertical="center"/>
    </xf>
    <xf numFmtId="1" fontId="41" fillId="2" borderId="1" xfId="0" applyNumberFormat="1" applyFont="1" applyFill="1" applyBorder="1" applyAlignment="1">
      <alignment horizontal="center" vertical="center"/>
    </xf>
    <xf numFmtId="0" fontId="41" fillId="2" borderId="31" xfId="0" applyFont="1" applyFill="1" applyBorder="1" applyAlignment="1">
      <alignment horizontal="center" vertical="center"/>
    </xf>
    <xf numFmtId="1" fontId="16" fillId="2" borderId="2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center" vertical="center" wrapText="1"/>
    </xf>
    <xf numFmtId="1" fontId="6" fillId="2" borderId="10" xfId="0" applyNumberFormat="1" applyFont="1" applyFill="1" applyBorder="1" applyAlignment="1">
      <alignment horizontal="center" vertical="center" wrapText="1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34" xfId="0" applyNumberFormat="1" applyFont="1" applyFill="1" applyBorder="1" applyAlignment="1">
      <alignment horizontal="center" vertical="center" wrapText="1"/>
    </xf>
    <xf numFmtId="1" fontId="6" fillId="2" borderId="45" xfId="0" applyNumberFormat="1" applyFont="1" applyFill="1" applyBorder="1" applyAlignment="1">
      <alignment horizontal="center" vertical="center" wrapText="1"/>
    </xf>
    <xf numFmtId="1" fontId="6" fillId="2" borderId="3" xfId="0" applyNumberFormat="1" applyFont="1" applyFill="1" applyBorder="1" applyAlignment="1">
      <alignment horizontal="center" vertical="center" wrapText="1"/>
    </xf>
    <xf numFmtId="1" fontId="6" fillId="2" borderId="4" xfId="0" applyNumberFormat="1" applyFont="1" applyFill="1" applyBorder="1" applyAlignment="1">
      <alignment horizontal="center" vertical="center" wrapText="1"/>
    </xf>
    <xf numFmtId="1" fontId="6" fillId="2" borderId="2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" fontId="41" fillId="2" borderId="33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41" fillId="2" borderId="1" xfId="0" applyFont="1" applyFill="1" applyBorder="1" applyAlignment="1">
      <alignment horizontal="center" vertical="center" textRotation="90" wrapText="1"/>
    </xf>
    <xf numFmtId="0" fontId="41" fillId="2" borderId="49" xfId="0" applyFont="1" applyFill="1" applyBorder="1" applyAlignment="1">
      <alignment horizontal="center" vertical="center" textRotation="90" wrapText="1"/>
    </xf>
    <xf numFmtId="0" fontId="41" fillId="2" borderId="25" xfId="0" applyFont="1" applyFill="1" applyBorder="1" applyAlignment="1">
      <alignment horizontal="center" vertical="center" textRotation="90" wrapText="1"/>
    </xf>
    <xf numFmtId="0" fontId="41" fillId="2" borderId="44" xfId="0" applyFont="1" applyFill="1" applyBorder="1" applyAlignment="1">
      <alignment horizontal="center" vertical="center" textRotation="90" wrapText="1"/>
    </xf>
    <xf numFmtId="0" fontId="41" fillId="2" borderId="2" xfId="0" applyFont="1" applyFill="1" applyBorder="1" applyAlignment="1">
      <alignment horizontal="center" vertical="center" textRotation="90" wrapText="1"/>
    </xf>
    <xf numFmtId="0" fontId="41" fillId="2" borderId="31" xfId="0" applyFont="1" applyFill="1" applyBorder="1" applyAlignment="1">
      <alignment horizontal="center" vertical="center" textRotation="90" wrapText="1"/>
    </xf>
    <xf numFmtId="0" fontId="41" fillId="2" borderId="5" xfId="0" applyFont="1" applyFill="1" applyBorder="1" applyAlignment="1">
      <alignment horizontal="center" vertical="center" wrapText="1"/>
    </xf>
    <xf numFmtId="0" fontId="41" fillId="2" borderId="6" xfId="0" applyFont="1" applyFill="1" applyBorder="1" applyAlignment="1">
      <alignment horizontal="center" vertical="center" wrapText="1"/>
    </xf>
    <xf numFmtId="0" fontId="41" fillId="2" borderId="7" xfId="0" applyFont="1" applyFill="1" applyBorder="1" applyAlignment="1">
      <alignment horizontal="center" vertical="center" wrapText="1"/>
    </xf>
    <xf numFmtId="0" fontId="41" fillId="2" borderId="8" xfId="0" applyFont="1" applyFill="1" applyBorder="1" applyAlignment="1">
      <alignment horizontal="center" vertical="center" wrapText="1"/>
    </xf>
    <xf numFmtId="0" fontId="41" fillId="2" borderId="0" xfId="0" applyFont="1" applyFill="1" applyBorder="1" applyAlignment="1">
      <alignment horizontal="center" vertical="center" wrapText="1"/>
    </xf>
    <xf numFmtId="0" fontId="41" fillId="2" borderId="9" xfId="0" applyFont="1" applyFill="1" applyBorder="1" applyAlignment="1">
      <alignment horizontal="center" vertical="center" wrapText="1"/>
    </xf>
    <xf numFmtId="0" fontId="41" fillId="2" borderId="10" xfId="0" applyFont="1" applyFill="1" applyBorder="1" applyAlignment="1">
      <alignment horizontal="center" vertical="center" wrapText="1"/>
    </xf>
    <xf numFmtId="0" fontId="41" fillId="2" borderId="11" xfId="0" applyFont="1" applyFill="1" applyBorder="1" applyAlignment="1">
      <alignment horizontal="center" vertical="center" wrapText="1"/>
    </xf>
    <xf numFmtId="0" fontId="41" fillId="2" borderId="12" xfId="0" applyFont="1" applyFill="1" applyBorder="1" applyAlignment="1">
      <alignment horizontal="center" vertical="center" wrapText="1"/>
    </xf>
    <xf numFmtId="1" fontId="41" fillId="2" borderId="1" xfId="0" applyNumberFormat="1" applyFont="1" applyFill="1" applyBorder="1" applyAlignment="1">
      <alignment horizontal="center" vertical="center" textRotation="90" wrapText="1"/>
    </xf>
    <xf numFmtId="1" fontId="41" fillId="2" borderId="31" xfId="0" applyNumberFormat="1" applyFont="1" applyFill="1" applyBorder="1" applyAlignment="1">
      <alignment horizontal="center" vertical="center" textRotation="90" wrapText="1"/>
    </xf>
    <xf numFmtId="0" fontId="41" fillId="2" borderId="23" xfId="0" applyFont="1" applyFill="1" applyBorder="1" applyAlignment="1">
      <alignment horizontal="center" vertical="center"/>
    </xf>
    <xf numFmtId="0" fontId="41" fillId="2" borderId="30" xfId="0" applyFont="1" applyFill="1" applyBorder="1" applyAlignment="1">
      <alignment horizontal="center" vertical="center"/>
    </xf>
    <xf numFmtId="0" fontId="41" fillId="2" borderId="32" xfId="0" applyFont="1" applyFill="1" applyBorder="1" applyAlignment="1">
      <alignment horizontal="center" vertical="center"/>
    </xf>
    <xf numFmtId="0" fontId="41" fillId="2" borderId="24" xfId="0" applyFont="1" applyFill="1" applyBorder="1" applyAlignment="1">
      <alignment horizontal="center" vertical="center" textRotation="90"/>
    </xf>
    <xf numFmtId="0" fontId="41" fillId="2" borderId="14" xfId="0" applyFont="1" applyFill="1" applyBorder="1" applyAlignment="1">
      <alignment horizontal="center" vertical="center" textRotation="90"/>
    </xf>
    <xf numFmtId="0" fontId="41" fillId="2" borderId="15" xfId="0" applyFont="1" applyFill="1" applyBorder="1" applyAlignment="1">
      <alignment horizontal="center" vertical="center" textRotation="90"/>
    </xf>
    <xf numFmtId="2" fontId="41" fillId="2" borderId="25" xfId="0" applyNumberFormat="1" applyFont="1" applyFill="1" applyBorder="1" applyAlignment="1">
      <alignment horizontal="center" vertical="center" wrapText="1"/>
    </xf>
    <xf numFmtId="2" fontId="41" fillId="2" borderId="1" xfId="0" applyNumberFormat="1" applyFont="1" applyFill="1" applyBorder="1" applyAlignment="1">
      <alignment horizontal="center" vertical="center" wrapText="1"/>
    </xf>
    <xf numFmtId="0" fontId="41" fillId="2" borderId="26" xfId="0" applyFont="1" applyFill="1" applyBorder="1" applyAlignment="1">
      <alignment horizontal="center" vertical="center"/>
    </xf>
    <xf numFmtId="0" fontId="41" fillId="2" borderId="27" xfId="0" applyFont="1" applyFill="1" applyBorder="1" applyAlignment="1">
      <alignment horizontal="center" vertical="center"/>
    </xf>
    <xf numFmtId="0" fontId="41" fillId="2" borderId="28" xfId="0" applyFont="1" applyFill="1" applyBorder="1" applyAlignment="1">
      <alignment horizontal="center" vertical="center"/>
    </xf>
    <xf numFmtId="0" fontId="41" fillId="2" borderId="29" xfId="0" applyFont="1" applyFill="1" applyBorder="1" applyAlignment="1">
      <alignment horizontal="center" vertical="center"/>
    </xf>
    <xf numFmtId="0" fontId="41" fillId="2" borderId="43" xfId="0" applyFont="1" applyFill="1" applyBorder="1" applyAlignment="1">
      <alignment horizontal="center" vertical="center"/>
    </xf>
    <xf numFmtId="0" fontId="41" fillId="2" borderId="25" xfId="0" applyFont="1" applyFill="1" applyBorder="1" applyAlignment="1">
      <alignment horizontal="center" vertical="center"/>
    </xf>
    <xf numFmtId="0" fontId="41" fillId="2" borderId="44" xfId="0" applyFont="1" applyFill="1" applyBorder="1" applyAlignment="1">
      <alignment horizontal="center" vertical="center"/>
    </xf>
    <xf numFmtId="49" fontId="40" fillId="4" borderId="3" xfId="0" applyNumberFormat="1" applyFont="1" applyFill="1" applyBorder="1" applyAlignment="1">
      <alignment horizontal="right" vertical="center" wrapText="1"/>
    </xf>
    <xf numFmtId="49" fontId="40" fillId="4" borderId="4" xfId="0" applyNumberFormat="1" applyFont="1" applyFill="1" applyBorder="1" applyAlignment="1">
      <alignment horizontal="right" vertical="center" wrapText="1"/>
    </xf>
    <xf numFmtId="49" fontId="40" fillId="4" borderId="2" xfId="0" applyNumberFormat="1" applyFont="1" applyFill="1" applyBorder="1" applyAlignment="1">
      <alignment horizontal="right" vertical="center" wrapText="1"/>
    </xf>
    <xf numFmtId="1" fontId="34" fillId="2" borderId="0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left" vertical="center" wrapText="1"/>
    </xf>
    <xf numFmtId="0" fontId="25" fillId="0" borderId="4" xfId="0" applyFont="1" applyFill="1" applyBorder="1" applyAlignment="1">
      <alignment horizontal="left" vertical="center" wrapText="1"/>
    </xf>
    <xf numFmtId="0" fontId="25" fillId="0" borderId="2" xfId="0" applyFont="1" applyFill="1" applyBorder="1" applyAlignment="1">
      <alignment horizontal="left" vertical="center" wrapText="1"/>
    </xf>
    <xf numFmtId="1" fontId="41" fillId="2" borderId="46" xfId="0" applyNumberFormat="1" applyFont="1" applyFill="1" applyBorder="1" applyAlignment="1">
      <alignment horizontal="center" vertical="center"/>
    </xf>
    <xf numFmtId="1" fontId="41" fillId="2" borderId="45" xfId="0" applyNumberFormat="1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center" vertical="center" wrapText="1"/>
    </xf>
    <xf numFmtId="1" fontId="24" fillId="2" borderId="33" xfId="0" applyNumberFormat="1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25" fillId="0" borderId="2" xfId="0" applyFont="1" applyFill="1" applyBorder="1" applyAlignment="1">
      <alignment horizontal="center" vertical="center" wrapText="1"/>
    </xf>
    <xf numFmtId="0" fontId="25" fillId="0" borderId="37" xfId="0" applyFont="1" applyFill="1" applyBorder="1" applyAlignment="1">
      <alignment horizontal="center" vertical="center" wrapText="1"/>
    </xf>
    <xf numFmtId="1" fontId="24" fillId="8" borderId="33" xfId="0" applyNumberFormat="1" applyFont="1" applyFill="1" applyBorder="1" applyAlignment="1">
      <alignment horizontal="center" vertical="center"/>
    </xf>
    <xf numFmtId="1" fontId="24" fillId="8" borderId="2" xfId="0" applyNumberFormat="1" applyFont="1" applyFill="1" applyBorder="1" applyAlignment="1">
      <alignment horizontal="center" vertical="center"/>
    </xf>
    <xf numFmtId="1" fontId="24" fillId="8" borderId="1" xfId="0" applyNumberFormat="1" applyFont="1" applyFill="1" applyBorder="1" applyAlignment="1">
      <alignment horizontal="center" vertical="center"/>
    </xf>
    <xf numFmtId="0" fontId="24" fillId="8" borderId="3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31" xfId="0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164" fontId="25" fillId="0" borderId="3" xfId="0" applyNumberFormat="1" applyFont="1" applyFill="1" applyBorder="1" applyAlignment="1">
      <alignment horizontal="center" vertical="center" wrapText="1"/>
    </xf>
    <xf numFmtId="164" fontId="25" fillId="0" borderId="4" xfId="0" applyNumberFormat="1" applyFont="1" applyFill="1" applyBorder="1" applyAlignment="1">
      <alignment horizontal="center" vertical="center" wrapText="1"/>
    </xf>
    <xf numFmtId="164" fontId="25" fillId="0" borderId="2" xfId="0" applyNumberFormat="1" applyFont="1" applyFill="1" applyBorder="1" applyAlignment="1">
      <alignment horizontal="center" vertical="center" wrapText="1"/>
    </xf>
    <xf numFmtId="0" fontId="24" fillId="0" borderId="4" xfId="0" applyNumberFormat="1" applyFont="1" applyFill="1" applyBorder="1" applyAlignment="1">
      <alignment horizontal="center" vertical="center"/>
    </xf>
    <xf numFmtId="0" fontId="24" fillId="0" borderId="37" xfId="0" applyNumberFormat="1" applyFont="1" applyFill="1" applyBorder="1" applyAlignment="1">
      <alignment horizontal="center" vertical="center"/>
    </xf>
    <xf numFmtId="0" fontId="25" fillId="0" borderId="50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 wrapText="1"/>
    </xf>
    <xf numFmtId="0" fontId="25" fillId="8" borderId="4" xfId="0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center" vertical="center" wrapText="1"/>
    </xf>
    <xf numFmtId="0" fontId="25" fillId="8" borderId="3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164" fontId="25" fillId="8" borderId="3" xfId="0" applyNumberFormat="1" applyFont="1" applyFill="1" applyBorder="1" applyAlignment="1">
      <alignment horizontal="center" vertical="center" wrapText="1"/>
    </xf>
    <xf numFmtId="164" fontId="25" fillId="8" borderId="4" xfId="0" applyNumberFormat="1" applyFont="1" applyFill="1" applyBorder="1" applyAlignment="1">
      <alignment horizontal="center" vertical="center" wrapText="1"/>
    </xf>
    <xf numFmtId="164" fontId="25" fillId="8" borderId="2" xfId="0" applyNumberFormat="1" applyFont="1" applyFill="1" applyBorder="1" applyAlignment="1">
      <alignment horizontal="center" vertical="center" wrapText="1"/>
    </xf>
    <xf numFmtId="0" fontId="24" fillId="8" borderId="3" xfId="0" applyNumberFormat="1" applyFont="1" applyFill="1" applyBorder="1" applyAlignment="1">
      <alignment horizontal="center" vertical="center"/>
    </xf>
    <xf numFmtId="0" fontId="24" fillId="8" borderId="4" xfId="0" applyNumberFormat="1" applyFont="1" applyFill="1" applyBorder="1" applyAlignment="1">
      <alignment horizontal="center" vertical="center"/>
    </xf>
    <xf numFmtId="0" fontId="24" fillId="8" borderId="37" xfId="0" applyNumberFormat="1" applyFont="1" applyFill="1" applyBorder="1" applyAlignment="1">
      <alignment horizontal="center" vertical="center"/>
    </xf>
    <xf numFmtId="0" fontId="25" fillId="8" borderId="50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horizontal="center" vertical="center" wrapText="1"/>
    </xf>
    <xf numFmtId="0" fontId="25" fillId="0" borderId="33" xfId="0" applyFont="1" applyFill="1" applyBorder="1" applyAlignment="1">
      <alignment horizontal="center" vertical="center" wrapText="1"/>
    </xf>
    <xf numFmtId="1" fontId="24" fillId="0" borderId="46" xfId="0" applyNumberFormat="1" applyFont="1" applyFill="1" applyBorder="1" applyAlignment="1">
      <alignment horizontal="center" vertical="center"/>
    </xf>
    <xf numFmtId="1" fontId="24" fillId="0" borderId="6" xfId="0" applyNumberFormat="1" applyFont="1" applyFill="1" applyBorder="1" applyAlignment="1">
      <alignment horizontal="center" vertical="center"/>
    </xf>
    <xf numFmtId="1" fontId="24" fillId="0" borderId="36" xfId="0" applyNumberFormat="1" applyFont="1" applyFill="1" applyBorder="1" applyAlignment="1">
      <alignment horizontal="center" vertical="center"/>
    </xf>
    <xf numFmtId="1" fontId="24" fillId="0" borderId="45" xfId="0" applyNumberFormat="1" applyFont="1" applyFill="1" applyBorder="1" applyAlignment="1">
      <alignment horizontal="center" vertical="center"/>
    </xf>
    <xf numFmtId="1" fontId="24" fillId="0" borderId="11" xfId="0" applyNumberFormat="1" applyFont="1" applyFill="1" applyBorder="1" applyAlignment="1">
      <alignment horizontal="center" vertical="center"/>
    </xf>
    <xf numFmtId="1" fontId="24" fillId="0" borderId="34" xfId="0" applyNumberFormat="1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 wrapText="1"/>
    </xf>
    <xf numFmtId="0" fontId="25" fillId="8" borderId="37" xfId="0" applyFont="1" applyFill="1" applyBorder="1" applyAlignment="1">
      <alignment horizontal="center" vertical="center" wrapText="1"/>
    </xf>
    <xf numFmtId="49" fontId="24" fillId="2" borderId="35" xfId="0" applyNumberFormat="1" applyFont="1" applyFill="1" applyBorder="1" applyAlignment="1">
      <alignment horizontal="center" vertical="center" wrapText="1"/>
    </xf>
    <xf numFmtId="49" fontId="24" fillId="2" borderId="32" xfId="0" applyNumberFormat="1" applyFont="1" applyFill="1" applyBorder="1" applyAlignment="1">
      <alignment horizontal="center" vertical="center" wrapText="1"/>
    </xf>
    <xf numFmtId="0" fontId="24" fillId="0" borderId="36" xfId="0" applyFont="1" applyFill="1" applyBorder="1" applyAlignment="1">
      <alignment horizontal="center" vertical="center"/>
    </xf>
    <xf numFmtId="0" fontId="24" fillId="0" borderId="34" xfId="0" applyFont="1" applyFill="1" applyBorder="1" applyAlignment="1">
      <alignment horizontal="center" vertical="center"/>
    </xf>
    <xf numFmtId="0" fontId="25" fillId="0" borderId="46" xfId="0" applyFont="1" applyFill="1" applyBorder="1" applyAlignment="1">
      <alignment horizontal="center" vertical="center" wrapText="1"/>
    </xf>
    <xf numFmtId="0" fontId="25" fillId="0" borderId="45" xfId="0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0" fontId="24" fillId="2" borderId="3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left" vertical="center"/>
    </xf>
    <xf numFmtId="1" fontId="24" fillId="2" borderId="31" xfId="0" applyNumberFormat="1" applyFont="1" applyFill="1" applyBorder="1" applyAlignment="1">
      <alignment horizontal="center" vertical="center" textRotation="90" wrapText="1"/>
    </xf>
    <xf numFmtId="0" fontId="24" fillId="2" borderId="24" xfId="0" applyFont="1" applyFill="1" applyBorder="1" applyAlignment="1">
      <alignment horizontal="center" vertical="center" textRotation="90" wrapText="1"/>
    </xf>
    <xf numFmtId="2" fontId="24" fillId="2" borderId="25" xfId="0" applyNumberFormat="1" applyFont="1" applyFill="1" applyBorder="1" applyAlignment="1">
      <alignment horizontal="center" vertical="center" wrapText="1"/>
    </xf>
    <xf numFmtId="0" fontId="24" fillId="2" borderId="26" xfId="0" applyFont="1" applyFill="1" applyBorder="1" applyAlignment="1">
      <alignment horizontal="center" vertical="center" wrapText="1"/>
    </xf>
    <xf numFmtId="0" fontId="24" fillId="2" borderId="27" xfId="0" applyFont="1" applyFill="1" applyBorder="1" applyAlignment="1">
      <alignment horizontal="center" vertical="center" wrapText="1"/>
    </xf>
    <xf numFmtId="0" fontId="24" fillId="2" borderId="28" xfId="0" applyFont="1" applyFill="1" applyBorder="1" applyAlignment="1">
      <alignment horizontal="center" vertical="center" wrapText="1"/>
    </xf>
    <xf numFmtId="0" fontId="24" fillId="2" borderId="29" xfId="0" applyFont="1" applyFill="1" applyBorder="1" applyAlignment="1">
      <alignment horizontal="center" vertical="center" wrapText="1"/>
    </xf>
    <xf numFmtId="0" fontId="24" fillId="2" borderId="43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4" fillId="2" borderId="44" xfId="0" applyFont="1" applyFill="1" applyBorder="1" applyAlignment="1">
      <alignment horizontal="center" vertical="center" wrapText="1"/>
    </xf>
    <xf numFmtId="0" fontId="24" fillId="2" borderId="23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2" xfId="0" applyFont="1" applyFill="1" applyBorder="1" applyAlignment="1">
      <alignment horizontal="center" vertical="center"/>
    </xf>
    <xf numFmtId="1" fontId="24" fillId="2" borderId="43" xfId="0" applyNumberFormat="1" applyFont="1" applyFill="1" applyBorder="1" applyAlignment="1">
      <alignment horizontal="center" vertical="center" textRotation="90" wrapText="1"/>
    </xf>
    <xf numFmtId="1" fontId="24" fillId="2" borderId="49" xfId="0" applyNumberFormat="1" applyFont="1" applyFill="1" applyBorder="1" applyAlignment="1">
      <alignment horizontal="center" vertical="center" textRotation="90" wrapText="1"/>
    </xf>
    <xf numFmtId="1" fontId="24" fillId="2" borderId="25" xfId="0" applyNumberFormat="1" applyFont="1" applyFill="1" applyBorder="1" applyAlignment="1">
      <alignment horizontal="center" vertical="center" textRotation="90" wrapText="1"/>
    </xf>
    <xf numFmtId="1" fontId="24" fillId="2" borderId="44" xfId="0" applyNumberFormat="1" applyFont="1" applyFill="1" applyBorder="1" applyAlignment="1">
      <alignment horizontal="center" vertical="center" textRotation="90" wrapText="1"/>
    </xf>
    <xf numFmtId="1" fontId="24" fillId="2" borderId="33" xfId="0" applyNumberFormat="1" applyFont="1" applyFill="1" applyBorder="1" applyAlignment="1">
      <alignment horizontal="center" vertical="center" textRotation="90" wrapText="1"/>
    </xf>
    <xf numFmtId="0" fontId="24" fillId="4" borderId="31" xfId="0" applyFont="1" applyFill="1" applyBorder="1" applyAlignment="1">
      <alignment horizontal="center" vertical="center" wrapText="1"/>
    </xf>
    <xf numFmtId="1" fontId="24" fillId="4" borderId="33" xfId="0" applyNumberFormat="1" applyFont="1" applyFill="1" applyBorder="1" applyAlignment="1">
      <alignment horizontal="center" vertical="center"/>
    </xf>
    <xf numFmtId="0" fontId="24" fillId="4" borderId="31" xfId="0" applyFont="1" applyFill="1" applyBorder="1" applyAlignment="1">
      <alignment horizontal="center" vertical="center"/>
    </xf>
    <xf numFmtId="1" fontId="24" fillId="2" borderId="34" xfId="0" applyNumberFormat="1" applyFont="1" applyFill="1" applyBorder="1" applyAlignment="1">
      <alignment horizontal="center" vertical="center" wrapText="1"/>
    </xf>
    <xf numFmtId="1" fontId="24" fillId="4" borderId="31" xfId="0" applyNumberFormat="1" applyFont="1" applyFill="1" applyBorder="1" applyAlignment="1">
      <alignment horizontal="center" vertical="center" wrapText="1"/>
    </xf>
    <xf numFmtId="0" fontId="24" fillId="4" borderId="33" xfId="0" applyFont="1" applyFill="1" applyBorder="1" applyAlignment="1">
      <alignment horizontal="center" vertical="center" wrapText="1"/>
    </xf>
    <xf numFmtId="0" fontId="24" fillId="0" borderId="31" xfId="0" applyNumberFormat="1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64" fontId="25" fillId="8" borderId="1" xfId="0" applyNumberFormat="1" applyFont="1" applyFill="1" applyBorder="1" applyAlignment="1">
      <alignment horizontal="center" vertical="center" wrapText="1"/>
    </xf>
    <xf numFmtId="0" fontId="24" fillId="8" borderId="1" xfId="0" applyNumberFormat="1" applyFont="1" applyFill="1" applyBorder="1" applyAlignment="1">
      <alignment horizontal="center" vertical="center"/>
    </xf>
    <xf numFmtId="0" fontId="24" fillId="8" borderId="31" xfId="0" applyNumberFormat="1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4" fillId="8" borderId="31" xfId="0" applyFont="1" applyFill="1" applyBorder="1" applyAlignment="1">
      <alignment horizontal="center" vertical="center" wrapText="1"/>
    </xf>
    <xf numFmtId="0" fontId="24" fillId="8" borderId="3" xfId="0" applyFont="1" applyFill="1" applyBorder="1" applyAlignment="1">
      <alignment horizontal="center" vertical="center" wrapText="1"/>
    </xf>
    <xf numFmtId="0" fontId="24" fillId="8" borderId="4" xfId="0" applyFont="1" applyFill="1" applyBorder="1" applyAlignment="1">
      <alignment horizontal="center" vertical="center" wrapText="1"/>
    </xf>
    <xf numFmtId="0" fontId="24" fillId="8" borderId="37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/>
    </xf>
    <xf numFmtId="2" fontId="25" fillId="0" borderId="5" xfId="0" applyNumberFormat="1" applyFont="1" applyFill="1" applyBorder="1" applyAlignment="1">
      <alignment horizontal="center" vertical="center"/>
    </xf>
    <xf numFmtId="2" fontId="25" fillId="0" borderId="6" xfId="0" applyNumberFormat="1" applyFont="1" applyFill="1" applyBorder="1" applyAlignment="1">
      <alignment horizontal="center" vertical="center"/>
    </xf>
    <xf numFmtId="2" fontId="25" fillId="0" borderId="7" xfId="0" applyNumberFormat="1" applyFont="1" applyFill="1" applyBorder="1" applyAlignment="1">
      <alignment horizontal="center" vertical="center"/>
    </xf>
    <xf numFmtId="2" fontId="25" fillId="0" borderId="10" xfId="0" applyNumberFormat="1" applyFont="1" applyFill="1" applyBorder="1" applyAlignment="1">
      <alignment horizontal="center" vertical="center"/>
    </xf>
    <xf numFmtId="2" fontId="25" fillId="0" borderId="11" xfId="0" applyNumberFormat="1" applyFont="1" applyFill="1" applyBorder="1" applyAlignment="1">
      <alignment horizontal="center" vertical="center"/>
    </xf>
    <xf numFmtId="2" fontId="25" fillId="0" borderId="12" xfId="0" applyNumberFormat="1" applyFont="1" applyFill="1" applyBorder="1" applyAlignment="1">
      <alignment horizontal="center" vertical="center"/>
    </xf>
    <xf numFmtId="0" fontId="24" fillId="4" borderId="37" xfId="0" applyNumberFormat="1" applyFont="1" applyFill="1" applyBorder="1" applyAlignment="1">
      <alignment horizontal="center" vertical="center"/>
    </xf>
    <xf numFmtId="0" fontId="24" fillId="2" borderId="37" xfId="0" applyNumberFormat="1" applyFont="1" applyFill="1" applyBorder="1" applyAlignment="1">
      <alignment horizontal="center" vertical="center"/>
    </xf>
    <xf numFmtId="0" fontId="24" fillId="5" borderId="39" xfId="0" applyFont="1" applyFill="1" applyBorder="1" applyAlignment="1">
      <alignment horizontal="center" vertical="center" wrapText="1"/>
    </xf>
    <xf numFmtId="0" fontId="24" fillId="5" borderId="48" xfId="0" applyFont="1" applyFill="1" applyBorder="1" applyAlignment="1">
      <alignment horizontal="center" vertical="center" wrapText="1"/>
    </xf>
    <xf numFmtId="1" fontId="24" fillId="5" borderId="38" xfId="0" applyNumberFormat="1" applyFont="1" applyFill="1" applyBorder="1" applyAlignment="1">
      <alignment horizontal="center" vertical="center"/>
    </xf>
    <xf numFmtId="1" fontId="24" fillId="5" borderId="47" xfId="0" applyNumberFormat="1" applyFont="1" applyFill="1" applyBorder="1" applyAlignment="1">
      <alignment horizontal="center" vertical="center"/>
    </xf>
    <xf numFmtId="1" fontId="24" fillId="5" borderId="39" xfId="0" applyNumberFormat="1" applyFont="1" applyFill="1" applyBorder="1" applyAlignment="1">
      <alignment horizontal="center" vertical="center"/>
    </xf>
    <xf numFmtId="0" fontId="24" fillId="5" borderId="48" xfId="0" applyFont="1" applyFill="1" applyBorder="1" applyAlignment="1">
      <alignment horizontal="center" vertical="center"/>
    </xf>
    <xf numFmtId="0" fontId="24" fillId="5" borderId="38" xfId="0" applyFont="1" applyFill="1" applyBorder="1" applyAlignment="1">
      <alignment horizontal="center" vertical="center" wrapText="1"/>
    </xf>
    <xf numFmtId="0" fontId="24" fillId="5" borderId="39" xfId="0" applyFont="1" applyFill="1" applyBorder="1" applyAlignment="1">
      <alignment horizontal="center" vertical="center"/>
    </xf>
    <xf numFmtId="1" fontId="24" fillId="5" borderId="40" xfId="0" applyNumberFormat="1" applyFont="1" applyFill="1" applyBorder="1" applyAlignment="1">
      <alignment horizontal="center" vertical="center"/>
    </xf>
    <xf numFmtId="0" fontId="24" fillId="5" borderId="41" xfId="0" applyNumberFormat="1" applyFont="1" applyFill="1" applyBorder="1" applyAlignment="1">
      <alignment horizontal="center" vertical="center"/>
    </xf>
    <xf numFmtId="0" fontId="24" fillId="5" borderId="42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 wrapText="1"/>
    </xf>
    <xf numFmtId="0" fontId="24" fillId="2" borderId="12" xfId="0" applyFont="1" applyFill="1" applyBorder="1" applyAlignment="1">
      <alignment horizontal="center" vertical="center" wrapText="1"/>
    </xf>
    <xf numFmtId="49" fontId="24" fillId="5" borderId="39" xfId="0" applyNumberFormat="1" applyFont="1" applyFill="1" applyBorder="1" applyAlignment="1">
      <alignment horizontal="right" vertical="center" wrapText="1"/>
    </xf>
    <xf numFmtId="164" fontId="24" fillId="5" borderId="39" xfId="0" applyNumberFormat="1" applyFont="1" applyFill="1" applyBorder="1" applyAlignment="1">
      <alignment horizontal="center" vertical="center" wrapText="1"/>
    </xf>
    <xf numFmtId="1" fontId="24" fillId="6" borderId="33" xfId="0" applyNumberFormat="1" applyFont="1" applyFill="1" applyBorder="1" applyAlignment="1">
      <alignment horizontal="center" vertical="center"/>
    </xf>
    <xf numFmtId="1" fontId="24" fillId="6" borderId="2" xfId="0" applyNumberFormat="1" applyFont="1" applyFill="1" applyBorder="1" applyAlignment="1">
      <alignment horizontal="center" vertical="center"/>
    </xf>
    <xf numFmtId="1" fontId="24" fillId="6" borderId="1" xfId="0" applyNumberFormat="1" applyFont="1" applyFill="1" applyBorder="1" applyAlignment="1">
      <alignment horizontal="center" vertical="center"/>
    </xf>
    <xf numFmtId="0" fontId="24" fillId="6" borderId="31" xfId="0" applyFont="1" applyFill="1" applyBorder="1" applyAlignment="1">
      <alignment horizontal="center" vertical="center"/>
    </xf>
    <xf numFmtId="49" fontId="33" fillId="2" borderId="0" xfId="0" applyNumberFormat="1" applyFont="1" applyFill="1" applyAlignment="1">
      <alignment horizontal="center" vertical="center"/>
    </xf>
    <xf numFmtId="49" fontId="25" fillId="2" borderId="0" xfId="0" applyNumberFormat="1" applyFont="1" applyFill="1" applyBorder="1" applyAlignment="1"/>
    <xf numFmtId="164" fontId="31" fillId="0" borderId="0" xfId="0" applyNumberFormat="1" applyFont="1" applyFill="1" applyBorder="1" applyAlignment="1">
      <alignment horizontal="center" vertical="center"/>
    </xf>
    <xf numFmtId="164" fontId="31" fillId="0" borderId="0" xfId="0" applyNumberFormat="1" applyFont="1" applyFill="1" applyAlignment="1">
      <alignment horizontal="center" vertical="center"/>
    </xf>
    <xf numFmtId="1" fontId="24" fillId="2" borderId="46" xfId="0" applyNumberFormat="1" applyFont="1" applyFill="1" applyBorder="1" applyAlignment="1">
      <alignment horizontal="center" vertical="center"/>
    </xf>
    <xf numFmtId="1" fontId="24" fillId="2" borderId="6" xfId="0" applyNumberFormat="1" applyFont="1" applyFill="1" applyBorder="1" applyAlignment="1">
      <alignment horizontal="center" vertical="center"/>
    </xf>
    <xf numFmtId="1" fontId="24" fillId="2" borderId="36" xfId="0" applyNumberFormat="1" applyFont="1" applyFill="1" applyBorder="1" applyAlignment="1">
      <alignment horizontal="center" vertical="center"/>
    </xf>
    <xf numFmtId="1" fontId="24" fillId="2" borderId="45" xfId="0" applyNumberFormat="1" applyFont="1" applyFill="1" applyBorder="1" applyAlignment="1">
      <alignment horizontal="center" vertical="center"/>
    </xf>
    <xf numFmtId="1" fontId="24" fillId="2" borderId="11" xfId="0" applyNumberFormat="1" applyFont="1" applyFill="1" applyBorder="1" applyAlignment="1">
      <alignment horizontal="center" vertical="center"/>
    </xf>
    <xf numFmtId="1" fontId="24" fillId="2" borderId="34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27" fillId="2" borderId="4" xfId="0" applyFont="1" applyFill="1" applyBorder="1" applyAlignment="1">
      <alignment horizontal="center" vertical="center"/>
    </xf>
    <xf numFmtId="0" fontId="25" fillId="7" borderId="33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 2 3 2" xfId="1"/>
  </cellStyles>
  <dxfs count="0"/>
  <tableStyles count="0" defaultTableStyle="TableStyleMedium2" defaultPivotStyle="PivotStyleLight16"/>
  <colors>
    <mruColors>
      <color rgb="FF003366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190499</xdr:colOff>
          <xdr:row>9</xdr:row>
          <xdr:rowOff>152400</xdr:rowOff>
        </xdr:from>
        <xdr:to>
          <xdr:col>135</xdr:col>
          <xdr:colOff>142875</xdr:colOff>
          <xdr:row>24</xdr:row>
          <xdr:rowOff>857251</xdr:rowOff>
        </xdr:to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#REF!" spid="_x0000_s17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381499" y="9391650"/>
              <a:ext cx="54959251" cy="1180147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2571749</xdr:colOff>
          <xdr:row>9</xdr:row>
          <xdr:rowOff>0</xdr:rowOff>
        </xdr:from>
        <xdr:to>
          <xdr:col>138</xdr:col>
          <xdr:colOff>285750</xdr:colOff>
          <xdr:row>22</xdr:row>
          <xdr:rowOff>142875</xdr:rowOff>
        </xdr:to>
        <xdr:pic>
          <xdr:nvPicPr>
            <xdr:cNvPr id="3" name="Рисунок 2"/>
            <xdr:cNvPicPr>
              <a:picLocks noChangeAspect="1" noChangeArrowheads="1"/>
              <a:extLst>
                <a:ext uri="{84589F7E-364E-4C9E-8A38-B11213B215E9}">
                  <a14:cameraTool cellRange="$EX$10:$HO$23" spid="_x0000_s47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62374" y="8524875"/>
              <a:ext cx="54530626" cy="14478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2286000</xdr:colOff>
          <xdr:row>10</xdr:row>
          <xdr:rowOff>-1</xdr:rowOff>
        </xdr:from>
        <xdr:ext cx="57578625" cy="11572876"/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$EW$12:$HN$26" spid="_x0000_s27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714750" y="11001374"/>
              <a:ext cx="57578625" cy="1157287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one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95250</xdr:rowOff>
        </xdr:from>
        <xdr:to>
          <xdr:col>154</xdr:col>
          <xdr:colOff>142875</xdr:colOff>
          <xdr:row>26</xdr:row>
          <xdr:rowOff>571500</xdr:rowOff>
        </xdr:to>
        <xdr:pic>
          <xdr:nvPicPr>
            <xdr:cNvPr id="2" name="Рисунок 1"/>
            <xdr:cNvPicPr>
              <a:picLocks noChangeAspect="1" noChangeArrowheads="1"/>
              <a:extLst>
                <a:ext uri="{84589F7E-364E-4C9E-8A38-B11213B215E9}">
                  <a14:cameraTool cellRange="$FL$12:$IC$26" spid="_x0000_s37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81125" y="11572875"/>
              <a:ext cx="59055000" cy="115728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Q111"/>
  <sheetViews>
    <sheetView view="pageBreakPreview" topLeftCell="A62" zoomScale="20" zoomScaleNormal="20" zoomScaleSheetLayoutView="20" workbookViewId="0">
      <selection activeCell="B81" sqref="B81:Y81"/>
    </sheetView>
  </sheetViews>
  <sheetFormatPr defaultColWidth="9.140625" defaultRowHeight="15.75" x14ac:dyDescent="0.25"/>
  <cols>
    <col min="1" max="1" width="17.28515625" style="17" customWidth="1"/>
    <col min="2" max="2" width="45.7109375" style="17" customWidth="1"/>
    <col min="3" max="3" width="15.5703125" style="2" customWidth="1"/>
    <col min="4" max="9" width="5" style="2" customWidth="1"/>
    <col min="10" max="10" width="6.140625" style="2" customWidth="1"/>
    <col min="11" max="13" width="5" style="2" customWidth="1"/>
    <col min="14" max="14" width="7.28515625" style="2" customWidth="1"/>
    <col min="15" max="18" width="5" style="2" customWidth="1"/>
    <col min="19" max="19" width="7.28515625" style="2" customWidth="1"/>
    <col min="20" max="20" width="5" style="2" customWidth="1"/>
    <col min="21" max="21" width="7.85546875" style="2" customWidth="1"/>
    <col min="22" max="22" width="5" style="2" customWidth="1"/>
    <col min="23" max="23" width="5" style="18" customWidth="1"/>
    <col min="24" max="25" width="8" style="18" customWidth="1"/>
    <col min="26" max="27" width="8" style="19" customWidth="1"/>
    <col min="28" max="29" width="7.5703125" style="19" customWidth="1"/>
    <col min="30" max="30" width="8.42578125" style="20" customWidth="1"/>
    <col min="31" max="31" width="9" style="20" customWidth="1"/>
    <col min="32" max="32" width="8.42578125" style="20" customWidth="1"/>
    <col min="33" max="35" width="5" style="20" customWidth="1"/>
    <col min="36" max="36" width="5.5703125" style="20" customWidth="1"/>
    <col min="37" max="48" width="6.140625" style="21" customWidth="1"/>
    <col min="49" max="60" width="6.140625" style="20" customWidth="1"/>
    <col min="61" max="66" width="6.140625" style="18" customWidth="1"/>
    <col min="67" max="114" width="6.140625" style="20" customWidth="1"/>
    <col min="115" max="146" width="5" style="20" customWidth="1"/>
    <col min="147" max="149" width="9.5703125" style="1" customWidth="1"/>
    <col min="150" max="153" width="9.140625" style="1"/>
    <col min="154" max="154" width="8.7109375" style="1" customWidth="1"/>
    <col min="155" max="155" width="13" style="1" customWidth="1"/>
    <col min="156" max="225" width="8.7109375" style="1" customWidth="1"/>
    <col min="226" max="16384" width="9.140625" style="1"/>
  </cols>
  <sheetData>
    <row r="1" spans="1:225" ht="130.5" customHeight="1" x14ac:dyDescent="0.2">
      <c r="A1" s="559" t="s">
        <v>12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59"/>
      <c r="AN1" s="559"/>
      <c r="AO1" s="559"/>
      <c r="AP1" s="559"/>
      <c r="AQ1" s="559"/>
      <c r="AR1" s="559"/>
      <c r="AS1" s="559"/>
      <c r="AT1" s="559"/>
      <c r="AU1" s="559"/>
      <c r="AV1" s="559"/>
      <c r="AW1" s="559"/>
      <c r="AX1" s="559"/>
      <c r="AY1" s="559"/>
      <c r="AZ1" s="559"/>
      <c r="BA1" s="559"/>
      <c r="BB1" s="559"/>
      <c r="BC1" s="559"/>
      <c r="BD1" s="559"/>
      <c r="BE1" s="559"/>
      <c r="BF1" s="559"/>
      <c r="BG1" s="559"/>
      <c r="BH1" s="559"/>
      <c r="BI1" s="559"/>
      <c r="BJ1" s="559"/>
      <c r="BK1" s="559"/>
      <c r="BL1" s="559"/>
      <c r="BM1" s="559"/>
      <c r="BN1" s="559"/>
      <c r="BO1" s="559"/>
      <c r="BP1" s="559"/>
      <c r="BQ1" s="559"/>
      <c r="BR1" s="559"/>
      <c r="BS1" s="559"/>
      <c r="BT1" s="559"/>
      <c r="BU1" s="559"/>
      <c r="BV1" s="559"/>
      <c r="BW1" s="559"/>
      <c r="BX1" s="559"/>
      <c r="BY1" s="559"/>
      <c r="BZ1" s="559"/>
      <c r="CA1" s="559"/>
      <c r="CB1" s="559"/>
      <c r="CC1" s="559"/>
      <c r="CD1" s="559"/>
      <c r="CE1" s="559"/>
      <c r="CF1" s="559"/>
      <c r="CG1" s="559"/>
      <c r="CH1" s="559"/>
      <c r="CI1" s="559"/>
      <c r="CJ1" s="559"/>
      <c r="CK1" s="559"/>
      <c r="CL1" s="559"/>
      <c r="CM1" s="559"/>
      <c r="CN1" s="559"/>
      <c r="CO1" s="559"/>
      <c r="CP1" s="559"/>
      <c r="CQ1" s="559"/>
      <c r="CR1" s="559"/>
      <c r="CS1" s="559"/>
      <c r="CT1" s="559"/>
      <c r="CU1" s="559"/>
      <c r="CV1" s="559"/>
      <c r="CW1" s="559"/>
      <c r="CX1" s="559"/>
      <c r="CY1" s="559"/>
      <c r="CZ1" s="559"/>
      <c r="DA1" s="559"/>
      <c r="DB1" s="559"/>
      <c r="DC1" s="559"/>
      <c r="DD1" s="559"/>
      <c r="DE1" s="559"/>
      <c r="DF1" s="559"/>
      <c r="DG1" s="559"/>
      <c r="DH1" s="559"/>
      <c r="DI1" s="559"/>
      <c r="DJ1" s="559"/>
      <c r="DK1" s="559"/>
      <c r="DL1" s="559"/>
      <c r="DM1" s="559"/>
      <c r="DN1" s="559"/>
      <c r="DO1" s="559"/>
      <c r="DP1" s="559"/>
      <c r="DQ1" s="559"/>
      <c r="DR1" s="559"/>
      <c r="DS1" s="559"/>
      <c r="DT1" s="559"/>
      <c r="DU1" s="559"/>
      <c r="DV1" s="559"/>
      <c r="DW1" s="559"/>
      <c r="DX1" s="559"/>
      <c r="DY1" s="559"/>
      <c r="DZ1" s="559"/>
      <c r="EA1" s="559"/>
      <c r="EB1" s="559"/>
      <c r="EC1" s="559"/>
      <c r="ED1" s="559"/>
      <c r="EE1" s="559"/>
      <c r="EF1" s="559"/>
      <c r="EG1" s="559"/>
      <c r="EH1" s="559"/>
      <c r="EI1" s="559"/>
      <c r="EJ1" s="559"/>
      <c r="EK1" s="559"/>
      <c r="EL1" s="559"/>
      <c r="EM1" s="559"/>
      <c r="EN1" s="559"/>
      <c r="EO1" s="559"/>
      <c r="EP1" s="559"/>
      <c r="EQ1" s="559"/>
      <c r="ER1" s="559"/>
      <c r="ES1" s="559"/>
    </row>
    <row r="2" spans="1:225" ht="105" customHeight="1" x14ac:dyDescent="0.25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561" t="s">
        <v>242</v>
      </c>
      <c r="AN2" s="561"/>
      <c r="AO2" s="561"/>
      <c r="AP2" s="561"/>
      <c r="AQ2" s="561"/>
      <c r="AR2" s="561"/>
      <c r="AS2" s="561"/>
      <c r="AT2" s="561"/>
      <c r="AU2" s="561"/>
      <c r="AV2" s="561"/>
      <c r="AW2" s="561"/>
      <c r="AX2" s="561"/>
      <c r="AY2" s="561"/>
      <c r="AZ2" s="561"/>
      <c r="BA2" s="561"/>
      <c r="BB2" s="561"/>
      <c r="BC2" s="561"/>
      <c r="BD2" s="561"/>
      <c r="BE2" s="561"/>
      <c r="BF2" s="561"/>
      <c r="BG2" s="561"/>
      <c r="BH2" s="561"/>
      <c r="BI2" s="561"/>
      <c r="BJ2" s="561"/>
      <c r="BK2" s="561"/>
      <c r="BL2" s="561"/>
      <c r="BM2" s="561"/>
      <c r="BN2" s="561"/>
      <c r="BO2" s="561"/>
      <c r="BP2" s="561"/>
      <c r="BQ2" s="561"/>
      <c r="BR2" s="561"/>
      <c r="BS2" s="561"/>
      <c r="BT2" s="561"/>
      <c r="BU2" s="561"/>
      <c r="BV2" s="561"/>
      <c r="BW2" s="561"/>
      <c r="BX2" s="561"/>
      <c r="BY2" s="561"/>
      <c r="BZ2" s="561"/>
      <c r="CA2" s="561"/>
      <c r="CB2" s="561"/>
      <c r="CC2" s="561"/>
      <c r="CD2" s="561"/>
      <c r="CE2" s="561"/>
      <c r="CF2" s="561"/>
      <c r="CG2" s="561"/>
      <c r="CH2" s="561"/>
      <c r="CI2" s="561"/>
      <c r="CJ2" s="561"/>
      <c r="CK2" s="561"/>
      <c r="CL2" s="561"/>
      <c r="CM2" s="561"/>
      <c r="CN2" s="561"/>
      <c r="CO2" s="561"/>
      <c r="CP2" s="561"/>
      <c r="CQ2" s="561"/>
      <c r="CR2" s="561"/>
      <c r="CS2" s="561"/>
      <c r="CT2" s="561"/>
      <c r="CU2" s="561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565" t="s">
        <v>174</v>
      </c>
      <c r="DL2" s="565"/>
      <c r="DM2" s="565"/>
      <c r="DN2" s="565"/>
      <c r="DO2" s="565"/>
      <c r="DP2" s="565"/>
      <c r="DQ2" s="565"/>
      <c r="DR2" s="565"/>
      <c r="DS2" s="565"/>
      <c r="DT2" s="565"/>
      <c r="DU2" s="565"/>
      <c r="DV2" s="565"/>
      <c r="DW2" s="565"/>
      <c r="DX2" s="565"/>
      <c r="DY2" s="565"/>
      <c r="DZ2" s="565"/>
      <c r="EA2" s="565"/>
      <c r="EB2" s="565"/>
      <c r="EC2" s="565"/>
      <c r="ED2" s="565"/>
      <c r="EE2" s="565"/>
      <c r="EF2" s="565"/>
      <c r="EG2" s="565"/>
      <c r="EH2" s="565"/>
      <c r="EI2" s="565"/>
      <c r="EJ2" s="565"/>
      <c r="EK2" s="565"/>
      <c r="EL2" s="565"/>
      <c r="EM2" s="565"/>
      <c r="EN2" s="565"/>
      <c r="EO2" s="565"/>
      <c r="EP2" s="565"/>
      <c r="EQ2" s="565"/>
      <c r="ER2" s="565"/>
      <c r="ES2" s="565"/>
    </row>
    <row r="3" spans="1:225" ht="88.5" customHeight="1" x14ac:dyDescent="0.2">
      <c r="A3" s="558"/>
      <c r="B3" s="558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A3" s="1"/>
      <c r="AB3" s="24"/>
      <c r="AC3" s="24"/>
      <c r="AD3" s="24"/>
      <c r="AE3" s="24"/>
      <c r="AF3" s="24"/>
      <c r="AG3" s="24"/>
      <c r="AH3" s="95"/>
      <c r="AI3" s="95"/>
      <c r="AJ3" s="95"/>
      <c r="AK3" s="95"/>
      <c r="AL3" s="95"/>
      <c r="AM3" s="562" t="s">
        <v>243</v>
      </c>
      <c r="AN3" s="562"/>
      <c r="AO3" s="562"/>
      <c r="AP3" s="562"/>
      <c r="AQ3" s="562"/>
      <c r="AR3" s="562"/>
      <c r="AS3" s="562"/>
      <c r="AT3" s="562"/>
      <c r="AU3" s="562"/>
      <c r="AV3" s="562"/>
      <c r="AW3" s="562"/>
      <c r="AX3" s="562"/>
      <c r="AY3" s="562"/>
      <c r="AZ3" s="562"/>
      <c r="BA3" s="562"/>
      <c r="BB3" s="562"/>
      <c r="BC3" s="562"/>
      <c r="BD3" s="562"/>
      <c r="BE3" s="562"/>
      <c r="BF3" s="562"/>
      <c r="BG3" s="562"/>
      <c r="BH3" s="562"/>
      <c r="BI3" s="562"/>
      <c r="BJ3" s="562"/>
      <c r="BK3" s="562"/>
      <c r="BL3" s="562"/>
      <c r="BM3" s="562"/>
      <c r="BN3" s="562"/>
      <c r="BO3" s="562"/>
      <c r="BP3" s="562"/>
      <c r="BQ3" s="562"/>
      <c r="BR3" s="562"/>
      <c r="BS3" s="562"/>
      <c r="BT3" s="562"/>
      <c r="BU3" s="562"/>
      <c r="BV3" s="562"/>
      <c r="BW3" s="562"/>
      <c r="BX3" s="562"/>
      <c r="BY3" s="562"/>
      <c r="BZ3" s="562"/>
      <c r="CA3" s="562"/>
      <c r="CB3" s="562"/>
      <c r="CC3" s="562"/>
      <c r="CD3" s="562"/>
      <c r="CE3" s="562"/>
      <c r="CF3" s="562"/>
      <c r="CG3" s="562"/>
      <c r="CH3" s="562"/>
      <c r="CI3" s="562"/>
      <c r="CJ3" s="562"/>
      <c r="CK3" s="562"/>
      <c r="CL3" s="562"/>
      <c r="CM3" s="562"/>
      <c r="CN3" s="562"/>
      <c r="CO3" s="562"/>
      <c r="CP3" s="562"/>
      <c r="CQ3" s="562"/>
      <c r="CR3" s="562"/>
      <c r="CS3" s="562"/>
      <c r="CT3" s="562"/>
      <c r="CU3" s="562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24"/>
      <c r="DG3" s="24"/>
      <c r="DH3" s="24"/>
      <c r="DI3" s="24"/>
      <c r="DJ3" s="24"/>
      <c r="DK3" s="564" t="s">
        <v>246</v>
      </c>
      <c r="DL3" s="564"/>
      <c r="DM3" s="564"/>
      <c r="DN3" s="564"/>
      <c r="DO3" s="564"/>
      <c r="DP3" s="564"/>
      <c r="DQ3" s="564"/>
      <c r="DR3" s="564"/>
      <c r="DS3" s="564"/>
      <c r="DT3" s="564"/>
      <c r="DU3" s="564"/>
      <c r="DV3" s="564"/>
      <c r="DW3" s="564"/>
      <c r="DX3" s="564"/>
      <c r="DY3" s="564"/>
      <c r="DZ3" s="564"/>
      <c r="EA3" s="564"/>
      <c r="EB3" s="564"/>
      <c r="EC3" s="564"/>
      <c r="ED3" s="564"/>
      <c r="EE3" s="564"/>
      <c r="EF3" s="564"/>
      <c r="EG3" s="564"/>
      <c r="EH3" s="564"/>
      <c r="EI3" s="564"/>
      <c r="EJ3" s="564"/>
      <c r="EK3" s="564"/>
      <c r="EL3" s="564"/>
      <c r="EM3" s="564"/>
      <c r="EN3" s="564"/>
      <c r="EO3" s="564"/>
      <c r="EP3" s="564"/>
      <c r="EQ3" s="564"/>
      <c r="ER3" s="564"/>
      <c r="ES3" s="564"/>
    </row>
    <row r="4" spans="1:225" ht="65.25" customHeight="1" x14ac:dyDescent="0.35">
      <c r="A4" s="82"/>
      <c r="B4" s="92"/>
      <c r="C4" s="92"/>
      <c r="D4" s="9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134"/>
      <c r="AI4" s="134"/>
      <c r="AJ4" s="134"/>
      <c r="AK4" s="134"/>
      <c r="AL4" s="134"/>
      <c r="AM4" s="563" t="s">
        <v>244</v>
      </c>
      <c r="AN4" s="563"/>
      <c r="AO4" s="563"/>
      <c r="AP4" s="563"/>
      <c r="AQ4" s="563"/>
      <c r="AR4" s="563"/>
      <c r="AS4" s="563"/>
      <c r="AT4" s="563"/>
      <c r="AU4" s="563"/>
      <c r="AV4" s="563"/>
      <c r="AW4" s="563"/>
      <c r="AX4" s="563"/>
      <c r="AY4" s="563"/>
      <c r="AZ4" s="563"/>
      <c r="BA4" s="563"/>
      <c r="BB4" s="563"/>
      <c r="BC4" s="563"/>
      <c r="BD4" s="563"/>
      <c r="BE4" s="563"/>
      <c r="BF4" s="563"/>
      <c r="BG4" s="563"/>
      <c r="BH4" s="563"/>
      <c r="BI4" s="563"/>
      <c r="BJ4" s="563"/>
      <c r="BK4" s="563"/>
      <c r="BL4" s="563"/>
      <c r="BM4" s="563"/>
      <c r="BN4" s="563"/>
      <c r="BO4" s="563"/>
      <c r="BP4" s="563"/>
      <c r="BQ4" s="563"/>
      <c r="BR4" s="563"/>
      <c r="BS4" s="563"/>
      <c r="BT4" s="563"/>
      <c r="BU4" s="563"/>
      <c r="BV4" s="563"/>
      <c r="BW4" s="563"/>
      <c r="BX4" s="563"/>
      <c r="BY4" s="563"/>
      <c r="BZ4" s="563"/>
      <c r="CA4" s="563"/>
      <c r="CB4" s="563"/>
      <c r="CC4" s="563"/>
      <c r="CD4" s="563"/>
      <c r="CE4" s="563"/>
      <c r="CF4" s="563"/>
      <c r="CG4" s="563"/>
      <c r="CH4" s="563"/>
      <c r="CI4" s="563"/>
      <c r="CJ4" s="563"/>
      <c r="CK4" s="563"/>
      <c r="CL4" s="563"/>
      <c r="CM4" s="563"/>
      <c r="CN4" s="563"/>
      <c r="CO4" s="563"/>
      <c r="CP4" s="563"/>
      <c r="CQ4" s="563"/>
      <c r="CR4" s="563"/>
      <c r="CS4" s="563"/>
      <c r="CT4" s="563"/>
      <c r="CU4" s="563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"/>
      <c r="DG4" s="1"/>
      <c r="DH4" s="1"/>
      <c r="DI4" s="1"/>
      <c r="DJ4" s="1"/>
      <c r="DK4" s="566" t="s">
        <v>240</v>
      </c>
      <c r="DL4" s="566"/>
      <c r="DM4" s="566"/>
      <c r="DN4" s="566"/>
      <c r="DO4" s="566"/>
      <c r="DP4" s="566"/>
      <c r="DQ4" s="566"/>
      <c r="DR4" s="566"/>
      <c r="DS4" s="566"/>
      <c r="DT4" s="566"/>
      <c r="DU4" s="566"/>
      <c r="DV4" s="566"/>
      <c r="DW4" s="566"/>
      <c r="DX4" s="566"/>
      <c r="DY4" s="566"/>
      <c r="DZ4" s="566"/>
      <c r="EA4" s="566"/>
      <c r="EB4" s="566"/>
      <c r="EC4" s="566"/>
      <c r="ED4" s="566"/>
      <c r="EE4" s="566"/>
      <c r="EF4" s="566"/>
      <c r="EG4" s="566"/>
      <c r="EH4" s="566"/>
      <c r="EI4" s="566"/>
      <c r="EJ4" s="566"/>
      <c r="EK4" s="566"/>
      <c r="EL4" s="566"/>
      <c r="EM4" s="566"/>
      <c r="EN4" s="566"/>
      <c r="EO4" s="566"/>
      <c r="EP4" s="566"/>
      <c r="EQ4" s="566"/>
      <c r="ER4" s="566"/>
      <c r="ES4" s="566"/>
    </row>
    <row r="5" spans="1:225" ht="77.25" customHeight="1" x14ac:dyDescent="0.3">
      <c r="A5" s="82"/>
      <c r="B5" s="92"/>
      <c r="C5" s="92"/>
      <c r="D5" s="9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AH5" s="134"/>
      <c r="AI5" s="134"/>
      <c r="AJ5" s="134"/>
      <c r="AK5" s="134"/>
      <c r="AL5" s="134"/>
      <c r="AM5" s="563" t="s">
        <v>245</v>
      </c>
      <c r="AN5" s="563"/>
      <c r="AO5" s="563"/>
      <c r="AP5" s="563"/>
      <c r="AQ5" s="563"/>
      <c r="AR5" s="563"/>
      <c r="AS5" s="563"/>
      <c r="AT5" s="563"/>
      <c r="AU5" s="563"/>
      <c r="AV5" s="563"/>
      <c r="AW5" s="563"/>
      <c r="AX5" s="563"/>
      <c r="AY5" s="563"/>
      <c r="AZ5" s="563"/>
      <c r="BA5" s="563"/>
      <c r="BB5" s="563"/>
      <c r="BC5" s="563"/>
      <c r="BD5" s="563"/>
      <c r="BE5" s="563"/>
      <c r="BF5" s="563"/>
      <c r="BG5" s="563"/>
      <c r="BH5" s="563"/>
      <c r="BI5" s="563"/>
      <c r="BJ5" s="563"/>
      <c r="BK5" s="563"/>
      <c r="BL5" s="563"/>
      <c r="BM5" s="563"/>
      <c r="BN5" s="563"/>
      <c r="BO5" s="563"/>
      <c r="BP5" s="563"/>
      <c r="BQ5" s="563"/>
      <c r="BR5" s="563"/>
      <c r="BS5" s="563"/>
      <c r="BT5" s="563"/>
      <c r="BU5" s="563"/>
      <c r="BV5" s="563"/>
      <c r="BW5" s="563"/>
      <c r="BX5" s="563"/>
      <c r="BY5" s="563"/>
      <c r="BZ5" s="563"/>
      <c r="CA5" s="563"/>
      <c r="CB5" s="563"/>
      <c r="CC5" s="563"/>
      <c r="CD5" s="563"/>
      <c r="CE5" s="563"/>
      <c r="CF5" s="563"/>
      <c r="CG5" s="563"/>
      <c r="CH5" s="563"/>
      <c r="CI5" s="563"/>
      <c r="CJ5" s="563"/>
      <c r="CK5" s="563"/>
      <c r="CL5" s="563"/>
      <c r="CM5" s="563"/>
      <c r="CN5" s="563"/>
      <c r="CO5" s="563"/>
      <c r="CP5" s="563"/>
      <c r="CQ5" s="563"/>
      <c r="CR5" s="563"/>
      <c r="CS5" s="563"/>
      <c r="CT5" s="563"/>
      <c r="CU5" s="563"/>
      <c r="CV5" s="134"/>
      <c r="CW5" s="134"/>
      <c r="CX5" s="134"/>
      <c r="CY5" s="134"/>
      <c r="CZ5" s="134"/>
      <c r="DA5" s="134"/>
      <c r="DB5" s="134"/>
      <c r="DC5" s="134"/>
      <c r="DD5" s="134"/>
      <c r="DE5" s="134"/>
      <c r="DF5" s="1"/>
      <c r="DG5" s="1"/>
      <c r="DH5" s="1"/>
      <c r="DI5" s="1"/>
      <c r="DJ5" s="1"/>
      <c r="DK5" s="567" t="s">
        <v>238</v>
      </c>
      <c r="DL5" s="567"/>
      <c r="DM5" s="567"/>
      <c r="DN5" s="567"/>
      <c r="DO5" s="567"/>
      <c r="DP5" s="567"/>
      <c r="DQ5" s="567"/>
      <c r="DR5" s="567"/>
      <c r="DS5" s="567"/>
      <c r="DT5" s="567"/>
      <c r="DU5" s="567"/>
      <c r="DV5" s="567"/>
      <c r="DW5" s="567"/>
      <c r="DX5" s="567"/>
      <c r="DY5" s="567"/>
      <c r="DZ5" s="567"/>
      <c r="EA5" s="567"/>
      <c r="EB5" s="567"/>
      <c r="EC5" s="567"/>
      <c r="ED5" s="567"/>
      <c r="EE5" s="567"/>
      <c r="EF5" s="567"/>
      <c r="EG5" s="567"/>
      <c r="EH5" s="567"/>
      <c r="EI5" s="567"/>
      <c r="EJ5" s="567"/>
      <c r="EK5" s="567"/>
      <c r="EL5" s="567"/>
      <c r="EM5" s="567"/>
      <c r="EN5" s="567"/>
      <c r="EO5" s="567"/>
      <c r="EP5" s="567"/>
      <c r="EQ5" s="567"/>
      <c r="ER5" s="567"/>
      <c r="ES5" s="567"/>
    </row>
    <row r="6" spans="1:225" ht="60.75" customHeight="1" x14ac:dyDescent="0.85">
      <c r="A6" s="82"/>
      <c r="B6" s="92"/>
      <c r="C6" s="92"/>
      <c r="D6" s="9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AH6" s="134"/>
      <c r="AI6" s="134"/>
      <c r="AJ6" s="134"/>
      <c r="AK6" s="134"/>
      <c r="AL6" s="134"/>
      <c r="AM6" s="563" t="s">
        <v>13</v>
      </c>
      <c r="AN6" s="563"/>
      <c r="AO6" s="563"/>
      <c r="AP6" s="563"/>
      <c r="AQ6" s="563"/>
      <c r="AR6" s="563"/>
      <c r="AS6" s="563"/>
      <c r="AT6" s="563"/>
      <c r="AU6" s="563"/>
      <c r="AV6" s="563"/>
      <c r="AW6" s="563"/>
      <c r="AX6" s="563"/>
      <c r="AY6" s="563"/>
      <c r="AZ6" s="563"/>
      <c r="BA6" s="563"/>
      <c r="BB6" s="563"/>
      <c r="BC6" s="563"/>
      <c r="BD6" s="563"/>
      <c r="BE6" s="563"/>
      <c r="BF6" s="563"/>
      <c r="BG6" s="563"/>
      <c r="BH6" s="563"/>
      <c r="BI6" s="563"/>
      <c r="BJ6" s="563"/>
      <c r="BK6" s="563"/>
      <c r="BL6" s="563"/>
      <c r="BM6" s="563"/>
      <c r="BN6" s="563"/>
      <c r="BO6" s="563"/>
      <c r="BP6" s="563"/>
      <c r="BQ6" s="563"/>
      <c r="BR6" s="563"/>
      <c r="BS6" s="563"/>
      <c r="BT6" s="563"/>
      <c r="BU6" s="563"/>
      <c r="BV6" s="563"/>
      <c r="BW6" s="563"/>
      <c r="BX6" s="563"/>
      <c r="BY6" s="563"/>
      <c r="BZ6" s="563"/>
      <c r="CA6" s="563"/>
      <c r="CB6" s="563"/>
      <c r="CC6" s="563"/>
      <c r="CD6" s="563"/>
      <c r="CE6" s="563"/>
      <c r="CF6" s="563"/>
      <c r="CG6" s="563"/>
      <c r="CH6" s="563"/>
      <c r="CI6" s="563"/>
      <c r="CJ6" s="563"/>
      <c r="CK6" s="563"/>
      <c r="CL6" s="563"/>
      <c r="CM6" s="563"/>
      <c r="CN6" s="563"/>
      <c r="CO6" s="563"/>
      <c r="CP6" s="563"/>
      <c r="CQ6" s="563"/>
      <c r="CR6" s="563"/>
      <c r="CS6" s="563"/>
      <c r="CT6" s="563"/>
      <c r="CU6" s="563"/>
      <c r="CV6" s="134"/>
      <c r="CW6" s="134"/>
      <c r="CX6" s="134"/>
      <c r="CY6" s="134"/>
      <c r="CZ6" s="134"/>
      <c r="DA6" s="134"/>
      <c r="DB6" s="134"/>
      <c r="DC6" s="134"/>
      <c r="DD6" s="134"/>
      <c r="DE6" s="134"/>
      <c r="DF6" s="1"/>
      <c r="DG6" s="1"/>
      <c r="DH6" s="1"/>
      <c r="DI6" s="1"/>
      <c r="DJ6" s="1"/>
      <c r="DK6" s="354" t="s">
        <v>175</v>
      </c>
      <c r="DL6" s="354"/>
      <c r="DM6" s="354"/>
      <c r="DN6" s="354"/>
      <c r="DO6" s="354"/>
      <c r="DP6" s="354"/>
      <c r="DQ6" s="354"/>
      <c r="DR6" s="354"/>
      <c r="DS6" s="354"/>
      <c r="DT6" s="354"/>
      <c r="DU6" s="354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</row>
    <row r="7" spans="1:225" ht="60" customHeight="1" x14ac:dyDescent="0.3">
      <c r="A7" s="82"/>
      <c r="B7" s="92"/>
      <c r="C7" s="92"/>
      <c r="D7" s="9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AH7" s="134"/>
      <c r="AI7" s="134"/>
      <c r="AJ7" s="134"/>
      <c r="AK7" s="134"/>
      <c r="AL7" s="134"/>
      <c r="AM7" s="563" t="s">
        <v>176</v>
      </c>
      <c r="AN7" s="563"/>
      <c r="AO7" s="563"/>
      <c r="AP7" s="563"/>
      <c r="AQ7" s="563"/>
      <c r="AR7" s="563"/>
      <c r="AS7" s="563"/>
      <c r="AT7" s="563"/>
      <c r="AU7" s="563"/>
      <c r="AV7" s="563"/>
      <c r="AW7" s="563"/>
      <c r="AX7" s="563"/>
      <c r="AY7" s="563"/>
      <c r="AZ7" s="563"/>
      <c r="BA7" s="563"/>
      <c r="BB7" s="563"/>
      <c r="BC7" s="563"/>
      <c r="BD7" s="563"/>
      <c r="BE7" s="563"/>
      <c r="BF7" s="563"/>
      <c r="BG7" s="563"/>
      <c r="BH7" s="563"/>
      <c r="BI7" s="563"/>
      <c r="BJ7" s="563"/>
      <c r="BK7" s="563"/>
      <c r="BL7" s="563"/>
      <c r="BM7" s="563"/>
      <c r="BN7" s="563"/>
      <c r="BO7" s="563"/>
      <c r="BP7" s="563"/>
      <c r="BQ7" s="563"/>
      <c r="BR7" s="563"/>
      <c r="BS7" s="563"/>
      <c r="BT7" s="563"/>
      <c r="BU7" s="563"/>
      <c r="BV7" s="563"/>
      <c r="BW7" s="563"/>
      <c r="BX7" s="563"/>
      <c r="BY7" s="563"/>
      <c r="BZ7" s="563"/>
      <c r="CA7" s="563"/>
      <c r="CB7" s="563"/>
      <c r="CC7" s="563"/>
      <c r="CD7" s="563"/>
      <c r="CE7" s="563"/>
      <c r="CF7" s="563"/>
      <c r="CG7" s="563"/>
      <c r="CH7" s="563"/>
      <c r="CI7" s="563"/>
      <c r="CJ7" s="563"/>
      <c r="CK7" s="563"/>
      <c r="CL7" s="563"/>
      <c r="CM7" s="563"/>
      <c r="CN7" s="563"/>
      <c r="CO7" s="563"/>
      <c r="CP7" s="563"/>
      <c r="CQ7" s="563"/>
      <c r="CR7" s="563"/>
      <c r="CS7" s="563"/>
      <c r="CT7" s="563"/>
      <c r="CU7" s="563"/>
      <c r="CV7" s="134"/>
      <c r="CW7" s="134"/>
      <c r="CX7" s="134"/>
      <c r="CY7" s="134"/>
      <c r="CZ7" s="134"/>
      <c r="DA7" s="134"/>
      <c r="DB7" s="134"/>
      <c r="DC7" s="134"/>
      <c r="DD7" s="134"/>
      <c r="DE7" s="134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</row>
    <row r="8" spans="1:225" ht="65.25" x14ac:dyDescent="0.3">
      <c r="A8" s="82"/>
      <c r="B8" s="92"/>
      <c r="C8" s="92"/>
      <c r="D8" s="9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AH8" s="134"/>
      <c r="AI8" s="134"/>
      <c r="AJ8" s="134"/>
      <c r="AK8" s="134"/>
      <c r="AL8" s="134"/>
      <c r="AM8" s="563" t="s">
        <v>177</v>
      </c>
      <c r="AN8" s="563"/>
      <c r="AO8" s="563"/>
      <c r="AP8" s="563"/>
      <c r="AQ8" s="563"/>
      <c r="AR8" s="563"/>
      <c r="AS8" s="563"/>
      <c r="AT8" s="563"/>
      <c r="AU8" s="563"/>
      <c r="AV8" s="563"/>
      <c r="AW8" s="563"/>
      <c r="AX8" s="563"/>
      <c r="AY8" s="563"/>
      <c r="AZ8" s="563"/>
      <c r="BA8" s="563"/>
      <c r="BB8" s="563"/>
      <c r="BC8" s="563"/>
      <c r="BD8" s="563"/>
      <c r="BE8" s="563"/>
      <c r="BF8" s="563"/>
      <c r="BG8" s="563"/>
      <c r="BH8" s="563"/>
      <c r="BI8" s="563"/>
      <c r="BJ8" s="563"/>
      <c r="BK8" s="563"/>
      <c r="BL8" s="563"/>
      <c r="BM8" s="563"/>
      <c r="BN8" s="563"/>
      <c r="BO8" s="563"/>
      <c r="BP8" s="563"/>
      <c r="BQ8" s="563"/>
      <c r="BR8" s="563"/>
      <c r="BS8" s="563"/>
      <c r="BT8" s="563"/>
      <c r="BU8" s="563"/>
      <c r="BV8" s="563"/>
      <c r="BW8" s="563"/>
      <c r="BX8" s="563"/>
      <c r="BY8" s="563"/>
      <c r="BZ8" s="563"/>
      <c r="CA8" s="563"/>
      <c r="CB8" s="563"/>
      <c r="CC8" s="563"/>
      <c r="CD8" s="563"/>
      <c r="CE8" s="563"/>
      <c r="CF8" s="563"/>
      <c r="CG8" s="563"/>
      <c r="CH8" s="563"/>
      <c r="CI8" s="563"/>
      <c r="CJ8" s="563"/>
      <c r="CK8" s="563"/>
      <c r="CL8" s="563"/>
      <c r="CM8" s="563"/>
      <c r="CN8" s="563"/>
      <c r="CO8" s="563"/>
      <c r="CP8" s="563"/>
      <c r="CQ8" s="563"/>
      <c r="CR8" s="563"/>
      <c r="CS8" s="563"/>
      <c r="CT8" s="563"/>
      <c r="CU8" s="563"/>
      <c r="CV8" s="134"/>
      <c r="CW8" s="134"/>
      <c r="CX8" s="134"/>
      <c r="CY8" s="134"/>
      <c r="CZ8" s="134"/>
      <c r="DA8" s="134"/>
      <c r="DB8" s="134"/>
      <c r="DC8" s="134"/>
      <c r="DD8" s="134"/>
      <c r="DE8" s="134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</row>
    <row r="9" spans="1:225" ht="75" x14ac:dyDescent="0.2">
      <c r="A9" s="560" t="s">
        <v>248</v>
      </c>
      <c r="B9" s="560"/>
      <c r="C9" s="560"/>
      <c r="D9" s="560"/>
      <c r="E9" s="560"/>
      <c r="F9" s="560"/>
      <c r="G9" s="560"/>
      <c r="H9" s="560"/>
      <c r="I9" s="560"/>
      <c r="J9" s="560"/>
      <c r="K9" s="560"/>
      <c r="L9" s="560"/>
      <c r="M9" s="560"/>
      <c r="N9" s="560"/>
      <c r="O9" s="560"/>
      <c r="P9" s="560"/>
      <c r="Q9" s="560"/>
      <c r="R9" s="560"/>
      <c r="S9" s="560"/>
      <c r="T9" s="560"/>
      <c r="U9" s="560"/>
      <c r="V9" s="560"/>
      <c r="W9" s="560"/>
      <c r="X9" s="560"/>
      <c r="Y9" s="560"/>
      <c r="Z9" s="560"/>
      <c r="AA9" s="560"/>
      <c r="AB9" s="560"/>
      <c r="AC9" s="560"/>
      <c r="AD9" s="560"/>
      <c r="AE9" s="560"/>
      <c r="AF9" s="560"/>
      <c r="AG9" s="560"/>
      <c r="AH9" s="560"/>
      <c r="AI9" s="560"/>
      <c r="AJ9" s="560"/>
      <c r="AK9" s="560"/>
      <c r="AL9" s="560"/>
      <c r="AM9" s="560"/>
      <c r="AN9" s="560"/>
      <c r="AO9" s="560"/>
      <c r="AP9" s="560"/>
      <c r="AQ9" s="560"/>
      <c r="AR9" s="560"/>
      <c r="AS9" s="560"/>
      <c r="AT9" s="560"/>
      <c r="AU9" s="560"/>
      <c r="AV9" s="560"/>
      <c r="AW9" s="560"/>
      <c r="AX9" s="560"/>
      <c r="AY9" s="560"/>
      <c r="AZ9" s="560"/>
      <c r="BA9" s="560"/>
      <c r="BB9" s="560"/>
      <c r="BC9" s="560"/>
      <c r="BD9" s="560"/>
      <c r="BE9" s="560"/>
      <c r="BF9" s="560"/>
      <c r="BG9" s="560"/>
      <c r="BH9" s="560"/>
      <c r="BI9" s="560"/>
      <c r="BJ9" s="560"/>
      <c r="BK9" s="560"/>
      <c r="BL9" s="560"/>
      <c r="BM9" s="560"/>
      <c r="BN9" s="560"/>
      <c r="BO9" s="560"/>
      <c r="BP9" s="560"/>
      <c r="BQ9" s="560"/>
      <c r="BR9" s="560"/>
      <c r="BS9" s="560"/>
      <c r="BT9" s="560"/>
      <c r="BU9" s="560"/>
      <c r="BV9" s="560"/>
      <c r="BW9" s="560"/>
      <c r="BX9" s="560"/>
      <c r="BY9" s="560"/>
      <c r="BZ9" s="560"/>
      <c r="CA9" s="560"/>
      <c r="CB9" s="560"/>
      <c r="CC9" s="560"/>
      <c r="CD9" s="560"/>
      <c r="CE9" s="560"/>
      <c r="CF9" s="560"/>
      <c r="CG9" s="560"/>
      <c r="CH9" s="560"/>
      <c r="CI9" s="560"/>
      <c r="CJ9" s="560"/>
      <c r="CK9" s="560"/>
      <c r="CL9" s="560"/>
      <c r="CM9" s="560"/>
      <c r="CN9" s="560"/>
      <c r="CO9" s="560"/>
      <c r="CP9" s="560"/>
      <c r="CQ9" s="560"/>
      <c r="CR9" s="560"/>
      <c r="CS9" s="560"/>
      <c r="CT9" s="560"/>
      <c r="CU9" s="560"/>
      <c r="CV9" s="560"/>
      <c r="CW9" s="560"/>
      <c r="CX9" s="560"/>
      <c r="CY9" s="560"/>
      <c r="CZ9" s="560"/>
      <c r="DA9" s="560"/>
      <c r="DB9" s="560"/>
      <c r="DC9" s="560"/>
      <c r="DD9" s="560"/>
      <c r="DE9" s="560"/>
      <c r="DF9" s="560"/>
      <c r="DG9" s="560"/>
      <c r="DH9" s="560"/>
      <c r="DI9" s="560"/>
      <c r="DJ9" s="560"/>
      <c r="DK9" s="560"/>
      <c r="DL9" s="560"/>
      <c r="DM9" s="560"/>
      <c r="DN9" s="560"/>
      <c r="DO9" s="560"/>
      <c r="DP9" s="560"/>
      <c r="DQ9" s="560"/>
      <c r="DR9" s="560"/>
      <c r="DS9" s="560"/>
      <c r="DT9" s="560"/>
      <c r="DU9" s="560"/>
      <c r="DV9" s="560"/>
      <c r="DW9" s="560"/>
      <c r="DX9" s="560"/>
      <c r="DY9" s="560"/>
      <c r="DZ9" s="560"/>
      <c r="EA9" s="560"/>
      <c r="EB9" s="560"/>
      <c r="EC9" s="560"/>
      <c r="ED9" s="560"/>
      <c r="EE9" s="560"/>
      <c r="EF9" s="560"/>
      <c r="EG9" s="560"/>
      <c r="EH9" s="560"/>
      <c r="EI9" s="560"/>
      <c r="EJ9" s="560"/>
      <c r="EK9" s="560"/>
      <c r="EL9" s="560"/>
      <c r="EM9" s="560"/>
      <c r="EN9" s="560"/>
      <c r="EO9" s="560"/>
      <c r="EP9" s="560"/>
      <c r="EQ9" s="560"/>
      <c r="ER9" s="560"/>
      <c r="ES9" s="560"/>
    </row>
    <row r="10" spans="1:225" ht="69" customHeight="1" x14ac:dyDescent="0.4">
      <c r="A10" s="23"/>
      <c r="B10" s="23"/>
      <c r="C10" s="26"/>
      <c r="D10" s="181"/>
      <c r="E10" s="181"/>
      <c r="F10" s="181"/>
      <c r="G10" s="181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8"/>
      <c r="EH10" s="178"/>
      <c r="EI10" s="178"/>
      <c r="EJ10" s="178"/>
      <c r="EK10" s="178"/>
      <c r="EL10" s="178"/>
      <c r="EM10" s="178"/>
      <c r="EN10" s="31"/>
      <c r="EO10" s="31"/>
      <c r="EP10" s="31"/>
      <c r="EQ10" s="31"/>
      <c r="EX10" s="572" t="s">
        <v>23</v>
      </c>
      <c r="EY10" s="572"/>
      <c r="EZ10" s="568" t="s">
        <v>265</v>
      </c>
      <c r="FA10" s="568"/>
      <c r="FB10" s="568"/>
      <c r="FC10" s="568"/>
      <c r="FD10" s="568"/>
      <c r="FE10" s="568"/>
      <c r="FF10" s="568"/>
      <c r="FG10" s="568"/>
      <c r="FH10" s="568"/>
      <c r="FI10" s="568"/>
      <c r="FJ10" s="568"/>
      <c r="FK10" s="568"/>
      <c r="FL10" s="568"/>
      <c r="FM10" s="568"/>
      <c r="FN10" s="568"/>
      <c r="FO10" s="568"/>
      <c r="FP10" s="568"/>
      <c r="FQ10" s="568"/>
      <c r="FR10" s="568"/>
      <c r="FS10" s="568"/>
      <c r="FT10" s="568"/>
      <c r="FU10" s="568"/>
      <c r="FV10" s="568"/>
      <c r="FW10" s="568"/>
      <c r="FX10" s="568"/>
      <c r="FY10" s="568"/>
      <c r="FZ10" s="568"/>
      <c r="GA10" s="568"/>
      <c r="GB10" s="568"/>
      <c r="GC10" s="568"/>
      <c r="GD10" s="568"/>
      <c r="GE10" s="568"/>
      <c r="GF10" s="568"/>
      <c r="GG10" s="568"/>
      <c r="GH10" s="568"/>
      <c r="GI10" s="568"/>
      <c r="GJ10" s="568"/>
      <c r="GK10" s="568"/>
      <c r="GL10" s="568"/>
      <c r="GM10" s="568"/>
      <c r="GN10" s="568"/>
      <c r="GO10" s="568"/>
      <c r="GP10" s="568"/>
      <c r="GQ10" s="568"/>
      <c r="GR10" s="568"/>
      <c r="GS10" s="568"/>
      <c r="GT10" s="568"/>
      <c r="GU10" s="568"/>
      <c r="GV10" s="568"/>
      <c r="GW10" s="568"/>
      <c r="GX10" s="568"/>
      <c r="GY10" s="568"/>
      <c r="GZ10" s="568" t="s">
        <v>19</v>
      </c>
      <c r="HA10" s="568"/>
      <c r="HB10" s="568"/>
      <c r="HC10" s="568"/>
      <c r="HD10" s="568"/>
      <c r="HE10" s="568"/>
      <c r="HF10" s="568"/>
      <c r="HG10" s="568"/>
      <c r="HH10" s="568"/>
      <c r="HI10" s="568"/>
      <c r="HJ10" s="568"/>
      <c r="HK10" s="568"/>
      <c r="HL10" s="568"/>
      <c r="HM10" s="568"/>
      <c r="HN10" s="572" t="s">
        <v>266</v>
      </c>
      <c r="HO10" s="572"/>
      <c r="HP10" s="572" t="s">
        <v>22</v>
      </c>
      <c r="HQ10" s="572"/>
    </row>
    <row r="11" spans="1:225" ht="42" customHeight="1" x14ac:dyDescent="0.4">
      <c r="A11" s="23"/>
      <c r="B11" s="23"/>
      <c r="C11" s="26"/>
      <c r="D11" s="181"/>
      <c r="E11" s="181"/>
      <c r="F11" s="181"/>
      <c r="G11" s="181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7"/>
      <c r="BU11" s="177"/>
      <c r="BV11" s="177"/>
      <c r="BW11" s="177"/>
      <c r="BX11" s="177"/>
      <c r="BY11" s="177"/>
      <c r="BZ11" s="177"/>
      <c r="CA11" s="177"/>
      <c r="CB11" s="177"/>
      <c r="CC11" s="177"/>
      <c r="CD11" s="177"/>
      <c r="CE11" s="177"/>
      <c r="CF11" s="177"/>
      <c r="CG11" s="177"/>
      <c r="CH11" s="177"/>
      <c r="CI11" s="177"/>
      <c r="CJ11" s="177"/>
      <c r="CK11" s="177"/>
      <c r="CL11" s="177"/>
      <c r="CM11" s="177"/>
      <c r="CN11" s="177"/>
      <c r="CO11" s="177"/>
      <c r="CP11" s="177"/>
      <c r="CQ11" s="177"/>
      <c r="CR11" s="177"/>
      <c r="CS11" s="177"/>
      <c r="CT11" s="177"/>
      <c r="CU11" s="177"/>
      <c r="CV11" s="177"/>
      <c r="CW11" s="177"/>
      <c r="CX11" s="177"/>
      <c r="CY11" s="177"/>
      <c r="CZ11" s="177"/>
      <c r="DA11" s="177"/>
      <c r="DB11" s="177"/>
      <c r="DC11" s="177"/>
      <c r="DD11" s="177"/>
      <c r="DE11" s="177"/>
      <c r="DF11" s="177"/>
      <c r="DG11" s="177"/>
      <c r="DH11" s="177"/>
      <c r="DI11" s="177"/>
      <c r="DJ11" s="177"/>
      <c r="DK11" s="178"/>
      <c r="DL11" s="178"/>
      <c r="DM11" s="178"/>
      <c r="DN11" s="178"/>
      <c r="DO11" s="182"/>
      <c r="DP11" s="182"/>
      <c r="DQ11" s="182"/>
      <c r="DR11" s="182"/>
      <c r="DS11" s="182"/>
      <c r="DT11" s="182"/>
      <c r="DU11" s="182"/>
      <c r="DV11" s="182"/>
      <c r="DW11" s="182"/>
      <c r="DX11" s="182"/>
      <c r="DY11" s="182"/>
      <c r="DZ11" s="182"/>
      <c r="EA11" s="182"/>
      <c r="EB11" s="182"/>
      <c r="EC11" s="182"/>
      <c r="ED11" s="182"/>
      <c r="EE11" s="182"/>
      <c r="EF11" s="182"/>
      <c r="EG11" s="178"/>
      <c r="EH11" s="178"/>
      <c r="EI11" s="178"/>
      <c r="EJ11" s="178"/>
      <c r="EK11" s="178"/>
      <c r="EL11" s="178"/>
      <c r="EM11" s="178"/>
      <c r="EN11" s="31"/>
      <c r="EO11" s="31"/>
      <c r="EP11" s="31"/>
      <c r="EQ11" s="31"/>
      <c r="EX11" s="572"/>
      <c r="EY11" s="572"/>
      <c r="EZ11" s="568"/>
      <c r="FA11" s="568"/>
      <c r="FB11" s="568"/>
      <c r="FC11" s="568"/>
      <c r="FD11" s="568"/>
      <c r="FE11" s="568"/>
      <c r="FF11" s="568"/>
      <c r="FG11" s="568"/>
      <c r="FH11" s="568"/>
      <c r="FI11" s="568"/>
      <c r="FJ11" s="568"/>
      <c r="FK11" s="568"/>
      <c r="FL11" s="568"/>
      <c r="FM11" s="568"/>
      <c r="FN11" s="568"/>
      <c r="FO11" s="568"/>
      <c r="FP11" s="568"/>
      <c r="FQ11" s="568"/>
      <c r="FR11" s="568"/>
      <c r="FS11" s="568"/>
      <c r="FT11" s="568"/>
      <c r="FU11" s="568"/>
      <c r="FV11" s="568"/>
      <c r="FW11" s="568"/>
      <c r="FX11" s="568"/>
      <c r="FY11" s="568"/>
      <c r="FZ11" s="568"/>
      <c r="GA11" s="568"/>
      <c r="GB11" s="568"/>
      <c r="GC11" s="568"/>
      <c r="GD11" s="568"/>
      <c r="GE11" s="568"/>
      <c r="GF11" s="568"/>
      <c r="GG11" s="568"/>
      <c r="GH11" s="568"/>
      <c r="GI11" s="568"/>
      <c r="GJ11" s="568"/>
      <c r="GK11" s="568"/>
      <c r="GL11" s="568"/>
      <c r="GM11" s="568"/>
      <c r="GN11" s="568"/>
      <c r="GO11" s="568"/>
      <c r="GP11" s="568"/>
      <c r="GQ11" s="568"/>
      <c r="GR11" s="568"/>
      <c r="GS11" s="568"/>
      <c r="GT11" s="568"/>
      <c r="GU11" s="568"/>
      <c r="GV11" s="568"/>
      <c r="GW11" s="568"/>
      <c r="GX11" s="568"/>
      <c r="GY11" s="568"/>
      <c r="GZ11" s="572" t="s">
        <v>20</v>
      </c>
      <c r="HA11" s="572"/>
      <c r="HB11" s="568" t="s">
        <v>78</v>
      </c>
      <c r="HC11" s="568"/>
      <c r="HD11" s="568"/>
      <c r="HE11" s="568"/>
      <c r="HF11" s="568"/>
      <c r="HG11" s="568"/>
      <c r="HH11" s="568"/>
      <c r="HI11" s="568"/>
      <c r="HJ11" s="568"/>
      <c r="HK11" s="568"/>
      <c r="HL11" s="568"/>
      <c r="HM11" s="568"/>
      <c r="HN11" s="572"/>
      <c r="HO11" s="572"/>
      <c r="HP11" s="572"/>
      <c r="HQ11" s="572"/>
    </row>
    <row r="12" spans="1:225" ht="60" customHeight="1" x14ac:dyDescent="0.4">
      <c r="A12" s="23"/>
      <c r="B12" s="23"/>
      <c r="C12" s="26"/>
      <c r="D12" s="181"/>
      <c r="E12" s="181"/>
      <c r="F12" s="181"/>
      <c r="G12" s="181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77"/>
      <c r="BW12" s="177"/>
      <c r="BX12" s="177"/>
      <c r="BY12" s="177"/>
      <c r="BZ12" s="177"/>
      <c r="CA12" s="177"/>
      <c r="CB12" s="177"/>
      <c r="CC12" s="177"/>
      <c r="CD12" s="177"/>
      <c r="CE12" s="177"/>
      <c r="CF12" s="177"/>
      <c r="CG12" s="177"/>
      <c r="CH12" s="177"/>
      <c r="CI12" s="177"/>
      <c r="CJ12" s="177"/>
      <c r="CK12" s="177"/>
      <c r="CL12" s="177"/>
      <c r="CM12" s="177"/>
      <c r="CN12" s="177"/>
      <c r="CO12" s="177"/>
      <c r="CP12" s="177"/>
      <c r="CQ12" s="177"/>
      <c r="CR12" s="177"/>
      <c r="CS12" s="177"/>
      <c r="CT12" s="177"/>
      <c r="CU12" s="177"/>
      <c r="CV12" s="177"/>
      <c r="CW12" s="177"/>
      <c r="CX12" s="177"/>
      <c r="CY12" s="177"/>
      <c r="CZ12" s="177"/>
      <c r="DA12" s="177"/>
      <c r="DB12" s="177"/>
      <c r="DC12" s="177"/>
      <c r="DD12" s="177"/>
      <c r="DE12" s="177"/>
      <c r="DF12" s="177"/>
      <c r="DG12" s="177"/>
      <c r="DH12" s="177"/>
      <c r="DI12" s="177"/>
      <c r="DJ12" s="177"/>
      <c r="DK12" s="178"/>
      <c r="DL12" s="178"/>
      <c r="DM12" s="178"/>
      <c r="DN12" s="178"/>
      <c r="DO12" s="179"/>
      <c r="DP12" s="179"/>
      <c r="DQ12" s="179"/>
      <c r="DR12" s="179"/>
      <c r="DS12" s="179"/>
      <c r="DT12" s="179"/>
      <c r="DU12" s="179"/>
      <c r="DV12" s="179"/>
      <c r="DW12" s="179"/>
      <c r="DX12" s="179"/>
      <c r="DY12" s="179"/>
      <c r="DZ12" s="179"/>
      <c r="EA12" s="179"/>
      <c r="EB12" s="179"/>
      <c r="EC12" s="179"/>
      <c r="ED12" s="183"/>
      <c r="EE12" s="183"/>
      <c r="EF12" s="183"/>
      <c r="EG12" s="178"/>
      <c r="EH12" s="178"/>
      <c r="EI12" s="178"/>
      <c r="EJ12" s="178"/>
      <c r="EK12" s="178"/>
      <c r="EL12" s="178"/>
      <c r="EM12" s="178"/>
      <c r="EN12" s="31"/>
      <c r="EO12" s="31"/>
      <c r="EP12" s="31"/>
      <c r="EQ12" s="31"/>
      <c r="EX12" s="572"/>
      <c r="EY12" s="572"/>
      <c r="EZ12" s="568"/>
      <c r="FA12" s="568"/>
      <c r="FB12" s="568"/>
      <c r="FC12" s="568"/>
      <c r="FD12" s="568"/>
      <c r="FE12" s="568"/>
      <c r="FF12" s="568"/>
      <c r="FG12" s="568"/>
      <c r="FH12" s="568"/>
      <c r="FI12" s="568"/>
      <c r="FJ12" s="568"/>
      <c r="FK12" s="568"/>
      <c r="FL12" s="568"/>
      <c r="FM12" s="568"/>
      <c r="FN12" s="568"/>
      <c r="FO12" s="568"/>
      <c r="FP12" s="568"/>
      <c r="FQ12" s="568"/>
      <c r="FR12" s="568"/>
      <c r="FS12" s="568"/>
      <c r="FT12" s="568"/>
      <c r="FU12" s="568"/>
      <c r="FV12" s="568"/>
      <c r="FW12" s="568"/>
      <c r="FX12" s="568"/>
      <c r="FY12" s="568"/>
      <c r="FZ12" s="568"/>
      <c r="GA12" s="568"/>
      <c r="GB12" s="568"/>
      <c r="GC12" s="568"/>
      <c r="GD12" s="568"/>
      <c r="GE12" s="568"/>
      <c r="GF12" s="568"/>
      <c r="GG12" s="568"/>
      <c r="GH12" s="568"/>
      <c r="GI12" s="568"/>
      <c r="GJ12" s="568"/>
      <c r="GK12" s="568"/>
      <c r="GL12" s="568"/>
      <c r="GM12" s="568"/>
      <c r="GN12" s="568"/>
      <c r="GO12" s="568"/>
      <c r="GP12" s="568"/>
      <c r="GQ12" s="568"/>
      <c r="GR12" s="568"/>
      <c r="GS12" s="568"/>
      <c r="GT12" s="568"/>
      <c r="GU12" s="568"/>
      <c r="GV12" s="568"/>
      <c r="GW12" s="568"/>
      <c r="GX12" s="568"/>
      <c r="GY12" s="568"/>
      <c r="GZ12" s="572"/>
      <c r="HA12" s="572"/>
      <c r="HB12" s="573" t="s">
        <v>267</v>
      </c>
      <c r="HC12" s="574"/>
      <c r="HD12" s="573" t="s">
        <v>16</v>
      </c>
      <c r="HE12" s="574"/>
      <c r="HF12" s="573" t="s">
        <v>268</v>
      </c>
      <c r="HG12" s="574"/>
      <c r="HH12" s="573" t="s">
        <v>14</v>
      </c>
      <c r="HI12" s="574"/>
      <c r="HJ12" s="573" t="s">
        <v>17</v>
      </c>
      <c r="HK12" s="574"/>
      <c r="HL12" s="573" t="s">
        <v>269</v>
      </c>
      <c r="HM12" s="574"/>
      <c r="HN12" s="572"/>
      <c r="HO12" s="572"/>
      <c r="HP12" s="572"/>
      <c r="HQ12" s="572"/>
    </row>
    <row r="13" spans="1:225" ht="60" customHeight="1" x14ac:dyDescent="0.4">
      <c r="A13" s="23"/>
      <c r="B13" s="23"/>
      <c r="C13" s="26"/>
      <c r="D13" s="181"/>
      <c r="E13" s="181"/>
      <c r="F13" s="181"/>
      <c r="G13" s="181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T13" s="177"/>
      <c r="CU13" s="177"/>
      <c r="CV13" s="177"/>
      <c r="CW13" s="177"/>
      <c r="CX13" s="177"/>
      <c r="CY13" s="177"/>
      <c r="CZ13" s="177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8"/>
      <c r="DL13" s="178"/>
      <c r="DM13" s="178"/>
      <c r="DN13" s="178"/>
      <c r="DO13" s="179"/>
      <c r="DP13" s="179"/>
      <c r="DQ13" s="179"/>
      <c r="DR13" s="179"/>
      <c r="DS13" s="179"/>
      <c r="DT13" s="179"/>
      <c r="DU13" s="179"/>
      <c r="DV13" s="179"/>
      <c r="DW13" s="179"/>
      <c r="DX13" s="179"/>
      <c r="DY13" s="179"/>
      <c r="DZ13" s="179"/>
      <c r="EA13" s="179"/>
      <c r="EB13" s="179"/>
      <c r="EC13" s="179"/>
      <c r="ED13" s="183"/>
      <c r="EE13" s="183"/>
      <c r="EF13" s="183"/>
      <c r="EG13" s="178"/>
      <c r="EH13" s="178"/>
      <c r="EI13" s="178"/>
      <c r="EJ13" s="178"/>
      <c r="EK13" s="178"/>
      <c r="EL13" s="178"/>
      <c r="EM13" s="178"/>
      <c r="EN13" s="31"/>
      <c r="EO13" s="31"/>
      <c r="EP13" s="31"/>
      <c r="EQ13" s="31"/>
      <c r="EX13" s="572"/>
      <c r="EY13" s="572"/>
      <c r="EZ13" s="568"/>
      <c r="FA13" s="568"/>
      <c r="FB13" s="568"/>
      <c r="FC13" s="568"/>
      <c r="FD13" s="568"/>
      <c r="FE13" s="568"/>
      <c r="FF13" s="568"/>
      <c r="FG13" s="568"/>
      <c r="FH13" s="568"/>
      <c r="FI13" s="568"/>
      <c r="FJ13" s="568"/>
      <c r="FK13" s="568"/>
      <c r="FL13" s="568"/>
      <c r="FM13" s="568"/>
      <c r="FN13" s="568"/>
      <c r="FO13" s="568"/>
      <c r="FP13" s="568"/>
      <c r="FQ13" s="568"/>
      <c r="FR13" s="568"/>
      <c r="FS13" s="568"/>
      <c r="FT13" s="568"/>
      <c r="FU13" s="568"/>
      <c r="FV13" s="568"/>
      <c r="FW13" s="568"/>
      <c r="FX13" s="568"/>
      <c r="FY13" s="568"/>
      <c r="FZ13" s="568"/>
      <c r="GA13" s="568"/>
      <c r="GB13" s="568"/>
      <c r="GC13" s="568"/>
      <c r="GD13" s="568"/>
      <c r="GE13" s="568"/>
      <c r="GF13" s="568"/>
      <c r="GG13" s="568"/>
      <c r="GH13" s="568"/>
      <c r="GI13" s="568"/>
      <c r="GJ13" s="568"/>
      <c r="GK13" s="568"/>
      <c r="GL13" s="568"/>
      <c r="GM13" s="568"/>
      <c r="GN13" s="568"/>
      <c r="GO13" s="568"/>
      <c r="GP13" s="568"/>
      <c r="GQ13" s="568"/>
      <c r="GR13" s="568"/>
      <c r="GS13" s="568"/>
      <c r="GT13" s="568"/>
      <c r="GU13" s="568"/>
      <c r="GV13" s="568"/>
      <c r="GW13" s="568"/>
      <c r="GX13" s="568"/>
      <c r="GY13" s="568"/>
      <c r="GZ13" s="572"/>
      <c r="HA13" s="572"/>
      <c r="HB13" s="575"/>
      <c r="HC13" s="576"/>
      <c r="HD13" s="575"/>
      <c r="HE13" s="576"/>
      <c r="HF13" s="575"/>
      <c r="HG13" s="576"/>
      <c r="HH13" s="575"/>
      <c r="HI13" s="576"/>
      <c r="HJ13" s="575"/>
      <c r="HK13" s="576"/>
      <c r="HL13" s="575"/>
      <c r="HM13" s="576"/>
      <c r="HN13" s="572"/>
      <c r="HO13" s="572"/>
      <c r="HP13" s="572"/>
      <c r="HQ13" s="572"/>
    </row>
    <row r="14" spans="1:225" ht="60" customHeight="1" x14ac:dyDescent="0.4">
      <c r="A14" s="23"/>
      <c r="B14" s="23"/>
      <c r="C14" s="26"/>
      <c r="D14" s="181"/>
      <c r="E14" s="181"/>
      <c r="F14" s="181"/>
      <c r="G14" s="181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8"/>
      <c r="DL14" s="178"/>
      <c r="DM14" s="178"/>
      <c r="DN14" s="178"/>
      <c r="DO14" s="179"/>
      <c r="DP14" s="179"/>
      <c r="DQ14" s="179"/>
      <c r="DR14" s="179"/>
      <c r="DS14" s="179"/>
      <c r="DT14" s="179"/>
      <c r="DU14" s="179"/>
      <c r="DV14" s="179"/>
      <c r="DW14" s="179"/>
      <c r="DX14" s="179"/>
      <c r="DY14" s="179"/>
      <c r="DZ14" s="179"/>
      <c r="EA14" s="179"/>
      <c r="EB14" s="179"/>
      <c r="EC14" s="179"/>
      <c r="ED14" s="183"/>
      <c r="EE14" s="183"/>
      <c r="EF14" s="183"/>
      <c r="EG14" s="178"/>
      <c r="EH14" s="178"/>
      <c r="EI14" s="178"/>
      <c r="EJ14" s="178"/>
      <c r="EK14" s="178"/>
      <c r="EL14" s="178"/>
      <c r="EM14" s="178"/>
      <c r="EN14" s="31"/>
      <c r="EO14" s="31"/>
      <c r="EP14" s="31"/>
      <c r="EQ14" s="31"/>
      <c r="EX14" s="572"/>
      <c r="EY14" s="572"/>
      <c r="EZ14" s="579" t="s">
        <v>270</v>
      </c>
      <c r="FA14" s="580"/>
      <c r="FB14" s="580"/>
      <c r="FC14" s="580"/>
      <c r="FD14" s="581"/>
      <c r="FE14" s="579" t="s">
        <v>271</v>
      </c>
      <c r="FF14" s="580"/>
      <c r="FG14" s="580"/>
      <c r="FH14" s="581"/>
      <c r="FI14" s="579" t="s">
        <v>50</v>
      </c>
      <c r="FJ14" s="580"/>
      <c r="FK14" s="580"/>
      <c r="FL14" s="580"/>
      <c r="FM14" s="581"/>
      <c r="FN14" s="579" t="s">
        <v>51</v>
      </c>
      <c r="FO14" s="580"/>
      <c r="FP14" s="580"/>
      <c r="FQ14" s="581"/>
      <c r="FR14" s="579" t="s">
        <v>52</v>
      </c>
      <c r="FS14" s="580"/>
      <c r="FT14" s="580"/>
      <c r="FU14" s="580"/>
      <c r="FV14" s="581"/>
      <c r="FW14" s="579" t="s">
        <v>53</v>
      </c>
      <c r="FX14" s="580"/>
      <c r="FY14" s="580"/>
      <c r="FZ14" s="581"/>
      <c r="GA14" s="579" t="s">
        <v>54</v>
      </c>
      <c r="GB14" s="580"/>
      <c r="GC14" s="580"/>
      <c r="GD14" s="580"/>
      <c r="GE14" s="581"/>
      <c r="GF14" s="579" t="s">
        <v>55</v>
      </c>
      <c r="GG14" s="580"/>
      <c r="GH14" s="580"/>
      <c r="GI14" s="581"/>
      <c r="GJ14" s="579" t="s">
        <v>56</v>
      </c>
      <c r="GK14" s="580"/>
      <c r="GL14" s="580"/>
      <c r="GM14" s="581"/>
      <c r="GN14" s="579" t="s">
        <v>57</v>
      </c>
      <c r="GO14" s="580"/>
      <c r="GP14" s="580"/>
      <c r="GQ14" s="581"/>
      <c r="GR14" s="579" t="s">
        <v>272</v>
      </c>
      <c r="GS14" s="580"/>
      <c r="GT14" s="580"/>
      <c r="GU14" s="581"/>
      <c r="GV14" s="579" t="s">
        <v>58</v>
      </c>
      <c r="GW14" s="580"/>
      <c r="GX14" s="580"/>
      <c r="GY14" s="581"/>
      <c r="GZ14" s="572"/>
      <c r="HA14" s="572"/>
      <c r="HB14" s="575"/>
      <c r="HC14" s="576"/>
      <c r="HD14" s="575"/>
      <c r="HE14" s="576"/>
      <c r="HF14" s="575"/>
      <c r="HG14" s="576"/>
      <c r="HH14" s="575"/>
      <c r="HI14" s="576"/>
      <c r="HJ14" s="575"/>
      <c r="HK14" s="576"/>
      <c r="HL14" s="575"/>
      <c r="HM14" s="576"/>
      <c r="HN14" s="572"/>
      <c r="HO14" s="572"/>
      <c r="HP14" s="572"/>
      <c r="HQ14" s="572"/>
    </row>
    <row r="15" spans="1:225" ht="60" customHeight="1" x14ac:dyDescent="0.4">
      <c r="A15" s="23"/>
      <c r="B15" s="23"/>
      <c r="C15" s="26"/>
      <c r="D15" s="181"/>
      <c r="E15" s="181"/>
      <c r="F15" s="181"/>
      <c r="G15" s="181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7"/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8"/>
      <c r="DL15" s="178"/>
      <c r="DM15" s="178"/>
      <c r="DN15" s="178"/>
      <c r="DO15" s="179"/>
      <c r="DP15" s="179"/>
      <c r="DQ15" s="179"/>
      <c r="DR15" s="179"/>
      <c r="DS15" s="179"/>
      <c r="DT15" s="179"/>
      <c r="DU15" s="179"/>
      <c r="DV15" s="179"/>
      <c r="DW15" s="179"/>
      <c r="DX15" s="179"/>
      <c r="DY15" s="179"/>
      <c r="DZ15" s="179"/>
      <c r="EA15" s="179"/>
      <c r="EB15" s="179"/>
      <c r="EC15" s="179"/>
      <c r="ED15" s="183"/>
      <c r="EE15" s="183"/>
      <c r="EF15" s="183"/>
      <c r="EG15" s="178"/>
      <c r="EH15" s="178"/>
      <c r="EI15" s="178"/>
      <c r="EJ15" s="178"/>
      <c r="EK15" s="178"/>
      <c r="EL15" s="178"/>
      <c r="EM15" s="178"/>
      <c r="EN15" s="31"/>
      <c r="EO15" s="31"/>
      <c r="EP15" s="31"/>
      <c r="EQ15" s="31"/>
      <c r="EX15" s="572"/>
      <c r="EY15" s="572"/>
      <c r="EZ15" s="202">
        <v>1</v>
      </c>
      <c r="FA15" s="202">
        <v>2</v>
      </c>
      <c r="FB15" s="202">
        <v>3</v>
      </c>
      <c r="FC15" s="202">
        <v>4</v>
      </c>
      <c r="FD15" s="202">
        <v>5</v>
      </c>
      <c r="FE15" s="202">
        <v>6</v>
      </c>
      <c r="FF15" s="202">
        <v>7</v>
      </c>
      <c r="FG15" s="202">
        <v>8</v>
      </c>
      <c r="FH15" s="202">
        <v>9</v>
      </c>
      <c r="FI15" s="202">
        <v>10</v>
      </c>
      <c r="FJ15" s="202">
        <v>11</v>
      </c>
      <c r="FK15" s="202">
        <v>12</v>
      </c>
      <c r="FL15" s="202">
        <v>13</v>
      </c>
      <c r="FM15" s="202">
        <v>14</v>
      </c>
      <c r="FN15" s="202">
        <v>15</v>
      </c>
      <c r="FO15" s="202">
        <v>16</v>
      </c>
      <c r="FP15" s="202">
        <v>17</v>
      </c>
      <c r="FQ15" s="202">
        <v>18</v>
      </c>
      <c r="FR15" s="202">
        <v>19</v>
      </c>
      <c r="FS15" s="202">
        <v>20</v>
      </c>
      <c r="FT15" s="202">
        <v>21</v>
      </c>
      <c r="FU15" s="202">
        <v>22</v>
      </c>
      <c r="FV15" s="202">
        <v>23</v>
      </c>
      <c r="FW15" s="202">
        <v>24</v>
      </c>
      <c r="FX15" s="202">
        <v>25</v>
      </c>
      <c r="FY15" s="202">
        <v>26</v>
      </c>
      <c r="FZ15" s="202">
        <v>27</v>
      </c>
      <c r="GA15" s="202">
        <v>28</v>
      </c>
      <c r="GB15" s="202">
        <v>29</v>
      </c>
      <c r="GC15" s="202">
        <v>30</v>
      </c>
      <c r="GD15" s="202">
        <v>31</v>
      </c>
      <c r="GE15" s="202">
        <v>32</v>
      </c>
      <c r="GF15" s="202">
        <v>33</v>
      </c>
      <c r="GG15" s="202">
        <v>34</v>
      </c>
      <c r="GH15" s="202">
        <v>35</v>
      </c>
      <c r="GI15" s="202">
        <v>36</v>
      </c>
      <c r="GJ15" s="202">
        <v>37</v>
      </c>
      <c r="GK15" s="202">
        <v>38</v>
      </c>
      <c r="GL15" s="202">
        <v>39</v>
      </c>
      <c r="GM15" s="202">
        <v>40</v>
      </c>
      <c r="GN15" s="202">
        <v>41</v>
      </c>
      <c r="GO15" s="202">
        <v>42</v>
      </c>
      <c r="GP15" s="202">
        <v>43</v>
      </c>
      <c r="GQ15" s="202">
        <v>44</v>
      </c>
      <c r="GR15" s="202">
        <v>45</v>
      </c>
      <c r="GS15" s="202">
        <v>46</v>
      </c>
      <c r="GT15" s="202">
        <v>47</v>
      </c>
      <c r="GU15" s="202">
        <v>48</v>
      </c>
      <c r="GV15" s="202">
        <v>49</v>
      </c>
      <c r="GW15" s="202">
        <v>50</v>
      </c>
      <c r="GX15" s="202">
        <v>51</v>
      </c>
      <c r="GY15" s="202">
        <v>52</v>
      </c>
      <c r="GZ15" s="572"/>
      <c r="HA15" s="572"/>
      <c r="HB15" s="577"/>
      <c r="HC15" s="578"/>
      <c r="HD15" s="577"/>
      <c r="HE15" s="578"/>
      <c r="HF15" s="577"/>
      <c r="HG15" s="578"/>
      <c r="HH15" s="577"/>
      <c r="HI15" s="578"/>
      <c r="HJ15" s="577"/>
      <c r="HK15" s="578"/>
      <c r="HL15" s="577"/>
      <c r="HM15" s="578"/>
      <c r="HN15" s="572"/>
      <c r="HO15" s="572"/>
      <c r="HP15" s="572"/>
      <c r="HQ15" s="572"/>
    </row>
    <row r="16" spans="1:225" ht="60" customHeight="1" x14ac:dyDescent="0.4">
      <c r="A16" s="23"/>
      <c r="B16" s="23"/>
      <c r="C16" s="26"/>
      <c r="D16" s="181"/>
      <c r="E16" s="181"/>
      <c r="F16" s="181"/>
      <c r="G16" s="181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  <c r="BD16" s="182"/>
      <c r="BE16" s="182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82"/>
      <c r="BW16" s="182"/>
      <c r="BX16" s="182"/>
      <c r="BY16" s="182"/>
      <c r="BZ16" s="182"/>
      <c r="CA16" s="182"/>
      <c r="CB16" s="182"/>
      <c r="CC16" s="182"/>
      <c r="CD16" s="182"/>
      <c r="CE16" s="182"/>
      <c r="CF16" s="182"/>
      <c r="CG16" s="182"/>
      <c r="CH16" s="182"/>
      <c r="CI16" s="182"/>
      <c r="CJ16" s="182"/>
      <c r="CK16" s="182"/>
      <c r="CL16" s="182"/>
      <c r="CM16" s="182"/>
      <c r="CN16" s="182"/>
      <c r="CO16" s="182"/>
      <c r="CP16" s="182"/>
      <c r="CQ16" s="182"/>
      <c r="CR16" s="182"/>
      <c r="CS16" s="182"/>
      <c r="CT16" s="182"/>
      <c r="CU16" s="182"/>
      <c r="CV16" s="182"/>
      <c r="CW16" s="182"/>
      <c r="CX16" s="182"/>
      <c r="CY16" s="182"/>
      <c r="CZ16" s="182"/>
      <c r="DA16" s="182"/>
      <c r="DB16" s="182"/>
      <c r="DC16" s="182"/>
      <c r="DD16" s="182"/>
      <c r="DE16" s="182"/>
      <c r="DF16" s="182"/>
      <c r="DG16" s="182"/>
      <c r="DH16" s="182"/>
      <c r="DI16" s="182"/>
      <c r="DJ16" s="182"/>
      <c r="DK16" s="178"/>
      <c r="DL16" s="178"/>
      <c r="DM16" s="178"/>
      <c r="DN16" s="178"/>
      <c r="DO16" s="179"/>
      <c r="DP16" s="179"/>
      <c r="DQ16" s="179"/>
      <c r="DR16" s="179"/>
      <c r="DS16" s="179"/>
      <c r="DT16" s="179"/>
      <c r="DU16" s="179"/>
      <c r="DV16" s="179"/>
      <c r="DW16" s="179"/>
      <c r="DX16" s="179"/>
      <c r="DY16" s="179"/>
      <c r="DZ16" s="179"/>
      <c r="EA16" s="179"/>
      <c r="EB16" s="179"/>
      <c r="EC16" s="179"/>
      <c r="ED16" s="183"/>
      <c r="EE16" s="183"/>
      <c r="EF16" s="183"/>
      <c r="EG16" s="178"/>
      <c r="EH16" s="178"/>
      <c r="EI16" s="178"/>
      <c r="EJ16" s="178"/>
      <c r="EK16" s="178"/>
      <c r="EL16" s="178"/>
      <c r="EM16" s="178"/>
      <c r="EN16" s="31"/>
      <c r="EO16" s="31"/>
      <c r="EP16" s="31"/>
      <c r="EQ16" s="31"/>
      <c r="EX16" s="568" t="s">
        <v>0</v>
      </c>
      <c r="EY16" s="568"/>
      <c r="EZ16" s="201"/>
      <c r="FA16" s="201"/>
      <c r="FB16" s="201"/>
      <c r="FC16" s="201"/>
      <c r="FD16" s="201"/>
      <c r="FE16" s="201"/>
      <c r="FF16" s="201"/>
      <c r="FG16" s="201"/>
      <c r="FH16" s="201"/>
      <c r="FI16" s="201"/>
      <c r="FJ16" s="201"/>
      <c r="FK16" s="201"/>
      <c r="FL16" s="201"/>
      <c r="FM16" s="201"/>
      <c r="FN16" s="201"/>
      <c r="FO16" s="201"/>
      <c r="FP16" s="201" t="s">
        <v>59</v>
      </c>
      <c r="FQ16" s="201" t="s">
        <v>59</v>
      </c>
      <c r="FR16" s="201" t="s">
        <v>49</v>
      </c>
      <c r="FS16" s="201" t="s">
        <v>116</v>
      </c>
      <c r="FT16" s="201" t="s">
        <v>116</v>
      </c>
      <c r="FU16" s="201" t="s">
        <v>116</v>
      </c>
      <c r="FV16" s="201" t="s">
        <v>60</v>
      </c>
      <c r="FW16" s="201" t="s">
        <v>60</v>
      </c>
      <c r="FX16" s="201"/>
      <c r="FY16" s="201"/>
      <c r="FZ16" s="201"/>
      <c r="GA16" s="201"/>
      <c r="GB16" s="201"/>
      <c r="GC16" s="201"/>
      <c r="GD16" s="201"/>
      <c r="GE16" s="201"/>
      <c r="GF16" s="201"/>
      <c r="GG16" s="201"/>
      <c r="GH16" s="201"/>
      <c r="GI16" s="201"/>
      <c r="GJ16" s="201"/>
      <c r="GK16" s="201"/>
      <c r="GL16" s="201"/>
      <c r="GM16" s="201"/>
      <c r="GN16" s="201" t="s">
        <v>116</v>
      </c>
      <c r="GO16" s="201" t="s">
        <v>116</v>
      </c>
      <c r="GP16" s="201" t="s">
        <v>116</v>
      </c>
      <c r="GQ16" s="201" t="s">
        <v>60</v>
      </c>
      <c r="GR16" s="201" t="s">
        <v>60</v>
      </c>
      <c r="GS16" s="201"/>
      <c r="GT16" s="201"/>
      <c r="GU16" s="201"/>
      <c r="GV16" s="201"/>
      <c r="GW16" s="201"/>
      <c r="GX16" s="201"/>
      <c r="GY16" s="201"/>
      <c r="GZ16" s="569">
        <f>SUM(HB16:HM16)</f>
        <v>11</v>
      </c>
      <c r="HA16" s="570"/>
      <c r="HB16" s="569">
        <v>6</v>
      </c>
      <c r="HC16" s="570"/>
      <c r="HD16" s="569">
        <v>4</v>
      </c>
      <c r="HE16" s="570"/>
      <c r="HF16" s="569">
        <v>1</v>
      </c>
      <c r="HG16" s="570"/>
      <c r="HH16" s="569">
        <v>0</v>
      </c>
      <c r="HI16" s="570"/>
      <c r="HJ16" s="569">
        <v>0</v>
      </c>
      <c r="HK16" s="570"/>
      <c r="HL16" s="569">
        <v>0</v>
      </c>
      <c r="HM16" s="570"/>
      <c r="HN16" s="569">
        <v>41</v>
      </c>
      <c r="HO16" s="570"/>
      <c r="HP16" s="571">
        <f>GZ16+HN16</f>
        <v>52</v>
      </c>
      <c r="HQ16" s="571"/>
    </row>
    <row r="17" spans="1:225" ht="60" customHeight="1" x14ac:dyDescent="0.4">
      <c r="A17" s="23"/>
      <c r="B17" s="23"/>
      <c r="C17" s="26"/>
      <c r="D17" s="182"/>
      <c r="E17" s="182"/>
      <c r="F17" s="182"/>
      <c r="G17" s="182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7"/>
      <c r="CC17" s="177"/>
      <c r="CD17" s="177"/>
      <c r="CE17" s="177"/>
      <c r="CF17" s="177"/>
      <c r="CG17" s="177"/>
      <c r="CH17" s="177"/>
      <c r="CI17" s="177"/>
      <c r="CJ17" s="177"/>
      <c r="CK17" s="177"/>
      <c r="CL17" s="177"/>
      <c r="CM17" s="177"/>
      <c r="CN17" s="177"/>
      <c r="CO17" s="177"/>
      <c r="CP17" s="177"/>
      <c r="CQ17" s="177"/>
      <c r="CR17" s="177"/>
      <c r="CS17" s="177"/>
      <c r="CT17" s="177"/>
      <c r="CU17" s="177"/>
      <c r="CV17" s="177"/>
      <c r="CW17" s="177"/>
      <c r="CX17" s="177"/>
      <c r="CY17" s="177"/>
      <c r="CZ17" s="177"/>
      <c r="DA17" s="177"/>
      <c r="DB17" s="177"/>
      <c r="DC17" s="177"/>
      <c r="DD17" s="177"/>
      <c r="DE17" s="177"/>
      <c r="DF17" s="177"/>
      <c r="DG17" s="177"/>
      <c r="DH17" s="177"/>
      <c r="DI17" s="177"/>
      <c r="DJ17" s="177"/>
      <c r="DK17" s="182"/>
      <c r="DL17" s="182"/>
      <c r="DM17" s="182"/>
      <c r="DN17" s="182"/>
      <c r="DO17" s="184"/>
      <c r="DP17" s="184"/>
      <c r="DQ17" s="184"/>
      <c r="DR17" s="184"/>
      <c r="DS17" s="184"/>
      <c r="DT17" s="184"/>
      <c r="DU17" s="184"/>
      <c r="DV17" s="184"/>
      <c r="DW17" s="184"/>
      <c r="DX17" s="184"/>
      <c r="DY17" s="184"/>
      <c r="DZ17" s="184"/>
      <c r="EA17" s="184"/>
      <c r="EB17" s="184"/>
      <c r="EC17" s="184"/>
      <c r="ED17" s="184"/>
      <c r="EE17" s="184"/>
      <c r="EF17" s="184"/>
      <c r="EG17" s="184"/>
      <c r="EH17" s="184"/>
      <c r="EI17" s="184"/>
      <c r="EJ17" s="177"/>
      <c r="EK17" s="177"/>
      <c r="EL17" s="177"/>
      <c r="EM17" s="177"/>
      <c r="EN17" s="31"/>
      <c r="EO17" s="31"/>
      <c r="EP17" s="31"/>
      <c r="EQ17" s="31"/>
      <c r="EX17" s="568" t="s">
        <v>1</v>
      </c>
      <c r="EY17" s="568"/>
      <c r="EZ17" s="201"/>
      <c r="FA17" s="201"/>
      <c r="FB17" s="201"/>
      <c r="FC17" s="201"/>
      <c r="FD17" s="201"/>
      <c r="FE17" s="201"/>
      <c r="FF17" s="201"/>
      <c r="FG17" s="201"/>
      <c r="FH17" s="201"/>
      <c r="FI17" s="201"/>
      <c r="FJ17" s="201"/>
      <c r="FK17" s="201"/>
      <c r="FL17" s="201" t="s">
        <v>49</v>
      </c>
      <c r="FM17" s="201" t="s">
        <v>116</v>
      </c>
      <c r="FN17" s="201" t="s">
        <v>116</v>
      </c>
      <c r="FO17" s="201" t="s">
        <v>116</v>
      </c>
      <c r="FP17" s="201" t="s">
        <v>59</v>
      </c>
      <c r="FQ17" s="201" t="s">
        <v>59</v>
      </c>
      <c r="FR17" s="201" t="s">
        <v>60</v>
      </c>
      <c r="FS17" s="201"/>
      <c r="FT17" s="201"/>
      <c r="FU17" s="201"/>
      <c r="FV17" s="201"/>
      <c r="FW17" s="201"/>
      <c r="FX17" s="201"/>
      <c r="FY17" s="201"/>
      <c r="FZ17" s="201"/>
      <c r="GA17" s="201"/>
      <c r="GB17" s="201"/>
      <c r="GC17" s="201"/>
      <c r="GD17" s="201"/>
      <c r="GE17" s="201"/>
      <c r="GF17" s="201"/>
      <c r="GG17" s="201"/>
      <c r="GH17" s="201"/>
      <c r="GI17" s="201"/>
      <c r="GJ17" s="201"/>
      <c r="GK17" s="201" t="s">
        <v>116</v>
      </c>
      <c r="GL17" s="201" t="s">
        <v>116</v>
      </c>
      <c r="GM17" s="201" t="s">
        <v>116</v>
      </c>
      <c r="GN17" s="201" t="s">
        <v>60</v>
      </c>
      <c r="GO17" s="201" t="s">
        <v>61</v>
      </c>
      <c r="GP17" s="201" t="s">
        <v>61</v>
      </c>
      <c r="GQ17" s="201" t="s">
        <v>61</v>
      </c>
      <c r="GR17" s="201" t="s">
        <v>61</v>
      </c>
      <c r="GS17" s="201"/>
      <c r="GT17" s="201"/>
      <c r="GU17" s="201"/>
      <c r="GV17" s="201"/>
      <c r="GW17" s="201"/>
      <c r="GX17" s="201"/>
      <c r="GY17" s="201"/>
      <c r="GZ17" s="569">
        <f>SUM(HB17:HM17)</f>
        <v>16</v>
      </c>
      <c r="HA17" s="570"/>
      <c r="HB17" s="569">
        <v>6</v>
      </c>
      <c r="HC17" s="570"/>
      <c r="HD17" s="569">
        <v>4</v>
      </c>
      <c r="HE17" s="570"/>
      <c r="HF17" s="569">
        <v>1</v>
      </c>
      <c r="HG17" s="570"/>
      <c r="HH17" s="569">
        <v>5</v>
      </c>
      <c r="HI17" s="570"/>
      <c r="HJ17" s="569">
        <v>0</v>
      </c>
      <c r="HK17" s="570"/>
      <c r="HL17" s="569">
        <v>0</v>
      </c>
      <c r="HM17" s="570"/>
      <c r="HN17" s="569">
        <v>12</v>
      </c>
      <c r="HO17" s="570"/>
      <c r="HP17" s="571">
        <f>GZ17+HN17</f>
        <v>28</v>
      </c>
      <c r="HQ17" s="571"/>
    </row>
    <row r="18" spans="1:225" ht="60" customHeight="1" x14ac:dyDescent="0.4">
      <c r="A18" s="23"/>
      <c r="B18" s="23"/>
      <c r="C18" s="26"/>
      <c r="D18" s="182"/>
      <c r="E18" s="182"/>
      <c r="F18" s="182"/>
      <c r="G18" s="182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7"/>
      <c r="CC18" s="177"/>
      <c r="CD18" s="177"/>
      <c r="CE18" s="177"/>
      <c r="CF18" s="177"/>
      <c r="CG18" s="177"/>
      <c r="CH18" s="177"/>
      <c r="CI18" s="177"/>
      <c r="CJ18" s="177"/>
      <c r="CK18" s="177"/>
      <c r="CL18" s="177"/>
      <c r="CM18" s="177"/>
      <c r="CN18" s="177"/>
      <c r="CO18" s="177"/>
      <c r="CP18" s="177"/>
      <c r="CQ18" s="177"/>
      <c r="CR18" s="177"/>
      <c r="CS18" s="177"/>
      <c r="CT18" s="177"/>
      <c r="CU18" s="177"/>
      <c r="CV18" s="177"/>
      <c r="CW18" s="177"/>
      <c r="CX18" s="177"/>
      <c r="CY18" s="177"/>
      <c r="CZ18" s="177"/>
      <c r="DA18" s="177"/>
      <c r="DB18" s="177"/>
      <c r="DC18" s="177"/>
      <c r="DD18" s="177"/>
      <c r="DE18" s="177"/>
      <c r="DF18" s="177"/>
      <c r="DG18" s="177"/>
      <c r="DH18" s="177"/>
      <c r="DI18" s="177"/>
      <c r="DJ18" s="177"/>
      <c r="DK18" s="182"/>
      <c r="DL18" s="182"/>
      <c r="DM18" s="182"/>
      <c r="DN18" s="182"/>
      <c r="DO18" s="184"/>
      <c r="DP18" s="184"/>
      <c r="DQ18" s="184"/>
      <c r="DR18" s="184"/>
      <c r="DS18" s="184"/>
      <c r="DT18" s="184"/>
      <c r="DU18" s="184"/>
      <c r="DV18" s="184"/>
      <c r="DW18" s="184"/>
      <c r="DX18" s="184"/>
      <c r="DY18" s="184"/>
      <c r="DZ18" s="184"/>
      <c r="EA18" s="184"/>
      <c r="EB18" s="184"/>
      <c r="EC18" s="184"/>
      <c r="ED18" s="184"/>
      <c r="EE18" s="184"/>
      <c r="EF18" s="184"/>
      <c r="EG18" s="184"/>
      <c r="EH18" s="184"/>
      <c r="EI18" s="184"/>
      <c r="EJ18" s="177"/>
      <c r="EK18" s="177"/>
      <c r="EL18" s="177"/>
      <c r="EM18" s="177"/>
      <c r="EN18" s="31"/>
      <c r="EO18" s="31"/>
      <c r="EP18" s="31"/>
      <c r="EQ18" s="31"/>
      <c r="EX18" s="568" t="s">
        <v>2</v>
      </c>
      <c r="EY18" s="568"/>
      <c r="EZ18" s="201"/>
      <c r="FA18" s="201"/>
      <c r="FB18" s="201"/>
      <c r="FC18" s="201"/>
      <c r="FD18" s="201"/>
      <c r="FE18" s="201"/>
      <c r="FF18" s="201"/>
      <c r="FG18" s="201"/>
      <c r="FH18" s="201"/>
      <c r="FI18" s="201"/>
      <c r="FJ18" s="201"/>
      <c r="FK18" s="201"/>
      <c r="FL18" s="201" t="s">
        <v>49</v>
      </c>
      <c r="FM18" s="201" t="s">
        <v>116</v>
      </c>
      <c r="FN18" s="201" t="s">
        <v>116</v>
      </c>
      <c r="FO18" s="201" t="s">
        <v>116</v>
      </c>
      <c r="FP18" s="201" t="s">
        <v>59</v>
      </c>
      <c r="FQ18" s="201" t="s">
        <v>59</v>
      </c>
      <c r="FR18" s="201" t="s">
        <v>60</v>
      </c>
      <c r="FS18" s="201"/>
      <c r="FT18" s="201"/>
      <c r="FU18" s="201"/>
      <c r="FV18" s="201"/>
      <c r="FW18" s="201"/>
      <c r="FX18" s="201"/>
      <c r="FY18" s="201"/>
      <c r="FZ18" s="201"/>
      <c r="GA18" s="201"/>
      <c r="GB18" s="201"/>
      <c r="GC18" s="201"/>
      <c r="GD18" s="201"/>
      <c r="GE18" s="201"/>
      <c r="GF18" s="201"/>
      <c r="GG18" s="201"/>
      <c r="GH18" s="201"/>
      <c r="GI18" s="201"/>
      <c r="GJ18" s="201"/>
      <c r="GK18" s="201" t="s">
        <v>116</v>
      </c>
      <c r="GL18" s="201" t="s">
        <v>116</v>
      </c>
      <c r="GM18" s="201" t="s">
        <v>116</v>
      </c>
      <c r="GN18" s="201" t="s">
        <v>60</v>
      </c>
      <c r="GO18" s="201" t="s">
        <v>61</v>
      </c>
      <c r="GP18" s="201" t="s">
        <v>61</v>
      </c>
      <c r="GQ18" s="201"/>
      <c r="GR18" s="201"/>
      <c r="GS18" s="201"/>
      <c r="GT18" s="201"/>
      <c r="GU18" s="201"/>
      <c r="GV18" s="201"/>
      <c r="GW18" s="201"/>
      <c r="GX18" s="201"/>
      <c r="GY18" s="201"/>
      <c r="GZ18" s="569">
        <f>SUM(HB18:HM18)</f>
        <v>16</v>
      </c>
      <c r="HA18" s="570"/>
      <c r="HB18" s="569">
        <v>6</v>
      </c>
      <c r="HC18" s="570"/>
      <c r="HD18" s="569">
        <v>4</v>
      </c>
      <c r="HE18" s="570"/>
      <c r="HF18" s="569">
        <v>1</v>
      </c>
      <c r="HG18" s="570"/>
      <c r="HH18" s="569">
        <v>5</v>
      </c>
      <c r="HI18" s="570"/>
      <c r="HJ18" s="569">
        <v>0</v>
      </c>
      <c r="HK18" s="570"/>
      <c r="HL18" s="569">
        <v>0</v>
      </c>
      <c r="HM18" s="570"/>
      <c r="HN18" s="569">
        <v>12</v>
      </c>
      <c r="HO18" s="570"/>
      <c r="HP18" s="571">
        <f>GZ18+HN18</f>
        <v>28</v>
      </c>
      <c r="HQ18" s="571"/>
    </row>
    <row r="19" spans="1:225" ht="60" customHeight="1" x14ac:dyDescent="0.4">
      <c r="A19" s="23"/>
      <c r="B19" s="23"/>
      <c r="C19" s="26"/>
      <c r="D19" s="182"/>
      <c r="E19" s="182"/>
      <c r="F19" s="182"/>
      <c r="G19" s="182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/>
      <c r="CG19" s="177"/>
      <c r="CH19" s="177"/>
      <c r="CI19" s="177"/>
      <c r="CJ19" s="177"/>
      <c r="CK19" s="177"/>
      <c r="CL19" s="177"/>
      <c r="CM19" s="177"/>
      <c r="CN19" s="177"/>
      <c r="CO19" s="177"/>
      <c r="CP19" s="177"/>
      <c r="CQ19" s="177"/>
      <c r="CR19" s="177"/>
      <c r="CS19" s="177"/>
      <c r="CT19" s="177"/>
      <c r="CU19" s="177"/>
      <c r="CV19" s="177"/>
      <c r="CW19" s="177"/>
      <c r="CX19" s="177"/>
      <c r="CY19" s="177"/>
      <c r="CZ19" s="177"/>
      <c r="DA19" s="177"/>
      <c r="DB19" s="177"/>
      <c r="DC19" s="177"/>
      <c r="DD19" s="177"/>
      <c r="DE19" s="177"/>
      <c r="DF19" s="177"/>
      <c r="DG19" s="177"/>
      <c r="DH19" s="177"/>
      <c r="DI19" s="177"/>
      <c r="DJ19" s="177"/>
      <c r="DK19" s="182"/>
      <c r="DL19" s="182"/>
      <c r="DM19" s="182"/>
      <c r="DN19" s="182"/>
      <c r="DO19" s="184"/>
      <c r="DP19" s="184"/>
      <c r="DQ19" s="184"/>
      <c r="DR19" s="184"/>
      <c r="DS19" s="184"/>
      <c r="DT19" s="184"/>
      <c r="DU19" s="184"/>
      <c r="DV19" s="184"/>
      <c r="DW19" s="184"/>
      <c r="DX19" s="184"/>
      <c r="DY19" s="184"/>
      <c r="DZ19" s="184"/>
      <c r="EA19" s="184"/>
      <c r="EB19" s="184"/>
      <c r="EC19" s="184"/>
      <c r="ED19" s="184"/>
      <c r="EE19" s="184"/>
      <c r="EF19" s="184"/>
      <c r="EG19" s="184"/>
      <c r="EH19" s="184"/>
      <c r="EI19" s="184"/>
      <c r="EJ19" s="177"/>
      <c r="EK19" s="177"/>
      <c r="EL19" s="177"/>
      <c r="EM19" s="177"/>
      <c r="EN19" s="31"/>
      <c r="EO19" s="31"/>
      <c r="EP19" s="31"/>
      <c r="EQ19" s="31"/>
      <c r="EX19" s="568" t="s">
        <v>3</v>
      </c>
      <c r="EY19" s="568"/>
      <c r="EZ19" s="201"/>
      <c r="FA19" s="201"/>
      <c r="FB19" s="201"/>
      <c r="FC19" s="201"/>
      <c r="FD19" s="201"/>
      <c r="FE19" s="201"/>
      <c r="FF19" s="201"/>
      <c r="FG19" s="201"/>
      <c r="FH19" s="201"/>
      <c r="FI19" s="201"/>
      <c r="FJ19" s="201"/>
      <c r="FK19" s="201"/>
      <c r="FL19" s="201" t="s">
        <v>49</v>
      </c>
      <c r="FM19" s="201" t="s">
        <v>116</v>
      </c>
      <c r="FN19" s="201" t="s">
        <v>116</v>
      </c>
      <c r="FO19" s="201" t="s">
        <v>116</v>
      </c>
      <c r="FP19" s="201" t="s">
        <v>59</v>
      </c>
      <c r="FQ19" s="201" t="s">
        <v>59</v>
      </c>
      <c r="FR19" s="201" t="s">
        <v>60</v>
      </c>
      <c r="FS19" s="201"/>
      <c r="FT19" s="201"/>
      <c r="FU19" s="201"/>
      <c r="FV19" s="201"/>
      <c r="FW19" s="201"/>
      <c r="FX19" s="201"/>
      <c r="FY19" s="201"/>
      <c r="FZ19" s="201"/>
      <c r="GA19" s="201"/>
      <c r="GB19" s="201"/>
      <c r="GC19" s="201"/>
      <c r="GD19" s="201"/>
      <c r="GE19" s="201"/>
      <c r="GF19" s="201"/>
      <c r="GG19" s="201"/>
      <c r="GH19" s="201"/>
      <c r="GI19" s="201"/>
      <c r="GJ19" s="201"/>
      <c r="GK19" s="201" t="s">
        <v>116</v>
      </c>
      <c r="GL19" s="201" t="s">
        <v>116</v>
      </c>
      <c r="GM19" s="201" t="s">
        <v>116</v>
      </c>
      <c r="GN19" s="201" t="s">
        <v>60</v>
      </c>
      <c r="GO19" s="201" t="s">
        <v>61</v>
      </c>
      <c r="GP19" s="201" t="s">
        <v>61</v>
      </c>
      <c r="GQ19" s="201" t="s">
        <v>61</v>
      </c>
      <c r="GR19" s="201" t="s">
        <v>61</v>
      </c>
      <c r="GS19" s="201"/>
      <c r="GT19" s="201"/>
      <c r="GU19" s="201"/>
      <c r="GV19" s="201"/>
      <c r="GW19" s="201"/>
      <c r="GX19" s="201"/>
      <c r="GY19" s="201"/>
      <c r="GZ19" s="569">
        <f>SUM(HB19:HM19)</f>
        <v>18</v>
      </c>
      <c r="HA19" s="570"/>
      <c r="HB19" s="569">
        <v>6</v>
      </c>
      <c r="HC19" s="570"/>
      <c r="HD19" s="569">
        <v>4</v>
      </c>
      <c r="HE19" s="570"/>
      <c r="HF19" s="569">
        <v>1</v>
      </c>
      <c r="HG19" s="570"/>
      <c r="HH19" s="569">
        <v>7</v>
      </c>
      <c r="HI19" s="570"/>
      <c r="HJ19" s="569">
        <v>0</v>
      </c>
      <c r="HK19" s="570"/>
      <c r="HL19" s="569">
        <v>0</v>
      </c>
      <c r="HM19" s="570"/>
      <c r="HN19" s="569">
        <v>7</v>
      </c>
      <c r="HO19" s="570"/>
      <c r="HP19" s="571">
        <f>GZ19+HN19</f>
        <v>25</v>
      </c>
      <c r="HQ19" s="571"/>
    </row>
    <row r="20" spans="1:225" ht="60" customHeight="1" x14ac:dyDescent="0.4">
      <c r="A20" s="23"/>
      <c r="B20" s="23"/>
      <c r="C20" s="26"/>
      <c r="D20" s="182"/>
      <c r="E20" s="182"/>
      <c r="F20" s="182"/>
      <c r="G20" s="182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7"/>
      <c r="CA20" s="177"/>
      <c r="CB20" s="177"/>
      <c r="CC20" s="177"/>
      <c r="CD20" s="177"/>
      <c r="CE20" s="177"/>
      <c r="CF20" s="177"/>
      <c r="CG20" s="177"/>
      <c r="CH20" s="177"/>
      <c r="CI20" s="177"/>
      <c r="CJ20" s="177"/>
      <c r="CK20" s="177"/>
      <c r="CL20" s="177"/>
      <c r="CM20" s="172"/>
      <c r="CN20" s="172"/>
      <c r="CO20" s="172"/>
      <c r="CP20" s="172"/>
      <c r="CQ20" s="177"/>
      <c r="CR20" s="177"/>
      <c r="CS20" s="177"/>
      <c r="CT20" s="177"/>
      <c r="CU20" s="177"/>
      <c r="CV20" s="177"/>
      <c r="CW20" s="177"/>
      <c r="CX20" s="177"/>
      <c r="CY20" s="177"/>
      <c r="CZ20" s="177"/>
      <c r="DA20" s="177"/>
      <c r="DB20" s="177"/>
      <c r="DC20" s="177"/>
      <c r="DD20" s="177"/>
      <c r="DE20" s="177"/>
      <c r="DF20" s="177"/>
      <c r="DG20" s="177"/>
      <c r="DH20" s="177"/>
      <c r="DI20" s="177"/>
      <c r="DJ20" s="177"/>
      <c r="DK20" s="182"/>
      <c r="DL20" s="182"/>
      <c r="DM20" s="182"/>
      <c r="DN20" s="182"/>
      <c r="DO20" s="184"/>
      <c r="DP20" s="184"/>
      <c r="DQ20" s="184"/>
      <c r="DR20" s="184"/>
      <c r="DS20" s="184"/>
      <c r="DT20" s="184"/>
      <c r="DU20" s="184"/>
      <c r="DV20" s="184"/>
      <c r="DW20" s="184"/>
      <c r="DX20" s="184"/>
      <c r="DY20" s="184"/>
      <c r="DZ20" s="184"/>
      <c r="EA20" s="184"/>
      <c r="EB20" s="184"/>
      <c r="EC20" s="184"/>
      <c r="ED20" s="184"/>
      <c r="EE20" s="184"/>
      <c r="EF20" s="184"/>
      <c r="EG20" s="184"/>
      <c r="EH20" s="184"/>
      <c r="EI20" s="184"/>
      <c r="EJ20" s="177"/>
      <c r="EK20" s="177"/>
      <c r="EL20" s="177"/>
      <c r="EM20" s="177"/>
      <c r="EN20" s="31"/>
      <c r="EO20" s="31"/>
      <c r="EP20" s="31"/>
      <c r="EQ20" s="31"/>
      <c r="EX20" s="568" t="s">
        <v>117</v>
      </c>
      <c r="EY20" s="568"/>
      <c r="EZ20" s="201"/>
      <c r="FA20" s="201"/>
      <c r="FB20" s="201"/>
      <c r="FC20" s="201"/>
      <c r="FD20" s="201"/>
      <c r="FE20" s="201"/>
      <c r="FF20" s="201"/>
      <c r="FG20" s="201" t="s">
        <v>49</v>
      </c>
      <c r="FH20" s="201" t="s">
        <v>116</v>
      </c>
      <c r="FI20" s="201" t="s">
        <v>116</v>
      </c>
      <c r="FJ20" s="201" t="s">
        <v>116</v>
      </c>
      <c r="FK20" s="201" t="s">
        <v>60</v>
      </c>
      <c r="FL20" s="201" t="s">
        <v>61</v>
      </c>
      <c r="FM20" s="201" t="s">
        <v>61</v>
      </c>
      <c r="FN20" s="201"/>
      <c r="FO20" s="201"/>
      <c r="FP20" s="201" t="s">
        <v>59</v>
      </c>
      <c r="FQ20" s="201" t="s">
        <v>59</v>
      </c>
      <c r="FR20" s="201"/>
      <c r="FS20" s="201"/>
      <c r="FT20" s="201"/>
      <c r="FU20" s="201"/>
      <c r="FV20" s="201"/>
      <c r="FW20" s="201"/>
      <c r="FX20" s="201"/>
      <c r="FY20" s="201"/>
      <c r="FZ20" s="201"/>
      <c r="GA20" s="201"/>
      <c r="GB20" s="201"/>
      <c r="GC20" s="201"/>
      <c r="GD20" s="201"/>
      <c r="GE20" s="201" t="s">
        <v>116</v>
      </c>
      <c r="GF20" s="201" t="s">
        <v>116</v>
      </c>
      <c r="GG20" s="201" t="s">
        <v>116</v>
      </c>
      <c r="GH20" s="201" t="s">
        <v>60</v>
      </c>
      <c r="GI20" s="201" t="s">
        <v>61</v>
      </c>
      <c r="GJ20" s="201" t="s">
        <v>61</v>
      </c>
      <c r="GK20" s="201" t="s">
        <v>61</v>
      </c>
      <c r="GL20" s="201" t="s">
        <v>61</v>
      </c>
      <c r="GM20" s="201" t="s">
        <v>18</v>
      </c>
      <c r="GN20" s="201" t="s">
        <v>18</v>
      </c>
      <c r="GO20" s="201" t="s">
        <v>18</v>
      </c>
      <c r="GP20" s="201" t="s">
        <v>18</v>
      </c>
      <c r="GQ20" s="201"/>
      <c r="GR20" s="201"/>
      <c r="GS20" s="201"/>
      <c r="GT20" s="201"/>
      <c r="GU20" s="201"/>
      <c r="GV20" s="201"/>
      <c r="GW20" s="201"/>
      <c r="GX20" s="201"/>
      <c r="GY20" s="201"/>
      <c r="GZ20" s="569">
        <f>SUM(HB20:HM20)</f>
        <v>20</v>
      </c>
      <c r="HA20" s="570"/>
      <c r="HB20" s="569">
        <v>6</v>
      </c>
      <c r="HC20" s="570"/>
      <c r="HD20" s="569">
        <v>4</v>
      </c>
      <c r="HE20" s="570"/>
      <c r="HF20" s="569">
        <v>1</v>
      </c>
      <c r="HG20" s="570"/>
      <c r="HH20" s="569">
        <v>7</v>
      </c>
      <c r="HI20" s="570"/>
      <c r="HJ20" s="569">
        <v>2</v>
      </c>
      <c r="HK20" s="570"/>
      <c r="HL20" s="569">
        <v>0</v>
      </c>
      <c r="HM20" s="570"/>
      <c r="HN20" s="569">
        <v>7</v>
      </c>
      <c r="HO20" s="570"/>
      <c r="HP20" s="571">
        <f>GZ20+HN20</f>
        <v>27</v>
      </c>
      <c r="HQ20" s="571"/>
    </row>
    <row r="21" spans="1:225" ht="60" customHeight="1" x14ac:dyDescent="0.65">
      <c r="A21" s="23"/>
      <c r="B21" s="23"/>
      <c r="C21" s="26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182"/>
      <c r="AR21" s="182"/>
      <c r="AS21" s="182"/>
      <c r="AT21" s="182"/>
      <c r="AU21" s="182"/>
      <c r="AV21" s="182"/>
      <c r="AW21" s="182"/>
      <c r="AX21" s="182"/>
      <c r="AY21" s="182"/>
      <c r="AZ21" s="182"/>
      <c r="BA21" s="182"/>
      <c r="BB21" s="182"/>
      <c r="BC21" s="182"/>
      <c r="BD21" s="182"/>
      <c r="BE21" s="182"/>
      <c r="BF21" s="182"/>
      <c r="BG21" s="182"/>
      <c r="BH21" s="182"/>
      <c r="BI21" s="182"/>
      <c r="BJ21" s="182"/>
      <c r="BK21" s="182"/>
      <c r="BL21" s="182"/>
      <c r="BM21" s="182"/>
      <c r="BN21" s="182"/>
      <c r="BO21" s="182"/>
      <c r="BP21" s="182"/>
      <c r="BQ21" s="182"/>
      <c r="BR21" s="182"/>
      <c r="BS21" s="182"/>
      <c r="BT21" s="182"/>
      <c r="BU21" s="182"/>
      <c r="BV21" s="182"/>
      <c r="BW21" s="182"/>
      <c r="BX21" s="182"/>
      <c r="BY21" s="182"/>
      <c r="BZ21" s="182"/>
      <c r="CA21" s="182"/>
      <c r="CB21" s="182"/>
      <c r="CC21" s="182"/>
      <c r="CD21" s="182"/>
      <c r="CE21" s="182"/>
      <c r="CF21" s="182"/>
      <c r="CG21" s="182"/>
      <c r="CH21" s="182"/>
      <c r="CI21" s="182"/>
      <c r="CJ21" s="182"/>
      <c r="CK21" s="182"/>
      <c r="CL21" s="182"/>
      <c r="CM21" s="182"/>
      <c r="CN21" s="182"/>
      <c r="CO21" s="182"/>
      <c r="CP21" s="182"/>
      <c r="CQ21" s="182"/>
      <c r="CR21" s="182"/>
      <c r="CS21" s="182"/>
      <c r="CT21" s="182"/>
      <c r="CU21" s="182"/>
      <c r="CV21" s="182"/>
      <c r="CW21" s="182"/>
      <c r="CX21" s="182"/>
      <c r="CY21" s="182"/>
      <c r="CZ21" s="182"/>
      <c r="DA21" s="182"/>
      <c r="DB21" s="182"/>
      <c r="DC21" s="182"/>
      <c r="DD21" s="182"/>
      <c r="DE21" s="182"/>
      <c r="DF21" s="182"/>
      <c r="DG21" s="182"/>
      <c r="DH21" s="182"/>
      <c r="DI21" s="182"/>
      <c r="DJ21" s="182"/>
      <c r="DK21" s="182"/>
      <c r="DL21" s="182"/>
      <c r="DM21" s="182"/>
      <c r="DN21" s="182"/>
      <c r="DO21" s="182"/>
      <c r="DP21" s="182"/>
      <c r="DQ21" s="182"/>
      <c r="DR21" s="182"/>
      <c r="DS21" s="182"/>
      <c r="DT21" s="182"/>
      <c r="DU21" s="182"/>
      <c r="DV21" s="182"/>
      <c r="DW21" s="182"/>
      <c r="DX21" s="182"/>
      <c r="DY21" s="182"/>
      <c r="DZ21" s="182"/>
      <c r="EA21" s="182"/>
      <c r="EB21" s="182"/>
      <c r="EC21" s="182"/>
      <c r="ED21" s="182"/>
      <c r="EE21" s="182"/>
      <c r="EF21" s="182"/>
      <c r="EG21" s="182"/>
      <c r="EH21" s="182"/>
      <c r="EI21" s="182"/>
      <c r="EJ21" s="177"/>
      <c r="EK21" s="177"/>
      <c r="EL21" s="177"/>
      <c r="EM21" s="177"/>
      <c r="EN21" s="31"/>
      <c r="EO21" s="31"/>
      <c r="EP21" s="31"/>
      <c r="EQ21" s="31"/>
      <c r="EX21" s="582" t="s">
        <v>24</v>
      </c>
      <c r="EY21" s="583"/>
      <c r="EZ21" s="583"/>
      <c r="FA21" s="583"/>
      <c r="FB21" s="583"/>
      <c r="FC21" s="583"/>
      <c r="FD21" s="583"/>
      <c r="FE21" s="583"/>
      <c r="FF21" s="583"/>
      <c r="FG21" s="583"/>
      <c r="FH21" s="583"/>
      <c r="FI21" s="583"/>
      <c r="FJ21" s="583"/>
      <c r="FK21" s="583"/>
      <c r="FL21" s="583"/>
      <c r="FM21" s="583"/>
      <c r="FN21" s="583"/>
      <c r="FO21" s="583"/>
      <c r="FP21" s="583"/>
      <c r="FQ21" s="583"/>
      <c r="FR21" s="583"/>
      <c r="FS21" s="583"/>
      <c r="FT21" s="583"/>
      <c r="FU21" s="583"/>
      <c r="FV21" s="583"/>
      <c r="FW21" s="583"/>
      <c r="FX21" s="583"/>
      <c r="FY21" s="583"/>
      <c r="FZ21" s="583"/>
      <c r="GA21" s="583"/>
      <c r="GB21" s="583"/>
      <c r="GC21" s="583"/>
      <c r="GD21" s="583"/>
      <c r="GE21" s="583"/>
      <c r="GF21" s="583"/>
      <c r="GG21" s="583"/>
      <c r="GH21" s="583"/>
      <c r="GI21" s="583"/>
      <c r="GJ21" s="583"/>
      <c r="GK21" s="583"/>
      <c r="GL21" s="583"/>
      <c r="GM21" s="583"/>
      <c r="GN21" s="583"/>
      <c r="GO21" s="583"/>
      <c r="GP21" s="583"/>
      <c r="GQ21" s="583"/>
      <c r="GR21" s="583"/>
      <c r="GS21" s="583"/>
      <c r="GT21" s="583"/>
      <c r="GU21" s="583"/>
      <c r="GV21" s="583"/>
      <c r="GW21" s="583"/>
      <c r="GX21" s="583"/>
      <c r="GY21" s="584"/>
      <c r="GZ21" s="569">
        <f>SUM(GZ16:HA20)</f>
        <v>81</v>
      </c>
      <c r="HA21" s="570"/>
      <c r="HB21" s="569">
        <f>SUM(HB16:HC20)</f>
        <v>30</v>
      </c>
      <c r="HC21" s="570"/>
      <c r="HD21" s="569">
        <f>SUM(HD16:HE20)</f>
        <v>20</v>
      </c>
      <c r="HE21" s="570"/>
      <c r="HF21" s="569">
        <f>SUM(HF16:HG20)</f>
        <v>5</v>
      </c>
      <c r="HG21" s="570"/>
      <c r="HH21" s="569">
        <f>SUM(HH16:HI20)</f>
        <v>24</v>
      </c>
      <c r="HI21" s="570"/>
      <c r="HJ21" s="569">
        <f>SUM(HJ16:HK20)</f>
        <v>2</v>
      </c>
      <c r="HK21" s="570"/>
      <c r="HL21" s="569">
        <f>SUM(HL16:HM20)</f>
        <v>0</v>
      </c>
      <c r="HM21" s="570"/>
      <c r="HN21" s="569">
        <f>SUM(HN16:HO20)</f>
        <v>79</v>
      </c>
      <c r="HO21" s="570"/>
      <c r="HP21" s="569">
        <f>SUM(HP16:HQ20)</f>
        <v>160</v>
      </c>
      <c r="HQ21" s="570"/>
    </row>
    <row r="22" spans="1:225" ht="45" customHeight="1" thickBot="1" x14ac:dyDescent="0.75">
      <c r="A22" s="23"/>
      <c r="B22" s="23"/>
      <c r="C22" s="26"/>
      <c r="D22" s="26"/>
      <c r="E22" s="185"/>
      <c r="F22" s="186"/>
      <c r="G22" s="187"/>
      <c r="H22" s="187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9"/>
      <c r="BB22" s="189"/>
      <c r="BC22" s="189"/>
      <c r="BD22" s="189"/>
      <c r="BE22" s="189"/>
      <c r="BF22" s="189"/>
      <c r="BG22" s="189"/>
      <c r="BH22" s="189"/>
      <c r="BI22" s="189"/>
      <c r="BJ22" s="189"/>
      <c r="BK22" s="189"/>
      <c r="BL22" s="189"/>
      <c r="BM22" s="189"/>
      <c r="BN22" s="189"/>
      <c r="BO22" s="189"/>
      <c r="BP22" s="189"/>
      <c r="BQ22" s="189"/>
      <c r="BR22" s="189"/>
      <c r="BS22" s="189"/>
      <c r="BT22" s="189"/>
      <c r="BU22" s="189"/>
      <c r="BV22" s="188"/>
      <c r="BW22" s="188"/>
      <c r="BX22" s="188"/>
      <c r="BY22" s="188"/>
      <c r="BZ22" s="188"/>
      <c r="CA22" s="188"/>
      <c r="CB22" s="188"/>
      <c r="CC22" s="188"/>
      <c r="CD22" s="188"/>
      <c r="CE22" s="188"/>
      <c r="CF22" s="188"/>
      <c r="CG22" s="188"/>
      <c r="CH22" s="188"/>
      <c r="CI22" s="188"/>
      <c r="CJ22" s="188"/>
      <c r="CK22" s="188"/>
      <c r="CL22" s="188"/>
      <c r="CM22" s="188"/>
      <c r="CN22" s="188"/>
      <c r="CO22" s="188"/>
      <c r="CP22" s="188"/>
      <c r="CQ22" s="188"/>
      <c r="CR22" s="188"/>
      <c r="CS22" s="188"/>
      <c r="CT22" s="188"/>
      <c r="CU22" s="186"/>
      <c r="CV22" s="186"/>
      <c r="CW22" s="186"/>
      <c r="CX22" s="186"/>
      <c r="CY22" s="186"/>
      <c r="CZ22" s="186"/>
      <c r="DA22" s="186"/>
      <c r="DB22" s="186"/>
      <c r="DC22" s="186"/>
      <c r="DD22" s="186"/>
      <c r="DE22" s="186"/>
      <c r="DF22" s="186"/>
      <c r="DG22" s="186"/>
      <c r="DH22" s="186"/>
      <c r="DI22" s="186"/>
      <c r="DJ22" s="186"/>
      <c r="DK22" s="186"/>
      <c r="DL22" s="186"/>
      <c r="DM22" s="186"/>
      <c r="DN22" s="186"/>
      <c r="DO22" s="186"/>
      <c r="DP22" s="186"/>
      <c r="DQ22" s="186"/>
      <c r="DR22" s="186"/>
      <c r="DS22" s="186"/>
      <c r="DT22" s="186"/>
      <c r="DU22" s="186"/>
      <c r="DV22" s="186"/>
      <c r="DW22" s="186"/>
      <c r="DX22" s="185"/>
      <c r="DY22" s="185"/>
      <c r="DZ22" s="185"/>
      <c r="EA22" s="185"/>
      <c r="EB22" s="185"/>
      <c r="EC22" s="185"/>
      <c r="ED22" s="185"/>
      <c r="EE22" s="185"/>
      <c r="EF22" s="31"/>
      <c r="EG22" s="31"/>
      <c r="EH22" s="31"/>
      <c r="EI22" s="28"/>
      <c r="EJ22" s="28"/>
      <c r="EK22" s="28"/>
      <c r="EL22" s="28"/>
      <c r="EM22" s="28"/>
      <c r="EN22" s="31"/>
      <c r="EO22" s="31"/>
      <c r="EP22" s="31"/>
      <c r="EQ22" s="190"/>
      <c r="EX22" s="174"/>
      <c r="EY22" s="174"/>
      <c r="EZ22" s="174"/>
      <c r="FA22" s="174"/>
      <c r="FB22" s="174"/>
      <c r="FC22" s="174"/>
      <c r="FD22" s="174"/>
      <c r="FE22" s="174"/>
      <c r="FF22" s="174"/>
      <c r="FG22" s="174"/>
      <c r="FH22" s="174"/>
      <c r="FI22" s="174"/>
      <c r="FJ22" s="174"/>
      <c r="FK22" s="174"/>
      <c r="FL22" s="174"/>
      <c r="FM22" s="174"/>
      <c r="FN22" s="174"/>
      <c r="FO22" s="174"/>
      <c r="FP22" s="174"/>
      <c r="FQ22" s="174"/>
      <c r="FR22" s="174"/>
      <c r="FS22" s="174"/>
      <c r="FT22" s="174"/>
      <c r="FU22" s="174"/>
      <c r="FV22" s="174"/>
      <c r="FW22" s="174"/>
      <c r="FX22" s="174"/>
      <c r="FY22" s="174"/>
      <c r="FZ22" s="174"/>
      <c r="GA22" s="174"/>
      <c r="GB22" s="174"/>
      <c r="GC22" s="174"/>
      <c r="GD22" s="174"/>
      <c r="GE22" s="174"/>
      <c r="GF22" s="174"/>
      <c r="GG22" s="174"/>
      <c r="GH22" s="174"/>
      <c r="GI22" s="174"/>
      <c r="GJ22" s="174"/>
      <c r="GK22" s="174"/>
      <c r="GL22" s="174"/>
      <c r="GM22" s="174"/>
      <c r="GN22" s="174"/>
      <c r="GO22" s="174"/>
      <c r="GP22" s="174"/>
      <c r="GQ22" s="174"/>
      <c r="GR22" s="174"/>
      <c r="GS22" s="174"/>
      <c r="GT22" s="174"/>
      <c r="GU22" s="174"/>
      <c r="GV22" s="174"/>
      <c r="GW22" s="174"/>
      <c r="GX22" s="174"/>
      <c r="GY22" s="174"/>
      <c r="GZ22" s="174"/>
      <c r="HA22" s="174"/>
      <c r="HB22" s="174"/>
      <c r="HC22" s="174"/>
      <c r="HD22" s="174"/>
      <c r="HE22" s="174"/>
      <c r="HF22" s="174"/>
      <c r="HG22" s="174"/>
      <c r="HH22" s="174"/>
      <c r="HI22" s="174"/>
      <c r="HJ22" s="174"/>
      <c r="HK22" s="174"/>
      <c r="HL22" s="174"/>
      <c r="HM22" s="174"/>
      <c r="HN22" s="174"/>
      <c r="HO22" s="174"/>
      <c r="HP22" s="174"/>
      <c r="HQ22" s="174"/>
    </row>
    <row r="23" spans="1:225" s="3" customFormat="1" ht="93.75" customHeight="1" thickBot="1" x14ac:dyDescent="0.25">
      <c r="A23" s="15"/>
      <c r="B23" s="15"/>
      <c r="C23" s="123"/>
      <c r="D23" s="123"/>
      <c r="E23" s="123"/>
      <c r="F23" s="123"/>
      <c r="G23" s="123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73"/>
      <c r="V23" s="173"/>
      <c r="W23" s="173"/>
      <c r="X23" s="123"/>
      <c r="Y23" s="123"/>
      <c r="Z23" s="123"/>
      <c r="AA23" s="123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191"/>
      <c r="AX23" s="191"/>
      <c r="AY23" s="191"/>
      <c r="AZ23" s="191"/>
      <c r="BA23" s="191"/>
      <c r="BB23" s="191"/>
      <c r="BC23" s="33"/>
      <c r="BD23" s="173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191"/>
      <c r="BU23" s="191"/>
      <c r="BV23" s="191"/>
      <c r="BW23" s="191"/>
      <c r="BX23" s="191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123"/>
      <c r="CR23" s="123"/>
      <c r="CS23" s="123"/>
      <c r="CT23" s="123"/>
      <c r="CU23" s="123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123"/>
      <c r="DJ23" s="123"/>
      <c r="DK23" s="123"/>
      <c r="DL23" s="123"/>
      <c r="DM23" s="123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123"/>
      <c r="EA23" s="123"/>
      <c r="EB23" s="123"/>
      <c r="EC23" s="123"/>
      <c r="ED23" s="123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83"/>
      <c r="EX23" s="175"/>
      <c r="EY23" s="585" t="s">
        <v>116</v>
      </c>
      <c r="EZ23" s="586"/>
      <c r="FA23" s="587"/>
      <c r="FB23" s="588" t="s">
        <v>267</v>
      </c>
      <c r="FC23" s="589"/>
      <c r="FD23" s="589"/>
      <c r="FE23" s="589"/>
      <c r="FF23" s="589"/>
      <c r="FG23" s="590"/>
      <c r="FH23" s="175"/>
      <c r="FI23" s="591"/>
      <c r="FJ23" s="592"/>
      <c r="FK23" s="593"/>
      <c r="FL23" s="588" t="s">
        <v>273</v>
      </c>
      <c r="FM23" s="589"/>
      <c r="FN23" s="589"/>
      <c r="FO23" s="589"/>
      <c r="FP23" s="589"/>
      <c r="FQ23" s="590"/>
      <c r="FR23" s="175"/>
      <c r="FS23" s="585" t="s">
        <v>61</v>
      </c>
      <c r="FT23" s="586"/>
      <c r="FU23" s="587"/>
      <c r="FV23" s="588" t="s">
        <v>14</v>
      </c>
      <c r="FW23" s="589"/>
      <c r="FX23" s="589"/>
      <c r="FY23" s="589"/>
      <c r="FZ23" s="589"/>
      <c r="GA23" s="590"/>
      <c r="GB23" s="175"/>
      <c r="GC23" s="585" t="s">
        <v>49</v>
      </c>
      <c r="GD23" s="586"/>
      <c r="GE23" s="587"/>
      <c r="GF23" s="588" t="s">
        <v>15</v>
      </c>
      <c r="GG23" s="589"/>
      <c r="GH23" s="589"/>
      <c r="GI23" s="589"/>
      <c r="GJ23" s="589"/>
      <c r="GK23" s="590"/>
      <c r="GL23" s="175"/>
      <c r="GM23" s="585" t="s">
        <v>60</v>
      </c>
      <c r="GN23" s="586"/>
      <c r="GO23" s="587"/>
      <c r="GP23" s="588" t="s">
        <v>16</v>
      </c>
      <c r="GQ23" s="589"/>
      <c r="GR23" s="589"/>
      <c r="GS23" s="589"/>
      <c r="GT23" s="589"/>
      <c r="GU23" s="590"/>
      <c r="GV23" s="175"/>
      <c r="GW23" s="585" t="s">
        <v>18</v>
      </c>
      <c r="GX23" s="586"/>
      <c r="GY23" s="587"/>
      <c r="GZ23" s="588" t="s">
        <v>17</v>
      </c>
      <c r="HA23" s="589"/>
      <c r="HB23" s="589"/>
      <c r="HC23" s="589"/>
      <c r="HD23" s="589"/>
      <c r="HE23" s="590"/>
      <c r="HF23" s="175"/>
      <c r="HG23" s="585" t="s">
        <v>59</v>
      </c>
      <c r="HH23" s="586"/>
      <c r="HI23" s="587"/>
      <c r="HJ23" s="588" t="s">
        <v>274</v>
      </c>
      <c r="HK23" s="589"/>
      <c r="HL23" s="589"/>
      <c r="HM23" s="589"/>
      <c r="HN23" s="589"/>
      <c r="HO23" s="590"/>
      <c r="HP23" s="175"/>
      <c r="HQ23" s="175"/>
    </row>
    <row r="24" spans="1:225" s="3" customFormat="1" ht="24.75" customHeight="1" x14ac:dyDescent="0.2">
      <c r="A24" s="15"/>
      <c r="B24" s="15"/>
      <c r="C24" s="123"/>
      <c r="D24" s="123"/>
      <c r="E24" s="123"/>
      <c r="F24" s="123"/>
      <c r="G24" s="123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73"/>
      <c r="V24" s="173"/>
      <c r="W24" s="173"/>
      <c r="X24" s="123"/>
      <c r="Y24" s="123"/>
      <c r="Z24" s="123"/>
      <c r="AA24" s="123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191"/>
      <c r="AX24" s="191"/>
      <c r="AY24" s="191"/>
      <c r="AZ24" s="191"/>
      <c r="BA24" s="191"/>
      <c r="BB24" s="191"/>
      <c r="BC24" s="33"/>
      <c r="BD24" s="173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191"/>
      <c r="BU24" s="191"/>
      <c r="BV24" s="191"/>
      <c r="BW24" s="191"/>
      <c r="BX24" s="191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123"/>
      <c r="CR24" s="123"/>
      <c r="CS24" s="123"/>
      <c r="CT24" s="123"/>
      <c r="CU24" s="123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123"/>
      <c r="DJ24" s="123"/>
      <c r="DK24" s="123"/>
      <c r="DL24" s="123"/>
      <c r="DM24" s="123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123"/>
      <c r="EA24" s="123"/>
      <c r="EB24" s="123"/>
      <c r="EC24" s="123"/>
      <c r="ED24" s="123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83"/>
      <c r="EX24" s="175"/>
      <c r="EY24" s="199"/>
      <c r="EZ24" s="199"/>
      <c r="FA24" s="199"/>
      <c r="FB24" s="200"/>
      <c r="FC24" s="200"/>
      <c r="FD24" s="200"/>
      <c r="FE24" s="200"/>
      <c r="FF24" s="200"/>
      <c r="FG24" s="200"/>
      <c r="FH24" s="175"/>
      <c r="FI24" s="199"/>
      <c r="FJ24" s="199"/>
      <c r="FK24" s="199"/>
      <c r="FL24" s="200"/>
      <c r="FM24" s="200"/>
      <c r="FN24" s="200"/>
      <c r="FO24" s="200"/>
      <c r="FP24" s="200"/>
      <c r="FQ24" s="200"/>
      <c r="FR24" s="175"/>
      <c r="FS24" s="199"/>
      <c r="FT24" s="199"/>
      <c r="FU24" s="199"/>
      <c r="FV24" s="200"/>
      <c r="FW24" s="200"/>
      <c r="FX24" s="200"/>
      <c r="FY24" s="200"/>
      <c r="FZ24" s="200"/>
      <c r="GA24" s="200"/>
      <c r="GB24" s="175"/>
      <c r="GC24" s="199"/>
      <c r="GD24" s="199"/>
      <c r="GE24" s="199"/>
      <c r="GF24" s="200"/>
      <c r="GG24" s="200"/>
      <c r="GH24" s="200"/>
      <c r="GI24" s="200"/>
      <c r="GJ24" s="200"/>
      <c r="GK24" s="200"/>
      <c r="GL24" s="175"/>
      <c r="GM24" s="199"/>
      <c r="GN24" s="199"/>
      <c r="GO24" s="199"/>
      <c r="GP24" s="200"/>
      <c r="GQ24" s="200"/>
      <c r="GR24" s="200"/>
      <c r="GS24" s="200"/>
      <c r="GT24" s="200"/>
      <c r="GU24" s="200"/>
      <c r="GV24" s="175"/>
      <c r="GW24" s="199"/>
      <c r="GX24" s="199"/>
      <c r="GY24" s="199"/>
      <c r="GZ24" s="200"/>
      <c r="HA24" s="200"/>
      <c r="HB24" s="200"/>
      <c r="HC24" s="200"/>
      <c r="HD24" s="200"/>
      <c r="HE24" s="200"/>
      <c r="HF24" s="175"/>
      <c r="HG24" s="199"/>
      <c r="HH24" s="199"/>
      <c r="HI24" s="199"/>
      <c r="HJ24" s="200"/>
      <c r="HK24" s="200"/>
      <c r="HL24" s="200"/>
      <c r="HM24" s="200"/>
      <c r="HN24" s="200"/>
      <c r="HO24" s="200"/>
      <c r="HP24" s="175"/>
      <c r="HQ24" s="175"/>
    </row>
    <row r="25" spans="1:225" ht="75" x14ac:dyDescent="0.2">
      <c r="A25" s="560" t="s">
        <v>247</v>
      </c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0"/>
      <c r="P25" s="560"/>
      <c r="Q25" s="560"/>
      <c r="R25" s="560"/>
      <c r="S25" s="560"/>
      <c r="T25" s="560"/>
      <c r="U25" s="560"/>
      <c r="V25" s="560"/>
      <c r="W25" s="560"/>
      <c r="X25" s="560"/>
      <c r="Y25" s="560"/>
      <c r="Z25" s="560"/>
      <c r="AA25" s="560"/>
      <c r="AB25" s="560"/>
      <c r="AC25" s="560"/>
      <c r="AD25" s="560"/>
      <c r="AE25" s="560"/>
      <c r="AF25" s="560"/>
      <c r="AG25" s="560"/>
      <c r="AH25" s="560"/>
      <c r="AI25" s="560"/>
      <c r="AJ25" s="560"/>
      <c r="AK25" s="560"/>
      <c r="AL25" s="560"/>
      <c r="AM25" s="560"/>
      <c r="AN25" s="560"/>
      <c r="AO25" s="560"/>
      <c r="AP25" s="560"/>
      <c r="AQ25" s="560"/>
      <c r="AR25" s="560"/>
      <c r="AS25" s="560"/>
      <c r="AT25" s="560"/>
      <c r="AU25" s="560"/>
      <c r="AV25" s="560"/>
      <c r="AW25" s="560"/>
      <c r="AX25" s="560"/>
      <c r="AY25" s="560"/>
      <c r="AZ25" s="560"/>
      <c r="BA25" s="560"/>
      <c r="BB25" s="560"/>
      <c r="BC25" s="560"/>
      <c r="BD25" s="560"/>
      <c r="BE25" s="560"/>
      <c r="BF25" s="560"/>
      <c r="BG25" s="560"/>
      <c r="BH25" s="560"/>
      <c r="BI25" s="560"/>
      <c r="BJ25" s="560"/>
      <c r="BK25" s="560"/>
      <c r="BL25" s="560"/>
      <c r="BM25" s="560"/>
      <c r="BN25" s="560"/>
      <c r="BO25" s="560"/>
      <c r="BP25" s="560"/>
      <c r="BQ25" s="560"/>
      <c r="BR25" s="560"/>
      <c r="BS25" s="560"/>
      <c r="BT25" s="560"/>
      <c r="BU25" s="560"/>
      <c r="BV25" s="560"/>
      <c r="BW25" s="560"/>
      <c r="BX25" s="560"/>
      <c r="BY25" s="560"/>
      <c r="BZ25" s="560"/>
      <c r="CA25" s="560"/>
      <c r="CB25" s="560"/>
      <c r="CC25" s="560"/>
      <c r="CD25" s="560"/>
      <c r="CE25" s="560"/>
      <c r="CF25" s="560"/>
      <c r="CG25" s="560"/>
      <c r="CH25" s="560"/>
      <c r="CI25" s="560"/>
      <c r="CJ25" s="560"/>
      <c r="CK25" s="560"/>
      <c r="CL25" s="560"/>
      <c r="CM25" s="560"/>
      <c r="CN25" s="560"/>
      <c r="CO25" s="560"/>
      <c r="CP25" s="560"/>
      <c r="CQ25" s="560"/>
      <c r="CR25" s="560"/>
      <c r="CS25" s="560"/>
      <c r="CT25" s="560"/>
      <c r="CU25" s="560"/>
      <c r="CV25" s="560"/>
      <c r="CW25" s="560"/>
      <c r="CX25" s="560"/>
      <c r="CY25" s="560"/>
      <c r="CZ25" s="560"/>
      <c r="DA25" s="560"/>
      <c r="DB25" s="560"/>
      <c r="DC25" s="560"/>
      <c r="DD25" s="560"/>
      <c r="DE25" s="560"/>
      <c r="DF25" s="560"/>
      <c r="DG25" s="560"/>
      <c r="DH25" s="560"/>
      <c r="DI25" s="560"/>
      <c r="DJ25" s="560"/>
      <c r="DK25" s="560"/>
      <c r="DL25" s="560"/>
      <c r="DM25" s="560"/>
      <c r="DN25" s="560"/>
      <c r="DO25" s="560"/>
      <c r="DP25" s="560"/>
      <c r="DQ25" s="560"/>
      <c r="DR25" s="560"/>
      <c r="DS25" s="560"/>
      <c r="DT25" s="560"/>
      <c r="DU25" s="560"/>
      <c r="DV25" s="560"/>
      <c r="DW25" s="560"/>
      <c r="DX25" s="560"/>
      <c r="DY25" s="560"/>
      <c r="DZ25" s="560"/>
      <c r="EA25" s="560"/>
      <c r="EB25" s="560"/>
      <c r="EC25" s="560"/>
      <c r="ED25" s="560"/>
      <c r="EE25" s="560"/>
      <c r="EF25" s="560"/>
      <c r="EG25" s="560"/>
      <c r="EH25" s="560"/>
      <c r="EI25" s="560"/>
      <c r="EJ25" s="560"/>
      <c r="EK25" s="560"/>
      <c r="EL25" s="560"/>
      <c r="EM25" s="560"/>
      <c r="EN25" s="560"/>
      <c r="EO25" s="560"/>
      <c r="EP25" s="560"/>
      <c r="EQ25" s="560"/>
      <c r="ER25" s="560"/>
      <c r="ES25" s="560"/>
    </row>
    <row r="26" spans="1:225" s="46" customFormat="1" ht="117" customHeight="1" x14ac:dyDescent="0.45">
      <c r="A26" s="528" t="s">
        <v>25</v>
      </c>
      <c r="B26" s="490" t="s">
        <v>62</v>
      </c>
      <c r="C26" s="482" t="s">
        <v>63</v>
      </c>
      <c r="D26" s="482"/>
      <c r="E26" s="482"/>
      <c r="F26" s="482"/>
      <c r="G26" s="482"/>
      <c r="H26" s="482"/>
      <c r="I26" s="482"/>
      <c r="J26" s="482"/>
      <c r="K26" s="482"/>
      <c r="L26" s="482"/>
      <c r="M26" s="482"/>
      <c r="N26" s="482"/>
      <c r="O26" s="482"/>
      <c r="P26" s="482"/>
      <c r="Q26" s="482"/>
      <c r="R26" s="482"/>
      <c r="S26" s="482"/>
      <c r="T26" s="482"/>
      <c r="U26" s="482"/>
      <c r="V26" s="482"/>
      <c r="W26" s="482"/>
      <c r="X26" s="482"/>
      <c r="Y26" s="482"/>
      <c r="Z26" s="493" t="s">
        <v>276</v>
      </c>
      <c r="AA26" s="494"/>
      <c r="AB26" s="494"/>
      <c r="AC26" s="494"/>
      <c r="AD26" s="494"/>
      <c r="AE26" s="494"/>
      <c r="AF26" s="494"/>
      <c r="AG26" s="494"/>
      <c r="AH26" s="494"/>
      <c r="AI26" s="494"/>
      <c r="AJ26" s="494"/>
      <c r="AK26" s="494"/>
      <c r="AL26" s="494"/>
      <c r="AM26" s="494"/>
      <c r="AN26" s="494"/>
      <c r="AO26" s="494"/>
      <c r="AP26" s="494"/>
      <c r="AQ26" s="494"/>
      <c r="AR26" s="494"/>
      <c r="AS26" s="494"/>
      <c r="AT26" s="494"/>
      <c r="AU26" s="494"/>
      <c r="AV26" s="494"/>
      <c r="AW26" s="494"/>
      <c r="AX26" s="494"/>
      <c r="AY26" s="494"/>
      <c r="AZ26" s="494"/>
      <c r="BA26" s="494"/>
      <c r="BB26" s="494"/>
      <c r="BC26" s="494"/>
      <c r="BD26" s="494"/>
      <c r="BE26" s="494"/>
      <c r="BF26" s="494"/>
      <c r="BG26" s="494"/>
      <c r="BH26" s="494"/>
      <c r="BI26" s="494"/>
      <c r="BJ26" s="494"/>
      <c r="BK26" s="324"/>
      <c r="BL26" s="324"/>
      <c r="BM26" s="324"/>
      <c r="BN26" s="324"/>
      <c r="BO26" s="485" t="s">
        <v>277</v>
      </c>
      <c r="BP26" s="483"/>
      <c r="BQ26" s="483"/>
      <c r="BR26" s="483"/>
      <c r="BS26" s="483"/>
      <c r="BT26" s="483"/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  <c r="CI26" s="483"/>
      <c r="CJ26" s="483"/>
      <c r="CK26" s="483"/>
      <c r="CL26" s="483"/>
      <c r="CM26" s="483"/>
      <c r="CN26" s="483"/>
      <c r="CO26" s="483"/>
      <c r="CP26" s="483"/>
      <c r="CQ26" s="483"/>
      <c r="CR26" s="483"/>
      <c r="CS26" s="483"/>
      <c r="CT26" s="483"/>
      <c r="CU26" s="483"/>
      <c r="CV26" s="483"/>
      <c r="CW26" s="483"/>
      <c r="CX26" s="483"/>
      <c r="CY26" s="483"/>
      <c r="CZ26" s="483"/>
      <c r="DA26" s="483"/>
      <c r="DB26" s="484"/>
      <c r="DC26" s="485" t="s">
        <v>278</v>
      </c>
      <c r="DD26" s="483"/>
      <c r="DE26" s="483"/>
      <c r="DF26" s="483"/>
      <c r="DG26" s="483"/>
      <c r="DH26" s="483"/>
      <c r="DI26" s="483"/>
      <c r="DJ26" s="483"/>
      <c r="DK26" s="483"/>
      <c r="DL26" s="483"/>
      <c r="DM26" s="483"/>
      <c r="DN26" s="483"/>
      <c r="DO26" s="483"/>
      <c r="DP26" s="483"/>
      <c r="DQ26" s="483"/>
      <c r="DR26" s="483"/>
      <c r="DS26" s="483"/>
      <c r="DT26" s="483"/>
      <c r="DU26" s="483"/>
      <c r="DV26" s="483"/>
      <c r="DW26" s="483"/>
      <c r="DX26" s="483"/>
      <c r="DY26" s="483"/>
      <c r="DZ26" s="483"/>
      <c r="EA26" s="483"/>
      <c r="EB26" s="483"/>
      <c r="EC26" s="483"/>
      <c r="ED26" s="483"/>
      <c r="EE26" s="483"/>
      <c r="EF26" s="483"/>
      <c r="EG26" s="483"/>
      <c r="EH26" s="483"/>
      <c r="EI26" s="483"/>
      <c r="EJ26" s="483"/>
      <c r="EK26" s="483"/>
      <c r="EL26" s="483"/>
      <c r="EM26" s="483"/>
      <c r="EN26" s="483"/>
      <c r="EO26" s="483"/>
      <c r="EP26" s="484"/>
      <c r="EQ26" s="512" t="s">
        <v>36</v>
      </c>
      <c r="ER26" s="513"/>
      <c r="ES26" s="513"/>
    </row>
    <row r="27" spans="1:225" s="47" customFormat="1" ht="60" customHeight="1" x14ac:dyDescent="0.45">
      <c r="A27" s="529"/>
      <c r="B27" s="491"/>
      <c r="C27" s="482"/>
      <c r="D27" s="482"/>
      <c r="E27" s="482"/>
      <c r="F27" s="482"/>
      <c r="G27" s="482"/>
      <c r="H27" s="482"/>
      <c r="I27" s="482"/>
      <c r="J27" s="482"/>
      <c r="K27" s="482"/>
      <c r="L27" s="482"/>
      <c r="M27" s="482"/>
      <c r="N27" s="482"/>
      <c r="O27" s="482"/>
      <c r="P27" s="482"/>
      <c r="Q27" s="482"/>
      <c r="R27" s="482"/>
      <c r="S27" s="482"/>
      <c r="T27" s="482"/>
      <c r="U27" s="482"/>
      <c r="V27" s="482"/>
      <c r="W27" s="482"/>
      <c r="X27" s="482"/>
      <c r="Y27" s="482"/>
      <c r="Z27" s="495" t="s">
        <v>65</v>
      </c>
      <c r="AA27" s="324"/>
      <c r="AB27" s="324"/>
      <c r="AC27" s="324"/>
      <c r="AD27" s="324"/>
      <c r="AE27" s="324"/>
      <c r="AF27" s="532"/>
      <c r="AG27" s="495" t="s">
        <v>66</v>
      </c>
      <c r="AH27" s="324"/>
      <c r="AI27" s="324"/>
      <c r="AJ27" s="324"/>
      <c r="AK27" s="324"/>
      <c r="AL27" s="324"/>
      <c r="AM27" s="324"/>
      <c r="AN27" s="324"/>
      <c r="AO27" s="324"/>
      <c r="AP27" s="324"/>
      <c r="AQ27" s="324"/>
      <c r="AR27" s="324"/>
      <c r="AS27" s="324"/>
      <c r="AT27" s="324"/>
      <c r="AU27" s="324"/>
      <c r="AV27" s="324"/>
      <c r="AW27" s="324"/>
      <c r="AX27" s="324"/>
      <c r="AY27" s="324"/>
      <c r="AZ27" s="324"/>
      <c r="BA27" s="324"/>
      <c r="BB27" s="324"/>
      <c r="BC27" s="324"/>
      <c r="BD27" s="324"/>
      <c r="BE27" s="324"/>
      <c r="BF27" s="324"/>
      <c r="BG27" s="324"/>
      <c r="BH27" s="324"/>
      <c r="BI27" s="324"/>
      <c r="BJ27" s="324"/>
      <c r="BK27" s="513" t="s">
        <v>279</v>
      </c>
      <c r="BL27" s="513"/>
      <c r="BM27" s="513"/>
      <c r="BN27" s="514"/>
      <c r="BO27" s="485" t="s">
        <v>27</v>
      </c>
      <c r="BP27" s="483"/>
      <c r="BQ27" s="483"/>
      <c r="BR27" s="483"/>
      <c r="BS27" s="483"/>
      <c r="BT27" s="483"/>
      <c r="BU27" s="483"/>
      <c r="BV27" s="483"/>
      <c r="BW27" s="483"/>
      <c r="BX27" s="483"/>
      <c r="BY27" s="483" t="s">
        <v>28</v>
      </c>
      <c r="BZ27" s="483"/>
      <c r="CA27" s="483"/>
      <c r="CB27" s="483"/>
      <c r="CC27" s="483"/>
      <c r="CD27" s="483"/>
      <c r="CE27" s="483"/>
      <c r="CF27" s="483"/>
      <c r="CG27" s="483"/>
      <c r="CH27" s="483"/>
      <c r="CI27" s="483" t="s">
        <v>29</v>
      </c>
      <c r="CJ27" s="483"/>
      <c r="CK27" s="483"/>
      <c r="CL27" s="483"/>
      <c r="CM27" s="483"/>
      <c r="CN27" s="483"/>
      <c r="CO27" s="483"/>
      <c r="CP27" s="483"/>
      <c r="CQ27" s="483"/>
      <c r="CR27" s="483"/>
      <c r="CS27" s="483" t="s">
        <v>72</v>
      </c>
      <c r="CT27" s="483"/>
      <c r="CU27" s="483"/>
      <c r="CV27" s="483"/>
      <c r="CW27" s="483"/>
      <c r="CX27" s="483"/>
      <c r="CY27" s="483"/>
      <c r="CZ27" s="483"/>
      <c r="DA27" s="483"/>
      <c r="DB27" s="484"/>
      <c r="DC27" s="485" t="s">
        <v>27</v>
      </c>
      <c r="DD27" s="483"/>
      <c r="DE27" s="483"/>
      <c r="DF27" s="483"/>
      <c r="DG27" s="483"/>
      <c r="DH27" s="483"/>
      <c r="DI27" s="483"/>
      <c r="DJ27" s="483"/>
      <c r="DK27" s="483"/>
      <c r="DL27" s="483"/>
      <c r="DM27" s="483" t="s">
        <v>28</v>
      </c>
      <c r="DN27" s="483"/>
      <c r="DO27" s="483"/>
      <c r="DP27" s="483"/>
      <c r="DQ27" s="483"/>
      <c r="DR27" s="483"/>
      <c r="DS27" s="483"/>
      <c r="DT27" s="483"/>
      <c r="DU27" s="483"/>
      <c r="DV27" s="483"/>
      <c r="DW27" s="483" t="s">
        <v>29</v>
      </c>
      <c r="DX27" s="483"/>
      <c r="DY27" s="483"/>
      <c r="DZ27" s="483"/>
      <c r="EA27" s="483"/>
      <c r="EB27" s="483"/>
      <c r="EC27" s="483"/>
      <c r="ED27" s="483"/>
      <c r="EE27" s="483"/>
      <c r="EF27" s="483"/>
      <c r="EG27" s="483" t="s">
        <v>72</v>
      </c>
      <c r="EH27" s="483"/>
      <c r="EI27" s="483"/>
      <c r="EJ27" s="483"/>
      <c r="EK27" s="483"/>
      <c r="EL27" s="483"/>
      <c r="EM27" s="483"/>
      <c r="EN27" s="483"/>
      <c r="EO27" s="483"/>
      <c r="EP27" s="484"/>
      <c r="EQ27" s="512"/>
      <c r="ER27" s="513"/>
      <c r="ES27" s="513"/>
    </row>
    <row r="28" spans="1:225" s="47" customFormat="1" ht="60" customHeight="1" x14ac:dyDescent="0.45">
      <c r="A28" s="529"/>
      <c r="B28" s="491"/>
      <c r="C28" s="482"/>
      <c r="D28" s="482"/>
      <c r="E28" s="482"/>
      <c r="F28" s="482"/>
      <c r="G28" s="482"/>
      <c r="H28" s="482"/>
      <c r="I28" s="482"/>
      <c r="J28" s="482"/>
      <c r="K28" s="482"/>
      <c r="L28" s="482"/>
      <c r="M28" s="482"/>
      <c r="N28" s="482"/>
      <c r="O28" s="482"/>
      <c r="P28" s="482"/>
      <c r="Q28" s="482"/>
      <c r="R28" s="482"/>
      <c r="S28" s="482"/>
      <c r="T28" s="482"/>
      <c r="U28" s="482"/>
      <c r="V28" s="482"/>
      <c r="W28" s="482"/>
      <c r="X28" s="482"/>
      <c r="Y28" s="482"/>
      <c r="Z28" s="533"/>
      <c r="AA28" s="525"/>
      <c r="AB28" s="525"/>
      <c r="AC28" s="525"/>
      <c r="AD28" s="525"/>
      <c r="AE28" s="525"/>
      <c r="AF28" s="534"/>
      <c r="AG28" s="496" t="s">
        <v>20</v>
      </c>
      <c r="AH28" s="497"/>
      <c r="AI28" s="497"/>
      <c r="AJ28" s="497"/>
      <c r="AK28" s="498"/>
      <c r="AL28" s="496" t="s">
        <v>280</v>
      </c>
      <c r="AM28" s="497"/>
      <c r="AN28" s="497"/>
      <c r="AO28" s="497"/>
      <c r="AP28" s="498"/>
      <c r="AQ28" s="496" t="s">
        <v>68</v>
      </c>
      <c r="AR28" s="497"/>
      <c r="AS28" s="497"/>
      <c r="AT28" s="497"/>
      <c r="AU28" s="498"/>
      <c r="AV28" s="496" t="s">
        <v>69</v>
      </c>
      <c r="AW28" s="497"/>
      <c r="AX28" s="497"/>
      <c r="AY28" s="497"/>
      <c r="AZ28" s="498"/>
      <c r="BA28" s="496" t="s">
        <v>70</v>
      </c>
      <c r="BB28" s="497"/>
      <c r="BC28" s="497"/>
      <c r="BD28" s="497"/>
      <c r="BE28" s="498"/>
      <c r="BF28" s="496" t="s">
        <v>71</v>
      </c>
      <c r="BG28" s="497"/>
      <c r="BH28" s="497"/>
      <c r="BI28" s="497"/>
      <c r="BJ28" s="497"/>
      <c r="BK28" s="513"/>
      <c r="BL28" s="513"/>
      <c r="BM28" s="513"/>
      <c r="BN28" s="514"/>
      <c r="BO28" s="485" t="s">
        <v>32</v>
      </c>
      <c r="BP28" s="483"/>
      <c r="BQ28" s="483"/>
      <c r="BR28" s="483"/>
      <c r="BS28" s="483"/>
      <c r="BT28" s="483"/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  <c r="CI28" s="483"/>
      <c r="CJ28" s="483"/>
      <c r="CK28" s="483"/>
      <c r="CL28" s="483"/>
      <c r="CM28" s="483"/>
      <c r="CN28" s="483"/>
      <c r="CO28" s="483"/>
      <c r="CP28" s="483"/>
      <c r="CQ28" s="483"/>
      <c r="CR28" s="483"/>
      <c r="CS28" s="483"/>
      <c r="CT28" s="483"/>
      <c r="CU28" s="483"/>
      <c r="CV28" s="483"/>
      <c r="CW28" s="483"/>
      <c r="CX28" s="483"/>
      <c r="CY28" s="483"/>
      <c r="CZ28" s="483"/>
      <c r="DA28" s="483"/>
      <c r="DB28" s="484"/>
      <c r="DC28" s="485" t="s">
        <v>275</v>
      </c>
      <c r="DD28" s="483"/>
      <c r="DE28" s="483"/>
      <c r="DF28" s="483"/>
      <c r="DG28" s="483"/>
      <c r="DH28" s="483"/>
      <c r="DI28" s="483"/>
      <c r="DJ28" s="483"/>
      <c r="DK28" s="483"/>
      <c r="DL28" s="483"/>
      <c r="DM28" s="483"/>
      <c r="DN28" s="483"/>
      <c r="DO28" s="483"/>
      <c r="DP28" s="483"/>
      <c r="DQ28" s="483"/>
      <c r="DR28" s="483"/>
      <c r="DS28" s="483"/>
      <c r="DT28" s="483"/>
      <c r="DU28" s="483"/>
      <c r="DV28" s="483"/>
      <c r="DW28" s="483"/>
      <c r="DX28" s="483"/>
      <c r="DY28" s="483"/>
      <c r="DZ28" s="483"/>
      <c r="EA28" s="483"/>
      <c r="EB28" s="483"/>
      <c r="EC28" s="483"/>
      <c r="ED28" s="483"/>
      <c r="EE28" s="483"/>
      <c r="EF28" s="483"/>
      <c r="EG28" s="483"/>
      <c r="EH28" s="483"/>
      <c r="EI28" s="483"/>
      <c r="EJ28" s="483"/>
      <c r="EK28" s="483"/>
      <c r="EL28" s="483"/>
      <c r="EM28" s="483"/>
      <c r="EN28" s="483"/>
      <c r="EO28" s="483"/>
      <c r="EP28" s="484"/>
      <c r="EQ28" s="512"/>
      <c r="ER28" s="513"/>
      <c r="ES28" s="513"/>
    </row>
    <row r="29" spans="1:225" s="47" customFormat="1" ht="60" customHeight="1" x14ac:dyDescent="0.45">
      <c r="A29" s="529"/>
      <c r="B29" s="491"/>
      <c r="C29" s="482"/>
      <c r="D29" s="482"/>
      <c r="E29" s="482"/>
      <c r="F29" s="482"/>
      <c r="G29" s="482"/>
      <c r="H29" s="482"/>
      <c r="I29" s="482"/>
      <c r="J29" s="482"/>
      <c r="K29" s="482"/>
      <c r="L29" s="482"/>
      <c r="M29" s="482"/>
      <c r="N29" s="482"/>
      <c r="O29" s="482"/>
      <c r="P29" s="482"/>
      <c r="Q29" s="482"/>
      <c r="R29" s="482"/>
      <c r="S29" s="482"/>
      <c r="T29" s="482"/>
      <c r="U29" s="482"/>
      <c r="V29" s="482"/>
      <c r="W29" s="482"/>
      <c r="X29" s="482"/>
      <c r="Y29" s="482"/>
      <c r="Z29" s="533"/>
      <c r="AA29" s="525"/>
      <c r="AB29" s="525"/>
      <c r="AC29" s="525"/>
      <c r="AD29" s="525"/>
      <c r="AE29" s="525"/>
      <c r="AF29" s="534"/>
      <c r="AG29" s="499"/>
      <c r="AH29" s="500"/>
      <c r="AI29" s="500"/>
      <c r="AJ29" s="500"/>
      <c r="AK29" s="501"/>
      <c r="AL29" s="499"/>
      <c r="AM29" s="500"/>
      <c r="AN29" s="500"/>
      <c r="AO29" s="500"/>
      <c r="AP29" s="501"/>
      <c r="AQ29" s="499"/>
      <c r="AR29" s="500"/>
      <c r="AS29" s="500"/>
      <c r="AT29" s="500"/>
      <c r="AU29" s="501"/>
      <c r="AV29" s="499"/>
      <c r="AW29" s="500"/>
      <c r="AX29" s="500"/>
      <c r="AY29" s="500"/>
      <c r="AZ29" s="501"/>
      <c r="BA29" s="499"/>
      <c r="BB29" s="500"/>
      <c r="BC29" s="500"/>
      <c r="BD29" s="500"/>
      <c r="BE29" s="501"/>
      <c r="BF29" s="499"/>
      <c r="BG29" s="500"/>
      <c r="BH29" s="500"/>
      <c r="BI29" s="500"/>
      <c r="BJ29" s="500"/>
      <c r="BK29" s="513"/>
      <c r="BL29" s="513"/>
      <c r="BM29" s="513"/>
      <c r="BN29" s="514"/>
      <c r="BO29" s="485">
        <v>30</v>
      </c>
      <c r="BP29" s="483"/>
      <c r="BQ29" s="483"/>
      <c r="BR29" s="483"/>
      <c r="BS29" s="483"/>
      <c r="BT29" s="483"/>
      <c r="BU29" s="483"/>
      <c r="BV29" s="483"/>
      <c r="BW29" s="483"/>
      <c r="BX29" s="483"/>
      <c r="BY29" s="483">
        <v>30</v>
      </c>
      <c r="BZ29" s="483"/>
      <c r="CA29" s="483"/>
      <c r="CB29" s="483"/>
      <c r="CC29" s="483"/>
      <c r="CD29" s="483"/>
      <c r="CE29" s="483"/>
      <c r="CF29" s="483"/>
      <c r="CG29" s="483"/>
      <c r="CH29" s="483"/>
      <c r="CI29" s="483">
        <v>30</v>
      </c>
      <c r="CJ29" s="483"/>
      <c r="CK29" s="483"/>
      <c r="CL29" s="483"/>
      <c r="CM29" s="483"/>
      <c r="CN29" s="483"/>
      <c r="CO29" s="483"/>
      <c r="CP29" s="483"/>
      <c r="CQ29" s="483"/>
      <c r="CR29" s="483"/>
      <c r="CS29" s="483">
        <v>30</v>
      </c>
      <c r="CT29" s="483"/>
      <c r="CU29" s="483"/>
      <c r="CV29" s="483"/>
      <c r="CW29" s="483"/>
      <c r="CX29" s="483"/>
      <c r="CY29" s="483"/>
      <c r="CZ29" s="483"/>
      <c r="DA29" s="483"/>
      <c r="DB29" s="484"/>
      <c r="DC29" s="485">
        <v>60</v>
      </c>
      <c r="DD29" s="483"/>
      <c r="DE29" s="483"/>
      <c r="DF29" s="483"/>
      <c r="DG29" s="483"/>
      <c r="DH29" s="483"/>
      <c r="DI29" s="483"/>
      <c r="DJ29" s="483"/>
      <c r="DK29" s="483"/>
      <c r="DL29" s="483"/>
      <c r="DM29" s="483">
        <v>60</v>
      </c>
      <c r="DN29" s="483"/>
      <c r="DO29" s="483"/>
      <c r="DP29" s="483"/>
      <c r="DQ29" s="483"/>
      <c r="DR29" s="483"/>
      <c r="DS29" s="483"/>
      <c r="DT29" s="483"/>
      <c r="DU29" s="483"/>
      <c r="DV29" s="483"/>
      <c r="DW29" s="483">
        <v>60</v>
      </c>
      <c r="DX29" s="483"/>
      <c r="DY29" s="483"/>
      <c r="DZ29" s="483"/>
      <c r="EA29" s="483"/>
      <c r="EB29" s="483"/>
      <c r="EC29" s="483"/>
      <c r="ED29" s="483"/>
      <c r="EE29" s="483"/>
      <c r="EF29" s="483"/>
      <c r="EG29" s="483">
        <v>60</v>
      </c>
      <c r="EH29" s="483"/>
      <c r="EI29" s="483"/>
      <c r="EJ29" s="483"/>
      <c r="EK29" s="483"/>
      <c r="EL29" s="483"/>
      <c r="EM29" s="483"/>
      <c r="EN29" s="483"/>
      <c r="EO29" s="483"/>
      <c r="EP29" s="484"/>
      <c r="EQ29" s="512"/>
      <c r="ER29" s="513"/>
      <c r="ES29" s="513"/>
    </row>
    <row r="30" spans="1:225" s="47" customFormat="1" ht="60" customHeight="1" x14ac:dyDescent="0.45">
      <c r="A30" s="529"/>
      <c r="B30" s="491"/>
      <c r="C30" s="482"/>
      <c r="D30" s="482"/>
      <c r="E30" s="482"/>
      <c r="F30" s="482"/>
      <c r="G30" s="482"/>
      <c r="H30" s="482"/>
      <c r="I30" s="482"/>
      <c r="J30" s="482"/>
      <c r="K30" s="482"/>
      <c r="L30" s="482"/>
      <c r="M30" s="482"/>
      <c r="N30" s="482"/>
      <c r="O30" s="482"/>
      <c r="P30" s="482"/>
      <c r="Q30" s="482"/>
      <c r="R30" s="482"/>
      <c r="S30" s="482"/>
      <c r="T30" s="482"/>
      <c r="U30" s="482"/>
      <c r="V30" s="482"/>
      <c r="W30" s="482"/>
      <c r="X30" s="482"/>
      <c r="Y30" s="482"/>
      <c r="Z30" s="533"/>
      <c r="AA30" s="525"/>
      <c r="AB30" s="525"/>
      <c r="AC30" s="525"/>
      <c r="AD30" s="525"/>
      <c r="AE30" s="525"/>
      <c r="AF30" s="534"/>
      <c r="AG30" s="499"/>
      <c r="AH30" s="500"/>
      <c r="AI30" s="500"/>
      <c r="AJ30" s="500"/>
      <c r="AK30" s="501"/>
      <c r="AL30" s="499"/>
      <c r="AM30" s="500"/>
      <c r="AN30" s="500"/>
      <c r="AO30" s="500"/>
      <c r="AP30" s="501"/>
      <c r="AQ30" s="499"/>
      <c r="AR30" s="500"/>
      <c r="AS30" s="500"/>
      <c r="AT30" s="500"/>
      <c r="AU30" s="501"/>
      <c r="AV30" s="499"/>
      <c r="AW30" s="500"/>
      <c r="AX30" s="500"/>
      <c r="AY30" s="500"/>
      <c r="AZ30" s="501"/>
      <c r="BA30" s="499"/>
      <c r="BB30" s="500"/>
      <c r="BC30" s="500"/>
      <c r="BD30" s="500"/>
      <c r="BE30" s="501"/>
      <c r="BF30" s="499"/>
      <c r="BG30" s="500"/>
      <c r="BH30" s="500"/>
      <c r="BI30" s="500"/>
      <c r="BJ30" s="500"/>
      <c r="BK30" s="513"/>
      <c r="BL30" s="513"/>
      <c r="BM30" s="513"/>
      <c r="BN30" s="514"/>
      <c r="BO30" s="485" t="s">
        <v>33</v>
      </c>
      <c r="BP30" s="483"/>
      <c r="BQ30" s="483"/>
      <c r="BR30" s="483"/>
      <c r="BS30" s="483"/>
      <c r="BT30" s="483"/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  <c r="CI30" s="483"/>
      <c r="CJ30" s="483"/>
      <c r="CK30" s="483"/>
      <c r="CL30" s="483"/>
      <c r="CM30" s="483"/>
      <c r="CN30" s="483"/>
      <c r="CO30" s="483"/>
      <c r="CP30" s="483"/>
      <c r="CQ30" s="483"/>
      <c r="CR30" s="483"/>
      <c r="CS30" s="483"/>
      <c r="CT30" s="483"/>
      <c r="CU30" s="483"/>
      <c r="CV30" s="483"/>
      <c r="CW30" s="483"/>
      <c r="CX30" s="483"/>
      <c r="CY30" s="483"/>
      <c r="CZ30" s="483"/>
      <c r="DA30" s="483"/>
      <c r="DB30" s="484"/>
      <c r="DC30" s="485" t="s">
        <v>33</v>
      </c>
      <c r="DD30" s="483"/>
      <c r="DE30" s="483"/>
      <c r="DF30" s="483"/>
      <c r="DG30" s="483"/>
      <c r="DH30" s="483"/>
      <c r="DI30" s="483"/>
      <c r="DJ30" s="483"/>
      <c r="DK30" s="483"/>
      <c r="DL30" s="483"/>
      <c r="DM30" s="483"/>
      <c r="DN30" s="483"/>
      <c r="DO30" s="483"/>
      <c r="DP30" s="483"/>
      <c r="DQ30" s="483"/>
      <c r="DR30" s="483"/>
      <c r="DS30" s="483"/>
      <c r="DT30" s="483"/>
      <c r="DU30" s="483"/>
      <c r="DV30" s="483"/>
      <c r="DW30" s="483"/>
      <c r="DX30" s="483"/>
      <c r="DY30" s="483"/>
      <c r="DZ30" s="483"/>
      <c r="EA30" s="483"/>
      <c r="EB30" s="483"/>
      <c r="EC30" s="483"/>
      <c r="ED30" s="483"/>
      <c r="EE30" s="483"/>
      <c r="EF30" s="483"/>
      <c r="EG30" s="483"/>
      <c r="EH30" s="483"/>
      <c r="EI30" s="483"/>
      <c r="EJ30" s="483"/>
      <c r="EK30" s="483"/>
      <c r="EL30" s="483"/>
      <c r="EM30" s="483"/>
      <c r="EN30" s="483"/>
      <c r="EO30" s="483"/>
      <c r="EP30" s="484"/>
      <c r="EQ30" s="512"/>
      <c r="ER30" s="513"/>
      <c r="ES30" s="513"/>
    </row>
    <row r="31" spans="1:225" s="47" customFormat="1" ht="60" customHeight="1" x14ac:dyDescent="0.45">
      <c r="A31" s="529"/>
      <c r="B31" s="491"/>
      <c r="C31" s="482"/>
      <c r="D31" s="482"/>
      <c r="E31" s="482"/>
      <c r="F31" s="482"/>
      <c r="G31" s="482"/>
      <c r="H31" s="482"/>
      <c r="I31" s="482"/>
      <c r="J31" s="482"/>
      <c r="K31" s="482"/>
      <c r="L31" s="482"/>
      <c r="M31" s="482"/>
      <c r="N31" s="482"/>
      <c r="O31" s="482"/>
      <c r="P31" s="482"/>
      <c r="Q31" s="482"/>
      <c r="R31" s="482"/>
      <c r="S31" s="482"/>
      <c r="T31" s="482"/>
      <c r="U31" s="482"/>
      <c r="V31" s="482"/>
      <c r="W31" s="482"/>
      <c r="X31" s="482"/>
      <c r="Y31" s="482"/>
      <c r="Z31" s="533"/>
      <c r="AA31" s="525"/>
      <c r="AB31" s="525"/>
      <c r="AC31" s="525"/>
      <c r="AD31" s="525"/>
      <c r="AE31" s="525"/>
      <c r="AF31" s="534"/>
      <c r="AG31" s="499"/>
      <c r="AH31" s="500"/>
      <c r="AI31" s="500"/>
      <c r="AJ31" s="500"/>
      <c r="AK31" s="501"/>
      <c r="AL31" s="499"/>
      <c r="AM31" s="500"/>
      <c r="AN31" s="500"/>
      <c r="AO31" s="500"/>
      <c r="AP31" s="501"/>
      <c r="AQ31" s="499"/>
      <c r="AR31" s="500"/>
      <c r="AS31" s="500"/>
      <c r="AT31" s="500"/>
      <c r="AU31" s="501"/>
      <c r="AV31" s="499"/>
      <c r="AW31" s="500"/>
      <c r="AX31" s="500"/>
      <c r="AY31" s="500"/>
      <c r="AZ31" s="501"/>
      <c r="BA31" s="499"/>
      <c r="BB31" s="500"/>
      <c r="BC31" s="500"/>
      <c r="BD31" s="500"/>
      <c r="BE31" s="501"/>
      <c r="BF31" s="499"/>
      <c r="BG31" s="500"/>
      <c r="BH31" s="500"/>
      <c r="BI31" s="500"/>
      <c r="BJ31" s="500"/>
      <c r="BK31" s="513"/>
      <c r="BL31" s="513"/>
      <c r="BM31" s="513"/>
      <c r="BN31" s="514"/>
      <c r="BO31" s="485">
        <v>1</v>
      </c>
      <c r="BP31" s="483"/>
      <c r="BQ31" s="483"/>
      <c r="BR31" s="483"/>
      <c r="BS31" s="483"/>
      <c r="BT31" s="483">
        <v>2</v>
      </c>
      <c r="BU31" s="483"/>
      <c r="BV31" s="483"/>
      <c r="BW31" s="483"/>
      <c r="BX31" s="483"/>
      <c r="BY31" s="483">
        <v>3</v>
      </c>
      <c r="BZ31" s="483"/>
      <c r="CA31" s="483"/>
      <c r="CB31" s="483"/>
      <c r="CC31" s="483"/>
      <c r="CD31" s="483">
        <v>4</v>
      </c>
      <c r="CE31" s="483"/>
      <c r="CF31" s="483"/>
      <c r="CG31" s="483"/>
      <c r="CH31" s="483"/>
      <c r="CI31" s="483">
        <v>5</v>
      </c>
      <c r="CJ31" s="483"/>
      <c r="CK31" s="483"/>
      <c r="CL31" s="483"/>
      <c r="CM31" s="483"/>
      <c r="CN31" s="483">
        <v>6</v>
      </c>
      <c r="CO31" s="483"/>
      <c r="CP31" s="483"/>
      <c r="CQ31" s="483"/>
      <c r="CR31" s="483"/>
      <c r="CS31" s="483">
        <v>7</v>
      </c>
      <c r="CT31" s="483"/>
      <c r="CU31" s="483"/>
      <c r="CV31" s="483"/>
      <c r="CW31" s="483"/>
      <c r="CX31" s="483">
        <v>8</v>
      </c>
      <c r="CY31" s="483"/>
      <c r="CZ31" s="483"/>
      <c r="DA31" s="483"/>
      <c r="DB31" s="484"/>
      <c r="DC31" s="485">
        <v>1</v>
      </c>
      <c r="DD31" s="483"/>
      <c r="DE31" s="483"/>
      <c r="DF31" s="483"/>
      <c r="DG31" s="483"/>
      <c r="DH31" s="483">
        <v>2</v>
      </c>
      <c r="DI31" s="483"/>
      <c r="DJ31" s="483"/>
      <c r="DK31" s="483"/>
      <c r="DL31" s="483"/>
      <c r="DM31" s="483">
        <v>3</v>
      </c>
      <c r="DN31" s="483"/>
      <c r="DO31" s="483"/>
      <c r="DP31" s="483"/>
      <c r="DQ31" s="483"/>
      <c r="DR31" s="483">
        <v>4</v>
      </c>
      <c r="DS31" s="483"/>
      <c r="DT31" s="483"/>
      <c r="DU31" s="483"/>
      <c r="DV31" s="483"/>
      <c r="DW31" s="483">
        <v>5</v>
      </c>
      <c r="DX31" s="483"/>
      <c r="DY31" s="483"/>
      <c r="DZ31" s="483"/>
      <c r="EA31" s="483"/>
      <c r="EB31" s="483">
        <v>6</v>
      </c>
      <c r="EC31" s="483"/>
      <c r="ED31" s="483"/>
      <c r="EE31" s="483"/>
      <c r="EF31" s="483"/>
      <c r="EG31" s="483">
        <v>7</v>
      </c>
      <c r="EH31" s="483"/>
      <c r="EI31" s="483"/>
      <c r="EJ31" s="483"/>
      <c r="EK31" s="483"/>
      <c r="EL31" s="483">
        <v>8</v>
      </c>
      <c r="EM31" s="483"/>
      <c r="EN31" s="483"/>
      <c r="EO31" s="483"/>
      <c r="EP31" s="484"/>
      <c r="EQ31" s="512"/>
      <c r="ER31" s="513"/>
      <c r="ES31" s="513"/>
    </row>
    <row r="32" spans="1:225" s="47" customFormat="1" ht="60" customHeight="1" x14ac:dyDescent="0.45">
      <c r="A32" s="529"/>
      <c r="B32" s="491"/>
      <c r="C32" s="482"/>
      <c r="D32" s="482"/>
      <c r="E32" s="482"/>
      <c r="F32" s="482"/>
      <c r="G32" s="482"/>
      <c r="H32" s="482"/>
      <c r="I32" s="482"/>
      <c r="J32" s="482"/>
      <c r="K32" s="482"/>
      <c r="L32" s="482"/>
      <c r="M32" s="482"/>
      <c r="N32" s="482"/>
      <c r="O32" s="482"/>
      <c r="P32" s="482"/>
      <c r="Q32" s="482"/>
      <c r="R32" s="482"/>
      <c r="S32" s="482"/>
      <c r="T32" s="482"/>
      <c r="U32" s="482"/>
      <c r="V32" s="482"/>
      <c r="W32" s="482"/>
      <c r="X32" s="482"/>
      <c r="Y32" s="482"/>
      <c r="Z32" s="533"/>
      <c r="AA32" s="525"/>
      <c r="AB32" s="525"/>
      <c r="AC32" s="525"/>
      <c r="AD32" s="525"/>
      <c r="AE32" s="525"/>
      <c r="AF32" s="534"/>
      <c r="AG32" s="499"/>
      <c r="AH32" s="500"/>
      <c r="AI32" s="500"/>
      <c r="AJ32" s="500"/>
      <c r="AK32" s="501"/>
      <c r="AL32" s="499"/>
      <c r="AM32" s="500"/>
      <c r="AN32" s="500"/>
      <c r="AO32" s="500"/>
      <c r="AP32" s="501"/>
      <c r="AQ32" s="499"/>
      <c r="AR32" s="500"/>
      <c r="AS32" s="500"/>
      <c r="AT32" s="500"/>
      <c r="AU32" s="501"/>
      <c r="AV32" s="499"/>
      <c r="AW32" s="500"/>
      <c r="AX32" s="500"/>
      <c r="AY32" s="500"/>
      <c r="AZ32" s="501"/>
      <c r="BA32" s="499"/>
      <c r="BB32" s="500"/>
      <c r="BC32" s="500"/>
      <c r="BD32" s="500"/>
      <c r="BE32" s="501"/>
      <c r="BF32" s="499"/>
      <c r="BG32" s="500"/>
      <c r="BH32" s="500"/>
      <c r="BI32" s="500"/>
      <c r="BJ32" s="500"/>
      <c r="BK32" s="513"/>
      <c r="BL32" s="513"/>
      <c r="BM32" s="513"/>
      <c r="BN32" s="514"/>
      <c r="BO32" s="485" t="s">
        <v>34</v>
      </c>
      <c r="BP32" s="483"/>
      <c r="BQ32" s="483"/>
      <c r="BR32" s="483"/>
      <c r="BS32" s="483"/>
      <c r="BT32" s="483"/>
      <c r="BU32" s="483"/>
      <c r="BV32" s="483"/>
      <c r="BW32" s="483"/>
      <c r="BX32" s="483"/>
      <c r="BY32" s="483"/>
      <c r="BZ32" s="483"/>
      <c r="CA32" s="483"/>
      <c r="CB32" s="483"/>
      <c r="CC32" s="483"/>
      <c r="CD32" s="483"/>
      <c r="CE32" s="483"/>
      <c r="CF32" s="483"/>
      <c r="CG32" s="483"/>
      <c r="CH32" s="483"/>
      <c r="CI32" s="483"/>
      <c r="CJ32" s="483"/>
      <c r="CK32" s="483"/>
      <c r="CL32" s="483"/>
      <c r="CM32" s="483"/>
      <c r="CN32" s="483"/>
      <c r="CO32" s="483"/>
      <c r="CP32" s="483"/>
      <c r="CQ32" s="483"/>
      <c r="CR32" s="483"/>
      <c r="CS32" s="483"/>
      <c r="CT32" s="483"/>
      <c r="CU32" s="483"/>
      <c r="CV32" s="483"/>
      <c r="CW32" s="483"/>
      <c r="CX32" s="483"/>
      <c r="CY32" s="483"/>
      <c r="CZ32" s="483"/>
      <c r="DA32" s="483"/>
      <c r="DB32" s="484"/>
      <c r="DC32" s="485" t="s">
        <v>35</v>
      </c>
      <c r="DD32" s="483"/>
      <c r="DE32" s="483"/>
      <c r="DF32" s="483"/>
      <c r="DG32" s="483"/>
      <c r="DH32" s="483"/>
      <c r="DI32" s="483"/>
      <c r="DJ32" s="483"/>
      <c r="DK32" s="483"/>
      <c r="DL32" s="483"/>
      <c r="DM32" s="483"/>
      <c r="DN32" s="483"/>
      <c r="DO32" s="483"/>
      <c r="DP32" s="483"/>
      <c r="DQ32" s="483"/>
      <c r="DR32" s="483"/>
      <c r="DS32" s="483"/>
      <c r="DT32" s="483"/>
      <c r="DU32" s="483"/>
      <c r="DV32" s="483"/>
      <c r="DW32" s="483"/>
      <c r="DX32" s="483"/>
      <c r="DY32" s="483"/>
      <c r="DZ32" s="483"/>
      <c r="EA32" s="483"/>
      <c r="EB32" s="483"/>
      <c r="EC32" s="483"/>
      <c r="ED32" s="483"/>
      <c r="EE32" s="483"/>
      <c r="EF32" s="483"/>
      <c r="EG32" s="483"/>
      <c r="EH32" s="483"/>
      <c r="EI32" s="483"/>
      <c r="EJ32" s="483"/>
      <c r="EK32" s="483"/>
      <c r="EL32" s="483"/>
      <c r="EM32" s="483"/>
      <c r="EN32" s="483"/>
      <c r="EO32" s="483"/>
      <c r="EP32" s="484"/>
      <c r="EQ32" s="512"/>
      <c r="ER32" s="513"/>
      <c r="ES32" s="513"/>
    </row>
    <row r="33" spans="1:166" s="47" customFormat="1" ht="60" customHeight="1" x14ac:dyDescent="0.45">
      <c r="A33" s="530"/>
      <c r="B33" s="492"/>
      <c r="C33" s="482"/>
      <c r="D33" s="482"/>
      <c r="E33" s="482"/>
      <c r="F33" s="482"/>
      <c r="G33" s="482"/>
      <c r="H33" s="482"/>
      <c r="I33" s="482"/>
      <c r="J33" s="482"/>
      <c r="K33" s="482"/>
      <c r="L33" s="482"/>
      <c r="M33" s="482"/>
      <c r="N33" s="482"/>
      <c r="O33" s="482"/>
      <c r="P33" s="482"/>
      <c r="Q33" s="482"/>
      <c r="R33" s="482"/>
      <c r="S33" s="482"/>
      <c r="T33" s="482"/>
      <c r="U33" s="482"/>
      <c r="V33" s="482"/>
      <c r="W33" s="482"/>
      <c r="X33" s="482"/>
      <c r="Y33" s="482"/>
      <c r="Z33" s="483" t="s">
        <v>73</v>
      </c>
      <c r="AA33" s="483"/>
      <c r="AB33" s="483"/>
      <c r="AC33" s="483"/>
      <c r="AD33" s="483" t="s">
        <v>74</v>
      </c>
      <c r="AE33" s="483"/>
      <c r="AF33" s="483"/>
      <c r="AG33" s="502"/>
      <c r="AH33" s="503"/>
      <c r="AI33" s="503"/>
      <c r="AJ33" s="503"/>
      <c r="AK33" s="504"/>
      <c r="AL33" s="502"/>
      <c r="AM33" s="503"/>
      <c r="AN33" s="503"/>
      <c r="AO33" s="503"/>
      <c r="AP33" s="504"/>
      <c r="AQ33" s="502"/>
      <c r="AR33" s="503"/>
      <c r="AS33" s="503"/>
      <c r="AT33" s="503"/>
      <c r="AU33" s="504"/>
      <c r="AV33" s="502"/>
      <c r="AW33" s="503"/>
      <c r="AX33" s="503"/>
      <c r="AY33" s="503"/>
      <c r="AZ33" s="504"/>
      <c r="BA33" s="502"/>
      <c r="BB33" s="503"/>
      <c r="BC33" s="503"/>
      <c r="BD33" s="503"/>
      <c r="BE33" s="504"/>
      <c r="BF33" s="502"/>
      <c r="BG33" s="503"/>
      <c r="BH33" s="503"/>
      <c r="BI33" s="503"/>
      <c r="BJ33" s="503"/>
      <c r="BK33" s="513"/>
      <c r="BL33" s="513"/>
      <c r="BM33" s="513"/>
      <c r="BN33" s="514"/>
      <c r="BO33" s="485">
        <v>15</v>
      </c>
      <c r="BP33" s="483"/>
      <c r="BQ33" s="483"/>
      <c r="BR33" s="483"/>
      <c r="BS33" s="483"/>
      <c r="BT33" s="483">
        <v>15</v>
      </c>
      <c r="BU33" s="483"/>
      <c r="BV33" s="483"/>
      <c r="BW33" s="483"/>
      <c r="BX33" s="483"/>
      <c r="BY33" s="483">
        <v>15</v>
      </c>
      <c r="BZ33" s="483"/>
      <c r="CA33" s="483"/>
      <c r="CB33" s="483"/>
      <c r="CC33" s="483"/>
      <c r="CD33" s="483">
        <v>15</v>
      </c>
      <c r="CE33" s="483"/>
      <c r="CF33" s="483"/>
      <c r="CG33" s="483"/>
      <c r="CH33" s="483"/>
      <c r="CI33" s="483">
        <v>15</v>
      </c>
      <c r="CJ33" s="483"/>
      <c r="CK33" s="483"/>
      <c r="CL33" s="483"/>
      <c r="CM33" s="483"/>
      <c r="CN33" s="483">
        <v>15</v>
      </c>
      <c r="CO33" s="483"/>
      <c r="CP33" s="483"/>
      <c r="CQ33" s="483"/>
      <c r="CR33" s="483"/>
      <c r="CS33" s="483">
        <v>15</v>
      </c>
      <c r="CT33" s="483"/>
      <c r="CU33" s="483"/>
      <c r="CV33" s="483"/>
      <c r="CW33" s="483"/>
      <c r="CX33" s="483">
        <v>15</v>
      </c>
      <c r="CY33" s="483"/>
      <c r="CZ33" s="483"/>
      <c r="DA33" s="483"/>
      <c r="DB33" s="484"/>
      <c r="DC33" s="485">
        <f>DC88</f>
        <v>30</v>
      </c>
      <c r="DD33" s="483"/>
      <c r="DE33" s="483"/>
      <c r="DF33" s="483"/>
      <c r="DG33" s="483"/>
      <c r="DH33" s="511">
        <f>DH88</f>
        <v>30</v>
      </c>
      <c r="DI33" s="483"/>
      <c r="DJ33" s="483"/>
      <c r="DK33" s="483"/>
      <c r="DL33" s="483"/>
      <c r="DM33" s="511">
        <f>DM88</f>
        <v>30</v>
      </c>
      <c r="DN33" s="483"/>
      <c r="DO33" s="483"/>
      <c r="DP33" s="483"/>
      <c r="DQ33" s="483"/>
      <c r="DR33" s="511">
        <f>DR88</f>
        <v>30</v>
      </c>
      <c r="DS33" s="483"/>
      <c r="DT33" s="483"/>
      <c r="DU33" s="483"/>
      <c r="DV33" s="483"/>
      <c r="DW33" s="511">
        <f>DW88</f>
        <v>30</v>
      </c>
      <c r="DX33" s="483"/>
      <c r="DY33" s="483"/>
      <c r="DZ33" s="483"/>
      <c r="EA33" s="483"/>
      <c r="EB33" s="511">
        <f>EB88</f>
        <v>30</v>
      </c>
      <c r="EC33" s="483"/>
      <c r="ED33" s="483"/>
      <c r="EE33" s="483"/>
      <c r="EF33" s="483"/>
      <c r="EG33" s="511">
        <f>EG88</f>
        <v>30</v>
      </c>
      <c r="EH33" s="483"/>
      <c r="EI33" s="483"/>
      <c r="EJ33" s="483"/>
      <c r="EK33" s="483"/>
      <c r="EL33" s="511">
        <f>EL88</f>
        <v>30</v>
      </c>
      <c r="EM33" s="483"/>
      <c r="EN33" s="483"/>
      <c r="EO33" s="483"/>
      <c r="EP33" s="484"/>
      <c r="EQ33" s="478">
        <f>DC33+DH33+DM33+DR33+DW33+EG33+EB33+EL33</f>
        <v>240</v>
      </c>
      <c r="ER33" s="479"/>
      <c r="ES33" s="466"/>
    </row>
    <row r="34" spans="1:166" s="50" customFormat="1" ht="60" customHeight="1" x14ac:dyDescent="0.65">
      <c r="A34" s="49">
        <v>1</v>
      </c>
      <c r="B34" s="48"/>
      <c r="C34" s="493">
        <v>2</v>
      </c>
      <c r="D34" s="494"/>
      <c r="E34" s="494"/>
      <c r="F34" s="494"/>
      <c r="G34" s="494"/>
      <c r="H34" s="494"/>
      <c r="I34" s="494"/>
      <c r="J34" s="494"/>
      <c r="K34" s="494"/>
      <c r="L34" s="494"/>
      <c r="M34" s="494"/>
      <c r="N34" s="494"/>
      <c r="O34" s="494"/>
      <c r="P34" s="494"/>
      <c r="Q34" s="494"/>
      <c r="R34" s="494"/>
      <c r="S34" s="494"/>
      <c r="T34" s="494"/>
      <c r="U34" s="494"/>
      <c r="V34" s="494"/>
      <c r="W34" s="494"/>
      <c r="X34" s="494"/>
      <c r="Y34" s="511"/>
      <c r="Z34" s="531">
        <v>3</v>
      </c>
      <c r="AA34" s="531"/>
      <c r="AB34" s="531"/>
      <c r="AC34" s="531"/>
      <c r="AD34" s="505">
        <v>4</v>
      </c>
      <c r="AE34" s="506"/>
      <c r="AF34" s="507"/>
      <c r="AG34" s="505">
        <v>5</v>
      </c>
      <c r="AH34" s="506"/>
      <c r="AI34" s="506"/>
      <c r="AJ34" s="506"/>
      <c r="AK34" s="507"/>
      <c r="AL34" s="505">
        <v>6</v>
      </c>
      <c r="AM34" s="506"/>
      <c r="AN34" s="506"/>
      <c r="AO34" s="506"/>
      <c r="AP34" s="507"/>
      <c r="AQ34" s="505">
        <v>7</v>
      </c>
      <c r="AR34" s="506"/>
      <c r="AS34" s="506"/>
      <c r="AT34" s="506"/>
      <c r="AU34" s="507"/>
      <c r="AV34" s="505">
        <v>8</v>
      </c>
      <c r="AW34" s="506"/>
      <c r="AX34" s="506"/>
      <c r="AY34" s="506"/>
      <c r="AZ34" s="507"/>
      <c r="BA34" s="505">
        <v>9</v>
      </c>
      <c r="BB34" s="506"/>
      <c r="BC34" s="506"/>
      <c r="BD34" s="506"/>
      <c r="BE34" s="507"/>
      <c r="BF34" s="505">
        <v>10</v>
      </c>
      <c r="BG34" s="506"/>
      <c r="BH34" s="506"/>
      <c r="BI34" s="506"/>
      <c r="BJ34" s="507"/>
      <c r="BK34" s="508">
        <v>11</v>
      </c>
      <c r="BL34" s="509"/>
      <c r="BM34" s="509"/>
      <c r="BN34" s="509"/>
      <c r="BO34" s="485">
        <v>12</v>
      </c>
      <c r="BP34" s="483"/>
      <c r="BQ34" s="483"/>
      <c r="BR34" s="483"/>
      <c r="BS34" s="483"/>
      <c r="BT34" s="483">
        <v>13</v>
      </c>
      <c r="BU34" s="483"/>
      <c r="BV34" s="483"/>
      <c r="BW34" s="483"/>
      <c r="BX34" s="483"/>
      <c r="BY34" s="483">
        <v>14</v>
      </c>
      <c r="BZ34" s="483"/>
      <c r="CA34" s="483"/>
      <c r="CB34" s="483"/>
      <c r="CC34" s="483"/>
      <c r="CD34" s="483">
        <v>15</v>
      </c>
      <c r="CE34" s="483"/>
      <c r="CF34" s="483"/>
      <c r="CG34" s="483"/>
      <c r="CH34" s="483"/>
      <c r="CI34" s="483">
        <v>16</v>
      </c>
      <c r="CJ34" s="483"/>
      <c r="CK34" s="483"/>
      <c r="CL34" s="483"/>
      <c r="CM34" s="483"/>
      <c r="CN34" s="483">
        <v>17</v>
      </c>
      <c r="CO34" s="483"/>
      <c r="CP34" s="483"/>
      <c r="CQ34" s="483"/>
      <c r="CR34" s="483"/>
      <c r="CS34" s="483">
        <v>18</v>
      </c>
      <c r="CT34" s="483"/>
      <c r="CU34" s="483"/>
      <c r="CV34" s="483"/>
      <c r="CW34" s="483"/>
      <c r="CX34" s="483">
        <v>19</v>
      </c>
      <c r="CY34" s="483"/>
      <c r="CZ34" s="483"/>
      <c r="DA34" s="483"/>
      <c r="DB34" s="484"/>
      <c r="DC34" s="485">
        <v>20</v>
      </c>
      <c r="DD34" s="483"/>
      <c r="DE34" s="483"/>
      <c r="DF34" s="483"/>
      <c r="DG34" s="483"/>
      <c r="DH34" s="483">
        <v>21</v>
      </c>
      <c r="DI34" s="483"/>
      <c r="DJ34" s="483"/>
      <c r="DK34" s="483"/>
      <c r="DL34" s="483"/>
      <c r="DM34" s="483">
        <v>22</v>
      </c>
      <c r="DN34" s="483"/>
      <c r="DO34" s="483"/>
      <c r="DP34" s="483"/>
      <c r="DQ34" s="483"/>
      <c r="DR34" s="483">
        <v>23</v>
      </c>
      <c r="DS34" s="483"/>
      <c r="DT34" s="483"/>
      <c r="DU34" s="483"/>
      <c r="DV34" s="483"/>
      <c r="DW34" s="483">
        <v>24</v>
      </c>
      <c r="DX34" s="483"/>
      <c r="DY34" s="483"/>
      <c r="DZ34" s="483"/>
      <c r="EA34" s="483"/>
      <c r="EB34" s="483">
        <v>25</v>
      </c>
      <c r="EC34" s="483"/>
      <c r="ED34" s="483"/>
      <c r="EE34" s="483"/>
      <c r="EF34" s="483"/>
      <c r="EG34" s="483">
        <v>26</v>
      </c>
      <c r="EH34" s="483"/>
      <c r="EI34" s="483"/>
      <c r="EJ34" s="483"/>
      <c r="EK34" s="483"/>
      <c r="EL34" s="483">
        <v>27</v>
      </c>
      <c r="EM34" s="483"/>
      <c r="EN34" s="483"/>
      <c r="EO34" s="483"/>
      <c r="EP34" s="484"/>
      <c r="EQ34" s="478">
        <v>28</v>
      </c>
      <c r="ER34" s="479"/>
      <c r="ES34" s="466"/>
      <c r="EX34" s="311" t="s">
        <v>283</v>
      </c>
      <c r="EY34" s="312"/>
      <c r="EZ34" s="313"/>
    </row>
    <row r="35" spans="1:166" s="53" customFormat="1" ht="63" customHeight="1" x14ac:dyDescent="0.65">
      <c r="A35" s="51" t="s">
        <v>79</v>
      </c>
      <c r="B35" s="52"/>
      <c r="C35" s="510" t="s">
        <v>37</v>
      </c>
      <c r="D35" s="510"/>
      <c r="E35" s="510"/>
      <c r="F35" s="510"/>
      <c r="G35" s="510"/>
      <c r="H35" s="510"/>
      <c r="I35" s="510"/>
      <c r="J35" s="510"/>
      <c r="K35" s="510"/>
      <c r="L35" s="510"/>
      <c r="M35" s="510"/>
      <c r="N35" s="510"/>
      <c r="O35" s="510"/>
      <c r="P35" s="510"/>
      <c r="Q35" s="510"/>
      <c r="R35" s="510"/>
      <c r="S35" s="510"/>
      <c r="T35" s="510"/>
      <c r="U35" s="510"/>
      <c r="V35" s="510"/>
      <c r="W35" s="510"/>
      <c r="X35" s="510"/>
      <c r="Y35" s="510"/>
      <c r="Z35" s="407">
        <f>SUM(Z36:AC58)</f>
        <v>4650</v>
      </c>
      <c r="AA35" s="407"/>
      <c r="AB35" s="407"/>
      <c r="AC35" s="407"/>
      <c r="AD35" s="469">
        <f>Z35/$Z$88*100</f>
        <v>64.583333333333343</v>
      </c>
      <c r="AE35" s="469"/>
      <c r="AF35" s="469"/>
      <c r="AG35" s="408">
        <f>SUM(AG36:AK58)</f>
        <v>1896</v>
      </c>
      <c r="AH35" s="409"/>
      <c r="AI35" s="409"/>
      <c r="AJ35" s="409"/>
      <c r="AK35" s="410"/>
      <c r="AL35" s="408">
        <f>SUM(AL36:AP58)</f>
        <v>756</v>
      </c>
      <c r="AM35" s="409"/>
      <c r="AN35" s="409"/>
      <c r="AO35" s="409"/>
      <c r="AP35" s="410"/>
      <c r="AQ35" s="408">
        <f>SUM(AQ36:AU58)</f>
        <v>1020</v>
      </c>
      <c r="AR35" s="409"/>
      <c r="AS35" s="409"/>
      <c r="AT35" s="409"/>
      <c r="AU35" s="410"/>
      <c r="AV35" s="408">
        <f>SUM(AV36:AZ58)</f>
        <v>120</v>
      </c>
      <c r="AW35" s="409"/>
      <c r="AX35" s="409"/>
      <c r="AY35" s="409"/>
      <c r="AZ35" s="410"/>
      <c r="BA35" s="408">
        <f>SUM(BA36:BE58)</f>
        <v>0</v>
      </c>
      <c r="BB35" s="409"/>
      <c r="BC35" s="409"/>
      <c r="BD35" s="409"/>
      <c r="BE35" s="410"/>
      <c r="BF35" s="408">
        <f>SUM(BF36:BJ58)</f>
        <v>0</v>
      </c>
      <c r="BG35" s="409"/>
      <c r="BH35" s="409"/>
      <c r="BI35" s="409"/>
      <c r="BJ35" s="410"/>
      <c r="BK35" s="407">
        <f>SUM(BK36:BN58)</f>
        <v>2754</v>
      </c>
      <c r="BL35" s="407"/>
      <c r="BM35" s="407"/>
      <c r="BN35" s="408"/>
      <c r="BO35" s="430">
        <f>SUM(BO36:BS58)</f>
        <v>24</v>
      </c>
      <c r="BP35" s="368"/>
      <c r="BQ35" s="368"/>
      <c r="BR35" s="368"/>
      <c r="BS35" s="368"/>
      <c r="BT35" s="368">
        <f>SUM(BT36:BX58)</f>
        <v>24</v>
      </c>
      <c r="BU35" s="368"/>
      <c r="BV35" s="368"/>
      <c r="BW35" s="368"/>
      <c r="BX35" s="368"/>
      <c r="BY35" s="368">
        <f>SUM(BY36:CC58)</f>
        <v>16</v>
      </c>
      <c r="BZ35" s="368"/>
      <c r="CA35" s="368"/>
      <c r="CB35" s="368"/>
      <c r="CC35" s="368"/>
      <c r="CD35" s="368">
        <f>SUM(CD36:CH58)</f>
        <v>20</v>
      </c>
      <c r="CE35" s="368"/>
      <c r="CF35" s="368"/>
      <c r="CG35" s="368"/>
      <c r="CH35" s="368"/>
      <c r="CI35" s="368">
        <f>SUM(CI36:CM58)</f>
        <v>16</v>
      </c>
      <c r="CJ35" s="368"/>
      <c r="CK35" s="368"/>
      <c r="CL35" s="368"/>
      <c r="CM35" s="368"/>
      <c r="CN35" s="368">
        <f>SUM(CN36:CR58)</f>
        <v>16</v>
      </c>
      <c r="CO35" s="368"/>
      <c r="CP35" s="368"/>
      <c r="CQ35" s="368"/>
      <c r="CR35" s="368"/>
      <c r="CS35" s="368">
        <f>SUM(CS36:CW58)</f>
        <v>11</v>
      </c>
      <c r="CT35" s="368"/>
      <c r="CU35" s="368"/>
      <c r="CV35" s="368"/>
      <c r="CW35" s="368"/>
      <c r="CX35" s="368">
        <f>SUM(CX36:DB58)</f>
        <v>8</v>
      </c>
      <c r="CY35" s="368"/>
      <c r="CZ35" s="368"/>
      <c r="DA35" s="368"/>
      <c r="DB35" s="369"/>
      <c r="DC35" s="430">
        <f>SUM(DC36:DG58)</f>
        <v>30</v>
      </c>
      <c r="DD35" s="368"/>
      <c r="DE35" s="368"/>
      <c r="DF35" s="368"/>
      <c r="DG35" s="368"/>
      <c r="DH35" s="368">
        <f>SUM(DH36:DL58)</f>
        <v>28</v>
      </c>
      <c r="DI35" s="368"/>
      <c r="DJ35" s="368"/>
      <c r="DK35" s="368"/>
      <c r="DL35" s="368"/>
      <c r="DM35" s="368">
        <f>SUM(DM36:DQ58)</f>
        <v>20</v>
      </c>
      <c r="DN35" s="368"/>
      <c r="DO35" s="368"/>
      <c r="DP35" s="368"/>
      <c r="DQ35" s="368"/>
      <c r="DR35" s="368">
        <f>SUM(DR36:DV58)</f>
        <v>20</v>
      </c>
      <c r="DS35" s="368"/>
      <c r="DT35" s="368"/>
      <c r="DU35" s="368"/>
      <c r="DV35" s="368"/>
      <c r="DW35" s="368">
        <f>SUM(DW36:EA58)</f>
        <v>19</v>
      </c>
      <c r="DX35" s="368"/>
      <c r="DY35" s="368"/>
      <c r="DZ35" s="368"/>
      <c r="EA35" s="368"/>
      <c r="EB35" s="368">
        <f>SUM(EB36:EF58)</f>
        <v>19</v>
      </c>
      <c r="EC35" s="368"/>
      <c r="ED35" s="368"/>
      <c r="EE35" s="368"/>
      <c r="EF35" s="368"/>
      <c r="EG35" s="368">
        <f>SUM(EG36:EK58)</f>
        <v>11</v>
      </c>
      <c r="EH35" s="368"/>
      <c r="EI35" s="368"/>
      <c r="EJ35" s="368"/>
      <c r="EK35" s="368"/>
      <c r="EL35" s="368">
        <f>SUM(EL36:EP58)</f>
        <v>8</v>
      </c>
      <c r="EM35" s="368"/>
      <c r="EN35" s="368"/>
      <c r="EO35" s="368"/>
      <c r="EP35" s="369"/>
      <c r="EQ35" s="540">
        <f>SUM(EQ36:ES58)</f>
        <v>155</v>
      </c>
      <c r="ER35" s="473"/>
      <c r="ES35" s="468"/>
      <c r="EX35" s="230"/>
      <c r="EY35" s="231"/>
      <c r="EZ35" s="232"/>
    </row>
    <row r="36" spans="1:166" s="55" customFormat="1" ht="90" customHeight="1" x14ac:dyDescent="0.65">
      <c r="A36" s="54" t="s">
        <v>80</v>
      </c>
      <c r="B36" s="135" t="s">
        <v>129</v>
      </c>
      <c r="C36" s="488" t="s">
        <v>121</v>
      </c>
      <c r="D36" s="488"/>
      <c r="E36" s="488"/>
      <c r="F36" s="488"/>
      <c r="G36" s="488"/>
      <c r="H36" s="488"/>
      <c r="I36" s="488"/>
      <c r="J36" s="488"/>
      <c r="K36" s="488"/>
      <c r="L36" s="488"/>
      <c r="M36" s="488"/>
      <c r="N36" s="488"/>
      <c r="O36" s="488"/>
      <c r="P36" s="488"/>
      <c r="Q36" s="488"/>
      <c r="R36" s="488"/>
      <c r="S36" s="488"/>
      <c r="T36" s="488"/>
      <c r="U36" s="488"/>
      <c r="V36" s="488"/>
      <c r="W36" s="488"/>
      <c r="X36" s="488"/>
      <c r="Y36" s="488"/>
      <c r="Z36" s="466">
        <f>+EQ36*30</f>
        <v>120</v>
      </c>
      <c r="AA36" s="466"/>
      <c r="AB36" s="466"/>
      <c r="AC36" s="466"/>
      <c r="AD36" s="355"/>
      <c r="AE36" s="355"/>
      <c r="AF36" s="355"/>
      <c r="AG36" s="437">
        <f>SUM(AL36:BE36)</f>
        <v>60</v>
      </c>
      <c r="AH36" s="437"/>
      <c r="AI36" s="437"/>
      <c r="AJ36" s="437"/>
      <c r="AK36" s="437"/>
      <c r="AL36" s="437">
        <v>30</v>
      </c>
      <c r="AM36" s="437"/>
      <c r="AN36" s="437"/>
      <c r="AO36" s="437"/>
      <c r="AP36" s="437"/>
      <c r="AQ36" s="437"/>
      <c r="AR36" s="437"/>
      <c r="AS36" s="437"/>
      <c r="AT36" s="437"/>
      <c r="AU36" s="437"/>
      <c r="AV36" s="437">
        <v>30</v>
      </c>
      <c r="AW36" s="437"/>
      <c r="AX36" s="437"/>
      <c r="AY36" s="437"/>
      <c r="AZ36" s="437"/>
      <c r="BA36" s="438"/>
      <c r="BB36" s="438"/>
      <c r="BC36" s="438"/>
      <c r="BD36" s="438"/>
      <c r="BE36" s="438"/>
      <c r="BF36" s="438"/>
      <c r="BG36" s="438"/>
      <c r="BH36" s="438"/>
      <c r="BI36" s="438"/>
      <c r="BJ36" s="438"/>
      <c r="BK36" s="439">
        <f>Z36-AG36</f>
        <v>60</v>
      </c>
      <c r="BL36" s="439"/>
      <c r="BM36" s="439"/>
      <c r="BN36" s="440"/>
      <c r="BO36" s="363">
        <v>4</v>
      </c>
      <c r="BP36" s="355"/>
      <c r="BQ36" s="355"/>
      <c r="BR36" s="355"/>
      <c r="BS36" s="355"/>
      <c r="BT36" s="355"/>
      <c r="BU36" s="355"/>
      <c r="BV36" s="355"/>
      <c r="BW36" s="355"/>
      <c r="BX36" s="355"/>
      <c r="BY36" s="356"/>
      <c r="BZ36" s="356"/>
      <c r="CA36" s="356"/>
      <c r="CB36" s="356"/>
      <c r="CC36" s="356"/>
      <c r="CD36" s="356"/>
      <c r="CE36" s="356"/>
      <c r="CF36" s="356"/>
      <c r="CG36" s="356"/>
      <c r="CH36" s="356"/>
      <c r="CI36" s="355"/>
      <c r="CJ36" s="355"/>
      <c r="CK36" s="355"/>
      <c r="CL36" s="355"/>
      <c r="CM36" s="355"/>
      <c r="CN36" s="355"/>
      <c r="CO36" s="355"/>
      <c r="CP36" s="355"/>
      <c r="CQ36" s="355"/>
      <c r="CR36" s="355"/>
      <c r="CS36" s="355"/>
      <c r="CT36" s="355"/>
      <c r="CU36" s="355"/>
      <c r="CV36" s="355"/>
      <c r="CW36" s="355"/>
      <c r="CX36" s="355"/>
      <c r="CY36" s="355"/>
      <c r="CZ36" s="355"/>
      <c r="DA36" s="355"/>
      <c r="DB36" s="362"/>
      <c r="DC36" s="363">
        <v>4</v>
      </c>
      <c r="DD36" s="355"/>
      <c r="DE36" s="355"/>
      <c r="DF36" s="355"/>
      <c r="DG36" s="355"/>
      <c r="DH36" s="355"/>
      <c r="DI36" s="355"/>
      <c r="DJ36" s="355"/>
      <c r="DK36" s="355"/>
      <c r="DL36" s="355"/>
      <c r="DM36" s="355"/>
      <c r="DN36" s="355"/>
      <c r="DO36" s="355"/>
      <c r="DP36" s="355"/>
      <c r="DQ36" s="355"/>
      <c r="DR36" s="355"/>
      <c r="DS36" s="355"/>
      <c r="DT36" s="355"/>
      <c r="DU36" s="355"/>
      <c r="DV36" s="355"/>
      <c r="DW36" s="355"/>
      <c r="DX36" s="355"/>
      <c r="DY36" s="355"/>
      <c r="DZ36" s="355"/>
      <c r="EA36" s="355"/>
      <c r="EB36" s="355"/>
      <c r="EC36" s="355"/>
      <c r="ED36" s="355"/>
      <c r="EE36" s="355"/>
      <c r="EF36" s="355"/>
      <c r="EG36" s="355"/>
      <c r="EH36" s="355"/>
      <c r="EI36" s="355"/>
      <c r="EJ36" s="355"/>
      <c r="EK36" s="355"/>
      <c r="EL36" s="355"/>
      <c r="EM36" s="355"/>
      <c r="EN36" s="355"/>
      <c r="EO36" s="355"/>
      <c r="EP36" s="362"/>
      <c r="EQ36" s="478">
        <f t="shared" ref="EQ36:EQ50" si="0">DC36+DH36+DM36+DR36+DW36+EG36+EB36+EL36</f>
        <v>4</v>
      </c>
      <c r="ER36" s="479"/>
      <c r="ES36" s="466"/>
      <c r="ET36" s="260"/>
      <c r="EX36" s="230"/>
      <c r="EY36" s="231">
        <v>4</v>
      </c>
      <c r="EZ36" s="232"/>
      <c r="FC36" s="243"/>
      <c r="FD36" s="244" t="s">
        <v>284</v>
      </c>
      <c r="FE36" s="243"/>
      <c r="FF36" s="243"/>
      <c r="FG36" s="243"/>
      <c r="FH36" s="243"/>
      <c r="FI36" s="255">
        <v>5</v>
      </c>
      <c r="FJ36" s="255"/>
    </row>
    <row r="37" spans="1:166" s="55" customFormat="1" ht="90" customHeight="1" x14ac:dyDescent="0.65">
      <c r="A37" s="54" t="s">
        <v>81</v>
      </c>
      <c r="B37" s="135" t="s">
        <v>162</v>
      </c>
      <c r="C37" s="388" t="s">
        <v>114</v>
      </c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434">
        <f t="shared" ref="Z37:Z58" si="1">+EQ37*30</f>
        <v>120</v>
      </c>
      <c r="AA37" s="435"/>
      <c r="AB37" s="435"/>
      <c r="AC37" s="436"/>
      <c r="AD37" s="355"/>
      <c r="AE37" s="355"/>
      <c r="AF37" s="355"/>
      <c r="AG37" s="437">
        <f t="shared" ref="AG37:AG58" si="2">SUM(AL37:BE37)</f>
        <v>60</v>
      </c>
      <c r="AH37" s="437"/>
      <c r="AI37" s="437"/>
      <c r="AJ37" s="437"/>
      <c r="AK37" s="437"/>
      <c r="AL37" s="437"/>
      <c r="AM37" s="437"/>
      <c r="AN37" s="437"/>
      <c r="AO37" s="437"/>
      <c r="AP37" s="437"/>
      <c r="AQ37" s="437">
        <v>60</v>
      </c>
      <c r="AR37" s="437"/>
      <c r="AS37" s="437"/>
      <c r="AT37" s="437"/>
      <c r="AU37" s="437"/>
      <c r="AV37" s="437"/>
      <c r="AW37" s="437"/>
      <c r="AX37" s="437"/>
      <c r="AY37" s="437"/>
      <c r="AZ37" s="437"/>
      <c r="BA37" s="438"/>
      <c r="BB37" s="438"/>
      <c r="BC37" s="438"/>
      <c r="BD37" s="438"/>
      <c r="BE37" s="438"/>
      <c r="BF37" s="438"/>
      <c r="BG37" s="438"/>
      <c r="BH37" s="438"/>
      <c r="BI37" s="438"/>
      <c r="BJ37" s="438"/>
      <c r="BK37" s="439">
        <f t="shared" ref="BK37:BK50" si="3">Z37-AG37</f>
        <v>60</v>
      </c>
      <c r="BL37" s="439"/>
      <c r="BM37" s="439"/>
      <c r="BN37" s="440"/>
      <c r="BO37" s="363"/>
      <c r="BP37" s="355"/>
      <c r="BQ37" s="355"/>
      <c r="BR37" s="355"/>
      <c r="BS37" s="355"/>
      <c r="BT37" s="355">
        <v>4</v>
      </c>
      <c r="BU37" s="355"/>
      <c r="BV37" s="355"/>
      <c r="BW37" s="355"/>
      <c r="BX37" s="355"/>
      <c r="BY37" s="356"/>
      <c r="BZ37" s="356"/>
      <c r="CA37" s="356"/>
      <c r="CB37" s="356"/>
      <c r="CC37" s="356"/>
      <c r="CD37" s="356"/>
      <c r="CE37" s="356"/>
      <c r="CF37" s="356"/>
      <c r="CG37" s="356"/>
      <c r="CH37" s="356"/>
      <c r="CI37" s="355"/>
      <c r="CJ37" s="355"/>
      <c r="CK37" s="355"/>
      <c r="CL37" s="355"/>
      <c r="CM37" s="355"/>
      <c r="CN37" s="355"/>
      <c r="CO37" s="355"/>
      <c r="CP37" s="355"/>
      <c r="CQ37" s="355"/>
      <c r="CR37" s="355"/>
      <c r="CS37" s="355"/>
      <c r="CT37" s="355"/>
      <c r="CU37" s="355"/>
      <c r="CV37" s="355"/>
      <c r="CW37" s="355"/>
      <c r="CX37" s="355"/>
      <c r="CY37" s="355"/>
      <c r="CZ37" s="355"/>
      <c r="DA37" s="355"/>
      <c r="DB37" s="362"/>
      <c r="DC37" s="363"/>
      <c r="DD37" s="355"/>
      <c r="DE37" s="355"/>
      <c r="DF37" s="355"/>
      <c r="DG37" s="355"/>
      <c r="DH37" s="355">
        <v>4</v>
      </c>
      <c r="DI37" s="355"/>
      <c r="DJ37" s="355"/>
      <c r="DK37" s="355"/>
      <c r="DL37" s="355"/>
      <c r="DM37" s="355"/>
      <c r="DN37" s="355"/>
      <c r="DO37" s="355"/>
      <c r="DP37" s="355"/>
      <c r="DQ37" s="355"/>
      <c r="DR37" s="355"/>
      <c r="DS37" s="355"/>
      <c r="DT37" s="355"/>
      <c r="DU37" s="355"/>
      <c r="DV37" s="355"/>
      <c r="DW37" s="355"/>
      <c r="DX37" s="355"/>
      <c r="DY37" s="355"/>
      <c r="DZ37" s="355"/>
      <c r="EA37" s="355"/>
      <c r="EB37" s="355"/>
      <c r="EC37" s="355"/>
      <c r="ED37" s="355"/>
      <c r="EE37" s="355"/>
      <c r="EF37" s="355"/>
      <c r="EG37" s="355"/>
      <c r="EH37" s="355"/>
      <c r="EI37" s="355"/>
      <c r="EJ37" s="355"/>
      <c r="EK37" s="355"/>
      <c r="EL37" s="355"/>
      <c r="EM37" s="355"/>
      <c r="EN37" s="355"/>
      <c r="EO37" s="355"/>
      <c r="EP37" s="362"/>
      <c r="EQ37" s="478">
        <f t="shared" si="0"/>
        <v>4</v>
      </c>
      <c r="ER37" s="479"/>
      <c r="ES37" s="466"/>
      <c r="ET37" s="260" t="s">
        <v>297</v>
      </c>
      <c r="EX37" s="230"/>
      <c r="EY37" s="231"/>
      <c r="EZ37" s="232"/>
      <c r="FC37" s="243"/>
      <c r="FD37" s="244" t="s">
        <v>285</v>
      </c>
      <c r="FE37" s="243"/>
      <c r="FF37" s="243"/>
      <c r="FG37" s="243"/>
      <c r="FH37" s="243"/>
      <c r="FI37" s="255">
        <v>4</v>
      </c>
      <c r="FJ37" s="255"/>
    </row>
    <row r="38" spans="1:166" s="55" customFormat="1" ht="90" customHeight="1" x14ac:dyDescent="0.65">
      <c r="A38" s="54" t="s">
        <v>82</v>
      </c>
      <c r="B38" s="135" t="s">
        <v>130</v>
      </c>
      <c r="C38" s="488" t="s">
        <v>75</v>
      </c>
      <c r="D38" s="488"/>
      <c r="E38" s="488"/>
      <c r="F38" s="488"/>
      <c r="G38" s="488"/>
      <c r="H38" s="488"/>
      <c r="I38" s="488"/>
      <c r="J38" s="488"/>
      <c r="K38" s="488"/>
      <c r="L38" s="488"/>
      <c r="M38" s="488"/>
      <c r="N38" s="488"/>
      <c r="O38" s="488"/>
      <c r="P38" s="488"/>
      <c r="Q38" s="488"/>
      <c r="R38" s="488"/>
      <c r="S38" s="488"/>
      <c r="T38" s="488"/>
      <c r="U38" s="488"/>
      <c r="V38" s="488"/>
      <c r="W38" s="488"/>
      <c r="X38" s="488"/>
      <c r="Y38" s="488"/>
      <c r="Z38" s="434">
        <f t="shared" si="1"/>
        <v>120</v>
      </c>
      <c r="AA38" s="435"/>
      <c r="AB38" s="435"/>
      <c r="AC38" s="436"/>
      <c r="AD38" s="355"/>
      <c r="AE38" s="355"/>
      <c r="AF38" s="355"/>
      <c r="AG38" s="437">
        <f t="shared" si="2"/>
        <v>60</v>
      </c>
      <c r="AH38" s="437"/>
      <c r="AI38" s="437"/>
      <c r="AJ38" s="437"/>
      <c r="AK38" s="437"/>
      <c r="AL38" s="489">
        <v>30</v>
      </c>
      <c r="AM38" s="489"/>
      <c r="AN38" s="489"/>
      <c r="AO38" s="489"/>
      <c r="AP38" s="489"/>
      <c r="AQ38" s="489"/>
      <c r="AR38" s="489"/>
      <c r="AS38" s="489"/>
      <c r="AT38" s="489"/>
      <c r="AU38" s="489"/>
      <c r="AV38" s="437">
        <v>30</v>
      </c>
      <c r="AW38" s="437"/>
      <c r="AX38" s="437"/>
      <c r="AY38" s="437"/>
      <c r="AZ38" s="437"/>
      <c r="BA38" s="438"/>
      <c r="BB38" s="438"/>
      <c r="BC38" s="438"/>
      <c r="BD38" s="438"/>
      <c r="BE38" s="438"/>
      <c r="BF38" s="438"/>
      <c r="BG38" s="438"/>
      <c r="BH38" s="438"/>
      <c r="BI38" s="438"/>
      <c r="BJ38" s="438"/>
      <c r="BK38" s="439">
        <f t="shared" si="3"/>
        <v>60</v>
      </c>
      <c r="BL38" s="439"/>
      <c r="BM38" s="439"/>
      <c r="BN38" s="440"/>
      <c r="BO38" s="363"/>
      <c r="BP38" s="355"/>
      <c r="BQ38" s="355"/>
      <c r="BR38" s="355"/>
      <c r="BS38" s="355"/>
      <c r="BT38" s="355">
        <v>4</v>
      </c>
      <c r="BU38" s="355"/>
      <c r="BV38" s="355"/>
      <c r="BW38" s="355"/>
      <c r="BX38" s="355"/>
      <c r="BY38" s="356"/>
      <c r="BZ38" s="356"/>
      <c r="CA38" s="356"/>
      <c r="CB38" s="356"/>
      <c r="CC38" s="356"/>
      <c r="CD38" s="356"/>
      <c r="CE38" s="356"/>
      <c r="CF38" s="356"/>
      <c r="CG38" s="356"/>
      <c r="CH38" s="356"/>
      <c r="CI38" s="355"/>
      <c r="CJ38" s="355"/>
      <c r="CK38" s="355"/>
      <c r="CL38" s="355"/>
      <c r="CM38" s="355"/>
      <c r="CN38" s="355"/>
      <c r="CO38" s="355"/>
      <c r="CP38" s="355"/>
      <c r="CQ38" s="355"/>
      <c r="CR38" s="355"/>
      <c r="CS38" s="355"/>
      <c r="CT38" s="355"/>
      <c r="CU38" s="355"/>
      <c r="CV38" s="355"/>
      <c r="CW38" s="355"/>
      <c r="CX38" s="355"/>
      <c r="CY38" s="355"/>
      <c r="CZ38" s="355"/>
      <c r="DA38" s="355"/>
      <c r="DB38" s="362"/>
      <c r="DC38" s="363"/>
      <c r="DD38" s="355"/>
      <c r="DE38" s="355"/>
      <c r="DF38" s="355"/>
      <c r="DG38" s="355"/>
      <c r="DH38" s="355">
        <v>4</v>
      </c>
      <c r="DI38" s="355"/>
      <c r="DJ38" s="355"/>
      <c r="DK38" s="355"/>
      <c r="DL38" s="355"/>
      <c r="DM38" s="355"/>
      <c r="DN38" s="355"/>
      <c r="DO38" s="355"/>
      <c r="DP38" s="355"/>
      <c r="DQ38" s="355"/>
      <c r="DR38" s="355"/>
      <c r="DS38" s="355"/>
      <c r="DT38" s="355"/>
      <c r="DU38" s="355"/>
      <c r="DV38" s="355"/>
      <c r="DW38" s="355"/>
      <c r="DX38" s="355"/>
      <c r="DY38" s="355"/>
      <c r="DZ38" s="355"/>
      <c r="EA38" s="355"/>
      <c r="EB38" s="355"/>
      <c r="EC38" s="355"/>
      <c r="ED38" s="355"/>
      <c r="EE38" s="355"/>
      <c r="EF38" s="355"/>
      <c r="EG38" s="355"/>
      <c r="EH38" s="355"/>
      <c r="EI38" s="355"/>
      <c r="EJ38" s="355"/>
      <c r="EK38" s="355"/>
      <c r="EL38" s="355"/>
      <c r="EM38" s="355"/>
      <c r="EN38" s="355"/>
      <c r="EO38" s="355"/>
      <c r="EP38" s="362"/>
      <c r="EQ38" s="478">
        <f t="shared" si="0"/>
        <v>4</v>
      </c>
      <c r="ER38" s="479"/>
      <c r="ES38" s="466"/>
      <c r="ET38" s="260"/>
      <c r="EX38" s="230"/>
      <c r="EY38" s="231">
        <v>5</v>
      </c>
      <c r="EZ38" s="232"/>
      <c r="FC38" s="243"/>
      <c r="FD38" s="244" t="s">
        <v>286</v>
      </c>
      <c r="FE38" s="243"/>
      <c r="FF38" s="243"/>
      <c r="FG38" s="243"/>
      <c r="FH38" s="243"/>
      <c r="FI38" s="255">
        <v>4</v>
      </c>
      <c r="FJ38" s="255"/>
    </row>
    <row r="39" spans="1:166" s="55" customFormat="1" ht="90" customHeight="1" x14ac:dyDescent="0.65">
      <c r="A39" s="54" t="s">
        <v>83</v>
      </c>
      <c r="B39" s="135" t="s">
        <v>131</v>
      </c>
      <c r="C39" s="536" t="s">
        <v>111</v>
      </c>
      <c r="D39" s="536"/>
      <c r="E39" s="536"/>
      <c r="F39" s="536"/>
      <c r="G39" s="536"/>
      <c r="H39" s="536"/>
      <c r="I39" s="536"/>
      <c r="J39" s="536"/>
      <c r="K39" s="536"/>
      <c r="L39" s="536"/>
      <c r="M39" s="536"/>
      <c r="N39" s="536"/>
      <c r="O39" s="536"/>
      <c r="P39" s="536"/>
      <c r="Q39" s="536"/>
      <c r="R39" s="536"/>
      <c r="S39" s="536"/>
      <c r="T39" s="536"/>
      <c r="U39" s="536"/>
      <c r="V39" s="536"/>
      <c r="W39" s="536"/>
      <c r="X39" s="536"/>
      <c r="Y39" s="536"/>
      <c r="Z39" s="434">
        <f t="shared" si="1"/>
        <v>120</v>
      </c>
      <c r="AA39" s="435"/>
      <c r="AB39" s="435"/>
      <c r="AC39" s="436"/>
      <c r="AD39" s="355"/>
      <c r="AE39" s="355"/>
      <c r="AF39" s="355"/>
      <c r="AG39" s="437">
        <f t="shared" si="2"/>
        <v>60</v>
      </c>
      <c r="AH39" s="437"/>
      <c r="AI39" s="437"/>
      <c r="AJ39" s="437"/>
      <c r="AK39" s="437"/>
      <c r="AL39" s="437">
        <v>30</v>
      </c>
      <c r="AM39" s="437"/>
      <c r="AN39" s="437"/>
      <c r="AO39" s="437"/>
      <c r="AP39" s="437"/>
      <c r="AQ39" s="437"/>
      <c r="AR39" s="437"/>
      <c r="AS39" s="437"/>
      <c r="AT39" s="437"/>
      <c r="AU39" s="437"/>
      <c r="AV39" s="437">
        <v>30</v>
      </c>
      <c r="AW39" s="437"/>
      <c r="AX39" s="437"/>
      <c r="AY39" s="437"/>
      <c r="AZ39" s="437"/>
      <c r="BA39" s="438"/>
      <c r="BB39" s="438"/>
      <c r="BC39" s="438"/>
      <c r="BD39" s="438"/>
      <c r="BE39" s="438"/>
      <c r="BF39" s="438"/>
      <c r="BG39" s="438"/>
      <c r="BH39" s="438"/>
      <c r="BI39" s="438"/>
      <c r="BJ39" s="438"/>
      <c r="BK39" s="439">
        <f t="shared" si="3"/>
        <v>60</v>
      </c>
      <c r="BL39" s="439"/>
      <c r="BM39" s="439"/>
      <c r="BN39" s="440"/>
      <c r="BO39" s="363"/>
      <c r="BP39" s="355"/>
      <c r="BQ39" s="355"/>
      <c r="BR39" s="355"/>
      <c r="BS39" s="355"/>
      <c r="BT39" s="355">
        <v>4</v>
      </c>
      <c r="BU39" s="355"/>
      <c r="BV39" s="355"/>
      <c r="BW39" s="355"/>
      <c r="BX39" s="355"/>
      <c r="BY39" s="356"/>
      <c r="BZ39" s="356"/>
      <c r="CA39" s="356"/>
      <c r="CB39" s="356"/>
      <c r="CC39" s="356"/>
      <c r="CD39" s="356"/>
      <c r="CE39" s="356"/>
      <c r="CF39" s="356"/>
      <c r="CG39" s="356"/>
      <c r="CH39" s="356"/>
      <c r="CI39" s="355"/>
      <c r="CJ39" s="355"/>
      <c r="CK39" s="355"/>
      <c r="CL39" s="355"/>
      <c r="CM39" s="355"/>
      <c r="CN39" s="355"/>
      <c r="CO39" s="355"/>
      <c r="CP39" s="355"/>
      <c r="CQ39" s="355"/>
      <c r="CR39" s="355"/>
      <c r="CS39" s="355"/>
      <c r="CT39" s="355"/>
      <c r="CU39" s="355"/>
      <c r="CV39" s="355"/>
      <c r="CW39" s="355"/>
      <c r="CX39" s="355"/>
      <c r="CY39" s="355"/>
      <c r="CZ39" s="355"/>
      <c r="DA39" s="355"/>
      <c r="DB39" s="362"/>
      <c r="DC39" s="363"/>
      <c r="DD39" s="355"/>
      <c r="DE39" s="355"/>
      <c r="DF39" s="355"/>
      <c r="DG39" s="355"/>
      <c r="DH39" s="355">
        <v>4</v>
      </c>
      <c r="DI39" s="355"/>
      <c r="DJ39" s="355"/>
      <c r="DK39" s="355"/>
      <c r="DL39" s="355"/>
      <c r="DM39" s="355"/>
      <c r="DN39" s="355"/>
      <c r="DO39" s="355"/>
      <c r="DP39" s="355"/>
      <c r="DQ39" s="355"/>
      <c r="DR39" s="355"/>
      <c r="DS39" s="355"/>
      <c r="DT39" s="355"/>
      <c r="DU39" s="355"/>
      <c r="DV39" s="355"/>
      <c r="DW39" s="355"/>
      <c r="DX39" s="355"/>
      <c r="DY39" s="355"/>
      <c r="DZ39" s="355"/>
      <c r="EA39" s="355"/>
      <c r="EB39" s="355"/>
      <c r="EC39" s="355"/>
      <c r="ED39" s="355"/>
      <c r="EE39" s="355"/>
      <c r="EF39" s="355"/>
      <c r="EG39" s="355"/>
      <c r="EH39" s="355"/>
      <c r="EI39" s="355"/>
      <c r="EJ39" s="355"/>
      <c r="EK39" s="355"/>
      <c r="EL39" s="355"/>
      <c r="EM39" s="355"/>
      <c r="EN39" s="355"/>
      <c r="EO39" s="355"/>
      <c r="EP39" s="362"/>
      <c r="EQ39" s="478">
        <f t="shared" si="0"/>
        <v>4</v>
      </c>
      <c r="ER39" s="479"/>
      <c r="ES39" s="466"/>
      <c r="ET39" s="261" t="s">
        <v>297</v>
      </c>
      <c r="EX39" s="230"/>
      <c r="EY39" s="231">
        <v>5</v>
      </c>
      <c r="EZ39" s="232"/>
      <c r="FC39" s="243"/>
      <c r="FD39" s="244" t="s">
        <v>287</v>
      </c>
      <c r="FE39" s="243"/>
      <c r="FF39" s="243"/>
      <c r="FG39" s="243"/>
      <c r="FH39" s="243"/>
      <c r="FI39" s="255">
        <v>9</v>
      </c>
      <c r="FJ39" s="255"/>
    </row>
    <row r="40" spans="1:166" s="55" customFormat="1" ht="90" customHeight="1" x14ac:dyDescent="0.65">
      <c r="A40" s="54" t="s">
        <v>84</v>
      </c>
      <c r="B40" s="135" t="s">
        <v>132</v>
      </c>
      <c r="C40" s="527" t="s">
        <v>205</v>
      </c>
      <c r="D40" s="527"/>
      <c r="E40" s="527"/>
      <c r="F40" s="527"/>
      <c r="G40" s="527"/>
      <c r="H40" s="527"/>
      <c r="I40" s="527"/>
      <c r="J40" s="527"/>
      <c r="K40" s="527"/>
      <c r="L40" s="527"/>
      <c r="M40" s="527"/>
      <c r="N40" s="527"/>
      <c r="O40" s="527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434">
        <f t="shared" si="1"/>
        <v>360</v>
      </c>
      <c r="AA40" s="435"/>
      <c r="AB40" s="435"/>
      <c r="AC40" s="436"/>
      <c r="AD40" s="355"/>
      <c r="AE40" s="355"/>
      <c r="AF40" s="355"/>
      <c r="AG40" s="437">
        <f t="shared" si="2"/>
        <v>120</v>
      </c>
      <c r="AH40" s="437"/>
      <c r="AI40" s="437"/>
      <c r="AJ40" s="437"/>
      <c r="AK40" s="437"/>
      <c r="AL40" s="437">
        <v>60</v>
      </c>
      <c r="AM40" s="437"/>
      <c r="AN40" s="437"/>
      <c r="AO40" s="437"/>
      <c r="AP40" s="437"/>
      <c r="AQ40" s="437">
        <v>60</v>
      </c>
      <c r="AR40" s="437"/>
      <c r="AS40" s="437"/>
      <c r="AT40" s="437"/>
      <c r="AU40" s="437"/>
      <c r="AV40" s="437"/>
      <c r="AW40" s="437"/>
      <c r="AX40" s="437"/>
      <c r="AY40" s="437"/>
      <c r="AZ40" s="437"/>
      <c r="BA40" s="438"/>
      <c r="BB40" s="438"/>
      <c r="BC40" s="438"/>
      <c r="BD40" s="438"/>
      <c r="BE40" s="438"/>
      <c r="BF40" s="438"/>
      <c r="BG40" s="438"/>
      <c r="BH40" s="438"/>
      <c r="BI40" s="438"/>
      <c r="BJ40" s="438"/>
      <c r="BK40" s="439">
        <f t="shared" si="3"/>
        <v>240</v>
      </c>
      <c r="BL40" s="439"/>
      <c r="BM40" s="439"/>
      <c r="BN40" s="440"/>
      <c r="BO40" s="363">
        <v>4</v>
      </c>
      <c r="BP40" s="355"/>
      <c r="BQ40" s="355"/>
      <c r="BR40" s="355"/>
      <c r="BS40" s="355"/>
      <c r="BT40" s="355">
        <v>4</v>
      </c>
      <c r="BU40" s="355"/>
      <c r="BV40" s="355"/>
      <c r="BW40" s="355"/>
      <c r="BX40" s="355"/>
      <c r="BY40" s="356"/>
      <c r="BZ40" s="356"/>
      <c r="CA40" s="356"/>
      <c r="CB40" s="356"/>
      <c r="CC40" s="356"/>
      <c r="CD40" s="356"/>
      <c r="CE40" s="356"/>
      <c r="CF40" s="356"/>
      <c r="CG40" s="356"/>
      <c r="CH40" s="356"/>
      <c r="CI40" s="355"/>
      <c r="CJ40" s="355"/>
      <c r="CK40" s="355"/>
      <c r="CL40" s="355"/>
      <c r="CM40" s="355"/>
      <c r="CN40" s="355"/>
      <c r="CO40" s="355"/>
      <c r="CP40" s="355"/>
      <c r="CQ40" s="355"/>
      <c r="CR40" s="355"/>
      <c r="CS40" s="355"/>
      <c r="CT40" s="355"/>
      <c r="CU40" s="355"/>
      <c r="CV40" s="355"/>
      <c r="CW40" s="355"/>
      <c r="CX40" s="355"/>
      <c r="CY40" s="355"/>
      <c r="CZ40" s="355"/>
      <c r="DA40" s="355"/>
      <c r="DB40" s="362"/>
      <c r="DC40" s="363">
        <v>6</v>
      </c>
      <c r="DD40" s="355"/>
      <c r="DE40" s="355"/>
      <c r="DF40" s="355"/>
      <c r="DG40" s="355"/>
      <c r="DH40" s="355">
        <v>6</v>
      </c>
      <c r="DI40" s="355"/>
      <c r="DJ40" s="355"/>
      <c r="DK40" s="355"/>
      <c r="DL40" s="355"/>
      <c r="DM40" s="355"/>
      <c r="DN40" s="355"/>
      <c r="DO40" s="355"/>
      <c r="DP40" s="355"/>
      <c r="DQ40" s="355"/>
      <c r="DR40" s="355"/>
      <c r="DS40" s="355"/>
      <c r="DT40" s="355"/>
      <c r="DU40" s="355"/>
      <c r="DV40" s="355"/>
      <c r="DW40" s="355"/>
      <c r="DX40" s="355"/>
      <c r="DY40" s="355"/>
      <c r="DZ40" s="355"/>
      <c r="EA40" s="355"/>
      <c r="EB40" s="355"/>
      <c r="EC40" s="355"/>
      <c r="ED40" s="355"/>
      <c r="EE40" s="355"/>
      <c r="EF40" s="355"/>
      <c r="EG40" s="355"/>
      <c r="EH40" s="355"/>
      <c r="EI40" s="355"/>
      <c r="EJ40" s="355"/>
      <c r="EK40" s="355"/>
      <c r="EL40" s="355"/>
      <c r="EM40" s="355"/>
      <c r="EN40" s="355"/>
      <c r="EO40" s="355"/>
      <c r="EP40" s="362"/>
      <c r="EQ40" s="478">
        <f t="shared" si="0"/>
        <v>12</v>
      </c>
      <c r="ER40" s="479"/>
      <c r="ES40" s="466"/>
      <c r="ET40" s="260"/>
      <c r="EX40" s="230"/>
      <c r="EY40" s="231">
        <v>14</v>
      </c>
      <c r="EZ40" s="232"/>
      <c r="FC40" s="243"/>
      <c r="FD40" s="244" t="s">
        <v>288</v>
      </c>
      <c r="FE40" s="243"/>
      <c r="FF40" s="243"/>
      <c r="FG40" s="243"/>
      <c r="FH40" s="243"/>
      <c r="FI40" s="255">
        <v>4</v>
      </c>
      <c r="FJ40" s="255"/>
    </row>
    <row r="41" spans="1:166" s="55" customFormat="1" ht="90" customHeight="1" x14ac:dyDescent="0.65">
      <c r="A41" s="54" t="s">
        <v>85</v>
      </c>
      <c r="B41" s="135" t="s">
        <v>133</v>
      </c>
      <c r="C41" s="388" t="s">
        <v>123</v>
      </c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388"/>
      <c r="P41" s="388"/>
      <c r="Q41" s="388"/>
      <c r="R41" s="388"/>
      <c r="S41" s="388"/>
      <c r="T41" s="388"/>
      <c r="U41" s="388"/>
      <c r="V41" s="388"/>
      <c r="W41" s="388"/>
      <c r="X41" s="388"/>
      <c r="Y41" s="388"/>
      <c r="Z41" s="434">
        <f t="shared" si="1"/>
        <v>450</v>
      </c>
      <c r="AA41" s="435"/>
      <c r="AB41" s="435"/>
      <c r="AC41" s="436"/>
      <c r="AD41" s="355"/>
      <c r="AE41" s="355"/>
      <c r="AF41" s="355"/>
      <c r="AG41" s="437">
        <f t="shared" si="2"/>
        <v>168</v>
      </c>
      <c r="AH41" s="437"/>
      <c r="AI41" s="437"/>
      <c r="AJ41" s="437"/>
      <c r="AK41" s="437"/>
      <c r="AL41" s="489">
        <v>66</v>
      </c>
      <c r="AM41" s="489"/>
      <c r="AN41" s="489"/>
      <c r="AO41" s="489"/>
      <c r="AP41" s="489"/>
      <c r="AQ41" s="489">
        <v>102</v>
      </c>
      <c r="AR41" s="489"/>
      <c r="AS41" s="489"/>
      <c r="AT41" s="489"/>
      <c r="AU41" s="489"/>
      <c r="AV41" s="437"/>
      <c r="AW41" s="437"/>
      <c r="AX41" s="437"/>
      <c r="AY41" s="437"/>
      <c r="AZ41" s="437"/>
      <c r="BA41" s="438"/>
      <c r="BB41" s="438"/>
      <c r="BC41" s="438"/>
      <c r="BD41" s="438"/>
      <c r="BE41" s="438"/>
      <c r="BF41" s="438"/>
      <c r="BG41" s="438"/>
      <c r="BH41" s="438"/>
      <c r="BI41" s="438"/>
      <c r="BJ41" s="438"/>
      <c r="BK41" s="439">
        <f>Z41-AG41</f>
        <v>282</v>
      </c>
      <c r="BL41" s="439"/>
      <c r="BM41" s="439"/>
      <c r="BN41" s="440"/>
      <c r="BO41" s="363"/>
      <c r="BP41" s="355"/>
      <c r="BQ41" s="355"/>
      <c r="BR41" s="355"/>
      <c r="BS41" s="355"/>
      <c r="BT41" s="355">
        <v>4</v>
      </c>
      <c r="BU41" s="355"/>
      <c r="BV41" s="355"/>
      <c r="BW41" s="355"/>
      <c r="BX41" s="355"/>
      <c r="BY41" s="356">
        <v>8</v>
      </c>
      <c r="BZ41" s="356"/>
      <c r="CA41" s="356"/>
      <c r="CB41" s="356"/>
      <c r="CC41" s="356"/>
      <c r="CD41" s="356"/>
      <c r="CE41" s="356"/>
      <c r="CF41" s="356"/>
      <c r="CG41" s="356"/>
      <c r="CH41" s="356"/>
      <c r="CI41" s="355"/>
      <c r="CJ41" s="355"/>
      <c r="CK41" s="355"/>
      <c r="CL41" s="355"/>
      <c r="CM41" s="355"/>
      <c r="CN41" s="355"/>
      <c r="CO41" s="355"/>
      <c r="CP41" s="355"/>
      <c r="CQ41" s="355"/>
      <c r="CR41" s="355"/>
      <c r="CS41" s="355"/>
      <c r="CT41" s="355"/>
      <c r="CU41" s="355"/>
      <c r="CV41" s="355"/>
      <c r="CW41" s="355"/>
      <c r="CX41" s="355"/>
      <c r="CY41" s="355"/>
      <c r="CZ41" s="355"/>
      <c r="DA41" s="355"/>
      <c r="DB41" s="362"/>
      <c r="DC41" s="363"/>
      <c r="DD41" s="355"/>
      <c r="DE41" s="355"/>
      <c r="DF41" s="355"/>
      <c r="DG41" s="355"/>
      <c r="DH41" s="355">
        <v>6</v>
      </c>
      <c r="DI41" s="355"/>
      <c r="DJ41" s="355"/>
      <c r="DK41" s="355"/>
      <c r="DL41" s="355"/>
      <c r="DM41" s="355">
        <v>9</v>
      </c>
      <c r="DN41" s="355"/>
      <c r="DO41" s="355"/>
      <c r="DP41" s="355"/>
      <c r="DQ41" s="355"/>
      <c r="DR41" s="355"/>
      <c r="DS41" s="355"/>
      <c r="DT41" s="355"/>
      <c r="DU41" s="355"/>
      <c r="DV41" s="355"/>
      <c r="DW41" s="355"/>
      <c r="DX41" s="355"/>
      <c r="DY41" s="355"/>
      <c r="DZ41" s="355"/>
      <c r="EA41" s="355"/>
      <c r="EB41" s="355"/>
      <c r="EC41" s="355"/>
      <c r="ED41" s="355"/>
      <c r="EE41" s="355"/>
      <c r="EF41" s="355"/>
      <c r="EG41" s="355"/>
      <c r="EH41" s="355"/>
      <c r="EI41" s="355"/>
      <c r="EJ41" s="355"/>
      <c r="EK41" s="355"/>
      <c r="EL41" s="355"/>
      <c r="EM41" s="355"/>
      <c r="EN41" s="355"/>
      <c r="EO41" s="355"/>
      <c r="EP41" s="362"/>
      <c r="EQ41" s="478">
        <f t="shared" si="0"/>
        <v>15</v>
      </c>
      <c r="ER41" s="479"/>
      <c r="ES41" s="466"/>
      <c r="ET41" s="261" t="s">
        <v>297</v>
      </c>
      <c r="EX41" s="230"/>
      <c r="EY41" s="231"/>
      <c r="EZ41" s="232"/>
      <c r="FC41" s="243"/>
      <c r="FD41" s="244" t="s">
        <v>290</v>
      </c>
      <c r="FE41" s="243"/>
      <c r="FF41" s="243"/>
      <c r="FG41" s="243"/>
      <c r="FH41" s="243"/>
      <c r="FI41" s="255">
        <v>9</v>
      </c>
      <c r="FJ41" s="255"/>
    </row>
    <row r="42" spans="1:166" s="55" customFormat="1" ht="90" customHeight="1" x14ac:dyDescent="0.65">
      <c r="A42" s="54" t="s">
        <v>86</v>
      </c>
      <c r="B42" s="135" t="s">
        <v>134</v>
      </c>
      <c r="C42" s="411" t="s">
        <v>178</v>
      </c>
      <c r="D42" s="411"/>
      <c r="E42" s="411"/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1"/>
      <c r="T42" s="411"/>
      <c r="U42" s="411"/>
      <c r="V42" s="411"/>
      <c r="W42" s="411"/>
      <c r="X42" s="411"/>
      <c r="Y42" s="411"/>
      <c r="Z42" s="434">
        <f t="shared" si="1"/>
        <v>180</v>
      </c>
      <c r="AA42" s="435"/>
      <c r="AB42" s="435"/>
      <c r="AC42" s="436"/>
      <c r="AD42" s="355"/>
      <c r="AE42" s="355"/>
      <c r="AF42" s="355"/>
      <c r="AG42" s="437">
        <f t="shared" si="2"/>
        <v>72</v>
      </c>
      <c r="AH42" s="437"/>
      <c r="AI42" s="437"/>
      <c r="AJ42" s="437"/>
      <c r="AK42" s="437"/>
      <c r="AL42" s="489">
        <v>36</v>
      </c>
      <c r="AM42" s="489"/>
      <c r="AN42" s="489"/>
      <c r="AO42" s="489"/>
      <c r="AP42" s="489"/>
      <c r="AQ42" s="489">
        <v>36</v>
      </c>
      <c r="AR42" s="489"/>
      <c r="AS42" s="489"/>
      <c r="AT42" s="489"/>
      <c r="AU42" s="489"/>
      <c r="AV42" s="437"/>
      <c r="AW42" s="437"/>
      <c r="AX42" s="437"/>
      <c r="AY42" s="437"/>
      <c r="AZ42" s="437"/>
      <c r="BA42" s="438"/>
      <c r="BB42" s="438"/>
      <c r="BC42" s="438"/>
      <c r="BD42" s="438"/>
      <c r="BE42" s="438"/>
      <c r="BF42" s="438"/>
      <c r="BG42" s="438"/>
      <c r="BH42" s="438"/>
      <c r="BI42" s="438"/>
      <c r="BJ42" s="438"/>
      <c r="BK42" s="439">
        <f t="shared" si="3"/>
        <v>108</v>
      </c>
      <c r="BL42" s="439"/>
      <c r="BM42" s="439"/>
      <c r="BN42" s="440"/>
      <c r="BO42" s="363"/>
      <c r="BP42" s="355"/>
      <c r="BQ42" s="355"/>
      <c r="BR42" s="355"/>
      <c r="BS42" s="355"/>
      <c r="BT42" s="355"/>
      <c r="BU42" s="355"/>
      <c r="BV42" s="355"/>
      <c r="BW42" s="355"/>
      <c r="BX42" s="355"/>
      <c r="BY42" s="356">
        <v>4</v>
      </c>
      <c r="BZ42" s="356"/>
      <c r="CA42" s="356"/>
      <c r="CB42" s="356"/>
      <c r="CC42" s="356"/>
      <c r="CD42" s="356"/>
      <c r="CE42" s="356"/>
      <c r="CF42" s="356"/>
      <c r="CG42" s="356"/>
      <c r="CH42" s="356"/>
      <c r="CI42" s="355"/>
      <c r="CJ42" s="355"/>
      <c r="CK42" s="355"/>
      <c r="CL42" s="355"/>
      <c r="CM42" s="355"/>
      <c r="CN42" s="355"/>
      <c r="CO42" s="355"/>
      <c r="CP42" s="355"/>
      <c r="CQ42" s="355"/>
      <c r="CR42" s="355"/>
      <c r="CS42" s="355"/>
      <c r="CT42" s="355"/>
      <c r="CU42" s="355"/>
      <c r="CV42" s="355"/>
      <c r="CW42" s="355"/>
      <c r="CX42" s="355"/>
      <c r="CY42" s="355"/>
      <c r="CZ42" s="355"/>
      <c r="DA42" s="355"/>
      <c r="DB42" s="362"/>
      <c r="DC42" s="363"/>
      <c r="DD42" s="355"/>
      <c r="DE42" s="355"/>
      <c r="DF42" s="355"/>
      <c r="DG42" s="355"/>
      <c r="DH42" s="355"/>
      <c r="DI42" s="355"/>
      <c r="DJ42" s="355"/>
      <c r="DK42" s="355"/>
      <c r="DL42" s="355"/>
      <c r="DM42" s="355">
        <v>6</v>
      </c>
      <c r="DN42" s="355"/>
      <c r="DO42" s="355"/>
      <c r="DP42" s="355"/>
      <c r="DQ42" s="355"/>
      <c r="DR42" s="355"/>
      <c r="DS42" s="355"/>
      <c r="DT42" s="355"/>
      <c r="DU42" s="355"/>
      <c r="DV42" s="355"/>
      <c r="DW42" s="355"/>
      <c r="DX42" s="355"/>
      <c r="DY42" s="355"/>
      <c r="DZ42" s="355"/>
      <c r="EA42" s="355"/>
      <c r="EB42" s="355"/>
      <c r="EC42" s="355"/>
      <c r="ED42" s="355"/>
      <c r="EE42" s="355"/>
      <c r="EF42" s="355"/>
      <c r="EG42" s="355"/>
      <c r="EH42" s="355"/>
      <c r="EI42" s="355"/>
      <c r="EJ42" s="355"/>
      <c r="EK42" s="355"/>
      <c r="EL42" s="355"/>
      <c r="EM42" s="355"/>
      <c r="EN42" s="355"/>
      <c r="EO42" s="355"/>
      <c r="EP42" s="362"/>
      <c r="EQ42" s="478">
        <f t="shared" si="0"/>
        <v>6</v>
      </c>
      <c r="ER42" s="479"/>
      <c r="ES42" s="466"/>
      <c r="ET42" s="260"/>
      <c r="EX42" s="230"/>
      <c r="EY42" s="231">
        <v>9</v>
      </c>
      <c r="EZ42" s="232"/>
      <c r="FC42" s="243"/>
      <c r="FD42" s="244" t="s">
        <v>291</v>
      </c>
      <c r="FE42" s="243"/>
      <c r="FF42" s="243"/>
      <c r="FG42" s="243"/>
      <c r="FH42" s="243"/>
      <c r="FI42" s="255">
        <v>9</v>
      </c>
      <c r="FJ42" s="255"/>
    </row>
    <row r="43" spans="1:166" s="55" customFormat="1" ht="90" customHeight="1" x14ac:dyDescent="0.65">
      <c r="A43" s="54" t="s">
        <v>87</v>
      </c>
      <c r="B43" s="135" t="s">
        <v>135</v>
      </c>
      <c r="C43" s="536" t="s">
        <v>180</v>
      </c>
      <c r="D43" s="536"/>
      <c r="E43" s="536"/>
      <c r="F43" s="536"/>
      <c r="G43" s="536"/>
      <c r="H43" s="536"/>
      <c r="I43" s="536"/>
      <c r="J43" s="536"/>
      <c r="K43" s="536"/>
      <c r="L43" s="536"/>
      <c r="M43" s="536"/>
      <c r="N43" s="536"/>
      <c r="O43" s="536"/>
      <c r="P43" s="536"/>
      <c r="Q43" s="536"/>
      <c r="R43" s="536"/>
      <c r="S43" s="536"/>
      <c r="T43" s="536"/>
      <c r="U43" s="536"/>
      <c r="V43" s="536"/>
      <c r="W43" s="536"/>
      <c r="X43" s="536"/>
      <c r="Y43" s="536"/>
      <c r="Z43" s="434">
        <f t="shared" si="1"/>
        <v>120</v>
      </c>
      <c r="AA43" s="435"/>
      <c r="AB43" s="435"/>
      <c r="AC43" s="436"/>
      <c r="AD43" s="537"/>
      <c r="AE43" s="537"/>
      <c r="AF43" s="537"/>
      <c r="AG43" s="437">
        <f t="shared" si="2"/>
        <v>48</v>
      </c>
      <c r="AH43" s="437"/>
      <c r="AI43" s="437"/>
      <c r="AJ43" s="437"/>
      <c r="AK43" s="437"/>
      <c r="AL43" s="437">
        <v>24</v>
      </c>
      <c r="AM43" s="437"/>
      <c r="AN43" s="437"/>
      <c r="AO43" s="437"/>
      <c r="AP43" s="437"/>
      <c r="AQ43" s="437">
        <v>24</v>
      </c>
      <c r="AR43" s="437"/>
      <c r="AS43" s="437"/>
      <c r="AT43" s="437"/>
      <c r="AU43" s="437"/>
      <c r="AV43" s="437"/>
      <c r="AW43" s="437"/>
      <c r="AX43" s="437"/>
      <c r="AY43" s="437"/>
      <c r="AZ43" s="437"/>
      <c r="BA43" s="438"/>
      <c r="BB43" s="438"/>
      <c r="BC43" s="438"/>
      <c r="BD43" s="438"/>
      <c r="BE43" s="438"/>
      <c r="BF43" s="438"/>
      <c r="BG43" s="438"/>
      <c r="BH43" s="438"/>
      <c r="BI43" s="438"/>
      <c r="BJ43" s="438"/>
      <c r="BK43" s="439">
        <f t="shared" si="3"/>
        <v>72</v>
      </c>
      <c r="BL43" s="439"/>
      <c r="BM43" s="439"/>
      <c r="BN43" s="440"/>
      <c r="BO43" s="363"/>
      <c r="BP43" s="355"/>
      <c r="BQ43" s="355"/>
      <c r="BR43" s="355"/>
      <c r="BS43" s="355"/>
      <c r="BT43" s="355"/>
      <c r="BU43" s="355"/>
      <c r="BV43" s="355"/>
      <c r="BW43" s="355"/>
      <c r="BX43" s="355"/>
      <c r="BY43" s="356"/>
      <c r="BZ43" s="356"/>
      <c r="CA43" s="356"/>
      <c r="CB43" s="356"/>
      <c r="CC43" s="356"/>
      <c r="CD43" s="356">
        <v>4</v>
      </c>
      <c r="CE43" s="356"/>
      <c r="CF43" s="356"/>
      <c r="CG43" s="356"/>
      <c r="CH43" s="356"/>
      <c r="CI43" s="355"/>
      <c r="CJ43" s="355"/>
      <c r="CK43" s="355"/>
      <c r="CL43" s="355"/>
      <c r="CM43" s="355"/>
      <c r="CN43" s="355"/>
      <c r="CO43" s="355"/>
      <c r="CP43" s="355"/>
      <c r="CQ43" s="355"/>
      <c r="CR43" s="355"/>
      <c r="CS43" s="355"/>
      <c r="CT43" s="355"/>
      <c r="CU43" s="355"/>
      <c r="CV43" s="355"/>
      <c r="CW43" s="355"/>
      <c r="CX43" s="355"/>
      <c r="CY43" s="355"/>
      <c r="CZ43" s="355"/>
      <c r="DA43" s="355"/>
      <c r="DB43" s="362"/>
      <c r="DC43" s="363"/>
      <c r="DD43" s="355"/>
      <c r="DE43" s="355"/>
      <c r="DF43" s="355"/>
      <c r="DG43" s="355"/>
      <c r="DH43" s="355"/>
      <c r="DI43" s="355"/>
      <c r="DJ43" s="355"/>
      <c r="DK43" s="355"/>
      <c r="DL43" s="355"/>
      <c r="DM43" s="355"/>
      <c r="DN43" s="355"/>
      <c r="DO43" s="355"/>
      <c r="DP43" s="355"/>
      <c r="DQ43" s="355"/>
      <c r="DR43" s="355">
        <v>4</v>
      </c>
      <c r="DS43" s="355"/>
      <c r="DT43" s="355"/>
      <c r="DU43" s="355"/>
      <c r="DV43" s="355"/>
      <c r="DW43" s="355"/>
      <c r="DX43" s="355"/>
      <c r="DY43" s="355"/>
      <c r="DZ43" s="355"/>
      <c r="EA43" s="355"/>
      <c r="EB43" s="355"/>
      <c r="EC43" s="355"/>
      <c r="ED43" s="355"/>
      <c r="EE43" s="355"/>
      <c r="EF43" s="355"/>
      <c r="EG43" s="355"/>
      <c r="EH43" s="355"/>
      <c r="EI43" s="355"/>
      <c r="EJ43" s="355"/>
      <c r="EK43" s="355"/>
      <c r="EL43" s="355"/>
      <c r="EM43" s="355"/>
      <c r="EN43" s="355"/>
      <c r="EO43" s="355"/>
      <c r="EP43" s="362"/>
      <c r="EQ43" s="478">
        <f t="shared" si="0"/>
        <v>4</v>
      </c>
      <c r="ER43" s="479"/>
      <c r="ES43" s="466"/>
      <c r="ET43" s="261" t="s">
        <v>297</v>
      </c>
      <c r="EX43" s="230"/>
      <c r="EY43" s="231">
        <v>5</v>
      </c>
      <c r="EZ43" s="232"/>
      <c r="FC43" s="243"/>
      <c r="FD43" s="244" t="s">
        <v>292</v>
      </c>
      <c r="FE43" s="243"/>
      <c r="FF43" s="243"/>
      <c r="FG43" s="243"/>
      <c r="FH43" s="243"/>
      <c r="FI43" s="255">
        <v>8</v>
      </c>
      <c r="FJ43" s="255"/>
    </row>
    <row r="44" spans="1:166" s="56" customFormat="1" ht="90" customHeight="1" x14ac:dyDescent="0.65">
      <c r="A44" s="54" t="s">
        <v>88</v>
      </c>
      <c r="B44" s="135" t="s">
        <v>136</v>
      </c>
      <c r="C44" s="488" t="s">
        <v>115</v>
      </c>
      <c r="D44" s="488"/>
      <c r="E44" s="488"/>
      <c r="F44" s="488"/>
      <c r="G44" s="488"/>
      <c r="H44" s="488"/>
      <c r="I44" s="488"/>
      <c r="J44" s="488"/>
      <c r="K44" s="488"/>
      <c r="L44" s="488"/>
      <c r="M44" s="488"/>
      <c r="N44" s="488"/>
      <c r="O44" s="488"/>
      <c r="P44" s="488"/>
      <c r="Q44" s="488"/>
      <c r="R44" s="488"/>
      <c r="S44" s="488"/>
      <c r="T44" s="488"/>
      <c r="U44" s="488"/>
      <c r="V44" s="488"/>
      <c r="W44" s="488"/>
      <c r="X44" s="488"/>
      <c r="Y44" s="488"/>
      <c r="Z44" s="434">
        <f t="shared" si="1"/>
        <v>120</v>
      </c>
      <c r="AA44" s="435"/>
      <c r="AB44" s="435"/>
      <c r="AC44" s="436"/>
      <c r="AD44" s="355"/>
      <c r="AE44" s="355"/>
      <c r="AF44" s="355"/>
      <c r="AG44" s="437">
        <f t="shared" si="2"/>
        <v>48</v>
      </c>
      <c r="AH44" s="437"/>
      <c r="AI44" s="437"/>
      <c r="AJ44" s="437"/>
      <c r="AK44" s="437"/>
      <c r="AL44" s="437">
        <v>24</v>
      </c>
      <c r="AM44" s="437"/>
      <c r="AN44" s="437"/>
      <c r="AO44" s="437"/>
      <c r="AP44" s="437"/>
      <c r="AQ44" s="437">
        <v>24</v>
      </c>
      <c r="AR44" s="437"/>
      <c r="AS44" s="437"/>
      <c r="AT44" s="437"/>
      <c r="AU44" s="437"/>
      <c r="AV44" s="437"/>
      <c r="AW44" s="437"/>
      <c r="AX44" s="437"/>
      <c r="AY44" s="437"/>
      <c r="AZ44" s="437"/>
      <c r="BA44" s="438"/>
      <c r="BB44" s="438"/>
      <c r="BC44" s="438"/>
      <c r="BD44" s="438"/>
      <c r="BE44" s="438"/>
      <c r="BF44" s="438"/>
      <c r="BG44" s="438"/>
      <c r="BH44" s="438"/>
      <c r="BI44" s="438"/>
      <c r="BJ44" s="438"/>
      <c r="BK44" s="439">
        <f t="shared" si="3"/>
        <v>72</v>
      </c>
      <c r="BL44" s="439"/>
      <c r="BM44" s="439"/>
      <c r="BN44" s="440"/>
      <c r="BO44" s="363"/>
      <c r="BP44" s="355"/>
      <c r="BQ44" s="355"/>
      <c r="BR44" s="355"/>
      <c r="BS44" s="355"/>
      <c r="BT44" s="355"/>
      <c r="BU44" s="355"/>
      <c r="BV44" s="355"/>
      <c r="BW44" s="355"/>
      <c r="BX44" s="355"/>
      <c r="BY44" s="356"/>
      <c r="BZ44" s="356"/>
      <c r="CA44" s="356"/>
      <c r="CB44" s="356"/>
      <c r="CC44" s="356"/>
      <c r="CD44" s="356">
        <v>4</v>
      </c>
      <c r="CE44" s="356"/>
      <c r="CF44" s="356"/>
      <c r="CG44" s="356"/>
      <c r="CH44" s="356"/>
      <c r="CI44" s="355"/>
      <c r="CJ44" s="355"/>
      <c r="CK44" s="355"/>
      <c r="CL44" s="355"/>
      <c r="CM44" s="355"/>
      <c r="CN44" s="355"/>
      <c r="CO44" s="355"/>
      <c r="CP44" s="355"/>
      <c r="CQ44" s="355"/>
      <c r="CR44" s="355"/>
      <c r="CS44" s="355"/>
      <c r="CT44" s="355"/>
      <c r="CU44" s="355"/>
      <c r="CV44" s="355"/>
      <c r="CW44" s="355"/>
      <c r="CX44" s="355"/>
      <c r="CY44" s="355"/>
      <c r="CZ44" s="355"/>
      <c r="DA44" s="355"/>
      <c r="DB44" s="362"/>
      <c r="DC44" s="363"/>
      <c r="DD44" s="355"/>
      <c r="DE44" s="355"/>
      <c r="DF44" s="355"/>
      <c r="DG44" s="355"/>
      <c r="DH44" s="355"/>
      <c r="DI44" s="355"/>
      <c r="DJ44" s="355"/>
      <c r="DK44" s="355"/>
      <c r="DL44" s="355"/>
      <c r="DM44" s="355"/>
      <c r="DN44" s="355"/>
      <c r="DO44" s="355"/>
      <c r="DP44" s="355"/>
      <c r="DQ44" s="355"/>
      <c r="DR44" s="355">
        <v>4</v>
      </c>
      <c r="DS44" s="355"/>
      <c r="DT44" s="355"/>
      <c r="DU44" s="355"/>
      <c r="DV44" s="355"/>
      <c r="DW44" s="355"/>
      <c r="DX44" s="355"/>
      <c r="DY44" s="355"/>
      <c r="DZ44" s="355"/>
      <c r="EA44" s="355"/>
      <c r="EB44" s="355"/>
      <c r="EC44" s="355"/>
      <c r="ED44" s="355"/>
      <c r="EE44" s="355"/>
      <c r="EF44" s="355"/>
      <c r="EG44" s="355"/>
      <c r="EH44" s="355"/>
      <c r="EI44" s="355"/>
      <c r="EJ44" s="355"/>
      <c r="EK44" s="355"/>
      <c r="EL44" s="355"/>
      <c r="EM44" s="355"/>
      <c r="EN44" s="355"/>
      <c r="EO44" s="355"/>
      <c r="EP44" s="362"/>
      <c r="EQ44" s="478">
        <f t="shared" si="0"/>
        <v>4</v>
      </c>
      <c r="ER44" s="479"/>
      <c r="ES44" s="466"/>
      <c r="ET44" s="261"/>
      <c r="EX44" s="233"/>
      <c r="EY44" s="234">
        <v>8</v>
      </c>
      <c r="EZ44" s="235"/>
      <c r="FC44" s="245"/>
      <c r="FD44" s="246"/>
      <c r="FE44" s="245"/>
      <c r="FF44" s="245"/>
      <c r="FG44" s="245"/>
      <c r="FH44" s="245"/>
      <c r="FI44" s="50"/>
      <c r="FJ44" s="50"/>
    </row>
    <row r="45" spans="1:166" s="55" customFormat="1" ht="90" customHeight="1" x14ac:dyDescent="0.65">
      <c r="A45" s="54" t="s">
        <v>4</v>
      </c>
      <c r="B45" s="135" t="s">
        <v>137</v>
      </c>
      <c r="C45" s="488" t="s">
        <v>124</v>
      </c>
      <c r="D45" s="488"/>
      <c r="E45" s="488"/>
      <c r="F45" s="488"/>
      <c r="G45" s="488"/>
      <c r="H45" s="488"/>
      <c r="I45" s="488"/>
      <c r="J45" s="488"/>
      <c r="K45" s="488"/>
      <c r="L45" s="488"/>
      <c r="M45" s="488"/>
      <c r="N45" s="488"/>
      <c r="O45" s="488"/>
      <c r="P45" s="488"/>
      <c r="Q45" s="488"/>
      <c r="R45" s="488"/>
      <c r="S45" s="488"/>
      <c r="T45" s="488"/>
      <c r="U45" s="488"/>
      <c r="V45" s="488"/>
      <c r="W45" s="488"/>
      <c r="X45" s="488"/>
      <c r="Y45" s="488"/>
      <c r="Z45" s="434">
        <f t="shared" si="1"/>
        <v>120</v>
      </c>
      <c r="AA45" s="435"/>
      <c r="AB45" s="435"/>
      <c r="AC45" s="436"/>
      <c r="AD45" s="355"/>
      <c r="AE45" s="355"/>
      <c r="AF45" s="355"/>
      <c r="AG45" s="437">
        <f t="shared" si="2"/>
        <v>48</v>
      </c>
      <c r="AH45" s="437"/>
      <c r="AI45" s="437"/>
      <c r="AJ45" s="437"/>
      <c r="AK45" s="437"/>
      <c r="AL45" s="437">
        <v>24</v>
      </c>
      <c r="AM45" s="437"/>
      <c r="AN45" s="437"/>
      <c r="AO45" s="437"/>
      <c r="AP45" s="437"/>
      <c r="AQ45" s="437">
        <v>24</v>
      </c>
      <c r="AR45" s="437"/>
      <c r="AS45" s="437"/>
      <c r="AT45" s="437"/>
      <c r="AU45" s="437"/>
      <c r="AV45" s="437"/>
      <c r="AW45" s="437"/>
      <c r="AX45" s="437"/>
      <c r="AY45" s="437"/>
      <c r="AZ45" s="437"/>
      <c r="BA45" s="438"/>
      <c r="BB45" s="438"/>
      <c r="BC45" s="438"/>
      <c r="BD45" s="438"/>
      <c r="BE45" s="438"/>
      <c r="BF45" s="438"/>
      <c r="BG45" s="438"/>
      <c r="BH45" s="438"/>
      <c r="BI45" s="438"/>
      <c r="BJ45" s="438"/>
      <c r="BK45" s="439">
        <f t="shared" si="3"/>
        <v>72</v>
      </c>
      <c r="BL45" s="439"/>
      <c r="BM45" s="439"/>
      <c r="BN45" s="440"/>
      <c r="BO45" s="363"/>
      <c r="BP45" s="355"/>
      <c r="BQ45" s="355"/>
      <c r="BR45" s="355"/>
      <c r="BS45" s="355"/>
      <c r="BT45" s="355"/>
      <c r="BU45" s="355"/>
      <c r="BV45" s="355"/>
      <c r="BW45" s="355"/>
      <c r="BX45" s="355"/>
      <c r="BY45" s="356"/>
      <c r="BZ45" s="356"/>
      <c r="CA45" s="356"/>
      <c r="CB45" s="356"/>
      <c r="CC45" s="356"/>
      <c r="CD45" s="356">
        <v>4</v>
      </c>
      <c r="CE45" s="356"/>
      <c r="CF45" s="356"/>
      <c r="CG45" s="356"/>
      <c r="CH45" s="356"/>
      <c r="CI45" s="355"/>
      <c r="CJ45" s="355"/>
      <c r="CK45" s="355"/>
      <c r="CL45" s="355"/>
      <c r="CM45" s="355"/>
      <c r="CN45" s="355"/>
      <c r="CO45" s="355"/>
      <c r="CP45" s="355"/>
      <c r="CQ45" s="355"/>
      <c r="CR45" s="355"/>
      <c r="CS45" s="355"/>
      <c r="CT45" s="355"/>
      <c r="CU45" s="355"/>
      <c r="CV45" s="355"/>
      <c r="CW45" s="355"/>
      <c r="CX45" s="355"/>
      <c r="CY45" s="355"/>
      <c r="CZ45" s="355"/>
      <c r="DA45" s="355"/>
      <c r="DB45" s="362"/>
      <c r="DC45" s="363"/>
      <c r="DD45" s="355"/>
      <c r="DE45" s="355"/>
      <c r="DF45" s="355"/>
      <c r="DG45" s="355"/>
      <c r="DH45" s="355"/>
      <c r="DI45" s="355"/>
      <c r="DJ45" s="355"/>
      <c r="DK45" s="355"/>
      <c r="DL45" s="355"/>
      <c r="DM45" s="355"/>
      <c r="DN45" s="355"/>
      <c r="DO45" s="355"/>
      <c r="DP45" s="355"/>
      <c r="DQ45" s="355"/>
      <c r="DR45" s="355">
        <v>4</v>
      </c>
      <c r="DS45" s="355"/>
      <c r="DT45" s="355"/>
      <c r="DU45" s="355"/>
      <c r="DV45" s="355"/>
      <c r="DW45" s="355"/>
      <c r="DX45" s="355"/>
      <c r="DY45" s="355"/>
      <c r="DZ45" s="355"/>
      <c r="EA45" s="355"/>
      <c r="EB45" s="355"/>
      <c r="EC45" s="355"/>
      <c r="ED45" s="355"/>
      <c r="EE45" s="355"/>
      <c r="EF45" s="355"/>
      <c r="EG45" s="355"/>
      <c r="EH45" s="355"/>
      <c r="EI45" s="355"/>
      <c r="EJ45" s="355"/>
      <c r="EK45" s="355"/>
      <c r="EL45" s="355"/>
      <c r="EM45" s="355"/>
      <c r="EN45" s="355"/>
      <c r="EO45" s="355"/>
      <c r="EP45" s="362"/>
      <c r="EQ45" s="478">
        <f t="shared" si="0"/>
        <v>4</v>
      </c>
      <c r="ER45" s="479"/>
      <c r="ES45" s="466"/>
      <c r="ET45" s="260"/>
      <c r="EX45" s="233"/>
      <c r="EY45" s="234">
        <v>9</v>
      </c>
      <c r="EZ45" s="235"/>
      <c r="FC45" s="243"/>
      <c r="FD45" s="244"/>
      <c r="FE45" s="243"/>
      <c r="FF45" s="243"/>
      <c r="FG45" s="243"/>
      <c r="FH45" s="243"/>
      <c r="FI45" s="255"/>
      <c r="FJ45" s="255"/>
    </row>
    <row r="46" spans="1:166" s="127" customFormat="1" ht="90" customHeight="1" x14ac:dyDescent="0.65">
      <c r="A46" s="124" t="s">
        <v>5</v>
      </c>
      <c r="B46" s="136" t="s">
        <v>138</v>
      </c>
      <c r="C46" s="488" t="s">
        <v>187</v>
      </c>
      <c r="D46" s="488"/>
      <c r="E46" s="488"/>
      <c r="F46" s="488"/>
      <c r="G46" s="488"/>
      <c r="H46" s="488"/>
      <c r="I46" s="488"/>
      <c r="J46" s="488"/>
      <c r="K46" s="488"/>
      <c r="L46" s="488"/>
      <c r="M46" s="488"/>
      <c r="N46" s="488"/>
      <c r="O46" s="488"/>
      <c r="P46" s="488"/>
      <c r="Q46" s="488"/>
      <c r="R46" s="488"/>
      <c r="S46" s="488"/>
      <c r="T46" s="488"/>
      <c r="U46" s="488"/>
      <c r="V46" s="488"/>
      <c r="W46" s="488"/>
      <c r="X46" s="488"/>
      <c r="Y46" s="488"/>
      <c r="Z46" s="515">
        <f t="shared" si="1"/>
        <v>150</v>
      </c>
      <c r="AA46" s="516"/>
      <c r="AB46" s="516"/>
      <c r="AC46" s="517"/>
      <c r="AD46" s="356"/>
      <c r="AE46" s="356"/>
      <c r="AF46" s="356"/>
      <c r="AG46" s="437">
        <f t="shared" si="2"/>
        <v>60</v>
      </c>
      <c r="AH46" s="437"/>
      <c r="AI46" s="437"/>
      <c r="AJ46" s="437"/>
      <c r="AK46" s="437"/>
      <c r="AL46" s="489">
        <v>30</v>
      </c>
      <c r="AM46" s="489"/>
      <c r="AN46" s="489"/>
      <c r="AO46" s="489"/>
      <c r="AP46" s="489"/>
      <c r="AQ46" s="489">
        <v>30</v>
      </c>
      <c r="AR46" s="489"/>
      <c r="AS46" s="489"/>
      <c r="AT46" s="489"/>
      <c r="AU46" s="489"/>
      <c r="AV46" s="489"/>
      <c r="AW46" s="489"/>
      <c r="AX46" s="489"/>
      <c r="AY46" s="489"/>
      <c r="AZ46" s="489"/>
      <c r="BA46" s="518"/>
      <c r="BB46" s="518"/>
      <c r="BC46" s="518"/>
      <c r="BD46" s="518"/>
      <c r="BE46" s="518"/>
      <c r="BF46" s="518"/>
      <c r="BG46" s="518"/>
      <c r="BH46" s="518"/>
      <c r="BI46" s="518"/>
      <c r="BJ46" s="518"/>
      <c r="BK46" s="519">
        <f t="shared" si="3"/>
        <v>90</v>
      </c>
      <c r="BL46" s="519"/>
      <c r="BM46" s="519"/>
      <c r="BN46" s="520"/>
      <c r="BO46" s="477"/>
      <c r="BP46" s="356"/>
      <c r="BQ46" s="356"/>
      <c r="BR46" s="356"/>
      <c r="BS46" s="356"/>
      <c r="BT46" s="356"/>
      <c r="BU46" s="356"/>
      <c r="BV46" s="356"/>
      <c r="BW46" s="356"/>
      <c r="BX46" s="356"/>
      <c r="BY46" s="356"/>
      <c r="BZ46" s="356"/>
      <c r="CA46" s="356"/>
      <c r="CB46" s="356"/>
      <c r="CC46" s="356"/>
      <c r="CD46" s="356"/>
      <c r="CE46" s="356"/>
      <c r="CF46" s="356"/>
      <c r="CG46" s="356"/>
      <c r="CH46" s="356"/>
      <c r="CI46" s="356">
        <v>4</v>
      </c>
      <c r="CJ46" s="356"/>
      <c r="CK46" s="356"/>
      <c r="CL46" s="356"/>
      <c r="CM46" s="356"/>
      <c r="CN46" s="356"/>
      <c r="CO46" s="356"/>
      <c r="CP46" s="356"/>
      <c r="CQ46" s="356"/>
      <c r="CR46" s="356"/>
      <c r="CS46" s="356"/>
      <c r="CT46" s="356"/>
      <c r="CU46" s="356"/>
      <c r="CV46" s="356"/>
      <c r="CW46" s="356"/>
      <c r="CX46" s="356"/>
      <c r="CY46" s="356"/>
      <c r="CZ46" s="356"/>
      <c r="DA46" s="356"/>
      <c r="DB46" s="361"/>
      <c r="DC46" s="477"/>
      <c r="DD46" s="356"/>
      <c r="DE46" s="356"/>
      <c r="DF46" s="356"/>
      <c r="DG46" s="356"/>
      <c r="DH46" s="356"/>
      <c r="DI46" s="356"/>
      <c r="DJ46" s="356"/>
      <c r="DK46" s="356"/>
      <c r="DL46" s="356"/>
      <c r="DM46" s="356"/>
      <c r="DN46" s="356"/>
      <c r="DO46" s="356"/>
      <c r="DP46" s="356"/>
      <c r="DQ46" s="356"/>
      <c r="DR46" s="356"/>
      <c r="DS46" s="356"/>
      <c r="DT46" s="356"/>
      <c r="DU46" s="356"/>
      <c r="DV46" s="356"/>
      <c r="DW46" s="356">
        <v>5</v>
      </c>
      <c r="DX46" s="356"/>
      <c r="DY46" s="356"/>
      <c r="DZ46" s="356"/>
      <c r="EA46" s="356"/>
      <c r="EB46" s="356"/>
      <c r="EC46" s="356"/>
      <c r="ED46" s="356"/>
      <c r="EE46" s="356"/>
      <c r="EF46" s="356"/>
      <c r="EG46" s="356"/>
      <c r="EH46" s="356"/>
      <c r="EI46" s="356"/>
      <c r="EJ46" s="356"/>
      <c r="EK46" s="356"/>
      <c r="EL46" s="356"/>
      <c r="EM46" s="356"/>
      <c r="EN46" s="356"/>
      <c r="EO46" s="356"/>
      <c r="EP46" s="361"/>
      <c r="EQ46" s="521">
        <f t="shared" si="0"/>
        <v>5</v>
      </c>
      <c r="ER46" s="522"/>
      <c r="ES46" s="523"/>
      <c r="ET46" s="262"/>
      <c r="EX46" s="233"/>
      <c r="EY46" s="234">
        <v>9</v>
      </c>
      <c r="EZ46" s="235"/>
      <c r="FC46" s="247"/>
      <c r="FD46" s="248"/>
      <c r="FE46" s="247"/>
      <c r="FF46" s="247"/>
      <c r="FG46" s="247"/>
      <c r="FH46" s="247"/>
      <c r="FI46" s="256"/>
      <c r="FJ46" s="256"/>
    </row>
    <row r="47" spans="1:166" s="127" customFormat="1" ht="90" customHeight="1" x14ac:dyDescent="0.65">
      <c r="A47" s="124" t="s">
        <v>6</v>
      </c>
      <c r="B47" s="136" t="s">
        <v>139</v>
      </c>
      <c r="C47" s="535" t="s">
        <v>149</v>
      </c>
      <c r="D47" s="535"/>
      <c r="E47" s="535"/>
      <c r="F47" s="535"/>
      <c r="G47" s="535"/>
      <c r="H47" s="535"/>
      <c r="I47" s="535"/>
      <c r="J47" s="535"/>
      <c r="K47" s="535"/>
      <c r="L47" s="535"/>
      <c r="M47" s="535"/>
      <c r="N47" s="535"/>
      <c r="O47" s="535"/>
      <c r="P47" s="535"/>
      <c r="Q47" s="535"/>
      <c r="R47" s="535"/>
      <c r="S47" s="535"/>
      <c r="T47" s="535"/>
      <c r="U47" s="535"/>
      <c r="V47" s="535"/>
      <c r="W47" s="535"/>
      <c r="X47" s="535"/>
      <c r="Y47" s="535"/>
      <c r="Z47" s="515">
        <f t="shared" si="1"/>
        <v>390</v>
      </c>
      <c r="AA47" s="516"/>
      <c r="AB47" s="516"/>
      <c r="AC47" s="517"/>
      <c r="AD47" s="356"/>
      <c r="AE47" s="356"/>
      <c r="AF47" s="356"/>
      <c r="AG47" s="489">
        <f t="shared" si="2"/>
        <v>156</v>
      </c>
      <c r="AH47" s="489"/>
      <c r="AI47" s="489"/>
      <c r="AJ47" s="489"/>
      <c r="AK47" s="489"/>
      <c r="AL47" s="489">
        <v>54</v>
      </c>
      <c r="AM47" s="489"/>
      <c r="AN47" s="489"/>
      <c r="AO47" s="489"/>
      <c r="AP47" s="489"/>
      <c r="AQ47" s="489">
        <v>102</v>
      </c>
      <c r="AR47" s="489"/>
      <c r="AS47" s="489"/>
      <c r="AT47" s="489"/>
      <c r="AU47" s="489"/>
      <c r="AV47" s="489"/>
      <c r="AW47" s="489"/>
      <c r="AX47" s="489"/>
      <c r="AY47" s="489"/>
      <c r="AZ47" s="489"/>
      <c r="BA47" s="518"/>
      <c r="BB47" s="518"/>
      <c r="BC47" s="518"/>
      <c r="BD47" s="518"/>
      <c r="BE47" s="518"/>
      <c r="BF47" s="518"/>
      <c r="BG47" s="518"/>
      <c r="BH47" s="518"/>
      <c r="BI47" s="518"/>
      <c r="BJ47" s="518"/>
      <c r="BK47" s="519">
        <f t="shared" si="3"/>
        <v>234</v>
      </c>
      <c r="BL47" s="519"/>
      <c r="BM47" s="519"/>
      <c r="BN47" s="520"/>
      <c r="BO47" s="477"/>
      <c r="BP47" s="356"/>
      <c r="BQ47" s="356"/>
      <c r="BR47" s="356"/>
      <c r="BS47" s="356"/>
      <c r="BT47" s="356"/>
      <c r="BU47" s="356"/>
      <c r="BV47" s="356"/>
      <c r="BW47" s="356"/>
      <c r="BX47" s="356"/>
      <c r="BY47" s="356"/>
      <c r="BZ47" s="356"/>
      <c r="CA47" s="356"/>
      <c r="CB47" s="356"/>
      <c r="CC47" s="356"/>
      <c r="CD47" s="356">
        <v>4</v>
      </c>
      <c r="CE47" s="356"/>
      <c r="CF47" s="356"/>
      <c r="CG47" s="356"/>
      <c r="CH47" s="356"/>
      <c r="CI47" s="356">
        <v>4</v>
      </c>
      <c r="CJ47" s="356"/>
      <c r="CK47" s="356"/>
      <c r="CL47" s="356"/>
      <c r="CM47" s="356"/>
      <c r="CN47" s="356">
        <v>4</v>
      </c>
      <c r="CO47" s="356"/>
      <c r="CP47" s="356"/>
      <c r="CQ47" s="356"/>
      <c r="CR47" s="356"/>
      <c r="CS47" s="356"/>
      <c r="CT47" s="356"/>
      <c r="CU47" s="356"/>
      <c r="CV47" s="356"/>
      <c r="CW47" s="356"/>
      <c r="CX47" s="356"/>
      <c r="CY47" s="356"/>
      <c r="CZ47" s="356"/>
      <c r="DA47" s="356"/>
      <c r="DB47" s="361"/>
      <c r="DC47" s="477"/>
      <c r="DD47" s="356"/>
      <c r="DE47" s="356"/>
      <c r="DF47" s="356"/>
      <c r="DG47" s="356"/>
      <c r="DH47" s="356"/>
      <c r="DI47" s="356"/>
      <c r="DJ47" s="356"/>
      <c r="DK47" s="356"/>
      <c r="DL47" s="356"/>
      <c r="DM47" s="356"/>
      <c r="DN47" s="356"/>
      <c r="DO47" s="356"/>
      <c r="DP47" s="356"/>
      <c r="DQ47" s="356"/>
      <c r="DR47" s="356">
        <v>4</v>
      </c>
      <c r="DS47" s="356"/>
      <c r="DT47" s="356"/>
      <c r="DU47" s="356"/>
      <c r="DV47" s="356"/>
      <c r="DW47" s="356">
        <v>4</v>
      </c>
      <c r="DX47" s="356"/>
      <c r="DY47" s="356"/>
      <c r="DZ47" s="356"/>
      <c r="EA47" s="356"/>
      <c r="EB47" s="356">
        <v>5</v>
      </c>
      <c r="EC47" s="356"/>
      <c r="ED47" s="356"/>
      <c r="EE47" s="356"/>
      <c r="EF47" s="356"/>
      <c r="EG47" s="356"/>
      <c r="EH47" s="356"/>
      <c r="EI47" s="356"/>
      <c r="EJ47" s="356"/>
      <c r="EK47" s="356"/>
      <c r="EL47" s="356"/>
      <c r="EM47" s="356"/>
      <c r="EN47" s="356"/>
      <c r="EO47" s="356"/>
      <c r="EP47" s="361"/>
      <c r="EQ47" s="521">
        <f t="shared" si="0"/>
        <v>13</v>
      </c>
      <c r="ER47" s="522"/>
      <c r="ES47" s="523"/>
      <c r="ET47" s="262" t="s">
        <v>297</v>
      </c>
      <c r="EX47" s="233"/>
      <c r="EY47" s="234"/>
      <c r="EZ47" s="235"/>
      <c r="FC47" s="247"/>
      <c r="FD47" s="248"/>
      <c r="FE47" s="247"/>
      <c r="FF47" s="247"/>
      <c r="FG47" s="247"/>
      <c r="FH47" s="247"/>
      <c r="FI47" s="256"/>
      <c r="FJ47" s="256"/>
    </row>
    <row r="48" spans="1:166" s="127" customFormat="1" ht="90" customHeight="1" x14ac:dyDescent="0.65">
      <c r="A48" s="124" t="s">
        <v>7</v>
      </c>
      <c r="B48" s="136" t="s">
        <v>140</v>
      </c>
      <c r="C48" s="526" t="s">
        <v>125</v>
      </c>
      <c r="D48" s="526"/>
      <c r="E48" s="526"/>
      <c r="F48" s="526"/>
      <c r="G48" s="526"/>
      <c r="H48" s="526"/>
      <c r="I48" s="526"/>
      <c r="J48" s="526"/>
      <c r="K48" s="526"/>
      <c r="L48" s="526"/>
      <c r="M48" s="526"/>
      <c r="N48" s="526"/>
      <c r="O48" s="526"/>
      <c r="P48" s="526"/>
      <c r="Q48" s="526"/>
      <c r="R48" s="526"/>
      <c r="S48" s="526"/>
      <c r="T48" s="526"/>
      <c r="U48" s="526"/>
      <c r="V48" s="526"/>
      <c r="W48" s="526"/>
      <c r="X48" s="526"/>
      <c r="Y48" s="526"/>
      <c r="Z48" s="515">
        <f t="shared" si="1"/>
        <v>150</v>
      </c>
      <c r="AA48" s="516"/>
      <c r="AB48" s="516"/>
      <c r="AC48" s="517"/>
      <c r="AD48" s="356"/>
      <c r="AE48" s="356"/>
      <c r="AF48" s="356"/>
      <c r="AG48" s="489">
        <f t="shared" si="2"/>
        <v>60</v>
      </c>
      <c r="AH48" s="489"/>
      <c r="AI48" s="489"/>
      <c r="AJ48" s="489"/>
      <c r="AK48" s="489"/>
      <c r="AL48" s="489">
        <v>30</v>
      </c>
      <c r="AM48" s="489"/>
      <c r="AN48" s="489"/>
      <c r="AO48" s="489"/>
      <c r="AP48" s="489"/>
      <c r="AQ48" s="489">
        <v>30</v>
      </c>
      <c r="AR48" s="489"/>
      <c r="AS48" s="489"/>
      <c r="AT48" s="489"/>
      <c r="AU48" s="489"/>
      <c r="AV48" s="489"/>
      <c r="AW48" s="489"/>
      <c r="AX48" s="489"/>
      <c r="AY48" s="489"/>
      <c r="AZ48" s="489"/>
      <c r="BA48" s="518"/>
      <c r="BB48" s="518"/>
      <c r="BC48" s="518"/>
      <c r="BD48" s="518"/>
      <c r="BE48" s="518"/>
      <c r="BF48" s="518"/>
      <c r="BG48" s="518"/>
      <c r="BH48" s="518"/>
      <c r="BI48" s="518"/>
      <c r="BJ48" s="518"/>
      <c r="BK48" s="519">
        <f t="shared" si="3"/>
        <v>90</v>
      </c>
      <c r="BL48" s="519"/>
      <c r="BM48" s="519"/>
      <c r="BN48" s="520"/>
      <c r="BO48" s="477"/>
      <c r="BP48" s="356"/>
      <c r="BQ48" s="356"/>
      <c r="BR48" s="356"/>
      <c r="BS48" s="356"/>
      <c r="BT48" s="356"/>
      <c r="BU48" s="356"/>
      <c r="BV48" s="356"/>
      <c r="BW48" s="356"/>
      <c r="BX48" s="356"/>
      <c r="BY48" s="356"/>
      <c r="BZ48" s="356"/>
      <c r="CA48" s="356"/>
      <c r="CB48" s="356"/>
      <c r="CC48" s="356"/>
      <c r="CD48" s="356"/>
      <c r="CE48" s="356"/>
      <c r="CF48" s="356"/>
      <c r="CG48" s="356"/>
      <c r="CH48" s="356"/>
      <c r="CI48" s="356">
        <v>4</v>
      </c>
      <c r="CJ48" s="356"/>
      <c r="CK48" s="356"/>
      <c r="CL48" s="356"/>
      <c r="CM48" s="356"/>
      <c r="CN48" s="356"/>
      <c r="CO48" s="356"/>
      <c r="CP48" s="356"/>
      <c r="CQ48" s="356"/>
      <c r="CR48" s="356"/>
      <c r="CS48" s="356"/>
      <c r="CT48" s="356"/>
      <c r="CU48" s="356"/>
      <c r="CV48" s="356"/>
      <c r="CW48" s="356"/>
      <c r="CX48" s="356"/>
      <c r="CY48" s="356"/>
      <c r="CZ48" s="356"/>
      <c r="DA48" s="356"/>
      <c r="DB48" s="361"/>
      <c r="DC48" s="477"/>
      <c r="DD48" s="356"/>
      <c r="DE48" s="356"/>
      <c r="DF48" s="356"/>
      <c r="DG48" s="356"/>
      <c r="DH48" s="356"/>
      <c r="DI48" s="356"/>
      <c r="DJ48" s="356"/>
      <c r="DK48" s="356"/>
      <c r="DL48" s="356"/>
      <c r="DM48" s="356"/>
      <c r="DN48" s="356"/>
      <c r="DO48" s="356"/>
      <c r="DP48" s="356"/>
      <c r="DQ48" s="356"/>
      <c r="DR48" s="356"/>
      <c r="DS48" s="356"/>
      <c r="DT48" s="356"/>
      <c r="DU48" s="356"/>
      <c r="DV48" s="356"/>
      <c r="DW48" s="356">
        <v>5</v>
      </c>
      <c r="DX48" s="356"/>
      <c r="DY48" s="356"/>
      <c r="DZ48" s="356"/>
      <c r="EA48" s="356"/>
      <c r="EB48" s="356"/>
      <c r="EC48" s="356"/>
      <c r="ED48" s="356"/>
      <c r="EE48" s="356"/>
      <c r="EF48" s="356"/>
      <c r="EG48" s="356"/>
      <c r="EH48" s="356"/>
      <c r="EI48" s="356"/>
      <c r="EJ48" s="356"/>
      <c r="EK48" s="356"/>
      <c r="EL48" s="356"/>
      <c r="EM48" s="356"/>
      <c r="EN48" s="356"/>
      <c r="EO48" s="356"/>
      <c r="EP48" s="361"/>
      <c r="EQ48" s="521">
        <f t="shared" si="0"/>
        <v>5</v>
      </c>
      <c r="ER48" s="522"/>
      <c r="ES48" s="523"/>
      <c r="ET48" s="261" t="s">
        <v>297</v>
      </c>
      <c r="EX48" s="230"/>
      <c r="EY48" s="231">
        <v>6</v>
      </c>
      <c r="EZ48" s="232"/>
      <c r="FC48" s="247"/>
      <c r="FD48" s="248"/>
      <c r="FE48" s="247"/>
      <c r="FF48" s="247"/>
      <c r="FG48" s="247"/>
      <c r="FH48" s="247"/>
      <c r="FI48" s="256"/>
      <c r="FJ48" s="256"/>
    </row>
    <row r="49" spans="1:166" s="128" customFormat="1" ht="90" customHeight="1" x14ac:dyDescent="0.65">
      <c r="A49" s="124" t="s">
        <v>107</v>
      </c>
      <c r="B49" s="136" t="s">
        <v>141</v>
      </c>
      <c r="C49" s="488" t="s">
        <v>186</v>
      </c>
      <c r="D49" s="488"/>
      <c r="E49" s="488"/>
      <c r="F49" s="488"/>
      <c r="G49" s="488"/>
      <c r="H49" s="488"/>
      <c r="I49" s="488"/>
      <c r="J49" s="488"/>
      <c r="K49" s="488"/>
      <c r="L49" s="488"/>
      <c r="M49" s="488"/>
      <c r="N49" s="488"/>
      <c r="O49" s="488"/>
      <c r="P49" s="488"/>
      <c r="Q49" s="488"/>
      <c r="R49" s="488"/>
      <c r="S49" s="488"/>
      <c r="T49" s="488"/>
      <c r="U49" s="488"/>
      <c r="V49" s="488"/>
      <c r="W49" s="488"/>
      <c r="X49" s="488"/>
      <c r="Y49" s="488"/>
      <c r="Z49" s="515">
        <f t="shared" si="1"/>
        <v>210</v>
      </c>
      <c r="AA49" s="516"/>
      <c r="AB49" s="516"/>
      <c r="AC49" s="517"/>
      <c r="AD49" s="356"/>
      <c r="AE49" s="356"/>
      <c r="AF49" s="356"/>
      <c r="AG49" s="489">
        <f t="shared" si="2"/>
        <v>84</v>
      </c>
      <c r="AH49" s="489"/>
      <c r="AI49" s="489"/>
      <c r="AJ49" s="489"/>
      <c r="AK49" s="489"/>
      <c r="AL49" s="489">
        <v>42</v>
      </c>
      <c r="AM49" s="489"/>
      <c r="AN49" s="489"/>
      <c r="AO49" s="489"/>
      <c r="AP49" s="489"/>
      <c r="AQ49" s="489">
        <v>42</v>
      </c>
      <c r="AR49" s="489"/>
      <c r="AS49" s="489"/>
      <c r="AT49" s="489"/>
      <c r="AU49" s="489"/>
      <c r="AV49" s="489"/>
      <c r="AW49" s="489"/>
      <c r="AX49" s="489"/>
      <c r="AY49" s="489"/>
      <c r="AZ49" s="489"/>
      <c r="BA49" s="518"/>
      <c r="BB49" s="518"/>
      <c r="BC49" s="518"/>
      <c r="BD49" s="518"/>
      <c r="BE49" s="518"/>
      <c r="BF49" s="518"/>
      <c r="BG49" s="518"/>
      <c r="BH49" s="518"/>
      <c r="BI49" s="518"/>
      <c r="BJ49" s="518"/>
      <c r="BK49" s="519">
        <f t="shared" si="3"/>
        <v>126</v>
      </c>
      <c r="BL49" s="519"/>
      <c r="BM49" s="519"/>
      <c r="BN49" s="520"/>
      <c r="BO49" s="477"/>
      <c r="BP49" s="356"/>
      <c r="BQ49" s="356"/>
      <c r="BR49" s="356"/>
      <c r="BS49" s="356"/>
      <c r="BT49" s="356"/>
      <c r="BU49" s="356"/>
      <c r="BV49" s="356"/>
      <c r="BW49" s="356"/>
      <c r="BX49" s="356"/>
      <c r="BY49" s="356"/>
      <c r="BZ49" s="356"/>
      <c r="CA49" s="356"/>
      <c r="CB49" s="356"/>
      <c r="CC49" s="356"/>
      <c r="CD49" s="356"/>
      <c r="CE49" s="356"/>
      <c r="CF49" s="356"/>
      <c r="CG49" s="356"/>
      <c r="CH49" s="356"/>
      <c r="CI49" s="356"/>
      <c r="CJ49" s="356"/>
      <c r="CK49" s="356"/>
      <c r="CL49" s="356"/>
      <c r="CM49" s="356"/>
      <c r="CN49" s="356">
        <v>6</v>
      </c>
      <c r="CO49" s="356"/>
      <c r="CP49" s="356"/>
      <c r="CQ49" s="356"/>
      <c r="CR49" s="356"/>
      <c r="CS49" s="356"/>
      <c r="CT49" s="356"/>
      <c r="CU49" s="356"/>
      <c r="CV49" s="356"/>
      <c r="CW49" s="356"/>
      <c r="CX49" s="356"/>
      <c r="CY49" s="356"/>
      <c r="CZ49" s="356"/>
      <c r="DA49" s="356"/>
      <c r="DB49" s="361"/>
      <c r="DC49" s="477"/>
      <c r="DD49" s="356"/>
      <c r="DE49" s="356"/>
      <c r="DF49" s="356"/>
      <c r="DG49" s="356"/>
      <c r="DH49" s="356"/>
      <c r="DI49" s="356"/>
      <c r="DJ49" s="356"/>
      <c r="DK49" s="356"/>
      <c r="DL49" s="356"/>
      <c r="DM49" s="356"/>
      <c r="DN49" s="356"/>
      <c r="DO49" s="356"/>
      <c r="DP49" s="356"/>
      <c r="DQ49" s="356"/>
      <c r="DR49" s="356"/>
      <c r="DS49" s="356"/>
      <c r="DT49" s="356"/>
      <c r="DU49" s="356"/>
      <c r="DV49" s="356"/>
      <c r="DW49" s="356"/>
      <c r="DX49" s="356"/>
      <c r="DY49" s="356"/>
      <c r="DZ49" s="356"/>
      <c r="EA49" s="356"/>
      <c r="EB49" s="356">
        <v>7</v>
      </c>
      <c r="EC49" s="356"/>
      <c r="ED49" s="356"/>
      <c r="EE49" s="356"/>
      <c r="EF49" s="356"/>
      <c r="EG49" s="356"/>
      <c r="EH49" s="356"/>
      <c r="EI49" s="356"/>
      <c r="EJ49" s="356"/>
      <c r="EK49" s="356"/>
      <c r="EL49" s="356"/>
      <c r="EM49" s="356"/>
      <c r="EN49" s="356"/>
      <c r="EO49" s="356"/>
      <c r="EP49" s="361"/>
      <c r="EQ49" s="521">
        <f t="shared" si="0"/>
        <v>7</v>
      </c>
      <c r="ER49" s="522"/>
      <c r="ES49" s="523"/>
      <c r="ET49" s="262"/>
      <c r="EX49" s="230"/>
      <c r="EY49" s="231">
        <v>9</v>
      </c>
      <c r="EZ49" s="232"/>
      <c r="FC49" s="249"/>
      <c r="FD49" s="250"/>
      <c r="FE49" s="249"/>
      <c r="FF49" s="249"/>
      <c r="FG49" s="249"/>
      <c r="FH49" s="249"/>
      <c r="FI49" s="257"/>
      <c r="FJ49" s="257"/>
    </row>
    <row r="50" spans="1:166" s="128" customFormat="1" ht="90" customHeight="1" x14ac:dyDescent="0.65">
      <c r="A50" s="124" t="s">
        <v>8</v>
      </c>
      <c r="B50" s="136" t="s">
        <v>142</v>
      </c>
      <c r="C50" s="536" t="s">
        <v>181</v>
      </c>
      <c r="D50" s="536"/>
      <c r="E50" s="536"/>
      <c r="F50" s="536"/>
      <c r="G50" s="536"/>
      <c r="H50" s="536"/>
      <c r="I50" s="536"/>
      <c r="J50" s="536"/>
      <c r="K50" s="536"/>
      <c r="L50" s="536"/>
      <c r="M50" s="536"/>
      <c r="N50" s="536"/>
      <c r="O50" s="536"/>
      <c r="P50" s="536"/>
      <c r="Q50" s="536"/>
      <c r="R50" s="536"/>
      <c r="S50" s="536"/>
      <c r="T50" s="536"/>
      <c r="U50" s="536"/>
      <c r="V50" s="536"/>
      <c r="W50" s="536"/>
      <c r="X50" s="536"/>
      <c r="Y50" s="536"/>
      <c r="Z50" s="515">
        <f t="shared" si="1"/>
        <v>210</v>
      </c>
      <c r="AA50" s="516"/>
      <c r="AB50" s="516"/>
      <c r="AC50" s="517"/>
      <c r="AD50" s="356"/>
      <c r="AE50" s="356"/>
      <c r="AF50" s="356"/>
      <c r="AG50" s="489">
        <f t="shared" si="2"/>
        <v>84</v>
      </c>
      <c r="AH50" s="489"/>
      <c r="AI50" s="489"/>
      <c r="AJ50" s="489"/>
      <c r="AK50" s="489"/>
      <c r="AL50" s="489">
        <v>42</v>
      </c>
      <c r="AM50" s="489"/>
      <c r="AN50" s="489"/>
      <c r="AO50" s="489"/>
      <c r="AP50" s="489"/>
      <c r="AQ50" s="489">
        <v>42</v>
      </c>
      <c r="AR50" s="489"/>
      <c r="AS50" s="489"/>
      <c r="AT50" s="489"/>
      <c r="AU50" s="489"/>
      <c r="AV50" s="489"/>
      <c r="AW50" s="489"/>
      <c r="AX50" s="489"/>
      <c r="AY50" s="489"/>
      <c r="AZ50" s="489"/>
      <c r="BA50" s="518"/>
      <c r="BB50" s="518"/>
      <c r="BC50" s="518"/>
      <c r="BD50" s="518"/>
      <c r="BE50" s="518"/>
      <c r="BF50" s="518"/>
      <c r="BG50" s="518"/>
      <c r="BH50" s="518"/>
      <c r="BI50" s="518"/>
      <c r="BJ50" s="518"/>
      <c r="BK50" s="519">
        <f t="shared" si="3"/>
        <v>126</v>
      </c>
      <c r="BL50" s="519"/>
      <c r="BM50" s="519"/>
      <c r="BN50" s="520"/>
      <c r="BO50" s="477"/>
      <c r="BP50" s="356"/>
      <c r="BQ50" s="356"/>
      <c r="BR50" s="356"/>
      <c r="BS50" s="356"/>
      <c r="BT50" s="356"/>
      <c r="BU50" s="356"/>
      <c r="BV50" s="356"/>
      <c r="BW50" s="356"/>
      <c r="BX50" s="356"/>
      <c r="BY50" s="356"/>
      <c r="BZ50" s="356"/>
      <c r="CA50" s="356"/>
      <c r="CB50" s="356"/>
      <c r="CC50" s="356"/>
      <c r="CD50" s="356"/>
      <c r="CE50" s="356"/>
      <c r="CF50" s="356"/>
      <c r="CG50" s="356"/>
      <c r="CH50" s="356"/>
      <c r="CI50" s="356"/>
      <c r="CJ50" s="356"/>
      <c r="CK50" s="356"/>
      <c r="CL50" s="356"/>
      <c r="CM50" s="356"/>
      <c r="CN50" s="356">
        <v>6</v>
      </c>
      <c r="CO50" s="356"/>
      <c r="CP50" s="356"/>
      <c r="CQ50" s="356"/>
      <c r="CR50" s="356"/>
      <c r="CS50" s="356"/>
      <c r="CT50" s="356"/>
      <c r="CU50" s="356"/>
      <c r="CV50" s="356"/>
      <c r="CW50" s="356"/>
      <c r="CX50" s="356"/>
      <c r="CY50" s="356"/>
      <c r="CZ50" s="356"/>
      <c r="DA50" s="356"/>
      <c r="DB50" s="361"/>
      <c r="DC50" s="477"/>
      <c r="DD50" s="356"/>
      <c r="DE50" s="356"/>
      <c r="DF50" s="356"/>
      <c r="DG50" s="356"/>
      <c r="DH50" s="356"/>
      <c r="DI50" s="356"/>
      <c r="DJ50" s="356"/>
      <c r="DK50" s="356"/>
      <c r="DL50" s="356"/>
      <c r="DM50" s="356"/>
      <c r="DN50" s="356"/>
      <c r="DO50" s="356"/>
      <c r="DP50" s="356"/>
      <c r="DQ50" s="356"/>
      <c r="DR50" s="356"/>
      <c r="DS50" s="356"/>
      <c r="DT50" s="356"/>
      <c r="DU50" s="356"/>
      <c r="DV50" s="356"/>
      <c r="DW50" s="356"/>
      <c r="DX50" s="356"/>
      <c r="DY50" s="356"/>
      <c r="DZ50" s="356"/>
      <c r="EA50" s="356"/>
      <c r="EB50" s="356">
        <v>7</v>
      </c>
      <c r="EC50" s="356"/>
      <c r="ED50" s="356"/>
      <c r="EE50" s="356"/>
      <c r="EF50" s="356"/>
      <c r="EG50" s="356"/>
      <c r="EH50" s="356"/>
      <c r="EI50" s="356"/>
      <c r="EJ50" s="356"/>
      <c r="EK50" s="356"/>
      <c r="EL50" s="356"/>
      <c r="EM50" s="356"/>
      <c r="EN50" s="356"/>
      <c r="EO50" s="356"/>
      <c r="EP50" s="361"/>
      <c r="EQ50" s="521">
        <f t="shared" si="0"/>
        <v>7</v>
      </c>
      <c r="ER50" s="522"/>
      <c r="ES50" s="523"/>
      <c r="ET50" s="261" t="s">
        <v>297</v>
      </c>
      <c r="EX50" s="230"/>
      <c r="EY50" s="231">
        <v>6</v>
      </c>
      <c r="EZ50" s="232"/>
      <c r="FC50" s="249"/>
      <c r="FD50" s="250"/>
      <c r="FE50" s="249"/>
      <c r="FF50" s="249"/>
      <c r="FG50" s="249"/>
      <c r="FH50" s="249"/>
      <c r="FI50" s="257"/>
      <c r="FJ50" s="257"/>
    </row>
    <row r="51" spans="1:166" s="128" customFormat="1" ht="120" customHeight="1" x14ac:dyDescent="0.65">
      <c r="A51" s="124" t="s">
        <v>9</v>
      </c>
      <c r="B51" s="136" t="s">
        <v>294</v>
      </c>
      <c r="C51" s="411" t="s">
        <v>293</v>
      </c>
      <c r="D51" s="411"/>
      <c r="E51" s="411"/>
      <c r="F51" s="411"/>
      <c r="G51" s="411"/>
      <c r="H51" s="411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1"/>
      <c r="X51" s="411"/>
      <c r="Y51" s="411"/>
      <c r="Z51" s="515">
        <f t="shared" si="1"/>
        <v>150</v>
      </c>
      <c r="AA51" s="516"/>
      <c r="AB51" s="516"/>
      <c r="AC51" s="517"/>
      <c r="AD51" s="356"/>
      <c r="AE51" s="356"/>
      <c r="AF51" s="356"/>
      <c r="AG51" s="489">
        <f t="shared" si="2"/>
        <v>60</v>
      </c>
      <c r="AH51" s="489"/>
      <c r="AI51" s="489"/>
      <c r="AJ51" s="489"/>
      <c r="AK51" s="489"/>
      <c r="AL51" s="489">
        <v>30</v>
      </c>
      <c r="AM51" s="489"/>
      <c r="AN51" s="489"/>
      <c r="AO51" s="489"/>
      <c r="AP51" s="489"/>
      <c r="AQ51" s="489">
        <v>30</v>
      </c>
      <c r="AR51" s="489"/>
      <c r="AS51" s="489"/>
      <c r="AT51" s="489"/>
      <c r="AU51" s="489"/>
      <c r="AV51" s="489"/>
      <c r="AW51" s="489"/>
      <c r="AX51" s="489"/>
      <c r="AY51" s="489"/>
      <c r="AZ51" s="489"/>
      <c r="BA51" s="518"/>
      <c r="BB51" s="518"/>
      <c r="BC51" s="518"/>
      <c r="BD51" s="518"/>
      <c r="BE51" s="518"/>
      <c r="BF51" s="518"/>
      <c r="BG51" s="518"/>
      <c r="BH51" s="518"/>
      <c r="BI51" s="518"/>
      <c r="BJ51" s="518"/>
      <c r="BK51" s="519">
        <f t="shared" ref="BK51:BK58" si="4">Z51-AG51</f>
        <v>90</v>
      </c>
      <c r="BL51" s="519"/>
      <c r="BM51" s="519"/>
      <c r="BN51" s="520"/>
      <c r="BO51" s="477"/>
      <c r="BP51" s="356"/>
      <c r="BQ51" s="356"/>
      <c r="BR51" s="356"/>
      <c r="BS51" s="356"/>
      <c r="BT51" s="356"/>
      <c r="BU51" s="356"/>
      <c r="BV51" s="356"/>
      <c r="BW51" s="356"/>
      <c r="BX51" s="356"/>
      <c r="BY51" s="356"/>
      <c r="BZ51" s="356"/>
      <c r="CA51" s="356"/>
      <c r="CB51" s="356"/>
      <c r="CC51" s="356"/>
      <c r="CD51" s="356"/>
      <c r="CE51" s="356"/>
      <c r="CF51" s="356"/>
      <c r="CG51" s="356"/>
      <c r="CH51" s="356"/>
      <c r="CI51" s="356"/>
      <c r="CJ51" s="356"/>
      <c r="CK51" s="356"/>
      <c r="CL51" s="356"/>
      <c r="CM51" s="356"/>
      <c r="CN51" s="356"/>
      <c r="CO51" s="356"/>
      <c r="CP51" s="356"/>
      <c r="CQ51" s="356"/>
      <c r="CR51" s="356"/>
      <c r="CS51" s="356">
        <v>4</v>
      </c>
      <c r="CT51" s="356"/>
      <c r="CU51" s="356"/>
      <c r="CV51" s="356"/>
      <c r="CW51" s="356"/>
      <c r="CX51" s="356"/>
      <c r="CY51" s="356"/>
      <c r="CZ51" s="356"/>
      <c r="DA51" s="356"/>
      <c r="DB51" s="361"/>
      <c r="DC51" s="477"/>
      <c r="DD51" s="356"/>
      <c r="DE51" s="356"/>
      <c r="DF51" s="356"/>
      <c r="DG51" s="356"/>
      <c r="DH51" s="356"/>
      <c r="DI51" s="356"/>
      <c r="DJ51" s="356"/>
      <c r="DK51" s="356"/>
      <c r="DL51" s="356"/>
      <c r="DM51" s="356"/>
      <c r="DN51" s="356"/>
      <c r="DO51" s="356"/>
      <c r="DP51" s="356"/>
      <c r="DQ51" s="356"/>
      <c r="DR51" s="356"/>
      <c r="DS51" s="356"/>
      <c r="DT51" s="356"/>
      <c r="DU51" s="356"/>
      <c r="DV51" s="356"/>
      <c r="DW51" s="356"/>
      <c r="DX51" s="356"/>
      <c r="DY51" s="356"/>
      <c r="DZ51" s="356"/>
      <c r="EA51" s="356"/>
      <c r="EB51" s="356"/>
      <c r="EC51" s="356"/>
      <c r="ED51" s="356"/>
      <c r="EE51" s="356"/>
      <c r="EF51" s="356"/>
      <c r="EG51" s="356">
        <v>5</v>
      </c>
      <c r="EH51" s="356"/>
      <c r="EI51" s="356"/>
      <c r="EJ51" s="356"/>
      <c r="EK51" s="356"/>
      <c r="EL51" s="356"/>
      <c r="EM51" s="356"/>
      <c r="EN51" s="356"/>
      <c r="EO51" s="356"/>
      <c r="EP51" s="361"/>
      <c r="EQ51" s="521">
        <f t="shared" ref="EQ51:EQ58" si="5">DC51+DH51+DM51+DR51+DW51+EG51+EB51+EL51</f>
        <v>5</v>
      </c>
      <c r="ER51" s="522"/>
      <c r="ES51" s="523"/>
      <c r="ET51" s="262"/>
      <c r="EX51" s="230"/>
      <c r="EY51" s="231">
        <v>8</v>
      </c>
      <c r="EZ51" s="232"/>
      <c r="FC51" s="249"/>
      <c r="FD51" s="250"/>
      <c r="FE51" s="249"/>
      <c r="FF51" s="249"/>
      <c r="FG51" s="249"/>
      <c r="FH51" s="249"/>
      <c r="FI51" s="257"/>
      <c r="FJ51" s="257"/>
    </row>
    <row r="52" spans="1:166" s="57" customFormat="1" ht="120" customHeight="1" x14ac:dyDescent="0.65">
      <c r="A52" s="54" t="s">
        <v>105</v>
      </c>
      <c r="B52" s="137" t="s">
        <v>143</v>
      </c>
      <c r="C52" s="411" t="s">
        <v>126</v>
      </c>
      <c r="D52" s="411"/>
      <c r="E52" s="411"/>
      <c r="F52" s="411"/>
      <c r="G52" s="411"/>
      <c r="H52" s="411"/>
      <c r="I52" s="411"/>
      <c r="J52" s="411"/>
      <c r="K52" s="411"/>
      <c r="L52" s="411"/>
      <c r="M52" s="411"/>
      <c r="N52" s="411"/>
      <c r="O52" s="411"/>
      <c r="P52" s="411"/>
      <c r="Q52" s="411"/>
      <c r="R52" s="411"/>
      <c r="S52" s="411"/>
      <c r="T52" s="411"/>
      <c r="U52" s="411"/>
      <c r="V52" s="411"/>
      <c r="W52" s="411"/>
      <c r="X52" s="411"/>
      <c r="Y52" s="411"/>
      <c r="Z52" s="434">
        <f t="shared" si="1"/>
        <v>180</v>
      </c>
      <c r="AA52" s="435"/>
      <c r="AB52" s="435"/>
      <c r="AC52" s="436"/>
      <c r="AD52" s="355"/>
      <c r="AE52" s="355"/>
      <c r="AF52" s="355"/>
      <c r="AG52" s="437">
        <f t="shared" si="2"/>
        <v>72</v>
      </c>
      <c r="AH52" s="437"/>
      <c r="AI52" s="437"/>
      <c r="AJ52" s="437"/>
      <c r="AK52" s="437"/>
      <c r="AL52" s="437">
        <v>36</v>
      </c>
      <c r="AM52" s="437"/>
      <c r="AN52" s="437"/>
      <c r="AO52" s="437"/>
      <c r="AP52" s="437"/>
      <c r="AQ52" s="437">
        <v>36</v>
      </c>
      <c r="AR52" s="437"/>
      <c r="AS52" s="437"/>
      <c r="AT52" s="437"/>
      <c r="AU52" s="437"/>
      <c r="AV52" s="437"/>
      <c r="AW52" s="437"/>
      <c r="AX52" s="437"/>
      <c r="AY52" s="437"/>
      <c r="AZ52" s="437"/>
      <c r="BA52" s="438"/>
      <c r="BB52" s="438"/>
      <c r="BC52" s="438"/>
      <c r="BD52" s="438"/>
      <c r="BE52" s="438"/>
      <c r="BF52" s="438"/>
      <c r="BG52" s="438"/>
      <c r="BH52" s="438"/>
      <c r="BI52" s="438"/>
      <c r="BJ52" s="438"/>
      <c r="BK52" s="439">
        <f t="shared" si="4"/>
        <v>108</v>
      </c>
      <c r="BL52" s="439"/>
      <c r="BM52" s="439"/>
      <c r="BN52" s="440"/>
      <c r="BO52" s="363"/>
      <c r="BP52" s="355"/>
      <c r="BQ52" s="355"/>
      <c r="BR52" s="355"/>
      <c r="BS52" s="355"/>
      <c r="BT52" s="355"/>
      <c r="BU52" s="355"/>
      <c r="BV52" s="355"/>
      <c r="BW52" s="355"/>
      <c r="BX52" s="355"/>
      <c r="BY52" s="356"/>
      <c r="BZ52" s="356"/>
      <c r="CA52" s="356"/>
      <c r="CB52" s="356"/>
      <c r="CC52" s="356"/>
      <c r="CD52" s="356"/>
      <c r="CE52" s="356"/>
      <c r="CF52" s="356"/>
      <c r="CG52" s="356"/>
      <c r="CH52" s="356"/>
      <c r="CI52" s="355"/>
      <c r="CJ52" s="355"/>
      <c r="CK52" s="355"/>
      <c r="CL52" s="355"/>
      <c r="CM52" s="355"/>
      <c r="CN52" s="355"/>
      <c r="CO52" s="355"/>
      <c r="CP52" s="355"/>
      <c r="CQ52" s="355"/>
      <c r="CR52" s="355"/>
      <c r="CS52" s="355">
        <v>7</v>
      </c>
      <c r="CT52" s="355"/>
      <c r="CU52" s="355"/>
      <c r="CV52" s="355"/>
      <c r="CW52" s="355"/>
      <c r="CX52" s="355"/>
      <c r="CY52" s="355"/>
      <c r="CZ52" s="355"/>
      <c r="DA52" s="355"/>
      <c r="DB52" s="362"/>
      <c r="DC52" s="363"/>
      <c r="DD52" s="355"/>
      <c r="DE52" s="355"/>
      <c r="DF52" s="355"/>
      <c r="DG52" s="355"/>
      <c r="DH52" s="355"/>
      <c r="DI52" s="355"/>
      <c r="DJ52" s="355"/>
      <c r="DK52" s="355"/>
      <c r="DL52" s="355"/>
      <c r="DM52" s="355"/>
      <c r="DN52" s="355"/>
      <c r="DO52" s="355"/>
      <c r="DP52" s="355"/>
      <c r="DQ52" s="355"/>
      <c r="DR52" s="355"/>
      <c r="DS52" s="355"/>
      <c r="DT52" s="355"/>
      <c r="DU52" s="355"/>
      <c r="DV52" s="355"/>
      <c r="DW52" s="355"/>
      <c r="DX52" s="355"/>
      <c r="DY52" s="355"/>
      <c r="DZ52" s="355"/>
      <c r="EA52" s="355"/>
      <c r="EB52" s="355"/>
      <c r="EC52" s="355"/>
      <c r="ED52" s="355"/>
      <c r="EE52" s="355"/>
      <c r="EF52" s="355"/>
      <c r="EG52" s="355">
        <v>6</v>
      </c>
      <c r="EH52" s="355"/>
      <c r="EI52" s="355"/>
      <c r="EJ52" s="355"/>
      <c r="EK52" s="355"/>
      <c r="EL52" s="355"/>
      <c r="EM52" s="355"/>
      <c r="EN52" s="355"/>
      <c r="EO52" s="355"/>
      <c r="EP52" s="362"/>
      <c r="EQ52" s="478">
        <f t="shared" si="5"/>
        <v>6</v>
      </c>
      <c r="ER52" s="479"/>
      <c r="ES52" s="466"/>
      <c r="ET52" s="260"/>
      <c r="EX52" s="230"/>
      <c r="EY52" s="231">
        <v>8</v>
      </c>
      <c r="EZ52" s="232"/>
      <c r="FC52" s="251"/>
      <c r="FD52" s="252"/>
      <c r="FE52" s="251"/>
      <c r="FF52" s="251"/>
      <c r="FG52" s="251"/>
      <c r="FH52" s="251"/>
      <c r="FI52" s="258"/>
      <c r="FJ52" s="258"/>
    </row>
    <row r="53" spans="1:166" s="57" customFormat="1" ht="120" customHeight="1" x14ac:dyDescent="0.65">
      <c r="A53" s="54" t="s">
        <v>108</v>
      </c>
      <c r="B53" s="135" t="s">
        <v>153</v>
      </c>
      <c r="C53" s="411" t="s">
        <v>154</v>
      </c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  <c r="O53" s="411"/>
      <c r="P53" s="411"/>
      <c r="Q53" s="411"/>
      <c r="R53" s="411"/>
      <c r="S53" s="411"/>
      <c r="T53" s="411"/>
      <c r="U53" s="411"/>
      <c r="V53" s="411"/>
      <c r="W53" s="411"/>
      <c r="X53" s="411"/>
      <c r="Y53" s="411"/>
      <c r="Z53" s="434">
        <f t="shared" si="1"/>
        <v>120</v>
      </c>
      <c r="AA53" s="435"/>
      <c r="AB53" s="435"/>
      <c r="AC53" s="436"/>
      <c r="AD53" s="355"/>
      <c r="AE53" s="355"/>
      <c r="AF53" s="355"/>
      <c r="AG53" s="437">
        <f t="shared" si="2"/>
        <v>60</v>
      </c>
      <c r="AH53" s="437"/>
      <c r="AI53" s="437"/>
      <c r="AJ53" s="437"/>
      <c r="AK53" s="437"/>
      <c r="AL53" s="437">
        <v>30</v>
      </c>
      <c r="AM53" s="437"/>
      <c r="AN53" s="437"/>
      <c r="AO53" s="437"/>
      <c r="AP53" s="437"/>
      <c r="AQ53" s="437">
        <v>30</v>
      </c>
      <c r="AR53" s="437"/>
      <c r="AS53" s="437"/>
      <c r="AT53" s="437"/>
      <c r="AU53" s="437"/>
      <c r="AV53" s="437"/>
      <c r="AW53" s="437"/>
      <c r="AX53" s="437"/>
      <c r="AY53" s="437"/>
      <c r="AZ53" s="437"/>
      <c r="BA53" s="438"/>
      <c r="BB53" s="438"/>
      <c r="BC53" s="438"/>
      <c r="BD53" s="438"/>
      <c r="BE53" s="438"/>
      <c r="BF53" s="438"/>
      <c r="BG53" s="438"/>
      <c r="BH53" s="438"/>
      <c r="BI53" s="438"/>
      <c r="BJ53" s="438"/>
      <c r="BK53" s="439">
        <f t="shared" si="4"/>
        <v>60</v>
      </c>
      <c r="BL53" s="439"/>
      <c r="BM53" s="439"/>
      <c r="BN53" s="440"/>
      <c r="BO53" s="363">
        <v>4</v>
      </c>
      <c r="BP53" s="355"/>
      <c r="BQ53" s="355"/>
      <c r="BR53" s="355"/>
      <c r="BS53" s="355"/>
      <c r="BT53" s="355"/>
      <c r="BU53" s="355"/>
      <c r="BV53" s="355"/>
      <c r="BW53" s="355"/>
      <c r="BX53" s="355"/>
      <c r="BY53" s="356"/>
      <c r="BZ53" s="356"/>
      <c r="CA53" s="356"/>
      <c r="CB53" s="356"/>
      <c r="CC53" s="356"/>
      <c r="CD53" s="356"/>
      <c r="CE53" s="356"/>
      <c r="CF53" s="356"/>
      <c r="CG53" s="356"/>
      <c r="CH53" s="356"/>
      <c r="CI53" s="355"/>
      <c r="CJ53" s="355"/>
      <c r="CK53" s="355"/>
      <c r="CL53" s="355"/>
      <c r="CM53" s="355"/>
      <c r="CN53" s="355"/>
      <c r="CO53" s="355"/>
      <c r="CP53" s="355"/>
      <c r="CQ53" s="355"/>
      <c r="CR53" s="355"/>
      <c r="CS53" s="355"/>
      <c r="CT53" s="355"/>
      <c r="CU53" s="355"/>
      <c r="CV53" s="355"/>
      <c r="CW53" s="355"/>
      <c r="CX53" s="355"/>
      <c r="CY53" s="355"/>
      <c r="CZ53" s="355"/>
      <c r="DA53" s="355"/>
      <c r="DB53" s="362"/>
      <c r="DC53" s="363">
        <v>4</v>
      </c>
      <c r="DD53" s="355"/>
      <c r="DE53" s="355"/>
      <c r="DF53" s="355"/>
      <c r="DG53" s="355"/>
      <c r="DH53" s="355"/>
      <c r="DI53" s="355"/>
      <c r="DJ53" s="355"/>
      <c r="DK53" s="355"/>
      <c r="DL53" s="355"/>
      <c r="DM53" s="355"/>
      <c r="DN53" s="355"/>
      <c r="DO53" s="355"/>
      <c r="DP53" s="355"/>
      <c r="DQ53" s="355"/>
      <c r="DR53" s="355"/>
      <c r="DS53" s="355"/>
      <c r="DT53" s="355"/>
      <c r="DU53" s="355"/>
      <c r="DV53" s="355"/>
      <c r="DW53" s="355"/>
      <c r="DX53" s="355"/>
      <c r="DY53" s="355"/>
      <c r="DZ53" s="355"/>
      <c r="EA53" s="355"/>
      <c r="EB53" s="355"/>
      <c r="EC53" s="355"/>
      <c r="ED53" s="355"/>
      <c r="EE53" s="355"/>
      <c r="EF53" s="355"/>
      <c r="EG53" s="355"/>
      <c r="EH53" s="355"/>
      <c r="EI53" s="355"/>
      <c r="EJ53" s="355"/>
      <c r="EK53" s="355"/>
      <c r="EL53" s="355"/>
      <c r="EM53" s="355"/>
      <c r="EN53" s="355"/>
      <c r="EO53" s="355"/>
      <c r="EP53" s="362"/>
      <c r="EQ53" s="478">
        <f t="shared" si="5"/>
        <v>4</v>
      </c>
      <c r="ER53" s="479"/>
      <c r="ES53" s="466"/>
      <c r="ET53" s="260"/>
      <c r="EX53" s="230"/>
      <c r="EY53" s="231">
        <v>10</v>
      </c>
      <c r="EZ53" s="232"/>
      <c r="FC53" s="251"/>
      <c r="FD53" s="252"/>
      <c r="FE53" s="251"/>
      <c r="FF53" s="251"/>
      <c r="FG53" s="251"/>
      <c r="FH53" s="251"/>
      <c r="FI53" s="258"/>
      <c r="FJ53" s="258"/>
    </row>
    <row r="54" spans="1:166" s="57" customFormat="1" ht="90" customHeight="1" x14ac:dyDescent="0.65">
      <c r="A54" s="54" t="s">
        <v>152</v>
      </c>
      <c r="B54" s="138" t="s">
        <v>146</v>
      </c>
      <c r="C54" s="538" t="s">
        <v>112</v>
      </c>
      <c r="D54" s="538"/>
      <c r="E54" s="538"/>
      <c r="F54" s="538"/>
      <c r="G54" s="538"/>
      <c r="H54" s="538"/>
      <c r="I54" s="538"/>
      <c r="J54" s="538"/>
      <c r="K54" s="538"/>
      <c r="L54" s="538"/>
      <c r="M54" s="538"/>
      <c r="N54" s="538"/>
      <c r="O54" s="538"/>
      <c r="P54" s="538"/>
      <c r="Q54" s="538"/>
      <c r="R54" s="538"/>
      <c r="S54" s="538"/>
      <c r="T54" s="538"/>
      <c r="U54" s="538"/>
      <c r="V54" s="538"/>
      <c r="W54" s="538"/>
      <c r="X54" s="538"/>
      <c r="Y54" s="538"/>
      <c r="Z54" s="434">
        <f t="shared" si="1"/>
        <v>180</v>
      </c>
      <c r="AA54" s="435"/>
      <c r="AB54" s="435"/>
      <c r="AC54" s="436"/>
      <c r="AD54" s="483"/>
      <c r="AE54" s="483"/>
      <c r="AF54" s="483"/>
      <c r="AG54" s="437">
        <f t="shared" si="2"/>
        <v>60</v>
      </c>
      <c r="AH54" s="437"/>
      <c r="AI54" s="437"/>
      <c r="AJ54" s="437"/>
      <c r="AK54" s="437"/>
      <c r="AL54" s="437">
        <v>30</v>
      </c>
      <c r="AM54" s="437"/>
      <c r="AN54" s="437"/>
      <c r="AO54" s="437"/>
      <c r="AP54" s="437"/>
      <c r="AQ54" s="437"/>
      <c r="AR54" s="437"/>
      <c r="AS54" s="437"/>
      <c r="AT54" s="437"/>
      <c r="AU54" s="437"/>
      <c r="AV54" s="437">
        <v>30</v>
      </c>
      <c r="AW54" s="437"/>
      <c r="AX54" s="437"/>
      <c r="AY54" s="437"/>
      <c r="AZ54" s="437"/>
      <c r="BA54" s="437"/>
      <c r="BB54" s="437"/>
      <c r="BC54" s="437"/>
      <c r="BD54" s="437"/>
      <c r="BE54" s="437"/>
      <c r="BF54" s="437"/>
      <c r="BG54" s="437"/>
      <c r="BH54" s="437"/>
      <c r="BI54" s="437"/>
      <c r="BJ54" s="437"/>
      <c r="BK54" s="439">
        <f t="shared" si="4"/>
        <v>120</v>
      </c>
      <c r="BL54" s="439"/>
      <c r="BM54" s="439"/>
      <c r="BN54" s="440"/>
      <c r="BO54" s="363">
        <v>4</v>
      </c>
      <c r="BP54" s="355"/>
      <c r="BQ54" s="355"/>
      <c r="BR54" s="355"/>
      <c r="BS54" s="355"/>
      <c r="BT54" s="355"/>
      <c r="BU54" s="355"/>
      <c r="BV54" s="355"/>
      <c r="BW54" s="355"/>
      <c r="BX54" s="355"/>
      <c r="BY54" s="356"/>
      <c r="BZ54" s="356"/>
      <c r="CA54" s="356"/>
      <c r="CB54" s="356"/>
      <c r="CC54" s="356"/>
      <c r="CD54" s="356"/>
      <c r="CE54" s="356"/>
      <c r="CF54" s="356"/>
      <c r="CG54" s="356"/>
      <c r="CH54" s="356"/>
      <c r="CI54" s="355"/>
      <c r="CJ54" s="355"/>
      <c r="CK54" s="355"/>
      <c r="CL54" s="355"/>
      <c r="CM54" s="355"/>
      <c r="CN54" s="355"/>
      <c r="CO54" s="355"/>
      <c r="CP54" s="355"/>
      <c r="CQ54" s="355"/>
      <c r="CR54" s="355"/>
      <c r="CS54" s="355"/>
      <c r="CT54" s="355"/>
      <c r="CU54" s="355"/>
      <c r="CV54" s="355"/>
      <c r="CW54" s="355"/>
      <c r="CX54" s="355"/>
      <c r="CY54" s="355"/>
      <c r="CZ54" s="355"/>
      <c r="DA54" s="355"/>
      <c r="DB54" s="362"/>
      <c r="DC54" s="363">
        <v>6</v>
      </c>
      <c r="DD54" s="355"/>
      <c r="DE54" s="355"/>
      <c r="DF54" s="355"/>
      <c r="DG54" s="355"/>
      <c r="DH54" s="355"/>
      <c r="DI54" s="355"/>
      <c r="DJ54" s="355"/>
      <c r="DK54" s="355"/>
      <c r="DL54" s="355"/>
      <c r="DM54" s="355"/>
      <c r="DN54" s="355"/>
      <c r="DO54" s="355"/>
      <c r="DP54" s="355"/>
      <c r="DQ54" s="355"/>
      <c r="DR54" s="355"/>
      <c r="DS54" s="355"/>
      <c r="DT54" s="355"/>
      <c r="DU54" s="355"/>
      <c r="DV54" s="355"/>
      <c r="DW54" s="355"/>
      <c r="DX54" s="355"/>
      <c r="DY54" s="355"/>
      <c r="DZ54" s="355"/>
      <c r="EA54" s="355"/>
      <c r="EB54" s="355"/>
      <c r="EC54" s="355"/>
      <c r="ED54" s="355"/>
      <c r="EE54" s="355"/>
      <c r="EF54" s="355"/>
      <c r="EG54" s="355"/>
      <c r="EH54" s="355"/>
      <c r="EI54" s="355"/>
      <c r="EJ54" s="355"/>
      <c r="EK54" s="355"/>
      <c r="EL54" s="355"/>
      <c r="EM54" s="355"/>
      <c r="EN54" s="355"/>
      <c r="EO54" s="355"/>
      <c r="EP54" s="362"/>
      <c r="EQ54" s="478">
        <f t="shared" si="5"/>
        <v>6</v>
      </c>
      <c r="ER54" s="479"/>
      <c r="ES54" s="466"/>
      <c r="ET54" s="263"/>
      <c r="EX54" s="230"/>
      <c r="EY54" s="231">
        <v>10</v>
      </c>
      <c r="EZ54" s="232"/>
      <c r="FC54" s="251"/>
      <c r="FD54" s="252"/>
      <c r="FE54" s="251"/>
      <c r="FF54" s="251"/>
      <c r="FG54" s="251"/>
      <c r="FH54" s="251"/>
      <c r="FI54" s="258"/>
      <c r="FJ54" s="258"/>
    </row>
    <row r="55" spans="1:166" s="57" customFormat="1" ht="90" customHeight="1" x14ac:dyDescent="0.65">
      <c r="A55" s="54" t="s">
        <v>163</v>
      </c>
      <c r="B55" s="138" t="s">
        <v>147</v>
      </c>
      <c r="C55" s="403" t="s">
        <v>106</v>
      </c>
      <c r="D55" s="403"/>
      <c r="E55" s="403"/>
      <c r="F55" s="403"/>
      <c r="G55" s="403"/>
      <c r="H55" s="403"/>
      <c r="I55" s="403"/>
      <c r="J55" s="403"/>
      <c r="K55" s="403"/>
      <c r="L55" s="403"/>
      <c r="M55" s="403"/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403"/>
      <c r="Y55" s="403"/>
      <c r="Z55" s="434">
        <f t="shared" si="1"/>
        <v>180</v>
      </c>
      <c r="AA55" s="435"/>
      <c r="AB55" s="435"/>
      <c r="AC55" s="436"/>
      <c r="AD55" s="355"/>
      <c r="AE55" s="355"/>
      <c r="AF55" s="355"/>
      <c r="AG55" s="437">
        <f t="shared" si="2"/>
        <v>60</v>
      </c>
      <c r="AH55" s="437"/>
      <c r="AI55" s="437"/>
      <c r="AJ55" s="437"/>
      <c r="AK55" s="437"/>
      <c r="AL55" s="437">
        <v>30</v>
      </c>
      <c r="AM55" s="437"/>
      <c r="AN55" s="437"/>
      <c r="AO55" s="437"/>
      <c r="AP55" s="437"/>
      <c r="AQ55" s="437">
        <v>30</v>
      </c>
      <c r="AR55" s="437"/>
      <c r="AS55" s="437"/>
      <c r="AT55" s="437"/>
      <c r="AU55" s="437"/>
      <c r="AV55" s="437"/>
      <c r="AW55" s="437"/>
      <c r="AX55" s="437"/>
      <c r="AY55" s="437"/>
      <c r="AZ55" s="437"/>
      <c r="BA55" s="437"/>
      <c r="BB55" s="437"/>
      <c r="BC55" s="437"/>
      <c r="BD55" s="437"/>
      <c r="BE55" s="437"/>
      <c r="BF55" s="437"/>
      <c r="BG55" s="437"/>
      <c r="BH55" s="437"/>
      <c r="BI55" s="437"/>
      <c r="BJ55" s="437"/>
      <c r="BK55" s="439">
        <f t="shared" si="4"/>
        <v>120</v>
      </c>
      <c r="BL55" s="439"/>
      <c r="BM55" s="439"/>
      <c r="BN55" s="440"/>
      <c r="BO55" s="363">
        <v>4</v>
      </c>
      <c r="BP55" s="355"/>
      <c r="BQ55" s="355"/>
      <c r="BR55" s="355"/>
      <c r="BS55" s="355"/>
      <c r="BT55" s="355"/>
      <c r="BU55" s="355"/>
      <c r="BV55" s="355"/>
      <c r="BW55" s="355"/>
      <c r="BX55" s="355"/>
      <c r="BY55" s="356"/>
      <c r="BZ55" s="356"/>
      <c r="CA55" s="356"/>
      <c r="CB55" s="356"/>
      <c r="CC55" s="356"/>
      <c r="CD55" s="356"/>
      <c r="CE55" s="356"/>
      <c r="CF55" s="356"/>
      <c r="CG55" s="356"/>
      <c r="CH55" s="356"/>
      <c r="CI55" s="355"/>
      <c r="CJ55" s="355"/>
      <c r="CK55" s="355"/>
      <c r="CL55" s="355"/>
      <c r="CM55" s="355"/>
      <c r="CN55" s="355"/>
      <c r="CO55" s="355"/>
      <c r="CP55" s="355"/>
      <c r="CQ55" s="355"/>
      <c r="CR55" s="355"/>
      <c r="CS55" s="355"/>
      <c r="CT55" s="355"/>
      <c r="CU55" s="355"/>
      <c r="CV55" s="355"/>
      <c r="CW55" s="355"/>
      <c r="CX55" s="355"/>
      <c r="CY55" s="355"/>
      <c r="CZ55" s="355"/>
      <c r="DA55" s="355"/>
      <c r="DB55" s="362"/>
      <c r="DC55" s="363">
        <v>6</v>
      </c>
      <c r="DD55" s="355"/>
      <c r="DE55" s="355"/>
      <c r="DF55" s="355"/>
      <c r="DG55" s="355"/>
      <c r="DH55" s="355"/>
      <c r="DI55" s="355"/>
      <c r="DJ55" s="355"/>
      <c r="DK55" s="355"/>
      <c r="DL55" s="355"/>
      <c r="DM55" s="355"/>
      <c r="DN55" s="355"/>
      <c r="DO55" s="355"/>
      <c r="DP55" s="355"/>
      <c r="DQ55" s="355"/>
      <c r="DR55" s="355"/>
      <c r="DS55" s="355"/>
      <c r="DT55" s="355"/>
      <c r="DU55" s="355"/>
      <c r="DV55" s="355"/>
      <c r="DW55" s="355"/>
      <c r="DX55" s="355"/>
      <c r="DY55" s="355"/>
      <c r="DZ55" s="355"/>
      <c r="EA55" s="355"/>
      <c r="EB55" s="355"/>
      <c r="EC55" s="355"/>
      <c r="ED55" s="355"/>
      <c r="EE55" s="355"/>
      <c r="EF55" s="355"/>
      <c r="EG55" s="355"/>
      <c r="EH55" s="355"/>
      <c r="EI55" s="355"/>
      <c r="EJ55" s="355"/>
      <c r="EK55" s="355"/>
      <c r="EL55" s="355"/>
      <c r="EM55" s="355"/>
      <c r="EN55" s="355"/>
      <c r="EO55" s="355"/>
      <c r="EP55" s="362"/>
      <c r="EQ55" s="478">
        <f t="shared" si="5"/>
        <v>6</v>
      </c>
      <c r="ER55" s="479"/>
      <c r="ES55" s="466"/>
      <c r="ET55" s="261" t="s">
        <v>297</v>
      </c>
      <c r="EX55" s="230"/>
      <c r="EY55" s="231">
        <v>2</v>
      </c>
      <c r="EZ55" s="232" t="s">
        <v>295</v>
      </c>
      <c r="FC55" s="251"/>
      <c r="FD55" s="252"/>
      <c r="FE55" s="251"/>
      <c r="FF55" s="251"/>
      <c r="FG55" s="251"/>
      <c r="FH55" s="251"/>
      <c r="FI55" s="258"/>
      <c r="FJ55" s="258"/>
    </row>
    <row r="56" spans="1:166" s="56" customFormat="1" ht="120" customHeight="1" x14ac:dyDescent="0.65">
      <c r="A56" s="54" t="s">
        <v>164</v>
      </c>
      <c r="B56" s="138" t="s">
        <v>148</v>
      </c>
      <c r="C56" s="402" t="s">
        <v>113</v>
      </c>
      <c r="D56" s="402"/>
      <c r="E56" s="402"/>
      <c r="F56" s="402"/>
      <c r="G56" s="402"/>
      <c r="H56" s="402"/>
      <c r="I56" s="402"/>
      <c r="J56" s="402"/>
      <c r="K56" s="402"/>
      <c r="L56" s="402"/>
      <c r="M56" s="402"/>
      <c r="N56" s="402"/>
      <c r="O56" s="402"/>
      <c r="P56" s="402"/>
      <c r="Q56" s="402"/>
      <c r="R56" s="402"/>
      <c r="S56" s="402"/>
      <c r="T56" s="402"/>
      <c r="U56" s="402"/>
      <c r="V56" s="402"/>
      <c r="W56" s="402"/>
      <c r="X56" s="402"/>
      <c r="Y56" s="402"/>
      <c r="Z56" s="434">
        <f t="shared" si="1"/>
        <v>120</v>
      </c>
      <c r="AA56" s="435"/>
      <c r="AB56" s="435"/>
      <c r="AC56" s="436"/>
      <c r="AD56" s="355"/>
      <c r="AE56" s="355"/>
      <c r="AF56" s="355"/>
      <c r="AG56" s="437">
        <f t="shared" si="2"/>
        <v>60</v>
      </c>
      <c r="AH56" s="437"/>
      <c r="AI56" s="437"/>
      <c r="AJ56" s="437"/>
      <c r="AK56" s="437"/>
      <c r="AL56" s="437">
        <v>30</v>
      </c>
      <c r="AM56" s="437"/>
      <c r="AN56" s="437"/>
      <c r="AO56" s="437"/>
      <c r="AP56" s="437"/>
      <c r="AQ56" s="437">
        <v>30</v>
      </c>
      <c r="AR56" s="437"/>
      <c r="AS56" s="437"/>
      <c r="AT56" s="437"/>
      <c r="AU56" s="437"/>
      <c r="AV56" s="437"/>
      <c r="AW56" s="437"/>
      <c r="AX56" s="437"/>
      <c r="AY56" s="437"/>
      <c r="AZ56" s="437"/>
      <c r="BA56" s="437"/>
      <c r="BB56" s="437"/>
      <c r="BC56" s="437"/>
      <c r="BD56" s="437"/>
      <c r="BE56" s="437"/>
      <c r="BF56" s="437"/>
      <c r="BG56" s="437"/>
      <c r="BH56" s="437"/>
      <c r="BI56" s="437"/>
      <c r="BJ56" s="437"/>
      <c r="BK56" s="439">
        <f t="shared" si="4"/>
        <v>60</v>
      </c>
      <c r="BL56" s="439"/>
      <c r="BM56" s="439"/>
      <c r="BN56" s="440"/>
      <c r="BO56" s="363"/>
      <c r="BP56" s="355"/>
      <c r="BQ56" s="355"/>
      <c r="BR56" s="355"/>
      <c r="BS56" s="355"/>
      <c r="BT56" s="355">
        <v>4</v>
      </c>
      <c r="BU56" s="355"/>
      <c r="BV56" s="355"/>
      <c r="BW56" s="355"/>
      <c r="BX56" s="355"/>
      <c r="BY56" s="356"/>
      <c r="BZ56" s="356"/>
      <c r="CA56" s="356"/>
      <c r="CB56" s="356"/>
      <c r="CC56" s="356"/>
      <c r="CD56" s="356"/>
      <c r="CE56" s="356"/>
      <c r="CF56" s="356"/>
      <c r="CG56" s="356"/>
      <c r="CH56" s="356"/>
      <c r="CI56" s="355"/>
      <c r="CJ56" s="355"/>
      <c r="CK56" s="355"/>
      <c r="CL56" s="355"/>
      <c r="CM56" s="355"/>
      <c r="CN56" s="355"/>
      <c r="CO56" s="355"/>
      <c r="CP56" s="355"/>
      <c r="CQ56" s="355"/>
      <c r="CR56" s="355"/>
      <c r="CS56" s="355"/>
      <c r="CT56" s="355"/>
      <c r="CU56" s="355"/>
      <c r="CV56" s="355"/>
      <c r="CW56" s="355"/>
      <c r="CX56" s="355"/>
      <c r="CY56" s="355"/>
      <c r="CZ56" s="355"/>
      <c r="DA56" s="355"/>
      <c r="DB56" s="362"/>
      <c r="DC56" s="363"/>
      <c r="DD56" s="355"/>
      <c r="DE56" s="355"/>
      <c r="DF56" s="355"/>
      <c r="DG56" s="355"/>
      <c r="DH56" s="355">
        <v>4</v>
      </c>
      <c r="DI56" s="355"/>
      <c r="DJ56" s="355"/>
      <c r="DK56" s="355"/>
      <c r="DL56" s="355"/>
      <c r="DM56" s="355"/>
      <c r="DN56" s="355"/>
      <c r="DO56" s="355"/>
      <c r="DP56" s="355"/>
      <c r="DQ56" s="355"/>
      <c r="DR56" s="355"/>
      <c r="DS56" s="355"/>
      <c r="DT56" s="355"/>
      <c r="DU56" s="355"/>
      <c r="DV56" s="355"/>
      <c r="DW56" s="355"/>
      <c r="DX56" s="355"/>
      <c r="DY56" s="355"/>
      <c r="DZ56" s="355"/>
      <c r="EA56" s="355"/>
      <c r="EB56" s="355"/>
      <c r="EC56" s="355"/>
      <c r="ED56" s="355"/>
      <c r="EE56" s="355"/>
      <c r="EF56" s="355"/>
      <c r="EG56" s="355"/>
      <c r="EH56" s="355"/>
      <c r="EI56" s="355"/>
      <c r="EJ56" s="355"/>
      <c r="EK56" s="355"/>
      <c r="EL56" s="355"/>
      <c r="EM56" s="355"/>
      <c r="EN56" s="355"/>
      <c r="EO56" s="355"/>
      <c r="EP56" s="362"/>
      <c r="EQ56" s="478">
        <f t="shared" si="5"/>
        <v>4</v>
      </c>
      <c r="ER56" s="479"/>
      <c r="ES56" s="466"/>
      <c r="ET56" s="261" t="s">
        <v>297</v>
      </c>
      <c r="EX56" s="236"/>
      <c r="EY56" s="237"/>
      <c r="EZ56" s="238"/>
      <c r="FC56" s="245"/>
      <c r="FD56" s="246"/>
      <c r="FE56" s="245"/>
      <c r="FF56" s="245"/>
      <c r="FG56" s="245"/>
      <c r="FH56" s="245"/>
      <c r="FI56" s="50"/>
      <c r="FJ56" s="50"/>
    </row>
    <row r="57" spans="1:166" s="128" customFormat="1" ht="90" customHeight="1" x14ac:dyDescent="0.65">
      <c r="A57" s="124" t="s">
        <v>165</v>
      </c>
      <c r="B57" s="139" t="s">
        <v>145</v>
      </c>
      <c r="C57" s="527" t="s">
        <v>110</v>
      </c>
      <c r="D57" s="527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527"/>
      <c r="Q57" s="527"/>
      <c r="R57" s="527"/>
      <c r="S57" s="527"/>
      <c r="T57" s="527"/>
      <c r="U57" s="527"/>
      <c r="V57" s="527"/>
      <c r="W57" s="527"/>
      <c r="X57" s="527"/>
      <c r="Y57" s="527"/>
      <c r="Z57" s="515">
        <f t="shared" si="1"/>
        <v>540</v>
      </c>
      <c r="AA57" s="516"/>
      <c r="AB57" s="516"/>
      <c r="AC57" s="517"/>
      <c r="AD57" s="356"/>
      <c r="AE57" s="356"/>
      <c r="AF57" s="356"/>
      <c r="AG57" s="437">
        <f t="shared" si="2"/>
        <v>240</v>
      </c>
      <c r="AH57" s="437"/>
      <c r="AI57" s="437"/>
      <c r="AJ57" s="437"/>
      <c r="AK57" s="437"/>
      <c r="AL57" s="489"/>
      <c r="AM57" s="489"/>
      <c r="AN57" s="489"/>
      <c r="AO57" s="489"/>
      <c r="AP57" s="489"/>
      <c r="AQ57" s="489">
        <v>240</v>
      </c>
      <c r="AR57" s="489"/>
      <c r="AS57" s="489"/>
      <c r="AT57" s="489"/>
      <c r="AU57" s="489"/>
      <c r="AV57" s="489"/>
      <c r="AW57" s="489"/>
      <c r="AX57" s="489"/>
      <c r="AY57" s="489"/>
      <c r="AZ57" s="489"/>
      <c r="BA57" s="489"/>
      <c r="BB57" s="489"/>
      <c r="BC57" s="489"/>
      <c r="BD57" s="489"/>
      <c r="BE57" s="489"/>
      <c r="BF57" s="489"/>
      <c r="BG57" s="489"/>
      <c r="BH57" s="489"/>
      <c r="BI57" s="489"/>
      <c r="BJ57" s="489"/>
      <c r="BK57" s="519">
        <f t="shared" si="4"/>
        <v>300</v>
      </c>
      <c r="BL57" s="519"/>
      <c r="BM57" s="519"/>
      <c r="BN57" s="520"/>
      <c r="BO57" s="477">
        <v>4</v>
      </c>
      <c r="BP57" s="356"/>
      <c r="BQ57" s="356"/>
      <c r="BR57" s="356"/>
      <c r="BS57" s="356"/>
      <c r="BT57" s="356"/>
      <c r="BU57" s="356"/>
      <c r="BV57" s="356"/>
      <c r="BW57" s="356"/>
      <c r="BX57" s="356"/>
      <c r="BY57" s="356">
        <v>4</v>
      </c>
      <c r="BZ57" s="356"/>
      <c r="CA57" s="356"/>
      <c r="CB57" s="356"/>
      <c r="CC57" s="356"/>
      <c r="CD57" s="356">
        <v>4</v>
      </c>
      <c r="CE57" s="356"/>
      <c r="CF57" s="356"/>
      <c r="CG57" s="356"/>
      <c r="CH57" s="356"/>
      <c r="CI57" s="356">
        <v>4</v>
      </c>
      <c r="CJ57" s="356"/>
      <c r="CK57" s="356"/>
      <c r="CL57" s="356"/>
      <c r="CM57" s="356"/>
      <c r="CN57" s="356"/>
      <c r="CO57" s="356"/>
      <c r="CP57" s="356"/>
      <c r="CQ57" s="356"/>
      <c r="CR57" s="356"/>
      <c r="CS57" s="356"/>
      <c r="CT57" s="356"/>
      <c r="CU57" s="356"/>
      <c r="CV57" s="356"/>
      <c r="CW57" s="356"/>
      <c r="CX57" s="356"/>
      <c r="CY57" s="356"/>
      <c r="CZ57" s="356"/>
      <c r="DA57" s="356"/>
      <c r="DB57" s="361"/>
      <c r="DC57" s="486">
        <v>4</v>
      </c>
      <c r="DD57" s="487"/>
      <c r="DE57" s="487"/>
      <c r="DF57" s="487"/>
      <c r="DG57" s="487"/>
      <c r="DH57" s="356"/>
      <c r="DI57" s="356"/>
      <c r="DJ57" s="356"/>
      <c r="DK57" s="356"/>
      <c r="DL57" s="356"/>
      <c r="DM57" s="356">
        <v>5</v>
      </c>
      <c r="DN57" s="356"/>
      <c r="DO57" s="356"/>
      <c r="DP57" s="356"/>
      <c r="DQ57" s="356"/>
      <c r="DR57" s="356">
        <v>4</v>
      </c>
      <c r="DS57" s="356"/>
      <c r="DT57" s="356"/>
      <c r="DU57" s="356"/>
      <c r="DV57" s="356"/>
      <c r="DW57" s="356">
        <v>5</v>
      </c>
      <c r="DX57" s="356"/>
      <c r="DY57" s="356"/>
      <c r="DZ57" s="356"/>
      <c r="EA57" s="356"/>
      <c r="EB57" s="356"/>
      <c r="EC57" s="356"/>
      <c r="ED57" s="356"/>
      <c r="EE57" s="356"/>
      <c r="EF57" s="356"/>
      <c r="EG57" s="356"/>
      <c r="EH57" s="356"/>
      <c r="EI57" s="356"/>
      <c r="EJ57" s="356"/>
      <c r="EK57" s="356"/>
      <c r="EL57" s="356"/>
      <c r="EM57" s="356"/>
      <c r="EN57" s="356"/>
      <c r="EO57" s="356"/>
      <c r="EP57" s="361"/>
      <c r="EQ57" s="521">
        <f t="shared" si="5"/>
        <v>18</v>
      </c>
      <c r="ER57" s="522"/>
      <c r="ES57" s="523"/>
      <c r="ET57" s="129" t="s">
        <v>252</v>
      </c>
      <c r="EX57" s="230"/>
      <c r="EY57" s="231">
        <v>4</v>
      </c>
      <c r="EZ57" s="232"/>
      <c r="FC57" s="249"/>
      <c r="FD57" s="250"/>
      <c r="FE57" s="249"/>
      <c r="FF57" s="249"/>
      <c r="FG57" s="249"/>
      <c r="FH57" s="249"/>
      <c r="FI57" s="257"/>
      <c r="FJ57" s="257"/>
    </row>
    <row r="58" spans="1:166" s="55" customFormat="1" ht="90" customHeight="1" x14ac:dyDescent="0.65">
      <c r="A58" s="54" t="s">
        <v>166</v>
      </c>
      <c r="B58" s="135" t="s">
        <v>144</v>
      </c>
      <c r="C58" s="388" t="s">
        <v>127</v>
      </c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434">
        <f t="shared" si="1"/>
        <v>240</v>
      </c>
      <c r="AA58" s="435"/>
      <c r="AB58" s="435"/>
      <c r="AC58" s="436"/>
      <c r="AD58" s="355"/>
      <c r="AE58" s="355"/>
      <c r="AF58" s="355"/>
      <c r="AG58" s="437">
        <f t="shared" si="2"/>
        <v>96</v>
      </c>
      <c r="AH58" s="437"/>
      <c r="AI58" s="437"/>
      <c r="AJ58" s="437"/>
      <c r="AK58" s="437"/>
      <c r="AL58" s="437">
        <v>48</v>
      </c>
      <c r="AM58" s="437"/>
      <c r="AN58" s="437"/>
      <c r="AO58" s="437"/>
      <c r="AP58" s="437"/>
      <c r="AQ58" s="437">
        <v>48</v>
      </c>
      <c r="AR58" s="437"/>
      <c r="AS58" s="437"/>
      <c r="AT58" s="437"/>
      <c r="AU58" s="437"/>
      <c r="AV58" s="437"/>
      <c r="AW58" s="437"/>
      <c r="AX58" s="437"/>
      <c r="AY58" s="437"/>
      <c r="AZ58" s="437"/>
      <c r="BA58" s="438"/>
      <c r="BB58" s="438"/>
      <c r="BC58" s="438"/>
      <c r="BD58" s="438"/>
      <c r="BE58" s="438"/>
      <c r="BF58" s="438"/>
      <c r="BG58" s="438"/>
      <c r="BH58" s="438"/>
      <c r="BI58" s="438"/>
      <c r="BJ58" s="438"/>
      <c r="BK58" s="439">
        <f t="shared" si="4"/>
        <v>144</v>
      </c>
      <c r="BL58" s="439"/>
      <c r="BM58" s="439"/>
      <c r="BN58" s="440"/>
      <c r="BO58" s="363"/>
      <c r="BP58" s="355"/>
      <c r="BQ58" s="355"/>
      <c r="BR58" s="355"/>
      <c r="BS58" s="355"/>
      <c r="BT58" s="355"/>
      <c r="BU58" s="355"/>
      <c r="BV58" s="355"/>
      <c r="BW58" s="355"/>
      <c r="BX58" s="355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5"/>
      <c r="CJ58" s="355"/>
      <c r="CK58" s="355"/>
      <c r="CL58" s="355"/>
      <c r="CM58" s="355"/>
      <c r="CN58" s="355"/>
      <c r="CO58" s="355"/>
      <c r="CP58" s="355"/>
      <c r="CQ58" s="355"/>
      <c r="CR58" s="355"/>
      <c r="CS58" s="355"/>
      <c r="CT58" s="355"/>
      <c r="CU58" s="355"/>
      <c r="CV58" s="355"/>
      <c r="CW58" s="355"/>
      <c r="CX58" s="355">
        <v>8</v>
      </c>
      <c r="CY58" s="355"/>
      <c r="CZ58" s="355"/>
      <c r="DA58" s="355"/>
      <c r="DB58" s="362"/>
      <c r="DC58" s="363"/>
      <c r="DD58" s="355"/>
      <c r="DE58" s="355"/>
      <c r="DF58" s="355"/>
      <c r="DG58" s="355"/>
      <c r="DH58" s="355"/>
      <c r="DI58" s="355"/>
      <c r="DJ58" s="355"/>
      <c r="DK58" s="355"/>
      <c r="DL58" s="355"/>
      <c r="DM58" s="355"/>
      <c r="DN58" s="355"/>
      <c r="DO58" s="355"/>
      <c r="DP58" s="355"/>
      <c r="DQ58" s="355"/>
      <c r="DR58" s="355"/>
      <c r="DS58" s="355"/>
      <c r="DT58" s="355"/>
      <c r="DU58" s="355"/>
      <c r="DV58" s="355"/>
      <c r="DW58" s="355"/>
      <c r="DX58" s="355"/>
      <c r="DY58" s="355"/>
      <c r="DZ58" s="355"/>
      <c r="EA58" s="355"/>
      <c r="EB58" s="355"/>
      <c r="EC58" s="355"/>
      <c r="ED58" s="355"/>
      <c r="EE58" s="355"/>
      <c r="EF58" s="355"/>
      <c r="EG58" s="355"/>
      <c r="EH58" s="355"/>
      <c r="EI58" s="355"/>
      <c r="EJ58" s="355"/>
      <c r="EK58" s="355"/>
      <c r="EL58" s="355">
        <v>8</v>
      </c>
      <c r="EM58" s="355"/>
      <c r="EN58" s="355"/>
      <c r="EO58" s="355"/>
      <c r="EP58" s="362"/>
      <c r="EQ58" s="478">
        <f t="shared" si="5"/>
        <v>8</v>
      </c>
      <c r="ER58" s="479"/>
      <c r="ES58" s="466"/>
      <c r="ET58" s="263"/>
      <c r="EX58" s="230"/>
      <c r="EY58" s="231"/>
      <c r="EZ58" s="232"/>
      <c r="FC58" s="243"/>
      <c r="FD58" s="244"/>
      <c r="FE58" s="243"/>
      <c r="FF58" s="243"/>
      <c r="FG58" s="243"/>
      <c r="FH58" s="243"/>
      <c r="FI58" s="255"/>
      <c r="FJ58" s="255"/>
    </row>
    <row r="59" spans="1:166" s="55" customFormat="1" ht="84.75" customHeight="1" x14ac:dyDescent="0.65">
      <c r="A59" s="51" t="s">
        <v>38</v>
      </c>
      <c r="B59" s="140"/>
      <c r="C59" s="510" t="s">
        <v>76</v>
      </c>
      <c r="D59" s="510"/>
      <c r="E59" s="510"/>
      <c r="F59" s="510"/>
      <c r="G59" s="510"/>
      <c r="H59" s="510"/>
      <c r="I59" s="510"/>
      <c r="J59" s="510"/>
      <c r="K59" s="510"/>
      <c r="L59" s="510"/>
      <c r="M59" s="510"/>
      <c r="N59" s="510"/>
      <c r="O59" s="510"/>
      <c r="P59" s="510"/>
      <c r="Q59" s="510"/>
      <c r="R59" s="510"/>
      <c r="S59" s="510"/>
      <c r="T59" s="510"/>
      <c r="U59" s="510"/>
      <c r="V59" s="510"/>
      <c r="W59" s="510"/>
      <c r="X59" s="510"/>
      <c r="Y59" s="510"/>
      <c r="Z59" s="407">
        <f>SUM(Z60:AC83)</f>
        <v>1950</v>
      </c>
      <c r="AA59" s="407"/>
      <c r="AB59" s="407"/>
      <c r="AC59" s="407"/>
      <c r="AD59" s="469">
        <f>Z59/$Z$88*100</f>
        <v>27.083333333333332</v>
      </c>
      <c r="AE59" s="469"/>
      <c r="AF59" s="469"/>
      <c r="AG59" s="408">
        <f>SUM(AG60:AK83)</f>
        <v>812</v>
      </c>
      <c r="AH59" s="409"/>
      <c r="AI59" s="409"/>
      <c r="AJ59" s="409"/>
      <c r="AK59" s="410"/>
      <c r="AL59" s="408">
        <f>SUM(AL60:AP83)</f>
        <v>294</v>
      </c>
      <c r="AM59" s="409"/>
      <c r="AN59" s="409"/>
      <c r="AO59" s="409"/>
      <c r="AP59" s="410"/>
      <c r="AQ59" s="408">
        <f>SUM(AQ60:AU83)</f>
        <v>518</v>
      </c>
      <c r="AR59" s="409"/>
      <c r="AS59" s="409"/>
      <c r="AT59" s="409"/>
      <c r="AU59" s="410"/>
      <c r="AV59" s="408">
        <f>SUM(AV60:AZ83)</f>
        <v>0</v>
      </c>
      <c r="AW59" s="409"/>
      <c r="AX59" s="409"/>
      <c r="AY59" s="409"/>
      <c r="AZ59" s="410"/>
      <c r="BA59" s="408">
        <f>SUM(BA60:BE83)</f>
        <v>0</v>
      </c>
      <c r="BB59" s="409"/>
      <c r="BC59" s="409"/>
      <c r="BD59" s="409"/>
      <c r="BE59" s="410"/>
      <c r="BF59" s="408">
        <f>SUM(BF60:BJ83)</f>
        <v>0</v>
      </c>
      <c r="BG59" s="409"/>
      <c r="BH59" s="409"/>
      <c r="BI59" s="409"/>
      <c r="BJ59" s="410"/>
      <c r="BK59" s="407">
        <f>SUM(BK60:BN83)</f>
        <v>1138</v>
      </c>
      <c r="BL59" s="407"/>
      <c r="BM59" s="407"/>
      <c r="BN59" s="408"/>
      <c r="BO59" s="430">
        <f>SUM(BO60:BS83)</f>
        <v>0</v>
      </c>
      <c r="BP59" s="368"/>
      <c r="BQ59" s="368"/>
      <c r="BR59" s="368"/>
      <c r="BS59" s="368"/>
      <c r="BT59" s="368">
        <f>SUM(BT60:BX83)</f>
        <v>0</v>
      </c>
      <c r="BU59" s="368"/>
      <c r="BV59" s="368"/>
      <c r="BW59" s="368"/>
      <c r="BX59" s="368"/>
      <c r="BY59" s="368">
        <f>SUM(BY60:CC83)</f>
        <v>8</v>
      </c>
      <c r="BZ59" s="368"/>
      <c r="CA59" s="368"/>
      <c r="CB59" s="368"/>
      <c r="CC59" s="368"/>
      <c r="CD59" s="368">
        <f>SUM(CD60:CH83)</f>
        <v>4</v>
      </c>
      <c r="CE59" s="368"/>
      <c r="CF59" s="368"/>
      <c r="CG59" s="368"/>
      <c r="CH59" s="368"/>
      <c r="CI59" s="368">
        <f>SUM(CI60:CM83)</f>
        <v>10</v>
      </c>
      <c r="CJ59" s="368"/>
      <c r="CK59" s="368"/>
      <c r="CL59" s="368"/>
      <c r="CM59" s="368"/>
      <c r="CN59" s="368">
        <f>SUM(CN60:CR83)</f>
        <v>4</v>
      </c>
      <c r="CO59" s="368"/>
      <c r="CP59" s="368"/>
      <c r="CQ59" s="368"/>
      <c r="CR59" s="368"/>
      <c r="CS59" s="368">
        <f>SUM(CS60:CW83)</f>
        <v>19</v>
      </c>
      <c r="CT59" s="368"/>
      <c r="CU59" s="368"/>
      <c r="CV59" s="368"/>
      <c r="CW59" s="368"/>
      <c r="CX59" s="368">
        <f>SUM(CX60:DB83)</f>
        <v>16</v>
      </c>
      <c r="CY59" s="368"/>
      <c r="CZ59" s="368"/>
      <c r="DA59" s="368"/>
      <c r="DB59" s="369"/>
      <c r="DC59" s="430">
        <f>SUM(DC60:DG83)</f>
        <v>0</v>
      </c>
      <c r="DD59" s="368"/>
      <c r="DE59" s="368"/>
      <c r="DF59" s="368"/>
      <c r="DG59" s="368"/>
      <c r="DH59" s="368">
        <f>SUM(DH60:DL83)</f>
        <v>0</v>
      </c>
      <c r="DI59" s="368"/>
      <c r="DJ59" s="368"/>
      <c r="DK59" s="368"/>
      <c r="DL59" s="368"/>
      <c r="DM59" s="368">
        <f>SUM(DM60:DQ83)</f>
        <v>10</v>
      </c>
      <c r="DN59" s="368"/>
      <c r="DO59" s="368"/>
      <c r="DP59" s="368"/>
      <c r="DQ59" s="368"/>
      <c r="DR59" s="368">
        <f>SUM(DR60:DV83)</f>
        <v>4</v>
      </c>
      <c r="DS59" s="368"/>
      <c r="DT59" s="368"/>
      <c r="DU59" s="368"/>
      <c r="DV59" s="368"/>
      <c r="DW59" s="368">
        <f>SUM(DW60:EA83)</f>
        <v>11</v>
      </c>
      <c r="DX59" s="368"/>
      <c r="DY59" s="368"/>
      <c r="DZ59" s="368"/>
      <c r="EA59" s="368"/>
      <c r="EB59" s="368">
        <f>SUM(EB60:EF83)</f>
        <v>5</v>
      </c>
      <c r="EC59" s="368"/>
      <c r="ED59" s="368"/>
      <c r="EE59" s="368"/>
      <c r="EF59" s="368"/>
      <c r="EG59" s="368">
        <f>SUM(EG60:EK83)</f>
        <v>19</v>
      </c>
      <c r="EH59" s="368"/>
      <c r="EI59" s="368"/>
      <c r="EJ59" s="368"/>
      <c r="EK59" s="368"/>
      <c r="EL59" s="368">
        <f>SUM(EL60:EP83)</f>
        <v>16</v>
      </c>
      <c r="EM59" s="368"/>
      <c r="EN59" s="368"/>
      <c r="EO59" s="368"/>
      <c r="EP59" s="369"/>
      <c r="EQ59" s="540">
        <f>SUM(EQ60:ES83)</f>
        <v>65</v>
      </c>
      <c r="ER59" s="473"/>
      <c r="ES59" s="468"/>
      <c r="ET59" s="263"/>
      <c r="EX59" s="230"/>
      <c r="EY59" s="231"/>
      <c r="EZ59" s="232"/>
      <c r="FC59" s="243"/>
      <c r="FD59" s="244"/>
      <c r="FE59" s="243"/>
      <c r="FF59" s="243"/>
      <c r="FG59" s="243"/>
      <c r="FH59" s="243"/>
      <c r="FI59" s="255"/>
      <c r="FJ59" s="255"/>
    </row>
    <row r="60" spans="1:166" s="56" customFormat="1" ht="90" customHeight="1" x14ac:dyDescent="0.65">
      <c r="A60" s="329" t="s">
        <v>10</v>
      </c>
      <c r="B60" s="135" t="s">
        <v>196</v>
      </c>
      <c r="C60" s="412" t="s">
        <v>190</v>
      </c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3"/>
      <c r="O60" s="413"/>
      <c r="P60" s="413"/>
      <c r="Q60" s="413"/>
      <c r="R60" s="413"/>
      <c r="S60" s="413"/>
      <c r="T60" s="413"/>
      <c r="U60" s="413"/>
      <c r="V60" s="413"/>
      <c r="W60" s="413"/>
      <c r="X60" s="413"/>
      <c r="Y60" s="414"/>
      <c r="Z60" s="331">
        <f>EQ60*30</f>
        <v>150</v>
      </c>
      <c r="AA60" s="332"/>
      <c r="AB60" s="332"/>
      <c r="AC60" s="333"/>
      <c r="AD60" s="337"/>
      <c r="AE60" s="338"/>
      <c r="AF60" s="339"/>
      <c r="AG60" s="343">
        <f>SUM(AL60:BE61)</f>
        <v>60</v>
      </c>
      <c r="AH60" s="344"/>
      <c r="AI60" s="344"/>
      <c r="AJ60" s="344"/>
      <c r="AK60" s="345"/>
      <c r="AL60" s="343">
        <v>30</v>
      </c>
      <c r="AM60" s="344"/>
      <c r="AN60" s="344"/>
      <c r="AO60" s="344"/>
      <c r="AP60" s="345"/>
      <c r="AQ60" s="343">
        <v>30</v>
      </c>
      <c r="AR60" s="344"/>
      <c r="AS60" s="344"/>
      <c r="AT60" s="344"/>
      <c r="AU60" s="345"/>
      <c r="AV60" s="343"/>
      <c r="AW60" s="344"/>
      <c r="AX60" s="344"/>
      <c r="AY60" s="344"/>
      <c r="AZ60" s="345"/>
      <c r="BA60" s="343"/>
      <c r="BB60" s="344"/>
      <c r="BC60" s="344"/>
      <c r="BD60" s="344"/>
      <c r="BE60" s="345"/>
      <c r="BF60" s="343"/>
      <c r="BG60" s="344"/>
      <c r="BH60" s="344"/>
      <c r="BI60" s="344"/>
      <c r="BJ60" s="345"/>
      <c r="BK60" s="331">
        <f>Z60-AG60</f>
        <v>90</v>
      </c>
      <c r="BL60" s="332"/>
      <c r="BM60" s="332"/>
      <c r="BN60" s="332"/>
      <c r="BO60" s="352"/>
      <c r="BP60" s="319"/>
      <c r="BQ60" s="319"/>
      <c r="BR60" s="319"/>
      <c r="BS60" s="319"/>
      <c r="BT60" s="355"/>
      <c r="BU60" s="355"/>
      <c r="BV60" s="355"/>
      <c r="BW60" s="355"/>
      <c r="BX60" s="355"/>
      <c r="BY60" s="356">
        <v>4</v>
      </c>
      <c r="BZ60" s="356"/>
      <c r="CA60" s="356"/>
      <c r="CB60" s="356"/>
      <c r="CC60" s="356"/>
      <c r="CD60" s="356"/>
      <c r="CE60" s="356"/>
      <c r="CF60" s="356"/>
      <c r="CG60" s="356"/>
      <c r="CH60" s="356"/>
      <c r="CI60" s="355"/>
      <c r="CJ60" s="355"/>
      <c r="CK60" s="355"/>
      <c r="CL60" s="355"/>
      <c r="CM60" s="355"/>
      <c r="CN60" s="355"/>
      <c r="CO60" s="355"/>
      <c r="CP60" s="355"/>
      <c r="CQ60" s="355"/>
      <c r="CR60" s="355"/>
      <c r="CS60" s="355"/>
      <c r="CT60" s="355"/>
      <c r="CU60" s="355"/>
      <c r="CV60" s="355"/>
      <c r="CW60" s="355"/>
      <c r="CX60" s="350"/>
      <c r="CY60" s="319"/>
      <c r="CZ60" s="319"/>
      <c r="DA60" s="319"/>
      <c r="DB60" s="432"/>
      <c r="DC60" s="352"/>
      <c r="DD60" s="319"/>
      <c r="DE60" s="319"/>
      <c r="DF60" s="319"/>
      <c r="DG60" s="320"/>
      <c r="DH60" s="350"/>
      <c r="DI60" s="319"/>
      <c r="DJ60" s="319"/>
      <c r="DK60" s="319"/>
      <c r="DL60" s="320"/>
      <c r="DM60" s="350">
        <v>5</v>
      </c>
      <c r="DN60" s="319"/>
      <c r="DO60" s="319"/>
      <c r="DP60" s="319"/>
      <c r="DQ60" s="320"/>
      <c r="DR60" s="350"/>
      <c r="DS60" s="319"/>
      <c r="DT60" s="319"/>
      <c r="DU60" s="319"/>
      <c r="DV60" s="320"/>
      <c r="DW60" s="350"/>
      <c r="DX60" s="319"/>
      <c r="DY60" s="319"/>
      <c r="DZ60" s="319"/>
      <c r="EA60" s="320"/>
      <c r="EB60" s="350"/>
      <c r="EC60" s="319"/>
      <c r="ED60" s="319"/>
      <c r="EE60" s="319"/>
      <c r="EF60" s="320"/>
      <c r="EG60" s="350"/>
      <c r="EH60" s="319"/>
      <c r="EI60" s="319"/>
      <c r="EJ60" s="319"/>
      <c r="EK60" s="320"/>
      <c r="EL60" s="350"/>
      <c r="EM60" s="319"/>
      <c r="EN60" s="319"/>
      <c r="EO60" s="319"/>
      <c r="EP60" s="432"/>
      <c r="EQ60" s="323">
        <f>SUM(DC60:EP61)</f>
        <v>5</v>
      </c>
      <c r="ER60" s="324"/>
      <c r="ES60" s="325"/>
      <c r="ET60" s="261" t="s">
        <v>298</v>
      </c>
      <c r="EX60" s="230"/>
      <c r="EY60" s="231"/>
      <c r="EZ60" s="232"/>
      <c r="FC60" s="245"/>
      <c r="FD60" s="246"/>
      <c r="FE60" s="245"/>
      <c r="FF60" s="245"/>
      <c r="FG60" s="245"/>
      <c r="FH60" s="245"/>
      <c r="FI60" s="50"/>
      <c r="FJ60" s="50"/>
    </row>
    <row r="61" spans="1:166" s="56" customFormat="1" ht="90" customHeight="1" x14ac:dyDescent="0.65">
      <c r="A61" s="330"/>
      <c r="B61" s="135" t="s">
        <v>197</v>
      </c>
      <c r="C61" s="415" t="s">
        <v>191</v>
      </c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6"/>
      <c r="R61" s="416"/>
      <c r="S61" s="416"/>
      <c r="T61" s="416"/>
      <c r="U61" s="416"/>
      <c r="V61" s="416"/>
      <c r="W61" s="416"/>
      <c r="X61" s="416"/>
      <c r="Y61" s="417"/>
      <c r="Z61" s="334"/>
      <c r="AA61" s="335"/>
      <c r="AB61" s="335"/>
      <c r="AC61" s="336"/>
      <c r="AD61" s="340"/>
      <c r="AE61" s="341"/>
      <c r="AF61" s="342"/>
      <c r="AG61" s="346"/>
      <c r="AH61" s="347"/>
      <c r="AI61" s="347"/>
      <c r="AJ61" s="347"/>
      <c r="AK61" s="348"/>
      <c r="AL61" s="346"/>
      <c r="AM61" s="347"/>
      <c r="AN61" s="347"/>
      <c r="AO61" s="347"/>
      <c r="AP61" s="348"/>
      <c r="AQ61" s="346"/>
      <c r="AR61" s="347"/>
      <c r="AS61" s="347"/>
      <c r="AT61" s="347"/>
      <c r="AU61" s="348"/>
      <c r="AV61" s="346"/>
      <c r="AW61" s="347"/>
      <c r="AX61" s="347"/>
      <c r="AY61" s="347"/>
      <c r="AZ61" s="348"/>
      <c r="BA61" s="346"/>
      <c r="BB61" s="347"/>
      <c r="BC61" s="347"/>
      <c r="BD61" s="347"/>
      <c r="BE61" s="348"/>
      <c r="BF61" s="346"/>
      <c r="BG61" s="347"/>
      <c r="BH61" s="347"/>
      <c r="BI61" s="347"/>
      <c r="BJ61" s="348"/>
      <c r="BK61" s="334"/>
      <c r="BL61" s="335"/>
      <c r="BM61" s="335"/>
      <c r="BN61" s="335"/>
      <c r="BO61" s="353"/>
      <c r="BP61" s="321"/>
      <c r="BQ61" s="321"/>
      <c r="BR61" s="321"/>
      <c r="BS61" s="321"/>
      <c r="BT61" s="355"/>
      <c r="BU61" s="355"/>
      <c r="BV61" s="355"/>
      <c r="BW61" s="355"/>
      <c r="BX61" s="355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5"/>
      <c r="CJ61" s="355"/>
      <c r="CK61" s="355"/>
      <c r="CL61" s="355"/>
      <c r="CM61" s="355"/>
      <c r="CN61" s="355"/>
      <c r="CO61" s="355"/>
      <c r="CP61" s="355"/>
      <c r="CQ61" s="355"/>
      <c r="CR61" s="355"/>
      <c r="CS61" s="355"/>
      <c r="CT61" s="355"/>
      <c r="CU61" s="355"/>
      <c r="CV61" s="355"/>
      <c r="CW61" s="355"/>
      <c r="CX61" s="351"/>
      <c r="CY61" s="321"/>
      <c r="CZ61" s="321"/>
      <c r="DA61" s="321"/>
      <c r="DB61" s="433"/>
      <c r="DC61" s="353"/>
      <c r="DD61" s="321"/>
      <c r="DE61" s="321"/>
      <c r="DF61" s="321"/>
      <c r="DG61" s="322"/>
      <c r="DH61" s="351"/>
      <c r="DI61" s="321"/>
      <c r="DJ61" s="321"/>
      <c r="DK61" s="321"/>
      <c r="DL61" s="322"/>
      <c r="DM61" s="351"/>
      <c r="DN61" s="321"/>
      <c r="DO61" s="321"/>
      <c r="DP61" s="321"/>
      <c r="DQ61" s="322"/>
      <c r="DR61" s="351"/>
      <c r="DS61" s="321"/>
      <c r="DT61" s="321"/>
      <c r="DU61" s="321"/>
      <c r="DV61" s="322"/>
      <c r="DW61" s="351"/>
      <c r="DX61" s="321"/>
      <c r="DY61" s="321"/>
      <c r="DZ61" s="321"/>
      <c r="EA61" s="322"/>
      <c r="EB61" s="351"/>
      <c r="EC61" s="321"/>
      <c r="ED61" s="321"/>
      <c r="EE61" s="321"/>
      <c r="EF61" s="322"/>
      <c r="EG61" s="351"/>
      <c r="EH61" s="321"/>
      <c r="EI61" s="321"/>
      <c r="EJ61" s="321"/>
      <c r="EK61" s="322"/>
      <c r="EL61" s="351"/>
      <c r="EM61" s="321"/>
      <c r="EN61" s="321"/>
      <c r="EO61" s="321"/>
      <c r="EP61" s="433"/>
      <c r="EQ61" s="326"/>
      <c r="ER61" s="327"/>
      <c r="ES61" s="328"/>
      <c r="ET61" s="261"/>
      <c r="EX61" s="233"/>
      <c r="EY61" s="234">
        <v>9</v>
      </c>
      <c r="EZ61" s="235"/>
      <c r="FA61" s="242" t="s">
        <v>289</v>
      </c>
      <c r="FC61" s="245"/>
      <c r="FD61" s="246"/>
      <c r="FE61" s="245"/>
      <c r="FF61" s="245"/>
      <c r="FG61" s="245"/>
      <c r="FH61" s="245"/>
      <c r="FI61" s="50"/>
      <c r="FJ61" s="50"/>
    </row>
    <row r="62" spans="1:166" s="56" customFormat="1" ht="120" customHeight="1" x14ac:dyDescent="0.65">
      <c r="A62" s="329" t="s">
        <v>11</v>
      </c>
      <c r="B62" s="135" t="s">
        <v>192</v>
      </c>
      <c r="C62" s="404" t="s">
        <v>193</v>
      </c>
      <c r="D62" s="405"/>
      <c r="E62" s="405"/>
      <c r="F62" s="405"/>
      <c r="G62" s="405"/>
      <c r="H62" s="405"/>
      <c r="I62" s="405"/>
      <c r="J62" s="405"/>
      <c r="K62" s="405"/>
      <c r="L62" s="405"/>
      <c r="M62" s="405"/>
      <c r="N62" s="405"/>
      <c r="O62" s="405"/>
      <c r="P62" s="405"/>
      <c r="Q62" s="405"/>
      <c r="R62" s="405"/>
      <c r="S62" s="405"/>
      <c r="T62" s="405"/>
      <c r="U62" s="405"/>
      <c r="V62" s="405"/>
      <c r="W62" s="405"/>
      <c r="X62" s="405"/>
      <c r="Y62" s="406"/>
      <c r="Z62" s="331">
        <f>+EQ62*30</f>
        <v>150</v>
      </c>
      <c r="AA62" s="332"/>
      <c r="AB62" s="332"/>
      <c r="AC62" s="333"/>
      <c r="AD62" s="337"/>
      <c r="AE62" s="338"/>
      <c r="AF62" s="339"/>
      <c r="AG62" s="343">
        <f>SUM(AL62:BE63)</f>
        <v>60</v>
      </c>
      <c r="AH62" s="344"/>
      <c r="AI62" s="344"/>
      <c r="AJ62" s="344"/>
      <c r="AK62" s="345"/>
      <c r="AL62" s="343">
        <v>30</v>
      </c>
      <c r="AM62" s="344"/>
      <c r="AN62" s="344"/>
      <c r="AO62" s="344"/>
      <c r="AP62" s="345"/>
      <c r="AQ62" s="343">
        <v>30</v>
      </c>
      <c r="AR62" s="344"/>
      <c r="AS62" s="344"/>
      <c r="AT62" s="344"/>
      <c r="AU62" s="345"/>
      <c r="AV62" s="343"/>
      <c r="AW62" s="344"/>
      <c r="AX62" s="344"/>
      <c r="AY62" s="344"/>
      <c r="AZ62" s="345"/>
      <c r="BA62" s="343"/>
      <c r="BB62" s="344"/>
      <c r="BC62" s="344"/>
      <c r="BD62" s="344"/>
      <c r="BE62" s="345"/>
      <c r="BF62" s="343"/>
      <c r="BG62" s="344"/>
      <c r="BH62" s="344"/>
      <c r="BI62" s="344"/>
      <c r="BJ62" s="345"/>
      <c r="BK62" s="331">
        <f>Z62-AG62</f>
        <v>90</v>
      </c>
      <c r="BL62" s="332"/>
      <c r="BM62" s="332"/>
      <c r="BN62" s="332"/>
      <c r="BO62" s="352"/>
      <c r="BP62" s="319"/>
      <c r="BQ62" s="319"/>
      <c r="BR62" s="319"/>
      <c r="BS62" s="319"/>
      <c r="BT62" s="355"/>
      <c r="BU62" s="355"/>
      <c r="BV62" s="355"/>
      <c r="BW62" s="355"/>
      <c r="BX62" s="355"/>
      <c r="BY62" s="356">
        <v>4</v>
      </c>
      <c r="BZ62" s="356"/>
      <c r="CA62" s="356"/>
      <c r="CB62" s="356"/>
      <c r="CC62" s="356"/>
      <c r="CD62" s="356"/>
      <c r="CE62" s="356"/>
      <c r="CF62" s="356"/>
      <c r="CG62" s="356"/>
      <c r="CH62" s="356"/>
      <c r="CI62" s="355"/>
      <c r="CJ62" s="355"/>
      <c r="CK62" s="355"/>
      <c r="CL62" s="355"/>
      <c r="CM62" s="355"/>
      <c r="CN62" s="355"/>
      <c r="CO62" s="355"/>
      <c r="CP62" s="355"/>
      <c r="CQ62" s="355"/>
      <c r="CR62" s="355"/>
      <c r="CS62" s="355"/>
      <c r="CT62" s="355"/>
      <c r="CU62" s="355"/>
      <c r="CV62" s="355"/>
      <c r="CW62" s="355"/>
      <c r="CX62" s="350"/>
      <c r="CY62" s="319"/>
      <c r="CZ62" s="319"/>
      <c r="DA62" s="319"/>
      <c r="DB62" s="432"/>
      <c r="DC62" s="352"/>
      <c r="DD62" s="319"/>
      <c r="DE62" s="319"/>
      <c r="DF62" s="319"/>
      <c r="DG62" s="320"/>
      <c r="DH62" s="350"/>
      <c r="DI62" s="319"/>
      <c r="DJ62" s="319"/>
      <c r="DK62" s="319"/>
      <c r="DL62" s="320"/>
      <c r="DM62" s="350">
        <v>5</v>
      </c>
      <c r="DN62" s="319"/>
      <c r="DO62" s="319"/>
      <c r="DP62" s="319"/>
      <c r="DQ62" s="320"/>
      <c r="DR62" s="350"/>
      <c r="DS62" s="319"/>
      <c r="DT62" s="319"/>
      <c r="DU62" s="319"/>
      <c r="DV62" s="320"/>
      <c r="DW62" s="350"/>
      <c r="DX62" s="319"/>
      <c r="DY62" s="319"/>
      <c r="DZ62" s="319"/>
      <c r="EA62" s="320"/>
      <c r="EB62" s="350"/>
      <c r="EC62" s="319"/>
      <c r="ED62" s="319"/>
      <c r="EE62" s="319"/>
      <c r="EF62" s="320"/>
      <c r="EG62" s="350"/>
      <c r="EH62" s="319"/>
      <c r="EI62" s="319"/>
      <c r="EJ62" s="319"/>
      <c r="EK62" s="320"/>
      <c r="EL62" s="350"/>
      <c r="EM62" s="319"/>
      <c r="EN62" s="319"/>
      <c r="EO62" s="319"/>
      <c r="EP62" s="432"/>
      <c r="EQ62" s="323">
        <f>SUM(DC62:EP63)</f>
        <v>5</v>
      </c>
      <c r="ER62" s="324"/>
      <c r="ES62" s="325"/>
      <c r="ET62" s="261"/>
      <c r="EX62" s="233"/>
      <c r="EY62" s="234"/>
      <c r="EZ62" s="235"/>
      <c r="FC62" s="245"/>
      <c r="FD62" s="246"/>
      <c r="FE62" s="245"/>
      <c r="FF62" s="245"/>
      <c r="FG62" s="245"/>
      <c r="FH62" s="245"/>
      <c r="FI62" s="50"/>
      <c r="FJ62" s="50"/>
    </row>
    <row r="63" spans="1:166" s="56" customFormat="1" ht="117.75" customHeight="1" x14ac:dyDescent="0.65">
      <c r="A63" s="330"/>
      <c r="B63" s="135" t="s">
        <v>194</v>
      </c>
      <c r="C63" s="404" t="s">
        <v>195</v>
      </c>
      <c r="D63" s="405"/>
      <c r="E63" s="405"/>
      <c r="F63" s="405"/>
      <c r="G63" s="405"/>
      <c r="H63" s="405"/>
      <c r="I63" s="405"/>
      <c r="J63" s="405"/>
      <c r="K63" s="405"/>
      <c r="L63" s="405"/>
      <c r="M63" s="405"/>
      <c r="N63" s="405"/>
      <c r="O63" s="405"/>
      <c r="P63" s="405"/>
      <c r="Q63" s="405"/>
      <c r="R63" s="405"/>
      <c r="S63" s="405"/>
      <c r="T63" s="405"/>
      <c r="U63" s="405"/>
      <c r="V63" s="405"/>
      <c r="W63" s="405"/>
      <c r="X63" s="405"/>
      <c r="Y63" s="406"/>
      <c r="Z63" s="334"/>
      <c r="AA63" s="335"/>
      <c r="AB63" s="335"/>
      <c r="AC63" s="336"/>
      <c r="AD63" s="340"/>
      <c r="AE63" s="341"/>
      <c r="AF63" s="342"/>
      <c r="AG63" s="346"/>
      <c r="AH63" s="347"/>
      <c r="AI63" s="347"/>
      <c r="AJ63" s="347"/>
      <c r="AK63" s="348"/>
      <c r="AL63" s="346"/>
      <c r="AM63" s="347"/>
      <c r="AN63" s="347"/>
      <c r="AO63" s="347"/>
      <c r="AP63" s="348"/>
      <c r="AQ63" s="346"/>
      <c r="AR63" s="347"/>
      <c r="AS63" s="347"/>
      <c r="AT63" s="347"/>
      <c r="AU63" s="348"/>
      <c r="AV63" s="346"/>
      <c r="AW63" s="347"/>
      <c r="AX63" s="347"/>
      <c r="AY63" s="347"/>
      <c r="AZ63" s="348"/>
      <c r="BA63" s="346"/>
      <c r="BB63" s="347"/>
      <c r="BC63" s="347"/>
      <c r="BD63" s="347"/>
      <c r="BE63" s="348"/>
      <c r="BF63" s="346"/>
      <c r="BG63" s="347"/>
      <c r="BH63" s="347"/>
      <c r="BI63" s="347"/>
      <c r="BJ63" s="348"/>
      <c r="BK63" s="334"/>
      <c r="BL63" s="335"/>
      <c r="BM63" s="335"/>
      <c r="BN63" s="335"/>
      <c r="BO63" s="353"/>
      <c r="BP63" s="321"/>
      <c r="BQ63" s="321"/>
      <c r="BR63" s="321"/>
      <c r="BS63" s="321"/>
      <c r="BT63" s="355"/>
      <c r="BU63" s="355"/>
      <c r="BV63" s="355"/>
      <c r="BW63" s="355"/>
      <c r="BX63" s="355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5"/>
      <c r="CJ63" s="355"/>
      <c r="CK63" s="355"/>
      <c r="CL63" s="355"/>
      <c r="CM63" s="355"/>
      <c r="CN63" s="355"/>
      <c r="CO63" s="355"/>
      <c r="CP63" s="355"/>
      <c r="CQ63" s="355"/>
      <c r="CR63" s="355"/>
      <c r="CS63" s="355"/>
      <c r="CT63" s="355"/>
      <c r="CU63" s="355"/>
      <c r="CV63" s="355"/>
      <c r="CW63" s="355"/>
      <c r="CX63" s="351"/>
      <c r="CY63" s="321"/>
      <c r="CZ63" s="321"/>
      <c r="DA63" s="321"/>
      <c r="DB63" s="433"/>
      <c r="DC63" s="353"/>
      <c r="DD63" s="321"/>
      <c r="DE63" s="321"/>
      <c r="DF63" s="321"/>
      <c r="DG63" s="322"/>
      <c r="DH63" s="351"/>
      <c r="DI63" s="321"/>
      <c r="DJ63" s="321"/>
      <c r="DK63" s="321"/>
      <c r="DL63" s="322"/>
      <c r="DM63" s="351"/>
      <c r="DN63" s="321"/>
      <c r="DO63" s="321"/>
      <c r="DP63" s="321"/>
      <c r="DQ63" s="322"/>
      <c r="DR63" s="351"/>
      <c r="DS63" s="321"/>
      <c r="DT63" s="321"/>
      <c r="DU63" s="321"/>
      <c r="DV63" s="322"/>
      <c r="DW63" s="351"/>
      <c r="DX63" s="321"/>
      <c r="DY63" s="321"/>
      <c r="DZ63" s="321"/>
      <c r="EA63" s="322"/>
      <c r="EB63" s="351"/>
      <c r="EC63" s="321"/>
      <c r="ED63" s="321"/>
      <c r="EE63" s="321"/>
      <c r="EF63" s="322"/>
      <c r="EG63" s="351"/>
      <c r="EH63" s="321"/>
      <c r="EI63" s="321"/>
      <c r="EJ63" s="321"/>
      <c r="EK63" s="322"/>
      <c r="EL63" s="351"/>
      <c r="EM63" s="321"/>
      <c r="EN63" s="321"/>
      <c r="EO63" s="321"/>
      <c r="EP63" s="433"/>
      <c r="EQ63" s="326"/>
      <c r="ER63" s="327"/>
      <c r="ES63" s="328"/>
      <c r="ET63" s="261"/>
      <c r="EX63" s="233"/>
      <c r="EY63" s="234"/>
      <c r="EZ63" s="235"/>
      <c r="FC63" s="245"/>
      <c r="FD63" s="246"/>
      <c r="FE63" s="245"/>
      <c r="FF63" s="245"/>
      <c r="FG63" s="245"/>
      <c r="FH63" s="245"/>
      <c r="FI63" s="50"/>
      <c r="FJ63" s="50"/>
    </row>
    <row r="64" spans="1:166" s="56" customFormat="1" ht="90" customHeight="1" x14ac:dyDescent="0.65">
      <c r="A64" s="329" t="s">
        <v>39</v>
      </c>
      <c r="B64" s="138" t="s">
        <v>206</v>
      </c>
      <c r="C64" s="418" t="s">
        <v>207</v>
      </c>
      <c r="D64" s="419"/>
      <c r="E64" s="419"/>
      <c r="F64" s="419"/>
      <c r="G64" s="419"/>
      <c r="H64" s="419"/>
      <c r="I64" s="419"/>
      <c r="J64" s="419"/>
      <c r="K64" s="419"/>
      <c r="L64" s="419"/>
      <c r="M64" s="419"/>
      <c r="N64" s="419"/>
      <c r="O64" s="419"/>
      <c r="P64" s="419"/>
      <c r="Q64" s="419"/>
      <c r="R64" s="419"/>
      <c r="S64" s="419"/>
      <c r="T64" s="419"/>
      <c r="U64" s="419"/>
      <c r="V64" s="419"/>
      <c r="W64" s="419"/>
      <c r="X64" s="419"/>
      <c r="Y64" s="420"/>
      <c r="Z64" s="331">
        <f>+EQ64*30</f>
        <v>180</v>
      </c>
      <c r="AA64" s="332"/>
      <c r="AB64" s="332"/>
      <c r="AC64" s="333"/>
      <c r="AD64" s="337"/>
      <c r="AE64" s="338"/>
      <c r="AF64" s="339"/>
      <c r="AG64" s="343">
        <f>SUM(AL64:BE65)</f>
        <v>72</v>
      </c>
      <c r="AH64" s="344"/>
      <c r="AI64" s="344"/>
      <c r="AJ64" s="344"/>
      <c r="AK64" s="345"/>
      <c r="AL64" s="343"/>
      <c r="AM64" s="344"/>
      <c r="AN64" s="344"/>
      <c r="AO64" s="344"/>
      <c r="AP64" s="345"/>
      <c r="AQ64" s="343">
        <v>72</v>
      </c>
      <c r="AR64" s="344"/>
      <c r="AS64" s="344"/>
      <c r="AT64" s="344"/>
      <c r="AU64" s="345"/>
      <c r="AV64" s="343"/>
      <c r="AW64" s="344"/>
      <c r="AX64" s="344"/>
      <c r="AY64" s="344"/>
      <c r="AZ64" s="345"/>
      <c r="BA64" s="343"/>
      <c r="BB64" s="344"/>
      <c r="BC64" s="344"/>
      <c r="BD64" s="344"/>
      <c r="BE64" s="345"/>
      <c r="BF64" s="343"/>
      <c r="BG64" s="344"/>
      <c r="BH64" s="344"/>
      <c r="BI64" s="344"/>
      <c r="BJ64" s="345"/>
      <c r="BK64" s="331">
        <f>Z64-AG64</f>
        <v>108</v>
      </c>
      <c r="BL64" s="332"/>
      <c r="BM64" s="332"/>
      <c r="BN64" s="332"/>
      <c r="BO64" s="352"/>
      <c r="BP64" s="319"/>
      <c r="BQ64" s="319"/>
      <c r="BR64" s="319"/>
      <c r="BS64" s="320"/>
      <c r="BT64" s="350"/>
      <c r="BU64" s="319"/>
      <c r="BV64" s="319"/>
      <c r="BW64" s="319"/>
      <c r="BX64" s="320"/>
      <c r="BY64" s="364"/>
      <c r="BZ64" s="357"/>
      <c r="CA64" s="357"/>
      <c r="CB64" s="357"/>
      <c r="CC64" s="358"/>
      <c r="CD64" s="364"/>
      <c r="CE64" s="357"/>
      <c r="CF64" s="357"/>
      <c r="CG64" s="357"/>
      <c r="CH64" s="358"/>
      <c r="CI64" s="350"/>
      <c r="CJ64" s="319"/>
      <c r="CK64" s="319"/>
      <c r="CL64" s="319"/>
      <c r="CM64" s="320"/>
      <c r="CN64" s="350"/>
      <c r="CO64" s="319"/>
      <c r="CP64" s="319"/>
      <c r="CQ64" s="319"/>
      <c r="CR64" s="320"/>
      <c r="CS64" s="350">
        <v>4</v>
      </c>
      <c r="CT64" s="319"/>
      <c r="CU64" s="319"/>
      <c r="CV64" s="319"/>
      <c r="CW64" s="320"/>
      <c r="CX64" s="350">
        <v>2</v>
      </c>
      <c r="CY64" s="319"/>
      <c r="CZ64" s="319"/>
      <c r="DA64" s="319"/>
      <c r="DB64" s="432"/>
      <c r="DC64" s="352"/>
      <c r="DD64" s="319"/>
      <c r="DE64" s="319"/>
      <c r="DF64" s="319"/>
      <c r="DG64" s="320"/>
      <c r="DH64" s="350"/>
      <c r="DI64" s="319"/>
      <c r="DJ64" s="319"/>
      <c r="DK64" s="319"/>
      <c r="DL64" s="320"/>
      <c r="DM64" s="350"/>
      <c r="DN64" s="319"/>
      <c r="DO64" s="319"/>
      <c r="DP64" s="319"/>
      <c r="DQ64" s="320"/>
      <c r="DR64" s="350"/>
      <c r="DS64" s="319"/>
      <c r="DT64" s="319"/>
      <c r="DU64" s="319"/>
      <c r="DV64" s="320"/>
      <c r="DW64" s="350"/>
      <c r="DX64" s="319"/>
      <c r="DY64" s="319"/>
      <c r="DZ64" s="319"/>
      <c r="EA64" s="320"/>
      <c r="EB64" s="350"/>
      <c r="EC64" s="319"/>
      <c r="ED64" s="319"/>
      <c r="EE64" s="319"/>
      <c r="EF64" s="320"/>
      <c r="EG64" s="350">
        <v>4</v>
      </c>
      <c r="EH64" s="319"/>
      <c r="EI64" s="319"/>
      <c r="EJ64" s="319"/>
      <c r="EK64" s="320"/>
      <c r="EL64" s="350">
        <v>2</v>
      </c>
      <c r="EM64" s="319"/>
      <c r="EN64" s="319"/>
      <c r="EO64" s="319"/>
      <c r="EP64" s="432"/>
      <c r="EQ64" s="323">
        <f>SUM(DC64:EP65)</f>
        <v>6</v>
      </c>
      <c r="ER64" s="324"/>
      <c r="ES64" s="325"/>
      <c r="ET64" s="261"/>
      <c r="EX64" s="233"/>
      <c r="EY64" s="234"/>
      <c r="EZ64" s="235"/>
      <c r="FC64" s="245"/>
      <c r="FD64" s="246"/>
      <c r="FE64" s="245"/>
      <c r="FF64" s="245"/>
      <c r="FG64" s="245"/>
      <c r="FH64" s="245"/>
      <c r="FI64" s="50"/>
      <c r="FJ64" s="50"/>
    </row>
    <row r="65" spans="1:166" s="56" customFormat="1" ht="90" customHeight="1" x14ac:dyDescent="0.65">
      <c r="A65" s="330"/>
      <c r="B65" s="138" t="s">
        <v>182</v>
      </c>
      <c r="C65" s="401" t="s">
        <v>183</v>
      </c>
      <c r="D65" s="401"/>
      <c r="E65" s="401"/>
      <c r="F65" s="401"/>
      <c r="G65" s="401"/>
      <c r="H65" s="401"/>
      <c r="I65" s="401"/>
      <c r="J65" s="401"/>
      <c r="K65" s="401"/>
      <c r="L65" s="401"/>
      <c r="M65" s="401"/>
      <c r="N65" s="401"/>
      <c r="O65" s="401"/>
      <c r="P65" s="401"/>
      <c r="Q65" s="401"/>
      <c r="R65" s="401"/>
      <c r="S65" s="401"/>
      <c r="T65" s="401"/>
      <c r="U65" s="401"/>
      <c r="V65" s="401"/>
      <c r="W65" s="401"/>
      <c r="X65" s="401"/>
      <c r="Y65" s="401"/>
      <c r="Z65" s="334"/>
      <c r="AA65" s="335"/>
      <c r="AB65" s="335"/>
      <c r="AC65" s="336"/>
      <c r="AD65" s="340"/>
      <c r="AE65" s="341"/>
      <c r="AF65" s="342"/>
      <c r="AG65" s="346"/>
      <c r="AH65" s="347"/>
      <c r="AI65" s="347"/>
      <c r="AJ65" s="347"/>
      <c r="AK65" s="348"/>
      <c r="AL65" s="346"/>
      <c r="AM65" s="347"/>
      <c r="AN65" s="347"/>
      <c r="AO65" s="347"/>
      <c r="AP65" s="348"/>
      <c r="AQ65" s="346"/>
      <c r="AR65" s="347"/>
      <c r="AS65" s="347"/>
      <c r="AT65" s="347"/>
      <c r="AU65" s="348"/>
      <c r="AV65" s="346"/>
      <c r="AW65" s="347"/>
      <c r="AX65" s="347"/>
      <c r="AY65" s="347"/>
      <c r="AZ65" s="348"/>
      <c r="BA65" s="346"/>
      <c r="BB65" s="347"/>
      <c r="BC65" s="347"/>
      <c r="BD65" s="347"/>
      <c r="BE65" s="348"/>
      <c r="BF65" s="346"/>
      <c r="BG65" s="347"/>
      <c r="BH65" s="347"/>
      <c r="BI65" s="347"/>
      <c r="BJ65" s="348"/>
      <c r="BK65" s="334"/>
      <c r="BL65" s="335"/>
      <c r="BM65" s="335"/>
      <c r="BN65" s="335"/>
      <c r="BO65" s="353"/>
      <c r="BP65" s="321"/>
      <c r="BQ65" s="321"/>
      <c r="BR65" s="321"/>
      <c r="BS65" s="322"/>
      <c r="BT65" s="351"/>
      <c r="BU65" s="321"/>
      <c r="BV65" s="321"/>
      <c r="BW65" s="321"/>
      <c r="BX65" s="322"/>
      <c r="BY65" s="365"/>
      <c r="BZ65" s="359"/>
      <c r="CA65" s="359"/>
      <c r="CB65" s="359"/>
      <c r="CC65" s="360"/>
      <c r="CD65" s="365"/>
      <c r="CE65" s="359"/>
      <c r="CF65" s="359"/>
      <c r="CG65" s="359"/>
      <c r="CH65" s="360"/>
      <c r="CI65" s="351"/>
      <c r="CJ65" s="321"/>
      <c r="CK65" s="321"/>
      <c r="CL65" s="321"/>
      <c r="CM65" s="322"/>
      <c r="CN65" s="351"/>
      <c r="CO65" s="321"/>
      <c r="CP65" s="321"/>
      <c r="CQ65" s="321"/>
      <c r="CR65" s="322"/>
      <c r="CS65" s="351"/>
      <c r="CT65" s="321"/>
      <c r="CU65" s="321"/>
      <c r="CV65" s="321"/>
      <c r="CW65" s="322"/>
      <c r="CX65" s="351"/>
      <c r="CY65" s="321"/>
      <c r="CZ65" s="321"/>
      <c r="DA65" s="321"/>
      <c r="DB65" s="433"/>
      <c r="DC65" s="353"/>
      <c r="DD65" s="321"/>
      <c r="DE65" s="321"/>
      <c r="DF65" s="321"/>
      <c r="DG65" s="322"/>
      <c r="DH65" s="351"/>
      <c r="DI65" s="321"/>
      <c r="DJ65" s="321"/>
      <c r="DK65" s="321"/>
      <c r="DL65" s="322"/>
      <c r="DM65" s="351"/>
      <c r="DN65" s="321"/>
      <c r="DO65" s="321"/>
      <c r="DP65" s="321"/>
      <c r="DQ65" s="322"/>
      <c r="DR65" s="351"/>
      <c r="DS65" s="321"/>
      <c r="DT65" s="321"/>
      <c r="DU65" s="321"/>
      <c r="DV65" s="322"/>
      <c r="DW65" s="351"/>
      <c r="DX65" s="321"/>
      <c r="DY65" s="321"/>
      <c r="DZ65" s="321"/>
      <c r="EA65" s="322"/>
      <c r="EB65" s="351"/>
      <c r="EC65" s="321"/>
      <c r="ED65" s="321"/>
      <c r="EE65" s="321"/>
      <c r="EF65" s="322"/>
      <c r="EG65" s="351"/>
      <c r="EH65" s="321"/>
      <c r="EI65" s="321"/>
      <c r="EJ65" s="321"/>
      <c r="EK65" s="322"/>
      <c r="EL65" s="351"/>
      <c r="EM65" s="321"/>
      <c r="EN65" s="321"/>
      <c r="EO65" s="321"/>
      <c r="EP65" s="433"/>
      <c r="EQ65" s="326"/>
      <c r="ER65" s="327"/>
      <c r="ES65" s="328"/>
      <c r="ET65" s="261"/>
      <c r="EX65" s="233"/>
      <c r="EY65" s="234"/>
      <c r="EZ65" s="235"/>
      <c r="FC65" s="245"/>
      <c r="FD65" s="246"/>
      <c r="FE65" s="245"/>
      <c r="FF65" s="245"/>
      <c r="FG65" s="245"/>
      <c r="FH65" s="245"/>
      <c r="FI65" s="50"/>
      <c r="FJ65" s="50"/>
    </row>
    <row r="66" spans="1:166" s="176" customFormat="1" ht="90" customHeight="1" x14ac:dyDescent="0.65">
      <c r="A66" s="386" t="s">
        <v>40</v>
      </c>
      <c r="B66" s="139" t="s">
        <v>208</v>
      </c>
      <c r="C66" s="402" t="s">
        <v>209</v>
      </c>
      <c r="D66" s="402"/>
      <c r="E66" s="402"/>
      <c r="F66" s="402"/>
      <c r="G66" s="402"/>
      <c r="H66" s="402"/>
      <c r="I66" s="402"/>
      <c r="J66" s="402"/>
      <c r="K66" s="402"/>
      <c r="L66" s="402"/>
      <c r="M66" s="402"/>
      <c r="N66" s="402"/>
      <c r="O66" s="402"/>
      <c r="P66" s="402"/>
      <c r="Q66" s="402"/>
      <c r="R66" s="402"/>
      <c r="S66" s="402"/>
      <c r="T66" s="402"/>
      <c r="U66" s="402"/>
      <c r="V66" s="402"/>
      <c r="W66" s="402"/>
      <c r="X66" s="402"/>
      <c r="Y66" s="402"/>
      <c r="Z66" s="389">
        <f>+EQ66*30</f>
        <v>300</v>
      </c>
      <c r="AA66" s="390"/>
      <c r="AB66" s="390"/>
      <c r="AC66" s="391"/>
      <c r="AD66" s="395"/>
      <c r="AE66" s="396"/>
      <c r="AF66" s="397"/>
      <c r="AG66" s="372">
        <f>SUM(AL66:BE67)</f>
        <v>150</v>
      </c>
      <c r="AH66" s="373"/>
      <c r="AI66" s="373"/>
      <c r="AJ66" s="373"/>
      <c r="AK66" s="374"/>
      <c r="AL66" s="372"/>
      <c r="AM66" s="373"/>
      <c r="AN66" s="373"/>
      <c r="AO66" s="373"/>
      <c r="AP66" s="374"/>
      <c r="AQ66" s="372">
        <v>150</v>
      </c>
      <c r="AR66" s="373"/>
      <c r="AS66" s="373"/>
      <c r="AT66" s="373"/>
      <c r="AU66" s="374"/>
      <c r="AV66" s="372"/>
      <c r="AW66" s="373"/>
      <c r="AX66" s="373"/>
      <c r="AY66" s="373"/>
      <c r="AZ66" s="374"/>
      <c r="BA66" s="372"/>
      <c r="BB66" s="373"/>
      <c r="BC66" s="373"/>
      <c r="BD66" s="373"/>
      <c r="BE66" s="374"/>
      <c r="BF66" s="372"/>
      <c r="BG66" s="373"/>
      <c r="BH66" s="373"/>
      <c r="BI66" s="373"/>
      <c r="BJ66" s="374"/>
      <c r="BK66" s="389">
        <f>Z66-AG66</f>
        <v>150</v>
      </c>
      <c r="BL66" s="390"/>
      <c r="BM66" s="390"/>
      <c r="BN66" s="390"/>
      <c r="BO66" s="378"/>
      <c r="BP66" s="357"/>
      <c r="BQ66" s="357"/>
      <c r="BR66" s="357"/>
      <c r="BS66" s="358"/>
      <c r="BT66" s="364"/>
      <c r="BU66" s="357"/>
      <c r="BV66" s="357"/>
      <c r="BW66" s="357"/>
      <c r="BX66" s="358"/>
      <c r="BY66" s="364"/>
      <c r="BZ66" s="357"/>
      <c r="CA66" s="357"/>
      <c r="CB66" s="357"/>
      <c r="CC66" s="358"/>
      <c r="CD66" s="364"/>
      <c r="CE66" s="357"/>
      <c r="CF66" s="357"/>
      <c r="CG66" s="357"/>
      <c r="CH66" s="358"/>
      <c r="CI66" s="364"/>
      <c r="CJ66" s="357"/>
      <c r="CK66" s="357"/>
      <c r="CL66" s="357"/>
      <c r="CM66" s="358"/>
      <c r="CN66" s="364">
        <v>4</v>
      </c>
      <c r="CO66" s="357"/>
      <c r="CP66" s="357"/>
      <c r="CQ66" s="357"/>
      <c r="CR66" s="358"/>
      <c r="CS66" s="364">
        <v>3</v>
      </c>
      <c r="CT66" s="357"/>
      <c r="CU66" s="357"/>
      <c r="CV66" s="357"/>
      <c r="CW66" s="358"/>
      <c r="CX66" s="364">
        <v>2</v>
      </c>
      <c r="CY66" s="357"/>
      <c r="CZ66" s="357"/>
      <c r="DA66" s="357"/>
      <c r="DB66" s="366"/>
      <c r="DC66" s="378"/>
      <c r="DD66" s="357"/>
      <c r="DE66" s="357"/>
      <c r="DF66" s="357"/>
      <c r="DG66" s="358"/>
      <c r="DH66" s="364"/>
      <c r="DI66" s="357"/>
      <c r="DJ66" s="357"/>
      <c r="DK66" s="357"/>
      <c r="DL66" s="358"/>
      <c r="DM66" s="364"/>
      <c r="DN66" s="357"/>
      <c r="DO66" s="357"/>
      <c r="DP66" s="357"/>
      <c r="DQ66" s="358"/>
      <c r="DR66" s="364"/>
      <c r="DS66" s="357"/>
      <c r="DT66" s="357"/>
      <c r="DU66" s="357"/>
      <c r="DV66" s="358"/>
      <c r="DW66" s="364"/>
      <c r="DX66" s="357"/>
      <c r="DY66" s="357"/>
      <c r="DZ66" s="357"/>
      <c r="EA66" s="358"/>
      <c r="EB66" s="364">
        <v>5</v>
      </c>
      <c r="EC66" s="357"/>
      <c r="ED66" s="357"/>
      <c r="EE66" s="357"/>
      <c r="EF66" s="358"/>
      <c r="EG66" s="364">
        <v>3</v>
      </c>
      <c r="EH66" s="357"/>
      <c r="EI66" s="357"/>
      <c r="EJ66" s="357"/>
      <c r="EK66" s="358"/>
      <c r="EL66" s="364">
        <v>2</v>
      </c>
      <c r="EM66" s="357"/>
      <c r="EN66" s="357"/>
      <c r="EO66" s="357"/>
      <c r="EP66" s="366"/>
      <c r="EQ66" s="380">
        <f>SUM(DC66:EP67)</f>
        <v>10</v>
      </c>
      <c r="ER66" s="381"/>
      <c r="ES66" s="382"/>
      <c r="ET66" s="264"/>
      <c r="EX66" s="233"/>
      <c r="EY66" s="234"/>
      <c r="EZ66" s="235"/>
      <c r="FC66" s="253"/>
      <c r="FD66" s="254"/>
      <c r="FE66" s="253"/>
      <c r="FF66" s="253"/>
      <c r="FG66" s="253"/>
      <c r="FH66" s="253"/>
      <c r="FI66" s="259"/>
      <c r="FJ66" s="259"/>
    </row>
    <row r="67" spans="1:166" s="176" customFormat="1" ht="90" customHeight="1" x14ac:dyDescent="0.65">
      <c r="A67" s="387"/>
      <c r="B67" s="139" t="s">
        <v>184</v>
      </c>
      <c r="C67" s="402" t="s">
        <v>185</v>
      </c>
      <c r="D67" s="402"/>
      <c r="E67" s="402"/>
      <c r="F67" s="402"/>
      <c r="G67" s="402"/>
      <c r="H67" s="402"/>
      <c r="I67" s="402"/>
      <c r="J67" s="402"/>
      <c r="K67" s="402"/>
      <c r="L67" s="402"/>
      <c r="M67" s="402"/>
      <c r="N67" s="402"/>
      <c r="O67" s="402"/>
      <c r="P67" s="402"/>
      <c r="Q67" s="402"/>
      <c r="R67" s="402"/>
      <c r="S67" s="402"/>
      <c r="T67" s="402"/>
      <c r="U67" s="402"/>
      <c r="V67" s="402"/>
      <c r="W67" s="402"/>
      <c r="X67" s="402"/>
      <c r="Y67" s="402"/>
      <c r="Z67" s="392"/>
      <c r="AA67" s="393"/>
      <c r="AB67" s="393"/>
      <c r="AC67" s="394"/>
      <c r="AD67" s="398"/>
      <c r="AE67" s="399"/>
      <c r="AF67" s="400"/>
      <c r="AG67" s="375"/>
      <c r="AH67" s="376"/>
      <c r="AI67" s="376"/>
      <c r="AJ67" s="376"/>
      <c r="AK67" s="377"/>
      <c r="AL67" s="375"/>
      <c r="AM67" s="376"/>
      <c r="AN67" s="376"/>
      <c r="AO67" s="376"/>
      <c r="AP67" s="377"/>
      <c r="AQ67" s="375"/>
      <c r="AR67" s="376"/>
      <c r="AS67" s="376"/>
      <c r="AT67" s="376"/>
      <c r="AU67" s="377"/>
      <c r="AV67" s="375"/>
      <c r="AW67" s="376"/>
      <c r="AX67" s="376"/>
      <c r="AY67" s="376"/>
      <c r="AZ67" s="377"/>
      <c r="BA67" s="375"/>
      <c r="BB67" s="376"/>
      <c r="BC67" s="376"/>
      <c r="BD67" s="376"/>
      <c r="BE67" s="377"/>
      <c r="BF67" s="375"/>
      <c r="BG67" s="376"/>
      <c r="BH67" s="376"/>
      <c r="BI67" s="376"/>
      <c r="BJ67" s="377"/>
      <c r="BK67" s="392"/>
      <c r="BL67" s="393"/>
      <c r="BM67" s="393"/>
      <c r="BN67" s="393"/>
      <c r="BO67" s="379"/>
      <c r="BP67" s="359"/>
      <c r="BQ67" s="359"/>
      <c r="BR67" s="359"/>
      <c r="BS67" s="360"/>
      <c r="BT67" s="365"/>
      <c r="BU67" s="359"/>
      <c r="BV67" s="359"/>
      <c r="BW67" s="359"/>
      <c r="BX67" s="360"/>
      <c r="BY67" s="365"/>
      <c r="BZ67" s="359"/>
      <c r="CA67" s="359"/>
      <c r="CB67" s="359"/>
      <c r="CC67" s="360"/>
      <c r="CD67" s="365"/>
      <c r="CE67" s="359"/>
      <c r="CF67" s="359"/>
      <c r="CG67" s="359"/>
      <c r="CH67" s="360"/>
      <c r="CI67" s="365"/>
      <c r="CJ67" s="359"/>
      <c r="CK67" s="359"/>
      <c r="CL67" s="359"/>
      <c r="CM67" s="360"/>
      <c r="CN67" s="365"/>
      <c r="CO67" s="359"/>
      <c r="CP67" s="359"/>
      <c r="CQ67" s="359"/>
      <c r="CR67" s="360"/>
      <c r="CS67" s="365"/>
      <c r="CT67" s="359"/>
      <c r="CU67" s="359"/>
      <c r="CV67" s="359"/>
      <c r="CW67" s="360"/>
      <c r="CX67" s="365"/>
      <c r="CY67" s="359"/>
      <c r="CZ67" s="359"/>
      <c r="DA67" s="359"/>
      <c r="DB67" s="367"/>
      <c r="DC67" s="379"/>
      <c r="DD67" s="359"/>
      <c r="DE67" s="359"/>
      <c r="DF67" s="359"/>
      <c r="DG67" s="360"/>
      <c r="DH67" s="365"/>
      <c r="DI67" s="359"/>
      <c r="DJ67" s="359"/>
      <c r="DK67" s="359"/>
      <c r="DL67" s="360"/>
      <c r="DM67" s="365"/>
      <c r="DN67" s="359"/>
      <c r="DO67" s="359"/>
      <c r="DP67" s="359"/>
      <c r="DQ67" s="360"/>
      <c r="DR67" s="365"/>
      <c r="DS67" s="359"/>
      <c r="DT67" s="359"/>
      <c r="DU67" s="359"/>
      <c r="DV67" s="360"/>
      <c r="DW67" s="365"/>
      <c r="DX67" s="359"/>
      <c r="DY67" s="359"/>
      <c r="DZ67" s="359"/>
      <c r="EA67" s="360"/>
      <c r="EB67" s="365"/>
      <c r="EC67" s="359"/>
      <c r="ED67" s="359"/>
      <c r="EE67" s="359"/>
      <c r="EF67" s="360"/>
      <c r="EG67" s="365"/>
      <c r="EH67" s="359"/>
      <c r="EI67" s="359"/>
      <c r="EJ67" s="359"/>
      <c r="EK67" s="360"/>
      <c r="EL67" s="365"/>
      <c r="EM67" s="359"/>
      <c r="EN67" s="359"/>
      <c r="EO67" s="359"/>
      <c r="EP67" s="367"/>
      <c r="EQ67" s="383"/>
      <c r="ER67" s="384"/>
      <c r="ES67" s="385"/>
      <c r="ET67" s="141" t="s">
        <v>253</v>
      </c>
      <c r="EX67" s="233"/>
      <c r="EY67" s="234"/>
      <c r="EZ67" s="235"/>
      <c r="FC67" s="253"/>
      <c r="FD67" s="254"/>
      <c r="FE67" s="253"/>
      <c r="FF67" s="253"/>
      <c r="FG67" s="253"/>
      <c r="FH67" s="253"/>
      <c r="FI67" s="259"/>
      <c r="FJ67" s="259"/>
    </row>
    <row r="68" spans="1:166" s="128" customFormat="1" ht="90" customHeight="1" x14ac:dyDescent="0.65">
      <c r="A68" s="386" t="s">
        <v>41</v>
      </c>
      <c r="B68" s="139" t="s">
        <v>203</v>
      </c>
      <c r="C68" s="403" t="s">
        <v>251</v>
      </c>
      <c r="D68" s="403"/>
      <c r="E68" s="403"/>
      <c r="F68" s="403"/>
      <c r="G68" s="403"/>
      <c r="H68" s="403"/>
      <c r="I68" s="403"/>
      <c r="J68" s="403"/>
      <c r="K68" s="403"/>
      <c r="L68" s="403"/>
      <c r="M68" s="403"/>
      <c r="N68" s="403"/>
      <c r="O68" s="403"/>
      <c r="P68" s="403"/>
      <c r="Q68" s="403"/>
      <c r="R68" s="403"/>
      <c r="S68" s="403"/>
      <c r="T68" s="403"/>
      <c r="U68" s="403"/>
      <c r="V68" s="403"/>
      <c r="W68" s="403"/>
      <c r="X68" s="403"/>
      <c r="Y68" s="403"/>
      <c r="Z68" s="389">
        <f>+EQ68*30</f>
        <v>120</v>
      </c>
      <c r="AA68" s="390"/>
      <c r="AB68" s="390"/>
      <c r="AC68" s="391"/>
      <c r="AD68" s="395"/>
      <c r="AE68" s="396"/>
      <c r="AF68" s="397"/>
      <c r="AG68" s="343">
        <f>SUM(AL68:BE69)</f>
        <v>50</v>
      </c>
      <c r="AH68" s="344"/>
      <c r="AI68" s="344"/>
      <c r="AJ68" s="344"/>
      <c r="AK68" s="345"/>
      <c r="AL68" s="372">
        <v>24</v>
      </c>
      <c r="AM68" s="373"/>
      <c r="AN68" s="373"/>
      <c r="AO68" s="373"/>
      <c r="AP68" s="374"/>
      <c r="AQ68" s="372">
        <v>26</v>
      </c>
      <c r="AR68" s="373"/>
      <c r="AS68" s="373"/>
      <c r="AT68" s="373"/>
      <c r="AU68" s="374"/>
      <c r="AV68" s="372"/>
      <c r="AW68" s="373"/>
      <c r="AX68" s="373"/>
      <c r="AY68" s="373"/>
      <c r="AZ68" s="374"/>
      <c r="BA68" s="372"/>
      <c r="BB68" s="373"/>
      <c r="BC68" s="373"/>
      <c r="BD68" s="373"/>
      <c r="BE68" s="374"/>
      <c r="BF68" s="372"/>
      <c r="BG68" s="373"/>
      <c r="BH68" s="373"/>
      <c r="BI68" s="373"/>
      <c r="BJ68" s="374"/>
      <c r="BK68" s="331">
        <f>Z68-AG68</f>
        <v>70</v>
      </c>
      <c r="BL68" s="332"/>
      <c r="BM68" s="332"/>
      <c r="BN68" s="332"/>
      <c r="BO68" s="378"/>
      <c r="BP68" s="357"/>
      <c r="BQ68" s="357"/>
      <c r="BR68" s="357"/>
      <c r="BS68" s="358"/>
      <c r="BT68" s="364"/>
      <c r="BU68" s="357"/>
      <c r="BV68" s="357"/>
      <c r="BW68" s="357"/>
      <c r="BX68" s="358"/>
      <c r="BY68" s="364"/>
      <c r="BZ68" s="357"/>
      <c r="CA68" s="357"/>
      <c r="CB68" s="357"/>
      <c r="CC68" s="358"/>
      <c r="CD68" s="364">
        <v>4</v>
      </c>
      <c r="CE68" s="357"/>
      <c r="CF68" s="357"/>
      <c r="CG68" s="357"/>
      <c r="CH68" s="358"/>
      <c r="CI68" s="364"/>
      <c r="CJ68" s="357"/>
      <c r="CK68" s="357"/>
      <c r="CL68" s="357"/>
      <c r="CM68" s="358"/>
      <c r="CN68" s="364"/>
      <c r="CO68" s="357"/>
      <c r="CP68" s="357"/>
      <c r="CQ68" s="357"/>
      <c r="CR68" s="358"/>
      <c r="CS68" s="364"/>
      <c r="CT68" s="357"/>
      <c r="CU68" s="357"/>
      <c r="CV68" s="357"/>
      <c r="CW68" s="358"/>
      <c r="CX68" s="364"/>
      <c r="CY68" s="357"/>
      <c r="CZ68" s="357"/>
      <c r="DA68" s="357"/>
      <c r="DB68" s="366"/>
      <c r="DC68" s="378"/>
      <c r="DD68" s="357"/>
      <c r="DE68" s="357"/>
      <c r="DF68" s="357"/>
      <c r="DG68" s="358"/>
      <c r="DH68" s="364"/>
      <c r="DI68" s="357"/>
      <c r="DJ68" s="357"/>
      <c r="DK68" s="357"/>
      <c r="DL68" s="358"/>
      <c r="DM68" s="364"/>
      <c r="DN68" s="357"/>
      <c r="DO68" s="357"/>
      <c r="DP68" s="357"/>
      <c r="DQ68" s="358"/>
      <c r="DR68" s="364">
        <v>4</v>
      </c>
      <c r="DS68" s="357"/>
      <c r="DT68" s="357"/>
      <c r="DU68" s="357"/>
      <c r="DV68" s="358"/>
      <c r="DW68" s="364"/>
      <c r="DX68" s="357"/>
      <c r="DY68" s="357"/>
      <c r="DZ68" s="357"/>
      <c r="EA68" s="358"/>
      <c r="EB68" s="364"/>
      <c r="EC68" s="357"/>
      <c r="ED68" s="357"/>
      <c r="EE68" s="357"/>
      <c r="EF68" s="358"/>
      <c r="EG68" s="364"/>
      <c r="EH68" s="357"/>
      <c r="EI68" s="357"/>
      <c r="EJ68" s="357"/>
      <c r="EK68" s="358"/>
      <c r="EL68" s="364"/>
      <c r="EM68" s="357"/>
      <c r="EN68" s="357"/>
      <c r="EO68" s="357"/>
      <c r="EP68" s="366"/>
      <c r="EQ68" s="380">
        <f>SUM(DC68:EP69)</f>
        <v>4</v>
      </c>
      <c r="ER68" s="381"/>
      <c r="ES68" s="382"/>
      <c r="ET68" s="265"/>
      <c r="EX68" s="233"/>
      <c r="EY68" s="234">
        <v>4</v>
      </c>
      <c r="EZ68" s="235"/>
      <c r="FC68" s="249"/>
      <c r="FD68" s="250"/>
      <c r="FE68" s="249"/>
      <c r="FF68" s="249"/>
      <c r="FG68" s="249"/>
      <c r="FH68" s="249"/>
      <c r="FI68" s="257"/>
      <c r="FJ68" s="257"/>
    </row>
    <row r="69" spans="1:166" s="128" customFormat="1" ht="90" customHeight="1" x14ac:dyDescent="0.65">
      <c r="A69" s="387"/>
      <c r="B69" s="139" t="s">
        <v>204</v>
      </c>
      <c r="C69" s="403" t="s">
        <v>250</v>
      </c>
      <c r="D69" s="403"/>
      <c r="E69" s="403"/>
      <c r="F69" s="403"/>
      <c r="G69" s="403"/>
      <c r="H69" s="403"/>
      <c r="I69" s="403"/>
      <c r="J69" s="403"/>
      <c r="K69" s="403"/>
      <c r="L69" s="403"/>
      <c r="M69" s="403"/>
      <c r="N69" s="403"/>
      <c r="O69" s="403"/>
      <c r="P69" s="403"/>
      <c r="Q69" s="403"/>
      <c r="R69" s="403"/>
      <c r="S69" s="403"/>
      <c r="T69" s="403"/>
      <c r="U69" s="403"/>
      <c r="V69" s="403"/>
      <c r="W69" s="403"/>
      <c r="X69" s="403"/>
      <c r="Y69" s="403"/>
      <c r="Z69" s="392"/>
      <c r="AA69" s="393"/>
      <c r="AB69" s="393"/>
      <c r="AC69" s="394"/>
      <c r="AD69" s="398"/>
      <c r="AE69" s="399"/>
      <c r="AF69" s="400"/>
      <c r="AG69" s="346"/>
      <c r="AH69" s="347"/>
      <c r="AI69" s="347"/>
      <c r="AJ69" s="347"/>
      <c r="AK69" s="348"/>
      <c r="AL69" s="375"/>
      <c r="AM69" s="376"/>
      <c r="AN69" s="376"/>
      <c r="AO69" s="376"/>
      <c r="AP69" s="377"/>
      <c r="AQ69" s="375"/>
      <c r="AR69" s="376"/>
      <c r="AS69" s="376"/>
      <c r="AT69" s="376"/>
      <c r="AU69" s="377"/>
      <c r="AV69" s="375"/>
      <c r="AW69" s="376"/>
      <c r="AX69" s="376"/>
      <c r="AY69" s="376"/>
      <c r="AZ69" s="377"/>
      <c r="BA69" s="375"/>
      <c r="BB69" s="376"/>
      <c r="BC69" s="376"/>
      <c r="BD69" s="376"/>
      <c r="BE69" s="377"/>
      <c r="BF69" s="375"/>
      <c r="BG69" s="376"/>
      <c r="BH69" s="376"/>
      <c r="BI69" s="376"/>
      <c r="BJ69" s="377"/>
      <c r="BK69" s="334"/>
      <c r="BL69" s="335"/>
      <c r="BM69" s="335"/>
      <c r="BN69" s="335"/>
      <c r="BO69" s="379"/>
      <c r="BP69" s="359"/>
      <c r="BQ69" s="359"/>
      <c r="BR69" s="359"/>
      <c r="BS69" s="360"/>
      <c r="BT69" s="365"/>
      <c r="BU69" s="359"/>
      <c r="BV69" s="359"/>
      <c r="BW69" s="359"/>
      <c r="BX69" s="360"/>
      <c r="BY69" s="365"/>
      <c r="BZ69" s="359"/>
      <c r="CA69" s="359"/>
      <c r="CB69" s="359"/>
      <c r="CC69" s="360"/>
      <c r="CD69" s="365"/>
      <c r="CE69" s="359"/>
      <c r="CF69" s="359"/>
      <c r="CG69" s="359"/>
      <c r="CH69" s="360"/>
      <c r="CI69" s="365"/>
      <c r="CJ69" s="359"/>
      <c r="CK69" s="359"/>
      <c r="CL69" s="359"/>
      <c r="CM69" s="360"/>
      <c r="CN69" s="365"/>
      <c r="CO69" s="359"/>
      <c r="CP69" s="359"/>
      <c r="CQ69" s="359"/>
      <c r="CR69" s="360"/>
      <c r="CS69" s="365"/>
      <c r="CT69" s="359"/>
      <c r="CU69" s="359"/>
      <c r="CV69" s="359"/>
      <c r="CW69" s="360"/>
      <c r="CX69" s="365"/>
      <c r="CY69" s="359"/>
      <c r="CZ69" s="359"/>
      <c r="DA69" s="359"/>
      <c r="DB69" s="367"/>
      <c r="DC69" s="379"/>
      <c r="DD69" s="359"/>
      <c r="DE69" s="359"/>
      <c r="DF69" s="359"/>
      <c r="DG69" s="360"/>
      <c r="DH69" s="365"/>
      <c r="DI69" s="359"/>
      <c r="DJ69" s="359"/>
      <c r="DK69" s="359"/>
      <c r="DL69" s="360"/>
      <c r="DM69" s="365"/>
      <c r="DN69" s="359"/>
      <c r="DO69" s="359"/>
      <c r="DP69" s="359"/>
      <c r="DQ69" s="360"/>
      <c r="DR69" s="365"/>
      <c r="DS69" s="359"/>
      <c r="DT69" s="359"/>
      <c r="DU69" s="359"/>
      <c r="DV69" s="360"/>
      <c r="DW69" s="365"/>
      <c r="DX69" s="359"/>
      <c r="DY69" s="359"/>
      <c r="DZ69" s="359"/>
      <c r="EA69" s="360"/>
      <c r="EB69" s="365"/>
      <c r="EC69" s="359"/>
      <c r="ED69" s="359"/>
      <c r="EE69" s="359"/>
      <c r="EF69" s="360"/>
      <c r="EG69" s="365"/>
      <c r="EH69" s="359"/>
      <c r="EI69" s="359"/>
      <c r="EJ69" s="359"/>
      <c r="EK69" s="360"/>
      <c r="EL69" s="365"/>
      <c r="EM69" s="359"/>
      <c r="EN69" s="359"/>
      <c r="EO69" s="359"/>
      <c r="EP69" s="367"/>
      <c r="EQ69" s="383"/>
      <c r="ER69" s="384"/>
      <c r="ES69" s="385"/>
      <c r="ET69" s="141" t="s">
        <v>253</v>
      </c>
      <c r="EX69" s="233"/>
      <c r="EY69" s="234"/>
      <c r="EZ69" s="235"/>
      <c r="FC69" s="249"/>
      <c r="FD69" s="250"/>
      <c r="FE69" s="249"/>
      <c r="FF69" s="249"/>
      <c r="FG69" s="249"/>
      <c r="FH69" s="249"/>
      <c r="FI69" s="257"/>
      <c r="FJ69" s="257"/>
    </row>
    <row r="70" spans="1:166" s="128" customFormat="1" ht="90" customHeight="1" x14ac:dyDescent="0.65">
      <c r="A70" s="386" t="s">
        <v>42</v>
      </c>
      <c r="B70" s="139" t="s">
        <v>155</v>
      </c>
      <c r="C70" s="411" t="s">
        <v>210</v>
      </c>
      <c r="D70" s="411"/>
      <c r="E70" s="411"/>
      <c r="F70" s="411"/>
      <c r="G70" s="411"/>
      <c r="H70" s="411"/>
      <c r="I70" s="411"/>
      <c r="J70" s="411"/>
      <c r="K70" s="411"/>
      <c r="L70" s="411"/>
      <c r="M70" s="411"/>
      <c r="N70" s="411"/>
      <c r="O70" s="411"/>
      <c r="P70" s="411"/>
      <c r="Q70" s="411"/>
      <c r="R70" s="411"/>
      <c r="S70" s="411"/>
      <c r="T70" s="411"/>
      <c r="U70" s="411"/>
      <c r="V70" s="411"/>
      <c r="W70" s="411"/>
      <c r="X70" s="411"/>
      <c r="Y70" s="411"/>
      <c r="Z70" s="389">
        <f t="shared" ref="Z70:Z80" si="6">+EQ70*30</f>
        <v>180</v>
      </c>
      <c r="AA70" s="390"/>
      <c r="AB70" s="390"/>
      <c r="AC70" s="391"/>
      <c r="AD70" s="395"/>
      <c r="AE70" s="396"/>
      <c r="AF70" s="397"/>
      <c r="AG70" s="343">
        <f>SUM(AL70:BE71)</f>
        <v>72</v>
      </c>
      <c r="AH70" s="344"/>
      <c r="AI70" s="344"/>
      <c r="AJ70" s="344"/>
      <c r="AK70" s="345"/>
      <c r="AL70" s="372">
        <v>36</v>
      </c>
      <c r="AM70" s="373"/>
      <c r="AN70" s="373"/>
      <c r="AO70" s="373"/>
      <c r="AP70" s="374"/>
      <c r="AQ70" s="372">
        <v>36</v>
      </c>
      <c r="AR70" s="373"/>
      <c r="AS70" s="373"/>
      <c r="AT70" s="373"/>
      <c r="AU70" s="374"/>
      <c r="AV70" s="372"/>
      <c r="AW70" s="373"/>
      <c r="AX70" s="373"/>
      <c r="AY70" s="373"/>
      <c r="AZ70" s="374"/>
      <c r="BA70" s="372"/>
      <c r="BB70" s="373"/>
      <c r="BC70" s="373"/>
      <c r="BD70" s="373"/>
      <c r="BE70" s="374"/>
      <c r="BF70" s="372"/>
      <c r="BG70" s="373"/>
      <c r="BH70" s="373"/>
      <c r="BI70" s="373"/>
      <c r="BJ70" s="374"/>
      <c r="BK70" s="331">
        <f>Z70-AG70</f>
        <v>108</v>
      </c>
      <c r="BL70" s="332"/>
      <c r="BM70" s="332"/>
      <c r="BN70" s="332"/>
      <c r="BO70" s="378"/>
      <c r="BP70" s="357"/>
      <c r="BQ70" s="357"/>
      <c r="BR70" s="357"/>
      <c r="BS70" s="358"/>
      <c r="BT70" s="364"/>
      <c r="BU70" s="357"/>
      <c r="BV70" s="357"/>
      <c r="BW70" s="357"/>
      <c r="BX70" s="358"/>
      <c r="BY70" s="364"/>
      <c r="BZ70" s="357"/>
      <c r="CA70" s="357"/>
      <c r="CB70" s="357"/>
      <c r="CC70" s="358"/>
      <c r="CD70" s="364"/>
      <c r="CE70" s="357"/>
      <c r="CF70" s="357"/>
      <c r="CG70" s="357"/>
      <c r="CH70" s="358"/>
      <c r="CI70" s="364">
        <v>6</v>
      </c>
      <c r="CJ70" s="357"/>
      <c r="CK70" s="357"/>
      <c r="CL70" s="357"/>
      <c r="CM70" s="358"/>
      <c r="CN70" s="364"/>
      <c r="CO70" s="357"/>
      <c r="CP70" s="357"/>
      <c r="CQ70" s="357"/>
      <c r="CR70" s="358"/>
      <c r="CS70" s="364"/>
      <c r="CT70" s="357"/>
      <c r="CU70" s="357"/>
      <c r="CV70" s="357"/>
      <c r="CW70" s="358"/>
      <c r="CX70" s="364"/>
      <c r="CY70" s="357"/>
      <c r="CZ70" s="357"/>
      <c r="DA70" s="357"/>
      <c r="DB70" s="358"/>
      <c r="DC70" s="378"/>
      <c r="DD70" s="357"/>
      <c r="DE70" s="357"/>
      <c r="DF70" s="357"/>
      <c r="DG70" s="357"/>
      <c r="DH70" s="356"/>
      <c r="DI70" s="356"/>
      <c r="DJ70" s="356"/>
      <c r="DK70" s="356"/>
      <c r="DL70" s="356"/>
      <c r="DM70" s="356"/>
      <c r="DN70" s="356"/>
      <c r="DO70" s="356"/>
      <c r="DP70" s="356"/>
      <c r="DQ70" s="356"/>
      <c r="DR70" s="356"/>
      <c r="DS70" s="356"/>
      <c r="DT70" s="356"/>
      <c r="DU70" s="356"/>
      <c r="DV70" s="356"/>
      <c r="DW70" s="356">
        <v>6</v>
      </c>
      <c r="DX70" s="356"/>
      <c r="DY70" s="356"/>
      <c r="DZ70" s="356"/>
      <c r="EA70" s="356"/>
      <c r="EB70" s="356"/>
      <c r="EC70" s="356"/>
      <c r="ED70" s="356"/>
      <c r="EE70" s="356"/>
      <c r="EF70" s="356"/>
      <c r="EG70" s="356"/>
      <c r="EH70" s="356"/>
      <c r="EI70" s="356"/>
      <c r="EJ70" s="356"/>
      <c r="EK70" s="356"/>
      <c r="EL70" s="357"/>
      <c r="EM70" s="357"/>
      <c r="EN70" s="357"/>
      <c r="EO70" s="357"/>
      <c r="EP70" s="358"/>
      <c r="EQ70" s="380">
        <f>SUM(DC70:EP71)</f>
        <v>6</v>
      </c>
      <c r="ER70" s="381"/>
      <c r="ES70" s="382"/>
      <c r="ET70" s="265"/>
      <c r="EX70" s="233"/>
      <c r="EY70" s="234"/>
      <c r="EZ70" s="235"/>
      <c r="FC70" s="249"/>
      <c r="FD70" s="250"/>
      <c r="FE70" s="249"/>
      <c r="FF70" s="249"/>
      <c r="FG70" s="249"/>
      <c r="FH70" s="249"/>
      <c r="FI70" s="257"/>
      <c r="FJ70" s="257"/>
    </row>
    <row r="71" spans="1:166" s="128" customFormat="1" ht="90" customHeight="1" x14ac:dyDescent="0.65">
      <c r="A71" s="387"/>
      <c r="B71" s="139" t="s">
        <v>212</v>
      </c>
      <c r="C71" s="388" t="s">
        <v>211</v>
      </c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92"/>
      <c r="AA71" s="393"/>
      <c r="AB71" s="393"/>
      <c r="AC71" s="394"/>
      <c r="AD71" s="398"/>
      <c r="AE71" s="399"/>
      <c r="AF71" s="400"/>
      <c r="AG71" s="346"/>
      <c r="AH71" s="347"/>
      <c r="AI71" s="347"/>
      <c r="AJ71" s="347"/>
      <c r="AK71" s="348"/>
      <c r="AL71" s="375"/>
      <c r="AM71" s="376"/>
      <c r="AN71" s="376"/>
      <c r="AO71" s="376"/>
      <c r="AP71" s="377"/>
      <c r="AQ71" s="375"/>
      <c r="AR71" s="376"/>
      <c r="AS71" s="376"/>
      <c r="AT71" s="376"/>
      <c r="AU71" s="377"/>
      <c r="AV71" s="375"/>
      <c r="AW71" s="376"/>
      <c r="AX71" s="376"/>
      <c r="AY71" s="376"/>
      <c r="AZ71" s="377"/>
      <c r="BA71" s="375"/>
      <c r="BB71" s="376"/>
      <c r="BC71" s="376"/>
      <c r="BD71" s="376"/>
      <c r="BE71" s="377"/>
      <c r="BF71" s="375"/>
      <c r="BG71" s="376"/>
      <c r="BH71" s="376"/>
      <c r="BI71" s="376"/>
      <c r="BJ71" s="377"/>
      <c r="BK71" s="334"/>
      <c r="BL71" s="335"/>
      <c r="BM71" s="335"/>
      <c r="BN71" s="335"/>
      <c r="BO71" s="379"/>
      <c r="BP71" s="359"/>
      <c r="BQ71" s="359"/>
      <c r="BR71" s="359"/>
      <c r="BS71" s="360"/>
      <c r="BT71" s="365"/>
      <c r="BU71" s="359"/>
      <c r="BV71" s="359"/>
      <c r="BW71" s="359"/>
      <c r="BX71" s="360"/>
      <c r="BY71" s="365"/>
      <c r="BZ71" s="359"/>
      <c r="CA71" s="359"/>
      <c r="CB71" s="359"/>
      <c r="CC71" s="360"/>
      <c r="CD71" s="365"/>
      <c r="CE71" s="359"/>
      <c r="CF71" s="359"/>
      <c r="CG71" s="359"/>
      <c r="CH71" s="360"/>
      <c r="CI71" s="365"/>
      <c r="CJ71" s="359"/>
      <c r="CK71" s="359"/>
      <c r="CL71" s="359"/>
      <c r="CM71" s="360"/>
      <c r="CN71" s="365"/>
      <c r="CO71" s="359"/>
      <c r="CP71" s="359"/>
      <c r="CQ71" s="359"/>
      <c r="CR71" s="360"/>
      <c r="CS71" s="365"/>
      <c r="CT71" s="359"/>
      <c r="CU71" s="359"/>
      <c r="CV71" s="359"/>
      <c r="CW71" s="360"/>
      <c r="CX71" s="365"/>
      <c r="CY71" s="359"/>
      <c r="CZ71" s="359"/>
      <c r="DA71" s="359"/>
      <c r="DB71" s="360"/>
      <c r="DC71" s="379"/>
      <c r="DD71" s="359"/>
      <c r="DE71" s="359"/>
      <c r="DF71" s="359"/>
      <c r="DG71" s="359"/>
      <c r="DH71" s="356"/>
      <c r="DI71" s="356"/>
      <c r="DJ71" s="356"/>
      <c r="DK71" s="356"/>
      <c r="DL71" s="356"/>
      <c r="DM71" s="356"/>
      <c r="DN71" s="356"/>
      <c r="DO71" s="356"/>
      <c r="DP71" s="356"/>
      <c r="DQ71" s="356"/>
      <c r="DR71" s="356"/>
      <c r="DS71" s="356"/>
      <c r="DT71" s="356"/>
      <c r="DU71" s="356"/>
      <c r="DV71" s="356"/>
      <c r="DW71" s="356"/>
      <c r="DX71" s="356"/>
      <c r="DY71" s="356"/>
      <c r="DZ71" s="356"/>
      <c r="EA71" s="356"/>
      <c r="EB71" s="356"/>
      <c r="EC71" s="356"/>
      <c r="ED71" s="356"/>
      <c r="EE71" s="356"/>
      <c r="EF71" s="356"/>
      <c r="EG71" s="356"/>
      <c r="EH71" s="356"/>
      <c r="EI71" s="356"/>
      <c r="EJ71" s="356"/>
      <c r="EK71" s="356"/>
      <c r="EL71" s="359"/>
      <c r="EM71" s="359"/>
      <c r="EN71" s="359"/>
      <c r="EO71" s="359"/>
      <c r="EP71" s="360"/>
      <c r="EQ71" s="383"/>
      <c r="ER71" s="384"/>
      <c r="ES71" s="385"/>
      <c r="ET71" s="265"/>
      <c r="EX71" s="230"/>
      <c r="EY71" s="231"/>
      <c r="EZ71" s="232"/>
      <c r="FC71" s="249"/>
      <c r="FD71" s="250"/>
      <c r="FE71" s="249"/>
      <c r="FF71" s="249"/>
      <c r="FG71" s="249"/>
      <c r="FH71" s="249"/>
      <c r="FI71" s="257"/>
      <c r="FJ71" s="257"/>
    </row>
    <row r="72" spans="1:166" s="128" customFormat="1" ht="90" customHeight="1" x14ac:dyDescent="0.65">
      <c r="A72" s="386" t="s">
        <v>43</v>
      </c>
      <c r="B72" s="139" t="s">
        <v>215</v>
      </c>
      <c r="C72" s="411" t="s">
        <v>213</v>
      </c>
      <c r="D72" s="411"/>
      <c r="E72" s="411"/>
      <c r="F72" s="411"/>
      <c r="G72" s="411"/>
      <c r="H72" s="411"/>
      <c r="I72" s="411"/>
      <c r="J72" s="411"/>
      <c r="K72" s="411"/>
      <c r="L72" s="411"/>
      <c r="M72" s="411"/>
      <c r="N72" s="411"/>
      <c r="O72" s="411"/>
      <c r="P72" s="411"/>
      <c r="Q72" s="411"/>
      <c r="R72" s="411"/>
      <c r="S72" s="411"/>
      <c r="T72" s="411"/>
      <c r="U72" s="411"/>
      <c r="V72" s="411"/>
      <c r="W72" s="411"/>
      <c r="X72" s="411"/>
      <c r="Y72" s="411"/>
      <c r="Z72" s="389">
        <f t="shared" si="6"/>
        <v>150</v>
      </c>
      <c r="AA72" s="390"/>
      <c r="AB72" s="390"/>
      <c r="AC72" s="391"/>
      <c r="AD72" s="395"/>
      <c r="AE72" s="396"/>
      <c r="AF72" s="397"/>
      <c r="AG72" s="343">
        <f>SUM(AL72:BE73)</f>
        <v>60</v>
      </c>
      <c r="AH72" s="344"/>
      <c r="AI72" s="344"/>
      <c r="AJ72" s="344"/>
      <c r="AK72" s="345"/>
      <c r="AL72" s="372">
        <v>30</v>
      </c>
      <c r="AM72" s="373"/>
      <c r="AN72" s="373"/>
      <c r="AO72" s="373"/>
      <c r="AP72" s="374"/>
      <c r="AQ72" s="372">
        <v>30</v>
      </c>
      <c r="AR72" s="373"/>
      <c r="AS72" s="373"/>
      <c r="AT72" s="373"/>
      <c r="AU72" s="374"/>
      <c r="AV72" s="372"/>
      <c r="AW72" s="373"/>
      <c r="AX72" s="373"/>
      <c r="AY72" s="373"/>
      <c r="AZ72" s="374"/>
      <c r="BA72" s="372"/>
      <c r="BB72" s="373"/>
      <c r="BC72" s="373"/>
      <c r="BD72" s="373"/>
      <c r="BE72" s="374"/>
      <c r="BF72" s="372"/>
      <c r="BG72" s="373"/>
      <c r="BH72" s="373"/>
      <c r="BI72" s="373"/>
      <c r="BJ72" s="374"/>
      <c r="BK72" s="331">
        <f>Z72-AG72</f>
        <v>90</v>
      </c>
      <c r="BL72" s="332"/>
      <c r="BM72" s="332"/>
      <c r="BN72" s="332"/>
      <c r="BO72" s="378"/>
      <c r="BP72" s="357"/>
      <c r="BQ72" s="357"/>
      <c r="BR72" s="357"/>
      <c r="BS72" s="358"/>
      <c r="BT72" s="364"/>
      <c r="BU72" s="357"/>
      <c r="BV72" s="357"/>
      <c r="BW72" s="357"/>
      <c r="BX72" s="358"/>
      <c r="BY72" s="364"/>
      <c r="BZ72" s="357"/>
      <c r="CA72" s="357"/>
      <c r="CB72" s="357"/>
      <c r="CC72" s="358"/>
      <c r="CD72" s="364"/>
      <c r="CE72" s="357"/>
      <c r="CF72" s="357"/>
      <c r="CG72" s="357"/>
      <c r="CH72" s="358"/>
      <c r="CI72" s="364">
        <v>4</v>
      </c>
      <c r="CJ72" s="357"/>
      <c r="CK72" s="357"/>
      <c r="CL72" s="357"/>
      <c r="CM72" s="358"/>
      <c r="CN72" s="364"/>
      <c r="CO72" s="357"/>
      <c r="CP72" s="357"/>
      <c r="CQ72" s="357"/>
      <c r="CR72" s="358"/>
      <c r="CS72" s="364"/>
      <c r="CT72" s="357"/>
      <c r="CU72" s="357"/>
      <c r="CV72" s="357"/>
      <c r="CW72" s="358"/>
      <c r="CX72" s="364"/>
      <c r="CY72" s="357"/>
      <c r="CZ72" s="357"/>
      <c r="DA72" s="357"/>
      <c r="DB72" s="358"/>
      <c r="DC72" s="378"/>
      <c r="DD72" s="357"/>
      <c r="DE72" s="357"/>
      <c r="DF72" s="357"/>
      <c r="DG72" s="357"/>
      <c r="DH72" s="356"/>
      <c r="DI72" s="356"/>
      <c r="DJ72" s="356"/>
      <c r="DK72" s="356"/>
      <c r="DL72" s="356"/>
      <c r="DM72" s="356"/>
      <c r="DN72" s="356"/>
      <c r="DO72" s="356"/>
      <c r="DP72" s="356"/>
      <c r="DQ72" s="356"/>
      <c r="DR72" s="356"/>
      <c r="DS72" s="356"/>
      <c r="DT72" s="356"/>
      <c r="DU72" s="356"/>
      <c r="DV72" s="356"/>
      <c r="DW72" s="356">
        <v>5</v>
      </c>
      <c r="DX72" s="356"/>
      <c r="DY72" s="356"/>
      <c r="DZ72" s="356"/>
      <c r="EA72" s="356"/>
      <c r="EB72" s="356"/>
      <c r="EC72" s="356"/>
      <c r="ED72" s="356"/>
      <c r="EE72" s="356"/>
      <c r="EF72" s="356"/>
      <c r="EG72" s="356"/>
      <c r="EH72" s="356"/>
      <c r="EI72" s="356"/>
      <c r="EJ72" s="356"/>
      <c r="EK72" s="356"/>
      <c r="EL72" s="357"/>
      <c r="EM72" s="357"/>
      <c r="EN72" s="357"/>
      <c r="EO72" s="357"/>
      <c r="EP72" s="358"/>
      <c r="EQ72" s="380">
        <f>SUM(DC72:EP73)</f>
        <v>5</v>
      </c>
      <c r="ER72" s="381"/>
      <c r="ES72" s="382"/>
      <c r="ET72" s="262" t="s">
        <v>299</v>
      </c>
      <c r="EX72" s="230"/>
      <c r="EY72" s="231"/>
      <c r="EZ72" s="232"/>
      <c r="FC72" s="249"/>
      <c r="FD72" s="250"/>
      <c r="FE72" s="249"/>
      <c r="FF72" s="249"/>
      <c r="FG72" s="249"/>
      <c r="FH72" s="249"/>
      <c r="FI72" s="257"/>
      <c r="FJ72" s="257"/>
    </row>
    <row r="73" spans="1:166" s="128" customFormat="1" ht="90" customHeight="1" x14ac:dyDescent="0.65">
      <c r="A73" s="387"/>
      <c r="B73" s="139" t="s">
        <v>216</v>
      </c>
      <c r="C73" s="388" t="s">
        <v>214</v>
      </c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92"/>
      <c r="AA73" s="393"/>
      <c r="AB73" s="393"/>
      <c r="AC73" s="394"/>
      <c r="AD73" s="398"/>
      <c r="AE73" s="399"/>
      <c r="AF73" s="400"/>
      <c r="AG73" s="346"/>
      <c r="AH73" s="347"/>
      <c r="AI73" s="347"/>
      <c r="AJ73" s="347"/>
      <c r="AK73" s="348"/>
      <c r="AL73" s="375"/>
      <c r="AM73" s="376"/>
      <c r="AN73" s="376"/>
      <c r="AO73" s="376"/>
      <c r="AP73" s="377"/>
      <c r="AQ73" s="375"/>
      <c r="AR73" s="376"/>
      <c r="AS73" s="376"/>
      <c r="AT73" s="376"/>
      <c r="AU73" s="377"/>
      <c r="AV73" s="375"/>
      <c r="AW73" s="376"/>
      <c r="AX73" s="376"/>
      <c r="AY73" s="376"/>
      <c r="AZ73" s="377"/>
      <c r="BA73" s="375"/>
      <c r="BB73" s="376"/>
      <c r="BC73" s="376"/>
      <c r="BD73" s="376"/>
      <c r="BE73" s="377"/>
      <c r="BF73" s="375"/>
      <c r="BG73" s="376"/>
      <c r="BH73" s="376"/>
      <c r="BI73" s="376"/>
      <c r="BJ73" s="377"/>
      <c r="BK73" s="334"/>
      <c r="BL73" s="335"/>
      <c r="BM73" s="335"/>
      <c r="BN73" s="335"/>
      <c r="BO73" s="379"/>
      <c r="BP73" s="359"/>
      <c r="BQ73" s="359"/>
      <c r="BR73" s="359"/>
      <c r="BS73" s="360"/>
      <c r="BT73" s="365"/>
      <c r="BU73" s="359"/>
      <c r="BV73" s="359"/>
      <c r="BW73" s="359"/>
      <c r="BX73" s="360"/>
      <c r="BY73" s="365"/>
      <c r="BZ73" s="359"/>
      <c r="CA73" s="359"/>
      <c r="CB73" s="359"/>
      <c r="CC73" s="360"/>
      <c r="CD73" s="365"/>
      <c r="CE73" s="359"/>
      <c r="CF73" s="359"/>
      <c r="CG73" s="359"/>
      <c r="CH73" s="360"/>
      <c r="CI73" s="365"/>
      <c r="CJ73" s="359"/>
      <c r="CK73" s="359"/>
      <c r="CL73" s="359"/>
      <c r="CM73" s="360"/>
      <c r="CN73" s="365"/>
      <c r="CO73" s="359"/>
      <c r="CP73" s="359"/>
      <c r="CQ73" s="359"/>
      <c r="CR73" s="360"/>
      <c r="CS73" s="365"/>
      <c r="CT73" s="359"/>
      <c r="CU73" s="359"/>
      <c r="CV73" s="359"/>
      <c r="CW73" s="360"/>
      <c r="CX73" s="365"/>
      <c r="CY73" s="359"/>
      <c r="CZ73" s="359"/>
      <c r="DA73" s="359"/>
      <c r="DB73" s="360"/>
      <c r="DC73" s="379"/>
      <c r="DD73" s="359"/>
      <c r="DE73" s="359"/>
      <c r="DF73" s="359"/>
      <c r="DG73" s="359"/>
      <c r="DH73" s="356"/>
      <c r="DI73" s="356"/>
      <c r="DJ73" s="356"/>
      <c r="DK73" s="356"/>
      <c r="DL73" s="356"/>
      <c r="DM73" s="356"/>
      <c r="DN73" s="356"/>
      <c r="DO73" s="356"/>
      <c r="DP73" s="356"/>
      <c r="DQ73" s="356"/>
      <c r="DR73" s="356"/>
      <c r="DS73" s="356"/>
      <c r="DT73" s="356"/>
      <c r="DU73" s="356"/>
      <c r="DV73" s="356"/>
      <c r="DW73" s="356"/>
      <c r="DX73" s="356"/>
      <c r="DY73" s="356"/>
      <c r="DZ73" s="356"/>
      <c r="EA73" s="356"/>
      <c r="EB73" s="356"/>
      <c r="EC73" s="356"/>
      <c r="ED73" s="356"/>
      <c r="EE73" s="356"/>
      <c r="EF73" s="356"/>
      <c r="EG73" s="356"/>
      <c r="EH73" s="356"/>
      <c r="EI73" s="356"/>
      <c r="EJ73" s="356"/>
      <c r="EK73" s="356"/>
      <c r="EL73" s="359"/>
      <c r="EM73" s="359"/>
      <c r="EN73" s="359"/>
      <c r="EO73" s="359"/>
      <c r="EP73" s="360"/>
      <c r="EQ73" s="383"/>
      <c r="ER73" s="384"/>
      <c r="ES73" s="385"/>
      <c r="ET73" s="265"/>
      <c r="EX73" s="230"/>
      <c r="EY73" s="231"/>
      <c r="EZ73" s="232"/>
      <c r="FC73" s="249"/>
      <c r="FD73" s="250"/>
      <c r="FE73" s="249"/>
      <c r="FF73" s="249"/>
      <c r="FG73" s="249"/>
      <c r="FH73" s="249"/>
      <c r="FI73" s="257"/>
      <c r="FJ73" s="257"/>
    </row>
    <row r="74" spans="1:166" s="57" customFormat="1" ht="90" customHeight="1" x14ac:dyDescent="0.65">
      <c r="A74" s="329" t="s">
        <v>44</v>
      </c>
      <c r="B74" s="138" t="s">
        <v>217</v>
      </c>
      <c r="C74" s="349" t="s">
        <v>128</v>
      </c>
      <c r="D74" s="349"/>
      <c r="E74" s="349"/>
      <c r="F74" s="349"/>
      <c r="G74" s="349"/>
      <c r="H74" s="349"/>
      <c r="I74" s="349"/>
      <c r="J74" s="349"/>
      <c r="K74" s="349"/>
      <c r="L74" s="349"/>
      <c r="M74" s="349"/>
      <c r="N74" s="349"/>
      <c r="O74" s="349"/>
      <c r="P74" s="349"/>
      <c r="Q74" s="349"/>
      <c r="R74" s="349"/>
      <c r="S74" s="349"/>
      <c r="T74" s="349"/>
      <c r="U74" s="349"/>
      <c r="V74" s="349"/>
      <c r="W74" s="349"/>
      <c r="X74" s="349"/>
      <c r="Y74" s="349"/>
      <c r="Z74" s="331">
        <f>+EQ74*30</f>
        <v>240</v>
      </c>
      <c r="AA74" s="332"/>
      <c r="AB74" s="332"/>
      <c r="AC74" s="333"/>
      <c r="AD74" s="337"/>
      <c r="AE74" s="338"/>
      <c r="AF74" s="339"/>
      <c r="AG74" s="343">
        <f>SUM(AL74:BE75)</f>
        <v>96</v>
      </c>
      <c r="AH74" s="344"/>
      <c r="AI74" s="344"/>
      <c r="AJ74" s="344"/>
      <c r="AK74" s="345"/>
      <c r="AL74" s="343">
        <v>48</v>
      </c>
      <c r="AM74" s="344"/>
      <c r="AN74" s="344"/>
      <c r="AO74" s="344"/>
      <c r="AP74" s="345"/>
      <c r="AQ74" s="343">
        <v>48</v>
      </c>
      <c r="AR74" s="344"/>
      <c r="AS74" s="344"/>
      <c r="AT74" s="344"/>
      <c r="AU74" s="345"/>
      <c r="AV74" s="343"/>
      <c r="AW74" s="344"/>
      <c r="AX74" s="344"/>
      <c r="AY74" s="344"/>
      <c r="AZ74" s="345"/>
      <c r="BA74" s="343"/>
      <c r="BB74" s="344"/>
      <c r="BC74" s="344"/>
      <c r="BD74" s="344"/>
      <c r="BE74" s="345"/>
      <c r="BF74" s="343"/>
      <c r="BG74" s="344"/>
      <c r="BH74" s="344"/>
      <c r="BI74" s="344"/>
      <c r="BJ74" s="345"/>
      <c r="BK74" s="331">
        <f>Z74-AG74</f>
        <v>144</v>
      </c>
      <c r="BL74" s="332"/>
      <c r="BM74" s="332"/>
      <c r="BN74" s="332"/>
      <c r="BO74" s="352"/>
      <c r="BP74" s="319"/>
      <c r="BQ74" s="319"/>
      <c r="BR74" s="319"/>
      <c r="BS74" s="320"/>
      <c r="BT74" s="350"/>
      <c r="BU74" s="319"/>
      <c r="BV74" s="319"/>
      <c r="BW74" s="319"/>
      <c r="BX74" s="320"/>
      <c r="BY74" s="350"/>
      <c r="BZ74" s="319"/>
      <c r="CA74" s="319"/>
      <c r="CB74" s="319"/>
      <c r="CC74" s="320"/>
      <c r="CD74" s="350"/>
      <c r="CE74" s="319"/>
      <c r="CF74" s="319"/>
      <c r="CG74" s="319"/>
      <c r="CH74" s="320"/>
      <c r="CI74" s="350"/>
      <c r="CJ74" s="319"/>
      <c r="CK74" s="319"/>
      <c r="CL74" s="319"/>
      <c r="CM74" s="320"/>
      <c r="CN74" s="350"/>
      <c r="CO74" s="319"/>
      <c r="CP74" s="319"/>
      <c r="CQ74" s="319"/>
      <c r="CR74" s="320"/>
      <c r="CS74" s="350">
        <v>4</v>
      </c>
      <c r="CT74" s="319"/>
      <c r="CU74" s="319"/>
      <c r="CV74" s="319"/>
      <c r="CW74" s="320"/>
      <c r="CX74" s="350">
        <v>4</v>
      </c>
      <c r="CY74" s="319"/>
      <c r="CZ74" s="319"/>
      <c r="DA74" s="319"/>
      <c r="DB74" s="320"/>
      <c r="DC74" s="352"/>
      <c r="DD74" s="319"/>
      <c r="DE74" s="319"/>
      <c r="DF74" s="319"/>
      <c r="DG74" s="319"/>
      <c r="DH74" s="355"/>
      <c r="DI74" s="355"/>
      <c r="DJ74" s="355"/>
      <c r="DK74" s="355"/>
      <c r="DL74" s="355"/>
      <c r="DM74" s="355"/>
      <c r="DN74" s="355"/>
      <c r="DO74" s="355"/>
      <c r="DP74" s="355"/>
      <c r="DQ74" s="355"/>
      <c r="DR74" s="355"/>
      <c r="DS74" s="355"/>
      <c r="DT74" s="355"/>
      <c r="DU74" s="355"/>
      <c r="DV74" s="355"/>
      <c r="DW74" s="355"/>
      <c r="DX74" s="355"/>
      <c r="DY74" s="355"/>
      <c r="DZ74" s="355"/>
      <c r="EA74" s="355"/>
      <c r="EB74" s="355"/>
      <c r="EC74" s="355"/>
      <c r="ED74" s="355"/>
      <c r="EE74" s="355"/>
      <c r="EF74" s="355"/>
      <c r="EG74" s="355">
        <v>4</v>
      </c>
      <c r="EH74" s="355"/>
      <c r="EI74" s="355"/>
      <c r="EJ74" s="355"/>
      <c r="EK74" s="355"/>
      <c r="EL74" s="319">
        <v>4</v>
      </c>
      <c r="EM74" s="319"/>
      <c r="EN74" s="319"/>
      <c r="EO74" s="319"/>
      <c r="EP74" s="320"/>
      <c r="EQ74" s="323">
        <f>SUM(DC74:EP75)</f>
        <v>8</v>
      </c>
      <c r="ER74" s="324"/>
      <c r="ES74" s="325"/>
      <c r="ET74" s="263"/>
      <c r="EX74" s="230"/>
      <c r="EY74" s="231"/>
      <c r="EZ74" s="232"/>
      <c r="FC74" s="251"/>
      <c r="FD74" s="252"/>
      <c r="FE74" s="251"/>
      <c r="FF74" s="251"/>
      <c r="FG74" s="251"/>
      <c r="FH74" s="251"/>
      <c r="FI74" s="258"/>
      <c r="FJ74" s="258"/>
    </row>
    <row r="75" spans="1:166" s="57" customFormat="1" ht="90" customHeight="1" x14ac:dyDescent="0.65">
      <c r="A75" s="330"/>
      <c r="B75" s="138" t="s">
        <v>150</v>
      </c>
      <c r="C75" s="349" t="s">
        <v>120</v>
      </c>
      <c r="D75" s="349"/>
      <c r="E75" s="349"/>
      <c r="F75" s="349"/>
      <c r="G75" s="349"/>
      <c r="H75" s="349"/>
      <c r="I75" s="349"/>
      <c r="J75" s="349"/>
      <c r="K75" s="349"/>
      <c r="L75" s="349"/>
      <c r="M75" s="349"/>
      <c r="N75" s="349"/>
      <c r="O75" s="349"/>
      <c r="P75" s="349"/>
      <c r="Q75" s="349"/>
      <c r="R75" s="349"/>
      <c r="S75" s="349"/>
      <c r="T75" s="349"/>
      <c r="U75" s="349"/>
      <c r="V75" s="349"/>
      <c r="W75" s="349"/>
      <c r="X75" s="349"/>
      <c r="Y75" s="349"/>
      <c r="Z75" s="334"/>
      <c r="AA75" s="335"/>
      <c r="AB75" s="335"/>
      <c r="AC75" s="336"/>
      <c r="AD75" s="340"/>
      <c r="AE75" s="341"/>
      <c r="AF75" s="342"/>
      <c r="AG75" s="346"/>
      <c r="AH75" s="347"/>
      <c r="AI75" s="347"/>
      <c r="AJ75" s="347"/>
      <c r="AK75" s="348"/>
      <c r="AL75" s="346"/>
      <c r="AM75" s="347"/>
      <c r="AN75" s="347"/>
      <c r="AO75" s="347"/>
      <c r="AP75" s="348"/>
      <c r="AQ75" s="346"/>
      <c r="AR75" s="347"/>
      <c r="AS75" s="347"/>
      <c r="AT75" s="347"/>
      <c r="AU75" s="348"/>
      <c r="AV75" s="346"/>
      <c r="AW75" s="347"/>
      <c r="AX75" s="347"/>
      <c r="AY75" s="347"/>
      <c r="AZ75" s="348"/>
      <c r="BA75" s="346"/>
      <c r="BB75" s="347"/>
      <c r="BC75" s="347"/>
      <c r="BD75" s="347"/>
      <c r="BE75" s="348"/>
      <c r="BF75" s="346"/>
      <c r="BG75" s="347"/>
      <c r="BH75" s="347"/>
      <c r="BI75" s="347"/>
      <c r="BJ75" s="348"/>
      <c r="BK75" s="334"/>
      <c r="BL75" s="335"/>
      <c r="BM75" s="335"/>
      <c r="BN75" s="335"/>
      <c r="BO75" s="353"/>
      <c r="BP75" s="321"/>
      <c r="BQ75" s="321"/>
      <c r="BR75" s="321"/>
      <c r="BS75" s="322"/>
      <c r="BT75" s="351"/>
      <c r="BU75" s="321"/>
      <c r="BV75" s="321"/>
      <c r="BW75" s="321"/>
      <c r="BX75" s="322"/>
      <c r="BY75" s="351"/>
      <c r="BZ75" s="321"/>
      <c r="CA75" s="321"/>
      <c r="CB75" s="321"/>
      <c r="CC75" s="322"/>
      <c r="CD75" s="351"/>
      <c r="CE75" s="321"/>
      <c r="CF75" s="321"/>
      <c r="CG75" s="321"/>
      <c r="CH75" s="322"/>
      <c r="CI75" s="351"/>
      <c r="CJ75" s="321"/>
      <c r="CK75" s="321"/>
      <c r="CL75" s="321"/>
      <c r="CM75" s="322"/>
      <c r="CN75" s="351"/>
      <c r="CO75" s="321"/>
      <c r="CP75" s="321"/>
      <c r="CQ75" s="321"/>
      <c r="CR75" s="322"/>
      <c r="CS75" s="351"/>
      <c r="CT75" s="321"/>
      <c r="CU75" s="321"/>
      <c r="CV75" s="321"/>
      <c r="CW75" s="322"/>
      <c r="CX75" s="351"/>
      <c r="CY75" s="321"/>
      <c r="CZ75" s="321"/>
      <c r="DA75" s="321"/>
      <c r="DB75" s="322"/>
      <c r="DC75" s="353"/>
      <c r="DD75" s="321"/>
      <c r="DE75" s="321"/>
      <c r="DF75" s="321"/>
      <c r="DG75" s="321"/>
      <c r="DH75" s="355"/>
      <c r="DI75" s="355"/>
      <c r="DJ75" s="355"/>
      <c r="DK75" s="355"/>
      <c r="DL75" s="355"/>
      <c r="DM75" s="355"/>
      <c r="DN75" s="355"/>
      <c r="DO75" s="355"/>
      <c r="DP75" s="355"/>
      <c r="DQ75" s="355"/>
      <c r="DR75" s="355"/>
      <c r="DS75" s="355"/>
      <c r="DT75" s="355"/>
      <c r="DU75" s="355"/>
      <c r="DV75" s="355"/>
      <c r="DW75" s="355"/>
      <c r="DX75" s="355"/>
      <c r="DY75" s="355"/>
      <c r="DZ75" s="355"/>
      <c r="EA75" s="355"/>
      <c r="EB75" s="355"/>
      <c r="EC75" s="355"/>
      <c r="ED75" s="355"/>
      <c r="EE75" s="355"/>
      <c r="EF75" s="355"/>
      <c r="EG75" s="355"/>
      <c r="EH75" s="355"/>
      <c r="EI75" s="355"/>
      <c r="EJ75" s="355"/>
      <c r="EK75" s="355"/>
      <c r="EL75" s="321"/>
      <c r="EM75" s="321"/>
      <c r="EN75" s="321"/>
      <c r="EO75" s="321"/>
      <c r="EP75" s="322"/>
      <c r="EQ75" s="326"/>
      <c r="ER75" s="327"/>
      <c r="ES75" s="328"/>
      <c r="ET75" s="263"/>
      <c r="EX75" s="230"/>
      <c r="EY75" s="231"/>
      <c r="EZ75" s="232"/>
      <c r="FC75" s="251"/>
      <c r="FD75" s="252"/>
      <c r="FE75" s="251"/>
      <c r="FF75" s="251"/>
      <c r="FG75" s="251"/>
      <c r="FH75" s="251"/>
      <c r="FI75" s="258"/>
      <c r="FJ75" s="258"/>
    </row>
    <row r="76" spans="1:166" s="57" customFormat="1" ht="90" customHeight="1" x14ac:dyDescent="0.65">
      <c r="A76" s="329" t="s">
        <v>45</v>
      </c>
      <c r="B76" s="138" t="s">
        <v>151</v>
      </c>
      <c r="C76" s="349" t="s">
        <v>218</v>
      </c>
      <c r="D76" s="349"/>
      <c r="E76" s="349"/>
      <c r="F76" s="349"/>
      <c r="G76" s="349"/>
      <c r="H76" s="349"/>
      <c r="I76" s="349"/>
      <c r="J76" s="349"/>
      <c r="K76" s="349"/>
      <c r="L76" s="349"/>
      <c r="M76" s="349"/>
      <c r="N76" s="349"/>
      <c r="O76" s="349"/>
      <c r="P76" s="349"/>
      <c r="Q76" s="349"/>
      <c r="R76" s="349"/>
      <c r="S76" s="349"/>
      <c r="T76" s="349"/>
      <c r="U76" s="349"/>
      <c r="V76" s="349"/>
      <c r="W76" s="349"/>
      <c r="X76" s="349"/>
      <c r="Y76" s="349"/>
      <c r="Z76" s="331">
        <f t="shared" si="6"/>
        <v>120</v>
      </c>
      <c r="AA76" s="332"/>
      <c r="AB76" s="332"/>
      <c r="AC76" s="333"/>
      <c r="AD76" s="337"/>
      <c r="AE76" s="338"/>
      <c r="AF76" s="339"/>
      <c r="AG76" s="343">
        <f>SUM(AL76:BE77)</f>
        <v>48</v>
      </c>
      <c r="AH76" s="344"/>
      <c r="AI76" s="344"/>
      <c r="AJ76" s="344"/>
      <c r="AK76" s="345"/>
      <c r="AL76" s="343">
        <v>24</v>
      </c>
      <c r="AM76" s="344"/>
      <c r="AN76" s="344"/>
      <c r="AO76" s="344"/>
      <c r="AP76" s="345"/>
      <c r="AQ76" s="343">
        <v>24</v>
      </c>
      <c r="AR76" s="344"/>
      <c r="AS76" s="344"/>
      <c r="AT76" s="344"/>
      <c r="AU76" s="345"/>
      <c r="AV76" s="343"/>
      <c r="AW76" s="344"/>
      <c r="AX76" s="344"/>
      <c r="AY76" s="344"/>
      <c r="AZ76" s="345"/>
      <c r="BA76" s="343"/>
      <c r="BB76" s="344"/>
      <c r="BC76" s="344"/>
      <c r="BD76" s="344"/>
      <c r="BE76" s="345"/>
      <c r="BF76" s="343"/>
      <c r="BG76" s="344"/>
      <c r="BH76" s="344"/>
      <c r="BI76" s="344"/>
      <c r="BJ76" s="345"/>
      <c r="BK76" s="331">
        <f>Z76-AG76</f>
        <v>72</v>
      </c>
      <c r="BL76" s="332"/>
      <c r="BM76" s="332"/>
      <c r="BN76" s="332"/>
      <c r="BO76" s="352"/>
      <c r="BP76" s="319"/>
      <c r="BQ76" s="319"/>
      <c r="BR76" s="319"/>
      <c r="BS76" s="320"/>
      <c r="BT76" s="350"/>
      <c r="BU76" s="319"/>
      <c r="BV76" s="319"/>
      <c r="BW76" s="319"/>
      <c r="BX76" s="320"/>
      <c r="BY76" s="350"/>
      <c r="BZ76" s="319"/>
      <c r="CA76" s="319"/>
      <c r="CB76" s="319"/>
      <c r="CC76" s="320"/>
      <c r="CD76" s="350"/>
      <c r="CE76" s="319"/>
      <c r="CF76" s="319"/>
      <c r="CG76" s="319"/>
      <c r="CH76" s="320"/>
      <c r="CI76" s="350"/>
      <c r="CJ76" s="319"/>
      <c r="CK76" s="319"/>
      <c r="CL76" s="319"/>
      <c r="CM76" s="320"/>
      <c r="CN76" s="350"/>
      <c r="CO76" s="319"/>
      <c r="CP76" s="319"/>
      <c r="CQ76" s="319"/>
      <c r="CR76" s="320"/>
      <c r="CS76" s="350">
        <v>4</v>
      </c>
      <c r="CT76" s="319"/>
      <c r="CU76" s="319"/>
      <c r="CV76" s="319"/>
      <c r="CW76" s="320"/>
      <c r="CX76" s="350"/>
      <c r="CY76" s="319"/>
      <c r="CZ76" s="319"/>
      <c r="DA76" s="319"/>
      <c r="DB76" s="320"/>
      <c r="DC76" s="352"/>
      <c r="DD76" s="319"/>
      <c r="DE76" s="319"/>
      <c r="DF76" s="319"/>
      <c r="DG76" s="319"/>
      <c r="DH76" s="355"/>
      <c r="DI76" s="355"/>
      <c r="DJ76" s="355"/>
      <c r="DK76" s="355"/>
      <c r="DL76" s="355"/>
      <c r="DM76" s="355"/>
      <c r="DN76" s="355"/>
      <c r="DO76" s="355"/>
      <c r="DP76" s="355"/>
      <c r="DQ76" s="355"/>
      <c r="DR76" s="355"/>
      <c r="DS76" s="355"/>
      <c r="DT76" s="355"/>
      <c r="DU76" s="355"/>
      <c r="DV76" s="355"/>
      <c r="DW76" s="355"/>
      <c r="DX76" s="355"/>
      <c r="DY76" s="355"/>
      <c r="DZ76" s="355"/>
      <c r="EA76" s="355"/>
      <c r="EB76" s="355"/>
      <c r="EC76" s="355"/>
      <c r="ED76" s="355"/>
      <c r="EE76" s="355"/>
      <c r="EF76" s="355"/>
      <c r="EG76" s="355">
        <v>4</v>
      </c>
      <c r="EH76" s="355"/>
      <c r="EI76" s="355"/>
      <c r="EJ76" s="355"/>
      <c r="EK76" s="355"/>
      <c r="EL76" s="319"/>
      <c r="EM76" s="319"/>
      <c r="EN76" s="319"/>
      <c r="EO76" s="319"/>
      <c r="EP76" s="320"/>
      <c r="EQ76" s="323">
        <f>SUM(DC76:EP77)</f>
        <v>4</v>
      </c>
      <c r="ER76" s="324"/>
      <c r="ES76" s="325"/>
      <c r="ET76" s="263"/>
      <c r="EX76" s="230"/>
      <c r="EY76" s="231"/>
      <c r="EZ76" s="232"/>
      <c r="FC76" s="251"/>
      <c r="FD76" s="252"/>
      <c r="FE76" s="251"/>
      <c r="FF76" s="251"/>
      <c r="FG76" s="251"/>
      <c r="FH76" s="251"/>
      <c r="FI76" s="258"/>
      <c r="FJ76" s="258"/>
    </row>
    <row r="77" spans="1:166" s="57" customFormat="1" ht="90" customHeight="1" x14ac:dyDescent="0.65">
      <c r="A77" s="330"/>
      <c r="B77" s="138" t="s">
        <v>220</v>
      </c>
      <c r="C77" s="349" t="s">
        <v>219</v>
      </c>
      <c r="D77" s="349"/>
      <c r="E77" s="349"/>
      <c r="F77" s="349"/>
      <c r="G77" s="349"/>
      <c r="H77" s="349"/>
      <c r="I77" s="349"/>
      <c r="J77" s="349"/>
      <c r="K77" s="349"/>
      <c r="L77" s="349"/>
      <c r="M77" s="349"/>
      <c r="N77" s="349"/>
      <c r="O77" s="349"/>
      <c r="P77" s="349"/>
      <c r="Q77" s="349"/>
      <c r="R77" s="349"/>
      <c r="S77" s="349"/>
      <c r="T77" s="349"/>
      <c r="U77" s="349"/>
      <c r="V77" s="349"/>
      <c r="W77" s="349"/>
      <c r="X77" s="349"/>
      <c r="Y77" s="349"/>
      <c r="Z77" s="334"/>
      <c r="AA77" s="335"/>
      <c r="AB77" s="335"/>
      <c r="AC77" s="336"/>
      <c r="AD77" s="340"/>
      <c r="AE77" s="341"/>
      <c r="AF77" s="342"/>
      <c r="AG77" s="346"/>
      <c r="AH77" s="347"/>
      <c r="AI77" s="347"/>
      <c r="AJ77" s="347"/>
      <c r="AK77" s="348"/>
      <c r="AL77" s="346"/>
      <c r="AM77" s="347"/>
      <c r="AN77" s="347"/>
      <c r="AO77" s="347"/>
      <c r="AP77" s="348"/>
      <c r="AQ77" s="346"/>
      <c r="AR77" s="347"/>
      <c r="AS77" s="347"/>
      <c r="AT77" s="347"/>
      <c r="AU77" s="348"/>
      <c r="AV77" s="346"/>
      <c r="AW77" s="347"/>
      <c r="AX77" s="347"/>
      <c r="AY77" s="347"/>
      <c r="AZ77" s="348"/>
      <c r="BA77" s="346"/>
      <c r="BB77" s="347"/>
      <c r="BC77" s="347"/>
      <c r="BD77" s="347"/>
      <c r="BE77" s="348"/>
      <c r="BF77" s="346"/>
      <c r="BG77" s="347"/>
      <c r="BH77" s="347"/>
      <c r="BI77" s="347"/>
      <c r="BJ77" s="348"/>
      <c r="BK77" s="334"/>
      <c r="BL77" s="335"/>
      <c r="BM77" s="335"/>
      <c r="BN77" s="335"/>
      <c r="BO77" s="353"/>
      <c r="BP77" s="321"/>
      <c r="BQ77" s="321"/>
      <c r="BR77" s="321"/>
      <c r="BS77" s="322"/>
      <c r="BT77" s="351"/>
      <c r="BU77" s="321"/>
      <c r="BV77" s="321"/>
      <c r="BW77" s="321"/>
      <c r="BX77" s="322"/>
      <c r="BY77" s="351"/>
      <c r="BZ77" s="321"/>
      <c r="CA77" s="321"/>
      <c r="CB77" s="321"/>
      <c r="CC77" s="322"/>
      <c r="CD77" s="351"/>
      <c r="CE77" s="321"/>
      <c r="CF77" s="321"/>
      <c r="CG77" s="321"/>
      <c r="CH77" s="322"/>
      <c r="CI77" s="351"/>
      <c r="CJ77" s="321"/>
      <c r="CK77" s="321"/>
      <c r="CL77" s="321"/>
      <c r="CM77" s="322"/>
      <c r="CN77" s="351"/>
      <c r="CO77" s="321"/>
      <c r="CP77" s="321"/>
      <c r="CQ77" s="321"/>
      <c r="CR77" s="322"/>
      <c r="CS77" s="351"/>
      <c r="CT77" s="321"/>
      <c r="CU77" s="321"/>
      <c r="CV77" s="321"/>
      <c r="CW77" s="322"/>
      <c r="CX77" s="351"/>
      <c r="CY77" s="321"/>
      <c r="CZ77" s="321"/>
      <c r="DA77" s="321"/>
      <c r="DB77" s="322"/>
      <c r="DC77" s="353"/>
      <c r="DD77" s="321"/>
      <c r="DE77" s="321"/>
      <c r="DF77" s="321"/>
      <c r="DG77" s="321"/>
      <c r="DH77" s="355"/>
      <c r="DI77" s="355"/>
      <c r="DJ77" s="355"/>
      <c r="DK77" s="355"/>
      <c r="DL77" s="355"/>
      <c r="DM77" s="355"/>
      <c r="DN77" s="355"/>
      <c r="DO77" s="355"/>
      <c r="DP77" s="355"/>
      <c r="DQ77" s="355"/>
      <c r="DR77" s="355"/>
      <c r="DS77" s="355"/>
      <c r="DT77" s="355"/>
      <c r="DU77" s="355"/>
      <c r="DV77" s="355"/>
      <c r="DW77" s="355"/>
      <c r="DX77" s="355"/>
      <c r="DY77" s="355"/>
      <c r="DZ77" s="355"/>
      <c r="EA77" s="355"/>
      <c r="EB77" s="355"/>
      <c r="EC77" s="355"/>
      <c r="ED77" s="355"/>
      <c r="EE77" s="355"/>
      <c r="EF77" s="355"/>
      <c r="EG77" s="355"/>
      <c r="EH77" s="355"/>
      <c r="EI77" s="355"/>
      <c r="EJ77" s="355"/>
      <c r="EK77" s="355"/>
      <c r="EL77" s="321"/>
      <c r="EM77" s="321"/>
      <c r="EN77" s="321"/>
      <c r="EO77" s="321"/>
      <c r="EP77" s="322"/>
      <c r="EQ77" s="326"/>
      <c r="ER77" s="327"/>
      <c r="ES77" s="328"/>
      <c r="ET77" s="263"/>
      <c r="EX77" s="230"/>
      <c r="EY77" s="231"/>
      <c r="EZ77" s="232"/>
      <c r="FC77" s="251"/>
      <c r="FD77" s="252"/>
      <c r="FE77" s="251"/>
      <c r="FF77" s="251"/>
      <c r="FG77" s="251"/>
      <c r="FH77" s="251"/>
      <c r="FI77" s="258"/>
      <c r="FJ77" s="258"/>
    </row>
    <row r="78" spans="1:166" s="57" customFormat="1" ht="90" customHeight="1" x14ac:dyDescent="0.65">
      <c r="A78" s="329" t="s">
        <v>46</v>
      </c>
      <c r="B78" s="138" t="s">
        <v>156</v>
      </c>
      <c r="C78" s="349" t="s">
        <v>221</v>
      </c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9"/>
      <c r="T78" s="349"/>
      <c r="U78" s="349"/>
      <c r="V78" s="349"/>
      <c r="W78" s="349"/>
      <c r="X78" s="349"/>
      <c r="Y78" s="349"/>
      <c r="Z78" s="331">
        <f t="shared" si="6"/>
        <v>120</v>
      </c>
      <c r="AA78" s="332"/>
      <c r="AB78" s="332"/>
      <c r="AC78" s="333"/>
      <c r="AD78" s="337"/>
      <c r="AE78" s="338"/>
      <c r="AF78" s="339"/>
      <c r="AG78" s="343">
        <f>SUM(AL78:BE79)</f>
        <v>48</v>
      </c>
      <c r="AH78" s="344"/>
      <c r="AI78" s="344"/>
      <c r="AJ78" s="344"/>
      <c r="AK78" s="345"/>
      <c r="AL78" s="343">
        <v>24</v>
      </c>
      <c r="AM78" s="344"/>
      <c r="AN78" s="344"/>
      <c r="AO78" s="344"/>
      <c r="AP78" s="345"/>
      <c r="AQ78" s="343">
        <v>24</v>
      </c>
      <c r="AR78" s="344"/>
      <c r="AS78" s="344"/>
      <c r="AT78" s="344"/>
      <c r="AU78" s="345"/>
      <c r="AV78" s="343"/>
      <c r="AW78" s="344"/>
      <c r="AX78" s="344"/>
      <c r="AY78" s="344"/>
      <c r="AZ78" s="345"/>
      <c r="BA78" s="343"/>
      <c r="BB78" s="344"/>
      <c r="BC78" s="344"/>
      <c r="BD78" s="344"/>
      <c r="BE78" s="345"/>
      <c r="BF78" s="343"/>
      <c r="BG78" s="344"/>
      <c r="BH78" s="344"/>
      <c r="BI78" s="344"/>
      <c r="BJ78" s="345"/>
      <c r="BK78" s="331">
        <f>Z78-AG78</f>
        <v>72</v>
      </c>
      <c r="BL78" s="332"/>
      <c r="BM78" s="332"/>
      <c r="BN78" s="332"/>
      <c r="BO78" s="352"/>
      <c r="BP78" s="319"/>
      <c r="BQ78" s="319"/>
      <c r="BR78" s="319"/>
      <c r="BS78" s="320"/>
      <c r="BT78" s="350"/>
      <c r="BU78" s="319"/>
      <c r="BV78" s="319"/>
      <c r="BW78" s="319"/>
      <c r="BX78" s="320"/>
      <c r="BY78" s="350"/>
      <c r="BZ78" s="319"/>
      <c r="CA78" s="319"/>
      <c r="CB78" s="319"/>
      <c r="CC78" s="320"/>
      <c r="CD78" s="350"/>
      <c r="CE78" s="319"/>
      <c r="CF78" s="319"/>
      <c r="CG78" s="319"/>
      <c r="CH78" s="320"/>
      <c r="CI78" s="350"/>
      <c r="CJ78" s="319"/>
      <c r="CK78" s="319"/>
      <c r="CL78" s="319"/>
      <c r="CM78" s="320"/>
      <c r="CN78" s="350"/>
      <c r="CO78" s="319"/>
      <c r="CP78" s="319"/>
      <c r="CQ78" s="319"/>
      <c r="CR78" s="320"/>
      <c r="CS78" s="350"/>
      <c r="CT78" s="319"/>
      <c r="CU78" s="319"/>
      <c r="CV78" s="319"/>
      <c r="CW78" s="320"/>
      <c r="CX78" s="350">
        <v>4</v>
      </c>
      <c r="CY78" s="319"/>
      <c r="CZ78" s="319"/>
      <c r="DA78" s="319"/>
      <c r="DB78" s="320"/>
      <c r="DC78" s="352"/>
      <c r="DD78" s="319"/>
      <c r="DE78" s="319"/>
      <c r="DF78" s="319"/>
      <c r="DG78" s="319"/>
      <c r="DH78" s="355"/>
      <c r="DI78" s="355"/>
      <c r="DJ78" s="355"/>
      <c r="DK78" s="355"/>
      <c r="DL78" s="355"/>
      <c r="DM78" s="355"/>
      <c r="DN78" s="355"/>
      <c r="DO78" s="355"/>
      <c r="DP78" s="355"/>
      <c r="DQ78" s="355"/>
      <c r="DR78" s="355"/>
      <c r="DS78" s="355"/>
      <c r="DT78" s="355"/>
      <c r="DU78" s="355"/>
      <c r="DV78" s="355"/>
      <c r="DW78" s="355"/>
      <c r="DX78" s="355"/>
      <c r="DY78" s="355"/>
      <c r="DZ78" s="355"/>
      <c r="EA78" s="355"/>
      <c r="EB78" s="355"/>
      <c r="EC78" s="355"/>
      <c r="ED78" s="355"/>
      <c r="EE78" s="355"/>
      <c r="EF78" s="355"/>
      <c r="EG78" s="355"/>
      <c r="EH78" s="355"/>
      <c r="EI78" s="355"/>
      <c r="EJ78" s="355"/>
      <c r="EK78" s="355"/>
      <c r="EL78" s="319">
        <v>4</v>
      </c>
      <c r="EM78" s="319"/>
      <c r="EN78" s="319"/>
      <c r="EO78" s="319"/>
      <c r="EP78" s="320"/>
      <c r="EQ78" s="323">
        <f>SUM(DC78:EP79)</f>
        <v>4</v>
      </c>
      <c r="ER78" s="324"/>
      <c r="ES78" s="325"/>
      <c r="ET78" s="263"/>
      <c r="EX78" s="230"/>
      <c r="EY78" s="231"/>
      <c r="EZ78" s="232"/>
      <c r="FC78" s="251"/>
      <c r="FD78" s="252"/>
      <c r="FE78" s="251"/>
      <c r="FF78" s="251"/>
      <c r="FG78" s="251"/>
      <c r="FH78" s="251"/>
      <c r="FI78" s="258"/>
      <c r="FJ78" s="258"/>
    </row>
    <row r="79" spans="1:166" s="57" customFormat="1" ht="90" customHeight="1" x14ac:dyDescent="0.65">
      <c r="A79" s="330"/>
      <c r="B79" s="138" t="s">
        <v>223</v>
      </c>
      <c r="C79" s="349" t="s">
        <v>222</v>
      </c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34"/>
      <c r="AA79" s="335"/>
      <c r="AB79" s="335"/>
      <c r="AC79" s="336"/>
      <c r="AD79" s="340"/>
      <c r="AE79" s="341"/>
      <c r="AF79" s="342"/>
      <c r="AG79" s="346"/>
      <c r="AH79" s="347"/>
      <c r="AI79" s="347"/>
      <c r="AJ79" s="347"/>
      <c r="AK79" s="348"/>
      <c r="AL79" s="346"/>
      <c r="AM79" s="347"/>
      <c r="AN79" s="347"/>
      <c r="AO79" s="347"/>
      <c r="AP79" s="348"/>
      <c r="AQ79" s="346"/>
      <c r="AR79" s="347"/>
      <c r="AS79" s="347"/>
      <c r="AT79" s="347"/>
      <c r="AU79" s="348"/>
      <c r="AV79" s="346"/>
      <c r="AW79" s="347"/>
      <c r="AX79" s="347"/>
      <c r="AY79" s="347"/>
      <c r="AZ79" s="348"/>
      <c r="BA79" s="346"/>
      <c r="BB79" s="347"/>
      <c r="BC79" s="347"/>
      <c r="BD79" s="347"/>
      <c r="BE79" s="348"/>
      <c r="BF79" s="346"/>
      <c r="BG79" s="347"/>
      <c r="BH79" s="347"/>
      <c r="BI79" s="347"/>
      <c r="BJ79" s="348"/>
      <c r="BK79" s="334"/>
      <c r="BL79" s="335"/>
      <c r="BM79" s="335"/>
      <c r="BN79" s="335"/>
      <c r="BO79" s="353"/>
      <c r="BP79" s="321"/>
      <c r="BQ79" s="321"/>
      <c r="BR79" s="321"/>
      <c r="BS79" s="322"/>
      <c r="BT79" s="351"/>
      <c r="BU79" s="321"/>
      <c r="BV79" s="321"/>
      <c r="BW79" s="321"/>
      <c r="BX79" s="322"/>
      <c r="BY79" s="351"/>
      <c r="BZ79" s="321"/>
      <c r="CA79" s="321"/>
      <c r="CB79" s="321"/>
      <c r="CC79" s="322"/>
      <c r="CD79" s="351"/>
      <c r="CE79" s="321"/>
      <c r="CF79" s="321"/>
      <c r="CG79" s="321"/>
      <c r="CH79" s="322"/>
      <c r="CI79" s="351"/>
      <c r="CJ79" s="321"/>
      <c r="CK79" s="321"/>
      <c r="CL79" s="321"/>
      <c r="CM79" s="322"/>
      <c r="CN79" s="351"/>
      <c r="CO79" s="321"/>
      <c r="CP79" s="321"/>
      <c r="CQ79" s="321"/>
      <c r="CR79" s="322"/>
      <c r="CS79" s="351"/>
      <c r="CT79" s="321"/>
      <c r="CU79" s="321"/>
      <c r="CV79" s="321"/>
      <c r="CW79" s="322"/>
      <c r="CX79" s="351"/>
      <c r="CY79" s="321"/>
      <c r="CZ79" s="321"/>
      <c r="DA79" s="321"/>
      <c r="DB79" s="322"/>
      <c r="DC79" s="353"/>
      <c r="DD79" s="321"/>
      <c r="DE79" s="321"/>
      <c r="DF79" s="321"/>
      <c r="DG79" s="321"/>
      <c r="DH79" s="355"/>
      <c r="DI79" s="355"/>
      <c r="DJ79" s="355"/>
      <c r="DK79" s="355"/>
      <c r="DL79" s="355"/>
      <c r="DM79" s="355"/>
      <c r="DN79" s="355"/>
      <c r="DO79" s="355"/>
      <c r="DP79" s="355"/>
      <c r="DQ79" s="355"/>
      <c r="DR79" s="355"/>
      <c r="DS79" s="355"/>
      <c r="DT79" s="355"/>
      <c r="DU79" s="355"/>
      <c r="DV79" s="355"/>
      <c r="DW79" s="355"/>
      <c r="DX79" s="355"/>
      <c r="DY79" s="355"/>
      <c r="DZ79" s="355"/>
      <c r="EA79" s="355"/>
      <c r="EB79" s="355"/>
      <c r="EC79" s="355"/>
      <c r="ED79" s="355"/>
      <c r="EE79" s="355"/>
      <c r="EF79" s="355"/>
      <c r="EG79" s="355"/>
      <c r="EH79" s="355"/>
      <c r="EI79" s="355"/>
      <c r="EJ79" s="355"/>
      <c r="EK79" s="355"/>
      <c r="EL79" s="321"/>
      <c r="EM79" s="321"/>
      <c r="EN79" s="321"/>
      <c r="EO79" s="321"/>
      <c r="EP79" s="322"/>
      <c r="EQ79" s="326"/>
      <c r="ER79" s="327"/>
      <c r="ES79" s="328"/>
      <c r="ET79" s="263"/>
      <c r="EX79" s="230"/>
      <c r="EY79" s="231"/>
      <c r="EZ79" s="232"/>
      <c r="FC79" s="251"/>
      <c r="FD79" s="252"/>
      <c r="FE79" s="251"/>
      <c r="FF79" s="251"/>
      <c r="FG79" s="251"/>
      <c r="FH79" s="251"/>
      <c r="FI79" s="258"/>
      <c r="FJ79" s="258"/>
    </row>
    <row r="80" spans="1:166" s="57" customFormat="1" ht="90" customHeight="1" x14ac:dyDescent="0.65">
      <c r="A80" s="329" t="s">
        <v>47</v>
      </c>
      <c r="B80" s="138" t="s">
        <v>157</v>
      </c>
      <c r="C80" s="349" t="s">
        <v>228</v>
      </c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  <c r="R80" s="349"/>
      <c r="S80" s="349"/>
      <c r="T80" s="349"/>
      <c r="U80" s="349"/>
      <c r="V80" s="349"/>
      <c r="W80" s="349"/>
      <c r="X80" s="349"/>
      <c r="Y80" s="349"/>
      <c r="Z80" s="331">
        <f t="shared" si="6"/>
        <v>120</v>
      </c>
      <c r="AA80" s="332"/>
      <c r="AB80" s="332"/>
      <c r="AC80" s="333"/>
      <c r="AD80" s="337"/>
      <c r="AE80" s="338"/>
      <c r="AF80" s="339"/>
      <c r="AG80" s="343">
        <f>SUM(AL80:BE81)</f>
        <v>48</v>
      </c>
      <c r="AH80" s="344"/>
      <c r="AI80" s="344"/>
      <c r="AJ80" s="344"/>
      <c r="AK80" s="345"/>
      <c r="AL80" s="343">
        <v>24</v>
      </c>
      <c r="AM80" s="344"/>
      <c r="AN80" s="344"/>
      <c r="AO80" s="344"/>
      <c r="AP80" s="345"/>
      <c r="AQ80" s="343">
        <v>24</v>
      </c>
      <c r="AR80" s="344"/>
      <c r="AS80" s="344"/>
      <c r="AT80" s="344"/>
      <c r="AU80" s="345"/>
      <c r="AV80" s="343"/>
      <c r="AW80" s="344"/>
      <c r="AX80" s="344"/>
      <c r="AY80" s="344"/>
      <c r="AZ80" s="345"/>
      <c r="BA80" s="343"/>
      <c r="BB80" s="344"/>
      <c r="BC80" s="344"/>
      <c r="BD80" s="344"/>
      <c r="BE80" s="345"/>
      <c r="BF80" s="343"/>
      <c r="BG80" s="344"/>
      <c r="BH80" s="344"/>
      <c r="BI80" s="344"/>
      <c r="BJ80" s="345"/>
      <c r="BK80" s="331">
        <f>Z80-AG80</f>
        <v>72</v>
      </c>
      <c r="BL80" s="332"/>
      <c r="BM80" s="332"/>
      <c r="BN80" s="332"/>
      <c r="BO80" s="352"/>
      <c r="BP80" s="319"/>
      <c r="BQ80" s="319"/>
      <c r="BR80" s="319"/>
      <c r="BS80" s="320"/>
      <c r="BT80" s="350"/>
      <c r="BU80" s="319"/>
      <c r="BV80" s="319"/>
      <c r="BW80" s="319"/>
      <c r="BX80" s="320"/>
      <c r="BY80" s="350"/>
      <c r="BZ80" s="319"/>
      <c r="CA80" s="319"/>
      <c r="CB80" s="319"/>
      <c r="CC80" s="320"/>
      <c r="CD80" s="350"/>
      <c r="CE80" s="319"/>
      <c r="CF80" s="319"/>
      <c r="CG80" s="319"/>
      <c r="CH80" s="320"/>
      <c r="CI80" s="350"/>
      <c r="CJ80" s="319"/>
      <c r="CK80" s="319"/>
      <c r="CL80" s="319"/>
      <c r="CM80" s="320"/>
      <c r="CN80" s="350"/>
      <c r="CO80" s="319"/>
      <c r="CP80" s="319"/>
      <c r="CQ80" s="319"/>
      <c r="CR80" s="320"/>
      <c r="CS80" s="350"/>
      <c r="CT80" s="319"/>
      <c r="CU80" s="319"/>
      <c r="CV80" s="319"/>
      <c r="CW80" s="320"/>
      <c r="CX80" s="350">
        <v>4</v>
      </c>
      <c r="CY80" s="319"/>
      <c r="CZ80" s="319"/>
      <c r="DA80" s="319"/>
      <c r="DB80" s="320"/>
      <c r="DC80" s="352"/>
      <c r="DD80" s="319"/>
      <c r="DE80" s="319"/>
      <c r="DF80" s="319"/>
      <c r="DG80" s="319"/>
      <c r="DH80" s="355"/>
      <c r="DI80" s="355"/>
      <c r="DJ80" s="355"/>
      <c r="DK80" s="355"/>
      <c r="DL80" s="355"/>
      <c r="DM80" s="355"/>
      <c r="DN80" s="355"/>
      <c r="DO80" s="355"/>
      <c r="DP80" s="355"/>
      <c r="DQ80" s="355"/>
      <c r="DR80" s="355"/>
      <c r="DS80" s="355"/>
      <c r="DT80" s="355"/>
      <c r="DU80" s="355"/>
      <c r="DV80" s="355"/>
      <c r="DW80" s="355"/>
      <c r="DX80" s="355"/>
      <c r="DY80" s="355"/>
      <c r="DZ80" s="355"/>
      <c r="EA80" s="355"/>
      <c r="EB80" s="355"/>
      <c r="EC80" s="355"/>
      <c r="ED80" s="355"/>
      <c r="EE80" s="355"/>
      <c r="EF80" s="355"/>
      <c r="EG80" s="355"/>
      <c r="EH80" s="355"/>
      <c r="EI80" s="355"/>
      <c r="EJ80" s="355"/>
      <c r="EK80" s="355"/>
      <c r="EL80" s="319">
        <v>4</v>
      </c>
      <c r="EM80" s="319"/>
      <c r="EN80" s="319"/>
      <c r="EO80" s="319"/>
      <c r="EP80" s="320"/>
      <c r="EQ80" s="323">
        <f>SUM(DC80:EP81)</f>
        <v>4</v>
      </c>
      <c r="ER80" s="324"/>
      <c r="ES80" s="325"/>
      <c r="ET80" s="263"/>
      <c r="EX80" s="230"/>
      <c r="EY80" s="231"/>
      <c r="EZ80" s="232"/>
      <c r="FC80" s="251"/>
      <c r="FD80" s="252"/>
      <c r="FE80" s="251"/>
      <c r="FF80" s="251"/>
      <c r="FG80" s="251"/>
      <c r="FH80" s="251"/>
      <c r="FI80" s="258"/>
      <c r="FJ80" s="258"/>
    </row>
    <row r="81" spans="1:166" s="57" customFormat="1" ht="90" customHeight="1" x14ac:dyDescent="0.65">
      <c r="A81" s="330"/>
      <c r="B81" s="138" t="s">
        <v>229</v>
      </c>
      <c r="C81" s="349" t="s">
        <v>227</v>
      </c>
      <c r="D81" s="349"/>
      <c r="E81" s="349"/>
      <c r="F81" s="349"/>
      <c r="G81" s="349"/>
      <c r="H81" s="349"/>
      <c r="I81" s="349"/>
      <c r="J81" s="349"/>
      <c r="K81" s="349"/>
      <c r="L81" s="349"/>
      <c r="M81" s="349"/>
      <c r="N81" s="349"/>
      <c r="O81" s="349"/>
      <c r="P81" s="349"/>
      <c r="Q81" s="349"/>
      <c r="R81" s="349"/>
      <c r="S81" s="349"/>
      <c r="T81" s="349"/>
      <c r="U81" s="349"/>
      <c r="V81" s="349"/>
      <c r="W81" s="349"/>
      <c r="X81" s="349"/>
      <c r="Y81" s="349"/>
      <c r="Z81" s="334"/>
      <c r="AA81" s="335"/>
      <c r="AB81" s="335"/>
      <c r="AC81" s="336"/>
      <c r="AD81" s="340"/>
      <c r="AE81" s="341"/>
      <c r="AF81" s="342"/>
      <c r="AG81" s="346"/>
      <c r="AH81" s="347"/>
      <c r="AI81" s="347"/>
      <c r="AJ81" s="347"/>
      <c r="AK81" s="348"/>
      <c r="AL81" s="346"/>
      <c r="AM81" s="347"/>
      <c r="AN81" s="347"/>
      <c r="AO81" s="347"/>
      <c r="AP81" s="348"/>
      <c r="AQ81" s="346"/>
      <c r="AR81" s="347"/>
      <c r="AS81" s="347"/>
      <c r="AT81" s="347"/>
      <c r="AU81" s="348"/>
      <c r="AV81" s="346"/>
      <c r="AW81" s="347"/>
      <c r="AX81" s="347"/>
      <c r="AY81" s="347"/>
      <c r="AZ81" s="348"/>
      <c r="BA81" s="346"/>
      <c r="BB81" s="347"/>
      <c r="BC81" s="347"/>
      <c r="BD81" s="347"/>
      <c r="BE81" s="348"/>
      <c r="BF81" s="346"/>
      <c r="BG81" s="347"/>
      <c r="BH81" s="347"/>
      <c r="BI81" s="347"/>
      <c r="BJ81" s="348"/>
      <c r="BK81" s="334"/>
      <c r="BL81" s="335"/>
      <c r="BM81" s="335"/>
      <c r="BN81" s="335"/>
      <c r="BO81" s="353"/>
      <c r="BP81" s="321"/>
      <c r="BQ81" s="321"/>
      <c r="BR81" s="321"/>
      <c r="BS81" s="322"/>
      <c r="BT81" s="351"/>
      <c r="BU81" s="321"/>
      <c r="BV81" s="321"/>
      <c r="BW81" s="321"/>
      <c r="BX81" s="322"/>
      <c r="BY81" s="351"/>
      <c r="BZ81" s="321"/>
      <c r="CA81" s="321"/>
      <c r="CB81" s="321"/>
      <c r="CC81" s="322"/>
      <c r="CD81" s="351"/>
      <c r="CE81" s="321"/>
      <c r="CF81" s="321"/>
      <c r="CG81" s="321"/>
      <c r="CH81" s="322"/>
      <c r="CI81" s="351"/>
      <c r="CJ81" s="321"/>
      <c r="CK81" s="321"/>
      <c r="CL81" s="321"/>
      <c r="CM81" s="322"/>
      <c r="CN81" s="351"/>
      <c r="CO81" s="321"/>
      <c r="CP81" s="321"/>
      <c r="CQ81" s="321"/>
      <c r="CR81" s="322"/>
      <c r="CS81" s="351"/>
      <c r="CT81" s="321"/>
      <c r="CU81" s="321"/>
      <c r="CV81" s="321"/>
      <c r="CW81" s="322"/>
      <c r="CX81" s="351"/>
      <c r="CY81" s="321"/>
      <c r="CZ81" s="321"/>
      <c r="DA81" s="321"/>
      <c r="DB81" s="322"/>
      <c r="DC81" s="353"/>
      <c r="DD81" s="321"/>
      <c r="DE81" s="321"/>
      <c r="DF81" s="321"/>
      <c r="DG81" s="321"/>
      <c r="DH81" s="355"/>
      <c r="DI81" s="355"/>
      <c r="DJ81" s="355"/>
      <c r="DK81" s="355"/>
      <c r="DL81" s="355"/>
      <c r="DM81" s="355"/>
      <c r="DN81" s="355"/>
      <c r="DO81" s="355"/>
      <c r="DP81" s="355"/>
      <c r="DQ81" s="355"/>
      <c r="DR81" s="355"/>
      <c r="DS81" s="355"/>
      <c r="DT81" s="355"/>
      <c r="DU81" s="355"/>
      <c r="DV81" s="355"/>
      <c r="DW81" s="355"/>
      <c r="DX81" s="355"/>
      <c r="DY81" s="355"/>
      <c r="DZ81" s="355"/>
      <c r="EA81" s="355"/>
      <c r="EB81" s="355"/>
      <c r="EC81" s="355"/>
      <c r="ED81" s="355"/>
      <c r="EE81" s="355"/>
      <c r="EF81" s="355"/>
      <c r="EG81" s="355"/>
      <c r="EH81" s="355"/>
      <c r="EI81" s="355"/>
      <c r="EJ81" s="355"/>
      <c r="EK81" s="355"/>
      <c r="EL81" s="321"/>
      <c r="EM81" s="321"/>
      <c r="EN81" s="321"/>
      <c r="EO81" s="321"/>
      <c r="EP81" s="322"/>
      <c r="EQ81" s="326"/>
      <c r="ER81" s="327"/>
      <c r="ES81" s="328"/>
      <c r="ET81" s="263"/>
      <c r="EX81" s="230"/>
      <c r="EY81" s="231"/>
      <c r="EZ81" s="232"/>
      <c r="FC81" s="251"/>
      <c r="FD81" s="252"/>
      <c r="FE81" s="251"/>
      <c r="FF81" s="251"/>
      <c r="FG81" s="251"/>
      <c r="FH81" s="251"/>
      <c r="FI81" s="258"/>
      <c r="FJ81" s="258"/>
    </row>
    <row r="82" spans="1:166" s="57" customFormat="1" ht="90" customHeight="1" x14ac:dyDescent="0.65">
      <c r="A82" s="329" t="s">
        <v>48</v>
      </c>
      <c r="B82" s="138" t="s">
        <v>225</v>
      </c>
      <c r="C82" s="526" t="s">
        <v>296</v>
      </c>
      <c r="D82" s="526"/>
      <c r="E82" s="526"/>
      <c r="F82" s="526"/>
      <c r="G82" s="526"/>
      <c r="H82" s="526"/>
      <c r="I82" s="526"/>
      <c r="J82" s="526"/>
      <c r="K82" s="526"/>
      <c r="L82" s="526"/>
      <c r="M82" s="526"/>
      <c r="N82" s="526"/>
      <c r="O82" s="526"/>
      <c r="P82" s="526"/>
      <c r="Q82" s="526"/>
      <c r="R82" s="526"/>
      <c r="S82" s="526"/>
      <c r="T82" s="526"/>
      <c r="U82" s="526"/>
      <c r="V82" s="526"/>
      <c r="W82" s="526"/>
      <c r="X82" s="526"/>
      <c r="Y82" s="526"/>
      <c r="Z82" s="331">
        <f>+EQ82*30</f>
        <v>120</v>
      </c>
      <c r="AA82" s="332"/>
      <c r="AB82" s="332"/>
      <c r="AC82" s="333"/>
      <c r="AD82" s="337"/>
      <c r="AE82" s="338"/>
      <c r="AF82" s="339"/>
      <c r="AG82" s="343">
        <f>SUM(AL82:BE83)</f>
        <v>48</v>
      </c>
      <c r="AH82" s="344"/>
      <c r="AI82" s="344"/>
      <c r="AJ82" s="344"/>
      <c r="AK82" s="345"/>
      <c r="AL82" s="343">
        <v>24</v>
      </c>
      <c r="AM82" s="344"/>
      <c r="AN82" s="344"/>
      <c r="AO82" s="344"/>
      <c r="AP82" s="345"/>
      <c r="AQ82" s="343">
        <v>24</v>
      </c>
      <c r="AR82" s="344"/>
      <c r="AS82" s="344"/>
      <c r="AT82" s="344"/>
      <c r="AU82" s="345"/>
      <c r="AV82" s="343"/>
      <c r="AW82" s="344"/>
      <c r="AX82" s="344"/>
      <c r="AY82" s="344"/>
      <c r="AZ82" s="345"/>
      <c r="BA82" s="343"/>
      <c r="BB82" s="344"/>
      <c r="BC82" s="344"/>
      <c r="BD82" s="344"/>
      <c r="BE82" s="345"/>
      <c r="BF82" s="343"/>
      <c r="BG82" s="344"/>
      <c r="BH82" s="344"/>
      <c r="BI82" s="344"/>
      <c r="BJ82" s="345"/>
      <c r="BK82" s="331">
        <f>Z82-AG82</f>
        <v>72</v>
      </c>
      <c r="BL82" s="332"/>
      <c r="BM82" s="332"/>
      <c r="BN82" s="332"/>
      <c r="BO82" s="352"/>
      <c r="BP82" s="319"/>
      <c r="BQ82" s="319"/>
      <c r="BR82" s="319"/>
      <c r="BS82" s="320"/>
      <c r="BT82" s="350"/>
      <c r="BU82" s="319"/>
      <c r="BV82" s="319"/>
      <c r="BW82" s="319"/>
      <c r="BX82" s="320"/>
      <c r="BY82" s="350"/>
      <c r="BZ82" s="319"/>
      <c r="CA82" s="319"/>
      <c r="CB82" s="319"/>
      <c r="CC82" s="320"/>
      <c r="CD82" s="350"/>
      <c r="CE82" s="319"/>
      <c r="CF82" s="319"/>
      <c r="CG82" s="319"/>
      <c r="CH82" s="320"/>
      <c r="CI82" s="350"/>
      <c r="CJ82" s="319"/>
      <c r="CK82" s="319"/>
      <c r="CL82" s="319"/>
      <c r="CM82" s="320"/>
      <c r="CN82" s="350"/>
      <c r="CO82" s="319"/>
      <c r="CP82" s="319"/>
      <c r="CQ82" s="319"/>
      <c r="CR82" s="320"/>
      <c r="CS82" s="350">
        <v>4</v>
      </c>
      <c r="CT82" s="319"/>
      <c r="CU82" s="319"/>
      <c r="CV82" s="319"/>
      <c r="CW82" s="320"/>
      <c r="CX82" s="350"/>
      <c r="CY82" s="319"/>
      <c r="CZ82" s="319"/>
      <c r="DA82" s="319"/>
      <c r="DB82" s="320"/>
      <c r="DC82" s="352"/>
      <c r="DD82" s="319"/>
      <c r="DE82" s="319"/>
      <c r="DF82" s="319"/>
      <c r="DG82" s="320"/>
      <c r="DH82" s="350"/>
      <c r="DI82" s="319"/>
      <c r="DJ82" s="319"/>
      <c r="DK82" s="319"/>
      <c r="DL82" s="320"/>
      <c r="DM82" s="350"/>
      <c r="DN82" s="319"/>
      <c r="DO82" s="319"/>
      <c r="DP82" s="319"/>
      <c r="DQ82" s="320"/>
      <c r="DR82" s="350"/>
      <c r="DS82" s="319"/>
      <c r="DT82" s="319"/>
      <c r="DU82" s="319"/>
      <c r="DV82" s="320"/>
      <c r="DW82" s="350"/>
      <c r="DX82" s="319"/>
      <c r="DY82" s="319"/>
      <c r="DZ82" s="319"/>
      <c r="EA82" s="320"/>
      <c r="EB82" s="350"/>
      <c r="EC82" s="319"/>
      <c r="ED82" s="319"/>
      <c r="EE82" s="319"/>
      <c r="EF82" s="320"/>
      <c r="EG82" s="350">
        <v>4</v>
      </c>
      <c r="EH82" s="319"/>
      <c r="EI82" s="319"/>
      <c r="EJ82" s="319"/>
      <c r="EK82" s="320"/>
      <c r="EL82" s="350"/>
      <c r="EM82" s="319"/>
      <c r="EN82" s="319"/>
      <c r="EO82" s="319"/>
      <c r="EP82" s="320"/>
      <c r="EQ82" s="323">
        <f>SUM(DC82:EP83)</f>
        <v>4</v>
      </c>
      <c r="ER82" s="324"/>
      <c r="ES82" s="325"/>
      <c r="ET82" s="263"/>
      <c r="EX82" s="230"/>
      <c r="EY82" s="231">
        <v>5</v>
      </c>
      <c r="EZ82" s="232"/>
      <c r="FC82" s="251"/>
      <c r="FD82" s="252"/>
      <c r="FE82" s="251"/>
      <c r="FF82" s="251"/>
      <c r="FG82" s="251"/>
      <c r="FH82" s="251"/>
      <c r="FI82" s="258"/>
      <c r="FJ82" s="258"/>
    </row>
    <row r="83" spans="1:166" s="57" customFormat="1" ht="90" customHeight="1" x14ac:dyDescent="0.65">
      <c r="A83" s="330"/>
      <c r="B83" s="138" t="s">
        <v>226</v>
      </c>
      <c r="C83" s="349" t="s">
        <v>224</v>
      </c>
      <c r="D83" s="349"/>
      <c r="E83" s="349"/>
      <c r="F83" s="349"/>
      <c r="G83" s="349"/>
      <c r="H83" s="349"/>
      <c r="I83" s="349"/>
      <c r="J83" s="349"/>
      <c r="K83" s="349"/>
      <c r="L83" s="349"/>
      <c r="M83" s="349"/>
      <c r="N83" s="349"/>
      <c r="O83" s="349"/>
      <c r="P83" s="349"/>
      <c r="Q83" s="349"/>
      <c r="R83" s="349"/>
      <c r="S83" s="349"/>
      <c r="T83" s="349"/>
      <c r="U83" s="349"/>
      <c r="V83" s="349"/>
      <c r="W83" s="349"/>
      <c r="X83" s="349"/>
      <c r="Y83" s="349"/>
      <c r="Z83" s="334"/>
      <c r="AA83" s="335"/>
      <c r="AB83" s="335"/>
      <c r="AC83" s="336"/>
      <c r="AD83" s="340"/>
      <c r="AE83" s="341"/>
      <c r="AF83" s="342"/>
      <c r="AG83" s="346"/>
      <c r="AH83" s="347"/>
      <c r="AI83" s="347"/>
      <c r="AJ83" s="347"/>
      <c r="AK83" s="348"/>
      <c r="AL83" s="346"/>
      <c r="AM83" s="347"/>
      <c r="AN83" s="347"/>
      <c r="AO83" s="347"/>
      <c r="AP83" s="348"/>
      <c r="AQ83" s="346"/>
      <c r="AR83" s="347"/>
      <c r="AS83" s="347"/>
      <c r="AT83" s="347"/>
      <c r="AU83" s="348"/>
      <c r="AV83" s="346"/>
      <c r="AW83" s="347"/>
      <c r="AX83" s="347"/>
      <c r="AY83" s="347"/>
      <c r="AZ83" s="348"/>
      <c r="BA83" s="346"/>
      <c r="BB83" s="347"/>
      <c r="BC83" s="347"/>
      <c r="BD83" s="347"/>
      <c r="BE83" s="348"/>
      <c r="BF83" s="346"/>
      <c r="BG83" s="347"/>
      <c r="BH83" s="347"/>
      <c r="BI83" s="347"/>
      <c r="BJ83" s="348"/>
      <c r="BK83" s="334"/>
      <c r="BL83" s="335"/>
      <c r="BM83" s="335"/>
      <c r="BN83" s="335"/>
      <c r="BO83" s="353"/>
      <c r="BP83" s="321"/>
      <c r="BQ83" s="321"/>
      <c r="BR83" s="321"/>
      <c r="BS83" s="322"/>
      <c r="BT83" s="351"/>
      <c r="BU83" s="321"/>
      <c r="BV83" s="321"/>
      <c r="BW83" s="321"/>
      <c r="BX83" s="322"/>
      <c r="BY83" s="351"/>
      <c r="BZ83" s="321"/>
      <c r="CA83" s="321"/>
      <c r="CB83" s="321"/>
      <c r="CC83" s="322"/>
      <c r="CD83" s="351"/>
      <c r="CE83" s="321"/>
      <c r="CF83" s="321"/>
      <c r="CG83" s="321"/>
      <c r="CH83" s="322"/>
      <c r="CI83" s="351"/>
      <c r="CJ83" s="321"/>
      <c r="CK83" s="321"/>
      <c r="CL83" s="321"/>
      <c r="CM83" s="322"/>
      <c r="CN83" s="351"/>
      <c r="CO83" s="321"/>
      <c r="CP83" s="321"/>
      <c r="CQ83" s="321"/>
      <c r="CR83" s="322"/>
      <c r="CS83" s="351"/>
      <c r="CT83" s="321"/>
      <c r="CU83" s="321"/>
      <c r="CV83" s="321"/>
      <c r="CW83" s="322"/>
      <c r="CX83" s="351"/>
      <c r="CY83" s="321"/>
      <c r="CZ83" s="321"/>
      <c r="DA83" s="321"/>
      <c r="DB83" s="322"/>
      <c r="DC83" s="353"/>
      <c r="DD83" s="321"/>
      <c r="DE83" s="321"/>
      <c r="DF83" s="321"/>
      <c r="DG83" s="322"/>
      <c r="DH83" s="351"/>
      <c r="DI83" s="321"/>
      <c r="DJ83" s="321"/>
      <c r="DK83" s="321"/>
      <c r="DL83" s="322"/>
      <c r="DM83" s="351"/>
      <c r="DN83" s="321"/>
      <c r="DO83" s="321"/>
      <c r="DP83" s="321"/>
      <c r="DQ83" s="322"/>
      <c r="DR83" s="351"/>
      <c r="DS83" s="321"/>
      <c r="DT83" s="321"/>
      <c r="DU83" s="321"/>
      <c r="DV83" s="322"/>
      <c r="DW83" s="351"/>
      <c r="DX83" s="321"/>
      <c r="DY83" s="321"/>
      <c r="DZ83" s="321"/>
      <c r="EA83" s="322"/>
      <c r="EB83" s="351"/>
      <c r="EC83" s="321"/>
      <c r="ED83" s="321"/>
      <c r="EE83" s="321"/>
      <c r="EF83" s="322"/>
      <c r="EG83" s="351"/>
      <c r="EH83" s="321"/>
      <c r="EI83" s="321"/>
      <c r="EJ83" s="321"/>
      <c r="EK83" s="322"/>
      <c r="EL83" s="351"/>
      <c r="EM83" s="321"/>
      <c r="EN83" s="321"/>
      <c r="EO83" s="321"/>
      <c r="EP83" s="322"/>
      <c r="EQ83" s="326"/>
      <c r="ER83" s="327"/>
      <c r="ES83" s="328"/>
      <c r="ET83" s="263"/>
      <c r="EX83" s="230"/>
      <c r="EY83" s="231"/>
      <c r="EZ83" s="232"/>
      <c r="FC83" s="251"/>
      <c r="FD83" s="252"/>
      <c r="FE83" s="251"/>
      <c r="FF83" s="251"/>
      <c r="FG83" s="251"/>
      <c r="FH83" s="251"/>
      <c r="FI83" s="258"/>
      <c r="FJ83" s="258"/>
    </row>
    <row r="84" spans="1:166" s="56" customFormat="1" ht="84.75" customHeight="1" x14ac:dyDescent="0.65">
      <c r="A84" s="59"/>
      <c r="B84" s="60"/>
      <c r="C84" s="463" t="s">
        <v>77</v>
      </c>
      <c r="D84" s="463"/>
      <c r="E84" s="463"/>
      <c r="F84" s="463"/>
      <c r="G84" s="463"/>
      <c r="H84" s="463"/>
      <c r="I84" s="463"/>
      <c r="J84" s="463"/>
      <c r="K84" s="463"/>
      <c r="L84" s="463"/>
      <c r="M84" s="463"/>
      <c r="N84" s="463"/>
      <c r="O84" s="463"/>
      <c r="P84" s="463"/>
      <c r="Q84" s="463"/>
      <c r="R84" s="463"/>
      <c r="S84" s="463"/>
      <c r="T84" s="463"/>
      <c r="U84" s="463"/>
      <c r="V84" s="463"/>
      <c r="W84" s="463"/>
      <c r="X84" s="463"/>
      <c r="Y84" s="463"/>
      <c r="Z84" s="408">
        <f>Z59+Z35</f>
        <v>6600</v>
      </c>
      <c r="AA84" s="409"/>
      <c r="AB84" s="409"/>
      <c r="AC84" s="410"/>
      <c r="AD84" s="469">
        <f>Z84/$Z$88*100</f>
        <v>91.666666666666657</v>
      </c>
      <c r="AE84" s="469"/>
      <c r="AF84" s="469"/>
      <c r="AG84" s="473">
        <f>AG59+AG35</f>
        <v>2708</v>
      </c>
      <c r="AH84" s="468"/>
      <c r="AI84" s="468"/>
      <c r="AJ84" s="468"/>
      <c r="AK84" s="468"/>
      <c r="AL84" s="473">
        <f>AL59+AL35</f>
        <v>1050</v>
      </c>
      <c r="AM84" s="468"/>
      <c r="AN84" s="468"/>
      <c r="AO84" s="468"/>
      <c r="AP84" s="468"/>
      <c r="AQ84" s="473">
        <f>AQ59+AQ35</f>
        <v>1538</v>
      </c>
      <c r="AR84" s="468"/>
      <c r="AS84" s="468"/>
      <c r="AT84" s="468"/>
      <c r="AU84" s="468"/>
      <c r="AV84" s="473">
        <f>AV59+AV35</f>
        <v>120</v>
      </c>
      <c r="AW84" s="468"/>
      <c r="AX84" s="468"/>
      <c r="AY84" s="468"/>
      <c r="AZ84" s="468"/>
      <c r="BA84" s="473">
        <f>BA59+BA35</f>
        <v>0</v>
      </c>
      <c r="BB84" s="468"/>
      <c r="BC84" s="468"/>
      <c r="BD84" s="468"/>
      <c r="BE84" s="468"/>
      <c r="BF84" s="473">
        <f>BF59+BF35</f>
        <v>0</v>
      </c>
      <c r="BG84" s="468"/>
      <c r="BH84" s="468"/>
      <c r="BI84" s="468"/>
      <c r="BJ84" s="468"/>
      <c r="BK84" s="556">
        <f>BK59+BK35</f>
        <v>3892</v>
      </c>
      <c r="BL84" s="550"/>
      <c r="BM84" s="550"/>
      <c r="BN84" s="550"/>
      <c r="BO84" s="430">
        <f>BO59+BO35</f>
        <v>24</v>
      </c>
      <c r="BP84" s="368"/>
      <c r="BQ84" s="368"/>
      <c r="BR84" s="368"/>
      <c r="BS84" s="368"/>
      <c r="BT84" s="480">
        <f>BT59+BT35</f>
        <v>24</v>
      </c>
      <c r="BU84" s="481"/>
      <c r="BV84" s="481"/>
      <c r="BW84" s="481"/>
      <c r="BX84" s="431"/>
      <c r="BY84" s="480">
        <f>BY59+BY35</f>
        <v>24</v>
      </c>
      <c r="BZ84" s="481"/>
      <c r="CA84" s="481"/>
      <c r="CB84" s="481"/>
      <c r="CC84" s="431"/>
      <c r="CD84" s="480">
        <f>CD59+CD35</f>
        <v>24</v>
      </c>
      <c r="CE84" s="481"/>
      <c r="CF84" s="481"/>
      <c r="CG84" s="481"/>
      <c r="CH84" s="431"/>
      <c r="CI84" s="480">
        <f>CI59+CI35</f>
        <v>26</v>
      </c>
      <c r="CJ84" s="481"/>
      <c r="CK84" s="481"/>
      <c r="CL84" s="481"/>
      <c r="CM84" s="431"/>
      <c r="CN84" s="480">
        <f>CN59+CN35</f>
        <v>20</v>
      </c>
      <c r="CO84" s="481"/>
      <c r="CP84" s="481"/>
      <c r="CQ84" s="481"/>
      <c r="CR84" s="431"/>
      <c r="CS84" s="480">
        <f>CS59+CS35</f>
        <v>30</v>
      </c>
      <c r="CT84" s="481"/>
      <c r="CU84" s="481"/>
      <c r="CV84" s="481"/>
      <c r="CW84" s="431"/>
      <c r="CX84" s="480">
        <f>CX59+CX35</f>
        <v>24</v>
      </c>
      <c r="CY84" s="481"/>
      <c r="CZ84" s="481"/>
      <c r="DA84" s="481"/>
      <c r="DB84" s="539"/>
      <c r="DC84" s="430">
        <f>DC59+DC35</f>
        <v>30</v>
      </c>
      <c r="DD84" s="368"/>
      <c r="DE84" s="368"/>
      <c r="DF84" s="368"/>
      <c r="DG84" s="368"/>
      <c r="DH84" s="431">
        <f>DH59+DH35</f>
        <v>28</v>
      </c>
      <c r="DI84" s="368"/>
      <c r="DJ84" s="368"/>
      <c r="DK84" s="368"/>
      <c r="DL84" s="368"/>
      <c r="DM84" s="431">
        <f>DM59+DM35</f>
        <v>30</v>
      </c>
      <c r="DN84" s="368"/>
      <c r="DO84" s="368"/>
      <c r="DP84" s="368"/>
      <c r="DQ84" s="368"/>
      <c r="DR84" s="431">
        <f>DR59+DR35</f>
        <v>24</v>
      </c>
      <c r="DS84" s="368"/>
      <c r="DT84" s="368"/>
      <c r="DU84" s="368"/>
      <c r="DV84" s="368"/>
      <c r="DW84" s="431">
        <f>DW59+DW35</f>
        <v>30</v>
      </c>
      <c r="DX84" s="368"/>
      <c r="DY84" s="368"/>
      <c r="DZ84" s="368"/>
      <c r="EA84" s="368"/>
      <c r="EB84" s="431">
        <f>EB59+EB35</f>
        <v>24</v>
      </c>
      <c r="EC84" s="368"/>
      <c r="ED84" s="368"/>
      <c r="EE84" s="368"/>
      <c r="EF84" s="368"/>
      <c r="EG84" s="431">
        <f>EG59+EG35</f>
        <v>30</v>
      </c>
      <c r="EH84" s="368"/>
      <c r="EI84" s="368"/>
      <c r="EJ84" s="368"/>
      <c r="EK84" s="368"/>
      <c r="EL84" s="431">
        <f>EL59+EL35</f>
        <v>24</v>
      </c>
      <c r="EM84" s="368"/>
      <c r="EN84" s="368"/>
      <c r="EO84" s="368"/>
      <c r="EP84" s="369"/>
      <c r="EQ84" s="540">
        <f>EQ59+EQ35</f>
        <v>220</v>
      </c>
      <c r="ER84" s="473"/>
      <c r="ES84" s="468"/>
      <c r="ET84" s="61"/>
      <c r="EX84" s="230"/>
      <c r="EY84" s="231"/>
      <c r="EZ84" s="232"/>
      <c r="FC84" s="245"/>
      <c r="FD84" s="246"/>
      <c r="FE84" s="245"/>
      <c r="FF84" s="245"/>
      <c r="FG84" s="245"/>
      <c r="FH84" s="245"/>
      <c r="FI84" s="50"/>
      <c r="FJ84" s="50"/>
    </row>
    <row r="85" spans="1:166" s="57" customFormat="1" ht="84.75" customHeight="1" x14ac:dyDescent="0.65">
      <c r="A85" s="54"/>
      <c r="B85" s="58"/>
      <c r="C85" s="541" t="s">
        <v>179</v>
      </c>
      <c r="D85" s="541"/>
      <c r="E85" s="541"/>
      <c r="F85" s="541"/>
      <c r="G85" s="541"/>
      <c r="H85" s="541"/>
      <c r="I85" s="541"/>
      <c r="J85" s="541"/>
      <c r="K85" s="541"/>
      <c r="L85" s="541"/>
      <c r="M85" s="541"/>
      <c r="N85" s="541"/>
      <c r="O85" s="541"/>
      <c r="P85" s="541"/>
      <c r="Q85" s="541"/>
      <c r="R85" s="541"/>
      <c r="S85" s="541"/>
      <c r="T85" s="541"/>
      <c r="U85" s="541"/>
      <c r="V85" s="541"/>
      <c r="W85" s="541"/>
      <c r="X85" s="541"/>
      <c r="Y85" s="541"/>
      <c r="Z85" s="466">
        <f>(DC85+DH85+DM85+DR85+DW85+EB85+EG85+EL85)*30</f>
        <v>540</v>
      </c>
      <c r="AA85" s="466"/>
      <c r="AB85" s="466"/>
      <c r="AC85" s="466"/>
      <c r="AD85" s="467"/>
      <c r="AE85" s="467"/>
      <c r="AF85" s="467"/>
      <c r="AG85" s="437">
        <f>AL85+AQ85+AV85+BA85+BF85</f>
        <v>0</v>
      </c>
      <c r="AH85" s="437"/>
      <c r="AI85" s="437"/>
      <c r="AJ85" s="437"/>
      <c r="AK85" s="437"/>
      <c r="AL85" s="474"/>
      <c r="AM85" s="475"/>
      <c r="AN85" s="475"/>
      <c r="AO85" s="475"/>
      <c r="AP85" s="476"/>
      <c r="AQ85" s="437"/>
      <c r="AR85" s="437"/>
      <c r="AS85" s="437"/>
      <c r="AT85" s="437"/>
      <c r="AU85" s="437"/>
      <c r="AV85" s="437"/>
      <c r="AW85" s="437"/>
      <c r="AX85" s="437"/>
      <c r="AY85" s="437"/>
      <c r="AZ85" s="437"/>
      <c r="BA85" s="437"/>
      <c r="BB85" s="437"/>
      <c r="BC85" s="437"/>
      <c r="BD85" s="437"/>
      <c r="BE85" s="437"/>
      <c r="BF85" s="437"/>
      <c r="BG85" s="437"/>
      <c r="BH85" s="437"/>
      <c r="BI85" s="437"/>
      <c r="BJ85" s="437"/>
      <c r="BK85" s="442"/>
      <c r="BL85" s="443"/>
      <c r="BM85" s="443"/>
      <c r="BN85" s="443"/>
      <c r="BO85" s="485"/>
      <c r="BP85" s="483"/>
      <c r="BQ85" s="483"/>
      <c r="BR85" s="483"/>
      <c r="BS85" s="483"/>
      <c r="BT85" s="483"/>
      <c r="BU85" s="483"/>
      <c r="BV85" s="483"/>
      <c r="BW85" s="483"/>
      <c r="BX85" s="483"/>
      <c r="BY85" s="483"/>
      <c r="BZ85" s="483"/>
      <c r="CA85" s="483"/>
      <c r="CB85" s="483"/>
      <c r="CC85" s="483"/>
      <c r="CD85" s="483"/>
      <c r="CE85" s="483"/>
      <c r="CF85" s="483"/>
      <c r="CG85" s="483"/>
      <c r="CH85" s="483"/>
      <c r="CI85" s="483"/>
      <c r="CJ85" s="483"/>
      <c r="CK85" s="483"/>
      <c r="CL85" s="483"/>
      <c r="CM85" s="483"/>
      <c r="CN85" s="483"/>
      <c r="CO85" s="483"/>
      <c r="CP85" s="483"/>
      <c r="CQ85" s="483"/>
      <c r="CR85" s="483"/>
      <c r="CS85" s="483"/>
      <c r="CT85" s="483"/>
      <c r="CU85" s="483"/>
      <c r="CV85" s="483"/>
      <c r="CW85" s="483"/>
      <c r="CX85" s="483"/>
      <c r="CY85" s="483"/>
      <c r="CZ85" s="483"/>
      <c r="DA85" s="483"/>
      <c r="DB85" s="484"/>
      <c r="DC85" s="485"/>
      <c r="DD85" s="483"/>
      <c r="DE85" s="483"/>
      <c r="DF85" s="483"/>
      <c r="DG85" s="483"/>
      <c r="DH85" s="355">
        <v>2</v>
      </c>
      <c r="DI85" s="355"/>
      <c r="DJ85" s="355"/>
      <c r="DK85" s="355"/>
      <c r="DL85" s="355"/>
      <c r="DM85" s="355"/>
      <c r="DN85" s="355"/>
      <c r="DO85" s="355"/>
      <c r="DP85" s="355"/>
      <c r="DQ85" s="355"/>
      <c r="DR85" s="355">
        <v>6</v>
      </c>
      <c r="DS85" s="355"/>
      <c r="DT85" s="355"/>
      <c r="DU85" s="355"/>
      <c r="DV85" s="355"/>
      <c r="DW85" s="355"/>
      <c r="DX85" s="355"/>
      <c r="DY85" s="355"/>
      <c r="DZ85" s="355"/>
      <c r="EA85" s="355"/>
      <c r="EB85" s="355">
        <v>6</v>
      </c>
      <c r="EC85" s="355"/>
      <c r="ED85" s="355"/>
      <c r="EE85" s="355"/>
      <c r="EF85" s="355"/>
      <c r="EG85" s="355"/>
      <c r="EH85" s="355"/>
      <c r="EI85" s="355"/>
      <c r="EJ85" s="355"/>
      <c r="EK85" s="355"/>
      <c r="EL85" s="355">
        <v>4</v>
      </c>
      <c r="EM85" s="355"/>
      <c r="EN85" s="355"/>
      <c r="EO85" s="355"/>
      <c r="EP85" s="362"/>
      <c r="EQ85" s="478">
        <f>SUM(DC85:EP85)</f>
        <v>18</v>
      </c>
      <c r="ER85" s="479"/>
      <c r="ES85" s="466"/>
      <c r="ET85" s="56"/>
      <c r="EX85" s="230"/>
      <c r="EY85" s="231"/>
      <c r="EZ85" s="232"/>
      <c r="FC85" s="251"/>
      <c r="FD85" s="252"/>
      <c r="FE85" s="251"/>
      <c r="FF85" s="251"/>
      <c r="FG85" s="251"/>
      <c r="FH85" s="251"/>
      <c r="FI85" s="258"/>
      <c r="FJ85" s="258"/>
    </row>
    <row r="86" spans="1:166" s="56" customFormat="1" ht="84.75" customHeight="1" x14ac:dyDescent="0.65">
      <c r="A86" s="54"/>
      <c r="B86" s="58"/>
      <c r="C86" s="541" t="s">
        <v>17</v>
      </c>
      <c r="D86" s="541"/>
      <c r="E86" s="541"/>
      <c r="F86" s="541"/>
      <c r="G86" s="541"/>
      <c r="H86" s="541"/>
      <c r="I86" s="541"/>
      <c r="J86" s="541"/>
      <c r="K86" s="541"/>
      <c r="L86" s="541"/>
      <c r="M86" s="541"/>
      <c r="N86" s="541"/>
      <c r="O86" s="541"/>
      <c r="P86" s="541"/>
      <c r="Q86" s="541"/>
      <c r="R86" s="541"/>
      <c r="S86" s="541"/>
      <c r="T86" s="541"/>
      <c r="U86" s="541"/>
      <c r="V86" s="541"/>
      <c r="W86" s="541"/>
      <c r="X86" s="541"/>
      <c r="Y86" s="541"/>
      <c r="Z86" s="466">
        <f>(DC86+DH86+DM86+DR86+DW86+EB86+EG86+EL86)*30</f>
        <v>60</v>
      </c>
      <c r="AA86" s="466"/>
      <c r="AB86" s="466"/>
      <c r="AC86" s="466"/>
      <c r="AD86" s="531"/>
      <c r="AE86" s="531"/>
      <c r="AF86" s="483"/>
      <c r="AG86" s="437">
        <f>AL86+AQ86+AV86+BA86+BF86</f>
        <v>0</v>
      </c>
      <c r="AH86" s="437"/>
      <c r="AI86" s="437"/>
      <c r="AJ86" s="437"/>
      <c r="AK86" s="437"/>
      <c r="AL86" s="474"/>
      <c r="AM86" s="475"/>
      <c r="AN86" s="475"/>
      <c r="AO86" s="475"/>
      <c r="AP86" s="476"/>
      <c r="AQ86" s="437"/>
      <c r="AR86" s="437"/>
      <c r="AS86" s="437"/>
      <c r="AT86" s="437"/>
      <c r="AU86" s="437"/>
      <c r="AV86" s="437"/>
      <c r="AW86" s="437"/>
      <c r="AX86" s="437"/>
      <c r="AY86" s="437"/>
      <c r="AZ86" s="437"/>
      <c r="BA86" s="437"/>
      <c r="BB86" s="437"/>
      <c r="BC86" s="437"/>
      <c r="BD86" s="437"/>
      <c r="BE86" s="437"/>
      <c r="BF86" s="437"/>
      <c r="BG86" s="437"/>
      <c r="BH86" s="437"/>
      <c r="BI86" s="437"/>
      <c r="BJ86" s="437"/>
      <c r="BK86" s="442"/>
      <c r="BL86" s="443"/>
      <c r="BM86" s="443"/>
      <c r="BN86" s="443"/>
      <c r="BO86" s="485"/>
      <c r="BP86" s="483"/>
      <c r="BQ86" s="483"/>
      <c r="BR86" s="483"/>
      <c r="BS86" s="483"/>
      <c r="BT86" s="483"/>
      <c r="BU86" s="483"/>
      <c r="BV86" s="483"/>
      <c r="BW86" s="483"/>
      <c r="BX86" s="483"/>
      <c r="BY86" s="483"/>
      <c r="BZ86" s="483"/>
      <c r="CA86" s="483"/>
      <c r="CB86" s="483"/>
      <c r="CC86" s="483"/>
      <c r="CD86" s="483"/>
      <c r="CE86" s="483"/>
      <c r="CF86" s="483"/>
      <c r="CG86" s="483"/>
      <c r="CH86" s="483"/>
      <c r="CI86" s="483"/>
      <c r="CJ86" s="483"/>
      <c r="CK86" s="483"/>
      <c r="CL86" s="483"/>
      <c r="CM86" s="483"/>
      <c r="CN86" s="483"/>
      <c r="CO86" s="483"/>
      <c r="CP86" s="483"/>
      <c r="CQ86" s="483"/>
      <c r="CR86" s="483"/>
      <c r="CS86" s="483"/>
      <c r="CT86" s="483"/>
      <c r="CU86" s="483"/>
      <c r="CV86" s="483"/>
      <c r="CW86" s="483"/>
      <c r="CX86" s="483"/>
      <c r="CY86" s="483"/>
      <c r="CZ86" s="483"/>
      <c r="DA86" s="483"/>
      <c r="DB86" s="484"/>
      <c r="DC86" s="485"/>
      <c r="DD86" s="483"/>
      <c r="DE86" s="483"/>
      <c r="DF86" s="483"/>
      <c r="DG86" s="483"/>
      <c r="DH86" s="355"/>
      <c r="DI86" s="355"/>
      <c r="DJ86" s="355"/>
      <c r="DK86" s="355"/>
      <c r="DL86" s="355"/>
      <c r="DM86" s="355"/>
      <c r="DN86" s="355"/>
      <c r="DO86" s="355"/>
      <c r="DP86" s="355"/>
      <c r="DQ86" s="355"/>
      <c r="DR86" s="355"/>
      <c r="DS86" s="355"/>
      <c r="DT86" s="355"/>
      <c r="DU86" s="355"/>
      <c r="DV86" s="355"/>
      <c r="DW86" s="355"/>
      <c r="DX86" s="355"/>
      <c r="DY86" s="355"/>
      <c r="DZ86" s="355"/>
      <c r="EA86" s="355"/>
      <c r="EB86" s="355"/>
      <c r="EC86" s="355"/>
      <c r="ED86" s="355"/>
      <c r="EE86" s="355"/>
      <c r="EF86" s="355"/>
      <c r="EG86" s="355"/>
      <c r="EH86" s="355"/>
      <c r="EI86" s="355"/>
      <c r="EJ86" s="355"/>
      <c r="EK86" s="355"/>
      <c r="EL86" s="355">
        <v>2</v>
      </c>
      <c r="EM86" s="355"/>
      <c r="EN86" s="355"/>
      <c r="EO86" s="355"/>
      <c r="EP86" s="362"/>
      <c r="EQ86" s="478">
        <f>SUM(DC86:EP86)</f>
        <v>2</v>
      </c>
      <c r="ER86" s="479"/>
      <c r="ES86" s="466"/>
      <c r="ET86" s="61"/>
      <c r="EX86" s="239"/>
      <c r="EY86" s="240"/>
      <c r="EZ86" s="241"/>
      <c r="FC86" s="245"/>
      <c r="FD86" s="246"/>
      <c r="FE86" s="245"/>
      <c r="FF86" s="245"/>
      <c r="FG86" s="245"/>
      <c r="FH86" s="245"/>
      <c r="FI86" s="50"/>
      <c r="FJ86" s="50"/>
    </row>
    <row r="87" spans="1:166" s="56" customFormat="1" ht="84.75" customHeight="1" x14ac:dyDescent="0.45">
      <c r="A87" s="59"/>
      <c r="B87" s="60"/>
      <c r="C87" s="463" t="s">
        <v>77</v>
      </c>
      <c r="D87" s="463"/>
      <c r="E87" s="463"/>
      <c r="F87" s="463"/>
      <c r="G87" s="463"/>
      <c r="H87" s="463"/>
      <c r="I87" s="463"/>
      <c r="J87" s="463"/>
      <c r="K87" s="463"/>
      <c r="L87" s="463"/>
      <c r="M87" s="463"/>
      <c r="N87" s="463"/>
      <c r="O87" s="463"/>
      <c r="P87" s="463"/>
      <c r="Q87" s="463"/>
      <c r="R87" s="463"/>
      <c r="S87" s="463"/>
      <c r="T87" s="463"/>
      <c r="U87" s="463"/>
      <c r="V87" s="463"/>
      <c r="W87" s="463"/>
      <c r="X87" s="463"/>
      <c r="Y87" s="463"/>
      <c r="Z87" s="468">
        <f>Z85+Z86</f>
        <v>600</v>
      </c>
      <c r="AA87" s="468"/>
      <c r="AB87" s="468"/>
      <c r="AC87" s="468"/>
      <c r="AD87" s="469">
        <f>Z87/$Z$88*100</f>
        <v>8.3333333333333321</v>
      </c>
      <c r="AE87" s="469"/>
      <c r="AF87" s="469"/>
      <c r="AG87" s="468">
        <f>AG85+AG86</f>
        <v>0</v>
      </c>
      <c r="AH87" s="468"/>
      <c r="AI87" s="468"/>
      <c r="AJ87" s="468"/>
      <c r="AK87" s="468"/>
      <c r="AL87" s="470"/>
      <c r="AM87" s="471"/>
      <c r="AN87" s="471"/>
      <c r="AO87" s="471"/>
      <c r="AP87" s="472"/>
      <c r="AQ87" s="468"/>
      <c r="AR87" s="468"/>
      <c r="AS87" s="468"/>
      <c r="AT87" s="468"/>
      <c r="AU87" s="468"/>
      <c r="AV87" s="468"/>
      <c r="AW87" s="468"/>
      <c r="AX87" s="468"/>
      <c r="AY87" s="468"/>
      <c r="AZ87" s="468"/>
      <c r="BA87" s="468"/>
      <c r="BB87" s="468"/>
      <c r="BC87" s="468"/>
      <c r="BD87" s="468"/>
      <c r="BE87" s="468"/>
      <c r="BF87" s="468"/>
      <c r="BG87" s="468"/>
      <c r="BH87" s="468"/>
      <c r="BI87" s="468"/>
      <c r="BJ87" s="468"/>
      <c r="BK87" s="549"/>
      <c r="BL87" s="550"/>
      <c r="BM87" s="550"/>
      <c r="BN87" s="550"/>
      <c r="BO87" s="430">
        <f>BO85+BO86</f>
        <v>0</v>
      </c>
      <c r="BP87" s="368"/>
      <c r="BQ87" s="368"/>
      <c r="BR87" s="368"/>
      <c r="BS87" s="368"/>
      <c r="BT87" s="431">
        <f>BT85+BT86</f>
        <v>0</v>
      </c>
      <c r="BU87" s="368"/>
      <c r="BV87" s="368"/>
      <c r="BW87" s="368"/>
      <c r="BX87" s="368"/>
      <c r="BY87" s="431">
        <f>BY85+BY86</f>
        <v>0</v>
      </c>
      <c r="BZ87" s="368"/>
      <c r="CA87" s="368"/>
      <c r="CB87" s="368"/>
      <c r="CC87" s="368"/>
      <c r="CD87" s="431">
        <f>CD85+CD86</f>
        <v>0</v>
      </c>
      <c r="CE87" s="368"/>
      <c r="CF87" s="368"/>
      <c r="CG87" s="368"/>
      <c r="CH87" s="368"/>
      <c r="CI87" s="431">
        <f>CI85+CI86</f>
        <v>0</v>
      </c>
      <c r="CJ87" s="368"/>
      <c r="CK87" s="368"/>
      <c r="CL87" s="368"/>
      <c r="CM87" s="368"/>
      <c r="CN87" s="431">
        <f>CN85+CN86</f>
        <v>0</v>
      </c>
      <c r="CO87" s="368"/>
      <c r="CP87" s="368"/>
      <c r="CQ87" s="368"/>
      <c r="CR87" s="368"/>
      <c r="CS87" s="431">
        <f>CS85+CS86</f>
        <v>0</v>
      </c>
      <c r="CT87" s="368"/>
      <c r="CU87" s="368"/>
      <c r="CV87" s="368"/>
      <c r="CW87" s="368"/>
      <c r="CX87" s="431">
        <f>CX85+CX86</f>
        <v>0</v>
      </c>
      <c r="CY87" s="368"/>
      <c r="CZ87" s="368"/>
      <c r="DA87" s="368"/>
      <c r="DB87" s="368"/>
      <c r="DC87" s="430">
        <f>DC85+DC86</f>
        <v>0</v>
      </c>
      <c r="DD87" s="368"/>
      <c r="DE87" s="368"/>
      <c r="DF87" s="368"/>
      <c r="DG87" s="368"/>
      <c r="DH87" s="431">
        <f>DH85+DH86</f>
        <v>2</v>
      </c>
      <c r="DI87" s="368"/>
      <c r="DJ87" s="368"/>
      <c r="DK87" s="368"/>
      <c r="DL87" s="368"/>
      <c r="DM87" s="431">
        <f>DM85+DM86</f>
        <v>0</v>
      </c>
      <c r="DN87" s="368"/>
      <c r="DO87" s="368"/>
      <c r="DP87" s="368"/>
      <c r="DQ87" s="368"/>
      <c r="DR87" s="431">
        <f>DR85+DR86</f>
        <v>6</v>
      </c>
      <c r="DS87" s="368"/>
      <c r="DT87" s="368"/>
      <c r="DU87" s="368"/>
      <c r="DV87" s="368"/>
      <c r="DW87" s="431">
        <f>DW85+DW86</f>
        <v>0</v>
      </c>
      <c r="DX87" s="368"/>
      <c r="DY87" s="368"/>
      <c r="DZ87" s="368"/>
      <c r="EA87" s="368"/>
      <c r="EB87" s="431">
        <f>EB85+EB86</f>
        <v>6</v>
      </c>
      <c r="EC87" s="368"/>
      <c r="ED87" s="368"/>
      <c r="EE87" s="368"/>
      <c r="EF87" s="368"/>
      <c r="EG87" s="431">
        <f>EG85+EG86</f>
        <v>0</v>
      </c>
      <c r="EH87" s="368"/>
      <c r="EI87" s="368"/>
      <c r="EJ87" s="368"/>
      <c r="EK87" s="368"/>
      <c r="EL87" s="431">
        <f>EL85+EL86</f>
        <v>6</v>
      </c>
      <c r="EM87" s="368"/>
      <c r="EN87" s="368"/>
      <c r="EO87" s="368"/>
      <c r="EP87" s="369"/>
      <c r="EQ87" s="540">
        <f>EQ85+EQ86</f>
        <v>20</v>
      </c>
      <c r="ER87" s="473"/>
      <c r="ES87" s="468"/>
      <c r="ET87" s="61"/>
    </row>
    <row r="88" spans="1:166" s="57" customFormat="1" ht="84.75" customHeight="1" x14ac:dyDescent="0.2">
      <c r="A88" s="62"/>
      <c r="B88" s="63"/>
      <c r="C88" s="551" t="s">
        <v>22</v>
      </c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1"/>
      <c r="P88" s="551"/>
      <c r="Q88" s="551"/>
      <c r="R88" s="551"/>
      <c r="S88" s="551"/>
      <c r="T88" s="551"/>
      <c r="U88" s="551"/>
      <c r="V88" s="551"/>
      <c r="W88" s="551"/>
      <c r="X88" s="551"/>
      <c r="Y88" s="551"/>
      <c r="Z88" s="547">
        <f>Z87+Z84</f>
        <v>7200</v>
      </c>
      <c r="AA88" s="548"/>
      <c r="AB88" s="548"/>
      <c r="AC88" s="548"/>
      <c r="AD88" s="552">
        <f>AD84+AD87</f>
        <v>99.999999999999986</v>
      </c>
      <c r="AE88" s="552"/>
      <c r="AF88" s="552"/>
      <c r="AG88" s="547">
        <f>+AG84</f>
        <v>2708</v>
      </c>
      <c r="AH88" s="548"/>
      <c r="AI88" s="548"/>
      <c r="AJ88" s="548"/>
      <c r="AK88" s="548"/>
      <c r="AL88" s="547">
        <f>+AL84</f>
        <v>1050</v>
      </c>
      <c r="AM88" s="548"/>
      <c r="AN88" s="548"/>
      <c r="AO88" s="548"/>
      <c r="AP88" s="548"/>
      <c r="AQ88" s="547">
        <f>+AQ84</f>
        <v>1538</v>
      </c>
      <c r="AR88" s="548"/>
      <c r="AS88" s="548"/>
      <c r="AT88" s="548"/>
      <c r="AU88" s="548"/>
      <c r="AV88" s="547">
        <f>+AV84</f>
        <v>120</v>
      </c>
      <c r="AW88" s="548"/>
      <c r="AX88" s="548"/>
      <c r="AY88" s="548"/>
      <c r="AZ88" s="548"/>
      <c r="BA88" s="547">
        <f>+BA84</f>
        <v>0</v>
      </c>
      <c r="BB88" s="548"/>
      <c r="BC88" s="548"/>
      <c r="BD88" s="548"/>
      <c r="BE88" s="548"/>
      <c r="BF88" s="547">
        <f>+BF84</f>
        <v>0</v>
      </c>
      <c r="BG88" s="548"/>
      <c r="BH88" s="548"/>
      <c r="BI88" s="548"/>
      <c r="BJ88" s="548"/>
      <c r="BK88" s="553">
        <f>+BK84</f>
        <v>3892</v>
      </c>
      <c r="BL88" s="554"/>
      <c r="BM88" s="554"/>
      <c r="BN88" s="554"/>
      <c r="BO88" s="544">
        <f>+BO84</f>
        <v>24</v>
      </c>
      <c r="BP88" s="543"/>
      <c r="BQ88" s="543"/>
      <c r="BR88" s="543"/>
      <c r="BS88" s="555"/>
      <c r="BT88" s="543">
        <f>+BT84</f>
        <v>24</v>
      </c>
      <c r="BU88" s="543"/>
      <c r="BV88" s="543"/>
      <c r="BW88" s="543"/>
      <c r="BX88" s="543"/>
      <c r="BY88" s="543">
        <f>+BY84</f>
        <v>24</v>
      </c>
      <c r="BZ88" s="543"/>
      <c r="CA88" s="543"/>
      <c r="CB88" s="543"/>
      <c r="CC88" s="543"/>
      <c r="CD88" s="543">
        <f>+CD84</f>
        <v>24</v>
      </c>
      <c r="CE88" s="543"/>
      <c r="CF88" s="543"/>
      <c r="CG88" s="543"/>
      <c r="CH88" s="543"/>
      <c r="CI88" s="543">
        <f>+CI84</f>
        <v>26</v>
      </c>
      <c r="CJ88" s="543"/>
      <c r="CK88" s="543"/>
      <c r="CL88" s="543"/>
      <c r="CM88" s="543"/>
      <c r="CN88" s="543">
        <f>+CN84</f>
        <v>20</v>
      </c>
      <c r="CO88" s="543"/>
      <c r="CP88" s="543"/>
      <c r="CQ88" s="543"/>
      <c r="CR88" s="543"/>
      <c r="CS88" s="543">
        <f>+CS84</f>
        <v>30</v>
      </c>
      <c r="CT88" s="543"/>
      <c r="CU88" s="543"/>
      <c r="CV88" s="543"/>
      <c r="CW88" s="543"/>
      <c r="CX88" s="542">
        <f>+CX84</f>
        <v>24</v>
      </c>
      <c r="CY88" s="543"/>
      <c r="CZ88" s="543"/>
      <c r="DA88" s="543"/>
      <c r="DB88" s="543"/>
      <c r="DC88" s="544">
        <f>DC87+DC84</f>
        <v>30</v>
      </c>
      <c r="DD88" s="543"/>
      <c r="DE88" s="543"/>
      <c r="DF88" s="543"/>
      <c r="DG88" s="543"/>
      <c r="DH88" s="543">
        <f>DH87+DH84</f>
        <v>30</v>
      </c>
      <c r="DI88" s="543"/>
      <c r="DJ88" s="543"/>
      <c r="DK88" s="543"/>
      <c r="DL88" s="543"/>
      <c r="DM88" s="543">
        <f>DM87+DM84</f>
        <v>30</v>
      </c>
      <c r="DN88" s="543"/>
      <c r="DO88" s="543"/>
      <c r="DP88" s="543"/>
      <c r="DQ88" s="543"/>
      <c r="DR88" s="543">
        <f>DR87+DR84</f>
        <v>30</v>
      </c>
      <c r="DS88" s="543"/>
      <c r="DT88" s="543"/>
      <c r="DU88" s="543"/>
      <c r="DV88" s="543"/>
      <c r="DW88" s="543">
        <f>DW87+DW84</f>
        <v>30</v>
      </c>
      <c r="DX88" s="543"/>
      <c r="DY88" s="543"/>
      <c r="DZ88" s="543"/>
      <c r="EA88" s="543"/>
      <c r="EB88" s="543">
        <f>EB87+EB84</f>
        <v>30</v>
      </c>
      <c r="EC88" s="543"/>
      <c r="ED88" s="543"/>
      <c r="EE88" s="543"/>
      <c r="EF88" s="543"/>
      <c r="EG88" s="543">
        <f>EG87+EG84</f>
        <v>30</v>
      </c>
      <c r="EH88" s="543"/>
      <c r="EI88" s="543"/>
      <c r="EJ88" s="543"/>
      <c r="EK88" s="543"/>
      <c r="EL88" s="543">
        <f>EL87+EL84</f>
        <v>30</v>
      </c>
      <c r="EM88" s="543"/>
      <c r="EN88" s="543"/>
      <c r="EO88" s="543"/>
      <c r="EP88" s="545"/>
      <c r="EQ88" s="546">
        <f>EQ87+EQ84</f>
        <v>240</v>
      </c>
      <c r="ER88" s="547"/>
      <c r="ES88" s="548"/>
      <c r="ET88" s="56"/>
    </row>
    <row r="89" spans="1:166" s="61" customFormat="1" ht="78.75" customHeight="1" x14ac:dyDescent="0.65">
      <c r="A89" s="64"/>
      <c r="B89" s="64" t="s">
        <v>89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524"/>
      <c r="AA89" s="524"/>
      <c r="AB89" s="524"/>
      <c r="AC89" s="525"/>
      <c r="AD89" s="66"/>
      <c r="AE89" s="66"/>
      <c r="AF89" s="64"/>
      <c r="AG89" s="66"/>
      <c r="AH89" s="66"/>
      <c r="AI89" s="66"/>
      <c r="AJ89" s="64"/>
      <c r="AK89" s="66"/>
      <c r="AL89" s="66"/>
      <c r="AM89" s="66"/>
      <c r="AN89" s="64"/>
      <c r="AO89" s="66"/>
      <c r="AP89" s="66"/>
      <c r="AQ89" s="66"/>
      <c r="AR89" s="64"/>
      <c r="AS89" s="66"/>
      <c r="AT89" s="66"/>
      <c r="AU89" s="66"/>
      <c r="AV89" s="64"/>
      <c r="AW89" s="66"/>
      <c r="AX89" s="66"/>
      <c r="AY89" s="66"/>
      <c r="AZ89" s="64"/>
      <c r="BA89" s="66"/>
      <c r="BB89" s="66"/>
      <c r="BC89" s="66"/>
      <c r="BD89" s="64"/>
      <c r="BE89" s="64"/>
      <c r="BF89" s="64"/>
      <c r="BG89" s="64"/>
      <c r="BH89" s="64"/>
      <c r="BI89" s="64"/>
      <c r="BJ89" s="64"/>
      <c r="BK89" s="66"/>
      <c r="BL89" s="66"/>
      <c r="BM89" s="66"/>
      <c r="BN89" s="64"/>
      <c r="BO89" s="66"/>
      <c r="BP89" s="64"/>
      <c r="BQ89" s="64"/>
      <c r="BR89" s="64"/>
      <c r="BS89" s="66"/>
      <c r="BT89" s="64"/>
      <c r="BU89" s="64"/>
      <c r="BV89" s="64"/>
      <c r="BW89" s="66"/>
      <c r="BX89" s="64"/>
      <c r="BY89" s="64"/>
      <c r="BZ89" s="64"/>
      <c r="CA89" s="66"/>
      <c r="CB89" s="64"/>
      <c r="CC89" s="64"/>
      <c r="CD89" s="64"/>
      <c r="CE89" s="66"/>
      <c r="CF89" s="64"/>
      <c r="CG89" s="64"/>
      <c r="CH89" s="64"/>
      <c r="CI89" s="66"/>
      <c r="CJ89" s="64"/>
      <c r="CK89" s="64"/>
      <c r="CL89" s="64"/>
      <c r="CM89" s="66"/>
      <c r="CN89" s="64"/>
      <c r="CO89" s="64"/>
      <c r="CP89" s="64"/>
      <c r="CQ89" s="66"/>
      <c r="CR89" s="64"/>
      <c r="CS89" s="64"/>
      <c r="CT89" s="64"/>
      <c r="CU89" s="66"/>
      <c r="CV89" s="64"/>
      <c r="CW89" s="64"/>
      <c r="CX89" s="64"/>
      <c r="CY89" s="66"/>
      <c r="CZ89" s="64"/>
      <c r="DA89" s="64"/>
      <c r="DB89" s="64"/>
      <c r="DC89" s="66"/>
      <c r="DD89" s="64"/>
      <c r="DE89" s="64"/>
      <c r="DF89" s="64"/>
      <c r="DG89" s="66"/>
      <c r="DH89" s="64"/>
      <c r="DI89" s="64"/>
      <c r="DJ89" s="64"/>
      <c r="DK89" s="66"/>
      <c r="DL89" s="64"/>
      <c r="DM89" s="64"/>
      <c r="DN89" s="64"/>
      <c r="DO89" s="66"/>
      <c r="DP89" s="64"/>
      <c r="DQ89" s="64"/>
      <c r="DR89" s="64"/>
      <c r="DS89" s="66"/>
      <c r="DT89" s="64"/>
      <c r="DU89" s="64"/>
      <c r="DV89" s="64"/>
      <c r="DW89" s="66"/>
      <c r="DX89" s="64"/>
      <c r="DY89" s="64"/>
      <c r="DZ89" s="64"/>
      <c r="EA89" s="66"/>
      <c r="EB89" s="64"/>
      <c r="EC89" s="64"/>
      <c r="ED89" s="64"/>
      <c r="EE89" s="66"/>
      <c r="EF89" s="64"/>
      <c r="EG89" s="64"/>
      <c r="EH89" s="64"/>
      <c r="EI89" s="66"/>
      <c r="EJ89" s="64"/>
      <c r="EK89" s="64"/>
      <c r="EL89" s="64"/>
      <c r="EM89" s="66"/>
      <c r="EN89" s="64"/>
      <c r="EO89" s="64"/>
      <c r="EP89" s="64"/>
      <c r="EQ89" s="67"/>
      <c r="ER89" s="67"/>
      <c r="ES89" s="68"/>
      <c r="ET89" s="13"/>
      <c r="EU89" s="13"/>
      <c r="EV89" s="13"/>
      <c r="EW89" s="13"/>
      <c r="EX89" s="13"/>
    </row>
    <row r="90" spans="1:166" s="61" customFormat="1" ht="111.75" customHeight="1" x14ac:dyDescent="0.8">
      <c r="A90" s="69"/>
      <c r="B90" s="427" t="s">
        <v>189</v>
      </c>
      <c r="C90" s="427"/>
      <c r="D90" s="427"/>
      <c r="E90" s="427"/>
      <c r="F90" s="427"/>
      <c r="G90" s="427"/>
      <c r="H90" s="427"/>
      <c r="I90" s="427"/>
      <c r="J90" s="427"/>
      <c r="K90" s="427"/>
      <c r="L90" s="427"/>
      <c r="M90" s="427"/>
      <c r="N90" s="427"/>
      <c r="O90" s="427"/>
      <c r="P90" s="427"/>
      <c r="Q90" s="427"/>
      <c r="R90" s="427"/>
      <c r="S90" s="427"/>
      <c r="T90" s="427"/>
      <c r="U90" s="427"/>
      <c r="V90" s="427"/>
      <c r="W90" s="427"/>
      <c r="X90" s="427"/>
      <c r="Y90" s="427"/>
      <c r="Z90" s="427"/>
      <c r="AA90" s="427"/>
      <c r="AB90" s="427"/>
      <c r="AC90" s="427"/>
      <c r="AD90" s="427"/>
      <c r="AE90" s="427"/>
      <c r="AF90" s="427"/>
      <c r="AG90" s="427"/>
      <c r="AH90" s="427"/>
      <c r="AI90" s="427"/>
      <c r="AJ90" s="427"/>
      <c r="AK90" s="427"/>
      <c r="AL90" s="427"/>
      <c r="AM90" s="427"/>
      <c r="AN90" s="427"/>
      <c r="AO90" s="427"/>
      <c r="AP90" s="427"/>
      <c r="AQ90" s="427"/>
      <c r="AR90" s="427"/>
      <c r="AS90" s="427"/>
      <c r="AT90" s="427"/>
      <c r="AU90" s="427"/>
      <c r="AV90" s="427"/>
      <c r="AW90" s="427"/>
      <c r="AX90" s="427"/>
      <c r="AY90" s="427"/>
      <c r="AZ90" s="427"/>
      <c r="BA90" s="427"/>
      <c r="BB90" s="427"/>
      <c r="BC90" s="427"/>
      <c r="BD90" s="427"/>
      <c r="BE90" s="427"/>
      <c r="BF90" s="427"/>
      <c r="BG90" s="427"/>
      <c r="BH90" s="427"/>
      <c r="BI90" s="427"/>
      <c r="BJ90" s="427"/>
      <c r="BK90" s="427"/>
      <c r="BL90" s="427"/>
      <c r="BM90" s="427"/>
      <c r="BN90" s="427"/>
      <c r="BO90" s="427"/>
      <c r="BP90" s="427"/>
      <c r="BQ90" s="427"/>
      <c r="BR90" s="427"/>
      <c r="BS90" s="427"/>
      <c r="BT90" s="427"/>
      <c r="BU90" s="427"/>
      <c r="BV90" s="427"/>
      <c r="BW90" s="427"/>
      <c r="BX90" s="427"/>
      <c r="BY90" s="427"/>
      <c r="BZ90" s="427"/>
      <c r="CA90" s="427"/>
      <c r="CB90" s="427"/>
      <c r="CC90" s="427"/>
      <c r="CD90" s="427"/>
      <c r="CE90" s="427"/>
      <c r="CF90" s="427"/>
      <c r="CG90" s="427"/>
      <c r="CH90" s="427"/>
      <c r="CI90" s="427"/>
      <c r="CJ90" s="427"/>
      <c r="CK90" s="427"/>
      <c r="CL90" s="427"/>
      <c r="CM90" s="427"/>
      <c r="CN90" s="427"/>
      <c r="CO90" s="427"/>
      <c r="CP90" s="427"/>
      <c r="CQ90" s="427"/>
      <c r="CR90" s="427"/>
      <c r="CS90" s="427"/>
      <c r="CT90" s="427"/>
      <c r="CU90" s="427"/>
      <c r="CV90" s="427"/>
      <c r="CW90" s="427"/>
      <c r="CX90" s="427"/>
      <c r="CY90" s="427"/>
      <c r="CZ90" s="427"/>
      <c r="DA90" s="427"/>
      <c r="DB90" s="427"/>
      <c r="DC90" s="427"/>
      <c r="DD90" s="427"/>
      <c r="DE90" s="427"/>
      <c r="DF90" s="427"/>
      <c r="DG90" s="427"/>
      <c r="DH90" s="427"/>
      <c r="DI90" s="427"/>
      <c r="DJ90" s="427"/>
      <c r="DK90" s="427"/>
      <c r="DL90" s="427"/>
      <c r="DM90" s="427"/>
      <c r="DN90" s="427"/>
      <c r="DO90" s="427"/>
      <c r="DP90" s="427"/>
      <c r="DQ90" s="427"/>
      <c r="DR90" s="427"/>
      <c r="DS90" s="427"/>
      <c r="DT90" s="427"/>
      <c r="DU90" s="427"/>
      <c r="DV90" s="427"/>
      <c r="DW90" s="427"/>
      <c r="DX90" s="427"/>
      <c r="DY90" s="427"/>
      <c r="DZ90" s="427"/>
      <c r="EA90" s="427"/>
      <c r="EB90" s="427"/>
      <c r="EC90" s="427"/>
      <c r="ED90" s="427"/>
      <c r="EE90" s="427"/>
      <c r="EF90" s="427"/>
      <c r="EG90" s="427"/>
      <c r="EH90" s="427"/>
      <c r="EI90" s="427"/>
      <c r="EJ90" s="427"/>
      <c r="EK90" s="427"/>
      <c r="EL90" s="427"/>
      <c r="EM90" s="427"/>
      <c r="EN90" s="427"/>
      <c r="EO90" s="427"/>
      <c r="EP90" s="427"/>
      <c r="EQ90" s="427"/>
      <c r="ER90" s="427"/>
      <c r="ES90" s="427"/>
      <c r="ET90" s="13"/>
      <c r="EU90" s="13"/>
      <c r="EV90" s="13"/>
      <c r="EW90" s="13"/>
      <c r="EX90" s="13"/>
    </row>
    <row r="91" spans="1:166" s="61" customFormat="1" ht="111.75" customHeight="1" x14ac:dyDescent="0.8">
      <c r="A91" s="69"/>
      <c r="B91" s="428" t="s">
        <v>158</v>
      </c>
      <c r="C91" s="429"/>
      <c r="D91" s="429"/>
      <c r="E91" s="429"/>
      <c r="F91" s="429"/>
      <c r="G91" s="429"/>
      <c r="H91" s="429"/>
      <c r="I91" s="429"/>
      <c r="J91" s="429"/>
      <c r="K91" s="429"/>
      <c r="L91" s="429"/>
      <c r="M91" s="429"/>
      <c r="N91" s="429"/>
      <c r="O91" s="429"/>
      <c r="P91" s="429"/>
      <c r="Q91" s="429"/>
      <c r="R91" s="429"/>
      <c r="S91" s="429"/>
      <c r="T91" s="429"/>
      <c r="U91" s="429"/>
      <c r="V91" s="429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29"/>
      <c r="AI91" s="429"/>
      <c r="AJ91" s="429"/>
      <c r="AK91" s="429"/>
      <c r="AL91" s="429"/>
      <c r="AM91" s="429"/>
      <c r="AN91" s="429"/>
      <c r="AO91" s="429"/>
      <c r="AP91" s="429"/>
      <c r="AQ91" s="429"/>
      <c r="AR91" s="429"/>
      <c r="AS91" s="429"/>
      <c r="AT91" s="429"/>
      <c r="AU91" s="429"/>
      <c r="AV91" s="429"/>
      <c r="AW91" s="429"/>
      <c r="AX91" s="429"/>
      <c r="AY91" s="429"/>
      <c r="AZ91" s="429"/>
      <c r="BA91" s="429"/>
      <c r="BB91" s="429"/>
      <c r="BC91" s="429"/>
      <c r="BD91" s="429"/>
      <c r="BE91" s="429"/>
      <c r="BF91" s="429"/>
      <c r="BG91" s="429"/>
      <c r="BH91" s="429"/>
      <c r="BI91" s="429"/>
      <c r="BJ91" s="429"/>
      <c r="BK91" s="429"/>
      <c r="BL91" s="429"/>
      <c r="BM91" s="429"/>
      <c r="BN91" s="429"/>
      <c r="BO91" s="429"/>
      <c r="BP91" s="429"/>
      <c r="BQ91" s="429"/>
      <c r="BR91" s="429"/>
      <c r="BS91" s="429"/>
      <c r="BT91" s="429"/>
      <c r="BU91" s="429"/>
      <c r="BV91" s="429"/>
      <c r="BW91" s="429"/>
      <c r="BX91" s="429"/>
      <c r="BY91" s="429"/>
      <c r="BZ91" s="429"/>
      <c r="CA91" s="429"/>
      <c r="CB91" s="429"/>
      <c r="CC91" s="429"/>
      <c r="CD91" s="429"/>
      <c r="CE91" s="429"/>
      <c r="CF91" s="429"/>
      <c r="CG91" s="429"/>
      <c r="CH91" s="429"/>
      <c r="CI91" s="429"/>
      <c r="CJ91" s="429"/>
      <c r="CK91" s="429"/>
      <c r="CL91" s="429"/>
      <c r="CM91" s="429"/>
      <c r="CN91" s="429"/>
      <c r="CO91" s="429"/>
      <c r="CP91" s="429"/>
      <c r="CQ91" s="429"/>
      <c r="CR91" s="429"/>
      <c r="CS91" s="429"/>
      <c r="CT91" s="429"/>
      <c r="CU91" s="429"/>
      <c r="CV91" s="429"/>
      <c r="CW91" s="429"/>
      <c r="CX91" s="429"/>
      <c r="CY91" s="429"/>
      <c r="CZ91" s="429"/>
      <c r="DA91" s="429"/>
      <c r="DB91" s="429"/>
      <c r="DC91" s="429"/>
      <c r="DD91" s="429"/>
      <c r="DE91" s="429"/>
      <c r="DF91" s="429"/>
      <c r="DG91" s="429"/>
      <c r="DH91" s="429"/>
      <c r="DI91" s="429"/>
      <c r="DJ91" s="429"/>
      <c r="DK91" s="429"/>
      <c r="DL91" s="429"/>
      <c r="DM91" s="429"/>
      <c r="DN91" s="429"/>
      <c r="DO91" s="429"/>
      <c r="DP91" s="429"/>
      <c r="DQ91" s="429"/>
      <c r="DR91" s="429"/>
      <c r="DS91" s="429"/>
      <c r="DT91" s="429"/>
      <c r="DU91" s="429"/>
      <c r="DV91" s="429"/>
      <c r="DW91" s="429"/>
      <c r="DX91" s="429"/>
      <c r="DY91" s="429"/>
      <c r="DZ91" s="429"/>
      <c r="EA91" s="429"/>
      <c r="EB91" s="429"/>
      <c r="EC91" s="429"/>
      <c r="ED91" s="429"/>
      <c r="EE91" s="429"/>
      <c r="EF91" s="429"/>
      <c r="EG91" s="429"/>
      <c r="EH91" s="429"/>
      <c r="EI91" s="429"/>
      <c r="EJ91" s="429"/>
      <c r="EK91" s="429"/>
      <c r="EL91" s="429"/>
      <c r="EM91" s="429"/>
      <c r="EN91" s="429"/>
      <c r="EO91" s="429"/>
      <c r="EP91" s="429"/>
      <c r="EQ91" s="429"/>
      <c r="ER91" s="429"/>
      <c r="ES91" s="429"/>
      <c r="ET91" s="13"/>
      <c r="EU91" s="13"/>
      <c r="EV91" s="13"/>
      <c r="EW91" s="13"/>
      <c r="EX91" s="13"/>
    </row>
    <row r="92" spans="1:166" s="61" customFormat="1" ht="96.75" customHeight="1" x14ac:dyDescent="0.8">
      <c r="A92" s="69"/>
      <c r="B92" s="448" t="s">
        <v>159</v>
      </c>
      <c r="C92" s="448"/>
      <c r="D92" s="448"/>
      <c r="E92" s="448"/>
      <c r="F92" s="448"/>
      <c r="G92" s="448"/>
      <c r="H92" s="448"/>
      <c r="I92" s="448"/>
      <c r="J92" s="448"/>
      <c r="K92" s="448"/>
      <c r="L92" s="448"/>
      <c r="M92" s="448"/>
      <c r="N92" s="448"/>
      <c r="O92" s="448"/>
      <c r="P92" s="448"/>
      <c r="Q92" s="448"/>
      <c r="R92" s="448"/>
      <c r="S92" s="448"/>
      <c r="T92" s="448"/>
      <c r="U92" s="448"/>
      <c r="V92" s="448"/>
      <c r="W92" s="448"/>
      <c r="X92" s="448"/>
      <c r="Y92" s="448"/>
      <c r="Z92" s="448"/>
      <c r="AA92" s="448"/>
      <c r="AB92" s="448"/>
      <c r="AC92" s="448"/>
      <c r="AD92" s="448"/>
      <c r="AE92" s="448"/>
      <c r="AF92" s="448"/>
      <c r="AG92" s="448"/>
      <c r="AH92" s="448"/>
      <c r="AI92" s="448"/>
      <c r="AJ92" s="448"/>
      <c r="AK92" s="448"/>
      <c r="AL92" s="448"/>
      <c r="AM92" s="448"/>
      <c r="AN92" s="448"/>
      <c r="AO92" s="448"/>
      <c r="AP92" s="448"/>
      <c r="AQ92" s="448"/>
      <c r="AR92" s="448"/>
      <c r="AS92" s="448"/>
      <c r="AT92" s="448"/>
      <c r="AU92" s="448"/>
      <c r="AV92" s="448"/>
      <c r="AW92" s="448"/>
      <c r="AX92" s="448"/>
      <c r="AY92" s="448"/>
      <c r="AZ92" s="448"/>
      <c r="BA92" s="448"/>
      <c r="BB92" s="448"/>
      <c r="BC92" s="448"/>
      <c r="BD92" s="448"/>
      <c r="BE92" s="448"/>
      <c r="BF92" s="448"/>
      <c r="BG92" s="448"/>
      <c r="BH92" s="448"/>
      <c r="BI92" s="448"/>
      <c r="BJ92" s="448"/>
      <c r="BK92" s="448"/>
      <c r="BL92" s="448"/>
      <c r="BM92" s="448"/>
      <c r="BN92" s="448"/>
      <c r="BO92" s="448"/>
      <c r="BP92" s="448"/>
      <c r="BQ92" s="448"/>
      <c r="BR92" s="448"/>
      <c r="BS92" s="448"/>
      <c r="BT92" s="448"/>
      <c r="BU92" s="448"/>
      <c r="BV92" s="448"/>
      <c r="BW92" s="448"/>
      <c r="BX92" s="448"/>
      <c r="BY92" s="448"/>
      <c r="BZ92" s="448"/>
      <c r="CA92" s="448"/>
      <c r="CB92" s="448"/>
      <c r="CC92" s="448"/>
      <c r="CD92" s="448"/>
      <c r="CE92" s="448"/>
      <c r="CF92" s="448"/>
      <c r="CG92" s="448"/>
      <c r="CH92" s="448"/>
      <c r="CI92" s="448"/>
      <c r="CJ92" s="448"/>
      <c r="CK92" s="448"/>
      <c r="CL92" s="448"/>
      <c r="CM92" s="448"/>
      <c r="CN92" s="448"/>
      <c r="CO92" s="448"/>
      <c r="CP92" s="448"/>
      <c r="CQ92" s="448"/>
      <c r="CR92" s="448"/>
      <c r="CS92" s="448"/>
      <c r="CT92" s="448"/>
      <c r="CU92" s="448"/>
      <c r="CV92" s="448"/>
      <c r="CW92" s="448"/>
      <c r="CX92" s="448"/>
      <c r="CY92" s="448"/>
      <c r="CZ92" s="448"/>
      <c r="DA92" s="448"/>
      <c r="DB92" s="448"/>
      <c r="DC92" s="448"/>
      <c r="DD92" s="448"/>
      <c r="DE92" s="448"/>
      <c r="DF92" s="448"/>
      <c r="DG92" s="448"/>
      <c r="DH92" s="448"/>
      <c r="DI92" s="448"/>
      <c r="DJ92" s="448"/>
      <c r="DK92" s="448"/>
      <c r="DL92" s="448"/>
      <c r="DM92" s="448"/>
      <c r="DN92" s="448"/>
      <c r="DO92" s="448"/>
      <c r="DP92" s="448"/>
      <c r="DQ92" s="448"/>
      <c r="DR92" s="448"/>
      <c r="DS92" s="448"/>
      <c r="DT92" s="448"/>
      <c r="DU92" s="448"/>
      <c r="DV92" s="448"/>
      <c r="DW92" s="448"/>
      <c r="DX92" s="448"/>
      <c r="DY92" s="448"/>
      <c r="DZ92" s="448"/>
      <c r="EA92" s="448"/>
      <c r="EB92" s="448"/>
      <c r="EC92" s="448"/>
      <c r="ED92" s="448"/>
      <c r="EE92" s="448"/>
      <c r="EF92" s="448"/>
      <c r="EG92" s="448"/>
      <c r="EH92" s="448"/>
      <c r="EI92" s="448"/>
      <c r="EJ92" s="448"/>
      <c r="EK92" s="448"/>
      <c r="EL92" s="448"/>
      <c r="EM92" s="448"/>
      <c r="EN92" s="448"/>
      <c r="EO92" s="448"/>
      <c r="EP92" s="448"/>
      <c r="EQ92" s="448"/>
      <c r="ER92" s="448"/>
      <c r="ES92" s="448"/>
      <c r="ET92" s="13"/>
      <c r="EU92" s="13"/>
      <c r="EV92" s="13"/>
      <c r="EW92" s="13"/>
      <c r="EX92" s="13"/>
    </row>
    <row r="93" spans="1:166" s="61" customFormat="1" ht="96.75" customHeight="1" x14ac:dyDescent="0.8">
      <c r="A93" s="69"/>
      <c r="B93" s="448" t="s">
        <v>160</v>
      </c>
      <c r="C93" s="448"/>
      <c r="D93" s="448"/>
      <c r="E93" s="448"/>
      <c r="F93" s="448"/>
      <c r="G93" s="448"/>
      <c r="H93" s="448"/>
      <c r="I93" s="448"/>
      <c r="J93" s="448"/>
      <c r="K93" s="448"/>
      <c r="L93" s="448"/>
      <c r="M93" s="448"/>
      <c r="N93" s="448"/>
      <c r="O93" s="448"/>
      <c r="P93" s="448"/>
      <c r="Q93" s="448"/>
      <c r="R93" s="448"/>
      <c r="S93" s="448"/>
      <c r="T93" s="448"/>
      <c r="U93" s="448"/>
      <c r="V93" s="448"/>
      <c r="W93" s="448"/>
      <c r="X93" s="448"/>
      <c r="Y93" s="448"/>
      <c r="Z93" s="448"/>
      <c r="AA93" s="448"/>
      <c r="AB93" s="448"/>
      <c r="AC93" s="448"/>
      <c r="AD93" s="448"/>
      <c r="AE93" s="448"/>
      <c r="AF93" s="448"/>
      <c r="AG93" s="448"/>
      <c r="AH93" s="448"/>
      <c r="AI93" s="448"/>
      <c r="AJ93" s="448"/>
      <c r="AK93" s="448"/>
      <c r="AL93" s="448"/>
      <c r="AM93" s="448"/>
      <c r="AN93" s="448"/>
      <c r="AO93" s="448"/>
      <c r="AP93" s="448"/>
      <c r="AQ93" s="448"/>
      <c r="AR93" s="448"/>
      <c r="AS93" s="448"/>
      <c r="AT93" s="448"/>
      <c r="AU93" s="448"/>
      <c r="AV93" s="448"/>
      <c r="AW93" s="448"/>
      <c r="AX93" s="448"/>
      <c r="AY93" s="448"/>
      <c r="AZ93" s="448"/>
      <c r="BA93" s="448"/>
      <c r="BB93" s="448"/>
      <c r="BC93" s="448"/>
      <c r="BD93" s="448"/>
      <c r="BE93" s="448"/>
      <c r="BF93" s="448"/>
      <c r="BG93" s="448"/>
      <c r="BH93" s="448"/>
      <c r="BI93" s="448"/>
      <c r="BJ93" s="448"/>
      <c r="BK93" s="448"/>
      <c r="BL93" s="448"/>
      <c r="BM93" s="448"/>
      <c r="BN93" s="448"/>
      <c r="BO93" s="448"/>
      <c r="BP93" s="448"/>
      <c r="BQ93" s="448"/>
      <c r="BR93" s="448"/>
      <c r="BS93" s="448"/>
      <c r="BT93" s="448"/>
      <c r="BU93" s="448"/>
      <c r="BV93" s="448"/>
      <c r="BW93" s="448"/>
      <c r="BX93" s="448"/>
      <c r="BY93" s="448"/>
      <c r="BZ93" s="448"/>
      <c r="CA93" s="448"/>
      <c r="CB93" s="448"/>
      <c r="CC93" s="448"/>
      <c r="CD93" s="448"/>
      <c r="CE93" s="448"/>
      <c r="CF93" s="448"/>
      <c r="CG93" s="448"/>
      <c r="CH93" s="448"/>
      <c r="CI93" s="448"/>
      <c r="CJ93" s="448"/>
      <c r="CK93" s="448"/>
      <c r="CL93" s="448"/>
      <c r="CM93" s="448"/>
      <c r="CN93" s="448"/>
      <c r="CO93" s="448"/>
      <c r="CP93" s="448"/>
      <c r="CQ93" s="448"/>
      <c r="CR93" s="448"/>
      <c r="CS93" s="448"/>
      <c r="CT93" s="448"/>
      <c r="CU93" s="448"/>
      <c r="CV93" s="448"/>
      <c r="CW93" s="448"/>
      <c r="CX93" s="448"/>
      <c r="CY93" s="448"/>
      <c r="CZ93" s="448"/>
      <c r="DA93" s="448"/>
      <c r="DB93" s="448"/>
      <c r="DC93" s="448"/>
      <c r="DD93" s="448"/>
      <c r="DE93" s="448"/>
      <c r="DF93" s="448"/>
      <c r="DG93" s="448"/>
      <c r="DH93" s="448"/>
      <c r="DI93" s="448"/>
      <c r="DJ93" s="448"/>
      <c r="DK93" s="448"/>
      <c r="DL93" s="448"/>
      <c r="DM93" s="448"/>
      <c r="DN93" s="448"/>
      <c r="DO93" s="448"/>
      <c r="DP93" s="448"/>
      <c r="DQ93" s="448"/>
      <c r="DR93" s="448"/>
      <c r="DS93" s="448"/>
      <c r="DT93" s="448"/>
      <c r="DU93" s="448"/>
      <c r="DV93" s="448"/>
      <c r="DW93" s="448"/>
      <c r="DX93" s="448"/>
      <c r="DY93" s="448"/>
      <c r="DZ93" s="448"/>
      <c r="EA93" s="448"/>
      <c r="EB93" s="448"/>
      <c r="EC93" s="448"/>
      <c r="ED93" s="448"/>
      <c r="EE93" s="448"/>
      <c r="EF93" s="448"/>
      <c r="EG93" s="448"/>
      <c r="EH93" s="448"/>
      <c r="EI93" s="448"/>
      <c r="EJ93" s="448"/>
      <c r="EK93" s="448"/>
      <c r="EL93" s="448"/>
      <c r="EM93" s="448"/>
      <c r="EN93" s="448"/>
      <c r="EO93" s="448"/>
      <c r="EP93" s="448"/>
      <c r="EQ93" s="448"/>
      <c r="ER93" s="448"/>
      <c r="ES93" s="448"/>
      <c r="ET93" s="13"/>
      <c r="EU93" s="13"/>
      <c r="EV93" s="13"/>
      <c r="EW93" s="13"/>
      <c r="EX93" s="13"/>
    </row>
    <row r="94" spans="1:166" s="20" customFormat="1" ht="27" customHeight="1" x14ac:dyDescent="0.8">
      <c r="A94" s="70"/>
      <c r="B94" s="70"/>
      <c r="C94" s="71"/>
      <c r="D94" s="71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72"/>
      <c r="AW94" s="72"/>
      <c r="AX94" s="72"/>
      <c r="AY94" s="72"/>
      <c r="AZ94" s="72"/>
      <c r="BA94" s="72"/>
      <c r="BB94" s="72"/>
      <c r="BC94" s="72"/>
      <c r="BD94" s="72"/>
      <c r="BE94" s="72"/>
      <c r="BF94" s="72"/>
      <c r="BG94" s="72"/>
      <c r="BH94" s="72"/>
      <c r="BI94" s="72"/>
      <c r="BJ94" s="72"/>
      <c r="BK94" s="72"/>
      <c r="BL94" s="72"/>
      <c r="BM94" s="72"/>
      <c r="BN94" s="72"/>
      <c r="BO94" s="72"/>
      <c r="BP94" s="72"/>
      <c r="BQ94" s="72"/>
      <c r="BR94" s="72"/>
      <c r="BS94" s="72"/>
      <c r="BT94" s="72"/>
      <c r="BU94" s="72"/>
      <c r="BV94" s="72"/>
      <c r="BW94" s="72"/>
      <c r="BX94" s="72"/>
      <c r="BY94" s="72"/>
      <c r="BZ94" s="72"/>
      <c r="CA94" s="72"/>
      <c r="CB94" s="72"/>
      <c r="CC94" s="72"/>
      <c r="CD94" s="72"/>
      <c r="CE94" s="72"/>
      <c r="CF94" s="72"/>
      <c r="CG94" s="72"/>
      <c r="CH94" s="72"/>
      <c r="CI94" s="72"/>
      <c r="CJ94" s="72"/>
      <c r="CK94" s="72"/>
      <c r="CL94" s="72"/>
      <c r="CM94" s="72"/>
      <c r="CN94" s="72"/>
      <c r="CO94" s="72"/>
      <c r="CP94" s="72"/>
      <c r="CQ94" s="72"/>
      <c r="CR94" s="72"/>
      <c r="CS94" s="72"/>
      <c r="CT94" s="72"/>
      <c r="CU94" s="72"/>
      <c r="CV94" s="72"/>
      <c r="CW94" s="72"/>
      <c r="CX94" s="72"/>
      <c r="CY94" s="72"/>
      <c r="CZ94" s="72"/>
      <c r="DA94" s="72"/>
      <c r="DB94" s="72"/>
      <c r="DC94" s="72"/>
      <c r="DD94" s="72"/>
      <c r="DE94" s="72"/>
      <c r="DF94" s="72"/>
      <c r="DG94" s="72"/>
      <c r="DH94" s="72"/>
      <c r="DI94" s="72"/>
      <c r="DJ94" s="72"/>
      <c r="DK94" s="72"/>
      <c r="DL94" s="72"/>
      <c r="DM94" s="72"/>
      <c r="DN94" s="72"/>
      <c r="DO94" s="72"/>
      <c r="DP94" s="72"/>
      <c r="DQ94" s="72"/>
      <c r="DR94" s="73"/>
      <c r="DS94" s="74"/>
      <c r="DT94" s="74"/>
      <c r="DU94" s="74"/>
      <c r="DV94" s="74"/>
      <c r="DW94" s="74"/>
      <c r="DX94" s="74"/>
      <c r="DY94" s="74"/>
      <c r="DZ94" s="74"/>
      <c r="EA94" s="74"/>
      <c r="EB94" s="74"/>
      <c r="EC94" s="74"/>
      <c r="ED94" s="74"/>
      <c r="EE94" s="74"/>
      <c r="EF94" s="74"/>
      <c r="EG94" s="74"/>
      <c r="EH94" s="75"/>
      <c r="EI94" s="74"/>
      <c r="EJ94" s="74"/>
      <c r="EK94" s="74"/>
      <c r="EL94" s="74"/>
      <c r="EM94" s="74"/>
      <c r="EN94" s="74"/>
      <c r="EO94" s="74"/>
      <c r="EP94" s="75"/>
      <c r="EQ94" s="74"/>
      <c r="ER94" s="74"/>
      <c r="ES94" s="74"/>
      <c r="ET94" s="13"/>
      <c r="EU94" s="13"/>
      <c r="EV94" s="13"/>
      <c r="EW94" s="13"/>
      <c r="EX94" s="13"/>
    </row>
    <row r="95" spans="1:166" s="20" customFormat="1" ht="32.25" customHeight="1" x14ac:dyDescent="0.8">
      <c r="A95" s="70"/>
      <c r="B95" s="70"/>
      <c r="C95" s="71"/>
      <c r="D95" s="71"/>
      <c r="E95" s="441"/>
      <c r="F95" s="441"/>
      <c r="G95" s="441"/>
      <c r="H95" s="441"/>
      <c r="I95" s="441"/>
      <c r="J95" s="441"/>
      <c r="K95" s="441"/>
      <c r="L95" s="441"/>
      <c r="M95" s="441"/>
      <c r="N95" s="441"/>
      <c r="O95" s="441"/>
      <c r="P95" s="441"/>
      <c r="Q95" s="441"/>
      <c r="R95" s="441"/>
      <c r="S95" s="441"/>
      <c r="T95" s="441"/>
      <c r="U95" s="441"/>
      <c r="V95" s="441"/>
      <c r="W95" s="441"/>
      <c r="X95" s="441"/>
      <c r="Y95" s="441"/>
      <c r="Z95" s="441"/>
      <c r="AA95" s="441"/>
      <c r="AB95" s="441"/>
      <c r="AC95" s="441"/>
      <c r="AD95" s="441"/>
      <c r="AE95" s="441"/>
      <c r="AF95" s="441"/>
      <c r="AG95" s="441"/>
      <c r="AH95" s="441"/>
      <c r="AI95" s="441"/>
      <c r="AJ95" s="441"/>
      <c r="AK95" s="441"/>
      <c r="AL95" s="441"/>
      <c r="AM95" s="441"/>
      <c r="AN95" s="441"/>
      <c r="AO95" s="441"/>
      <c r="AP95" s="441"/>
      <c r="AQ95" s="441"/>
      <c r="AR95" s="441"/>
      <c r="AS95" s="441"/>
      <c r="AT95" s="441"/>
      <c r="AU95" s="441"/>
      <c r="AV95" s="441"/>
      <c r="AW95" s="441"/>
      <c r="AX95" s="441"/>
      <c r="AY95" s="441"/>
      <c r="AZ95" s="441"/>
      <c r="BA95" s="441"/>
      <c r="BB95" s="441"/>
      <c r="BC95" s="441"/>
      <c r="BD95" s="441"/>
      <c r="BE95" s="441"/>
      <c r="BF95" s="441"/>
      <c r="BG95" s="441"/>
      <c r="BH95" s="441"/>
      <c r="BI95" s="441"/>
      <c r="BJ95" s="441"/>
      <c r="BK95" s="441"/>
      <c r="BL95" s="441"/>
      <c r="BM95" s="441"/>
      <c r="BN95" s="441"/>
      <c r="BO95" s="441"/>
      <c r="BP95" s="441"/>
      <c r="BQ95" s="441"/>
      <c r="BR95" s="441"/>
      <c r="BS95" s="441"/>
      <c r="BT95" s="441"/>
      <c r="BU95" s="441"/>
      <c r="BV95" s="441"/>
      <c r="BW95" s="441"/>
      <c r="BX95" s="441"/>
      <c r="BY95" s="441"/>
      <c r="BZ95" s="441"/>
      <c r="CA95" s="441"/>
      <c r="CB95" s="441"/>
      <c r="CC95" s="441"/>
      <c r="CD95" s="441"/>
      <c r="CE95" s="441"/>
      <c r="CF95" s="441"/>
      <c r="CG95" s="441"/>
      <c r="CH95" s="441"/>
      <c r="CI95" s="441"/>
      <c r="CJ95" s="441"/>
      <c r="CK95" s="441"/>
      <c r="CL95" s="441"/>
      <c r="CM95" s="441"/>
      <c r="CN95" s="441"/>
      <c r="CO95" s="441"/>
      <c r="CP95" s="441"/>
      <c r="CQ95" s="441"/>
      <c r="CR95" s="441"/>
      <c r="CS95" s="441"/>
      <c r="CT95" s="441"/>
      <c r="CU95" s="441"/>
      <c r="CV95" s="441"/>
      <c r="CW95" s="441"/>
      <c r="CX95" s="441"/>
      <c r="CY95" s="441"/>
      <c r="CZ95" s="441"/>
      <c r="DA95" s="441"/>
      <c r="DB95" s="441"/>
      <c r="DC95" s="441"/>
      <c r="DD95" s="441"/>
      <c r="DE95" s="441"/>
      <c r="DF95" s="441"/>
      <c r="DG95" s="441"/>
      <c r="DH95" s="441"/>
      <c r="DI95" s="441"/>
      <c r="DJ95" s="441"/>
      <c r="DK95" s="441"/>
      <c r="DL95" s="441"/>
      <c r="DM95" s="441"/>
      <c r="DN95" s="441"/>
      <c r="DO95" s="441"/>
      <c r="DP95" s="441"/>
      <c r="DQ95" s="72"/>
      <c r="DR95" s="73"/>
      <c r="DS95" s="74"/>
      <c r="DT95" s="74"/>
      <c r="DU95" s="74"/>
      <c r="DV95" s="74"/>
      <c r="DW95" s="74"/>
      <c r="DX95" s="74"/>
      <c r="DY95" s="74"/>
      <c r="DZ95" s="74"/>
      <c r="EA95" s="74"/>
      <c r="EB95" s="74"/>
      <c r="EC95" s="74"/>
      <c r="ED95" s="74"/>
      <c r="EE95" s="74"/>
      <c r="EF95" s="74"/>
      <c r="EG95" s="74"/>
      <c r="EH95" s="75"/>
      <c r="EI95" s="74"/>
      <c r="EJ95" s="74"/>
      <c r="EK95" s="74"/>
      <c r="EL95" s="74"/>
      <c r="EM95" s="74"/>
      <c r="EN95" s="74"/>
      <c r="EO95" s="74"/>
      <c r="EP95" s="75"/>
      <c r="EQ95" s="74"/>
      <c r="ER95" s="74"/>
      <c r="ES95" s="74"/>
      <c r="ET95" s="13"/>
      <c r="EU95" s="13"/>
      <c r="EV95" s="13"/>
      <c r="EW95" s="13"/>
      <c r="EX95" s="13"/>
    </row>
    <row r="96" spans="1:166" ht="120" customHeight="1" x14ac:dyDescent="0.9">
      <c r="A96" s="69"/>
      <c r="B96" s="69"/>
      <c r="C96" s="370" t="s">
        <v>90</v>
      </c>
      <c r="D96" s="370"/>
      <c r="E96" s="370"/>
      <c r="F96" s="370"/>
      <c r="G96" s="370"/>
      <c r="H96" s="370"/>
      <c r="I96" s="370"/>
      <c r="J96" s="370"/>
      <c r="K96" s="370"/>
      <c r="L96" s="370"/>
      <c r="M96" s="370"/>
      <c r="N96" s="370"/>
      <c r="O96" s="370"/>
      <c r="P96" s="370"/>
      <c r="Q96" s="370"/>
      <c r="R96" s="370"/>
      <c r="S96" s="370"/>
      <c r="T96" s="370"/>
      <c r="U96" s="370"/>
      <c r="V96" s="370"/>
      <c r="W96" s="370"/>
      <c r="X96" s="370"/>
      <c r="Y96" s="370"/>
      <c r="Z96" s="370"/>
      <c r="AA96" s="370"/>
      <c r="AB96" s="370"/>
      <c r="AC96" s="370"/>
      <c r="AD96" s="370"/>
      <c r="AE96" s="421" t="s">
        <v>91</v>
      </c>
      <c r="AF96" s="422"/>
      <c r="AG96" s="422"/>
      <c r="AH96" s="422"/>
      <c r="AI96" s="422"/>
      <c r="AJ96" s="422"/>
      <c r="AK96" s="422"/>
      <c r="AL96" s="423"/>
      <c r="AM96" s="424" t="s">
        <v>92</v>
      </c>
      <c r="AN96" s="425"/>
      <c r="AO96" s="425"/>
      <c r="AP96" s="425"/>
      <c r="AQ96" s="425"/>
      <c r="AR96" s="425"/>
      <c r="AS96" s="425"/>
      <c r="AT96" s="426"/>
      <c r="AU96" s="434" t="s">
        <v>93</v>
      </c>
      <c r="AV96" s="435"/>
      <c r="AW96" s="435"/>
      <c r="AX96" s="435"/>
      <c r="AY96" s="435"/>
      <c r="AZ96" s="435"/>
      <c r="BA96" s="435"/>
      <c r="BB96" s="435"/>
      <c r="BC96" s="435"/>
      <c r="BD96" s="435"/>
      <c r="BE96" s="435"/>
      <c r="BF96" s="435"/>
      <c r="BG96" s="435"/>
      <c r="BH96" s="435"/>
      <c r="BI96" s="435"/>
      <c r="BJ96" s="435"/>
      <c r="BK96" s="435"/>
      <c r="BL96" s="435"/>
      <c r="BM96" s="435"/>
      <c r="BN96" s="435"/>
      <c r="BO96" s="435"/>
      <c r="BP96" s="435"/>
      <c r="BQ96" s="435"/>
      <c r="BR96" s="435"/>
      <c r="BS96" s="435"/>
      <c r="BT96" s="435"/>
      <c r="BU96" s="435"/>
      <c r="BV96" s="435"/>
      <c r="BW96" s="435"/>
      <c r="BX96" s="435"/>
      <c r="BY96" s="435"/>
      <c r="BZ96" s="435"/>
      <c r="CA96" s="435"/>
      <c r="CB96" s="435"/>
      <c r="CC96" s="435"/>
      <c r="CD96" s="435"/>
      <c r="CE96" s="435"/>
      <c r="CF96" s="435"/>
      <c r="CG96" s="435"/>
      <c r="CH96" s="436"/>
      <c r="CI96" s="77"/>
      <c r="CJ96" s="77"/>
      <c r="CK96" s="77"/>
      <c r="CL96" s="142"/>
      <c r="CM96" s="143"/>
      <c r="CN96" s="143"/>
      <c r="CO96" s="143"/>
      <c r="CP96" s="143"/>
      <c r="CQ96" s="143"/>
      <c r="CR96" s="143"/>
      <c r="CS96" s="143"/>
      <c r="CT96" s="143"/>
      <c r="CU96" s="143"/>
      <c r="CV96" s="143"/>
      <c r="CW96" s="143"/>
      <c r="CX96" s="143"/>
      <c r="CY96" s="143"/>
      <c r="CZ96" s="143"/>
      <c r="DA96" s="143"/>
      <c r="DB96" s="143"/>
      <c r="DC96" s="143"/>
      <c r="DD96" s="143"/>
      <c r="DE96" s="143"/>
      <c r="DF96" s="143"/>
      <c r="DG96" s="143"/>
      <c r="DH96" s="143"/>
      <c r="DI96" s="143"/>
      <c r="DJ96" s="143"/>
      <c r="DK96" s="143"/>
      <c r="DL96" s="143"/>
      <c r="DM96" s="143"/>
      <c r="DN96" s="143"/>
      <c r="DO96" s="143"/>
      <c r="DP96" s="143"/>
      <c r="DQ96" s="143"/>
      <c r="DR96" s="143"/>
      <c r="DS96" s="144"/>
      <c r="DT96" s="77"/>
      <c r="DU96" s="77"/>
      <c r="DV96" s="77"/>
      <c r="DW96" s="77"/>
      <c r="DX96" s="77"/>
      <c r="DY96" s="77"/>
      <c r="DZ96" s="77"/>
      <c r="EA96" s="77"/>
      <c r="EB96" s="77"/>
      <c r="EC96" s="77"/>
      <c r="ED96" s="77"/>
      <c r="EE96" s="77"/>
      <c r="EF96" s="77"/>
      <c r="EG96" s="77"/>
      <c r="EH96" s="77"/>
      <c r="EI96" s="77"/>
      <c r="EJ96" s="77"/>
      <c r="EK96" s="77"/>
      <c r="EL96" s="77"/>
      <c r="EM96" s="77"/>
      <c r="EN96" s="77"/>
      <c r="EO96" s="77"/>
      <c r="EP96" s="77"/>
      <c r="EQ96" s="77"/>
      <c r="ER96" s="77"/>
      <c r="ES96" s="77"/>
      <c r="ET96" s="13"/>
      <c r="EU96" s="13"/>
      <c r="EV96" s="13"/>
      <c r="EW96" s="13"/>
      <c r="EX96" s="13"/>
    </row>
    <row r="97" spans="1:154" ht="120" customHeight="1" x14ac:dyDescent="0.85">
      <c r="A97" s="69"/>
      <c r="B97" s="69"/>
      <c r="C97" s="371" t="s">
        <v>94</v>
      </c>
      <c r="D97" s="371"/>
      <c r="E97" s="371"/>
      <c r="F97" s="371"/>
      <c r="G97" s="371"/>
      <c r="H97" s="371"/>
      <c r="I97" s="371"/>
      <c r="J97" s="371"/>
      <c r="K97" s="371"/>
      <c r="L97" s="371"/>
      <c r="M97" s="371"/>
      <c r="N97" s="371"/>
      <c r="O97" s="371"/>
      <c r="P97" s="371"/>
      <c r="Q97" s="371"/>
      <c r="R97" s="371"/>
      <c r="S97" s="371"/>
      <c r="T97" s="371"/>
      <c r="U97" s="371"/>
      <c r="V97" s="371"/>
      <c r="W97" s="371"/>
      <c r="X97" s="371"/>
      <c r="Y97" s="371"/>
      <c r="Z97" s="371"/>
      <c r="AA97" s="371"/>
      <c r="AB97" s="371"/>
      <c r="AC97" s="371"/>
      <c r="AD97" s="371"/>
      <c r="AE97" s="442">
        <f>+DO21</f>
        <v>0</v>
      </c>
      <c r="AF97" s="443"/>
      <c r="AG97" s="443"/>
      <c r="AH97" s="443"/>
      <c r="AI97" s="443"/>
      <c r="AJ97" s="443"/>
      <c r="AK97" s="443"/>
      <c r="AL97" s="444"/>
      <c r="AM97" s="445" t="s">
        <v>99</v>
      </c>
      <c r="AN97" s="446"/>
      <c r="AO97" s="446"/>
      <c r="AP97" s="446"/>
      <c r="AQ97" s="446"/>
      <c r="AR97" s="446"/>
      <c r="AS97" s="446"/>
      <c r="AT97" s="447"/>
      <c r="AU97" s="454" t="s">
        <v>103</v>
      </c>
      <c r="AV97" s="455"/>
      <c r="AW97" s="455"/>
      <c r="AX97" s="455"/>
      <c r="AY97" s="455"/>
      <c r="AZ97" s="455"/>
      <c r="BA97" s="455"/>
      <c r="BB97" s="455"/>
      <c r="BC97" s="455"/>
      <c r="BD97" s="455"/>
      <c r="BE97" s="455"/>
      <c r="BF97" s="455"/>
      <c r="BG97" s="455"/>
      <c r="BH97" s="455"/>
      <c r="BI97" s="455"/>
      <c r="BJ97" s="455"/>
      <c r="BK97" s="455"/>
      <c r="BL97" s="455"/>
      <c r="BM97" s="455"/>
      <c r="BN97" s="455"/>
      <c r="BO97" s="455"/>
      <c r="BP97" s="455"/>
      <c r="BQ97" s="455"/>
      <c r="BR97" s="455"/>
      <c r="BS97" s="455"/>
      <c r="BT97" s="455"/>
      <c r="BU97" s="455"/>
      <c r="BV97" s="455"/>
      <c r="BW97" s="455"/>
      <c r="BX97" s="455"/>
      <c r="BY97" s="455"/>
      <c r="BZ97" s="455"/>
      <c r="CA97" s="455"/>
      <c r="CB97" s="455"/>
      <c r="CC97" s="455"/>
      <c r="CD97" s="455"/>
      <c r="CE97" s="455"/>
      <c r="CF97" s="455"/>
      <c r="CG97" s="455"/>
      <c r="CH97" s="456"/>
      <c r="CI97" s="77"/>
      <c r="CJ97" s="77"/>
      <c r="CK97" s="77"/>
      <c r="CL97" s="314" t="s">
        <v>234</v>
      </c>
      <c r="CM97" s="315"/>
      <c r="CN97" s="315"/>
      <c r="CO97" s="315"/>
      <c r="CP97" s="315"/>
      <c r="CQ97" s="315"/>
      <c r="CR97" s="315"/>
      <c r="CS97" s="315"/>
      <c r="CT97" s="315"/>
      <c r="CU97" s="315"/>
      <c r="CV97" s="315"/>
      <c r="CW97" s="315"/>
      <c r="CX97" s="315"/>
      <c r="CY97" s="315"/>
      <c r="CZ97" s="315"/>
      <c r="DA97" s="315"/>
      <c r="DB97" s="315"/>
      <c r="DC97" s="315"/>
      <c r="DD97" s="315"/>
      <c r="DE97" s="315"/>
      <c r="DF97" s="315"/>
      <c r="DG97" s="315"/>
      <c r="DH97" s="315"/>
      <c r="DI97" s="315"/>
      <c r="DJ97" s="315"/>
      <c r="DK97" s="315"/>
      <c r="DL97" s="315"/>
      <c r="DM97" s="315"/>
      <c r="DN97" s="315"/>
      <c r="DO97" s="315"/>
      <c r="DP97" s="315"/>
      <c r="DQ97" s="315"/>
      <c r="DR97" s="315"/>
      <c r="DS97" s="316"/>
      <c r="DT97" s="77"/>
      <c r="DU97" s="77"/>
      <c r="DV97" s="77"/>
      <c r="DW97" s="77"/>
      <c r="DX97" s="77"/>
      <c r="DY97" s="77"/>
      <c r="DZ97" s="77"/>
      <c r="EA97" s="77"/>
      <c r="EB97" s="77"/>
      <c r="EC97" s="77"/>
      <c r="ED97" s="77"/>
      <c r="EE97" s="77"/>
      <c r="EF97" s="77"/>
      <c r="EG97" s="77"/>
      <c r="EH97" s="77"/>
      <c r="EI97" s="77"/>
      <c r="EJ97" s="77"/>
      <c r="EK97" s="77"/>
      <c r="EL97" s="77"/>
      <c r="EM97" s="77"/>
      <c r="EN97" s="77"/>
      <c r="EO97" s="77"/>
      <c r="EP97" s="77"/>
      <c r="EQ97" s="77"/>
      <c r="ER97" s="77"/>
      <c r="ES97" s="77"/>
      <c r="ET97" s="13"/>
      <c r="EU97" s="13"/>
      <c r="EV97" s="13"/>
      <c r="EW97" s="13"/>
      <c r="EX97" s="13"/>
    </row>
    <row r="98" spans="1:154" ht="120" customHeight="1" x14ac:dyDescent="0.85">
      <c r="A98" s="69"/>
      <c r="B98" s="69"/>
      <c r="C98" s="464" t="s">
        <v>254</v>
      </c>
      <c r="D98" s="464"/>
      <c r="E98" s="464"/>
      <c r="F98" s="464"/>
      <c r="G98" s="464"/>
      <c r="H98" s="464"/>
      <c r="I98" s="464"/>
      <c r="J98" s="464"/>
      <c r="K98" s="464"/>
      <c r="L98" s="464"/>
      <c r="M98" s="464"/>
      <c r="N98" s="464"/>
      <c r="O98" s="464"/>
      <c r="P98" s="464"/>
      <c r="Q98" s="464"/>
      <c r="R98" s="464"/>
      <c r="S98" s="464"/>
      <c r="T98" s="464"/>
      <c r="U98" s="464"/>
      <c r="V98" s="464"/>
      <c r="W98" s="464"/>
      <c r="X98" s="464"/>
      <c r="Y98" s="464"/>
      <c r="Z98" s="464"/>
      <c r="AA98" s="464"/>
      <c r="AB98" s="464"/>
      <c r="AC98" s="464"/>
      <c r="AD98" s="464"/>
      <c r="AE98" s="442">
        <f>+DX21+ED21</f>
        <v>0</v>
      </c>
      <c r="AF98" s="443"/>
      <c r="AG98" s="443"/>
      <c r="AH98" s="443"/>
      <c r="AI98" s="443"/>
      <c r="AJ98" s="443"/>
      <c r="AK98" s="443"/>
      <c r="AL98" s="444"/>
      <c r="AM98" s="445" t="s">
        <v>109</v>
      </c>
      <c r="AN98" s="446"/>
      <c r="AO98" s="446"/>
      <c r="AP98" s="446"/>
      <c r="AQ98" s="446"/>
      <c r="AR98" s="446"/>
      <c r="AS98" s="446"/>
      <c r="AT98" s="447"/>
      <c r="AU98" s="457"/>
      <c r="AV98" s="458"/>
      <c r="AW98" s="458"/>
      <c r="AX98" s="458"/>
      <c r="AY98" s="458"/>
      <c r="AZ98" s="458"/>
      <c r="BA98" s="458"/>
      <c r="BB98" s="458"/>
      <c r="BC98" s="458"/>
      <c r="BD98" s="458"/>
      <c r="BE98" s="458"/>
      <c r="BF98" s="458"/>
      <c r="BG98" s="458"/>
      <c r="BH98" s="458"/>
      <c r="BI98" s="458"/>
      <c r="BJ98" s="458"/>
      <c r="BK98" s="458"/>
      <c r="BL98" s="458"/>
      <c r="BM98" s="458"/>
      <c r="BN98" s="458"/>
      <c r="BO98" s="458"/>
      <c r="BP98" s="458"/>
      <c r="BQ98" s="458"/>
      <c r="BR98" s="458"/>
      <c r="BS98" s="458"/>
      <c r="BT98" s="458"/>
      <c r="BU98" s="458"/>
      <c r="BV98" s="458"/>
      <c r="BW98" s="458"/>
      <c r="BX98" s="458"/>
      <c r="BY98" s="458"/>
      <c r="BZ98" s="458"/>
      <c r="CA98" s="458"/>
      <c r="CB98" s="458"/>
      <c r="CC98" s="458"/>
      <c r="CD98" s="458"/>
      <c r="CE98" s="458"/>
      <c r="CF98" s="458"/>
      <c r="CG98" s="458"/>
      <c r="CH98" s="459"/>
      <c r="CI98" s="77"/>
      <c r="CJ98" s="77"/>
      <c r="CK98" s="77"/>
      <c r="CL98" s="314" t="s">
        <v>235</v>
      </c>
      <c r="CM98" s="315"/>
      <c r="CN98" s="315"/>
      <c r="CO98" s="315"/>
      <c r="CP98" s="315"/>
      <c r="CQ98" s="315"/>
      <c r="CR98" s="315"/>
      <c r="CS98" s="315"/>
      <c r="CT98" s="315"/>
      <c r="CU98" s="315"/>
      <c r="CV98" s="315"/>
      <c r="CW98" s="315"/>
      <c r="CX98" s="315"/>
      <c r="CY98" s="315"/>
      <c r="CZ98" s="315"/>
      <c r="DA98" s="315"/>
      <c r="DB98" s="315"/>
      <c r="DC98" s="315"/>
      <c r="DD98" s="315"/>
      <c r="DE98" s="315"/>
      <c r="DF98" s="315"/>
      <c r="DG98" s="315"/>
      <c r="DH98" s="315"/>
      <c r="DI98" s="315"/>
      <c r="DJ98" s="315"/>
      <c r="DK98" s="315"/>
      <c r="DL98" s="315"/>
      <c r="DM98" s="315"/>
      <c r="DN98" s="315"/>
      <c r="DO98" s="315"/>
      <c r="DP98" s="315"/>
      <c r="DQ98" s="315"/>
      <c r="DR98" s="315"/>
      <c r="DS98" s="316"/>
      <c r="DT98" s="77"/>
      <c r="DU98" s="77"/>
      <c r="DV98" s="77"/>
      <c r="DW98" s="77"/>
      <c r="DX98" s="77"/>
      <c r="DY98" s="77"/>
      <c r="DZ98" s="77"/>
      <c r="EA98" s="77"/>
      <c r="EB98" s="77"/>
      <c r="EC98" s="77"/>
      <c r="ED98" s="77"/>
      <c r="EE98" s="77"/>
      <c r="EF98" s="77"/>
      <c r="EG98" s="77"/>
      <c r="EH98" s="77"/>
      <c r="EI98" s="77"/>
      <c r="EJ98" s="77"/>
      <c r="EK98" s="77"/>
      <c r="EL98" s="77"/>
      <c r="EM98" s="77"/>
      <c r="EN98" s="77"/>
      <c r="EO98" s="77"/>
      <c r="EP98" s="77"/>
      <c r="EQ98" s="77"/>
      <c r="ER98" s="77"/>
      <c r="ES98" s="77"/>
      <c r="ET98" s="13"/>
      <c r="EU98" s="13"/>
      <c r="EV98" s="13"/>
      <c r="EW98" s="13"/>
      <c r="EX98" s="13"/>
    </row>
    <row r="99" spans="1:154" ht="120" customHeight="1" x14ac:dyDescent="0.85">
      <c r="A99" s="69"/>
      <c r="B99" s="69"/>
      <c r="C99" s="464" t="s">
        <v>95</v>
      </c>
      <c r="D99" s="464"/>
      <c r="E99" s="464"/>
      <c r="F99" s="464"/>
      <c r="G99" s="464"/>
      <c r="H99" s="464"/>
      <c r="I99" s="464"/>
      <c r="J99" s="464"/>
      <c r="K99" s="464"/>
      <c r="L99" s="464"/>
      <c r="M99" s="464"/>
      <c r="N99" s="464"/>
      <c r="O99" s="464"/>
      <c r="P99" s="464"/>
      <c r="Q99" s="464"/>
      <c r="R99" s="464"/>
      <c r="S99" s="464"/>
      <c r="T99" s="464"/>
      <c r="U99" s="464"/>
      <c r="V99" s="464"/>
      <c r="W99" s="464"/>
      <c r="X99" s="464"/>
      <c r="Y99" s="464"/>
      <c r="Z99" s="464"/>
      <c r="AA99" s="464"/>
      <c r="AB99" s="464"/>
      <c r="AC99" s="464"/>
      <c r="AD99" s="464"/>
      <c r="AE99" s="442">
        <f>+DR21</f>
        <v>0</v>
      </c>
      <c r="AF99" s="443"/>
      <c r="AG99" s="443"/>
      <c r="AH99" s="443"/>
      <c r="AI99" s="443"/>
      <c r="AJ99" s="443"/>
      <c r="AK99" s="443"/>
      <c r="AL99" s="444"/>
      <c r="AM99" s="445" t="s">
        <v>100</v>
      </c>
      <c r="AN99" s="446"/>
      <c r="AO99" s="446"/>
      <c r="AP99" s="446"/>
      <c r="AQ99" s="446"/>
      <c r="AR99" s="446"/>
      <c r="AS99" s="446"/>
      <c r="AT99" s="447"/>
      <c r="AU99" s="457"/>
      <c r="AV99" s="458"/>
      <c r="AW99" s="458"/>
      <c r="AX99" s="458"/>
      <c r="AY99" s="458"/>
      <c r="AZ99" s="458"/>
      <c r="BA99" s="458"/>
      <c r="BB99" s="458"/>
      <c r="BC99" s="458"/>
      <c r="BD99" s="458"/>
      <c r="BE99" s="458"/>
      <c r="BF99" s="458"/>
      <c r="BG99" s="458"/>
      <c r="BH99" s="458"/>
      <c r="BI99" s="458"/>
      <c r="BJ99" s="458"/>
      <c r="BK99" s="458"/>
      <c r="BL99" s="458"/>
      <c r="BM99" s="458"/>
      <c r="BN99" s="458"/>
      <c r="BO99" s="458"/>
      <c r="BP99" s="458"/>
      <c r="BQ99" s="458"/>
      <c r="BR99" s="458"/>
      <c r="BS99" s="458"/>
      <c r="BT99" s="458"/>
      <c r="BU99" s="458"/>
      <c r="BV99" s="458"/>
      <c r="BW99" s="458"/>
      <c r="BX99" s="458"/>
      <c r="BY99" s="458"/>
      <c r="BZ99" s="458"/>
      <c r="CA99" s="458"/>
      <c r="CB99" s="458"/>
      <c r="CC99" s="458"/>
      <c r="CD99" s="458"/>
      <c r="CE99" s="458"/>
      <c r="CF99" s="458"/>
      <c r="CG99" s="458"/>
      <c r="CH99" s="459"/>
      <c r="CI99" s="77"/>
      <c r="CJ99" s="77"/>
      <c r="CK99" s="77"/>
      <c r="CL99" s="314" t="s">
        <v>231</v>
      </c>
      <c r="CM99" s="315"/>
      <c r="CN99" s="315"/>
      <c r="CO99" s="315"/>
      <c r="CP99" s="315"/>
      <c r="CQ99" s="315"/>
      <c r="CR99" s="315"/>
      <c r="CS99" s="315"/>
      <c r="CT99" s="315"/>
      <c r="CU99" s="315"/>
      <c r="CV99" s="315"/>
      <c r="CW99" s="315"/>
      <c r="CX99" s="315"/>
      <c r="CY99" s="315"/>
      <c r="CZ99" s="315"/>
      <c r="DA99" s="315"/>
      <c r="DB99" s="315"/>
      <c r="DC99" s="315"/>
      <c r="DD99" s="315"/>
      <c r="DE99" s="315"/>
      <c r="DF99" s="315"/>
      <c r="DG99" s="315"/>
      <c r="DH99" s="315"/>
      <c r="DI99" s="315"/>
      <c r="DJ99" s="315"/>
      <c r="DK99" s="315"/>
      <c r="DL99" s="315"/>
      <c r="DM99" s="315"/>
      <c r="DN99" s="315"/>
      <c r="DO99" s="315"/>
      <c r="DP99" s="315"/>
      <c r="DQ99" s="315"/>
      <c r="DR99" s="315"/>
      <c r="DS99" s="145"/>
      <c r="DT99" s="77"/>
      <c r="DU99" s="77"/>
      <c r="DV99" s="77"/>
      <c r="DW99" s="77"/>
      <c r="DX99" s="77"/>
      <c r="DY99" s="77"/>
      <c r="DZ99" s="77"/>
      <c r="EA99" s="77"/>
      <c r="EB99" s="77"/>
      <c r="EC99" s="77"/>
      <c r="ED99" s="77"/>
      <c r="EE99" s="77"/>
      <c r="EF99" s="77"/>
      <c r="EG99" s="77"/>
      <c r="EH99" s="77"/>
      <c r="EI99" s="77"/>
      <c r="EJ99" s="77"/>
      <c r="EK99" s="77"/>
      <c r="EL99" s="77"/>
      <c r="EM99" s="77"/>
      <c r="EN99" s="77"/>
      <c r="EO99" s="77"/>
      <c r="EP99" s="77"/>
      <c r="EQ99" s="77"/>
      <c r="ER99" s="77"/>
      <c r="ES99" s="77"/>
      <c r="ET99" s="13"/>
      <c r="EU99" s="13"/>
      <c r="EV99" s="13"/>
      <c r="EW99" s="13"/>
      <c r="EX99" s="13"/>
    </row>
    <row r="100" spans="1:154" ht="120" customHeight="1" x14ac:dyDescent="0.9">
      <c r="A100" s="69"/>
      <c r="B100" s="69"/>
      <c r="C100" s="464" t="s">
        <v>96</v>
      </c>
      <c r="D100" s="464"/>
      <c r="E100" s="464"/>
      <c r="F100" s="464"/>
      <c r="G100" s="464"/>
      <c r="H100" s="464"/>
      <c r="I100" s="464"/>
      <c r="J100" s="464"/>
      <c r="K100" s="464"/>
      <c r="L100" s="464"/>
      <c r="M100" s="464"/>
      <c r="N100" s="464"/>
      <c r="O100" s="464"/>
      <c r="P100" s="464"/>
      <c r="Q100" s="464"/>
      <c r="R100" s="464"/>
      <c r="S100" s="464"/>
      <c r="T100" s="464"/>
      <c r="U100" s="464"/>
      <c r="V100" s="464"/>
      <c r="W100" s="464"/>
      <c r="X100" s="464"/>
      <c r="Y100" s="464"/>
      <c r="Z100" s="464"/>
      <c r="AA100" s="464"/>
      <c r="AB100" s="464"/>
      <c r="AC100" s="464"/>
      <c r="AD100" s="464"/>
      <c r="AE100" s="442">
        <f>+EA21</f>
        <v>0</v>
      </c>
      <c r="AF100" s="443"/>
      <c r="AG100" s="443"/>
      <c r="AH100" s="443"/>
      <c r="AI100" s="443"/>
      <c r="AJ100" s="443"/>
      <c r="AK100" s="443"/>
      <c r="AL100" s="444"/>
      <c r="AM100" s="445" t="s">
        <v>101</v>
      </c>
      <c r="AN100" s="446"/>
      <c r="AO100" s="446"/>
      <c r="AP100" s="446"/>
      <c r="AQ100" s="446"/>
      <c r="AR100" s="446"/>
      <c r="AS100" s="446"/>
      <c r="AT100" s="447"/>
      <c r="AU100" s="457"/>
      <c r="AV100" s="458"/>
      <c r="AW100" s="458"/>
      <c r="AX100" s="458"/>
      <c r="AY100" s="458"/>
      <c r="AZ100" s="458"/>
      <c r="BA100" s="458"/>
      <c r="BB100" s="458"/>
      <c r="BC100" s="458"/>
      <c r="BD100" s="458"/>
      <c r="BE100" s="458"/>
      <c r="BF100" s="458"/>
      <c r="BG100" s="458"/>
      <c r="BH100" s="458"/>
      <c r="BI100" s="458"/>
      <c r="BJ100" s="458"/>
      <c r="BK100" s="458"/>
      <c r="BL100" s="458"/>
      <c r="BM100" s="458"/>
      <c r="BN100" s="458"/>
      <c r="BO100" s="458"/>
      <c r="BP100" s="458"/>
      <c r="BQ100" s="458"/>
      <c r="BR100" s="458"/>
      <c r="BS100" s="458"/>
      <c r="BT100" s="458"/>
      <c r="BU100" s="458"/>
      <c r="BV100" s="458"/>
      <c r="BW100" s="458"/>
      <c r="BX100" s="458"/>
      <c r="BY100" s="458"/>
      <c r="BZ100" s="458"/>
      <c r="CA100" s="458"/>
      <c r="CB100" s="458"/>
      <c r="CC100" s="458"/>
      <c r="CD100" s="458"/>
      <c r="CE100" s="458"/>
      <c r="CF100" s="458"/>
      <c r="CG100" s="458"/>
      <c r="CH100" s="459"/>
      <c r="CI100" s="77"/>
      <c r="CJ100" s="77"/>
      <c r="CK100" s="77"/>
      <c r="CL100" s="146"/>
      <c r="CM100" s="147"/>
      <c r="CN100" s="147"/>
      <c r="CO100" s="147"/>
      <c r="CP100" s="147"/>
      <c r="CQ100" s="147"/>
      <c r="CR100" s="147"/>
      <c r="CS100" s="147"/>
      <c r="CT100" s="147"/>
      <c r="CU100" s="147"/>
      <c r="CV100" s="147"/>
      <c r="CW100" s="147"/>
      <c r="CX100" s="147"/>
      <c r="CY100" s="147"/>
      <c r="CZ100" s="147"/>
      <c r="DA100" s="147"/>
      <c r="DB100" s="147"/>
      <c r="DC100" s="147"/>
      <c r="DD100" s="147"/>
      <c r="DE100" s="147"/>
      <c r="DF100" s="147"/>
      <c r="DG100" s="147"/>
      <c r="DH100" s="147"/>
      <c r="DI100" s="147"/>
      <c r="DJ100" s="147"/>
      <c r="DK100" s="147"/>
      <c r="DL100" s="147"/>
      <c r="DM100" s="147"/>
      <c r="DN100" s="147"/>
      <c r="DO100" s="147"/>
      <c r="DP100" s="147"/>
      <c r="DQ100" s="147"/>
      <c r="DR100" s="147"/>
      <c r="DS100" s="148"/>
      <c r="DT100" s="77"/>
      <c r="DU100" s="77"/>
      <c r="DV100" s="77"/>
      <c r="DW100" s="77"/>
      <c r="DX100" s="77"/>
      <c r="DY100" s="77"/>
      <c r="DZ100" s="77"/>
      <c r="EA100" s="77"/>
      <c r="EB100" s="77"/>
      <c r="EC100" s="77"/>
      <c r="ED100" s="77"/>
      <c r="EE100" s="77"/>
      <c r="EF100" s="77"/>
      <c r="EG100" s="77"/>
      <c r="EH100" s="77"/>
      <c r="EI100" s="77"/>
      <c r="EJ100" s="77"/>
      <c r="EK100" s="77"/>
      <c r="EL100" s="77"/>
      <c r="EM100" s="77"/>
      <c r="EN100" s="77"/>
      <c r="EO100" s="77"/>
      <c r="EP100" s="77"/>
      <c r="EQ100" s="77"/>
      <c r="ER100" s="77"/>
      <c r="ES100" s="77"/>
      <c r="ET100" s="13"/>
      <c r="EU100" s="13"/>
      <c r="EV100" s="13"/>
      <c r="EW100" s="13"/>
      <c r="EX100" s="13"/>
    </row>
    <row r="101" spans="1:154" ht="120" customHeight="1" x14ac:dyDescent="0.9">
      <c r="A101" s="69"/>
      <c r="B101" s="69"/>
      <c r="C101" s="371" t="s">
        <v>97</v>
      </c>
      <c r="D101" s="371"/>
      <c r="E101" s="371"/>
      <c r="F101" s="371"/>
      <c r="G101" s="371"/>
      <c r="H101" s="371"/>
      <c r="I101" s="371"/>
      <c r="J101" s="371"/>
      <c r="K101" s="371"/>
      <c r="L101" s="371"/>
      <c r="M101" s="371"/>
      <c r="N101" s="371"/>
      <c r="O101" s="371"/>
      <c r="P101" s="371"/>
      <c r="Q101" s="371"/>
      <c r="R101" s="371"/>
      <c r="S101" s="371"/>
      <c r="T101" s="371"/>
      <c r="U101" s="371"/>
      <c r="V101" s="371"/>
      <c r="W101" s="371"/>
      <c r="X101" s="371"/>
      <c r="Y101" s="371"/>
      <c r="Z101" s="371"/>
      <c r="AA101" s="371"/>
      <c r="AB101" s="371"/>
      <c r="AC101" s="371"/>
      <c r="AD101" s="371"/>
      <c r="AE101" s="442">
        <f>+EG21</f>
        <v>0</v>
      </c>
      <c r="AF101" s="443"/>
      <c r="AG101" s="443"/>
      <c r="AH101" s="443"/>
      <c r="AI101" s="443"/>
      <c r="AJ101" s="443"/>
      <c r="AK101" s="443"/>
      <c r="AL101" s="444"/>
      <c r="AM101" s="445" t="s">
        <v>100</v>
      </c>
      <c r="AN101" s="446"/>
      <c r="AO101" s="446"/>
      <c r="AP101" s="446"/>
      <c r="AQ101" s="446"/>
      <c r="AR101" s="446"/>
      <c r="AS101" s="446"/>
      <c r="AT101" s="447"/>
      <c r="AU101" s="457"/>
      <c r="AV101" s="458"/>
      <c r="AW101" s="458"/>
      <c r="AX101" s="458"/>
      <c r="AY101" s="458"/>
      <c r="AZ101" s="458"/>
      <c r="BA101" s="458"/>
      <c r="BB101" s="458"/>
      <c r="BC101" s="458"/>
      <c r="BD101" s="458"/>
      <c r="BE101" s="458"/>
      <c r="BF101" s="458"/>
      <c r="BG101" s="458"/>
      <c r="BH101" s="458"/>
      <c r="BI101" s="458"/>
      <c r="BJ101" s="458"/>
      <c r="BK101" s="458"/>
      <c r="BL101" s="458"/>
      <c r="BM101" s="458"/>
      <c r="BN101" s="458"/>
      <c r="BO101" s="458"/>
      <c r="BP101" s="458"/>
      <c r="BQ101" s="458"/>
      <c r="BR101" s="458"/>
      <c r="BS101" s="458"/>
      <c r="BT101" s="458"/>
      <c r="BU101" s="458"/>
      <c r="BV101" s="458"/>
      <c r="BW101" s="458"/>
      <c r="BX101" s="458"/>
      <c r="BY101" s="458"/>
      <c r="BZ101" s="458"/>
      <c r="CA101" s="458"/>
      <c r="CB101" s="458"/>
      <c r="CC101" s="458"/>
      <c r="CD101" s="458"/>
      <c r="CE101" s="458"/>
      <c r="CF101" s="458"/>
      <c r="CG101" s="458"/>
      <c r="CH101" s="459"/>
      <c r="CI101" s="77"/>
      <c r="CJ101" s="77"/>
      <c r="CK101" s="77"/>
      <c r="CL101" s="146"/>
      <c r="CM101" s="147"/>
      <c r="CN101" s="147"/>
      <c r="CO101" s="147"/>
      <c r="CP101" s="147"/>
      <c r="CQ101" s="147"/>
      <c r="CR101" s="147"/>
      <c r="CS101" s="147"/>
      <c r="CT101" s="147"/>
      <c r="CU101" s="147"/>
      <c r="CV101" s="147"/>
      <c r="CW101" s="147"/>
      <c r="CX101" s="147"/>
      <c r="CY101" s="147"/>
      <c r="CZ101" s="147"/>
      <c r="DA101" s="147"/>
      <c r="DB101" s="147"/>
      <c r="DC101" s="147"/>
      <c r="DD101" s="147"/>
      <c r="DE101" s="147"/>
      <c r="DF101" s="147"/>
      <c r="DG101" s="147"/>
      <c r="DH101" s="147"/>
      <c r="DI101" s="147"/>
      <c r="DJ101" s="147"/>
      <c r="DK101" s="147"/>
      <c r="DL101" s="147"/>
      <c r="DM101" s="147"/>
      <c r="DN101" s="147"/>
      <c r="DO101" s="147"/>
      <c r="DP101" s="147"/>
      <c r="DQ101" s="147"/>
      <c r="DR101" s="147"/>
      <c r="DS101" s="148"/>
      <c r="DT101" s="77"/>
      <c r="DU101" s="77"/>
      <c r="DV101" s="77"/>
      <c r="DW101" s="77"/>
      <c r="DX101" s="77"/>
      <c r="DY101" s="77"/>
      <c r="DZ101" s="77"/>
      <c r="EA101" s="77"/>
      <c r="EB101" s="77"/>
      <c r="EC101" s="77"/>
      <c r="ED101" s="77"/>
      <c r="EE101" s="77"/>
      <c r="EF101" s="77"/>
      <c r="EG101" s="77"/>
      <c r="EH101" s="77"/>
      <c r="EI101" s="77"/>
      <c r="EJ101" s="77"/>
      <c r="EK101" s="77"/>
      <c r="EL101" s="77"/>
      <c r="EM101" s="77"/>
      <c r="EN101" s="77"/>
      <c r="EO101" s="77"/>
      <c r="EP101" s="77"/>
      <c r="EQ101" s="77"/>
      <c r="ER101" s="77"/>
      <c r="ES101" s="77"/>
      <c r="ET101" s="13"/>
      <c r="EU101" s="13"/>
      <c r="EV101" s="13"/>
      <c r="EW101" s="13"/>
      <c r="EX101" s="13"/>
    </row>
    <row r="102" spans="1:154" ht="120" customHeight="1" x14ac:dyDescent="0.9">
      <c r="A102" s="69"/>
      <c r="B102" s="69"/>
      <c r="C102" s="464" t="s">
        <v>98</v>
      </c>
      <c r="D102" s="464"/>
      <c r="E102" s="464"/>
      <c r="F102" s="464"/>
      <c r="G102" s="464"/>
      <c r="H102" s="464"/>
      <c r="I102" s="464"/>
      <c r="J102" s="464"/>
      <c r="K102" s="464"/>
      <c r="L102" s="464"/>
      <c r="M102" s="464"/>
      <c r="N102" s="464"/>
      <c r="O102" s="464"/>
      <c r="P102" s="464"/>
      <c r="Q102" s="464"/>
      <c r="R102" s="464"/>
      <c r="S102" s="464"/>
      <c r="T102" s="464"/>
      <c r="U102" s="464"/>
      <c r="V102" s="464"/>
      <c r="W102" s="464"/>
      <c r="X102" s="464"/>
      <c r="Y102" s="464"/>
      <c r="Z102" s="464"/>
      <c r="AA102" s="464"/>
      <c r="AB102" s="464"/>
      <c r="AC102" s="464"/>
      <c r="AD102" s="464"/>
      <c r="AE102" s="442">
        <v>5</v>
      </c>
      <c r="AF102" s="443"/>
      <c r="AG102" s="443"/>
      <c r="AH102" s="443"/>
      <c r="AI102" s="443"/>
      <c r="AJ102" s="443"/>
      <c r="AK102" s="443"/>
      <c r="AL102" s="444"/>
      <c r="AM102" s="445" t="s">
        <v>102</v>
      </c>
      <c r="AN102" s="446"/>
      <c r="AO102" s="446"/>
      <c r="AP102" s="446"/>
      <c r="AQ102" s="446"/>
      <c r="AR102" s="446"/>
      <c r="AS102" s="446"/>
      <c r="AT102" s="447"/>
      <c r="AU102" s="457"/>
      <c r="AV102" s="458"/>
      <c r="AW102" s="458"/>
      <c r="AX102" s="458"/>
      <c r="AY102" s="458"/>
      <c r="AZ102" s="458"/>
      <c r="BA102" s="458"/>
      <c r="BB102" s="458"/>
      <c r="BC102" s="458"/>
      <c r="BD102" s="458"/>
      <c r="BE102" s="458"/>
      <c r="BF102" s="458"/>
      <c r="BG102" s="458"/>
      <c r="BH102" s="458"/>
      <c r="BI102" s="458"/>
      <c r="BJ102" s="458"/>
      <c r="BK102" s="458"/>
      <c r="BL102" s="458"/>
      <c r="BM102" s="458"/>
      <c r="BN102" s="458"/>
      <c r="BO102" s="458"/>
      <c r="BP102" s="458"/>
      <c r="BQ102" s="458"/>
      <c r="BR102" s="458"/>
      <c r="BS102" s="458"/>
      <c r="BT102" s="458"/>
      <c r="BU102" s="458"/>
      <c r="BV102" s="458"/>
      <c r="BW102" s="458"/>
      <c r="BX102" s="458"/>
      <c r="BY102" s="458"/>
      <c r="BZ102" s="458"/>
      <c r="CA102" s="458"/>
      <c r="CB102" s="458"/>
      <c r="CC102" s="458"/>
      <c r="CD102" s="458"/>
      <c r="CE102" s="458"/>
      <c r="CF102" s="458"/>
      <c r="CG102" s="458"/>
      <c r="CH102" s="459"/>
      <c r="CI102" s="77"/>
      <c r="CJ102" s="77"/>
      <c r="CK102" s="77"/>
      <c r="CL102" s="146"/>
      <c r="CM102" s="147"/>
      <c r="CN102" s="147"/>
      <c r="CO102" s="147"/>
      <c r="CP102" s="147"/>
      <c r="CQ102" s="147"/>
      <c r="CR102" s="147"/>
      <c r="CS102" s="147"/>
      <c r="CT102" s="147"/>
      <c r="CU102" s="147"/>
      <c r="CV102" s="147"/>
      <c r="CW102" s="147"/>
      <c r="CX102" s="147"/>
      <c r="CY102" s="147"/>
      <c r="CZ102" s="147"/>
      <c r="DA102" s="147"/>
      <c r="DB102" s="147"/>
      <c r="DC102" s="147"/>
      <c r="DD102" s="147"/>
      <c r="DE102" s="147"/>
      <c r="DF102" s="147"/>
      <c r="DG102" s="147"/>
      <c r="DH102" s="147"/>
      <c r="DI102" s="147"/>
      <c r="DJ102" s="147"/>
      <c r="DK102" s="147"/>
      <c r="DL102" s="147"/>
      <c r="DM102" s="147"/>
      <c r="DN102" s="147"/>
      <c r="DO102" s="147"/>
      <c r="DP102" s="147"/>
      <c r="DQ102" s="147"/>
      <c r="DR102" s="147"/>
      <c r="DS102" s="148"/>
      <c r="DT102" s="77"/>
      <c r="DU102" s="77"/>
      <c r="DV102" s="77"/>
      <c r="DW102" s="77"/>
      <c r="DX102" s="77"/>
      <c r="DY102" s="77"/>
      <c r="DZ102" s="77"/>
      <c r="EA102" s="77"/>
      <c r="EB102" s="77"/>
      <c r="EC102" s="77"/>
      <c r="ED102" s="77"/>
      <c r="EE102" s="77"/>
      <c r="EF102" s="77"/>
      <c r="EG102" s="77"/>
      <c r="EH102" s="77"/>
      <c r="EI102" s="77"/>
      <c r="EJ102" s="77"/>
      <c r="EK102" s="77"/>
      <c r="EL102" s="77"/>
      <c r="EM102" s="77"/>
      <c r="EN102" s="77"/>
      <c r="EO102" s="77"/>
      <c r="EP102" s="77"/>
      <c r="EQ102" s="77"/>
      <c r="ER102" s="77"/>
      <c r="ES102" s="77"/>
      <c r="ET102" s="13"/>
      <c r="EU102" s="13"/>
      <c r="EV102" s="13"/>
      <c r="EW102" s="13"/>
      <c r="EX102" s="13"/>
    </row>
    <row r="103" spans="1:154" ht="120" customHeight="1" x14ac:dyDescent="0.9">
      <c r="A103" s="69"/>
      <c r="B103" s="69"/>
      <c r="C103" s="465" t="s">
        <v>20</v>
      </c>
      <c r="D103" s="465"/>
      <c r="E103" s="465"/>
      <c r="F103" s="465"/>
      <c r="G103" s="465"/>
      <c r="H103" s="465"/>
      <c r="I103" s="465"/>
      <c r="J103" s="465"/>
      <c r="K103" s="465"/>
      <c r="L103" s="465"/>
      <c r="M103" s="465"/>
      <c r="N103" s="465"/>
      <c r="O103" s="465"/>
      <c r="P103" s="465"/>
      <c r="Q103" s="465"/>
      <c r="R103" s="465"/>
      <c r="S103" s="465"/>
      <c r="T103" s="465"/>
      <c r="U103" s="465"/>
      <c r="V103" s="465"/>
      <c r="W103" s="465"/>
      <c r="X103" s="465"/>
      <c r="Y103" s="465"/>
      <c r="Z103" s="465"/>
      <c r="AA103" s="465"/>
      <c r="AB103" s="465"/>
      <c r="AC103" s="465"/>
      <c r="AD103" s="465"/>
      <c r="AE103" s="440">
        <f>SUM(AE97:AL102)</f>
        <v>5</v>
      </c>
      <c r="AF103" s="449"/>
      <c r="AG103" s="449"/>
      <c r="AH103" s="449"/>
      <c r="AI103" s="449"/>
      <c r="AJ103" s="449"/>
      <c r="AK103" s="449"/>
      <c r="AL103" s="450"/>
      <c r="AM103" s="451"/>
      <c r="AN103" s="452"/>
      <c r="AO103" s="452"/>
      <c r="AP103" s="452"/>
      <c r="AQ103" s="452"/>
      <c r="AR103" s="452"/>
      <c r="AS103" s="452"/>
      <c r="AT103" s="453"/>
      <c r="AU103" s="460"/>
      <c r="AV103" s="461"/>
      <c r="AW103" s="461"/>
      <c r="AX103" s="461"/>
      <c r="AY103" s="461"/>
      <c r="AZ103" s="461"/>
      <c r="BA103" s="461"/>
      <c r="BB103" s="461"/>
      <c r="BC103" s="461"/>
      <c r="BD103" s="461"/>
      <c r="BE103" s="461"/>
      <c r="BF103" s="461"/>
      <c r="BG103" s="461"/>
      <c r="BH103" s="461"/>
      <c r="BI103" s="461"/>
      <c r="BJ103" s="461"/>
      <c r="BK103" s="461"/>
      <c r="BL103" s="461"/>
      <c r="BM103" s="461"/>
      <c r="BN103" s="461"/>
      <c r="BO103" s="461"/>
      <c r="BP103" s="461"/>
      <c r="BQ103" s="461"/>
      <c r="BR103" s="461"/>
      <c r="BS103" s="461"/>
      <c r="BT103" s="461"/>
      <c r="BU103" s="461"/>
      <c r="BV103" s="461"/>
      <c r="BW103" s="461"/>
      <c r="BX103" s="461"/>
      <c r="BY103" s="461"/>
      <c r="BZ103" s="461"/>
      <c r="CA103" s="461"/>
      <c r="CB103" s="461"/>
      <c r="CC103" s="461"/>
      <c r="CD103" s="461"/>
      <c r="CE103" s="461"/>
      <c r="CF103" s="461"/>
      <c r="CG103" s="461"/>
      <c r="CH103" s="462"/>
      <c r="CI103" s="77"/>
      <c r="CJ103" s="77"/>
      <c r="CK103" s="77"/>
      <c r="CL103" s="149"/>
      <c r="CM103" s="150"/>
      <c r="CN103" s="150"/>
      <c r="CO103" s="150"/>
      <c r="CP103" s="150"/>
      <c r="CQ103" s="150"/>
      <c r="CR103" s="150"/>
      <c r="CS103" s="150"/>
      <c r="CT103" s="150"/>
      <c r="CU103" s="150"/>
      <c r="CV103" s="150"/>
      <c r="CW103" s="150"/>
      <c r="CX103" s="150"/>
      <c r="CY103" s="150"/>
      <c r="CZ103" s="150"/>
      <c r="DA103" s="150"/>
      <c r="DB103" s="150"/>
      <c r="DC103" s="150"/>
      <c r="DD103" s="150"/>
      <c r="DE103" s="150"/>
      <c r="DF103" s="150"/>
      <c r="DG103" s="150"/>
      <c r="DH103" s="150"/>
      <c r="DI103" s="150"/>
      <c r="DJ103" s="150"/>
      <c r="DK103" s="150"/>
      <c r="DL103" s="150"/>
      <c r="DM103" s="150"/>
      <c r="DN103" s="150"/>
      <c r="DO103" s="150"/>
      <c r="DP103" s="150"/>
      <c r="DQ103" s="150"/>
      <c r="DR103" s="150"/>
      <c r="DS103" s="151"/>
      <c r="DT103" s="77"/>
      <c r="DU103" s="77"/>
      <c r="DV103" s="77"/>
      <c r="DW103" s="77"/>
      <c r="DX103" s="77"/>
      <c r="DY103" s="77"/>
      <c r="DZ103" s="77"/>
      <c r="EA103" s="77"/>
      <c r="EB103" s="77"/>
      <c r="EC103" s="77"/>
      <c r="ED103" s="77"/>
      <c r="EE103" s="77"/>
      <c r="EF103" s="77"/>
      <c r="EG103" s="77"/>
      <c r="EH103" s="77"/>
      <c r="EI103" s="77"/>
      <c r="EJ103" s="77"/>
      <c r="EK103" s="77"/>
      <c r="EL103" s="77"/>
      <c r="EM103" s="77"/>
      <c r="EN103" s="77"/>
      <c r="EO103" s="77"/>
      <c r="EP103" s="77"/>
      <c r="EQ103" s="77"/>
      <c r="ER103" s="77"/>
      <c r="ES103" s="77"/>
      <c r="ET103" s="13"/>
      <c r="EU103" s="13"/>
      <c r="EV103" s="13"/>
      <c r="EW103" s="13"/>
      <c r="EX103" s="13"/>
    </row>
    <row r="104" spans="1:154" ht="61.5" x14ac:dyDescent="0.85">
      <c r="A104" s="69"/>
      <c r="B104" s="69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8"/>
      <c r="X104" s="78"/>
      <c r="Y104" s="78"/>
      <c r="Z104" s="79"/>
      <c r="AA104" s="79"/>
      <c r="AB104" s="79"/>
      <c r="AC104" s="79"/>
      <c r="AD104" s="77"/>
      <c r="AE104" s="77"/>
      <c r="AF104" s="77"/>
      <c r="AG104" s="77"/>
      <c r="AH104" s="77"/>
      <c r="AI104" s="77"/>
      <c r="AJ104" s="77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  <c r="BG104" s="77"/>
      <c r="BH104" s="77"/>
      <c r="BI104" s="78"/>
      <c r="BJ104" s="78"/>
      <c r="BK104" s="78"/>
      <c r="BL104" s="78"/>
      <c r="BM104" s="78"/>
      <c r="BN104" s="78"/>
      <c r="BO104" s="77"/>
      <c r="BP104" s="77"/>
      <c r="BQ104" s="77"/>
      <c r="BR104" s="77"/>
      <c r="BS104" s="77"/>
      <c r="BT104" s="77"/>
      <c r="BU104" s="77"/>
      <c r="BV104" s="77"/>
      <c r="BW104" s="77"/>
      <c r="BX104" s="77"/>
      <c r="BY104" s="77"/>
      <c r="BZ104" s="77"/>
      <c r="CA104" s="77"/>
      <c r="CB104" s="77"/>
      <c r="CC104" s="77"/>
      <c r="CD104" s="77"/>
      <c r="CE104" s="77"/>
      <c r="CF104" s="77"/>
      <c r="CG104" s="77"/>
      <c r="CH104" s="77"/>
      <c r="CI104" s="77"/>
      <c r="CJ104" s="77"/>
      <c r="CK104" s="77"/>
      <c r="CL104" s="77"/>
      <c r="CM104" s="77"/>
      <c r="CN104" s="77"/>
      <c r="CO104" s="77"/>
      <c r="CP104" s="77"/>
      <c r="CQ104" s="77"/>
      <c r="CR104" s="77"/>
      <c r="CS104" s="77"/>
      <c r="CT104" s="77"/>
      <c r="CU104" s="77"/>
      <c r="CV104" s="77"/>
      <c r="CW104" s="77"/>
      <c r="CX104" s="77"/>
      <c r="CY104" s="77"/>
      <c r="CZ104" s="77"/>
      <c r="DA104" s="77"/>
      <c r="DB104" s="77"/>
      <c r="DC104" s="77"/>
      <c r="DD104" s="77"/>
      <c r="DE104" s="77"/>
      <c r="DF104" s="77"/>
      <c r="DG104" s="77"/>
      <c r="DH104" s="77"/>
      <c r="DI104" s="77"/>
      <c r="DJ104" s="77"/>
      <c r="DK104" s="77"/>
      <c r="DL104" s="77"/>
      <c r="DM104" s="77"/>
      <c r="DN104" s="77"/>
      <c r="DO104" s="77"/>
      <c r="DP104" s="77"/>
      <c r="DQ104" s="77"/>
      <c r="DR104" s="77"/>
      <c r="DS104" s="77"/>
      <c r="DT104" s="77"/>
      <c r="DU104" s="77"/>
      <c r="DV104" s="77"/>
      <c r="DW104" s="77"/>
      <c r="DX104" s="77"/>
      <c r="DY104" s="77"/>
      <c r="DZ104" s="77"/>
      <c r="EA104" s="77"/>
      <c r="EB104" s="77"/>
      <c r="EC104" s="77"/>
      <c r="ED104" s="77"/>
      <c r="EE104" s="77"/>
      <c r="EF104" s="77"/>
      <c r="EG104" s="77"/>
      <c r="EH104" s="77"/>
      <c r="EI104" s="77"/>
      <c r="EJ104" s="77"/>
      <c r="EK104" s="77"/>
      <c r="EL104" s="77"/>
      <c r="EM104" s="77"/>
      <c r="EN104" s="77"/>
      <c r="EO104" s="77"/>
      <c r="EP104" s="77"/>
      <c r="EQ104" s="77"/>
      <c r="ER104" s="77"/>
      <c r="ES104" s="77"/>
      <c r="ET104" s="13"/>
      <c r="EU104" s="13"/>
      <c r="EV104" s="13"/>
      <c r="EW104" s="13"/>
      <c r="EX104" s="13"/>
    </row>
    <row r="105" spans="1:154" ht="120" customHeight="1" x14ac:dyDescent="0.85">
      <c r="A105" s="69"/>
      <c r="B105" s="317" t="s">
        <v>255</v>
      </c>
      <c r="C105" s="317"/>
      <c r="D105" s="317"/>
      <c r="E105" s="317"/>
      <c r="F105" s="317"/>
      <c r="G105" s="317"/>
      <c r="H105" s="317"/>
      <c r="I105" s="317"/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  <c r="T105" s="317"/>
      <c r="U105" s="317"/>
      <c r="V105" s="317"/>
      <c r="W105" s="317"/>
      <c r="X105" s="317"/>
      <c r="Y105" s="318" t="s">
        <v>104</v>
      </c>
      <c r="Z105" s="318"/>
      <c r="AA105" s="318"/>
      <c r="AB105" s="318"/>
      <c r="AC105" s="318"/>
      <c r="AD105" s="318"/>
      <c r="AE105" s="318"/>
      <c r="AF105" s="318"/>
      <c r="AG105" s="318"/>
      <c r="AH105" s="318"/>
      <c r="AI105" s="318"/>
      <c r="AJ105" s="318"/>
      <c r="AK105" s="318"/>
      <c r="AL105" s="318"/>
      <c r="AM105" s="318"/>
      <c r="AN105" s="318"/>
      <c r="AO105" s="318"/>
      <c r="AP105" s="318"/>
      <c r="AQ105" s="318"/>
      <c r="AR105" s="318"/>
      <c r="AS105" s="318"/>
      <c r="AT105" s="318"/>
      <c r="AU105" s="318"/>
      <c r="AV105" s="448"/>
      <c r="AW105" s="448"/>
      <c r="AX105" s="448"/>
      <c r="AY105" s="448"/>
      <c r="AZ105" s="448"/>
      <c r="BA105" s="448"/>
      <c r="BB105" s="448"/>
      <c r="BC105" s="448"/>
      <c r="BD105" s="448"/>
      <c r="BE105" s="448"/>
      <c r="BF105" s="448"/>
      <c r="BG105" s="448"/>
      <c r="BH105" s="448"/>
      <c r="BI105" s="448"/>
      <c r="BJ105" s="448"/>
      <c r="BK105" s="448"/>
      <c r="BL105" s="448"/>
      <c r="BM105" s="448"/>
      <c r="BN105" s="448"/>
      <c r="BO105" s="448"/>
      <c r="BP105" s="448"/>
      <c r="BQ105" s="448"/>
      <c r="BR105" s="448"/>
      <c r="BS105" s="77"/>
      <c r="BT105" s="77"/>
      <c r="BU105" s="77"/>
      <c r="BV105" s="77"/>
      <c r="BW105" s="77"/>
      <c r="BX105" s="77"/>
      <c r="BY105" s="77"/>
      <c r="BZ105" s="77"/>
      <c r="CA105" s="77"/>
      <c r="CB105" s="77"/>
      <c r="CC105" s="77"/>
      <c r="CD105" s="77"/>
      <c r="CE105" s="77"/>
      <c r="CF105" s="77"/>
      <c r="CG105" s="77"/>
      <c r="CH105" s="77"/>
      <c r="CI105" s="77"/>
      <c r="CJ105" s="77"/>
      <c r="CK105" s="77"/>
      <c r="CL105" s="77"/>
      <c r="CM105" s="77"/>
      <c r="CN105" s="77"/>
      <c r="CO105" s="77"/>
      <c r="CP105" s="77"/>
      <c r="CQ105" s="77"/>
      <c r="CR105" s="77"/>
      <c r="CS105" s="77"/>
      <c r="CT105" s="77"/>
      <c r="CU105" s="77"/>
      <c r="CV105" s="77"/>
      <c r="CW105" s="77"/>
      <c r="CX105" s="77"/>
      <c r="CY105" s="77"/>
      <c r="CZ105" s="77"/>
      <c r="DA105" s="77"/>
      <c r="DB105" s="77"/>
      <c r="DC105" s="77"/>
      <c r="DD105" s="77"/>
      <c r="DE105" s="77"/>
      <c r="DF105" s="77"/>
      <c r="DG105" s="77"/>
      <c r="DH105" s="77"/>
      <c r="DI105" s="77"/>
      <c r="DJ105" s="77"/>
      <c r="DK105" s="77"/>
      <c r="DL105" s="77"/>
      <c r="DM105" s="77"/>
      <c r="DN105" s="77"/>
      <c r="DO105" s="77"/>
      <c r="DP105" s="77"/>
      <c r="DQ105" s="77"/>
      <c r="DR105" s="77"/>
      <c r="DS105" s="77"/>
      <c r="DT105" s="77"/>
      <c r="DU105" s="77"/>
      <c r="DV105" s="77"/>
      <c r="DW105" s="77"/>
      <c r="DX105" s="77"/>
      <c r="DY105" s="77"/>
      <c r="DZ105" s="77"/>
      <c r="EA105" s="77"/>
      <c r="EB105" s="77"/>
      <c r="EC105" s="77"/>
      <c r="ED105" s="77"/>
      <c r="EE105" s="77"/>
      <c r="EF105" s="77"/>
      <c r="EG105" s="77"/>
      <c r="EH105" s="77"/>
      <c r="EI105" s="77"/>
      <c r="EJ105" s="77"/>
      <c r="EK105" s="77"/>
      <c r="EL105" s="77"/>
      <c r="EM105" s="77"/>
      <c r="EN105" s="77"/>
      <c r="EO105" s="77"/>
      <c r="EP105" s="77"/>
      <c r="EQ105" s="77"/>
      <c r="ER105" s="77"/>
      <c r="ES105" s="77"/>
      <c r="ET105" s="13"/>
      <c r="EU105" s="13"/>
      <c r="EV105" s="13"/>
      <c r="EW105" s="13"/>
      <c r="EX105" s="13"/>
    </row>
    <row r="106" spans="1:154" ht="75" x14ac:dyDescent="0.85">
      <c r="A106" s="69"/>
      <c r="B106" s="317"/>
      <c r="C106" s="317"/>
      <c r="D106" s="317"/>
      <c r="E106" s="317"/>
      <c r="F106" s="317"/>
      <c r="G106" s="317"/>
      <c r="H106" s="317"/>
      <c r="I106" s="317"/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  <c r="T106" s="317"/>
      <c r="U106" s="317"/>
      <c r="V106" s="317"/>
      <c r="W106" s="317"/>
      <c r="X106" s="317"/>
      <c r="Y106" s="448"/>
      <c r="Z106" s="448"/>
      <c r="AA106" s="448"/>
      <c r="AB106" s="448"/>
      <c r="AC106" s="448"/>
      <c r="AD106" s="448"/>
      <c r="AE106" s="448"/>
      <c r="AF106" s="448"/>
      <c r="AG106" s="448"/>
      <c r="AH106" s="448"/>
      <c r="AI106" s="448"/>
      <c r="AJ106" s="448"/>
      <c r="AK106" s="448"/>
      <c r="AL106" s="448"/>
      <c r="AM106" s="448"/>
      <c r="AN106" s="448"/>
      <c r="AO106" s="448"/>
      <c r="AP106" s="448"/>
      <c r="AQ106" s="448"/>
      <c r="AR106" s="448"/>
      <c r="AS106" s="448"/>
      <c r="AT106" s="448"/>
      <c r="AU106" s="448"/>
      <c r="AV106" s="448"/>
      <c r="AW106" s="448"/>
      <c r="AX106" s="448"/>
      <c r="AY106" s="448"/>
      <c r="AZ106" s="448"/>
      <c r="BA106" s="448"/>
      <c r="BB106" s="448"/>
      <c r="BC106" s="448"/>
      <c r="BD106" s="448"/>
      <c r="BE106" s="448"/>
      <c r="BF106" s="448"/>
      <c r="BG106" s="448"/>
      <c r="BH106" s="448"/>
      <c r="BI106" s="448"/>
      <c r="BJ106" s="448"/>
      <c r="BK106" s="448"/>
      <c r="BL106" s="448"/>
      <c r="BM106" s="448"/>
      <c r="BN106" s="448"/>
      <c r="BO106" s="448"/>
      <c r="BP106" s="448"/>
      <c r="BQ106" s="448"/>
      <c r="BR106" s="448"/>
      <c r="BS106" s="77"/>
      <c r="BT106" s="77"/>
      <c r="BU106" s="77"/>
      <c r="BV106" s="77"/>
      <c r="BW106" s="77"/>
      <c r="BX106" s="77"/>
      <c r="BY106" s="77"/>
      <c r="BZ106" s="77"/>
      <c r="CA106" s="77"/>
      <c r="CB106" s="77"/>
      <c r="CC106" s="77"/>
      <c r="CD106" s="77"/>
      <c r="CE106" s="77"/>
      <c r="CF106" s="77"/>
      <c r="CG106" s="77"/>
      <c r="CH106" s="77"/>
      <c r="CI106" s="77"/>
      <c r="CJ106" s="77"/>
      <c r="CK106" s="77"/>
      <c r="CL106" s="77"/>
      <c r="CM106" s="77"/>
      <c r="CN106" s="77"/>
      <c r="CO106" s="77"/>
      <c r="CP106" s="77"/>
      <c r="CQ106" s="77"/>
      <c r="CR106" s="77"/>
      <c r="CS106" s="77"/>
      <c r="CT106" s="77"/>
      <c r="CU106" s="77"/>
      <c r="CV106" s="77"/>
      <c r="CW106" s="77"/>
      <c r="CX106" s="77"/>
      <c r="CY106" s="77"/>
      <c r="CZ106" s="77"/>
      <c r="DA106" s="77"/>
      <c r="DB106" s="77"/>
      <c r="DC106" s="77"/>
      <c r="DD106" s="77"/>
      <c r="DE106" s="77"/>
      <c r="DF106" s="77"/>
      <c r="DG106" s="77"/>
      <c r="DH106" s="77"/>
      <c r="DI106" s="77"/>
      <c r="DJ106" s="77"/>
      <c r="DK106" s="77"/>
      <c r="DL106" s="77"/>
      <c r="DM106" s="77"/>
      <c r="DN106" s="77"/>
      <c r="DO106" s="77"/>
      <c r="DP106" s="77"/>
      <c r="DQ106" s="77"/>
      <c r="DR106" s="77"/>
      <c r="DS106" s="77"/>
      <c r="DT106" s="77"/>
      <c r="DU106" s="77"/>
      <c r="DV106" s="77"/>
      <c r="DW106" s="77"/>
      <c r="DX106" s="77"/>
      <c r="DY106" s="77"/>
      <c r="DZ106" s="77"/>
      <c r="EA106" s="77"/>
      <c r="EB106" s="77"/>
      <c r="EC106" s="77"/>
      <c r="ED106" s="77"/>
      <c r="EE106" s="77"/>
      <c r="EF106" s="77"/>
      <c r="EG106" s="77"/>
      <c r="EH106" s="77"/>
      <c r="EI106" s="77"/>
      <c r="EJ106" s="77"/>
      <c r="EK106" s="77"/>
      <c r="EL106" s="77"/>
      <c r="EM106" s="77"/>
      <c r="EN106" s="77"/>
      <c r="EO106" s="77"/>
      <c r="EP106" s="77"/>
      <c r="EQ106" s="77"/>
      <c r="ER106" s="77"/>
      <c r="ES106" s="77"/>
      <c r="ET106" s="13"/>
      <c r="EU106" s="13"/>
      <c r="EV106" s="13"/>
      <c r="EW106" s="13"/>
      <c r="EX106" s="13"/>
    </row>
    <row r="107" spans="1:154" ht="120" customHeight="1" x14ac:dyDescent="0.85">
      <c r="A107" s="69"/>
      <c r="B107" s="317" t="s">
        <v>256</v>
      </c>
      <c r="C107" s="317"/>
      <c r="D107" s="317"/>
      <c r="E107" s="317"/>
      <c r="F107" s="317"/>
      <c r="G107" s="317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17"/>
      <c r="V107" s="317"/>
      <c r="W107" s="317"/>
      <c r="X107" s="317"/>
      <c r="Y107" s="318" t="s">
        <v>104</v>
      </c>
      <c r="Z107" s="318"/>
      <c r="AA107" s="318"/>
      <c r="AB107" s="318"/>
      <c r="AC107" s="318"/>
      <c r="AD107" s="318"/>
      <c r="AE107" s="318"/>
      <c r="AF107" s="318"/>
      <c r="AG107" s="318"/>
      <c r="AH107" s="318"/>
      <c r="AI107" s="318"/>
      <c r="AJ107" s="318"/>
      <c r="AK107" s="318"/>
      <c r="AL107" s="318"/>
      <c r="AM107" s="318"/>
      <c r="AN107" s="318"/>
      <c r="AO107" s="318"/>
      <c r="AP107" s="318"/>
      <c r="AQ107" s="318"/>
      <c r="AR107" s="318"/>
      <c r="AS107" s="318"/>
      <c r="AT107" s="318"/>
      <c r="AU107" s="318"/>
      <c r="AV107" s="448"/>
      <c r="AW107" s="448"/>
      <c r="AX107" s="448"/>
      <c r="AY107" s="448"/>
      <c r="AZ107" s="448"/>
      <c r="BA107" s="448"/>
      <c r="BB107" s="448"/>
      <c r="BC107" s="448"/>
      <c r="BD107" s="448"/>
      <c r="BE107" s="448"/>
      <c r="BF107" s="448"/>
      <c r="BG107" s="448"/>
      <c r="BH107" s="448"/>
      <c r="BI107" s="448"/>
      <c r="BJ107" s="448"/>
      <c r="BK107" s="448"/>
      <c r="BL107" s="448"/>
      <c r="BM107" s="448"/>
      <c r="BN107" s="448"/>
      <c r="BO107" s="448"/>
      <c r="BP107" s="448"/>
      <c r="BQ107" s="448"/>
      <c r="BR107" s="448"/>
      <c r="BS107" s="77"/>
      <c r="BT107" s="77"/>
      <c r="BU107" s="77"/>
      <c r="BV107" s="77"/>
      <c r="BW107" s="77"/>
      <c r="BX107" s="77"/>
      <c r="BY107" s="77"/>
      <c r="BZ107" s="77"/>
      <c r="CA107" s="77"/>
      <c r="CB107" s="77"/>
      <c r="CC107" s="77"/>
      <c r="CD107" s="77"/>
      <c r="CE107" s="77"/>
      <c r="CF107" s="77"/>
      <c r="CG107" s="77"/>
      <c r="CH107" s="77"/>
      <c r="CI107" s="77"/>
      <c r="CJ107" s="77"/>
      <c r="CK107" s="77"/>
      <c r="CL107" s="77"/>
      <c r="CM107" s="77"/>
      <c r="CN107" s="77"/>
      <c r="CO107" s="77"/>
      <c r="CP107" s="77"/>
      <c r="CQ107" s="77"/>
      <c r="CR107" s="77"/>
      <c r="CS107" s="77"/>
      <c r="CT107" s="77"/>
      <c r="CU107" s="77"/>
      <c r="CV107" s="77"/>
      <c r="CW107" s="77"/>
      <c r="CX107" s="77"/>
      <c r="CY107" s="77"/>
      <c r="CZ107" s="77"/>
      <c r="DA107" s="77"/>
      <c r="DB107" s="77"/>
      <c r="DC107" s="77"/>
      <c r="DD107" s="77"/>
      <c r="DE107" s="77"/>
      <c r="DF107" s="77"/>
      <c r="DG107" s="77"/>
      <c r="DH107" s="77"/>
      <c r="DI107" s="77"/>
      <c r="DJ107" s="77"/>
      <c r="DK107" s="77"/>
      <c r="DL107" s="77"/>
      <c r="DM107" s="77"/>
      <c r="DN107" s="77"/>
      <c r="DO107" s="77"/>
      <c r="DP107" s="77"/>
      <c r="DQ107" s="77"/>
      <c r="DR107" s="77"/>
      <c r="DS107" s="77"/>
      <c r="DT107" s="77"/>
      <c r="DU107" s="77"/>
      <c r="DV107" s="77"/>
      <c r="DW107" s="77"/>
      <c r="DX107" s="77"/>
      <c r="DY107" s="77"/>
      <c r="DZ107" s="77"/>
      <c r="EA107" s="77"/>
      <c r="EB107" s="77"/>
      <c r="EC107" s="77"/>
      <c r="ED107" s="77"/>
      <c r="EE107" s="77"/>
      <c r="EF107" s="77"/>
      <c r="EG107" s="77"/>
      <c r="EH107" s="77"/>
      <c r="EI107" s="77"/>
      <c r="EJ107" s="77"/>
      <c r="EK107" s="77"/>
      <c r="EL107" s="77"/>
      <c r="EM107" s="77"/>
      <c r="EN107" s="77"/>
      <c r="EO107" s="77"/>
      <c r="EP107" s="77"/>
      <c r="EQ107" s="77"/>
      <c r="ER107" s="77"/>
      <c r="ES107" s="77"/>
    </row>
    <row r="108" spans="1:154" ht="75" x14ac:dyDescent="0.85">
      <c r="A108" s="69"/>
      <c r="B108" s="317"/>
      <c r="C108" s="317"/>
      <c r="D108" s="317"/>
      <c r="E108" s="317"/>
      <c r="F108" s="317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448"/>
      <c r="Z108" s="448"/>
      <c r="AA108" s="448"/>
      <c r="AB108" s="448"/>
      <c r="AC108" s="448"/>
      <c r="AD108" s="448"/>
      <c r="AE108" s="448"/>
      <c r="AF108" s="448"/>
      <c r="AG108" s="448"/>
      <c r="AH108" s="448"/>
      <c r="AI108" s="448"/>
      <c r="AJ108" s="448"/>
      <c r="AK108" s="448"/>
      <c r="AL108" s="448"/>
      <c r="AM108" s="448"/>
      <c r="AN108" s="448"/>
      <c r="AO108" s="448"/>
      <c r="AP108" s="448"/>
      <c r="AQ108" s="448"/>
      <c r="AR108" s="448"/>
      <c r="AS108" s="448"/>
      <c r="AT108" s="448"/>
      <c r="AU108" s="448"/>
      <c r="AV108" s="448"/>
      <c r="AW108" s="448"/>
      <c r="AX108" s="448"/>
      <c r="AY108" s="448"/>
      <c r="AZ108" s="448"/>
      <c r="BA108" s="448"/>
      <c r="BB108" s="448"/>
      <c r="BC108" s="448"/>
      <c r="BD108" s="448"/>
      <c r="BE108" s="448"/>
      <c r="BF108" s="448"/>
      <c r="BG108" s="448"/>
      <c r="BH108" s="448"/>
      <c r="BI108" s="448"/>
      <c r="BJ108" s="448"/>
      <c r="BK108" s="448"/>
      <c r="BL108" s="448"/>
      <c r="BM108" s="448"/>
      <c r="BN108" s="448"/>
      <c r="BO108" s="448"/>
      <c r="BP108" s="448"/>
      <c r="BQ108" s="448"/>
      <c r="BR108" s="448"/>
      <c r="BS108" s="77"/>
      <c r="BT108" s="77"/>
      <c r="BU108" s="77"/>
      <c r="BV108" s="77"/>
      <c r="BW108" s="77"/>
      <c r="BX108" s="77"/>
      <c r="BY108" s="77"/>
      <c r="BZ108" s="77"/>
      <c r="CA108" s="77"/>
      <c r="CB108" s="77"/>
      <c r="CC108" s="77"/>
      <c r="CD108" s="77"/>
      <c r="CE108" s="77"/>
      <c r="CF108" s="77"/>
      <c r="CG108" s="77"/>
      <c r="CH108" s="77"/>
      <c r="CI108" s="77"/>
      <c r="CJ108" s="77"/>
      <c r="CK108" s="77"/>
      <c r="CL108" s="77"/>
      <c r="CM108" s="77"/>
      <c r="CN108" s="77"/>
      <c r="CO108" s="77"/>
      <c r="CP108" s="77"/>
      <c r="CQ108" s="77"/>
      <c r="CR108" s="77"/>
      <c r="CS108" s="77"/>
      <c r="CT108" s="77"/>
      <c r="CU108" s="77"/>
      <c r="CV108" s="77"/>
      <c r="CW108" s="77"/>
      <c r="CX108" s="77"/>
      <c r="CY108" s="77"/>
      <c r="CZ108" s="77"/>
      <c r="DA108" s="77"/>
      <c r="DB108" s="77"/>
      <c r="DC108" s="77"/>
      <c r="DD108" s="77"/>
      <c r="DE108" s="77"/>
      <c r="DF108" s="77"/>
      <c r="DG108" s="77"/>
      <c r="DH108" s="77"/>
      <c r="DI108" s="77"/>
      <c r="DJ108" s="77"/>
      <c r="DK108" s="77"/>
      <c r="DL108" s="77"/>
      <c r="DM108" s="77"/>
      <c r="DN108" s="77"/>
      <c r="DO108" s="77"/>
      <c r="DP108" s="77"/>
      <c r="DQ108" s="77"/>
      <c r="DR108" s="77"/>
      <c r="DS108" s="77"/>
      <c r="DT108" s="77"/>
      <c r="DU108" s="77"/>
      <c r="DV108" s="77"/>
      <c r="DW108" s="77"/>
      <c r="DX108" s="77"/>
      <c r="DY108" s="77"/>
      <c r="DZ108" s="77"/>
      <c r="EA108" s="77"/>
      <c r="EB108" s="77"/>
      <c r="EC108" s="77"/>
      <c r="ED108" s="77"/>
      <c r="EE108" s="77"/>
      <c r="EF108" s="77"/>
      <c r="EG108" s="77"/>
      <c r="EH108" s="77"/>
      <c r="EI108" s="77"/>
      <c r="EJ108" s="77"/>
      <c r="EK108" s="77"/>
      <c r="EL108" s="77"/>
      <c r="EM108" s="77"/>
      <c r="EN108" s="77"/>
      <c r="EO108" s="77"/>
      <c r="EP108" s="77"/>
      <c r="EQ108" s="77"/>
      <c r="ER108" s="77"/>
      <c r="ES108" s="77"/>
    </row>
    <row r="109" spans="1:154" ht="120" customHeight="1" x14ac:dyDescent="0.85">
      <c r="A109" s="69"/>
      <c r="B109" s="317" t="s">
        <v>230</v>
      </c>
      <c r="C109" s="317"/>
      <c r="D109" s="317"/>
      <c r="E109" s="317"/>
      <c r="F109" s="317"/>
      <c r="G109" s="317"/>
      <c r="H109" s="317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317"/>
      <c r="W109" s="317"/>
      <c r="X109" s="317"/>
      <c r="Y109" s="318" t="s">
        <v>104</v>
      </c>
      <c r="Z109" s="318"/>
      <c r="AA109" s="318"/>
      <c r="AB109" s="318"/>
      <c r="AC109" s="318"/>
      <c r="AD109" s="318"/>
      <c r="AE109" s="318"/>
      <c r="AF109" s="318"/>
      <c r="AG109" s="318"/>
      <c r="AH109" s="318"/>
      <c r="AI109" s="318"/>
      <c r="AJ109" s="318"/>
      <c r="AK109" s="318"/>
      <c r="AL109" s="318"/>
      <c r="AM109" s="318"/>
      <c r="AN109" s="318"/>
      <c r="AO109" s="318"/>
      <c r="AP109" s="318"/>
      <c r="AQ109" s="318"/>
      <c r="AR109" s="318"/>
      <c r="AS109" s="318"/>
      <c r="AT109" s="318"/>
      <c r="AU109" s="318"/>
      <c r="AV109" s="448"/>
      <c r="AW109" s="448"/>
      <c r="AX109" s="448"/>
      <c r="AY109" s="448"/>
      <c r="AZ109" s="448"/>
      <c r="BA109" s="448"/>
      <c r="BB109" s="448"/>
      <c r="BC109" s="448"/>
      <c r="BD109" s="448"/>
      <c r="BE109" s="448"/>
      <c r="BF109" s="448"/>
      <c r="BG109" s="448"/>
      <c r="BH109" s="448"/>
      <c r="BI109" s="448"/>
      <c r="BJ109" s="448"/>
      <c r="BK109" s="448"/>
      <c r="BL109" s="448"/>
      <c r="BM109" s="448"/>
      <c r="BN109" s="448"/>
      <c r="BO109" s="448"/>
      <c r="BP109" s="448"/>
      <c r="BQ109" s="448"/>
      <c r="BR109" s="448"/>
      <c r="BS109" s="77"/>
      <c r="BT109" s="77"/>
      <c r="BU109" s="77"/>
      <c r="BV109" s="77"/>
      <c r="BW109" s="77"/>
      <c r="BX109" s="77"/>
      <c r="BY109" s="77"/>
      <c r="BZ109" s="77"/>
      <c r="CA109" s="77"/>
      <c r="CB109" s="77"/>
      <c r="CC109" s="77"/>
      <c r="CD109" s="77"/>
      <c r="CE109" s="77"/>
      <c r="CF109" s="77"/>
      <c r="CG109" s="77"/>
      <c r="CH109" s="77"/>
      <c r="CI109" s="77"/>
      <c r="CJ109" s="77"/>
      <c r="CK109" s="77"/>
      <c r="CL109" s="77"/>
      <c r="CM109" s="77"/>
      <c r="CN109" s="77"/>
      <c r="CO109" s="77"/>
      <c r="CP109" s="77"/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77"/>
      <c r="DD109" s="77"/>
      <c r="DE109" s="77"/>
      <c r="DF109" s="77"/>
      <c r="DG109" s="77"/>
      <c r="DH109" s="77"/>
      <c r="DI109" s="77"/>
      <c r="DJ109" s="77"/>
      <c r="DK109" s="77"/>
      <c r="DL109" s="77"/>
      <c r="DM109" s="77"/>
      <c r="DN109" s="77"/>
      <c r="DO109" s="77"/>
      <c r="DP109" s="77"/>
      <c r="DQ109" s="77"/>
      <c r="DR109" s="77"/>
      <c r="DS109" s="77"/>
      <c r="DT109" s="77"/>
      <c r="DU109" s="77"/>
      <c r="DV109" s="77"/>
      <c r="DW109" s="77"/>
      <c r="DX109" s="77"/>
      <c r="DY109" s="77"/>
      <c r="DZ109" s="77"/>
      <c r="EA109" s="77"/>
      <c r="EB109" s="77"/>
      <c r="EC109" s="77"/>
      <c r="ED109" s="77"/>
      <c r="EE109" s="77"/>
      <c r="EF109" s="77"/>
      <c r="EG109" s="77"/>
      <c r="EH109" s="77"/>
      <c r="EI109" s="77"/>
      <c r="EJ109" s="77"/>
      <c r="EK109" s="77"/>
      <c r="EL109" s="77"/>
      <c r="EM109" s="77"/>
      <c r="EN109" s="77"/>
      <c r="EO109" s="77"/>
      <c r="EP109" s="77"/>
      <c r="EQ109" s="77"/>
      <c r="ER109" s="77"/>
      <c r="ES109" s="77"/>
    </row>
    <row r="110" spans="1:154" ht="75" x14ac:dyDescent="0.85">
      <c r="A110" s="69"/>
      <c r="B110" s="317"/>
      <c r="C110" s="317"/>
      <c r="D110" s="317"/>
      <c r="E110" s="317"/>
      <c r="F110" s="317"/>
      <c r="G110" s="317"/>
      <c r="H110" s="317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17"/>
      <c r="V110" s="317"/>
      <c r="W110" s="317"/>
      <c r="X110" s="317"/>
      <c r="Y110" s="448"/>
      <c r="Z110" s="448"/>
      <c r="AA110" s="448"/>
      <c r="AB110" s="448"/>
      <c r="AC110" s="448"/>
      <c r="AD110" s="448"/>
      <c r="AE110" s="448"/>
      <c r="AF110" s="448"/>
      <c r="AG110" s="448"/>
      <c r="AH110" s="448"/>
      <c r="AI110" s="448"/>
      <c r="AJ110" s="448"/>
      <c r="AK110" s="448"/>
      <c r="AL110" s="448"/>
      <c r="AM110" s="448"/>
      <c r="AN110" s="448"/>
      <c r="AO110" s="448"/>
      <c r="AP110" s="448"/>
      <c r="AQ110" s="448"/>
      <c r="AR110" s="448"/>
      <c r="AS110" s="448"/>
      <c r="AT110" s="448"/>
      <c r="AU110" s="448"/>
      <c r="AV110" s="448"/>
      <c r="AW110" s="448"/>
      <c r="AX110" s="448"/>
      <c r="AY110" s="448"/>
      <c r="AZ110" s="448"/>
      <c r="BA110" s="448"/>
      <c r="BB110" s="448"/>
      <c r="BC110" s="448"/>
      <c r="BD110" s="448"/>
      <c r="BE110" s="448"/>
      <c r="BF110" s="448"/>
      <c r="BG110" s="448"/>
      <c r="BH110" s="448"/>
      <c r="BI110" s="448"/>
      <c r="BJ110" s="448"/>
      <c r="BK110" s="448"/>
      <c r="BL110" s="448"/>
      <c r="BM110" s="448"/>
      <c r="BN110" s="448"/>
      <c r="BO110" s="448"/>
      <c r="BP110" s="448"/>
      <c r="BQ110" s="448"/>
      <c r="BR110" s="448"/>
      <c r="BS110" s="77"/>
      <c r="BT110" s="77"/>
      <c r="BU110" s="77"/>
      <c r="BV110" s="77"/>
      <c r="BW110" s="77"/>
      <c r="BX110" s="77"/>
      <c r="BY110" s="77"/>
      <c r="BZ110" s="77"/>
      <c r="CA110" s="77"/>
      <c r="CB110" s="77"/>
      <c r="CC110" s="77"/>
      <c r="CD110" s="77"/>
      <c r="CE110" s="77"/>
      <c r="CF110" s="77"/>
      <c r="CG110" s="77"/>
      <c r="CH110" s="77"/>
      <c r="CI110" s="77"/>
      <c r="CJ110" s="77"/>
      <c r="CK110" s="77"/>
      <c r="CL110" s="77"/>
      <c r="CM110" s="77"/>
      <c r="CN110" s="77"/>
      <c r="CO110" s="77"/>
      <c r="CP110" s="77"/>
      <c r="CQ110" s="77"/>
      <c r="CR110" s="77"/>
      <c r="CS110" s="77"/>
      <c r="CT110" s="77"/>
      <c r="CU110" s="77"/>
      <c r="CV110" s="77"/>
      <c r="CW110" s="77"/>
      <c r="CX110" s="77"/>
      <c r="CY110" s="77"/>
      <c r="CZ110" s="77"/>
      <c r="DA110" s="77"/>
      <c r="DB110" s="77"/>
      <c r="DC110" s="77"/>
      <c r="DD110" s="77"/>
      <c r="DE110" s="77"/>
      <c r="DF110" s="77"/>
      <c r="DG110" s="77"/>
      <c r="DH110" s="77"/>
      <c r="DI110" s="77"/>
      <c r="DJ110" s="77"/>
      <c r="DK110" s="77"/>
      <c r="DL110" s="77"/>
      <c r="DM110" s="77"/>
      <c r="DN110" s="77"/>
      <c r="DO110" s="77"/>
      <c r="DP110" s="77"/>
      <c r="DQ110" s="77"/>
      <c r="DR110" s="77"/>
      <c r="DS110" s="77"/>
      <c r="DT110" s="77"/>
      <c r="DU110" s="77"/>
      <c r="DV110" s="77"/>
      <c r="DW110" s="77"/>
      <c r="DX110" s="77"/>
      <c r="DY110" s="77"/>
      <c r="DZ110" s="77"/>
      <c r="EA110" s="77"/>
      <c r="EB110" s="77"/>
      <c r="EC110" s="77"/>
      <c r="ED110" s="77"/>
      <c r="EE110" s="77"/>
      <c r="EF110" s="77"/>
      <c r="EG110" s="77"/>
      <c r="EH110" s="77"/>
      <c r="EI110" s="77"/>
      <c r="EJ110" s="77"/>
      <c r="EK110" s="77"/>
      <c r="EL110" s="77"/>
      <c r="EM110" s="77"/>
      <c r="EN110" s="77"/>
      <c r="EO110" s="77"/>
      <c r="EP110" s="77"/>
      <c r="EQ110" s="77"/>
      <c r="ER110" s="77"/>
      <c r="ES110" s="77"/>
    </row>
    <row r="111" spans="1:154" ht="120" customHeight="1" x14ac:dyDescent="0.65">
      <c r="A111" s="14"/>
      <c r="B111" s="317" t="s">
        <v>201</v>
      </c>
      <c r="C111" s="317"/>
      <c r="D111" s="317"/>
      <c r="E111" s="317"/>
      <c r="F111" s="317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17"/>
      <c r="V111" s="317"/>
      <c r="W111" s="317"/>
      <c r="X111" s="317"/>
      <c r="Y111" s="318" t="s">
        <v>104</v>
      </c>
      <c r="Z111" s="318"/>
      <c r="AA111" s="318"/>
      <c r="AB111" s="318"/>
      <c r="AC111" s="318"/>
      <c r="AD111" s="318"/>
      <c r="AE111" s="318"/>
      <c r="AF111" s="318"/>
      <c r="AG111" s="318"/>
      <c r="AH111" s="318"/>
      <c r="AI111" s="318"/>
      <c r="AJ111" s="318"/>
      <c r="AK111" s="318"/>
      <c r="AL111" s="318"/>
      <c r="AM111" s="318"/>
      <c r="AN111" s="318"/>
      <c r="AO111" s="318"/>
      <c r="AP111" s="318"/>
      <c r="AQ111" s="318"/>
      <c r="AR111" s="318"/>
      <c r="AS111" s="318"/>
      <c r="AT111" s="318"/>
      <c r="AU111" s="318"/>
      <c r="AV111" s="14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80"/>
      <c r="BJ111" s="80"/>
      <c r="BK111" s="80"/>
      <c r="BL111" s="80"/>
      <c r="BM111" s="80"/>
      <c r="BN111" s="80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</row>
  </sheetData>
  <mergeCells count="1430">
    <mergeCell ref="EY23:FA23"/>
    <mergeCell ref="FB23:FG23"/>
    <mergeCell ref="FI23:FK23"/>
    <mergeCell ref="FL23:FQ23"/>
    <mergeCell ref="FS23:FU23"/>
    <mergeCell ref="FV23:GA23"/>
    <mergeCell ref="GC23:GE23"/>
    <mergeCell ref="GF23:GK23"/>
    <mergeCell ref="GM23:GO23"/>
    <mergeCell ref="GP23:GU23"/>
    <mergeCell ref="GW23:GY23"/>
    <mergeCell ref="GZ23:HE23"/>
    <mergeCell ref="HG23:HI23"/>
    <mergeCell ref="HJ23:HO23"/>
    <mergeCell ref="EX20:EY20"/>
    <mergeCell ref="GZ20:HA20"/>
    <mergeCell ref="HB20:HC20"/>
    <mergeCell ref="HD20:HE20"/>
    <mergeCell ref="HF20:HG20"/>
    <mergeCell ref="HH20:HI20"/>
    <mergeCell ref="HN20:HO20"/>
    <mergeCell ref="HP20:HQ20"/>
    <mergeCell ref="EX21:GY21"/>
    <mergeCell ref="GZ21:HA21"/>
    <mergeCell ref="HB21:HC21"/>
    <mergeCell ref="HD21:HE21"/>
    <mergeCell ref="HF21:HG21"/>
    <mergeCell ref="HH21:HI21"/>
    <mergeCell ref="HJ21:HK21"/>
    <mergeCell ref="HL21:HM21"/>
    <mergeCell ref="HN21:HO21"/>
    <mergeCell ref="HP21:HQ21"/>
    <mergeCell ref="HJ20:HK20"/>
    <mergeCell ref="HL20:HM20"/>
    <mergeCell ref="EX19:EY19"/>
    <mergeCell ref="GZ19:HA19"/>
    <mergeCell ref="HB19:HC19"/>
    <mergeCell ref="HD19:HE19"/>
    <mergeCell ref="HF19:HG19"/>
    <mergeCell ref="HH19:HI19"/>
    <mergeCell ref="HJ19:HK19"/>
    <mergeCell ref="HL19:HM19"/>
    <mergeCell ref="HN19:HO19"/>
    <mergeCell ref="HP19:HQ19"/>
    <mergeCell ref="HH17:HI17"/>
    <mergeCell ref="HJ17:HK17"/>
    <mergeCell ref="HL17:HM17"/>
    <mergeCell ref="HN17:HO17"/>
    <mergeCell ref="HP17:HQ17"/>
    <mergeCell ref="HB12:HC15"/>
    <mergeCell ref="HD12:HE15"/>
    <mergeCell ref="HF12:HG15"/>
    <mergeCell ref="HH12:HI15"/>
    <mergeCell ref="HJ12:HK15"/>
    <mergeCell ref="HL12:HM15"/>
    <mergeCell ref="EZ14:FD14"/>
    <mergeCell ref="FE14:FH14"/>
    <mergeCell ref="FI14:FM14"/>
    <mergeCell ref="FN14:FQ14"/>
    <mergeCell ref="FR14:FV14"/>
    <mergeCell ref="FW14:FZ14"/>
    <mergeCell ref="GA14:GE14"/>
    <mergeCell ref="GF14:GI14"/>
    <mergeCell ref="GJ14:GM14"/>
    <mergeCell ref="GN14:GQ14"/>
    <mergeCell ref="GR14:GU14"/>
    <mergeCell ref="GV14:GY14"/>
    <mergeCell ref="EX18:EY18"/>
    <mergeCell ref="GZ18:HA18"/>
    <mergeCell ref="HB18:HC18"/>
    <mergeCell ref="HD18:HE18"/>
    <mergeCell ref="HF18:HG18"/>
    <mergeCell ref="HH18:HI18"/>
    <mergeCell ref="HJ18:HK18"/>
    <mergeCell ref="HL18:HM18"/>
    <mergeCell ref="HN18:HO18"/>
    <mergeCell ref="HP18:HQ18"/>
    <mergeCell ref="EX10:EY15"/>
    <mergeCell ref="EZ10:GY13"/>
    <mergeCell ref="GZ10:HM10"/>
    <mergeCell ref="HN10:HO15"/>
    <mergeCell ref="HP10:HQ15"/>
    <mergeCell ref="GZ11:HA15"/>
    <mergeCell ref="HB11:HM11"/>
    <mergeCell ref="EX16:EY16"/>
    <mergeCell ref="GZ16:HA16"/>
    <mergeCell ref="HB16:HC16"/>
    <mergeCell ref="HD16:HE16"/>
    <mergeCell ref="HF16:HG16"/>
    <mergeCell ref="HH16:HI16"/>
    <mergeCell ref="HJ16:HK16"/>
    <mergeCell ref="HL16:HM16"/>
    <mergeCell ref="HN16:HO16"/>
    <mergeCell ref="HP16:HQ16"/>
    <mergeCell ref="EX17:EY17"/>
    <mergeCell ref="GZ17:HA17"/>
    <mergeCell ref="HB17:HC17"/>
    <mergeCell ref="HD17:HE17"/>
    <mergeCell ref="HF17:HG17"/>
    <mergeCell ref="EB80:EF81"/>
    <mergeCell ref="BY82:CC83"/>
    <mergeCell ref="CD82:CH83"/>
    <mergeCell ref="CI82:CM83"/>
    <mergeCell ref="CN82:CR83"/>
    <mergeCell ref="CS82:CW83"/>
    <mergeCell ref="CX82:DB83"/>
    <mergeCell ref="EG80:EK81"/>
    <mergeCell ref="EB82:EF83"/>
    <mergeCell ref="EG82:EK83"/>
    <mergeCell ref="DM82:DQ83"/>
    <mergeCell ref="DH82:DL83"/>
    <mergeCell ref="EB39:EF39"/>
    <mergeCell ref="EL39:EP39"/>
    <mergeCell ref="DR33:DV33"/>
    <mergeCell ref="EQ39:ES39"/>
    <mergeCell ref="DW68:EA69"/>
    <mergeCell ref="DC68:DG69"/>
    <mergeCell ref="DH68:DL69"/>
    <mergeCell ref="DM68:DQ69"/>
    <mergeCell ref="DR68:DV69"/>
    <mergeCell ref="CD57:CH57"/>
    <mergeCell ref="CI57:CM57"/>
    <mergeCell ref="BY54:CC54"/>
    <mergeCell ref="CD54:CH54"/>
    <mergeCell ref="EL52:EP52"/>
    <mergeCell ref="DC82:DG83"/>
    <mergeCell ref="EQ82:ES83"/>
    <mergeCell ref="EL55:EP55"/>
    <mergeCell ref="EL56:EP56"/>
    <mergeCell ref="EB53:EF53"/>
    <mergeCell ref="EG53:EK53"/>
    <mergeCell ref="A1:ES1"/>
    <mergeCell ref="A9:ES9"/>
    <mergeCell ref="AM2:CU2"/>
    <mergeCell ref="AM3:CU3"/>
    <mergeCell ref="AM4:CU4"/>
    <mergeCell ref="AM5:CU5"/>
    <mergeCell ref="AM6:CU6"/>
    <mergeCell ref="AM7:CU7"/>
    <mergeCell ref="AM8:CU8"/>
    <mergeCell ref="DK3:ES3"/>
    <mergeCell ref="DK2:ES2"/>
    <mergeCell ref="DK4:ES4"/>
    <mergeCell ref="DK5:ES5"/>
    <mergeCell ref="A25:ES25"/>
    <mergeCell ref="EQ33:ES33"/>
    <mergeCell ref="EQ35:ES35"/>
    <mergeCell ref="Z68:AC69"/>
    <mergeCell ref="AD68:AF69"/>
    <mergeCell ref="EL53:EP53"/>
    <mergeCell ref="AG68:AK69"/>
    <mergeCell ref="AL68:AP69"/>
    <mergeCell ref="AQ68:AU69"/>
    <mergeCell ref="AV68:AZ69"/>
    <mergeCell ref="BA68:BE69"/>
    <mergeCell ref="BF68:BJ69"/>
    <mergeCell ref="BK68:BN69"/>
    <mergeCell ref="BO68:BS69"/>
    <mergeCell ref="BT68:BX69"/>
    <mergeCell ref="BY68:CC69"/>
    <mergeCell ref="CD68:CH69"/>
    <mergeCell ref="CI68:CM69"/>
    <mergeCell ref="CN68:CR69"/>
    <mergeCell ref="A82:A83"/>
    <mergeCell ref="C81:Y81"/>
    <mergeCell ref="A80:A81"/>
    <mergeCell ref="Z80:AC81"/>
    <mergeCell ref="AD80:AF81"/>
    <mergeCell ref="AG80:AK81"/>
    <mergeCell ref="AL80:AP81"/>
    <mergeCell ref="AQ80:AU81"/>
    <mergeCell ref="AV80:AZ81"/>
    <mergeCell ref="BA80:BE81"/>
    <mergeCell ref="BF80:BJ81"/>
    <mergeCell ref="BK80:BN81"/>
    <mergeCell ref="DC80:DG81"/>
    <mergeCell ref="DH80:DL81"/>
    <mergeCell ref="DM80:DQ81"/>
    <mergeCell ref="DR80:DV81"/>
    <mergeCell ref="DW80:EA81"/>
    <mergeCell ref="C82:Y82"/>
    <mergeCell ref="Z82:AC83"/>
    <mergeCell ref="AD82:AF83"/>
    <mergeCell ref="AG82:AK83"/>
    <mergeCell ref="AL82:AP83"/>
    <mergeCell ref="AQ82:AU83"/>
    <mergeCell ref="AV82:AZ83"/>
    <mergeCell ref="BA82:BE83"/>
    <mergeCell ref="CN80:CR81"/>
    <mergeCell ref="CS80:CW81"/>
    <mergeCell ref="CX80:DB81"/>
    <mergeCell ref="BO82:BS83"/>
    <mergeCell ref="BT82:BX83"/>
    <mergeCell ref="BO80:BS81"/>
    <mergeCell ref="BT80:BX81"/>
    <mergeCell ref="CS68:CW69"/>
    <mergeCell ref="CX68:DB69"/>
    <mergeCell ref="BF82:BJ83"/>
    <mergeCell ref="BK82:BN83"/>
    <mergeCell ref="BY80:CC81"/>
    <mergeCell ref="BO74:BS75"/>
    <mergeCell ref="BT74:BX75"/>
    <mergeCell ref="BY74:CC75"/>
    <mergeCell ref="CD74:CH75"/>
    <mergeCell ref="CI74:CM75"/>
    <mergeCell ref="CN74:CR75"/>
    <mergeCell ref="CS74:CW75"/>
    <mergeCell ref="CX74:DB75"/>
    <mergeCell ref="BO70:BS71"/>
    <mergeCell ref="BT70:BX71"/>
    <mergeCell ref="AG66:AK67"/>
    <mergeCell ref="AL66:AP67"/>
    <mergeCell ref="A2:Z2"/>
    <mergeCell ref="A3:Z3"/>
    <mergeCell ref="DC30:EP30"/>
    <mergeCell ref="BO49:BS49"/>
    <mergeCell ref="BO39:BS39"/>
    <mergeCell ref="AL49:AP49"/>
    <mergeCell ref="AQ49:AU49"/>
    <mergeCell ref="BO41:BS41"/>
    <mergeCell ref="BK39:BN39"/>
    <mergeCell ref="EQ54:ES54"/>
    <mergeCell ref="DW33:EA33"/>
    <mergeCell ref="EB33:EF33"/>
    <mergeCell ref="EG33:EK33"/>
    <mergeCell ref="EL33:EP33"/>
    <mergeCell ref="EB64:EF65"/>
    <mergeCell ref="DM57:DQ57"/>
    <mergeCell ref="DC59:DG59"/>
    <mergeCell ref="DH59:DL59"/>
    <mergeCell ref="CS59:CW59"/>
    <mergeCell ref="CX59:DB59"/>
    <mergeCell ref="EQ56:ES56"/>
    <mergeCell ref="EQ57:ES57"/>
    <mergeCell ref="EQ50:ES50"/>
    <mergeCell ref="EQ42:ES42"/>
    <mergeCell ref="EL64:EP65"/>
    <mergeCell ref="EQ64:ES65"/>
    <mergeCell ref="EQ59:ES59"/>
    <mergeCell ref="EQ58:ES58"/>
    <mergeCell ref="EQ55:ES55"/>
    <mergeCell ref="CD52:CH52"/>
    <mergeCell ref="EG52:EK52"/>
    <mergeCell ref="EL54:EP54"/>
    <mergeCell ref="BO56:BS56"/>
    <mergeCell ref="BA59:BE59"/>
    <mergeCell ref="BF59:BJ59"/>
    <mergeCell ref="CI59:CM59"/>
    <mergeCell ref="CN59:CR59"/>
    <mergeCell ref="CX58:DB58"/>
    <mergeCell ref="EG57:EK57"/>
    <mergeCell ref="DM59:DQ59"/>
    <mergeCell ref="EG59:EK59"/>
    <mergeCell ref="EG58:EK58"/>
    <mergeCell ref="BY52:CC52"/>
    <mergeCell ref="CI52:CM52"/>
    <mergeCell ref="CN52:CR52"/>
    <mergeCell ref="DR53:DV53"/>
    <mergeCell ref="DW60:EA61"/>
    <mergeCell ref="DR59:DV59"/>
    <mergeCell ref="EG56:EK56"/>
    <mergeCell ref="DR62:DV63"/>
    <mergeCell ref="DW62:EA63"/>
    <mergeCell ref="CN55:CR55"/>
    <mergeCell ref="CS55:CW55"/>
    <mergeCell ref="CX55:DB55"/>
    <mergeCell ref="CI54:CM54"/>
    <mergeCell ref="DH57:DL57"/>
    <mergeCell ref="CD55:CH55"/>
    <mergeCell ref="BT55:BX55"/>
    <mergeCell ref="BY55:CC55"/>
    <mergeCell ref="CS62:CW63"/>
    <mergeCell ref="CX62:DB63"/>
    <mergeCell ref="EB62:EF63"/>
    <mergeCell ref="CX60:DB61"/>
    <mergeCell ref="DC60:DG61"/>
    <mergeCell ref="DH60:DL61"/>
    <mergeCell ref="DM60:DQ61"/>
    <mergeCell ref="DR60:DV61"/>
    <mergeCell ref="DM58:DQ58"/>
    <mergeCell ref="EB59:EF59"/>
    <mergeCell ref="EB58:EF58"/>
    <mergeCell ref="DW57:EA57"/>
    <mergeCell ref="DM55:DQ55"/>
    <mergeCell ref="EB57:EF57"/>
    <mergeCell ref="EB55:EF55"/>
    <mergeCell ref="DC55:DG55"/>
    <mergeCell ref="CN57:CR57"/>
    <mergeCell ref="AV59:AZ59"/>
    <mergeCell ref="CS60:CW61"/>
    <mergeCell ref="BY64:CC65"/>
    <mergeCell ref="CD64:CH65"/>
    <mergeCell ref="CI64:CM65"/>
    <mergeCell ref="CN64:CR65"/>
    <mergeCell ref="BT59:BX59"/>
    <mergeCell ref="C88:Y88"/>
    <mergeCell ref="Z88:AC88"/>
    <mergeCell ref="AD88:AF88"/>
    <mergeCell ref="AG88:AK88"/>
    <mergeCell ref="AL88:AP88"/>
    <mergeCell ref="AQ88:AU88"/>
    <mergeCell ref="AV88:AZ88"/>
    <mergeCell ref="BA88:BE88"/>
    <mergeCell ref="BF88:BJ88"/>
    <mergeCell ref="BK88:BN88"/>
    <mergeCell ref="BO88:BS88"/>
    <mergeCell ref="BT88:BX88"/>
    <mergeCell ref="BY88:CC88"/>
    <mergeCell ref="CD88:CH88"/>
    <mergeCell ref="CI88:CM88"/>
    <mergeCell ref="CN88:CR88"/>
    <mergeCell ref="CS88:CW88"/>
    <mergeCell ref="BK84:BN84"/>
    <mergeCell ref="C59:Y59"/>
    <mergeCell ref="BK59:BN59"/>
    <mergeCell ref="CS64:CW65"/>
    <mergeCell ref="AQ85:AU85"/>
    <mergeCell ref="AV85:AZ85"/>
    <mergeCell ref="AG76:AK77"/>
    <mergeCell ref="C71:Y71"/>
    <mergeCell ref="CX88:DB88"/>
    <mergeCell ref="DC88:DG88"/>
    <mergeCell ref="DH88:DL88"/>
    <mergeCell ref="DM88:DQ88"/>
    <mergeCell ref="EB87:EF87"/>
    <mergeCell ref="DR88:DV88"/>
    <mergeCell ref="DW88:EA88"/>
    <mergeCell ref="EB88:EF88"/>
    <mergeCell ref="EG88:EK88"/>
    <mergeCell ref="DC85:DG85"/>
    <mergeCell ref="EG85:EK85"/>
    <mergeCell ref="EL88:EP88"/>
    <mergeCell ref="EQ88:ES88"/>
    <mergeCell ref="BK87:BN87"/>
    <mergeCell ref="BO87:BS87"/>
    <mergeCell ref="BT87:BX87"/>
    <mergeCell ref="BY87:CC87"/>
    <mergeCell ref="CD87:CH87"/>
    <mergeCell ref="CI87:CM87"/>
    <mergeCell ref="CN87:CR87"/>
    <mergeCell ref="CS87:CW87"/>
    <mergeCell ref="CX87:DB87"/>
    <mergeCell ref="DC87:DG87"/>
    <mergeCell ref="DH87:DL87"/>
    <mergeCell ref="DM87:DQ87"/>
    <mergeCell ref="DR87:DV87"/>
    <mergeCell ref="DW87:EA87"/>
    <mergeCell ref="EL87:EP87"/>
    <mergeCell ref="EQ87:ES87"/>
    <mergeCell ref="BO86:BS86"/>
    <mergeCell ref="BT86:BX86"/>
    <mergeCell ref="BY86:CC86"/>
    <mergeCell ref="BO84:BS84"/>
    <mergeCell ref="C85:Y85"/>
    <mergeCell ref="BY84:CC84"/>
    <mergeCell ref="EB85:EF85"/>
    <mergeCell ref="EL86:EP86"/>
    <mergeCell ref="EQ86:ES86"/>
    <mergeCell ref="BA85:BE85"/>
    <mergeCell ref="EG87:EK87"/>
    <mergeCell ref="DH86:DL86"/>
    <mergeCell ref="DM86:DQ86"/>
    <mergeCell ref="DR86:DV86"/>
    <mergeCell ref="DW86:EA86"/>
    <mergeCell ref="EB86:EF86"/>
    <mergeCell ref="EG86:EK86"/>
    <mergeCell ref="BK85:BN85"/>
    <mergeCell ref="CS85:CW85"/>
    <mergeCell ref="CX85:DB85"/>
    <mergeCell ref="DH85:DL85"/>
    <mergeCell ref="DM85:DQ85"/>
    <mergeCell ref="DR85:DV85"/>
    <mergeCell ref="C86:Y86"/>
    <mergeCell ref="Z86:AC86"/>
    <mergeCell ref="AD86:AF86"/>
    <mergeCell ref="AG86:AK86"/>
    <mergeCell ref="AL86:AP86"/>
    <mergeCell ref="AQ86:AU86"/>
    <mergeCell ref="AV86:AZ86"/>
    <mergeCell ref="BA86:BE86"/>
    <mergeCell ref="BF86:BJ86"/>
    <mergeCell ref="BK86:BN86"/>
    <mergeCell ref="CD86:CH86"/>
    <mergeCell ref="CI86:CM86"/>
    <mergeCell ref="CN86:CR86"/>
    <mergeCell ref="CS86:CW86"/>
    <mergeCell ref="BO85:BS85"/>
    <mergeCell ref="BT85:BX85"/>
    <mergeCell ref="BT84:BX84"/>
    <mergeCell ref="BK56:BN56"/>
    <mergeCell ref="BY85:CC85"/>
    <mergeCell ref="CD85:CH85"/>
    <mergeCell ref="CI85:CM85"/>
    <mergeCell ref="CN85:CR85"/>
    <mergeCell ref="BO59:BS59"/>
    <mergeCell ref="CX57:DB57"/>
    <mergeCell ref="BO27:BX27"/>
    <mergeCell ref="BY27:CH27"/>
    <mergeCell ref="CI27:CR27"/>
    <mergeCell ref="CD45:CH45"/>
    <mergeCell ref="CI45:CM45"/>
    <mergeCell ref="CN45:CR45"/>
    <mergeCell ref="BY47:CC47"/>
    <mergeCell ref="CN48:CR48"/>
    <mergeCell ref="BY48:CC48"/>
    <mergeCell ref="CD48:CH48"/>
    <mergeCell ref="CI48:CM48"/>
    <mergeCell ref="BO29:BX29"/>
    <mergeCell ref="BO31:BS31"/>
    <mergeCell ref="BO34:BS34"/>
    <mergeCell ref="BO28:DB28"/>
    <mergeCell ref="CI33:CM33"/>
    <mergeCell ref="BT35:BX35"/>
    <mergeCell ref="CI35:CM35"/>
    <mergeCell ref="CS42:CW42"/>
    <mergeCell ref="CX42:DB42"/>
    <mergeCell ref="EL85:EP85"/>
    <mergeCell ref="EQ85:ES85"/>
    <mergeCell ref="CX86:DB86"/>
    <mergeCell ref="DC86:DG86"/>
    <mergeCell ref="EQ84:ES84"/>
    <mergeCell ref="EL84:EP84"/>
    <mergeCell ref="BT58:BX58"/>
    <mergeCell ref="BY58:CC58"/>
    <mergeCell ref="DH62:DL63"/>
    <mergeCell ref="DM62:DQ63"/>
    <mergeCell ref="DW54:EA54"/>
    <mergeCell ref="DM64:DQ65"/>
    <mergeCell ref="DR64:DV65"/>
    <mergeCell ref="DW64:EA65"/>
    <mergeCell ref="EQ51:ES51"/>
    <mergeCell ref="DH56:DL56"/>
    <mergeCell ref="DM56:DQ56"/>
    <mergeCell ref="DR56:DV56"/>
    <mergeCell ref="DW56:EA56"/>
    <mergeCell ref="DW85:EA85"/>
    <mergeCell ref="BY70:CC71"/>
    <mergeCell ref="DH51:DL51"/>
    <mergeCell ref="DM51:DQ51"/>
    <mergeCell ref="CS57:CW57"/>
    <mergeCell ref="DW59:EA59"/>
    <mergeCell ref="EL58:EP58"/>
    <mergeCell ref="EL51:EP51"/>
    <mergeCell ref="EL57:EP57"/>
    <mergeCell ref="DR84:DV84"/>
    <mergeCell ref="EQ52:ES52"/>
    <mergeCell ref="EQ68:ES69"/>
    <mergeCell ref="CN62:CR63"/>
    <mergeCell ref="DM27:DV27"/>
    <mergeCell ref="DW27:EF27"/>
    <mergeCell ref="DM37:DQ37"/>
    <mergeCell ref="DW84:EA84"/>
    <mergeCell ref="EB84:EF84"/>
    <mergeCell ref="CS84:CW84"/>
    <mergeCell ref="CX84:DB84"/>
    <mergeCell ref="EB56:EF56"/>
    <mergeCell ref="CD66:CH67"/>
    <mergeCell ref="CI66:CM67"/>
    <mergeCell ref="CN66:CR67"/>
    <mergeCell ref="CS66:CW67"/>
    <mergeCell ref="CX66:DB67"/>
    <mergeCell ref="CX64:DB65"/>
    <mergeCell ref="DC64:DG65"/>
    <mergeCell ref="DH64:DL65"/>
    <mergeCell ref="DW52:EA52"/>
    <mergeCell ref="CD80:CH81"/>
    <mergeCell ref="CI80:CM81"/>
    <mergeCell ref="CD70:CH71"/>
    <mergeCell ref="BY29:CH29"/>
    <mergeCell ref="CI29:CR29"/>
    <mergeCell ref="DC28:EP28"/>
    <mergeCell ref="DC32:EP32"/>
    <mergeCell ref="CS35:CW35"/>
    <mergeCell ref="EB31:EF31"/>
    <mergeCell ref="EG31:EK31"/>
    <mergeCell ref="CD33:CH33"/>
    <mergeCell ref="BY34:CC34"/>
    <mergeCell ref="CD34:CH34"/>
    <mergeCell ref="EL82:EP83"/>
    <mergeCell ref="CI70:CM71"/>
    <mergeCell ref="AD55:AF55"/>
    <mergeCell ref="AG55:AK55"/>
    <mergeCell ref="AG41:AK41"/>
    <mergeCell ref="C57:Y57"/>
    <mergeCell ref="Z57:AC57"/>
    <mergeCell ref="AD57:AF57"/>
    <mergeCell ref="AG57:AK57"/>
    <mergeCell ref="Z49:AC49"/>
    <mergeCell ref="BT49:BX49"/>
    <mergeCell ref="C39:Y39"/>
    <mergeCell ref="Z39:AC39"/>
    <mergeCell ref="Z56:AC56"/>
    <mergeCell ref="AG48:AK48"/>
    <mergeCell ref="BF55:BJ55"/>
    <mergeCell ref="BK55:BN55"/>
    <mergeCell ref="BO55:BS55"/>
    <mergeCell ref="C54:Y54"/>
    <mergeCell ref="AD56:AF56"/>
    <mergeCell ref="AG56:AK56"/>
    <mergeCell ref="AV56:AZ56"/>
    <mergeCell ref="BA56:BE56"/>
    <mergeCell ref="C50:Y50"/>
    <mergeCell ref="Z50:AC50"/>
    <mergeCell ref="AD50:AF50"/>
    <mergeCell ref="AG50:AK50"/>
    <mergeCell ref="AL50:AP50"/>
    <mergeCell ref="AQ50:AU50"/>
    <mergeCell ref="AV50:AZ50"/>
    <mergeCell ref="AD52:AF52"/>
    <mergeCell ref="AG52:AK52"/>
    <mergeCell ref="BK49:BN49"/>
    <mergeCell ref="AQ52:AU52"/>
    <mergeCell ref="AD58:AF58"/>
    <mergeCell ref="C47:Y47"/>
    <mergeCell ref="C56:Y56"/>
    <mergeCell ref="AV48:AZ48"/>
    <mergeCell ref="BA36:BE36"/>
    <mergeCell ref="BF36:BJ36"/>
    <mergeCell ref="C43:Y43"/>
    <mergeCell ref="Z43:AC43"/>
    <mergeCell ref="BT39:BX39"/>
    <mergeCell ref="BT34:BX34"/>
    <mergeCell ref="AL58:AP58"/>
    <mergeCell ref="BK57:BN57"/>
    <mergeCell ref="BO57:BS57"/>
    <mergeCell ref="BT57:BX57"/>
    <mergeCell ref="BY57:CC57"/>
    <mergeCell ref="BO58:BS58"/>
    <mergeCell ref="AL56:AP56"/>
    <mergeCell ref="AQ56:AU56"/>
    <mergeCell ref="Z51:AC51"/>
    <mergeCell ref="BT41:BX41"/>
    <mergeCell ref="Z45:AC45"/>
    <mergeCell ref="BK46:BN46"/>
    <mergeCell ref="Z44:AC44"/>
    <mergeCell ref="Z42:AC42"/>
    <mergeCell ref="AD40:AF40"/>
    <mergeCell ref="C45:Y45"/>
    <mergeCell ref="AD42:AF42"/>
    <mergeCell ref="AD43:AF43"/>
    <mergeCell ref="AD38:AF38"/>
    <mergeCell ref="AG42:AK42"/>
    <mergeCell ref="AL42:AP42"/>
    <mergeCell ref="AQ42:AU42"/>
    <mergeCell ref="AD48:AF48"/>
    <mergeCell ref="AD49:AF49"/>
    <mergeCell ref="AV37:AZ37"/>
    <mergeCell ref="BA37:BE37"/>
    <mergeCell ref="AQ38:AU38"/>
    <mergeCell ref="AV52:AZ52"/>
    <mergeCell ref="C51:Y51"/>
    <mergeCell ref="AL51:AP51"/>
    <mergeCell ref="Z54:AC54"/>
    <mergeCell ref="AD54:AF54"/>
    <mergeCell ref="CN39:CR39"/>
    <mergeCell ref="AG37:AK37"/>
    <mergeCell ref="Z33:AC33"/>
    <mergeCell ref="AD33:AF33"/>
    <mergeCell ref="AV42:AZ42"/>
    <mergeCell ref="BA42:BE42"/>
    <mergeCell ref="BF42:BJ42"/>
    <mergeCell ref="BA50:BE50"/>
    <mergeCell ref="BF50:BJ50"/>
    <mergeCell ref="BK50:BN50"/>
    <mergeCell ref="BO50:BS50"/>
    <mergeCell ref="BT50:BX50"/>
    <mergeCell ref="Z52:AC52"/>
    <mergeCell ref="BT52:BX52"/>
    <mergeCell ref="BF54:BJ54"/>
    <mergeCell ref="BK54:BN54"/>
    <mergeCell ref="BO54:BS54"/>
    <mergeCell ref="BT54:BX54"/>
    <mergeCell ref="AL54:AP54"/>
    <mergeCell ref="CD43:CH43"/>
    <mergeCell ref="CI43:CM43"/>
    <mergeCell ref="BA52:BE52"/>
    <mergeCell ref="A26:A33"/>
    <mergeCell ref="BK58:BN58"/>
    <mergeCell ref="C46:Y46"/>
    <mergeCell ref="BK47:BN47"/>
    <mergeCell ref="Z47:AC47"/>
    <mergeCell ref="BT48:BX48"/>
    <mergeCell ref="BY45:CC45"/>
    <mergeCell ref="BO47:BS47"/>
    <mergeCell ref="BT47:BX47"/>
    <mergeCell ref="BO26:DB26"/>
    <mergeCell ref="CD31:CH31"/>
    <mergeCell ref="CI31:CM31"/>
    <mergeCell ref="CN31:CR31"/>
    <mergeCell ref="BO33:BS33"/>
    <mergeCell ref="BT33:BX33"/>
    <mergeCell ref="BY33:CC33"/>
    <mergeCell ref="Z34:AC34"/>
    <mergeCell ref="AQ34:AU34"/>
    <mergeCell ref="Z40:AC40"/>
    <mergeCell ref="AD39:AF39"/>
    <mergeCell ref="AG39:AK39"/>
    <mergeCell ref="Z38:AC38"/>
    <mergeCell ref="BF34:BJ34"/>
    <mergeCell ref="Z27:AF32"/>
    <mergeCell ref="BY39:CC39"/>
    <mergeCell ref="CD39:CH39"/>
    <mergeCell ref="CN35:CR35"/>
    <mergeCell ref="BO32:DB32"/>
    <mergeCell ref="CI39:CM39"/>
    <mergeCell ref="C58:Y58"/>
    <mergeCell ref="AG49:AK49"/>
    <mergeCell ref="Z58:AC58"/>
    <mergeCell ref="Z89:AC89"/>
    <mergeCell ref="Z46:AC46"/>
    <mergeCell ref="BK44:BN44"/>
    <mergeCell ref="AG47:AK47"/>
    <mergeCell ref="AL47:AP47"/>
    <mergeCell ref="AQ47:AU47"/>
    <mergeCell ref="AV47:AZ47"/>
    <mergeCell ref="BA47:BE47"/>
    <mergeCell ref="BF47:BJ47"/>
    <mergeCell ref="C68:Y68"/>
    <mergeCell ref="AG36:AK36"/>
    <mergeCell ref="Z36:AC36"/>
    <mergeCell ref="BK35:BN35"/>
    <mergeCell ref="Z41:AC41"/>
    <mergeCell ref="BK43:BN43"/>
    <mergeCell ref="AQ45:AU45"/>
    <mergeCell ref="AV45:AZ45"/>
    <mergeCell ref="BF45:BJ45"/>
    <mergeCell ref="C55:Y55"/>
    <mergeCell ref="AQ48:AU48"/>
    <mergeCell ref="C48:Y48"/>
    <mergeCell ref="AL48:AP48"/>
    <mergeCell ref="AV49:AZ49"/>
    <mergeCell ref="BA49:BE49"/>
    <mergeCell ref="AQ46:AU46"/>
    <mergeCell ref="AV46:AZ46"/>
    <mergeCell ref="C37:Y37"/>
    <mergeCell ref="Z37:AC37"/>
    <mergeCell ref="C38:Y38"/>
    <mergeCell ref="C40:Y40"/>
    <mergeCell ref="C41:Y41"/>
    <mergeCell ref="C42:Y42"/>
    <mergeCell ref="EQ41:ES41"/>
    <mergeCell ref="DM42:DQ42"/>
    <mergeCell ref="EQ49:ES49"/>
    <mergeCell ref="EQ44:ES44"/>
    <mergeCell ref="EQ45:ES45"/>
    <mergeCell ref="EQ48:ES48"/>
    <mergeCell ref="EQ47:ES47"/>
    <mergeCell ref="EQ46:ES46"/>
    <mergeCell ref="DC44:DG44"/>
    <mergeCell ref="DH44:DL44"/>
    <mergeCell ref="DM43:DQ43"/>
    <mergeCell ref="DR43:DV43"/>
    <mergeCell ref="DW43:EA43"/>
    <mergeCell ref="EB43:EF43"/>
    <mergeCell ref="EG43:EK43"/>
    <mergeCell ref="EL43:EP43"/>
    <mergeCell ref="EG44:EK44"/>
    <mergeCell ref="EQ43:ES43"/>
    <mergeCell ref="EG46:EK46"/>
    <mergeCell ref="DR41:DV41"/>
    <mergeCell ref="DW41:EA41"/>
    <mergeCell ref="EB41:EF41"/>
    <mergeCell ref="EG41:EK41"/>
    <mergeCell ref="DC45:DG45"/>
    <mergeCell ref="EL41:EP41"/>
    <mergeCell ref="EB44:EF44"/>
    <mergeCell ref="EG42:EK42"/>
    <mergeCell ref="EB42:EF42"/>
    <mergeCell ref="DC42:DG42"/>
    <mergeCell ref="DH43:DL43"/>
    <mergeCell ref="EL49:EP49"/>
    <mergeCell ref="EG48:EK48"/>
    <mergeCell ref="AL36:AP36"/>
    <mergeCell ref="AQ36:AU36"/>
    <mergeCell ref="AV36:AZ36"/>
    <mergeCell ref="CN38:CR38"/>
    <mergeCell ref="CS38:CW38"/>
    <mergeCell ref="CX38:DB38"/>
    <mergeCell ref="CN37:CR37"/>
    <mergeCell ref="CX37:DB37"/>
    <mergeCell ref="DR38:DV38"/>
    <mergeCell ref="DW38:EA38"/>
    <mergeCell ref="EB38:EF38"/>
    <mergeCell ref="EG38:EK38"/>
    <mergeCell ref="BO38:BS38"/>
    <mergeCell ref="BT38:BX38"/>
    <mergeCell ref="BY38:CC38"/>
    <mergeCell ref="CD38:CH38"/>
    <mergeCell ref="EQ37:ES37"/>
    <mergeCell ref="EL38:EP38"/>
    <mergeCell ref="DH38:DL38"/>
    <mergeCell ref="DM38:DQ38"/>
    <mergeCell ref="CI37:CM37"/>
    <mergeCell ref="BO37:BS37"/>
    <mergeCell ref="BT37:BX37"/>
    <mergeCell ref="BY37:CC37"/>
    <mergeCell ref="CD37:CH37"/>
    <mergeCell ref="EB36:EF36"/>
    <mergeCell ref="BK38:BN38"/>
    <mergeCell ref="CN36:CR36"/>
    <mergeCell ref="CI38:CM38"/>
    <mergeCell ref="AL37:AP37"/>
    <mergeCell ref="AQ37:AU37"/>
    <mergeCell ref="AQ58:AU58"/>
    <mergeCell ref="AV58:AZ58"/>
    <mergeCell ref="BA58:BE58"/>
    <mergeCell ref="BF58:BJ58"/>
    <mergeCell ref="CD40:CH40"/>
    <mergeCell ref="CN44:CR44"/>
    <mergeCell ref="CS44:CW44"/>
    <mergeCell ref="CX44:DB44"/>
    <mergeCell ref="BF51:BJ51"/>
    <mergeCell ref="BK51:BN51"/>
    <mergeCell ref="BO51:BS51"/>
    <mergeCell ref="BT51:BX51"/>
    <mergeCell ref="BY51:CC51"/>
    <mergeCell ref="CD51:CH51"/>
    <mergeCell ref="CS52:CW52"/>
    <mergeCell ref="CS54:CW54"/>
    <mergeCell ref="BK52:BN52"/>
    <mergeCell ref="BO52:BS52"/>
    <mergeCell ref="BK45:BN45"/>
    <mergeCell ref="BO46:BS46"/>
    <mergeCell ref="BT46:BX46"/>
    <mergeCell ref="BY46:CC46"/>
    <mergeCell ref="BO45:BS45"/>
    <mergeCell ref="BT45:BX45"/>
    <mergeCell ref="BK48:BN48"/>
    <mergeCell ref="CD47:CH47"/>
    <mergeCell ref="CI47:CM47"/>
    <mergeCell ref="BO48:BS48"/>
    <mergeCell ref="CD46:CH46"/>
    <mergeCell ref="BF48:BJ48"/>
    <mergeCell ref="BF52:BJ52"/>
    <mergeCell ref="AV55:AZ55"/>
    <mergeCell ref="EL31:EP31"/>
    <mergeCell ref="BT31:BX31"/>
    <mergeCell ref="BY31:CC31"/>
    <mergeCell ref="DC33:DG33"/>
    <mergeCell ref="DH33:DL33"/>
    <mergeCell ref="DM33:DQ33"/>
    <mergeCell ref="CN43:CR43"/>
    <mergeCell ref="CS43:CW43"/>
    <mergeCell ref="BY44:CC44"/>
    <mergeCell ref="CD44:CH44"/>
    <mergeCell ref="CI44:CM44"/>
    <mergeCell ref="BO43:BS43"/>
    <mergeCell ref="BT43:BX43"/>
    <mergeCell ref="BO40:BS40"/>
    <mergeCell ref="BT40:BX40"/>
    <mergeCell ref="BY40:CC40"/>
    <mergeCell ref="CS41:CW41"/>
    <mergeCell ref="BO44:BS44"/>
    <mergeCell ref="BT44:BX44"/>
    <mergeCell ref="BY41:CC41"/>
    <mergeCell ref="BO42:BS42"/>
    <mergeCell ref="CD41:CH41"/>
    <mergeCell ref="EB35:EF35"/>
    <mergeCell ref="EG35:EK35"/>
    <mergeCell ref="EL35:EP35"/>
    <mergeCell ref="DC36:DG36"/>
    <mergeCell ref="DH36:DL36"/>
    <mergeCell ref="CI34:CM34"/>
    <mergeCell ref="CN34:CR34"/>
    <mergeCell ref="CS34:CW34"/>
    <mergeCell ref="DR42:DV42"/>
    <mergeCell ref="DM44:DQ44"/>
    <mergeCell ref="AG46:AK46"/>
    <mergeCell ref="AL46:AP46"/>
    <mergeCell ref="BA44:BE44"/>
    <mergeCell ref="BF49:BJ49"/>
    <mergeCell ref="BF44:BJ44"/>
    <mergeCell ref="AL57:AP57"/>
    <mergeCell ref="AQ57:AU57"/>
    <mergeCell ref="BA48:BE48"/>
    <mergeCell ref="AQ51:AU51"/>
    <mergeCell ref="AV51:AZ51"/>
    <mergeCell ref="BA51:BE51"/>
    <mergeCell ref="BF56:BJ56"/>
    <mergeCell ref="AV57:AZ57"/>
    <mergeCell ref="BA57:BE57"/>
    <mergeCell ref="BF57:BJ57"/>
    <mergeCell ref="AG54:AK54"/>
    <mergeCell ref="BF46:BJ46"/>
    <mergeCell ref="AG45:AK45"/>
    <mergeCell ref="BA55:BE55"/>
    <mergeCell ref="AQ54:AU54"/>
    <mergeCell ref="AL55:AP55"/>
    <mergeCell ref="AL52:AP52"/>
    <mergeCell ref="AQ55:AU55"/>
    <mergeCell ref="AV54:AZ54"/>
    <mergeCell ref="BA54:BE54"/>
    <mergeCell ref="Z48:AC48"/>
    <mergeCell ref="C49:Y49"/>
    <mergeCell ref="BK42:BN42"/>
    <mergeCell ref="AD59:AF59"/>
    <mergeCell ref="AG59:AK59"/>
    <mergeCell ref="BT42:BX42"/>
    <mergeCell ref="BY42:CC42"/>
    <mergeCell ref="CD42:CH42"/>
    <mergeCell ref="BA46:BE46"/>
    <mergeCell ref="DH41:DL41"/>
    <mergeCell ref="CI46:CM46"/>
    <mergeCell ref="CI42:CM42"/>
    <mergeCell ref="CI41:CM41"/>
    <mergeCell ref="CS48:CW48"/>
    <mergeCell ref="CN47:CR47"/>
    <mergeCell ref="CI51:CM51"/>
    <mergeCell ref="AD51:AF51"/>
    <mergeCell ref="AG51:AK51"/>
    <mergeCell ref="AL41:AP41"/>
    <mergeCell ref="AQ41:AU41"/>
    <mergeCell ref="AD46:AF46"/>
    <mergeCell ref="AD41:AF41"/>
    <mergeCell ref="BY59:CC59"/>
    <mergeCell ref="CD59:CH59"/>
    <mergeCell ref="AG44:AK44"/>
    <mergeCell ref="AL44:AP44"/>
    <mergeCell ref="AQ44:AU44"/>
    <mergeCell ref="AV44:AZ44"/>
    <mergeCell ref="CX43:DB43"/>
    <mergeCell ref="BY43:CC43"/>
    <mergeCell ref="AD47:AF47"/>
    <mergeCell ref="AD44:AF44"/>
    <mergeCell ref="EQ40:ES40"/>
    <mergeCell ref="EL34:EP34"/>
    <mergeCell ref="DC35:DG35"/>
    <mergeCell ref="DH35:DL35"/>
    <mergeCell ref="DM35:DQ35"/>
    <mergeCell ref="EB34:EF34"/>
    <mergeCell ref="EG34:EK34"/>
    <mergeCell ref="DM34:DQ34"/>
    <mergeCell ref="CS39:CW39"/>
    <mergeCell ref="CX39:DB39"/>
    <mergeCell ref="BF37:BJ37"/>
    <mergeCell ref="AV41:AZ41"/>
    <mergeCell ref="BA41:BE41"/>
    <mergeCell ref="BF41:BJ41"/>
    <mergeCell ref="BK41:BN41"/>
    <mergeCell ref="DR37:DV37"/>
    <mergeCell ref="DW37:EA37"/>
    <mergeCell ref="CX35:DB35"/>
    <mergeCell ref="DC34:DG34"/>
    <mergeCell ref="DH34:DL34"/>
    <mergeCell ref="DW36:EA36"/>
    <mergeCell ref="DM39:DQ39"/>
    <mergeCell ref="DR39:DV39"/>
    <mergeCell ref="DM40:DQ40"/>
    <mergeCell ref="DR40:DV40"/>
    <mergeCell ref="DW40:EA40"/>
    <mergeCell ref="DC39:DG39"/>
    <mergeCell ref="EQ36:ES36"/>
    <mergeCell ref="CS37:CW37"/>
    <mergeCell ref="EQ38:ES38"/>
    <mergeCell ref="DW39:EA39"/>
    <mergeCell ref="CS40:CW40"/>
    <mergeCell ref="AD45:AF45"/>
    <mergeCell ref="BK40:BN40"/>
    <mergeCell ref="AG40:AK40"/>
    <mergeCell ref="AL40:AP40"/>
    <mergeCell ref="AQ40:AU40"/>
    <mergeCell ref="AV40:AZ40"/>
    <mergeCell ref="BA40:BE40"/>
    <mergeCell ref="BF40:BJ40"/>
    <mergeCell ref="CI40:CM40"/>
    <mergeCell ref="CN40:CR40"/>
    <mergeCell ref="EQ26:ES32"/>
    <mergeCell ref="DC26:EP26"/>
    <mergeCell ref="BO36:BS36"/>
    <mergeCell ref="BT36:BX36"/>
    <mergeCell ref="BY36:CC36"/>
    <mergeCell ref="CD36:CH36"/>
    <mergeCell ref="CI36:CM36"/>
    <mergeCell ref="BK37:BN37"/>
    <mergeCell ref="DC37:DG37"/>
    <mergeCell ref="DH37:DL37"/>
    <mergeCell ref="AL39:AP39"/>
    <mergeCell ref="AQ39:AU39"/>
    <mergeCell ref="AV39:AZ39"/>
    <mergeCell ref="BA39:BE39"/>
    <mergeCell ref="BF39:BJ39"/>
    <mergeCell ref="AL45:AP45"/>
    <mergeCell ref="BA45:BE45"/>
    <mergeCell ref="BF28:BJ33"/>
    <mergeCell ref="BK27:BN33"/>
    <mergeCell ref="CN42:CR42"/>
    <mergeCell ref="EL44:EP44"/>
    <mergeCell ref="DR44:DV44"/>
    <mergeCell ref="C36:Y36"/>
    <mergeCell ref="AG34:AK34"/>
    <mergeCell ref="AL34:AP34"/>
    <mergeCell ref="DR34:DV34"/>
    <mergeCell ref="DW34:EA34"/>
    <mergeCell ref="EG29:EP29"/>
    <mergeCell ref="DC31:DG31"/>
    <mergeCell ref="DH31:DL31"/>
    <mergeCell ref="DM31:DQ31"/>
    <mergeCell ref="CX36:DB36"/>
    <mergeCell ref="EL37:EP37"/>
    <mergeCell ref="DC27:DL27"/>
    <mergeCell ref="EQ34:ES34"/>
    <mergeCell ref="EG27:EP27"/>
    <mergeCell ref="DC29:DL29"/>
    <mergeCell ref="DM29:DV29"/>
    <mergeCell ref="DW29:EF29"/>
    <mergeCell ref="DR31:DV31"/>
    <mergeCell ref="DW31:EA31"/>
    <mergeCell ref="BY35:CC35"/>
    <mergeCell ref="CD35:CH35"/>
    <mergeCell ref="CN33:CR33"/>
    <mergeCell ref="AD34:AF34"/>
    <mergeCell ref="AD35:AF35"/>
    <mergeCell ref="AD36:AF36"/>
    <mergeCell ref="AD37:AF37"/>
    <mergeCell ref="CS27:DB27"/>
    <mergeCell ref="CS29:DB29"/>
    <mergeCell ref="CS31:CW31"/>
    <mergeCell ref="CX31:DB31"/>
    <mergeCell ref="C34:Y34"/>
    <mergeCell ref="BA28:BE33"/>
    <mergeCell ref="C44:Y44"/>
    <mergeCell ref="BK36:BN36"/>
    <mergeCell ref="AG38:AK38"/>
    <mergeCell ref="AL38:AP38"/>
    <mergeCell ref="AV38:AZ38"/>
    <mergeCell ref="BA38:BE38"/>
    <mergeCell ref="BF38:BJ38"/>
    <mergeCell ref="AG43:AK43"/>
    <mergeCell ref="AL43:AP43"/>
    <mergeCell ref="AQ43:AU43"/>
    <mergeCell ref="AV43:AZ43"/>
    <mergeCell ref="BA43:BE43"/>
    <mergeCell ref="BF43:BJ43"/>
    <mergeCell ref="BO35:BS35"/>
    <mergeCell ref="B26:B33"/>
    <mergeCell ref="Z26:BN26"/>
    <mergeCell ref="AG27:BJ27"/>
    <mergeCell ref="AG35:AK35"/>
    <mergeCell ref="AL35:AP35"/>
    <mergeCell ref="AQ35:AU35"/>
    <mergeCell ref="AV35:AZ35"/>
    <mergeCell ref="BA35:BE35"/>
    <mergeCell ref="BF35:BJ35"/>
    <mergeCell ref="AG28:AK33"/>
    <mergeCell ref="AL28:AP33"/>
    <mergeCell ref="AQ28:AU33"/>
    <mergeCell ref="AV28:AZ33"/>
    <mergeCell ref="AV34:AZ34"/>
    <mergeCell ref="BA34:BE34"/>
    <mergeCell ref="BK34:BN34"/>
    <mergeCell ref="C35:Y35"/>
    <mergeCell ref="Z35:AC35"/>
    <mergeCell ref="C26:Y33"/>
    <mergeCell ref="CX34:DB34"/>
    <mergeCell ref="CS33:CW33"/>
    <mergeCell ref="CX33:DB33"/>
    <mergeCell ref="BO30:DB30"/>
    <mergeCell ref="DR51:DV51"/>
    <mergeCell ref="DR55:DV55"/>
    <mergeCell ref="BY50:CC50"/>
    <mergeCell ref="CX56:DB56"/>
    <mergeCell ref="DC56:DG56"/>
    <mergeCell ref="DC57:DG57"/>
    <mergeCell ref="DW53:EA53"/>
    <mergeCell ref="DW49:EA49"/>
    <mergeCell ref="CN58:CR58"/>
    <mergeCell ref="CS58:CW58"/>
    <mergeCell ref="DC54:DG54"/>
    <mergeCell ref="DH54:DL54"/>
    <mergeCell ref="DC58:DG58"/>
    <mergeCell ref="CX53:DB53"/>
    <mergeCell ref="DH58:DL58"/>
    <mergeCell ref="DC52:DG52"/>
    <mergeCell ref="DR54:DV54"/>
    <mergeCell ref="CI55:CM55"/>
    <mergeCell ref="CD56:CH56"/>
    <mergeCell ref="CI56:CM56"/>
    <mergeCell ref="CN56:CR56"/>
    <mergeCell ref="CS56:CW56"/>
    <mergeCell ref="BY49:CC49"/>
    <mergeCell ref="CD50:CH50"/>
    <mergeCell ref="CD58:CH58"/>
    <mergeCell ref="CD49:CH49"/>
    <mergeCell ref="CI49:CM49"/>
    <mergeCell ref="EB49:EF49"/>
    <mergeCell ref="CX54:DB54"/>
    <mergeCell ref="DM54:DQ54"/>
    <mergeCell ref="CI50:CM50"/>
    <mergeCell ref="CN50:CR50"/>
    <mergeCell ref="CS50:CW50"/>
    <mergeCell ref="CX50:DB50"/>
    <mergeCell ref="DH52:DL52"/>
    <mergeCell ref="EB50:EF50"/>
    <mergeCell ref="CX49:DB49"/>
    <mergeCell ref="DC50:DG50"/>
    <mergeCell ref="DH50:DL50"/>
    <mergeCell ref="DM50:DQ50"/>
    <mergeCell ref="DW55:EA55"/>
    <mergeCell ref="CN46:CR46"/>
    <mergeCell ref="CS46:CW46"/>
    <mergeCell ref="EG50:EK50"/>
    <mergeCell ref="CN51:CR51"/>
    <mergeCell ref="EB51:EF51"/>
    <mergeCell ref="EB54:EF54"/>
    <mergeCell ref="EB52:EF52"/>
    <mergeCell ref="EG54:EK54"/>
    <mergeCell ref="EG51:EK51"/>
    <mergeCell ref="CS45:CW45"/>
    <mergeCell ref="CX45:DB45"/>
    <mergeCell ref="DM49:DQ49"/>
    <mergeCell ref="DR49:DV49"/>
    <mergeCell ref="DR58:DV58"/>
    <mergeCell ref="DW58:EA58"/>
    <mergeCell ref="DH53:DL53"/>
    <mergeCell ref="DM53:DQ53"/>
    <mergeCell ref="DW51:EA51"/>
    <mergeCell ref="CX52:DB52"/>
    <mergeCell ref="DR52:DV52"/>
    <mergeCell ref="CX48:DB48"/>
    <mergeCell ref="DM45:DQ45"/>
    <mergeCell ref="CS47:CW47"/>
    <mergeCell ref="DR46:DV46"/>
    <mergeCell ref="CX47:DB47"/>
    <mergeCell ref="DH49:DL49"/>
    <mergeCell ref="DH55:DL55"/>
    <mergeCell ref="DW44:EA44"/>
    <mergeCell ref="CN49:CR49"/>
    <mergeCell ref="DM52:DQ52"/>
    <mergeCell ref="CS51:CW51"/>
    <mergeCell ref="CX51:DB51"/>
    <mergeCell ref="DC51:DG51"/>
    <mergeCell ref="CX46:DB46"/>
    <mergeCell ref="DM48:DQ48"/>
    <mergeCell ref="DR48:DV48"/>
    <mergeCell ref="DC49:DG49"/>
    <mergeCell ref="DW48:EA48"/>
    <mergeCell ref="EB47:EF47"/>
    <mergeCell ref="EG47:EK47"/>
    <mergeCell ref="EG36:EK36"/>
    <mergeCell ref="EL36:EP36"/>
    <mergeCell ref="DR35:DV35"/>
    <mergeCell ref="DW35:EA35"/>
    <mergeCell ref="CX40:DB40"/>
    <mergeCell ref="CX41:DB41"/>
    <mergeCell ref="DH45:DL45"/>
    <mergeCell ref="EL48:EP48"/>
    <mergeCell ref="DC48:DG48"/>
    <mergeCell ref="DH48:DL48"/>
    <mergeCell ref="DC46:DG46"/>
    <mergeCell ref="DH46:DL46"/>
    <mergeCell ref="EL42:EP42"/>
    <mergeCell ref="EG40:EK40"/>
    <mergeCell ref="EL40:EP40"/>
    <mergeCell ref="DM41:DQ41"/>
    <mergeCell ref="EG39:EK39"/>
    <mergeCell ref="EB40:EF40"/>
    <mergeCell ref="DM46:DQ46"/>
    <mergeCell ref="C52:Y52"/>
    <mergeCell ref="EG84:EK84"/>
    <mergeCell ref="DM36:DQ36"/>
    <mergeCell ref="DR36:DV36"/>
    <mergeCell ref="EL46:EP46"/>
    <mergeCell ref="DC47:DG47"/>
    <mergeCell ref="DH47:DL47"/>
    <mergeCell ref="DM47:DQ47"/>
    <mergeCell ref="DR47:DV47"/>
    <mergeCell ref="DW47:EA47"/>
    <mergeCell ref="EQ60:ES61"/>
    <mergeCell ref="C78:Y78"/>
    <mergeCell ref="DW42:EA42"/>
    <mergeCell ref="EQ53:ES53"/>
    <mergeCell ref="C76:Y76"/>
    <mergeCell ref="AV53:AZ53"/>
    <mergeCell ref="EG62:EK63"/>
    <mergeCell ref="EL62:EP63"/>
    <mergeCell ref="EQ62:ES63"/>
    <mergeCell ref="C63:Y63"/>
    <mergeCell ref="DH39:DL39"/>
    <mergeCell ref="DC40:DG40"/>
    <mergeCell ref="DH40:DL40"/>
    <mergeCell ref="DC41:DG41"/>
    <mergeCell ref="CS49:CW49"/>
    <mergeCell ref="CS36:CW36"/>
    <mergeCell ref="CN41:CR41"/>
    <mergeCell ref="CI58:CM58"/>
    <mergeCell ref="AD84:AF84"/>
    <mergeCell ref="CD84:CH84"/>
    <mergeCell ref="CI84:CM84"/>
    <mergeCell ref="CN84:CR84"/>
    <mergeCell ref="Z85:AC85"/>
    <mergeCell ref="AD85:AF85"/>
    <mergeCell ref="C72:Y72"/>
    <mergeCell ref="BF85:BJ85"/>
    <mergeCell ref="C80:Y80"/>
    <mergeCell ref="C87:Y87"/>
    <mergeCell ref="Z87:AC87"/>
    <mergeCell ref="AD87:AF87"/>
    <mergeCell ref="AG87:AK87"/>
    <mergeCell ref="AL87:AP87"/>
    <mergeCell ref="AQ87:AU87"/>
    <mergeCell ref="AG84:AK84"/>
    <mergeCell ref="AL84:AP84"/>
    <mergeCell ref="AQ84:AU84"/>
    <mergeCell ref="AV84:AZ84"/>
    <mergeCell ref="AL76:AP77"/>
    <mergeCell ref="AQ76:AU77"/>
    <mergeCell ref="BA87:BE87"/>
    <mergeCell ref="BF87:BJ87"/>
    <mergeCell ref="C83:Y83"/>
    <mergeCell ref="AV87:AZ87"/>
    <mergeCell ref="Z84:AC84"/>
    <mergeCell ref="AG85:AK85"/>
    <mergeCell ref="AL85:AP85"/>
    <mergeCell ref="Z76:AC77"/>
    <mergeCell ref="BA84:BE84"/>
    <mergeCell ref="BF84:BJ84"/>
    <mergeCell ref="AV108:BR108"/>
    <mergeCell ref="AV109:BR109"/>
    <mergeCell ref="AV110:BR110"/>
    <mergeCell ref="B105:X105"/>
    <mergeCell ref="B107:X107"/>
    <mergeCell ref="B109:X109"/>
    <mergeCell ref="B108:X108"/>
    <mergeCell ref="B106:X106"/>
    <mergeCell ref="B110:X110"/>
    <mergeCell ref="Y105:AU105"/>
    <mergeCell ref="Y106:AU106"/>
    <mergeCell ref="Y107:AU107"/>
    <mergeCell ref="Y108:AU108"/>
    <mergeCell ref="Y109:AU109"/>
    <mergeCell ref="Y110:AU110"/>
    <mergeCell ref="AV107:BR107"/>
    <mergeCell ref="AE97:AL97"/>
    <mergeCell ref="AM97:AT97"/>
    <mergeCell ref="AE99:AL99"/>
    <mergeCell ref="AM99:AT99"/>
    <mergeCell ref="AE100:AL100"/>
    <mergeCell ref="AM100:AT100"/>
    <mergeCell ref="C98:AD98"/>
    <mergeCell ref="C99:AD99"/>
    <mergeCell ref="C100:AD100"/>
    <mergeCell ref="C101:AD101"/>
    <mergeCell ref="C102:AD102"/>
    <mergeCell ref="C103:AD103"/>
    <mergeCell ref="E95:DP95"/>
    <mergeCell ref="AE101:AL101"/>
    <mergeCell ref="AM101:AT101"/>
    <mergeCell ref="AE98:AL98"/>
    <mergeCell ref="AM98:AT98"/>
    <mergeCell ref="AV105:BR105"/>
    <mergeCell ref="AV106:BR106"/>
    <mergeCell ref="AE102:AL102"/>
    <mergeCell ref="AM102:AT102"/>
    <mergeCell ref="AE103:AL103"/>
    <mergeCell ref="AM103:AT103"/>
    <mergeCell ref="AU96:CH96"/>
    <mergeCell ref="AU97:CH103"/>
    <mergeCell ref="B92:ES92"/>
    <mergeCell ref="B93:ES93"/>
    <mergeCell ref="C75:Y75"/>
    <mergeCell ref="C84:Y84"/>
    <mergeCell ref="EQ74:ES75"/>
    <mergeCell ref="C74:Y74"/>
    <mergeCell ref="DM78:DQ79"/>
    <mergeCell ref="DR78:DV79"/>
    <mergeCell ref="DW78:EA79"/>
    <mergeCell ref="EB78:EF79"/>
    <mergeCell ref="EG78:EK79"/>
    <mergeCell ref="DR82:DV83"/>
    <mergeCell ref="DW82:EA83"/>
    <mergeCell ref="C79:Y79"/>
    <mergeCell ref="EL78:EP79"/>
    <mergeCell ref="EQ78:ES79"/>
    <mergeCell ref="DH76:DL77"/>
    <mergeCell ref="DM76:DQ77"/>
    <mergeCell ref="DR76:DV77"/>
    <mergeCell ref="AE96:AL96"/>
    <mergeCell ref="AM96:AT96"/>
    <mergeCell ref="B90:ES90"/>
    <mergeCell ref="B91:ES91"/>
    <mergeCell ref="DC84:DG84"/>
    <mergeCell ref="DH84:DL84"/>
    <mergeCell ref="DM84:DQ84"/>
    <mergeCell ref="EB60:EF61"/>
    <mergeCell ref="EG60:EK61"/>
    <mergeCell ref="EL60:EP61"/>
    <mergeCell ref="C53:Y53"/>
    <mergeCell ref="Z53:AC53"/>
    <mergeCell ref="AD53:AF53"/>
    <mergeCell ref="AG53:AK53"/>
    <mergeCell ref="AL53:AP53"/>
    <mergeCell ref="AQ53:AU53"/>
    <mergeCell ref="BA53:BE53"/>
    <mergeCell ref="BF53:BJ53"/>
    <mergeCell ref="BK53:BN53"/>
    <mergeCell ref="BO53:BS53"/>
    <mergeCell ref="BT53:BX53"/>
    <mergeCell ref="BY53:CC53"/>
    <mergeCell ref="CD53:CH53"/>
    <mergeCell ref="CI53:CM53"/>
    <mergeCell ref="CN53:CR53"/>
    <mergeCell ref="CS53:CW53"/>
    <mergeCell ref="Z55:AC55"/>
    <mergeCell ref="AG58:AK58"/>
    <mergeCell ref="BT56:BX56"/>
    <mergeCell ref="BY56:CC56"/>
    <mergeCell ref="CN54:CR54"/>
    <mergeCell ref="DC53:DG53"/>
    <mergeCell ref="Z59:AC59"/>
    <mergeCell ref="AL59:AP59"/>
    <mergeCell ref="AQ59:AU59"/>
    <mergeCell ref="DC62:DG63"/>
    <mergeCell ref="C70:Y70"/>
    <mergeCell ref="A60:A61"/>
    <mergeCell ref="C60:Y60"/>
    <mergeCell ref="Z60:AC61"/>
    <mergeCell ref="AD60:AF61"/>
    <mergeCell ref="AG60:AK61"/>
    <mergeCell ref="AL60:AP61"/>
    <mergeCell ref="AQ60:AU61"/>
    <mergeCell ref="AV60:AZ61"/>
    <mergeCell ref="BA60:BE61"/>
    <mergeCell ref="BF60:BJ61"/>
    <mergeCell ref="BK60:BN61"/>
    <mergeCell ref="BO60:BS61"/>
    <mergeCell ref="BT60:BX61"/>
    <mergeCell ref="BY60:CC61"/>
    <mergeCell ref="CD60:CH61"/>
    <mergeCell ref="CI60:CM61"/>
    <mergeCell ref="CN60:CR61"/>
    <mergeCell ref="C61:Y61"/>
    <mergeCell ref="A64:A65"/>
    <mergeCell ref="C64:Y64"/>
    <mergeCell ref="Z64:AC65"/>
    <mergeCell ref="AD64:AF65"/>
    <mergeCell ref="AG64:AK65"/>
    <mergeCell ref="AL64:AP65"/>
    <mergeCell ref="BA64:BE65"/>
    <mergeCell ref="BF64:BJ65"/>
    <mergeCell ref="AQ64:AU65"/>
    <mergeCell ref="C69:Y69"/>
    <mergeCell ref="A68:A69"/>
    <mergeCell ref="A62:A63"/>
    <mergeCell ref="Z62:AC63"/>
    <mergeCell ref="AD62:AF63"/>
    <mergeCell ref="AG62:AK63"/>
    <mergeCell ref="AL62:AP63"/>
    <mergeCell ref="AQ62:AU63"/>
    <mergeCell ref="AV62:AZ63"/>
    <mergeCell ref="BA62:BE63"/>
    <mergeCell ref="BF62:BJ63"/>
    <mergeCell ref="BK62:BN63"/>
    <mergeCell ref="BO62:BS63"/>
    <mergeCell ref="BT62:BX63"/>
    <mergeCell ref="BY62:CC63"/>
    <mergeCell ref="CD62:CH63"/>
    <mergeCell ref="CI62:CM63"/>
    <mergeCell ref="C62:Y62"/>
    <mergeCell ref="AV66:AZ67"/>
    <mergeCell ref="BA66:BE67"/>
    <mergeCell ref="BF66:BJ67"/>
    <mergeCell ref="BK66:BN67"/>
    <mergeCell ref="BO66:BS67"/>
    <mergeCell ref="BT66:BX67"/>
    <mergeCell ref="BY66:CC67"/>
    <mergeCell ref="AV64:AZ65"/>
    <mergeCell ref="AQ66:AU67"/>
    <mergeCell ref="C67:Y67"/>
    <mergeCell ref="BO64:BS65"/>
    <mergeCell ref="BT64:BX65"/>
    <mergeCell ref="BK64:BN65"/>
    <mergeCell ref="AD66:AF67"/>
    <mergeCell ref="DC66:DG67"/>
    <mergeCell ref="C65:Y65"/>
    <mergeCell ref="A66:A67"/>
    <mergeCell ref="C66:Y66"/>
    <mergeCell ref="Z66:AC67"/>
    <mergeCell ref="A78:A79"/>
    <mergeCell ref="Z78:AC79"/>
    <mergeCell ref="AD78:AF79"/>
    <mergeCell ref="AG78:AK79"/>
    <mergeCell ref="AL78:AP79"/>
    <mergeCell ref="EQ70:ES71"/>
    <mergeCell ref="A72:A73"/>
    <mergeCell ref="Z72:AC73"/>
    <mergeCell ref="AD72:AF73"/>
    <mergeCell ref="AG72:AK73"/>
    <mergeCell ref="AL72:AP73"/>
    <mergeCell ref="AQ72:AU73"/>
    <mergeCell ref="AV72:AZ73"/>
    <mergeCell ref="EB66:EF67"/>
    <mergeCell ref="EG66:EK67"/>
    <mergeCell ref="EL66:EP67"/>
    <mergeCell ref="EQ66:ES67"/>
    <mergeCell ref="DH66:DL67"/>
    <mergeCell ref="DM66:DQ67"/>
    <mergeCell ref="DR66:DV67"/>
    <mergeCell ref="DW66:EA67"/>
    <mergeCell ref="EG64:EK65"/>
    <mergeCell ref="EB68:EF69"/>
    <mergeCell ref="AV78:AZ79"/>
    <mergeCell ref="CD78:CH79"/>
    <mergeCell ref="BA72:BE73"/>
    <mergeCell ref="AD76:AF77"/>
    <mergeCell ref="EG72:EK73"/>
    <mergeCell ref="EL72:EP73"/>
    <mergeCell ref="EQ72:ES73"/>
    <mergeCell ref="A70:A71"/>
    <mergeCell ref="C73:Y73"/>
    <mergeCell ref="Z70:AC71"/>
    <mergeCell ref="AD70:AF71"/>
    <mergeCell ref="AG70:AK71"/>
    <mergeCell ref="AL70:AP71"/>
    <mergeCell ref="AQ70:AU71"/>
    <mergeCell ref="AV70:AZ71"/>
    <mergeCell ref="BA70:BE71"/>
    <mergeCell ref="BF70:BJ71"/>
    <mergeCell ref="BK70:BN71"/>
    <mergeCell ref="DC70:DG71"/>
    <mergeCell ref="DH70:DL71"/>
    <mergeCell ref="DM70:DQ71"/>
    <mergeCell ref="DR70:DV71"/>
    <mergeCell ref="DW70:EA71"/>
    <mergeCell ref="CN70:CR71"/>
    <mergeCell ref="CS70:CW71"/>
    <mergeCell ref="CX70:DB71"/>
    <mergeCell ref="BO72:BS73"/>
    <mergeCell ref="BT72:BX73"/>
    <mergeCell ref="BY72:CC73"/>
    <mergeCell ref="CD72:CH73"/>
    <mergeCell ref="CI72:CM73"/>
    <mergeCell ref="CN72:CR73"/>
    <mergeCell ref="CS72:CW73"/>
    <mergeCell ref="CX72:DB73"/>
    <mergeCell ref="C96:AD96"/>
    <mergeCell ref="C97:AD97"/>
    <mergeCell ref="DW72:EA73"/>
    <mergeCell ref="DC74:DG75"/>
    <mergeCell ref="DH74:DL75"/>
    <mergeCell ref="DM74:DQ75"/>
    <mergeCell ref="DR74:DV75"/>
    <mergeCell ref="DW74:EA75"/>
    <mergeCell ref="DW76:EA77"/>
    <mergeCell ref="EB76:EF77"/>
    <mergeCell ref="EG76:EK77"/>
    <mergeCell ref="AQ78:AU79"/>
    <mergeCell ref="CL97:DS97"/>
    <mergeCell ref="BA78:BE79"/>
    <mergeCell ref="BF78:BJ79"/>
    <mergeCell ref="CI78:CM79"/>
    <mergeCell ref="CN78:CR79"/>
    <mergeCell ref="CS78:CW79"/>
    <mergeCell ref="CX78:DB79"/>
    <mergeCell ref="BK78:BN79"/>
    <mergeCell ref="DC78:DG79"/>
    <mergeCell ref="DH78:DL79"/>
    <mergeCell ref="BF72:BJ73"/>
    <mergeCell ref="BK72:BN73"/>
    <mergeCell ref="DC72:DG73"/>
    <mergeCell ref="DH72:DL73"/>
    <mergeCell ref="DM72:DQ73"/>
    <mergeCell ref="DR72:DV73"/>
    <mergeCell ref="BK76:BN77"/>
    <mergeCell ref="DC76:DG77"/>
    <mergeCell ref="BY78:CC79"/>
    <mergeCell ref="EB72:EF73"/>
    <mergeCell ref="A76:A77"/>
    <mergeCell ref="DK6:DU6"/>
    <mergeCell ref="EL76:EP77"/>
    <mergeCell ref="EB74:EF75"/>
    <mergeCell ref="EG74:EK75"/>
    <mergeCell ref="EG70:EK71"/>
    <mergeCell ref="EL70:EP71"/>
    <mergeCell ref="EL47:EP47"/>
    <mergeCell ref="DW46:EA46"/>
    <mergeCell ref="EB46:EF46"/>
    <mergeCell ref="DR45:DV45"/>
    <mergeCell ref="DW45:EA45"/>
    <mergeCell ref="EB45:EF45"/>
    <mergeCell ref="EG45:EK45"/>
    <mergeCell ref="EL45:EP45"/>
    <mergeCell ref="DC38:DG38"/>
    <mergeCell ref="EB37:EF37"/>
    <mergeCell ref="EG37:EK37"/>
    <mergeCell ref="EL74:EP75"/>
    <mergeCell ref="EB70:EF71"/>
    <mergeCell ref="EG68:EK69"/>
    <mergeCell ref="EL68:EP69"/>
    <mergeCell ref="EL59:EP59"/>
    <mergeCell ref="DR50:DV50"/>
    <mergeCell ref="DW50:EA50"/>
    <mergeCell ref="EL50:EP50"/>
    <mergeCell ref="EB48:EF48"/>
    <mergeCell ref="DH42:DL42"/>
    <mergeCell ref="DC43:DG43"/>
    <mergeCell ref="EG49:EK49"/>
    <mergeCell ref="DR57:DV57"/>
    <mergeCell ref="EG55:EK55"/>
    <mergeCell ref="EX34:EZ34"/>
    <mergeCell ref="CL98:DS98"/>
    <mergeCell ref="CL99:DR99"/>
    <mergeCell ref="B111:X111"/>
    <mergeCell ref="Y111:AU111"/>
    <mergeCell ref="EL80:EP81"/>
    <mergeCell ref="EQ80:ES81"/>
    <mergeCell ref="A74:A75"/>
    <mergeCell ref="Z74:AC75"/>
    <mergeCell ref="AD74:AF75"/>
    <mergeCell ref="AG74:AK75"/>
    <mergeCell ref="AL74:AP75"/>
    <mergeCell ref="AQ74:AU75"/>
    <mergeCell ref="AV74:AZ75"/>
    <mergeCell ref="BA74:BE75"/>
    <mergeCell ref="BF74:BJ75"/>
    <mergeCell ref="BK74:BN75"/>
    <mergeCell ref="C77:Y77"/>
    <mergeCell ref="CN76:CR77"/>
    <mergeCell ref="CS76:CW77"/>
    <mergeCell ref="CX76:DB77"/>
    <mergeCell ref="EQ76:ES77"/>
    <mergeCell ref="BO76:BS77"/>
    <mergeCell ref="BT76:BX77"/>
    <mergeCell ref="BY76:CC77"/>
    <mergeCell ref="CD76:CH77"/>
    <mergeCell ref="AV76:AZ77"/>
    <mergeCell ref="BA76:BE77"/>
    <mergeCell ref="BF76:BJ77"/>
    <mergeCell ref="CI76:CM77"/>
    <mergeCell ref="BO78:BS79"/>
    <mergeCell ref="BT78:BX79"/>
  </mergeCells>
  <phoneticPr fontId="1" type="noConversion"/>
  <printOptions horizontalCentered="1"/>
  <pageMargins left="0.5" right="0.5" top="0.75" bottom="0.25" header="0.39370078740157499" footer="0.511811023622047"/>
  <pageSetup paperSize="9" scale="14" fitToHeight="0" orientation="landscape" verticalDpi="200" r:id="rId1"/>
  <headerFooter alignWithMargins="0"/>
  <rowBreaks count="2" manualBreakCount="2">
    <brk id="49" max="148" man="1"/>
    <brk id="88" max="14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HO113"/>
  <sheetViews>
    <sheetView tabSelected="1" view="pageBreakPreview" topLeftCell="A25" zoomScale="20" zoomScaleNormal="20" zoomScaleSheetLayoutView="20" workbookViewId="0">
      <selection activeCell="CN37" sqref="CN37:CR37"/>
    </sheetView>
  </sheetViews>
  <sheetFormatPr defaultColWidth="9.140625" defaultRowHeight="15.75" x14ac:dyDescent="0.25"/>
  <cols>
    <col min="1" max="1" width="18" style="17" bestFit="1" customWidth="1"/>
    <col min="2" max="2" width="45.7109375" style="17" customWidth="1"/>
    <col min="3" max="3" width="15.5703125" style="2" customWidth="1"/>
    <col min="4" max="9" width="5" style="2" customWidth="1"/>
    <col min="10" max="10" width="6.140625" style="2" customWidth="1"/>
    <col min="11" max="13" width="5" style="2" customWidth="1"/>
    <col min="14" max="14" width="7.28515625" style="2" customWidth="1"/>
    <col min="15" max="18" width="5" style="2" customWidth="1"/>
    <col min="19" max="19" width="7.28515625" style="2" customWidth="1"/>
    <col min="20" max="20" width="5" style="2" customWidth="1"/>
    <col min="21" max="21" width="7.85546875" style="2" customWidth="1"/>
    <col min="22" max="22" width="5" style="2" customWidth="1"/>
    <col min="23" max="23" width="5" style="18" customWidth="1"/>
    <col min="24" max="25" width="8" style="18" customWidth="1"/>
    <col min="26" max="27" width="8" style="19" customWidth="1"/>
    <col min="28" max="29" width="7.5703125" style="19" customWidth="1"/>
    <col min="30" max="30" width="8.42578125" style="20" customWidth="1"/>
    <col min="31" max="31" width="9" style="20" customWidth="1"/>
    <col min="32" max="32" width="8.42578125" style="20" customWidth="1"/>
    <col min="33" max="36" width="5.7109375" style="20" customWidth="1"/>
    <col min="37" max="48" width="5.7109375" style="21" customWidth="1"/>
    <col min="49" max="60" width="5.7109375" style="20" customWidth="1"/>
    <col min="61" max="62" width="5.7109375" style="18" customWidth="1"/>
    <col min="63" max="66" width="6.7109375" style="18" customWidth="1"/>
    <col min="67" max="146" width="5.7109375" style="20" customWidth="1"/>
    <col min="147" max="149" width="7.7109375" style="1" customWidth="1"/>
    <col min="150" max="153" width="9.140625" style="1"/>
    <col min="154" max="154" width="8.7109375" style="1" customWidth="1"/>
    <col min="155" max="155" width="13" style="1" customWidth="1"/>
    <col min="156" max="223" width="8.7109375" style="1" customWidth="1"/>
    <col min="224" max="16384" width="9.140625" style="1"/>
  </cols>
  <sheetData>
    <row r="1" spans="1:223" ht="104.25" customHeight="1" x14ac:dyDescent="0.2">
      <c r="A1" s="559" t="s">
        <v>12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59"/>
      <c r="AN1" s="559"/>
      <c r="AO1" s="559"/>
      <c r="AP1" s="559"/>
      <c r="AQ1" s="559"/>
      <c r="AR1" s="559"/>
      <c r="AS1" s="559"/>
      <c r="AT1" s="559"/>
      <c r="AU1" s="559"/>
      <c r="AV1" s="559"/>
      <c r="AW1" s="559"/>
      <c r="AX1" s="559"/>
      <c r="AY1" s="559"/>
      <c r="AZ1" s="559"/>
      <c r="BA1" s="559"/>
      <c r="BB1" s="559"/>
      <c r="BC1" s="559"/>
      <c r="BD1" s="559"/>
      <c r="BE1" s="559"/>
      <c r="BF1" s="559"/>
      <c r="BG1" s="559"/>
      <c r="BH1" s="559"/>
      <c r="BI1" s="559"/>
      <c r="BJ1" s="559"/>
      <c r="BK1" s="559"/>
      <c r="BL1" s="559"/>
      <c r="BM1" s="559"/>
      <c r="BN1" s="559"/>
      <c r="BO1" s="559"/>
      <c r="BP1" s="559"/>
      <c r="BQ1" s="559"/>
      <c r="BR1" s="559"/>
      <c r="BS1" s="559"/>
      <c r="BT1" s="559"/>
      <c r="BU1" s="559"/>
      <c r="BV1" s="559"/>
      <c r="BW1" s="559"/>
      <c r="BX1" s="559"/>
      <c r="BY1" s="559"/>
      <c r="BZ1" s="559"/>
      <c r="CA1" s="559"/>
      <c r="CB1" s="559"/>
      <c r="CC1" s="559"/>
      <c r="CD1" s="559"/>
      <c r="CE1" s="559"/>
      <c r="CF1" s="559"/>
      <c r="CG1" s="559"/>
      <c r="CH1" s="559"/>
      <c r="CI1" s="559"/>
      <c r="CJ1" s="559"/>
      <c r="CK1" s="559"/>
      <c r="CL1" s="559"/>
      <c r="CM1" s="559"/>
      <c r="CN1" s="559"/>
      <c r="CO1" s="559"/>
      <c r="CP1" s="559"/>
      <c r="CQ1" s="559"/>
      <c r="CR1" s="559"/>
      <c r="CS1" s="559"/>
      <c r="CT1" s="559"/>
      <c r="CU1" s="559"/>
      <c r="CV1" s="559"/>
      <c r="CW1" s="559"/>
      <c r="CX1" s="559"/>
      <c r="CY1" s="559"/>
      <c r="CZ1" s="559"/>
      <c r="DA1" s="559"/>
      <c r="DB1" s="559"/>
      <c r="DC1" s="559"/>
      <c r="DD1" s="559"/>
      <c r="DE1" s="559"/>
      <c r="DF1" s="559"/>
      <c r="DG1" s="559"/>
      <c r="DH1" s="559"/>
      <c r="DI1" s="559"/>
      <c r="DJ1" s="559"/>
      <c r="DK1" s="559"/>
      <c r="DL1" s="559"/>
      <c r="DM1" s="559"/>
      <c r="DN1" s="559"/>
      <c r="DO1" s="559"/>
      <c r="DP1" s="559"/>
      <c r="DQ1" s="559"/>
      <c r="DR1" s="559"/>
      <c r="DS1" s="559"/>
      <c r="DT1" s="559"/>
      <c r="DU1" s="559"/>
      <c r="DV1" s="559"/>
      <c r="DW1" s="559"/>
      <c r="DX1" s="559"/>
      <c r="DY1" s="559"/>
      <c r="DZ1" s="559"/>
      <c r="EA1" s="559"/>
      <c r="EB1" s="559"/>
      <c r="EC1" s="559"/>
      <c r="ED1" s="559"/>
      <c r="EE1" s="559"/>
      <c r="EF1" s="559"/>
      <c r="EG1" s="559"/>
      <c r="EH1" s="559"/>
      <c r="EI1" s="559"/>
      <c r="EJ1" s="559"/>
      <c r="EK1" s="559"/>
      <c r="EL1" s="559"/>
      <c r="EM1" s="559"/>
      <c r="EN1" s="559"/>
      <c r="EO1" s="559"/>
      <c r="EP1" s="559"/>
      <c r="EQ1" s="559"/>
      <c r="ER1" s="559"/>
      <c r="ES1" s="559"/>
    </row>
    <row r="2" spans="1:223" ht="75" customHeight="1" x14ac:dyDescent="0.25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561" t="s">
        <v>242</v>
      </c>
      <c r="AN2" s="561"/>
      <c r="AO2" s="561"/>
      <c r="AP2" s="561"/>
      <c r="AQ2" s="561"/>
      <c r="AR2" s="561"/>
      <c r="AS2" s="561"/>
      <c r="AT2" s="561"/>
      <c r="AU2" s="561"/>
      <c r="AV2" s="561"/>
      <c r="AW2" s="561"/>
      <c r="AX2" s="561"/>
      <c r="AY2" s="561"/>
      <c r="AZ2" s="561"/>
      <c r="BA2" s="561"/>
      <c r="BB2" s="561"/>
      <c r="BC2" s="561"/>
      <c r="BD2" s="561"/>
      <c r="BE2" s="561"/>
      <c r="BF2" s="561"/>
      <c r="BG2" s="561"/>
      <c r="BH2" s="561"/>
      <c r="BI2" s="561"/>
      <c r="BJ2" s="561"/>
      <c r="BK2" s="561"/>
      <c r="BL2" s="561"/>
      <c r="BM2" s="561"/>
      <c r="BN2" s="561"/>
      <c r="BO2" s="561"/>
      <c r="BP2" s="561"/>
      <c r="BQ2" s="561"/>
      <c r="BR2" s="561"/>
      <c r="BS2" s="561"/>
      <c r="BT2" s="561"/>
      <c r="BU2" s="561"/>
      <c r="BV2" s="561"/>
      <c r="BW2" s="561"/>
      <c r="BX2" s="561"/>
      <c r="BY2" s="561"/>
      <c r="BZ2" s="561"/>
      <c r="CA2" s="561"/>
      <c r="CB2" s="561"/>
      <c r="CC2" s="561"/>
      <c r="CD2" s="561"/>
      <c r="CE2" s="561"/>
      <c r="CF2" s="561"/>
      <c r="CG2" s="561"/>
      <c r="CH2" s="561"/>
      <c r="CI2" s="561"/>
      <c r="CJ2" s="561"/>
      <c r="CK2" s="561"/>
      <c r="CL2" s="561"/>
      <c r="CM2" s="561"/>
      <c r="CN2" s="561"/>
      <c r="CO2" s="561"/>
      <c r="CP2" s="561"/>
      <c r="CQ2" s="561"/>
      <c r="CR2" s="561"/>
      <c r="CS2" s="561"/>
      <c r="CT2" s="561"/>
      <c r="CU2" s="561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565" t="s">
        <v>174</v>
      </c>
      <c r="DL2" s="565"/>
      <c r="DM2" s="565"/>
      <c r="DN2" s="565"/>
      <c r="DO2" s="565"/>
      <c r="DP2" s="565"/>
      <c r="DQ2" s="565"/>
      <c r="DR2" s="565"/>
      <c r="DS2" s="565"/>
      <c r="DT2" s="565"/>
      <c r="DU2" s="565"/>
      <c r="DV2" s="565"/>
      <c r="DW2" s="565"/>
      <c r="DX2" s="565"/>
      <c r="DY2" s="565"/>
      <c r="DZ2" s="565"/>
      <c r="EA2" s="565"/>
      <c r="EB2" s="565"/>
      <c r="EC2" s="565"/>
      <c r="ED2" s="565"/>
      <c r="EE2" s="565"/>
      <c r="EF2" s="565"/>
      <c r="EG2" s="565"/>
      <c r="EH2" s="565"/>
      <c r="EI2" s="565"/>
      <c r="EJ2" s="565"/>
      <c r="EK2" s="565"/>
      <c r="EL2" s="565"/>
      <c r="EM2" s="565"/>
      <c r="EN2" s="565"/>
      <c r="EO2" s="565"/>
      <c r="EP2" s="565"/>
      <c r="EQ2" s="565"/>
      <c r="ER2" s="565"/>
      <c r="ES2" s="565"/>
    </row>
    <row r="3" spans="1:223" ht="88.5" customHeight="1" x14ac:dyDescent="0.2">
      <c r="A3" s="558"/>
      <c r="B3" s="558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A3" s="1"/>
      <c r="AB3" s="24"/>
      <c r="AC3" s="24"/>
      <c r="AD3" s="24"/>
      <c r="AE3" s="24"/>
      <c r="AF3" s="24"/>
      <c r="AG3" s="24"/>
      <c r="AH3" s="95"/>
      <c r="AI3" s="95"/>
      <c r="AJ3" s="95"/>
      <c r="AK3" s="95"/>
      <c r="AL3" s="95"/>
      <c r="AM3" s="562" t="s">
        <v>243</v>
      </c>
      <c r="AN3" s="562"/>
      <c r="AO3" s="562"/>
      <c r="AP3" s="562"/>
      <c r="AQ3" s="562"/>
      <c r="AR3" s="562"/>
      <c r="AS3" s="562"/>
      <c r="AT3" s="562"/>
      <c r="AU3" s="562"/>
      <c r="AV3" s="562"/>
      <c r="AW3" s="562"/>
      <c r="AX3" s="562"/>
      <c r="AY3" s="562"/>
      <c r="AZ3" s="562"/>
      <c r="BA3" s="562"/>
      <c r="BB3" s="562"/>
      <c r="BC3" s="562"/>
      <c r="BD3" s="562"/>
      <c r="BE3" s="562"/>
      <c r="BF3" s="562"/>
      <c r="BG3" s="562"/>
      <c r="BH3" s="562"/>
      <c r="BI3" s="562"/>
      <c r="BJ3" s="562"/>
      <c r="BK3" s="562"/>
      <c r="BL3" s="562"/>
      <c r="BM3" s="562"/>
      <c r="BN3" s="562"/>
      <c r="BO3" s="562"/>
      <c r="BP3" s="562"/>
      <c r="BQ3" s="562"/>
      <c r="BR3" s="562"/>
      <c r="BS3" s="562"/>
      <c r="BT3" s="562"/>
      <c r="BU3" s="562"/>
      <c r="BV3" s="562"/>
      <c r="BW3" s="562"/>
      <c r="BX3" s="562"/>
      <c r="BY3" s="562"/>
      <c r="BZ3" s="562"/>
      <c r="CA3" s="562"/>
      <c r="CB3" s="562"/>
      <c r="CC3" s="562"/>
      <c r="CD3" s="562"/>
      <c r="CE3" s="562"/>
      <c r="CF3" s="562"/>
      <c r="CG3" s="562"/>
      <c r="CH3" s="562"/>
      <c r="CI3" s="562"/>
      <c r="CJ3" s="562"/>
      <c r="CK3" s="562"/>
      <c r="CL3" s="562"/>
      <c r="CM3" s="562"/>
      <c r="CN3" s="562"/>
      <c r="CO3" s="562"/>
      <c r="CP3" s="562"/>
      <c r="CQ3" s="562"/>
      <c r="CR3" s="562"/>
      <c r="CS3" s="562"/>
      <c r="CT3" s="562"/>
      <c r="CU3" s="562"/>
      <c r="CV3" s="95"/>
      <c r="CW3" s="95"/>
      <c r="CX3" s="95"/>
      <c r="CY3" s="95"/>
      <c r="CZ3" s="95"/>
      <c r="DA3" s="95"/>
      <c r="DB3" s="95"/>
      <c r="DC3" s="95"/>
      <c r="DD3" s="95"/>
      <c r="DE3" s="95"/>
      <c r="DF3" s="24"/>
      <c r="DG3" s="24"/>
      <c r="DH3" s="24"/>
      <c r="DI3" s="24"/>
      <c r="DJ3" s="24"/>
      <c r="DK3" s="564" t="s">
        <v>246</v>
      </c>
      <c r="DL3" s="564"/>
      <c r="DM3" s="564"/>
      <c r="DN3" s="564"/>
      <c r="DO3" s="564"/>
      <c r="DP3" s="564"/>
      <c r="DQ3" s="564"/>
      <c r="DR3" s="564"/>
      <c r="DS3" s="564"/>
      <c r="DT3" s="564"/>
      <c r="DU3" s="564"/>
      <c r="DV3" s="564"/>
      <c r="DW3" s="564"/>
      <c r="DX3" s="564"/>
      <c r="DY3" s="564"/>
      <c r="DZ3" s="564"/>
      <c r="EA3" s="564"/>
      <c r="EB3" s="564"/>
      <c r="EC3" s="564"/>
      <c r="ED3" s="564"/>
      <c r="EE3" s="564"/>
      <c r="EF3" s="564"/>
      <c r="EG3" s="564"/>
      <c r="EH3" s="564"/>
      <c r="EI3" s="564"/>
      <c r="EJ3" s="564"/>
      <c r="EK3" s="564"/>
      <c r="EL3" s="564"/>
      <c r="EM3" s="564"/>
      <c r="EN3" s="564"/>
      <c r="EO3" s="564"/>
      <c r="EP3" s="564"/>
      <c r="EQ3" s="564"/>
      <c r="ER3" s="564"/>
      <c r="ES3" s="564"/>
    </row>
    <row r="4" spans="1:223" ht="65.25" customHeight="1" x14ac:dyDescent="0.35">
      <c r="A4" s="82"/>
      <c r="B4" s="92"/>
      <c r="C4" s="92"/>
      <c r="D4" s="9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134"/>
      <c r="AI4" s="134"/>
      <c r="AJ4" s="134"/>
      <c r="AK4" s="134"/>
      <c r="AL4" s="134"/>
      <c r="AM4" s="563" t="s">
        <v>244</v>
      </c>
      <c r="AN4" s="563"/>
      <c r="AO4" s="563"/>
      <c r="AP4" s="563"/>
      <c r="AQ4" s="563"/>
      <c r="AR4" s="563"/>
      <c r="AS4" s="563"/>
      <c r="AT4" s="563"/>
      <c r="AU4" s="563"/>
      <c r="AV4" s="563"/>
      <c r="AW4" s="563"/>
      <c r="AX4" s="563"/>
      <c r="AY4" s="563"/>
      <c r="AZ4" s="563"/>
      <c r="BA4" s="563"/>
      <c r="BB4" s="563"/>
      <c r="BC4" s="563"/>
      <c r="BD4" s="563"/>
      <c r="BE4" s="563"/>
      <c r="BF4" s="563"/>
      <c r="BG4" s="563"/>
      <c r="BH4" s="563"/>
      <c r="BI4" s="563"/>
      <c r="BJ4" s="563"/>
      <c r="BK4" s="563"/>
      <c r="BL4" s="563"/>
      <c r="BM4" s="563"/>
      <c r="BN4" s="563"/>
      <c r="BO4" s="563"/>
      <c r="BP4" s="563"/>
      <c r="BQ4" s="563"/>
      <c r="BR4" s="563"/>
      <c r="BS4" s="563"/>
      <c r="BT4" s="563"/>
      <c r="BU4" s="563"/>
      <c r="BV4" s="563"/>
      <c r="BW4" s="563"/>
      <c r="BX4" s="563"/>
      <c r="BY4" s="563"/>
      <c r="BZ4" s="563"/>
      <c r="CA4" s="563"/>
      <c r="CB4" s="563"/>
      <c r="CC4" s="563"/>
      <c r="CD4" s="563"/>
      <c r="CE4" s="563"/>
      <c r="CF4" s="563"/>
      <c r="CG4" s="563"/>
      <c r="CH4" s="563"/>
      <c r="CI4" s="563"/>
      <c r="CJ4" s="563"/>
      <c r="CK4" s="563"/>
      <c r="CL4" s="563"/>
      <c r="CM4" s="563"/>
      <c r="CN4" s="563"/>
      <c r="CO4" s="563"/>
      <c r="CP4" s="563"/>
      <c r="CQ4" s="563"/>
      <c r="CR4" s="563"/>
      <c r="CS4" s="563"/>
      <c r="CT4" s="563"/>
      <c r="CU4" s="563"/>
      <c r="CV4" s="134"/>
      <c r="CW4" s="134"/>
      <c r="CX4" s="134"/>
      <c r="CY4" s="134"/>
      <c r="CZ4" s="134"/>
      <c r="DA4" s="134"/>
      <c r="DB4" s="134"/>
      <c r="DC4" s="134"/>
      <c r="DD4" s="134"/>
      <c r="DE4" s="134"/>
      <c r="DF4" s="1"/>
      <c r="DG4" s="1"/>
      <c r="DH4" s="1"/>
      <c r="DI4" s="1"/>
      <c r="DJ4" s="1"/>
      <c r="DK4" s="566" t="s">
        <v>346</v>
      </c>
      <c r="DL4" s="566"/>
      <c r="DM4" s="566"/>
      <c r="DN4" s="566"/>
      <c r="DO4" s="566"/>
      <c r="DP4" s="566"/>
      <c r="DQ4" s="566"/>
      <c r="DR4" s="566"/>
      <c r="DS4" s="566"/>
      <c r="DT4" s="566"/>
      <c r="DU4" s="566"/>
      <c r="DV4" s="566"/>
      <c r="DW4" s="566"/>
      <c r="DX4" s="566"/>
      <c r="DY4" s="566"/>
      <c r="DZ4" s="566"/>
      <c r="EA4" s="566"/>
      <c r="EB4" s="566"/>
      <c r="EC4" s="566"/>
      <c r="ED4" s="566"/>
      <c r="EE4" s="566"/>
      <c r="EF4" s="566"/>
      <c r="EG4" s="566"/>
      <c r="EH4" s="566"/>
      <c r="EI4" s="566"/>
      <c r="EJ4" s="566"/>
      <c r="EK4" s="566"/>
      <c r="EL4" s="566"/>
      <c r="EM4" s="566"/>
      <c r="EN4" s="566"/>
      <c r="EO4" s="566"/>
      <c r="EP4" s="566"/>
      <c r="EQ4" s="566"/>
      <c r="ER4" s="566"/>
      <c r="ES4" s="566"/>
    </row>
    <row r="5" spans="1:223" ht="77.25" customHeight="1" x14ac:dyDescent="0.3">
      <c r="A5" s="82"/>
      <c r="B5" s="92"/>
      <c r="C5" s="92"/>
      <c r="D5" s="9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AH5" s="134"/>
      <c r="AI5" s="134"/>
      <c r="AJ5" s="134"/>
      <c r="AK5" s="134"/>
      <c r="AL5" s="134"/>
      <c r="AM5" s="563" t="s">
        <v>245</v>
      </c>
      <c r="AN5" s="563"/>
      <c r="AO5" s="563"/>
      <c r="AP5" s="563"/>
      <c r="AQ5" s="563"/>
      <c r="AR5" s="563"/>
      <c r="AS5" s="563"/>
      <c r="AT5" s="563"/>
      <c r="AU5" s="563"/>
      <c r="AV5" s="563"/>
      <c r="AW5" s="563"/>
      <c r="AX5" s="563"/>
      <c r="AY5" s="563"/>
      <c r="AZ5" s="563"/>
      <c r="BA5" s="563"/>
      <c r="BB5" s="563"/>
      <c r="BC5" s="563"/>
      <c r="BD5" s="563"/>
      <c r="BE5" s="563"/>
      <c r="BF5" s="563"/>
      <c r="BG5" s="563"/>
      <c r="BH5" s="563"/>
      <c r="BI5" s="563"/>
      <c r="BJ5" s="563"/>
      <c r="BK5" s="563"/>
      <c r="BL5" s="563"/>
      <c r="BM5" s="563"/>
      <c r="BN5" s="563"/>
      <c r="BO5" s="563"/>
      <c r="BP5" s="563"/>
      <c r="BQ5" s="563"/>
      <c r="BR5" s="563"/>
      <c r="BS5" s="563"/>
      <c r="BT5" s="563"/>
      <c r="BU5" s="563"/>
      <c r="BV5" s="563"/>
      <c r="BW5" s="563"/>
      <c r="BX5" s="563"/>
      <c r="BY5" s="563"/>
      <c r="BZ5" s="563"/>
      <c r="CA5" s="563"/>
      <c r="CB5" s="563"/>
      <c r="CC5" s="563"/>
      <c r="CD5" s="563"/>
      <c r="CE5" s="563"/>
      <c r="CF5" s="563"/>
      <c r="CG5" s="563"/>
      <c r="CH5" s="563"/>
      <c r="CI5" s="563"/>
      <c r="CJ5" s="563"/>
      <c r="CK5" s="563"/>
      <c r="CL5" s="563"/>
      <c r="CM5" s="563"/>
      <c r="CN5" s="563"/>
      <c r="CO5" s="563"/>
      <c r="CP5" s="563"/>
      <c r="CQ5" s="563"/>
      <c r="CR5" s="563"/>
      <c r="CS5" s="563"/>
      <c r="CT5" s="563"/>
      <c r="CU5" s="563"/>
      <c r="CV5" s="134"/>
      <c r="CW5" s="134"/>
      <c r="CX5" s="134"/>
      <c r="CY5" s="134"/>
      <c r="CZ5" s="134"/>
      <c r="DA5" s="134"/>
      <c r="DB5" s="134"/>
      <c r="DC5" s="134"/>
      <c r="DD5" s="134"/>
      <c r="DE5" s="134"/>
      <c r="DF5" s="1"/>
      <c r="DG5" s="1"/>
      <c r="DH5" s="1"/>
      <c r="DI5" s="1"/>
      <c r="DJ5" s="1"/>
      <c r="DK5" s="567" t="s">
        <v>238</v>
      </c>
      <c r="DL5" s="567"/>
      <c r="DM5" s="567"/>
      <c r="DN5" s="567"/>
      <c r="DO5" s="567"/>
      <c r="DP5" s="567"/>
      <c r="DQ5" s="567"/>
      <c r="DR5" s="567"/>
      <c r="DS5" s="567"/>
      <c r="DT5" s="567"/>
      <c r="DU5" s="567"/>
      <c r="DV5" s="567"/>
      <c r="DW5" s="567"/>
      <c r="DX5" s="567"/>
      <c r="DY5" s="567"/>
      <c r="DZ5" s="567"/>
      <c r="EA5" s="567"/>
      <c r="EB5" s="567"/>
      <c r="EC5" s="567"/>
      <c r="ED5" s="567"/>
      <c r="EE5" s="567"/>
      <c r="EF5" s="567"/>
      <c r="EG5" s="567"/>
      <c r="EH5" s="567"/>
      <c r="EI5" s="567"/>
      <c r="EJ5" s="567"/>
      <c r="EK5" s="567"/>
      <c r="EL5" s="567"/>
      <c r="EM5" s="567"/>
      <c r="EN5" s="567"/>
      <c r="EO5" s="567"/>
      <c r="EP5" s="567"/>
      <c r="EQ5" s="567"/>
      <c r="ER5" s="567"/>
      <c r="ES5" s="567"/>
    </row>
    <row r="6" spans="1:223" ht="60.75" customHeight="1" x14ac:dyDescent="0.85">
      <c r="A6" s="82"/>
      <c r="B6" s="92"/>
      <c r="C6" s="92"/>
      <c r="D6" s="9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AH6" s="134"/>
      <c r="AI6" s="134"/>
      <c r="AJ6" s="134"/>
      <c r="AK6" s="134"/>
      <c r="AL6" s="134"/>
      <c r="AM6" s="563" t="s">
        <v>13</v>
      </c>
      <c r="AN6" s="563"/>
      <c r="AO6" s="563"/>
      <c r="AP6" s="563"/>
      <c r="AQ6" s="563"/>
      <c r="AR6" s="563"/>
      <c r="AS6" s="563"/>
      <c r="AT6" s="563"/>
      <c r="AU6" s="563"/>
      <c r="AV6" s="563"/>
      <c r="AW6" s="563"/>
      <c r="AX6" s="563"/>
      <c r="AY6" s="563"/>
      <c r="AZ6" s="563"/>
      <c r="BA6" s="563"/>
      <c r="BB6" s="563"/>
      <c r="BC6" s="563"/>
      <c r="BD6" s="563"/>
      <c r="BE6" s="563"/>
      <c r="BF6" s="563"/>
      <c r="BG6" s="563"/>
      <c r="BH6" s="563"/>
      <c r="BI6" s="563"/>
      <c r="BJ6" s="563"/>
      <c r="BK6" s="563"/>
      <c r="BL6" s="563"/>
      <c r="BM6" s="563"/>
      <c r="BN6" s="563"/>
      <c r="BO6" s="563"/>
      <c r="BP6" s="563"/>
      <c r="BQ6" s="563"/>
      <c r="BR6" s="563"/>
      <c r="BS6" s="563"/>
      <c r="BT6" s="563"/>
      <c r="BU6" s="563"/>
      <c r="BV6" s="563"/>
      <c r="BW6" s="563"/>
      <c r="BX6" s="563"/>
      <c r="BY6" s="563"/>
      <c r="BZ6" s="563"/>
      <c r="CA6" s="563"/>
      <c r="CB6" s="563"/>
      <c r="CC6" s="563"/>
      <c r="CD6" s="563"/>
      <c r="CE6" s="563"/>
      <c r="CF6" s="563"/>
      <c r="CG6" s="563"/>
      <c r="CH6" s="563"/>
      <c r="CI6" s="563"/>
      <c r="CJ6" s="563"/>
      <c r="CK6" s="563"/>
      <c r="CL6" s="563"/>
      <c r="CM6" s="563"/>
      <c r="CN6" s="563"/>
      <c r="CO6" s="563"/>
      <c r="CP6" s="563"/>
      <c r="CQ6" s="563"/>
      <c r="CR6" s="563"/>
      <c r="CS6" s="563"/>
      <c r="CT6" s="563"/>
      <c r="CU6" s="563"/>
      <c r="CV6" s="134"/>
      <c r="CW6" s="134"/>
      <c r="CX6" s="134"/>
      <c r="CY6" s="134"/>
      <c r="CZ6" s="134"/>
      <c r="DA6" s="134"/>
      <c r="DB6" s="134"/>
      <c r="DC6" s="134"/>
      <c r="DD6" s="134"/>
      <c r="DE6" s="134"/>
      <c r="DF6" s="1"/>
      <c r="DG6" s="1"/>
      <c r="DH6" s="1"/>
      <c r="DI6" s="1"/>
      <c r="DJ6" s="1"/>
      <c r="DK6" s="354" t="s">
        <v>175</v>
      </c>
      <c r="DL6" s="354"/>
      <c r="DM6" s="354"/>
      <c r="DN6" s="354"/>
      <c r="DO6" s="354"/>
      <c r="DP6" s="354"/>
      <c r="DQ6" s="354"/>
      <c r="DR6" s="354"/>
      <c r="DS6" s="354"/>
      <c r="DT6" s="354"/>
      <c r="DU6" s="354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</row>
    <row r="7" spans="1:223" ht="60" customHeight="1" x14ac:dyDescent="0.3">
      <c r="A7" s="82"/>
      <c r="B7" s="92"/>
      <c r="C7" s="92"/>
      <c r="D7" s="9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AH7" s="134"/>
      <c r="AI7" s="134"/>
      <c r="AJ7" s="134"/>
      <c r="AK7" s="134"/>
      <c r="AL7" s="134"/>
      <c r="AM7" s="563" t="s">
        <v>176</v>
      </c>
      <c r="AN7" s="563"/>
      <c r="AO7" s="563"/>
      <c r="AP7" s="563"/>
      <c r="AQ7" s="563"/>
      <c r="AR7" s="563"/>
      <c r="AS7" s="563"/>
      <c r="AT7" s="563"/>
      <c r="AU7" s="563"/>
      <c r="AV7" s="563"/>
      <c r="AW7" s="563"/>
      <c r="AX7" s="563"/>
      <c r="AY7" s="563"/>
      <c r="AZ7" s="563"/>
      <c r="BA7" s="563"/>
      <c r="BB7" s="563"/>
      <c r="BC7" s="563"/>
      <c r="BD7" s="563"/>
      <c r="BE7" s="563"/>
      <c r="BF7" s="563"/>
      <c r="BG7" s="563"/>
      <c r="BH7" s="563"/>
      <c r="BI7" s="563"/>
      <c r="BJ7" s="563"/>
      <c r="BK7" s="563"/>
      <c r="BL7" s="563"/>
      <c r="BM7" s="563"/>
      <c r="BN7" s="563"/>
      <c r="BO7" s="563"/>
      <c r="BP7" s="563"/>
      <c r="BQ7" s="563"/>
      <c r="BR7" s="563"/>
      <c r="BS7" s="563"/>
      <c r="BT7" s="563"/>
      <c r="BU7" s="563"/>
      <c r="BV7" s="563"/>
      <c r="BW7" s="563"/>
      <c r="BX7" s="563"/>
      <c r="BY7" s="563"/>
      <c r="BZ7" s="563"/>
      <c r="CA7" s="563"/>
      <c r="CB7" s="563"/>
      <c r="CC7" s="563"/>
      <c r="CD7" s="563"/>
      <c r="CE7" s="563"/>
      <c r="CF7" s="563"/>
      <c r="CG7" s="563"/>
      <c r="CH7" s="563"/>
      <c r="CI7" s="563"/>
      <c r="CJ7" s="563"/>
      <c r="CK7" s="563"/>
      <c r="CL7" s="563"/>
      <c r="CM7" s="563"/>
      <c r="CN7" s="563"/>
      <c r="CO7" s="563"/>
      <c r="CP7" s="563"/>
      <c r="CQ7" s="563"/>
      <c r="CR7" s="563"/>
      <c r="CS7" s="563"/>
      <c r="CT7" s="563"/>
      <c r="CU7" s="563"/>
      <c r="CV7" s="134"/>
      <c r="CW7" s="134"/>
      <c r="CX7" s="134"/>
      <c r="CY7" s="134"/>
      <c r="CZ7" s="134"/>
      <c r="DA7" s="134"/>
      <c r="DB7" s="134"/>
      <c r="DC7" s="134"/>
      <c r="DD7" s="134"/>
      <c r="DE7" s="134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</row>
    <row r="8" spans="1:223" ht="65.25" x14ac:dyDescent="0.3">
      <c r="A8" s="82"/>
      <c r="B8" s="92"/>
      <c r="C8" s="92"/>
      <c r="D8" s="9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AH8" s="134"/>
      <c r="AI8" s="134"/>
      <c r="AJ8" s="134"/>
      <c r="AK8" s="134"/>
      <c r="AL8" s="134"/>
      <c r="AM8" s="563" t="s">
        <v>177</v>
      </c>
      <c r="AN8" s="563"/>
      <c r="AO8" s="563"/>
      <c r="AP8" s="563"/>
      <c r="AQ8" s="563"/>
      <c r="AR8" s="563"/>
      <c r="AS8" s="563"/>
      <c r="AT8" s="563"/>
      <c r="AU8" s="563"/>
      <c r="AV8" s="563"/>
      <c r="AW8" s="563"/>
      <c r="AX8" s="563"/>
      <c r="AY8" s="563"/>
      <c r="AZ8" s="563"/>
      <c r="BA8" s="563"/>
      <c r="BB8" s="563"/>
      <c r="BC8" s="563"/>
      <c r="BD8" s="563"/>
      <c r="BE8" s="563"/>
      <c r="BF8" s="563"/>
      <c r="BG8" s="563"/>
      <c r="BH8" s="563"/>
      <c r="BI8" s="563"/>
      <c r="BJ8" s="563"/>
      <c r="BK8" s="563"/>
      <c r="BL8" s="563"/>
      <c r="BM8" s="563"/>
      <c r="BN8" s="563"/>
      <c r="BO8" s="563"/>
      <c r="BP8" s="563"/>
      <c r="BQ8" s="563"/>
      <c r="BR8" s="563"/>
      <c r="BS8" s="563"/>
      <c r="BT8" s="563"/>
      <c r="BU8" s="563"/>
      <c r="BV8" s="563"/>
      <c r="BW8" s="563"/>
      <c r="BX8" s="563"/>
      <c r="BY8" s="563"/>
      <c r="BZ8" s="563"/>
      <c r="CA8" s="563"/>
      <c r="CB8" s="563"/>
      <c r="CC8" s="563"/>
      <c r="CD8" s="563"/>
      <c r="CE8" s="563"/>
      <c r="CF8" s="563"/>
      <c r="CG8" s="563"/>
      <c r="CH8" s="563"/>
      <c r="CI8" s="563"/>
      <c r="CJ8" s="563"/>
      <c r="CK8" s="563"/>
      <c r="CL8" s="563"/>
      <c r="CM8" s="563"/>
      <c r="CN8" s="563"/>
      <c r="CO8" s="563"/>
      <c r="CP8" s="563"/>
      <c r="CQ8" s="563"/>
      <c r="CR8" s="563"/>
      <c r="CS8" s="563"/>
      <c r="CT8" s="563"/>
      <c r="CU8" s="563"/>
      <c r="CV8" s="134"/>
      <c r="CW8" s="134"/>
      <c r="CX8" s="134"/>
      <c r="CY8" s="134"/>
      <c r="CZ8" s="134"/>
      <c r="DA8" s="134"/>
      <c r="DB8" s="134"/>
      <c r="DC8" s="134"/>
      <c r="DD8" s="134"/>
      <c r="DE8" s="134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</row>
    <row r="9" spans="1:223" ht="75" x14ac:dyDescent="0.2">
      <c r="A9" s="560" t="s">
        <v>248</v>
      </c>
      <c r="B9" s="560"/>
      <c r="C9" s="560"/>
      <c r="D9" s="560"/>
      <c r="E9" s="560"/>
      <c r="F9" s="560"/>
      <c r="G9" s="560"/>
      <c r="H9" s="560"/>
      <c r="I9" s="560"/>
      <c r="J9" s="560"/>
      <c r="K9" s="560"/>
      <c r="L9" s="560"/>
      <c r="M9" s="560"/>
      <c r="N9" s="560"/>
      <c r="O9" s="560"/>
      <c r="P9" s="560"/>
      <c r="Q9" s="560"/>
      <c r="R9" s="560"/>
      <c r="S9" s="560"/>
      <c r="T9" s="560"/>
      <c r="U9" s="560"/>
      <c r="V9" s="560"/>
      <c r="W9" s="560"/>
      <c r="X9" s="560"/>
      <c r="Y9" s="560"/>
      <c r="Z9" s="560"/>
      <c r="AA9" s="560"/>
      <c r="AB9" s="560"/>
      <c r="AC9" s="560"/>
      <c r="AD9" s="560"/>
      <c r="AE9" s="560"/>
      <c r="AF9" s="560"/>
      <c r="AG9" s="560"/>
      <c r="AH9" s="560"/>
      <c r="AI9" s="560"/>
      <c r="AJ9" s="560"/>
      <c r="AK9" s="560"/>
      <c r="AL9" s="560"/>
      <c r="AM9" s="560"/>
      <c r="AN9" s="560"/>
      <c r="AO9" s="560"/>
      <c r="AP9" s="560"/>
      <c r="AQ9" s="560"/>
      <c r="AR9" s="560"/>
      <c r="AS9" s="560"/>
      <c r="AT9" s="560"/>
      <c r="AU9" s="560"/>
      <c r="AV9" s="560"/>
      <c r="AW9" s="560"/>
      <c r="AX9" s="560"/>
      <c r="AY9" s="560"/>
      <c r="AZ9" s="560"/>
      <c r="BA9" s="560"/>
      <c r="BB9" s="560"/>
      <c r="BC9" s="560"/>
      <c r="BD9" s="560"/>
      <c r="BE9" s="560"/>
      <c r="BF9" s="560"/>
      <c r="BG9" s="560"/>
      <c r="BH9" s="560"/>
      <c r="BI9" s="560"/>
      <c r="BJ9" s="560"/>
      <c r="BK9" s="560"/>
      <c r="BL9" s="560"/>
      <c r="BM9" s="560"/>
      <c r="BN9" s="560"/>
      <c r="BO9" s="560"/>
      <c r="BP9" s="560"/>
      <c r="BQ9" s="560"/>
      <c r="BR9" s="560"/>
      <c r="BS9" s="560"/>
      <c r="BT9" s="560"/>
      <c r="BU9" s="560"/>
      <c r="BV9" s="560"/>
      <c r="BW9" s="560"/>
      <c r="BX9" s="560"/>
      <c r="BY9" s="560"/>
      <c r="BZ9" s="560"/>
      <c r="CA9" s="560"/>
      <c r="CB9" s="560"/>
      <c r="CC9" s="560"/>
      <c r="CD9" s="560"/>
      <c r="CE9" s="560"/>
      <c r="CF9" s="560"/>
      <c r="CG9" s="560"/>
      <c r="CH9" s="560"/>
      <c r="CI9" s="560"/>
      <c r="CJ9" s="560"/>
      <c r="CK9" s="560"/>
      <c r="CL9" s="560"/>
      <c r="CM9" s="560"/>
      <c r="CN9" s="560"/>
      <c r="CO9" s="560"/>
      <c r="CP9" s="560"/>
      <c r="CQ9" s="560"/>
      <c r="CR9" s="560"/>
      <c r="CS9" s="560"/>
      <c r="CT9" s="560"/>
      <c r="CU9" s="560"/>
      <c r="CV9" s="560"/>
      <c r="CW9" s="560"/>
      <c r="CX9" s="560"/>
      <c r="CY9" s="560"/>
      <c r="CZ9" s="560"/>
      <c r="DA9" s="560"/>
      <c r="DB9" s="560"/>
      <c r="DC9" s="560"/>
      <c r="DD9" s="560"/>
      <c r="DE9" s="560"/>
      <c r="DF9" s="560"/>
      <c r="DG9" s="560"/>
      <c r="DH9" s="560"/>
      <c r="DI9" s="560"/>
      <c r="DJ9" s="560"/>
      <c r="DK9" s="560"/>
      <c r="DL9" s="560"/>
      <c r="DM9" s="560"/>
      <c r="DN9" s="560"/>
      <c r="DO9" s="560"/>
      <c r="DP9" s="560"/>
      <c r="DQ9" s="560"/>
      <c r="DR9" s="560"/>
      <c r="DS9" s="560"/>
      <c r="DT9" s="560"/>
      <c r="DU9" s="560"/>
      <c r="DV9" s="560"/>
      <c r="DW9" s="560"/>
      <c r="DX9" s="560"/>
      <c r="DY9" s="560"/>
      <c r="DZ9" s="560"/>
      <c r="EA9" s="560"/>
      <c r="EB9" s="560"/>
      <c r="EC9" s="560"/>
      <c r="ED9" s="560"/>
      <c r="EE9" s="560"/>
      <c r="EF9" s="560"/>
      <c r="EG9" s="560"/>
      <c r="EH9" s="560"/>
      <c r="EI9" s="560"/>
      <c r="EJ9" s="560"/>
      <c r="EK9" s="560"/>
      <c r="EL9" s="560"/>
      <c r="EM9" s="560"/>
      <c r="EN9" s="560"/>
      <c r="EO9" s="560"/>
      <c r="EP9" s="560"/>
      <c r="EQ9" s="560"/>
      <c r="ER9" s="560"/>
      <c r="ES9" s="560"/>
    </row>
    <row r="10" spans="1:223" ht="90" customHeight="1" x14ac:dyDescent="0.4">
      <c r="A10" s="23"/>
      <c r="B10" s="23"/>
      <c r="C10" s="26"/>
      <c r="D10" s="181"/>
      <c r="E10" s="181"/>
      <c r="F10" s="181"/>
      <c r="G10" s="181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7"/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7"/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7"/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7"/>
      <c r="EB10" s="177"/>
      <c r="EC10" s="177"/>
      <c r="ED10" s="177"/>
      <c r="EE10" s="177"/>
      <c r="EF10" s="177"/>
      <c r="EG10" s="178"/>
      <c r="EH10" s="178"/>
      <c r="EI10" s="178"/>
      <c r="EJ10" s="178"/>
      <c r="EK10" s="178"/>
      <c r="EL10" s="178"/>
      <c r="EM10" s="178"/>
      <c r="EN10" s="31"/>
      <c r="EO10" s="31"/>
      <c r="EP10" s="31"/>
      <c r="EQ10" s="31"/>
      <c r="EX10" s="594" t="s">
        <v>23</v>
      </c>
      <c r="EY10" s="594"/>
      <c r="EZ10" s="595" t="s">
        <v>265</v>
      </c>
      <c r="FA10" s="595"/>
      <c r="FB10" s="595"/>
      <c r="FC10" s="595"/>
      <c r="FD10" s="595"/>
      <c r="FE10" s="595"/>
      <c r="FF10" s="595"/>
      <c r="FG10" s="595"/>
      <c r="FH10" s="595"/>
      <c r="FI10" s="595"/>
      <c r="FJ10" s="595"/>
      <c r="FK10" s="595"/>
      <c r="FL10" s="595"/>
      <c r="FM10" s="595"/>
      <c r="FN10" s="595"/>
      <c r="FO10" s="595"/>
      <c r="FP10" s="595"/>
      <c r="FQ10" s="595"/>
      <c r="FR10" s="595"/>
      <c r="FS10" s="595"/>
      <c r="FT10" s="595"/>
      <c r="FU10" s="595"/>
      <c r="FV10" s="595"/>
      <c r="FW10" s="595"/>
      <c r="FX10" s="595"/>
      <c r="FY10" s="595"/>
      <c r="FZ10" s="595"/>
      <c r="GA10" s="595"/>
      <c r="GB10" s="595"/>
      <c r="GC10" s="595"/>
      <c r="GD10" s="595"/>
      <c r="GE10" s="595"/>
      <c r="GF10" s="595"/>
      <c r="GG10" s="595"/>
      <c r="GH10" s="595"/>
      <c r="GI10" s="595"/>
      <c r="GJ10" s="595"/>
      <c r="GK10" s="595"/>
      <c r="GL10" s="595"/>
      <c r="GM10" s="595"/>
      <c r="GN10" s="595"/>
      <c r="GO10" s="595"/>
      <c r="GP10" s="595"/>
      <c r="GQ10" s="595"/>
      <c r="GR10" s="595"/>
      <c r="GS10" s="595"/>
      <c r="GT10" s="595"/>
      <c r="GU10" s="595"/>
      <c r="GV10" s="595"/>
      <c r="GW10" s="595"/>
      <c r="GX10" s="595"/>
      <c r="GY10" s="595"/>
      <c r="GZ10" s="596" t="s">
        <v>19</v>
      </c>
      <c r="HA10" s="596"/>
      <c r="HB10" s="596"/>
      <c r="HC10" s="596"/>
      <c r="HD10" s="596"/>
      <c r="HE10" s="596"/>
      <c r="HF10" s="596"/>
      <c r="HG10" s="596"/>
      <c r="HH10" s="596"/>
      <c r="HI10" s="596"/>
      <c r="HJ10" s="596"/>
      <c r="HK10" s="596"/>
      <c r="HL10" s="594" t="s">
        <v>266</v>
      </c>
      <c r="HM10" s="594"/>
      <c r="HN10" s="594" t="s">
        <v>22</v>
      </c>
      <c r="HO10" s="594"/>
    </row>
    <row r="11" spans="1:223" ht="90" customHeight="1" x14ac:dyDescent="0.4">
      <c r="A11" s="23"/>
      <c r="B11" s="23"/>
      <c r="C11" s="26"/>
      <c r="D11" s="181"/>
      <c r="E11" s="181"/>
      <c r="F11" s="181"/>
      <c r="G11" s="181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77"/>
      <c r="BP11" s="177"/>
      <c r="BQ11" s="177"/>
      <c r="BR11" s="177"/>
      <c r="BS11" s="177"/>
      <c r="BT11" s="177"/>
      <c r="BU11" s="177"/>
      <c r="BV11" s="177"/>
      <c r="BW11" s="177"/>
      <c r="BX11" s="177"/>
      <c r="BY11" s="177"/>
      <c r="BZ11" s="177"/>
      <c r="CA11" s="177"/>
      <c r="CB11" s="177"/>
      <c r="CC11" s="177"/>
      <c r="CD11" s="177"/>
      <c r="CE11" s="177"/>
      <c r="CF11" s="177"/>
      <c r="CG11" s="177"/>
      <c r="CH11" s="177"/>
      <c r="CI11" s="177"/>
      <c r="CJ11" s="177"/>
      <c r="CK11" s="177"/>
      <c r="CL11" s="177"/>
      <c r="CM11" s="177"/>
      <c r="CN11" s="177"/>
      <c r="CO11" s="177"/>
      <c r="CP11" s="177"/>
      <c r="CQ11" s="177"/>
      <c r="CR11" s="177"/>
      <c r="CS11" s="177"/>
      <c r="CT11" s="177"/>
      <c r="CU11" s="177"/>
      <c r="CV11" s="177"/>
      <c r="CW11" s="177"/>
      <c r="CX11" s="177"/>
      <c r="CY11" s="177"/>
      <c r="CZ11" s="177"/>
      <c r="DA11" s="177"/>
      <c r="DB11" s="177"/>
      <c r="DC11" s="177"/>
      <c r="DD11" s="177"/>
      <c r="DE11" s="177"/>
      <c r="DF11" s="177"/>
      <c r="DG11" s="177"/>
      <c r="DH11" s="177"/>
      <c r="DI11" s="177"/>
      <c r="DJ11" s="177"/>
      <c r="DK11" s="178"/>
      <c r="DL11" s="178"/>
      <c r="DM11" s="178"/>
      <c r="DN11" s="178"/>
      <c r="DO11" s="182"/>
      <c r="DP11" s="182"/>
      <c r="DQ11" s="182"/>
      <c r="DR11" s="182"/>
      <c r="DS11" s="182"/>
      <c r="DT11" s="182"/>
      <c r="DU11" s="182"/>
      <c r="DV11" s="182"/>
      <c r="DW11" s="182"/>
      <c r="DX11" s="182"/>
      <c r="DY11" s="182"/>
      <c r="DZ11" s="182"/>
      <c r="EA11" s="182"/>
      <c r="EB11" s="182"/>
      <c r="EC11" s="182"/>
      <c r="ED11" s="182"/>
      <c r="EE11" s="182"/>
      <c r="EF11" s="182"/>
      <c r="EG11" s="178"/>
      <c r="EH11" s="178"/>
      <c r="EI11" s="178"/>
      <c r="EJ11" s="178"/>
      <c r="EK11" s="178"/>
      <c r="EL11" s="178"/>
      <c r="EM11" s="178"/>
      <c r="EN11" s="31"/>
      <c r="EO11" s="31"/>
      <c r="EP11" s="31"/>
      <c r="EQ11" s="31"/>
      <c r="EX11" s="594"/>
      <c r="EY11" s="594"/>
      <c r="EZ11" s="595"/>
      <c r="FA11" s="595"/>
      <c r="FB11" s="595"/>
      <c r="FC11" s="595"/>
      <c r="FD11" s="595"/>
      <c r="FE11" s="595"/>
      <c r="FF11" s="595"/>
      <c r="FG11" s="595"/>
      <c r="FH11" s="595"/>
      <c r="FI11" s="595"/>
      <c r="FJ11" s="595"/>
      <c r="FK11" s="595"/>
      <c r="FL11" s="595"/>
      <c r="FM11" s="595"/>
      <c r="FN11" s="595"/>
      <c r="FO11" s="595"/>
      <c r="FP11" s="595"/>
      <c r="FQ11" s="595"/>
      <c r="FR11" s="595"/>
      <c r="FS11" s="595"/>
      <c r="FT11" s="595"/>
      <c r="FU11" s="595"/>
      <c r="FV11" s="595"/>
      <c r="FW11" s="595"/>
      <c r="FX11" s="595"/>
      <c r="FY11" s="595"/>
      <c r="FZ11" s="595"/>
      <c r="GA11" s="595"/>
      <c r="GB11" s="595"/>
      <c r="GC11" s="595"/>
      <c r="GD11" s="595"/>
      <c r="GE11" s="595"/>
      <c r="GF11" s="595"/>
      <c r="GG11" s="595"/>
      <c r="GH11" s="595"/>
      <c r="GI11" s="595"/>
      <c r="GJ11" s="595"/>
      <c r="GK11" s="595"/>
      <c r="GL11" s="595"/>
      <c r="GM11" s="595"/>
      <c r="GN11" s="595"/>
      <c r="GO11" s="595"/>
      <c r="GP11" s="595"/>
      <c r="GQ11" s="595"/>
      <c r="GR11" s="595"/>
      <c r="GS11" s="595"/>
      <c r="GT11" s="595"/>
      <c r="GU11" s="595"/>
      <c r="GV11" s="595"/>
      <c r="GW11" s="595"/>
      <c r="GX11" s="595"/>
      <c r="GY11" s="595"/>
      <c r="GZ11" s="594" t="s">
        <v>20</v>
      </c>
      <c r="HA11" s="594"/>
      <c r="HB11" s="596" t="s">
        <v>78</v>
      </c>
      <c r="HC11" s="596"/>
      <c r="HD11" s="596"/>
      <c r="HE11" s="596"/>
      <c r="HF11" s="596"/>
      <c r="HG11" s="596"/>
      <c r="HH11" s="596"/>
      <c r="HI11" s="596"/>
      <c r="HJ11" s="596"/>
      <c r="HK11" s="596"/>
      <c r="HL11" s="594"/>
      <c r="HM11" s="594"/>
      <c r="HN11" s="594"/>
      <c r="HO11" s="594"/>
    </row>
    <row r="12" spans="1:223" ht="90" customHeight="1" x14ac:dyDescent="0.4">
      <c r="A12" s="23"/>
      <c r="B12" s="23"/>
      <c r="C12" s="26"/>
      <c r="D12" s="181"/>
      <c r="E12" s="181"/>
      <c r="F12" s="181"/>
      <c r="G12" s="181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77"/>
      <c r="BW12" s="177"/>
      <c r="BX12" s="177"/>
      <c r="BY12" s="177"/>
      <c r="BZ12" s="177"/>
      <c r="CA12" s="177"/>
      <c r="CB12" s="177"/>
      <c r="CC12" s="177"/>
      <c r="CD12" s="177"/>
      <c r="CE12" s="177"/>
      <c r="CF12" s="177"/>
      <c r="CG12" s="177"/>
      <c r="CH12" s="177"/>
      <c r="CI12" s="177"/>
      <c r="CJ12" s="177"/>
      <c r="CK12" s="177"/>
      <c r="CL12" s="177"/>
      <c r="CM12" s="177"/>
      <c r="CN12" s="177"/>
      <c r="CO12" s="177"/>
      <c r="CP12" s="177"/>
      <c r="CQ12" s="177"/>
      <c r="CR12" s="177"/>
      <c r="CS12" s="177"/>
      <c r="CT12" s="177"/>
      <c r="CU12" s="177"/>
      <c r="CV12" s="177"/>
      <c r="CW12" s="177"/>
      <c r="CX12" s="177"/>
      <c r="CY12" s="177"/>
      <c r="CZ12" s="177"/>
      <c r="DA12" s="177"/>
      <c r="DB12" s="177"/>
      <c r="DC12" s="177"/>
      <c r="DD12" s="177"/>
      <c r="DE12" s="177"/>
      <c r="DF12" s="177"/>
      <c r="DG12" s="177"/>
      <c r="DH12" s="177"/>
      <c r="DI12" s="177"/>
      <c r="DJ12" s="177"/>
      <c r="DK12" s="178"/>
      <c r="DL12" s="178"/>
      <c r="DM12" s="178"/>
      <c r="DN12" s="178"/>
      <c r="DO12" s="179"/>
      <c r="DP12" s="179"/>
      <c r="DQ12" s="179"/>
      <c r="DR12" s="179"/>
      <c r="DS12" s="179"/>
      <c r="DT12" s="179"/>
      <c r="DU12" s="179"/>
      <c r="DV12" s="179"/>
      <c r="DW12" s="179"/>
      <c r="DX12" s="179"/>
      <c r="DY12" s="179"/>
      <c r="DZ12" s="179"/>
      <c r="EA12" s="179"/>
      <c r="EB12" s="179"/>
      <c r="EC12" s="179"/>
      <c r="ED12" s="183"/>
      <c r="EE12" s="183"/>
      <c r="EF12" s="183"/>
      <c r="EG12" s="178"/>
      <c r="EH12" s="178"/>
      <c r="EI12" s="178"/>
      <c r="EJ12" s="178"/>
      <c r="EK12" s="178"/>
      <c r="EL12" s="178"/>
      <c r="EM12" s="178"/>
      <c r="EN12" s="31"/>
      <c r="EO12" s="31"/>
      <c r="EP12" s="31"/>
      <c r="EQ12" s="31"/>
      <c r="EX12" s="594"/>
      <c r="EY12" s="594"/>
      <c r="EZ12" s="595"/>
      <c r="FA12" s="595"/>
      <c r="FB12" s="595"/>
      <c r="FC12" s="595"/>
      <c r="FD12" s="595"/>
      <c r="FE12" s="595"/>
      <c r="FF12" s="595"/>
      <c r="FG12" s="595"/>
      <c r="FH12" s="595"/>
      <c r="FI12" s="595"/>
      <c r="FJ12" s="595"/>
      <c r="FK12" s="595"/>
      <c r="FL12" s="595"/>
      <c r="FM12" s="595"/>
      <c r="FN12" s="595"/>
      <c r="FO12" s="595"/>
      <c r="FP12" s="595"/>
      <c r="FQ12" s="595"/>
      <c r="FR12" s="595"/>
      <c r="FS12" s="595"/>
      <c r="FT12" s="595"/>
      <c r="FU12" s="595"/>
      <c r="FV12" s="595"/>
      <c r="FW12" s="595"/>
      <c r="FX12" s="595"/>
      <c r="FY12" s="595"/>
      <c r="FZ12" s="595"/>
      <c r="GA12" s="595"/>
      <c r="GB12" s="595"/>
      <c r="GC12" s="595"/>
      <c r="GD12" s="595"/>
      <c r="GE12" s="595"/>
      <c r="GF12" s="595"/>
      <c r="GG12" s="595"/>
      <c r="GH12" s="595"/>
      <c r="GI12" s="595"/>
      <c r="GJ12" s="595"/>
      <c r="GK12" s="595"/>
      <c r="GL12" s="595"/>
      <c r="GM12" s="595"/>
      <c r="GN12" s="595"/>
      <c r="GO12" s="595"/>
      <c r="GP12" s="595"/>
      <c r="GQ12" s="595"/>
      <c r="GR12" s="595"/>
      <c r="GS12" s="595"/>
      <c r="GT12" s="595"/>
      <c r="GU12" s="595"/>
      <c r="GV12" s="595"/>
      <c r="GW12" s="595"/>
      <c r="GX12" s="595"/>
      <c r="GY12" s="595"/>
      <c r="GZ12" s="594"/>
      <c r="HA12" s="594"/>
      <c r="HB12" s="600" t="s">
        <v>267</v>
      </c>
      <c r="HC12" s="601"/>
      <c r="HD12" s="600" t="s">
        <v>16</v>
      </c>
      <c r="HE12" s="601"/>
      <c r="HF12" s="600" t="s">
        <v>268</v>
      </c>
      <c r="HG12" s="601"/>
      <c r="HH12" s="600" t="s">
        <v>14</v>
      </c>
      <c r="HI12" s="601"/>
      <c r="HJ12" s="600" t="s">
        <v>17</v>
      </c>
      <c r="HK12" s="601"/>
      <c r="HL12" s="594"/>
      <c r="HM12" s="594"/>
      <c r="HN12" s="594"/>
      <c r="HO12" s="594"/>
    </row>
    <row r="13" spans="1:223" ht="90" customHeight="1" x14ac:dyDescent="0.4">
      <c r="A13" s="23"/>
      <c r="B13" s="23"/>
      <c r="C13" s="26"/>
      <c r="D13" s="181"/>
      <c r="E13" s="181"/>
      <c r="F13" s="181"/>
      <c r="G13" s="181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T13" s="177"/>
      <c r="CU13" s="177"/>
      <c r="CV13" s="177"/>
      <c r="CW13" s="177"/>
      <c r="CX13" s="177"/>
      <c r="CY13" s="177"/>
      <c r="CZ13" s="177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8"/>
      <c r="DL13" s="178"/>
      <c r="DM13" s="178"/>
      <c r="DN13" s="178"/>
      <c r="DO13" s="179"/>
      <c r="DP13" s="179"/>
      <c r="DQ13" s="179"/>
      <c r="DR13" s="179"/>
      <c r="DS13" s="179"/>
      <c r="DT13" s="179"/>
      <c r="DU13" s="179"/>
      <c r="DV13" s="179"/>
      <c r="DW13" s="179"/>
      <c r="DX13" s="179"/>
      <c r="DY13" s="179"/>
      <c r="DZ13" s="179"/>
      <c r="EA13" s="179"/>
      <c r="EB13" s="179"/>
      <c r="EC13" s="179"/>
      <c r="ED13" s="183"/>
      <c r="EE13" s="183"/>
      <c r="EF13" s="183"/>
      <c r="EG13" s="178"/>
      <c r="EH13" s="178"/>
      <c r="EI13" s="178"/>
      <c r="EJ13" s="178"/>
      <c r="EK13" s="178"/>
      <c r="EL13" s="178"/>
      <c r="EM13" s="178"/>
      <c r="EN13" s="31"/>
      <c r="EO13" s="31"/>
      <c r="EP13" s="31"/>
      <c r="EQ13" s="31"/>
      <c r="EX13" s="594"/>
      <c r="EY13" s="594"/>
      <c r="EZ13" s="595"/>
      <c r="FA13" s="595"/>
      <c r="FB13" s="595"/>
      <c r="FC13" s="595"/>
      <c r="FD13" s="595"/>
      <c r="FE13" s="595"/>
      <c r="FF13" s="595"/>
      <c r="FG13" s="595"/>
      <c r="FH13" s="595"/>
      <c r="FI13" s="595"/>
      <c r="FJ13" s="595"/>
      <c r="FK13" s="595"/>
      <c r="FL13" s="595"/>
      <c r="FM13" s="595"/>
      <c r="FN13" s="595"/>
      <c r="FO13" s="595"/>
      <c r="FP13" s="595"/>
      <c r="FQ13" s="595"/>
      <c r="FR13" s="595"/>
      <c r="FS13" s="595"/>
      <c r="FT13" s="595"/>
      <c r="FU13" s="595"/>
      <c r="FV13" s="595"/>
      <c r="FW13" s="595"/>
      <c r="FX13" s="595"/>
      <c r="FY13" s="595"/>
      <c r="FZ13" s="595"/>
      <c r="GA13" s="595"/>
      <c r="GB13" s="595"/>
      <c r="GC13" s="595"/>
      <c r="GD13" s="595"/>
      <c r="GE13" s="595"/>
      <c r="GF13" s="595"/>
      <c r="GG13" s="595"/>
      <c r="GH13" s="595"/>
      <c r="GI13" s="595"/>
      <c r="GJ13" s="595"/>
      <c r="GK13" s="595"/>
      <c r="GL13" s="595"/>
      <c r="GM13" s="595"/>
      <c r="GN13" s="595"/>
      <c r="GO13" s="595"/>
      <c r="GP13" s="595"/>
      <c r="GQ13" s="595"/>
      <c r="GR13" s="595"/>
      <c r="GS13" s="595"/>
      <c r="GT13" s="595"/>
      <c r="GU13" s="595"/>
      <c r="GV13" s="595"/>
      <c r="GW13" s="595"/>
      <c r="GX13" s="595"/>
      <c r="GY13" s="595"/>
      <c r="GZ13" s="594"/>
      <c r="HA13" s="594"/>
      <c r="HB13" s="602"/>
      <c r="HC13" s="603"/>
      <c r="HD13" s="602"/>
      <c r="HE13" s="603"/>
      <c r="HF13" s="602"/>
      <c r="HG13" s="603"/>
      <c r="HH13" s="602"/>
      <c r="HI13" s="603"/>
      <c r="HJ13" s="602"/>
      <c r="HK13" s="603"/>
      <c r="HL13" s="594"/>
      <c r="HM13" s="594"/>
      <c r="HN13" s="594"/>
      <c r="HO13" s="594"/>
    </row>
    <row r="14" spans="1:223" ht="90" customHeight="1" x14ac:dyDescent="0.4">
      <c r="A14" s="23"/>
      <c r="B14" s="23"/>
      <c r="C14" s="26"/>
      <c r="D14" s="181"/>
      <c r="E14" s="181"/>
      <c r="F14" s="181"/>
      <c r="G14" s="181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8"/>
      <c r="DL14" s="178"/>
      <c r="DM14" s="178"/>
      <c r="DN14" s="178"/>
      <c r="DO14" s="179"/>
      <c r="DP14" s="179"/>
      <c r="DQ14" s="179"/>
      <c r="DR14" s="179"/>
      <c r="DS14" s="179"/>
      <c r="DT14" s="179"/>
      <c r="DU14" s="179"/>
      <c r="DV14" s="179"/>
      <c r="DW14" s="179"/>
      <c r="DX14" s="179"/>
      <c r="DY14" s="179"/>
      <c r="DZ14" s="179"/>
      <c r="EA14" s="179"/>
      <c r="EB14" s="179"/>
      <c r="EC14" s="179"/>
      <c r="ED14" s="183"/>
      <c r="EE14" s="183"/>
      <c r="EF14" s="183"/>
      <c r="EG14" s="178"/>
      <c r="EH14" s="178"/>
      <c r="EI14" s="178"/>
      <c r="EJ14" s="178"/>
      <c r="EK14" s="178"/>
      <c r="EL14" s="178"/>
      <c r="EM14" s="178"/>
      <c r="EN14" s="31"/>
      <c r="EO14" s="31"/>
      <c r="EP14" s="31"/>
      <c r="EQ14" s="31"/>
      <c r="EX14" s="594"/>
      <c r="EY14" s="594"/>
      <c r="EZ14" s="597" t="s">
        <v>270</v>
      </c>
      <c r="FA14" s="598"/>
      <c r="FB14" s="598"/>
      <c r="FC14" s="598"/>
      <c r="FD14" s="599"/>
      <c r="FE14" s="597" t="s">
        <v>271</v>
      </c>
      <c r="FF14" s="598"/>
      <c r="FG14" s="598"/>
      <c r="FH14" s="599"/>
      <c r="FI14" s="597" t="s">
        <v>50</v>
      </c>
      <c r="FJ14" s="598"/>
      <c r="FK14" s="598"/>
      <c r="FL14" s="598"/>
      <c r="FM14" s="599"/>
      <c r="FN14" s="597" t="s">
        <v>51</v>
      </c>
      <c r="FO14" s="598"/>
      <c r="FP14" s="598"/>
      <c r="FQ14" s="599"/>
      <c r="FR14" s="597" t="s">
        <v>52</v>
      </c>
      <c r="FS14" s="598"/>
      <c r="FT14" s="598"/>
      <c r="FU14" s="598"/>
      <c r="FV14" s="599"/>
      <c r="FW14" s="597" t="s">
        <v>53</v>
      </c>
      <c r="FX14" s="598"/>
      <c r="FY14" s="598"/>
      <c r="FZ14" s="599"/>
      <c r="GA14" s="597" t="s">
        <v>54</v>
      </c>
      <c r="GB14" s="598"/>
      <c r="GC14" s="598"/>
      <c r="GD14" s="598"/>
      <c r="GE14" s="599"/>
      <c r="GF14" s="597" t="s">
        <v>55</v>
      </c>
      <c r="GG14" s="598"/>
      <c r="GH14" s="598"/>
      <c r="GI14" s="599"/>
      <c r="GJ14" s="597" t="s">
        <v>56</v>
      </c>
      <c r="GK14" s="598"/>
      <c r="GL14" s="598"/>
      <c r="GM14" s="599"/>
      <c r="GN14" s="597" t="s">
        <v>57</v>
      </c>
      <c r="GO14" s="598"/>
      <c r="GP14" s="598"/>
      <c r="GQ14" s="599"/>
      <c r="GR14" s="597" t="s">
        <v>272</v>
      </c>
      <c r="GS14" s="598"/>
      <c r="GT14" s="598"/>
      <c r="GU14" s="599"/>
      <c r="GV14" s="597" t="s">
        <v>58</v>
      </c>
      <c r="GW14" s="598"/>
      <c r="GX14" s="598"/>
      <c r="GY14" s="599"/>
      <c r="GZ14" s="594"/>
      <c r="HA14" s="594"/>
      <c r="HB14" s="602"/>
      <c r="HC14" s="603"/>
      <c r="HD14" s="602"/>
      <c r="HE14" s="603"/>
      <c r="HF14" s="602"/>
      <c r="HG14" s="603"/>
      <c r="HH14" s="602"/>
      <c r="HI14" s="603"/>
      <c r="HJ14" s="602"/>
      <c r="HK14" s="603"/>
      <c r="HL14" s="594"/>
      <c r="HM14" s="594"/>
      <c r="HN14" s="594"/>
      <c r="HO14" s="594"/>
    </row>
    <row r="15" spans="1:223" ht="90" customHeight="1" x14ac:dyDescent="0.4">
      <c r="A15" s="23"/>
      <c r="B15" s="23"/>
      <c r="C15" s="26"/>
      <c r="D15" s="181"/>
      <c r="E15" s="181"/>
      <c r="F15" s="181"/>
      <c r="G15" s="181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7"/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8"/>
      <c r="DL15" s="178"/>
      <c r="DM15" s="178"/>
      <c r="DN15" s="178"/>
      <c r="DO15" s="179"/>
      <c r="DP15" s="179"/>
      <c r="DQ15" s="179"/>
      <c r="DR15" s="179"/>
      <c r="DS15" s="179"/>
      <c r="DT15" s="179"/>
      <c r="DU15" s="179"/>
      <c r="DV15" s="179"/>
      <c r="DW15" s="179"/>
      <c r="DX15" s="179"/>
      <c r="DY15" s="179"/>
      <c r="DZ15" s="179"/>
      <c r="EA15" s="179"/>
      <c r="EB15" s="179"/>
      <c r="EC15" s="179"/>
      <c r="ED15" s="183"/>
      <c r="EE15" s="183"/>
      <c r="EF15" s="183"/>
      <c r="EG15" s="178"/>
      <c r="EH15" s="178"/>
      <c r="EI15" s="178"/>
      <c r="EJ15" s="178"/>
      <c r="EK15" s="178"/>
      <c r="EL15" s="178"/>
      <c r="EM15" s="178"/>
      <c r="EN15" s="31"/>
      <c r="EO15" s="31"/>
      <c r="EP15" s="31"/>
      <c r="EQ15" s="31"/>
      <c r="EX15" s="594"/>
      <c r="EY15" s="594"/>
      <c r="EZ15" s="289">
        <v>1</v>
      </c>
      <c r="FA15" s="289">
        <v>2</v>
      </c>
      <c r="FB15" s="289">
        <v>3</v>
      </c>
      <c r="FC15" s="289">
        <v>4</v>
      </c>
      <c r="FD15" s="289">
        <v>5</v>
      </c>
      <c r="FE15" s="289">
        <v>6</v>
      </c>
      <c r="FF15" s="289">
        <v>7</v>
      </c>
      <c r="FG15" s="289">
        <v>8</v>
      </c>
      <c r="FH15" s="289">
        <v>9</v>
      </c>
      <c r="FI15" s="289">
        <v>10</v>
      </c>
      <c r="FJ15" s="289">
        <v>11</v>
      </c>
      <c r="FK15" s="289">
        <v>12</v>
      </c>
      <c r="FL15" s="289">
        <v>13</v>
      </c>
      <c r="FM15" s="289">
        <v>14</v>
      </c>
      <c r="FN15" s="289">
        <v>15</v>
      </c>
      <c r="FO15" s="289">
        <v>16</v>
      </c>
      <c r="FP15" s="289">
        <v>17</v>
      </c>
      <c r="FQ15" s="289">
        <v>18</v>
      </c>
      <c r="FR15" s="289">
        <v>19</v>
      </c>
      <c r="FS15" s="289">
        <v>20</v>
      </c>
      <c r="FT15" s="289">
        <v>21</v>
      </c>
      <c r="FU15" s="289">
        <v>22</v>
      </c>
      <c r="FV15" s="289">
        <v>23</v>
      </c>
      <c r="FW15" s="289">
        <v>24</v>
      </c>
      <c r="FX15" s="289">
        <v>25</v>
      </c>
      <c r="FY15" s="289">
        <v>26</v>
      </c>
      <c r="FZ15" s="289">
        <v>27</v>
      </c>
      <c r="GA15" s="289">
        <v>28</v>
      </c>
      <c r="GB15" s="289">
        <v>29</v>
      </c>
      <c r="GC15" s="289">
        <v>30</v>
      </c>
      <c r="GD15" s="289">
        <v>31</v>
      </c>
      <c r="GE15" s="289">
        <v>32</v>
      </c>
      <c r="GF15" s="289">
        <v>33</v>
      </c>
      <c r="GG15" s="289">
        <v>34</v>
      </c>
      <c r="GH15" s="289">
        <v>35</v>
      </c>
      <c r="GI15" s="289">
        <v>36</v>
      </c>
      <c r="GJ15" s="289">
        <v>37</v>
      </c>
      <c r="GK15" s="289">
        <v>38</v>
      </c>
      <c r="GL15" s="289">
        <v>39</v>
      </c>
      <c r="GM15" s="289">
        <v>40</v>
      </c>
      <c r="GN15" s="289">
        <v>41</v>
      </c>
      <c r="GO15" s="289">
        <v>42</v>
      </c>
      <c r="GP15" s="289">
        <v>43</v>
      </c>
      <c r="GQ15" s="289">
        <v>44</v>
      </c>
      <c r="GR15" s="289">
        <v>45</v>
      </c>
      <c r="GS15" s="289">
        <v>46</v>
      </c>
      <c r="GT15" s="289">
        <v>47</v>
      </c>
      <c r="GU15" s="289">
        <v>48</v>
      </c>
      <c r="GV15" s="289">
        <v>49</v>
      </c>
      <c r="GW15" s="289">
        <v>50</v>
      </c>
      <c r="GX15" s="289">
        <v>51</v>
      </c>
      <c r="GY15" s="289">
        <v>52</v>
      </c>
      <c r="GZ15" s="594"/>
      <c r="HA15" s="594"/>
      <c r="HB15" s="604"/>
      <c r="HC15" s="605"/>
      <c r="HD15" s="604"/>
      <c r="HE15" s="605"/>
      <c r="HF15" s="604"/>
      <c r="HG15" s="605"/>
      <c r="HH15" s="604"/>
      <c r="HI15" s="605"/>
      <c r="HJ15" s="604"/>
      <c r="HK15" s="605"/>
      <c r="HL15" s="594"/>
      <c r="HM15" s="594"/>
      <c r="HN15" s="594"/>
      <c r="HO15" s="594"/>
    </row>
    <row r="16" spans="1:223" ht="90" customHeight="1" x14ac:dyDescent="0.4">
      <c r="A16" s="23"/>
      <c r="B16" s="23"/>
      <c r="C16" s="26"/>
      <c r="D16" s="181"/>
      <c r="E16" s="181"/>
      <c r="F16" s="181"/>
      <c r="G16" s="181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  <c r="AA16" s="182"/>
      <c r="AB16" s="182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182"/>
      <c r="AR16" s="182"/>
      <c r="AS16" s="182"/>
      <c r="AT16" s="182"/>
      <c r="AU16" s="182"/>
      <c r="AV16" s="182"/>
      <c r="AW16" s="182"/>
      <c r="AX16" s="182"/>
      <c r="AY16" s="182"/>
      <c r="AZ16" s="182"/>
      <c r="BA16" s="182"/>
      <c r="BB16" s="182"/>
      <c r="BC16" s="182"/>
      <c r="BD16" s="182"/>
      <c r="BE16" s="182"/>
      <c r="BF16" s="182"/>
      <c r="BG16" s="182"/>
      <c r="BH16" s="182"/>
      <c r="BI16" s="182"/>
      <c r="BJ16" s="182"/>
      <c r="BK16" s="182"/>
      <c r="BL16" s="182"/>
      <c r="BM16" s="182"/>
      <c r="BN16" s="182"/>
      <c r="BO16" s="182"/>
      <c r="BP16" s="182"/>
      <c r="BQ16" s="182"/>
      <c r="BR16" s="182"/>
      <c r="BS16" s="182"/>
      <c r="BT16" s="182"/>
      <c r="BU16" s="182"/>
      <c r="BV16" s="182"/>
      <c r="BW16" s="182"/>
      <c r="BX16" s="182"/>
      <c r="BY16" s="182"/>
      <c r="BZ16" s="182"/>
      <c r="CA16" s="182"/>
      <c r="CB16" s="182"/>
      <c r="CC16" s="182"/>
      <c r="CD16" s="182"/>
      <c r="CE16" s="182"/>
      <c r="CF16" s="182"/>
      <c r="CG16" s="182"/>
      <c r="CH16" s="182"/>
      <c r="CI16" s="182"/>
      <c r="CJ16" s="182"/>
      <c r="CK16" s="182"/>
      <c r="CL16" s="182"/>
      <c r="CM16" s="182"/>
      <c r="CN16" s="182"/>
      <c r="CO16" s="182"/>
      <c r="CP16" s="182"/>
      <c r="CQ16" s="182"/>
      <c r="CR16" s="182"/>
      <c r="CS16" s="182"/>
      <c r="CT16" s="182"/>
      <c r="CU16" s="182"/>
      <c r="CV16" s="182"/>
      <c r="CW16" s="182"/>
      <c r="CX16" s="182"/>
      <c r="CY16" s="182"/>
      <c r="CZ16" s="182"/>
      <c r="DA16" s="182"/>
      <c r="DB16" s="182"/>
      <c r="DC16" s="182"/>
      <c r="DD16" s="182"/>
      <c r="DE16" s="182"/>
      <c r="DF16" s="182"/>
      <c r="DG16" s="182"/>
      <c r="DH16" s="182"/>
      <c r="DI16" s="182"/>
      <c r="DJ16" s="182"/>
      <c r="DK16" s="178"/>
      <c r="DL16" s="178"/>
      <c r="DM16" s="178"/>
      <c r="DN16" s="178"/>
      <c r="DO16" s="179"/>
      <c r="DP16" s="179"/>
      <c r="DQ16" s="179"/>
      <c r="DR16" s="179"/>
      <c r="DS16" s="179"/>
      <c r="DT16" s="179"/>
      <c r="DU16" s="179"/>
      <c r="DV16" s="179"/>
      <c r="DW16" s="179"/>
      <c r="DX16" s="179"/>
      <c r="DY16" s="179"/>
      <c r="DZ16" s="179"/>
      <c r="EA16" s="179"/>
      <c r="EB16" s="179"/>
      <c r="EC16" s="179"/>
      <c r="ED16" s="183"/>
      <c r="EE16" s="183"/>
      <c r="EF16" s="183"/>
      <c r="EG16" s="178"/>
      <c r="EH16" s="178"/>
      <c r="EI16" s="178"/>
      <c r="EJ16" s="178"/>
      <c r="EK16" s="178"/>
      <c r="EL16" s="178"/>
      <c r="EM16" s="178"/>
      <c r="EN16" s="31"/>
      <c r="EO16" s="31"/>
      <c r="EP16" s="31"/>
      <c r="EQ16" s="31"/>
      <c r="EX16" s="596" t="s">
        <v>0</v>
      </c>
      <c r="EY16" s="596"/>
      <c r="EZ16" s="289" t="s">
        <v>59</v>
      </c>
      <c r="FA16" s="289" t="s">
        <v>49</v>
      </c>
      <c r="FB16" s="289" t="s">
        <v>49</v>
      </c>
      <c r="FC16" s="289"/>
      <c r="FD16" s="289"/>
      <c r="FE16" s="289"/>
      <c r="FF16" s="289"/>
      <c r="FG16" s="289"/>
      <c r="FH16" s="289"/>
      <c r="FI16" s="289"/>
      <c r="FJ16" s="289"/>
      <c r="FK16" s="289"/>
      <c r="FL16" s="289"/>
      <c r="FM16" s="289"/>
      <c r="FN16" s="289"/>
      <c r="FO16" s="289"/>
      <c r="FP16" s="289"/>
      <c r="FQ16" s="289"/>
      <c r="FR16" s="289" t="s">
        <v>59</v>
      </c>
      <c r="FS16" s="289" t="s">
        <v>59</v>
      </c>
      <c r="FT16" s="289" t="s">
        <v>60</v>
      </c>
      <c r="FU16" s="289" t="s">
        <v>60</v>
      </c>
      <c r="FV16" s="289" t="s">
        <v>59</v>
      </c>
      <c r="FW16" s="289" t="s">
        <v>59</v>
      </c>
      <c r="FX16" s="289"/>
      <c r="FY16" s="289"/>
      <c r="FZ16" s="289"/>
      <c r="GA16" s="289"/>
      <c r="GB16" s="289"/>
      <c r="GC16" s="289"/>
      <c r="GD16" s="289"/>
      <c r="GE16" s="289"/>
      <c r="GF16" s="289"/>
      <c r="GG16" s="289"/>
      <c r="GH16" s="289"/>
      <c r="GI16" s="289"/>
      <c r="GJ16" s="289"/>
      <c r="GK16" s="289"/>
      <c r="GL16" s="289"/>
      <c r="GM16" s="289" t="s">
        <v>60</v>
      </c>
      <c r="GN16" s="289" t="s">
        <v>60</v>
      </c>
      <c r="GO16" s="289" t="s">
        <v>61</v>
      </c>
      <c r="GP16" s="289" t="s">
        <v>61</v>
      </c>
      <c r="GQ16" s="289" t="s">
        <v>59</v>
      </c>
      <c r="GR16" s="289" t="s">
        <v>59</v>
      </c>
      <c r="GS16" s="289" t="s">
        <v>59</v>
      </c>
      <c r="GT16" s="289" t="s">
        <v>59</v>
      </c>
      <c r="GU16" s="289" t="s">
        <v>59</v>
      </c>
      <c r="GV16" s="289" t="s">
        <v>59</v>
      </c>
      <c r="GW16" s="289" t="s">
        <v>59</v>
      </c>
      <c r="GX16" s="289" t="s">
        <v>59</v>
      </c>
      <c r="GY16" s="289" t="s">
        <v>59</v>
      </c>
      <c r="GZ16" s="597">
        <f>SUM(HB16:HK16)</f>
        <v>37</v>
      </c>
      <c r="HA16" s="599"/>
      <c r="HB16" s="597">
        <v>30</v>
      </c>
      <c r="HC16" s="599"/>
      <c r="HD16" s="597">
        <v>4</v>
      </c>
      <c r="HE16" s="599"/>
      <c r="HF16" s="597">
        <v>1</v>
      </c>
      <c r="HG16" s="599"/>
      <c r="HH16" s="597">
        <v>2</v>
      </c>
      <c r="HI16" s="599"/>
      <c r="HJ16" s="597">
        <v>0</v>
      </c>
      <c r="HK16" s="599"/>
      <c r="HL16" s="597">
        <v>15</v>
      </c>
      <c r="HM16" s="599"/>
      <c r="HN16" s="596">
        <f>GZ16+HL16</f>
        <v>52</v>
      </c>
      <c r="HO16" s="596"/>
    </row>
    <row r="17" spans="1:223" ht="90" customHeight="1" x14ac:dyDescent="0.4">
      <c r="A17" s="23"/>
      <c r="B17" s="23"/>
      <c r="C17" s="26"/>
      <c r="D17" s="182"/>
      <c r="E17" s="182"/>
      <c r="F17" s="182"/>
      <c r="G17" s="182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7"/>
      <c r="CC17" s="177"/>
      <c r="CD17" s="177"/>
      <c r="CE17" s="177"/>
      <c r="CF17" s="177"/>
      <c r="CG17" s="177"/>
      <c r="CH17" s="177"/>
      <c r="CI17" s="177"/>
      <c r="CJ17" s="177"/>
      <c r="CK17" s="177"/>
      <c r="CL17" s="177"/>
      <c r="CM17" s="177"/>
      <c r="CN17" s="177"/>
      <c r="CO17" s="177"/>
      <c r="CP17" s="177"/>
      <c r="CQ17" s="177"/>
      <c r="CR17" s="177"/>
      <c r="CS17" s="177"/>
      <c r="CT17" s="177"/>
      <c r="CU17" s="177"/>
      <c r="CV17" s="177"/>
      <c r="CW17" s="177"/>
      <c r="CX17" s="177"/>
      <c r="CY17" s="177"/>
      <c r="CZ17" s="177"/>
      <c r="DA17" s="177"/>
      <c r="DB17" s="177"/>
      <c r="DC17" s="177"/>
      <c r="DD17" s="177"/>
      <c r="DE17" s="177"/>
      <c r="DF17" s="177"/>
      <c r="DG17" s="177"/>
      <c r="DH17" s="177"/>
      <c r="DI17" s="177"/>
      <c r="DJ17" s="177"/>
      <c r="DK17" s="182"/>
      <c r="DL17" s="182"/>
      <c r="DM17" s="182"/>
      <c r="DN17" s="182"/>
      <c r="DO17" s="184"/>
      <c r="DP17" s="184"/>
      <c r="DQ17" s="184"/>
      <c r="DR17" s="184"/>
      <c r="DS17" s="184"/>
      <c r="DT17" s="184"/>
      <c r="DU17" s="184"/>
      <c r="DV17" s="184"/>
      <c r="DW17" s="184"/>
      <c r="DX17" s="184"/>
      <c r="DY17" s="184"/>
      <c r="DZ17" s="184"/>
      <c r="EA17" s="184"/>
      <c r="EB17" s="184"/>
      <c r="EC17" s="184"/>
      <c r="ED17" s="184"/>
      <c r="EE17" s="184"/>
      <c r="EF17" s="184"/>
      <c r="EG17" s="184"/>
      <c r="EH17" s="184"/>
      <c r="EI17" s="184"/>
      <c r="EJ17" s="177"/>
      <c r="EK17" s="177"/>
      <c r="EL17" s="177"/>
      <c r="EM17" s="177"/>
      <c r="EN17" s="31"/>
      <c r="EO17" s="31"/>
      <c r="EP17" s="31"/>
      <c r="EQ17" s="31"/>
      <c r="EX17" s="596" t="s">
        <v>1</v>
      </c>
      <c r="EY17" s="596"/>
      <c r="EZ17" s="289" t="s">
        <v>59</v>
      </c>
      <c r="FA17" s="289" t="s">
        <v>49</v>
      </c>
      <c r="FB17" s="289"/>
      <c r="FC17" s="289"/>
      <c r="FD17" s="289"/>
      <c r="FE17" s="289"/>
      <c r="FF17" s="289"/>
      <c r="FG17" s="289"/>
      <c r="FH17" s="289"/>
      <c r="FI17" s="289"/>
      <c r="FJ17" s="289"/>
      <c r="FK17" s="289"/>
      <c r="FL17" s="289"/>
      <c r="FM17" s="289"/>
      <c r="FN17" s="289"/>
      <c r="FO17" s="289"/>
      <c r="FP17" s="289"/>
      <c r="FQ17" s="289" t="s">
        <v>59</v>
      </c>
      <c r="FR17" s="289" t="s">
        <v>59</v>
      </c>
      <c r="FS17" s="289" t="s">
        <v>60</v>
      </c>
      <c r="FT17" s="289" t="s">
        <v>60</v>
      </c>
      <c r="FU17" s="289" t="s">
        <v>59</v>
      </c>
      <c r="FV17" s="289" t="s">
        <v>59</v>
      </c>
      <c r="FW17" s="289"/>
      <c r="FX17" s="289"/>
      <c r="FY17" s="289"/>
      <c r="FZ17" s="289"/>
      <c r="GA17" s="289"/>
      <c r="GB17" s="289"/>
      <c r="GC17" s="289"/>
      <c r="GD17" s="289"/>
      <c r="GE17" s="289"/>
      <c r="GF17" s="289"/>
      <c r="GG17" s="289"/>
      <c r="GH17" s="289"/>
      <c r="GI17" s="289"/>
      <c r="GJ17" s="289"/>
      <c r="GK17" s="289"/>
      <c r="GL17" s="289" t="s">
        <v>60</v>
      </c>
      <c r="GM17" s="289" t="s">
        <v>60</v>
      </c>
      <c r="GN17" s="289" t="s">
        <v>61</v>
      </c>
      <c r="GO17" s="289" t="s">
        <v>61</v>
      </c>
      <c r="GP17" s="289" t="s">
        <v>61</v>
      </c>
      <c r="GQ17" s="289" t="s">
        <v>61</v>
      </c>
      <c r="GR17" s="289" t="s">
        <v>61</v>
      </c>
      <c r="GS17" s="289" t="s">
        <v>61</v>
      </c>
      <c r="GT17" s="289" t="s">
        <v>59</v>
      </c>
      <c r="GU17" s="289" t="s">
        <v>59</v>
      </c>
      <c r="GV17" s="289" t="s">
        <v>59</v>
      </c>
      <c r="GW17" s="289" t="s">
        <v>59</v>
      </c>
      <c r="GX17" s="289" t="s">
        <v>59</v>
      </c>
      <c r="GY17" s="289" t="s">
        <v>59</v>
      </c>
      <c r="GZ17" s="597">
        <f>SUM(HB17:HK17)</f>
        <v>41</v>
      </c>
      <c r="HA17" s="599"/>
      <c r="HB17" s="597">
        <v>30</v>
      </c>
      <c r="HC17" s="599"/>
      <c r="HD17" s="597">
        <v>4</v>
      </c>
      <c r="HE17" s="599"/>
      <c r="HF17" s="597">
        <v>1</v>
      </c>
      <c r="HG17" s="599"/>
      <c r="HH17" s="597">
        <v>6</v>
      </c>
      <c r="HI17" s="599"/>
      <c r="HJ17" s="597">
        <v>0</v>
      </c>
      <c r="HK17" s="599"/>
      <c r="HL17" s="597">
        <v>11</v>
      </c>
      <c r="HM17" s="599"/>
      <c r="HN17" s="596">
        <f>GZ17+HL17</f>
        <v>52</v>
      </c>
      <c r="HO17" s="596"/>
    </row>
    <row r="18" spans="1:223" ht="90" customHeight="1" x14ac:dyDescent="0.4">
      <c r="A18" s="23"/>
      <c r="B18" s="23"/>
      <c r="C18" s="26"/>
      <c r="D18" s="182"/>
      <c r="E18" s="182"/>
      <c r="F18" s="182"/>
      <c r="G18" s="182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7"/>
      <c r="BC18" s="177"/>
      <c r="BD18" s="177"/>
      <c r="BE18" s="177"/>
      <c r="BF18" s="177"/>
      <c r="BG18" s="177"/>
      <c r="BH18" s="177"/>
      <c r="BI18" s="177"/>
      <c r="BJ18" s="177"/>
      <c r="BK18" s="177"/>
      <c r="BL18" s="177"/>
      <c r="BM18" s="177"/>
      <c r="BN18" s="177"/>
      <c r="BO18" s="177"/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7"/>
      <c r="CC18" s="177"/>
      <c r="CD18" s="177"/>
      <c r="CE18" s="177"/>
      <c r="CF18" s="177"/>
      <c r="CG18" s="177"/>
      <c r="CH18" s="177"/>
      <c r="CI18" s="177"/>
      <c r="CJ18" s="177"/>
      <c r="CK18" s="177"/>
      <c r="CL18" s="177"/>
      <c r="CM18" s="177"/>
      <c r="CN18" s="177"/>
      <c r="CO18" s="177"/>
      <c r="CP18" s="177"/>
      <c r="CQ18" s="177"/>
      <c r="CR18" s="177"/>
      <c r="CS18" s="177"/>
      <c r="CT18" s="177"/>
      <c r="CU18" s="177"/>
      <c r="CV18" s="177"/>
      <c r="CW18" s="177"/>
      <c r="CX18" s="177"/>
      <c r="CY18" s="177"/>
      <c r="CZ18" s="177"/>
      <c r="DA18" s="177"/>
      <c r="DB18" s="177"/>
      <c r="DC18" s="177"/>
      <c r="DD18" s="177"/>
      <c r="DE18" s="177"/>
      <c r="DF18" s="177"/>
      <c r="DG18" s="177"/>
      <c r="DH18" s="177"/>
      <c r="DI18" s="177"/>
      <c r="DJ18" s="177"/>
      <c r="DK18" s="182"/>
      <c r="DL18" s="182"/>
      <c r="DM18" s="182"/>
      <c r="DN18" s="182"/>
      <c r="DO18" s="184"/>
      <c r="DP18" s="184"/>
      <c r="DQ18" s="184"/>
      <c r="DR18" s="184"/>
      <c r="DS18" s="184"/>
      <c r="DT18" s="184"/>
      <c r="DU18" s="184"/>
      <c r="DV18" s="184"/>
      <c r="DW18" s="184"/>
      <c r="DX18" s="184"/>
      <c r="DY18" s="184"/>
      <c r="DZ18" s="184"/>
      <c r="EA18" s="184"/>
      <c r="EB18" s="184"/>
      <c r="EC18" s="184"/>
      <c r="ED18" s="184"/>
      <c r="EE18" s="184"/>
      <c r="EF18" s="184"/>
      <c r="EG18" s="184"/>
      <c r="EH18" s="184"/>
      <c r="EI18" s="184"/>
      <c r="EJ18" s="177"/>
      <c r="EK18" s="177"/>
      <c r="EL18" s="177"/>
      <c r="EM18" s="177"/>
      <c r="EN18" s="31"/>
      <c r="EO18" s="31"/>
      <c r="EP18" s="31"/>
      <c r="EQ18" s="31"/>
      <c r="EX18" s="596" t="s">
        <v>2</v>
      </c>
      <c r="EY18" s="596"/>
      <c r="EZ18" s="289" t="s">
        <v>59</v>
      </c>
      <c r="FA18" s="289" t="s">
        <v>49</v>
      </c>
      <c r="FB18" s="289"/>
      <c r="FC18" s="289"/>
      <c r="FD18" s="289"/>
      <c r="FE18" s="289"/>
      <c r="FF18" s="289"/>
      <c r="FG18" s="289"/>
      <c r="FH18" s="289"/>
      <c r="FI18" s="289"/>
      <c r="FJ18" s="289"/>
      <c r="FK18" s="289"/>
      <c r="FL18" s="289"/>
      <c r="FM18" s="289"/>
      <c r="FN18" s="289"/>
      <c r="FO18" s="289"/>
      <c r="FP18" s="289"/>
      <c r="FQ18" s="289" t="s">
        <v>59</v>
      </c>
      <c r="FR18" s="289" t="s">
        <v>59</v>
      </c>
      <c r="FS18" s="289" t="s">
        <v>60</v>
      </c>
      <c r="FT18" s="289" t="s">
        <v>60</v>
      </c>
      <c r="FU18" s="289" t="s">
        <v>59</v>
      </c>
      <c r="FV18" s="289" t="s">
        <v>59</v>
      </c>
      <c r="FW18" s="289"/>
      <c r="FX18" s="289"/>
      <c r="FY18" s="289"/>
      <c r="FZ18" s="289"/>
      <c r="GA18" s="289"/>
      <c r="GB18" s="289"/>
      <c r="GC18" s="289"/>
      <c r="GD18" s="289"/>
      <c r="GE18" s="289"/>
      <c r="GF18" s="289"/>
      <c r="GG18" s="289"/>
      <c r="GH18" s="289"/>
      <c r="GI18" s="289"/>
      <c r="GJ18" s="289"/>
      <c r="GK18" s="289"/>
      <c r="GL18" s="289" t="s">
        <v>60</v>
      </c>
      <c r="GM18" s="289" t="s">
        <v>60</v>
      </c>
      <c r="GN18" s="289" t="s">
        <v>61</v>
      </c>
      <c r="GO18" s="289" t="s">
        <v>61</v>
      </c>
      <c r="GP18" s="289" t="s">
        <v>61</v>
      </c>
      <c r="GQ18" s="289" t="s">
        <v>61</v>
      </c>
      <c r="GR18" s="289" t="s">
        <v>61</v>
      </c>
      <c r="GS18" s="289" t="s">
        <v>61</v>
      </c>
      <c r="GT18" s="289" t="s">
        <v>59</v>
      </c>
      <c r="GU18" s="289" t="s">
        <v>59</v>
      </c>
      <c r="GV18" s="289" t="s">
        <v>59</v>
      </c>
      <c r="GW18" s="289" t="s">
        <v>59</v>
      </c>
      <c r="GX18" s="289" t="s">
        <v>59</v>
      </c>
      <c r="GY18" s="289" t="s">
        <v>59</v>
      </c>
      <c r="GZ18" s="597">
        <f>SUM(HB18:HK18)</f>
        <v>41</v>
      </c>
      <c r="HA18" s="599"/>
      <c r="HB18" s="597">
        <v>30</v>
      </c>
      <c r="HC18" s="599"/>
      <c r="HD18" s="597">
        <v>4</v>
      </c>
      <c r="HE18" s="599"/>
      <c r="HF18" s="597">
        <v>1</v>
      </c>
      <c r="HG18" s="599"/>
      <c r="HH18" s="597">
        <v>6</v>
      </c>
      <c r="HI18" s="599"/>
      <c r="HJ18" s="597">
        <v>0</v>
      </c>
      <c r="HK18" s="599"/>
      <c r="HL18" s="597">
        <v>11</v>
      </c>
      <c r="HM18" s="599"/>
      <c r="HN18" s="596">
        <f>GZ18+HL18</f>
        <v>52</v>
      </c>
      <c r="HO18" s="596"/>
    </row>
    <row r="19" spans="1:223" ht="90" customHeight="1" x14ac:dyDescent="0.4">
      <c r="A19" s="23"/>
      <c r="B19" s="23"/>
      <c r="C19" s="26"/>
      <c r="D19" s="182"/>
      <c r="E19" s="182"/>
      <c r="F19" s="182"/>
      <c r="G19" s="182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/>
      <c r="CG19" s="177"/>
      <c r="CH19" s="177"/>
      <c r="CI19" s="177"/>
      <c r="CJ19" s="177"/>
      <c r="CK19" s="177"/>
      <c r="CL19" s="177"/>
      <c r="CM19" s="177"/>
      <c r="CN19" s="177"/>
      <c r="CO19" s="177"/>
      <c r="CP19" s="177"/>
      <c r="CQ19" s="177"/>
      <c r="CR19" s="177"/>
      <c r="CS19" s="177"/>
      <c r="CT19" s="177"/>
      <c r="CU19" s="177"/>
      <c r="CV19" s="177"/>
      <c r="CW19" s="177"/>
      <c r="CX19" s="177"/>
      <c r="CY19" s="177"/>
      <c r="CZ19" s="177"/>
      <c r="DA19" s="177"/>
      <c r="DB19" s="177"/>
      <c r="DC19" s="177"/>
      <c r="DD19" s="177"/>
      <c r="DE19" s="177"/>
      <c r="DF19" s="177"/>
      <c r="DG19" s="177"/>
      <c r="DH19" s="177"/>
      <c r="DI19" s="177"/>
      <c r="DJ19" s="177"/>
      <c r="DK19" s="182"/>
      <c r="DL19" s="182"/>
      <c r="DM19" s="182"/>
      <c r="DN19" s="182"/>
      <c r="DO19" s="184"/>
      <c r="DP19" s="184"/>
      <c r="DQ19" s="184"/>
      <c r="DR19" s="184"/>
      <c r="DS19" s="184"/>
      <c r="DT19" s="184"/>
      <c r="DU19" s="184"/>
      <c r="DV19" s="184"/>
      <c r="DW19" s="184"/>
      <c r="DX19" s="184"/>
      <c r="DY19" s="184"/>
      <c r="DZ19" s="184"/>
      <c r="EA19" s="184"/>
      <c r="EB19" s="184"/>
      <c r="EC19" s="184"/>
      <c r="ED19" s="184"/>
      <c r="EE19" s="184"/>
      <c r="EF19" s="184"/>
      <c r="EG19" s="184"/>
      <c r="EH19" s="184"/>
      <c r="EI19" s="184"/>
      <c r="EJ19" s="177"/>
      <c r="EK19" s="177"/>
      <c r="EL19" s="177"/>
      <c r="EM19" s="177"/>
      <c r="EN19" s="31"/>
      <c r="EO19" s="31"/>
      <c r="EP19" s="31"/>
      <c r="EQ19" s="31"/>
      <c r="EX19" s="596" t="s">
        <v>3</v>
      </c>
      <c r="EY19" s="596"/>
      <c r="EZ19" s="289" t="s">
        <v>59</v>
      </c>
      <c r="FA19" s="289" t="s">
        <v>49</v>
      </c>
      <c r="FB19" s="289"/>
      <c r="FC19" s="290"/>
      <c r="FD19" s="290"/>
      <c r="FE19" s="290"/>
      <c r="FF19" s="290"/>
      <c r="FG19" s="290"/>
      <c r="FH19" s="290"/>
      <c r="FI19" s="290"/>
      <c r="FJ19" s="290"/>
      <c r="FK19" s="290"/>
      <c r="FL19" s="290"/>
      <c r="FM19" s="290"/>
      <c r="FN19" s="290"/>
      <c r="FO19" s="290"/>
      <c r="FP19" s="290"/>
      <c r="FQ19" s="289" t="s">
        <v>59</v>
      </c>
      <c r="FR19" s="289" t="s">
        <v>59</v>
      </c>
      <c r="FS19" s="289" t="s">
        <v>60</v>
      </c>
      <c r="FT19" s="289" t="s">
        <v>60</v>
      </c>
      <c r="FU19" s="289" t="s">
        <v>59</v>
      </c>
      <c r="FV19" s="289" t="s">
        <v>59</v>
      </c>
      <c r="FW19" s="290"/>
      <c r="FX19" s="290"/>
      <c r="FY19" s="290"/>
      <c r="FZ19" s="290"/>
      <c r="GA19" s="290"/>
      <c r="GB19" s="290"/>
      <c r="GC19" s="290"/>
      <c r="GD19" s="290"/>
      <c r="GE19" s="290"/>
      <c r="GF19" s="290"/>
      <c r="GG19" s="290"/>
      <c r="GH19" s="290"/>
      <c r="GI19" s="290"/>
      <c r="GJ19" s="290"/>
      <c r="GK19" s="290"/>
      <c r="GL19" s="289" t="s">
        <v>60</v>
      </c>
      <c r="GM19" s="289" t="s">
        <v>60</v>
      </c>
      <c r="GN19" s="289" t="s">
        <v>61</v>
      </c>
      <c r="GO19" s="289" t="s">
        <v>61</v>
      </c>
      <c r="GP19" s="290" t="s">
        <v>18</v>
      </c>
      <c r="GQ19" s="290" t="s">
        <v>18</v>
      </c>
      <c r="GR19" s="290" t="s">
        <v>59</v>
      </c>
      <c r="GS19" s="289" t="s">
        <v>59</v>
      </c>
      <c r="GT19" s="289" t="s">
        <v>59</v>
      </c>
      <c r="GU19" s="289" t="s">
        <v>59</v>
      </c>
      <c r="GV19" s="290"/>
      <c r="GW19" s="290"/>
      <c r="GX19" s="290"/>
      <c r="GY19" s="290"/>
      <c r="GZ19" s="597">
        <f>SUM(HB19:HK19)</f>
        <v>39</v>
      </c>
      <c r="HA19" s="599"/>
      <c r="HB19" s="597">
        <v>30</v>
      </c>
      <c r="HC19" s="599"/>
      <c r="HD19" s="597">
        <v>4</v>
      </c>
      <c r="HE19" s="599"/>
      <c r="HF19" s="597">
        <v>1</v>
      </c>
      <c r="HG19" s="599"/>
      <c r="HH19" s="597">
        <v>2</v>
      </c>
      <c r="HI19" s="599"/>
      <c r="HJ19" s="597">
        <v>2</v>
      </c>
      <c r="HK19" s="599"/>
      <c r="HL19" s="597">
        <v>9</v>
      </c>
      <c r="HM19" s="599"/>
      <c r="HN19" s="596">
        <f>GZ19+HL19</f>
        <v>48</v>
      </c>
      <c r="HO19" s="596"/>
    </row>
    <row r="20" spans="1:223" ht="60" customHeight="1" x14ac:dyDescent="0.4">
      <c r="A20" s="23"/>
      <c r="B20" s="23"/>
      <c r="C20" s="26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  <c r="AA20" s="182"/>
      <c r="AB20" s="182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182"/>
      <c r="AR20" s="182"/>
      <c r="AS20" s="182"/>
      <c r="AT20" s="182"/>
      <c r="AU20" s="182"/>
      <c r="AV20" s="182"/>
      <c r="AW20" s="182"/>
      <c r="AX20" s="182"/>
      <c r="AY20" s="182"/>
      <c r="AZ20" s="182"/>
      <c r="BA20" s="182"/>
      <c r="BB20" s="182"/>
      <c r="BC20" s="182"/>
      <c r="BD20" s="182"/>
      <c r="BE20" s="182"/>
      <c r="BF20" s="182"/>
      <c r="BG20" s="182"/>
      <c r="BH20" s="182"/>
      <c r="BI20" s="182"/>
      <c r="BJ20" s="182"/>
      <c r="BK20" s="182"/>
      <c r="BL20" s="182"/>
      <c r="BM20" s="182"/>
      <c r="BN20" s="182"/>
      <c r="BO20" s="182"/>
      <c r="BP20" s="182"/>
      <c r="BQ20" s="182"/>
      <c r="BR20" s="182"/>
      <c r="BS20" s="182"/>
      <c r="BT20" s="182"/>
      <c r="BU20" s="182"/>
      <c r="BV20" s="182"/>
      <c r="BW20" s="182"/>
      <c r="BX20" s="182"/>
      <c r="BY20" s="182"/>
      <c r="BZ20" s="182"/>
      <c r="CA20" s="182"/>
      <c r="CB20" s="182"/>
      <c r="CC20" s="182"/>
      <c r="CD20" s="182"/>
      <c r="CE20" s="182"/>
      <c r="CF20" s="182"/>
      <c r="CG20" s="182"/>
      <c r="CH20" s="182"/>
      <c r="CI20" s="182"/>
      <c r="CJ20" s="182"/>
      <c r="CK20" s="182"/>
      <c r="CL20" s="182"/>
      <c r="CM20" s="182"/>
      <c r="CN20" s="182"/>
      <c r="CO20" s="182"/>
      <c r="CP20" s="182"/>
      <c r="CQ20" s="182"/>
      <c r="CR20" s="182"/>
      <c r="CS20" s="182"/>
      <c r="CT20" s="182"/>
      <c r="CU20" s="182"/>
      <c r="CV20" s="182"/>
      <c r="CW20" s="182"/>
      <c r="CX20" s="182"/>
      <c r="CY20" s="182"/>
      <c r="CZ20" s="182"/>
      <c r="DA20" s="182"/>
      <c r="DB20" s="182"/>
      <c r="DC20" s="182"/>
      <c r="DD20" s="182"/>
      <c r="DE20" s="182"/>
      <c r="DF20" s="182"/>
      <c r="DG20" s="182"/>
      <c r="DH20" s="182"/>
      <c r="DI20" s="182"/>
      <c r="DJ20" s="182"/>
      <c r="DK20" s="182"/>
      <c r="DL20" s="182"/>
      <c r="DM20" s="182"/>
      <c r="DN20" s="182"/>
      <c r="DO20" s="182"/>
      <c r="DP20" s="182"/>
      <c r="DQ20" s="182"/>
      <c r="DR20" s="182"/>
      <c r="DS20" s="182"/>
      <c r="DT20" s="182"/>
      <c r="DU20" s="182"/>
      <c r="DV20" s="182"/>
      <c r="DW20" s="182"/>
      <c r="DX20" s="182"/>
      <c r="DY20" s="182"/>
      <c r="DZ20" s="182"/>
      <c r="EA20" s="182"/>
      <c r="EB20" s="182"/>
      <c r="EC20" s="182"/>
      <c r="ED20" s="182"/>
      <c r="EE20" s="182"/>
      <c r="EF20" s="182"/>
      <c r="EG20" s="182"/>
      <c r="EH20" s="182"/>
      <c r="EI20" s="182"/>
      <c r="EJ20" s="177"/>
      <c r="EK20" s="177"/>
      <c r="EL20" s="177"/>
      <c r="EM20" s="177"/>
      <c r="EN20" s="31"/>
      <c r="EO20" s="31"/>
      <c r="EP20" s="31"/>
      <c r="EQ20" s="31"/>
      <c r="EX20" s="606" t="s">
        <v>24</v>
      </c>
      <c r="EY20" s="607"/>
      <c r="EZ20" s="607"/>
      <c r="FA20" s="607"/>
      <c r="FB20" s="607"/>
      <c r="FC20" s="607"/>
      <c r="FD20" s="607"/>
      <c r="FE20" s="607"/>
      <c r="FF20" s="607"/>
      <c r="FG20" s="607"/>
      <c r="FH20" s="607"/>
      <c r="FI20" s="607"/>
      <c r="FJ20" s="607"/>
      <c r="FK20" s="607"/>
      <c r="FL20" s="607"/>
      <c r="FM20" s="607"/>
      <c r="FN20" s="607"/>
      <c r="FO20" s="607"/>
      <c r="FP20" s="607"/>
      <c r="FQ20" s="607"/>
      <c r="FR20" s="607"/>
      <c r="FS20" s="607"/>
      <c r="FT20" s="607"/>
      <c r="FU20" s="607"/>
      <c r="FV20" s="607"/>
      <c r="FW20" s="607"/>
      <c r="FX20" s="607"/>
      <c r="FY20" s="607"/>
      <c r="FZ20" s="607"/>
      <c r="GA20" s="607"/>
      <c r="GB20" s="607"/>
      <c r="GC20" s="607"/>
      <c r="GD20" s="607"/>
      <c r="GE20" s="607"/>
      <c r="GF20" s="607"/>
      <c r="GG20" s="607"/>
      <c r="GH20" s="607"/>
      <c r="GI20" s="607"/>
      <c r="GJ20" s="607"/>
      <c r="GK20" s="607"/>
      <c r="GL20" s="607"/>
      <c r="GM20" s="607"/>
      <c r="GN20" s="607"/>
      <c r="GO20" s="607"/>
      <c r="GP20" s="607"/>
      <c r="GQ20" s="607"/>
      <c r="GR20" s="607"/>
      <c r="GS20" s="607"/>
      <c r="GT20" s="607"/>
      <c r="GU20" s="607"/>
      <c r="GV20" s="607"/>
      <c r="GW20" s="607"/>
      <c r="GX20" s="607"/>
      <c r="GY20" s="608"/>
      <c r="GZ20" s="597">
        <f>SUM(GZ16:HA19)</f>
        <v>158</v>
      </c>
      <c r="HA20" s="599"/>
      <c r="HB20" s="597">
        <f>SUM(HB16:HC19)</f>
        <v>120</v>
      </c>
      <c r="HC20" s="599"/>
      <c r="HD20" s="597">
        <f>SUM(HD16:HE19)</f>
        <v>16</v>
      </c>
      <c r="HE20" s="599"/>
      <c r="HF20" s="597">
        <f>SUM(HF16:HG19)</f>
        <v>4</v>
      </c>
      <c r="HG20" s="599"/>
      <c r="HH20" s="597">
        <f>SUM(HH16:HI19)</f>
        <v>16</v>
      </c>
      <c r="HI20" s="599"/>
      <c r="HJ20" s="597">
        <f>SUM(HJ16:HK19)</f>
        <v>2</v>
      </c>
      <c r="HK20" s="599"/>
      <c r="HL20" s="597">
        <f>SUM(HL16:HM19)</f>
        <v>46</v>
      </c>
      <c r="HM20" s="599"/>
      <c r="HN20" s="597">
        <f>SUM(HN16:HO19)</f>
        <v>204</v>
      </c>
      <c r="HO20" s="599"/>
    </row>
    <row r="21" spans="1:223" ht="45" customHeight="1" thickBot="1" x14ac:dyDescent="0.75">
      <c r="A21" s="23"/>
      <c r="B21" s="23"/>
      <c r="C21" s="26"/>
      <c r="D21" s="26"/>
      <c r="E21" s="185"/>
      <c r="F21" s="186"/>
      <c r="G21" s="187"/>
      <c r="H21" s="18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9"/>
      <c r="BB21" s="189"/>
      <c r="BC21" s="189"/>
      <c r="BD21" s="189"/>
      <c r="BE21" s="189"/>
      <c r="BF21" s="189"/>
      <c r="BG21" s="189"/>
      <c r="BH21" s="189"/>
      <c r="BI21" s="189"/>
      <c r="BJ21" s="189"/>
      <c r="BK21" s="189"/>
      <c r="BL21" s="189"/>
      <c r="BM21" s="189"/>
      <c r="BN21" s="189"/>
      <c r="BO21" s="189"/>
      <c r="BP21" s="189"/>
      <c r="BQ21" s="189"/>
      <c r="BR21" s="189"/>
      <c r="BS21" s="189"/>
      <c r="BT21" s="189"/>
      <c r="BU21" s="189"/>
      <c r="BV21" s="188"/>
      <c r="BW21" s="188"/>
      <c r="BX21" s="188"/>
      <c r="BY21" s="188"/>
      <c r="BZ21" s="188"/>
      <c r="CA21" s="188"/>
      <c r="CB21" s="188"/>
      <c r="CC21" s="188"/>
      <c r="CD21" s="188"/>
      <c r="CE21" s="188"/>
      <c r="CF21" s="188"/>
      <c r="CG21" s="188"/>
      <c r="CH21" s="188"/>
      <c r="CI21" s="188"/>
      <c r="CJ21" s="188"/>
      <c r="CK21" s="188"/>
      <c r="CL21" s="188"/>
      <c r="CM21" s="188"/>
      <c r="CN21" s="188"/>
      <c r="CO21" s="188"/>
      <c r="CP21" s="188"/>
      <c r="CQ21" s="188"/>
      <c r="CR21" s="188"/>
      <c r="CS21" s="188"/>
      <c r="CT21" s="188"/>
      <c r="CU21" s="186"/>
      <c r="CV21" s="186"/>
      <c r="CW21" s="186"/>
      <c r="CX21" s="186"/>
      <c r="CY21" s="186"/>
      <c r="CZ21" s="186"/>
      <c r="DA21" s="186"/>
      <c r="DB21" s="186"/>
      <c r="DC21" s="186"/>
      <c r="DD21" s="186"/>
      <c r="DE21" s="186"/>
      <c r="DF21" s="186"/>
      <c r="DG21" s="186"/>
      <c r="DH21" s="186"/>
      <c r="DI21" s="186"/>
      <c r="DJ21" s="186"/>
      <c r="DK21" s="186"/>
      <c r="DL21" s="186"/>
      <c r="DM21" s="186"/>
      <c r="DN21" s="186"/>
      <c r="DO21" s="186"/>
      <c r="DP21" s="186"/>
      <c r="DQ21" s="186"/>
      <c r="DR21" s="186"/>
      <c r="DS21" s="186"/>
      <c r="DT21" s="186"/>
      <c r="DU21" s="186"/>
      <c r="DV21" s="186"/>
      <c r="DW21" s="186"/>
      <c r="DX21" s="185"/>
      <c r="DY21" s="185"/>
      <c r="DZ21" s="185"/>
      <c r="EA21" s="185"/>
      <c r="EB21" s="185"/>
      <c r="EC21" s="185"/>
      <c r="ED21" s="185"/>
      <c r="EE21" s="185"/>
      <c r="EF21" s="31"/>
      <c r="EG21" s="31"/>
      <c r="EH21" s="31"/>
      <c r="EI21" s="28"/>
      <c r="EJ21" s="28"/>
      <c r="EK21" s="28"/>
      <c r="EL21" s="28"/>
      <c r="EM21" s="28"/>
      <c r="EN21" s="31"/>
      <c r="EO21" s="31"/>
      <c r="EP21" s="31"/>
      <c r="EQ21" s="190"/>
      <c r="EX21" s="174"/>
      <c r="EY21" s="174"/>
      <c r="EZ21" s="174"/>
      <c r="FA21" s="174"/>
      <c r="FB21" s="174"/>
      <c r="FC21" s="174"/>
      <c r="FD21" s="174"/>
      <c r="FE21" s="174"/>
      <c r="FF21" s="174"/>
      <c r="FG21" s="174"/>
      <c r="FH21" s="174"/>
      <c r="FI21" s="174"/>
      <c r="FJ21" s="174"/>
      <c r="FK21" s="174"/>
      <c r="FL21" s="174"/>
      <c r="FM21" s="174"/>
      <c r="FN21" s="174"/>
      <c r="FO21" s="174"/>
      <c r="FP21" s="174"/>
      <c r="FQ21" s="174"/>
      <c r="FR21" s="174"/>
      <c r="FS21" s="174"/>
      <c r="FT21" s="174"/>
      <c r="FU21" s="174"/>
      <c r="FV21" s="174"/>
      <c r="FW21" s="174"/>
      <c r="FX21" s="174"/>
      <c r="FY21" s="174"/>
      <c r="FZ21" s="174"/>
      <c r="GA21" s="174"/>
      <c r="GB21" s="174"/>
      <c r="GC21" s="174"/>
      <c r="GD21" s="174"/>
      <c r="GE21" s="174"/>
      <c r="GF21" s="174"/>
      <c r="GG21" s="174"/>
      <c r="GH21" s="174"/>
      <c r="GI21" s="174"/>
      <c r="GJ21" s="174"/>
      <c r="GK21" s="174"/>
      <c r="GL21" s="174"/>
      <c r="GM21" s="174"/>
      <c r="GN21" s="174"/>
      <c r="GO21" s="174"/>
      <c r="GP21" s="174"/>
      <c r="GQ21" s="174"/>
      <c r="GR21" s="174"/>
      <c r="GS21" s="174"/>
      <c r="GT21" s="174"/>
      <c r="GU21" s="174"/>
      <c r="GV21" s="174"/>
      <c r="GW21" s="174"/>
      <c r="GX21" s="174"/>
      <c r="GY21" s="174"/>
      <c r="GZ21" s="174"/>
      <c r="HA21" s="174"/>
      <c r="HB21" s="174"/>
      <c r="HC21" s="174"/>
      <c r="HD21" s="174"/>
      <c r="HE21" s="174"/>
      <c r="HF21" s="174"/>
      <c r="HG21" s="174"/>
      <c r="HH21" s="174"/>
      <c r="HI21" s="174"/>
      <c r="HJ21" s="174"/>
      <c r="HK21" s="174"/>
      <c r="HL21" s="174"/>
      <c r="HM21" s="174"/>
      <c r="HN21" s="174"/>
      <c r="HO21" s="174"/>
    </row>
    <row r="22" spans="1:223" s="3" customFormat="1" ht="123.75" customHeight="1" thickBot="1" x14ac:dyDescent="0.25">
      <c r="A22" s="15"/>
      <c r="B22" s="15"/>
      <c r="C22" s="123"/>
      <c r="D22" s="123"/>
      <c r="E22" s="123"/>
      <c r="F22" s="123"/>
      <c r="G22" s="123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229"/>
      <c r="V22" s="229"/>
      <c r="W22" s="229"/>
      <c r="X22" s="123"/>
      <c r="Y22" s="123"/>
      <c r="Z22" s="123"/>
      <c r="AA22" s="123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191"/>
      <c r="AX22" s="191"/>
      <c r="AY22" s="191"/>
      <c r="AZ22" s="191"/>
      <c r="BA22" s="191"/>
      <c r="BB22" s="191"/>
      <c r="BC22" s="33"/>
      <c r="BD22" s="229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191"/>
      <c r="BU22" s="191"/>
      <c r="BV22" s="191"/>
      <c r="BW22" s="191"/>
      <c r="BX22" s="191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123"/>
      <c r="CR22" s="123"/>
      <c r="CS22" s="123"/>
      <c r="CT22" s="123"/>
      <c r="CU22" s="123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123"/>
      <c r="DJ22" s="123"/>
      <c r="DK22" s="123"/>
      <c r="DL22" s="123"/>
      <c r="DM22" s="123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123"/>
      <c r="EA22" s="123"/>
      <c r="EB22" s="123"/>
      <c r="EC22" s="123"/>
      <c r="ED22" s="123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83"/>
      <c r="EX22" s="175"/>
      <c r="FA22" s="585" t="s">
        <v>116</v>
      </c>
      <c r="FB22" s="586"/>
      <c r="FC22" s="587"/>
      <c r="FD22" s="588" t="s">
        <v>267</v>
      </c>
      <c r="FE22" s="589"/>
      <c r="FF22" s="589"/>
      <c r="FG22" s="589"/>
      <c r="FH22" s="589"/>
      <c r="FI22" s="590"/>
      <c r="FL22" s="585" t="s">
        <v>61</v>
      </c>
      <c r="FM22" s="586"/>
      <c r="FN22" s="587"/>
      <c r="FO22" s="588" t="s">
        <v>14</v>
      </c>
      <c r="FP22" s="589"/>
      <c r="FQ22" s="589"/>
      <c r="FR22" s="589"/>
      <c r="FS22" s="589"/>
      <c r="FT22" s="590"/>
      <c r="FW22" s="585" t="s">
        <v>49</v>
      </c>
      <c r="FX22" s="586"/>
      <c r="FY22" s="587"/>
      <c r="FZ22" s="588" t="s">
        <v>15</v>
      </c>
      <c r="GA22" s="589"/>
      <c r="GB22" s="589"/>
      <c r="GC22" s="589"/>
      <c r="GD22" s="589"/>
      <c r="GE22" s="590"/>
      <c r="GH22" s="585" t="s">
        <v>60</v>
      </c>
      <c r="GI22" s="586"/>
      <c r="GJ22" s="587"/>
      <c r="GK22" s="588" t="s">
        <v>16</v>
      </c>
      <c r="GL22" s="589"/>
      <c r="GM22" s="589"/>
      <c r="GN22" s="589"/>
      <c r="GO22" s="589"/>
      <c r="GP22" s="590"/>
      <c r="GS22" s="585" t="s">
        <v>18</v>
      </c>
      <c r="GT22" s="586"/>
      <c r="GU22" s="587"/>
      <c r="GV22" s="588" t="s">
        <v>17</v>
      </c>
      <c r="GW22" s="589"/>
      <c r="GX22" s="589"/>
      <c r="GY22" s="589"/>
      <c r="GZ22" s="589"/>
      <c r="HA22" s="590"/>
      <c r="HD22" s="585" t="s">
        <v>59</v>
      </c>
      <c r="HE22" s="586"/>
      <c r="HF22" s="587"/>
      <c r="HG22" s="609" t="s">
        <v>274</v>
      </c>
      <c r="HH22" s="610"/>
      <c r="HI22" s="610"/>
      <c r="HJ22" s="610"/>
      <c r="HK22" s="610"/>
      <c r="HL22" s="611"/>
      <c r="HN22" s="175"/>
      <c r="HO22" s="175"/>
    </row>
    <row r="23" spans="1:223" s="3" customFormat="1" ht="24.75" customHeight="1" x14ac:dyDescent="0.2">
      <c r="A23" s="15"/>
      <c r="B23" s="15"/>
      <c r="C23" s="123"/>
      <c r="D23" s="123"/>
      <c r="E23" s="123"/>
      <c r="F23" s="123"/>
      <c r="G23" s="123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229"/>
      <c r="V23" s="229"/>
      <c r="W23" s="229"/>
      <c r="X23" s="123"/>
      <c r="Y23" s="123"/>
      <c r="Z23" s="123"/>
      <c r="AA23" s="123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191"/>
      <c r="AX23" s="191"/>
      <c r="AY23" s="191"/>
      <c r="AZ23" s="191"/>
      <c r="BA23" s="191"/>
      <c r="BB23" s="191"/>
      <c r="BC23" s="33"/>
      <c r="BD23" s="229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191"/>
      <c r="BU23" s="191"/>
      <c r="BV23" s="191"/>
      <c r="BW23" s="191"/>
      <c r="BX23" s="191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123"/>
      <c r="CR23" s="123"/>
      <c r="CS23" s="123"/>
      <c r="CT23" s="123"/>
      <c r="CU23" s="123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123"/>
      <c r="DJ23" s="123"/>
      <c r="DK23" s="123"/>
      <c r="DL23" s="123"/>
      <c r="DM23" s="123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123"/>
      <c r="EA23" s="123"/>
      <c r="EB23" s="123"/>
      <c r="EC23" s="123"/>
      <c r="ED23" s="123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83"/>
      <c r="EX23" s="175"/>
      <c r="EY23" s="199"/>
      <c r="EZ23" s="199"/>
      <c r="FA23" s="199"/>
      <c r="FB23" s="200"/>
      <c r="FC23" s="200"/>
      <c r="FD23" s="200"/>
      <c r="FE23" s="200"/>
      <c r="FF23" s="200"/>
      <c r="FG23" s="200"/>
      <c r="FH23" s="175"/>
      <c r="FI23" s="199"/>
      <c r="FJ23" s="199"/>
      <c r="FK23" s="199"/>
      <c r="FL23" s="200"/>
      <c r="FM23" s="200"/>
      <c r="FN23" s="200"/>
      <c r="FO23" s="200"/>
      <c r="FP23" s="200"/>
      <c r="FQ23" s="200"/>
      <c r="FR23" s="175"/>
      <c r="FS23" s="199"/>
      <c r="FT23" s="199"/>
      <c r="FU23" s="199"/>
      <c r="FV23" s="200"/>
      <c r="FW23" s="200"/>
      <c r="FX23" s="200"/>
      <c r="FY23" s="200"/>
      <c r="FZ23" s="200"/>
      <c r="GA23" s="200"/>
      <c r="GB23" s="175"/>
      <c r="GC23" s="199"/>
      <c r="GD23" s="199"/>
      <c r="GE23" s="199"/>
      <c r="GF23" s="200"/>
      <c r="GG23" s="200"/>
      <c r="GH23" s="200"/>
      <c r="GI23" s="200"/>
      <c r="GJ23" s="200"/>
      <c r="GK23" s="200"/>
      <c r="GL23" s="175"/>
      <c r="GM23" s="199"/>
      <c r="GN23" s="199"/>
      <c r="GO23" s="199"/>
      <c r="GP23" s="200"/>
      <c r="GQ23" s="200"/>
      <c r="GR23" s="200"/>
      <c r="GS23" s="200"/>
      <c r="GT23" s="200"/>
      <c r="GU23" s="200"/>
      <c r="GV23" s="175"/>
      <c r="GW23" s="199"/>
      <c r="GX23" s="199"/>
      <c r="GY23" s="199"/>
      <c r="GZ23" s="200"/>
      <c r="HA23" s="200"/>
      <c r="HB23" s="200"/>
      <c r="HC23" s="200"/>
      <c r="HD23" s="200"/>
      <c r="HE23" s="200"/>
      <c r="HF23" s="175"/>
      <c r="HG23" s="199"/>
      <c r="HH23" s="199"/>
      <c r="HI23" s="199"/>
      <c r="HJ23" s="200"/>
      <c r="HK23" s="200"/>
      <c r="HL23" s="200"/>
      <c r="HM23" s="200"/>
      <c r="HN23" s="175"/>
      <c r="HO23" s="175"/>
    </row>
    <row r="24" spans="1:223" ht="90" customHeight="1" x14ac:dyDescent="0.2">
      <c r="A24" s="560" t="s">
        <v>247</v>
      </c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0"/>
      <c r="P24" s="560"/>
      <c r="Q24" s="560"/>
      <c r="R24" s="560"/>
      <c r="S24" s="560"/>
      <c r="T24" s="560"/>
      <c r="U24" s="560"/>
      <c r="V24" s="560"/>
      <c r="W24" s="560"/>
      <c r="X24" s="560"/>
      <c r="Y24" s="560"/>
      <c r="Z24" s="560"/>
      <c r="AA24" s="560"/>
      <c r="AB24" s="560"/>
      <c r="AC24" s="560"/>
      <c r="AD24" s="560"/>
      <c r="AE24" s="560"/>
      <c r="AF24" s="560"/>
      <c r="AG24" s="560"/>
      <c r="AH24" s="560"/>
      <c r="AI24" s="560"/>
      <c r="AJ24" s="560"/>
      <c r="AK24" s="560"/>
      <c r="AL24" s="560"/>
      <c r="AM24" s="560"/>
      <c r="AN24" s="560"/>
      <c r="AO24" s="560"/>
      <c r="AP24" s="560"/>
      <c r="AQ24" s="560"/>
      <c r="AR24" s="560"/>
      <c r="AS24" s="560"/>
      <c r="AT24" s="560"/>
      <c r="AU24" s="560"/>
      <c r="AV24" s="560"/>
      <c r="AW24" s="560"/>
      <c r="AX24" s="560"/>
      <c r="AY24" s="560"/>
      <c r="AZ24" s="560"/>
      <c r="BA24" s="560"/>
      <c r="BB24" s="560"/>
      <c r="BC24" s="560"/>
      <c r="BD24" s="560"/>
      <c r="BE24" s="560"/>
      <c r="BF24" s="560"/>
      <c r="BG24" s="560"/>
      <c r="BH24" s="560"/>
      <c r="BI24" s="560"/>
      <c r="BJ24" s="560"/>
      <c r="BK24" s="560"/>
      <c r="BL24" s="560"/>
      <c r="BM24" s="560"/>
      <c r="BN24" s="560"/>
      <c r="BO24" s="560"/>
      <c r="BP24" s="560"/>
      <c r="BQ24" s="560"/>
      <c r="BR24" s="560"/>
      <c r="BS24" s="560"/>
      <c r="BT24" s="560"/>
      <c r="BU24" s="560"/>
      <c r="BV24" s="560"/>
      <c r="BW24" s="560"/>
      <c r="BX24" s="560"/>
      <c r="BY24" s="560"/>
      <c r="BZ24" s="560"/>
      <c r="CA24" s="560"/>
      <c r="CB24" s="560"/>
      <c r="CC24" s="560"/>
      <c r="CD24" s="560"/>
      <c r="CE24" s="560"/>
      <c r="CF24" s="560"/>
      <c r="CG24" s="560"/>
      <c r="CH24" s="560"/>
      <c r="CI24" s="560"/>
      <c r="CJ24" s="560"/>
      <c r="CK24" s="560"/>
      <c r="CL24" s="560"/>
      <c r="CM24" s="560"/>
      <c r="CN24" s="560"/>
      <c r="CO24" s="560"/>
      <c r="CP24" s="560"/>
      <c r="CQ24" s="560"/>
      <c r="CR24" s="560"/>
      <c r="CS24" s="560"/>
      <c r="CT24" s="560"/>
      <c r="CU24" s="560"/>
      <c r="CV24" s="560"/>
      <c r="CW24" s="560"/>
      <c r="CX24" s="560"/>
      <c r="CY24" s="560"/>
      <c r="CZ24" s="560"/>
      <c r="DA24" s="560"/>
      <c r="DB24" s="560"/>
      <c r="DC24" s="560"/>
      <c r="DD24" s="560"/>
      <c r="DE24" s="560"/>
      <c r="DF24" s="560"/>
      <c r="DG24" s="560"/>
      <c r="DH24" s="560"/>
      <c r="DI24" s="560"/>
      <c r="DJ24" s="560"/>
      <c r="DK24" s="560"/>
      <c r="DL24" s="560"/>
      <c r="DM24" s="560"/>
      <c r="DN24" s="560"/>
      <c r="DO24" s="560"/>
      <c r="DP24" s="560"/>
      <c r="DQ24" s="560"/>
      <c r="DR24" s="560"/>
      <c r="DS24" s="560"/>
      <c r="DT24" s="560"/>
      <c r="DU24" s="560"/>
      <c r="DV24" s="560"/>
      <c r="DW24" s="560"/>
      <c r="DX24" s="560"/>
      <c r="DY24" s="560"/>
      <c r="DZ24" s="560"/>
      <c r="EA24" s="560"/>
      <c r="EB24" s="560"/>
      <c r="EC24" s="560"/>
      <c r="ED24" s="560"/>
      <c r="EE24" s="560"/>
      <c r="EF24" s="560"/>
      <c r="EG24" s="560"/>
      <c r="EH24" s="560"/>
      <c r="EI24" s="560"/>
      <c r="EJ24" s="560"/>
      <c r="EK24" s="560"/>
      <c r="EL24" s="560"/>
      <c r="EM24" s="560"/>
      <c r="EN24" s="560"/>
      <c r="EO24" s="560"/>
      <c r="EP24" s="560"/>
      <c r="EQ24" s="560"/>
      <c r="ER24" s="560"/>
      <c r="ES24" s="560"/>
    </row>
    <row r="25" spans="1:223" s="46" customFormat="1" ht="109.5" customHeight="1" x14ac:dyDescent="0.45">
      <c r="A25" s="612" t="s">
        <v>25</v>
      </c>
      <c r="B25" s="615" t="s">
        <v>322</v>
      </c>
      <c r="C25" s="618" t="s">
        <v>63</v>
      </c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9" t="s">
        <v>276</v>
      </c>
      <c r="AA25" s="620"/>
      <c r="AB25" s="620"/>
      <c r="AC25" s="620"/>
      <c r="AD25" s="620"/>
      <c r="AE25" s="620"/>
      <c r="AF25" s="620"/>
      <c r="AG25" s="620"/>
      <c r="AH25" s="620"/>
      <c r="AI25" s="620"/>
      <c r="AJ25" s="620"/>
      <c r="AK25" s="620"/>
      <c r="AL25" s="620"/>
      <c r="AM25" s="620"/>
      <c r="AN25" s="620"/>
      <c r="AO25" s="620"/>
      <c r="AP25" s="620"/>
      <c r="AQ25" s="620"/>
      <c r="AR25" s="620"/>
      <c r="AS25" s="620"/>
      <c r="AT25" s="620"/>
      <c r="AU25" s="620"/>
      <c r="AV25" s="620"/>
      <c r="AW25" s="620"/>
      <c r="AX25" s="620"/>
      <c r="AY25" s="620"/>
      <c r="AZ25" s="620"/>
      <c r="BA25" s="620"/>
      <c r="BB25" s="620"/>
      <c r="BC25" s="620"/>
      <c r="BD25" s="620"/>
      <c r="BE25" s="620"/>
      <c r="BF25" s="620"/>
      <c r="BG25" s="620"/>
      <c r="BH25" s="620"/>
      <c r="BI25" s="620"/>
      <c r="BJ25" s="620"/>
      <c r="BK25" s="621"/>
      <c r="BL25" s="621"/>
      <c r="BM25" s="621"/>
      <c r="BN25" s="621"/>
      <c r="BO25" s="622" t="s">
        <v>277</v>
      </c>
      <c r="BP25" s="623"/>
      <c r="BQ25" s="623"/>
      <c r="BR25" s="623"/>
      <c r="BS25" s="623"/>
      <c r="BT25" s="623"/>
      <c r="BU25" s="623"/>
      <c r="BV25" s="623"/>
      <c r="BW25" s="623"/>
      <c r="BX25" s="623"/>
      <c r="BY25" s="623"/>
      <c r="BZ25" s="623"/>
      <c r="CA25" s="623"/>
      <c r="CB25" s="623"/>
      <c r="CC25" s="623"/>
      <c r="CD25" s="623"/>
      <c r="CE25" s="623"/>
      <c r="CF25" s="623"/>
      <c r="CG25" s="623"/>
      <c r="CH25" s="623"/>
      <c r="CI25" s="623"/>
      <c r="CJ25" s="623"/>
      <c r="CK25" s="623"/>
      <c r="CL25" s="623"/>
      <c r="CM25" s="623"/>
      <c r="CN25" s="623"/>
      <c r="CO25" s="623"/>
      <c r="CP25" s="623"/>
      <c r="CQ25" s="623"/>
      <c r="CR25" s="623"/>
      <c r="CS25" s="623"/>
      <c r="CT25" s="623"/>
      <c r="CU25" s="623"/>
      <c r="CV25" s="623"/>
      <c r="CW25" s="623"/>
      <c r="CX25" s="623"/>
      <c r="CY25" s="623"/>
      <c r="CZ25" s="623"/>
      <c r="DA25" s="623"/>
      <c r="DB25" s="624"/>
      <c r="DC25" s="622" t="s">
        <v>278</v>
      </c>
      <c r="DD25" s="623"/>
      <c r="DE25" s="623"/>
      <c r="DF25" s="623"/>
      <c r="DG25" s="623"/>
      <c r="DH25" s="623"/>
      <c r="DI25" s="623"/>
      <c r="DJ25" s="623"/>
      <c r="DK25" s="623"/>
      <c r="DL25" s="623"/>
      <c r="DM25" s="623"/>
      <c r="DN25" s="623"/>
      <c r="DO25" s="623"/>
      <c r="DP25" s="623"/>
      <c r="DQ25" s="623"/>
      <c r="DR25" s="623"/>
      <c r="DS25" s="623"/>
      <c r="DT25" s="623"/>
      <c r="DU25" s="623"/>
      <c r="DV25" s="623"/>
      <c r="DW25" s="623"/>
      <c r="DX25" s="623"/>
      <c r="DY25" s="623"/>
      <c r="DZ25" s="623"/>
      <c r="EA25" s="623"/>
      <c r="EB25" s="623"/>
      <c r="EC25" s="623"/>
      <c r="ED25" s="623"/>
      <c r="EE25" s="623"/>
      <c r="EF25" s="623"/>
      <c r="EG25" s="623"/>
      <c r="EH25" s="623"/>
      <c r="EI25" s="623"/>
      <c r="EJ25" s="623"/>
      <c r="EK25" s="623"/>
      <c r="EL25" s="623"/>
      <c r="EM25" s="623"/>
      <c r="EN25" s="623"/>
      <c r="EO25" s="623"/>
      <c r="EP25" s="624"/>
      <c r="EQ25" s="625" t="s">
        <v>36</v>
      </c>
      <c r="ER25" s="626"/>
      <c r="ES25" s="626"/>
      <c r="FH25" s="175"/>
      <c r="FI25" s="272"/>
      <c r="FJ25" s="272"/>
      <c r="FK25" s="272"/>
      <c r="FL25" s="273"/>
      <c r="FM25" s="273"/>
      <c r="FN25" s="273"/>
      <c r="FO25" s="273"/>
      <c r="FP25" s="273"/>
      <c r="FQ25" s="273"/>
      <c r="FR25" s="175"/>
      <c r="GB25" s="175"/>
      <c r="GL25" s="175"/>
      <c r="GV25" s="175"/>
      <c r="HF25" s="175"/>
    </row>
    <row r="26" spans="1:223" s="47" customFormat="1" ht="60" customHeight="1" x14ac:dyDescent="0.45">
      <c r="A26" s="613"/>
      <c r="B26" s="616"/>
      <c r="C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  <c r="P26" s="618"/>
      <c r="Q26" s="618"/>
      <c r="R26" s="618"/>
      <c r="S26" s="618"/>
      <c r="T26" s="618"/>
      <c r="U26" s="618"/>
      <c r="V26" s="618"/>
      <c r="W26" s="618"/>
      <c r="X26" s="618"/>
      <c r="Y26" s="618"/>
      <c r="Z26" s="631" t="s">
        <v>65</v>
      </c>
      <c r="AA26" s="632"/>
      <c r="AB26" s="632"/>
      <c r="AC26" s="632"/>
      <c r="AD26" s="632"/>
      <c r="AE26" s="632"/>
      <c r="AF26" s="633"/>
      <c r="AG26" s="631" t="s">
        <v>66</v>
      </c>
      <c r="AH26" s="632"/>
      <c r="AI26" s="632"/>
      <c r="AJ26" s="632"/>
      <c r="AK26" s="632"/>
      <c r="AL26" s="632"/>
      <c r="AM26" s="632"/>
      <c r="AN26" s="632"/>
      <c r="AO26" s="632"/>
      <c r="AP26" s="632"/>
      <c r="AQ26" s="632"/>
      <c r="AR26" s="632"/>
      <c r="AS26" s="632"/>
      <c r="AT26" s="632"/>
      <c r="AU26" s="632"/>
      <c r="AV26" s="632"/>
      <c r="AW26" s="632"/>
      <c r="AX26" s="632"/>
      <c r="AY26" s="632"/>
      <c r="AZ26" s="632"/>
      <c r="BA26" s="632"/>
      <c r="BB26" s="632"/>
      <c r="BC26" s="632"/>
      <c r="BD26" s="632"/>
      <c r="BE26" s="632"/>
      <c r="BF26" s="632"/>
      <c r="BG26" s="632"/>
      <c r="BH26" s="632"/>
      <c r="BI26" s="632"/>
      <c r="BJ26" s="632"/>
      <c r="BK26" s="626" t="s">
        <v>279</v>
      </c>
      <c r="BL26" s="626"/>
      <c r="BM26" s="626"/>
      <c r="BN26" s="637"/>
      <c r="BO26" s="622" t="s">
        <v>27</v>
      </c>
      <c r="BP26" s="623"/>
      <c r="BQ26" s="623"/>
      <c r="BR26" s="623"/>
      <c r="BS26" s="623"/>
      <c r="BT26" s="623"/>
      <c r="BU26" s="623"/>
      <c r="BV26" s="623"/>
      <c r="BW26" s="623"/>
      <c r="BX26" s="623"/>
      <c r="BY26" s="623" t="s">
        <v>28</v>
      </c>
      <c r="BZ26" s="623"/>
      <c r="CA26" s="623"/>
      <c r="CB26" s="623"/>
      <c r="CC26" s="623"/>
      <c r="CD26" s="623"/>
      <c r="CE26" s="623"/>
      <c r="CF26" s="623"/>
      <c r="CG26" s="623"/>
      <c r="CH26" s="623"/>
      <c r="CI26" s="623" t="s">
        <v>29</v>
      </c>
      <c r="CJ26" s="623"/>
      <c r="CK26" s="623"/>
      <c r="CL26" s="623"/>
      <c r="CM26" s="623"/>
      <c r="CN26" s="623"/>
      <c r="CO26" s="623"/>
      <c r="CP26" s="623"/>
      <c r="CQ26" s="623"/>
      <c r="CR26" s="623"/>
      <c r="CS26" s="623" t="s">
        <v>72</v>
      </c>
      <c r="CT26" s="623"/>
      <c r="CU26" s="623"/>
      <c r="CV26" s="623"/>
      <c r="CW26" s="623"/>
      <c r="CX26" s="623"/>
      <c r="CY26" s="623"/>
      <c r="CZ26" s="623"/>
      <c r="DA26" s="623"/>
      <c r="DB26" s="624"/>
      <c r="DC26" s="622" t="s">
        <v>27</v>
      </c>
      <c r="DD26" s="623"/>
      <c r="DE26" s="623"/>
      <c r="DF26" s="623"/>
      <c r="DG26" s="623"/>
      <c r="DH26" s="623"/>
      <c r="DI26" s="623"/>
      <c r="DJ26" s="623"/>
      <c r="DK26" s="623"/>
      <c r="DL26" s="623"/>
      <c r="DM26" s="623" t="s">
        <v>28</v>
      </c>
      <c r="DN26" s="623"/>
      <c r="DO26" s="623"/>
      <c r="DP26" s="623"/>
      <c r="DQ26" s="623"/>
      <c r="DR26" s="623"/>
      <c r="DS26" s="623"/>
      <c r="DT26" s="623"/>
      <c r="DU26" s="623"/>
      <c r="DV26" s="623"/>
      <c r="DW26" s="623" t="s">
        <v>29</v>
      </c>
      <c r="DX26" s="623"/>
      <c r="DY26" s="623"/>
      <c r="DZ26" s="623"/>
      <c r="EA26" s="623"/>
      <c r="EB26" s="623"/>
      <c r="EC26" s="623"/>
      <c r="ED26" s="623"/>
      <c r="EE26" s="623"/>
      <c r="EF26" s="623"/>
      <c r="EG26" s="623" t="s">
        <v>72</v>
      </c>
      <c r="EH26" s="623"/>
      <c r="EI26" s="623"/>
      <c r="EJ26" s="623"/>
      <c r="EK26" s="623"/>
      <c r="EL26" s="623"/>
      <c r="EM26" s="623"/>
      <c r="EN26" s="623"/>
      <c r="EO26" s="623"/>
      <c r="EP26" s="624"/>
      <c r="EQ26" s="625"/>
      <c r="ER26" s="626"/>
      <c r="ES26" s="626"/>
    </row>
    <row r="27" spans="1:223" s="47" customFormat="1" ht="60" customHeight="1" x14ac:dyDescent="0.45">
      <c r="A27" s="613"/>
      <c r="B27" s="616"/>
      <c r="C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  <c r="P27" s="618"/>
      <c r="Q27" s="618"/>
      <c r="R27" s="618"/>
      <c r="S27" s="618"/>
      <c r="T27" s="618"/>
      <c r="U27" s="618"/>
      <c r="V27" s="618"/>
      <c r="W27" s="618"/>
      <c r="X27" s="618"/>
      <c r="Y27" s="618"/>
      <c r="Z27" s="634"/>
      <c r="AA27" s="635"/>
      <c r="AB27" s="635"/>
      <c r="AC27" s="635"/>
      <c r="AD27" s="635"/>
      <c r="AE27" s="635"/>
      <c r="AF27" s="636"/>
      <c r="AG27" s="627" t="s">
        <v>20</v>
      </c>
      <c r="AH27" s="627"/>
      <c r="AI27" s="627"/>
      <c r="AJ27" s="627"/>
      <c r="AK27" s="627"/>
      <c r="AL27" s="627" t="s">
        <v>280</v>
      </c>
      <c r="AM27" s="627"/>
      <c r="AN27" s="627"/>
      <c r="AO27" s="627"/>
      <c r="AP27" s="627"/>
      <c r="AQ27" s="627" t="s">
        <v>323</v>
      </c>
      <c r="AR27" s="627"/>
      <c r="AS27" s="627"/>
      <c r="AT27" s="627"/>
      <c r="AU27" s="627"/>
      <c r="AV27" s="627" t="s">
        <v>69</v>
      </c>
      <c r="AW27" s="627"/>
      <c r="AX27" s="627"/>
      <c r="AY27" s="627"/>
      <c r="AZ27" s="627"/>
      <c r="BA27" s="627" t="s">
        <v>70</v>
      </c>
      <c r="BB27" s="627"/>
      <c r="BC27" s="627"/>
      <c r="BD27" s="627"/>
      <c r="BE27" s="627"/>
      <c r="BF27" s="627" t="s">
        <v>71</v>
      </c>
      <c r="BG27" s="627"/>
      <c r="BH27" s="627"/>
      <c r="BI27" s="627"/>
      <c r="BJ27" s="627"/>
      <c r="BK27" s="626"/>
      <c r="BL27" s="626"/>
      <c r="BM27" s="626"/>
      <c r="BN27" s="637"/>
      <c r="BO27" s="622" t="s">
        <v>33</v>
      </c>
      <c r="BP27" s="623"/>
      <c r="BQ27" s="623"/>
      <c r="BR27" s="623"/>
      <c r="BS27" s="623"/>
      <c r="BT27" s="623"/>
      <c r="BU27" s="623"/>
      <c r="BV27" s="623"/>
      <c r="BW27" s="623"/>
      <c r="BX27" s="623"/>
      <c r="BY27" s="623"/>
      <c r="BZ27" s="623"/>
      <c r="CA27" s="623"/>
      <c r="CB27" s="623"/>
      <c r="CC27" s="623"/>
      <c r="CD27" s="623"/>
      <c r="CE27" s="623"/>
      <c r="CF27" s="623"/>
      <c r="CG27" s="623"/>
      <c r="CH27" s="623"/>
      <c r="CI27" s="623"/>
      <c r="CJ27" s="623"/>
      <c r="CK27" s="623"/>
      <c r="CL27" s="623"/>
      <c r="CM27" s="623"/>
      <c r="CN27" s="623"/>
      <c r="CO27" s="623"/>
      <c r="CP27" s="623"/>
      <c r="CQ27" s="623"/>
      <c r="CR27" s="623"/>
      <c r="CS27" s="623"/>
      <c r="CT27" s="623"/>
      <c r="CU27" s="623"/>
      <c r="CV27" s="623"/>
      <c r="CW27" s="623"/>
      <c r="CX27" s="623"/>
      <c r="CY27" s="623"/>
      <c r="CZ27" s="623"/>
      <c r="DA27" s="623"/>
      <c r="DB27" s="624"/>
      <c r="DC27" s="622" t="s">
        <v>33</v>
      </c>
      <c r="DD27" s="623"/>
      <c r="DE27" s="623"/>
      <c r="DF27" s="623"/>
      <c r="DG27" s="623"/>
      <c r="DH27" s="623"/>
      <c r="DI27" s="623"/>
      <c r="DJ27" s="623"/>
      <c r="DK27" s="623"/>
      <c r="DL27" s="623"/>
      <c r="DM27" s="623"/>
      <c r="DN27" s="623"/>
      <c r="DO27" s="623"/>
      <c r="DP27" s="623"/>
      <c r="DQ27" s="623"/>
      <c r="DR27" s="623"/>
      <c r="DS27" s="623"/>
      <c r="DT27" s="623"/>
      <c r="DU27" s="623"/>
      <c r="DV27" s="623"/>
      <c r="DW27" s="623"/>
      <c r="DX27" s="623"/>
      <c r="DY27" s="623"/>
      <c r="DZ27" s="623"/>
      <c r="EA27" s="623"/>
      <c r="EB27" s="623"/>
      <c r="EC27" s="623"/>
      <c r="ED27" s="623"/>
      <c r="EE27" s="623"/>
      <c r="EF27" s="623"/>
      <c r="EG27" s="623"/>
      <c r="EH27" s="623"/>
      <c r="EI27" s="623"/>
      <c r="EJ27" s="623"/>
      <c r="EK27" s="623"/>
      <c r="EL27" s="623"/>
      <c r="EM27" s="623"/>
      <c r="EN27" s="623"/>
      <c r="EO27" s="623"/>
      <c r="EP27" s="624"/>
      <c r="EQ27" s="625"/>
      <c r="ER27" s="626"/>
      <c r="ES27" s="626"/>
    </row>
    <row r="28" spans="1:223" s="47" customFormat="1" ht="56.25" customHeight="1" x14ac:dyDescent="0.45">
      <c r="A28" s="613"/>
      <c r="B28" s="616"/>
      <c r="C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  <c r="P28" s="618"/>
      <c r="Q28" s="618"/>
      <c r="R28" s="618"/>
      <c r="S28" s="618"/>
      <c r="T28" s="618"/>
      <c r="U28" s="618"/>
      <c r="V28" s="618"/>
      <c r="W28" s="618"/>
      <c r="X28" s="618"/>
      <c r="Y28" s="618"/>
      <c r="Z28" s="634"/>
      <c r="AA28" s="635"/>
      <c r="AB28" s="635"/>
      <c r="AC28" s="635"/>
      <c r="AD28" s="635"/>
      <c r="AE28" s="635"/>
      <c r="AF28" s="636"/>
      <c r="AG28" s="627"/>
      <c r="AH28" s="627"/>
      <c r="AI28" s="627"/>
      <c r="AJ28" s="627"/>
      <c r="AK28" s="627"/>
      <c r="AL28" s="627"/>
      <c r="AM28" s="627"/>
      <c r="AN28" s="627"/>
      <c r="AO28" s="627"/>
      <c r="AP28" s="627"/>
      <c r="AQ28" s="627"/>
      <c r="AR28" s="627"/>
      <c r="AS28" s="627"/>
      <c r="AT28" s="627"/>
      <c r="AU28" s="627"/>
      <c r="AV28" s="627"/>
      <c r="AW28" s="627"/>
      <c r="AX28" s="627"/>
      <c r="AY28" s="627"/>
      <c r="AZ28" s="627"/>
      <c r="BA28" s="627"/>
      <c r="BB28" s="627"/>
      <c r="BC28" s="627"/>
      <c r="BD28" s="627"/>
      <c r="BE28" s="627"/>
      <c r="BF28" s="627"/>
      <c r="BG28" s="627"/>
      <c r="BH28" s="627"/>
      <c r="BI28" s="627"/>
      <c r="BJ28" s="627"/>
      <c r="BK28" s="626"/>
      <c r="BL28" s="626"/>
      <c r="BM28" s="626"/>
      <c r="BN28" s="637"/>
      <c r="BO28" s="622">
        <v>1</v>
      </c>
      <c r="BP28" s="623"/>
      <c r="BQ28" s="623"/>
      <c r="BR28" s="623"/>
      <c r="BS28" s="623"/>
      <c r="BT28" s="623">
        <v>2</v>
      </c>
      <c r="BU28" s="623"/>
      <c r="BV28" s="623"/>
      <c r="BW28" s="623"/>
      <c r="BX28" s="623"/>
      <c r="BY28" s="623">
        <v>3</v>
      </c>
      <c r="BZ28" s="623"/>
      <c r="CA28" s="623"/>
      <c r="CB28" s="623"/>
      <c r="CC28" s="623"/>
      <c r="CD28" s="623">
        <v>4</v>
      </c>
      <c r="CE28" s="623"/>
      <c r="CF28" s="623"/>
      <c r="CG28" s="623"/>
      <c r="CH28" s="623"/>
      <c r="CI28" s="623">
        <v>5</v>
      </c>
      <c r="CJ28" s="623"/>
      <c r="CK28" s="623"/>
      <c r="CL28" s="623"/>
      <c r="CM28" s="623"/>
      <c r="CN28" s="623">
        <v>6</v>
      </c>
      <c r="CO28" s="623"/>
      <c r="CP28" s="623"/>
      <c r="CQ28" s="623"/>
      <c r="CR28" s="623"/>
      <c r="CS28" s="623">
        <v>7</v>
      </c>
      <c r="CT28" s="623"/>
      <c r="CU28" s="623"/>
      <c r="CV28" s="623"/>
      <c r="CW28" s="623"/>
      <c r="CX28" s="623">
        <v>8</v>
      </c>
      <c r="CY28" s="623"/>
      <c r="CZ28" s="623"/>
      <c r="DA28" s="623"/>
      <c r="DB28" s="624"/>
      <c r="DC28" s="622">
        <v>1</v>
      </c>
      <c r="DD28" s="623"/>
      <c r="DE28" s="623"/>
      <c r="DF28" s="623"/>
      <c r="DG28" s="623"/>
      <c r="DH28" s="623">
        <v>2</v>
      </c>
      <c r="DI28" s="623"/>
      <c r="DJ28" s="623"/>
      <c r="DK28" s="623"/>
      <c r="DL28" s="623"/>
      <c r="DM28" s="623">
        <v>3</v>
      </c>
      <c r="DN28" s="623"/>
      <c r="DO28" s="623"/>
      <c r="DP28" s="623"/>
      <c r="DQ28" s="623"/>
      <c r="DR28" s="623">
        <v>4</v>
      </c>
      <c r="DS28" s="623"/>
      <c r="DT28" s="623"/>
      <c r="DU28" s="623"/>
      <c r="DV28" s="623"/>
      <c r="DW28" s="623">
        <v>5</v>
      </c>
      <c r="DX28" s="623"/>
      <c r="DY28" s="623"/>
      <c r="DZ28" s="623"/>
      <c r="EA28" s="623"/>
      <c r="EB28" s="623">
        <v>6</v>
      </c>
      <c r="EC28" s="623"/>
      <c r="ED28" s="623"/>
      <c r="EE28" s="623"/>
      <c r="EF28" s="623"/>
      <c r="EG28" s="623">
        <v>7</v>
      </c>
      <c r="EH28" s="623"/>
      <c r="EI28" s="623"/>
      <c r="EJ28" s="623"/>
      <c r="EK28" s="623"/>
      <c r="EL28" s="623">
        <v>8</v>
      </c>
      <c r="EM28" s="623"/>
      <c r="EN28" s="623"/>
      <c r="EO28" s="623"/>
      <c r="EP28" s="624"/>
      <c r="EQ28" s="625"/>
      <c r="ER28" s="626"/>
      <c r="ES28" s="626"/>
    </row>
    <row r="29" spans="1:223" s="47" customFormat="1" ht="60" customHeight="1" x14ac:dyDescent="0.45">
      <c r="A29" s="613"/>
      <c r="B29" s="616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  <c r="P29" s="618"/>
      <c r="Q29" s="618"/>
      <c r="R29" s="618"/>
      <c r="S29" s="618"/>
      <c r="T29" s="618"/>
      <c r="U29" s="618"/>
      <c r="V29" s="618"/>
      <c r="W29" s="618"/>
      <c r="X29" s="618"/>
      <c r="Y29" s="618"/>
      <c r="Z29" s="634"/>
      <c r="AA29" s="635"/>
      <c r="AB29" s="635"/>
      <c r="AC29" s="635"/>
      <c r="AD29" s="635"/>
      <c r="AE29" s="635"/>
      <c r="AF29" s="636"/>
      <c r="AG29" s="627"/>
      <c r="AH29" s="627"/>
      <c r="AI29" s="627"/>
      <c r="AJ29" s="627"/>
      <c r="AK29" s="627"/>
      <c r="AL29" s="627"/>
      <c r="AM29" s="627"/>
      <c r="AN29" s="627"/>
      <c r="AO29" s="627"/>
      <c r="AP29" s="627"/>
      <c r="AQ29" s="627"/>
      <c r="AR29" s="627"/>
      <c r="AS29" s="627"/>
      <c r="AT29" s="627"/>
      <c r="AU29" s="627"/>
      <c r="AV29" s="627"/>
      <c r="AW29" s="627"/>
      <c r="AX29" s="627"/>
      <c r="AY29" s="627"/>
      <c r="AZ29" s="627"/>
      <c r="BA29" s="627"/>
      <c r="BB29" s="627"/>
      <c r="BC29" s="627"/>
      <c r="BD29" s="627"/>
      <c r="BE29" s="627"/>
      <c r="BF29" s="627"/>
      <c r="BG29" s="627"/>
      <c r="BH29" s="627"/>
      <c r="BI29" s="627"/>
      <c r="BJ29" s="627"/>
      <c r="BK29" s="626"/>
      <c r="BL29" s="626"/>
      <c r="BM29" s="626"/>
      <c r="BN29" s="637"/>
      <c r="BO29" s="622" t="s">
        <v>34</v>
      </c>
      <c r="BP29" s="623"/>
      <c r="BQ29" s="623"/>
      <c r="BR29" s="623"/>
      <c r="BS29" s="623"/>
      <c r="BT29" s="623"/>
      <c r="BU29" s="623"/>
      <c r="BV29" s="623"/>
      <c r="BW29" s="623"/>
      <c r="BX29" s="623"/>
      <c r="BY29" s="623"/>
      <c r="BZ29" s="623"/>
      <c r="CA29" s="623"/>
      <c r="CB29" s="623"/>
      <c r="CC29" s="623"/>
      <c r="CD29" s="623"/>
      <c r="CE29" s="623"/>
      <c r="CF29" s="623"/>
      <c r="CG29" s="623"/>
      <c r="CH29" s="623"/>
      <c r="CI29" s="623"/>
      <c r="CJ29" s="623"/>
      <c r="CK29" s="623"/>
      <c r="CL29" s="623"/>
      <c r="CM29" s="623"/>
      <c r="CN29" s="623"/>
      <c r="CO29" s="623"/>
      <c r="CP29" s="623"/>
      <c r="CQ29" s="623"/>
      <c r="CR29" s="623"/>
      <c r="CS29" s="623"/>
      <c r="CT29" s="623"/>
      <c r="CU29" s="623"/>
      <c r="CV29" s="623"/>
      <c r="CW29" s="623"/>
      <c r="CX29" s="623"/>
      <c r="CY29" s="623"/>
      <c r="CZ29" s="623"/>
      <c r="DA29" s="623"/>
      <c r="DB29" s="624"/>
      <c r="DC29" s="622" t="s">
        <v>35</v>
      </c>
      <c r="DD29" s="623"/>
      <c r="DE29" s="623"/>
      <c r="DF29" s="623"/>
      <c r="DG29" s="623"/>
      <c r="DH29" s="623"/>
      <c r="DI29" s="623"/>
      <c r="DJ29" s="623"/>
      <c r="DK29" s="623"/>
      <c r="DL29" s="623"/>
      <c r="DM29" s="623"/>
      <c r="DN29" s="623"/>
      <c r="DO29" s="623"/>
      <c r="DP29" s="623"/>
      <c r="DQ29" s="623"/>
      <c r="DR29" s="623"/>
      <c r="DS29" s="623"/>
      <c r="DT29" s="623"/>
      <c r="DU29" s="623"/>
      <c r="DV29" s="623"/>
      <c r="DW29" s="623"/>
      <c r="DX29" s="623"/>
      <c r="DY29" s="623"/>
      <c r="DZ29" s="623"/>
      <c r="EA29" s="623"/>
      <c r="EB29" s="623"/>
      <c r="EC29" s="623"/>
      <c r="ED29" s="623"/>
      <c r="EE29" s="623"/>
      <c r="EF29" s="623"/>
      <c r="EG29" s="623"/>
      <c r="EH29" s="623"/>
      <c r="EI29" s="623"/>
      <c r="EJ29" s="623"/>
      <c r="EK29" s="623"/>
      <c r="EL29" s="623"/>
      <c r="EM29" s="623"/>
      <c r="EN29" s="623"/>
      <c r="EO29" s="623"/>
      <c r="EP29" s="624"/>
      <c r="EQ29" s="625"/>
      <c r="ER29" s="626"/>
      <c r="ES29" s="626"/>
    </row>
    <row r="30" spans="1:223" s="47" customFormat="1" ht="60" customHeight="1" x14ac:dyDescent="0.45">
      <c r="A30" s="614"/>
      <c r="B30" s="617"/>
      <c r="C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  <c r="P30" s="618"/>
      <c r="Q30" s="618"/>
      <c r="R30" s="618"/>
      <c r="S30" s="618"/>
      <c r="T30" s="618"/>
      <c r="U30" s="618"/>
      <c r="V30" s="618"/>
      <c r="W30" s="618"/>
      <c r="X30" s="618"/>
      <c r="Y30" s="618"/>
      <c r="Z30" s="623" t="s">
        <v>73</v>
      </c>
      <c r="AA30" s="623"/>
      <c r="AB30" s="623"/>
      <c r="AC30" s="623"/>
      <c r="AD30" s="623" t="s">
        <v>74</v>
      </c>
      <c r="AE30" s="623"/>
      <c r="AF30" s="623"/>
      <c r="AG30" s="627"/>
      <c r="AH30" s="627"/>
      <c r="AI30" s="627"/>
      <c r="AJ30" s="627"/>
      <c r="AK30" s="627"/>
      <c r="AL30" s="627"/>
      <c r="AM30" s="627"/>
      <c r="AN30" s="627"/>
      <c r="AO30" s="627"/>
      <c r="AP30" s="627"/>
      <c r="AQ30" s="627"/>
      <c r="AR30" s="627"/>
      <c r="AS30" s="627"/>
      <c r="AT30" s="627"/>
      <c r="AU30" s="627"/>
      <c r="AV30" s="627"/>
      <c r="AW30" s="627"/>
      <c r="AX30" s="627"/>
      <c r="AY30" s="627"/>
      <c r="AZ30" s="627"/>
      <c r="BA30" s="627"/>
      <c r="BB30" s="627"/>
      <c r="BC30" s="627"/>
      <c r="BD30" s="627"/>
      <c r="BE30" s="627"/>
      <c r="BF30" s="627"/>
      <c r="BG30" s="627"/>
      <c r="BH30" s="627"/>
      <c r="BI30" s="627"/>
      <c r="BJ30" s="627"/>
      <c r="BK30" s="626"/>
      <c r="BL30" s="626"/>
      <c r="BM30" s="626"/>
      <c r="BN30" s="637"/>
      <c r="BO30" s="622">
        <v>15</v>
      </c>
      <c r="BP30" s="623"/>
      <c r="BQ30" s="623"/>
      <c r="BR30" s="623"/>
      <c r="BS30" s="623"/>
      <c r="BT30" s="623">
        <v>15</v>
      </c>
      <c r="BU30" s="623"/>
      <c r="BV30" s="623"/>
      <c r="BW30" s="623"/>
      <c r="BX30" s="623"/>
      <c r="BY30" s="623">
        <v>15</v>
      </c>
      <c r="BZ30" s="623"/>
      <c r="CA30" s="623"/>
      <c r="CB30" s="623"/>
      <c r="CC30" s="623"/>
      <c r="CD30" s="623">
        <v>15</v>
      </c>
      <c r="CE30" s="623"/>
      <c r="CF30" s="623"/>
      <c r="CG30" s="623"/>
      <c r="CH30" s="623"/>
      <c r="CI30" s="623">
        <v>15</v>
      </c>
      <c r="CJ30" s="623"/>
      <c r="CK30" s="623"/>
      <c r="CL30" s="623"/>
      <c r="CM30" s="623"/>
      <c r="CN30" s="623">
        <v>15</v>
      </c>
      <c r="CO30" s="623"/>
      <c r="CP30" s="623"/>
      <c r="CQ30" s="623"/>
      <c r="CR30" s="623"/>
      <c r="CS30" s="623">
        <v>15</v>
      </c>
      <c r="CT30" s="623"/>
      <c r="CU30" s="623"/>
      <c r="CV30" s="623"/>
      <c r="CW30" s="623"/>
      <c r="CX30" s="623">
        <v>15</v>
      </c>
      <c r="CY30" s="623"/>
      <c r="CZ30" s="623"/>
      <c r="DA30" s="623"/>
      <c r="DB30" s="624"/>
      <c r="DC30" s="622">
        <f>DC91</f>
        <v>30</v>
      </c>
      <c r="DD30" s="623"/>
      <c r="DE30" s="623"/>
      <c r="DF30" s="623"/>
      <c r="DG30" s="623"/>
      <c r="DH30" s="628">
        <f>DH91</f>
        <v>30</v>
      </c>
      <c r="DI30" s="623"/>
      <c r="DJ30" s="623"/>
      <c r="DK30" s="623"/>
      <c r="DL30" s="623"/>
      <c r="DM30" s="628">
        <f>DM91</f>
        <v>30</v>
      </c>
      <c r="DN30" s="623"/>
      <c r="DO30" s="623"/>
      <c r="DP30" s="623"/>
      <c r="DQ30" s="623"/>
      <c r="DR30" s="628">
        <f>DR91</f>
        <v>30</v>
      </c>
      <c r="DS30" s="623"/>
      <c r="DT30" s="623"/>
      <c r="DU30" s="623"/>
      <c r="DV30" s="623"/>
      <c r="DW30" s="628">
        <f>DW91</f>
        <v>30</v>
      </c>
      <c r="DX30" s="623"/>
      <c r="DY30" s="623"/>
      <c r="DZ30" s="623"/>
      <c r="EA30" s="623"/>
      <c r="EB30" s="628">
        <f>EB91</f>
        <v>30</v>
      </c>
      <c r="EC30" s="623"/>
      <c r="ED30" s="623"/>
      <c r="EE30" s="623"/>
      <c r="EF30" s="623"/>
      <c r="EG30" s="628">
        <f>EG91</f>
        <v>30</v>
      </c>
      <c r="EH30" s="623"/>
      <c r="EI30" s="623"/>
      <c r="EJ30" s="623"/>
      <c r="EK30" s="623"/>
      <c r="EL30" s="628">
        <f>EL91</f>
        <v>30</v>
      </c>
      <c r="EM30" s="623"/>
      <c r="EN30" s="623"/>
      <c r="EO30" s="623"/>
      <c r="EP30" s="624"/>
      <c r="EQ30" s="629">
        <f>DC30+DH30+DM30+DR30+DW30+EG30+EB30+EL30</f>
        <v>240</v>
      </c>
      <c r="ER30" s="630"/>
      <c r="ES30" s="623"/>
    </row>
    <row r="31" spans="1:223" s="50" customFormat="1" ht="60" customHeight="1" x14ac:dyDescent="0.2">
      <c r="A31" s="292">
        <v>1</v>
      </c>
      <c r="B31" s="293"/>
      <c r="C31" s="619">
        <v>2</v>
      </c>
      <c r="D31" s="620"/>
      <c r="E31" s="620"/>
      <c r="F31" s="620"/>
      <c r="G31" s="620"/>
      <c r="H31" s="620"/>
      <c r="I31" s="620"/>
      <c r="J31" s="620"/>
      <c r="K31" s="620"/>
      <c r="L31" s="620"/>
      <c r="M31" s="620"/>
      <c r="N31" s="620"/>
      <c r="O31" s="620"/>
      <c r="P31" s="620"/>
      <c r="Q31" s="620"/>
      <c r="R31" s="620"/>
      <c r="S31" s="620"/>
      <c r="T31" s="620"/>
      <c r="U31" s="620"/>
      <c r="V31" s="620"/>
      <c r="W31" s="620"/>
      <c r="X31" s="620"/>
      <c r="Y31" s="628"/>
      <c r="Z31" s="630">
        <v>3</v>
      </c>
      <c r="AA31" s="630"/>
      <c r="AB31" s="630"/>
      <c r="AC31" s="630"/>
      <c r="AD31" s="638">
        <v>4</v>
      </c>
      <c r="AE31" s="639"/>
      <c r="AF31" s="629"/>
      <c r="AG31" s="638">
        <v>5</v>
      </c>
      <c r="AH31" s="639"/>
      <c r="AI31" s="639"/>
      <c r="AJ31" s="639"/>
      <c r="AK31" s="629"/>
      <c r="AL31" s="638">
        <v>6</v>
      </c>
      <c r="AM31" s="639"/>
      <c r="AN31" s="639"/>
      <c r="AO31" s="639"/>
      <c r="AP31" s="629"/>
      <c r="AQ31" s="638">
        <v>7</v>
      </c>
      <c r="AR31" s="639"/>
      <c r="AS31" s="639"/>
      <c r="AT31" s="639"/>
      <c r="AU31" s="629"/>
      <c r="AV31" s="638">
        <v>8</v>
      </c>
      <c r="AW31" s="639"/>
      <c r="AX31" s="639"/>
      <c r="AY31" s="639"/>
      <c r="AZ31" s="629"/>
      <c r="BA31" s="638">
        <v>9</v>
      </c>
      <c r="BB31" s="639"/>
      <c r="BC31" s="639"/>
      <c r="BD31" s="639"/>
      <c r="BE31" s="629"/>
      <c r="BF31" s="638">
        <v>10</v>
      </c>
      <c r="BG31" s="639"/>
      <c r="BH31" s="639"/>
      <c r="BI31" s="639"/>
      <c r="BJ31" s="629"/>
      <c r="BK31" s="646">
        <v>11</v>
      </c>
      <c r="BL31" s="647"/>
      <c r="BM31" s="647"/>
      <c r="BN31" s="647"/>
      <c r="BO31" s="622">
        <v>12</v>
      </c>
      <c r="BP31" s="623"/>
      <c r="BQ31" s="623"/>
      <c r="BR31" s="623"/>
      <c r="BS31" s="623"/>
      <c r="BT31" s="623">
        <v>13</v>
      </c>
      <c r="BU31" s="623"/>
      <c r="BV31" s="623"/>
      <c r="BW31" s="623"/>
      <c r="BX31" s="623"/>
      <c r="BY31" s="623">
        <v>14</v>
      </c>
      <c r="BZ31" s="623"/>
      <c r="CA31" s="623"/>
      <c r="CB31" s="623"/>
      <c r="CC31" s="623"/>
      <c r="CD31" s="623">
        <v>15</v>
      </c>
      <c r="CE31" s="623"/>
      <c r="CF31" s="623"/>
      <c r="CG31" s="623"/>
      <c r="CH31" s="623"/>
      <c r="CI31" s="623">
        <v>16</v>
      </c>
      <c r="CJ31" s="623"/>
      <c r="CK31" s="623"/>
      <c r="CL31" s="623"/>
      <c r="CM31" s="623"/>
      <c r="CN31" s="623">
        <v>17</v>
      </c>
      <c r="CO31" s="623"/>
      <c r="CP31" s="623"/>
      <c r="CQ31" s="623"/>
      <c r="CR31" s="623"/>
      <c r="CS31" s="623">
        <v>18</v>
      </c>
      <c r="CT31" s="623"/>
      <c r="CU31" s="623"/>
      <c r="CV31" s="623"/>
      <c r="CW31" s="623"/>
      <c r="CX31" s="623">
        <v>19</v>
      </c>
      <c r="CY31" s="623"/>
      <c r="CZ31" s="623"/>
      <c r="DA31" s="623"/>
      <c r="DB31" s="624"/>
      <c r="DC31" s="622">
        <v>20</v>
      </c>
      <c r="DD31" s="623"/>
      <c r="DE31" s="623"/>
      <c r="DF31" s="623"/>
      <c r="DG31" s="623"/>
      <c r="DH31" s="623">
        <v>21</v>
      </c>
      <c r="DI31" s="623"/>
      <c r="DJ31" s="623"/>
      <c r="DK31" s="623"/>
      <c r="DL31" s="623"/>
      <c r="DM31" s="623">
        <v>22</v>
      </c>
      <c r="DN31" s="623"/>
      <c r="DO31" s="623"/>
      <c r="DP31" s="623"/>
      <c r="DQ31" s="623"/>
      <c r="DR31" s="623">
        <v>23</v>
      </c>
      <c r="DS31" s="623"/>
      <c r="DT31" s="623"/>
      <c r="DU31" s="623"/>
      <c r="DV31" s="623"/>
      <c r="DW31" s="623">
        <v>24</v>
      </c>
      <c r="DX31" s="623"/>
      <c r="DY31" s="623"/>
      <c r="DZ31" s="623"/>
      <c r="EA31" s="623"/>
      <c r="EB31" s="623">
        <v>25</v>
      </c>
      <c r="EC31" s="623"/>
      <c r="ED31" s="623"/>
      <c r="EE31" s="623"/>
      <c r="EF31" s="623"/>
      <c r="EG31" s="623">
        <v>26</v>
      </c>
      <c r="EH31" s="623"/>
      <c r="EI31" s="623"/>
      <c r="EJ31" s="623"/>
      <c r="EK31" s="623"/>
      <c r="EL31" s="623">
        <v>27</v>
      </c>
      <c r="EM31" s="623"/>
      <c r="EN31" s="623"/>
      <c r="EO31" s="623"/>
      <c r="EP31" s="624"/>
      <c r="EQ31" s="629">
        <v>28</v>
      </c>
      <c r="ER31" s="630"/>
      <c r="ES31" s="623"/>
      <c r="EX31" s="271" t="s">
        <v>321</v>
      </c>
      <c r="EY31" s="271"/>
      <c r="EZ31" s="271"/>
      <c r="FD31" s="266" t="s">
        <v>284</v>
      </c>
      <c r="FE31" s="243"/>
      <c r="FF31" s="243"/>
      <c r="FG31" s="243"/>
      <c r="FH31" s="243"/>
      <c r="FI31" s="255">
        <v>5</v>
      </c>
    </row>
    <row r="32" spans="1:223" s="53" customFormat="1" ht="63" customHeight="1" x14ac:dyDescent="0.65">
      <c r="A32" s="51" t="s">
        <v>79</v>
      </c>
      <c r="B32" s="291"/>
      <c r="C32" s="640" t="s">
        <v>37</v>
      </c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0"/>
      <c r="P32" s="640"/>
      <c r="Q32" s="640"/>
      <c r="R32" s="640"/>
      <c r="S32" s="640"/>
      <c r="T32" s="640"/>
      <c r="U32" s="640"/>
      <c r="V32" s="640"/>
      <c r="W32" s="640"/>
      <c r="X32" s="640"/>
      <c r="Y32" s="640"/>
      <c r="Z32" s="641">
        <f>SUM(Z33:AC57)</f>
        <v>4320</v>
      </c>
      <c r="AA32" s="641"/>
      <c r="AB32" s="641"/>
      <c r="AC32" s="641"/>
      <c r="AD32" s="642">
        <f>Z32/$Z$91*100</f>
        <v>60</v>
      </c>
      <c r="AE32" s="642"/>
      <c r="AF32" s="642"/>
      <c r="AG32" s="643">
        <f>SUM(AG33:AK57)</f>
        <v>1764</v>
      </c>
      <c r="AH32" s="644"/>
      <c r="AI32" s="644"/>
      <c r="AJ32" s="644"/>
      <c r="AK32" s="645"/>
      <c r="AL32" s="643">
        <f>SUM(AL33:AP57)</f>
        <v>684</v>
      </c>
      <c r="AM32" s="644"/>
      <c r="AN32" s="644"/>
      <c r="AO32" s="644"/>
      <c r="AP32" s="645"/>
      <c r="AQ32" s="643">
        <f>SUM(AQ33:AU57)</f>
        <v>990</v>
      </c>
      <c r="AR32" s="644"/>
      <c r="AS32" s="644"/>
      <c r="AT32" s="644"/>
      <c r="AU32" s="645"/>
      <c r="AV32" s="643">
        <f>SUM(AV33:AZ57)</f>
        <v>90</v>
      </c>
      <c r="AW32" s="644"/>
      <c r="AX32" s="644"/>
      <c r="AY32" s="644"/>
      <c r="AZ32" s="645"/>
      <c r="BA32" s="643">
        <f>SUM(BA33:BE57)</f>
        <v>0</v>
      </c>
      <c r="BB32" s="644"/>
      <c r="BC32" s="644"/>
      <c r="BD32" s="644"/>
      <c r="BE32" s="645"/>
      <c r="BF32" s="643">
        <f>SUM(BF33:BJ57)</f>
        <v>0</v>
      </c>
      <c r="BG32" s="644"/>
      <c r="BH32" s="644"/>
      <c r="BI32" s="644"/>
      <c r="BJ32" s="645"/>
      <c r="BK32" s="641">
        <f>SUM(BK33:BN57)</f>
        <v>2556</v>
      </c>
      <c r="BL32" s="641"/>
      <c r="BM32" s="641"/>
      <c r="BN32" s="643"/>
      <c r="BO32" s="657">
        <f>SUM(BO33:BS57)</f>
        <v>20</v>
      </c>
      <c r="BP32" s="648"/>
      <c r="BQ32" s="648"/>
      <c r="BR32" s="648"/>
      <c r="BS32" s="648"/>
      <c r="BT32" s="648">
        <f>SUM(BT33:BX57)</f>
        <v>12</v>
      </c>
      <c r="BU32" s="648"/>
      <c r="BV32" s="648"/>
      <c r="BW32" s="648"/>
      <c r="BX32" s="648"/>
      <c r="BY32" s="648">
        <f>SUM(BY33:CC57)</f>
        <v>9</v>
      </c>
      <c r="BZ32" s="648"/>
      <c r="CA32" s="648"/>
      <c r="CB32" s="648"/>
      <c r="CC32" s="648"/>
      <c r="CD32" s="648">
        <f>SUM(CD33:CH57)</f>
        <v>13</v>
      </c>
      <c r="CE32" s="648"/>
      <c r="CF32" s="648"/>
      <c r="CG32" s="648"/>
      <c r="CH32" s="648"/>
      <c r="CI32" s="648">
        <f>SUM(CI33:CM57)</f>
        <v>11</v>
      </c>
      <c r="CJ32" s="648"/>
      <c r="CK32" s="648"/>
      <c r="CL32" s="648"/>
      <c r="CM32" s="648"/>
      <c r="CN32" s="648">
        <f>SUM(CN33:CR57)</f>
        <v>10</v>
      </c>
      <c r="CO32" s="648"/>
      <c r="CP32" s="648"/>
      <c r="CQ32" s="648"/>
      <c r="CR32" s="648"/>
      <c r="CS32" s="648">
        <f>SUM(CS33:CW57)</f>
        <v>20</v>
      </c>
      <c r="CT32" s="648"/>
      <c r="CU32" s="648"/>
      <c r="CV32" s="648"/>
      <c r="CW32" s="648"/>
      <c r="CX32" s="648">
        <f>SUM(CX33:DB57)</f>
        <v>22</v>
      </c>
      <c r="CY32" s="648"/>
      <c r="CZ32" s="648"/>
      <c r="DA32" s="648"/>
      <c r="DB32" s="649"/>
      <c r="DC32" s="657">
        <f>SUM(DC33:DG57)</f>
        <v>24</v>
      </c>
      <c r="DD32" s="648"/>
      <c r="DE32" s="648"/>
      <c r="DF32" s="648"/>
      <c r="DG32" s="648"/>
      <c r="DH32" s="648">
        <f>SUM(DH33:DL57)</f>
        <v>14</v>
      </c>
      <c r="DI32" s="648"/>
      <c r="DJ32" s="648"/>
      <c r="DK32" s="648"/>
      <c r="DL32" s="648"/>
      <c r="DM32" s="648">
        <f>SUM(DM33:DQ57)</f>
        <v>11</v>
      </c>
      <c r="DN32" s="648"/>
      <c r="DO32" s="648"/>
      <c r="DP32" s="648"/>
      <c r="DQ32" s="648"/>
      <c r="DR32" s="648">
        <f>SUM(DR33:DV57)</f>
        <v>16</v>
      </c>
      <c r="DS32" s="648"/>
      <c r="DT32" s="648"/>
      <c r="DU32" s="648"/>
      <c r="DV32" s="648"/>
      <c r="DW32" s="648">
        <f>SUM(DW33:EA57)</f>
        <v>14</v>
      </c>
      <c r="DX32" s="648"/>
      <c r="DY32" s="648"/>
      <c r="DZ32" s="648"/>
      <c r="EA32" s="648"/>
      <c r="EB32" s="648">
        <f>SUM(EB33:EF57)</f>
        <v>12</v>
      </c>
      <c r="EC32" s="648"/>
      <c r="ED32" s="648"/>
      <c r="EE32" s="648"/>
      <c r="EF32" s="648"/>
      <c r="EG32" s="648">
        <f>SUM(EG33:EK57)</f>
        <v>25</v>
      </c>
      <c r="EH32" s="648"/>
      <c r="EI32" s="648"/>
      <c r="EJ32" s="648"/>
      <c r="EK32" s="648"/>
      <c r="EL32" s="648">
        <f>SUM(EL33:EP57)</f>
        <v>28</v>
      </c>
      <c r="EM32" s="648"/>
      <c r="EN32" s="648"/>
      <c r="EO32" s="648"/>
      <c r="EP32" s="649"/>
      <c r="EQ32" s="650">
        <f>SUM(EQ33:ES57)</f>
        <v>144</v>
      </c>
      <c r="ER32" s="651"/>
      <c r="ES32" s="652"/>
      <c r="EX32" s="230"/>
      <c r="EY32" s="231"/>
      <c r="EZ32" s="232"/>
      <c r="FD32" s="244" t="s">
        <v>285</v>
      </c>
      <c r="FE32" s="243"/>
      <c r="FF32" s="243"/>
      <c r="FG32" s="243"/>
      <c r="FH32" s="243"/>
      <c r="FI32" s="255">
        <v>4</v>
      </c>
    </row>
    <row r="33" spans="1:166" s="55" customFormat="1" ht="90" customHeight="1" x14ac:dyDescent="0.65">
      <c r="A33" s="54" t="s">
        <v>80</v>
      </c>
      <c r="B33" s="135" t="s">
        <v>129</v>
      </c>
      <c r="C33" s="653" t="s">
        <v>121</v>
      </c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3"/>
      <c r="P33" s="653"/>
      <c r="Q33" s="653"/>
      <c r="R33" s="653"/>
      <c r="S33" s="653"/>
      <c r="T33" s="653"/>
      <c r="U33" s="653"/>
      <c r="V33" s="653"/>
      <c r="W33" s="653"/>
      <c r="X33" s="653"/>
      <c r="Y33" s="653"/>
      <c r="Z33" s="654">
        <f>+EQ33*30</f>
        <v>120</v>
      </c>
      <c r="AA33" s="654"/>
      <c r="AB33" s="654"/>
      <c r="AC33" s="654"/>
      <c r="AD33" s="655"/>
      <c r="AE33" s="655"/>
      <c r="AF33" s="655"/>
      <c r="AG33" s="656">
        <f>SUM(AL33:BE33)</f>
        <v>60</v>
      </c>
      <c r="AH33" s="656"/>
      <c r="AI33" s="656"/>
      <c r="AJ33" s="656"/>
      <c r="AK33" s="656"/>
      <c r="AL33" s="656">
        <v>30</v>
      </c>
      <c r="AM33" s="656"/>
      <c r="AN33" s="656"/>
      <c r="AO33" s="656"/>
      <c r="AP33" s="656"/>
      <c r="AQ33" s="656"/>
      <c r="AR33" s="656"/>
      <c r="AS33" s="656"/>
      <c r="AT33" s="656"/>
      <c r="AU33" s="656"/>
      <c r="AV33" s="656">
        <v>30</v>
      </c>
      <c r="AW33" s="656"/>
      <c r="AX33" s="656"/>
      <c r="AY33" s="656"/>
      <c r="AZ33" s="656"/>
      <c r="BA33" s="663"/>
      <c r="BB33" s="663"/>
      <c r="BC33" s="663"/>
      <c r="BD33" s="663"/>
      <c r="BE33" s="663"/>
      <c r="BF33" s="663"/>
      <c r="BG33" s="663"/>
      <c r="BH33" s="663"/>
      <c r="BI33" s="663"/>
      <c r="BJ33" s="663"/>
      <c r="BK33" s="664">
        <f>Z33-AG33</f>
        <v>60</v>
      </c>
      <c r="BL33" s="664"/>
      <c r="BM33" s="664"/>
      <c r="BN33" s="665"/>
      <c r="BO33" s="661">
        <v>4</v>
      </c>
      <c r="BP33" s="655"/>
      <c r="BQ33" s="655"/>
      <c r="BR33" s="655"/>
      <c r="BS33" s="655"/>
      <c r="BT33" s="655"/>
      <c r="BU33" s="655"/>
      <c r="BV33" s="655"/>
      <c r="BW33" s="655"/>
      <c r="BX33" s="655"/>
      <c r="BY33" s="662"/>
      <c r="BZ33" s="662"/>
      <c r="CA33" s="662"/>
      <c r="CB33" s="662"/>
      <c r="CC33" s="662"/>
      <c r="CD33" s="662"/>
      <c r="CE33" s="662"/>
      <c r="CF33" s="662"/>
      <c r="CG33" s="662"/>
      <c r="CH33" s="662"/>
      <c r="CI33" s="655"/>
      <c r="CJ33" s="655"/>
      <c r="CK33" s="655"/>
      <c r="CL33" s="655"/>
      <c r="CM33" s="655"/>
      <c r="CN33" s="655"/>
      <c r="CO33" s="655"/>
      <c r="CP33" s="655"/>
      <c r="CQ33" s="655"/>
      <c r="CR33" s="655"/>
      <c r="CS33" s="655"/>
      <c r="CT33" s="655"/>
      <c r="CU33" s="655"/>
      <c r="CV33" s="655"/>
      <c r="CW33" s="655"/>
      <c r="CX33" s="655"/>
      <c r="CY33" s="655"/>
      <c r="CZ33" s="655"/>
      <c r="DA33" s="655"/>
      <c r="DB33" s="658"/>
      <c r="DC33" s="661">
        <v>4</v>
      </c>
      <c r="DD33" s="655"/>
      <c r="DE33" s="655"/>
      <c r="DF33" s="655"/>
      <c r="DG33" s="655"/>
      <c r="DH33" s="655"/>
      <c r="DI33" s="655"/>
      <c r="DJ33" s="655"/>
      <c r="DK33" s="655"/>
      <c r="DL33" s="655"/>
      <c r="DM33" s="655"/>
      <c r="DN33" s="655"/>
      <c r="DO33" s="655"/>
      <c r="DP33" s="655"/>
      <c r="DQ33" s="655"/>
      <c r="DR33" s="655"/>
      <c r="DS33" s="655"/>
      <c r="DT33" s="655"/>
      <c r="DU33" s="655"/>
      <c r="DV33" s="655"/>
      <c r="DW33" s="655"/>
      <c r="DX33" s="655"/>
      <c r="DY33" s="655"/>
      <c r="DZ33" s="655"/>
      <c r="EA33" s="655"/>
      <c r="EB33" s="655"/>
      <c r="EC33" s="655"/>
      <c r="ED33" s="655"/>
      <c r="EE33" s="655"/>
      <c r="EF33" s="655"/>
      <c r="EG33" s="655"/>
      <c r="EH33" s="655"/>
      <c r="EI33" s="655"/>
      <c r="EJ33" s="655"/>
      <c r="EK33" s="655"/>
      <c r="EL33" s="655"/>
      <c r="EM33" s="655"/>
      <c r="EN33" s="655"/>
      <c r="EO33" s="655"/>
      <c r="EP33" s="658"/>
      <c r="EQ33" s="659">
        <f t="shared" ref="EQ33:EQ56" si="0">DC33+DH33+DM33+DR33+DW33+EG33+EB33+EL33</f>
        <v>4</v>
      </c>
      <c r="ER33" s="660"/>
      <c r="ES33" s="654"/>
      <c r="ET33" s="260"/>
      <c r="EX33" s="230"/>
      <c r="EY33" s="231">
        <v>4</v>
      </c>
      <c r="EZ33" s="232"/>
      <c r="FC33" s="243"/>
      <c r="FD33" s="266" t="s">
        <v>286</v>
      </c>
      <c r="FE33" s="243"/>
      <c r="FF33" s="243"/>
      <c r="FG33" s="243"/>
      <c r="FH33" s="243"/>
      <c r="FI33" s="255">
        <v>4</v>
      </c>
      <c r="FJ33" s="255"/>
    </row>
    <row r="34" spans="1:166" s="55" customFormat="1" ht="90" customHeight="1" x14ac:dyDescent="0.65">
      <c r="A34" s="54" t="s">
        <v>81</v>
      </c>
      <c r="B34" s="135" t="s">
        <v>162</v>
      </c>
      <c r="C34" s="821" t="s">
        <v>114</v>
      </c>
      <c r="D34" s="822"/>
      <c r="E34" s="822"/>
      <c r="F34" s="822"/>
      <c r="G34" s="822"/>
      <c r="H34" s="822"/>
      <c r="I34" s="822"/>
      <c r="J34" s="822"/>
      <c r="K34" s="822"/>
      <c r="L34" s="822"/>
      <c r="M34" s="822"/>
      <c r="N34" s="822"/>
      <c r="O34" s="822"/>
      <c r="P34" s="822"/>
      <c r="Q34" s="822"/>
      <c r="R34" s="822"/>
      <c r="S34" s="822"/>
      <c r="T34" s="822"/>
      <c r="U34" s="822"/>
      <c r="V34" s="822"/>
      <c r="W34" s="822"/>
      <c r="X34" s="822"/>
      <c r="Y34" s="823"/>
      <c r="Z34" s="671">
        <f t="shared" ref="Z34:Z56" si="1">+EQ34*30</f>
        <v>120</v>
      </c>
      <c r="AA34" s="672"/>
      <c r="AB34" s="672"/>
      <c r="AC34" s="673"/>
      <c r="AD34" s="666"/>
      <c r="AE34" s="667"/>
      <c r="AF34" s="675"/>
      <c r="AG34" s="685">
        <f t="shared" ref="AG34:AG56" si="2">SUM(AL34:BE34)</f>
        <v>60</v>
      </c>
      <c r="AH34" s="686"/>
      <c r="AI34" s="686"/>
      <c r="AJ34" s="686"/>
      <c r="AK34" s="687"/>
      <c r="AL34" s="685"/>
      <c r="AM34" s="686"/>
      <c r="AN34" s="686"/>
      <c r="AO34" s="686"/>
      <c r="AP34" s="687"/>
      <c r="AQ34" s="685">
        <v>60</v>
      </c>
      <c r="AR34" s="686"/>
      <c r="AS34" s="686"/>
      <c r="AT34" s="686"/>
      <c r="AU34" s="687"/>
      <c r="AV34" s="685"/>
      <c r="AW34" s="686"/>
      <c r="AX34" s="686"/>
      <c r="AY34" s="686"/>
      <c r="AZ34" s="687"/>
      <c r="BA34" s="680"/>
      <c r="BB34" s="681"/>
      <c r="BC34" s="681"/>
      <c r="BD34" s="681"/>
      <c r="BE34" s="682"/>
      <c r="BF34" s="680"/>
      <c r="BG34" s="681"/>
      <c r="BH34" s="681"/>
      <c r="BI34" s="681"/>
      <c r="BJ34" s="682"/>
      <c r="BK34" s="665">
        <f t="shared" ref="BK34:BK56" si="3">Z34-AG34</f>
        <v>60</v>
      </c>
      <c r="BL34" s="683"/>
      <c r="BM34" s="683"/>
      <c r="BN34" s="684"/>
      <c r="BO34" s="679"/>
      <c r="BP34" s="667"/>
      <c r="BQ34" s="667"/>
      <c r="BR34" s="667"/>
      <c r="BS34" s="675"/>
      <c r="BT34" s="666">
        <v>4</v>
      </c>
      <c r="BU34" s="667"/>
      <c r="BV34" s="667"/>
      <c r="BW34" s="667"/>
      <c r="BX34" s="675"/>
      <c r="BY34" s="676"/>
      <c r="BZ34" s="677"/>
      <c r="CA34" s="677"/>
      <c r="CB34" s="677"/>
      <c r="CC34" s="678"/>
      <c r="CD34" s="676"/>
      <c r="CE34" s="677"/>
      <c r="CF34" s="677"/>
      <c r="CG34" s="677"/>
      <c r="CH34" s="678"/>
      <c r="CI34" s="666"/>
      <c r="CJ34" s="667"/>
      <c r="CK34" s="667"/>
      <c r="CL34" s="667"/>
      <c r="CM34" s="675"/>
      <c r="CN34" s="666"/>
      <c r="CO34" s="667"/>
      <c r="CP34" s="667"/>
      <c r="CQ34" s="667"/>
      <c r="CR34" s="675"/>
      <c r="CS34" s="666"/>
      <c r="CT34" s="667"/>
      <c r="CU34" s="667"/>
      <c r="CV34" s="667"/>
      <c r="CW34" s="675"/>
      <c r="CX34" s="666"/>
      <c r="CY34" s="667"/>
      <c r="CZ34" s="667"/>
      <c r="DA34" s="667"/>
      <c r="DB34" s="668"/>
      <c r="DC34" s="679"/>
      <c r="DD34" s="667"/>
      <c r="DE34" s="667"/>
      <c r="DF34" s="667"/>
      <c r="DG34" s="675"/>
      <c r="DH34" s="666">
        <v>4</v>
      </c>
      <c r="DI34" s="667"/>
      <c r="DJ34" s="667"/>
      <c r="DK34" s="667"/>
      <c r="DL34" s="675"/>
      <c r="DM34" s="666"/>
      <c r="DN34" s="667"/>
      <c r="DO34" s="667"/>
      <c r="DP34" s="667"/>
      <c r="DQ34" s="675"/>
      <c r="DR34" s="666"/>
      <c r="DS34" s="667"/>
      <c r="DT34" s="667"/>
      <c r="DU34" s="667"/>
      <c r="DV34" s="675"/>
      <c r="DW34" s="666"/>
      <c r="DX34" s="667"/>
      <c r="DY34" s="667"/>
      <c r="DZ34" s="667"/>
      <c r="EA34" s="675"/>
      <c r="EB34" s="666"/>
      <c r="EC34" s="667"/>
      <c r="ED34" s="667"/>
      <c r="EE34" s="667"/>
      <c r="EF34" s="675"/>
      <c r="EG34" s="666"/>
      <c r="EH34" s="667"/>
      <c r="EI34" s="667"/>
      <c r="EJ34" s="667"/>
      <c r="EK34" s="675"/>
      <c r="EL34" s="666"/>
      <c r="EM34" s="667"/>
      <c r="EN34" s="667"/>
      <c r="EO34" s="667"/>
      <c r="EP34" s="668"/>
      <c r="EQ34" s="669">
        <f t="shared" si="0"/>
        <v>4</v>
      </c>
      <c r="ER34" s="670"/>
      <c r="ES34" s="659"/>
      <c r="ET34" s="261"/>
      <c r="EX34" s="230"/>
      <c r="EY34" s="231">
        <v>4</v>
      </c>
      <c r="EZ34" s="232"/>
      <c r="FC34" s="243"/>
      <c r="FD34" s="266" t="s">
        <v>287</v>
      </c>
      <c r="FE34" s="243"/>
      <c r="FF34" s="243"/>
      <c r="FG34" s="243"/>
      <c r="FH34" s="243"/>
      <c r="FI34" s="255">
        <v>9</v>
      </c>
      <c r="FJ34" s="255"/>
    </row>
    <row r="35" spans="1:166" s="55" customFormat="1" ht="90" customHeight="1" x14ac:dyDescent="0.65">
      <c r="A35" s="54" t="s">
        <v>82</v>
      </c>
      <c r="B35" s="135" t="s">
        <v>130</v>
      </c>
      <c r="C35" s="653" t="s">
        <v>75</v>
      </c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71">
        <f t="shared" si="1"/>
        <v>120</v>
      </c>
      <c r="AA35" s="672"/>
      <c r="AB35" s="672"/>
      <c r="AC35" s="673"/>
      <c r="AD35" s="655"/>
      <c r="AE35" s="655"/>
      <c r="AF35" s="655"/>
      <c r="AG35" s="656">
        <f t="shared" si="2"/>
        <v>60</v>
      </c>
      <c r="AH35" s="656"/>
      <c r="AI35" s="656"/>
      <c r="AJ35" s="656"/>
      <c r="AK35" s="656"/>
      <c r="AL35" s="674">
        <v>30</v>
      </c>
      <c r="AM35" s="674"/>
      <c r="AN35" s="674"/>
      <c r="AO35" s="674"/>
      <c r="AP35" s="674"/>
      <c r="AQ35" s="674"/>
      <c r="AR35" s="674"/>
      <c r="AS35" s="674"/>
      <c r="AT35" s="674"/>
      <c r="AU35" s="674"/>
      <c r="AV35" s="656">
        <v>30</v>
      </c>
      <c r="AW35" s="656"/>
      <c r="AX35" s="656"/>
      <c r="AY35" s="656"/>
      <c r="AZ35" s="656"/>
      <c r="BA35" s="663"/>
      <c r="BB35" s="663"/>
      <c r="BC35" s="663"/>
      <c r="BD35" s="663"/>
      <c r="BE35" s="663"/>
      <c r="BF35" s="663"/>
      <c r="BG35" s="663"/>
      <c r="BH35" s="663"/>
      <c r="BI35" s="663"/>
      <c r="BJ35" s="663"/>
      <c r="BK35" s="664">
        <f t="shared" si="3"/>
        <v>60</v>
      </c>
      <c r="BL35" s="664"/>
      <c r="BM35" s="664"/>
      <c r="BN35" s="665"/>
      <c r="BO35" s="661"/>
      <c r="BP35" s="655"/>
      <c r="BQ35" s="655"/>
      <c r="BR35" s="655"/>
      <c r="BS35" s="655"/>
      <c r="BT35" s="655">
        <v>4</v>
      </c>
      <c r="BU35" s="655"/>
      <c r="BV35" s="655"/>
      <c r="BW35" s="655"/>
      <c r="BX35" s="655"/>
      <c r="BY35" s="662"/>
      <c r="BZ35" s="662"/>
      <c r="CA35" s="662"/>
      <c r="CB35" s="662"/>
      <c r="CC35" s="662"/>
      <c r="CD35" s="662"/>
      <c r="CE35" s="662"/>
      <c r="CF35" s="662"/>
      <c r="CG35" s="662"/>
      <c r="CH35" s="662"/>
      <c r="CI35" s="655"/>
      <c r="CJ35" s="655"/>
      <c r="CK35" s="655"/>
      <c r="CL35" s="655"/>
      <c r="CM35" s="655"/>
      <c r="CN35" s="655"/>
      <c r="CO35" s="655"/>
      <c r="CP35" s="655"/>
      <c r="CQ35" s="655"/>
      <c r="CR35" s="655"/>
      <c r="CS35" s="655"/>
      <c r="CT35" s="655"/>
      <c r="CU35" s="655"/>
      <c r="CV35" s="655"/>
      <c r="CW35" s="655"/>
      <c r="CX35" s="655"/>
      <c r="CY35" s="655"/>
      <c r="CZ35" s="655"/>
      <c r="DA35" s="655"/>
      <c r="DB35" s="658"/>
      <c r="DC35" s="661"/>
      <c r="DD35" s="655"/>
      <c r="DE35" s="655"/>
      <c r="DF35" s="655"/>
      <c r="DG35" s="655"/>
      <c r="DH35" s="662">
        <v>4</v>
      </c>
      <c r="DI35" s="662"/>
      <c r="DJ35" s="662"/>
      <c r="DK35" s="662"/>
      <c r="DL35" s="662"/>
      <c r="DM35" s="655"/>
      <c r="DN35" s="655"/>
      <c r="DO35" s="655"/>
      <c r="DP35" s="655"/>
      <c r="DQ35" s="655"/>
      <c r="DR35" s="655"/>
      <c r="DS35" s="655"/>
      <c r="DT35" s="655"/>
      <c r="DU35" s="655"/>
      <c r="DV35" s="655"/>
      <c r="DW35" s="655"/>
      <c r="DX35" s="655"/>
      <c r="DY35" s="655"/>
      <c r="DZ35" s="655"/>
      <c r="EA35" s="655"/>
      <c r="EB35" s="655"/>
      <c r="EC35" s="655"/>
      <c r="ED35" s="655"/>
      <c r="EE35" s="655"/>
      <c r="EF35" s="655"/>
      <c r="EG35" s="655"/>
      <c r="EH35" s="655"/>
      <c r="EI35" s="655"/>
      <c r="EJ35" s="655"/>
      <c r="EK35" s="655"/>
      <c r="EL35" s="655"/>
      <c r="EM35" s="655"/>
      <c r="EN35" s="655"/>
      <c r="EO35" s="655"/>
      <c r="EP35" s="658"/>
      <c r="EQ35" s="659">
        <f t="shared" si="0"/>
        <v>4</v>
      </c>
      <c r="ER35" s="660"/>
      <c r="ES35" s="654"/>
      <c r="ET35" s="269" t="s">
        <v>302</v>
      </c>
      <c r="EX35" s="230"/>
      <c r="EY35" s="231">
        <v>5</v>
      </c>
      <c r="EZ35" s="232"/>
      <c r="FC35" s="243"/>
      <c r="FD35" s="266" t="s">
        <v>288</v>
      </c>
      <c r="FE35" s="243"/>
      <c r="FF35" s="243"/>
      <c r="FG35" s="243"/>
      <c r="FH35" s="243"/>
      <c r="FI35" s="255">
        <v>4</v>
      </c>
      <c r="FJ35" s="255"/>
    </row>
    <row r="36" spans="1:166" s="55" customFormat="1" ht="90" customHeight="1" x14ac:dyDescent="0.65">
      <c r="A36" s="54" t="s">
        <v>83</v>
      </c>
      <c r="B36" s="135" t="s">
        <v>132</v>
      </c>
      <c r="C36" s="653" t="s">
        <v>205</v>
      </c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71">
        <f t="shared" si="1"/>
        <v>360</v>
      </c>
      <c r="AA36" s="672"/>
      <c r="AB36" s="672"/>
      <c r="AC36" s="673"/>
      <c r="AD36" s="655"/>
      <c r="AE36" s="655"/>
      <c r="AF36" s="655"/>
      <c r="AG36" s="656">
        <f t="shared" si="2"/>
        <v>120</v>
      </c>
      <c r="AH36" s="656"/>
      <c r="AI36" s="656"/>
      <c r="AJ36" s="656"/>
      <c r="AK36" s="656"/>
      <c r="AL36" s="656">
        <v>60</v>
      </c>
      <c r="AM36" s="656"/>
      <c r="AN36" s="656"/>
      <c r="AO36" s="656"/>
      <c r="AP36" s="656"/>
      <c r="AQ36" s="656">
        <v>60</v>
      </c>
      <c r="AR36" s="656"/>
      <c r="AS36" s="656"/>
      <c r="AT36" s="656"/>
      <c r="AU36" s="656"/>
      <c r="AV36" s="656"/>
      <c r="AW36" s="656"/>
      <c r="AX36" s="656"/>
      <c r="AY36" s="656"/>
      <c r="AZ36" s="656"/>
      <c r="BA36" s="663"/>
      <c r="BB36" s="663"/>
      <c r="BC36" s="663"/>
      <c r="BD36" s="663"/>
      <c r="BE36" s="663"/>
      <c r="BF36" s="663"/>
      <c r="BG36" s="663"/>
      <c r="BH36" s="663"/>
      <c r="BI36" s="663"/>
      <c r="BJ36" s="663"/>
      <c r="BK36" s="664">
        <f t="shared" si="3"/>
        <v>240</v>
      </c>
      <c r="BL36" s="664"/>
      <c r="BM36" s="664"/>
      <c r="BN36" s="665"/>
      <c r="BO36" s="661">
        <v>4</v>
      </c>
      <c r="BP36" s="655"/>
      <c r="BQ36" s="655"/>
      <c r="BR36" s="655"/>
      <c r="BS36" s="655"/>
      <c r="BT36" s="655">
        <v>4</v>
      </c>
      <c r="BU36" s="655"/>
      <c r="BV36" s="655"/>
      <c r="BW36" s="655"/>
      <c r="BX36" s="655"/>
      <c r="BY36" s="662"/>
      <c r="BZ36" s="662"/>
      <c r="CA36" s="662"/>
      <c r="CB36" s="662"/>
      <c r="CC36" s="662"/>
      <c r="CD36" s="662"/>
      <c r="CE36" s="662"/>
      <c r="CF36" s="662"/>
      <c r="CG36" s="662"/>
      <c r="CH36" s="662"/>
      <c r="CI36" s="655"/>
      <c r="CJ36" s="655"/>
      <c r="CK36" s="655"/>
      <c r="CL36" s="655"/>
      <c r="CM36" s="655"/>
      <c r="CN36" s="655"/>
      <c r="CO36" s="655"/>
      <c r="CP36" s="655"/>
      <c r="CQ36" s="655"/>
      <c r="CR36" s="655"/>
      <c r="CS36" s="655"/>
      <c r="CT36" s="655"/>
      <c r="CU36" s="655"/>
      <c r="CV36" s="655"/>
      <c r="CW36" s="655"/>
      <c r="CX36" s="655"/>
      <c r="CY36" s="655"/>
      <c r="CZ36" s="655"/>
      <c r="DA36" s="655"/>
      <c r="DB36" s="658"/>
      <c r="DC36" s="689">
        <v>6</v>
      </c>
      <c r="DD36" s="662"/>
      <c r="DE36" s="662"/>
      <c r="DF36" s="662"/>
      <c r="DG36" s="662"/>
      <c r="DH36" s="662">
        <v>6</v>
      </c>
      <c r="DI36" s="662"/>
      <c r="DJ36" s="662"/>
      <c r="DK36" s="662"/>
      <c r="DL36" s="662"/>
      <c r="DM36" s="655"/>
      <c r="DN36" s="655"/>
      <c r="DO36" s="655"/>
      <c r="DP36" s="655"/>
      <c r="DQ36" s="655"/>
      <c r="DR36" s="655"/>
      <c r="DS36" s="655"/>
      <c r="DT36" s="655"/>
      <c r="DU36" s="655"/>
      <c r="DV36" s="655"/>
      <c r="DW36" s="655"/>
      <c r="DX36" s="655"/>
      <c r="DY36" s="655"/>
      <c r="DZ36" s="655"/>
      <c r="EA36" s="655"/>
      <c r="EB36" s="655"/>
      <c r="EC36" s="655"/>
      <c r="ED36" s="655"/>
      <c r="EE36" s="655"/>
      <c r="EF36" s="655"/>
      <c r="EG36" s="655"/>
      <c r="EH36" s="655"/>
      <c r="EI36" s="655"/>
      <c r="EJ36" s="655"/>
      <c r="EK36" s="655"/>
      <c r="EL36" s="655"/>
      <c r="EM36" s="655"/>
      <c r="EN36" s="655"/>
      <c r="EO36" s="655"/>
      <c r="EP36" s="658"/>
      <c r="EQ36" s="659">
        <f t="shared" si="0"/>
        <v>12</v>
      </c>
      <c r="ER36" s="660"/>
      <c r="ES36" s="654"/>
      <c r="ET36" s="269" t="s">
        <v>310</v>
      </c>
      <c r="EX36" s="230"/>
      <c r="EY36" s="231">
        <v>14</v>
      </c>
      <c r="EZ36" s="232"/>
      <c r="FC36" s="243"/>
      <c r="FD36" s="266" t="s">
        <v>290</v>
      </c>
      <c r="FE36" s="243"/>
      <c r="FF36" s="243"/>
      <c r="FG36" s="243"/>
      <c r="FH36" s="243"/>
      <c r="FI36" s="255">
        <v>9</v>
      </c>
      <c r="FJ36" s="255"/>
    </row>
    <row r="37" spans="1:166" s="55" customFormat="1" ht="90" customHeight="1" x14ac:dyDescent="0.65">
      <c r="A37" s="54" t="s">
        <v>84</v>
      </c>
      <c r="B37" s="135" t="s">
        <v>134</v>
      </c>
      <c r="C37" s="688" t="s">
        <v>178</v>
      </c>
      <c r="D37" s="688"/>
      <c r="E37" s="688"/>
      <c r="F37" s="688"/>
      <c r="G37" s="688"/>
      <c r="H37" s="688"/>
      <c r="I37" s="688"/>
      <c r="J37" s="688"/>
      <c r="K37" s="688"/>
      <c r="L37" s="688"/>
      <c r="M37" s="688"/>
      <c r="N37" s="688"/>
      <c r="O37" s="688"/>
      <c r="P37" s="688"/>
      <c r="Q37" s="688"/>
      <c r="R37" s="688"/>
      <c r="S37" s="688"/>
      <c r="T37" s="688"/>
      <c r="U37" s="688"/>
      <c r="V37" s="688"/>
      <c r="W37" s="688"/>
      <c r="X37" s="688"/>
      <c r="Y37" s="688"/>
      <c r="Z37" s="671">
        <f t="shared" si="1"/>
        <v>180</v>
      </c>
      <c r="AA37" s="672"/>
      <c r="AB37" s="672"/>
      <c r="AC37" s="673"/>
      <c r="AD37" s="655"/>
      <c r="AE37" s="655"/>
      <c r="AF37" s="655"/>
      <c r="AG37" s="656">
        <f t="shared" si="2"/>
        <v>72</v>
      </c>
      <c r="AH37" s="656"/>
      <c r="AI37" s="656"/>
      <c r="AJ37" s="656"/>
      <c r="AK37" s="656"/>
      <c r="AL37" s="674">
        <v>36</v>
      </c>
      <c r="AM37" s="674"/>
      <c r="AN37" s="674"/>
      <c r="AO37" s="674"/>
      <c r="AP37" s="674"/>
      <c r="AQ37" s="674">
        <v>36</v>
      </c>
      <c r="AR37" s="674"/>
      <c r="AS37" s="674"/>
      <c r="AT37" s="674"/>
      <c r="AU37" s="674"/>
      <c r="AV37" s="656"/>
      <c r="AW37" s="656"/>
      <c r="AX37" s="656"/>
      <c r="AY37" s="656"/>
      <c r="AZ37" s="656"/>
      <c r="BA37" s="663"/>
      <c r="BB37" s="663"/>
      <c r="BC37" s="663"/>
      <c r="BD37" s="663"/>
      <c r="BE37" s="663"/>
      <c r="BF37" s="663"/>
      <c r="BG37" s="663"/>
      <c r="BH37" s="663"/>
      <c r="BI37" s="663"/>
      <c r="BJ37" s="663"/>
      <c r="BK37" s="664">
        <f t="shared" si="3"/>
        <v>108</v>
      </c>
      <c r="BL37" s="664"/>
      <c r="BM37" s="664"/>
      <c r="BN37" s="665"/>
      <c r="BO37" s="661"/>
      <c r="BP37" s="655"/>
      <c r="BQ37" s="655"/>
      <c r="BR37" s="655"/>
      <c r="BS37" s="655"/>
      <c r="BT37" s="655"/>
      <c r="BU37" s="655"/>
      <c r="BV37" s="655"/>
      <c r="BW37" s="655"/>
      <c r="BX37" s="655"/>
      <c r="BY37" s="662">
        <v>5</v>
      </c>
      <c r="BZ37" s="662"/>
      <c r="CA37" s="662"/>
      <c r="CB37" s="662"/>
      <c r="CC37" s="662"/>
      <c r="CD37" s="662"/>
      <c r="CE37" s="662"/>
      <c r="CF37" s="662"/>
      <c r="CG37" s="662"/>
      <c r="CH37" s="662"/>
      <c r="CI37" s="655"/>
      <c r="CJ37" s="655"/>
      <c r="CK37" s="655"/>
      <c r="CL37" s="655"/>
      <c r="CM37" s="655"/>
      <c r="CN37" s="655"/>
      <c r="CO37" s="655"/>
      <c r="CP37" s="655"/>
      <c r="CQ37" s="655"/>
      <c r="CR37" s="655"/>
      <c r="CS37" s="655"/>
      <c r="CT37" s="655"/>
      <c r="CU37" s="655"/>
      <c r="CV37" s="655"/>
      <c r="CW37" s="655"/>
      <c r="CX37" s="655"/>
      <c r="CY37" s="655"/>
      <c r="CZ37" s="655"/>
      <c r="DA37" s="655"/>
      <c r="DB37" s="658"/>
      <c r="DC37" s="661"/>
      <c r="DD37" s="655"/>
      <c r="DE37" s="655"/>
      <c r="DF37" s="655"/>
      <c r="DG37" s="655"/>
      <c r="DH37" s="655"/>
      <c r="DI37" s="655"/>
      <c r="DJ37" s="655"/>
      <c r="DK37" s="655"/>
      <c r="DL37" s="655"/>
      <c r="DM37" s="655">
        <v>6</v>
      </c>
      <c r="DN37" s="655"/>
      <c r="DO37" s="655"/>
      <c r="DP37" s="655"/>
      <c r="DQ37" s="655"/>
      <c r="DR37" s="655"/>
      <c r="DS37" s="655"/>
      <c r="DT37" s="655"/>
      <c r="DU37" s="655"/>
      <c r="DV37" s="655"/>
      <c r="DW37" s="655"/>
      <c r="DX37" s="655"/>
      <c r="DY37" s="655"/>
      <c r="DZ37" s="655"/>
      <c r="EA37" s="655"/>
      <c r="EB37" s="655"/>
      <c r="EC37" s="655"/>
      <c r="ED37" s="655"/>
      <c r="EE37" s="655"/>
      <c r="EF37" s="655"/>
      <c r="EG37" s="655"/>
      <c r="EH37" s="655"/>
      <c r="EI37" s="655"/>
      <c r="EJ37" s="655"/>
      <c r="EK37" s="655"/>
      <c r="EL37" s="655"/>
      <c r="EM37" s="655"/>
      <c r="EN37" s="655"/>
      <c r="EO37" s="655"/>
      <c r="EP37" s="658"/>
      <c r="EQ37" s="659">
        <f t="shared" si="0"/>
        <v>6</v>
      </c>
      <c r="ER37" s="660"/>
      <c r="ES37" s="654"/>
      <c r="ET37" s="269"/>
      <c r="EX37" s="230"/>
      <c r="EY37" s="231">
        <v>9</v>
      </c>
      <c r="EZ37" s="232"/>
      <c r="FC37" s="243"/>
      <c r="FD37" s="244" t="s">
        <v>291</v>
      </c>
      <c r="FE37" s="243"/>
      <c r="FF37" s="243"/>
      <c r="FG37" s="243"/>
      <c r="FH37" s="243"/>
      <c r="FI37" s="255">
        <v>9</v>
      </c>
      <c r="FJ37" s="255"/>
    </row>
    <row r="38" spans="1:166" s="55" customFormat="1" ht="90" customHeight="1" x14ac:dyDescent="0.65">
      <c r="A38" s="54" t="s">
        <v>85</v>
      </c>
      <c r="B38" s="135" t="s">
        <v>136</v>
      </c>
      <c r="C38" s="653" t="s">
        <v>115</v>
      </c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71">
        <f t="shared" si="1"/>
        <v>120</v>
      </c>
      <c r="AA38" s="672"/>
      <c r="AB38" s="672"/>
      <c r="AC38" s="673"/>
      <c r="AD38" s="690"/>
      <c r="AE38" s="690"/>
      <c r="AF38" s="690"/>
      <c r="AG38" s="656">
        <f t="shared" si="2"/>
        <v>48</v>
      </c>
      <c r="AH38" s="656"/>
      <c r="AI38" s="656"/>
      <c r="AJ38" s="656"/>
      <c r="AK38" s="656"/>
      <c r="AL38" s="656">
        <v>24</v>
      </c>
      <c r="AM38" s="656"/>
      <c r="AN38" s="656"/>
      <c r="AO38" s="656"/>
      <c r="AP38" s="656"/>
      <c r="AQ38" s="656">
        <v>24</v>
      </c>
      <c r="AR38" s="656"/>
      <c r="AS38" s="656"/>
      <c r="AT38" s="656"/>
      <c r="AU38" s="656"/>
      <c r="AV38" s="656"/>
      <c r="AW38" s="656"/>
      <c r="AX38" s="656"/>
      <c r="AY38" s="656"/>
      <c r="AZ38" s="656"/>
      <c r="BA38" s="663"/>
      <c r="BB38" s="663"/>
      <c r="BC38" s="663"/>
      <c r="BD38" s="663"/>
      <c r="BE38" s="663"/>
      <c r="BF38" s="663"/>
      <c r="BG38" s="663"/>
      <c r="BH38" s="663"/>
      <c r="BI38" s="663"/>
      <c r="BJ38" s="663"/>
      <c r="BK38" s="664">
        <f t="shared" si="3"/>
        <v>72</v>
      </c>
      <c r="BL38" s="664"/>
      <c r="BM38" s="664"/>
      <c r="BN38" s="665"/>
      <c r="BO38" s="661"/>
      <c r="BP38" s="655"/>
      <c r="BQ38" s="655"/>
      <c r="BR38" s="655"/>
      <c r="BS38" s="655"/>
      <c r="BT38" s="655"/>
      <c r="BU38" s="655"/>
      <c r="BV38" s="655"/>
      <c r="BW38" s="655"/>
      <c r="BX38" s="655"/>
      <c r="BY38" s="662"/>
      <c r="BZ38" s="662"/>
      <c r="CA38" s="662"/>
      <c r="CB38" s="662"/>
      <c r="CC38" s="662"/>
      <c r="CD38" s="662">
        <v>3</v>
      </c>
      <c r="CE38" s="662"/>
      <c r="CF38" s="662"/>
      <c r="CG38" s="662"/>
      <c r="CH38" s="662"/>
      <c r="CI38" s="655"/>
      <c r="CJ38" s="655"/>
      <c r="CK38" s="655"/>
      <c r="CL38" s="655"/>
      <c r="CM38" s="655"/>
      <c r="CN38" s="655"/>
      <c r="CO38" s="655"/>
      <c r="CP38" s="655"/>
      <c r="CQ38" s="655"/>
      <c r="CR38" s="655"/>
      <c r="CS38" s="655"/>
      <c r="CT38" s="655"/>
      <c r="CU38" s="655"/>
      <c r="CV38" s="655"/>
      <c r="CW38" s="655"/>
      <c r="CX38" s="655"/>
      <c r="CY38" s="655"/>
      <c r="CZ38" s="655"/>
      <c r="DA38" s="655"/>
      <c r="DB38" s="658"/>
      <c r="DC38" s="661"/>
      <c r="DD38" s="655"/>
      <c r="DE38" s="655"/>
      <c r="DF38" s="655"/>
      <c r="DG38" s="655"/>
      <c r="DH38" s="655"/>
      <c r="DI38" s="655"/>
      <c r="DJ38" s="655"/>
      <c r="DK38" s="655"/>
      <c r="DL38" s="655"/>
      <c r="DM38" s="655"/>
      <c r="DN38" s="655"/>
      <c r="DO38" s="655"/>
      <c r="DP38" s="655"/>
      <c r="DQ38" s="655"/>
      <c r="DR38" s="655">
        <v>4</v>
      </c>
      <c r="DS38" s="655"/>
      <c r="DT38" s="655"/>
      <c r="DU38" s="655"/>
      <c r="DV38" s="655"/>
      <c r="DW38" s="655"/>
      <c r="DX38" s="655"/>
      <c r="DY38" s="655"/>
      <c r="DZ38" s="655"/>
      <c r="EA38" s="655"/>
      <c r="EB38" s="655"/>
      <c r="EC38" s="655"/>
      <c r="ED38" s="655"/>
      <c r="EE38" s="655"/>
      <c r="EF38" s="655"/>
      <c r="EG38" s="655"/>
      <c r="EH38" s="655"/>
      <c r="EI38" s="655"/>
      <c r="EJ38" s="655"/>
      <c r="EK38" s="655"/>
      <c r="EL38" s="655"/>
      <c r="EM38" s="655"/>
      <c r="EN38" s="655"/>
      <c r="EO38" s="655"/>
      <c r="EP38" s="658"/>
      <c r="EQ38" s="659">
        <f t="shared" si="0"/>
        <v>4</v>
      </c>
      <c r="ER38" s="660"/>
      <c r="ES38" s="654"/>
      <c r="ET38" s="269"/>
      <c r="EX38" s="230"/>
      <c r="EY38" s="231">
        <v>5</v>
      </c>
      <c r="EZ38" s="232"/>
      <c r="FC38" s="243"/>
      <c r="FD38" s="266" t="s">
        <v>292</v>
      </c>
      <c r="FE38" s="243"/>
      <c r="FF38" s="243"/>
      <c r="FG38" s="243"/>
      <c r="FH38" s="243"/>
      <c r="FI38" s="255">
        <v>8</v>
      </c>
      <c r="FJ38" s="255"/>
    </row>
    <row r="39" spans="1:166" s="176" customFormat="1" ht="90" customHeight="1" x14ac:dyDescent="0.65">
      <c r="A39" s="124" t="s">
        <v>86</v>
      </c>
      <c r="B39" s="139" t="s">
        <v>311</v>
      </c>
      <c r="C39" s="688" t="s">
        <v>210</v>
      </c>
      <c r="D39" s="688"/>
      <c r="E39" s="688"/>
      <c r="F39" s="688"/>
      <c r="G39" s="688"/>
      <c r="H39" s="688"/>
      <c r="I39" s="688"/>
      <c r="J39" s="688"/>
      <c r="K39" s="688"/>
      <c r="L39" s="688"/>
      <c r="M39" s="688"/>
      <c r="N39" s="688"/>
      <c r="O39" s="688"/>
      <c r="P39" s="688"/>
      <c r="Q39" s="688"/>
      <c r="R39" s="688"/>
      <c r="S39" s="688"/>
      <c r="T39" s="688"/>
      <c r="U39" s="688"/>
      <c r="V39" s="688"/>
      <c r="W39" s="688"/>
      <c r="X39" s="688"/>
      <c r="Y39" s="688"/>
      <c r="Z39" s="698">
        <f t="shared" si="1"/>
        <v>120</v>
      </c>
      <c r="AA39" s="699"/>
      <c r="AB39" s="699"/>
      <c r="AC39" s="700"/>
      <c r="AD39" s="662"/>
      <c r="AE39" s="662"/>
      <c r="AF39" s="662"/>
      <c r="AG39" s="674">
        <f t="shared" si="2"/>
        <v>48</v>
      </c>
      <c r="AH39" s="674"/>
      <c r="AI39" s="674"/>
      <c r="AJ39" s="674"/>
      <c r="AK39" s="674"/>
      <c r="AL39" s="674">
        <v>24</v>
      </c>
      <c r="AM39" s="674"/>
      <c r="AN39" s="674"/>
      <c r="AO39" s="674"/>
      <c r="AP39" s="674"/>
      <c r="AQ39" s="674">
        <v>24</v>
      </c>
      <c r="AR39" s="674"/>
      <c r="AS39" s="674"/>
      <c r="AT39" s="674"/>
      <c r="AU39" s="674"/>
      <c r="AV39" s="674"/>
      <c r="AW39" s="674"/>
      <c r="AX39" s="674"/>
      <c r="AY39" s="674"/>
      <c r="AZ39" s="674"/>
      <c r="BA39" s="695"/>
      <c r="BB39" s="695"/>
      <c r="BC39" s="695"/>
      <c r="BD39" s="695"/>
      <c r="BE39" s="695"/>
      <c r="BF39" s="695"/>
      <c r="BG39" s="695"/>
      <c r="BH39" s="695"/>
      <c r="BI39" s="695"/>
      <c r="BJ39" s="695"/>
      <c r="BK39" s="696">
        <f t="shared" si="3"/>
        <v>72</v>
      </c>
      <c r="BL39" s="696"/>
      <c r="BM39" s="696"/>
      <c r="BN39" s="697"/>
      <c r="BO39" s="689"/>
      <c r="BP39" s="662"/>
      <c r="BQ39" s="662"/>
      <c r="BR39" s="662"/>
      <c r="BS39" s="662"/>
      <c r="BT39" s="662"/>
      <c r="BU39" s="662"/>
      <c r="BV39" s="662"/>
      <c r="BW39" s="662"/>
      <c r="BX39" s="662"/>
      <c r="BY39" s="662"/>
      <c r="BZ39" s="662"/>
      <c r="CA39" s="662"/>
      <c r="CB39" s="662"/>
      <c r="CC39" s="662"/>
      <c r="CD39" s="662"/>
      <c r="CE39" s="662"/>
      <c r="CF39" s="662"/>
      <c r="CG39" s="662"/>
      <c r="CH39" s="662"/>
      <c r="CI39" s="662"/>
      <c r="CJ39" s="662"/>
      <c r="CK39" s="662"/>
      <c r="CL39" s="662"/>
      <c r="CM39" s="662"/>
      <c r="CN39" s="662"/>
      <c r="CO39" s="662"/>
      <c r="CP39" s="662"/>
      <c r="CQ39" s="662"/>
      <c r="CR39" s="662"/>
      <c r="CS39" s="662">
        <v>3</v>
      </c>
      <c r="CT39" s="662"/>
      <c r="CU39" s="662"/>
      <c r="CV39" s="662"/>
      <c r="CW39" s="662"/>
      <c r="CX39" s="662"/>
      <c r="CY39" s="662"/>
      <c r="CZ39" s="662"/>
      <c r="DA39" s="662"/>
      <c r="DB39" s="694"/>
      <c r="DC39" s="689"/>
      <c r="DD39" s="662"/>
      <c r="DE39" s="662"/>
      <c r="DF39" s="662"/>
      <c r="DG39" s="662"/>
      <c r="DH39" s="662"/>
      <c r="DI39" s="662"/>
      <c r="DJ39" s="662"/>
      <c r="DK39" s="662"/>
      <c r="DL39" s="662"/>
      <c r="DM39" s="662"/>
      <c r="DN39" s="662"/>
      <c r="DO39" s="662"/>
      <c r="DP39" s="662"/>
      <c r="DQ39" s="662"/>
      <c r="DR39" s="662"/>
      <c r="DS39" s="662"/>
      <c r="DT39" s="662"/>
      <c r="DU39" s="662"/>
      <c r="DV39" s="662"/>
      <c r="DW39" s="662"/>
      <c r="DX39" s="662"/>
      <c r="DY39" s="662"/>
      <c r="DZ39" s="662"/>
      <c r="EA39" s="662"/>
      <c r="EB39" s="662"/>
      <c r="EC39" s="662"/>
      <c r="ED39" s="662"/>
      <c r="EE39" s="662"/>
      <c r="EF39" s="662"/>
      <c r="EG39" s="662">
        <v>4</v>
      </c>
      <c r="EH39" s="662"/>
      <c r="EI39" s="662"/>
      <c r="EJ39" s="662"/>
      <c r="EK39" s="662"/>
      <c r="EL39" s="662"/>
      <c r="EM39" s="662"/>
      <c r="EN39" s="662"/>
      <c r="EO39" s="662"/>
      <c r="EP39" s="694"/>
      <c r="EQ39" s="691">
        <f t="shared" si="0"/>
        <v>4</v>
      </c>
      <c r="ER39" s="692"/>
      <c r="ES39" s="693"/>
      <c r="ET39" s="267"/>
      <c r="EX39" s="233"/>
      <c r="EY39" s="234">
        <v>8</v>
      </c>
      <c r="EZ39" s="235"/>
      <c r="FC39" s="253"/>
      <c r="FD39" s="254"/>
      <c r="FE39" s="253"/>
      <c r="FF39" s="253"/>
      <c r="FG39" s="253"/>
      <c r="FH39" s="253"/>
      <c r="FI39" s="259"/>
      <c r="FJ39" s="259"/>
    </row>
    <row r="40" spans="1:166" s="127" customFormat="1" ht="90" customHeight="1" x14ac:dyDescent="0.65">
      <c r="A40" s="124" t="s">
        <v>87</v>
      </c>
      <c r="B40" s="136" t="s">
        <v>137</v>
      </c>
      <c r="C40" s="653" t="s">
        <v>124</v>
      </c>
      <c r="D40" s="653"/>
      <c r="E40" s="653"/>
      <c r="F40" s="653"/>
      <c r="G40" s="653"/>
      <c r="H40" s="653"/>
      <c r="I40" s="653"/>
      <c r="J40" s="653"/>
      <c r="K40" s="653"/>
      <c r="L40" s="653"/>
      <c r="M40" s="653"/>
      <c r="N40" s="653"/>
      <c r="O40" s="653"/>
      <c r="P40" s="653"/>
      <c r="Q40" s="653"/>
      <c r="R40" s="653"/>
      <c r="S40" s="653"/>
      <c r="T40" s="653"/>
      <c r="U40" s="653"/>
      <c r="V40" s="653"/>
      <c r="W40" s="653"/>
      <c r="X40" s="653"/>
      <c r="Y40" s="653"/>
      <c r="Z40" s="698">
        <f t="shared" si="1"/>
        <v>120</v>
      </c>
      <c r="AA40" s="699"/>
      <c r="AB40" s="699"/>
      <c r="AC40" s="700"/>
      <c r="AD40" s="662"/>
      <c r="AE40" s="662"/>
      <c r="AF40" s="662"/>
      <c r="AG40" s="674">
        <f t="shared" si="2"/>
        <v>48</v>
      </c>
      <c r="AH40" s="674"/>
      <c r="AI40" s="674"/>
      <c r="AJ40" s="674"/>
      <c r="AK40" s="674"/>
      <c r="AL40" s="674">
        <v>24</v>
      </c>
      <c r="AM40" s="674"/>
      <c r="AN40" s="674"/>
      <c r="AO40" s="674"/>
      <c r="AP40" s="674"/>
      <c r="AQ40" s="674">
        <v>24</v>
      </c>
      <c r="AR40" s="674"/>
      <c r="AS40" s="674"/>
      <c r="AT40" s="674"/>
      <c r="AU40" s="674"/>
      <c r="AV40" s="674"/>
      <c r="AW40" s="674"/>
      <c r="AX40" s="674"/>
      <c r="AY40" s="674"/>
      <c r="AZ40" s="674"/>
      <c r="BA40" s="695"/>
      <c r="BB40" s="695"/>
      <c r="BC40" s="695"/>
      <c r="BD40" s="695"/>
      <c r="BE40" s="695"/>
      <c r="BF40" s="695"/>
      <c r="BG40" s="695"/>
      <c r="BH40" s="695"/>
      <c r="BI40" s="695"/>
      <c r="BJ40" s="695"/>
      <c r="BK40" s="696">
        <f t="shared" si="3"/>
        <v>72</v>
      </c>
      <c r="BL40" s="696"/>
      <c r="BM40" s="696"/>
      <c r="BN40" s="697"/>
      <c r="BO40" s="689"/>
      <c r="BP40" s="662"/>
      <c r="BQ40" s="662"/>
      <c r="BR40" s="662"/>
      <c r="BS40" s="662"/>
      <c r="BT40" s="662"/>
      <c r="BU40" s="662"/>
      <c r="BV40" s="662"/>
      <c r="BW40" s="662"/>
      <c r="BX40" s="662"/>
      <c r="BY40" s="662"/>
      <c r="BZ40" s="662"/>
      <c r="CA40" s="662"/>
      <c r="CB40" s="662"/>
      <c r="CC40" s="662"/>
      <c r="CD40" s="662">
        <v>3</v>
      </c>
      <c r="CE40" s="662"/>
      <c r="CF40" s="662"/>
      <c r="CG40" s="662"/>
      <c r="CH40" s="662"/>
      <c r="CI40" s="662"/>
      <c r="CJ40" s="662"/>
      <c r="CK40" s="662"/>
      <c r="CL40" s="662"/>
      <c r="CM40" s="662"/>
      <c r="CN40" s="662"/>
      <c r="CO40" s="662"/>
      <c r="CP40" s="662"/>
      <c r="CQ40" s="662"/>
      <c r="CR40" s="662"/>
      <c r="CS40" s="662"/>
      <c r="CT40" s="662"/>
      <c r="CU40" s="662"/>
      <c r="CV40" s="662"/>
      <c r="CW40" s="662"/>
      <c r="CX40" s="662"/>
      <c r="CY40" s="662"/>
      <c r="CZ40" s="662"/>
      <c r="DA40" s="662"/>
      <c r="DB40" s="694"/>
      <c r="DC40" s="689"/>
      <c r="DD40" s="662"/>
      <c r="DE40" s="662"/>
      <c r="DF40" s="662"/>
      <c r="DG40" s="662"/>
      <c r="DH40" s="662"/>
      <c r="DI40" s="662"/>
      <c r="DJ40" s="662"/>
      <c r="DK40" s="662"/>
      <c r="DL40" s="662"/>
      <c r="DM40" s="662"/>
      <c r="DN40" s="662"/>
      <c r="DO40" s="662"/>
      <c r="DP40" s="662"/>
      <c r="DQ40" s="662"/>
      <c r="DR40" s="662">
        <v>4</v>
      </c>
      <c r="DS40" s="662"/>
      <c r="DT40" s="662"/>
      <c r="DU40" s="662"/>
      <c r="DV40" s="662"/>
      <c r="DW40" s="662"/>
      <c r="DX40" s="662"/>
      <c r="DY40" s="662"/>
      <c r="DZ40" s="662"/>
      <c r="EA40" s="662"/>
      <c r="EB40" s="662"/>
      <c r="EC40" s="662"/>
      <c r="ED40" s="662"/>
      <c r="EE40" s="662"/>
      <c r="EF40" s="662"/>
      <c r="EG40" s="662"/>
      <c r="EH40" s="662"/>
      <c r="EI40" s="662"/>
      <c r="EJ40" s="662"/>
      <c r="EK40" s="662"/>
      <c r="EL40" s="662"/>
      <c r="EM40" s="662"/>
      <c r="EN40" s="662"/>
      <c r="EO40" s="662"/>
      <c r="EP40" s="694"/>
      <c r="EQ40" s="691">
        <f t="shared" si="0"/>
        <v>4</v>
      </c>
      <c r="ER40" s="692"/>
      <c r="ES40" s="693"/>
      <c r="ET40" s="267"/>
      <c r="EX40" s="233"/>
      <c r="EY40" s="234">
        <v>9</v>
      </c>
      <c r="EZ40" s="235"/>
      <c r="FC40" s="247"/>
      <c r="FD40" s="248"/>
      <c r="FE40" s="247"/>
      <c r="FF40" s="247"/>
      <c r="FG40" s="247"/>
      <c r="FH40" s="247"/>
      <c r="FI40" s="256"/>
      <c r="FJ40" s="256"/>
    </row>
    <row r="41" spans="1:166" s="127" customFormat="1" ht="90" customHeight="1" x14ac:dyDescent="0.65">
      <c r="A41" s="124" t="s">
        <v>88</v>
      </c>
      <c r="B41" s="136" t="s">
        <v>138</v>
      </c>
      <c r="C41" s="653" t="s">
        <v>187</v>
      </c>
      <c r="D41" s="653"/>
      <c r="E41" s="653"/>
      <c r="F41" s="653"/>
      <c r="G41" s="653"/>
      <c r="H41" s="653"/>
      <c r="I41" s="653"/>
      <c r="J41" s="653"/>
      <c r="K41" s="653"/>
      <c r="L41" s="653"/>
      <c r="M41" s="653"/>
      <c r="N41" s="653"/>
      <c r="O41" s="653"/>
      <c r="P41" s="653"/>
      <c r="Q41" s="653"/>
      <c r="R41" s="653"/>
      <c r="S41" s="653"/>
      <c r="T41" s="653"/>
      <c r="U41" s="653"/>
      <c r="V41" s="653"/>
      <c r="W41" s="653"/>
      <c r="X41" s="653"/>
      <c r="Y41" s="653"/>
      <c r="Z41" s="698">
        <f t="shared" si="1"/>
        <v>150</v>
      </c>
      <c r="AA41" s="699"/>
      <c r="AB41" s="699"/>
      <c r="AC41" s="700"/>
      <c r="AD41" s="662"/>
      <c r="AE41" s="662"/>
      <c r="AF41" s="662"/>
      <c r="AG41" s="674">
        <f t="shared" si="2"/>
        <v>60</v>
      </c>
      <c r="AH41" s="674"/>
      <c r="AI41" s="674"/>
      <c r="AJ41" s="674"/>
      <c r="AK41" s="674"/>
      <c r="AL41" s="674">
        <v>30</v>
      </c>
      <c r="AM41" s="674"/>
      <c r="AN41" s="674"/>
      <c r="AO41" s="674"/>
      <c r="AP41" s="674"/>
      <c r="AQ41" s="674">
        <v>30</v>
      </c>
      <c r="AR41" s="674"/>
      <c r="AS41" s="674"/>
      <c r="AT41" s="674"/>
      <c r="AU41" s="674"/>
      <c r="AV41" s="674"/>
      <c r="AW41" s="674"/>
      <c r="AX41" s="674"/>
      <c r="AY41" s="674"/>
      <c r="AZ41" s="674"/>
      <c r="BA41" s="695"/>
      <c r="BB41" s="695"/>
      <c r="BC41" s="695"/>
      <c r="BD41" s="695"/>
      <c r="BE41" s="695"/>
      <c r="BF41" s="695"/>
      <c r="BG41" s="695"/>
      <c r="BH41" s="695"/>
      <c r="BI41" s="695"/>
      <c r="BJ41" s="695"/>
      <c r="BK41" s="696">
        <f t="shared" si="3"/>
        <v>90</v>
      </c>
      <c r="BL41" s="696"/>
      <c r="BM41" s="696"/>
      <c r="BN41" s="697"/>
      <c r="BO41" s="689"/>
      <c r="BP41" s="662"/>
      <c r="BQ41" s="662"/>
      <c r="BR41" s="662"/>
      <c r="BS41" s="662"/>
      <c r="BT41" s="662"/>
      <c r="BU41" s="662"/>
      <c r="BV41" s="662"/>
      <c r="BW41" s="662"/>
      <c r="BX41" s="662"/>
      <c r="BY41" s="662"/>
      <c r="BZ41" s="662"/>
      <c r="CA41" s="662"/>
      <c r="CB41" s="662"/>
      <c r="CC41" s="662"/>
      <c r="CD41" s="662"/>
      <c r="CE41" s="662"/>
      <c r="CF41" s="662"/>
      <c r="CG41" s="662"/>
      <c r="CH41" s="662"/>
      <c r="CI41" s="662">
        <v>4</v>
      </c>
      <c r="CJ41" s="662"/>
      <c r="CK41" s="662"/>
      <c r="CL41" s="662"/>
      <c r="CM41" s="662"/>
      <c r="CN41" s="662"/>
      <c r="CO41" s="662"/>
      <c r="CP41" s="662"/>
      <c r="CQ41" s="662"/>
      <c r="CR41" s="662"/>
      <c r="CS41" s="662"/>
      <c r="CT41" s="662"/>
      <c r="CU41" s="662"/>
      <c r="CV41" s="662"/>
      <c r="CW41" s="662"/>
      <c r="CX41" s="662"/>
      <c r="CY41" s="662"/>
      <c r="CZ41" s="662"/>
      <c r="DA41" s="662"/>
      <c r="DB41" s="694"/>
      <c r="DC41" s="689"/>
      <c r="DD41" s="662"/>
      <c r="DE41" s="662"/>
      <c r="DF41" s="662"/>
      <c r="DG41" s="662"/>
      <c r="DH41" s="662"/>
      <c r="DI41" s="662"/>
      <c r="DJ41" s="662"/>
      <c r="DK41" s="662"/>
      <c r="DL41" s="662"/>
      <c r="DM41" s="662"/>
      <c r="DN41" s="662"/>
      <c r="DO41" s="662"/>
      <c r="DP41" s="662"/>
      <c r="DQ41" s="662"/>
      <c r="DR41" s="662"/>
      <c r="DS41" s="662"/>
      <c r="DT41" s="662"/>
      <c r="DU41" s="662"/>
      <c r="DV41" s="662"/>
      <c r="DW41" s="662">
        <v>5</v>
      </c>
      <c r="DX41" s="662"/>
      <c r="DY41" s="662"/>
      <c r="DZ41" s="662"/>
      <c r="EA41" s="662"/>
      <c r="EB41" s="662"/>
      <c r="EC41" s="662"/>
      <c r="ED41" s="662"/>
      <c r="EE41" s="662"/>
      <c r="EF41" s="662"/>
      <c r="EG41" s="662"/>
      <c r="EH41" s="662"/>
      <c r="EI41" s="662"/>
      <c r="EJ41" s="662"/>
      <c r="EK41" s="662"/>
      <c r="EL41" s="662"/>
      <c r="EM41" s="662"/>
      <c r="EN41" s="662"/>
      <c r="EO41" s="662"/>
      <c r="EP41" s="694"/>
      <c r="EQ41" s="691">
        <f t="shared" si="0"/>
        <v>5</v>
      </c>
      <c r="ER41" s="692"/>
      <c r="ES41" s="693"/>
      <c r="ET41" s="262"/>
      <c r="EX41" s="233"/>
      <c r="EY41" s="234">
        <v>9</v>
      </c>
      <c r="EZ41" s="235"/>
      <c r="FC41" s="247"/>
      <c r="FD41" s="248"/>
      <c r="FE41" s="247"/>
      <c r="FF41" s="247"/>
      <c r="FG41" s="247"/>
      <c r="FH41" s="247"/>
      <c r="FI41" s="256"/>
      <c r="FJ41" s="256"/>
    </row>
    <row r="42" spans="1:166" s="127" customFormat="1" ht="90" customHeight="1" x14ac:dyDescent="0.65">
      <c r="A42" s="124" t="s">
        <v>4</v>
      </c>
      <c r="B42" s="136" t="s">
        <v>153</v>
      </c>
      <c r="C42" s="688" t="s">
        <v>154</v>
      </c>
      <c r="D42" s="688"/>
      <c r="E42" s="688"/>
      <c r="F42" s="688"/>
      <c r="G42" s="688"/>
      <c r="H42" s="688"/>
      <c r="I42" s="688"/>
      <c r="J42" s="688"/>
      <c r="K42" s="688"/>
      <c r="L42" s="688"/>
      <c r="M42" s="688"/>
      <c r="N42" s="688"/>
      <c r="O42" s="688"/>
      <c r="P42" s="688"/>
      <c r="Q42" s="688"/>
      <c r="R42" s="688"/>
      <c r="S42" s="688"/>
      <c r="T42" s="688"/>
      <c r="U42" s="688"/>
      <c r="V42" s="688"/>
      <c r="W42" s="688"/>
      <c r="X42" s="688"/>
      <c r="Y42" s="688"/>
      <c r="Z42" s="698">
        <f>+EQ42*30</f>
        <v>120</v>
      </c>
      <c r="AA42" s="699"/>
      <c r="AB42" s="699"/>
      <c r="AC42" s="700"/>
      <c r="AD42" s="662"/>
      <c r="AE42" s="662"/>
      <c r="AF42" s="662"/>
      <c r="AG42" s="674">
        <f>SUM(AL42:BE42)</f>
        <v>60</v>
      </c>
      <c r="AH42" s="674"/>
      <c r="AI42" s="674"/>
      <c r="AJ42" s="674"/>
      <c r="AK42" s="674"/>
      <c r="AL42" s="674">
        <v>30</v>
      </c>
      <c r="AM42" s="674"/>
      <c r="AN42" s="674"/>
      <c r="AO42" s="674"/>
      <c r="AP42" s="674"/>
      <c r="AQ42" s="674">
        <v>30</v>
      </c>
      <c r="AR42" s="674"/>
      <c r="AS42" s="674"/>
      <c r="AT42" s="674"/>
      <c r="AU42" s="674"/>
      <c r="AV42" s="674"/>
      <c r="AW42" s="674"/>
      <c r="AX42" s="674"/>
      <c r="AY42" s="674"/>
      <c r="AZ42" s="674"/>
      <c r="BA42" s="695"/>
      <c r="BB42" s="695"/>
      <c r="BC42" s="695"/>
      <c r="BD42" s="695"/>
      <c r="BE42" s="695"/>
      <c r="BF42" s="695"/>
      <c r="BG42" s="695"/>
      <c r="BH42" s="695"/>
      <c r="BI42" s="695"/>
      <c r="BJ42" s="695"/>
      <c r="BK42" s="696">
        <f>Z42-AG42</f>
        <v>60</v>
      </c>
      <c r="BL42" s="696"/>
      <c r="BM42" s="696"/>
      <c r="BN42" s="697"/>
      <c r="BO42" s="689">
        <v>4</v>
      </c>
      <c r="BP42" s="662"/>
      <c r="BQ42" s="662"/>
      <c r="BR42" s="662"/>
      <c r="BS42" s="662"/>
      <c r="BT42" s="662"/>
      <c r="BU42" s="662"/>
      <c r="BV42" s="662"/>
      <c r="BW42" s="662"/>
      <c r="BX42" s="662"/>
      <c r="BY42" s="662"/>
      <c r="BZ42" s="662"/>
      <c r="CA42" s="662"/>
      <c r="CB42" s="662"/>
      <c r="CC42" s="662"/>
      <c r="CD42" s="662"/>
      <c r="CE42" s="662"/>
      <c r="CF42" s="662"/>
      <c r="CG42" s="662"/>
      <c r="CH42" s="662"/>
      <c r="CI42" s="662"/>
      <c r="CJ42" s="662"/>
      <c r="CK42" s="662"/>
      <c r="CL42" s="662"/>
      <c r="CM42" s="662"/>
      <c r="CN42" s="662"/>
      <c r="CO42" s="662"/>
      <c r="CP42" s="662"/>
      <c r="CQ42" s="662"/>
      <c r="CR42" s="662"/>
      <c r="CS42" s="662"/>
      <c r="CT42" s="662"/>
      <c r="CU42" s="662"/>
      <c r="CV42" s="662"/>
      <c r="CW42" s="662"/>
      <c r="CX42" s="662"/>
      <c r="CY42" s="662"/>
      <c r="CZ42" s="662"/>
      <c r="DA42" s="662"/>
      <c r="DB42" s="694"/>
      <c r="DC42" s="689">
        <v>4</v>
      </c>
      <c r="DD42" s="662"/>
      <c r="DE42" s="662"/>
      <c r="DF42" s="662"/>
      <c r="DG42" s="662"/>
      <c r="DH42" s="662"/>
      <c r="DI42" s="662"/>
      <c r="DJ42" s="662"/>
      <c r="DK42" s="662"/>
      <c r="DL42" s="662"/>
      <c r="DM42" s="662"/>
      <c r="DN42" s="662"/>
      <c r="DO42" s="662"/>
      <c r="DP42" s="662"/>
      <c r="DQ42" s="662"/>
      <c r="DR42" s="662"/>
      <c r="DS42" s="662"/>
      <c r="DT42" s="662"/>
      <c r="DU42" s="662"/>
      <c r="DV42" s="662"/>
      <c r="DW42" s="662"/>
      <c r="DX42" s="662"/>
      <c r="DY42" s="662"/>
      <c r="DZ42" s="662"/>
      <c r="EA42" s="662"/>
      <c r="EB42" s="662"/>
      <c r="EC42" s="662"/>
      <c r="ED42" s="662"/>
      <c r="EE42" s="662"/>
      <c r="EF42" s="662"/>
      <c r="EG42" s="662"/>
      <c r="EH42" s="662"/>
      <c r="EI42" s="662"/>
      <c r="EJ42" s="662"/>
      <c r="EK42" s="662"/>
      <c r="EL42" s="662"/>
      <c r="EM42" s="662"/>
      <c r="EN42" s="662"/>
      <c r="EO42" s="662"/>
      <c r="EP42" s="694"/>
      <c r="EQ42" s="691">
        <f>DC42+DH42+DM42+DR42+DW42+EG42+EB42+EL42</f>
        <v>4</v>
      </c>
      <c r="ER42" s="692"/>
      <c r="ES42" s="693"/>
      <c r="ET42" s="262"/>
      <c r="EX42" s="233"/>
      <c r="EY42" s="234">
        <v>10</v>
      </c>
      <c r="EZ42" s="235"/>
      <c r="FC42" s="247"/>
      <c r="FD42" s="248"/>
      <c r="FE42" s="247"/>
      <c r="FF42" s="247"/>
      <c r="FG42" s="247"/>
      <c r="FH42" s="247"/>
      <c r="FI42" s="256"/>
      <c r="FJ42" s="256"/>
    </row>
    <row r="43" spans="1:166" s="127" customFormat="1" ht="90" customHeight="1" x14ac:dyDescent="0.65">
      <c r="A43" s="124" t="s">
        <v>5</v>
      </c>
      <c r="B43" s="136" t="s">
        <v>139</v>
      </c>
      <c r="C43" s="653" t="s">
        <v>149</v>
      </c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3"/>
      <c r="P43" s="653"/>
      <c r="Q43" s="653"/>
      <c r="R43" s="653"/>
      <c r="S43" s="653"/>
      <c r="T43" s="653"/>
      <c r="U43" s="653"/>
      <c r="V43" s="653"/>
      <c r="W43" s="653"/>
      <c r="X43" s="653"/>
      <c r="Y43" s="653"/>
      <c r="Z43" s="698">
        <f t="shared" si="1"/>
        <v>390</v>
      </c>
      <c r="AA43" s="699"/>
      <c r="AB43" s="699"/>
      <c r="AC43" s="700"/>
      <c r="AD43" s="662"/>
      <c r="AE43" s="662"/>
      <c r="AF43" s="662"/>
      <c r="AG43" s="674">
        <f t="shared" si="2"/>
        <v>156</v>
      </c>
      <c r="AH43" s="674"/>
      <c r="AI43" s="674"/>
      <c r="AJ43" s="674"/>
      <c r="AK43" s="674"/>
      <c r="AL43" s="674">
        <v>54</v>
      </c>
      <c r="AM43" s="674"/>
      <c r="AN43" s="674"/>
      <c r="AO43" s="674"/>
      <c r="AP43" s="674"/>
      <c r="AQ43" s="674">
        <v>102</v>
      </c>
      <c r="AR43" s="674"/>
      <c r="AS43" s="674"/>
      <c r="AT43" s="674"/>
      <c r="AU43" s="674"/>
      <c r="AV43" s="674"/>
      <c r="AW43" s="674"/>
      <c r="AX43" s="674"/>
      <c r="AY43" s="674"/>
      <c r="AZ43" s="674"/>
      <c r="BA43" s="695"/>
      <c r="BB43" s="695"/>
      <c r="BC43" s="695"/>
      <c r="BD43" s="695"/>
      <c r="BE43" s="695"/>
      <c r="BF43" s="695"/>
      <c r="BG43" s="695"/>
      <c r="BH43" s="695"/>
      <c r="BI43" s="695"/>
      <c r="BJ43" s="695"/>
      <c r="BK43" s="696">
        <f t="shared" si="3"/>
        <v>234</v>
      </c>
      <c r="BL43" s="696"/>
      <c r="BM43" s="696"/>
      <c r="BN43" s="697"/>
      <c r="BO43" s="689"/>
      <c r="BP43" s="662"/>
      <c r="BQ43" s="662"/>
      <c r="BR43" s="662"/>
      <c r="BS43" s="662"/>
      <c r="BT43" s="662"/>
      <c r="BU43" s="662"/>
      <c r="BV43" s="662"/>
      <c r="BW43" s="662"/>
      <c r="BX43" s="662"/>
      <c r="BY43" s="662"/>
      <c r="BZ43" s="662"/>
      <c r="CA43" s="662"/>
      <c r="CB43" s="662"/>
      <c r="CC43" s="662"/>
      <c r="CD43" s="662">
        <v>3</v>
      </c>
      <c r="CE43" s="662"/>
      <c r="CF43" s="662"/>
      <c r="CG43" s="662"/>
      <c r="CH43" s="662"/>
      <c r="CI43" s="662">
        <v>3</v>
      </c>
      <c r="CJ43" s="662"/>
      <c r="CK43" s="662"/>
      <c r="CL43" s="662"/>
      <c r="CM43" s="662"/>
      <c r="CN43" s="662">
        <v>4</v>
      </c>
      <c r="CO43" s="662"/>
      <c r="CP43" s="662"/>
      <c r="CQ43" s="662"/>
      <c r="CR43" s="662"/>
      <c r="CS43" s="662"/>
      <c r="CT43" s="662"/>
      <c r="CU43" s="662"/>
      <c r="CV43" s="662"/>
      <c r="CW43" s="662"/>
      <c r="CX43" s="662"/>
      <c r="CY43" s="662"/>
      <c r="CZ43" s="662"/>
      <c r="DA43" s="662"/>
      <c r="DB43" s="694"/>
      <c r="DC43" s="689"/>
      <c r="DD43" s="662"/>
      <c r="DE43" s="662"/>
      <c r="DF43" s="662"/>
      <c r="DG43" s="662"/>
      <c r="DH43" s="662"/>
      <c r="DI43" s="662"/>
      <c r="DJ43" s="662"/>
      <c r="DK43" s="662"/>
      <c r="DL43" s="662"/>
      <c r="DM43" s="662"/>
      <c r="DN43" s="662"/>
      <c r="DO43" s="662"/>
      <c r="DP43" s="662"/>
      <c r="DQ43" s="662"/>
      <c r="DR43" s="662">
        <v>4</v>
      </c>
      <c r="DS43" s="662"/>
      <c r="DT43" s="662"/>
      <c r="DU43" s="662"/>
      <c r="DV43" s="662"/>
      <c r="DW43" s="662">
        <v>4</v>
      </c>
      <c r="DX43" s="662"/>
      <c r="DY43" s="662"/>
      <c r="DZ43" s="662"/>
      <c r="EA43" s="662"/>
      <c r="EB43" s="662">
        <v>5</v>
      </c>
      <c r="EC43" s="662"/>
      <c r="ED43" s="662"/>
      <c r="EE43" s="662"/>
      <c r="EF43" s="662"/>
      <c r="EG43" s="662"/>
      <c r="EH43" s="662"/>
      <c r="EI43" s="662"/>
      <c r="EJ43" s="662"/>
      <c r="EK43" s="662"/>
      <c r="EL43" s="662"/>
      <c r="EM43" s="662"/>
      <c r="EN43" s="662"/>
      <c r="EO43" s="662"/>
      <c r="EP43" s="694"/>
      <c r="EQ43" s="691">
        <f t="shared" si="0"/>
        <v>13</v>
      </c>
      <c r="ER43" s="692"/>
      <c r="ES43" s="693"/>
      <c r="ET43" s="264"/>
      <c r="EX43" s="233"/>
      <c r="EY43" s="234"/>
      <c r="EZ43" s="235"/>
      <c r="FC43" s="247"/>
      <c r="FD43" s="248"/>
      <c r="FE43" s="247"/>
      <c r="FF43" s="247"/>
      <c r="FG43" s="247"/>
      <c r="FH43" s="247"/>
      <c r="FI43" s="256"/>
      <c r="FJ43" s="256"/>
    </row>
    <row r="44" spans="1:166" s="128" customFormat="1" ht="90" customHeight="1" x14ac:dyDescent="0.65">
      <c r="A44" s="124" t="s">
        <v>6</v>
      </c>
      <c r="B44" s="136" t="s">
        <v>141</v>
      </c>
      <c r="C44" s="653" t="s">
        <v>186</v>
      </c>
      <c r="D44" s="653"/>
      <c r="E44" s="653"/>
      <c r="F44" s="653"/>
      <c r="G44" s="653"/>
      <c r="H44" s="653"/>
      <c r="I44" s="653"/>
      <c r="J44" s="653"/>
      <c r="K44" s="653"/>
      <c r="L44" s="653"/>
      <c r="M44" s="653"/>
      <c r="N44" s="653"/>
      <c r="O44" s="653"/>
      <c r="P44" s="653"/>
      <c r="Q44" s="653"/>
      <c r="R44" s="653"/>
      <c r="S44" s="653"/>
      <c r="T44" s="653"/>
      <c r="U44" s="653"/>
      <c r="V44" s="653"/>
      <c r="W44" s="653"/>
      <c r="X44" s="653"/>
      <c r="Y44" s="653"/>
      <c r="Z44" s="698">
        <f t="shared" si="1"/>
        <v>210</v>
      </c>
      <c r="AA44" s="699"/>
      <c r="AB44" s="699"/>
      <c r="AC44" s="700"/>
      <c r="AD44" s="662"/>
      <c r="AE44" s="662"/>
      <c r="AF44" s="662"/>
      <c r="AG44" s="674">
        <f t="shared" si="2"/>
        <v>84</v>
      </c>
      <c r="AH44" s="674"/>
      <c r="AI44" s="674"/>
      <c r="AJ44" s="674"/>
      <c r="AK44" s="674"/>
      <c r="AL44" s="674">
        <v>42</v>
      </c>
      <c r="AM44" s="674"/>
      <c r="AN44" s="674"/>
      <c r="AO44" s="674"/>
      <c r="AP44" s="674"/>
      <c r="AQ44" s="674">
        <v>42</v>
      </c>
      <c r="AR44" s="674"/>
      <c r="AS44" s="674"/>
      <c r="AT44" s="674"/>
      <c r="AU44" s="674"/>
      <c r="AV44" s="674"/>
      <c r="AW44" s="674"/>
      <c r="AX44" s="674"/>
      <c r="AY44" s="674"/>
      <c r="AZ44" s="674"/>
      <c r="BA44" s="695"/>
      <c r="BB44" s="695"/>
      <c r="BC44" s="695"/>
      <c r="BD44" s="695"/>
      <c r="BE44" s="695"/>
      <c r="BF44" s="695"/>
      <c r="BG44" s="695"/>
      <c r="BH44" s="695"/>
      <c r="BI44" s="695"/>
      <c r="BJ44" s="695"/>
      <c r="BK44" s="696">
        <f t="shared" si="3"/>
        <v>126</v>
      </c>
      <c r="BL44" s="696"/>
      <c r="BM44" s="696"/>
      <c r="BN44" s="697"/>
      <c r="BO44" s="689"/>
      <c r="BP44" s="662"/>
      <c r="BQ44" s="662"/>
      <c r="BR44" s="662"/>
      <c r="BS44" s="662"/>
      <c r="BT44" s="662"/>
      <c r="BU44" s="662"/>
      <c r="BV44" s="662"/>
      <c r="BW44" s="662"/>
      <c r="BX44" s="662"/>
      <c r="BY44" s="662"/>
      <c r="BZ44" s="662"/>
      <c r="CA44" s="662"/>
      <c r="CB44" s="662"/>
      <c r="CC44" s="662"/>
      <c r="CD44" s="662"/>
      <c r="CE44" s="662"/>
      <c r="CF44" s="662"/>
      <c r="CG44" s="662"/>
      <c r="CH44" s="662"/>
      <c r="CI44" s="662"/>
      <c r="CJ44" s="662"/>
      <c r="CK44" s="662"/>
      <c r="CL44" s="662"/>
      <c r="CM44" s="662"/>
      <c r="CN44" s="662">
        <v>6</v>
      </c>
      <c r="CO44" s="662"/>
      <c r="CP44" s="662"/>
      <c r="CQ44" s="662"/>
      <c r="CR44" s="662"/>
      <c r="CS44" s="662"/>
      <c r="CT44" s="662"/>
      <c r="CU44" s="662"/>
      <c r="CV44" s="662"/>
      <c r="CW44" s="662"/>
      <c r="CX44" s="662"/>
      <c r="CY44" s="662"/>
      <c r="CZ44" s="662"/>
      <c r="DA44" s="662"/>
      <c r="DB44" s="694"/>
      <c r="DC44" s="689"/>
      <c r="DD44" s="662"/>
      <c r="DE44" s="662"/>
      <c r="DF44" s="662"/>
      <c r="DG44" s="662"/>
      <c r="DH44" s="662"/>
      <c r="DI44" s="662"/>
      <c r="DJ44" s="662"/>
      <c r="DK44" s="662"/>
      <c r="DL44" s="662"/>
      <c r="DM44" s="662"/>
      <c r="DN44" s="662"/>
      <c r="DO44" s="662"/>
      <c r="DP44" s="662"/>
      <c r="DQ44" s="662"/>
      <c r="DR44" s="662"/>
      <c r="DS44" s="662"/>
      <c r="DT44" s="662"/>
      <c r="DU44" s="662"/>
      <c r="DV44" s="662"/>
      <c r="DW44" s="662"/>
      <c r="DX44" s="662"/>
      <c r="DY44" s="662"/>
      <c r="DZ44" s="662"/>
      <c r="EA44" s="662"/>
      <c r="EB44" s="662">
        <v>7</v>
      </c>
      <c r="EC44" s="662"/>
      <c r="ED44" s="662"/>
      <c r="EE44" s="662"/>
      <c r="EF44" s="662"/>
      <c r="EG44" s="662"/>
      <c r="EH44" s="662"/>
      <c r="EI44" s="662"/>
      <c r="EJ44" s="662"/>
      <c r="EK44" s="662"/>
      <c r="EL44" s="662"/>
      <c r="EM44" s="662"/>
      <c r="EN44" s="662"/>
      <c r="EO44" s="662"/>
      <c r="EP44" s="694"/>
      <c r="EQ44" s="691">
        <f t="shared" si="0"/>
        <v>7</v>
      </c>
      <c r="ER44" s="692"/>
      <c r="ES44" s="693"/>
      <c r="ET44" s="262"/>
      <c r="EX44" s="233"/>
      <c r="EY44" s="234">
        <v>9</v>
      </c>
      <c r="EZ44" s="235"/>
      <c r="FC44" s="249"/>
      <c r="FD44" s="250"/>
      <c r="FE44" s="249"/>
      <c r="FF44" s="249"/>
      <c r="FG44" s="249"/>
      <c r="FH44" s="249"/>
      <c r="FI44" s="257"/>
      <c r="FJ44" s="257"/>
    </row>
    <row r="45" spans="1:166" s="128" customFormat="1" ht="90" customHeight="1" x14ac:dyDescent="0.65">
      <c r="A45" s="124" t="s">
        <v>7</v>
      </c>
      <c r="B45" s="136" t="s">
        <v>294</v>
      </c>
      <c r="C45" s="688" t="s">
        <v>293</v>
      </c>
      <c r="D45" s="688"/>
      <c r="E45" s="688"/>
      <c r="F45" s="688"/>
      <c r="G45" s="688"/>
      <c r="H45" s="688"/>
      <c r="I45" s="688"/>
      <c r="J45" s="688"/>
      <c r="K45" s="688"/>
      <c r="L45" s="688"/>
      <c r="M45" s="688"/>
      <c r="N45" s="688"/>
      <c r="O45" s="688"/>
      <c r="P45" s="688"/>
      <c r="Q45" s="688"/>
      <c r="R45" s="688"/>
      <c r="S45" s="688"/>
      <c r="T45" s="688"/>
      <c r="U45" s="688"/>
      <c r="V45" s="688"/>
      <c r="W45" s="688"/>
      <c r="X45" s="688"/>
      <c r="Y45" s="688"/>
      <c r="Z45" s="698">
        <f t="shared" si="1"/>
        <v>150</v>
      </c>
      <c r="AA45" s="699"/>
      <c r="AB45" s="699"/>
      <c r="AC45" s="700"/>
      <c r="AD45" s="662"/>
      <c r="AE45" s="662"/>
      <c r="AF45" s="662"/>
      <c r="AG45" s="674">
        <f t="shared" si="2"/>
        <v>60</v>
      </c>
      <c r="AH45" s="674"/>
      <c r="AI45" s="674"/>
      <c r="AJ45" s="674"/>
      <c r="AK45" s="674"/>
      <c r="AL45" s="674">
        <v>30</v>
      </c>
      <c r="AM45" s="674"/>
      <c r="AN45" s="674"/>
      <c r="AO45" s="674"/>
      <c r="AP45" s="674"/>
      <c r="AQ45" s="674">
        <v>30</v>
      </c>
      <c r="AR45" s="674"/>
      <c r="AS45" s="674"/>
      <c r="AT45" s="674"/>
      <c r="AU45" s="674"/>
      <c r="AV45" s="674"/>
      <c r="AW45" s="674"/>
      <c r="AX45" s="674"/>
      <c r="AY45" s="674"/>
      <c r="AZ45" s="674"/>
      <c r="BA45" s="695"/>
      <c r="BB45" s="695"/>
      <c r="BC45" s="695"/>
      <c r="BD45" s="695"/>
      <c r="BE45" s="695"/>
      <c r="BF45" s="695"/>
      <c r="BG45" s="695"/>
      <c r="BH45" s="695"/>
      <c r="BI45" s="695"/>
      <c r="BJ45" s="695"/>
      <c r="BK45" s="696">
        <f t="shared" si="3"/>
        <v>90</v>
      </c>
      <c r="BL45" s="696"/>
      <c r="BM45" s="696"/>
      <c r="BN45" s="697"/>
      <c r="BO45" s="689"/>
      <c r="BP45" s="662"/>
      <c r="BQ45" s="662"/>
      <c r="BR45" s="662"/>
      <c r="BS45" s="662"/>
      <c r="BT45" s="662"/>
      <c r="BU45" s="662"/>
      <c r="BV45" s="662"/>
      <c r="BW45" s="662"/>
      <c r="BX45" s="662"/>
      <c r="BY45" s="662"/>
      <c r="BZ45" s="662"/>
      <c r="CA45" s="662"/>
      <c r="CB45" s="662"/>
      <c r="CC45" s="662"/>
      <c r="CD45" s="662"/>
      <c r="CE45" s="662"/>
      <c r="CF45" s="662"/>
      <c r="CG45" s="662"/>
      <c r="CH45" s="662"/>
      <c r="CI45" s="662"/>
      <c r="CJ45" s="662"/>
      <c r="CK45" s="662"/>
      <c r="CL45" s="662"/>
      <c r="CM45" s="662"/>
      <c r="CN45" s="662"/>
      <c r="CO45" s="662"/>
      <c r="CP45" s="662"/>
      <c r="CQ45" s="662"/>
      <c r="CR45" s="662"/>
      <c r="CS45" s="662">
        <v>4</v>
      </c>
      <c r="CT45" s="662"/>
      <c r="CU45" s="662"/>
      <c r="CV45" s="662"/>
      <c r="CW45" s="662"/>
      <c r="CX45" s="662"/>
      <c r="CY45" s="662"/>
      <c r="CZ45" s="662"/>
      <c r="DA45" s="662"/>
      <c r="DB45" s="694"/>
      <c r="DC45" s="689"/>
      <c r="DD45" s="662"/>
      <c r="DE45" s="662"/>
      <c r="DF45" s="662"/>
      <c r="DG45" s="662"/>
      <c r="DH45" s="662"/>
      <c r="DI45" s="662"/>
      <c r="DJ45" s="662"/>
      <c r="DK45" s="662"/>
      <c r="DL45" s="662"/>
      <c r="DM45" s="662"/>
      <c r="DN45" s="662"/>
      <c r="DO45" s="662"/>
      <c r="DP45" s="662"/>
      <c r="DQ45" s="662"/>
      <c r="DR45" s="662"/>
      <c r="DS45" s="662"/>
      <c r="DT45" s="662"/>
      <c r="DU45" s="662"/>
      <c r="DV45" s="662"/>
      <c r="DW45" s="662"/>
      <c r="DX45" s="662"/>
      <c r="DY45" s="662"/>
      <c r="DZ45" s="662"/>
      <c r="EA45" s="662"/>
      <c r="EB45" s="662"/>
      <c r="EC45" s="662"/>
      <c r="ED45" s="662"/>
      <c r="EE45" s="662"/>
      <c r="EF45" s="662"/>
      <c r="EG45" s="662">
        <v>5</v>
      </c>
      <c r="EH45" s="662"/>
      <c r="EI45" s="662"/>
      <c r="EJ45" s="662"/>
      <c r="EK45" s="662"/>
      <c r="EL45" s="662"/>
      <c r="EM45" s="662"/>
      <c r="EN45" s="662"/>
      <c r="EO45" s="662"/>
      <c r="EP45" s="694"/>
      <c r="EQ45" s="691">
        <f t="shared" si="0"/>
        <v>5</v>
      </c>
      <c r="ER45" s="692"/>
      <c r="ES45" s="693"/>
      <c r="ET45" s="262"/>
      <c r="EX45" s="233"/>
      <c r="EY45" s="234">
        <v>8</v>
      </c>
      <c r="EZ45" s="235"/>
      <c r="FC45" s="249"/>
      <c r="FD45" s="250"/>
      <c r="FE45" s="249"/>
      <c r="FF45" s="249"/>
      <c r="FG45" s="249"/>
      <c r="FH45" s="249"/>
      <c r="FI45" s="257"/>
      <c r="FJ45" s="257"/>
    </row>
    <row r="46" spans="1:166" s="128" customFormat="1" ht="110.1" customHeight="1" x14ac:dyDescent="0.65">
      <c r="A46" s="124" t="s">
        <v>107</v>
      </c>
      <c r="B46" s="300" t="s">
        <v>324</v>
      </c>
      <c r="C46" s="688" t="s">
        <v>126</v>
      </c>
      <c r="D46" s="688"/>
      <c r="E46" s="688"/>
      <c r="F46" s="688"/>
      <c r="G46" s="688"/>
      <c r="H46" s="688"/>
      <c r="I46" s="688"/>
      <c r="J46" s="688"/>
      <c r="K46" s="688"/>
      <c r="L46" s="688"/>
      <c r="M46" s="688"/>
      <c r="N46" s="688"/>
      <c r="O46" s="688"/>
      <c r="P46" s="688"/>
      <c r="Q46" s="688"/>
      <c r="R46" s="688"/>
      <c r="S46" s="688"/>
      <c r="T46" s="688"/>
      <c r="U46" s="688"/>
      <c r="V46" s="688"/>
      <c r="W46" s="688"/>
      <c r="X46" s="688"/>
      <c r="Y46" s="688"/>
      <c r="Z46" s="698">
        <f t="shared" si="1"/>
        <v>180</v>
      </c>
      <c r="AA46" s="699"/>
      <c r="AB46" s="699"/>
      <c r="AC46" s="700"/>
      <c r="AD46" s="662"/>
      <c r="AE46" s="662"/>
      <c r="AF46" s="662"/>
      <c r="AG46" s="674">
        <f t="shared" si="2"/>
        <v>72</v>
      </c>
      <c r="AH46" s="674"/>
      <c r="AI46" s="674"/>
      <c r="AJ46" s="674"/>
      <c r="AK46" s="674"/>
      <c r="AL46" s="674">
        <v>36</v>
      </c>
      <c r="AM46" s="674"/>
      <c r="AN46" s="674"/>
      <c r="AO46" s="674"/>
      <c r="AP46" s="674"/>
      <c r="AQ46" s="674">
        <v>36</v>
      </c>
      <c r="AR46" s="674"/>
      <c r="AS46" s="674"/>
      <c r="AT46" s="674"/>
      <c r="AU46" s="674"/>
      <c r="AV46" s="674"/>
      <c r="AW46" s="674"/>
      <c r="AX46" s="674"/>
      <c r="AY46" s="674"/>
      <c r="AZ46" s="674"/>
      <c r="BA46" s="695"/>
      <c r="BB46" s="695"/>
      <c r="BC46" s="695"/>
      <c r="BD46" s="695"/>
      <c r="BE46" s="695"/>
      <c r="BF46" s="695" t="s">
        <v>309</v>
      </c>
      <c r="BG46" s="695"/>
      <c r="BH46" s="695"/>
      <c r="BI46" s="695"/>
      <c r="BJ46" s="695"/>
      <c r="BK46" s="696">
        <f t="shared" si="3"/>
        <v>108</v>
      </c>
      <c r="BL46" s="696"/>
      <c r="BM46" s="696"/>
      <c r="BN46" s="697"/>
      <c r="BO46" s="689"/>
      <c r="BP46" s="662"/>
      <c r="BQ46" s="662"/>
      <c r="BR46" s="662"/>
      <c r="BS46" s="662"/>
      <c r="BT46" s="662"/>
      <c r="BU46" s="662"/>
      <c r="BV46" s="662"/>
      <c r="BW46" s="662"/>
      <c r="BX46" s="662"/>
      <c r="BY46" s="662"/>
      <c r="BZ46" s="662"/>
      <c r="CA46" s="662"/>
      <c r="CB46" s="662"/>
      <c r="CC46" s="662"/>
      <c r="CD46" s="662"/>
      <c r="CE46" s="662"/>
      <c r="CF46" s="662"/>
      <c r="CG46" s="662"/>
      <c r="CH46" s="662"/>
      <c r="CI46" s="662"/>
      <c r="CJ46" s="662"/>
      <c r="CK46" s="662"/>
      <c r="CL46" s="662"/>
      <c r="CM46" s="662"/>
      <c r="CN46" s="662"/>
      <c r="CO46" s="662"/>
      <c r="CP46" s="662"/>
      <c r="CQ46" s="662"/>
      <c r="CR46" s="662"/>
      <c r="CS46" s="662">
        <v>5</v>
      </c>
      <c r="CT46" s="662"/>
      <c r="CU46" s="662"/>
      <c r="CV46" s="662"/>
      <c r="CW46" s="662"/>
      <c r="CX46" s="662"/>
      <c r="CY46" s="662"/>
      <c r="CZ46" s="662"/>
      <c r="DA46" s="662"/>
      <c r="DB46" s="694"/>
      <c r="DC46" s="689"/>
      <c r="DD46" s="662"/>
      <c r="DE46" s="662"/>
      <c r="DF46" s="662"/>
      <c r="DG46" s="662"/>
      <c r="DH46" s="662"/>
      <c r="DI46" s="662"/>
      <c r="DJ46" s="662"/>
      <c r="DK46" s="662"/>
      <c r="DL46" s="662"/>
      <c r="DM46" s="662"/>
      <c r="DN46" s="662"/>
      <c r="DO46" s="662"/>
      <c r="DP46" s="662"/>
      <c r="DQ46" s="662"/>
      <c r="DR46" s="662"/>
      <c r="DS46" s="662"/>
      <c r="DT46" s="662"/>
      <c r="DU46" s="662"/>
      <c r="DV46" s="662"/>
      <c r="DW46" s="662"/>
      <c r="DX46" s="662"/>
      <c r="DY46" s="662"/>
      <c r="DZ46" s="662"/>
      <c r="EA46" s="662"/>
      <c r="EB46" s="662"/>
      <c r="EC46" s="662"/>
      <c r="ED46" s="662"/>
      <c r="EE46" s="662"/>
      <c r="EF46" s="662"/>
      <c r="EG46" s="662">
        <v>6</v>
      </c>
      <c r="EH46" s="662"/>
      <c r="EI46" s="662"/>
      <c r="EJ46" s="662"/>
      <c r="EK46" s="662"/>
      <c r="EL46" s="662"/>
      <c r="EM46" s="662"/>
      <c r="EN46" s="662"/>
      <c r="EO46" s="662"/>
      <c r="EP46" s="694"/>
      <c r="EQ46" s="691">
        <f t="shared" si="0"/>
        <v>6</v>
      </c>
      <c r="ER46" s="692"/>
      <c r="ES46" s="693"/>
      <c r="ET46" s="262"/>
      <c r="EX46" s="233"/>
      <c r="EY46" s="234">
        <v>8</v>
      </c>
      <c r="EZ46" s="235"/>
      <c r="FC46" s="249"/>
      <c r="FD46" s="250"/>
      <c r="FE46" s="249"/>
      <c r="FF46" s="249"/>
      <c r="FG46" s="249"/>
      <c r="FH46" s="249"/>
      <c r="FI46" s="257"/>
      <c r="FJ46" s="257"/>
    </row>
    <row r="47" spans="1:166" s="128" customFormat="1" ht="90" customHeight="1" x14ac:dyDescent="0.65">
      <c r="A47" s="124" t="s">
        <v>8</v>
      </c>
      <c r="B47" s="139" t="s">
        <v>146</v>
      </c>
      <c r="C47" s="766" t="s">
        <v>112</v>
      </c>
      <c r="D47" s="766"/>
      <c r="E47" s="766"/>
      <c r="F47" s="766"/>
      <c r="G47" s="766"/>
      <c r="H47" s="766"/>
      <c r="I47" s="766"/>
      <c r="J47" s="766"/>
      <c r="K47" s="766"/>
      <c r="L47" s="766"/>
      <c r="M47" s="766"/>
      <c r="N47" s="766"/>
      <c r="O47" s="766"/>
      <c r="P47" s="766"/>
      <c r="Q47" s="766"/>
      <c r="R47" s="766"/>
      <c r="S47" s="766"/>
      <c r="T47" s="766"/>
      <c r="U47" s="766"/>
      <c r="V47" s="766"/>
      <c r="W47" s="766"/>
      <c r="X47" s="766"/>
      <c r="Y47" s="766"/>
      <c r="Z47" s="698">
        <f t="shared" si="1"/>
        <v>180</v>
      </c>
      <c r="AA47" s="699"/>
      <c r="AB47" s="699"/>
      <c r="AC47" s="700"/>
      <c r="AD47" s="1196"/>
      <c r="AE47" s="1196"/>
      <c r="AF47" s="1196"/>
      <c r="AG47" s="674">
        <f t="shared" si="2"/>
        <v>60</v>
      </c>
      <c r="AH47" s="674"/>
      <c r="AI47" s="674"/>
      <c r="AJ47" s="674"/>
      <c r="AK47" s="674"/>
      <c r="AL47" s="674">
        <v>30</v>
      </c>
      <c r="AM47" s="674"/>
      <c r="AN47" s="674"/>
      <c r="AO47" s="674"/>
      <c r="AP47" s="674"/>
      <c r="AQ47" s="674"/>
      <c r="AR47" s="674"/>
      <c r="AS47" s="674"/>
      <c r="AT47" s="674"/>
      <c r="AU47" s="674"/>
      <c r="AV47" s="674">
        <v>30</v>
      </c>
      <c r="AW47" s="674"/>
      <c r="AX47" s="674"/>
      <c r="AY47" s="674"/>
      <c r="AZ47" s="674"/>
      <c r="BA47" s="674"/>
      <c r="BB47" s="674"/>
      <c r="BC47" s="674"/>
      <c r="BD47" s="674"/>
      <c r="BE47" s="674"/>
      <c r="BF47" s="674"/>
      <c r="BG47" s="674"/>
      <c r="BH47" s="674"/>
      <c r="BI47" s="674"/>
      <c r="BJ47" s="674"/>
      <c r="BK47" s="696">
        <f t="shared" ref="BK47:BK52" si="4">Z47-AG47</f>
        <v>120</v>
      </c>
      <c r="BL47" s="696"/>
      <c r="BM47" s="696"/>
      <c r="BN47" s="697"/>
      <c r="BO47" s="689">
        <v>4</v>
      </c>
      <c r="BP47" s="662"/>
      <c r="BQ47" s="662"/>
      <c r="BR47" s="662"/>
      <c r="BS47" s="662"/>
      <c r="BT47" s="662"/>
      <c r="BU47" s="662"/>
      <c r="BV47" s="662"/>
      <c r="BW47" s="662"/>
      <c r="BX47" s="662"/>
      <c r="BY47" s="662"/>
      <c r="BZ47" s="662"/>
      <c r="CA47" s="662"/>
      <c r="CB47" s="662"/>
      <c r="CC47" s="662"/>
      <c r="CD47" s="662"/>
      <c r="CE47" s="662"/>
      <c r="CF47" s="662"/>
      <c r="CG47" s="662"/>
      <c r="CH47" s="662"/>
      <c r="CI47" s="662"/>
      <c r="CJ47" s="662"/>
      <c r="CK47" s="662"/>
      <c r="CL47" s="662"/>
      <c r="CM47" s="662"/>
      <c r="CN47" s="662"/>
      <c r="CO47" s="662"/>
      <c r="CP47" s="662"/>
      <c r="CQ47" s="662"/>
      <c r="CR47" s="662"/>
      <c r="CS47" s="662"/>
      <c r="CT47" s="662"/>
      <c r="CU47" s="662"/>
      <c r="CV47" s="662"/>
      <c r="CW47" s="662"/>
      <c r="CX47" s="662"/>
      <c r="CY47" s="662"/>
      <c r="CZ47" s="662"/>
      <c r="DA47" s="662"/>
      <c r="DB47" s="694"/>
      <c r="DC47" s="689">
        <v>6</v>
      </c>
      <c r="DD47" s="662"/>
      <c r="DE47" s="662"/>
      <c r="DF47" s="662"/>
      <c r="DG47" s="662"/>
      <c r="DH47" s="662"/>
      <c r="DI47" s="662"/>
      <c r="DJ47" s="662"/>
      <c r="DK47" s="662"/>
      <c r="DL47" s="662"/>
      <c r="DM47" s="662"/>
      <c r="DN47" s="662"/>
      <c r="DO47" s="662"/>
      <c r="DP47" s="662"/>
      <c r="DQ47" s="662"/>
      <c r="DR47" s="662"/>
      <c r="DS47" s="662"/>
      <c r="DT47" s="662"/>
      <c r="DU47" s="662"/>
      <c r="DV47" s="662"/>
      <c r="DW47" s="662"/>
      <c r="DX47" s="662"/>
      <c r="DY47" s="662"/>
      <c r="DZ47" s="662"/>
      <c r="EA47" s="662"/>
      <c r="EB47" s="662"/>
      <c r="EC47" s="662"/>
      <c r="ED47" s="662"/>
      <c r="EE47" s="662"/>
      <c r="EF47" s="662"/>
      <c r="EG47" s="662"/>
      <c r="EH47" s="662"/>
      <c r="EI47" s="662"/>
      <c r="EJ47" s="662"/>
      <c r="EK47" s="662"/>
      <c r="EL47" s="662"/>
      <c r="EM47" s="662"/>
      <c r="EN47" s="662"/>
      <c r="EO47" s="662"/>
      <c r="EP47" s="694"/>
      <c r="EQ47" s="691">
        <f t="shared" si="0"/>
        <v>6</v>
      </c>
      <c r="ER47" s="692"/>
      <c r="ES47" s="693"/>
      <c r="ET47" s="265"/>
      <c r="EX47" s="233"/>
      <c r="EY47" s="234">
        <v>10</v>
      </c>
      <c r="EZ47" s="235"/>
      <c r="FC47" s="249"/>
      <c r="FD47" s="250"/>
      <c r="FE47" s="249"/>
      <c r="FF47" s="249"/>
      <c r="FG47" s="249"/>
      <c r="FH47" s="249"/>
      <c r="FI47" s="257"/>
      <c r="FJ47" s="257"/>
    </row>
    <row r="48" spans="1:166" s="128" customFormat="1" ht="90" customHeight="1" x14ac:dyDescent="0.65">
      <c r="A48" s="124" t="s">
        <v>9</v>
      </c>
      <c r="B48" s="139" t="s">
        <v>338</v>
      </c>
      <c r="C48" s="829" t="s">
        <v>337</v>
      </c>
      <c r="D48" s="830"/>
      <c r="E48" s="830"/>
      <c r="F48" s="830"/>
      <c r="G48" s="830"/>
      <c r="H48" s="830"/>
      <c r="I48" s="830"/>
      <c r="J48" s="830"/>
      <c r="K48" s="830"/>
      <c r="L48" s="830"/>
      <c r="M48" s="830"/>
      <c r="N48" s="830"/>
      <c r="O48" s="830"/>
      <c r="P48" s="830"/>
      <c r="Q48" s="830"/>
      <c r="R48" s="830"/>
      <c r="S48" s="830"/>
      <c r="T48" s="830"/>
      <c r="U48" s="830"/>
      <c r="V48" s="830"/>
      <c r="W48" s="830"/>
      <c r="X48" s="830"/>
      <c r="Y48" s="831"/>
      <c r="Z48" s="698">
        <f t="shared" ref="Z48" si="5">+EQ48*30</f>
        <v>390</v>
      </c>
      <c r="AA48" s="699"/>
      <c r="AB48" s="699"/>
      <c r="AC48" s="700"/>
      <c r="AD48" s="662"/>
      <c r="AE48" s="662"/>
      <c r="AF48" s="662"/>
      <c r="AG48" s="674">
        <f t="shared" ref="AG48" si="6">SUM(AL48:BE48)</f>
        <v>180</v>
      </c>
      <c r="AH48" s="674"/>
      <c r="AI48" s="674"/>
      <c r="AJ48" s="674"/>
      <c r="AK48" s="674"/>
      <c r="AL48" s="674"/>
      <c r="AM48" s="674"/>
      <c r="AN48" s="674"/>
      <c r="AO48" s="674"/>
      <c r="AP48" s="674"/>
      <c r="AQ48" s="674">
        <v>180</v>
      </c>
      <c r="AR48" s="674"/>
      <c r="AS48" s="674"/>
      <c r="AT48" s="674"/>
      <c r="AU48" s="674"/>
      <c r="AV48" s="674"/>
      <c r="AW48" s="674"/>
      <c r="AX48" s="674"/>
      <c r="AY48" s="674"/>
      <c r="AZ48" s="674"/>
      <c r="BA48" s="674"/>
      <c r="BB48" s="674"/>
      <c r="BC48" s="674"/>
      <c r="BD48" s="674"/>
      <c r="BE48" s="674"/>
      <c r="BF48" s="674"/>
      <c r="BG48" s="674"/>
      <c r="BH48" s="674"/>
      <c r="BI48" s="674"/>
      <c r="BJ48" s="674"/>
      <c r="BK48" s="696">
        <f t="shared" si="4"/>
        <v>210</v>
      </c>
      <c r="BL48" s="696"/>
      <c r="BM48" s="696"/>
      <c r="BN48" s="697"/>
      <c r="BO48" s="689">
        <v>4</v>
      </c>
      <c r="BP48" s="662"/>
      <c r="BQ48" s="662"/>
      <c r="BR48" s="662"/>
      <c r="BS48" s="662"/>
      <c r="BT48" s="662"/>
      <c r="BU48" s="662"/>
      <c r="BV48" s="662"/>
      <c r="BW48" s="662"/>
      <c r="BX48" s="662"/>
      <c r="BY48" s="662">
        <v>4</v>
      </c>
      <c r="BZ48" s="662"/>
      <c r="CA48" s="662"/>
      <c r="CB48" s="662"/>
      <c r="CC48" s="662"/>
      <c r="CD48" s="662">
        <v>4</v>
      </c>
      <c r="CE48" s="662"/>
      <c r="CF48" s="662"/>
      <c r="CG48" s="662"/>
      <c r="CH48" s="662"/>
      <c r="CI48" s="662"/>
      <c r="CJ48" s="662"/>
      <c r="CK48" s="662"/>
      <c r="CL48" s="662"/>
      <c r="CM48" s="662"/>
      <c r="CN48" s="662"/>
      <c r="CO48" s="662"/>
      <c r="CP48" s="662"/>
      <c r="CQ48" s="662"/>
      <c r="CR48" s="662"/>
      <c r="CS48" s="662"/>
      <c r="CT48" s="662"/>
      <c r="CU48" s="662"/>
      <c r="CV48" s="662"/>
      <c r="CW48" s="662"/>
      <c r="CX48" s="662"/>
      <c r="CY48" s="662"/>
      <c r="CZ48" s="662"/>
      <c r="DA48" s="662"/>
      <c r="DB48" s="694"/>
      <c r="DC48" s="701">
        <v>4</v>
      </c>
      <c r="DD48" s="702"/>
      <c r="DE48" s="702"/>
      <c r="DF48" s="702"/>
      <c r="DG48" s="702"/>
      <c r="DH48" s="662"/>
      <c r="DI48" s="662"/>
      <c r="DJ48" s="662"/>
      <c r="DK48" s="662"/>
      <c r="DL48" s="662"/>
      <c r="DM48" s="662">
        <v>5</v>
      </c>
      <c r="DN48" s="662"/>
      <c r="DO48" s="662"/>
      <c r="DP48" s="662"/>
      <c r="DQ48" s="662"/>
      <c r="DR48" s="662">
        <v>4</v>
      </c>
      <c r="DS48" s="662"/>
      <c r="DT48" s="662"/>
      <c r="DU48" s="662"/>
      <c r="DV48" s="662"/>
      <c r="DW48" s="662"/>
      <c r="DX48" s="662"/>
      <c r="DY48" s="662"/>
      <c r="DZ48" s="662"/>
      <c r="EA48" s="662"/>
      <c r="EB48" s="662"/>
      <c r="EC48" s="662"/>
      <c r="ED48" s="662"/>
      <c r="EE48" s="662"/>
      <c r="EF48" s="662"/>
      <c r="EG48" s="662"/>
      <c r="EH48" s="662"/>
      <c r="EI48" s="662"/>
      <c r="EJ48" s="662"/>
      <c r="EK48" s="662"/>
      <c r="EL48" s="662"/>
      <c r="EM48" s="662"/>
      <c r="EN48" s="662"/>
      <c r="EO48" s="662"/>
      <c r="EP48" s="694"/>
      <c r="EQ48" s="691">
        <f t="shared" ref="EQ48" si="7">DC48+DH48+DM48+DR48+DW48+EG48+EB48+EL48</f>
        <v>13</v>
      </c>
      <c r="ER48" s="692"/>
      <c r="ES48" s="693"/>
      <c r="ET48" s="265"/>
      <c r="EX48" s="233"/>
      <c r="EY48" s="234"/>
      <c r="EZ48" s="235"/>
      <c r="FC48" s="249"/>
      <c r="FD48" s="250"/>
      <c r="FE48" s="249"/>
      <c r="FF48" s="249"/>
      <c r="FG48" s="249"/>
      <c r="FH48" s="249"/>
      <c r="FI48" s="257"/>
      <c r="FJ48" s="257"/>
    </row>
    <row r="49" spans="1:166" s="128" customFormat="1" ht="90" customHeight="1" x14ac:dyDescent="0.65">
      <c r="A49" s="124" t="s">
        <v>105</v>
      </c>
      <c r="B49" s="139" t="s">
        <v>145</v>
      </c>
      <c r="C49" s="653" t="s">
        <v>110</v>
      </c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98">
        <f t="shared" si="1"/>
        <v>150</v>
      </c>
      <c r="AA49" s="699"/>
      <c r="AB49" s="699"/>
      <c r="AC49" s="700"/>
      <c r="AD49" s="662"/>
      <c r="AE49" s="662"/>
      <c r="AF49" s="662"/>
      <c r="AG49" s="674">
        <f t="shared" si="2"/>
        <v>60</v>
      </c>
      <c r="AH49" s="674"/>
      <c r="AI49" s="674"/>
      <c r="AJ49" s="674"/>
      <c r="AK49" s="674"/>
      <c r="AL49" s="674"/>
      <c r="AM49" s="674"/>
      <c r="AN49" s="674"/>
      <c r="AO49" s="674"/>
      <c r="AP49" s="674"/>
      <c r="AQ49" s="674">
        <v>60</v>
      </c>
      <c r="AR49" s="674"/>
      <c r="AS49" s="674"/>
      <c r="AT49" s="674"/>
      <c r="AU49" s="674"/>
      <c r="AV49" s="674"/>
      <c r="AW49" s="674"/>
      <c r="AX49" s="674"/>
      <c r="AY49" s="674"/>
      <c r="AZ49" s="674"/>
      <c r="BA49" s="674"/>
      <c r="BB49" s="674"/>
      <c r="BC49" s="674"/>
      <c r="BD49" s="674"/>
      <c r="BE49" s="674"/>
      <c r="BF49" s="674"/>
      <c r="BG49" s="674"/>
      <c r="BH49" s="674"/>
      <c r="BI49" s="674"/>
      <c r="BJ49" s="674"/>
      <c r="BK49" s="696">
        <f t="shared" si="4"/>
        <v>90</v>
      </c>
      <c r="BL49" s="696"/>
      <c r="BM49" s="696"/>
      <c r="BN49" s="697"/>
      <c r="BO49" s="689"/>
      <c r="BP49" s="662"/>
      <c r="BQ49" s="662"/>
      <c r="BR49" s="662"/>
      <c r="BS49" s="662"/>
      <c r="BT49" s="662"/>
      <c r="BU49" s="662"/>
      <c r="BV49" s="662"/>
      <c r="BW49" s="662"/>
      <c r="BX49" s="662"/>
      <c r="BY49" s="662"/>
      <c r="BZ49" s="662"/>
      <c r="CA49" s="662"/>
      <c r="CB49" s="662"/>
      <c r="CC49" s="662"/>
      <c r="CD49" s="662"/>
      <c r="CE49" s="662"/>
      <c r="CF49" s="662"/>
      <c r="CG49" s="662"/>
      <c r="CH49" s="662"/>
      <c r="CI49" s="662">
        <v>4</v>
      </c>
      <c r="CJ49" s="662"/>
      <c r="CK49" s="662"/>
      <c r="CL49" s="662"/>
      <c r="CM49" s="662"/>
      <c r="CN49" s="662"/>
      <c r="CO49" s="662"/>
      <c r="CP49" s="662"/>
      <c r="CQ49" s="662"/>
      <c r="CR49" s="662"/>
      <c r="CS49" s="662"/>
      <c r="CT49" s="662"/>
      <c r="CU49" s="662"/>
      <c r="CV49" s="662"/>
      <c r="CW49" s="662"/>
      <c r="CX49" s="662"/>
      <c r="CY49" s="662"/>
      <c r="CZ49" s="662"/>
      <c r="DA49" s="662"/>
      <c r="DB49" s="694"/>
      <c r="DC49" s="701"/>
      <c r="DD49" s="702"/>
      <c r="DE49" s="702"/>
      <c r="DF49" s="702"/>
      <c r="DG49" s="702"/>
      <c r="DH49" s="662"/>
      <c r="DI49" s="662"/>
      <c r="DJ49" s="662"/>
      <c r="DK49" s="662"/>
      <c r="DL49" s="662"/>
      <c r="DM49" s="662"/>
      <c r="DN49" s="662"/>
      <c r="DO49" s="662"/>
      <c r="DP49" s="662"/>
      <c r="DQ49" s="662"/>
      <c r="DR49" s="662"/>
      <c r="DS49" s="662"/>
      <c r="DT49" s="662"/>
      <c r="DU49" s="662"/>
      <c r="DV49" s="662"/>
      <c r="DW49" s="662">
        <v>5</v>
      </c>
      <c r="DX49" s="662"/>
      <c r="DY49" s="662"/>
      <c r="DZ49" s="662"/>
      <c r="EA49" s="662"/>
      <c r="EB49" s="662"/>
      <c r="EC49" s="662"/>
      <c r="ED49" s="662"/>
      <c r="EE49" s="662"/>
      <c r="EF49" s="662"/>
      <c r="EG49" s="662"/>
      <c r="EH49" s="662"/>
      <c r="EI49" s="662"/>
      <c r="EJ49" s="662"/>
      <c r="EK49" s="662"/>
      <c r="EL49" s="662"/>
      <c r="EM49" s="662"/>
      <c r="EN49" s="662"/>
      <c r="EO49" s="662"/>
      <c r="EP49" s="694"/>
      <c r="EQ49" s="691">
        <f t="shared" si="0"/>
        <v>5</v>
      </c>
      <c r="ER49" s="692"/>
      <c r="ES49" s="693"/>
      <c r="ET49" s="287" t="s">
        <v>252</v>
      </c>
      <c r="EX49" s="233"/>
      <c r="EY49" s="234">
        <v>4</v>
      </c>
      <c r="EZ49" s="235"/>
      <c r="FC49" s="249"/>
      <c r="FD49" s="250"/>
      <c r="FE49" s="249"/>
      <c r="FF49" s="249"/>
      <c r="FG49" s="249"/>
      <c r="FH49" s="249"/>
      <c r="FI49" s="257"/>
      <c r="FJ49" s="257"/>
    </row>
    <row r="50" spans="1:166" s="128" customFormat="1" ht="90" customHeight="1" x14ac:dyDescent="0.65">
      <c r="A50" s="124" t="s">
        <v>108</v>
      </c>
      <c r="B50" s="139" t="s">
        <v>305</v>
      </c>
      <c r="C50" s="653" t="s">
        <v>304</v>
      </c>
      <c r="D50" s="653"/>
      <c r="E50" s="653"/>
      <c r="F50" s="653"/>
      <c r="G50" s="653"/>
      <c r="H50" s="653"/>
      <c r="I50" s="653"/>
      <c r="J50" s="653"/>
      <c r="K50" s="653"/>
      <c r="L50" s="653"/>
      <c r="M50" s="653"/>
      <c r="N50" s="653"/>
      <c r="O50" s="653"/>
      <c r="P50" s="653"/>
      <c r="Q50" s="653"/>
      <c r="R50" s="653"/>
      <c r="S50" s="653"/>
      <c r="T50" s="653"/>
      <c r="U50" s="653"/>
      <c r="V50" s="653"/>
      <c r="W50" s="653"/>
      <c r="X50" s="653"/>
      <c r="Y50" s="653"/>
      <c r="Z50" s="698">
        <f>+EQ50*30</f>
        <v>120</v>
      </c>
      <c r="AA50" s="699"/>
      <c r="AB50" s="699"/>
      <c r="AC50" s="700"/>
      <c r="AD50" s="662"/>
      <c r="AE50" s="662"/>
      <c r="AF50" s="662"/>
      <c r="AG50" s="674">
        <f>SUM(AL50:BE50)</f>
        <v>48</v>
      </c>
      <c r="AH50" s="674"/>
      <c r="AI50" s="674"/>
      <c r="AJ50" s="674"/>
      <c r="AK50" s="674"/>
      <c r="AL50" s="674"/>
      <c r="AM50" s="674"/>
      <c r="AN50" s="674"/>
      <c r="AO50" s="674"/>
      <c r="AP50" s="674"/>
      <c r="AQ50" s="674">
        <v>48</v>
      </c>
      <c r="AR50" s="674"/>
      <c r="AS50" s="674"/>
      <c r="AT50" s="674"/>
      <c r="AU50" s="674"/>
      <c r="AV50" s="674"/>
      <c r="AW50" s="674"/>
      <c r="AX50" s="674"/>
      <c r="AY50" s="674"/>
      <c r="AZ50" s="674"/>
      <c r="BA50" s="674"/>
      <c r="BB50" s="674"/>
      <c r="BC50" s="674"/>
      <c r="BD50" s="674"/>
      <c r="BE50" s="674"/>
      <c r="BF50" s="674"/>
      <c r="BG50" s="674"/>
      <c r="BH50" s="674"/>
      <c r="BI50" s="674"/>
      <c r="BJ50" s="674"/>
      <c r="BK50" s="696">
        <f t="shared" si="4"/>
        <v>72</v>
      </c>
      <c r="BL50" s="696"/>
      <c r="BM50" s="696"/>
      <c r="BN50" s="697"/>
      <c r="BO50" s="689"/>
      <c r="BP50" s="662"/>
      <c r="BQ50" s="662"/>
      <c r="BR50" s="662"/>
      <c r="BS50" s="662"/>
      <c r="BT50" s="662"/>
      <c r="BU50" s="662"/>
      <c r="BV50" s="662"/>
      <c r="BW50" s="662"/>
      <c r="BX50" s="662"/>
      <c r="BY50" s="662"/>
      <c r="BZ50" s="662"/>
      <c r="CA50" s="662"/>
      <c r="CB50" s="662"/>
      <c r="CC50" s="662"/>
      <c r="CD50" s="662"/>
      <c r="CE50" s="662"/>
      <c r="CF50" s="662"/>
      <c r="CG50" s="662"/>
      <c r="CH50" s="662"/>
      <c r="CI50" s="662"/>
      <c r="CJ50" s="662"/>
      <c r="CK50" s="662"/>
      <c r="CL50" s="662"/>
      <c r="CM50" s="662"/>
      <c r="CN50" s="662"/>
      <c r="CO50" s="662"/>
      <c r="CP50" s="662"/>
      <c r="CQ50" s="662"/>
      <c r="CR50" s="662"/>
      <c r="CS50" s="662">
        <v>3</v>
      </c>
      <c r="CT50" s="662"/>
      <c r="CU50" s="662"/>
      <c r="CV50" s="662"/>
      <c r="CW50" s="662"/>
      <c r="CX50" s="662"/>
      <c r="CY50" s="662"/>
      <c r="CZ50" s="662"/>
      <c r="DA50" s="662"/>
      <c r="DB50" s="694"/>
      <c r="DC50" s="701"/>
      <c r="DD50" s="702"/>
      <c r="DE50" s="702"/>
      <c r="DF50" s="702"/>
      <c r="DG50" s="702"/>
      <c r="DH50" s="662"/>
      <c r="DI50" s="662"/>
      <c r="DJ50" s="662"/>
      <c r="DK50" s="662"/>
      <c r="DL50" s="662"/>
      <c r="DM50" s="662"/>
      <c r="DN50" s="662"/>
      <c r="DO50" s="662"/>
      <c r="DP50" s="662"/>
      <c r="DQ50" s="662"/>
      <c r="DR50" s="662"/>
      <c r="DS50" s="662"/>
      <c r="DT50" s="662"/>
      <c r="DU50" s="662"/>
      <c r="DV50" s="662"/>
      <c r="DW50" s="662"/>
      <c r="DX50" s="662"/>
      <c r="DY50" s="662"/>
      <c r="DZ50" s="662"/>
      <c r="EA50" s="662"/>
      <c r="EB50" s="662"/>
      <c r="EC50" s="662"/>
      <c r="ED50" s="662"/>
      <c r="EE50" s="662"/>
      <c r="EF50" s="662"/>
      <c r="EG50" s="662">
        <v>4</v>
      </c>
      <c r="EH50" s="662"/>
      <c r="EI50" s="662"/>
      <c r="EJ50" s="662"/>
      <c r="EK50" s="662"/>
      <c r="EL50" s="662"/>
      <c r="EM50" s="662"/>
      <c r="EN50" s="662"/>
      <c r="EO50" s="662"/>
      <c r="EP50" s="694"/>
      <c r="EQ50" s="691">
        <f>DC50+DH50+DM50+DR50+DW50+EG50+EB50+EL50</f>
        <v>4</v>
      </c>
      <c r="ER50" s="692"/>
      <c r="ES50" s="693"/>
      <c r="ET50" s="129"/>
      <c r="EX50" s="233"/>
      <c r="EY50" s="234"/>
      <c r="EZ50" s="235"/>
      <c r="FC50" s="249"/>
      <c r="FD50" s="250"/>
      <c r="FE50" s="249"/>
      <c r="FF50" s="249"/>
      <c r="FG50" s="249"/>
      <c r="FH50" s="249"/>
      <c r="FI50" s="257"/>
    </row>
    <row r="51" spans="1:166" s="128" customFormat="1" ht="90" customHeight="1" x14ac:dyDescent="0.65">
      <c r="A51" s="124" t="s">
        <v>152</v>
      </c>
      <c r="B51" s="139" t="s">
        <v>312</v>
      </c>
      <c r="C51" s="653" t="s">
        <v>286</v>
      </c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3"/>
      <c r="P51" s="653"/>
      <c r="Q51" s="653"/>
      <c r="R51" s="653"/>
      <c r="S51" s="653"/>
      <c r="T51" s="653"/>
      <c r="U51" s="653"/>
      <c r="V51" s="653"/>
      <c r="W51" s="653"/>
      <c r="X51" s="653"/>
      <c r="Y51" s="653"/>
      <c r="Z51" s="698">
        <f>+EQ51*30</f>
        <v>120</v>
      </c>
      <c r="AA51" s="699"/>
      <c r="AB51" s="699"/>
      <c r="AC51" s="700"/>
      <c r="AD51" s="662"/>
      <c r="AE51" s="662"/>
      <c r="AF51" s="662"/>
      <c r="AG51" s="674">
        <f>SUM(AL51:BE51)</f>
        <v>48</v>
      </c>
      <c r="AH51" s="674"/>
      <c r="AI51" s="674"/>
      <c r="AJ51" s="674"/>
      <c r="AK51" s="674"/>
      <c r="AL51" s="674">
        <v>24</v>
      </c>
      <c r="AM51" s="674"/>
      <c r="AN51" s="674"/>
      <c r="AO51" s="674"/>
      <c r="AP51" s="674"/>
      <c r="AQ51" s="674">
        <v>24</v>
      </c>
      <c r="AR51" s="674"/>
      <c r="AS51" s="674"/>
      <c r="AT51" s="674"/>
      <c r="AU51" s="674"/>
      <c r="AV51" s="674"/>
      <c r="AW51" s="674"/>
      <c r="AX51" s="674"/>
      <c r="AY51" s="674"/>
      <c r="AZ51" s="674"/>
      <c r="BA51" s="674"/>
      <c r="BB51" s="674"/>
      <c r="BC51" s="674"/>
      <c r="BD51" s="674"/>
      <c r="BE51" s="674"/>
      <c r="BF51" s="674"/>
      <c r="BG51" s="674"/>
      <c r="BH51" s="674"/>
      <c r="BI51" s="674"/>
      <c r="BJ51" s="674"/>
      <c r="BK51" s="696">
        <f t="shared" si="4"/>
        <v>72</v>
      </c>
      <c r="BL51" s="696"/>
      <c r="BM51" s="696"/>
      <c r="BN51" s="697"/>
      <c r="BO51" s="689"/>
      <c r="BP51" s="662"/>
      <c r="BQ51" s="662"/>
      <c r="BR51" s="662"/>
      <c r="BS51" s="662"/>
      <c r="BT51" s="662"/>
      <c r="BU51" s="662"/>
      <c r="BV51" s="662"/>
      <c r="BW51" s="662"/>
      <c r="BX51" s="662"/>
      <c r="BY51" s="662"/>
      <c r="BZ51" s="662"/>
      <c r="CA51" s="662"/>
      <c r="CB51" s="662"/>
      <c r="CC51" s="662"/>
      <c r="CD51" s="662"/>
      <c r="CE51" s="662"/>
      <c r="CF51" s="662"/>
      <c r="CG51" s="662"/>
      <c r="CH51" s="662"/>
      <c r="CI51" s="662"/>
      <c r="CJ51" s="662"/>
      <c r="CK51" s="662"/>
      <c r="CL51" s="662"/>
      <c r="CM51" s="662"/>
      <c r="CN51" s="662"/>
      <c r="CO51" s="662"/>
      <c r="CP51" s="662"/>
      <c r="CQ51" s="662"/>
      <c r="CR51" s="662"/>
      <c r="CS51" s="662"/>
      <c r="CT51" s="662"/>
      <c r="CU51" s="662"/>
      <c r="CV51" s="662"/>
      <c r="CW51" s="662"/>
      <c r="CX51" s="662">
        <v>3</v>
      </c>
      <c r="CY51" s="662"/>
      <c r="CZ51" s="662"/>
      <c r="DA51" s="662"/>
      <c r="DB51" s="694"/>
      <c r="DC51" s="701"/>
      <c r="DD51" s="702"/>
      <c r="DE51" s="702"/>
      <c r="DF51" s="702"/>
      <c r="DG51" s="702"/>
      <c r="DH51" s="662"/>
      <c r="DI51" s="662"/>
      <c r="DJ51" s="662"/>
      <c r="DK51" s="662"/>
      <c r="DL51" s="662"/>
      <c r="DM51" s="662"/>
      <c r="DN51" s="662"/>
      <c r="DO51" s="662"/>
      <c r="DP51" s="662"/>
      <c r="DQ51" s="662"/>
      <c r="DR51" s="662"/>
      <c r="DS51" s="662"/>
      <c r="DT51" s="662"/>
      <c r="DU51" s="662"/>
      <c r="DV51" s="662"/>
      <c r="DW51" s="662"/>
      <c r="DX51" s="662"/>
      <c r="DY51" s="662"/>
      <c r="DZ51" s="662"/>
      <c r="EA51" s="662"/>
      <c r="EB51" s="662"/>
      <c r="EC51" s="662"/>
      <c r="ED51" s="662"/>
      <c r="EE51" s="662"/>
      <c r="EF51" s="662"/>
      <c r="EG51" s="662"/>
      <c r="EH51" s="662"/>
      <c r="EI51" s="662"/>
      <c r="EJ51" s="662"/>
      <c r="EK51" s="662"/>
      <c r="EL51" s="662">
        <v>4</v>
      </c>
      <c r="EM51" s="662"/>
      <c r="EN51" s="662"/>
      <c r="EO51" s="662"/>
      <c r="EP51" s="694"/>
      <c r="EQ51" s="691">
        <f>DC51+DH51+DM51+DR51+DW51+EG51+EB51+EL51</f>
        <v>4</v>
      </c>
      <c r="ER51" s="692"/>
      <c r="ES51" s="693"/>
      <c r="ET51" s="129"/>
      <c r="EX51" s="233"/>
      <c r="EY51" s="234"/>
      <c r="EZ51" s="235"/>
      <c r="FC51" s="249"/>
      <c r="FD51" s="250"/>
      <c r="FE51" s="249"/>
      <c r="FF51" s="249"/>
      <c r="FG51" s="249"/>
      <c r="FH51" s="249"/>
      <c r="FI51" s="257"/>
    </row>
    <row r="52" spans="1:166" s="128" customFormat="1" ht="90" customHeight="1" x14ac:dyDescent="0.65">
      <c r="A52" s="124" t="s">
        <v>163</v>
      </c>
      <c r="B52" s="139" t="s">
        <v>314</v>
      </c>
      <c r="C52" s="653" t="s">
        <v>307</v>
      </c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3"/>
      <c r="P52" s="653"/>
      <c r="Q52" s="653"/>
      <c r="R52" s="653"/>
      <c r="S52" s="653"/>
      <c r="T52" s="653"/>
      <c r="U52" s="653"/>
      <c r="V52" s="653"/>
      <c r="W52" s="653"/>
      <c r="X52" s="653"/>
      <c r="Y52" s="653"/>
      <c r="Z52" s="698">
        <f>+EQ52*30</f>
        <v>120</v>
      </c>
      <c r="AA52" s="699"/>
      <c r="AB52" s="699"/>
      <c r="AC52" s="700"/>
      <c r="AD52" s="662"/>
      <c r="AE52" s="662"/>
      <c r="AF52" s="662"/>
      <c r="AG52" s="674">
        <f>SUM(AL52:BE52)</f>
        <v>48</v>
      </c>
      <c r="AH52" s="674"/>
      <c r="AI52" s="674"/>
      <c r="AJ52" s="674"/>
      <c r="AK52" s="674"/>
      <c r="AL52" s="674">
        <v>24</v>
      </c>
      <c r="AM52" s="674"/>
      <c r="AN52" s="674"/>
      <c r="AO52" s="674"/>
      <c r="AP52" s="674"/>
      <c r="AQ52" s="674">
        <v>24</v>
      </c>
      <c r="AR52" s="674"/>
      <c r="AS52" s="674"/>
      <c r="AT52" s="674"/>
      <c r="AU52" s="674"/>
      <c r="AV52" s="674"/>
      <c r="AW52" s="674"/>
      <c r="AX52" s="674"/>
      <c r="AY52" s="674"/>
      <c r="AZ52" s="674"/>
      <c r="BA52" s="674"/>
      <c r="BB52" s="674"/>
      <c r="BC52" s="674"/>
      <c r="BD52" s="674"/>
      <c r="BE52" s="674"/>
      <c r="BF52" s="674"/>
      <c r="BG52" s="674"/>
      <c r="BH52" s="674"/>
      <c r="BI52" s="674"/>
      <c r="BJ52" s="674"/>
      <c r="BK52" s="696">
        <f t="shared" si="4"/>
        <v>72</v>
      </c>
      <c r="BL52" s="696"/>
      <c r="BM52" s="696"/>
      <c r="BN52" s="697"/>
      <c r="BO52" s="689"/>
      <c r="BP52" s="662"/>
      <c r="BQ52" s="662"/>
      <c r="BR52" s="662"/>
      <c r="BS52" s="662"/>
      <c r="BT52" s="662"/>
      <c r="BU52" s="662"/>
      <c r="BV52" s="662"/>
      <c r="BW52" s="662"/>
      <c r="BX52" s="662"/>
      <c r="BY52" s="662"/>
      <c r="BZ52" s="662"/>
      <c r="CA52" s="662"/>
      <c r="CB52" s="662"/>
      <c r="CC52" s="662"/>
      <c r="CD52" s="662"/>
      <c r="CE52" s="662"/>
      <c r="CF52" s="662"/>
      <c r="CG52" s="662"/>
      <c r="CH52" s="662"/>
      <c r="CI52" s="662"/>
      <c r="CJ52" s="662"/>
      <c r="CK52" s="662"/>
      <c r="CL52" s="662"/>
      <c r="CM52" s="662"/>
      <c r="CN52" s="662"/>
      <c r="CO52" s="662"/>
      <c r="CP52" s="662"/>
      <c r="CQ52" s="662"/>
      <c r="CR52" s="662"/>
      <c r="CS52" s="662">
        <v>3</v>
      </c>
      <c r="CT52" s="662"/>
      <c r="CU52" s="662"/>
      <c r="CV52" s="662"/>
      <c r="CW52" s="662"/>
      <c r="CX52" s="662"/>
      <c r="CY52" s="662"/>
      <c r="CZ52" s="662"/>
      <c r="DA52" s="662"/>
      <c r="DB52" s="694"/>
      <c r="DC52" s="701"/>
      <c r="DD52" s="702"/>
      <c r="DE52" s="702"/>
      <c r="DF52" s="702"/>
      <c r="DG52" s="702"/>
      <c r="DH52" s="662"/>
      <c r="DI52" s="662"/>
      <c r="DJ52" s="662"/>
      <c r="DK52" s="662"/>
      <c r="DL52" s="662"/>
      <c r="DM52" s="662"/>
      <c r="DN52" s="662"/>
      <c r="DO52" s="662"/>
      <c r="DP52" s="662"/>
      <c r="DQ52" s="662"/>
      <c r="DR52" s="662"/>
      <c r="DS52" s="662"/>
      <c r="DT52" s="662"/>
      <c r="DU52" s="662"/>
      <c r="DV52" s="662"/>
      <c r="DW52" s="662"/>
      <c r="DX52" s="662"/>
      <c r="DY52" s="662"/>
      <c r="DZ52" s="662"/>
      <c r="EA52" s="662"/>
      <c r="EB52" s="662"/>
      <c r="EC52" s="662"/>
      <c r="ED52" s="662"/>
      <c r="EE52" s="662"/>
      <c r="EF52" s="662"/>
      <c r="EG52" s="662">
        <v>4</v>
      </c>
      <c r="EH52" s="662"/>
      <c r="EI52" s="662"/>
      <c r="EJ52" s="662"/>
      <c r="EK52" s="662"/>
      <c r="EL52" s="662"/>
      <c r="EM52" s="662"/>
      <c r="EN52" s="662"/>
      <c r="EO52" s="662"/>
      <c r="EP52" s="694"/>
      <c r="EQ52" s="691">
        <f>DC52+DH52+DM52+DR52+DW52+EG52+EB52+EL52</f>
        <v>4</v>
      </c>
      <c r="ER52" s="692"/>
      <c r="ES52" s="693"/>
      <c r="ET52" s="129"/>
      <c r="EX52" s="233"/>
      <c r="EY52" s="234"/>
      <c r="EZ52" s="235"/>
      <c r="FC52" s="249"/>
      <c r="FD52" s="250"/>
      <c r="FE52" s="249"/>
      <c r="FF52" s="249"/>
      <c r="FG52" s="249"/>
      <c r="FH52" s="249"/>
      <c r="FI52" s="257"/>
    </row>
    <row r="53" spans="1:166" s="127" customFormat="1" ht="90" customHeight="1" x14ac:dyDescent="0.65">
      <c r="A53" s="124" t="s">
        <v>164</v>
      </c>
      <c r="B53" s="136" t="s">
        <v>313</v>
      </c>
      <c r="C53" s="688" t="s">
        <v>287</v>
      </c>
      <c r="D53" s="688"/>
      <c r="E53" s="688"/>
      <c r="F53" s="688"/>
      <c r="G53" s="688"/>
      <c r="H53" s="688"/>
      <c r="I53" s="688"/>
      <c r="J53" s="688"/>
      <c r="K53" s="688"/>
      <c r="L53" s="688"/>
      <c r="M53" s="688"/>
      <c r="N53" s="688"/>
      <c r="O53" s="688"/>
      <c r="P53" s="688"/>
      <c r="Q53" s="688"/>
      <c r="R53" s="688"/>
      <c r="S53" s="688"/>
      <c r="T53" s="688"/>
      <c r="U53" s="688"/>
      <c r="V53" s="688"/>
      <c r="W53" s="688"/>
      <c r="X53" s="688"/>
      <c r="Y53" s="688"/>
      <c r="Z53" s="698">
        <f t="shared" si="1"/>
        <v>180</v>
      </c>
      <c r="AA53" s="699"/>
      <c r="AB53" s="699"/>
      <c r="AC53" s="700"/>
      <c r="AD53" s="662"/>
      <c r="AE53" s="662"/>
      <c r="AF53" s="662"/>
      <c r="AG53" s="674">
        <f t="shared" si="2"/>
        <v>72</v>
      </c>
      <c r="AH53" s="674"/>
      <c r="AI53" s="674"/>
      <c r="AJ53" s="674"/>
      <c r="AK53" s="674"/>
      <c r="AL53" s="674">
        <v>36</v>
      </c>
      <c r="AM53" s="674"/>
      <c r="AN53" s="674"/>
      <c r="AO53" s="674"/>
      <c r="AP53" s="674"/>
      <c r="AQ53" s="674">
        <v>36</v>
      </c>
      <c r="AR53" s="674"/>
      <c r="AS53" s="674"/>
      <c r="AT53" s="674"/>
      <c r="AU53" s="674"/>
      <c r="AV53" s="674"/>
      <c r="AW53" s="674"/>
      <c r="AX53" s="674"/>
      <c r="AY53" s="674"/>
      <c r="AZ53" s="674"/>
      <c r="BA53" s="695"/>
      <c r="BB53" s="695"/>
      <c r="BC53" s="695"/>
      <c r="BD53" s="695"/>
      <c r="BE53" s="695"/>
      <c r="BF53" s="695"/>
      <c r="BG53" s="695"/>
      <c r="BH53" s="695"/>
      <c r="BI53" s="695"/>
      <c r="BJ53" s="695"/>
      <c r="BK53" s="696">
        <f t="shared" si="3"/>
        <v>108</v>
      </c>
      <c r="BL53" s="696"/>
      <c r="BM53" s="696"/>
      <c r="BN53" s="697"/>
      <c r="BO53" s="689"/>
      <c r="BP53" s="662"/>
      <c r="BQ53" s="662"/>
      <c r="BR53" s="662"/>
      <c r="BS53" s="662"/>
      <c r="BT53" s="662"/>
      <c r="BU53" s="662"/>
      <c r="BV53" s="662"/>
      <c r="BW53" s="662"/>
      <c r="BX53" s="662"/>
      <c r="BY53" s="662"/>
      <c r="BZ53" s="662"/>
      <c r="CA53" s="662"/>
      <c r="CB53" s="662"/>
      <c r="CC53" s="662"/>
      <c r="CD53" s="662"/>
      <c r="CE53" s="662"/>
      <c r="CF53" s="662"/>
      <c r="CG53" s="662"/>
      <c r="CH53" s="662"/>
      <c r="CI53" s="662"/>
      <c r="CJ53" s="662"/>
      <c r="CK53" s="662"/>
      <c r="CL53" s="662"/>
      <c r="CM53" s="662"/>
      <c r="CN53" s="662"/>
      <c r="CO53" s="662"/>
      <c r="CP53" s="662"/>
      <c r="CQ53" s="662"/>
      <c r="CR53" s="662"/>
      <c r="CS53" s="662">
        <v>2</v>
      </c>
      <c r="CT53" s="662"/>
      <c r="CU53" s="662"/>
      <c r="CV53" s="662"/>
      <c r="CW53" s="662"/>
      <c r="CX53" s="662">
        <v>3</v>
      </c>
      <c r="CY53" s="662"/>
      <c r="CZ53" s="662"/>
      <c r="DA53" s="662"/>
      <c r="DB53" s="694"/>
      <c r="DC53" s="689"/>
      <c r="DD53" s="662"/>
      <c r="DE53" s="662"/>
      <c r="DF53" s="662"/>
      <c r="DG53" s="662"/>
      <c r="DH53" s="662"/>
      <c r="DI53" s="662"/>
      <c r="DJ53" s="662"/>
      <c r="DK53" s="662"/>
      <c r="DL53" s="662"/>
      <c r="DM53" s="662"/>
      <c r="DN53" s="662"/>
      <c r="DO53" s="662"/>
      <c r="DP53" s="662"/>
      <c r="DQ53" s="662"/>
      <c r="DR53" s="662"/>
      <c r="DS53" s="662"/>
      <c r="DT53" s="662"/>
      <c r="DU53" s="662"/>
      <c r="DV53" s="662"/>
      <c r="DW53" s="662"/>
      <c r="DX53" s="662"/>
      <c r="DY53" s="662"/>
      <c r="DZ53" s="662"/>
      <c r="EA53" s="662"/>
      <c r="EB53" s="662"/>
      <c r="EC53" s="662"/>
      <c r="ED53" s="662"/>
      <c r="EE53" s="662"/>
      <c r="EF53" s="662"/>
      <c r="EG53" s="662">
        <v>2</v>
      </c>
      <c r="EH53" s="662"/>
      <c r="EI53" s="662"/>
      <c r="EJ53" s="662"/>
      <c r="EK53" s="662"/>
      <c r="EL53" s="662">
        <v>4</v>
      </c>
      <c r="EM53" s="662"/>
      <c r="EN53" s="662"/>
      <c r="EO53" s="662"/>
      <c r="EP53" s="694"/>
      <c r="EQ53" s="691">
        <f t="shared" si="0"/>
        <v>6</v>
      </c>
      <c r="ER53" s="692"/>
      <c r="ES53" s="693"/>
      <c r="ET53" s="265"/>
      <c r="EX53" s="233"/>
      <c r="EY53" s="234"/>
      <c r="EZ53" s="235"/>
      <c r="FC53" s="247"/>
      <c r="FD53" s="248"/>
      <c r="FE53" s="247"/>
      <c r="FF53" s="247"/>
      <c r="FG53" s="247"/>
      <c r="FH53" s="247"/>
      <c r="FI53" s="256"/>
    </row>
    <row r="54" spans="1:166" s="127" customFormat="1" ht="90" customHeight="1" x14ac:dyDescent="0.65">
      <c r="A54" s="124" t="s">
        <v>165</v>
      </c>
      <c r="B54" s="136" t="s">
        <v>308</v>
      </c>
      <c r="C54" s="688" t="s">
        <v>213</v>
      </c>
      <c r="D54" s="688"/>
      <c r="E54" s="688"/>
      <c r="F54" s="688"/>
      <c r="G54" s="688"/>
      <c r="H54" s="688"/>
      <c r="I54" s="688"/>
      <c r="J54" s="688"/>
      <c r="K54" s="688"/>
      <c r="L54" s="688"/>
      <c r="M54" s="688"/>
      <c r="N54" s="688"/>
      <c r="O54" s="688"/>
      <c r="P54" s="688"/>
      <c r="Q54" s="688"/>
      <c r="R54" s="688"/>
      <c r="S54" s="688"/>
      <c r="T54" s="688"/>
      <c r="U54" s="688"/>
      <c r="V54" s="688"/>
      <c r="W54" s="688"/>
      <c r="X54" s="688"/>
      <c r="Y54" s="688"/>
      <c r="Z54" s="698">
        <f>+EQ54*30</f>
        <v>180</v>
      </c>
      <c r="AA54" s="699"/>
      <c r="AB54" s="699"/>
      <c r="AC54" s="700"/>
      <c r="AD54" s="662"/>
      <c r="AE54" s="662"/>
      <c r="AF54" s="662"/>
      <c r="AG54" s="674">
        <f>SUM(AL54:BE54)</f>
        <v>72</v>
      </c>
      <c r="AH54" s="674"/>
      <c r="AI54" s="674"/>
      <c r="AJ54" s="674"/>
      <c r="AK54" s="674"/>
      <c r="AL54" s="674">
        <v>36</v>
      </c>
      <c r="AM54" s="674"/>
      <c r="AN54" s="674"/>
      <c r="AO54" s="674"/>
      <c r="AP54" s="674"/>
      <c r="AQ54" s="674">
        <v>36</v>
      </c>
      <c r="AR54" s="674"/>
      <c r="AS54" s="674"/>
      <c r="AT54" s="674"/>
      <c r="AU54" s="674"/>
      <c r="AV54" s="674"/>
      <c r="AW54" s="674"/>
      <c r="AX54" s="674"/>
      <c r="AY54" s="674"/>
      <c r="AZ54" s="674"/>
      <c r="BA54" s="695"/>
      <c r="BB54" s="695"/>
      <c r="BC54" s="695"/>
      <c r="BD54" s="695"/>
      <c r="BE54" s="695"/>
      <c r="BF54" s="695"/>
      <c r="BG54" s="695"/>
      <c r="BH54" s="695"/>
      <c r="BI54" s="695"/>
      <c r="BJ54" s="695"/>
      <c r="BK54" s="696">
        <f>Z54-AG54</f>
        <v>108</v>
      </c>
      <c r="BL54" s="696"/>
      <c r="BM54" s="696"/>
      <c r="BN54" s="697"/>
      <c r="BO54" s="689"/>
      <c r="BP54" s="662"/>
      <c r="BQ54" s="662"/>
      <c r="BR54" s="662"/>
      <c r="BS54" s="662"/>
      <c r="BT54" s="662"/>
      <c r="BU54" s="662"/>
      <c r="BV54" s="662"/>
      <c r="BW54" s="662"/>
      <c r="BX54" s="662"/>
      <c r="BY54" s="662"/>
      <c r="BZ54" s="662"/>
      <c r="CA54" s="662"/>
      <c r="CB54" s="662"/>
      <c r="CC54" s="662"/>
      <c r="CD54" s="662"/>
      <c r="CE54" s="662"/>
      <c r="CF54" s="662"/>
      <c r="CG54" s="662"/>
      <c r="CH54" s="662"/>
      <c r="CI54" s="662"/>
      <c r="CJ54" s="662"/>
      <c r="CK54" s="662"/>
      <c r="CL54" s="662"/>
      <c r="CM54" s="662"/>
      <c r="CN54" s="662"/>
      <c r="CO54" s="662"/>
      <c r="CP54" s="662"/>
      <c r="CQ54" s="662"/>
      <c r="CR54" s="662"/>
      <c r="CS54" s="662"/>
      <c r="CT54" s="662"/>
      <c r="CU54" s="662"/>
      <c r="CV54" s="662"/>
      <c r="CW54" s="662"/>
      <c r="CX54" s="662">
        <v>5</v>
      </c>
      <c r="CY54" s="662"/>
      <c r="CZ54" s="662"/>
      <c r="DA54" s="662"/>
      <c r="DB54" s="694"/>
      <c r="DC54" s="689"/>
      <c r="DD54" s="662"/>
      <c r="DE54" s="662"/>
      <c r="DF54" s="662"/>
      <c r="DG54" s="662"/>
      <c r="DH54" s="662"/>
      <c r="DI54" s="662"/>
      <c r="DJ54" s="662"/>
      <c r="DK54" s="662"/>
      <c r="DL54" s="662"/>
      <c r="DM54" s="662"/>
      <c r="DN54" s="662"/>
      <c r="DO54" s="662"/>
      <c r="DP54" s="662"/>
      <c r="DQ54" s="662"/>
      <c r="DR54" s="662"/>
      <c r="DS54" s="662"/>
      <c r="DT54" s="662"/>
      <c r="DU54" s="662"/>
      <c r="DV54" s="662"/>
      <c r="DW54" s="662"/>
      <c r="DX54" s="662"/>
      <c r="DY54" s="662"/>
      <c r="DZ54" s="662"/>
      <c r="EA54" s="662"/>
      <c r="EB54" s="662"/>
      <c r="EC54" s="662"/>
      <c r="ED54" s="662"/>
      <c r="EE54" s="662"/>
      <c r="EF54" s="662"/>
      <c r="EG54" s="662"/>
      <c r="EH54" s="662"/>
      <c r="EI54" s="662"/>
      <c r="EJ54" s="662"/>
      <c r="EK54" s="662"/>
      <c r="EL54" s="662">
        <v>6</v>
      </c>
      <c r="EM54" s="662"/>
      <c r="EN54" s="662"/>
      <c r="EO54" s="662"/>
      <c r="EP54" s="694"/>
      <c r="EQ54" s="691">
        <f>DC54+DH54+DM54+DR54+DW54+EG54+EB54+EL54</f>
        <v>6</v>
      </c>
      <c r="ER54" s="692"/>
      <c r="ES54" s="693"/>
      <c r="ET54" s="265"/>
      <c r="EX54" s="233"/>
      <c r="EY54" s="234"/>
      <c r="EZ54" s="235"/>
      <c r="FC54" s="247"/>
      <c r="FD54" s="248"/>
      <c r="FE54" s="247"/>
      <c r="FF54" s="247"/>
      <c r="FG54" s="247"/>
      <c r="FH54" s="247"/>
      <c r="FI54" s="256"/>
    </row>
    <row r="55" spans="1:166" s="127" customFormat="1" ht="90" customHeight="1" x14ac:dyDescent="0.65">
      <c r="A55" s="124" t="s">
        <v>166</v>
      </c>
      <c r="B55" s="136" t="s">
        <v>315</v>
      </c>
      <c r="C55" s="688" t="s">
        <v>291</v>
      </c>
      <c r="D55" s="688"/>
      <c r="E55" s="688"/>
      <c r="F55" s="688"/>
      <c r="G55" s="688"/>
      <c r="H55" s="688"/>
      <c r="I55" s="688"/>
      <c r="J55" s="688"/>
      <c r="K55" s="688"/>
      <c r="L55" s="688"/>
      <c r="M55" s="688"/>
      <c r="N55" s="688"/>
      <c r="O55" s="688"/>
      <c r="P55" s="688"/>
      <c r="Q55" s="688"/>
      <c r="R55" s="688"/>
      <c r="S55" s="688"/>
      <c r="T55" s="688"/>
      <c r="U55" s="688"/>
      <c r="V55" s="688"/>
      <c r="W55" s="688"/>
      <c r="X55" s="688"/>
      <c r="Y55" s="688"/>
      <c r="Z55" s="698">
        <f>+EQ55*30</f>
        <v>180</v>
      </c>
      <c r="AA55" s="699"/>
      <c r="AB55" s="699"/>
      <c r="AC55" s="700"/>
      <c r="AD55" s="662"/>
      <c r="AE55" s="662"/>
      <c r="AF55" s="662"/>
      <c r="AG55" s="674">
        <f>SUM(AL55:BE55)</f>
        <v>72</v>
      </c>
      <c r="AH55" s="674"/>
      <c r="AI55" s="674"/>
      <c r="AJ55" s="674"/>
      <c r="AK55" s="674"/>
      <c r="AL55" s="674">
        <v>36</v>
      </c>
      <c r="AM55" s="674"/>
      <c r="AN55" s="674"/>
      <c r="AO55" s="674"/>
      <c r="AP55" s="674"/>
      <c r="AQ55" s="674">
        <v>36</v>
      </c>
      <c r="AR55" s="674"/>
      <c r="AS55" s="674"/>
      <c r="AT55" s="674"/>
      <c r="AU55" s="674"/>
      <c r="AV55" s="674"/>
      <c r="AW55" s="674"/>
      <c r="AX55" s="674"/>
      <c r="AY55" s="674"/>
      <c r="AZ55" s="674"/>
      <c r="BA55" s="695"/>
      <c r="BB55" s="695"/>
      <c r="BC55" s="695"/>
      <c r="BD55" s="695"/>
      <c r="BE55" s="695"/>
      <c r="BF55" s="695" t="s">
        <v>309</v>
      </c>
      <c r="BG55" s="695"/>
      <c r="BH55" s="695"/>
      <c r="BI55" s="695"/>
      <c r="BJ55" s="695"/>
      <c r="BK55" s="696">
        <f>Z55-AG55</f>
        <v>108</v>
      </c>
      <c r="BL55" s="696"/>
      <c r="BM55" s="696"/>
      <c r="BN55" s="697"/>
      <c r="BO55" s="689"/>
      <c r="BP55" s="662"/>
      <c r="BQ55" s="662"/>
      <c r="BR55" s="662"/>
      <c r="BS55" s="662"/>
      <c r="BT55" s="662"/>
      <c r="BU55" s="662"/>
      <c r="BV55" s="662"/>
      <c r="BW55" s="662"/>
      <c r="BX55" s="662"/>
      <c r="BY55" s="662"/>
      <c r="BZ55" s="662"/>
      <c r="CA55" s="662"/>
      <c r="CB55" s="662"/>
      <c r="CC55" s="662"/>
      <c r="CD55" s="662"/>
      <c r="CE55" s="662"/>
      <c r="CF55" s="662"/>
      <c r="CG55" s="662"/>
      <c r="CH55" s="662"/>
      <c r="CI55" s="662"/>
      <c r="CJ55" s="662"/>
      <c r="CK55" s="662"/>
      <c r="CL55" s="662"/>
      <c r="CM55" s="662"/>
      <c r="CN55" s="662"/>
      <c r="CO55" s="662"/>
      <c r="CP55" s="662"/>
      <c r="CQ55" s="662"/>
      <c r="CR55" s="662"/>
      <c r="CS55" s="662"/>
      <c r="CT55" s="662"/>
      <c r="CU55" s="662"/>
      <c r="CV55" s="662"/>
      <c r="CW55" s="662"/>
      <c r="CX55" s="662">
        <v>5</v>
      </c>
      <c r="CY55" s="662"/>
      <c r="CZ55" s="662"/>
      <c r="DA55" s="662"/>
      <c r="DB55" s="694"/>
      <c r="DC55" s="689"/>
      <c r="DD55" s="662"/>
      <c r="DE55" s="662"/>
      <c r="DF55" s="662"/>
      <c r="DG55" s="662"/>
      <c r="DH55" s="662"/>
      <c r="DI55" s="662"/>
      <c r="DJ55" s="662"/>
      <c r="DK55" s="662"/>
      <c r="DL55" s="662"/>
      <c r="DM55" s="662"/>
      <c r="DN55" s="662"/>
      <c r="DO55" s="662"/>
      <c r="DP55" s="662"/>
      <c r="DQ55" s="662"/>
      <c r="DR55" s="662"/>
      <c r="DS55" s="662"/>
      <c r="DT55" s="662"/>
      <c r="DU55" s="662"/>
      <c r="DV55" s="662"/>
      <c r="DW55" s="662"/>
      <c r="DX55" s="662"/>
      <c r="DY55" s="662"/>
      <c r="DZ55" s="662"/>
      <c r="EA55" s="662"/>
      <c r="EB55" s="662"/>
      <c r="EC55" s="662"/>
      <c r="ED55" s="662"/>
      <c r="EE55" s="662"/>
      <c r="EF55" s="662"/>
      <c r="EG55" s="662"/>
      <c r="EH55" s="662"/>
      <c r="EI55" s="662"/>
      <c r="EJ55" s="662"/>
      <c r="EK55" s="662"/>
      <c r="EL55" s="662">
        <v>6</v>
      </c>
      <c r="EM55" s="662"/>
      <c r="EN55" s="662"/>
      <c r="EO55" s="662"/>
      <c r="EP55" s="694"/>
      <c r="EQ55" s="691">
        <f>DC55+DH55+DM55+DR55+DW55+EG55+EB55+EL55</f>
        <v>6</v>
      </c>
      <c r="ER55" s="692"/>
      <c r="ES55" s="693"/>
      <c r="ET55" s="265"/>
      <c r="EX55" s="233"/>
      <c r="EY55" s="234"/>
      <c r="EZ55" s="235"/>
      <c r="FC55" s="247"/>
      <c r="FD55" s="248"/>
      <c r="FE55" s="247"/>
      <c r="FF55" s="247"/>
      <c r="FG55" s="247"/>
      <c r="FH55" s="247"/>
      <c r="FI55" s="256"/>
    </row>
    <row r="56" spans="1:166" s="127" customFormat="1" ht="90" customHeight="1" x14ac:dyDescent="0.65">
      <c r="A56" s="124" t="s">
        <v>303</v>
      </c>
      <c r="B56" s="136" t="s">
        <v>316</v>
      </c>
      <c r="C56" s="688" t="s">
        <v>290</v>
      </c>
      <c r="D56" s="688"/>
      <c r="E56" s="688"/>
      <c r="F56" s="688"/>
      <c r="G56" s="688"/>
      <c r="H56" s="688"/>
      <c r="I56" s="688"/>
      <c r="J56" s="688"/>
      <c r="K56" s="688"/>
      <c r="L56" s="688"/>
      <c r="M56" s="688"/>
      <c r="N56" s="688"/>
      <c r="O56" s="688"/>
      <c r="P56" s="688"/>
      <c r="Q56" s="688"/>
      <c r="R56" s="688"/>
      <c r="S56" s="688"/>
      <c r="T56" s="688"/>
      <c r="U56" s="688"/>
      <c r="V56" s="688"/>
      <c r="W56" s="688"/>
      <c r="X56" s="688"/>
      <c r="Y56" s="688"/>
      <c r="Z56" s="698">
        <f t="shared" si="1"/>
        <v>120</v>
      </c>
      <c r="AA56" s="699"/>
      <c r="AB56" s="699"/>
      <c r="AC56" s="700"/>
      <c r="AD56" s="662"/>
      <c r="AE56" s="662"/>
      <c r="AF56" s="662"/>
      <c r="AG56" s="674">
        <f t="shared" si="2"/>
        <v>48</v>
      </c>
      <c r="AH56" s="674"/>
      <c r="AI56" s="674"/>
      <c r="AJ56" s="674"/>
      <c r="AK56" s="674"/>
      <c r="AL56" s="674">
        <v>24</v>
      </c>
      <c r="AM56" s="674"/>
      <c r="AN56" s="674"/>
      <c r="AO56" s="674"/>
      <c r="AP56" s="674"/>
      <c r="AQ56" s="674">
        <v>24</v>
      </c>
      <c r="AR56" s="674"/>
      <c r="AS56" s="674"/>
      <c r="AT56" s="674"/>
      <c r="AU56" s="674"/>
      <c r="AV56" s="674"/>
      <c r="AW56" s="674"/>
      <c r="AX56" s="674"/>
      <c r="AY56" s="674"/>
      <c r="AZ56" s="674"/>
      <c r="BA56" s="695"/>
      <c r="BB56" s="695"/>
      <c r="BC56" s="695"/>
      <c r="BD56" s="695"/>
      <c r="BE56" s="695"/>
      <c r="BF56" s="695"/>
      <c r="BG56" s="695"/>
      <c r="BH56" s="695"/>
      <c r="BI56" s="695"/>
      <c r="BJ56" s="695"/>
      <c r="BK56" s="696">
        <f t="shared" si="3"/>
        <v>72</v>
      </c>
      <c r="BL56" s="696"/>
      <c r="BM56" s="696"/>
      <c r="BN56" s="697"/>
      <c r="BO56" s="689"/>
      <c r="BP56" s="662"/>
      <c r="BQ56" s="662"/>
      <c r="BR56" s="662"/>
      <c r="BS56" s="662"/>
      <c r="BT56" s="662"/>
      <c r="BU56" s="662"/>
      <c r="BV56" s="662"/>
      <c r="BW56" s="662"/>
      <c r="BX56" s="662"/>
      <c r="BY56" s="662"/>
      <c r="BZ56" s="662"/>
      <c r="CA56" s="662"/>
      <c r="CB56" s="662"/>
      <c r="CC56" s="662"/>
      <c r="CD56" s="662"/>
      <c r="CE56" s="662"/>
      <c r="CF56" s="662"/>
      <c r="CG56" s="662"/>
      <c r="CH56" s="662"/>
      <c r="CI56" s="662"/>
      <c r="CJ56" s="662"/>
      <c r="CK56" s="662"/>
      <c r="CL56" s="662"/>
      <c r="CM56" s="662"/>
      <c r="CN56" s="662"/>
      <c r="CO56" s="662"/>
      <c r="CP56" s="662"/>
      <c r="CQ56" s="662"/>
      <c r="CR56" s="662"/>
      <c r="CS56" s="662"/>
      <c r="CT56" s="662"/>
      <c r="CU56" s="662"/>
      <c r="CV56" s="662"/>
      <c r="CW56" s="662"/>
      <c r="CX56" s="662">
        <v>3</v>
      </c>
      <c r="CY56" s="662"/>
      <c r="CZ56" s="662"/>
      <c r="DA56" s="662"/>
      <c r="DB56" s="694"/>
      <c r="DC56" s="689"/>
      <c r="DD56" s="662"/>
      <c r="DE56" s="662"/>
      <c r="DF56" s="662"/>
      <c r="DG56" s="662"/>
      <c r="DH56" s="662"/>
      <c r="DI56" s="662"/>
      <c r="DJ56" s="662"/>
      <c r="DK56" s="662"/>
      <c r="DL56" s="662"/>
      <c r="DM56" s="662"/>
      <c r="DN56" s="662"/>
      <c r="DO56" s="662"/>
      <c r="DP56" s="662"/>
      <c r="DQ56" s="662"/>
      <c r="DR56" s="662"/>
      <c r="DS56" s="662"/>
      <c r="DT56" s="662"/>
      <c r="DU56" s="662"/>
      <c r="DV56" s="662"/>
      <c r="DW56" s="662"/>
      <c r="DX56" s="662"/>
      <c r="DY56" s="662"/>
      <c r="DZ56" s="662"/>
      <c r="EA56" s="662"/>
      <c r="EB56" s="662"/>
      <c r="EC56" s="662"/>
      <c r="ED56" s="662"/>
      <c r="EE56" s="662"/>
      <c r="EF56" s="662"/>
      <c r="EG56" s="662"/>
      <c r="EH56" s="662"/>
      <c r="EI56" s="662"/>
      <c r="EJ56" s="662"/>
      <c r="EK56" s="662"/>
      <c r="EL56" s="662">
        <v>4</v>
      </c>
      <c r="EM56" s="662"/>
      <c r="EN56" s="662"/>
      <c r="EO56" s="662"/>
      <c r="EP56" s="694"/>
      <c r="EQ56" s="691">
        <f t="shared" si="0"/>
        <v>4</v>
      </c>
      <c r="ER56" s="692"/>
      <c r="ES56" s="693"/>
      <c r="ET56" s="265"/>
      <c r="EX56" s="233"/>
      <c r="EY56" s="234"/>
      <c r="EZ56" s="235"/>
      <c r="FC56" s="247"/>
      <c r="FD56" s="248"/>
      <c r="FE56" s="247"/>
      <c r="FF56" s="247"/>
      <c r="FG56" s="247"/>
      <c r="FH56" s="247"/>
      <c r="FI56" s="256"/>
    </row>
    <row r="57" spans="1:166" s="127" customFormat="1" ht="90" customHeight="1" x14ac:dyDescent="0.65">
      <c r="A57" s="124" t="s">
        <v>339</v>
      </c>
      <c r="B57" s="136" t="s">
        <v>317</v>
      </c>
      <c r="C57" s="688" t="s">
        <v>288</v>
      </c>
      <c r="D57" s="688"/>
      <c r="E57" s="688"/>
      <c r="F57" s="688"/>
      <c r="G57" s="688"/>
      <c r="H57" s="688"/>
      <c r="I57" s="688"/>
      <c r="J57" s="688"/>
      <c r="K57" s="688"/>
      <c r="L57" s="688"/>
      <c r="M57" s="688"/>
      <c r="N57" s="688"/>
      <c r="O57" s="688"/>
      <c r="P57" s="688"/>
      <c r="Q57" s="688"/>
      <c r="R57" s="688"/>
      <c r="S57" s="688"/>
      <c r="T57" s="688"/>
      <c r="U57" s="688"/>
      <c r="V57" s="688"/>
      <c r="W57" s="688"/>
      <c r="X57" s="688"/>
      <c r="Y57" s="688"/>
      <c r="Z57" s="698">
        <f>+EQ57*30</f>
        <v>120</v>
      </c>
      <c r="AA57" s="699"/>
      <c r="AB57" s="699"/>
      <c r="AC57" s="700"/>
      <c r="AD57" s="662"/>
      <c r="AE57" s="662"/>
      <c r="AF57" s="662"/>
      <c r="AG57" s="674">
        <f>SUM(AL57:BE57)</f>
        <v>48</v>
      </c>
      <c r="AH57" s="674"/>
      <c r="AI57" s="674"/>
      <c r="AJ57" s="674"/>
      <c r="AK57" s="674"/>
      <c r="AL57" s="674">
        <v>24</v>
      </c>
      <c r="AM57" s="674"/>
      <c r="AN57" s="674"/>
      <c r="AO57" s="674"/>
      <c r="AP57" s="674"/>
      <c r="AQ57" s="674">
        <v>24</v>
      </c>
      <c r="AR57" s="674"/>
      <c r="AS57" s="674"/>
      <c r="AT57" s="674"/>
      <c r="AU57" s="674"/>
      <c r="AV57" s="674"/>
      <c r="AW57" s="674"/>
      <c r="AX57" s="674"/>
      <c r="AY57" s="674"/>
      <c r="AZ57" s="674"/>
      <c r="BA57" s="695"/>
      <c r="BB57" s="695"/>
      <c r="BC57" s="695"/>
      <c r="BD57" s="695"/>
      <c r="BE57" s="695"/>
      <c r="BF57" s="695"/>
      <c r="BG57" s="695"/>
      <c r="BH57" s="695"/>
      <c r="BI57" s="695"/>
      <c r="BJ57" s="695"/>
      <c r="BK57" s="696">
        <f>Z57-AG57</f>
        <v>72</v>
      </c>
      <c r="BL57" s="696"/>
      <c r="BM57" s="696"/>
      <c r="BN57" s="697"/>
      <c r="BO57" s="689"/>
      <c r="BP57" s="662"/>
      <c r="BQ57" s="662"/>
      <c r="BR57" s="662"/>
      <c r="BS57" s="662"/>
      <c r="BT57" s="662"/>
      <c r="BU57" s="662"/>
      <c r="BV57" s="662"/>
      <c r="BW57" s="662"/>
      <c r="BX57" s="662"/>
      <c r="BY57" s="662"/>
      <c r="BZ57" s="662"/>
      <c r="CA57" s="662"/>
      <c r="CB57" s="662"/>
      <c r="CC57" s="662"/>
      <c r="CD57" s="662"/>
      <c r="CE57" s="662"/>
      <c r="CF57" s="662"/>
      <c r="CG57" s="662"/>
      <c r="CH57" s="662"/>
      <c r="CI57" s="662"/>
      <c r="CJ57" s="662"/>
      <c r="CK57" s="662"/>
      <c r="CL57" s="662"/>
      <c r="CM57" s="662"/>
      <c r="CN57" s="662"/>
      <c r="CO57" s="662"/>
      <c r="CP57" s="662"/>
      <c r="CQ57" s="662"/>
      <c r="CR57" s="662"/>
      <c r="CS57" s="662"/>
      <c r="CT57" s="662"/>
      <c r="CU57" s="662"/>
      <c r="CV57" s="662"/>
      <c r="CW57" s="662"/>
      <c r="CX57" s="662">
        <v>3</v>
      </c>
      <c r="CY57" s="662"/>
      <c r="CZ57" s="662"/>
      <c r="DA57" s="662"/>
      <c r="DB57" s="694"/>
      <c r="DC57" s="689"/>
      <c r="DD57" s="662"/>
      <c r="DE57" s="662"/>
      <c r="DF57" s="662"/>
      <c r="DG57" s="662"/>
      <c r="DH57" s="662"/>
      <c r="DI57" s="662"/>
      <c r="DJ57" s="662"/>
      <c r="DK57" s="662"/>
      <c r="DL57" s="662"/>
      <c r="DM57" s="662"/>
      <c r="DN57" s="662"/>
      <c r="DO57" s="662"/>
      <c r="DP57" s="662"/>
      <c r="DQ57" s="662"/>
      <c r="DR57" s="662"/>
      <c r="DS57" s="662"/>
      <c r="DT57" s="662"/>
      <c r="DU57" s="662"/>
      <c r="DV57" s="662"/>
      <c r="DW57" s="662"/>
      <c r="DX57" s="662"/>
      <c r="DY57" s="662"/>
      <c r="DZ57" s="662"/>
      <c r="EA57" s="662"/>
      <c r="EB57" s="662"/>
      <c r="EC57" s="662"/>
      <c r="ED57" s="662"/>
      <c r="EE57" s="662"/>
      <c r="EF57" s="662"/>
      <c r="EG57" s="662"/>
      <c r="EH57" s="662"/>
      <c r="EI57" s="662"/>
      <c r="EJ57" s="662"/>
      <c r="EK57" s="662"/>
      <c r="EL57" s="662">
        <v>4</v>
      </c>
      <c r="EM57" s="662"/>
      <c r="EN57" s="662"/>
      <c r="EO57" s="662"/>
      <c r="EP57" s="694"/>
      <c r="EQ57" s="691">
        <f>DC57+DH57+DM57+DR57+DW57+EG57+EB57+EL57</f>
        <v>4</v>
      </c>
      <c r="ER57" s="692"/>
      <c r="ES57" s="693"/>
      <c r="ET57" s="265"/>
      <c r="EX57" s="233"/>
      <c r="EY57" s="234"/>
      <c r="EZ57" s="235"/>
      <c r="FC57" s="247"/>
      <c r="FD57" s="248"/>
      <c r="FE57" s="247"/>
      <c r="FF57" s="247"/>
      <c r="FG57" s="247"/>
      <c r="FH57" s="247"/>
      <c r="FI57" s="256"/>
    </row>
    <row r="58" spans="1:166" s="55" customFormat="1" ht="75" customHeight="1" x14ac:dyDescent="0.65">
      <c r="A58" s="51" t="s">
        <v>38</v>
      </c>
      <c r="B58" s="140"/>
      <c r="C58" s="703" t="s">
        <v>76</v>
      </c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4">
        <f>SUM(Z59:AC86)</f>
        <v>2400</v>
      </c>
      <c r="AA58" s="704"/>
      <c r="AB58" s="704"/>
      <c r="AC58" s="704"/>
      <c r="AD58" s="705">
        <f>Z58/$Z$91*100</f>
        <v>33.333333333333329</v>
      </c>
      <c r="AE58" s="705"/>
      <c r="AF58" s="705"/>
      <c r="AG58" s="706">
        <f>SUM(AG59:AK86)</f>
        <v>962</v>
      </c>
      <c r="AH58" s="707"/>
      <c r="AI58" s="707"/>
      <c r="AJ58" s="707"/>
      <c r="AK58" s="708"/>
      <c r="AL58" s="706">
        <f>SUM(AL59:AP86)</f>
        <v>402</v>
      </c>
      <c r="AM58" s="707"/>
      <c r="AN58" s="707"/>
      <c r="AO58" s="707"/>
      <c r="AP58" s="708"/>
      <c r="AQ58" s="706">
        <f>SUM(AQ59:AU86)</f>
        <v>530</v>
      </c>
      <c r="AR58" s="707"/>
      <c r="AS58" s="707"/>
      <c r="AT58" s="707"/>
      <c r="AU58" s="708"/>
      <c r="AV58" s="706">
        <f>SUM(AV59:AZ86)</f>
        <v>30</v>
      </c>
      <c r="AW58" s="707"/>
      <c r="AX58" s="707"/>
      <c r="AY58" s="707"/>
      <c r="AZ58" s="708"/>
      <c r="BA58" s="706">
        <f>SUM(BA59:BE86)</f>
        <v>0</v>
      </c>
      <c r="BB58" s="707"/>
      <c r="BC58" s="707"/>
      <c r="BD58" s="707"/>
      <c r="BE58" s="708"/>
      <c r="BF58" s="706">
        <f>SUM(BF59:BJ86)</f>
        <v>0</v>
      </c>
      <c r="BG58" s="707"/>
      <c r="BH58" s="707"/>
      <c r="BI58" s="707"/>
      <c r="BJ58" s="708"/>
      <c r="BK58" s="704">
        <f>SUM(BK59:BN86)</f>
        <v>1438</v>
      </c>
      <c r="BL58" s="704"/>
      <c r="BM58" s="704"/>
      <c r="BN58" s="706"/>
      <c r="BO58" s="726">
        <f>SUM(BO59:BS86)</f>
        <v>4</v>
      </c>
      <c r="BP58" s="721"/>
      <c r="BQ58" s="721"/>
      <c r="BR58" s="721"/>
      <c r="BS58" s="721"/>
      <c r="BT58" s="721">
        <f>SUM(BT59:BX86)</f>
        <v>13</v>
      </c>
      <c r="BU58" s="721"/>
      <c r="BV58" s="721"/>
      <c r="BW58" s="721"/>
      <c r="BX58" s="721"/>
      <c r="BY58" s="721">
        <f>SUM(BY59:CC86)</f>
        <v>16</v>
      </c>
      <c r="BZ58" s="721"/>
      <c r="CA58" s="721"/>
      <c r="CB58" s="721"/>
      <c r="CC58" s="721"/>
      <c r="CD58" s="721">
        <f>SUM(CD59:CH86)</f>
        <v>8</v>
      </c>
      <c r="CE58" s="721"/>
      <c r="CF58" s="721"/>
      <c r="CG58" s="721"/>
      <c r="CH58" s="721"/>
      <c r="CI58" s="721">
        <f>SUM(CI59:CM86)</f>
        <v>13</v>
      </c>
      <c r="CJ58" s="721"/>
      <c r="CK58" s="721"/>
      <c r="CL58" s="721"/>
      <c r="CM58" s="721"/>
      <c r="CN58" s="721">
        <f>SUM(CN59:CR86)</f>
        <v>10</v>
      </c>
      <c r="CO58" s="721"/>
      <c r="CP58" s="721"/>
      <c r="CQ58" s="721"/>
      <c r="CR58" s="721"/>
      <c r="CS58" s="721">
        <f>SUM(CS59:CW86)</f>
        <v>4</v>
      </c>
      <c r="CT58" s="721"/>
      <c r="CU58" s="721"/>
      <c r="CV58" s="721"/>
      <c r="CW58" s="721"/>
      <c r="CX58" s="721">
        <f>SUM(CX59:DB86)</f>
        <v>0</v>
      </c>
      <c r="CY58" s="721"/>
      <c r="CZ58" s="721"/>
      <c r="DA58" s="721"/>
      <c r="DB58" s="722"/>
      <c r="DC58" s="726">
        <f>SUM(DC59:DG86)</f>
        <v>6</v>
      </c>
      <c r="DD58" s="721"/>
      <c r="DE58" s="721"/>
      <c r="DF58" s="721"/>
      <c r="DG58" s="721"/>
      <c r="DH58" s="721">
        <f>SUM(DH59:DL86)</f>
        <v>14</v>
      </c>
      <c r="DI58" s="721"/>
      <c r="DJ58" s="721"/>
      <c r="DK58" s="721"/>
      <c r="DL58" s="721"/>
      <c r="DM58" s="721">
        <f>SUM(DM59:DQ86)</f>
        <v>19</v>
      </c>
      <c r="DN58" s="721"/>
      <c r="DO58" s="721"/>
      <c r="DP58" s="721"/>
      <c r="DQ58" s="721"/>
      <c r="DR58" s="721">
        <f>SUM(DR59:DV86)</f>
        <v>8</v>
      </c>
      <c r="DS58" s="721"/>
      <c r="DT58" s="721"/>
      <c r="DU58" s="721"/>
      <c r="DV58" s="721"/>
      <c r="DW58" s="721">
        <f>SUM(DW59:EA86)</f>
        <v>16</v>
      </c>
      <c r="DX58" s="721"/>
      <c r="DY58" s="721"/>
      <c r="DZ58" s="721"/>
      <c r="EA58" s="721"/>
      <c r="EB58" s="721">
        <f>SUM(EB59:EF86)</f>
        <v>12</v>
      </c>
      <c r="EC58" s="721"/>
      <c r="ED58" s="721"/>
      <c r="EE58" s="721"/>
      <c r="EF58" s="721"/>
      <c r="EG58" s="721">
        <f>SUM(EG59:EK86)</f>
        <v>5</v>
      </c>
      <c r="EH58" s="721"/>
      <c r="EI58" s="721"/>
      <c r="EJ58" s="721"/>
      <c r="EK58" s="721"/>
      <c r="EL58" s="721">
        <f>SUM(EL59:EP86)</f>
        <v>0</v>
      </c>
      <c r="EM58" s="721"/>
      <c r="EN58" s="721"/>
      <c r="EO58" s="721"/>
      <c r="EP58" s="722"/>
      <c r="EQ58" s="723">
        <f>SUM(EQ59:ES86)</f>
        <v>80</v>
      </c>
      <c r="ER58" s="724"/>
      <c r="ES58" s="725"/>
      <c r="ET58" s="263"/>
      <c r="EX58" s="230"/>
      <c r="EY58" s="231"/>
      <c r="EZ58" s="232"/>
      <c r="FC58" s="243"/>
      <c r="FD58" s="244"/>
      <c r="FE58" s="243"/>
      <c r="FF58" s="243"/>
      <c r="FG58" s="243"/>
      <c r="FH58" s="243"/>
      <c r="FI58" s="255"/>
      <c r="FJ58" s="255"/>
    </row>
    <row r="59" spans="1:166" s="56" customFormat="1" ht="80.099999999999994" customHeight="1" x14ac:dyDescent="0.65">
      <c r="A59" s="329" t="s">
        <v>10</v>
      </c>
      <c r="B59" s="135" t="s">
        <v>196</v>
      </c>
      <c r="C59" s="763" t="s">
        <v>190</v>
      </c>
      <c r="D59" s="764"/>
      <c r="E59" s="764"/>
      <c r="F59" s="764"/>
      <c r="G59" s="764"/>
      <c r="H59" s="764"/>
      <c r="I59" s="764"/>
      <c r="J59" s="764"/>
      <c r="K59" s="764"/>
      <c r="L59" s="764"/>
      <c r="M59" s="764"/>
      <c r="N59" s="764"/>
      <c r="O59" s="764"/>
      <c r="P59" s="764"/>
      <c r="Q59" s="764"/>
      <c r="R59" s="764"/>
      <c r="S59" s="764"/>
      <c r="T59" s="764"/>
      <c r="U59" s="764"/>
      <c r="V59" s="764"/>
      <c r="W59" s="764"/>
      <c r="X59" s="764"/>
      <c r="Y59" s="765"/>
      <c r="Z59" s="747">
        <f>EQ59*30</f>
        <v>150</v>
      </c>
      <c r="AA59" s="748"/>
      <c r="AB59" s="748"/>
      <c r="AC59" s="749"/>
      <c r="AD59" s="709"/>
      <c r="AE59" s="710"/>
      <c r="AF59" s="711"/>
      <c r="AG59" s="715">
        <f>SUM(AL59:BE60)</f>
        <v>60</v>
      </c>
      <c r="AH59" s="716"/>
      <c r="AI59" s="716"/>
      <c r="AJ59" s="716"/>
      <c r="AK59" s="717"/>
      <c r="AL59" s="715">
        <v>30</v>
      </c>
      <c r="AM59" s="716"/>
      <c r="AN59" s="716"/>
      <c r="AO59" s="716"/>
      <c r="AP59" s="717"/>
      <c r="AQ59" s="715">
        <v>30</v>
      </c>
      <c r="AR59" s="716"/>
      <c r="AS59" s="716"/>
      <c r="AT59" s="716"/>
      <c r="AU59" s="717"/>
      <c r="AV59" s="715"/>
      <c r="AW59" s="716"/>
      <c r="AX59" s="716"/>
      <c r="AY59" s="716"/>
      <c r="AZ59" s="717"/>
      <c r="BA59" s="715"/>
      <c r="BB59" s="716"/>
      <c r="BC59" s="716"/>
      <c r="BD59" s="716"/>
      <c r="BE59" s="717"/>
      <c r="BF59" s="715"/>
      <c r="BG59" s="716"/>
      <c r="BH59" s="716"/>
      <c r="BI59" s="716"/>
      <c r="BJ59" s="717"/>
      <c r="BK59" s="747">
        <f>Z59-AG59</f>
        <v>90</v>
      </c>
      <c r="BL59" s="748"/>
      <c r="BM59" s="748"/>
      <c r="BN59" s="748"/>
      <c r="BO59" s="761"/>
      <c r="BP59" s="754"/>
      <c r="BQ59" s="754"/>
      <c r="BR59" s="754"/>
      <c r="BS59" s="754"/>
      <c r="BT59" s="655"/>
      <c r="BU59" s="655"/>
      <c r="BV59" s="655"/>
      <c r="BW59" s="655"/>
      <c r="BX59" s="655"/>
      <c r="BY59" s="662">
        <v>4</v>
      </c>
      <c r="BZ59" s="662"/>
      <c r="CA59" s="662"/>
      <c r="CB59" s="662"/>
      <c r="CC59" s="662"/>
      <c r="CD59" s="662"/>
      <c r="CE59" s="662"/>
      <c r="CF59" s="662"/>
      <c r="CG59" s="662"/>
      <c r="CH59" s="662"/>
      <c r="CI59" s="655"/>
      <c r="CJ59" s="655"/>
      <c r="CK59" s="655"/>
      <c r="CL59" s="655"/>
      <c r="CM59" s="655"/>
      <c r="CN59" s="655"/>
      <c r="CO59" s="655"/>
      <c r="CP59" s="655"/>
      <c r="CQ59" s="655"/>
      <c r="CR59" s="655"/>
      <c r="CS59" s="655"/>
      <c r="CT59" s="655"/>
      <c r="CU59" s="655"/>
      <c r="CV59" s="655"/>
      <c r="CW59" s="655"/>
      <c r="CX59" s="753"/>
      <c r="CY59" s="754"/>
      <c r="CZ59" s="754"/>
      <c r="DA59" s="754"/>
      <c r="DB59" s="755"/>
      <c r="DC59" s="759"/>
      <c r="DD59" s="728"/>
      <c r="DE59" s="728"/>
      <c r="DF59" s="728"/>
      <c r="DG59" s="729"/>
      <c r="DH59" s="727"/>
      <c r="DI59" s="728"/>
      <c r="DJ59" s="728"/>
      <c r="DK59" s="728"/>
      <c r="DL59" s="729"/>
      <c r="DM59" s="727">
        <v>5</v>
      </c>
      <c r="DN59" s="728"/>
      <c r="DO59" s="728"/>
      <c r="DP59" s="728"/>
      <c r="DQ59" s="729"/>
      <c r="DR59" s="727"/>
      <c r="DS59" s="728"/>
      <c r="DT59" s="728"/>
      <c r="DU59" s="728"/>
      <c r="DV59" s="729"/>
      <c r="DW59" s="727"/>
      <c r="DX59" s="728"/>
      <c r="DY59" s="728"/>
      <c r="DZ59" s="728"/>
      <c r="EA59" s="729"/>
      <c r="EB59" s="727"/>
      <c r="EC59" s="728"/>
      <c r="ED59" s="728"/>
      <c r="EE59" s="728"/>
      <c r="EF59" s="729"/>
      <c r="EG59" s="727"/>
      <c r="EH59" s="728"/>
      <c r="EI59" s="728"/>
      <c r="EJ59" s="728"/>
      <c r="EK59" s="729"/>
      <c r="EL59" s="727"/>
      <c r="EM59" s="728"/>
      <c r="EN59" s="728"/>
      <c r="EO59" s="728"/>
      <c r="EP59" s="733"/>
      <c r="EQ59" s="735">
        <f>SUM(DC59:EP60)</f>
        <v>5</v>
      </c>
      <c r="ER59" s="736"/>
      <c r="ES59" s="737"/>
      <c r="ET59" s="261"/>
      <c r="EX59" s="230"/>
      <c r="EY59" s="231"/>
      <c r="EZ59" s="232"/>
      <c r="FC59" s="245"/>
      <c r="FD59" s="246"/>
      <c r="FE59" s="245"/>
      <c r="FF59" s="245"/>
      <c r="FG59" s="245"/>
      <c r="FH59" s="245"/>
      <c r="FI59" s="50"/>
      <c r="FJ59" s="50"/>
    </row>
    <row r="60" spans="1:166" s="56" customFormat="1" ht="80.099999999999994" customHeight="1" x14ac:dyDescent="0.65">
      <c r="A60" s="330"/>
      <c r="B60" s="135" t="s">
        <v>197</v>
      </c>
      <c r="C60" s="741" t="s">
        <v>191</v>
      </c>
      <c r="D60" s="742"/>
      <c r="E60" s="742"/>
      <c r="F60" s="742"/>
      <c r="G60" s="742"/>
      <c r="H60" s="742"/>
      <c r="I60" s="742"/>
      <c r="J60" s="742"/>
      <c r="K60" s="742"/>
      <c r="L60" s="742"/>
      <c r="M60" s="742"/>
      <c r="N60" s="742"/>
      <c r="O60" s="742"/>
      <c r="P60" s="742"/>
      <c r="Q60" s="742"/>
      <c r="R60" s="742"/>
      <c r="S60" s="742"/>
      <c r="T60" s="742"/>
      <c r="U60" s="742"/>
      <c r="V60" s="742"/>
      <c r="W60" s="742"/>
      <c r="X60" s="742"/>
      <c r="Y60" s="743"/>
      <c r="Z60" s="750"/>
      <c r="AA60" s="751"/>
      <c r="AB60" s="751"/>
      <c r="AC60" s="752"/>
      <c r="AD60" s="712"/>
      <c r="AE60" s="713"/>
      <c r="AF60" s="714"/>
      <c r="AG60" s="718"/>
      <c r="AH60" s="719"/>
      <c r="AI60" s="719"/>
      <c r="AJ60" s="719"/>
      <c r="AK60" s="720"/>
      <c r="AL60" s="718"/>
      <c r="AM60" s="719"/>
      <c r="AN60" s="719"/>
      <c r="AO60" s="719"/>
      <c r="AP60" s="720"/>
      <c r="AQ60" s="718"/>
      <c r="AR60" s="719"/>
      <c r="AS60" s="719"/>
      <c r="AT60" s="719"/>
      <c r="AU60" s="720"/>
      <c r="AV60" s="718"/>
      <c r="AW60" s="719"/>
      <c r="AX60" s="719"/>
      <c r="AY60" s="719"/>
      <c r="AZ60" s="720"/>
      <c r="BA60" s="718"/>
      <c r="BB60" s="719"/>
      <c r="BC60" s="719"/>
      <c r="BD60" s="719"/>
      <c r="BE60" s="720"/>
      <c r="BF60" s="718"/>
      <c r="BG60" s="719"/>
      <c r="BH60" s="719"/>
      <c r="BI60" s="719"/>
      <c r="BJ60" s="720"/>
      <c r="BK60" s="750"/>
      <c r="BL60" s="751"/>
      <c r="BM60" s="751"/>
      <c r="BN60" s="751"/>
      <c r="BO60" s="762"/>
      <c r="BP60" s="757"/>
      <c r="BQ60" s="757"/>
      <c r="BR60" s="757"/>
      <c r="BS60" s="757"/>
      <c r="BT60" s="655"/>
      <c r="BU60" s="655"/>
      <c r="BV60" s="655"/>
      <c r="BW60" s="655"/>
      <c r="BX60" s="655"/>
      <c r="BY60" s="662"/>
      <c r="BZ60" s="662"/>
      <c r="CA60" s="662"/>
      <c r="CB60" s="662"/>
      <c r="CC60" s="662"/>
      <c r="CD60" s="662"/>
      <c r="CE60" s="662"/>
      <c r="CF60" s="662"/>
      <c r="CG60" s="662"/>
      <c r="CH60" s="662"/>
      <c r="CI60" s="655"/>
      <c r="CJ60" s="655"/>
      <c r="CK60" s="655"/>
      <c r="CL60" s="655"/>
      <c r="CM60" s="655"/>
      <c r="CN60" s="655"/>
      <c r="CO60" s="655"/>
      <c r="CP60" s="655"/>
      <c r="CQ60" s="655"/>
      <c r="CR60" s="655"/>
      <c r="CS60" s="655"/>
      <c r="CT60" s="655"/>
      <c r="CU60" s="655"/>
      <c r="CV60" s="655"/>
      <c r="CW60" s="655"/>
      <c r="CX60" s="756"/>
      <c r="CY60" s="757"/>
      <c r="CZ60" s="757"/>
      <c r="DA60" s="757"/>
      <c r="DB60" s="758"/>
      <c r="DC60" s="760"/>
      <c r="DD60" s="731"/>
      <c r="DE60" s="731"/>
      <c r="DF60" s="731"/>
      <c r="DG60" s="732"/>
      <c r="DH60" s="730"/>
      <c r="DI60" s="731"/>
      <c r="DJ60" s="731"/>
      <c r="DK60" s="731"/>
      <c r="DL60" s="732"/>
      <c r="DM60" s="730"/>
      <c r="DN60" s="731"/>
      <c r="DO60" s="731"/>
      <c r="DP60" s="731"/>
      <c r="DQ60" s="732"/>
      <c r="DR60" s="730"/>
      <c r="DS60" s="731"/>
      <c r="DT60" s="731"/>
      <c r="DU60" s="731"/>
      <c r="DV60" s="732"/>
      <c r="DW60" s="730"/>
      <c r="DX60" s="731"/>
      <c r="DY60" s="731"/>
      <c r="DZ60" s="731"/>
      <c r="EA60" s="732"/>
      <c r="EB60" s="730"/>
      <c r="EC60" s="731"/>
      <c r="ED60" s="731"/>
      <c r="EE60" s="731"/>
      <c r="EF60" s="732"/>
      <c r="EG60" s="730"/>
      <c r="EH60" s="731"/>
      <c r="EI60" s="731"/>
      <c r="EJ60" s="731"/>
      <c r="EK60" s="732"/>
      <c r="EL60" s="730"/>
      <c r="EM60" s="731"/>
      <c r="EN60" s="731"/>
      <c r="EO60" s="731"/>
      <c r="EP60" s="734"/>
      <c r="EQ60" s="738"/>
      <c r="ER60" s="739"/>
      <c r="ES60" s="740"/>
      <c r="ET60" s="261"/>
      <c r="EX60" s="233"/>
      <c r="EY60" s="234">
        <v>9</v>
      </c>
      <c r="EZ60" s="235"/>
      <c r="FA60" s="242" t="s">
        <v>289</v>
      </c>
      <c r="FC60" s="245"/>
      <c r="FD60" s="246"/>
      <c r="FE60" s="245"/>
      <c r="FF60" s="245"/>
      <c r="FG60" s="245"/>
      <c r="FH60" s="245"/>
      <c r="FI60" s="50"/>
      <c r="FJ60" s="50"/>
    </row>
    <row r="61" spans="1:166" s="56" customFormat="1" ht="99.95" customHeight="1" x14ac:dyDescent="0.65">
      <c r="A61" s="329" t="s">
        <v>11</v>
      </c>
      <c r="B61" s="135" t="s">
        <v>192</v>
      </c>
      <c r="C61" s="744" t="s">
        <v>193</v>
      </c>
      <c r="D61" s="745"/>
      <c r="E61" s="745"/>
      <c r="F61" s="745"/>
      <c r="G61" s="745"/>
      <c r="H61" s="745"/>
      <c r="I61" s="745"/>
      <c r="J61" s="745"/>
      <c r="K61" s="745"/>
      <c r="L61" s="745"/>
      <c r="M61" s="745"/>
      <c r="N61" s="745"/>
      <c r="O61" s="745"/>
      <c r="P61" s="745"/>
      <c r="Q61" s="745"/>
      <c r="R61" s="745"/>
      <c r="S61" s="745"/>
      <c r="T61" s="745"/>
      <c r="U61" s="745"/>
      <c r="V61" s="745"/>
      <c r="W61" s="745"/>
      <c r="X61" s="745"/>
      <c r="Y61" s="746"/>
      <c r="Z61" s="747">
        <f>+EQ61*30</f>
        <v>150</v>
      </c>
      <c r="AA61" s="748"/>
      <c r="AB61" s="748"/>
      <c r="AC61" s="749"/>
      <c r="AD61" s="709"/>
      <c r="AE61" s="710"/>
      <c r="AF61" s="711"/>
      <c r="AG61" s="715">
        <f>SUM(AL61:BE62)</f>
        <v>60</v>
      </c>
      <c r="AH61" s="716"/>
      <c r="AI61" s="716"/>
      <c r="AJ61" s="716"/>
      <c r="AK61" s="717"/>
      <c r="AL61" s="715">
        <v>30</v>
      </c>
      <c r="AM61" s="716"/>
      <c r="AN61" s="716"/>
      <c r="AO61" s="716"/>
      <c r="AP61" s="717"/>
      <c r="AQ61" s="715">
        <v>30</v>
      </c>
      <c r="AR61" s="716"/>
      <c r="AS61" s="716"/>
      <c r="AT61" s="716"/>
      <c r="AU61" s="717"/>
      <c r="AV61" s="715"/>
      <c r="AW61" s="716"/>
      <c r="AX61" s="716"/>
      <c r="AY61" s="716"/>
      <c r="AZ61" s="717"/>
      <c r="BA61" s="715"/>
      <c r="BB61" s="716"/>
      <c r="BC61" s="716"/>
      <c r="BD61" s="716"/>
      <c r="BE61" s="717"/>
      <c r="BF61" s="715"/>
      <c r="BG61" s="716"/>
      <c r="BH61" s="716"/>
      <c r="BI61" s="716"/>
      <c r="BJ61" s="717"/>
      <c r="BK61" s="747">
        <f>Z61-AG61</f>
        <v>90</v>
      </c>
      <c r="BL61" s="748"/>
      <c r="BM61" s="748"/>
      <c r="BN61" s="748"/>
      <c r="BO61" s="761"/>
      <c r="BP61" s="754"/>
      <c r="BQ61" s="754"/>
      <c r="BR61" s="754"/>
      <c r="BS61" s="754"/>
      <c r="BT61" s="655"/>
      <c r="BU61" s="655"/>
      <c r="BV61" s="655"/>
      <c r="BW61" s="655"/>
      <c r="BX61" s="655"/>
      <c r="BY61" s="662">
        <v>4</v>
      </c>
      <c r="BZ61" s="662"/>
      <c r="CA61" s="662"/>
      <c r="CB61" s="662"/>
      <c r="CC61" s="662"/>
      <c r="CD61" s="662"/>
      <c r="CE61" s="662"/>
      <c r="CF61" s="662"/>
      <c r="CG61" s="662"/>
      <c r="CH61" s="662"/>
      <c r="CI61" s="655"/>
      <c r="CJ61" s="655"/>
      <c r="CK61" s="655"/>
      <c r="CL61" s="655"/>
      <c r="CM61" s="655"/>
      <c r="CN61" s="655"/>
      <c r="CO61" s="655"/>
      <c r="CP61" s="655"/>
      <c r="CQ61" s="655"/>
      <c r="CR61" s="655"/>
      <c r="CS61" s="655"/>
      <c r="CT61" s="655"/>
      <c r="CU61" s="655"/>
      <c r="CV61" s="655"/>
      <c r="CW61" s="655"/>
      <c r="CX61" s="753"/>
      <c r="CY61" s="754"/>
      <c r="CZ61" s="754"/>
      <c r="DA61" s="754"/>
      <c r="DB61" s="755"/>
      <c r="DC61" s="759"/>
      <c r="DD61" s="728"/>
      <c r="DE61" s="728"/>
      <c r="DF61" s="728"/>
      <c r="DG61" s="729"/>
      <c r="DH61" s="727"/>
      <c r="DI61" s="728"/>
      <c r="DJ61" s="728"/>
      <c r="DK61" s="728"/>
      <c r="DL61" s="729"/>
      <c r="DM61" s="727">
        <v>5</v>
      </c>
      <c r="DN61" s="728"/>
      <c r="DO61" s="728"/>
      <c r="DP61" s="728"/>
      <c r="DQ61" s="729"/>
      <c r="DR61" s="727"/>
      <c r="DS61" s="728"/>
      <c r="DT61" s="728"/>
      <c r="DU61" s="728"/>
      <c r="DV61" s="729"/>
      <c r="DW61" s="727"/>
      <c r="DX61" s="728"/>
      <c r="DY61" s="728"/>
      <c r="DZ61" s="728"/>
      <c r="EA61" s="729"/>
      <c r="EB61" s="727"/>
      <c r="EC61" s="728"/>
      <c r="ED61" s="728"/>
      <c r="EE61" s="728"/>
      <c r="EF61" s="729"/>
      <c r="EG61" s="727"/>
      <c r="EH61" s="728"/>
      <c r="EI61" s="728"/>
      <c r="EJ61" s="728"/>
      <c r="EK61" s="729"/>
      <c r="EL61" s="727"/>
      <c r="EM61" s="728"/>
      <c r="EN61" s="728"/>
      <c r="EO61" s="728"/>
      <c r="EP61" s="733"/>
      <c r="EQ61" s="735">
        <f>SUM(DC61:EP62)</f>
        <v>5</v>
      </c>
      <c r="ER61" s="736"/>
      <c r="ES61" s="737"/>
      <c r="ET61" s="261"/>
      <c r="EX61" s="233"/>
      <c r="EY61" s="234"/>
      <c r="EZ61" s="235"/>
      <c r="FC61" s="245"/>
      <c r="FD61" s="246"/>
      <c r="FE61" s="245"/>
      <c r="FF61" s="245"/>
      <c r="FG61" s="245"/>
      <c r="FH61" s="245"/>
      <c r="FI61" s="50"/>
      <c r="FJ61" s="50"/>
    </row>
    <row r="62" spans="1:166" s="56" customFormat="1" ht="99.95" customHeight="1" x14ac:dyDescent="0.65">
      <c r="A62" s="330"/>
      <c r="B62" s="135" t="s">
        <v>194</v>
      </c>
      <c r="C62" s="744" t="s">
        <v>195</v>
      </c>
      <c r="D62" s="745"/>
      <c r="E62" s="745"/>
      <c r="F62" s="745"/>
      <c r="G62" s="745"/>
      <c r="H62" s="745"/>
      <c r="I62" s="745"/>
      <c r="J62" s="745"/>
      <c r="K62" s="745"/>
      <c r="L62" s="745"/>
      <c r="M62" s="745"/>
      <c r="N62" s="745"/>
      <c r="O62" s="745"/>
      <c r="P62" s="745"/>
      <c r="Q62" s="745"/>
      <c r="R62" s="745"/>
      <c r="S62" s="745"/>
      <c r="T62" s="745"/>
      <c r="U62" s="745"/>
      <c r="V62" s="745"/>
      <c r="W62" s="745"/>
      <c r="X62" s="745"/>
      <c r="Y62" s="746"/>
      <c r="Z62" s="750"/>
      <c r="AA62" s="751"/>
      <c r="AB62" s="751"/>
      <c r="AC62" s="752"/>
      <c r="AD62" s="712"/>
      <c r="AE62" s="713"/>
      <c r="AF62" s="714"/>
      <c r="AG62" s="718"/>
      <c r="AH62" s="719"/>
      <c r="AI62" s="719"/>
      <c r="AJ62" s="719"/>
      <c r="AK62" s="720"/>
      <c r="AL62" s="718"/>
      <c r="AM62" s="719"/>
      <c r="AN62" s="719"/>
      <c r="AO62" s="719"/>
      <c r="AP62" s="720"/>
      <c r="AQ62" s="718"/>
      <c r="AR62" s="719"/>
      <c r="AS62" s="719"/>
      <c r="AT62" s="719"/>
      <c r="AU62" s="720"/>
      <c r="AV62" s="718"/>
      <c r="AW62" s="719"/>
      <c r="AX62" s="719"/>
      <c r="AY62" s="719"/>
      <c r="AZ62" s="720"/>
      <c r="BA62" s="718"/>
      <c r="BB62" s="719"/>
      <c r="BC62" s="719"/>
      <c r="BD62" s="719"/>
      <c r="BE62" s="720"/>
      <c r="BF62" s="718"/>
      <c r="BG62" s="719"/>
      <c r="BH62" s="719"/>
      <c r="BI62" s="719"/>
      <c r="BJ62" s="720"/>
      <c r="BK62" s="750"/>
      <c r="BL62" s="751"/>
      <c r="BM62" s="751"/>
      <c r="BN62" s="751"/>
      <c r="BO62" s="762"/>
      <c r="BP62" s="757"/>
      <c r="BQ62" s="757"/>
      <c r="BR62" s="757"/>
      <c r="BS62" s="757"/>
      <c r="BT62" s="655"/>
      <c r="BU62" s="655"/>
      <c r="BV62" s="655"/>
      <c r="BW62" s="655"/>
      <c r="BX62" s="655"/>
      <c r="BY62" s="662"/>
      <c r="BZ62" s="662"/>
      <c r="CA62" s="662"/>
      <c r="CB62" s="662"/>
      <c r="CC62" s="662"/>
      <c r="CD62" s="662"/>
      <c r="CE62" s="662"/>
      <c r="CF62" s="662"/>
      <c r="CG62" s="662"/>
      <c r="CH62" s="662"/>
      <c r="CI62" s="655"/>
      <c r="CJ62" s="655"/>
      <c r="CK62" s="655"/>
      <c r="CL62" s="655"/>
      <c r="CM62" s="655"/>
      <c r="CN62" s="655"/>
      <c r="CO62" s="655"/>
      <c r="CP62" s="655"/>
      <c r="CQ62" s="655"/>
      <c r="CR62" s="655"/>
      <c r="CS62" s="655"/>
      <c r="CT62" s="655"/>
      <c r="CU62" s="655"/>
      <c r="CV62" s="655"/>
      <c r="CW62" s="655"/>
      <c r="CX62" s="756"/>
      <c r="CY62" s="757"/>
      <c r="CZ62" s="757"/>
      <c r="DA62" s="757"/>
      <c r="DB62" s="758"/>
      <c r="DC62" s="760"/>
      <c r="DD62" s="731"/>
      <c r="DE62" s="731"/>
      <c r="DF62" s="731"/>
      <c r="DG62" s="732"/>
      <c r="DH62" s="730"/>
      <c r="DI62" s="731"/>
      <c r="DJ62" s="731"/>
      <c r="DK62" s="731"/>
      <c r="DL62" s="732"/>
      <c r="DM62" s="730"/>
      <c r="DN62" s="731"/>
      <c r="DO62" s="731"/>
      <c r="DP62" s="731"/>
      <c r="DQ62" s="732"/>
      <c r="DR62" s="730"/>
      <c r="DS62" s="731"/>
      <c r="DT62" s="731"/>
      <c r="DU62" s="731"/>
      <c r="DV62" s="732"/>
      <c r="DW62" s="730"/>
      <c r="DX62" s="731"/>
      <c r="DY62" s="731"/>
      <c r="DZ62" s="731"/>
      <c r="EA62" s="732"/>
      <c r="EB62" s="730"/>
      <c r="EC62" s="731"/>
      <c r="ED62" s="731"/>
      <c r="EE62" s="731"/>
      <c r="EF62" s="732"/>
      <c r="EG62" s="730"/>
      <c r="EH62" s="731"/>
      <c r="EI62" s="731"/>
      <c r="EJ62" s="731"/>
      <c r="EK62" s="732"/>
      <c r="EL62" s="730"/>
      <c r="EM62" s="731"/>
      <c r="EN62" s="731"/>
      <c r="EO62" s="731"/>
      <c r="EP62" s="734"/>
      <c r="EQ62" s="738"/>
      <c r="ER62" s="739"/>
      <c r="ES62" s="740"/>
      <c r="ET62" s="261"/>
      <c r="EX62" s="233"/>
      <c r="EY62" s="234"/>
      <c r="EZ62" s="235"/>
      <c r="FC62" s="245"/>
      <c r="FD62" s="246"/>
      <c r="FE62" s="245"/>
      <c r="FF62" s="245"/>
      <c r="FG62" s="245"/>
      <c r="FH62" s="245"/>
      <c r="FI62" s="50"/>
      <c r="FJ62" s="50"/>
    </row>
    <row r="63" spans="1:166" s="56" customFormat="1" ht="99.95" customHeight="1" x14ac:dyDescent="0.65">
      <c r="A63" s="329" t="s">
        <v>39</v>
      </c>
      <c r="B63" s="138" t="s">
        <v>148</v>
      </c>
      <c r="C63" s="766" t="s">
        <v>113</v>
      </c>
      <c r="D63" s="766"/>
      <c r="E63" s="766"/>
      <c r="F63" s="766"/>
      <c r="G63" s="766"/>
      <c r="H63" s="766"/>
      <c r="I63" s="766"/>
      <c r="J63" s="766"/>
      <c r="K63" s="766"/>
      <c r="L63" s="766"/>
      <c r="M63" s="766"/>
      <c r="N63" s="766"/>
      <c r="O63" s="766"/>
      <c r="P63" s="766"/>
      <c r="Q63" s="766"/>
      <c r="R63" s="766"/>
      <c r="S63" s="766"/>
      <c r="T63" s="766"/>
      <c r="U63" s="766"/>
      <c r="V63" s="766"/>
      <c r="W63" s="766"/>
      <c r="X63" s="766"/>
      <c r="Y63" s="766"/>
      <c r="Z63" s="747">
        <f>+EQ63*30</f>
        <v>120</v>
      </c>
      <c r="AA63" s="748"/>
      <c r="AB63" s="748"/>
      <c r="AC63" s="749"/>
      <c r="AD63" s="709"/>
      <c r="AE63" s="710"/>
      <c r="AF63" s="711"/>
      <c r="AG63" s="715">
        <f>SUM(AL63:BE64)</f>
        <v>60</v>
      </c>
      <c r="AH63" s="716"/>
      <c r="AI63" s="716"/>
      <c r="AJ63" s="716"/>
      <c r="AK63" s="717"/>
      <c r="AL63" s="715">
        <v>30</v>
      </c>
      <c r="AM63" s="716"/>
      <c r="AN63" s="716"/>
      <c r="AO63" s="716"/>
      <c r="AP63" s="717"/>
      <c r="AQ63" s="715">
        <v>30</v>
      </c>
      <c r="AR63" s="716"/>
      <c r="AS63" s="716"/>
      <c r="AT63" s="716"/>
      <c r="AU63" s="717"/>
      <c r="AV63" s="715"/>
      <c r="AW63" s="716"/>
      <c r="AX63" s="716"/>
      <c r="AY63" s="716"/>
      <c r="AZ63" s="717"/>
      <c r="BA63" s="715"/>
      <c r="BB63" s="716"/>
      <c r="BC63" s="716"/>
      <c r="BD63" s="716"/>
      <c r="BE63" s="717"/>
      <c r="BF63" s="715"/>
      <c r="BG63" s="716"/>
      <c r="BH63" s="716"/>
      <c r="BI63" s="716"/>
      <c r="BJ63" s="717"/>
      <c r="BK63" s="747">
        <f>Z63-AG63</f>
        <v>60</v>
      </c>
      <c r="BL63" s="748"/>
      <c r="BM63" s="748"/>
      <c r="BN63" s="748"/>
      <c r="BO63" s="761"/>
      <c r="BP63" s="754"/>
      <c r="BQ63" s="754"/>
      <c r="BR63" s="754"/>
      <c r="BS63" s="785"/>
      <c r="BT63" s="753">
        <v>4</v>
      </c>
      <c r="BU63" s="754"/>
      <c r="BV63" s="754"/>
      <c r="BW63" s="754"/>
      <c r="BX63" s="785"/>
      <c r="BY63" s="727"/>
      <c r="BZ63" s="728"/>
      <c r="CA63" s="728"/>
      <c r="CB63" s="728"/>
      <c r="CC63" s="729"/>
      <c r="CD63" s="727"/>
      <c r="CE63" s="728"/>
      <c r="CF63" s="728"/>
      <c r="CG63" s="728"/>
      <c r="CH63" s="729"/>
      <c r="CI63" s="753"/>
      <c r="CJ63" s="754"/>
      <c r="CK63" s="754"/>
      <c r="CL63" s="754"/>
      <c r="CM63" s="785"/>
      <c r="CN63" s="753"/>
      <c r="CO63" s="754"/>
      <c r="CP63" s="754"/>
      <c r="CQ63" s="754"/>
      <c r="CR63" s="785"/>
      <c r="CS63" s="753"/>
      <c r="CT63" s="754"/>
      <c r="CU63" s="754"/>
      <c r="CV63" s="754"/>
      <c r="CW63" s="785"/>
      <c r="CX63" s="753"/>
      <c r="CY63" s="754"/>
      <c r="CZ63" s="754"/>
      <c r="DA63" s="754"/>
      <c r="DB63" s="755"/>
      <c r="DC63" s="759"/>
      <c r="DD63" s="728"/>
      <c r="DE63" s="728"/>
      <c r="DF63" s="728"/>
      <c r="DG63" s="729"/>
      <c r="DH63" s="727">
        <v>4</v>
      </c>
      <c r="DI63" s="728"/>
      <c r="DJ63" s="728"/>
      <c r="DK63" s="728"/>
      <c r="DL63" s="729"/>
      <c r="DM63" s="727"/>
      <c r="DN63" s="728"/>
      <c r="DO63" s="728"/>
      <c r="DP63" s="728"/>
      <c r="DQ63" s="729"/>
      <c r="DR63" s="727"/>
      <c r="DS63" s="728"/>
      <c r="DT63" s="728"/>
      <c r="DU63" s="728"/>
      <c r="DV63" s="729"/>
      <c r="DW63" s="727"/>
      <c r="DX63" s="728"/>
      <c r="DY63" s="728"/>
      <c r="DZ63" s="728"/>
      <c r="EA63" s="729"/>
      <c r="EB63" s="727"/>
      <c r="EC63" s="728"/>
      <c r="ED63" s="728"/>
      <c r="EE63" s="728"/>
      <c r="EF63" s="729"/>
      <c r="EG63" s="727"/>
      <c r="EH63" s="728"/>
      <c r="EI63" s="728"/>
      <c r="EJ63" s="728"/>
      <c r="EK63" s="729"/>
      <c r="EL63" s="727"/>
      <c r="EM63" s="728"/>
      <c r="EN63" s="728"/>
      <c r="EO63" s="728"/>
      <c r="EP63" s="733"/>
      <c r="EQ63" s="735">
        <f>SUM(DC63:EP64)</f>
        <v>4</v>
      </c>
      <c r="ER63" s="736"/>
      <c r="ES63" s="737"/>
      <c r="ET63" s="269" t="s">
        <v>300</v>
      </c>
      <c r="EX63" s="233"/>
      <c r="EY63" s="234"/>
      <c r="EZ63" s="235"/>
      <c r="FC63" s="245"/>
      <c r="FD63" s="246"/>
      <c r="FE63" s="245"/>
      <c r="FF63" s="245"/>
      <c r="FG63" s="245"/>
      <c r="FH63" s="245"/>
      <c r="FI63" s="50"/>
      <c r="FJ63" s="50"/>
    </row>
    <row r="64" spans="1:166" s="56" customFormat="1" ht="80.099999999999994" customHeight="1" x14ac:dyDescent="0.65">
      <c r="A64" s="330"/>
      <c r="B64" s="138" t="s">
        <v>157</v>
      </c>
      <c r="C64" s="688" t="s">
        <v>228</v>
      </c>
      <c r="D64" s="688"/>
      <c r="E64" s="688"/>
      <c r="F64" s="688"/>
      <c r="G64" s="688"/>
      <c r="H64" s="688"/>
      <c r="I64" s="688"/>
      <c r="J64" s="688"/>
      <c r="K64" s="688"/>
      <c r="L64" s="688"/>
      <c r="M64" s="688"/>
      <c r="N64" s="688"/>
      <c r="O64" s="688"/>
      <c r="P64" s="688"/>
      <c r="Q64" s="688"/>
      <c r="R64" s="688"/>
      <c r="S64" s="688"/>
      <c r="T64" s="688"/>
      <c r="U64" s="688"/>
      <c r="V64" s="688"/>
      <c r="W64" s="688"/>
      <c r="X64" s="688"/>
      <c r="Y64" s="688"/>
      <c r="Z64" s="750"/>
      <c r="AA64" s="751"/>
      <c r="AB64" s="751"/>
      <c r="AC64" s="752"/>
      <c r="AD64" s="712"/>
      <c r="AE64" s="713"/>
      <c r="AF64" s="714"/>
      <c r="AG64" s="718"/>
      <c r="AH64" s="719"/>
      <c r="AI64" s="719"/>
      <c r="AJ64" s="719"/>
      <c r="AK64" s="720"/>
      <c r="AL64" s="718"/>
      <c r="AM64" s="719"/>
      <c r="AN64" s="719"/>
      <c r="AO64" s="719"/>
      <c r="AP64" s="720"/>
      <c r="AQ64" s="718"/>
      <c r="AR64" s="719"/>
      <c r="AS64" s="719"/>
      <c r="AT64" s="719"/>
      <c r="AU64" s="720"/>
      <c r="AV64" s="718"/>
      <c r="AW64" s="719"/>
      <c r="AX64" s="719"/>
      <c r="AY64" s="719"/>
      <c r="AZ64" s="720"/>
      <c r="BA64" s="718"/>
      <c r="BB64" s="719"/>
      <c r="BC64" s="719"/>
      <c r="BD64" s="719"/>
      <c r="BE64" s="720"/>
      <c r="BF64" s="718"/>
      <c r="BG64" s="719"/>
      <c r="BH64" s="719"/>
      <c r="BI64" s="719"/>
      <c r="BJ64" s="720"/>
      <c r="BK64" s="750"/>
      <c r="BL64" s="751"/>
      <c r="BM64" s="751"/>
      <c r="BN64" s="751"/>
      <c r="BO64" s="762"/>
      <c r="BP64" s="757"/>
      <c r="BQ64" s="757"/>
      <c r="BR64" s="757"/>
      <c r="BS64" s="786"/>
      <c r="BT64" s="756"/>
      <c r="BU64" s="757"/>
      <c r="BV64" s="757"/>
      <c r="BW64" s="757"/>
      <c r="BX64" s="786"/>
      <c r="BY64" s="730"/>
      <c r="BZ64" s="731"/>
      <c r="CA64" s="731"/>
      <c r="CB64" s="731"/>
      <c r="CC64" s="732"/>
      <c r="CD64" s="730"/>
      <c r="CE64" s="731"/>
      <c r="CF64" s="731"/>
      <c r="CG64" s="731"/>
      <c r="CH64" s="732"/>
      <c r="CI64" s="756"/>
      <c r="CJ64" s="757"/>
      <c r="CK64" s="757"/>
      <c r="CL64" s="757"/>
      <c r="CM64" s="786"/>
      <c r="CN64" s="756"/>
      <c r="CO64" s="757"/>
      <c r="CP64" s="757"/>
      <c r="CQ64" s="757"/>
      <c r="CR64" s="786"/>
      <c r="CS64" s="756"/>
      <c r="CT64" s="757"/>
      <c r="CU64" s="757"/>
      <c r="CV64" s="757"/>
      <c r="CW64" s="786"/>
      <c r="CX64" s="756"/>
      <c r="CY64" s="757"/>
      <c r="CZ64" s="757"/>
      <c r="DA64" s="757"/>
      <c r="DB64" s="758"/>
      <c r="DC64" s="760"/>
      <c r="DD64" s="731"/>
      <c r="DE64" s="731"/>
      <c r="DF64" s="731"/>
      <c r="DG64" s="732"/>
      <c r="DH64" s="730"/>
      <c r="DI64" s="731"/>
      <c r="DJ64" s="731"/>
      <c r="DK64" s="731"/>
      <c r="DL64" s="732"/>
      <c r="DM64" s="730"/>
      <c r="DN64" s="731"/>
      <c r="DO64" s="731"/>
      <c r="DP64" s="731"/>
      <c r="DQ64" s="732"/>
      <c r="DR64" s="730"/>
      <c r="DS64" s="731"/>
      <c r="DT64" s="731"/>
      <c r="DU64" s="731"/>
      <c r="DV64" s="732"/>
      <c r="DW64" s="730"/>
      <c r="DX64" s="731"/>
      <c r="DY64" s="731"/>
      <c r="DZ64" s="731"/>
      <c r="EA64" s="732"/>
      <c r="EB64" s="730"/>
      <c r="EC64" s="731"/>
      <c r="ED64" s="731"/>
      <c r="EE64" s="731"/>
      <c r="EF64" s="732"/>
      <c r="EG64" s="730"/>
      <c r="EH64" s="731"/>
      <c r="EI64" s="731"/>
      <c r="EJ64" s="731"/>
      <c r="EK64" s="732"/>
      <c r="EL64" s="730"/>
      <c r="EM64" s="731"/>
      <c r="EN64" s="731"/>
      <c r="EO64" s="731"/>
      <c r="EP64" s="734"/>
      <c r="EQ64" s="738"/>
      <c r="ER64" s="739"/>
      <c r="ES64" s="740"/>
      <c r="ET64" s="270"/>
      <c r="EX64" s="233"/>
      <c r="EY64" s="234"/>
      <c r="EZ64" s="235"/>
      <c r="FC64" s="245"/>
      <c r="FD64" s="246"/>
      <c r="FE64" s="245"/>
      <c r="FF64" s="245"/>
      <c r="FG64" s="245"/>
      <c r="FH64" s="245"/>
      <c r="FI64" s="50"/>
      <c r="FJ64" s="50"/>
    </row>
    <row r="65" spans="1:166" s="56" customFormat="1" ht="80.099999999999994" customHeight="1" x14ac:dyDescent="0.65">
      <c r="A65" s="329" t="s">
        <v>40</v>
      </c>
      <c r="B65" s="139" t="s">
        <v>206</v>
      </c>
      <c r="C65" s="829" t="s">
        <v>207</v>
      </c>
      <c r="D65" s="830"/>
      <c r="E65" s="830"/>
      <c r="F65" s="830"/>
      <c r="G65" s="830"/>
      <c r="H65" s="830"/>
      <c r="I65" s="830"/>
      <c r="J65" s="830"/>
      <c r="K65" s="830"/>
      <c r="L65" s="830"/>
      <c r="M65" s="830"/>
      <c r="N65" s="830"/>
      <c r="O65" s="830"/>
      <c r="P65" s="830"/>
      <c r="Q65" s="830"/>
      <c r="R65" s="830"/>
      <c r="S65" s="830"/>
      <c r="T65" s="830"/>
      <c r="U65" s="830"/>
      <c r="V65" s="830"/>
      <c r="W65" s="830"/>
      <c r="X65" s="830"/>
      <c r="Y65" s="831"/>
      <c r="Z65" s="767">
        <f>+EQ65*30</f>
        <v>150</v>
      </c>
      <c r="AA65" s="768"/>
      <c r="AB65" s="768"/>
      <c r="AC65" s="769"/>
      <c r="AD65" s="773"/>
      <c r="AE65" s="774"/>
      <c r="AF65" s="775"/>
      <c r="AG65" s="715">
        <f>SUM(AL65:BE66)</f>
        <v>60</v>
      </c>
      <c r="AH65" s="716"/>
      <c r="AI65" s="716"/>
      <c r="AJ65" s="716"/>
      <c r="AK65" s="717"/>
      <c r="AL65" s="779"/>
      <c r="AM65" s="780"/>
      <c r="AN65" s="780"/>
      <c r="AO65" s="780"/>
      <c r="AP65" s="781"/>
      <c r="AQ65" s="779">
        <v>60</v>
      </c>
      <c r="AR65" s="780"/>
      <c r="AS65" s="780"/>
      <c r="AT65" s="780"/>
      <c r="AU65" s="781"/>
      <c r="AV65" s="779"/>
      <c r="AW65" s="780"/>
      <c r="AX65" s="780"/>
      <c r="AY65" s="780"/>
      <c r="AZ65" s="781"/>
      <c r="BA65" s="779"/>
      <c r="BB65" s="780"/>
      <c r="BC65" s="780"/>
      <c r="BD65" s="780"/>
      <c r="BE65" s="781"/>
      <c r="BF65" s="779"/>
      <c r="BG65" s="780"/>
      <c r="BH65" s="780"/>
      <c r="BI65" s="780"/>
      <c r="BJ65" s="781"/>
      <c r="BK65" s="747">
        <f>Z65-AG65</f>
        <v>90</v>
      </c>
      <c r="BL65" s="748"/>
      <c r="BM65" s="748"/>
      <c r="BN65" s="748"/>
      <c r="BO65" s="759"/>
      <c r="BP65" s="728"/>
      <c r="BQ65" s="728"/>
      <c r="BR65" s="728"/>
      <c r="BS65" s="729"/>
      <c r="BT65" s="727"/>
      <c r="BU65" s="728"/>
      <c r="BV65" s="728"/>
      <c r="BW65" s="728"/>
      <c r="BX65" s="729"/>
      <c r="BY65" s="727"/>
      <c r="BZ65" s="728"/>
      <c r="CA65" s="728"/>
      <c r="CB65" s="728"/>
      <c r="CC65" s="729"/>
      <c r="CD65" s="727"/>
      <c r="CE65" s="728"/>
      <c r="CF65" s="728"/>
      <c r="CG65" s="728"/>
      <c r="CH65" s="729"/>
      <c r="CI65" s="727"/>
      <c r="CJ65" s="728"/>
      <c r="CK65" s="728"/>
      <c r="CL65" s="728"/>
      <c r="CM65" s="729"/>
      <c r="CN65" s="727"/>
      <c r="CO65" s="728"/>
      <c r="CP65" s="728"/>
      <c r="CQ65" s="728"/>
      <c r="CR65" s="729"/>
      <c r="CS65" s="727">
        <v>4</v>
      </c>
      <c r="CT65" s="728"/>
      <c r="CU65" s="728"/>
      <c r="CV65" s="728"/>
      <c r="CW65" s="729"/>
      <c r="CX65" s="727"/>
      <c r="CY65" s="728"/>
      <c r="CZ65" s="728"/>
      <c r="DA65" s="728"/>
      <c r="DB65" s="729"/>
      <c r="DC65" s="759"/>
      <c r="DD65" s="728"/>
      <c r="DE65" s="728"/>
      <c r="DF65" s="728"/>
      <c r="DG65" s="728"/>
      <c r="DH65" s="662"/>
      <c r="DI65" s="662"/>
      <c r="DJ65" s="662"/>
      <c r="DK65" s="662"/>
      <c r="DL65" s="662"/>
      <c r="DM65" s="662"/>
      <c r="DN65" s="662"/>
      <c r="DO65" s="662"/>
      <c r="DP65" s="662"/>
      <c r="DQ65" s="662"/>
      <c r="DR65" s="662"/>
      <c r="DS65" s="662"/>
      <c r="DT65" s="662"/>
      <c r="DU65" s="662"/>
      <c r="DV65" s="662"/>
      <c r="DW65" s="662"/>
      <c r="DX65" s="662"/>
      <c r="DY65" s="662"/>
      <c r="DZ65" s="662"/>
      <c r="EA65" s="662"/>
      <c r="EB65" s="662"/>
      <c r="EC65" s="662"/>
      <c r="ED65" s="662"/>
      <c r="EE65" s="662"/>
      <c r="EF65" s="662"/>
      <c r="EG65" s="662">
        <v>5</v>
      </c>
      <c r="EH65" s="662"/>
      <c r="EI65" s="662"/>
      <c r="EJ65" s="662"/>
      <c r="EK65" s="662"/>
      <c r="EL65" s="728"/>
      <c r="EM65" s="728"/>
      <c r="EN65" s="728"/>
      <c r="EO65" s="728"/>
      <c r="EP65" s="729"/>
      <c r="EQ65" s="787">
        <f>SUM(DC65:EP66)</f>
        <v>5</v>
      </c>
      <c r="ER65" s="788"/>
      <c r="ES65" s="789"/>
      <c r="ET65" s="270"/>
      <c r="EX65" s="233"/>
      <c r="EY65" s="234"/>
      <c r="EZ65" s="235"/>
      <c r="FC65" s="245"/>
      <c r="FD65" s="246"/>
      <c r="FE65" s="245"/>
      <c r="FF65" s="245"/>
      <c r="FG65" s="245"/>
      <c r="FH65" s="245"/>
      <c r="FI65" s="50"/>
      <c r="FJ65" s="50"/>
    </row>
    <row r="66" spans="1:166" s="56" customFormat="1" ht="80.099999999999994" customHeight="1" x14ac:dyDescent="0.65">
      <c r="A66" s="330"/>
      <c r="B66" s="138" t="s">
        <v>182</v>
      </c>
      <c r="C66" s="766" t="s">
        <v>183</v>
      </c>
      <c r="D66" s="766"/>
      <c r="E66" s="766"/>
      <c r="F66" s="766"/>
      <c r="G66" s="766"/>
      <c r="H66" s="766"/>
      <c r="I66" s="766"/>
      <c r="J66" s="766"/>
      <c r="K66" s="766"/>
      <c r="L66" s="766"/>
      <c r="M66" s="766"/>
      <c r="N66" s="766"/>
      <c r="O66" s="766"/>
      <c r="P66" s="766"/>
      <c r="Q66" s="766"/>
      <c r="R66" s="766"/>
      <c r="S66" s="766"/>
      <c r="T66" s="766"/>
      <c r="U66" s="766"/>
      <c r="V66" s="766"/>
      <c r="W66" s="766"/>
      <c r="X66" s="766"/>
      <c r="Y66" s="766"/>
      <c r="Z66" s="770"/>
      <c r="AA66" s="771"/>
      <c r="AB66" s="771"/>
      <c r="AC66" s="772"/>
      <c r="AD66" s="776"/>
      <c r="AE66" s="777"/>
      <c r="AF66" s="778"/>
      <c r="AG66" s="718"/>
      <c r="AH66" s="719"/>
      <c r="AI66" s="719"/>
      <c r="AJ66" s="719"/>
      <c r="AK66" s="720"/>
      <c r="AL66" s="782"/>
      <c r="AM66" s="783"/>
      <c r="AN66" s="783"/>
      <c r="AO66" s="783"/>
      <c r="AP66" s="784"/>
      <c r="AQ66" s="782"/>
      <c r="AR66" s="783"/>
      <c r="AS66" s="783"/>
      <c r="AT66" s="783"/>
      <c r="AU66" s="784"/>
      <c r="AV66" s="782"/>
      <c r="AW66" s="783"/>
      <c r="AX66" s="783"/>
      <c r="AY66" s="783"/>
      <c r="AZ66" s="784"/>
      <c r="BA66" s="782"/>
      <c r="BB66" s="783"/>
      <c r="BC66" s="783"/>
      <c r="BD66" s="783"/>
      <c r="BE66" s="784"/>
      <c r="BF66" s="782"/>
      <c r="BG66" s="783"/>
      <c r="BH66" s="783"/>
      <c r="BI66" s="783"/>
      <c r="BJ66" s="784"/>
      <c r="BK66" s="750"/>
      <c r="BL66" s="751"/>
      <c r="BM66" s="751"/>
      <c r="BN66" s="751"/>
      <c r="BO66" s="760"/>
      <c r="BP66" s="731"/>
      <c r="BQ66" s="731"/>
      <c r="BR66" s="731"/>
      <c r="BS66" s="732"/>
      <c r="BT66" s="730"/>
      <c r="BU66" s="731"/>
      <c r="BV66" s="731"/>
      <c r="BW66" s="731"/>
      <c r="BX66" s="732"/>
      <c r="BY66" s="730"/>
      <c r="BZ66" s="731"/>
      <c r="CA66" s="731"/>
      <c r="CB66" s="731"/>
      <c r="CC66" s="732"/>
      <c r="CD66" s="730"/>
      <c r="CE66" s="731"/>
      <c r="CF66" s="731"/>
      <c r="CG66" s="731"/>
      <c r="CH66" s="732"/>
      <c r="CI66" s="730"/>
      <c r="CJ66" s="731"/>
      <c r="CK66" s="731"/>
      <c r="CL66" s="731"/>
      <c r="CM66" s="732"/>
      <c r="CN66" s="730"/>
      <c r="CO66" s="731"/>
      <c r="CP66" s="731"/>
      <c r="CQ66" s="731"/>
      <c r="CR66" s="732"/>
      <c r="CS66" s="730"/>
      <c r="CT66" s="731"/>
      <c r="CU66" s="731"/>
      <c r="CV66" s="731"/>
      <c r="CW66" s="732"/>
      <c r="CX66" s="730"/>
      <c r="CY66" s="731"/>
      <c r="CZ66" s="731"/>
      <c r="DA66" s="731"/>
      <c r="DB66" s="732"/>
      <c r="DC66" s="760"/>
      <c r="DD66" s="731"/>
      <c r="DE66" s="731"/>
      <c r="DF66" s="731"/>
      <c r="DG66" s="731"/>
      <c r="DH66" s="662"/>
      <c r="DI66" s="662"/>
      <c r="DJ66" s="662"/>
      <c r="DK66" s="662"/>
      <c r="DL66" s="662"/>
      <c r="DM66" s="662"/>
      <c r="DN66" s="662"/>
      <c r="DO66" s="662"/>
      <c r="DP66" s="662"/>
      <c r="DQ66" s="662"/>
      <c r="DR66" s="662"/>
      <c r="DS66" s="662"/>
      <c r="DT66" s="662"/>
      <c r="DU66" s="662"/>
      <c r="DV66" s="662"/>
      <c r="DW66" s="662"/>
      <c r="DX66" s="662"/>
      <c r="DY66" s="662"/>
      <c r="DZ66" s="662"/>
      <c r="EA66" s="662"/>
      <c r="EB66" s="662"/>
      <c r="EC66" s="662"/>
      <c r="ED66" s="662"/>
      <c r="EE66" s="662"/>
      <c r="EF66" s="662"/>
      <c r="EG66" s="662"/>
      <c r="EH66" s="662"/>
      <c r="EI66" s="662"/>
      <c r="EJ66" s="662"/>
      <c r="EK66" s="662"/>
      <c r="EL66" s="731"/>
      <c r="EM66" s="731"/>
      <c r="EN66" s="731"/>
      <c r="EO66" s="731"/>
      <c r="EP66" s="732"/>
      <c r="EQ66" s="790"/>
      <c r="ER66" s="791"/>
      <c r="ES66" s="792"/>
      <c r="ET66" s="270"/>
      <c r="EX66" s="233"/>
      <c r="EY66" s="234"/>
      <c r="EZ66" s="235"/>
      <c r="FC66" s="245"/>
      <c r="FD66" s="246"/>
      <c r="FE66" s="245"/>
      <c r="FF66" s="245"/>
      <c r="FG66" s="245"/>
      <c r="FH66" s="245"/>
      <c r="FI66" s="50"/>
      <c r="FJ66" s="50"/>
    </row>
    <row r="67" spans="1:166" s="56" customFormat="1" ht="80.099999999999994" customHeight="1" x14ac:dyDescent="0.65">
      <c r="A67" s="329" t="s">
        <v>41</v>
      </c>
      <c r="B67" s="135" t="s">
        <v>131</v>
      </c>
      <c r="C67" s="653" t="s">
        <v>111</v>
      </c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3"/>
      <c r="Q67" s="653"/>
      <c r="R67" s="653"/>
      <c r="S67" s="653"/>
      <c r="T67" s="653"/>
      <c r="U67" s="653"/>
      <c r="V67" s="653"/>
      <c r="W67" s="653"/>
      <c r="X67" s="653"/>
      <c r="Y67" s="653"/>
      <c r="Z67" s="767">
        <f>+EQ67*30</f>
        <v>120</v>
      </c>
      <c r="AA67" s="768"/>
      <c r="AB67" s="768"/>
      <c r="AC67" s="769"/>
      <c r="AD67" s="773"/>
      <c r="AE67" s="774"/>
      <c r="AF67" s="775"/>
      <c r="AG67" s="715">
        <f>SUM(AL67:BE68)</f>
        <v>60</v>
      </c>
      <c r="AH67" s="716"/>
      <c r="AI67" s="716"/>
      <c r="AJ67" s="716"/>
      <c r="AK67" s="717"/>
      <c r="AL67" s="779">
        <v>30</v>
      </c>
      <c r="AM67" s="780"/>
      <c r="AN67" s="780"/>
      <c r="AO67" s="780"/>
      <c r="AP67" s="781"/>
      <c r="AQ67" s="779"/>
      <c r="AR67" s="780"/>
      <c r="AS67" s="780"/>
      <c r="AT67" s="780"/>
      <c r="AU67" s="781"/>
      <c r="AV67" s="779">
        <v>30</v>
      </c>
      <c r="AW67" s="780"/>
      <c r="AX67" s="780"/>
      <c r="AY67" s="780"/>
      <c r="AZ67" s="781"/>
      <c r="BA67" s="779"/>
      <c r="BB67" s="780"/>
      <c r="BC67" s="780"/>
      <c r="BD67" s="780"/>
      <c r="BE67" s="781"/>
      <c r="BF67" s="779"/>
      <c r="BG67" s="780"/>
      <c r="BH67" s="780"/>
      <c r="BI67" s="780"/>
      <c r="BJ67" s="781"/>
      <c r="BK67" s="747">
        <f>Z67-AG67</f>
        <v>60</v>
      </c>
      <c r="BL67" s="748"/>
      <c r="BM67" s="748"/>
      <c r="BN67" s="748"/>
      <c r="BO67" s="759"/>
      <c r="BP67" s="728"/>
      <c r="BQ67" s="728"/>
      <c r="BR67" s="728"/>
      <c r="BS67" s="729"/>
      <c r="BT67" s="727">
        <v>4</v>
      </c>
      <c r="BU67" s="728"/>
      <c r="BV67" s="728"/>
      <c r="BW67" s="728"/>
      <c r="BX67" s="729"/>
      <c r="BY67" s="727"/>
      <c r="BZ67" s="728"/>
      <c r="CA67" s="728"/>
      <c r="CB67" s="728"/>
      <c r="CC67" s="729"/>
      <c r="CD67" s="727"/>
      <c r="CE67" s="728"/>
      <c r="CF67" s="728"/>
      <c r="CG67" s="728"/>
      <c r="CH67" s="729"/>
      <c r="CI67" s="727"/>
      <c r="CJ67" s="728"/>
      <c r="CK67" s="728"/>
      <c r="CL67" s="728"/>
      <c r="CM67" s="729"/>
      <c r="CN67" s="727"/>
      <c r="CO67" s="728"/>
      <c r="CP67" s="728"/>
      <c r="CQ67" s="728"/>
      <c r="CR67" s="729"/>
      <c r="CS67" s="727"/>
      <c r="CT67" s="728"/>
      <c r="CU67" s="728"/>
      <c r="CV67" s="728"/>
      <c r="CW67" s="729"/>
      <c r="CX67" s="727"/>
      <c r="CY67" s="728"/>
      <c r="CZ67" s="728"/>
      <c r="DA67" s="728"/>
      <c r="DB67" s="729"/>
      <c r="DC67" s="759"/>
      <c r="DD67" s="728"/>
      <c r="DE67" s="728"/>
      <c r="DF67" s="728"/>
      <c r="DG67" s="728"/>
      <c r="DH67" s="662">
        <v>4</v>
      </c>
      <c r="DI67" s="662"/>
      <c r="DJ67" s="662"/>
      <c r="DK67" s="662"/>
      <c r="DL67" s="662"/>
      <c r="DM67" s="662"/>
      <c r="DN67" s="662"/>
      <c r="DO67" s="662"/>
      <c r="DP67" s="662"/>
      <c r="DQ67" s="662"/>
      <c r="DR67" s="662"/>
      <c r="DS67" s="662"/>
      <c r="DT67" s="662"/>
      <c r="DU67" s="662"/>
      <c r="DV67" s="662"/>
      <c r="DW67" s="662"/>
      <c r="DX67" s="662"/>
      <c r="DY67" s="662"/>
      <c r="DZ67" s="662"/>
      <c r="EA67" s="662"/>
      <c r="EB67" s="662"/>
      <c r="EC67" s="662"/>
      <c r="ED67" s="662"/>
      <c r="EE67" s="662"/>
      <c r="EF67" s="662"/>
      <c r="EG67" s="662"/>
      <c r="EH67" s="662"/>
      <c r="EI67" s="662"/>
      <c r="EJ67" s="662"/>
      <c r="EK67" s="662"/>
      <c r="EL67" s="728"/>
      <c r="EM67" s="728"/>
      <c r="EN67" s="728"/>
      <c r="EO67" s="728"/>
      <c r="EP67" s="729"/>
      <c r="EQ67" s="787">
        <f>SUM(DC67:EP68)</f>
        <v>4</v>
      </c>
      <c r="ER67" s="788"/>
      <c r="ES67" s="789"/>
      <c r="ET67" s="269" t="s">
        <v>300</v>
      </c>
      <c r="EX67" s="233"/>
      <c r="EY67" s="234"/>
      <c r="EZ67" s="235"/>
      <c r="FC67" s="245"/>
      <c r="FD67" s="246"/>
      <c r="FE67" s="245"/>
      <c r="FF67" s="245"/>
      <c r="FG67" s="245"/>
      <c r="FH67" s="245"/>
      <c r="FI67" s="50"/>
      <c r="FJ67" s="50"/>
    </row>
    <row r="68" spans="1:166" s="56" customFormat="1" ht="80.099999999999994" customHeight="1" x14ac:dyDescent="0.65">
      <c r="A68" s="330"/>
      <c r="B68" s="138" t="s">
        <v>226</v>
      </c>
      <c r="C68" s="821" t="s">
        <v>224</v>
      </c>
      <c r="D68" s="822"/>
      <c r="E68" s="822"/>
      <c r="F68" s="822"/>
      <c r="G68" s="822"/>
      <c r="H68" s="822"/>
      <c r="I68" s="822"/>
      <c r="J68" s="822"/>
      <c r="K68" s="822"/>
      <c r="L68" s="822"/>
      <c r="M68" s="822"/>
      <c r="N68" s="822"/>
      <c r="O68" s="822"/>
      <c r="P68" s="822"/>
      <c r="Q68" s="822"/>
      <c r="R68" s="822"/>
      <c r="S68" s="822"/>
      <c r="T68" s="822"/>
      <c r="U68" s="822"/>
      <c r="V68" s="822"/>
      <c r="W68" s="822"/>
      <c r="X68" s="822"/>
      <c r="Y68" s="823"/>
      <c r="Z68" s="770"/>
      <c r="AA68" s="771"/>
      <c r="AB68" s="771"/>
      <c r="AC68" s="772"/>
      <c r="AD68" s="776"/>
      <c r="AE68" s="777"/>
      <c r="AF68" s="778"/>
      <c r="AG68" s="718"/>
      <c r="AH68" s="719"/>
      <c r="AI68" s="719"/>
      <c r="AJ68" s="719"/>
      <c r="AK68" s="720"/>
      <c r="AL68" s="782"/>
      <c r="AM68" s="783"/>
      <c r="AN68" s="783"/>
      <c r="AO68" s="783"/>
      <c r="AP68" s="784"/>
      <c r="AQ68" s="782"/>
      <c r="AR68" s="783"/>
      <c r="AS68" s="783"/>
      <c r="AT68" s="783"/>
      <c r="AU68" s="784"/>
      <c r="AV68" s="782"/>
      <c r="AW68" s="783"/>
      <c r="AX68" s="783"/>
      <c r="AY68" s="783"/>
      <c r="AZ68" s="784"/>
      <c r="BA68" s="782"/>
      <c r="BB68" s="783"/>
      <c r="BC68" s="783"/>
      <c r="BD68" s="783"/>
      <c r="BE68" s="784"/>
      <c r="BF68" s="782"/>
      <c r="BG68" s="783"/>
      <c r="BH68" s="783"/>
      <c r="BI68" s="783"/>
      <c r="BJ68" s="784"/>
      <c r="BK68" s="750"/>
      <c r="BL68" s="751"/>
      <c r="BM68" s="751"/>
      <c r="BN68" s="751"/>
      <c r="BO68" s="760"/>
      <c r="BP68" s="731"/>
      <c r="BQ68" s="731"/>
      <c r="BR68" s="731"/>
      <c r="BS68" s="732"/>
      <c r="BT68" s="730"/>
      <c r="BU68" s="731"/>
      <c r="BV68" s="731"/>
      <c r="BW68" s="731"/>
      <c r="BX68" s="732"/>
      <c r="BY68" s="730"/>
      <c r="BZ68" s="731"/>
      <c r="CA68" s="731"/>
      <c r="CB68" s="731"/>
      <c r="CC68" s="732"/>
      <c r="CD68" s="730"/>
      <c r="CE68" s="731"/>
      <c r="CF68" s="731"/>
      <c r="CG68" s="731"/>
      <c r="CH68" s="732"/>
      <c r="CI68" s="730"/>
      <c r="CJ68" s="731"/>
      <c r="CK68" s="731"/>
      <c r="CL68" s="731"/>
      <c r="CM68" s="732"/>
      <c r="CN68" s="730"/>
      <c r="CO68" s="731"/>
      <c r="CP68" s="731"/>
      <c r="CQ68" s="731"/>
      <c r="CR68" s="732"/>
      <c r="CS68" s="730"/>
      <c r="CT68" s="731"/>
      <c r="CU68" s="731"/>
      <c r="CV68" s="731"/>
      <c r="CW68" s="732"/>
      <c r="CX68" s="730"/>
      <c r="CY68" s="731"/>
      <c r="CZ68" s="731"/>
      <c r="DA68" s="731"/>
      <c r="DB68" s="732"/>
      <c r="DC68" s="760"/>
      <c r="DD68" s="731"/>
      <c r="DE68" s="731"/>
      <c r="DF68" s="731"/>
      <c r="DG68" s="731"/>
      <c r="DH68" s="662"/>
      <c r="DI68" s="662"/>
      <c r="DJ68" s="662"/>
      <c r="DK68" s="662"/>
      <c r="DL68" s="662"/>
      <c r="DM68" s="662"/>
      <c r="DN68" s="662"/>
      <c r="DO68" s="662"/>
      <c r="DP68" s="662"/>
      <c r="DQ68" s="662"/>
      <c r="DR68" s="662"/>
      <c r="DS68" s="662"/>
      <c r="DT68" s="662"/>
      <c r="DU68" s="662"/>
      <c r="DV68" s="662"/>
      <c r="DW68" s="662"/>
      <c r="DX68" s="662"/>
      <c r="DY68" s="662"/>
      <c r="DZ68" s="662"/>
      <c r="EA68" s="662"/>
      <c r="EB68" s="662"/>
      <c r="EC68" s="662"/>
      <c r="ED68" s="662"/>
      <c r="EE68" s="662"/>
      <c r="EF68" s="662"/>
      <c r="EG68" s="662"/>
      <c r="EH68" s="662"/>
      <c r="EI68" s="662"/>
      <c r="EJ68" s="662"/>
      <c r="EK68" s="662"/>
      <c r="EL68" s="731"/>
      <c r="EM68" s="731"/>
      <c r="EN68" s="731"/>
      <c r="EO68" s="731"/>
      <c r="EP68" s="732"/>
      <c r="EQ68" s="790"/>
      <c r="ER68" s="791"/>
      <c r="ES68" s="792"/>
      <c r="ET68" s="261"/>
      <c r="EX68" s="233"/>
      <c r="EY68" s="234"/>
      <c r="EZ68" s="235"/>
      <c r="FC68" s="245"/>
      <c r="FD68" s="246"/>
      <c r="FE68" s="245"/>
      <c r="FF68" s="245"/>
      <c r="FG68" s="245"/>
      <c r="FH68" s="245"/>
      <c r="FI68" s="50"/>
      <c r="FJ68" s="50"/>
    </row>
    <row r="69" spans="1:166" s="128" customFormat="1" ht="80.099999999999994" customHeight="1" x14ac:dyDescent="0.65">
      <c r="A69" s="329" t="s">
        <v>42</v>
      </c>
      <c r="B69" s="135" t="s">
        <v>133</v>
      </c>
      <c r="C69" s="688" t="s">
        <v>123</v>
      </c>
      <c r="D69" s="688"/>
      <c r="E69" s="688"/>
      <c r="F69" s="688"/>
      <c r="G69" s="688"/>
      <c r="H69" s="688"/>
      <c r="I69" s="688"/>
      <c r="J69" s="688"/>
      <c r="K69" s="688"/>
      <c r="L69" s="688"/>
      <c r="M69" s="688"/>
      <c r="N69" s="688"/>
      <c r="O69" s="688"/>
      <c r="P69" s="688"/>
      <c r="Q69" s="688"/>
      <c r="R69" s="688"/>
      <c r="S69" s="688"/>
      <c r="T69" s="688"/>
      <c r="U69" s="688"/>
      <c r="V69" s="688"/>
      <c r="W69" s="688"/>
      <c r="X69" s="688"/>
      <c r="Y69" s="688"/>
      <c r="Z69" s="767">
        <f>+EQ69*30</f>
        <v>450</v>
      </c>
      <c r="AA69" s="768"/>
      <c r="AB69" s="768"/>
      <c r="AC69" s="769"/>
      <c r="AD69" s="773"/>
      <c r="AE69" s="774"/>
      <c r="AF69" s="775"/>
      <c r="AG69" s="715">
        <f>SUM(AL69:BE70)</f>
        <v>168</v>
      </c>
      <c r="AH69" s="716"/>
      <c r="AI69" s="716"/>
      <c r="AJ69" s="716"/>
      <c r="AK69" s="717"/>
      <c r="AL69" s="779">
        <v>66</v>
      </c>
      <c r="AM69" s="780"/>
      <c r="AN69" s="780"/>
      <c r="AO69" s="780"/>
      <c r="AP69" s="781"/>
      <c r="AQ69" s="779">
        <v>102</v>
      </c>
      <c r="AR69" s="780"/>
      <c r="AS69" s="780"/>
      <c r="AT69" s="780"/>
      <c r="AU69" s="781"/>
      <c r="AV69" s="779"/>
      <c r="AW69" s="780"/>
      <c r="AX69" s="780"/>
      <c r="AY69" s="780"/>
      <c r="AZ69" s="781"/>
      <c r="BA69" s="779"/>
      <c r="BB69" s="780"/>
      <c r="BC69" s="780"/>
      <c r="BD69" s="780"/>
      <c r="BE69" s="781"/>
      <c r="BF69" s="779"/>
      <c r="BG69" s="780"/>
      <c r="BH69" s="780"/>
      <c r="BI69" s="780"/>
      <c r="BJ69" s="781"/>
      <c r="BK69" s="747">
        <f>Z69-AG69</f>
        <v>282</v>
      </c>
      <c r="BL69" s="748"/>
      <c r="BM69" s="748"/>
      <c r="BN69" s="748"/>
      <c r="BO69" s="759"/>
      <c r="BP69" s="728"/>
      <c r="BQ69" s="728"/>
      <c r="BR69" s="728"/>
      <c r="BS69" s="729"/>
      <c r="BT69" s="727">
        <v>5</v>
      </c>
      <c r="BU69" s="728"/>
      <c r="BV69" s="728"/>
      <c r="BW69" s="728"/>
      <c r="BX69" s="729"/>
      <c r="BY69" s="727">
        <v>8</v>
      </c>
      <c r="BZ69" s="728"/>
      <c r="CA69" s="728"/>
      <c r="CB69" s="728"/>
      <c r="CC69" s="729"/>
      <c r="CD69" s="727"/>
      <c r="CE69" s="728"/>
      <c r="CF69" s="728"/>
      <c r="CG69" s="728"/>
      <c r="CH69" s="729"/>
      <c r="CI69" s="727"/>
      <c r="CJ69" s="728"/>
      <c r="CK69" s="728"/>
      <c r="CL69" s="728"/>
      <c r="CM69" s="729"/>
      <c r="CN69" s="727"/>
      <c r="CO69" s="728"/>
      <c r="CP69" s="728"/>
      <c r="CQ69" s="728"/>
      <c r="CR69" s="729"/>
      <c r="CS69" s="727"/>
      <c r="CT69" s="728"/>
      <c r="CU69" s="728"/>
      <c r="CV69" s="728"/>
      <c r="CW69" s="729"/>
      <c r="CX69" s="727"/>
      <c r="CY69" s="728"/>
      <c r="CZ69" s="728"/>
      <c r="DA69" s="728"/>
      <c r="DB69" s="729"/>
      <c r="DC69" s="759"/>
      <c r="DD69" s="728"/>
      <c r="DE69" s="728"/>
      <c r="DF69" s="728"/>
      <c r="DG69" s="728"/>
      <c r="DH69" s="662">
        <v>6</v>
      </c>
      <c r="DI69" s="662"/>
      <c r="DJ69" s="662"/>
      <c r="DK69" s="662"/>
      <c r="DL69" s="662"/>
      <c r="DM69" s="662">
        <v>9</v>
      </c>
      <c r="DN69" s="662"/>
      <c r="DO69" s="662"/>
      <c r="DP69" s="662"/>
      <c r="DQ69" s="662"/>
      <c r="DR69" s="662"/>
      <c r="DS69" s="662"/>
      <c r="DT69" s="662"/>
      <c r="DU69" s="662"/>
      <c r="DV69" s="662"/>
      <c r="DW69" s="662"/>
      <c r="DX69" s="662"/>
      <c r="DY69" s="662"/>
      <c r="DZ69" s="662"/>
      <c r="EA69" s="662"/>
      <c r="EB69" s="662"/>
      <c r="EC69" s="662"/>
      <c r="ED69" s="662"/>
      <c r="EE69" s="662"/>
      <c r="EF69" s="662"/>
      <c r="EG69" s="662"/>
      <c r="EH69" s="662"/>
      <c r="EI69" s="662"/>
      <c r="EJ69" s="662"/>
      <c r="EK69" s="662"/>
      <c r="EL69" s="728"/>
      <c r="EM69" s="728"/>
      <c r="EN69" s="728"/>
      <c r="EO69" s="728"/>
      <c r="EP69" s="729"/>
      <c r="EQ69" s="787">
        <f>SUM(DC69:EP70)</f>
        <v>15</v>
      </c>
      <c r="ER69" s="788"/>
      <c r="ES69" s="789"/>
      <c r="ET69" s="269" t="s">
        <v>300</v>
      </c>
      <c r="EX69" s="230"/>
      <c r="EY69" s="231"/>
      <c r="EZ69" s="232"/>
      <c r="FC69" s="249"/>
      <c r="FD69" s="250"/>
      <c r="FE69" s="249"/>
      <c r="FF69" s="249"/>
      <c r="FG69" s="249"/>
      <c r="FH69" s="249"/>
      <c r="FI69" s="257"/>
      <c r="FJ69" s="257"/>
    </row>
    <row r="70" spans="1:166" s="128" customFormat="1" ht="80.099999999999994" customHeight="1" x14ac:dyDescent="0.65">
      <c r="A70" s="330"/>
      <c r="B70" s="138" t="s">
        <v>229</v>
      </c>
      <c r="C70" s="821" t="s">
        <v>227</v>
      </c>
      <c r="D70" s="822"/>
      <c r="E70" s="822"/>
      <c r="F70" s="822"/>
      <c r="G70" s="822"/>
      <c r="H70" s="822"/>
      <c r="I70" s="822"/>
      <c r="J70" s="822"/>
      <c r="K70" s="822"/>
      <c r="L70" s="822"/>
      <c r="M70" s="822"/>
      <c r="N70" s="822"/>
      <c r="O70" s="822"/>
      <c r="P70" s="822"/>
      <c r="Q70" s="822"/>
      <c r="R70" s="822"/>
      <c r="S70" s="822"/>
      <c r="T70" s="822"/>
      <c r="U70" s="822"/>
      <c r="V70" s="822"/>
      <c r="W70" s="822"/>
      <c r="X70" s="822"/>
      <c r="Y70" s="823"/>
      <c r="Z70" s="770"/>
      <c r="AA70" s="771"/>
      <c r="AB70" s="771"/>
      <c r="AC70" s="772"/>
      <c r="AD70" s="776"/>
      <c r="AE70" s="777"/>
      <c r="AF70" s="778"/>
      <c r="AG70" s="718"/>
      <c r="AH70" s="719"/>
      <c r="AI70" s="719"/>
      <c r="AJ70" s="719"/>
      <c r="AK70" s="720"/>
      <c r="AL70" s="782"/>
      <c r="AM70" s="783"/>
      <c r="AN70" s="783"/>
      <c r="AO70" s="783"/>
      <c r="AP70" s="784"/>
      <c r="AQ70" s="782"/>
      <c r="AR70" s="783"/>
      <c r="AS70" s="783"/>
      <c r="AT70" s="783"/>
      <c r="AU70" s="784"/>
      <c r="AV70" s="782"/>
      <c r="AW70" s="783"/>
      <c r="AX70" s="783"/>
      <c r="AY70" s="783"/>
      <c r="AZ70" s="784"/>
      <c r="BA70" s="782"/>
      <c r="BB70" s="783"/>
      <c r="BC70" s="783"/>
      <c r="BD70" s="783"/>
      <c r="BE70" s="784"/>
      <c r="BF70" s="782"/>
      <c r="BG70" s="783"/>
      <c r="BH70" s="783"/>
      <c r="BI70" s="783"/>
      <c r="BJ70" s="784"/>
      <c r="BK70" s="750"/>
      <c r="BL70" s="751"/>
      <c r="BM70" s="751"/>
      <c r="BN70" s="751"/>
      <c r="BO70" s="760"/>
      <c r="BP70" s="731"/>
      <c r="BQ70" s="731"/>
      <c r="BR70" s="731"/>
      <c r="BS70" s="732"/>
      <c r="BT70" s="730"/>
      <c r="BU70" s="731"/>
      <c r="BV70" s="731"/>
      <c r="BW70" s="731"/>
      <c r="BX70" s="732"/>
      <c r="BY70" s="730"/>
      <c r="BZ70" s="731"/>
      <c r="CA70" s="731"/>
      <c r="CB70" s="731"/>
      <c r="CC70" s="732"/>
      <c r="CD70" s="730"/>
      <c r="CE70" s="731"/>
      <c r="CF70" s="731"/>
      <c r="CG70" s="731"/>
      <c r="CH70" s="732"/>
      <c r="CI70" s="730"/>
      <c r="CJ70" s="731"/>
      <c r="CK70" s="731"/>
      <c r="CL70" s="731"/>
      <c r="CM70" s="732"/>
      <c r="CN70" s="730"/>
      <c r="CO70" s="731"/>
      <c r="CP70" s="731"/>
      <c r="CQ70" s="731"/>
      <c r="CR70" s="732"/>
      <c r="CS70" s="730"/>
      <c r="CT70" s="731"/>
      <c r="CU70" s="731"/>
      <c r="CV70" s="731"/>
      <c r="CW70" s="732"/>
      <c r="CX70" s="730"/>
      <c r="CY70" s="731"/>
      <c r="CZ70" s="731"/>
      <c r="DA70" s="731"/>
      <c r="DB70" s="732"/>
      <c r="DC70" s="760"/>
      <c r="DD70" s="731"/>
      <c r="DE70" s="731"/>
      <c r="DF70" s="731"/>
      <c r="DG70" s="731"/>
      <c r="DH70" s="662"/>
      <c r="DI70" s="662"/>
      <c r="DJ70" s="662"/>
      <c r="DK70" s="662"/>
      <c r="DL70" s="662"/>
      <c r="DM70" s="662"/>
      <c r="DN70" s="662"/>
      <c r="DO70" s="662"/>
      <c r="DP70" s="662"/>
      <c r="DQ70" s="662"/>
      <c r="DR70" s="662"/>
      <c r="DS70" s="662"/>
      <c r="DT70" s="662"/>
      <c r="DU70" s="662"/>
      <c r="DV70" s="662"/>
      <c r="DW70" s="662"/>
      <c r="DX70" s="662"/>
      <c r="DY70" s="662"/>
      <c r="DZ70" s="662"/>
      <c r="EA70" s="662"/>
      <c r="EB70" s="662"/>
      <c r="EC70" s="662"/>
      <c r="ED70" s="662"/>
      <c r="EE70" s="662"/>
      <c r="EF70" s="662"/>
      <c r="EG70" s="662"/>
      <c r="EH70" s="662"/>
      <c r="EI70" s="662"/>
      <c r="EJ70" s="662"/>
      <c r="EK70" s="662"/>
      <c r="EL70" s="731"/>
      <c r="EM70" s="731"/>
      <c r="EN70" s="731"/>
      <c r="EO70" s="731"/>
      <c r="EP70" s="732"/>
      <c r="EQ70" s="790"/>
      <c r="ER70" s="791"/>
      <c r="ES70" s="792"/>
      <c r="ET70" s="265"/>
      <c r="EX70" s="230"/>
      <c r="EY70" s="231"/>
      <c r="EZ70" s="232"/>
      <c r="FC70" s="249"/>
      <c r="FD70" s="250"/>
      <c r="FE70" s="249"/>
      <c r="FF70" s="249"/>
      <c r="FG70" s="249"/>
      <c r="FH70" s="249"/>
      <c r="FI70" s="257"/>
      <c r="FJ70" s="257"/>
    </row>
    <row r="71" spans="1:166" s="176" customFormat="1" ht="80.099999999999994" customHeight="1" x14ac:dyDescent="0.65">
      <c r="A71" s="329" t="s">
        <v>43</v>
      </c>
      <c r="B71" s="139" t="s">
        <v>208</v>
      </c>
      <c r="C71" s="766" t="s">
        <v>209</v>
      </c>
      <c r="D71" s="766"/>
      <c r="E71" s="766"/>
      <c r="F71" s="766"/>
      <c r="G71" s="766"/>
      <c r="H71" s="766"/>
      <c r="I71" s="766"/>
      <c r="J71" s="766"/>
      <c r="K71" s="766"/>
      <c r="L71" s="766"/>
      <c r="M71" s="766"/>
      <c r="N71" s="766"/>
      <c r="O71" s="766"/>
      <c r="P71" s="766"/>
      <c r="Q71" s="766"/>
      <c r="R71" s="766"/>
      <c r="S71" s="766"/>
      <c r="T71" s="766"/>
      <c r="U71" s="766"/>
      <c r="V71" s="766"/>
      <c r="W71" s="766"/>
      <c r="X71" s="766"/>
      <c r="Y71" s="766"/>
      <c r="Z71" s="767">
        <f>+EQ71*30</f>
        <v>150</v>
      </c>
      <c r="AA71" s="768"/>
      <c r="AB71" s="768"/>
      <c r="AC71" s="769"/>
      <c r="AD71" s="773"/>
      <c r="AE71" s="774"/>
      <c r="AF71" s="775"/>
      <c r="AG71" s="779">
        <f>SUM(AL71:BE72)</f>
        <v>60</v>
      </c>
      <c r="AH71" s="780"/>
      <c r="AI71" s="780"/>
      <c r="AJ71" s="780"/>
      <c r="AK71" s="781"/>
      <c r="AL71" s="779"/>
      <c r="AM71" s="780"/>
      <c r="AN71" s="780"/>
      <c r="AO71" s="780"/>
      <c r="AP71" s="781"/>
      <c r="AQ71" s="779">
        <v>60</v>
      </c>
      <c r="AR71" s="780"/>
      <c r="AS71" s="780"/>
      <c r="AT71" s="780"/>
      <c r="AU71" s="781"/>
      <c r="AV71" s="779"/>
      <c r="AW71" s="780"/>
      <c r="AX71" s="780"/>
      <c r="AY71" s="780"/>
      <c r="AZ71" s="781"/>
      <c r="BA71" s="779"/>
      <c r="BB71" s="780"/>
      <c r="BC71" s="780"/>
      <c r="BD71" s="780"/>
      <c r="BE71" s="781"/>
      <c r="BF71" s="779"/>
      <c r="BG71" s="780"/>
      <c r="BH71" s="780"/>
      <c r="BI71" s="780"/>
      <c r="BJ71" s="781"/>
      <c r="BK71" s="767">
        <f>Z71-AG71</f>
        <v>90</v>
      </c>
      <c r="BL71" s="768"/>
      <c r="BM71" s="768"/>
      <c r="BN71" s="768"/>
      <c r="BO71" s="759"/>
      <c r="BP71" s="728"/>
      <c r="BQ71" s="728"/>
      <c r="BR71" s="728"/>
      <c r="BS71" s="729"/>
      <c r="BT71" s="727"/>
      <c r="BU71" s="728"/>
      <c r="BV71" s="728"/>
      <c r="BW71" s="728"/>
      <c r="BX71" s="729"/>
      <c r="BY71" s="727"/>
      <c r="BZ71" s="728"/>
      <c r="CA71" s="728"/>
      <c r="CB71" s="728"/>
      <c r="CC71" s="729"/>
      <c r="CD71" s="727"/>
      <c r="CE71" s="728"/>
      <c r="CF71" s="728"/>
      <c r="CG71" s="728"/>
      <c r="CH71" s="729"/>
      <c r="CI71" s="727"/>
      <c r="CJ71" s="728"/>
      <c r="CK71" s="728"/>
      <c r="CL71" s="728"/>
      <c r="CM71" s="729"/>
      <c r="CN71" s="727">
        <v>4</v>
      </c>
      <c r="CO71" s="728"/>
      <c r="CP71" s="728"/>
      <c r="CQ71" s="728"/>
      <c r="CR71" s="729"/>
      <c r="CS71" s="727"/>
      <c r="CT71" s="728"/>
      <c r="CU71" s="728"/>
      <c r="CV71" s="728"/>
      <c r="CW71" s="729"/>
      <c r="CX71" s="727"/>
      <c r="CY71" s="728"/>
      <c r="CZ71" s="728"/>
      <c r="DA71" s="728"/>
      <c r="DB71" s="733"/>
      <c r="DC71" s="759"/>
      <c r="DD71" s="728"/>
      <c r="DE71" s="728"/>
      <c r="DF71" s="728"/>
      <c r="DG71" s="729"/>
      <c r="DH71" s="727"/>
      <c r="DI71" s="728"/>
      <c r="DJ71" s="728"/>
      <c r="DK71" s="728"/>
      <c r="DL71" s="729"/>
      <c r="DM71" s="727"/>
      <c r="DN71" s="728"/>
      <c r="DO71" s="728"/>
      <c r="DP71" s="728"/>
      <c r="DQ71" s="729"/>
      <c r="DR71" s="727"/>
      <c r="DS71" s="728"/>
      <c r="DT71" s="728"/>
      <c r="DU71" s="728"/>
      <c r="DV71" s="729"/>
      <c r="DW71" s="727"/>
      <c r="DX71" s="728"/>
      <c r="DY71" s="728"/>
      <c r="DZ71" s="728"/>
      <c r="EA71" s="729"/>
      <c r="EB71" s="727">
        <v>5</v>
      </c>
      <c r="EC71" s="728"/>
      <c r="ED71" s="728"/>
      <c r="EE71" s="728"/>
      <c r="EF71" s="729"/>
      <c r="EG71" s="727"/>
      <c r="EH71" s="728"/>
      <c r="EI71" s="728"/>
      <c r="EJ71" s="728"/>
      <c r="EK71" s="729"/>
      <c r="EL71" s="727"/>
      <c r="EM71" s="728"/>
      <c r="EN71" s="728"/>
      <c r="EO71" s="728"/>
      <c r="EP71" s="733"/>
      <c r="EQ71" s="787">
        <f>SUM(DC71:EP72)</f>
        <v>5</v>
      </c>
      <c r="ER71" s="788"/>
      <c r="ES71" s="789"/>
      <c r="ET71" s="264"/>
      <c r="EX71" s="233"/>
      <c r="EY71" s="234"/>
      <c r="EZ71" s="235"/>
      <c r="FC71" s="253"/>
      <c r="FD71" s="254"/>
      <c r="FE71" s="253"/>
      <c r="FF71" s="253"/>
      <c r="FG71" s="253"/>
      <c r="FH71" s="253"/>
      <c r="FI71" s="259"/>
      <c r="FJ71" s="259"/>
    </row>
    <row r="72" spans="1:166" s="176" customFormat="1" ht="80.099999999999994" customHeight="1" x14ac:dyDescent="0.65">
      <c r="A72" s="330"/>
      <c r="B72" s="139" t="s">
        <v>184</v>
      </c>
      <c r="C72" s="766" t="s">
        <v>185</v>
      </c>
      <c r="D72" s="766"/>
      <c r="E72" s="766"/>
      <c r="F72" s="766"/>
      <c r="G72" s="766"/>
      <c r="H72" s="766"/>
      <c r="I72" s="766"/>
      <c r="J72" s="766"/>
      <c r="K72" s="766"/>
      <c r="L72" s="766"/>
      <c r="M72" s="766"/>
      <c r="N72" s="766"/>
      <c r="O72" s="766"/>
      <c r="P72" s="766"/>
      <c r="Q72" s="766"/>
      <c r="R72" s="766"/>
      <c r="S72" s="766"/>
      <c r="T72" s="766"/>
      <c r="U72" s="766"/>
      <c r="V72" s="766"/>
      <c r="W72" s="766"/>
      <c r="X72" s="766"/>
      <c r="Y72" s="766"/>
      <c r="Z72" s="770"/>
      <c r="AA72" s="771"/>
      <c r="AB72" s="771"/>
      <c r="AC72" s="772"/>
      <c r="AD72" s="776"/>
      <c r="AE72" s="777"/>
      <c r="AF72" s="778"/>
      <c r="AG72" s="782"/>
      <c r="AH72" s="783"/>
      <c r="AI72" s="783"/>
      <c r="AJ72" s="783"/>
      <c r="AK72" s="784"/>
      <c r="AL72" s="782"/>
      <c r="AM72" s="783"/>
      <c r="AN72" s="783"/>
      <c r="AO72" s="783"/>
      <c r="AP72" s="784"/>
      <c r="AQ72" s="782"/>
      <c r="AR72" s="783"/>
      <c r="AS72" s="783"/>
      <c r="AT72" s="783"/>
      <c r="AU72" s="784"/>
      <c r="AV72" s="782"/>
      <c r="AW72" s="783"/>
      <c r="AX72" s="783"/>
      <c r="AY72" s="783"/>
      <c r="AZ72" s="784"/>
      <c r="BA72" s="782"/>
      <c r="BB72" s="783"/>
      <c r="BC72" s="783"/>
      <c r="BD72" s="783"/>
      <c r="BE72" s="784"/>
      <c r="BF72" s="782"/>
      <c r="BG72" s="783"/>
      <c r="BH72" s="783"/>
      <c r="BI72" s="783"/>
      <c r="BJ72" s="784"/>
      <c r="BK72" s="770"/>
      <c r="BL72" s="771"/>
      <c r="BM72" s="771"/>
      <c r="BN72" s="771"/>
      <c r="BO72" s="760"/>
      <c r="BP72" s="731"/>
      <c r="BQ72" s="731"/>
      <c r="BR72" s="731"/>
      <c r="BS72" s="732"/>
      <c r="BT72" s="730"/>
      <c r="BU72" s="731"/>
      <c r="BV72" s="731"/>
      <c r="BW72" s="731"/>
      <c r="BX72" s="732"/>
      <c r="BY72" s="730"/>
      <c r="BZ72" s="731"/>
      <c r="CA72" s="731"/>
      <c r="CB72" s="731"/>
      <c r="CC72" s="732"/>
      <c r="CD72" s="730"/>
      <c r="CE72" s="731"/>
      <c r="CF72" s="731"/>
      <c r="CG72" s="731"/>
      <c r="CH72" s="732"/>
      <c r="CI72" s="730"/>
      <c r="CJ72" s="731"/>
      <c r="CK72" s="731"/>
      <c r="CL72" s="731"/>
      <c r="CM72" s="732"/>
      <c r="CN72" s="730"/>
      <c r="CO72" s="731"/>
      <c r="CP72" s="731"/>
      <c r="CQ72" s="731"/>
      <c r="CR72" s="732"/>
      <c r="CS72" s="730"/>
      <c r="CT72" s="731"/>
      <c r="CU72" s="731"/>
      <c r="CV72" s="731"/>
      <c r="CW72" s="732"/>
      <c r="CX72" s="730"/>
      <c r="CY72" s="731"/>
      <c r="CZ72" s="731"/>
      <c r="DA72" s="731"/>
      <c r="DB72" s="734"/>
      <c r="DC72" s="760"/>
      <c r="DD72" s="731"/>
      <c r="DE72" s="731"/>
      <c r="DF72" s="731"/>
      <c r="DG72" s="732"/>
      <c r="DH72" s="730"/>
      <c r="DI72" s="731"/>
      <c r="DJ72" s="731"/>
      <c r="DK72" s="731"/>
      <c r="DL72" s="732"/>
      <c r="DM72" s="730"/>
      <c r="DN72" s="731"/>
      <c r="DO72" s="731"/>
      <c r="DP72" s="731"/>
      <c r="DQ72" s="732"/>
      <c r="DR72" s="730"/>
      <c r="DS72" s="731"/>
      <c r="DT72" s="731"/>
      <c r="DU72" s="731"/>
      <c r="DV72" s="732"/>
      <c r="DW72" s="730"/>
      <c r="DX72" s="731"/>
      <c r="DY72" s="731"/>
      <c r="DZ72" s="731"/>
      <c r="EA72" s="732"/>
      <c r="EB72" s="730"/>
      <c r="EC72" s="731"/>
      <c r="ED72" s="731"/>
      <c r="EE72" s="731"/>
      <c r="EF72" s="732"/>
      <c r="EG72" s="730"/>
      <c r="EH72" s="731"/>
      <c r="EI72" s="731"/>
      <c r="EJ72" s="731"/>
      <c r="EK72" s="732"/>
      <c r="EL72" s="730"/>
      <c r="EM72" s="731"/>
      <c r="EN72" s="731"/>
      <c r="EO72" s="731"/>
      <c r="EP72" s="734"/>
      <c r="EQ72" s="790"/>
      <c r="ER72" s="791"/>
      <c r="ES72" s="792"/>
      <c r="ET72" s="141" t="s">
        <v>253</v>
      </c>
      <c r="EX72" s="233"/>
      <c r="EY72" s="234"/>
      <c r="EZ72" s="235"/>
      <c r="FC72" s="253"/>
      <c r="FD72" s="254"/>
      <c r="FE72" s="253"/>
      <c r="FF72" s="253"/>
      <c r="FG72" s="253"/>
      <c r="FH72" s="253"/>
      <c r="FI72" s="259"/>
      <c r="FJ72" s="259"/>
    </row>
    <row r="73" spans="1:166" s="128" customFormat="1" ht="80.099999999999994" customHeight="1" x14ac:dyDescent="0.65">
      <c r="A73" s="329" t="s">
        <v>44</v>
      </c>
      <c r="B73" s="139" t="s">
        <v>203</v>
      </c>
      <c r="C73" s="766" t="s">
        <v>251</v>
      </c>
      <c r="D73" s="766"/>
      <c r="E73" s="766"/>
      <c r="F73" s="766"/>
      <c r="G73" s="766"/>
      <c r="H73" s="766"/>
      <c r="I73" s="766"/>
      <c r="J73" s="766"/>
      <c r="K73" s="766"/>
      <c r="L73" s="766"/>
      <c r="M73" s="766"/>
      <c r="N73" s="766"/>
      <c r="O73" s="766"/>
      <c r="P73" s="766"/>
      <c r="Q73" s="766"/>
      <c r="R73" s="766"/>
      <c r="S73" s="766"/>
      <c r="T73" s="766"/>
      <c r="U73" s="766"/>
      <c r="V73" s="766"/>
      <c r="W73" s="766"/>
      <c r="X73" s="766"/>
      <c r="Y73" s="766"/>
      <c r="Z73" s="767">
        <f>+EQ73*30</f>
        <v>120</v>
      </c>
      <c r="AA73" s="768"/>
      <c r="AB73" s="768"/>
      <c r="AC73" s="769"/>
      <c r="AD73" s="773"/>
      <c r="AE73" s="774"/>
      <c r="AF73" s="775"/>
      <c r="AG73" s="715">
        <f>SUM(AL73:BE74)</f>
        <v>50</v>
      </c>
      <c r="AH73" s="716"/>
      <c r="AI73" s="716"/>
      <c r="AJ73" s="716"/>
      <c r="AK73" s="717"/>
      <c r="AL73" s="779">
        <v>24</v>
      </c>
      <c r="AM73" s="780"/>
      <c r="AN73" s="780"/>
      <c r="AO73" s="780"/>
      <c r="AP73" s="781"/>
      <c r="AQ73" s="779">
        <v>26</v>
      </c>
      <c r="AR73" s="780"/>
      <c r="AS73" s="780"/>
      <c r="AT73" s="780"/>
      <c r="AU73" s="781"/>
      <c r="AV73" s="779"/>
      <c r="AW73" s="780"/>
      <c r="AX73" s="780"/>
      <c r="AY73" s="780"/>
      <c r="AZ73" s="781"/>
      <c r="BA73" s="779"/>
      <c r="BB73" s="780"/>
      <c r="BC73" s="780"/>
      <c r="BD73" s="780"/>
      <c r="BE73" s="781"/>
      <c r="BF73" s="779"/>
      <c r="BG73" s="780"/>
      <c r="BH73" s="780"/>
      <c r="BI73" s="780"/>
      <c r="BJ73" s="781"/>
      <c r="BK73" s="747">
        <f>Z73-AG73</f>
        <v>70</v>
      </c>
      <c r="BL73" s="748"/>
      <c r="BM73" s="748"/>
      <c r="BN73" s="748"/>
      <c r="BO73" s="759"/>
      <c r="BP73" s="728"/>
      <c r="BQ73" s="728"/>
      <c r="BR73" s="728"/>
      <c r="BS73" s="729"/>
      <c r="BT73" s="727"/>
      <c r="BU73" s="728"/>
      <c r="BV73" s="728"/>
      <c r="BW73" s="728"/>
      <c r="BX73" s="729"/>
      <c r="BY73" s="727"/>
      <c r="BZ73" s="728"/>
      <c r="CA73" s="728"/>
      <c r="CB73" s="728"/>
      <c r="CC73" s="729"/>
      <c r="CD73" s="727">
        <v>4</v>
      </c>
      <c r="CE73" s="728"/>
      <c r="CF73" s="728"/>
      <c r="CG73" s="728"/>
      <c r="CH73" s="729"/>
      <c r="CI73" s="727"/>
      <c r="CJ73" s="728"/>
      <c r="CK73" s="728"/>
      <c r="CL73" s="728"/>
      <c r="CM73" s="729"/>
      <c r="CN73" s="727"/>
      <c r="CO73" s="728"/>
      <c r="CP73" s="728"/>
      <c r="CQ73" s="728"/>
      <c r="CR73" s="729"/>
      <c r="CS73" s="727"/>
      <c r="CT73" s="728"/>
      <c r="CU73" s="728"/>
      <c r="CV73" s="728"/>
      <c r="CW73" s="729"/>
      <c r="CX73" s="727"/>
      <c r="CY73" s="728"/>
      <c r="CZ73" s="728"/>
      <c r="DA73" s="728"/>
      <c r="DB73" s="733"/>
      <c r="DC73" s="759"/>
      <c r="DD73" s="728"/>
      <c r="DE73" s="728"/>
      <c r="DF73" s="728"/>
      <c r="DG73" s="729"/>
      <c r="DH73" s="727"/>
      <c r="DI73" s="728"/>
      <c r="DJ73" s="728"/>
      <c r="DK73" s="728"/>
      <c r="DL73" s="729"/>
      <c r="DM73" s="727"/>
      <c r="DN73" s="728"/>
      <c r="DO73" s="728"/>
      <c r="DP73" s="728"/>
      <c r="DQ73" s="729"/>
      <c r="DR73" s="727">
        <v>4</v>
      </c>
      <c r="DS73" s="728"/>
      <c r="DT73" s="728"/>
      <c r="DU73" s="728"/>
      <c r="DV73" s="729"/>
      <c r="DW73" s="727"/>
      <c r="DX73" s="728"/>
      <c r="DY73" s="728"/>
      <c r="DZ73" s="728"/>
      <c r="EA73" s="729"/>
      <c r="EB73" s="727"/>
      <c r="EC73" s="728"/>
      <c r="ED73" s="728"/>
      <c r="EE73" s="728"/>
      <c r="EF73" s="729"/>
      <c r="EG73" s="727"/>
      <c r="EH73" s="728"/>
      <c r="EI73" s="728"/>
      <c r="EJ73" s="728"/>
      <c r="EK73" s="729"/>
      <c r="EL73" s="727"/>
      <c r="EM73" s="728"/>
      <c r="EN73" s="728"/>
      <c r="EO73" s="728"/>
      <c r="EP73" s="733"/>
      <c r="EQ73" s="787">
        <f>SUM(DC73:EP74)</f>
        <v>4</v>
      </c>
      <c r="ER73" s="788"/>
      <c r="ES73" s="789"/>
      <c r="ET73" s="265"/>
      <c r="EX73" s="233"/>
      <c r="EY73" s="234">
        <v>4</v>
      </c>
      <c r="EZ73" s="235"/>
      <c r="FC73" s="249"/>
      <c r="FD73" s="250"/>
      <c r="FE73" s="249"/>
      <c r="FF73" s="249"/>
      <c r="FG73" s="249"/>
      <c r="FH73" s="249"/>
      <c r="FI73" s="257"/>
      <c r="FJ73" s="257"/>
    </row>
    <row r="74" spans="1:166" s="128" customFormat="1" ht="80.099999999999994" customHeight="1" x14ac:dyDescent="0.65">
      <c r="A74" s="330"/>
      <c r="B74" s="139" t="s">
        <v>320</v>
      </c>
      <c r="C74" s="766" t="s">
        <v>250</v>
      </c>
      <c r="D74" s="766"/>
      <c r="E74" s="766"/>
      <c r="F74" s="766"/>
      <c r="G74" s="766"/>
      <c r="H74" s="766"/>
      <c r="I74" s="766"/>
      <c r="J74" s="766"/>
      <c r="K74" s="766"/>
      <c r="L74" s="766"/>
      <c r="M74" s="766"/>
      <c r="N74" s="766"/>
      <c r="O74" s="766"/>
      <c r="P74" s="766"/>
      <c r="Q74" s="766"/>
      <c r="R74" s="766"/>
      <c r="S74" s="766"/>
      <c r="T74" s="766"/>
      <c r="U74" s="766"/>
      <c r="V74" s="766"/>
      <c r="W74" s="766"/>
      <c r="X74" s="766"/>
      <c r="Y74" s="766"/>
      <c r="Z74" s="770"/>
      <c r="AA74" s="771"/>
      <c r="AB74" s="771"/>
      <c r="AC74" s="772"/>
      <c r="AD74" s="776"/>
      <c r="AE74" s="777"/>
      <c r="AF74" s="778"/>
      <c r="AG74" s="718"/>
      <c r="AH74" s="719"/>
      <c r="AI74" s="719"/>
      <c r="AJ74" s="719"/>
      <c r="AK74" s="720"/>
      <c r="AL74" s="782"/>
      <c r="AM74" s="783"/>
      <c r="AN74" s="783"/>
      <c r="AO74" s="783"/>
      <c r="AP74" s="784"/>
      <c r="AQ74" s="782"/>
      <c r="AR74" s="783"/>
      <c r="AS74" s="783"/>
      <c r="AT74" s="783"/>
      <c r="AU74" s="784"/>
      <c r="AV74" s="782"/>
      <c r="AW74" s="783"/>
      <c r="AX74" s="783"/>
      <c r="AY74" s="783"/>
      <c r="AZ74" s="784"/>
      <c r="BA74" s="782"/>
      <c r="BB74" s="783"/>
      <c r="BC74" s="783"/>
      <c r="BD74" s="783"/>
      <c r="BE74" s="784"/>
      <c r="BF74" s="782"/>
      <c r="BG74" s="783"/>
      <c r="BH74" s="783"/>
      <c r="BI74" s="783"/>
      <c r="BJ74" s="784"/>
      <c r="BK74" s="750"/>
      <c r="BL74" s="751"/>
      <c r="BM74" s="751"/>
      <c r="BN74" s="751"/>
      <c r="BO74" s="760"/>
      <c r="BP74" s="731"/>
      <c r="BQ74" s="731"/>
      <c r="BR74" s="731"/>
      <c r="BS74" s="732"/>
      <c r="BT74" s="730"/>
      <c r="BU74" s="731"/>
      <c r="BV74" s="731"/>
      <c r="BW74" s="731"/>
      <c r="BX74" s="732"/>
      <c r="BY74" s="730"/>
      <c r="BZ74" s="731"/>
      <c r="CA74" s="731"/>
      <c r="CB74" s="731"/>
      <c r="CC74" s="732"/>
      <c r="CD74" s="730"/>
      <c r="CE74" s="731"/>
      <c r="CF74" s="731"/>
      <c r="CG74" s="731"/>
      <c r="CH74" s="732"/>
      <c r="CI74" s="730"/>
      <c r="CJ74" s="731"/>
      <c r="CK74" s="731"/>
      <c r="CL74" s="731"/>
      <c r="CM74" s="732"/>
      <c r="CN74" s="730"/>
      <c r="CO74" s="731"/>
      <c r="CP74" s="731"/>
      <c r="CQ74" s="731"/>
      <c r="CR74" s="732"/>
      <c r="CS74" s="730"/>
      <c r="CT74" s="731"/>
      <c r="CU74" s="731"/>
      <c r="CV74" s="731"/>
      <c r="CW74" s="732"/>
      <c r="CX74" s="730"/>
      <c r="CY74" s="731"/>
      <c r="CZ74" s="731"/>
      <c r="DA74" s="731"/>
      <c r="DB74" s="734"/>
      <c r="DC74" s="760"/>
      <c r="DD74" s="731"/>
      <c r="DE74" s="731"/>
      <c r="DF74" s="731"/>
      <c r="DG74" s="732"/>
      <c r="DH74" s="730"/>
      <c r="DI74" s="731"/>
      <c r="DJ74" s="731"/>
      <c r="DK74" s="731"/>
      <c r="DL74" s="732"/>
      <c r="DM74" s="730"/>
      <c r="DN74" s="731"/>
      <c r="DO74" s="731"/>
      <c r="DP74" s="731"/>
      <c r="DQ74" s="732"/>
      <c r="DR74" s="730"/>
      <c r="DS74" s="731"/>
      <c r="DT74" s="731"/>
      <c r="DU74" s="731"/>
      <c r="DV74" s="732"/>
      <c r="DW74" s="730"/>
      <c r="DX74" s="731"/>
      <c r="DY74" s="731"/>
      <c r="DZ74" s="731"/>
      <c r="EA74" s="732"/>
      <c r="EB74" s="730"/>
      <c r="EC74" s="731"/>
      <c r="ED74" s="731"/>
      <c r="EE74" s="731"/>
      <c r="EF74" s="732"/>
      <c r="EG74" s="730"/>
      <c r="EH74" s="731"/>
      <c r="EI74" s="731"/>
      <c r="EJ74" s="731"/>
      <c r="EK74" s="732"/>
      <c r="EL74" s="730"/>
      <c r="EM74" s="731"/>
      <c r="EN74" s="731"/>
      <c r="EO74" s="731"/>
      <c r="EP74" s="734"/>
      <c r="EQ74" s="790"/>
      <c r="ER74" s="791"/>
      <c r="ES74" s="792"/>
      <c r="ET74" s="141" t="s">
        <v>253</v>
      </c>
      <c r="EX74" s="233"/>
      <c r="EY74" s="234"/>
      <c r="EZ74" s="235"/>
      <c r="FC74" s="249"/>
      <c r="FD74" s="250"/>
      <c r="FE74" s="249"/>
      <c r="FF74" s="249"/>
      <c r="FG74" s="249"/>
      <c r="FH74" s="249"/>
      <c r="FI74" s="257"/>
      <c r="FJ74" s="257"/>
    </row>
    <row r="75" spans="1:166" s="128" customFormat="1" ht="80.099999999999994" customHeight="1" x14ac:dyDescent="0.65">
      <c r="A75" s="329" t="s">
        <v>45</v>
      </c>
      <c r="B75" s="138" t="s">
        <v>156</v>
      </c>
      <c r="C75" s="688" t="s">
        <v>221</v>
      </c>
      <c r="D75" s="688"/>
      <c r="E75" s="688"/>
      <c r="F75" s="688"/>
      <c r="G75" s="688"/>
      <c r="H75" s="688"/>
      <c r="I75" s="688"/>
      <c r="J75" s="688"/>
      <c r="K75" s="688"/>
      <c r="L75" s="688"/>
      <c r="M75" s="688"/>
      <c r="N75" s="688"/>
      <c r="O75" s="688"/>
      <c r="P75" s="688"/>
      <c r="Q75" s="688"/>
      <c r="R75" s="688"/>
      <c r="S75" s="688"/>
      <c r="T75" s="688"/>
      <c r="U75" s="688"/>
      <c r="V75" s="688"/>
      <c r="W75" s="688"/>
      <c r="X75" s="688"/>
      <c r="Y75" s="688"/>
      <c r="Z75" s="767">
        <f>+EQ75*30</f>
        <v>180</v>
      </c>
      <c r="AA75" s="768"/>
      <c r="AB75" s="768"/>
      <c r="AC75" s="769"/>
      <c r="AD75" s="773"/>
      <c r="AE75" s="774"/>
      <c r="AF75" s="775"/>
      <c r="AG75" s="715">
        <f>SUM(AL75:BE76)</f>
        <v>72</v>
      </c>
      <c r="AH75" s="716"/>
      <c r="AI75" s="716"/>
      <c r="AJ75" s="716"/>
      <c r="AK75" s="717"/>
      <c r="AL75" s="779">
        <v>36</v>
      </c>
      <c r="AM75" s="780"/>
      <c r="AN75" s="780"/>
      <c r="AO75" s="780"/>
      <c r="AP75" s="781"/>
      <c r="AQ75" s="779">
        <v>36</v>
      </c>
      <c r="AR75" s="780"/>
      <c r="AS75" s="780"/>
      <c r="AT75" s="780"/>
      <c r="AU75" s="781"/>
      <c r="AV75" s="779"/>
      <c r="AW75" s="780"/>
      <c r="AX75" s="780"/>
      <c r="AY75" s="780"/>
      <c r="AZ75" s="781"/>
      <c r="BA75" s="779"/>
      <c r="BB75" s="780"/>
      <c r="BC75" s="780"/>
      <c r="BD75" s="780"/>
      <c r="BE75" s="781"/>
      <c r="BF75" s="779"/>
      <c r="BG75" s="780"/>
      <c r="BH75" s="780"/>
      <c r="BI75" s="780"/>
      <c r="BJ75" s="781"/>
      <c r="BK75" s="747">
        <f>Z75-AG75</f>
        <v>108</v>
      </c>
      <c r="BL75" s="748"/>
      <c r="BM75" s="748"/>
      <c r="BN75" s="748"/>
      <c r="BO75" s="759"/>
      <c r="BP75" s="728"/>
      <c r="BQ75" s="728"/>
      <c r="BR75" s="728"/>
      <c r="BS75" s="729"/>
      <c r="BT75" s="727"/>
      <c r="BU75" s="728"/>
      <c r="BV75" s="728"/>
      <c r="BW75" s="728"/>
      <c r="BX75" s="729"/>
      <c r="BY75" s="727"/>
      <c r="BZ75" s="728"/>
      <c r="CA75" s="728"/>
      <c r="CB75" s="728"/>
      <c r="CC75" s="729"/>
      <c r="CD75" s="727"/>
      <c r="CE75" s="728"/>
      <c r="CF75" s="728"/>
      <c r="CG75" s="728"/>
      <c r="CH75" s="729"/>
      <c r="CI75" s="727">
        <v>5</v>
      </c>
      <c r="CJ75" s="728"/>
      <c r="CK75" s="728"/>
      <c r="CL75" s="728"/>
      <c r="CM75" s="729"/>
      <c r="CN75" s="727"/>
      <c r="CO75" s="728"/>
      <c r="CP75" s="728"/>
      <c r="CQ75" s="728"/>
      <c r="CR75" s="729"/>
      <c r="CS75" s="727"/>
      <c r="CT75" s="728"/>
      <c r="CU75" s="728"/>
      <c r="CV75" s="728"/>
      <c r="CW75" s="729"/>
      <c r="CX75" s="727"/>
      <c r="CY75" s="728"/>
      <c r="CZ75" s="728"/>
      <c r="DA75" s="728"/>
      <c r="DB75" s="729"/>
      <c r="DC75" s="759"/>
      <c r="DD75" s="728"/>
      <c r="DE75" s="728"/>
      <c r="DF75" s="728"/>
      <c r="DG75" s="728"/>
      <c r="DH75" s="662"/>
      <c r="DI75" s="662"/>
      <c r="DJ75" s="662"/>
      <c r="DK75" s="662"/>
      <c r="DL75" s="662"/>
      <c r="DM75" s="662"/>
      <c r="DN75" s="662"/>
      <c r="DO75" s="662"/>
      <c r="DP75" s="662"/>
      <c r="DQ75" s="662"/>
      <c r="DR75" s="662"/>
      <c r="DS75" s="662"/>
      <c r="DT75" s="662"/>
      <c r="DU75" s="662"/>
      <c r="DV75" s="662"/>
      <c r="DW75" s="662">
        <v>6</v>
      </c>
      <c r="DX75" s="662"/>
      <c r="DY75" s="662"/>
      <c r="DZ75" s="662"/>
      <c r="EA75" s="662"/>
      <c r="EB75" s="662"/>
      <c r="EC75" s="662"/>
      <c r="ED75" s="662"/>
      <c r="EE75" s="662"/>
      <c r="EF75" s="662"/>
      <c r="EG75" s="662"/>
      <c r="EH75" s="662"/>
      <c r="EI75" s="662"/>
      <c r="EJ75" s="662"/>
      <c r="EK75" s="662"/>
      <c r="EL75" s="728"/>
      <c r="EM75" s="728"/>
      <c r="EN75" s="728"/>
      <c r="EO75" s="728"/>
      <c r="EP75" s="729"/>
      <c r="EQ75" s="787">
        <f>SUM(DC75:EP76)</f>
        <v>6</v>
      </c>
      <c r="ER75" s="788"/>
      <c r="ES75" s="789"/>
      <c r="ET75" s="260"/>
      <c r="EX75" s="233"/>
      <c r="EY75" s="234"/>
      <c r="EZ75" s="235"/>
      <c r="FC75" s="249"/>
      <c r="FD75" s="250"/>
      <c r="FE75" s="249"/>
      <c r="FF75" s="249"/>
      <c r="FG75" s="249"/>
      <c r="FH75" s="249"/>
      <c r="FI75" s="257"/>
      <c r="FJ75" s="257"/>
    </row>
    <row r="76" spans="1:166" s="128" customFormat="1" ht="80.099999999999994" customHeight="1" x14ac:dyDescent="0.65">
      <c r="A76" s="330"/>
      <c r="B76" s="139" t="s">
        <v>212</v>
      </c>
      <c r="C76" s="688" t="s">
        <v>211</v>
      </c>
      <c r="D76" s="688"/>
      <c r="E76" s="688"/>
      <c r="F76" s="688"/>
      <c r="G76" s="688"/>
      <c r="H76" s="688"/>
      <c r="I76" s="688"/>
      <c r="J76" s="688"/>
      <c r="K76" s="688"/>
      <c r="L76" s="688"/>
      <c r="M76" s="688"/>
      <c r="N76" s="688"/>
      <c r="O76" s="688"/>
      <c r="P76" s="688"/>
      <c r="Q76" s="688"/>
      <c r="R76" s="688"/>
      <c r="S76" s="688"/>
      <c r="T76" s="688"/>
      <c r="U76" s="688"/>
      <c r="V76" s="688"/>
      <c r="W76" s="688"/>
      <c r="X76" s="688"/>
      <c r="Y76" s="688"/>
      <c r="Z76" s="770"/>
      <c r="AA76" s="771"/>
      <c r="AB76" s="771"/>
      <c r="AC76" s="772"/>
      <c r="AD76" s="776"/>
      <c r="AE76" s="777"/>
      <c r="AF76" s="778"/>
      <c r="AG76" s="718"/>
      <c r="AH76" s="719"/>
      <c r="AI76" s="719"/>
      <c r="AJ76" s="719"/>
      <c r="AK76" s="720"/>
      <c r="AL76" s="782"/>
      <c r="AM76" s="783"/>
      <c r="AN76" s="783"/>
      <c r="AO76" s="783"/>
      <c r="AP76" s="784"/>
      <c r="AQ76" s="782"/>
      <c r="AR76" s="783"/>
      <c r="AS76" s="783"/>
      <c r="AT76" s="783"/>
      <c r="AU76" s="784"/>
      <c r="AV76" s="782"/>
      <c r="AW76" s="783"/>
      <c r="AX76" s="783"/>
      <c r="AY76" s="783"/>
      <c r="AZ76" s="784"/>
      <c r="BA76" s="782"/>
      <c r="BB76" s="783"/>
      <c r="BC76" s="783"/>
      <c r="BD76" s="783"/>
      <c r="BE76" s="784"/>
      <c r="BF76" s="782"/>
      <c r="BG76" s="783"/>
      <c r="BH76" s="783"/>
      <c r="BI76" s="783"/>
      <c r="BJ76" s="784"/>
      <c r="BK76" s="750"/>
      <c r="BL76" s="751"/>
      <c r="BM76" s="751"/>
      <c r="BN76" s="751"/>
      <c r="BO76" s="760"/>
      <c r="BP76" s="731"/>
      <c r="BQ76" s="731"/>
      <c r="BR76" s="731"/>
      <c r="BS76" s="732"/>
      <c r="BT76" s="730"/>
      <c r="BU76" s="731"/>
      <c r="BV76" s="731"/>
      <c r="BW76" s="731"/>
      <c r="BX76" s="732"/>
      <c r="BY76" s="730"/>
      <c r="BZ76" s="731"/>
      <c r="CA76" s="731"/>
      <c r="CB76" s="731"/>
      <c r="CC76" s="732"/>
      <c r="CD76" s="730"/>
      <c r="CE76" s="731"/>
      <c r="CF76" s="731"/>
      <c r="CG76" s="731"/>
      <c r="CH76" s="732"/>
      <c r="CI76" s="730"/>
      <c r="CJ76" s="731"/>
      <c r="CK76" s="731"/>
      <c r="CL76" s="731"/>
      <c r="CM76" s="732"/>
      <c r="CN76" s="730"/>
      <c r="CO76" s="731"/>
      <c r="CP76" s="731"/>
      <c r="CQ76" s="731"/>
      <c r="CR76" s="732"/>
      <c r="CS76" s="730"/>
      <c r="CT76" s="731"/>
      <c r="CU76" s="731"/>
      <c r="CV76" s="731"/>
      <c r="CW76" s="732"/>
      <c r="CX76" s="730"/>
      <c r="CY76" s="731"/>
      <c r="CZ76" s="731"/>
      <c r="DA76" s="731"/>
      <c r="DB76" s="732"/>
      <c r="DC76" s="760"/>
      <c r="DD76" s="731"/>
      <c r="DE76" s="731"/>
      <c r="DF76" s="731"/>
      <c r="DG76" s="731"/>
      <c r="DH76" s="662"/>
      <c r="DI76" s="662"/>
      <c r="DJ76" s="662"/>
      <c r="DK76" s="662"/>
      <c r="DL76" s="662"/>
      <c r="DM76" s="662"/>
      <c r="DN76" s="662"/>
      <c r="DO76" s="662"/>
      <c r="DP76" s="662"/>
      <c r="DQ76" s="662"/>
      <c r="DR76" s="662"/>
      <c r="DS76" s="662"/>
      <c r="DT76" s="662"/>
      <c r="DU76" s="662"/>
      <c r="DV76" s="662"/>
      <c r="DW76" s="662"/>
      <c r="DX76" s="662"/>
      <c r="DY76" s="662"/>
      <c r="DZ76" s="662"/>
      <c r="EA76" s="662"/>
      <c r="EB76" s="662"/>
      <c r="EC76" s="662"/>
      <c r="ED76" s="662"/>
      <c r="EE76" s="662"/>
      <c r="EF76" s="662"/>
      <c r="EG76" s="662"/>
      <c r="EH76" s="662"/>
      <c r="EI76" s="662"/>
      <c r="EJ76" s="662"/>
      <c r="EK76" s="662"/>
      <c r="EL76" s="731"/>
      <c r="EM76" s="731"/>
      <c r="EN76" s="731"/>
      <c r="EO76" s="731"/>
      <c r="EP76" s="732"/>
      <c r="EQ76" s="790"/>
      <c r="ER76" s="791"/>
      <c r="ES76" s="792"/>
      <c r="ET76" s="265"/>
      <c r="EX76" s="230"/>
      <c r="EY76" s="231"/>
      <c r="EZ76" s="232"/>
      <c r="FC76" s="249"/>
      <c r="FD76" s="250"/>
      <c r="FE76" s="249"/>
      <c r="FF76" s="249"/>
      <c r="FG76" s="249"/>
      <c r="FH76" s="249"/>
      <c r="FI76" s="257"/>
      <c r="FJ76" s="257"/>
    </row>
    <row r="77" spans="1:166" s="128" customFormat="1" ht="80.099999999999994" customHeight="1" x14ac:dyDescent="0.65">
      <c r="A77" s="329" t="s">
        <v>46</v>
      </c>
      <c r="B77" s="139" t="s">
        <v>328</v>
      </c>
      <c r="C77" s="688" t="s">
        <v>327</v>
      </c>
      <c r="D77" s="688"/>
      <c r="E77" s="688"/>
      <c r="F77" s="688"/>
      <c r="G77" s="688"/>
      <c r="H77" s="688"/>
      <c r="I77" s="688"/>
      <c r="J77" s="688"/>
      <c r="K77" s="688"/>
      <c r="L77" s="688"/>
      <c r="M77" s="688"/>
      <c r="N77" s="688"/>
      <c r="O77" s="688"/>
      <c r="P77" s="688"/>
      <c r="Q77" s="688"/>
      <c r="R77" s="688"/>
      <c r="S77" s="688"/>
      <c r="T77" s="688"/>
      <c r="U77" s="688"/>
      <c r="V77" s="688"/>
      <c r="W77" s="688"/>
      <c r="X77" s="688"/>
      <c r="Y77" s="688"/>
      <c r="Z77" s="767">
        <f>+EQ77*30</f>
        <v>150</v>
      </c>
      <c r="AA77" s="768"/>
      <c r="AB77" s="768"/>
      <c r="AC77" s="769"/>
      <c r="AD77" s="773"/>
      <c r="AE77" s="774"/>
      <c r="AF77" s="775"/>
      <c r="AG77" s="715">
        <f>SUM(AL77:BE78)</f>
        <v>60</v>
      </c>
      <c r="AH77" s="716"/>
      <c r="AI77" s="716"/>
      <c r="AJ77" s="716"/>
      <c r="AK77" s="717"/>
      <c r="AL77" s="779">
        <v>30</v>
      </c>
      <c r="AM77" s="780"/>
      <c r="AN77" s="780"/>
      <c r="AO77" s="780"/>
      <c r="AP77" s="781"/>
      <c r="AQ77" s="779">
        <v>30</v>
      </c>
      <c r="AR77" s="780"/>
      <c r="AS77" s="780"/>
      <c r="AT77" s="780"/>
      <c r="AU77" s="781"/>
      <c r="AV77" s="779"/>
      <c r="AW77" s="780"/>
      <c r="AX77" s="780"/>
      <c r="AY77" s="780"/>
      <c r="AZ77" s="781"/>
      <c r="BA77" s="779"/>
      <c r="BB77" s="780"/>
      <c r="BC77" s="780"/>
      <c r="BD77" s="780"/>
      <c r="BE77" s="781"/>
      <c r="BF77" s="779"/>
      <c r="BG77" s="780"/>
      <c r="BH77" s="780"/>
      <c r="BI77" s="780"/>
      <c r="BJ77" s="781"/>
      <c r="BK77" s="747">
        <f>Z77-AG77</f>
        <v>90</v>
      </c>
      <c r="BL77" s="748"/>
      <c r="BM77" s="748"/>
      <c r="BN77" s="748"/>
      <c r="BO77" s="759"/>
      <c r="BP77" s="728"/>
      <c r="BQ77" s="728"/>
      <c r="BR77" s="728"/>
      <c r="BS77" s="729"/>
      <c r="BT77" s="727"/>
      <c r="BU77" s="728"/>
      <c r="BV77" s="728"/>
      <c r="BW77" s="728"/>
      <c r="BX77" s="729"/>
      <c r="BY77" s="727"/>
      <c r="BZ77" s="728"/>
      <c r="CA77" s="728"/>
      <c r="CB77" s="728"/>
      <c r="CC77" s="729"/>
      <c r="CD77" s="727"/>
      <c r="CE77" s="728"/>
      <c r="CF77" s="728"/>
      <c r="CG77" s="728"/>
      <c r="CH77" s="729"/>
      <c r="CI77" s="727">
        <v>4</v>
      </c>
      <c r="CJ77" s="728"/>
      <c r="CK77" s="728"/>
      <c r="CL77" s="728"/>
      <c r="CM77" s="729"/>
      <c r="CN77" s="727"/>
      <c r="CO77" s="728"/>
      <c r="CP77" s="728"/>
      <c r="CQ77" s="728"/>
      <c r="CR77" s="729"/>
      <c r="CS77" s="727"/>
      <c r="CT77" s="728"/>
      <c r="CU77" s="728"/>
      <c r="CV77" s="728"/>
      <c r="CW77" s="729"/>
      <c r="CX77" s="727"/>
      <c r="CY77" s="728"/>
      <c r="CZ77" s="728"/>
      <c r="DA77" s="728"/>
      <c r="DB77" s="729"/>
      <c r="DC77" s="759"/>
      <c r="DD77" s="728"/>
      <c r="DE77" s="728"/>
      <c r="DF77" s="728"/>
      <c r="DG77" s="728"/>
      <c r="DH77" s="662"/>
      <c r="DI77" s="662"/>
      <c r="DJ77" s="662"/>
      <c r="DK77" s="662"/>
      <c r="DL77" s="662"/>
      <c r="DM77" s="662"/>
      <c r="DN77" s="662"/>
      <c r="DO77" s="662"/>
      <c r="DP77" s="662"/>
      <c r="DQ77" s="662"/>
      <c r="DR77" s="662"/>
      <c r="DS77" s="662"/>
      <c r="DT77" s="662"/>
      <c r="DU77" s="662"/>
      <c r="DV77" s="662"/>
      <c r="DW77" s="662">
        <v>5</v>
      </c>
      <c r="DX77" s="662"/>
      <c r="DY77" s="662"/>
      <c r="DZ77" s="662"/>
      <c r="EA77" s="662"/>
      <c r="EB77" s="662"/>
      <c r="EC77" s="662"/>
      <c r="ED77" s="662"/>
      <c r="EE77" s="662"/>
      <c r="EF77" s="662"/>
      <c r="EG77" s="662"/>
      <c r="EH77" s="662"/>
      <c r="EI77" s="662"/>
      <c r="EJ77" s="662"/>
      <c r="EK77" s="662"/>
      <c r="EL77" s="728"/>
      <c r="EM77" s="728"/>
      <c r="EN77" s="728"/>
      <c r="EO77" s="728"/>
      <c r="EP77" s="729"/>
      <c r="EQ77" s="787">
        <f>SUM(DC77:EP78)</f>
        <v>5</v>
      </c>
      <c r="ER77" s="788"/>
      <c r="ES77" s="789"/>
      <c r="ET77" s="267" t="s">
        <v>299</v>
      </c>
      <c r="EU77" s="257"/>
      <c r="EX77" s="230"/>
      <c r="EY77" s="231"/>
      <c r="EZ77" s="232"/>
      <c r="FC77" s="249"/>
      <c r="FD77" s="250"/>
      <c r="FE77" s="249"/>
      <c r="FF77" s="249"/>
      <c r="FG77" s="249"/>
      <c r="FH77" s="249"/>
      <c r="FI77" s="257"/>
      <c r="FJ77" s="257"/>
    </row>
    <row r="78" spans="1:166" s="128" customFormat="1" ht="80.099999999999994" customHeight="1" x14ac:dyDescent="0.65">
      <c r="A78" s="330"/>
      <c r="B78" s="139" t="s">
        <v>216</v>
      </c>
      <c r="C78" s="688" t="s">
        <v>214</v>
      </c>
      <c r="D78" s="688"/>
      <c r="E78" s="688"/>
      <c r="F78" s="688"/>
      <c r="G78" s="688"/>
      <c r="H78" s="688"/>
      <c r="I78" s="688"/>
      <c r="J78" s="688"/>
      <c r="K78" s="688"/>
      <c r="L78" s="688"/>
      <c r="M78" s="688"/>
      <c r="N78" s="688"/>
      <c r="O78" s="688"/>
      <c r="P78" s="688"/>
      <c r="Q78" s="688"/>
      <c r="R78" s="688"/>
      <c r="S78" s="688"/>
      <c r="T78" s="688"/>
      <c r="U78" s="688"/>
      <c r="V78" s="688"/>
      <c r="W78" s="688"/>
      <c r="X78" s="688"/>
      <c r="Y78" s="688"/>
      <c r="Z78" s="770"/>
      <c r="AA78" s="771"/>
      <c r="AB78" s="771"/>
      <c r="AC78" s="772"/>
      <c r="AD78" s="776"/>
      <c r="AE78" s="777"/>
      <c r="AF78" s="778"/>
      <c r="AG78" s="718"/>
      <c r="AH78" s="719"/>
      <c r="AI78" s="719"/>
      <c r="AJ78" s="719"/>
      <c r="AK78" s="720"/>
      <c r="AL78" s="782"/>
      <c r="AM78" s="783"/>
      <c r="AN78" s="783"/>
      <c r="AO78" s="783"/>
      <c r="AP78" s="784"/>
      <c r="AQ78" s="782"/>
      <c r="AR78" s="783"/>
      <c r="AS78" s="783"/>
      <c r="AT78" s="783"/>
      <c r="AU78" s="784"/>
      <c r="AV78" s="782"/>
      <c r="AW78" s="783"/>
      <c r="AX78" s="783"/>
      <c r="AY78" s="783"/>
      <c r="AZ78" s="784"/>
      <c r="BA78" s="782"/>
      <c r="BB78" s="783"/>
      <c r="BC78" s="783"/>
      <c r="BD78" s="783"/>
      <c r="BE78" s="784"/>
      <c r="BF78" s="782"/>
      <c r="BG78" s="783"/>
      <c r="BH78" s="783"/>
      <c r="BI78" s="783"/>
      <c r="BJ78" s="784"/>
      <c r="BK78" s="750"/>
      <c r="BL78" s="751"/>
      <c r="BM78" s="751"/>
      <c r="BN78" s="751"/>
      <c r="BO78" s="760"/>
      <c r="BP78" s="731"/>
      <c r="BQ78" s="731"/>
      <c r="BR78" s="731"/>
      <c r="BS78" s="732"/>
      <c r="BT78" s="730"/>
      <c r="BU78" s="731"/>
      <c r="BV78" s="731"/>
      <c r="BW78" s="731"/>
      <c r="BX78" s="732"/>
      <c r="BY78" s="730"/>
      <c r="BZ78" s="731"/>
      <c r="CA78" s="731"/>
      <c r="CB78" s="731"/>
      <c r="CC78" s="732"/>
      <c r="CD78" s="730"/>
      <c r="CE78" s="731"/>
      <c r="CF78" s="731"/>
      <c r="CG78" s="731"/>
      <c r="CH78" s="732"/>
      <c r="CI78" s="730"/>
      <c r="CJ78" s="731"/>
      <c r="CK78" s="731"/>
      <c r="CL78" s="731"/>
      <c r="CM78" s="732"/>
      <c r="CN78" s="730"/>
      <c r="CO78" s="731"/>
      <c r="CP78" s="731"/>
      <c r="CQ78" s="731"/>
      <c r="CR78" s="732"/>
      <c r="CS78" s="730"/>
      <c r="CT78" s="731"/>
      <c r="CU78" s="731"/>
      <c r="CV78" s="731"/>
      <c r="CW78" s="732"/>
      <c r="CX78" s="730"/>
      <c r="CY78" s="731"/>
      <c r="CZ78" s="731"/>
      <c r="DA78" s="731"/>
      <c r="DB78" s="732"/>
      <c r="DC78" s="760"/>
      <c r="DD78" s="731"/>
      <c r="DE78" s="731"/>
      <c r="DF78" s="731"/>
      <c r="DG78" s="731"/>
      <c r="DH78" s="662"/>
      <c r="DI78" s="662"/>
      <c r="DJ78" s="662"/>
      <c r="DK78" s="662"/>
      <c r="DL78" s="662"/>
      <c r="DM78" s="662"/>
      <c r="DN78" s="662"/>
      <c r="DO78" s="662"/>
      <c r="DP78" s="662"/>
      <c r="DQ78" s="662"/>
      <c r="DR78" s="662"/>
      <c r="DS78" s="662"/>
      <c r="DT78" s="662"/>
      <c r="DU78" s="662"/>
      <c r="DV78" s="662"/>
      <c r="DW78" s="662"/>
      <c r="DX78" s="662"/>
      <c r="DY78" s="662"/>
      <c r="DZ78" s="662"/>
      <c r="EA78" s="662"/>
      <c r="EB78" s="662"/>
      <c r="EC78" s="662"/>
      <c r="ED78" s="662"/>
      <c r="EE78" s="662"/>
      <c r="EF78" s="662"/>
      <c r="EG78" s="662"/>
      <c r="EH78" s="662"/>
      <c r="EI78" s="662"/>
      <c r="EJ78" s="662"/>
      <c r="EK78" s="662"/>
      <c r="EL78" s="731"/>
      <c r="EM78" s="731"/>
      <c r="EN78" s="731"/>
      <c r="EO78" s="731"/>
      <c r="EP78" s="732"/>
      <c r="EQ78" s="790"/>
      <c r="ER78" s="791"/>
      <c r="ES78" s="792"/>
      <c r="ET78" s="268"/>
      <c r="EU78" s="257"/>
      <c r="EX78" s="230"/>
      <c r="EY78" s="231"/>
      <c r="EZ78" s="232"/>
      <c r="FC78" s="249"/>
      <c r="FD78" s="250"/>
      <c r="FE78" s="249"/>
      <c r="FF78" s="249"/>
      <c r="FG78" s="249"/>
      <c r="FH78" s="249"/>
      <c r="FI78" s="257"/>
      <c r="FJ78" s="257"/>
    </row>
    <row r="79" spans="1:166" s="128" customFormat="1" ht="80.099999999999994" customHeight="1" x14ac:dyDescent="0.65">
      <c r="A79" s="329" t="s">
        <v>47</v>
      </c>
      <c r="B79" s="136" t="s">
        <v>140</v>
      </c>
      <c r="C79" s="688" t="s">
        <v>125</v>
      </c>
      <c r="D79" s="688"/>
      <c r="E79" s="688"/>
      <c r="F79" s="688"/>
      <c r="G79" s="688"/>
      <c r="H79" s="688"/>
      <c r="I79" s="688"/>
      <c r="J79" s="688"/>
      <c r="K79" s="688"/>
      <c r="L79" s="688"/>
      <c r="M79" s="688"/>
      <c r="N79" s="688"/>
      <c r="O79" s="688"/>
      <c r="P79" s="688"/>
      <c r="Q79" s="688"/>
      <c r="R79" s="688"/>
      <c r="S79" s="688"/>
      <c r="T79" s="688"/>
      <c r="U79" s="688"/>
      <c r="V79" s="688"/>
      <c r="W79" s="688"/>
      <c r="X79" s="688"/>
      <c r="Y79" s="688"/>
      <c r="Z79" s="767">
        <f>+EQ79*30</f>
        <v>150</v>
      </c>
      <c r="AA79" s="768"/>
      <c r="AB79" s="768"/>
      <c r="AC79" s="769"/>
      <c r="AD79" s="773"/>
      <c r="AE79" s="774"/>
      <c r="AF79" s="775"/>
      <c r="AG79" s="715">
        <f>SUM(AL79:BE80)</f>
        <v>60</v>
      </c>
      <c r="AH79" s="716"/>
      <c r="AI79" s="716"/>
      <c r="AJ79" s="716"/>
      <c r="AK79" s="717"/>
      <c r="AL79" s="779">
        <v>30</v>
      </c>
      <c r="AM79" s="780"/>
      <c r="AN79" s="780"/>
      <c r="AO79" s="780"/>
      <c r="AP79" s="781"/>
      <c r="AQ79" s="779">
        <v>30</v>
      </c>
      <c r="AR79" s="780"/>
      <c r="AS79" s="780"/>
      <c r="AT79" s="780"/>
      <c r="AU79" s="781"/>
      <c r="AV79" s="779"/>
      <c r="AW79" s="780"/>
      <c r="AX79" s="780"/>
      <c r="AY79" s="780"/>
      <c r="AZ79" s="781"/>
      <c r="BA79" s="779"/>
      <c r="BB79" s="780"/>
      <c r="BC79" s="780"/>
      <c r="BD79" s="780"/>
      <c r="BE79" s="781"/>
      <c r="BF79" s="779"/>
      <c r="BG79" s="780"/>
      <c r="BH79" s="780"/>
      <c r="BI79" s="780"/>
      <c r="BJ79" s="781"/>
      <c r="BK79" s="747">
        <f>Z79-AG79</f>
        <v>90</v>
      </c>
      <c r="BL79" s="748"/>
      <c r="BM79" s="748"/>
      <c r="BN79" s="748"/>
      <c r="BO79" s="759"/>
      <c r="BP79" s="728"/>
      <c r="BQ79" s="728"/>
      <c r="BR79" s="728"/>
      <c r="BS79" s="729"/>
      <c r="BT79" s="727"/>
      <c r="BU79" s="728"/>
      <c r="BV79" s="728"/>
      <c r="BW79" s="728"/>
      <c r="BX79" s="729"/>
      <c r="BY79" s="727"/>
      <c r="BZ79" s="728"/>
      <c r="CA79" s="728"/>
      <c r="CB79" s="728"/>
      <c r="CC79" s="729"/>
      <c r="CD79" s="727"/>
      <c r="CE79" s="728"/>
      <c r="CF79" s="728"/>
      <c r="CG79" s="728"/>
      <c r="CH79" s="729"/>
      <c r="CI79" s="727">
        <v>4</v>
      </c>
      <c r="CJ79" s="728"/>
      <c r="CK79" s="728"/>
      <c r="CL79" s="728"/>
      <c r="CM79" s="729"/>
      <c r="CN79" s="727"/>
      <c r="CO79" s="728"/>
      <c r="CP79" s="728"/>
      <c r="CQ79" s="728"/>
      <c r="CR79" s="729"/>
      <c r="CS79" s="727"/>
      <c r="CT79" s="728"/>
      <c r="CU79" s="728"/>
      <c r="CV79" s="728"/>
      <c r="CW79" s="729"/>
      <c r="CX79" s="727"/>
      <c r="CY79" s="728"/>
      <c r="CZ79" s="728"/>
      <c r="DA79" s="728"/>
      <c r="DB79" s="729"/>
      <c r="DC79" s="759"/>
      <c r="DD79" s="728"/>
      <c r="DE79" s="728"/>
      <c r="DF79" s="728"/>
      <c r="DG79" s="728"/>
      <c r="DH79" s="662"/>
      <c r="DI79" s="662"/>
      <c r="DJ79" s="662"/>
      <c r="DK79" s="662"/>
      <c r="DL79" s="662"/>
      <c r="DM79" s="662"/>
      <c r="DN79" s="662"/>
      <c r="DO79" s="662"/>
      <c r="DP79" s="662"/>
      <c r="DQ79" s="662"/>
      <c r="DR79" s="662"/>
      <c r="DS79" s="662"/>
      <c r="DT79" s="662"/>
      <c r="DU79" s="662"/>
      <c r="DV79" s="662"/>
      <c r="DW79" s="662">
        <v>5</v>
      </c>
      <c r="DX79" s="662"/>
      <c r="DY79" s="662"/>
      <c r="DZ79" s="662"/>
      <c r="EA79" s="662"/>
      <c r="EB79" s="662"/>
      <c r="EC79" s="662"/>
      <c r="ED79" s="662"/>
      <c r="EE79" s="662"/>
      <c r="EF79" s="662"/>
      <c r="EG79" s="662"/>
      <c r="EH79" s="662"/>
      <c r="EI79" s="662"/>
      <c r="EJ79" s="662"/>
      <c r="EK79" s="662"/>
      <c r="EL79" s="728"/>
      <c r="EM79" s="728"/>
      <c r="EN79" s="728"/>
      <c r="EO79" s="728"/>
      <c r="EP79" s="729"/>
      <c r="EQ79" s="787">
        <f>SUM(DC79:EP80)</f>
        <v>5</v>
      </c>
      <c r="ER79" s="788"/>
      <c r="ES79" s="789"/>
      <c r="ET79" s="269" t="s">
        <v>300</v>
      </c>
      <c r="EU79" s="257"/>
      <c r="EX79" s="230"/>
      <c r="EY79" s="231"/>
      <c r="EZ79" s="232"/>
      <c r="FC79" s="249"/>
      <c r="FD79" s="250"/>
      <c r="FE79" s="249"/>
      <c r="FF79" s="249"/>
      <c r="FG79" s="249"/>
      <c r="FH79" s="249"/>
      <c r="FI79" s="257"/>
      <c r="FJ79" s="257"/>
    </row>
    <row r="80" spans="1:166" s="128" customFormat="1" ht="80.099999999999994" customHeight="1" x14ac:dyDescent="0.65">
      <c r="A80" s="330"/>
      <c r="B80" s="138" t="s">
        <v>318</v>
      </c>
      <c r="C80" s="688" t="s">
        <v>218</v>
      </c>
      <c r="D80" s="688"/>
      <c r="E80" s="688"/>
      <c r="F80" s="688"/>
      <c r="G80" s="688"/>
      <c r="H80" s="688"/>
      <c r="I80" s="688"/>
      <c r="J80" s="688"/>
      <c r="K80" s="688"/>
      <c r="L80" s="688"/>
      <c r="M80" s="688"/>
      <c r="N80" s="688"/>
      <c r="O80" s="688"/>
      <c r="P80" s="688"/>
      <c r="Q80" s="688"/>
      <c r="R80" s="688"/>
      <c r="S80" s="688"/>
      <c r="T80" s="688"/>
      <c r="U80" s="688"/>
      <c r="V80" s="688"/>
      <c r="W80" s="688"/>
      <c r="X80" s="688"/>
      <c r="Y80" s="688"/>
      <c r="Z80" s="770"/>
      <c r="AA80" s="771"/>
      <c r="AB80" s="771"/>
      <c r="AC80" s="772"/>
      <c r="AD80" s="776"/>
      <c r="AE80" s="777"/>
      <c r="AF80" s="778"/>
      <c r="AG80" s="718"/>
      <c r="AH80" s="719"/>
      <c r="AI80" s="719"/>
      <c r="AJ80" s="719"/>
      <c r="AK80" s="720"/>
      <c r="AL80" s="782"/>
      <c r="AM80" s="783"/>
      <c r="AN80" s="783"/>
      <c r="AO80" s="783"/>
      <c r="AP80" s="784"/>
      <c r="AQ80" s="782"/>
      <c r="AR80" s="783"/>
      <c r="AS80" s="783"/>
      <c r="AT80" s="783"/>
      <c r="AU80" s="784"/>
      <c r="AV80" s="782"/>
      <c r="AW80" s="783"/>
      <c r="AX80" s="783"/>
      <c r="AY80" s="783"/>
      <c r="AZ80" s="784"/>
      <c r="BA80" s="782"/>
      <c r="BB80" s="783"/>
      <c r="BC80" s="783"/>
      <c r="BD80" s="783"/>
      <c r="BE80" s="784"/>
      <c r="BF80" s="782"/>
      <c r="BG80" s="783"/>
      <c r="BH80" s="783"/>
      <c r="BI80" s="783"/>
      <c r="BJ80" s="784"/>
      <c r="BK80" s="750"/>
      <c r="BL80" s="751"/>
      <c r="BM80" s="751"/>
      <c r="BN80" s="751"/>
      <c r="BO80" s="760"/>
      <c r="BP80" s="731"/>
      <c r="BQ80" s="731"/>
      <c r="BR80" s="731"/>
      <c r="BS80" s="732"/>
      <c r="BT80" s="730"/>
      <c r="BU80" s="731"/>
      <c r="BV80" s="731"/>
      <c r="BW80" s="731"/>
      <c r="BX80" s="732"/>
      <c r="BY80" s="730"/>
      <c r="BZ80" s="731"/>
      <c r="CA80" s="731"/>
      <c r="CB80" s="731"/>
      <c r="CC80" s="732"/>
      <c r="CD80" s="730"/>
      <c r="CE80" s="731"/>
      <c r="CF80" s="731"/>
      <c r="CG80" s="731"/>
      <c r="CH80" s="732"/>
      <c r="CI80" s="730"/>
      <c r="CJ80" s="731"/>
      <c r="CK80" s="731"/>
      <c r="CL80" s="731"/>
      <c r="CM80" s="732"/>
      <c r="CN80" s="730"/>
      <c r="CO80" s="731"/>
      <c r="CP80" s="731"/>
      <c r="CQ80" s="731"/>
      <c r="CR80" s="732"/>
      <c r="CS80" s="730"/>
      <c r="CT80" s="731"/>
      <c r="CU80" s="731"/>
      <c r="CV80" s="731"/>
      <c r="CW80" s="732"/>
      <c r="CX80" s="730"/>
      <c r="CY80" s="731"/>
      <c r="CZ80" s="731"/>
      <c r="DA80" s="731"/>
      <c r="DB80" s="732"/>
      <c r="DC80" s="760"/>
      <c r="DD80" s="731"/>
      <c r="DE80" s="731"/>
      <c r="DF80" s="731"/>
      <c r="DG80" s="731"/>
      <c r="DH80" s="662"/>
      <c r="DI80" s="662"/>
      <c r="DJ80" s="662"/>
      <c r="DK80" s="662"/>
      <c r="DL80" s="662"/>
      <c r="DM80" s="662"/>
      <c r="DN80" s="662"/>
      <c r="DO80" s="662"/>
      <c r="DP80" s="662"/>
      <c r="DQ80" s="662"/>
      <c r="DR80" s="662"/>
      <c r="DS80" s="662"/>
      <c r="DT80" s="662"/>
      <c r="DU80" s="662"/>
      <c r="DV80" s="662"/>
      <c r="DW80" s="662"/>
      <c r="DX80" s="662"/>
      <c r="DY80" s="662"/>
      <c r="DZ80" s="662"/>
      <c r="EA80" s="662"/>
      <c r="EB80" s="662"/>
      <c r="EC80" s="662"/>
      <c r="ED80" s="662"/>
      <c r="EE80" s="662"/>
      <c r="EF80" s="662"/>
      <c r="EG80" s="662"/>
      <c r="EH80" s="662"/>
      <c r="EI80" s="662"/>
      <c r="EJ80" s="662"/>
      <c r="EK80" s="662"/>
      <c r="EL80" s="731"/>
      <c r="EM80" s="731"/>
      <c r="EN80" s="731"/>
      <c r="EO80" s="731"/>
      <c r="EP80" s="732"/>
      <c r="EQ80" s="790"/>
      <c r="ER80" s="791"/>
      <c r="ES80" s="792"/>
      <c r="ET80" s="268"/>
      <c r="EU80" s="257"/>
      <c r="EX80" s="230"/>
      <c r="EY80" s="231"/>
      <c r="EZ80" s="232"/>
      <c r="FC80" s="249"/>
      <c r="FD80" s="250"/>
      <c r="FE80" s="249"/>
      <c r="FF80" s="249"/>
      <c r="FG80" s="249"/>
      <c r="FH80" s="249"/>
      <c r="FI80" s="257"/>
      <c r="FJ80" s="257"/>
    </row>
    <row r="81" spans="1:166" s="128" customFormat="1" ht="80.099999999999994" customHeight="1" x14ac:dyDescent="0.65">
      <c r="A81" s="329" t="s">
        <v>48</v>
      </c>
      <c r="B81" s="135" t="s">
        <v>135</v>
      </c>
      <c r="C81" s="653" t="s">
        <v>180</v>
      </c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53"/>
      <c r="O81" s="653"/>
      <c r="P81" s="653"/>
      <c r="Q81" s="653"/>
      <c r="R81" s="653"/>
      <c r="S81" s="653"/>
      <c r="T81" s="653"/>
      <c r="U81" s="653"/>
      <c r="V81" s="653"/>
      <c r="W81" s="653"/>
      <c r="X81" s="653"/>
      <c r="Y81" s="653"/>
      <c r="Z81" s="767">
        <f>+EQ81*30</f>
        <v>120</v>
      </c>
      <c r="AA81" s="768"/>
      <c r="AB81" s="768"/>
      <c r="AC81" s="769"/>
      <c r="AD81" s="773"/>
      <c r="AE81" s="774"/>
      <c r="AF81" s="775"/>
      <c r="AG81" s="715">
        <f>SUM(AL81:BE82)</f>
        <v>48</v>
      </c>
      <c r="AH81" s="716"/>
      <c r="AI81" s="716"/>
      <c r="AJ81" s="716"/>
      <c r="AK81" s="717"/>
      <c r="AL81" s="779">
        <v>24</v>
      </c>
      <c r="AM81" s="780"/>
      <c r="AN81" s="780"/>
      <c r="AO81" s="780"/>
      <c r="AP81" s="781"/>
      <c r="AQ81" s="779">
        <v>24</v>
      </c>
      <c r="AR81" s="780"/>
      <c r="AS81" s="780"/>
      <c r="AT81" s="780"/>
      <c r="AU81" s="781"/>
      <c r="AV81" s="779"/>
      <c r="AW81" s="780"/>
      <c r="AX81" s="780"/>
      <c r="AY81" s="780"/>
      <c r="AZ81" s="781"/>
      <c r="BA81" s="779"/>
      <c r="BB81" s="780"/>
      <c r="BC81" s="780"/>
      <c r="BD81" s="780"/>
      <c r="BE81" s="781"/>
      <c r="BF81" s="779"/>
      <c r="BG81" s="780"/>
      <c r="BH81" s="780"/>
      <c r="BI81" s="780"/>
      <c r="BJ81" s="781"/>
      <c r="BK81" s="747">
        <f>Z81-AG81</f>
        <v>72</v>
      </c>
      <c r="BL81" s="748"/>
      <c r="BM81" s="748"/>
      <c r="BN81" s="748"/>
      <c r="BO81" s="759"/>
      <c r="BP81" s="728"/>
      <c r="BQ81" s="728"/>
      <c r="BR81" s="728"/>
      <c r="BS81" s="729"/>
      <c r="BT81" s="727"/>
      <c r="BU81" s="728"/>
      <c r="BV81" s="728"/>
      <c r="BW81" s="728"/>
      <c r="BX81" s="729"/>
      <c r="BY81" s="727"/>
      <c r="BZ81" s="728"/>
      <c r="CA81" s="728"/>
      <c r="CB81" s="728"/>
      <c r="CC81" s="729"/>
      <c r="CD81" s="727">
        <v>4</v>
      </c>
      <c r="CE81" s="728"/>
      <c r="CF81" s="728"/>
      <c r="CG81" s="728"/>
      <c r="CH81" s="729"/>
      <c r="CI81" s="727"/>
      <c r="CJ81" s="728"/>
      <c r="CK81" s="728"/>
      <c r="CL81" s="728"/>
      <c r="CM81" s="729"/>
      <c r="CN81" s="727"/>
      <c r="CO81" s="728"/>
      <c r="CP81" s="728"/>
      <c r="CQ81" s="728"/>
      <c r="CR81" s="729"/>
      <c r="CS81" s="727"/>
      <c r="CT81" s="728"/>
      <c r="CU81" s="728"/>
      <c r="CV81" s="728"/>
      <c r="CW81" s="729"/>
      <c r="CX81" s="727"/>
      <c r="CY81" s="728"/>
      <c r="CZ81" s="728"/>
      <c r="DA81" s="728"/>
      <c r="DB81" s="729"/>
      <c r="DC81" s="759"/>
      <c r="DD81" s="728"/>
      <c r="DE81" s="728"/>
      <c r="DF81" s="728"/>
      <c r="DG81" s="728"/>
      <c r="DH81" s="662"/>
      <c r="DI81" s="662"/>
      <c r="DJ81" s="662"/>
      <c r="DK81" s="662"/>
      <c r="DL81" s="662"/>
      <c r="DM81" s="662"/>
      <c r="DN81" s="662"/>
      <c r="DO81" s="662"/>
      <c r="DP81" s="662"/>
      <c r="DQ81" s="662"/>
      <c r="DR81" s="662">
        <v>4</v>
      </c>
      <c r="DS81" s="662"/>
      <c r="DT81" s="662"/>
      <c r="DU81" s="662"/>
      <c r="DV81" s="662"/>
      <c r="DW81" s="662"/>
      <c r="DX81" s="662"/>
      <c r="DY81" s="662"/>
      <c r="DZ81" s="662"/>
      <c r="EA81" s="662"/>
      <c r="EB81" s="662"/>
      <c r="EC81" s="662"/>
      <c r="ED81" s="662"/>
      <c r="EE81" s="662"/>
      <c r="EF81" s="662"/>
      <c r="EG81" s="662"/>
      <c r="EH81" s="662"/>
      <c r="EI81" s="662"/>
      <c r="EJ81" s="662"/>
      <c r="EK81" s="662"/>
      <c r="EL81" s="728"/>
      <c r="EM81" s="728"/>
      <c r="EN81" s="728"/>
      <c r="EO81" s="728"/>
      <c r="EP81" s="729"/>
      <c r="EQ81" s="787">
        <f>SUM(DC81:EP82)</f>
        <v>4</v>
      </c>
      <c r="ER81" s="788"/>
      <c r="ES81" s="789"/>
      <c r="ET81" s="269" t="s">
        <v>300</v>
      </c>
      <c r="EU81" s="257"/>
      <c r="EX81" s="230"/>
      <c r="EY81" s="231"/>
      <c r="EZ81" s="232"/>
      <c r="FC81" s="249"/>
      <c r="FD81" s="250"/>
      <c r="FE81" s="249"/>
      <c r="FF81" s="249"/>
      <c r="FG81" s="249"/>
      <c r="FH81" s="249"/>
      <c r="FI81" s="257"/>
      <c r="FJ81" s="257"/>
    </row>
    <row r="82" spans="1:166" s="128" customFormat="1" ht="80.099999999999994" customHeight="1" x14ac:dyDescent="0.65">
      <c r="A82" s="330"/>
      <c r="B82" s="138" t="s">
        <v>217</v>
      </c>
      <c r="C82" s="821" t="s">
        <v>128</v>
      </c>
      <c r="D82" s="822"/>
      <c r="E82" s="822"/>
      <c r="F82" s="822"/>
      <c r="G82" s="822"/>
      <c r="H82" s="822"/>
      <c r="I82" s="822"/>
      <c r="J82" s="822"/>
      <c r="K82" s="822"/>
      <c r="L82" s="822"/>
      <c r="M82" s="822"/>
      <c r="N82" s="822"/>
      <c r="O82" s="822"/>
      <c r="P82" s="822"/>
      <c r="Q82" s="822"/>
      <c r="R82" s="822"/>
      <c r="S82" s="822"/>
      <c r="T82" s="822"/>
      <c r="U82" s="822"/>
      <c r="V82" s="822"/>
      <c r="W82" s="822"/>
      <c r="X82" s="822"/>
      <c r="Y82" s="823"/>
      <c r="Z82" s="770"/>
      <c r="AA82" s="771"/>
      <c r="AB82" s="771"/>
      <c r="AC82" s="772"/>
      <c r="AD82" s="776"/>
      <c r="AE82" s="777"/>
      <c r="AF82" s="778"/>
      <c r="AG82" s="718"/>
      <c r="AH82" s="719"/>
      <c r="AI82" s="719"/>
      <c r="AJ82" s="719"/>
      <c r="AK82" s="720"/>
      <c r="AL82" s="782"/>
      <c r="AM82" s="783"/>
      <c r="AN82" s="783"/>
      <c r="AO82" s="783"/>
      <c r="AP82" s="784"/>
      <c r="AQ82" s="782"/>
      <c r="AR82" s="783"/>
      <c r="AS82" s="783"/>
      <c r="AT82" s="783"/>
      <c r="AU82" s="784"/>
      <c r="AV82" s="782"/>
      <c r="AW82" s="783"/>
      <c r="AX82" s="783"/>
      <c r="AY82" s="783"/>
      <c r="AZ82" s="784"/>
      <c r="BA82" s="782"/>
      <c r="BB82" s="783"/>
      <c r="BC82" s="783"/>
      <c r="BD82" s="783"/>
      <c r="BE82" s="784"/>
      <c r="BF82" s="782"/>
      <c r="BG82" s="783"/>
      <c r="BH82" s="783"/>
      <c r="BI82" s="783"/>
      <c r="BJ82" s="784"/>
      <c r="BK82" s="750"/>
      <c r="BL82" s="751"/>
      <c r="BM82" s="751"/>
      <c r="BN82" s="751"/>
      <c r="BO82" s="760"/>
      <c r="BP82" s="731"/>
      <c r="BQ82" s="731"/>
      <c r="BR82" s="731"/>
      <c r="BS82" s="732"/>
      <c r="BT82" s="730"/>
      <c r="BU82" s="731"/>
      <c r="BV82" s="731"/>
      <c r="BW82" s="731"/>
      <c r="BX82" s="732"/>
      <c r="BY82" s="730"/>
      <c r="BZ82" s="731"/>
      <c r="CA82" s="731"/>
      <c r="CB82" s="731"/>
      <c r="CC82" s="732"/>
      <c r="CD82" s="730"/>
      <c r="CE82" s="731"/>
      <c r="CF82" s="731"/>
      <c r="CG82" s="731"/>
      <c r="CH82" s="732"/>
      <c r="CI82" s="730"/>
      <c r="CJ82" s="731"/>
      <c r="CK82" s="731"/>
      <c r="CL82" s="731"/>
      <c r="CM82" s="732"/>
      <c r="CN82" s="730"/>
      <c r="CO82" s="731"/>
      <c r="CP82" s="731"/>
      <c r="CQ82" s="731"/>
      <c r="CR82" s="732"/>
      <c r="CS82" s="730"/>
      <c r="CT82" s="731"/>
      <c r="CU82" s="731"/>
      <c r="CV82" s="731"/>
      <c r="CW82" s="732"/>
      <c r="CX82" s="730"/>
      <c r="CY82" s="731"/>
      <c r="CZ82" s="731"/>
      <c r="DA82" s="731"/>
      <c r="DB82" s="732"/>
      <c r="DC82" s="760"/>
      <c r="DD82" s="731"/>
      <c r="DE82" s="731"/>
      <c r="DF82" s="731"/>
      <c r="DG82" s="731"/>
      <c r="DH82" s="662"/>
      <c r="DI82" s="662"/>
      <c r="DJ82" s="662"/>
      <c r="DK82" s="662"/>
      <c r="DL82" s="662"/>
      <c r="DM82" s="662"/>
      <c r="DN82" s="662"/>
      <c r="DO82" s="662"/>
      <c r="DP82" s="662"/>
      <c r="DQ82" s="662"/>
      <c r="DR82" s="662"/>
      <c r="DS82" s="662"/>
      <c r="DT82" s="662"/>
      <c r="DU82" s="662"/>
      <c r="DV82" s="662"/>
      <c r="DW82" s="662"/>
      <c r="DX82" s="662"/>
      <c r="DY82" s="662"/>
      <c r="DZ82" s="662"/>
      <c r="EA82" s="662"/>
      <c r="EB82" s="662"/>
      <c r="EC82" s="662"/>
      <c r="ED82" s="662"/>
      <c r="EE82" s="662"/>
      <c r="EF82" s="662"/>
      <c r="EG82" s="662"/>
      <c r="EH82" s="662"/>
      <c r="EI82" s="662"/>
      <c r="EJ82" s="662"/>
      <c r="EK82" s="662"/>
      <c r="EL82" s="731"/>
      <c r="EM82" s="731"/>
      <c r="EN82" s="731"/>
      <c r="EO82" s="731"/>
      <c r="EP82" s="732"/>
      <c r="EQ82" s="790"/>
      <c r="ER82" s="791"/>
      <c r="ES82" s="792"/>
      <c r="ET82" s="268"/>
      <c r="EU82" s="257"/>
      <c r="EX82" s="230"/>
      <c r="EY82" s="231"/>
      <c r="EZ82" s="232"/>
      <c r="FC82" s="249"/>
      <c r="FD82" s="250"/>
      <c r="FE82" s="249"/>
      <c r="FF82" s="249"/>
      <c r="FG82" s="249"/>
      <c r="FH82" s="249"/>
      <c r="FI82" s="257"/>
      <c r="FJ82" s="257"/>
    </row>
    <row r="83" spans="1:166" s="128" customFormat="1" ht="80.099999999999994" customHeight="1" x14ac:dyDescent="0.65">
      <c r="A83" s="329" t="s">
        <v>301</v>
      </c>
      <c r="B83" s="136" t="s">
        <v>306</v>
      </c>
      <c r="C83" s="653" t="s">
        <v>181</v>
      </c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/>
      <c r="W83" s="653"/>
      <c r="X83" s="653"/>
      <c r="Y83" s="653"/>
      <c r="Z83" s="767">
        <f>+EQ83*30</f>
        <v>210</v>
      </c>
      <c r="AA83" s="768"/>
      <c r="AB83" s="768"/>
      <c r="AC83" s="769"/>
      <c r="AD83" s="773"/>
      <c r="AE83" s="774"/>
      <c r="AF83" s="775"/>
      <c r="AG83" s="715">
        <f>SUM(AL83:BE84)</f>
        <v>84</v>
      </c>
      <c r="AH83" s="716"/>
      <c r="AI83" s="716"/>
      <c r="AJ83" s="716"/>
      <c r="AK83" s="717"/>
      <c r="AL83" s="779">
        <v>42</v>
      </c>
      <c r="AM83" s="780"/>
      <c r="AN83" s="780"/>
      <c r="AO83" s="780"/>
      <c r="AP83" s="781"/>
      <c r="AQ83" s="779">
        <v>42</v>
      </c>
      <c r="AR83" s="780"/>
      <c r="AS83" s="780"/>
      <c r="AT83" s="780"/>
      <c r="AU83" s="781"/>
      <c r="AV83" s="779"/>
      <c r="AW83" s="780"/>
      <c r="AX83" s="780"/>
      <c r="AY83" s="780"/>
      <c r="AZ83" s="781"/>
      <c r="BA83" s="779"/>
      <c r="BB83" s="780"/>
      <c r="BC83" s="780"/>
      <c r="BD83" s="780"/>
      <c r="BE83" s="781"/>
      <c r="BF83" s="779"/>
      <c r="BG83" s="780"/>
      <c r="BH83" s="780"/>
      <c r="BI83" s="780"/>
      <c r="BJ83" s="781"/>
      <c r="BK83" s="747">
        <f>Z83-AG83</f>
        <v>126</v>
      </c>
      <c r="BL83" s="748"/>
      <c r="BM83" s="748"/>
      <c r="BN83" s="748"/>
      <c r="BO83" s="759"/>
      <c r="BP83" s="728"/>
      <c r="BQ83" s="728"/>
      <c r="BR83" s="728"/>
      <c r="BS83" s="729"/>
      <c r="BT83" s="727"/>
      <c r="BU83" s="728"/>
      <c r="BV83" s="728"/>
      <c r="BW83" s="728"/>
      <c r="BX83" s="729"/>
      <c r="BY83" s="727"/>
      <c r="BZ83" s="728"/>
      <c r="CA83" s="728"/>
      <c r="CB83" s="728"/>
      <c r="CC83" s="729"/>
      <c r="CD83" s="727"/>
      <c r="CE83" s="728"/>
      <c r="CF83" s="728"/>
      <c r="CG83" s="728"/>
      <c r="CH83" s="729"/>
      <c r="CI83" s="727"/>
      <c r="CJ83" s="728"/>
      <c r="CK83" s="728"/>
      <c r="CL83" s="728"/>
      <c r="CM83" s="729"/>
      <c r="CN83" s="727">
        <v>6</v>
      </c>
      <c r="CO83" s="728"/>
      <c r="CP83" s="728"/>
      <c r="CQ83" s="728"/>
      <c r="CR83" s="729"/>
      <c r="CS83" s="727"/>
      <c r="CT83" s="728"/>
      <c r="CU83" s="728"/>
      <c r="CV83" s="728"/>
      <c r="CW83" s="729"/>
      <c r="CX83" s="727"/>
      <c r="CY83" s="728"/>
      <c r="CZ83" s="728"/>
      <c r="DA83" s="728"/>
      <c r="DB83" s="729"/>
      <c r="DC83" s="759"/>
      <c r="DD83" s="728"/>
      <c r="DE83" s="728"/>
      <c r="DF83" s="728"/>
      <c r="DG83" s="728"/>
      <c r="DH83" s="662"/>
      <c r="DI83" s="662"/>
      <c r="DJ83" s="662"/>
      <c r="DK83" s="662"/>
      <c r="DL83" s="662"/>
      <c r="DM83" s="662"/>
      <c r="DN83" s="662"/>
      <c r="DO83" s="662"/>
      <c r="DP83" s="662"/>
      <c r="DQ83" s="662"/>
      <c r="DR83" s="662"/>
      <c r="DS83" s="662"/>
      <c r="DT83" s="662"/>
      <c r="DU83" s="662"/>
      <c r="DV83" s="662"/>
      <c r="DW83" s="662"/>
      <c r="DX83" s="662"/>
      <c r="DY83" s="662"/>
      <c r="DZ83" s="662"/>
      <c r="EA83" s="662"/>
      <c r="EB83" s="662">
        <v>7</v>
      </c>
      <c r="EC83" s="662"/>
      <c r="ED83" s="662"/>
      <c r="EE83" s="662"/>
      <c r="EF83" s="662"/>
      <c r="EG83" s="662"/>
      <c r="EH83" s="662"/>
      <c r="EI83" s="662"/>
      <c r="EJ83" s="662"/>
      <c r="EK83" s="662"/>
      <c r="EL83" s="728"/>
      <c r="EM83" s="728"/>
      <c r="EN83" s="728"/>
      <c r="EO83" s="728"/>
      <c r="EP83" s="729"/>
      <c r="EQ83" s="787">
        <f>SUM(DC83:EP84)</f>
        <v>7</v>
      </c>
      <c r="ER83" s="788"/>
      <c r="ES83" s="789"/>
      <c r="ET83" s="269" t="s">
        <v>300</v>
      </c>
      <c r="EU83" s="257"/>
      <c r="EX83" s="230"/>
      <c r="EY83" s="231"/>
      <c r="EZ83" s="232"/>
      <c r="FC83" s="249"/>
      <c r="FD83" s="250"/>
      <c r="FE83" s="249"/>
      <c r="FF83" s="249"/>
      <c r="FG83" s="249"/>
      <c r="FH83" s="249"/>
      <c r="FI83" s="257"/>
      <c r="FJ83" s="257"/>
    </row>
    <row r="84" spans="1:166" s="128" customFormat="1" ht="80.099999999999994" customHeight="1" x14ac:dyDescent="0.65">
      <c r="A84" s="330"/>
      <c r="B84" s="138" t="s">
        <v>319</v>
      </c>
      <c r="C84" s="688" t="s">
        <v>219</v>
      </c>
      <c r="D84" s="688"/>
      <c r="E84" s="688"/>
      <c r="F84" s="688"/>
      <c r="G84" s="688"/>
      <c r="H84" s="688"/>
      <c r="I84" s="688"/>
      <c r="J84" s="688"/>
      <c r="K84" s="688"/>
      <c r="L84" s="688"/>
      <c r="M84" s="688"/>
      <c r="N84" s="688"/>
      <c r="O84" s="688"/>
      <c r="P84" s="688"/>
      <c r="Q84" s="688"/>
      <c r="R84" s="688"/>
      <c r="S84" s="688"/>
      <c r="T84" s="688"/>
      <c r="U84" s="688"/>
      <c r="V84" s="688"/>
      <c r="W84" s="688"/>
      <c r="X84" s="688"/>
      <c r="Y84" s="688"/>
      <c r="Z84" s="770"/>
      <c r="AA84" s="771"/>
      <c r="AB84" s="771"/>
      <c r="AC84" s="772"/>
      <c r="AD84" s="776"/>
      <c r="AE84" s="777"/>
      <c r="AF84" s="778"/>
      <c r="AG84" s="718"/>
      <c r="AH84" s="719"/>
      <c r="AI84" s="719"/>
      <c r="AJ84" s="719"/>
      <c r="AK84" s="720"/>
      <c r="AL84" s="782"/>
      <c r="AM84" s="783"/>
      <c r="AN84" s="783"/>
      <c r="AO84" s="783"/>
      <c r="AP84" s="784"/>
      <c r="AQ84" s="782"/>
      <c r="AR84" s="783"/>
      <c r="AS84" s="783"/>
      <c r="AT84" s="783"/>
      <c r="AU84" s="784"/>
      <c r="AV84" s="782"/>
      <c r="AW84" s="783"/>
      <c r="AX84" s="783"/>
      <c r="AY84" s="783"/>
      <c r="AZ84" s="784"/>
      <c r="BA84" s="782"/>
      <c r="BB84" s="783"/>
      <c r="BC84" s="783"/>
      <c r="BD84" s="783"/>
      <c r="BE84" s="784"/>
      <c r="BF84" s="782"/>
      <c r="BG84" s="783"/>
      <c r="BH84" s="783"/>
      <c r="BI84" s="783"/>
      <c r="BJ84" s="784"/>
      <c r="BK84" s="750"/>
      <c r="BL84" s="751"/>
      <c r="BM84" s="751"/>
      <c r="BN84" s="751"/>
      <c r="BO84" s="760"/>
      <c r="BP84" s="731"/>
      <c r="BQ84" s="731"/>
      <c r="BR84" s="731"/>
      <c r="BS84" s="732"/>
      <c r="BT84" s="730"/>
      <c r="BU84" s="731"/>
      <c r="BV84" s="731"/>
      <c r="BW84" s="731"/>
      <c r="BX84" s="732"/>
      <c r="BY84" s="730"/>
      <c r="BZ84" s="731"/>
      <c r="CA84" s="731"/>
      <c r="CB84" s="731"/>
      <c r="CC84" s="732"/>
      <c r="CD84" s="730"/>
      <c r="CE84" s="731"/>
      <c r="CF84" s="731"/>
      <c r="CG84" s="731"/>
      <c r="CH84" s="732"/>
      <c r="CI84" s="730"/>
      <c r="CJ84" s="731"/>
      <c r="CK84" s="731"/>
      <c r="CL84" s="731"/>
      <c r="CM84" s="732"/>
      <c r="CN84" s="730"/>
      <c r="CO84" s="731"/>
      <c r="CP84" s="731"/>
      <c r="CQ84" s="731"/>
      <c r="CR84" s="732"/>
      <c r="CS84" s="730"/>
      <c r="CT84" s="731"/>
      <c r="CU84" s="731"/>
      <c r="CV84" s="731"/>
      <c r="CW84" s="732"/>
      <c r="CX84" s="730"/>
      <c r="CY84" s="731"/>
      <c r="CZ84" s="731"/>
      <c r="DA84" s="731"/>
      <c r="DB84" s="732"/>
      <c r="DC84" s="760"/>
      <c r="DD84" s="731"/>
      <c r="DE84" s="731"/>
      <c r="DF84" s="731"/>
      <c r="DG84" s="731"/>
      <c r="DH84" s="662"/>
      <c r="DI84" s="662"/>
      <c r="DJ84" s="662"/>
      <c r="DK84" s="662"/>
      <c r="DL84" s="662"/>
      <c r="DM84" s="662"/>
      <c r="DN84" s="662"/>
      <c r="DO84" s="662"/>
      <c r="DP84" s="662"/>
      <c r="DQ84" s="662"/>
      <c r="DR84" s="662"/>
      <c r="DS84" s="662"/>
      <c r="DT84" s="662"/>
      <c r="DU84" s="662"/>
      <c r="DV84" s="662"/>
      <c r="DW84" s="662"/>
      <c r="DX84" s="662"/>
      <c r="DY84" s="662"/>
      <c r="DZ84" s="662"/>
      <c r="EA84" s="662"/>
      <c r="EB84" s="662"/>
      <c r="EC84" s="662"/>
      <c r="ED84" s="662"/>
      <c r="EE84" s="662"/>
      <c r="EF84" s="662"/>
      <c r="EG84" s="662"/>
      <c r="EH84" s="662"/>
      <c r="EI84" s="662"/>
      <c r="EJ84" s="662"/>
      <c r="EK84" s="662"/>
      <c r="EL84" s="731"/>
      <c r="EM84" s="731"/>
      <c r="EN84" s="731"/>
      <c r="EO84" s="731"/>
      <c r="EP84" s="732"/>
      <c r="EQ84" s="790"/>
      <c r="ER84" s="791"/>
      <c r="ES84" s="792"/>
      <c r="ET84" s="268"/>
      <c r="EU84" s="257"/>
      <c r="EX84" s="230"/>
      <c r="EY84" s="231"/>
      <c r="EZ84" s="232"/>
      <c r="FC84" s="249"/>
      <c r="FD84" s="250"/>
      <c r="FE84" s="249"/>
      <c r="FF84" s="249"/>
      <c r="FG84" s="249"/>
      <c r="FH84" s="249"/>
      <c r="FI84" s="257"/>
      <c r="FJ84" s="257"/>
    </row>
    <row r="85" spans="1:166" s="128" customFormat="1" ht="80.099999999999994" customHeight="1" x14ac:dyDescent="0.65">
      <c r="A85" s="329" t="s">
        <v>325</v>
      </c>
      <c r="B85" s="138" t="s">
        <v>147</v>
      </c>
      <c r="C85" s="766" t="s">
        <v>106</v>
      </c>
      <c r="D85" s="766"/>
      <c r="E85" s="766"/>
      <c r="F85" s="766"/>
      <c r="G85" s="766"/>
      <c r="H85" s="766"/>
      <c r="I85" s="766"/>
      <c r="J85" s="766"/>
      <c r="K85" s="766"/>
      <c r="L85" s="766"/>
      <c r="M85" s="766"/>
      <c r="N85" s="766"/>
      <c r="O85" s="766"/>
      <c r="P85" s="766"/>
      <c r="Q85" s="766"/>
      <c r="R85" s="766"/>
      <c r="S85" s="766"/>
      <c r="T85" s="766"/>
      <c r="U85" s="766"/>
      <c r="V85" s="766"/>
      <c r="W85" s="766"/>
      <c r="X85" s="766"/>
      <c r="Y85" s="766"/>
      <c r="Z85" s="767">
        <f>+EQ85*30</f>
        <v>180</v>
      </c>
      <c r="AA85" s="768"/>
      <c r="AB85" s="768"/>
      <c r="AC85" s="769"/>
      <c r="AD85" s="773"/>
      <c r="AE85" s="774"/>
      <c r="AF85" s="775"/>
      <c r="AG85" s="715">
        <f>SUM(AL85:BE86)</f>
        <v>60</v>
      </c>
      <c r="AH85" s="716"/>
      <c r="AI85" s="716"/>
      <c r="AJ85" s="716"/>
      <c r="AK85" s="717"/>
      <c r="AL85" s="779">
        <v>30</v>
      </c>
      <c r="AM85" s="780"/>
      <c r="AN85" s="780"/>
      <c r="AO85" s="780"/>
      <c r="AP85" s="781"/>
      <c r="AQ85" s="779">
        <v>30</v>
      </c>
      <c r="AR85" s="780"/>
      <c r="AS85" s="780"/>
      <c r="AT85" s="780"/>
      <c r="AU85" s="781"/>
      <c r="AV85" s="779"/>
      <c r="AW85" s="780"/>
      <c r="AX85" s="780"/>
      <c r="AY85" s="780"/>
      <c r="AZ85" s="781"/>
      <c r="BA85" s="779"/>
      <c r="BB85" s="780"/>
      <c r="BC85" s="780"/>
      <c r="BD85" s="780"/>
      <c r="BE85" s="781"/>
      <c r="BF85" s="779"/>
      <c r="BG85" s="780"/>
      <c r="BH85" s="780"/>
      <c r="BI85" s="780"/>
      <c r="BJ85" s="781"/>
      <c r="BK85" s="747">
        <f>Z85-AG85</f>
        <v>120</v>
      </c>
      <c r="BL85" s="748"/>
      <c r="BM85" s="748"/>
      <c r="BN85" s="748"/>
      <c r="BO85" s="759">
        <v>4</v>
      </c>
      <c r="BP85" s="728"/>
      <c r="BQ85" s="728"/>
      <c r="BR85" s="728"/>
      <c r="BS85" s="729"/>
      <c r="BT85" s="727"/>
      <c r="BU85" s="728"/>
      <c r="BV85" s="728"/>
      <c r="BW85" s="728"/>
      <c r="BX85" s="729"/>
      <c r="BY85" s="727"/>
      <c r="BZ85" s="728"/>
      <c r="CA85" s="728"/>
      <c r="CB85" s="728"/>
      <c r="CC85" s="729"/>
      <c r="CD85" s="727"/>
      <c r="CE85" s="728"/>
      <c r="CF85" s="728"/>
      <c r="CG85" s="728"/>
      <c r="CH85" s="729"/>
      <c r="CI85" s="727"/>
      <c r="CJ85" s="728"/>
      <c r="CK85" s="728"/>
      <c r="CL85" s="728"/>
      <c r="CM85" s="729"/>
      <c r="CN85" s="727"/>
      <c r="CO85" s="728"/>
      <c r="CP85" s="728"/>
      <c r="CQ85" s="728"/>
      <c r="CR85" s="729"/>
      <c r="CS85" s="727"/>
      <c r="CT85" s="728"/>
      <c r="CU85" s="728"/>
      <c r="CV85" s="728"/>
      <c r="CW85" s="729"/>
      <c r="CX85" s="727"/>
      <c r="CY85" s="728"/>
      <c r="CZ85" s="728"/>
      <c r="DA85" s="728"/>
      <c r="DB85" s="729"/>
      <c r="DC85" s="759">
        <v>6</v>
      </c>
      <c r="DD85" s="728"/>
      <c r="DE85" s="728"/>
      <c r="DF85" s="728"/>
      <c r="DG85" s="728"/>
      <c r="DH85" s="662"/>
      <c r="DI85" s="662"/>
      <c r="DJ85" s="662"/>
      <c r="DK85" s="662"/>
      <c r="DL85" s="662"/>
      <c r="DM85" s="662"/>
      <c r="DN85" s="662"/>
      <c r="DO85" s="662"/>
      <c r="DP85" s="662"/>
      <c r="DQ85" s="662"/>
      <c r="DR85" s="662"/>
      <c r="DS85" s="662"/>
      <c r="DT85" s="662"/>
      <c r="DU85" s="662"/>
      <c r="DV85" s="662"/>
      <c r="DW85" s="662"/>
      <c r="DX85" s="662"/>
      <c r="DY85" s="662"/>
      <c r="DZ85" s="662"/>
      <c r="EA85" s="662"/>
      <c r="EB85" s="662"/>
      <c r="EC85" s="662"/>
      <c r="ED85" s="662"/>
      <c r="EE85" s="662"/>
      <c r="EF85" s="662"/>
      <c r="EG85" s="662"/>
      <c r="EH85" s="662"/>
      <c r="EI85" s="662"/>
      <c r="EJ85" s="662"/>
      <c r="EK85" s="662"/>
      <c r="EL85" s="728"/>
      <c r="EM85" s="728"/>
      <c r="EN85" s="728"/>
      <c r="EO85" s="728"/>
      <c r="EP85" s="729"/>
      <c r="EQ85" s="787">
        <f>SUM(DC85:EP86)</f>
        <v>6</v>
      </c>
      <c r="ER85" s="788"/>
      <c r="ES85" s="789"/>
      <c r="ET85" s="269" t="s">
        <v>300</v>
      </c>
      <c r="EU85" s="257"/>
      <c r="EX85" s="230"/>
      <c r="EY85" s="231"/>
      <c r="EZ85" s="232"/>
      <c r="FC85" s="249"/>
      <c r="FD85" s="250"/>
      <c r="FE85" s="249"/>
      <c r="FF85" s="249"/>
      <c r="FG85" s="249"/>
      <c r="FH85" s="249"/>
      <c r="FI85" s="257"/>
      <c r="FJ85" s="257"/>
    </row>
    <row r="86" spans="1:166" s="128" customFormat="1" ht="80.099999999999994" customHeight="1" x14ac:dyDescent="0.65">
      <c r="A86" s="330"/>
      <c r="B86" s="138" t="s">
        <v>157</v>
      </c>
      <c r="C86" s="828" t="s">
        <v>228</v>
      </c>
      <c r="D86" s="828"/>
      <c r="E86" s="828"/>
      <c r="F86" s="828"/>
      <c r="G86" s="828"/>
      <c r="H86" s="828"/>
      <c r="I86" s="828"/>
      <c r="J86" s="828"/>
      <c r="K86" s="828"/>
      <c r="L86" s="828"/>
      <c r="M86" s="828"/>
      <c r="N86" s="828"/>
      <c r="O86" s="828"/>
      <c r="P86" s="828"/>
      <c r="Q86" s="828"/>
      <c r="R86" s="828"/>
      <c r="S86" s="828"/>
      <c r="T86" s="828"/>
      <c r="U86" s="828"/>
      <c r="V86" s="828"/>
      <c r="W86" s="828"/>
      <c r="X86" s="828"/>
      <c r="Y86" s="828"/>
      <c r="Z86" s="770"/>
      <c r="AA86" s="771"/>
      <c r="AB86" s="771"/>
      <c r="AC86" s="772"/>
      <c r="AD86" s="776"/>
      <c r="AE86" s="777"/>
      <c r="AF86" s="778"/>
      <c r="AG86" s="718"/>
      <c r="AH86" s="719"/>
      <c r="AI86" s="719"/>
      <c r="AJ86" s="719"/>
      <c r="AK86" s="720"/>
      <c r="AL86" s="782"/>
      <c r="AM86" s="783"/>
      <c r="AN86" s="783"/>
      <c r="AO86" s="783"/>
      <c r="AP86" s="784"/>
      <c r="AQ86" s="782"/>
      <c r="AR86" s="783"/>
      <c r="AS86" s="783"/>
      <c r="AT86" s="783"/>
      <c r="AU86" s="784"/>
      <c r="AV86" s="782"/>
      <c r="AW86" s="783"/>
      <c r="AX86" s="783"/>
      <c r="AY86" s="783"/>
      <c r="AZ86" s="784"/>
      <c r="BA86" s="782"/>
      <c r="BB86" s="783"/>
      <c r="BC86" s="783"/>
      <c r="BD86" s="783"/>
      <c r="BE86" s="784"/>
      <c r="BF86" s="782"/>
      <c r="BG86" s="783"/>
      <c r="BH86" s="783"/>
      <c r="BI86" s="783"/>
      <c r="BJ86" s="784"/>
      <c r="BK86" s="750"/>
      <c r="BL86" s="751"/>
      <c r="BM86" s="751"/>
      <c r="BN86" s="751"/>
      <c r="BO86" s="760"/>
      <c r="BP86" s="731"/>
      <c r="BQ86" s="731"/>
      <c r="BR86" s="731"/>
      <c r="BS86" s="732"/>
      <c r="BT86" s="730"/>
      <c r="BU86" s="731"/>
      <c r="BV86" s="731"/>
      <c r="BW86" s="731"/>
      <c r="BX86" s="732"/>
      <c r="BY86" s="730"/>
      <c r="BZ86" s="731"/>
      <c r="CA86" s="731"/>
      <c r="CB86" s="731"/>
      <c r="CC86" s="732"/>
      <c r="CD86" s="730"/>
      <c r="CE86" s="731"/>
      <c r="CF86" s="731"/>
      <c r="CG86" s="731"/>
      <c r="CH86" s="732"/>
      <c r="CI86" s="730"/>
      <c r="CJ86" s="731"/>
      <c r="CK86" s="731"/>
      <c r="CL86" s="731"/>
      <c r="CM86" s="732"/>
      <c r="CN86" s="730"/>
      <c r="CO86" s="731"/>
      <c r="CP86" s="731"/>
      <c r="CQ86" s="731"/>
      <c r="CR86" s="732"/>
      <c r="CS86" s="730"/>
      <c r="CT86" s="731"/>
      <c r="CU86" s="731"/>
      <c r="CV86" s="731"/>
      <c r="CW86" s="732"/>
      <c r="CX86" s="730"/>
      <c r="CY86" s="731"/>
      <c r="CZ86" s="731"/>
      <c r="DA86" s="731"/>
      <c r="DB86" s="732"/>
      <c r="DC86" s="760"/>
      <c r="DD86" s="731"/>
      <c r="DE86" s="731"/>
      <c r="DF86" s="731"/>
      <c r="DG86" s="731"/>
      <c r="DH86" s="662"/>
      <c r="DI86" s="662"/>
      <c r="DJ86" s="662"/>
      <c r="DK86" s="662"/>
      <c r="DL86" s="662"/>
      <c r="DM86" s="662"/>
      <c r="DN86" s="662"/>
      <c r="DO86" s="662"/>
      <c r="DP86" s="662"/>
      <c r="DQ86" s="662"/>
      <c r="DR86" s="662"/>
      <c r="DS86" s="662"/>
      <c r="DT86" s="662"/>
      <c r="DU86" s="662"/>
      <c r="DV86" s="662"/>
      <c r="DW86" s="662"/>
      <c r="DX86" s="662"/>
      <c r="DY86" s="662"/>
      <c r="DZ86" s="662"/>
      <c r="EA86" s="662"/>
      <c r="EB86" s="662"/>
      <c r="EC86" s="662"/>
      <c r="ED86" s="662"/>
      <c r="EE86" s="662"/>
      <c r="EF86" s="662"/>
      <c r="EG86" s="662"/>
      <c r="EH86" s="662"/>
      <c r="EI86" s="662"/>
      <c r="EJ86" s="662"/>
      <c r="EK86" s="662"/>
      <c r="EL86" s="731"/>
      <c r="EM86" s="731"/>
      <c r="EN86" s="731"/>
      <c r="EO86" s="731"/>
      <c r="EP86" s="732"/>
      <c r="EQ86" s="790"/>
      <c r="ER86" s="791"/>
      <c r="ES86" s="792"/>
      <c r="ET86" s="265"/>
      <c r="EX86" s="230"/>
      <c r="EY86" s="231"/>
      <c r="EZ86" s="232"/>
      <c r="FC86" s="249"/>
      <c r="FD86" s="250"/>
      <c r="FE86" s="249"/>
      <c r="FF86" s="249"/>
      <c r="FG86" s="249"/>
      <c r="FH86" s="249"/>
      <c r="FI86" s="257"/>
      <c r="FJ86" s="257"/>
    </row>
    <row r="87" spans="1:166" s="56" customFormat="1" ht="69.95" customHeight="1" x14ac:dyDescent="0.65">
      <c r="A87" s="59"/>
      <c r="B87" s="60"/>
      <c r="C87" s="801" t="s">
        <v>77</v>
      </c>
      <c r="D87" s="801"/>
      <c r="E87" s="801"/>
      <c r="F87" s="801"/>
      <c r="G87" s="801"/>
      <c r="H87" s="801"/>
      <c r="I87" s="801"/>
      <c r="J87" s="801"/>
      <c r="K87" s="801"/>
      <c r="L87" s="801"/>
      <c r="M87" s="801"/>
      <c r="N87" s="801"/>
      <c r="O87" s="801"/>
      <c r="P87" s="801"/>
      <c r="Q87" s="801"/>
      <c r="R87" s="801"/>
      <c r="S87" s="801"/>
      <c r="T87" s="801"/>
      <c r="U87" s="801"/>
      <c r="V87" s="801"/>
      <c r="W87" s="801"/>
      <c r="X87" s="801"/>
      <c r="Y87" s="801"/>
      <c r="Z87" s="706">
        <f>Z58+Z32</f>
        <v>6720</v>
      </c>
      <c r="AA87" s="707"/>
      <c r="AB87" s="707"/>
      <c r="AC87" s="708"/>
      <c r="AD87" s="705">
        <f>Z87/$Z$91*100</f>
        <v>93.333333333333329</v>
      </c>
      <c r="AE87" s="705"/>
      <c r="AF87" s="705"/>
      <c r="AG87" s="724">
        <f>AG58+AG32</f>
        <v>2726</v>
      </c>
      <c r="AH87" s="725"/>
      <c r="AI87" s="725"/>
      <c r="AJ87" s="725"/>
      <c r="AK87" s="725"/>
      <c r="AL87" s="724">
        <f>AL58+AL32</f>
        <v>1086</v>
      </c>
      <c r="AM87" s="725"/>
      <c r="AN87" s="725"/>
      <c r="AO87" s="725"/>
      <c r="AP87" s="725"/>
      <c r="AQ87" s="724">
        <f>AQ58+AQ32</f>
        <v>1520</v>
      </c>
      <c r="AR87" s="725"/>
      <c r="AS87" s="725"/>
      <c r="AT87" s="725"/>
      <c r="AU87" s="725"/>
      <c r="AV87" s="724">
        <f>AV58+AV32</f>
        <v>120</v>
      </c>
      <c r="AW87" s="725"/>
      <c r="AX87" s="725"/>
      <c r="AY87" s="725"/>
      <c r="AZ87" s="725"/>
      <c r="BA87" s="724">
        <f>BA58+BA32</f>
        <v>0</v>
      </c>
      <c r="BB87" s="725"/>
      <c r="BC87" s="725"/>
      <c r="BD87" s="725"/>
      <c r="BE87" s="725"/>
      <c r="BF87" s="724">
        <f>BF58+BF32</f>
        <v>0</v>
      </c>
      <c r="BG87" s="725"/>
      <c r="BH87" s="725"/>
      <c r="BI87" s="725"/>
      <c r="BJ87" s="725"/>
      <c r="BK87" s="799">
        <f>BK58+BK32</f>
        <v>3994</v>
      </c>
      <c r="BL87" s="800"/>
      <c r="BM87" s="800"/>
      <c r="BN87" s="800"/>
      <c r="BO87" s="726">
        <f>BO58+BO32</f>
        <v>24</v>
      </c>
      <c r="BP87" s="721"/>
      <c r="BQ87" s="721"/>
      <c r="BR87" s="721"/>
      <c r="BS87" s="721"/>
      <c r="BT87" s="796">
        <f>BT58+BT32</f>
        <v>25</v>
      </c>
      <c r="BU87" s="797"/>
      <c r="BV87" s="797"/>
      <c r="BW87" s="797"/>
      <c r="BX87" s="793"/>
      <c r="BY87" s="796">
        <f>BY58+BY32</f>
        <v>25</v>
      </c>
      <c r="BZ87" s="797"/>
      <c r="CA87" s="797"/>
      <c r="CB87" s="797"/>
      <c r="CC87" s="793"/>
      <c r="CD87" s="796">
        <f>CD58+CD32</f>
        <v>21</v>
      </c>
      <c r="CE87" s="797"/>
      <c r="CF87" s="797"/>
      <c r="CG87" s="797"/>
      <c r="CH87" s="793"/>
      <c r="CI87" s="796">
        <f>CI58+CI32</f>
        <v>24</v>
      </c>
      <c r="CJ87" s="797"/>
      <c r="CK87" s="797"/>
      <c r="CL87" s="797"/>
      <c r="CM87" s="793"/>
      <c r="CN87" s="796">
        <f>CN58+CN32</f>
        <v>20</v>
      </c>
      <c r="CO87" s="797"/>
      <c r="CP87" s="797"/>
      <c r="CQ87" s="797"/>
      <c r="CR87" s="793"/>
      <c r="CS87" s="796">
        <f>CS58+CS32</f>
        <v>24</v>
      </c>
      <c r="CT87" s="797"/>
      <c r="CU87" s="797"/>
      <c r="CV87" s="797"/>
      <c r="CW87" s="793"/>
      <c r="CX87" s="796">
        <f>CX58+CX32</f>
        <v>22</v>
      </c>
      <c r="CY87" s="797"/>
      <c r="CZ87" s="797"/>
      <c r="DA87" s="797"/>
      <c r="DB87" s="798"/>
      <c r="DC87" s="726">
        <f>DC58+DC32</f>
        <v>30</v>
      </c>
      <c r="DD87" s="721"/>
      <c r="DE87" s="721"/>
      <c r="DF87" s="721"/>
      <c r="DG87" s="721"/>
      <c r="DH87" s="793">
        <f>DH58+DH32</f>
        <v>28</v>
      </c>
      <c r="DI87" s="721"/>
      <c r="DJ87" s="721"/>
      <c r="DK87" s="721"/>
      <c r="DL87" s="721"/>
      <c r="DM87" s="793">
        <f>DM58+DM32</f>
        <v>30</v>
      </c>
      <c r="DN87" s="721"/>
      <c r="DO87" s="721"/>
      <c r="DP87" s="721"/>
      <c r="DQ87" s="721"/>
      <c r="DR87" s="793">
        <f>DR58+DR32</f>
        <v>24</v>
      </c>
      <c r="DS87" s="721"/>
      <c r="DT87" s="721"/>
      <c r="DU87" s="721"/>
      <c r="DV87" s="721"/>
      <c r="DW87" s="793">
        <f>DW58+DW32</f>
        <v>30</v>
      </c>
      <c r="DX87" s="721"/>
      <c r="DY87" s="721"/>
      <c r="DZ87" s="721"/>
      <c r="EA87" s="721"/>
      <c r="EB87" s="793">
        <f>EB58+EB32</f>
        <v>24</v>
      </c>
      <c r="EC87" s="721"/>
      <c r="ED87" s="721"/>
      <c r="EE87" s="721"/>
      <c r="EF87" s="721"/>
      <c r="EG87" s="793">
        <f>EG58+EG32</f>
        <v>30</v>
      </c>
      <c r="EH87" s="721"/>
      <c r="EI87" s="721"/>
      <c r="EJ87" s="721"/>
      <c r="EK87" s="721"/>
      <c r="EL87" s="793">
        <f>EL58+EL32</f>
        <v>28</v>
      </c>
      <c r="EM87" s="721"/>
      <c r="EN87" s="721"/>
      <c r="EO87" s="721"/>
      <c r="EP87" s="722"/>
      <c r="EQ87" s="723">
        <f>EQ58+EQ32</f>
        <v>224</v>
      </c>
      <c r="ER87" s="724"/>
      <c r="ES87" s="725"/>
      <c r="ET87" s="263"/>
      <c r="EX87" s="230"/>
      <c r="EY87" s="231"/>
      <c r="EZ87" s="232"/>
      <c r="FC87" s="245"/>
      <c r="FD87" s="246"/>
      <c r="FE87" s="245"/>
      <c r="FF87" s="245"/>
      <c r="FG87" s="245"/>
      <c r="FH87" s="245"/>
      <c r="FI87" s="50"/>
      <c r="FJ87" s="50"/>
    </row>
    <row r="88" spans="1:166" s="57" customFormat="1" ht="69.95" customHeight="1" x14ac:dyDescent="0.65">
      <c r="A88" s="54"/>
      <c r="B88" s="58"/>
      <c r="C88" s="794" t="s">
        <v>179</v>
      </c>
      <c r="D88" s="794"/>
      <c r="E88" s="794"/>
      <c r="F88" s="794"/>
      <c r="G88" s="794"/>
      <c r="H88" s="794"/>
      <c r="I88" s="794"/>
      <c r="J88" s="794"/>
      <c r="K88" s="794"/>
      <c r="L88" s="794"/>
      <c r="M88" s="794"/>
      <c r="N88" s="794"/>
      <c r="O88" s="794"/>
      <c r="P88" s="794"/>
      <c r="Q88" s="794"/>
      <c r="R88" s="794"/>
      <c r="S88" s="794"/>
      <c r="T88" s="794"/>
      <c r="U88" s="794"/>
      <c r="V88" s="794"/>
      <c r="W88" s="794"/>
      <c r="X88" s="794"/>
      <c r="Y88" s="794"/>
      <c r="Z88" s="654">
        <f>(DC88+DH88+DM88+DR88+DW88+EB88+EG88+EL88)*30</f>
        <v>480</v>
      </c>
      <c r="AA88" s="654"/>
      <c r="AB88" s="654"/>
      <c r="AC88" s="654"/>
      <c r="AD88" s="795"/>
      <c r="AE88" s="795"/>
      <c r="AF88" s="795"/>
      <c r="AG88" s="656">
        <f>AL88+AQ88+AV88+BA88+BF88</f>
        <v>0</v>
      </c>
      <c r="AH88" s="656"/>
      <c r="AI88" s="656"/>
      <c r="AJ88" s="656"/>
      <c r="AK88" s="656"/>
      <c r="AL88" s="685"/>
      <c r="AM88" s="686"/>
      <c r="AN88" s="686"/>
      <c r="AO88" s="686"/>
      <c r="AP88" s="687"/>
      <c r="AQ88" s="656"/>
      <c r="AR88" s="656"/>
      <c r="AS88" s="656"/>
      <c r="AT88" s="656"/>
      <c r="AU88" s="656"/>
      <c r="AV88" s="656"/>
      <c r="AW88" s="656"/>
      <c r="AX88" s="656"/>
      <c r="AY88" s="656"/>
      <c r="AZ88" s="656"/>
      <c r="BA88" s="656"/>
      <c r="BB88" s="656"/>
      <c r="BC88" s="656"/>
      <c r="BD88" s="656"/>
      <c r="BE88" s="656"/>
      <c r="BF88" s="656"/>
      <c r="BG88" s="656"/>
      <c r="BH88" s="656"/>
      <c r="BI88" s="656"/>
      <c r="BJ88" s="656"/>
      <c r="BK88" s="806"/>
      <c r="BL88" s="807"/>
      <c r="BM88" s="807"/>
      <c r="BN88" s="807"/>
      <c r="BO88" s="805"/>
      <c r="BP88" s="803"/>
      <c r="BQ88" s="803"/>
      <c r="BR88" s="803"/>
      <c r="BS88" s="803"/>
      <c r="BT88" s="803"/>
      <c r="BU88" s="803"/>
      <c r="BV88" s="803"/>
      <c r="BW88" s="803"/>
      <c r="BX88" s="803"/>
      <c r="BY88" s="803"/>
      <c r="BZ88" s="803"/>
      <c r="CA88" s="803"/>
      <c r="CB88" s="803"/>
      <c r="CC88" s="803"/>
      <c r="CD88" s="803"/>
      <c r="CE88" s="803"/>
      <c r="CF88" s="803"/>
      <c r="CG88" s="803"/>
      <c r="CH88" s="803"/>
      <c r="CI88" s="803"/>
      <c r="CJ88" s="803"/>
      <c r="CK88" s="803"/>
      <c r="CL88" s="803"/>
      <c r="CM88" s="803"/>
      <c r="CN88" s="803"/>
      <c r="CO88" s="803"/>
      <c r="CP88" s="803"/>
      <c r="CQ88" s="803"/>
      <c r="CR88" s="803"/>
      <c r="CS88" s="803"/>
      <c r="CT88" s="803"/>
      <c r="CU88" s="803"/>
      <c r="CV88" s="803"/>
      <c r="CW88" s="803"/>
      <c r="CX88" s="803"/>
      <c r="CY88" s="803"/>
      <c r="CZ88" s="803"/>
      <c r="DA88" s="803"/>
      <c r="DB88" s="804"/>
      <c r="DC88" s="805"/>
      <c r="DD88" s="803"/>
      <c r="DE88" s="803"/>
      <c r="DF88" s="803"/>
      <c r="DG88" s="803"/>
      <c r="DH88" s="655">
        <v>2</v>
      </c>
      <c r="DI88" s="655"/>
      <c r="DJ88" s="655"/>
      <c r="DK88" s="655"/>
      <c r="DL88" s="655"/>
      <c r="DM88" s="655"/>
      <c r="DN88" s="655"/>
      <c r="DO88" s="655"/>
      <c r="DP88" s="655"/>
      <c r="DQ88" s="655"/>
      <c r="DR88" s="655">
        <v>6</v>
      </c>
      <c r="DS88" s="655"/>
      <c r="DT88" s="655"/>
      <c r="DU88" s="655"/>
      <c r="DV88" s="655"/>
      <c r="DW88" s="655"/>
      <c r="DX88" s="655"/>
      <c r="DY88" s="655"/>
      <c r="DZ88" s="655"/>
      <c r="EA88" s="655"/>
      <c r="EB88" s="655">
        <v>6</v>
      </c>
      <c r="EC88" s="655"/>
      <c r="ED88" s="655"/>
      <c r="EE88" s="655"/>
      <c r="EF88" s="655"/>
      <c r="EG88" s="655"/>
      <c r="EH88" s="655"/>
      <c r="EI88" s="655"/>
      <c r="EJ88" s="655"/>
      <c r="EK88" s="655"/>
      <c r="EL88" s="655">
        <v>2</v>
      </c>
      <c r="EM88" s="655"/>
      <c r="EN88" s="655"/>
      <c r="EO88" s="655"/>
      <c r="EP88" s="658"/>
      <c r="EQ88" s="659">
        <f>SUM(DC88:EP88)</f>
        <v>16</v>
      </c>
      <c r="ER88" s="660"/>
      <c r="ES88" s="654"/>
      <c r="ET88" s="61"/>
      <c r="EX88" s="230"/>
      <c r="EY88" s="231"/>
      <c r="EZ88" s="232"/>
      <c r="FC88" s="251"/>
      <c r="FD88" s="252"/>
      <c r="FE88" s="251"/>
      <c r="FF88" s="251"/>
      <c r="FG88" s="251"/>
      <c r="FH88" s="251"/>
      <c r="FI88" s="258"/>
      <c r="FJ88" s="258"/>
    </row>
    <row r="89" spans="1:166" s="56" customFormat="1" ht="69.95" customHeight="1" x14ac:dyDescent="0.65">
      <c r="A89" s="54"/>
      <c r="B89" s="58"/>
      <c r="C89" s="794" t="s">
        <v>17</v>
      </c>
      <c r="D89" s="794"/>
      <c r="E89" s="794"/>
      <c r="F89" s="794"/>
      <c r="G89" s="794"/>
      <c r="H89" s="794"/>
      <c r="I89" s="794"/>
      <c r="J89" s="794"/>
      <c r="K89" s="794"/>
      <c r="L89" s="794"/>
      <c r="M89" s="794"/>
      <c r="N89" s="794"/>
      <c r="O89" s="794"/>
      <c r="P89" s="794"/>
      <c r="Q89" s="794"/>
      <c r="R89" s="794"/>
      <c r="S89" s="794"/>
      <c r="T89" s="794"/>
      <c r="U89" s="794"/>
      <c r="V89" s="794"/>
      <c r="W89" s="794"/>
      <c r="X89" s="794"/>
      <c r="Y89" s="794"/>
      <c r="Z89" s="654">
        <f>(DC89+DH89+DM89+DR89+DW89+EB89+EG89+EL89)*30</f>
        <v>0</v>
      </c>
      <c r="AA89" s="654"/>
      <c r="AB89" s="654"/>
      <c r="AC89" s="654"/>
      <c r="AD89" s="802"/>
      <c r="AE89" s="802"/>
      <c r="AF89" s="803"/>
      <c r="AG89" s="656">
        <f>AL89+AQ89+AV89+BA89+BF89</f>
        <v>0</v>
      </c>
      <c r="AH89" s="656"/>
      <c r="AI89" s="656"/>
      <c r="AJ89" s="656"/>
      <c r="AK89" s="656"/>
      <c r="AL89" s="685"/>
      <c r="AM89" s="686"/>
      <c r="AN89" s="686"/>
      <c r="AO89" s="686"/>
      <c r="AP89" s="687"/>
      <c r="AQ89" s="656"/>
      <c r="AR89" s="656"/>
      <c r="AS89" s="656"/>
      <c r="AT89" s="656"/>
      <c r="AU89" s="656"/>
      <c r="AV89" s="656"/>
      <c r="AW89" s="656"/>
      <c r="AX89" s="656"/>
      <c r="AY89" s="656"/>
      <c r="AZ89" s="656"/>
      <c r="BA89" s="656"/>
      <c r="BB89" s="656"/>
      <c r="BC89" s="656"/>
      <c r="BD89" s="656"/>
      <c r="BE89" s="656"/>
      <c r="BF89" s="656"/>
      <c r="BG89" s="656"/>
      <c r="BH89" s="656"/>
      <c r="BI89" s="656"/>
      <c r="BJ89" s="656"/>
      <c r="BK89" s="806"/>
      <c r="BL89" s="807"/>
      <c r="BM89" s="807"/>
      <c r="BN89" s="807"/>
      <c r="BO89" s="805"/>
      <c r="BP89" s="803"/>
      <c r="BQ89" s="803"/>
      <c r="BR89" s="803"/>
      <c r="BS89" s="803"/>
      <c r="BT89" s="803"/>
      <c r="BU89" s="803"/>
      <c r="BV89" s="803"/>
      <c r="BW89" s="803"/>
      <c r="BX89" s="803"/>
      <c r="BY89" s="803"/>
      <c r="BZ89" s="803"/>
      <c r="CA89" s="803"/>
      <c r="CB89" s="803"/>
      <c r="CC89" s="803"/>
      <c r="CD89" s="803"/>
      <c r="CE89" s="803"/>
      <c r="CF89" s="803"/>
      <c r="CG89" s="803"/>
      <c r="CH89" s="803"/>
      <c r="CI89" s="803"/>
      <c r="CJ89" s="803"/>
      <c r="CK89" s="803"/>
      <c r="CL89" s="803"/>
      <c r="CM89" s="803"/>
      <c r="CN89" s="803"/>
      <c r="CO89" s="803"/>
      <c r="CP89" s="803"/>
      <c r="CQ89" s="803"/>
      <c r="CR89" s="803"/>
      <c r="CS89" s="803"/>
      <c r="CT89" s="803"/>
      <c r="CU89" s="803"/>
      <c r="CV89" s="803"/>
      <c r="CW89" s="803"/>
      <c r="CX89" s="803"/>
      <c r="CY89" s="803"/>
      <c r="CZ89" s="803"/>
      <c r="DA89" s="803"/>
      <c r="DB89" s="804"/>
      <c r="DC89" s="805"/>
      <c r="DD89" s="803"/>
      <c r="DE89" s="803"/>
      <c r="DF89" s="803"/>
      <c r="DG89" s="803"/>
      <c r="DH89" s="655"/>
      <c r="DI89" s="655"/>
      <c r="DJ89" s="655"/>
      <c r="DK89" s="655"/>
      <c r="DL89" s="655"/>
      <c r="DM89" s="655"/>
      <c r="DN89" s="655"/>
      <c r="DO89" s="655"/>
      <c r="DP89" s="655"/>
      <c r="DQ89" s="655"/>
      <c r="DR89" s="655"/>
      <c r="DS89" s="655"/>
      <c r="DT89" s="655"/>
      <c r="DU89" s="655"/>
      <c r="DV89" s="655"/>
      <c r="DW89" s="655"/>
      <c r="DX89" s="655"/>
      <c r="DY89" s="655"/>
      <c r="DZ89" s="655"/>
      <c r="EA89" s="655"/>
      <c r="EB89" s="655"/>
      <c r="EC89" s="655"/>
      <c r="ED89" s="655"/>
      <c r="EE89" s="655"/>
      <c r="EF89" s="655"/>
      <c r="EG89" s="655"/>
      <c r="EH89" s="655"/>
      <c r="EI89" s="655"/>
      <c r="EJ89" s="655"/>
      <c r="EK89" s="655"/>
      <c r="EL89" s="655"/>
      <c r="EM89" s="655"/>
      <c r="EN89" s="655"/>
      <c r="EO89" s="655"/>
      <c r="EP89" s="658"/>
      <c r="EQ89" s="659">
        <f>SUM(DC89:EP89)</f>
        <v>0</v>
      </c>
      <c r="ER89" s="660"/>
      <c r="ES89" s="654"/>
      <c r="EX89" s="239"/>
      <c r="EY89" s="240"/>
      <c r="EZ89" s="241"/>
      <c r="FC89" s="245"/>
      <c r="FD89" s="246"/>
      <c r="FE89" s="245"/>
      <c r="FF89" s="245"/>
      <c r="FG89" s="245"/>
      <c r="FH89" s="245"/>
      <c r="FI89" s="50"/>
      <c r="FJ89" s="50"/>
    </row>
    <row r="90" spans="1:166" s="56" customFormat="1" ht="69.95" customHeight="1" x14ac:dyDescent="0.45">
      <c r="A90" s="59"/>
      <c r="B90" s="60"/>
      <c r="C90" s="801" t="s">
        <v>77</v>
      </c>
      <c r="D90" s="801"/>
      <c r="E90" s="801"/>
      <c r="F90" s="801"/>
      <c r="G90" s="801"/>
      <c r="H90" s="801"/>
      <c r="I90" s="801"/>
      <c r="J90" s="801"/>
      <c r="K90" s="801"/>
      <c r="L90" s="801"/>
      <c r="M90" s="801"/>
      <c r="N90" s="801"/>
      <c r="O90" s="801"/>
      <c r="P90" s="801"/>
      <c r="Q90" s="801"/>
      <c r="R90" s="801"/>
      <c r="S90" s="801"/>
      <c r="T90" s="801"/>
      <c r="U90" s="801"/>
      <c r="V90" s="801"/>
      <c r="W90" s="801"/>
      <c r="X90" s="801"/>
      <c r="Y90" s="801"/>
      <c r="Z90" s="725">
        <f>Z88+Z89</f>
        <v>480</v>
      </c>
      <c r="AA90" s="725"/>
      <c r="AB90" s="725"/>
      <c r="AC90" s="725"/>
      <c r="AD90" s="705">
        <f>Z90/$Z$91*100</f>
        <v>6.666666666666667</v>
      </c>
      <c r="AE90" s="705"/>
      <c r="AF90" s="705"/>
      <c r="AG90" s="725">
        <f>AG88+AG89</f>
        <v>0</v>
      </c>
      <c r="AH90" s="725"/>
      <c r="AI90" s="725"/>
      <c r="AJ90" s="725"/>
      <c r="AK90" s="725"/>
      <c r="AL90" s="814"/>
      <c r="AM90" s="815"/>
      <c r="AN90" s="815"/>
      <c r="AO90" s="815"/>
      <c r="AP90" s="816"/>
      <c r="AQ90" s="725"/>
      <c r="AR90" s="725"/>
      <c r="AS90" s="725"/>
      <c r="AT90" s="725"/>
      <c r="AU90" s="725"/>
      <c r="AV90" s="725"/>
      <c r="AW90" s="725"/>
      <c r="AX90" s="725"/>
      <c r="AY90" s="725"/>
      <c r="AZ90" s="725"/>
      <c r="BA90" s="725"/>
      <c r="BB90" s="725"/>
      <c r="BC90" s="725"/>
      <c r="BD90" s="725"/>
      <c r="BE90" s="725"/>
      <c r="BF90" s="725"/>
      <c r="BG90" s="725"/>
      <c r="BH90" s="725"/>
      <c r="BI90" s="725"/>
      <c r="BJ90" s="725"/>
      <c r="BK90" s="817"/>
      <c r="BL90" s="800"/>
      <c r="BM90" s="800"/>
      <c r="BN90" s="800"/>
      <c r="BO90" s="726">
        <f>BO88+BO89</f>
        <v>0</v>
      </c>
      <c r="BP90" s="721"/>
      <c r="BQ90" s="721"/>
      <c r="BR90" s="721"/>
      <c r="BS90" s="721"/>
      <c r="BT90" s="793">
        <f>BT88+BT89</f>
        <v>0</v>
      </c>
      <c r="BU90" s="721"/>
      <c r="BV90" s="721"/>
      <c r="BW90" s="721"/>
      <c r="BX90" s="721"/>
      <c r="BY90" s="793">
        <f>BY88+BY89</f>
        <v>0</v>
      </c>
      <c r="BZ90" s="721"/>
      <c r="CA90" s="721"/>
      <c r="CB90" s="721"/>
      <c r="CC90" s="721"/>
      <c r="CD90" s="793">
        <f>CD88+CD89</f>
        <v>0</v>
      </c>
      <c r="CE90" s="721"/>
      <c r="CF90" s="721"/>
      <c r="CG90" s="721"/>
      <c r="CH90" s="721"/>
      <c r="CI90" s="793">
        <f>CI88+CI89</f>
        <v>0</v>
      </c>
      <c r="CJ90" s="721"/>
      <c r="CK90" s="721"/>
      <c r="CL90" s="721"/>
      <c r="CM90" s="721"/>
      <c r="CN90" s="793">
        <f>CN88+CN89</f>
        <v>0</v>
      </c>
      <c r="CO90" s="721"/>
      <c r="CP90" s="721"/>
      <c r="CQ90" s="721"/>
      <c r="CR90" s="721"/>
      <c r="CS90" s="793">
        <f>CS88+CS89</f>
        <v>0</v>
      </c>
      <c r="CT90" s="721"/>
      <c r="CU90" s="721"/>
      <c r="CV90" s="721"/>
      <c r="CW90" s="721"/>
      <c r="CX90" s="793">
        <f>CX88+CX89</f>
        <v>0</v>
      </c>
      <c r="CY90" s="721"/>
      <c r="CZ90" s="721"/>
      <c r="DA90" s="721"/>
      <c r="DB90" s="721"/>
      <c r="DC90" s="726">
        <f>DC88+DC89</f>
        <v>0</v>
      </c>
      <c r="DD90" s="721"/>
      <c r="DE90" s="721"/>
      <c r="DF90" s="721"/>
      <c r="DG90" s="721"/>
      <c r="DH90" s="793">
        <f>DH88+DH89</f>
        <v>2</v>
      </c>
      <c r="DI90" s="721"/>
      <c r="DJ90" s="721"/>
      <c r="DK90" s="721"/>
      <c r="DL90" s="721"/>
      <c r="DM90" s="793">
        <f>DM88+DM89</f>
        <v>0</v>
      </c>
      <c r="DN90" s="721"/>
      <c r="DO90" s="721"/>
      <c r="DP90" s="721"/>
      <c r="DQ90" s="721"/>
      <c r="DR90" s="793">
        <f>DR88+DR89</f>
        <v>6</v>
      </c>
      <c r="DS90" s="721"/>
      <c r="DT90" s="721"/>
      <c r="DU90" s="721"/>
      <c r="DV90" s="721"/>
      <c r="DW90" s="793">
        <f>DW88+DW89</f>
        <v>0</v>
      </c>
      <c r="DX90" s="721"/>
      <c r="DY90" s="721"/>
      <c r="DZ90" s="721"/>
      <c r="EA90" s="721"/>
      <c r="EB90" s="793">
        <f>EB88+EB89</f>
        <v>6</v>
      </c>
      <c r="EC90" s="721"/>
      <c r="ED90" s="721"/>
      <c r="EE90" s="721"/>
      <c r="EF90" s="721"/>
      <c r="EG90" s="793">
        <f>EG88+EG89</f>
        <v>0</v>
      </c>
      <c r="EH90" s="721"/>
      <c r="EI90" s="721"/>
      <c r="EJ90" s="721"/>
      <c r="EK90" s="721"/>
      <c r="EL90" s="793">
        <f>EL88+EL89</f>
        <v>2</v>
      </c>
      <c r="EM90" s="721"/>
      <c r="EN90" s="721"/>
      <c r="EO90" s="721"/>
      <c r="EP90" s="722"/>
      <c r="EQ90" s="723">
        <f>EQ88+EQ89</f>
        <v>16</v>
      </c>
      <c r="ER90" s="724"/>
      <c r="ES90" s="725"/>
      <c r="ET90" s="61"/>
    </row>
    <row r="91" spans="1:166" s="57" customFormat="1" ht="69.95" customHeight="1" x14ac:dyDescent="0.45">
      <c r="A91" s="62"/>
      <c r="B91" s="63"/>
      <c r="C91" s="826" t="s">
        <v>22</v>
      </c>
      <c r="D91" s="826"/>
      <c r="E91" s="826"/>
      <c r="F91" s="826"/>
      <c r="G91" s="826"/>
      <c r="H91" s="826"/>
      <c r="I91" s="826"/>
      <c r="J91" s="826"/>
      <c r="K91" s="826"/>
      <c r="L91" s="826"/>
      <c r="M91" s="826"/>
      <c r="N91" s="826"/>
      <c r="O91" s="826"/>
      <c r="P91" s="826"/>
      <c r="Q91" s="826"/>
      <c r="R91" s="826"/>
      <c r="S91" s="826"/>
      <c r="T91" s="826"/>
      <c r="U91" s="826"/>
      <c r="V91" s="826"/>
      <c r="W91" s="826"/>
      <c r="X91" s="826"/>
      <c r="Y91" s="826"/>
      <c r="Z91" s="810">
        <f>Z90+Z87</f>
        <v>7200</v>
      </c>
      <c r="AA91" s="811"/>
      <c r="AB91" s="811"/>
      <c r="AC91" s="811"/>
      <c r="AD91" s="827">
        <f>AD87+AD90</f>
        <v>100</v>
      </c>
      <c r="AE91" s="827"/>
      <c r="AF91" s="827"/>
      <c r="AG91" s="810">
        <f>+AG87</f>
        <v>2726</v>
      </c>
      <c r="AH91" s="811"/>
      <c r="AI91" s="811"/>
      <c r="AJ91" s="811"/>
      <c r="AK91" s="811"/>
      <c r="AL91" s="810">
        <f>+AL87</f>
        <v>1086</v>
      </c>
      <c r="AM91" s="811"/>
      <c r="AN91" s="811"/>
      <c r="AO91" s="811"/>
      <c r="AP91" s="811"/>
      <c r="AQ91" s="810">
        <f>+AQ87</f>
        <v>1520</v>
      </c>
      <c r="AR91" s="811"/>
      <c r="AS91" s="811"/>
      <c r="AT91" s="811"/>
      <c r="AU91" s="811"/>
      <c r="AV91" s="810">
        <f>+AV87</f>
        <v>120</v>
      </c>
      <c r="AW91" s="811"/>
      <c r="AX91" s="811"/>
      <c r="AY91" s="811"/>
      <c r="AZ91" s="811"/>
      <c r="BA91" s="810">
        <f>+BA87</f>
        <v>0</v>
      </c>
      <c r="BB91" s="811"/>
      <c r="BC91" s="811"/>
      <c r="BD91" s="811"/>
      <c r="BE91" s="811"/>
      <c r="BF91" s="810">
        <f>+BF87</f>
        <v>0</v>
      </c>
      <c r="BG91" s="811"/>
      <c r="BH91" s="811"/>
      <c r="BI91" s="811"/>
      <c r="BJ91" s="811"/>
      <c r="BK91" s="812">
        <f>+BK87</f>
        <v>3994</v>
      </c>
      <c r="BL91" s="813"/>
      <c r="BM91" s="813"/>
      <c r="BN91" s="813"/>
      <c r="BO91" s="824">
        <f>+BO87</f>
        <v>24</v>
      </c>
      <c r="BP91" s="808"/>
      <c r="BQ91" s="808"/>
      <c r="BR91" s="808"/>
      <c r="BS91" s="825"/>
      <c r="BT91" s="808">
        <f>+BT87</f>
        <v>25</v>
      </c>
      <c r="BU91" s="808"/>
      <c r="BV91" s="808"/>
      <c r="BW91" s="808"/>
      <c r="BX91" s="808"/>
      <c r="BY91" s="808">
        <f>+BY87</f>
        <v>25</v>
      </c>
      <c r="BZ91" s="808"/>
      <c r="CA91" s="808"/>
      <c r="CB91" s="808"/>
      <c r="CC91" s="808"/>
      <c r="CD91" s="808">
        <f>+CD87</f>
        <v>21</v>
      </c>
      <c r="CE91" s="808"/>
      <c r="CF91" s="808"/>
      <c r="CG91" s="808"/>
      <c r="CH91" s="808"/>
      <c r="CI91" s="808">
        <f>+CI87</f>
        <v>24</v>
      </c>
      <c r="CJ91" s="808"/>
      <c r="CK91" s="808"/>
      <c r="CL91" s="808"/>
      <c r="CM91" s="808"/>
      <c r="CN91" s="808">
        <f>+CN87</f>
        <v>20</v>
      </c>
      <c r="CO91" s="808"/>
      <c r="CP91" s="808"/>
      <c r="CQ91" s="808"/>
      <c r="CR91" s="808"/>
      <c r="CS91" s="808">
        <f>+CS87</f>
        <v>24</v>
      </c>
      <c r="CT91" s="808"/>
      <c r="CU91" s="808"/>
      <c r="CV91" s="808"/>
      <c r="CW91" s="808"/>
      <c r="CX91" s="809">
        <f>+CX87</f>
        <v>22</v>
      </c>
      <c r="CY91" s="808"/>
      <c r="CZ91" s="808"/>
      <c r="DA91" s="808"/>
      <c r="DB91" s="808"/>
      <c r="DC91" s="824">
        <f>DC90+DC87</f>
        <v>30</v>
      </c>
      <c r="DD91" s="808"/>
      <c r="DE91" s="808"/>
      <c r="DF91" s="808"/>
      <c r="DG91" s="808"/>
      <c r="DH91" s="808">
        <f>DH90+DH87</f>
        <v>30</v>
      </c>
      <c r="DI91" s="808"/>
      <c r="DJ91" s="808"/>
      <c r="DK91" s="808"/>
      <c r="DL91" s="808"/>
      <c r="DM91" s="808">
        <f>DM90+DM87</f>
        <v>30</v>
      </c>
      <c r="DN91" s="808"/>
      <c r="DO91" s="808"/>
      <c r="DP91" s="808"/>
      <c r="DQ91" s="808"/>
      <c r="DR91" s="808">
        <f>DR90+DR87</f>
        <v>30</v>
      </c>
      <c r="DS91" s="808"/>
      <c r="DT91" s="808"/>
      <c r="DU91" s="808"/>
      <c r="DV91" s="808"/>
      <c r="DW91" s="808">
        <f>DW90+DW87</f>
        <v>30</v>
      </c>
      <c r="DX91" s="808"/>
      <c r="DY91" s="808"/>
      <c r="DZ91" s="808"/>
      <c r="EA91" s="808"/>
      <c r="EB91" s="808">
        <f>EB90+EB87</f>
        <v>30</v>
      </c>
      <c r="EC91" s="808"/>
      <c r="ED91" s="808"/>
      <c r="EE91" s="808"/>
      <c r="EF91" s="808"/>
      <c r="EG91" s="808">
        <f>EG90+EG87</f>
        <v>30</v>
      </c>
      <c r="EH91" s="808"/>
      <c r="EI91" s="808"/>
      <c r="EJ91" s="808"/>
      <c r="EK91" s="808"/>
      <c r="EL91" s="808">
        <f>EL90+EL87</f>
        <v>30</v>
      </c>
      <c r="EM91" s="808"/>
      <c r="EN91" s="808"/>
      <c r="EO91" s="808"/>
      <c r="EP91" s="818"/>
      <c r="EQ91" s="819">
        <f>EQ90+EQ87</f>
        <v>240</v>
      </c>
      <c r="ER91" s="810"/>
      <c r="ES91" s="811"/>
      <c r="ET91" s="61"/>
    </row>
    <row r="92" spans="1:166" s="61" customFormat="1" ht="105" customHeight="1" x14ac:dyDescent="0.65">
      <c r="A92" s="225"/>
      <c r="B92" s="288" t="s">
        <v>89</v>
      </c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524"/>
      <c r="AA92" s="524"/>
      <c r="AB92" s="524"/>
      <c r="AC92" s="525"/>
      <c r="AD92" s="226"/>
      <c r="AE92" s="226"/>
      <c r="AF92" s="225"/>
      <c r="AG92" s="226"/>
      <c r="AH92" s="226"/>
      <c r="AI92" s="226"/>
      <c r="AJ92" s="225"/>
      <c r="AK92" s="226"/>
      <c r="AL92" s="226"/>
      <c r="AM92" s="226"/>
      <c r="AN92" s="225"/>
      <c r="AO92" s="226"/>
      <c r="AP92" s="226"/>
      <c r="AQ92" s="226"/>
      <c r="AR92" s="225"/>
      <c r="AS92" s="226"/>
      <c r="AT92" s="226"/>
      <c r="AU92" s="226"/>
      <c r="AV92" s="225"/>
      <c r="AW92" s="226"/>
      <c r="AX92" s="226"/>
      <c r="AY92" s="226"/>
      <c r="AZ92" s="225"/>
      <c r="BA92" s="226"/>
      <c r="BB92" s="226"/>
      <c r="BC92" s="226"/>
      <c r="BD92" s="225"/>
      <c r="BE92" s="225"/>
      <c r="BF92" s="225"/>
      <c r="BG92" s="225"/>
      <c r="BH92" s="225"/>
      <c r="BI92" s="225"/>
      <c r="BJ92" s="225"/>
      <c r="BK92" s="226"/>
      <c r="BL92" s="226"/>
      <c r="BM92" s="226"/>
      <c r="BN92" s="225"/>
      <c r="BO92" s="226"/>
      <c r="BP92" s="225"/>
      <c r="BQ92" s="225"/>
      <c r="BR92" s="225"/>
      <c r="BS92" s="226"/>
      <c r="BT92" s="225"/>
      <c r="BU92" s="225"/>
      <c r="BV92" s="225"/>
      <c r="BW92" s="226"/>
      <c r="BX92" s="225"/>
      <c r="BY92" s="225"/>
      <c r="BZ92" s="225"/>
      <c r="CA92" s="226"/>
      <c r="CB92" s="225"/>
      <c r="CC92" s="225"/>
      <c r="CD92" s="225"/>
      <c r="CE92" s="226"/>
      <c r="CF92" s="225"/>
      <c r="CG92" s="225"/>
      <c r="CH92" s="225"/>
      <c r="CI92" s="226"/>
      <c r="CJ92" s="225"/>
      <c r="CK92" s="225"/>
      <c r="CL92" s="225"/>
      <c r="CM92" s="226"/>
      <c r="CN92" s="225"/>
      <c r="CO92" s="225"/>
      <c r="CP92" s="225"/>
      <c r="CQ92" s="226"/>
      <c r="CR92" s="225"/>
      <c r="CS92" s="225"/>
      <c r="CT92" s="225"/>
      <c r="CU92" s="226"/>
      <c r="CV92" s="225"/>
      <c r="CW92" s="225"/>
      <c r="CX92" s="225"/>
      <c r="CY92" s="226"/>
      <c r="CZ92" s="225"/>
      <c r="DA92" s="225"/>
      <c r="DB92" s="225"/>
      <c r="DC92" s="226"/>
      <c r="DD92" s="225"/>
      <c r="DE92" s="225"/>
      <c r="DF92" s="225"/>
      <c r="DG92" s="226"/>
      <c r="DH92" s="225"/>
      <c r="DI92" s="225"/>
      <c r="DJ92" s="225"/>
      <c r="DK92" s="226"/>
      <c r="DL92" s="225"/>
      <c r="DM92" s="225"/>
      <c r="DN92" s="225"/>
      <c r="DO92" s="226"/>
      <c r="DP92" s="225"/>
      <c r="DQ92" s="225"/>
      <c r="DR92" s="225"/>
      <c r="DS92" s="226"/>
      <c r="DT92" s="225"/>
      <c r="DU92" s="225"/>
      <c r="DV92" s="225"/>
      <c r="DW92" s="226"/>
      <c r="DX92" s="225"/>
      <c r="DY92" s="225"/>
      <c r="DZ92" s="225"/>
      <c r="EA92" s="226"/>
      <c r="EB92" s="225"/>
      <c r="EC92" s="225"/>
      <c r="ED92" s="225"/>
      <c r="EE92" s="226"/>
      <c r="EF92" s="225"/>
      <c r="EG92" s="225"/>
      <c r="EH92" s="225"/>
      <c r="EI92" s="226"/>
      <c r="EJ92" s="225"/>
      <c r="EK92" s="225"/>
      <c r="EL92" s="225"/>
      <c r="EM92" s="226"/>
      <c r="EN92" s="225"/>
      <c r="EO92" s="225"/>
      <c r="EP92" s="225"/>
      <c r="EQ92" s="67"/>
      <c r="ER92" s="67"/>
      <c r="ES92" s="228"/>
      <c r="ET92" s="56"/>
      <c r="EU92" s="13"/>
      <c r="EV92" s="13"/>
      <c r="EW92" s="13"/>
      <c r="EX92" s="13"/>
    </row>
    <row r="93" spans="1:166" s="61" customFormat="1" ht="140.1" customHeight="1" x14ac:dyDescent="0.8">
      <c r="A93" s="69"/>
      <c r="B93" s="427" t="s">
        <v>189</v>
      </c>
      <c r="C93" s="427"/>
      <c r="D93" s="427"/>
      <c r="E93" s="427"/>
      <c r="F93" s="427"/>
      <c r="G93" s="427"/>
      <c r="H93" s="427"/>
      <c r="I93" s="427"/>
      <c r="J93" s="427"/>
      <c r="K93" s="427"/>
      <c r="L93" s="427"/>
      <c r="M93" s="427"/>
      <c r="N93" s="427"/>
      <c r="O93" s="427"/>
      <c r="P93" s="427"/>
      <c r="Q93" s="427"/>
      <c r="R93" s="427"/>
      <c r="S93" s="427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  <c r="AO93" s="427"/>
      <c r="AP93" s="427"/>
      <c r="AQ93" s="427"/>
      <c r="AR93" s="427"/>
      <c r="AS93" s="427"/>
      <c r="AT93" s="427"/>
      <c r="AU93" s="427"/>
      <c r="AV93" s="427"/>
      <c r="AW93" s="427"/>
      <c r="AX93" s="427"/>
      <c r="AY93" s="427"/>
      <c r="AZ93" s="427"/>
      <c r="BA93" s="427"/>
      <c r="BB93" s="427"/>
      <c r="BC93" s="427"/>
      <c r="BD93" s="427"/>
      <c r="BE93" s="427"/>
      <c r="BF93" s="427"/>
      <c r="BG93" s="427"/>
      <c r="BH93" s="427"/>
      <c r="BI93" s="427"/>
      <c r="BJ93" s="427"/>
      <c r="BK93" s="427"/>
      <c r="BL93" s="427"/>
      <c r="BM93" s="427"/>
      <c r="BN93" s="427"/>
      <c r="BO93" s="427"/>
      <c r="BP93" s="427"/>
      <c r="BQ93" s="427"/>
      <c r="BR93" s="427"/>
      <c r="BS93" s="427"/>
      <c r="BT93" s="427"/>
      <c r="BU93" s="427"/>
      <c r="BV93" s="427"/>
      <c r="BW93" s="427"/>
      <c r="BX93" s="427"/>
      <c r="BY93" s="427"/>
      <c r="BZ93" s="427"/>
      <c r="CA93" s="427"/>
      <c r="CB93" s="427"/>
      <c r="CC93" s="427"/>
      <c r="CD93" s="427"/>
      <c r="CE93" s="427"/>
      <c r="CF93" s="427"/>
      <c r="CG93" s="427"/>
      <c r="CH93" s="427"/>
      <c r="CI93" s="427"/>
      <c r="CJ93" s="427"/>
      <c r="CK93" s="427"/>
      <c r="CL93" s="427"/>
      <c r="CM93" s="427"/>
      <c r="CN93" s="427"/>
      <c r="CO93" s="427"/>
      <c r="CP93" s="427"/>
      <c r="CQ93" s="427"/>
      <c r="CR93" s="427"/>
      <c r="CS93" s="427"/>
      <c r="CT93" s="427"/>
      <c r="CU93" s="427"/>
      <c r="CV93" s="427"/>
      <c r="CW93" s="427"/>
      <c r="CX93" s="427"/>
      <c r="CY93" s="427"/>
      <c r="CZ93" s="427"/>
      <c r="DA93" s="427"/>
      <c r="DB93" s="427"/>
      <c r="DC93" s="427"/>
      <c r="DD93" s="427"/>
      <c r="DE93" s="427"/>
      <c r="DF93" s="427"/>
      <c r="DG93" s="427"/>
      <c r="DH93" s="427"/>
      <c r="DI93" s="427"/>
      <c r="DJ93" s="427"/>
      <c r="DK93" s="427"/>
      <c r="DL93" s="427"/>
      <c r="DM93" s="427"/>
      <c r="DN93" s="427"/>
      <c r="DO93" s="427"/>
      <c r="DP93" s="427"/>
      <c r="DQ93" s="427"/>
      <c r="DR93" s="427"/>
      <c r="DS93" s="427"/>
      <c r="DT93" s="427"/>
      <c r="DU93" s="427"/>
      <c r="DV93" s="427"/>
      <c r="DW93" s="427"/>
      <c r="DX93" s="427"/>
      <c r="DY93" s="427"/>
      <c r="DZ93" s="427"/>
      <c r="EA93" s="427"/>
      <c r="EB93" s="427"/>
      <c r="EC93" s="427"/>
      <c r="ED93" s="427"/>
      <c r="EE93" s="427"/>
      <c r="EF93" s="427"/>
      <c r="EG93" s="427"/>
      <c r="EH93" s="427"/>
      <c r="EI93" s="427"/>
      <c r="EJ93" s="427"/>
      <c r="EK93" s="427"/>
      <c r="EL93" s="427"/>
      <c r="EM93" s="427"/>
      <c r="EN93" s="427"/>
      <c r="EO93" s="427"/>
      <c r="EP93" s="427"/>
      <c r="EQ93" s="427"/>
      <c r="ER93" s="427"/>
      <c r="ES93" s="427"/>
      <c r="ET93" s="13"/>
      <c r="EU93" s="13"/>
      <c r="EV93" s="13"/>
      <c r="EW93" s="13"/>
      <c r="EX93" s="13"/>
    </row>
    <row r="94" spans="1:166" s="61" customFormat="1" ht="140.1" customHeight="1" x14ac:dyDescent="0.8">
      <c r="A94" s="69"/>
      <c r="B94" s="428" t="s">
        <v>158</v>
      </c>
      <c r="C94" s="429"/>
      <c r="D94" s="429"/>
      <c r="E94" s="429"/>
      <c r="F94" s="429"/>
      <c r="G94" s="429"/>
      <c r="H94" s="429"/>
      <c r="I94" s="429"/>
      <c r="J94" s="429"/>
      <c r="K94" s="429"/>
      <c r="L94" s="429"/>
      <c r="M94" s="429"/>
      <c r="N94" s="429"/>
      <c r="O94" s="429"/>
      <c r="P94" s="429"/>
      <c r="Q94" s="429"/>
      <c r="R94" s="429"/>
      <c r="S94" s="429"/>
      <c r="T94" s="429"/>
      <c r="U94" s="429"/>
      <c r="V94" s="429"/>
      <c r="W94" s="429"/>
      <c r="X94" s="429"/>
      <c r="Y94" s="429"/>
      <c r="Z94" s="429"/>
      <c r="AA94" s="429"/>
      <c r="AB94" s="429"/>
      <c r="AC94" s="429"/>
      <c r="AD94" s="429"/>
      <c r="AE94" s="429"/>
      <c r="AF94" s="429"/>
      <c r="AG94" s="429"/>
      <c r="AH94" s="429"/>
      <c r="AI94" s="429"/>
      <c r="AJ94" s="429"/>
      <c r="AK94" s="429"/>
      <c r="AL94" s="429"/>
      <c r="AM94" s="429"/>
      <c r="AN94" s="429"/>
      <c r="AO94" s="429"/>
      <c r="AP94" s="429"/>
      <c r="AQ94" s="429"/>
      <c r="AR94" s="429"/>
      <c r="AS94" s="429"/>
      <c r="AT94" s="429"/>
      <c r="AU94" s="429"/>
      <c r="AV94" s="429"/>
      <c r="AW94" s="429"/>
      <c r="AX94" s="429"/>
      <c r="AY94" s="429"/>
      <c r="AZ94" s="429"/>
      <c r="BA94" s="429"/>
      <c r="BB94" s="429"/>
      <c r="BC94" s="429"/>
      <c r="BD94" s="429"/>
      <c r="BE94" s="429"/>
      <c r="BF94" s="429"/>
      <c r="BG94" s="429"/>
      <c r="BH94" s="429"/>
      <c r="BI94" s="429"/>
      <c r="BJ94" s="429"/>
      <c r="BK94" s="429"/>
      <c r="BL94" s="429"/>
      <c r="BM94" s="429"/>
      <c r="BN94" s="429"/>
      <c r="BO94" s="429"/>
      <c r="BP94" s="429"/>
      <c r="BQ94" s="429"/>
      <c r="BR94" s="429"/>
      <c r="BS94" s="429"/>
      <c r="BT94" s="429"/>
      <c r="BU94" s="429"/>
      <c r="BV94" s="429"/>
      <c r="BW94" s="429"/>
      <c r="BX94" s="429"/>
      <c r="BY94" s="429"/>
      <c r="BZ94" s="429"/>
      <c r="CA94" s="429"/>
      <c r="CB94" s="429"/>
      <c r="CC94" s="429"/>
      <c r="CD94" s="429"/>
      <c r="CE94" s="429"/>
      <c r="CF94" s="429"/>
      <c r="CG94" s="429"/>
      <c r="CH94" s="429"/>
      <c r="CI94" s="429"/>
      <c r="CJ94" s="429"/>
      <c r="CK94" s="429"/>
      <c r="CL94" s="429"/>
      <c r="CM94" s="429"/>
      <c r="CN94" s="429"/>
      <c r="CO94" s="429"/>
      <c r="CP94" s="429"/>
      <c r="CQ94" s="429"/>
      <c r="CR94" s="429"/>
      <c r="CS94" s="429"/>
      <c r="CT94" s="429"/>
      <c r="CU94" s="429"/>
      <c r="CV94" s="429"/>
      <c r="CW94" s="429"/>
      <c r="CX94" s="429"/>
      <c r="CY94" s="429"/>
      <c r="CZ94" s="429"/>
      <c r="DA94" s="429"/>
      <c r="DB94" s="429"/>
      <c r="DC94" s="429"/>
      <c r="DD94" s="429"/>
      <c r="DE94" s="429"/>
      <c r="DF94" s="429"/>
      <c r="DG94" s="429"/>
      <c r="DH94" s="429"/>
      <c r="DI94" s="429"/>
      <c r="DJ94" s="429"/>
      <c r="DK94" s="429"/>
      <c r="DL94" s="429"/>
      <c r="DM94" s="429"/>
      <c r="DN94" s="429"/>
      <c r="DO94" s="429"/>
      <c r="DP94" s="429"/>
      <c r="DQ94" s="429"/>
      <c r="DR94" s="429"/>
      <c r="DS94" s="429"/>
      <c r="DT94" s="429"/>
      <c r="DU94" s="429"/>
      <c r="DV94" s="429"/>
      <c r="DW94" s="429"/>
      <c r="DX94" s="429"/>
      <c r="DY94" s="429"/>
      <c r="DZ94" s="429"/>
      <c r="EA94" s="429"/>
      <c r="EB94" s="429"/>
      <c r="EC94" s="429"/>
      <c r="ED94" s="429"/>
      <c r="EE94" s="429"/>
      <c r="EF94" s="429"/>
      <c r="EG94" s="429"/>
      <c r="EH94" s="429"/>
      <c r="EI94" s="429"/>
      <c r="EJ94" s="429"/>
      <c r="EK94" s="429"/>
      <c r="EL94" s="429"/>
      <c r="EM94" s="429"/>
      <c r="EN94" s="429"/>
      <c r="EO94" s="429"/>
      <c r="EP94" s="429"/>
      <c r="EQ94" s="429"/>
      <c r="ER94" s="429"/>
      <c r="ES94" s="429"/>
      <c r="ET94" s="13"/>
      <c r="EU94" s="13"/>
      <c r="EV94" s="13"/>
      <c r="EW94" s="13"/>
      <c r="EX94" s="13"/>
    </row>
    <row r="95" spans="1:166" s="61" customFormat="1" ht="140.1" customHeight="1" x14ac:dyDescent="0.8">
      <c r="A95" s="69"/>
      <c r="B95" s="429" t="s">
        <v>159</v>
      </c>
      <c r="C95" s="429"/>
      <c r="D95" s="429"/>
      <c r="E95" s="429"/>
      <c r="F95" s="429"/>
      <c r="G95" s="429"/>
      <c r="H95" s="429"/>
      <c r="I95" s="429"/>
      <c r="J95" s="429"/>
      <c r="K95" s="429"/>
      <c r="L95" s="429"/>
      <c r="M95" s="429"/>
      <c r="N95" s="429"/>
      <c r="O95" s="429"/>
      <c r="P95" s="429"/>
      <c r="Q95" s="429"/>
      <c r="R95" s="429"/>
      <c r="S95" s="429"/>
      <c r="T95" s="429"/>
      <c r="U95" s="429"/>
      <c r="V95" s="429"/>
      <c r="W95" s="429"/>
      <c r="X95" s="429"/>
      <c r="Y95" s="429"/>
      <c r="Z95" s="429"/>
      <c r="AA95" s="429"/>
      <c r="AB95" s="429"/>
      <c r="AC95" s="429"/>
      <c r="AD95" s="429"/>
      <c r="AE95" s="429"/>
      <c r="AF95" s="429"/>
      <c r="AG95" s="429"/>
      <c r="AH95" s="429"/>
      <c r="AI95" s="429"/>
      <c r="AJ95" s="429"/>
      <c r="AK95" s="429"/>
      <c r="AL95" s="429"/>
      <c r="AM95" s="429"/>
      <c r="AN95" s="429"/>
      <c r="AO95" s="429"/>
      <c r="AP95" s="429"/>
      <c r="AQ95" s="429"/>
      <c r="AR95" s="429"/>
      <c r="AS95" s="429"/>
      <c r="AT95" s="429"/>
      <c r="AU95" s="429"/>
      <c r="AV95" s="429"/>
      <c r="AW95" s="429"/>
      <c r="AX95" s="429"/>
      <c r="AY95" s="429"/>
      <c r="AZ95" s="429"/>
      <c r="BA95" s="429"/>
      <c r="BB95" s="429"/>
      <c r="BC95" s="429"/>
      <c r="BD95" s="429"/>
      <c r="BE95" s="429"/>
      <c r="BF95" s="429"/>
      <c r="BG95" s="429"/>
      <c r="BH95" s="429"/>
      <c r="BI95" s="429"/>
      <c r="BJ95" s="429"/>
      <c r="BK95" s="429"/>
      <c r="BL95" s="429"/>
      <c r="BM95" s="429"/>
      <c r="BN95" s="429"/>
      <c r="BO95" s="429"/>
      <c r="BP95" s="429"/>
      <c r="BQ95" s="429"/>
      <c r="BR95" s="429"/>
      <c r="BS95" s="429"/>
      <c r="BT95" s="429"/>
      <c r="BU95" s="429"/>
      <c r="BV95" s="429"/>
      <c r="BW95" s="429"/>
      <c r="BX95" s="429"/>
      <c r="BY95" s="429"/>
      <c r="BZ95" s="429"/>
      <c r="CA95" s="429"/>
      <c r="CB95" s="429"/>
      <c r="CC95" s="429"/>
      <c r="CD95" s="429"/>
      <c r="CE95" s="429"/>
      <c r="CF95" s="429"/>
      <c r="CG95" s="429"/>
      <c r="CH95" s="429"/>
      <c r="CI95" s="429"/>
      <c r="CJ95" s="429"/>
      <c r="CK95" s="429"/>
      <c r="CL95" s="429"/>
      <c r="CM95" s="429"/>
      <c r="CN95" s="429"/>
      <c r="CO95" s="429"/>
      <c r="CP95" s="429"/>
      <c r="CQ95" s="429"/>
      <c r="CR95" s="429"/>
      <c r="CS95" s="429"/>
      <c r="CT95" s="429"/>
      <c r="CU95" s="429"/>
      <c r="CV95" s="429"/>
      <c r="CW95" s="429"/>
      <c r="CX95" s="429"/>
      <c r="CY95" s="429"/>
      <c r="CZ95" s="429"/>
      <c r="DA95" s="429"/>
      <c r="DB95" s="429"/>
      <c r="DC95" s="429"/>
      <c r="DD95" s="429"/>
      <c r="DE95" s="429"/>
      <c r="DF95" s="429"/>
      <c r="DG95" s="429"/>
      <c r="DH95" s="429"/>
      <c r="DI95" s="429"/>
      <c r="DJ95" s="429"/>
      <c r="DK95" s="429"/>
      <c r="DL95" s="429"/>
      <c r="DM95" s="429"/>
      <c r="DN95" s="429"/>
      <c r="DO95" s="429"/>
      <c r="DP95" s="429"/>
      <c r="DQ95" s="429"/>
      <c r="DR95" s="429"/>
      <c r="DS95" s="429"/>
      <c r="DT95" s="429"/>
      <c r="DU95" s="429"/>
      <c r="DV95" s="429"/>
      <c r="DW95" s="429"/>
      <c r="DX95" s="429"/>
      <c r="DY95" s="429"/>
      <c r="DZ95" s="429"/>
      <c r="EA95" s="429"/>
      <c r="EB95" s="429"/>
      <c r="EC95" s="429"/>
      <c r="ED95" s="429"/>
      <c r="EE95" s="429"/>
      <c r="EF95" s="429"/>
      <c r="EG95" s="429"/>
      <c r="EH95" s="429"/>
      <c r="EI95" s="429"/>
      <c r="EJ95" s="429"/>
      <c r="EK95" s="429"/>
      <c r="EL95" s="429"/>
      <c r="EM95" s="429"/>
      <c r="EN95" s="429"/>
      <c r="EO95" s="429"/>
      <c r="EP95" s="429"/>
      <c r="EQ95" s="429"/>
      <c r="ER95" s="429"/>
      <c r="ES95" s="429"/>
      <c r="ET95" s="13"/>
      <c r="EU95" s="13"/>
      <c r="EV95" s="13"/>
      <c r="EW95" s="13"/>
      <c r="EX95" s="13"/>
    </row>
    <row r="96" spans="1:166" s="61" customFormat="1" ht="140.1" customHeight="1" x14ac:dyDescent="0.8">
      <c r="A96" s="69"/>
      <c r="B96" s="429" t="s">
        <v>160</v>
      </c>
      <c r="C96" s="429"/>
      <c r="D96" s="429"/>
      <c r="E96" s="429"/>
      <c r="F96" s="429"/>
      <c r="G96" s="429"/>
      <c r="H96" s="429"/>
      <c r="I96" s="429"/>
      <c r="J96" s="429"/>
      <c r="K96" s="429"/>
      <c r="L96" s="429"/>
      <c r="M96" s="429"/>
      <c r="N96" s="429"/>
      <c r="O96" s="429"/>
      <c r="P96" s="429"/>
      <c r="Q96" s="429"/>
      <c r="R96" s="429"/>
      <c r="S96" s="429"/>
      <c r="T96" s="429"/>
      <c r="U96" s="429"/>
      <c r="V96" s="429"/>
      <c r="W96" s="429"/>
      <c r="X96" s="429"/>
      <c r="Y96" s="429"/>
      <c r="Z96" s="429"/>
      <c r="AA96" s="429"/>
      <c r="AB96" s="429"/>
      <c r="AC96" s="429"/>
      <c r="AD96" s="429"/>
      <c r="AE96" s="429"/>
      <c r="AF96" s="429"/>
      <c r="AG96" s="429"/>
      <c r="AH96" s="429"/>
      <c r="AI96" s="429"/>
      <c r="AJ96" s="429"/>
      <c r="AK96" s="429"/>
      <c r="AL96" s="429"/>
      <c r="AM96" s="429"/>
      <c r="AN96" s="429"/>
      <c r="AO96" s="429"/>
      <c r="AP96" s="429"/>
      <c r="AQ96" s="429"/>
      <c r="AR96" s="429"/>
      <c r="AS96" s="429"/>
      <c r="AT96" s="429"/>
      <c r="AU96" s="429"/>
      <c r="AV96" s="429"/>
      <c r="AW96" s="429"/>
      <c r="AX96" s="429"/>
      <c r="AY96" s="429"/>
      <c r="AZ96" s="429"/>
      <c r="BA96" s="429"/>
      <c r="BB96" s="429"/>
      <c r="BC96" s="429"/>
      <c r="BD96" s="429"/>
      <c r="BE96" s="429"/>
      <c r="BF96" s="429"/>
      <c r="BG96" s="429"/>
      <c r="BH96" s="429"/>
      <c r="BI96" s="429"/>
      <c r="BJ96" s="429"/>
      <c r="BK96" s="429"/>
      <c r="BL96" s="429"/>
      <c r="BM96" s="429"/>
      <c r="BN96" s="429"/>
      <c r="BO96" s="429"/>
      <c r="BP96" s="429"/>
      <c r="BQ96" s="429"/>
      <c r="BR96" s="429"/>
      <c r="BS96" s="429"/>
      <c r="BT96" s="429"/>
      <c r="BU96" s="429"/>
      <c r="BV96" s="429"/>
      <c r="BW96" s="429"/>
      <c r="BX96" s="429"/>
      <c r="BY96" s="429"/>
      <c r="BZ96" s="429"/>
      <c r="CA96" s="429"/>
      <c r="CB96" s="429"/>
      <c r="CC96" s="429"/>
      <c r="CD96" s="429"/>
      <c r="CE96" s="429"/>
      <c r="CF96" s="429"/>
      <c r="CG96" s="429"/>
      <c r="CH96" s="429"/>
      <c r="CI96" s="429"/>
      <c r="CJ96" s="429"/>
      <c r="CK96" s="429"/>
      <c r="CL96" s="429"/>
      <c r="CM96" s="429"/>
      <c r="CN96" s="429"/>
      <c r="CO96" s="429"/>
      <c r="CP96" s="429"/>
      <c r="CQ96" s="429"/>
      <c r="CR96" s="429"/>
      <c r="CS96" s="429"/>
      <c r="CT96" s="429"/>
      <c r="CU96" s="429"/>
      <c r="CV96" s="429"/>
      <c r="CW96" s="429"/>
      <c r="CX96" s="429"/>
      <c r="CY96" s="429"/>
      <c r="CZ96" s="429"/>
      <c r="DA96" s="429"/>
      <c r="DB96" s="429"/>
      <c r="DC96" s="429"/>
      <c r="DD96" s="429"/>
      <c r="DE96" s="429"/>
      <c r="DF96" s="429"/>
      <c r="DG96" s="429"/>
      <c r="DH96" s="429"/>
      <c r="DI96" s="429"/>
      <c r="DJ96" s="429"/>
      <c r="DK96" s="429"/>
      <c r="DL96" s="429"/>
      <c r="DM96" s="429"/>
      <c r="DN96" s="429"/>
      <c r="DO96" s="429"/>
      <c r="DP96" s="429"/>
      <c r="DQ96" s="429"/>
      <c r="DR96" s="429"/>
      <c r="DS96" s="429"/>
      <c r="DT96" s="429"/>
      <c r="DU96" s="429"/>
      <c r="DV96" s="429"/>
      <c r="DW96" s="429"/>
      <c r="DX96" s="429"/>
      <c r="DY96" s="429"/>
      <c r="DZ96" s="429"/>
      <c r="EA96" s="429"/>
      <c r="EB96" s="429"/>
      <c r="EC96" s="429"/>
      <c r="ED96" s="429"/>
      <c r="EE96" s="429"/>
      <c r="EF96" s="429"/>
      <c r="EG96" s="429"/>
      <c r="EH96" s="429"/>
      <c r="EI96" s="429"/>
      <c r="EJ96" s="429"/>
      <c r="EK96" s="429"/>
      <c r="EL96" s="429"/>
      <c r="EM96" s="429"/>
      <c r="EN96" s="429"/>
      <c r="EO96" s="429"/>
      <c r="EP96" s="429"/>
      <c r="EQ96" s="429"/>
      <c r="ER96" s="429"/>
      <c r="ES96" s="429"/>
      <c r="ET96" s="13"/>
      <c r="EU96" s="13"/>
      <c r="EV96" s="13"/>
      <c r="EW96" s="13"/>
      <c r="EX96" s="13"/>
    </row>
    <row r="97" spans="1:154" s="20" customFormat="1" ht="27" customHeight="1" x14ac:dyDescent="0.8">
      <c r="A97" s="70"/>
      <c r="B97" s="70"/>
      <c r="C97" s="71"/>
      <c r="D97" s="71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  <c r="AA97" s="227"/>
      <c r="AB97" s="227"/>
      <c r="AC97" s="227"/>
      <c r="AD97" s="227"/>
      <c r="AE97" s="227"/>
      <c r="AF97" s="227"/>
      <c r="AG97" s="227"/>
      <c r="AH97" s="227"/>
      <c r="AI97" s="227"/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27"/>
      <c r="BC97" s="227"/>
      <c r="BD97" s="227"/>
      <c r="BE97" s="227"/>
      <c r="BF97" s="227"/>
      <c r="BG97" s="227"/>
      <c r="BH97" s="227"/>
      <c r="BI97" s="227"/>
      <c r="BJ97" s="227"/>
      <c r="BK97" s="227"/>
      <c r="BL97" s="227"/>
      <c r="BM97" s="227"/>
      <c r="BN97" s="227"/>
      <c r="BO97" s="227"/>
      <c r="BP97" s="227"/>
      <c r="BQ97" s="227"/>
      <c r="BR97" s="227"/>
      <c r="BS97" s="227"/>
      <c r="BT97" s="227"/>
      <c r="BU97" s="227"/>
      <c r="BV97" s="227"/>
      <c r="BW97" s="227"/>
      <c r="BX97" s="227"/>
      <c r="BY97" s="227"/>
      <c r="BZ97" s="227"/>
      <c r="CA97" s="227"/>
      <c r="CB97" s="227"/>
      <c r="CC97" s="227"/>
      <c r="CD97" s="227"/>
      <c r="CE97" s="227"/>
      <c r="CF97" s="227"/>
      <c r="CG97" s="227"/>
      <c r="CH97" s="227"/>
      <c r="CI97" s="227"/>
      <c r="CJ97" s="227"/>
      <c r="CK97" s="227"/>
      <c r="CL97" s="227"/>
      <c r="CM97" s="227"/>
      <c r="CN97" s="227"/>
      <c r="CO97" s="227"/>
      <c r="CP97" s="227"/>
      <c r="CQ97" s="227"/>
      <c r="CR97" s="227"/>
      <c r="CS97" s="227"/>
      <c r="CT97" s="227"/>
      <c r="CU97" s="227"/>
      <c r="CV97" s="227"/>
      <c r="CW97" s="227"/>
      <c r="CX97" s="227"/>
      <c r="CY97" s="227"/>
      <c r="CZ97" s="227"/>
      <c r="DA97" s="227"/>
      <c r="DB97" s="227"/>
      <c r="DC97" s="227"/>
      <c r="DD97" s="227"/>
      <c r="DE97" s="227"/>
      <c r="DF97" s="227"/>
      <c r="DG97" s="227"/>
      <c r="DH97" s="227"/>
      <c r="DI97" s="227"/>
      <c r="DJ97" s="227"/>
      <c r="DK97" s="227"/>
      <c r="DL97" s="227"/>
      <c r="DM97" s="227"/>
      <c r="DN97" s="227"/>
      <c r="DO97" s="227"/>
      <c r="DP97" s="227"/>
      <c r="DQ97" s="227"/>
      <c r="DR97" s="73"/>
      <c r="DS97" s="74"/>
      <c r="DT97" s="74"/>
      <c r="DU97" s="74"/>
      <c r="DV97" s="74"/>
      <c r="DW97" s="74"/>
      <c r="DX97" s="74"/>
      <c r="DY97" s="74"/>
      <c r="DZ97" s="74"/>
      <c r="EA97" s="74"/>
      <c r="EB97" s="74"/>
      <c r="EC97" s="74"/>
      <c r="ED97" s="74"/>
      <c r="EE97" s="74"/>
      <c r="EF97" s="74"/>
      <c r="EG97" s="74"/>
      <c r="EH97" s="75"/>
      <c r="EI97" s="74"/>
      <c r="EJ97" s="74"/>
      <c r="EK97" s="74"/>
      <c r="EL97" s="74"/>
      <c r="EM97" s="74"/>
      <c r="EN97" s="74"/>
      <c r="EO97" s="74"/>
      <c r="EP97" s="75"/>
      <c r="EQ97" s="74"/>
      <c r="ER97" s="74"/>
      <c r="ES97" s="74"/>
      <c r="ET97" s="13"/>
      <c r="EU97" s="13"/>
      <c r="EV97" s="13"/>
      <c r="EW97" s="13"/>
      <c r="EX97" s="13"/>
    </row>
    <row r="98" spans="1:154" s="20" customFormat="1" ht="32.25" customHeight="1" x14ac:dyDescent="0.8">
      <c r="A98" s="70"/>
      <c r="B98" s="70"/>
      <c r="C98" s="71"/>
      <c r="D98" s="71"/>
      <c r="E98" s="441"/>
      <c r="F98" s="441"/>
      <c r="G98" s="441"/>
      <c r="H98" s="441"/>
      <c r="I98" s="441"/>
      <c r="J98" s="441"/>
      <c r="K98" s="441"/>
      <c r="L98" s="441"/>
      <c r="M98" s="441"/>
      <c r="N98" s="441"/>
      <c r="O98" s="441"/>
      <c r="P98" s="441"/>
      <c r="Q98" s="441"/>
      <c r="R98" s="441"/>
      <c r="S98" s="441"/>
      <c r="T98" s="441"/>
      <c r="U98" s="441"/>
      <c r="V98" s="441"/>
      <c r="W98" s="441"/>
      <c r="X98" s="441"/>
      <c r="Y98" s="441"/>
      <c r="Z98" s="441"/>
      <c r="AA98" s="441"/>
      <c r="AB98" s="441"/>
      <c r="AC98" s="441"/>
      <c r="AD98" s="441"/>
      <c r="AE98" s="441"/>
      <c r="AF98" s="441"/>
      <c r="AG98" s="441"/>
      <c r="AH98" s="441"/>
      <c r="AI98" s="441"/>
      <c r="AJ98" s="441"/>
      <c r="AK98" s="441"/>
      <c r="AL98" s="441"/>
      <c r="AM98" s="441"/>
      <c r="AN98" s="441"/>
      <c r="AO98" s="441"/>
      <c r="AP98" s="441"/>
      <c r="AQ98" s="441"/>
      <c r="AR98" s="441"/>
      <c r="AS98" s="441"/>
      <c r="AT98" s="441"/>
      <c r="AU98" s="441"/>
      <c r="AV98" s="441"/>
      <c r="AW98" s="441"/>
      <c r="AX98" s="441"/>
      <c r="AY98" s="441"/>
      <c r="AZ98" s="441"/>
      <c r="BA98" s="441"/>
      <c r="BB98" s="441"/>
      <c r="BC98" s="441"/>
      <c r="BD98" s="441"/>
      <c r="BE98" s="441"/>
      <c r="BF98" s="441"/>
      <c r="BG98" s="441"/>
      <c r="BH98" s="441"/>
      <c r="BI98" s="441"/>
      <c r="BJ98" s="441"/>
      <c r="BK98" s="441"/>
      <c r="BL98" s="441"/>
      <c r="BM98" s="441"/>
      <c r="BN98" s="441"/>
      <c r="BO98" s="441"/>
      <c r="BP98" s="441"/>
      <c r="BQ98" s="441"/>
      <c r="BR98" s="441"/>
      <c r="BS98" s="441"/>
      <c r="BT98" s="441"/>
      <c r="BU98" s="441"/>
      <c r="BV98" s="441"/>
      <c r="BW98" s="441"/>
      <c r="BX98" s="441"/>
      <c r="BY98" s="441"/>
      <c r="BZ98" s="441"/>
      <c r="CA98" s="441"/>
      <c r="CB98" s="441"/>
      <c r="CC98" s="441"/>
      <c r="CD98" s="441"/>
      <c r="CE98" s="441"/>
      <c r="CF98" s="441"/>
      <c r="CG98" s="441"/>
      <c r="CH98" s="441"/>
      <c r="CI98" s="441"/>
      <c r="CJ98" s="441"/>
      <c r="CK98" s="441"/>
      <c r="CL98" s="441"/>
      <c r="CM98" s="441"/>
      <c r="CN98" s="441"/>
      <c r="CO98" s="441"/>
      <c r="CP98" s="441"/>
      <c r="CQ98" s="441"/>
      <c r="CR98" s="441"/>
      <c r="CS98" s="441"/>
      <c r="CT98" s="441"/>
      <c r="CU98" s="441"/>
      <c r="CV98" s="441"/>
      <c r="CW98" s="441"/>
      <c r="CX98" s="441"/>
      <c r="CY98" s="441"/>
      <c r="CZ98" s="441"/>
      <c r="DA98" s="441"/>
      <c r="DB98" s="441"/>
      <c r="DC98" s="441"/>
      <c r="DD98" s="441"/>
      <c r="DE98" s="441"/>
      <c r="DF98" s="441"/>
      <c r="DG98" s="441"/>
      <c r="DH98" s="441"/>
      <c r="DI98" s="441"/>
      <c r="DJ98" s="441"/>
      <c r="DK98" s="441"/>
      <c r="DL98" s="441"/>
      <c r="DM98" s="441"/>
      <c r="DN98" s="441"/>
      <c r="DO98" s="441"/>
      <c r="DP98" s="441"/>
      <c r="DQ98" s="227"/>
      <c r="DR98" s="73"/>
      <c r="DS98" s="74"/>
      <c r="DT98" s="74"/>
      <c r="DU98" s="74"/>
      <c r="DV98" s="74"/>
      <c r="DW98" s="74"/>
      <c r="DX98" s="74"/>
      <c r="DY98" s="74"/>
      <c r="DZ98" s="74"/>
      <c r="EA98" s="74"/>
      <c r="EB98" s="74"/>
      <c r="EC98" s="74"/>
      <c r="ED98" s="74"/>
      <c r="EE98" s="74"/>
      <c r="EF98" s="74"/>
      <c r="EG98" s="74"/>
      <c r="EH98" s="75"/>
      <c r="EI98" s="74"/>
      <c r="EJ98" s="74"/>
      <c r="EK98" s="74"/>
      <c r="EL98" s="74"/>
      <c r="EM98" s="74"/>
      <c r="EN98" s="74"/>
      <c r="EO98" s="74"/>
      <c r="EP98" s="75"/>
      <c r="EQ98" s="74"/>
      <c r="ER98" s="74"/>
      <c r="ES98" s="74"/>
      <c r="ET98" s="13"/>
      <c r="EU98" s="13"/>
      <c r="EV98" s="13"/>
      <c r="EW98" s="13"/>
      <c r="EX98" s="13"/>
    </row>
    <row r="99" spans="1:154" ht="120" customHeight="1" x14ac:dyDescent="0.9">
      <c r="A99" s="69"/>
      <c r="B99" s="69"/>
      <c r="C99" s="370" t="s">
        <v>90</v>
      </c>
      <c r="D99" s="370"/>
      <c r="E99" s="370"/>
      <c r="F99" s="370"/>
      <c r="G99" s="370"/>
      <c r="H99" s="370"/>
      <c r="I99" s="370"/>
      <c r="J99" s="370"/>
      <c r="K99" s="370"/>
      <c r="L99" s="370"/>
      <c r="M99" s="370"/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  <c r="AA99" s="370"/>
      <c r="AB99" s="370"/>
      <c r="AC99" s="370"/>
      <c r="AD99" s="370"/>
      <c r="AE99" s="421" t="s">
        <v>91</v>
      </c>
      <c r="AF99" s="422"/>
      <c r="AG99" s="422"/>
      <c r="AH99" s="422"/>
      <c r="AI99" s="422"/>
      <c r="AJ99" s="422"/>
      <c r="AK99" s="422"/>
      <c r="AL99" s="423"/>
      <c r="AM99" s="424" t="s">
        <v>92</v>
      </c>
      <c r="AN99" s="425"/>
      <c r="AO99" s="425"/>
      <c r="AP99" s="425"/>
      <c r="AQ99" s="425"/>
      <c r="AR99" s="425"/>
      <c r="AS99" s="425"/>
      <c r="AT99" s="426"/>
      <c r="AU99" s="434" t="s">
        <v>93</v>
      </c>
      <c r="AV99" s="435"/>
      <c r="AW99" s="435"/>
      <c r="AX99" s="435"/>
      <c r="AY99" s="435"/>
      <c r="AZ99" s="435"/>
      <c r="BA99" s="435"/>
      <c r="BB99" s="435"/>
      <c r="BC99" s="435"/>
      <c r="BD99" s="435"/>
      <c r="BE99" s="435"/>
      <c r="BF99" s="435"/>
      <c r="BG99" s="435"/>
      <c r="BH99" s="435"/>
      <c r="BI99" s="435"/>
      <c r="BJ99" s="435"/>
      <c r="BK99" s="435"/>
      <c r="BL99" s="435"/>
      <c r="BM99" s="435"/>
      <c r="BN99" s="435"/>
      <c r="BO99" s="435"/>
      <c r="BP99" s="435"/>
      <c r="BQ99" s="435"/>
      <c r="BR99" s="435"/>
      <c r="BS99" s="435"/>
      <c r="BT99" s="435"/>
      <c r="BU99" s="435"/>
      <c r="BV99" s="435"/>
      <c r="BW99" s="435"/>
      <c r="BX99" s="435"/>
      <c r="BY99" s="435"/>
      <c r="BZ99" s="435"/>
      <c r="CA99" s="435"/>
      <c r="CB99" s="435"/>
      <c r="CC99" s="435"/>
      <c r="CD99" s="435"/>
      <c r="CE99" s="435"/>
      <c r="CF99" s="435"/>
      <c r="CG99" s="435"/>
      <c r="CH99" s="436"/>
      <c r="CI99" s="77"/>
      <c r="CJ99" s="77"/>
      <c r="CK99" s="77"/>
      <c r="CL99" s="147"/>
      <c r="CM99" s="147"/>
      <c r="CN99" s="147"/>
      <c r="CO99" s="147"/>
      <c r="CP99" s="147"/>
      <c r="CQ99" s="147"/>
      <c r="CR99" s="147"/>
      <c r="CS99" s="147"/>
      <c r="CT99" s="147"/>
      <c r="CU99" s="147"/>
      <c r="CV99" s="147"/>
      <c r="CW99" s="147"/>
      <c r="CX99" s="147"/>
      <c r="CY99" s="147"/>
      <c r="CZ99" s="147"/>
      <c r="DA99" s="147"/>
      <c r="DB99" s="147"/>
      <c r="DC99" s="147"/>
      <c r="DD99" s="147"/>
      <c r="DE99" s="147"/>
      <c r="DF99" s="147"/>
      <c r="DG99" s="147"/>
      <c r="DH99" s="147"/>
      <c r="DI99" s="147"/>
      <c r="DJ99" s="147"/>
      <c r="DK99" s="147"/>
      <c r="DL99" s="147"/>
      <c r="DM99" s="147"/>
      <c r="DN99" s="147"/>
      <c r="DO99" s="147"/>
      <c r="DP99" s="147"/>
      <c r="DQ99" s="147"/>
      <c r="DR99" s="147"/>
      <c r="DS99" s="147"/>
      <c r="DT99" s="77"/>
      <c r="DU99" s="77"/>
      <c r="DV99" s="77"/>
      <c r="DW99" s="77"/>
      <c r="DX99" s="77"/>
      <c r="DY99" s="77"/>
      <c r="DZ99" s="77"/>
      <c r="EA99" s="77"/>
      <c r="EB99" s="77"/>
      <c r="EC99" s="77"/>
      <c r="ED99" s="77"/>
      <c r="EE99" s="77"/>
      <c r="EF99" s="77"/>
      <c r="EG99" s="77"/>
      <c r="EH99" s="77"/>
      <c r="EI99" s="77"/>
      <c r="EJ99" s="77"/>
      <c r="EK99" s="77"/>
      <c r="EL99" s="77"/>
      <c r="EM99" s="77"/>
      <c r="EN99" s="77"/>
      <c r="EO99" s="77"/>
      <c r="EP99" s="77"/>
      <c r="EQ99" s="77"/>
      <c r="ER99" s="77"/>
      <c r="ES99" s="77"/>
      <c r="ET99" s="13"/>
      <c r="EU99" s="13"/>
      <c r="EV99" s="13"/>
      <c r="EW99" s="13"/>
      <c r="EX99" s="13"/>
    </row>
    <row r="100" spans="1:154" ht="120" customHeight="1" x14ac:dyDescent="0.85">
      <c r="A100" s="69"/>
      <c r="B100" s="69"/>
      <c r="C100" s="820" t="s">
        <v>94</v>
      </c>
      <c r="D100" s="820"/>
      <c r="E100" s="820"/>
      <c r="F100" s="820"/>
      <c r="G100" s="820"/>
      <c r="H100" s="820"/>
      <c r="I100" s="820"/>
      <c r="J100" s="820"/>
      <c r="K100" s="820"/>
      <c r="L100" s="820"/>
      <c r="M100" s="820"/>
      <c r="N100" s="820"/>
      <c r="O100" s="820"/>
      <c r="P100" s="820"/>
      <c r="Q100" s="820"/>
      <c r="R100" s="820"/>
      <c r="S100" s="820"/>
      <c r="T100" s="820"/>
      <c r="U100" s="820"/>
      <c r="V100" s="820"/>
      <c r="W100" s="820"/>
      <c r="X100" s="820"/>
      <c r="Y100" s="820"/>
      <c r="Z100" s="820"/>
      <c r="AA100" s="820"/>
      <c r="AB100" s="820"/>
      <c r="AC100" s="820"/>
      <c r="AD100" s="820"/>
      <c r="AE100" s="442">
        <f>HB20</f>
        <v>120</v>
      </c>
      <c r="AF100" s="443"/>
      <c r="AG100" s="443"/>
      <c r="AH100" s="443"/>
      <c r="AI100" s="443"/>
      <c r="AJ100" s="443"/>
      <c r="AK100" s="443"/>
      <c r="AL100" s="444"/>
      <c r="AM100" s="445" t="s">
        <v>99</v>
      </c>
      <c r="AN100" s="446"/>
      <c r="AO100" s="446"/>
      <c r="AP100" s="446"/>
      <c r="AQ100" s="446"/>
      <c r="AR100" s="446"/>
      <c r="AS100" s="446"/>
      <c r="AT100" s="447"/>
      <c r="AU100" s="454" t="s">
        <v>103</v>
      </c>
      <c r="AV100" s="455"/>
      <c r="AW100" s="455"/>
      <c r="AX100" s="455"/>
      <c r="AY100" s="455"/>
      <c r="AZ100" s="455"/>
      <c r="BA100" s="455"/>
      <c r="BB100" s="455"/>
      <c r="BC100" s="455"/>
      <c r="BD100" s="455"/>
      <c r="BE100" s="455"/>
      <c r="BF100" s="455"/>
      <c r="BG100" s="455"/>
      <c r="BH100" s="455"/>
      <c r="BI100" s="455"/>
      <c r="BJ100" s="455"/>
      <c r="BK100" s="455"/>
      <c r="BL100" s="455"/>
      <c r="BM100" s="455"/>
      <c r="BN100" s="455"/>
      <c r="BO100" s="455"/>
      <c r="BP100" s="455"/>
      <c r="BQ100" s="455"/>
      <c r="BR100" s="455"/>
      <c r="BS100" s="455"/>
      <c r="BT100" s="455"/>
      <c r="BU100" s="455"/>
      <c r="BV100" s="455"/>
      <c r="BW100" s="455"/>
      <c r="BX100" s="455"/>
      <c r="BY100" s="455"/>
      <c r="BZ100" s="455"/>
      <c r="CA100" s="455"/>
      <c r="CB100" s="455"/>
      <c r="CC100" s="455"/>
      <c r="CD100" s="455"/>
      <c r="CE100" s="455"/>
      <c r="CF100" s="455"/>
      <c r="CG100" s="455"/>
      <c r="CH100" s="456"/>
      <c r="CI100" s="77"/>
      <c r="CJ100" s="77"/>
      <c r="CK100" s="77"/>
      <c r="CL100" s="454" t="s">
        <v>332</v>
      </c>
      <c r="CM100" s="455"/>
      <c r="CN100" s="455"/>
      <c r="CO100" s="455"/>
      <c r="CP100" s="455"/>
      <c r="CQ100" s="455"/>
      <c r="CR100" s="455"/>
      <c r="CS100" s="455"/>
      <c r="CT100" s="455"/>
      <c r="CU100" s="455"/>
      <c r="CV100" s="455"/>
      <c r="CW100" s="455"/>
      <c r="CX100" s="455"/>
      <c r="CY100" s="455"/>
      <c r="CZ100" s="455"/>
      <c r="DA100" s="455"/>
      <c r="DB100" s="455"/>
      <c r="DC100" s="455"/>
      <c r="DD100" s="455"/>
      <c r="DE100" s="455"/>
      <c r="DF100" s="455"/>
      <c r="DG100" s="455"/>
      <c r="DH100" s="455"/>
      <c r="DI100" s="455"/>
      <c r="DJ100" s="455"/>
      <c r="DK100" s="455"/>
      <c r="DL100" s="455"/>
      <c r="DM100" s="455"/>
      <c r="DN100" s="455"/>
      <c r="DO100" s="455"/>
      <c r="DP100" s="455"/>
      <c r="DQ100" s="455"/>
      <c r="DR100" s="455"/>
      <c r="DS100" s="455"/>
      <c r="DT100" s="455"/>
      <c r="DU100" s="455"/>
      <c r="DV100" s="455"/>
      <c r="DW100" s="455"/>
      <c r="DX100" s="455"/>
      <c r="DY100" s="455"/>
      <c r="DZ100" s="455"/>
      <c r="EA100" s="455"/>
      <c r="EB100" s="455"/>
      <c r="EC100" s="455"/>
      <c r="ED100" s="455"/>
      <c r="EE100" s="455"/>
      <c r="EF100" s="455"/>
      <c r="EG100" s="455"/>
      <c r="EH100" s="455"/>
      <c r="EI100" s="455"/>
      <c r="EJ100" s="455"/>
      <c r="EK100" s="455"/>
      <c r="EL100" s="455"/>
      <c r="EM100" s="456"/>
      <c r="EN100" s="77"/>
      <c r="EO100" s="77"/>
      <c r="EP100" s="77"/>
      <c r="EQ100" s="77"/>
      <c r="ER100" s="77"/>
      <c r="ES100" s="77"/>
      <c r="ET100" s="13"/>
      <c r="EU100" s="13"/>
      <c r="EV100" s="13"/>
      <c r="EW100" s="13"/>
      <c r="EX100" s="13"/>
    </row>
    <row r="101" spans="1:154" ht="120" customHeight="1" x14ac:dyDescent="0.85">
      <c r="A101" s="69"/>
      <c r="B101" s="69"/>
      <c r="C101" s="401" t="s">
        <v>254</v>
      </c>
      <c r="D101" s="401"/>
      <c r="E101" s="401"/>
      <c r="F101" s="401"/>
      <c r="G101" s="401"/>
      <c r="H101" s="401"/>
      <c r="I101" s="401"/>
      <c r="J101" s="401"/>
      <c r="K101" s="401"/>
      <c r="L101" s="401"/>
      <c r="M101" s="401"/>
      <c r="N101" s="401"/>
      <c r="O101" s="401"/>
      <c r="P101" s="401"/>
      <c r="Q101" s="401"/>
      <c r="R101" s="401"/>
      <c r="S101" s="401"/>
      <c r="T101" s="401"/>
      <c r="U101" s="401"/>
      <c r="V101" s="401"/>
      <c r="W101" s="401"/>
      <c r="X101" s="401"/>
      <c r="Y101" s="401"/>
      <c r="Z101" s="401"/>
      <c r="AA101" s="401"/>
      <c r="AB101" s="401"/>
      <c r="AC101" s="401"/>
      <c r="AD101" s="401"/>
      <c r="AE101" s="442">
        <f>HH20</f>
        <v>16</v>
      </c>
      <c r="AF101" s="443"/>
      <c r="AG101" s="443"/>
      <c r="AH101" s="443"/>
      <c r="AI101" s="443"/>
      <c r="AJ101" s="443"/>
      <c r="AK101" s="443"/>
      <c r="AL101" s="444"/>
      <c r="AM101" s="445" t="s">
        <v>109</v>
      </c>
      <c r="AN101" s="446"/>
      <c r="AO101" s="446"/>
      <c r="AP101" s="446"/>
      <c r="AQ101" s="446"/>
      <c r="AR101" s="446"/>
      <c r="AS101" s="446"/>
      <c r="AT101" s="447"/>
      <c r="AU101" s="457"/>
      <c r="AV101" s="458"/>
      <c r="AW101" s="458"/>
      <c r="AX101" s="458"/>
      <c r="AY101" s="458"/>
      <c r="AZ101" s="458"/>
      <c r="BA101" s="458"/>
      <c r="BB101" s="458"/>
      <c r="BC101" s="458"/>
      <c r="BD101" s="458"/>
      <c r="BE101" s="458"/>
      <c r="BF101" s="458"/>
      <c r="BG101" s="458"/>
      <c r="BH101" s="458"/>
      <c r="BI101" s="458"/>
      <c r="BJ101" s="458"/>
      <c r="BK101" s="458"/>
      <c r="BL101" s="458"/>
      <c r="BM101" s="458"/>
      <c r="BN101" s="458"/>
      <c r="BO101" s="458"/>
      <c r="BP101" s="458"/>
      <c r="BQ101" s="458"/>
      <c r="BR101" s="458"/>
      <c r="BS101" s="458"/>
      <c r="BT101" s="458"/>
      <c r="BU101" s="458"/>
      <c r="BV101" s="458"/>
      <c r="BW101" s="458"/>
      <c r="BX101" s="458"/>
      <c r="BY101" s="458"/>
      <c r="BZ101" s="458"/>
      <c r="CA101" s="458"/>
      <c r="CB101" s="458"/>
      <c r="CC101" s="458"/>
      <c r="CD101" s="458"/>
      <c r="CE101" s="458"/>
      <c r="CF101" s="458"/>
      <c r="CG101" s="458"/>
      <c r="CH101" s="459"/>
      <c r="CI101" s="77"/>
      <c r="CJ101" s="77"/>
      <c r="CK101" s="77"/>
      <c r="CL101" s="457"/>
      <c r="CM101" s="458"/>
      <c r="CN101" s="458"/>
      <c r="CO101" s="458"/>
      <c r="CP101" s="458"/>
      <c r="CQ101" s="458"/>
      <c r="CR101" s="458"/>
      <c r="CS101" s="458"/>
      <c r="CT101" s="458"/>
      <c r="CU101" s="458"/>
      <c r="CV101" s="458"/>
      <c r="CW101" s="458"/>
      <c r="CX101" s="458"/>
      <c r="CY101" s="458"/>
      <c r="CZ101" s="458"/>
      <c r="DA101" s="458"/>
      <c r="DB101" s="458"/>
      <c r="DC101" s="458"/>
      <c r="DD101" s="458"/>
      <c r="DE101" s="458"/>
      <c r="DF101" s="458"/>
      <c r="DG101" s="458"/>
      <c r="DH101" s="458"/>
      <c r="DI101" s="458"/>
      <c r="DJ101" s="458"/>
      <c r="DK101" s="458"/>
      <c r="DL101" s="458"/>
      <c r="DM101" s="458"/>
      <c r="DN101" s="458"/>
      <c r="DO101" s="458"/>
      <c r="DP101" s="458"/>
      <c r="DQ101" s="458"/>
      <c r="DR101" s="458"/>
      <c r="DS101" s="458"/>
      <c r="DT101" s="458"/>
      <c r="DU101" s="458"/>
      <c r="DV101" s="458"/>
      <c r="DW101" s="458"/>
      <c r="DX101" s="458"/>
      <c r="DY101" s="458"/>
      <c r="DZ101" s="458"/>
      <c r="EA101" s="458"/>
      <c r="EB101" s="458"/>
      <c r="EC101" s="458"/>
      <c r="ED101" s="458"/>
      <c r="EE101" s="458"/>
      <c r="EF101" s="458"/>
      <c r="EG101" s="458"/>
      <c r="EH101" s="458"/>
      <c r="EI101" s="458"/>
      <c r="EJ101" s="458"/>
      <c r="EK101" s="458"/>
      <c r="EL101" s="458"/>
      <c r="EM101" s="459"/>
      <c r="EN101" s="77"/>
      <c r="EO101" s="77"/>
      <c r="EP101" s="77"/>
      <c r="EQ101" s="77"/>
      <c r="ER101" s="77"/>
      <c r="ES101" s="77"/>
      <c r="ET101" s="13"/>
      <c r="EU101" s="13"/>
      <c r="EV101" s="13"/>
      <c r="EW101" s="13"/>
      <c r="EX101" s="13"/>
    </row>
    <row r="102" spans="1:154" ht="120" customHeight="1" x14ac:dyDescent="0.85">
      <c r="A102" s="69"/>
      <c r="B102" s="69"/>
      <c r="C102" s="401" t="s">
        <v>95</v>
      </c>
      <c r="D102" s="401"/>
      <c r="E102" s="401"/>
      <c r="F102" s="401"/>
      <c r="G102" s="401"/>
      <c r="H102" s="401"/>
      <c r="I102" s="401"/>
      <c r="J102" s="401"/>
      <c r="K102" s="401"/>
      <c r="L102" s="401"/>
      <c r="M102" s="401"/>
      <c r="N102" s="401"/>
      <c r="O102" s="401"/>
      <c r="P102" s="401"/>
      <c r="Q102" s="401"/>
      <c r="R102" s="401"/>
      <c r="S102" s="401"/>
      <c r="T102" s="401"/>
      <c r="U102" s="401"/>
      <c r="V102" s="401"/>
      <c r="W102" s="401"/>
      <c r="X102" s="401"/>
      <c r="Y102" s="401"/>
      <c r="Z102" s="401"/>
      <c r="AA102" s="401"/>
      <c r="AB102" s="401"/>
      <c r="AC102" s="401"/>
      <c r="AD102" s="401"/>
      <c r="AE102" s="442">
        <f>HD20</f>
        <v>16</v>
      </c>
      <c r="AF102" s="443"/>
      <c r="AG102" s="443"/>
      <c r="AH102" s="443"/>
      <c r="AI102" s="443"/>
      <c r="AJ102" s="443"/>
      <c r="AK102" s="443"/>
      <c r="AL102" s="444"/>
      <c r="AM102" s="445" t="s">
        <v>100</v>
      </c>
      <c r="AN102" s="446"/>
      <c r="AO102" s="446"/>
      <c r="AP102" s="446"/>
      <c r="AQ102" s="446"/>
      <c r="AR102" s="446"/>
      <c r="AS102" s="446"/>
      <c r="AT102" s="447"/>
      <c r="AU102" s="457"/>
      <c r="AV102" s="458"/>
      <c r="AW102" s="458"/>
      <c r="AX102" s="458"/>
      <c r="AY102" s="458"/>
      <c r="AZ102" s="458"/>
      <c r="BA102" s="458"/>
      <c r="BB102" s="458"/>
      <c r="BC102" s="458"/>
      <c r="BD102" s="458"/>
      <c r="BE102" s="458"/>
      <c r="BF102" s="458"/>
      <c r="BG102" s="458"/>
      <c r="BH102" s="458"/>
      <c r="BI102" s="458"/>
      <c r="BJ102" s="458"/>
      <c r="BK102" s="458"/>
      <c r="BL102" s="458"/>
      <c r="BM102" s="458"/>
      <c r="BN102" s="458"/>
      <c r="BO102" s="458"/>
      <c r="BP102" s="458"/>
      <c r="BQ102" s="458"/>
      <c r="BR102" s="458"/>
      <c r="BS102" s="458"/>
      <c r="BT102" s="458"/>
      <c r="BU102" s="458"/>
      <c r="BV102" s="458"/>
      <c r="BW102" s="458"/>
      <c r="BX102" s="458"/>
      <c r="BY102" s="458"/>
      <c r="BZ102" s="458"/>
      <c r="CA102" s="458"/>
      <c r="CB102" s="458"/>
      <c r="CC102" s="458"/>
      <c r="CD102" s="458"/>
      <c r="CE102" s="458"/>
      <c r="CF102" s="458"/>
      <c r="CG102" s="458"/>
      <c r="CH102" s="459"/>
      <c r="CI102" s="77"/>
      <c r="CJ102" s="77"/>
      <c r="CK102" s="77"/>
      <c r="CL102" s="457"/>
      <c r="CM102" s="458"/>
      <c r="CN102" s="458"/>
      <c r="CO102" s="458"/>
      <c r="CP102" s="458"/>
      <c r="CQ102" s="458"/>
      <c r="CR102" s="458"/>
      <c r="CS102" s="458"/>
      <c r="CT102" s="458"/>
      <c r="CU102" s="458"/>
      <c r="CV102" s="458"/>
      <c r="CW102" s="458"/>
      <c r="CX102" s="458"/>
      <c r="CY102" s="458"/>
      <c r="CZ102" s="458"/>
      <c r="DA102" s="458"/>
      <c r="DB102" s="458"/>
      <c r="DC102" s="458"/>
      <c r="DD102" s="458"/>
      <c r="DE102" s="458"/>
      <c r="DF102" s="458"/>
      <c r="DG102" s="458"/>
      <c r="DH102" s="458"/>
      <c r="DI102" s="458"/>
      <c r="DJ102" s="458"/>
      <c r="DK102" s="458"/>
      <c r="DL102" s="458"/>
      <c r="DM102" s="458"/>
      <c r="DN102" s="458"/>
      <c r="DO102" s="458"/>
      <c r="DP102" s="458"/>
      <c r="DQ102" s="458"/>
      <c r="DR102" s="458"/>
      <c r="DS102" s="458"/>
      <c r="DT102" s="458"/>
      <c r="DU102" s="458"/>
      <c r="DV102" s="458"/>
      <c r="DW102" s="458"/>
      <c r="DX102" s="458"/>
      <c r="DY102" s="458"/>
      <c r="DZ102" s="458"/>
      <c r="EA102" s="458"/>
      <c r="EB102" s="458"/>
      <c r="EC102" s="458"/>
      <c r="ED102" s="458"/>
      <c r="EE102" s="458"/>
      <c r="EF102" s="458"/>
      <c r="EG102" s="458"/>
      <c r="EH102" s="458"/>
      <c r="EI102" s="458"/>
      <c r="EJ102" s="458"/>
      <c r="EK102" s="458"/>
      <c r="EL102" s="458"/>
      <c r="EM102" s="459"/>
      <c r="EN102" s="77"/>
      <c r="EO102" s="77"/>
      <c r="EP102" s="77"/>
      <c r="EQ102" s="77"/>
      <c r="ER102" s="77"/>
      <c r="ES102" s="77"/>
      <c r="ET102" s="13"/>
      <c r="EU102" s="13"/>
      <c r="EV102" s="13"/>
      <c r="EW102" s="13"/>
      <c r="EX102" s="13"/>
    </row>
    <row r="103" spans="1:154" ht="120" customHeight="1" x14ac:dyDescent="0.85">
      <c r="A103" s="69"/>
      <c r="B103" s="69"/>
      <c r="C103" s="401" t="s">
        <v>96</v>
      </c>
      <c r="D103" s="401"/>
      <c r="E103" s="401"/>
      <c r="F103" s="401"/>
      <c r="G103" s="401"/>
      <c r="H103" s="401"/>
      <c r="I103" s="401"/>
      <c r="J103" s="401"/>
      <c r="K103" s="401"/>
      <c r="L103" s="401"/>
      <c r="M103" s="401"/>
      <c r="N103" s="401"/>
      <c r="O103" s="401"/>
      <c r="P103" s="401"/>
      <c r="Q103" s="401"/>
      <c r="R103" s="401"/>
      <c r="S103" s="401"/>
      <c r="T103" s="401"/>
      <c r="U103" s="401"/>
      <c r="V103" s="401"/>
      <c r="W103" s="401"/>
      <c r="X103" s="401"/>
      <c r="Y103" s="401"/>
      <c r="Z103" s="401"/>
      <c r="AA103" s="401"/>
      <c r="AB103" s="401"/>
      <c r="AC103" s="401"/>
      <c r="AD103" s="401"/>
      <c r="AE103" s="442">
        <f>HJ20</f>
        <v>2</v>
      </c>
      <c r="AF103" s="443"/>
      <c r="AG103" s="443"/>
      <c r="AH103" s="443"/>
      <c r="AI103" s="443"/>
      <c r="AJ103" s="443"/>
      <c r="AK103" s="443"/>
      <c r="AL103" s="444"/>
      <c r="AM103" s="445" t="s">
        <v>101</v>
      </c>
      <c r="AN103" s="446"/>
      <c r="AO103" s="446"/>
      <c r="AP103" s="446"/>
      <c r="AQ103" s="446"/>
      <c r="AR103" s="446"/>
      <c r="AS103" s="446"/>
      <c r="AT103" s="447"/>
      <c r="AU103" s="457"/>
      <c r="AV103" s="458"/>
      <c r="AW103" s="458"/>
      <c r="AX103" s="458"/>
      <c r="AY103" s="458"/>
      <c r="AZ103" s="458"/>
      <c r="BA103" s="458"/>
      <c r="BB103" s="458"/>
      <c r="BC103" s="458"/>
      <c r="BD103" s="458"/>
      <c r="BE103" s="458"/>
      <c r="BF103" s="458"/>
      <c r="BG103" s="458"/>
      <c r="BH103" s="458"/>
      <c r="BI103" s="458"/>
      <c r="BJ103" s="458"/>
      <c r="BK103" s="458"/>
      <c r="BL103" s="458"/>
      <c r="BM103" s="458"/>
      <c r="BN103" s="458"/>
      <c r="BO103" s="458"/>
      <c r="BP103" s="458"/>
      <c r="BQ103" s="458"/>
      <c r="BR103" s="458"/>
      <c r="BS103" s="458"/>
      <c r="BT103" s="458"/>
      <c r="BU103" s="458"/>
      <c r="BV103" s="458"/>
      <c r="BW103" s="458"/>
      <c r="BX103" s="458"/>
      <c r="BY103" s="458"/>
      <c r="BZ103" s="458"/>
      <c r="CA103" s="458"/>
      <c r="CB103" s="458"/>
      <c r="CC103" s="458"/>
      <c r="CD103" s="458"/>
      <c r="CE103" s="458"/>
      <c r="CF103" s="458"/>
      <c r="CG103" s="458"/>
      <c r="CH103" s="459"/>
      <c r="CI103" s="77"/>
      <c r="CJ103" s="77"/>
      <c r="CK103" s="77"/>
      <c r="CL103" s="457"/>
      <c r="CM103" s="458"/>
      <c r="CN103" s="458"/>
      <c r="CO103" s="458"/>
      <c r="CP103" s="458"/>
      <c r="CQ103" s="458"/>
      <c r="CR103" s="458"/>
      <c r="CS103" s="458"/>
      <c r="CT103" s="458"/>
      <c r="CU103" s="458"/>
      <c r="CV103" s="458"/>
      <c r="CW103" s="458"/>
      <c r="CX103" s="458"/>
      <c r="CY103" s="458"/>
      <c r="CZ103" s="458"/>
      <c r="DA103" s="458"/>
      <c r="DB103" s="458"/>
      <c r="DC103" s="458"/>
      <c r="DD103" s="458"/>
      <c r="DE103" s="458"/>
      <c r="DF103" s="458"/>
      <c r="DG103" s="458"/>
      <c r="DH103" s="458"/>
      <c r="DI103" s="458"/>
      <c r="DJ103" s="458"/>
      <c r="DK103" s="458"/>
      <c r="DL103" s="458"/>
      <c r="DM103" s="458"/>
      <c r="DN103" s="458"/>
      <c r="DO103" s="458"/>
      <c r="DP103" s="458"/>
      <c r="DQ103" s="458"/>
      <c r="DR103" s="458"/>
      <c r="DS103" s="458"/>
      <c r="DT103" s="458"/>
      <c r="DU103" s="458"/>
      <c r="DV103" s="458"/>
      <c r="DW103" s="458"/>
      <c r="DX103" s="458"/>
      <c r="DY103" s="458"/>
      <c r="DZ103" s="458"/>
      <c r="EA103" s="458"/>
      <c r="EB103" s="458"/>
      <c r="EC103" s="458"/>
      <c r="ED103" s="458"/>
      <c r="EE103" s="458"/>
      <c r="EF103" s="458"/>
      <c r="EG103" s="458"/>
      <c r="EH103" s="458"/>
      <c r="EI103" s="458"/>
      <c r="EJ103" s="458"/>
      <c r="EK103" s="458"/>
      <c r="EL103" s="458"/>
      <c r="EM103" s="459"/>
      <c r="EN103" s="77"/>
      <c r="EO103" s="77"/>
      <c r="EP103" s="77"/>
      <c r="EQ103" s="77"/>
      <c r="ER103" s="77"/>
      <c r="ES103" s="77"/>
      <c r="ET103" s="13"/>
      <c r="EU103" s="13"/>
      <c r="EV103" s="13"/>
      <c r="EW103" s="13"/>
      <c r="EX103" s="13"/>
    </row>
    <row r="104" spans="1:154" ht="120" customHeight="1" x14ac:dyDescent="0.85">
      <c r="A104" s="69"/>
      <c r="B104" s="69"/>
      <c r="C104" s="820" t="s">
        <v>97</v>
      </c>
      <c r="D104" s="820"/>
      <c r="E104" s="820"/>
      <c r="F104" s="820"/>
      <c r="G104" s="820"/>
      <c r="H104" s="820"/>
      <c r="I104" s="820"/>
      <c r="J104" s="820"/>
      <c r="K104" s="820"/>
      <c r="L104" s="820"/>
      <c r="M104" s="820"/>
      <c r="N104" s="820"/>
      <c r="O104" s="820"/>
      <c r="P104" s="820"/>
      <c r="Q104" s="820"/>
      <c r="R104" s="820"/>
      <c r="S104" s="820"/>
      <c r="T104" s="820"/>
      <c r="U104" s="820"/>
      <c r="V104" s="820"/>
      <c r="W104" s="820"/>
      <c r="X104" s="820"/>
      <c r="Y104" s="820"/>
      <c r="Z104" s="820"/>
      <c r="AA104" s="820"/>
      <c r="AB104" s="820"/>
      <c r="AC104" s="820"/>
      <c r="AD104" s="820"/>
      <c r="AE104" s="442">
        <f>HL20</f>
        <v>46</v>
      </c>
      <c r="AF104" s="443"/>
      <c r="AG104" s="443"/>
      <c r="AH104" s="443"/>
      <c r="AI104" s="443"/>
      <c r="AJ104" s="443"/>
      <c r="AK104" s="443"/>
      <c r="AL104" s="444"/>
      <c r="AM104" s="445" t="s">
        <v>100</v>
      </c>
      <c r="AN104" s="446"/>
      <c r="AO104" s="446"/>
      <c r="AP104" s="446"/>
      <c r="AQ104" s="446"/>
      <c r="AR104" s="446"/>
      <c r="AS104" s="446"/>
      <c r="AT104" s="447"/>
      <c r="AU104" s="457"/>
      <c r="AV104" s="458"/>
      <c r="AW104" s="458"/>
      <c r="AX104" s="458"/>
      <c r="AY104" s="458"/>
      <c r="AZ104" s="458"/>
      <c r="BA104" s="458"/>
      <c r="BB104" s="458"/>
      <c r="BC104" s="458"/>
      <c r="BD104" s="458"/>
      <c r="BE104" s="458"/>
      <c r="BF104" s="458"/>
      <c r="BG104" s="458"/>
      <c r="BH104" s="458"/>
      <c r="BI104" s="458"/>
      <c r="BJ104" s="458"/>
      <c r="BK104" s="458"/>
      <c r="BL104" s="458"/>
      <c r="BM104" s="458"/>
      <c r="BN104" s="458"/>
      <c r="BO104" s="458"/>
      <c r="BP104" s="458"/>
      <c r="BQ104" s="458"/>
      <c r="BR104" s="458"/>
      <c r="BS104" s="458"/>
      <c r="BT104" s="458"/>
      <c r="BU104" s="458"/>
      <c r="BV104" s="458"/>
      <c r="BW104" s="458"/>
      <c r="BX104" s="458"/>
      <c r="BY104" s="458"/>
      <c r="BZ104" s="458"/>
      <c r="CA104" s="458"/>
      <c r="CB104" s="458"/>
      <c r="CC104" s="458"/>
      <c r="CD104" s="458"/>
      <c r="CE104" s="458"/>
      <c r="CF104" s="458"/>
      <c r="CG104" s="458"/>
      <c r="CH104" s="459"/>
      <c r="CI104" s="77"/>
      <c r="CJ104" s="77"/>
      <c r="CK104" s="77"/>
      <c r="CL104" s="457"/>
      <c r="CM104" s="458"/>
      <c r="CN104" s="458"/>
      <c r="CO104" s="458"/>
      <c r="CP104" s="458"/>
      <c r="CQ104" s="458"/>
      <c r="CR104" s="458"/>
      <c r="CS104" s="458"/>
      <c r="CT104" s="458"/>
      <c r="CU104" s="458"/>
      <c r="CV104" s="458"/>
      <c r="CW104" s="458"/>
      <c r="CX104" s="458"/>
      <c r="CY104" s="458"/>
      <c r="CZ104" s="458"/>
      <c r="DA104" s="458"/>
      <c r="DB104" s="458"/>
      <c r="DC104" s="458"/>
      <c r="DD104" s="458"/>
      <c r="DE104" s="458"/>
      <c r="DF104" s="458"/>
      <c r="DG104" s="458"/>
      <c r="DH104" s="458"/>
      <c r="DI104" s="458"/>
      <c r="DJ104" s="458"/>
      <c r="DK104" s="458"/>
      <c r="DL104" s="458"/>
      <c r="DM104" s="458"/>
      <c r="DN104" s="458"/>
      <c r="DO104" s="458"/>
      <c r="DP104" s="458"/>
      <c r="DQ104" s="458"/>
      <c r="DR104" s="458"/>
      <c r="DS104" s="458"/>
      <c r="DT104" s="458"/>
      <c r="DU104" s="458"/>
      <c r="DV104" s="458"/>
      <c r="DW104" s="458"/>
      <c r="DX104" s="458"/>
      <c r="DY104" s="458"/>
      <c r="DZ104" s="458"/>
      <c r="EA104" s="458"/>
      <c r="EB104" s="458"/>
      <c r="EC104" s="458"/>
      <c r="ED104" s="458"/>
      <c r="EE104" s="458"/>
      <c r="EF104" s="458"/>
      <c r="EG104" s="458"/>
      <c r="EH104" s="458"/>
      <c r="EI104" s="458"/>
      <c r="EJ104" s="458"/>
      <c r="EK104" s="458"/>
      <c r="EL104" s="458"/>
      <c r="EM104" s="459"/>
      <c r="EN104" s="77"/>
      <c r="EO104" s="77"/>
      <c r="EP104" s="77"/>
      <c r="EQ104" s="77"/>
      <c r="ER104" s="77"/>
      <c r="ES104" s="77"/>
      <c r="ET104" s="13"/>
      <c r="EU104" s="13"/>
      <c r="EV104" s="13"/>
      <c r="EW104" s="13"/>
      <c r="EX104" s="13"/>
    </row>
    <row r="105" spans="1:154" ht="120" customHeight="1" x14ac:dyDescent="0.85">
      <c r="A105" s="69"/>
      <c r="B105" s="69"/>
      <c r="C105" s="401" t="s">
        <v>98</v>
      </c>
      <c r="D105" s="401"/>
      <c r="E105" s="401"/>
      <c r="F105" s="401"/>
      <c r="G105" s="401"/>
      <c r="H105" s="401"/>
      <c r="I105" s="401"/>
      <c r="J105" s="401"/>
      <c r="K105" s="401"/>
      <c r="L105" s="401"/>
      <c r="M105" s="401"/>
      <c r="N105" s="401"/>
      <c r="O105" s="401"/>
      <c r="P105" s="401"/>
      <c r="Q105" s="401"/>
      <c r="R105" s="401"/>
      <c r="S105" s="401"/>
      <c r="T105" s="401"/>
      <c r="U105" s="401"/>
      <c r="V105" s="401"/>
      <c r="W105" s="401"/>
      <c r="X105" s="401"/>
      <c r="Y105" s="401"/>
      <c r="Z105" s="401"/>
      <c r="AA105" s="401"/>
      <c r="AB105" s="401"/>
      <c r="AC105" s="401"/>
      <c r="AD105" s="401"/>
      <c r="AE105" s="442">
        <f>HF20</f>
        <v>4</v>
      </c>
      <c r="AF105" s="443"/>
      <c r="AG105" s="443"/>
      <c r="AH105" s="443"/>
      <c r="AI105" s="443"/>
      <c r="AJ105" s="443"/>
      <c r="AK105" s="443"/>
      <c r="AL105" s="444"/>
      <c r="AM105" s="445" t="s">
        <v>102</v>
      </c>
      <c r="AN105" s="446"/>
      <c r="AO105" s="446"/>
      <c r="AP105" s="446"/>
      <c r="AQ105" s="446"/>
      <c r="AR105" s="446"/>
      <c r="AS105" s="446"/>
      <c r="AT105" s="447"/>
      <c r="AU105" s="457"/>
      <c r="AV105" s="458"/>
      <c r="AW105" s="458"/>
      <c r="AX105" s="458"/>
      <c r="AY105" s="458"/>
      <c r="AZ105" s="458"/>
      <c r="BA105" s="458"/>
      <c r="BB105" s="458"/>
      <c r="BC105" s="458"/>
      <c r="BD105" s="458"/>
      <c r="BE105" s="458"/>
      <c r="BF105" s="458"/>
      <c r="BG105" s="458"/>
      <c r="BH105" s="458"/>
      <c r="BI105" s="458"/>
      <c r="BJ105" s="458"/>
      <c r="BK105" s="458"/>
      <c r="BL105" s="458"/>
      <c r="BM105" s="458"/>
      <c r="BN105" s="458"/>
      <c r="BO105" s="458"/>
      <c r="BP105" s="458"/>
      <c r="BQ105" s="458"/>
      <c r="BR105" s="458"/>
      <c r="BS105" s="458"/>
      <c r="BT105" s="458"/>
      <c r="BU105" s="458"/>
      <c r="BV105" s="458"/>
      <c r="BW105" s="458"/>
      <c r="BX105" s="458"/>
      <c r="BY105" s="458"/>
      <c r="BZ105" s="458"/>
      <c r="CA105" s="458"/>
      <c r="CB105" s="458"/>
      <c r="CC105" s="458"/>
      <c r="CD105" s="458"/>
      <c r="CE105" s="458"/>
      <c r="CF105" s="458"/>
      <c r="CG105" s="458"/>
      <c r="CH105" s="459"/>
      <c r="CI105" s="77"/>
      <c r="CJ105" s="77"/>
      <c r="CK105" s="77"/>
      <c r="CL105" s="457"/>
      <c r="CM105" s="458"/>
      <c r="CN105" s="458"/>
      <c r="CO105" s="458"/>
      <c r="CP105" s="458"/>
      <c r="CQ105" s="458"/>
      <c r="CR105" s="458"/>
      <c r="CS105" s="458"/>
      <c r="CT105" s="458"/>
      <c r="CU105" s="458"/>
      <c r="CV105" s="458"/>
      <c r="CW105" s="458"/>
      <c r="CX105" s="458"/>
      <c r="CY105" s="458"/>
      <c r="CZ105" s="458"/>
      <c r="DA105" s="458"/>
      <c r="DB105" s="458"/>
      <c r="DC105" s="458"/>
      <c r="DD105" s="458"/>
      <c r="DE105" s="458"/>
      <c r="DF105" s="458"/>
      <c r="DG105" s="458"/>
      <c r="DH105" s="458"/>
      <c r="DI105" s="458"/>
      <c r="DJ105" s="458"/>
      <c r="DK105" s="458"/>
      <c r="DL105" s="458"/>
      <c r="DM105" s="458"/>
      <c r="DN105" s="458"/>
      <c r="DO105" s="458"/>
      <c r="DP105" s="458"/>
      <c r="DQ105" s="458"/>
      <c r="DR105" s="458"/>
      <c r="DS105" s="458"/>
      <c r="DT105" s="458"/>
      <c r="DU105" s="458"/>
      <c r="DV105" s="458"/>
      <c r="DW105" s="458"/>
      <c r="DX105" s="458"/>
      <c r="DY105" s="458"/>
      <c r="DZ105" s="458"/>
      <c r="EA105" s="458"/>
      <c r="EB105" s="458"/>
      <c r="EC105" s="458"/>
      <c r="ED105" s="458"/>
      <c r="EE105" s="458"/>
      <c r="EF105" s="458"/>
      <c r="EG105" s="458"/>
      <c r="EH105" s="458"/>
      <c r="EI105" s="458"/>
      <c r="EJ105" s="458"/>
      <c r="EK105" s="458"/>
      <c r="EL105" s="458"/>
      <c r="EM105" s="459"/>
      <c r="EN105" s="77"/>
      <c r="EO105" s="77"/>
      <c r="EP105" s="77"/>
      <c r="EQ105" s="77"/>
      <c r="ER105" s="77"/>
      <c r="ES105" s="77"/>
      <c r="ET105" s="13"/>
      <c r="EU105" s="13"/>
      <c r="EV105" s="13"/>
      <c r="EW105" s="13"/>
      <c r="EX105" s="13"/>
    </row>
    <row r="106" spans="1:154" ht="120" customHeight="1" x14ac:dyDescent="0.85">
      <c r="A106" s="69"/>
      <c r="B106" s="69"/>
      <c r="C106" s="465" t="s">
        <v>20</v>
      </c>
      <c r="D106" s="465"/>
      <c r="E106" s="465"/>
      <c r="F106" s="465"/>
      <c r="G106" s="465"/>
      <c r="H106" s="465"/>
      <c r="I106" s="465"/>
      <c r="J106" s="465"/>
      <c r="K106" s="465"/>
      <c r="L106" s="465"/>
      <c r="M106" s="465"/>
      <c r="N106" s="465"/>
      <c r="O106" s="465"/>
      <c r="P106" s="465"/>
      <c r="Q106" s="465"/>
      <c r="R106" s="465"/>
      <c r="S106" s="465"/>
      <c r="T106" s="465"/>
      <c r="U106" s="465"/>
      <c r="V106" s="465"/>
      <c r="W106" s="465"/>
      <c r="X106" s="465"/>
      <c r="Y106" s="465"/>
      <c r="Z106" s="465"/>
      <c r="AA106" s="465"/>
      <c r="AB106" s="465"/>
      <c r="AC106" s="465"/>
      <c r="AD106" s="465"/>
      <c r="AE106" s="440">
        <f>SUM(AE100:AL105)</f>
        <v>204</v>
      </c>
      <c r="AF106" s="449"/>
      <c r="AG106" s="449"/>
      <c r="AH106" s="449"/>
      <c r="AI106" s="449"/>
      <c r="AJ106" s="449"/>
      <c r="AK106" s="449"/>
      <c r="AL106" s="450"/>
      <c r="AM106" s="451"/>
      <c r="AN106" s="452"/>
      <c r="AO106" s="452"/>
      <c r="AP106" s="452"/>
      <c r="AQ106" s="452"/>
      <c r="AR106" s="452"/>
      <c r="AS106" s="452"/>
      <c r="AT106" s="453"/>
      <c r="AU106" s="460"/>
      <c r="AV106" s="461"/>
      <c r="AW106" s="461"/>
      <c r="AX106" s="461"/>
      <c r="AY106" s="461"/>
      <c r="AZ106" s="461"/>
      <c r="BA106" s="461"/>
      <c r="BB106" s="461"/>
      <c r="BC106" s="461"/>
      <c r="BD106" s="461"/>
      <c r="BE106" s="461"/>
      <c r="BF106" s="461"/>
      <c r="BG106" s="461"/>
      <c r="BH106" s="461"/>
      <c r="BI106" s="461"/>
      <c r="BJ106" s="461"/>
      <c r="BK106" s="461"/>
      <c r="BL106" s="461"/>
      <c r="BM106" s="461"/>
      <c r="BN106" s="461"/>
      <c r="BO106" s="461"/>
      <c r="BP106" s="461"/>
      <c r="BQ106" s="461"/>
      <c r="BR106" s="461"/>
      <c r="BS106" s="461"/>
      <c r="BT106" s="461"/>
      <c r="BU106" s="461"/>
      <c r="BV106" s="461"/>
      <c r="BW106" s="461"/>
      <c r="BX106" s="461"/>
      <c r="BY106" s="461"/>
      <c r="BZ106" s="461"/>
      <c r="CA106" s="461"/>
      <c r="CB106" s="461"/>
      <c r="CC106" s="461"/>
      <c r="CD106" s="461"/>
      <c r="CE106" s="461"/>
      <c r="CF106" s="461"/>
      <c r="CG106" s="461"/>
      <c r="CH106" s="462"/>
      <c r="CI106" s="77"/>
      <c r="CJ106" s="77"/>
      <c r="CK106" s="77"/>
      <c r="CL106" s="460"/>
      <c r="CM106" s="461"/>
      <c r="CN106" s="461"/>
      <c r="CO106" s="461"/>
      <c r="CP106" s="461"/>
      <c r="CQ106" s="461"/>
      <c r="CR106" s="461"/>
      <c r="CS106" s="461"/>
      <c r="CT106" s="461"/>
      <c r="CU106" s="461"/>
      <c r="CV106" s="461"/>
      <c r="CW106" s="461"/>
      <c r="CX106" s="461"/>
      <c r="CY106" s="461"/>
      <c r="CZ106" s="461"/>
      <c r="DA106" s="461"/>
      <c r="DB106" s="461"/>
      <c r="DC106" s="461"/>
      <c r="DD106" s="461"/>
      <c r="DE106" s="461"/>
      <c r="DF106" s="461"/>
      <c r="DG106" s="461"/>
      <c r="DH106" s="461"/>
      <c r="DI106" s="461"/>
      <c r="DJ106" s="461"/>
      <c r="DK106" s="461"/>
      <c r="DL106" s="461"/>
      <c r="DM106" s="461"/>
      <c r="DN106" s="461"/>
      <c r="DO106" s="461"/>
      <c r="DP106" s="461"/>
      <c r="DQ106" s="461"/>
      <c r="DR106" s="461"/>
      <c r="DS106" s="461"/>
      <c r="DT106" s="461"/>
      <c r="DU106" s="461"/>
      <c r="DV106" s="461"/>
      <c r="DW106" s="461"/>
      <c r="DX106" s="461"/>
      <c r="DY106" s="461"/>
      <c r="DZ106" s="461"/>
      <c r="EA106" s="461"/>
      <c r="EB106" s="461"/>
      <c r="EC106" s="461"/>
      <c r="ED106" s="461"/>
      <c r="EE106" s="461"/>
      <c r="EF106" s="461"/>
      <c r="EG106" s="461"/>
      <c r="EH106" s="461"/>
      <c r="EI106" s="461"/>
      <c r="EJ106" s="461"/>
      <c r="EK106" s="461"/>
      <c r="EL106" s="461"/>
      <c r="EM106" s="462"/>
      <c r="EN106" s="77"/>
      <c r="EO106" s="77"/>
      <c r="EP106" s="77"/>
      <c r="EQ106" s="77"/>
      <c r="ER106" s="77"/>
      <c r="ES106" s="77"/>
      <c r="ET106" s="13"/>
      <c r="EU106" s="13"/>
      <c r="EV106" s="13"/>
      <c r="EW106" s="13"/>
      <c r="EX106" s="13"/>
    </row>
    <row r="107" spans="1:154" ht="61.5" x14ac:dyDescent="0.85">
      <c r="A107" s="69"/>
      <c r="B107" s="69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8"/>
      <c r="X107" s="78"/>
      <c r="Y107" s="78"/>
      <c r="Z107" s="79"/>
      <c r="AA107" s="79"/>
      <c r="AB107" s="79"/>
      <c r="AC107" s="79"/>
      <c r="AD107" s="77"/>
      <c r="AE107" s="77"/>
      <c r="AF107" s="77"/>
      <c r="AG107" s="77"/>
      <c r="AH107" s="77"/>
      <c r="AI107" s="77"/>
      <c r="AJ107" s="77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  <c r="BG107" s="77"/>
      <c r="BH107" s="77"/>
      <c r="BI107" s="78"/>
      <c r="BJ107" s="78"/>
      <c r="BK107" s="78"/>
      <c r="BL107" s="78"/>
      <c r="BM107" s="78"/>
      <c r="BN107" s="78"/>
      <c r="BO107" s="77"/>
      <c r="BP107" s="77"/>
      <c r="BQ107" s="77"/>
      <c r="BR107" s="77"/>
      <c r="BS107" s="77"/>
      <c r="BT107" s="77"/>
      <c r="BU107" s="77"/>
      <c r="BV107" s="77"/>
      <c r="BW107" s="77"/>
      <c r="BX107" s="77"/>
      <c r="BY107" s="77"/>
      <c r="BZ107" s="77"/>
      <c r="CA107" s="77"/>
      <c r="CB107" s="77"/>
      <c r="CC107" s="77"/>
      <c r="CD107" s="77"/>
      <c r="CE107" s="77"/>
      <c r="CF107" s="77"/>
      <c r="CG107" s="77"/>
      <c r="CH107" s="77"/>
      <c r="CI107" s="77"/>
      <c r="CJ107" s="77"/>
      <c r="CK107" s="77"/>
      <c r="CL107" s="77"/>
      <c r="CM107" s="77"/>
      <c r="CN107" s="77"/>
      <c r="CO107" s="77"/>
      <c r="CP107" s="77"/>
      <c r="CQ107" s="77"/>
      <c r="CR107" s="77"/>
      <c r="CS107" s="77"/>
      <c r="CT107" s="77"/>
      <c r="CU107" s="77"/>
      <c r="CV107" s="77"/>
      <c r="CW107" s="77"/>
      <c r="CX107" s="77"/>
      <c r="CY107" s="77"/>
      <c r="CZ107" s="77"/>
      <c r="DA107" s="77"/>
      <c r="DB107" s="77"/>
      <c r="DC107" s="77"/>
      <c r="DD107" s="77"/>
      <c r="DE107" s="77"/>
      <c r="DF107" s="77"/>
      <c r="DG107" s="77"/>
      <c r="DH107" s="77"/>
      <c r="DI107" s="77"/>
      <c r="DJ107" s="77"/>
      <c r="DK107" s="77"/>
      <c r="DL107" s="77"/>
      <c r="DM107" s="77"/>
      <c r="DN107" s="77"/>
      <c r="DO107" s="77"/>
      <c r="DP107" s="77"/>
      <c r="DQ107" s="77"/>
      <c r="DR107" s="77"/>
      <c r="DS107" s="77"/>
      <c r="DT107" s="77"/>
      <c r="DU107" s="77"/>
      <c r="DV107" s="77"/>
      <c r="DW107" s="77"/>
      <c r="DX107" s="77"/>
      <c r="DY107" s="77"/>
      <c r="DZ107" s="77"/>
      <c r="EA107" s="77"/>
      <c r="EB107" s="77"/>
      <c r="EC107" s="77"/>
      <c r="ED107" s="77"/>
      <c r="EE107" s="77"/>
      <c r="EF107" s="77"/>
      <c r="EG107" s="77"/>
      <c r="EH107" s="77"/>
      <c r="EI107" s="77"/>
      <c r="EJ107" s="77"/>
      <c r="EK107" s="77"/>
      <c r="EL107" s="77"/>
      <c r="EM107" s="77"/>
      <c r="EN107" s="77"/>
      <c r="EO107" s="77"/>
      <c r="EP107" s="77"/>
      <c r="EQ107" s="77"/>
      <c r="ER107" s="77"/>
      <c r="ES107" s="77"/>
      <c r="ET107" s="13"/>
      <c r="EU107" s="13"/>
      <c r="EV107" s="13"/>
      <c r="EW107" s="13"/>
      <c r="EX107" s="13"/>
    </row>
    <row r="108" spans="1:154" ht="120" customHeight="1" x14ac:dyDescent="0.85">
      <c r="A108" s="69"/>
      <c r="B108" s="317" t="s">
        <v>255</v>
      </c>
      <c r="C108" s="317"/>
      <c r="D108" s="317"/>
      <c r="E108" s="317"/>
      <c r="F108" s="317"/>
      <c r="G108" s="317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17"/>
      <c r="V108" s="317"/>
      <c r="W108" s="317"/>
      <c r="X108" s="317"/>
      <c r="Y108" s="318" t="s">
        <v>347</v>
      </c>
      <c r="Z108" s="318"/>
      <c r="AA108" s="318"/>
      <c r="AB108" s="318"/>
      <c r="AC108" s="318"/>
      <c r="AD108" s="318"/>
      <c r="AE108" s="318"/>
      <c r="AF108" s="318"/>
      <c r="AG108" s="318"/>
      <c r="AH108" s="318"/>
      <c r="AI108" s="318"/>
      <c r="AJ108" s="318"/>
      <c r="AK108" s="318"/>
      <c r="AL108" s="318"/>
      <c r="AM108" s="163"/>
      <c r="AN108" s="318" t="s">
        <v>348</v>
      </c>
      <c r="AO108" s="318"/>
      <c r="AP108" s="318"/>
      <c r="AQ108" s="318"/>
      <c r="AR108" s="318"/>
      <c r="AS108" s="318"/>
      <c r="AT108" s="318"/>
      <c r="AU108" s="318"/>
      <c r="AV108" s="318"/>
      <c r="AW108" s="318"/>
      <c r="AX108" s="318"/>
      <c r="AY108" s="318"/>
      <c r="AZ108" s="318"/>
      <c r="BA108" s="318"/>
      <c r="BB108" s="318"/>
      <c r="BC108" s="318"/>
      <c r="BD108" s="318"/>
      <c r="BE108" s="318"/>
      <c r="BF108" s="318"/>
      <c r="BG108" s="318"/>
      <c r="BH108" s="318"/>
      <c r="BI108" s="318"/>
      <c r="BJ108" s="318"/>
      <c r="BK108" s="318"/>
      <c r="BL108" s="318"/>
      <c r="BM108" s="318"/>
      <c r="BN108" s="318"/>
      <c r="BO108" s="318"/>
      <c r="BP108" s="318"/>
      <c r="BQ108" s="318"/>
      <c r="BR108" s="318"/>
      <c r="BS108" s="77"/>
      <c r="BT108" s="77"/>
      <c r="BU108" s="77"/>
      <c r="BV108" s="77"/>
      <c r="BW108" s="77"/>
      <c r="BX108" s="77"/>
      <c r="BY108" s="77"/>
      <c r="BZ108" s="77"/>
      <c r="CA108" s="77"/>
      <c r="CB108" s="77"/>
      <c r="CC108" s="77"/>
      <c r="CD108" s="77"/>
      <c r="CE108" s="77"/>
      <c r="CF108" s="77"/>
      <c r="CG108" s="77"/>
      <c r="CH108" s="77"/>
      <c r="CI108" s="77"/>
      <c r="CJ108" s="77"/>
      <c r="CK108" s="77"/>
      <c r="CL108" s="77"/>
      <c r="CM108" s="77"/>
      <c r="CN108" s="77"/>
      <c r="CO108" s="77"/>
      <c r="CP108" s="77"/>
      <c r="CQ108" s="77"/>
      <c r="CR108" s="77"/>
      <c r="CS108" s="77"/>
      <c r="CT108" s="77"/>
      <c r="CU108" s="77"/>
      <c r="CV108" s="77"/>
      <c r="CW108" s="77"/>
      <c r="CX108" s="77"/>
      <c r="CY108" s="77"/>
      <c r="CZ108" s="77"/>
      <c r="DA108" s="77"/>
      <c r="DB108" s="77"/>
      <c r="DC108" s="77"/>
      <c r="DD108" s="77"/>
      <c r="DE108" s="77"/>
      <c r="DF108" s="77"/>
      <c r="DG108" s="77"/>
      <c r="DH108" s="77"/>
      <c r="DI108" s="77"/>
      <c r="DJ108" s="77"/>
      <c r="DK108" s="77"/>
      <c r="DL108" s="77"/>
      <c r="DM108" s="77"/>
      <c r="DN108" s="77"/>
      <c r="DO108" s="77"/>
      <c r="DP108" s="77"/>
      <c r="DQ108" s="77"/>
      <c r="DR108" s="77"/>
      <c r="DS108" s="77"/>
      <c r="DT108" s="77"/>
      <c r="DU108" s="77"/>
      <c r="DV108" s="77"/>
      <c r="DW108" s="77"/>
      <c r="DX108" s="77"/>
      <c r="DY108" s="77"/>
      <c r="DZ108" s="77"/>
      <c r="EA108" s="77"/>
      <c r="EB108" s="77"/>
      <c r="EC108" s="77"/>
      <c r="ED108" s="77"/>
      <c r="EE108" s="77"/>
      <c r="EF108" s="77"/>
      <c r="EG108" s="77"/>
      <c r="EH108" s="77"/>
      <c r="EI108" s="77"/>
      <c r="EJ108" s="77"/>
      <c r="EK108" s="77"/>
      <c r="EL108" s="77"/>
      <c r="EM108" s="77"/>
      <c r="EN108" s="77"/>
      <c r="EO108" s="77"/>
      <c r="EP108" s="77"/>
      <c r="EQ108" s="77"/>
      <c r="ER108" s="77"/>
      <c r="ES108" s="77"/>
      <c r="ET108" s="13"/>
      <c r="EU108" s="13"/>
      <c r="EV108" s="13"/>
      <c r="EW108" s="13"/>
      <c r="EX108" s="13"/>
    </row>
    <row r="109" spans="1:154" ht="75" x14ac:dyDescent="0.85">
      <c r="A109" s="69"/>
      <c r="B109" s="317"/>
      <c r="C109" s="317"/>
      <c r="D109" s="317"/>
      <c r="E109" s="317"/>
      <c r="F109" s="317"/>
      <c r="G109" s="317"/>
      <c r="H109" s="317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317"/>
      <c r="W109" s="317"/>
      <c r="X109" s="317"/>
      <c r="Y109" s="163"/>
      <c r="Z109" s="163"/>
      <c r="AA109" s="163"/>
      <c r="AB109" s="163"/>
      <c r="AC109" s="163"/>
      <c r="AD109" s="163"/>
      <c r="AE109" s="163"/>
      <c r="AF109" s="163"/>
      <c r="AG109" s="163"/>
      <c r="AH109" s="163"/>
      <c r="AI109" s="163"/>
      <c r="AJ109" s="163"/>
      <c r="AK109" s="163"/>
      <c r="AL109" s="163"/>
      <c r="AM109" s="163"/>
      <c r="AN109" s="163"/>
      <c r="AO109" s="163"/>
      <c r="AP109" s="163"/>
      <c r="AQ109" s="163"/>
      <c r="AR109" s="163"/>
      <c r="AS109" s="163"/>
      <c r="AT109" s="163"/>
      <c r="AU109" s="163"/>
      <c r="AV109" s="163"/>
      <c r="AW109" s="163"/>
      <c r="AX109" s="163"/>
      <c r="AY109" s="163"/>
      <c r="AZ109" s="163"/>
      <c r="BA109" s="163"/>
      <c r="BB109" s="163"/>
      <c r="BC109" s="163"/>
      <c r="BD109" s="163"/>
      <c r="BE109" s="163"/>
      <c r="BF109" s="163"/>
      <c r="BG109" s="163"/>
      <c r="BH109" s="163"/>
      <c r="BI109" s="163"/>
      <c r="BJ109" s="163"/>
      <c r="BK109" s="163"/>
      <c r="BL109" s="163"/>
      <c r="BM109" s="163"/>
      <c r="BN109" s="163"/>
      <c r="BO109" s="163"/>
      <c r="BP109" s="163"/>
      <c r="BQ109" s="163"/>
      <c r="BR109" s="163"/>
      <c r="BS109" s="77"/>
      <c r="BT109" s="77"/>
      <c r="BU109" s="77"/>
      <c r="BV109" s="77"/>
      <c r="BW109" s="77"/>
      <c r="BX109" s="77"/>
      <c r="BY109" s="77"/>
      <c r="BZ109" s="77"/>
      <c r="CA109" s="77"/>
      <c r="CB109" s="77"/>
      <c r="CC109" s="77"/>
      <c r="CD109" s="77"/>
      <c r="CE109" s="77"/>
      <c r="CF109" s="77"/>
      <c r="CG109" s="77"/>
      <c r="CH109" s="77"/>
      <c r="CI109" s="77"/>
      <c r="CJ109" s="77"/>
      <c r="CK109" s="77"/>
      <c r="CL109" s="77"/>
      <c r="CM109" s="77"/>
      <c r="CN109" s="77"/>
      <c r="CO109" s="77"/>
      <c r="CP109" s="77"/>
      <c r="CQ109" s="77"/>
      <c r="CR109" s="77"/>
      <c r="CS109" s="77"/>
      <c r="CT109" s="77"/>
      <c r="CU109" s="77"/>
      <c r="CV109" s="77"/>
      <c r="CW109" s="77"/>
      <c r="CX109" s="77"/>
      <c r="CY109" s="77"/>
      <c r="CZ109" s="77"/>
      <c r="DA109" s="77"/>
      <c r="DB109" s="77"/>
      <c r="DC109" s="77"/>
      <c r="DD109" s="77"/>
      <c r="DE109" s="77"/>
      <c r="DF109" s="77"/>
      <c r="DG109" s="77"/>
      <c r="DH109" s="77"/>
      <c r="DI109" s="77"/>
      <c r="DJ109" s="77"/>
      <c r="DK109" s="77"/>
      <c r="DL109" s="77"/>
      <c r="DM109" s="77"/>
      <c r="DN109" s="77"/>
      <c r="DO109" s="77"/>
      <c r="DP109" s="77"/>
      <c r="DQ109" s="77"/>
      <c r="DR109" s="77"/>
      <c r="DS109" s="77"/>
      <c r="DT109" s="77"/>
      <c r="DU109" s="77"/>
      <c r="DV109" s="77"/>
      <c r="DW109" s="77"/>
      <c r="DX109" s="77"/>
      <c r="DY109" s="77"/>
      <c r="DZ109" s="77"/>
      <c r="EA109" s="77"/>
      <c r="EB109" s="77"/>
      <c r="EC109" s="77"/>
      <c r="ED109" s="77"/>
      <c r="EE109" s="77"/>
      <c r="EF109" s="77"/>
      <c r="EG109" s="77"/>
      <c r="EH109" s="77"/>
      <c r="EI109" s="77"/>
      <c r="EJ109" s="77"/>
      <c r="EK109" s="77"/>
      <c r="EL109" s="77"/>
      <c r="EM109" s="77"/>
      <c r="EN109" s="77"/>
      <c r="EO109" s="77"/>
      <c r="EP109" s="77"/>
      <c r="EQ109" s="77"/>
      <c r="ER109" s="77"/>
      <c r="ES109" s="77"/>
      <c r="ET109" s="13"/>
      <c r="EU109" s="13"/>
      <c r="EV109" s="13"/>
      <c r="EW109" s="13"/>
      <c r="EX109" s="13"/>
    </row>
    <row r="110" spans="1:154" ht="120" customHeight="1" x14ac:dyDescent="0.85">
      <c r="A110" s="69"/>
      <c r="B110" s="317" t="s">
        <v>256</v>
      </c>
      <c r="C110" s="317"/>
      <c r="D110" s="317"/>
      <c r="E110" s="317"/>
      <c r="F110" s="317"/>
      <c r="G110" s="317"/>
      <c r="H110" s="317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17"/>
      <c r="V110" s="317"/>
      <c r="W110" s="317"/>
      <c r="X110" s="317"/>
      <c r="Y110" s="318" t="s">
        <v>347</v>
      </c>
      <c r="Z110" s="318"/>
      <c r="AA110" s="318"/>
      <c r="AB110" s="318"/>
      <c r="AC110" s="318"/>
      <c r="AD110" s="318"/>
      <c r="AE110" s="318"/>
      <c r="AF110" s="318"/>
      <c r="AG110" s="318"/>
      <c r="AH110" s="318"/>
      <c r="AI110" s="318"/>
      <c r="AJ110" s="318"/>
      <c r="AK110" s="318"/>
      <c r="AL110" s="318"/>
      <c r="AM110" s="163"/>
      <c r="AN110" s="318" t="s">
        <v>349</v>
      </c>
      <c r="AO110" s="318"/>
      <c r="AP110" s="318"/>
      <c r="AQ110" s="318"/>
      <c r="AR110" s="318"/>
      <c r="AS110" s="318"/>
      <c r="AT110" s="318"/>
      <c r="AU110" s="318"/>
      <c r="AV110" s="318"/>
      <c r="AW110" s="318"/>
      <c r="AX110" s="318"/>
      <c r="AY110" s="318"/>
      <c r="AZ110" s="318"/>
      <c r="BA110" s="318"/>
      <c r="BB110" s="318"/>
      <c r="BC110" s="318"/>
      <c r="BD110" s="318"/>
      <c r="BE110" s="318"/>
      <c r="BF110" s="318"/>
      <c r="BG110" s="318"/>
      <c r="BH110" s="318"/>
      <c r="BI110" s="318"/>
      <c r="BJ110" s="318"/>
      <c r="BK110" s="318"/>
      <c r="BL110" s="318"/>
      <c r="BM110" s="318"/>
      <c r="BN110" s="318"/>
      <c r="BO110" s="318"/>
      <c r="BP110" s="318"/>
      <c r="BQ110" s="318"/>
      <c r="BR110" s="318"/>
      <c r="BS110" s="77"/>
      <c r="BT110" s="77"/>
      <c r="BU110" s="77"/>
      <c r="BV110" s="77"/>
      <c r="BW110" s="77"/>
      <c r="BX110" s="77"/>
      <c r="BY110" s="77"/>
      <c r="BZ110" s="77"/>
      <c r="CA110" s="77"/>
      <c r="CB110" s="77"/>
      <c r="CC110" s="77"/>
      <c r="CD110" s="77"/>
      <c r="CE110" s="77"/>
      <c r="CF110" s="77"/>
      <c r="CG110" s="77"/>
      <c r="CH110" s="77"/>
      <c r="CI110" s="77"/>
      <c r="CJ110" s="77"/>
      <c r="CK110" s="77"/>
      <c r="CL110" s="77"/>
      <c r="CM110" s="77"/>
      <c r="CN110" s="77"/>
      <c r="CO110" s="77"/>
      <c r="CP110" s="77"/>
      <c r="CQ110" s="77"/>
      <c r="CR110" s="77"/>
      <c r="CS110" s="77"/>
      <c r="CT110" s="77"/>
      <c r="CU110" s="77"/>
      <c r="CV110" s="77"/>
      <c r="CW110" s="77"/>
      <c r="CX110" s="77"/>
      <c r="CY110" s="77"/>
      <c r="CZ110" s="77"/>
      <c r="DA110" s="77"/>
      <c r="DB110" s="77"/>
      <c r="DC110" s="77"/>
      <c r="DD110" s="77"/>
      <c r="DE110" s="77"/>
      <c r="DF110" s="77"/>
      <c r="DG110" s="77"/>
      <c r="DH110" s="77"/>
      <c r="DI110" s="77"/>
      <c r="DJ110" s="77"/>
      <c r="DK110" s="77"/>
      <c r="DL110" s="77"/>
      <c r="DM110" s="77"/>
      <c r="DN110" s="77"/>
      <c r="DO110" s="77"/>
      <c r="DP110" s="77"/>
      <c r="DQ110" s="77"/>
      <c r="DR110" s="77"/>
      <c r="DS110" s="77"/>
      <c r="DT110" s="77"/>
      <c r="DU110" s="77"/>
      <c r="DV110" s="77"/>
      <c r="DW110" s="77"/>
      <c r="DX110" s="77"/>
      <c r="DY110" s="77"/>
      <c r="DZ110" s="77"/>
      <c r="EA110" s="77"/>
      <c r="EB110" s="77"/>
      <c r="EC110" s="77"/>
      <c r="ED110" s="77"/>
      <c r="EE110" s="77"/>
      <c r="EF110" s="77"/>
      <c r="EG110" s="77"/>
      <c r="EH110" s="77"/>
      <c r="EI110" s="77"/>
      <c r="EJ110" s="77"/>
      <c r="EK110" s="77"/>
      <c r="EL110" s="77"/>
      <c r="EM110" s="77"/>
      <c r="EN110" s="77"/>
      <c r="EO110" s="77"/>
      <c r="EP110" s="77"/>
      <c r="EQ110" s="77"/>
      <c r="ER110" s="77"/>
      <c r="ES110" s="77"/>
      <c r="ET110" s="13"/>
    </row>
    <row r="111" spans="1:154" ht="75" x14ac:dyDescent="0.85">
      <c r="A111" s="69"/>
      <c r="B111" s="317"/>
      <c r="C111" s="317"/>
      <c r="D111" s="317"/>
      <c r="E111" s="317"/>
      <c r="F111" s="317"/>
      <c r="G111" s="317"/>
      <c r="H111" s="317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17"/>
      <c r="V111" s="317"/>
      <c r="W111" s="317"/>
      <c r="X111" s="317"/>
      <c r="Y111" s="163"/>
      <c r="Z111" s="163"/>
      <c r="AA111" s="163"/>
      <c r="AB111" s="163"/>
      <c r="AC111" s="163"/>
      <c r="AD111" s="163"/>
      <c r="AE111" s="163"/>
      <c r="AF111" s="163"/>
      <c r="AG111" s="163"/>
      <c r="AH111" s="163"/>
      <c r="AI111" s="163"/>
      <c r="AJ111" s="163"/>
      <c r="AK111" s="163"/>
      <c r="AL111" s="163"/>
      <c r="AM111" s="163"/>
      <c r="AN111" s="163"/>
      <c r="AO111" s="163"/>
      <c r="AP111" s="163"/>
      <c r="AQ111" s="163"/>
      <c r="AR111" s="163"/>
      <c r="AS111" s="163"/>
      <c r="AT111" s="163"/>
      <c r="AU111" s="163"/>
      <c r="AV111" s="163"/>
      <c r="AW111" s="163"/>
      <c r="AX111" s="163"/>
      <c r="AY111" s="163"/>
      <c r="AZ111" s="163"/>
      <c r="BA111" s="163"/>
      <c r="BB111" s="163"/>
      <c r="BC111" s="163"/>
      <c r="BD111" s="163"/>
      <c r="BE111" s="163"/>
      <c r="BF111" s="163"/>
      <c r="BG111" s="163"/>
      <c r="BH111" s="163"/>
      <c r="BI111" s="163"/>
      <c r="BJ111" s="163"/>
      <c r="BK111" s="163"/>
      <c r="BL111" s="163"/>
      <c r="BM111" s="163"/>
      <c r="BN111" s="163"/>
      <c r="BO111" s="163"/>
      <c r="BP111" s="163"/>
      <c r="BQ111" s="163"/>
      <c r="BR111" s="163"/>
      <c r="BS111" s="77"/>
      <c r="BT111" s="77"/>
      <c r="BU111" s="77"/>
      <c r="BV111" s="77"/>
      <c r="BW111" s="77"/>
      <c r="BX111" s="77"/>
      <c r="BY111" s="77"/>
      <c r="BZ111" s="77"/>
      <c r="CA111" s="77"/>
      <c r="CB111" s="77"/>
      <c r="CC111" s="77"/>
      <c r="CD111" s="77"/>
      <c r="CE111" s="77"/>
      <c r="CF111" s="77"/>
      <c r="CG111" s="77"/>
      <c r="CH111" s="77"/>
      <c r="CI111" s="77"/>
      <c r="CJ111" s="77"/>
      <c r="CK111" s="77"/>
      <c r="CL111" s="77"/>
      <c r="CM111" s="77"/>
      <c r="CN111" s="77"/>
      <c r="CO111" s="77"/>
      <c r="CP111" s="77"/>
      <c r="CQ111" s="77"/>
      <c r="CR111" s="77"/>
      <c r="CS111" s="77"/>
      <c r="CT111" s="77"/>
      <c r="CU111" s="77"/>
      <c r="CV111" s="77"/>
      <c r="CW111" s="77"/>
      <c r="CX111" s="77"/>
      <c r="CY111" s="77"/>
      <c r="CZ111" s="77"/>
      <c r="DA111" s="77"/>
      <c r="DB111" s="77"/>
      <c r="DC111" s="77"/>
      <c r="DD111" s="77"/>
      <c r="DE111" s="77"/>
      <c r="DF111" s="77"/>
      <c r="DG111" s="77"/>
      <c r="DH111" s="77"/>
      <c r="DI111" s="77"/>
      <c r="DJ111" s="77"/>
      <c r="DK111" s="77"/>
      <c r="DL111" s="77"/>
      <c r="DM111" s="77"/>
      <c r="DN111" s="77"/>
      <c r="DO111" s="77"/>
      <c r="DP111" s="77"/>
      <c r="DQ111" s="77"/>
      <c r="DR111" s="77"/>
      <c r="DS111" s="77"/>
      <c r="DT111" s="77"/>
      <c r="DU111" s="77"/>
      <c r="DV111" s="77"/>
      <c r="DW111" s="77"/>
      <c r="DX111" s="77"/>
      <c r="DY111" s="77"/>
      <c r="DZ111" s="77"/>
      <c r="EA111" s="77"/>
      <c r="EB111" s="77"/>
      <c r="EC111" s="77"/>
      <c r="ED111" s="77"/>
      <c r="EE111" s="77"/>
      <c r="EF111" s="77"/>
      <c r="EG111" s="77"/>
      <c r="EH111" s="77"/>
      <c r="EI111" s="77"/>
      <c r="EJ111" s="77"/>
      <c r="EK111" s="77"/>
      <c r="EL111" s="77"/>
      <c r="EM111" s="77"/>
      <c r="EN111" s="77"/>
      <c r="EO111" s="77"/>
      <c r="EP111" s="77"/>
      <c r="EQ111" s="77"/>
      <c r="ER111" s="77"/>
      <c r="ES111" s="77"/>
    </row>
    <row r="112" spans="1:154" ht="120" customHeight="1" x14ac:dyDescent="0.85">
      <c r="A112" s="69"/>
      <c r="B112" s="317" t="s">
        <v>230</v>
      </c>
      <c r="C112" s="317"/>
      <c r="D112" s="317"/>
      <c r="E112" s="317"/>
      <c r="F112" s="317"/>
      <c r="G112" s="317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317"/>
      <c r="W112" s="317"/>
      <c r="X112" s="317"/>
      <c r="Y112" s="318" t="s">
        <v>347</v>
      </c>
      <c r="Z112" s="318"/>
      <c r="AA112" s="318"/>
      <c r="AB112" s="318"/>
      <c r="AC112" s="318"/>
      <c r="AD112" s="318"/>
      <c r="AE112" s="318"/>
      <c r="AF112" s="318"/>
      <c r="AG112" s="318"/>
      <c r="AH112" s="318"/>
      <c r="AI112" s="318"/>
      <c r="AJ112" s="318"/>
      <c r="AK112" s="318"/>
      <c r="AL112" s="318"/>
      <c r="AM112" s="163"/>
      <c r="AN112" s="318" t="s">
        <v>348</v>
      </c>
      <c r="AO112" s="318"/>
      <c r="AP112" s="318"/>
      <c r="AQ112" s="318"/>
      <c r="AR112" s="318"/>
      <c r="AS112" s="318"/>
      <c r="AT112" s="318"/>
      <c r="AU112" s="318"/>
      <c r="AV112" s="318"/>
      <c r="AW112" s="318"/>
      <c r="AX112" s="318"/>
      <c r="AY112" s="318"/>
      <c r="AZ112" s="318"/>
      <c r="BA112" s="318"/>
      <c r="BB112" s="318"/>
      <c r="BC112" s="318"/>
      <c r="BD112" s="318"/>
      <c r="BE112" s="318"/>
      <c r="BF112" s="318"/>
      <c r="BG112" s="318"/>
      <c r="BH112" s="318"/>
      <c r="BI112" s="318"/>
      <c r="BJ112" s="318"/>
      <c r="BK112" s="318"/>
      <c r="BL112" s="318"/>
      <c r="BM112" s="318"/>
      <c r="BN112" s="318"/>
      <c r="BO112" s="318"/>
      <c r="BP112" s="318"/>
      <c r="BQ112" s="318"/>
      <c r="BR112" s="318"/>
      <c r="BS112" s="77"/>
      <c r="BT112" s="77"/>
      <c r="BU112" s="77"/>
      <c r="BV112" s="77"/>
      <c r="BW112" s="77"/>
      <c r="BX112" s="77"/>
      <c r="BY112" s="77"/>
      <c r="BZ112" s="77"/>
      <c r="CA112" s="77"/>
      <c r="CB112" s="77"/>
      <c r="CC112" s="77"/>
      <c r="CD112" s="77"/>
      <c r="CE112" s="77"/>
      <c r="CF112" s="77"/>
      <c r="CG112" s="77"/>
      <c r="CH112" s="77"/>
      <c r="CI112" s="77"/>
      <c r="CJ112" s="77"/>
      <c r="CK112" s="77"/>
      <c r="CL112" s="77"/>
      <c r="CM112" s="77"/>
      <c r="CN112" s="77"/>
      <c r="CO112" s="77"/>
      <c r="CP112" s="77"/>
      <c r="CQ112" s="77"/>
      <c r="CR112" s="77"/>
      <c r="CS112" s="77"/>
      <c r="CT112" s="77"/>
      <c r="CU112" s="77"/>
      <c r="CV112" s="77"/>
      <c r="CW112" s="77"/>
      <c r="CX112" s="77"/>
      <c r="CY112" s="77"/>
      <c r="CZ112" s="77"/>
      <c r="DA112" s="77"/>
      <c r="DB112" s="77"/>
      <c r="DC112" s="77"/>
      <c r="DD112" s="77"/>
      <c r="DE112" s="77"/>
      <c r="DF112" s="77"/>
      <c r="DG112" s="77"/>
      <c r="DH112" s="77"/>
      <c r="DI112" s="77"/>
      <c r="DJ112" s="77"/>
      <c r="DK112" s="77"/>
      <c r="DL112" s="77"/>
      <c r="DM112" s="77"/>
      <c r="DN112" s="77"/>
      <c r="DO112" s="77"/>
      <c r="DP112" s="77"/>
      <c r="DQ112" s="77"/>
      <c r="DR112" s="77"/>
      <c r="DS112" s="77"/>
      <c r="DT112" s="77"/>
      <c r="DU112" s="77"/>
      <c r="DV112" s="77"/>
      <c r="DW112" s="77"/>
      <c r="DX112" s="77"/>
      <c r="DY112" s="77"/>
      <c r="DZ112" s="77"/>
      <c r="EA112" s="77"/>
      <c r="EB112" s="77"/>
      <c r="EC112" s="77"/>
      <c r="ED112" s="77"/>
      <c r="EE112" s="77"/>
      <c r="EF112" s="77"/>
      <c r="EG112" s="77"/>
      <c r="EH112" s="77"/>
      <c r="EI112" s="77"/>
      <c r="EJ112" s="77"/>
      <c r="EK112" s="77"/>
      <c r="EL112" s="77"/>
      <c r="EM112" s="77"/>
      <c r="EN112" s="77"/>
      <c r="EO112" s="77"/>
      <c r="EP112" s="77"/>
      <c r="EQ112" s="77"/>
      <c r="ER112" s="77"/>
      <c r="ES112" s="77"/>
    </row>
    <row r="113" spans="1:149" ht="75" x14ac:dyDescent="0.85">
      <c r="A113" s="69"/>
      <c r="B113" s="317"/>
      <c r="C113" s="317"/>
      <c r="D113" s="317"/>
      <c r="E113" s="317"/>
      <c r="F113" s="317"/>
      <c r="G113" s="317"/>
      <c r="H113" s="317"/>
      <c r="I113" s="317"/>
      <c r="J113" s="317"/>
      <c r="K113" s="317"/>
      <c r="L113" s="317"/>
      <c r="M113" s="317"/>
      <c r="N113" s="317"/>
      <c r="O113" s="317"/>
      <c r="P113" s="317"/>
      <c r="Q113" s="317"/>
      <c r="R113" s="317"/>
      <c r="S113" s="317"/>
      <c r="T113" s="317"/>
      <c r="U113" s="317"/>
      <c r="V113" s="317"/>
      <c r="W113" s="317"/>
      <c r="X113" s="317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M113" s="163"/>
      <c r="AN113" s="163"/>
      <c r="AO113" s="163"/>
      <c r="AP113" s="163"/>
      <c r="AQ113" s="163"/>
      <c r="AR113" s="163"/>
      <c r="AS113" s="163"/>
      <c r="AT113" s="163"/>
      <c r="AU113" s="163"/>
      <c r="AV113" s="448"/>
      <c r="AW113" s="448"/>
      <c r="AX113" s="448"/>
      <c r="AY113" s="448"/>
      <c r="AZ113" s="448"/>
      <c r="BA113" s="448"/>
      <c r="BB113" s="448"/>
      <c r="BC113" s="448"/>
      <c r="BD113" s="448"/>
      <c r="BE113" s="448"/>
      <c r="BF113" s="448"/>
      <c r="BG113" s="448"/>
      <c r="BH113" s="448"/>
      <c r="BI113" s="448"/>
      <c r="BJ113" s="448"/>
      <c r="BK113" s="448"/>
      <c r="BL113" s="448"/>
      <c r="BM113" s="448"/>
      <c r="BN113" s="448"/>
      <c r="BO113" s="448"/>
      <c r="BP113" s="448"/>
      <c r="BQ113" s="448"/>
      <c r="BR113" s="448"/>
      <c r="BS113" s="77"/>
      <c r="BT113" s="77"/>
      <c r="BU113" s="77"/>
      <c r="BV113" s="77"/>
      <c r="BW113" s="77"/>
      <c r="BX113" s="77"/>
      <c r="BY113" s="77"/>
      <c r="BZ113" s="77"/>
      <c r="CA113" s="77"/>
      <c r="CB113" s="77"/>
      <c r="CC113" s="77"/>
      <c r="CD113" s="77"/>
      <c r="CE113" s="77"/>
      <c r="CF113" s="77"/>
      <c r="CG113" s="77"/>
      <c r="CH113" s="77"/>
      <c r="CI113" s="77"/>
      <c r="CJ113" s="77"/>
      <c r="CK113" s="77"/>
      <c r="CL113" s="77"/>
      <c r="CM113" s="77"/>
      <c r="CN113" s="77"/>
      <c r="CO113" s="77"/>
      <c r="CP113" s="77"/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77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77"/>
      <c r="DQ113" s="77"/>
      <c r="DR113" s="77"/>
      <c r="DS113" s="77"/>
      <c r="DT113" s="77"/>
      <c r="DU113" s="77"/>
      <c r="DV113" s="77"/>
      <c r="DW113" s="77"/>
      <c r="DX113" s="77"/>
      <c r="DY113" s="77"/>
      <c r="DZ113" s="77"/>
      <c r="EA113" s="77"/>
      <c r="EB113" s="77"/>
      <c r="EC113" s="77"/>
      <c r="ED113" s="77"/>
      <c r="EE113" s="77"/>
      <c r="EF113" s="77"/>
      <c r="EG113" s="77"/>
      <c r="EH113" s="77"/>
      <c r="EI113" s="77"/>
      <c r="EJ113" s="77"/>
      <c r="EK113" s="77"/>
      <c r="EL113" s="77"/>
      <c r="EM113" s="77"/>
      <c r="EN113" s="77"/>
      <c r="EO113" s="77"/>
      <c r="EP113" s="77"/>
      <c r="EQ113" s="77"/>
      <c r="ER113" s="77"/>
      <c r="ES113" s="77"/>
    </row>
  </sheetData>
  <mergeCells count="1504">
    <mergeCell ref="DH48:DL48"/>
    <mergeCell ref="DM48:DQ48"/>
    <mergeCell ref="DR48:DV48"/>
    <mergeCell ref="DW48:EA48"/>
    <mergeCell ref="EB48:EF48"/>
    <mergeCell ref="EG48:EK48"/>
    <mergeCell ref="EL48:EP48"/>
    <mergeCell ref="EQ48:ES48"/>
    <mergeCell ref="C48:Y48"/>
    <mergeCell ref="Z48:AC48"/>
    <mergeCell ref="AD48:AF48"/>
    <mergeCell ref="AG48:AK48"/>
    <mergeCell ref="AL48:AP48"/>
    <mergeCell ref="AQ48:AU48"/>
    <mergeCell ref="AV48:AZ48"/>
    <mergeCell ref="BA48:BE48"/>
    <mergeCell ref="BF48:BJ48"/>
    <mergeCell ref="BK48:BN48"/>
    <mergeCell ref="BO48:BS48"/>
    <mergeCell ref="BT48:BX48"/>
    <mergeCell ref="BY48:CC48"/>
    <mergeCell ref="CD48:CH48"/>
    <mergeCell ref="CI48:CM48"/>
    <mergeCell ref="CN48:CR48"/>
    <mergeCell ref="CS48:CW48"/>
    <mergeCell ref="EL79:EP80"/>
    <mergeCell ref="EQ79:ES80"/>
    <mergeCell ref="AQ79:AU80"/>
    <mergeCell ref="CX65:DB66"/>
    <mergeCell ref="DC65:DG66"/>
    <mergeCell ref="DH65:DL66"/>
    <mergeCell ref="DM65:DQ66"/>
    <mergeCell ref="DR65:DV66"/>
    <mergeCell ref="DW65:EA66"/>
    <mergeCell ref="EB65:EF66"/>
    <mergeCell ref="EG65:EK66"/>
    <mergeCell ref="EL65:EP66"/>
    <mergeCell ref="EQ65:ES66"/>
    <mergeCell ref="C66:Y66"/>
    <mergeCell ref="C65:Y65"/>
    <mergeCell ref="Z65:AC66"/>
    <mergeCell ref="AD65:AF66"/>
    <mergeCell ref="AG65:AK66"/>
    <mergeCell ref="AL65:AP66"/>
    <mergeCell ref="AQ65:AU66"/>
    <mergeCell ref="AV65:AZ66"/>
    <mergeCell ref="BA65:BE66"/>
    <mergeCell ref="BF65:BJ66"/>
    <mergeCell ref="BK65:BN66"/>
    <mergeCell ref="BO65:BS66"/>
    <mergeCell ref="BT65:BX66"/>
    <mergeCell ref="BY65:CC66"/>
    <mergeCell ref="CD65:CH66"/>
    <mergeCell ref="CI65:CM66"/>
    <mergeCell ref="CN65:CR66"/>
    <mergeCell ref="CS65:CW66"/>
    <mergeCell ref="EB73:EF74"/>
    <mergeCell ref="EQ55:ES55"/>
    <mergeCell ref="BF67:BJ68"/>
    <mergeCell ref="DM55:DQ55"/>
    <mergeCell ref="DR55:DV55"/>
    <mergeCell ref="DW55:EA55"/>
    <mergeCell ref="EB55:EF55"/>
    <mergeCell ref="EB69:EF70"/>
    <mergeCell ref="EG69:EK70"/>
    <mergeCell ref="EL69:EP70"/>
    <mergeCell ref="EQ69:ES70"/>
    <mergeCell ref="C70:Y70"/>
    <mergeCell ref="CS69:CW70"/>
    <mergeCell ref="CX69:DB70"/>
    <mergeCell ref="DC69:DG70"/>
    <mergeCell ref="DH69:DL70"/>
    <mergeCell ref="DM69:DQ70"/>
    <mergeCell ref="DR69:DV70"/>
    <mergeCell ref="BO69:BS70"/>
    <mergeCell ref="BT69:BX70"/>
    <mergeCell ref="BY69:CC70"/>
    <mergeCell ref="CD69:CH70"/>
    <mergeCell ref="CI69:CM70"/>
    <mergeCell ref="CN69:CR70"/>
    <mergeCell ref="AL69:AP70"/>
    <mergeCell ref="AQ69:AU70"/>
    <mergeCell ref="AV69:AZ70"/>
    <mergeCell ref="BA69:BE70"/>
    <mergeCell ref="BF69:BJ70"/>
    <mergeCell ref="BK69:BN70"/>
    <mergeCell ref="DR57:DV57"/>
    <mergeCell ref="DW57:EA57"/>
    <mergeCell ref="DR56:DV56"/>
    <mergeCell ref="EQ54:ES54"/>
    <mergeCell ref="A69:A70"/>
    <mergeCell ref="C69:Y69"/>
    <mergeCell ref="Z69:AC70"/>
    <mergeCell ref="AD69:AF70"/>
    <mergeCell ref="AG69:AK70"/>
    <mergeCell ref="A67:A68"/>
    <mergeCell ref="DR67:DV68"/>
    <mergeCell ref="DW67:EA68"/>
    <mergeCell ref="EB67:EF68"/>
    <mergeCell ref="EG67:EK68"/>
    <mergeCell ref="EL67:EP68"/>
    <mergeCell ref="EQ67:ES68"/>
    <mergeCell ref="CN67:CR68"/>
    <mergeCell ref="CS67:CW68"/>
    <mergeCell ref="CX67:DB68"/>
    <mergeCell ref="DC67:DG68"/>
    <mergeCell ref="DH67:DL68"/>
    <mergeCell ref="DM67:DQ68"/>
    <mergeCell ref="BK67:BN68"/>
    <mergeCell ref="BO67:BS68"/>
    <mergeCell ref="BT67:BX68"/>
    <mergeCell ref="BY67:CC68"/>
    <mergeCell ref="CD67:CH68"/>
    <mergeCell ref="CI67:CM68"/>
    <mergeCell ref="C67:Y67"/>
    <mergeCell ref="Z67:AC68"/>
    <mergeCell ref="AD67:AF68"/>
    <mergeCell ref="AG67:AK68"/>
    <mergeCell ref="AL67:AP68"/>
    <mergeCell ref="AQ67:AU68"/>
    <mergeCell ref="AV67:AZ68"/>
    <mergeCell ref="EG55:EK55"/>
    <mergeCell ref="EL55:EP55"/>
    <mergeCell ref="CI55:CM55"/>
    <mergeCell ref="CN55:CR55"/>
    <mergeCell ref="CS55:CW55"/>
    <mergeCell ref="CX55:DB55"/>
    <mergeCell ref="DC55:DG55"/>
    <mergeCell ref="DH55:DL55"/>
    <mergeCell ref="BF55:BJ55"/>
    <mergeCell ref="BK55:BN55"/>
    <mergeCell ref="BO55:BS55"/>
    <mergeCell ref="BT55:BX55"/>
    <mergeCell ref="BY55:CC55"/>
    <mergeCell ref="CD55:CH55"/>
    <mergeCell ref="EG54:EK54"/>
    <mergeCell ref="EL54:EP54"/>
    <mergeCell ref="DM54:DQ54"/>
    <mergeCell ref="DR54:DV54"/>
    <mergeCell ref="DW54:EA54"/>
    <mergeCell ref="BO56:BS56"/>
    <mergeCell ref="BT56:BX56"/>
    <mergeCell ref="BY56:CC56"/>
    <mergeCell ref="CD56:CH56"/>
    <mergeCell ref="CI56:CM56"/>
    <mergeCell ref="Z55:AC55"/>
    <mergeCell ref="AD55:AF55"/>
    <mergeCell ref="AG55:AK55"/>
    <mergeCell ref="AL55:AP55"/>
    <mergeCell ref="AQ55:AU55"/>
    <mergeCell ref="AV55:AZ55"/>
    <mergeCell ref="BA55:BE55"/>
    <mergeCell ref="BF56:BJ56"/>
    <mergeCell ref="EB54:EF54"/>
    <mergeCell ref="BY54:CC54"/>
    <mergeCell ref="CD54:CH54"/>
    <mergeCell ref="CI54:CM54"/>
    <mergeCell ref="CN54:CR54"/>
    <mergeCell ref="CS54:CW54"/>
    <mergeCell ref="CX54:DB54"/>
    <mergeCell ref="AV54:AZ54"/>
    <mergeCell ref="BA54:BE54"/>
    <mergeCell ref="BF54:BJ54"/>
    <mergeCell ref="BK54:BN54"/>
    <mergeCell ref="BO54:BS54"/>
    <mergeCell ref="BT54:BX54"/>
    <mergeCell ref="DC54:DG54"/>
    <mergeCell ref="C56:Y56"/>
    <mergeCell ref="Z56:AC56"/>
    <mergeCell ref="AD56:AF56"/>
    <mergeCell ref="AG56:AK56"/>
    <mergeCell ref="AL56:AP56"/>
    <mergeCell ref="AQ56:AU56"/>
    <mergeCell ref="CN57:CR57"/>
    <mergeCell ref="CS57:CW57"/>
    <mergeCell ref="CX57:DB57"/>
    <mergeCell ref="DC57:DG57"/>
    <mergeCell ref="DH57:DL57"/>
    <mergeCell ref="DM57:DQ57"/>
    <mergeCell ref="EQ52:ES52"/>
    <mergeCell ref="Z57:AC57"/>
    <mergeCell ref="AD57:AF57"/>
    <mergeCell ref="AG57:AK57"/>
    <mergeCell ref="AL57:AP57"/>
    <mergeCell ref="AQ57:AU57"/>
    <mergeCell ref="AV57:AZ57"/>
    <mergeCell ref="BA57:BE57"/>
    <mergeCell ref="EL52:EP52"/>
    <mergeCell ref="EB56:EF56"/>
    <mergeCell ref="EG56:EK56"/>
    <mergeCell ref="EL56:EP56"/>
    <mergeCell ref="EQ56:ES56"/>
    <mergeCell ref="C54:Y54"/>
    <mergeCell ref="Z54:AC54"/>
    <mergeCell ref="AD54:AF54"/>
    <mergeCell ref="CN56:CR56"/>
    <mergeCell ref="CS56:CW56"/>
    <mergeCell ref="CX56:DB56"/>
    <mergeCell ref="DC56:DG56"/>
    <mergeCell ref="EL42:EP42"/>
    <mergeCell ref="EQ42:ES42"/>
    <mergeCell ref="CN42:CR42"/>
    <mergeCell ref="CS42:CW42"/>
    <mergeCell ref="CX42:DB42"/>
    <mergeCell ref="DC42:DG42"/>
    <mergeCell ref="DH42:DL42"/>
    <mergeCell ref="DM42:DQ42"/>
    <mergeCell ref="BK42:BN42"/>
    <mergeCell ref="BO42:BS42"/>
    <mergeCell ref="BT42:BX42"/>
    <mergeCell ref="BY42:CC42"/>
    <mergeCell ref="CD42:CH42"/>
    <mergeCell ref="CI42:CM42"/>
    <mergeCell ref="EQ51:ES51"/>
    <mergeCell ref="EQ50:ES50"/>
    <mergeCell ref="EL49:EP49"/>
    <mergeCell ref="EQ49:ES49"/>
    <mergeCell ref="EL44:EP44"/>
    <mergeCell ref="EQ44:ES44"/>
    <mergeCell ref="DH44:DL44"/>
    <mergeCell ref="DH49:DL49"/>
    <mergeCell ref="DM49:DQ49"/>
    <mergeCell ref="DR49:DV49"/>
    <mergeCell ref="DW49:EA49"/>
    <mergeCell ref="EB49:EF49"/>
    <mergeCell ref="EG49:EK49"/>
    <mergeCell ref="CD49:CH49"/>
    <mergeCell ref="CI49:CM49"/>
    <mergeCell ref="CN49:CR49"/>
    <mergeCell ref="CS49:CW49"/>
    <mergeCell ref="CX49:DB49"/>
    <mergeCell ref="C47:Y47"/>
    <mergeCell ref="Z47:AC47"/>
    <mergeCell ref="AD47:AF47"/>
    <mergeCell ref="AG47:AK47"/>
    <mergeCell ref="DM51:DQ51"/>
    <mergeCell ref="DR51:DV51"/>
    <mergeCell ref="DW51:EA51"/>
    <mergeCell ref="EB51:EF51"/>
    <mergeCell ref="EG51:EK51"/>
    <mergeCell ref="CI51:CM51"/>
    <mergeCell ref="CN51:CR51"/>
    <mergeCell ref="CS51:CW51"/>
    <mergeCell ref="CX51:DB51"/>
    <mergeCell ref="DC51:DG51"/>
    <mergeCell ref="DH51:DL51"/>
    <mergeCell ref="BF51:BJ51"/>
    <mergeCell ref="BK51:BN51"/>
    <mergeCell ref="BO51:BS51"/>
    <mergeCell ref="BT51:BX51"/>
    <mergeCell ref="BY51:CC51"/>
    <mergeCell ref="CD51:CH51"/>
    <mergeCell ref="C51:Y51"/>
    <mergeCell ref="Z51:AC51"/>
    <mergeCell ref="AD51:AF51"/>
    <mergeCell ref="C50:Y50"/>
    <mergeCell ref="Z50:AC50"/>
    <mergeCell ref="AD50:AF50"/>
    <mergeCell ref="AG50:AK50"/>
    <mergeCell ref="CI47:CM47"/>
    <mergeCell ref="CN47:CR47"/>
    <mergeCell ref="CS47:CW47"/>
    <mergeCell ref="CX47:DB47"/>
    <mergeCell ref="EL85:EP86"/>
    <mergeCell ref="EQ85:ES86"/>
    <mergeCell ref="DW50:EA50"/>
    <mergeCell ref="EB50:EF50"/>
    <mergeCell ref="EG50:EK50"/>
    <mergeCell ref="CD50:CH50"/>
    <mergeCell ref="CI50:CM50"/>
    <mergeCell ref="CN50:CR50"/>
    <mergeCell ref="CS50:CW50"/>
    <mergeCell ref="CX50:DB50"/>
    <mergeCell ref="DC50:DG50"/>
    <mergeCell ref="BA50:BE50"/>
    <mergeCell ref="BF50:BJ50"/>
    <mergeCell ref="BK50:BN50"/>
    <mergeCell ref="BO50:BS50"/>
    <mergeCell ref="BT50:BX50"/>
    <mergeCell ref="BY50:CC50"/>
    <mergeCell ref="EL51:EP51"/>
    <mergeCell ref="EL50:EP50"/>
    <mergeCell ref="BF52:BJ52"/>
    <mergeCell ref="BK52:BN52"/>
    <mergeCell ref="BO52:BS52"/>
    <mergeCell ref="EB83:EF84"/>
    <mergeCell ref="EG83:EK84"/>
    <mergeCell ref="EL83:EP84"/>
    <mergeCell ref="EB57:EF57"/>
    <mergeCell ref="EG57:EK57"/>
    <mergeCell ref="EL57:EP57"/>
    <mergeCell ref="EQ57:ES57"/>
    <mergeCell ref="DH56:DL56"/>
    <mergeCell ref="DM56:DQ56"/>
    <mergeCell ref="BK56:BN56"/>
    <mergeCell ref="A83:A84"/>
    <mergeCell ref="Z83:AC84"/>
    <mergeCell ref="AD83:AF84"/>
    <mergeCell ref="AG83:AK84"/>
    <mergeCell ref="AL83:AP84"/>
    <mergeCell ref="AQ83:AU84"/>
    <mergeCell ref="AV83:AZ84"/>
    <mergeCell ref="BA83:BE84"/>
    <mergeCell ref="A81:A82"/>
    <mergeCell ref="DM81:DQ82"/>
    <mergeCell ref="BT81:BX82"/>
    <mergeCell ref="BY81:CC82"/>
    <mergeCell ref="CD81:CH82"/>
    <mergeCell ref="CI81:CM82"/>
    <mergeCell ref="AQ81:AU82"/>
    <mergeCell ref="EQ83:ES84"/>
    <mergeCell ref="AV81:AZ82"/>
    <mergeCell ref="BA81:BE82"/>
    <mergeCell ref="BF81:BJ82"/>
    <mergeCell ref="CX81:DB82"/>
    <mergeCell ref="DC81:DG82"/>
    <mergeCell ref="DH81:DL82"/>
    <mergeCell ref="DR81:DV82"/>
    <mergeCell ref="DW81:EA82"/>
    <mergeCell ref="EB81:EF82"/>
    <mergeCell ref="EG81:EK82"/>
    <mergeCell ref="CN81:CR82"/>
    <mergeCell ref="A85:A86"/>
    <mergeCell ref="Z85:AC86"/>
    <mergeCell ref="AD85:AF86"/>
    <mergeCell ref="AG85:AK86"/>
    <mergeCell ref="AL85:AP86"/>
    <mergeCell ref="AQ85:AU86"/>
    <mergeCell ref="AV85:AZ86"/>
    <mergeCell ref="BA85:BE86"/>
    <mergeCell ref="BF85:BJ86"/>
    <mergeCell ref="DM83:DQ84"/>
    <mergeCell ref="CN85:CR86"/>
    <mergeCell ref="CS85:CW86"/>
    <mergeCell ref="CX85:DB86"/>
    <mergeCell ref="DC85:DG86"/>
    <mergeCell ref="DH85:DL86"/>
    <mergeCell ref="DM85:DQ86"/>
    <mergeCell ref="AG51:AK51"/>
    <mergeCell ref="BT52:BX52"/>
    <mergeCell ref="BY52:CC52"/>
    <mergeCell ref="CD52:CH52"/>
    <mergeCell ref="BF57:BJ57"/>
    <mergeCell ref="BK57:BN57"/>
    <mergeCell ref="DM52:DQ52"/>
    <mergeCell ref="A79:A80"/>
    <mergeCell ref="C82:Y82"/>
    <mergeCell ref="C81:Y81"/>
    <mergeCell ref="Z81:AC82"/>
    <mergeCell ref="AD81:AF82"/>
    <mergeCell ref="CS81:CW82"/>
    <mergeCell ref="BK81:BN82"/>
    <mergeCell ref="BO81:BS82"/>
    <mergeCell ref="AG81:AK82"/>
    <mergeCell ref="C52:Y52"/>
    <mergeCell ref="Z52:AC52"/>
    <mergeCell ref="AD52:AF52"/>
    <mergeCell ref="AG52:AK52"/>
    <mergeCell ref="DR85:DV86"/>
    <mergeCell ref="DW85:EA86"/>
    <mergeCell ref="BT85:BX86"/>
    <mergeCell ref="BY85:CC86"/>
    <mergeCell ref="CD85:CH86"/>
    <mergeCell ref="CI85:CM86"/>
    <mergeCell ref="BK85:BN86"/>
    <mergeCell ref="BO85:BS86"/>
    <mergeCell ref="C86:Y86"/>
    <mergeCell ref="C85:Y85"/>
    <mergeCell ref="BF83:BJ84"/>
    <mergeCell ref="BK83:BN84"/>
    <mergeCell ref="BO83:BS84"/>
    <mergeCell ref="BT83:BX84"/>
    <mergeCell ref="CS83:CW84"/>
    <mergeCell ref="CX83:DB84"/>
    <mergeCell ref="DC83:DG84"/>
    <mergeCell ref="DH83:DL84"/>
    <mergeCell ref="BY83:CC84"/>
    <mergeCell ref="CD83:CH84"/>
    <mergeCell ref="CI83:CM84"/>
    <mergeCell ref="CN83:CR84"/>
    <mergeCell ref="C83:Y83"/>
    <mergeCell ref="C84:Y84"/>
    <mergeCell ref="DR83:DV84"/>
    <mergeCell ref="DW83:EA84"/>
    <mergeCell ref="DH54:DL54"/>
    <mergeCell ref="AV79:AZ80"/>
    <mergeCell ref="AL53:AP53"/>
    <mergeCell ref="AQ53:AU53"/>
    <mergeCell ref="AV53:AZ53"/>
    <mergeCell ref="BA53:BE53"/>
    <mergeCell ref="AL81:AP82"/>
    <mergeCell ref="Z34:AC34"/>
    <mergeCell ref="C34:Y34"/>
    <mergeCell ref="EB79:EF80"/>
    <mergeCell ref="EG79:EK80"/>
    <mergeCell ref="C80:Y80"/>
    <mergeCell ref="CX79:DB80"/>
    <mergeCell ref="DC79:DG80"/>
    <mergeCell ref="DH79:DL80"/>
    <mergeCell ref="DM79:DQ80"/>
    <mergeCell ref="DR79:DV80"/>
    <mergeCell ref="DW79:EA80"/>
    <mergeCell ref="BT79:BX80"/>
    <mergeCell ref="BY79:CC80"/>
    <mergeCell ref="CD79:CH80"/>
    <mergeCell ref="CI79:CM80"/>
    <mergeCell ref="CN79:CR80"/>
    <mergeCell ref="CS79:CW80"/>
    <mergeCell ref="DW56:EA56"/>
    <mergeCell ref="BT57:BX57"/>
    <mergeCell ref="BY57:CC57"/>
    <mergeCell ref="CD57:CH57"/>
    <mergeCell ref="CI57:CM57"/>
    <mergeCell ref="BO57:BS57"/>
    <mergeCell ref="AV56:AZ56"/>
    <mergeCell ref="BA56:BE56"/>
    <mergeCell ref="AL54:AP54"/>
    <mergeCell ref="AQ54:AU54"/>
    <mergeCell ref="B111:X111"/>
    <mergeCell ref="B112:X112"/>
    <mergeCell ref="B109:X109"/>
    <mergeCell ref="B110:X110"/>
    <mergeCell ref="AG79:AK80"/>
    <mergeCell ref="AL79:AP80"/>
    <mergeCell ref="C55:Y55"/>
    <mergeCell ref="AG73:AK74"/>
    <mergeCell ref="AL73:AP74"/>
    <mergeCell ref="C79:Y79"/>
    <mergeCell ref="Z79:AC80"/>
    <mergeCell ref="AD79:AF80"/>
    <mergeCell ref="BA67:BE68"/>
    <mergeCell ref="C68:Y68"/>
    <mergeCell ref="B108:X108"/>
    <mergeCell ref="AU99:CH99"/>
    <mergeCell ref="C106:AD106"/>
    <mergeCell ref="AE106:AL106"/>
    <mergeCell ref="AM106:AT106"/>
    <mergeCell ref="B93:ES93"/>
    <mergeCell ref="BO91:BS91"/>
    <mergeCell ref="BT91:BX91"/>
    <mergeCell ref="C91:Y91"/>
    <mergeCell ref="Z91:AC91"/>
    <mergeCell ref="AD91:AF91"/>
    <mergeCell ref="AG91:AK91"/>
    <mergeCell ref="AL91:AP91"/>
    <mergeCell ref="AQ91:AU91"/>
    <mergeCell ref="AE103:AL103"/>
    <mergeCell ref="AM103:AT103"/>
    <mergeCell ref="B94:ES94"/>
    <mergeCell ref="DC91:DG91"/>
    <mergeCell ref="B113:X113"/>
    <mergeCell ref="AV113:BR113"/>
    <mergeCell ref="C100:AD100"/>
    <mergeCell ref="AE100:AL100"/>
    <mergeCell ref="AM100:AT100"/>
    <mergeCell ref="AU100:CH106"/>
    <mergeCell ref="C101:AD101"/>
    <mergeCell ref="AE101:AL101"/>
    <mergeCell ref="AM101:AT101"/>
    <mergeCell ref="C102:AD102"/>
    <mergeCell ref="B95:ES95"/>
    <mergeCell ref="B96:ES96"/>
    <mergeCell ref="E98:DP98"/>
    <mergeCell ref="C99:AD99"/>
    <mergeCell ref="AE99:AL99"/>
    <mergeCell ref="AM99:AT99"/>
    <mergeCell ref="CL100:EM106"/>
    <mergeCell ref="Y108:AL108"/>
    <mergeCell ref="AN108:BR108"/>
    <mergeCell ref="Y110:AL110"/>
    <mergeCell ref="AN110:BR110"/>
    <mergeCell ref="Y112:AL112"/>
    <mergeCell ref="AN112:BR112"/>
    <mergeCell ref="C104:AD104"/>
    <mergeCell ref="AE104:AL104"/>
    <mergeCell ref="AM104:AT104"/>
    <mergeCell ref="C105:AD105"/>
    <mergeCell ref="AE105:AL105"/>
    <mergeCell ref="AM105:AT105"/>
    <mergeCell ref="AE102:AL102"/>
    <mergeCell ref="AM102:AT102"/>
    <mergeCell ref="C103:AD103"/>
    <mergeCell ref="DH91:DL91"/>
    <mergeCell ref="C57:Y57"/>
    <mergeCell ref="EL81:EP82"/>
    <mergeCell ref="EQ81:ES82"/>
    <mergeCell ref="BA79:BE80"/>
    <mergeCell ref="BF79:BJ80"/>
    <mergeCell ref="BK79:BN80"/>
    <mergeCell ref="BO79:BS80"/>
    <mergeCell ref="EB85:EF86"/>
    <mergeCell ref="EG85:EK86"/>
    <mergeCell ref="Z92:AC92"/>
    <mergeCell ref="EQ90:ES90"/>
    <mergeCell ref="CN90:CR90"/>
    <mergeCell ref="CS90:CW90"/>
    <mergeCell ref="CX90:DB90"/>
    <mergeCell ref="DC90:DG90"/>
    <mergeCell ref="DH90:DL90"/>
    <mergeCell ref="DM90:DQ90"/>
    <mergeCell ref="BK90:BN90"/>
    <mergeCell ref="BO90:BS90"/>
    <mergeCell ref="BT90:BX90"/>
    <mergeCell ref="BY90:CC90"/>
    <mergeCell ref="CD90:CH90"/>
    <mergeCell ref="CI90:CM90"/>
    <mergeCell ref="EG91:EK91"/>
    <mergeCell ref="EL91:EP91"/>
    <mergeCell ref="EQ91:ES91"/>
    <mergeCell ref="EL90:EP90"/>
    <mergeCell ref="DM91:DQ91"/>
    <mergeCell ref="DR91:DV91"/>
    <mergeCell ref="DW91:EA91"/>
    <mergeCell ref="EB91:EF91"/>
    <mergeCell ref="BY91:CC91"/>
    <mergeCell ref="CD91:CH91"/>
    <mergeCell ref="CI91:CM91"/>
    <mergeCell ref="CN91:CR91"/>
    <mergeCell ref="CS91:CW91"/>
    <mergeCell ref="CX91:DB91"/>
    <mergeCell ref="AV91:AZ91"/>
    <mergeCell ref="BA91:BE91"/>
    <mergeCell ref="BF91:BJ91"/>
    <mergeCell ref="BK91:BN91"/>
    <mergeCell ref="C90:Y90"/>
    <mergeCell ref="Z90:AC90"/>
    <mergeCell ref="AD90:AF90"/>
    <mergeCell ref="AG90:AK90"/>
    <mergeCell ref="AL90:AP90"/>
    <mergeCell ref="AQ90:AU90"/>
    <mergeCell ref="AV90:AZ90"/>
    <mergeCell ref="BA90:BE90"/>
    <mergeCell ref="BF90:BJ90"/>
    <mergeCell ref="DM89:DQ89"/>
    <mergeCell ref="DR89:DV89"/>
    <mergeCell ref="DW89:EA89"/>
    <mergeCell ref="EB89:EF89"/>
    <mergeCell ref="EG89:EK89"/>
    <mergeCell ref="EL89:EP89"/>
    <mergeCell ref="CI89:CM89"/>
    <mergeCell ref="CN89:CR89"/>
    <mergeCell ref="CS89:CW89"/>
    <mergeCell ref="CX89:DB89"/>
    <mergeCell ref="DC89:DG89"/>
    <mergeCell ref="DH89:DL89"/>
    <mergeCell ref="BF89:BJ89"/>
    <mergeCell ref="BK89:BN89"/>
    <mergeCell ref="BO89:BS89"/>
    <mergeCell ref="BT89:BX89"/>
    <mergeCell ref="BY89:CC89"/>
    <mergeCell ref="CD89:CH89"/>
    <mergeCell ref="DR90:DV90"/>
    <mergeCell ref="DW90:EA90"/>
    <mergeCell ref="EB90:EF90"/>
    <mergeCell ref="EG90:EK90"/>
    <mergeCell ref="EL88:EP88"/>
    <mergeCell ref="EQ88:ES88"/>
    <mergeCell ref="C89:Y89"/>
    <mergeCell ref="Z89:AC89"/>
    <mergeCell ref="AD89:AF89"/>
    <mergeCell ref="AG89:AK89"/>
    <mergeCell ref="AL89:AP89"/>
    <mergeCell ref="AQ89:AU89"/>
    <mergeCell ref="AV89:AZ89"/>
    <mergeCell ref="BA89:BE89"/>
    <mergeCell ref="DH88:DL88"/>
    <mergeCell ref="DM88:DQ88"/>
    <mergeCell ref="DR88:DV88"/>
    <mergeCell ref="DW88:EA88"/>
    <mergeCell ref="EB88:EF88"/>
    <mergeCell ref="EG88:EK88"/>
    <mergeCell ref="CD88:CH88"/>
    <mergeCell ref="CI88:CM88"/>
    <mergeCell ref="CN88:CR88"/>
    <mergeCell ref="CS88:CW88"/>
    <mergeCell ref="CX88:DB88"/>
    <mergeCell ref="DC88:DG88"/>
    <mergeCell ref="BA88:BE88"/>
    <mergeCell ref="BF88:BJ88"/>
    <mergeCell ref="BK88:BN88"/>
    <mergeCell ref="BO88:BS88"/>
    <mergeCell ref="BT88:BX88"/>
    <mergeCell ref="BY88:CC88"/>
    <mergeCell ref="EQ89:ES89"/>
    <mergeCell ref="C88:Y88"/>
    <mergeCell ref="Z88:AC88"/>
    <mergeCell ref="AD88:AF88"/>
    <mergeCell ref="AG88:AK88"/>
    <mergeCell ref="AL88:AP88"/>
    <mergeCell ref="AQ88:AU88"/>
    <mergeCell ref="AV88:AZ88"/>
    <mergeCell ref="DC87:DG87"/>
    <mergeCell ref="DH87:DL87"/>
    <mergeCell ref="DM87:DQ87"/>
    <mergeCell ref="DR87:DV87"/>
    <mergeCell ref="DW87:EA87"/>
    <mergeCell ref="EB87:EF87"/>
    <mergeCell ref="BY87:CC87"/>
    <mergeCell ref="CD87:CH87"/>
    <mergeCell ref="CI87:CM87"/>
    <mergeCell ref="CN87:CR87"/>
    <mergeCell ref="CS87:CW87"/>
    <mergeCell ref="CX87:DB87"/>
    <mergeCell ref="AV87:AZ87"/>
    <mergeCell ref="BA87:BE87"/>
    <mergeCell ref="BF87:BJ87"/>
    <mergeCell ref="BK87:BN87"/>
    <mergeCell ref="BO87:BS87"/>
    <mergeCell ref="BT87:BX87"/>
    <mergeCell ref="C87:Y87"/>
    <mergeCell ref="Z87:AC87"/>
    <mergeCell ref="AD87:AF87"/>
    <mergeCell ref="AG87:AK87"/>
    <mergeCell ref="AL87:AP87"/>
    <mergeCell ref="AQ87:AU87"/>
    <mergeCell ref="EB77:EF78"/>
    <mergeCell ref="EG77:EK78"/>
    <mergeCell ref="EL77:EP78"/>
    <mergeCell ref="EQ77:ES78"/>
    <mergeCell ref="C78:Y78"/>
    <mergeCell ref="CX77:DB78"/>
    <mergeCell ref="DC77:DG78"/>
    <mergeCell ref="DH77:DL78"/>
    <mergeCell ref="DM77:DQ78"/>
    <mergeCell ref="DR77:DV78"/>
    <mergeCell ref="DW77:EA78"/>
    <mergeCell ref="BT77:BX78"/>
    <mergeCell ref="BY77:CC78"/>
    <mergeCell ref="CD77:CH78"/>
    <mergeCell ref="CI77:CM78"/>
    <mergeCell ref="CN77:CR78"/>
    <mergeCell ref="CS77:CW78"/>
    <mergeCell ref="AQ77:AU78"/>
    <mergeCell ref="AV77:AZ78"/>
    <mergeCell ref="BA77:BE78"/>
    <mergeCell ref="BF77:BJ78"/>
    <mergeCell ref="BK77:BN78"/>
    <mergeCell ref="BO77:BS78"/>
    <mergeCell ref="EG87:EK87"/>
    <mergeCell ref="EL87:EP87"/>
    <mergeCell ref="EQ87:ES87"/>
    <mergeCell ref="A77:A78"/>
    <mergeCell ref="C77:Y77"/>
    <mergeCell ref="Z77:AC78"/>
    <mergeCell ref="AD77:AF78"/>
    <mergeCell ref="AG77:AK78"/>
    <mergeCell ref="AL77:AP78"/>
    <mergeCell ref="DW75:EA76"/>
    <mergeCell ref="EB75:EF76"/>
    <mergeCell ref="EG75:EK76"/>
    <mergeCell ref="EL75:EP76"/>
    <mergeCell ref="EQ75:ES76"/>
    <mergeCell ref="C76:Y76"/>
    <mergeCell ref="CS75:CW76"/>
    <mergeCell ref="CX75:DB76"/>
    <mergeCell ref="DC75:DG76"/>
    <mergeCell ref="DH75:DL76"/>
    <mergeCell ref="DM75:DQ76"/>
    <mergeCell ref="DR75:DV76"/>
    <mergeCell ref="BO75:BS76"/>
    <mergeCell ref="BT75:BX76"/>
    <mergeCell ref="BY75:CC76"/>
    <mergeCell ref="CD75:CH76"/>
    <mergeCell ref="CI75:CM76"/>
    <mergeCell ref="CN75:CR76"/>
    <mergeCell ref="AL75:AP76"/>
    <mergeCell ref="AQ75:AU76"/>
    <mergeCell ref="AV75:AZ76"/>
    <mergeCell ref="BA75:BE76"/>
    <mergeCell ref="BF75:BJ76"/>
    <mergeCell ref="BK75:BN76"/>
    <mergeCell ref="EG73:EK74"/>
    <mergeCell ref="EL73:EP74"/>
    <mergeCell ref="EQ73:ES74"/>
    <mergeCell ref="C74:Y74"/>
    <mergeCell ref="A75:A76"/>
    <mergeCell ref="C75:Y75"/>
    <mergeCell ref="Z75:AC76"/>
    <mergeCell ref="AD75:AF76"/>
    <mergeCell ref="AG75:AK76"/>
    <mergeCell ref="CX73:DB74"/>
    <mergeCell ref="DC73:DG74"/>
    <mergeCell ref="DH73:DL74"/>
    <mergeCell ref="DM73:DQ74"/>
    <mergeCell ref="DR73:DV74"/>
    <mergeCell ref="DW73:EA74"/>
    <mergeCell ref="BT73:BX74"/>
    <mergeCell ref="BY73:CC74"/>
    <mergeCell ref="CD73:CH74"/>
    <mergeCell ref="CI73:CM74"/>
    <mergeCell ref="CN73:CR74"/>
    <mergeCell ref="CS73:CW74"/>
    <mergeCell ref="AQ73:AU74"/>
    <mergeCell ref="AV73:AZ74"/>
    <mergeCell ref="BA73:BE74"/>
    <mergeCell ref="BF73:BJ74"/>
    <mergeCell ref="BK73:BN74"/>
    <mergeCell ref="BO73:BS74"/>
    <mergeCell ref="A73:A74"/>
    <mergeCell ref="C73:Y73"/>
    <mergeCell ref="Z73:AC74"/>
    <mergeCell ref="AD73:AF74"/>
    <mergeCell ref="EB71:EF72"/>
    <mergeCell ref="EG71:EK72"/>
    <mergeCell ref="EL71:EP72"/>
    <mergeCell ref="EQ71:ES72"/>
    <mergeCell ref="C72:Y72"/>
    <mergeCell ref="CS71:CW72"/>
    <mergeCell ref="CX71:DB72"/>
    <mergeCell ref="DC71:DG72"/>
    <mergeCell ref="DH71:DL72"/>
    <mergeCell ref="DM71:DQ72"/>
    <mergeCell ref="DR71:DV72"/>
    <mergeCell ref="BO71:BS72"/>
    <mergeCell ref="BT71:BX72"/>
    <mergeCell ref="BY71:CC72"/>
    <mergeCell ref="CD71:CH72"/>
    <mergeCell ref="CI71:CM72"/>
    <mergeCell ref="CN71:CR72"/>
    <mergeCell ref="AL71:AP72"/>
    <mergeCell ref="AQ71:AU72"/>
    <mergeCell ref="AV71:AZ72"/>
    <mergeCell ref="BA71:BE72"/>
    <mergeCell ref="BF71:BJ72"/>
    <mergeCell ref="BK71:BN72"/>
    <mergeCell ref="A71:A72"/>
    <mergeCell ref="C71:Y71"/>
    <mergeCell ref="Z71:AC72"/>
    <mergeCell ref="AD71:AF72"/>
    <mergeCell ref="AG71:AK72"/>
    <mergeCell ref="CX63:DB64"/>
    <mergeCell ref="DC63:DG64"/>
    <mergeCell ref="DH63:DL64"/>
    <mergeCell ref="DM63:DQ64"/>
    <mergeCell ref="DR63:DV64"/>
    <mergeCell ref="DW63:EA64"/>
    <mergeCell ref="BT63:BX64"/>
    <mergeCell ref="BY63:CC64"/>
    <mergeCell ref="CD63:CH64"/>
    <mergeCell ref="CI63:CM64"/>
    <mergeCell ref="CN63:CR64"/>
    <mergeCell ref="CS63:CW64"/>
    <mergeCell ref="AQ63:AU64"/>
    <mergeCell ref="AV63:AZ64"/>
    <mergeCell ref="BA63:BE64"/>
    <mergeCell ref="BF63:BJ64"/>
    <mergeCell ref="BK63:BN64"/>
    <mergeCell ref="BO63:BS64"/>
    <mergeCell ref="A63:A64"/>
    <mergeCell ref="C63:Y63"/>
    <mergeCell ref="Z63:AC64"/>
    <mergeCell ref="AD63:AF64"/>
    <mergeCell ref="DW71:EA72"/>
    <mergeCell ref="DW69:EA70"/>
    <mergeCell ref="AG63:AK64"/>
    <mergeCell ref="AL63:AP64"/>
    <mergeCell ref="A65:A66"/>
    <mergeCell ref="DW61:EA62"/>
    <mergeCell ref="EB61:EF62"/>
    <mergeCell ref="EG61:EK62"/>
    <mergeCell ref="EL61:EP62"/>
    <mergeCell ref="EQ61:ES62"/>
    <mergeCell ref="C62:Y62"/>
    <mergeCell ref="CS61:CW62"/>
    <mergeCell ref="CX61:DB62"/>
    <mergeCell ref="DC61:DG62"/>
    <mergeCell ref="DH61:DL62"/>
    <mergeCell ref="DM61:DQ62"/>
    <mergeCell ref="DR61:DV62"/>
    <mergeCell ref="BO61:BS62"/>
    <mergeCell ref="BT61:BX62"/>
    <mergeCell ref="BY61:CC62"/>
    <mergeCell ref="CD61:CH62"/>
    <mergeCell ref="CI61:CM62"/>
    <mergeCell ref="CN61:CR62"/>
    <mergeCell ref="AL61:AP62"/>
    <mergeCell ref="AQ61:AU62"/>
    <mergeCell ref="AV61:AZ62"/>
    <mergeCell ref="BA61:BE62"/>
    <mergeCell ref="BF61:BJ62"/>
    <mergeCell ref="BK61:BN62"/>
    <mergeCell ref="EB63:EF64"/>
    <mergeCell ref="EG63:EK64"/>
    <mergeCell ref="EL63:EP64"/>
    <mergeCell ref="EQ63:ES64"/>
    <mergeCell ref="C64:Y64"/>
    <mergeCell ref="C60:Y60"/>
    <mergeCell ref="A61:A62"/>
    <mergeCell ref="C61:Y61"/>
    <mergeCell ref="Z61:AC62"/>
    <mergeCell ref="AD61:AF62"/>
    <mergeCell ref="AG61:AK62"/>
    <mergeCell ref="CX59:DB60"/>
    <mergeCell ref="DC59:DG60"/>
    <mergeCell ref="DH59:DL60"/>
    <mergeCell ref="DM59:DQ60"/>
    <mergeCell ref="DR59:DV60"/>
    <mergeCell ref="DW59:EA60"/>
    <mergeCell ref="BT59:BX60"/>
    <mergeCell ref="BY59:CC60"/>
    <mergeCell ref="CD59:CH60"/>
    <mergeCell ref="CI59:CM60"/>
    <mergeCell ref="CN59:CR60"/>
    <mergeCell ref="CS59:CW60"/>
    <mergeCell ref="AQ59:AU60"/>
    <mergeCell ref="AV59:AZ60"/>
    <mergeCell ref="BA59:BE60"/>
    <mergeCell ref="BF59:BJ60"/>
    <mergeCell ref="BK59:BN60"/>
    <mergeCell ref="BO59:BS60"/>
    <mergeCell ref="A59:A60"/>
    <mergeCell ref="C59:Y59"/>
    <mergeCell ref="Z59:AC60"/>
    <mergeCell ref="AD59:AF60"/>
    <mergeCell ref="AG59:AK60"/>
    <mergeCell ref="AL59:AP60"/>
    <mergeCell ref="DR58:DV58"/>
    <mergeCell ref="DW58:EA58"/>
    <mergeCell ref="EB58:EF58"/>
    <mergeCell ref="EG58:EK58"/>
    <mergeCell ref="EL58:EP58"/>
    <mergeCell ref="EQ58:ES58"/>
    <mergeCell ref="CN58:CR58"/>
    <mergeCell ref="CS58:CW58"/>
    <mergeCell ref="CX58:DB58"/>
    <mergeCell ref="DC58:DG58"/>
    <mergeCell ref="DH58:DL58"/>
    <mergeCell ref="DM58:DQ58"/>
    <mergeCell ref="BK58:BN58"/>
    <mergeCell ref="BO58:BS58"/>
    <mergeCell ref="BT58:BX58"/>
    <mergeCell ref="BY58:CC58"/>
    <mergeCell ref="CD58:CH58"/>
    <mergeCell ref="CI58:CM58"/>
    <mergeCell ref="EB59:EF60"/>
    <mergeCell ref="EG59:EK60"/>
    <mergeCell ref="EL59:EP60"/>
    <mergeCell ref="EQ59:ES60"/>
    <mergeCell ref="C58:Y58"/>
    <mergeCell ref="Z58:AC58"/>
    <mergeCell ref="AD58:AF58"/>
    <mergeCell ref="AG58:AK58"/>
    <mergeCell ref="AL58:AP58"/>
    <mergeCell ref="AQ58:AU58"/>
    <mergeCell ref="AV58:AZ58"/>
    <mergeCell ref="BA58:BE58"/>
    <mergeCell ref="BF58:BJ58"/>
    <mergeCell ref="DM53:DQ53"/>
    <mergeCell ref="DR53:DV53"/>
    <mergeCell ref="DW53:EA53"/>
    <mergeCell ref="EB53:EF53"/>
    <mergeCell ref="EG53:EK53"/>
    <mergeCell ref="EL53:EP53"/>
    <mergeCell ref="CI53:CM53"/>
    <mergeCell ref="CN53:CR53"/>
    <mergeCell ref="CS53:CW53"/>
    <mergeCell ref="CX53:DB53"/>
    <mergeCell ref="DC53:DG53"/>
    <mergeCell ref="DH53:DL53"/>
    <mergeCell ref="BF53:BJ53"/>
    <mergeCell ref="BK53:BN53"/>
    <mergeCell ref="BO53:BS53"/>
    <mergeCell ref="BT53:BX53"/>
    <mergeCell ref="BY53:CC53"/>
    <mergeCell ref="CD53:CH53"/>
    <mergeCell ref="C53:Y53"/>
    <mergeCell ref="Z53:AC53"/>
    <mergeCell ref="AD53:AF53"/>
    <mergeCell ref="AG53:AK53"/>
    <mergeCell ref="AG54:AK54"/>
    <mergeCell ref="EB52:EF52"/>
    <mergeCell ref="EG52:EK52"/>
    <mergeCell ref="AL51:AP51"/>
    <mergeCell ref="AQ51:AU51"/>
    <mergeCell ref="AV51:AZ51"/>
    <mergeCell ref="BA51:BE51"/>
    <mergeCell ref="DH50:DL50"/>
    <mergeCell ref="DM50:DQ50"/>
    <mergeCell ref="DR50:DV50"/>
    <mergeCell ref="C49:Y49"/>
    <mergeCell ref="Z49:AC49"/>
    <mergeCell ref="AD49:AF49"/>
    <mergeCell ref="AG49:AK49"/>
    <mergeCell ref="AL49:AP49"/>
    <mergeCell ref="AQ49:AU49"/>
    <mergeCell ref="AV49:AZ49"/>
    <mergeCell ref="EQ53:ES53"/>
    <mergeCell ref="CS52:CW52"/>
    <mergeCell ref="CX52:DB52"/>
    <mergeCell ref="DC52:DG52"/>
    <mergeCell ref="DH52:DL52"/>
    <mergeCell ref="CI52:CM52"/>
    <mergeCell ref="CN52:CR52"/>
    <mergeCell ref="AL52:AP52"/>
    <mergeCell ref="AQ52:AU52"/>
    <mergeCell ref="AV52:AZ52"/>
    <mergeCell ref="BA52:BE52"/>
    <mergeCell ref="DR52:DV52"/>
    <mergeCell ref="DW52:EA52"/>
    <mergeCell ref="AL50:AP50"/>
    <mergeCell ref="AQ50:AU50"/>
    <mergeCell ref="AV50:AZ50"/>
    <mergeCell ref="BF47:BJ47"/>
    <mergeCell ref="BK47:BN47"/>
    <mergeCell ref="BO47:BS47"/>
    <mergeCell ref="BT47:BX47"/>
    <mergeCell ref="BY47:CC47"/>
    <mergeCell ref="DC49:DG49"/>
    <mergeCell ref="BA49:BE49"/>
    <mergeCell ref="BF49:BJ49"/>
    <mergeCell ref="BK49:BN49"/>
    <mergeCell ref="BO49:BS49"/>
    <mergeCell ref="BT49:BX49"/>
    <mergeCell ref="BY49:CC49"/>
    <mergeCell ref="CD47:CH47"/>
    <mergeCell ref="AL47:AP47"/>
    <mergeCell ref="AQ47:AU47"/>
    <mergeCell ref="AV47:AZ47"/>
    <mergeCell ref="BA47:BE47"/>
    <mergeCell ref="CX48:DB48"/>
    <mergeCell ref="DC48:DG48"/>
    <mergeCell ref="EQ47:ES47"/>
    <mergeCell ref="DM47:DQ47"/>
    <mergeCell ref="DR47:DV47"/>
    <mergeCell ref="DW47:EA47"/>
    <mergeCell ref="EB47:EF47"/>
    <mergeCell ref="EG47:EK47"/>
    <mergeCell ref="EL47:EP47"/>
    <mergeCell ref="DW45:EA45"/>
    <mergeCell ref="EB45:EF45"/>
    <mergeCell ref="EG45:EK45"/>
    <mergeCell ref="EL45:EP45"/>
    <mergeCell ref="EQ45:ES45"/>
    <mergeCell ref="CN45:CR45"/>
    <mergeCell ref="CS45:CW45"/>
    <mergeCell ref="CX45:DB45"/>
    <mergeCell ref="DC45:DG45"/>
    <mergeCell ref="DH45:DL45"/>
    <mergeCell ref="DM45:DQ45"/>
    <mergeCell ref="EG46:EK46"/>
    <mergeCell ref="EL46:EP46"/>
    <mergeCell ref="EQ46:ES46"/>
    <mergeCell ref="DC46:DG46"/>
    <mergeCell ref="DH46:DL46"/>
    <mergeCell ref="DM46:DQ46"/>
    <mergeCell ref="DR46:DV46"/>
    <mergeCell ref="DW46:EA46"/>
    <mergeCell ref="EB46:EF46"/>
    <mergeCell ref="CN46:CR46"/>
    <mergeCell ref="CS46:CW46"/>
    <mergeCell ref="CX46:DB46"/>
    <mergeCell ref="DC47:DG47"/>
    <mergeCell ref="DH47:DL47"/>
    <mergeCell ref="BK45:BN45"/>
    <mergeCell ref="BO45:BS45"/>
    <mergeCell ref="BT45:BX45"/>
    <mergeCell ref="BY45:CC45"/>
    <mergeCell ref="CD45:CH45"/>
    <mergeCell ref="CI45:CM45"/>
    <mergeCell ref="C46:Y46"/>
    <mergeCell ref="Z46:AC46"/>
    <mergeCell ref="AD46:AF46"/>
    <mergeCell ref="AG46:AK46"/>
    <mergeCell ref="AL46:AP46"/>
    <mergeCell ref="AQ46:AU46"/>
    <mergeCell ref="DR45:DV45"/>
    <mergeCell ref="C45:Y45"/>
    <mergeCell ref="Z45:AC45"/>
    <mergeCell ref="AD45:AF45"/>
    <mergeCell ref="AG45:AK45"/>
    <mergeCell ref="AL45:AP45"/>
    <mergeCell ref="AQ45:AU45"/>
    <mergeCell ref="AV45:AZ45"/>
    <mergeCell ref="BA45:BE45"/>
    <mergeCell ref="BY46:CC46"/>
    <mergeCell ref="CD46:CH46"/>
    <mergeCell ref="CI46:CM46"/>
    <mergeCell ref="AV46:AZ46"/>
    <mergeCell ref="BA46:BE46"/>
    <mergeCell ref="BF46:BJ46"/>
    <mergeCell ref="BK46:BN46"/>
    <mergeCell ref="BO46:BS46"/>
    <mergeCell ref="BT46:BX46"/>
    <mergeCell ref="C44:Y44"/>
    <mergeCell ref="Z44:AC44"/>
    <mergeCell ref="AD44:AF44"/>
    <mergeCell ref="AG44:AK44"/>
    <mergeCell ref="AL44:AP44"/>
    <mergeCell ref="AQ44:AU44"/>
    <mergeCell ref="AV44:AZ44"/>
    <mergeCell ref="BA44:BE44"/>
    <mergeCell ref="BF44:BJ44"/>
    <mergeCell ref="BF45:BJ45"/>
    <mergeCell ref="EL43:EP43"/>
    <mergeCell ref="EQ43:ES43"/>
    <mergeCell ref="CN43:CR43"/>
    <mergeCell ref="CS43:CW43"/>
    <mergeCell ref="CX43:DB43"/>
    <mergeCell ref="DC43:DG43"/>
    <mergeCell ref="DH43:DL43"/>
    <mergeCell ref="DM43:DQ43"/>
    <mergeCell ref="BK43:BN43"/>
    <mergeCell ref="BO43:BS43"/>
    <mergeCell ref="BT43:BX43"/>
    <mergeCell ref="BY43:CC43"/>
    <mergeCell ref="CD43:CH43"/>
    <mergeCell ref="CI43:CM43"/>
    <mergeCell ref="CN44:CR44"/>
    <mergeCell ref="CS44:CW44"/>
    <mergeCell ref="CX44:DB44"/>
    <mergeCell ref="DC44:DG44"/>
    <mergeCell ref="BK44:BN44"/>
    <mergeCell ref="BO44:BS44"/>
    <mergeCell ref="BT44:BX44"/>
    <mergeCell ref="BY44:CC44"/>
    <mergeCell ref="DM44:DQ44"/>
    <mergeCell ref="DR44:DV44"/>
    <mergeCell ref="DW44:EA44"/>
    <mergeCell ref="EB44:EF44"/>
    <mergeCell ref="EG44:EK44"/>
    <mergeCell ref="CD44:CH44"/>
    <mergeCell ref="CI44:CM44"/>
    <mergeCell ref="DM41:DQ41"/>
    <mergeCell ref="DR41:DV41"/>
    <mergeCell ref="DW41:EA41"/>
    <mergeCell ref="EB41:EF41"/>
    <mergeCell ref="EG41:EK41"/>
    <mergeCell ref="DR43:DV43"/>
    <mergeCell ref="DW43:EA43"/>
    <mergeCell ref="EB43:EF43"/>
    <mergeCell ref="EG43:EK43"/>
    <mergeCell ref="C42:Y42"/>
    <mergeCell ref="Z42:AC42"/>
    <mergeCell ref="AD42:AF42"/>
    <mergeCell ref="AG42:AK42"/>
    <mergeCell ref="AL42:AP42"/>
    <mergeCell ref="C41:Y41"/>
    <mergeCell ref="Z41:AC41"/>
    <mergeCell ref="AD41:AF41"/>
    <mergeCell ref="AG41:AK41"/>
    <mergeCell ref="AL41:AP41"/>
    <mergeCell ref="AQ41:AU41"/>
    <mergeCell ref="AV41:AZ41"/>
    <mergeCell ref="BA41:BE41"/>
    <mergeCell ref="AQ42:AU42"/>
    <mergeCell ref="AV42:AZ42"/>
    <mergeCell ref="BA42:BE42"/>
    <mergeCell ref="BF42:BJ42"/>
    <mergeCell ref="DR42:DV42"/>
    <mergeCell ref="DW42:EA42"/>
    <mergeCell ref="EB42:EF42"/>
    <mergeCell ref="EG42:EK42"/>
    <mergeCell ref="CS40:CW40"/>
    <mergeCell ref="CX40:DB40"/>
    <mergeCell ref="DC40:DG40"/>
    <mergeCell ref="BA40:BE40"/>
    <mergeCell ref="BF40:BJ40"/>
    <mergeCell ref="BK40:BN40"/>
    <mergeCell ref="BO40:BS40"/>
    <mergeCell ref="BT40:BX40"/>
    <mergeCell ref="BY40:CC40"/>
    <mergeCell ref="C43:Y43"/>
    <mergeCell ref="Z43:AC43"/>
    <mergeCell ref="AD43:AF43"/>
    <mergeCell ref="AG43:AK43"/>
    <mergeCell ref="AL43:AP43"/>
    <mergeCell ref="AQ43:AU43"/>
    <mergeCell ref="AV43:AZ43"/>
    <mergeCell ref="BA43:BE43"/>
    <mergeCell ref="BF43:BJ43"/>
    <mergeCell ref="EQ41:ES41"/>
    <mergeCell ref="C40:Y40"/>
    <mergeCell ref="Z40:AC40"/>
    <mergeCell ref="AD40:AF40"/>
    <mergeCell ref="AG40:AK40"/>
    <mergeCell ref="AL40:AP40"/>
    <mergeCell ref="AQ40:AU40"/>
    <mergeCell ref="AV40:AZ40"/>
    <mergeCell ref="EL41:EP41"/>
    <mergeCell ref="CI41:CM41"/>
    <mergeCell ref="CN41:CR41"/>
    <mergeCell ref="CS41:CW41"/>
    <mergeCell ref="CX41:DB41"/>
    <mergeCell ref="DC41:DG41"/>
    <mergeCell ref="DH41:DL41"/>
    <mergeCell ref="BF41:BJ41"/>
    <mergeCell ref="BK41:BN41"/>
    <mergeCell ref="BO41:BS41"/>
    <mergeCell ref="BT41:BX41"/>
    <mergeCell ref="BY41:CC41"/>
    <mergeCell ref="CD41:CH41"/>
    <mergeCell ref="EL40:EP40"/>
    <mergeCell ref="EQ40:ES40"/>
    <mergeCell ref="DH40:DL40"/>
    <mergeCell ref="DM40:DQ40"/>
    <mergeCell ref="DR40:DV40"/>
    <mergeCell ref="DW40:EA40"/>
    <mergeCell ref="EB40:EF40"/>
    <mergeCell ref="EG40:EK40"/>
    <mergeCell ref="CD40:CH40"/>
    <mergeCell ref="CI40:CM40"/>
    <mergeCell ref="CN40:CR40"/>
    <mergeCell ref="DC39:DG39"/>
    <mergeCell ref="DH39:DL39"/>
    <mergeCell ref="DM39:DQ39"/>
    <mergeCell ref="DR39:DV39"/>
    <mergeCell ref="DW39:EA39"/>
    <mergeCell ref="EB39:EF39"/>
    <mergeCell ref="BY39:CC39"/>
    <mergeCell ref="CD39:CH39"/>
    <mergeCell ref="CI39:CM39"/>
    <mergeCell ref="CN39:CR39"/>
    <mergeCell ref="CS39:CW39"/>
    <mergeCell ref="CX39:DB39"/>
    <mergeCell ref="AV39:AZ39"/>
    <mergeCell ref="BA39:BE39"/>
    <mergeCell ref="BF39:BJ39"/>
    <mergeCell ref="BK39:BN39"/>
    <mergeCell ref="BO39:BS39"/>
    <mergeCell ref="BT39:BX39"/>
    <mergeCell ref="C39:Y39"/>
    <mergeCell ref="Z39:AC39"/>
    <mergeCell ref="AD39:AF39"/>
    <mergeCell ref="AG39:AK39"/>
    <mergeCell ref="AL39:AP39"/>
    <mergeCell ref="AQ39:AU39"/>
    <mergeCell ref="DR38:DV38"/>
    <mergeCell ref="DW38:EA38"/>
    <mergeCell ref="EB38:EF38"/>
    <mergeCell ref="EG38:EK38"/>
    <mergeCell ref="EL38:EP38"/>
    <mergeCell ref="EQ38:ES38"/>
    <mergeCell ref="CN38:CR38"/>
    <mergeCell ref="CS38:CW38"/>
    <mergeCell ref="CX38:DB38"/>
    <mergeCell ref="DC38:DG38"/>
    <mergeCell ref="DH38:DL38"/>
    <mergeCell ref="DM38:DQ38"/>
    <mergeCell ref="BK38:BN38"/>
    <mergeCell ref="BO38:BS38"/>
    <mergeCell ref="BT38:BX38"/>
    <mergeCell ref="BY38:CC38"/>
    <mergeCell ref="CD38:CH38"/>
    <mergeCell ref="CI38:CM38"/>
    <mergeCell ref="EG39:EK39"/>
    <mergeCell ref="EL39:EP39"/>
    <mergeCell ref="EQ39:ES39"/>
    <mergeCell ref="C38:Y38"/>
    <mergeCell ref="Z38:AC38"/>
    <mergeCell ref="AD38:AF38"/>
    <mergeCell ref="AG38:AK38"/>
    <mergeCell ref="AL38:AP38"/>
    <mergeCell ref="AQ38:AU38"/>
    <mergeCell ref="AV38:AZ38"/>
    <mergeCell ref="BA38:BE38"/>
    <mergeCell ref="BF38:BJ38"/>
    <mergeCell ref="DM37:DQ37"/>
    <mergeCell ref="DR37:DV37"/>
    <mergeCell ref="DW37:EA37"/>
    <mergeCell ref="EB37:EF37"/>
    <mergeCell ref="EG37:EK37"/>
    <mergeCell ref="EL37:EP37"/>
    <mergeCell ref="CI37:CM37"/>
    <mergeCell ref="CN37:CR37"/>
    <mergeCell ref="CS37:CW37"/>
    <mergeCell ref="CX37:DB37"/>
    <mergeCell ref="DC37:DG37"/>
    <mergeCell ref="DH37:DL37"/>
    <mergeCell ref="BF37:BJ37"/>
    <mergeCell ref="BK37:BN37"/>
    <mergeCell ref="BO37:BS37"/>
    <mergeCell ref="BT37:BX37"/>
    <mergeCell ref="BY37:CC37"/>
    <mergeCell ref="CD37:CH37"/>
    <mergeCell ref="C37:Y37"/>
    <mergeCell ref="Z37:AC37"/>
    <mergeCell ref="AD37:AF37"/>
    <mergeCell ref="AG37:AK37"/>
    <mergeCell ref="AL37:AP37"/>
    <mergeCell ref="AQ37:AU37"/>
    <mergeCell ref="AV37:AZ37"/>
    <mergeCell ref="BA37:BE37"/>
    <mergeCell ref="EG36:EK36"/>
    <mergeCell ref="EL36:EP36"/>
    <mergeCell ref="EQ36:ES36"/>
    <mergeCell ref="DC36:DG36"/>
    <mergeCell ref="DH36:DL36"/>
    <mergeCell ref="DM36:DQ36"/>
    <mergeCell ref="DR36:DV36"/>
    <mergeCell ref="DW36:EA36"/>
    <mergeCell ref="EB36:EF36"/>
    <mergeCell ref="BY36:CC36"/>
    <mergeCell ref="CD36:CH36"/>
    <mergeCell ref="CI36:CM36"/>
    <mergeCell ref="CN36:CR36"/>
    <mergeCell ref="CS36:CW36"/>
    <mergeCell ref="CX36:DB36"/>
    <mergeCell ref="AV36:AZ36"/>
    <mergeCell ref="BA36:BE36"/>
    <mergeCell ref="BF36:BJ36"/>
    <mergeCell ref="BK36:BN36"/>
    <mergeCell ref="BO36:BS36"/>
    <mergeCell ref="BT36:BX36"/>
    <mergeCell ref="EQ37:ES37"/>
    <mergeCell ref="C36:Y36"/>
    <mergeCell ref="Z36:AC36"/>
    <mergeCell ref="BT34:BX34"/>
    <mergeCell ref="BY34:CC34"/>
    <mergeCell ref="AV34:AZ34"/>
    <mergeCell ref="AQ34:AU34"/>
    <mergeCell ref="AL34:AP34"/>
    <mergeCell ref="AG34:AK34"/>
    <mergeCell ref="AD36:AF36"/>
    <mergeCell ref="AG36:AK36"/>
    <mergeCell ref="AL36:AP36"/>
    <mergeCell ref="AQ36:AU36"/>
    <mergeCell ref="EQ35:ES35"/>
    <mergeCell ref="DM35:DQ35"/>
    <mergeCell ref="DR35:DV35"/>
    <mergeCell ref="DW35:EA35"/>
    <mergeCell ref="EB35:EF35"/>
    <mergeCell ref="EG35:EK35"/>
    <mergeCell ref="EL35:EP35"/>
    <mergeCell ref="CI35:CM35"/>
    <mergeCell ref="CN35:CR35"/>
    <mergeCell ref="CS35:CW35"/>
    <mergeCell ref="CX35:DB35"/>
    <mergeCell ref="DC35:DG35"/>
    <mergeCell ref="DH35:DL35"/>
    <mergeCell ref="BF35:BJ35"/>
    <mergeCell ref="BK35:BN35"/>
    <mergeCell ref="BO35:BS35"/>
    <mergeCell ref="BT35:BX35"/>
    <mergeCell ref="BY35:CC35"/>
    <mergeCell ref="CD35:CH35"/>
    <mergeCell ref="AD34:AF34"/>
    <mergeCell ref="AV33:AZ33"/>
    <mergeCell ref="BA33:BE33"/>
    <mergeCell ref="BF33:BJ33"/>
    <mergeCell ref="BK33:BN33"/>
    <mergeCell ref="BO33:BS33"/>
    <mergeCell ref="BT33:BX33"/>
    <mergeCell ref="EL34:EP34"/>
    <mergeCell ref="EQ34:ES34"/>
    <mergeCell ref="C35:Y35"/>
    <mergeCell ref="Z35:AC35"/>
    <mergeCell ref="AD35:AF35"/>
    <mergeCell ref="AG35:AK35"/>
    <mergeCell ref="AL35:AP35"/>
    <mergeCell ref="AQ35:AU35"/>
    <mergeCell ref="AV35:AZ35"/>
    <mergeCell ref="BA35:BE35"/>
    <mergeCell ref="DH34:DL34"/>
    <mergeCell ref="DM34:DQ34"/>
    <mergeCell ref="DR34:DV34"/>
    <mergeCell ref="DW34:EA34"/>
    <mergeCell ref="EB34:EF34"/>
    <mergeCell ref="EG34:EK34"/>
    <mergeCell ref="CD34:CH34"/>
    <mergeCell ref="CI34:CM34"/>
    <mergeCell ref="CN34:CR34"/>
    <mergeCell ref="CS34:CW34"/>
    <mergeCell ref="CX34:DB34"/>
    <mergeCell ref="DC34:DG34"/>
    <mergeCell ref="BA34:BE34"/>
    <mergeCell ref="BF34:BJ34"/>
    <mergeCell ref="BK34:BN34"/>
    <mergeCell ref="BO34:BS34"/>
    <mergeCell ref="BK32:BN32"/>
    <mergeCell ref="BO32:BS32"/>
    <mergeCell ref="EG33:EK33"/>
    <mergeCell ref="EL33:EP33"/>
    <mergeCell ref="EQ33:ES33"/>
    <mergeCell ref="DC33:DG33"/>
    <mergeCell ref="DH33:DL33"/>
    <mergeCell ref="DM33:DQ33"/>
    <mergeCell ref="DR33:DV33"/>
    <mergeCell ref="DW33:EA33"/>
    <mergeCell ref="EB33:EF33"/>
    <mergeCell ref="BY33:CC33"/>
    <mergeCell ref="CD33:CH33"/>
    <mergeCell ref="CI33:CM33"/>
    <mergeCell ref="CN33:CR33"/>
    <mergeCell ref="CS33:CW33"/>
    <mergeCell ref="CX33:DB33"/>
    <mergeCell ref="BK31:BN31"/>
    <mergeCell ref="BO31:BS31"/>
    <mergeCell ref="EB32:EF32"/>
    <mergeCell ref="EG32:EK32"/>
    <mergeCell ref="EL32:EP32"/>
    <mergeCell ref="EQ32:ES32"/>
    <mergeCell ref="C31:Y31"/>
    <mergeCell ref="Z31:AC31"/>
    <mergeCell ref="AD31:AF31"/>
    <mergeCell ref="AG31:AK31"/>
    <mergeCell ref="C33:Y33"/>
    <mergeCell ref="Z33:AC33"/>
    <mergeCell ref="AD33:AF33"/>
    <mergeCell ref="AG33:AK33"/>
    <mergeCell ref="AL33:AP33"/>
    <mergeCell ref="AQ33:AU33"/>
    <mergeCell ref="CX32:DB32"/>
    <mergeCell ref="DC32:DG32"/>
    <mergeCell ref="DH32:DL32"/>
    <mergeCell ref="DM32:DQ32"/>
    <mergeCell ref="DR32:DV32"/>
    <mergeCell ref="DW32:EA32"/>
    <mergeCell ref="BT32:BX32"/>
    <mergeCell ref="BY32:CC32"/>
    <mergeCell ref="CD32:CH32"/>
    <mergeCell ref="CI32:CM32"/>
    <mergeCell ref="CN32:CR32"/>
    <mergeCell ref="CS32:CW32"/>
    <mergeCell ref="AQ32:AU32"/>
    <mergeCell ref="AV32:AZ32"/>
    <mergeCell ref="BA32:BE32"/>
    <mergeCell ref="BF32:BJ32"/>
    <mergeCell ref="DM28:DQ28"/>
    <mergeCell ref="DR28:DV28"/>
    <mergeCell ref="DW28:EA28"/>
    <mergeCell ref="EB28:EF28"/>
    <mergeCell ref="EG28:EK28"/>
    <mergeCell ref="EB31:EF31"/>
    <mergeCell ref="EG31:EK31"/>
    <mergeCell ref="EL31:EP31"/>
    <mergeCell ref="CX28:DB28"/>
    <mergeCell ref="DC28:DG28"/>
    <mergeCell ref="EQ31:ES31"/>
    <mergeCell ref="C32:Y32"/>
    <mergeCell ref="Z32:AC32"/>
    <mergeCell ref="AD32:AF32"/>
    <mergeCell ref="AG32:AK32"/>
    <mergeCell ref="AL32:AP32"/>
    <mergeCell ref="CX31:DB31"/>
    <mergeCell ref="DC31:DG31"/>
    <mergeCell ref="DH31:DL31"/>
    <mergeCell ref="DM31:DQ31"/>
    <mergeCell ref="DR31:DV31"/>
    <mergeCell ref="DW31:EA31"/>
    <mergeCell ref="BT31:BX31"/>
    <mergeCell ref="BY31:CC31"/>
    <mergeCell ref="CD31:CH31"/>
    <mergeCell ref="CI31:CM31"/>
    <mergeCell ref="CN31:CR31"/>
    <mergeCell ref="CS31:CW31"/>
    <mergeCell ref="AQ31:AU31"/>
    <mergeCell ref="AV31:AZ31"/>
    <mergeCell ref="BA31:BE31"/>
    <mergeCell ref="BF31:BJ31"/>
    <mergeCell ref="DW30:EA30"/>
    <mergeCell ref="EB30:EF30"/>
    <mergeCell ref="EG30:EK30"/>
    <mergeCell ref="EL30:EP30"/>
    <mergeCell ref="EQ30:ES30"/>
    <mergeCell ref="Z26:AF29"/>
    <mergeCell ref="AG26:BJ26"/>
    <mergeCell ref="BK26:BN30"/>
    <mergeCell ref="BO26:BX26"/>
    <mergeCell ref="BY26:CH26"/>
    <mergeCell ref="CI26:CR26"/>
    <mergeCell ref="BF27:BJ30"/>
    <mergeCell ref="BO27:DB27"/>
    <mergeCell ref="CN30:CR30"/>
    <mergeCell ref="AL31:AP31"/>
    <mergeCell ref="CS30:CW30"/>
    <mergeCell ref="CX30:DB30"/>
    <mergeCell ref="DC30:DG30"/>
    <mergeCell ref="DH30:DL30"/>
    <mergeCell ref="DM30:DQ30"/>
    <mergeCell ref="DR30:DV30"/>
    <mergeCell ref="EL28:EP28"/>
    <mergeCell ref="BO29:DB29"/>
    <mergeCell ref="DC29:EP29"/>
    <mergeCell ref="Z30:AC30"/>
    <mergeCell ref="AD30:AF30"/>
    <mergeCell ref="BO30:BS30"/>
    <mergeCell ref="BT30:BX30"/>
    <mergeCell ref="BY30:CC30"/>
    <mergeCell ref="CD30:CH30"/>
    <mergeCell ref="CI30:CM30"/>
    <mergeCell ref="DH28:DL28"/>
    <mergeCell ref="A24:ES24"/>
    <mergeCell ref="A25:A30"/>
    <mergeCell ref="B25:B30"/>
    <mergeCell ref="C25:Y30"/>
    <mergeCell ref="Z25:BN25"/>
    <mergeCell ref="BO25:DB25"/>
    <mergeCell ref="DC25:EP25"/>
    <mergeCell ref="EQ25:ES29"/>
    <mergeCell ref="FW22:FY22"/>
    <mergeCell ref="FZ22:GE22"/>
    <mergeCell ref="GH22:GJ22"/>
    <mergeCell ref="GK22:GP22"/>
    <mergeCell ref="GS22:GU22"/>
    <mergeCell ref="GV22:HA22"/>
    <mergeCell ref="DC27:EP27"/>
    <mergeCell ref="BO28:BS28"/>
    <mergeCell ref="BT28:BX28"/>
    <mergeCell ref="BY28:CC28"/>
    <mergeCell ref="CD28:CH28"/>
    <mergeCell ref="CI28:CM28"/>
    <mergeCell ref="CN28:CR28"/>
    <mergeCell ref="CS28:CW28"/>
    <mergeCell ref="CS26:DB26"/>
    <mergeCell ref="DC26:DL26"/>
    <mergeCell ref="DM26:DV26"/>
    <mergeCell ref="DW26:EF26"/>
    <mergeCell ref="EG26:EP26"/>
    <mergeCell ref="AG27:AK30"/>
    <mergeCell ref="AL27:AP30"/>
    <mergeCell ref="AQ27:AU30"/>
    <mergeCell ref="AV27:AZ30"/>
    <mergeCell ref="BA27:BE30"/>
    <mergeCell ref="HJ20:HK20"/>
    <mergeCell ref="HL20:HM20"/>
    <mergeCell ref="HN20:HO20"/>
    <mergeCell ref="FA22:FC22"/>
    <mergeCell ref="FD22:FI22"/>
    <mergeCell ref="FL22:FN22"/>
    <mergeCell ref="FO22:FT22"/>
    <mergeCell ref="EX20:GY20"/>
    <mergeCell ref="GZ20:HA20"/>
    <mergeCell ref="HB20:HC20"/>
    <mergeCell ref="HD20:HE20"/>
    <mergeCell ref="HF20:HG20"/>
    <mergeCell ref="HH20:HI20"/>
    <mergeCell ref="HJ19:HK19"/>
    <mergeCell ref="HL19:HM19"/>
    <mergeCell ref="HN19:HO19"/>
    <mergeCell ref="HG22:HL22"/>
    <mergeCell ref="HD22:HF22"/>
    <mergeCell ref="HJ18:HK18"/>
    <mergeCell ref="HL18:HM18"/>
    <mergeCell ref="HN18:HO18"/>
    <mergeCell ref="EX19:EY19"/>
    <mergeCell ref="GZ19:HA19"/>
    <mergeCell ref="HB19:HC19"/>
    <mergeCell ref="HD19:HE19"/>
    <mergeCell ref="HF19:HG19"/>
    <mergeCell ref="HH19:HI19"/>
    <mergeCell ref="HJ17:HK17"/>
    <mergeCell ref="HL17:HM17"/>
    <mergeCell ref="HN17:HO17"/>
    <mergeCell ref="EX18:EY18"/>
    <mergeCell ref="GZ18:HA18"/>
    <mergeCell ref="HB18:HC18"/>
    <mergeCell ref="HD18:HE18"/>
    <mergeCell ref="HF18:HG18"/>
    <mergeCell ref="HH18:HI18"/>
    <mergeCell ref="EX17:EY17"/>
    <mergeCell ref="GZ17:HA17"/>
    <mergeCell ref="HB17:HC17"/>
    <mergeCell ref="HD17:HE17"/>
    <mergeCell ref="HF17:HG17"/>
    <mergeCell ref="HH17:HI17"/>
    <mergeCell ref="HF16:HG16"/>
    <mergeCell ref="HH16:HI16"/>
    <mergeCell ref="HJ16:HK16"/>
    <mergeCell ref="HL16:HM16"/>
    <mergeCell ref="HN16:HO16"/>
    <mergeCell ref="GR14:GU14"/>
    <mergeCell ref="GV14:GY14"/>
    <mergeCell ref="EX16:EY16"/>
    <mergeCell ref="GZ16:HA16"/>
    <mergeCell ref="HB16:HC16"/>
    <mergeCell ref="HD16:HE16"/>
    <mergeCell ref="FR14:FV14"/>
    <mergeCell ref="FW14:FZ14"/>
    <mergeCell ref="GA14:GE14"/>
    <mergeCell ref="GF14:GI14"/>
    <mergeCell ref="GJ14:GM14"/>
    <mergeCell ref="GN14:GQ14"/>
    <mergeCell ref="HL10:HM15"/>
    <mergeCell ref="HN10:HO15"/>
    <mergeCell ref="GZ11:HA15"/>
    <mergeCell ref="HB11:HK11"/>
    <mergeCell ref="HB12:HC15"/>
    <mergeCell ref="HD12:HE15"/>
    <mergeCell ref="HF12:HG15"/>
    <mergeCell ref="HH12:HI15"/>
    <mergeCell ref="HJ12:HK15"/>
    <mergeCell ref="AM7:CU7"/>
    <mergeCell ref="AM8:CU8"/>
    <mergeCell ref="A9:ES9"/>
    <mergeCell ref="EX10:EY15"/>
    <mergeCell ref="EZ10:GY13"/>
    <mergeCell ref="GZ10:HK10"/>
    <mergeCell ref="EZ14:FD14"/>
    <mergeCell ref="FE14:FH14"/>
    <mergeCell ref="FI14:FM14"/>
    <mergeCell ref="FN14:FQ14"/>
    <mergeCell ref="AM4:CU4"/>
    <mergeCell ref="DK4:ES4"/>
    <mergeCell ref="AM5:CU5"/>
    <mergeCell ref="DK5:ES5"/>
    <mergeCell ref="AM6:CU6"/>
    <mergeCell ref="DK6:DU6"/>
    <mergeCell ref="A1:ES1"/>
    <mergeCell ref="A2:Z2"/>
    <mergeCell ref="AM2:CU2"/>
    <mergeCell ref="DK2:ES2"/>
    <mergeCell ref="A3:Z3"/>
    <mergeCell ref="AM3:CU3"/>
    <mergeCell ref="DK3:ES3"/>
  </mergeCells>
  <printOptions horizontalCentered="1"/>
  <pageMargins left="0.5" right="0" top="0.5" bottom="0" header="0.3" footer="0"/>
  <pageSetup paperSize="9" scale="15" fitToHeight="0" orientation="landscape" horizontalDpi="360" verticalDpi="360" r:id="rId1"/>
  <headerFooter alignWithMargins="0"/>
  <rowBreaks count="2" manualBreakCount="2">
    <brk id="46" max="148" man="1"/>
    <brk id="91" max="148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A1:HN122"/>
  <sheetViews>
    <sheetView view="pageBreakPreview" topLeftCell="A40" zoomScale="20" zoomScaleNormal="20" zoomScaleSheetLayoutView="20" workbookViewId="0">
      <selection activeCell="BF49" sqref="BF49:BJ49"/>
    </sheetView>
  </sheetViews>
  <sheetFormatPr defaultColWidth="9.140625" defaultRowHeight="15.75" x14ac:dyDescent="0.25"/>
  <cols>
    <col min="1" max="1" width="21.5703125" style="17" customWidth="1"/>
    <col min="2" max="2" width="46.42578125" style="17" customWidth="1"/>
    <col min="3" max="22" width="6.7109375" style="2" customWidth="1"/>
    <col min="23" max="25" width="6.7109375" style="18" customWidth="1"/>
    <col min="26" max="29" width="6.28515625" style="19" customWidth="1"/>
    <col min="30" max="36" width="6.28515625" style="20" customWidth="1"/>
    <col min="37" max="48" width="6.28515625" style="21" customWidth="1"/>
    <col min="49" max="60" width="6.28515625" style="20" customWidth="1"/>
    <col min="61" max="66" width="6.28515625" style="18" customWidth="1"/>
    <col min="67" max="146" width="6.28515625" style="20" customWidth="1"/>
    <col min="147" max="149" width="6.28515625" style="1" customWidth="1"/>
    <col min="150" max="16384" width="9.140625" style="81"/>
  </cols>
  <sheetData>
    <row r="1" spans="1:222" s="1" customFormat="1" ht="130.5" customHeight="1" x14ac:dyDescent="0.2">
      <c r="A1" s="559" t="s">
        <v>12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59"/>
      <c r="AN1" s="559"/>
      <c r="AO1" s="559"/>
      <c r="AP1" s="559"/>
      <c r="AQ1" s="559"/>
      <c r="AR1" s="559"/>
      <c r="AS1" s="559"/>
      <c r="AT1" s="559"/>
      <c r="AU1" s="559"/>
      <c r="AV1" s="559"/>
      <c r="AW1" s="559"/>
      <c r="AX1" s="559"/>
      <c r="AY1" s="559"/>
      <c r="AZ1" s="559"/>
      <c r="BA1" s="559"/>
      <c r="BB1" s="559"/>
      <c r="BC1" s="559"/>
      <c r="BD1" s="559"/>
      <c r="BE1" s="559"/>
      <c r="BF1" s="559"/>
      <c r="BG1" s="559"/>
      <c r="BH1" s="559"/>
      <c r="BI1" s="559"/>
      <c r="BJ1" s="559"/>
      <c r="BK1" s="559"/>
      <c r="BL1" s="559"/>
      <c r="BM1" s="559"/>
      <c r="BN1" s="559"/>
      <c r="BO1" s="559"/>
      <c r="BP1" s="559"/>
      <c r="BQ1" s="559"/>
      <c r="BR1" s="559"/>
      <c r="BS1" s="559"/>
      <c r="BT1" s="559"/>
      <c r="BU1" s="559"/>
      <c r="BV1" s="559"/>
      <c r="BW1" s="559"/>
      <c r="BX1" s="559"/>
      <c r="BY1" s="559"/>
      <c r="BZ1" s="559"/>
      <c r="CA1" s="559"/>
      <c r="CB1" s="559"/>
      <c r="CC1" s="559"/>
      <c r="CD1" s="559"/>
      <c r="CE1" s="559"/>
      <c r="CF1" s="559"/>
      <c r="CG1" s="559"/>
      <c r="CH1" s="559"/>
      <c r="CI1" s="559"/>
      <c r="CJ1" s="559"/>
      <c r="CK1" s="559"/>
      <c r="CL1" s="559"/>
      <c r="CM1" s="559"/>
      <c r="CN1" s="559"/>
      <c r="CO1" s="559"/>
      <c r="CP1" s="559"/>
      <c r="CQ1" s="559"/>
      <c r="CR1" s="559"/>
      <c r="CS1" s="559"/>
      <c r="CT1" s="559"/>
      <c r="CU1" s="559"/>
      <c r="CV1" s="559"/>
      <c r="CW1" s="559"/>
      <c r="CX1" s="559"/>
      <c r="CY1" s="559"/>
      <c r="CZ1" s="559"/>
      <c r="DA1" s="559"/>
      <c r="DB1" s="559"/>
      <c r="DC1" s="559"/>
      <c r="DD1" s="559"/>
      <c r="DE1" s="559"/>
      <c r="DF1" s="559"/>
      <c r="DG1" s="559"/>
      <c r="DH1" s="559"/>
      <c r="DI1" s="559"/>
      <c r="DJ1" s="559"/>
      <c r="DK1" s="559"/>
      <c r="DL1" s="559"/>
      <c r="DM1" s="559"/>
      <c r="DN1" s="559"/>
      <c r="DO1" s="559"/>
      <c r="DP1" s="559"/>
      <c r="DQ1" s="559"/>
      <c r="DR1" s="559"/>
      <c r="DS1" s="559"/>
      <c r="DT1" s="559"/>
      <c r="DU1" s="559"/>
      <c r="DV1" s="559"/>
      <c r="DW1" s="559"/>
      <c r="DX1" s="559"/>
      <c r="DY1" s="559"/>
      <c r="DZ1" s="559"/>
      <c r="EA1" s="559"/>
      <c r="EB1" s="559"/>
      <c r="EC1" s="559"/>
      <c r="ED1" s="559"/>
      <c r="EE1" s="559"/>
      <c r="EF1" s="559"/>
      <c r="EG1" s="559"/>
      <c r="EH1" s="559"/>
      <c r="EI1" s="559"/>
      <c r="EJ1" s="559"/>
      <c r="EK1" s="559"/>
      <c r="EL1" s="559"/>
      <c r="EM1" s="559"/>
      <c r="EN1" s="559"/>
      <c r="EO1" s="559"/>
      <c r="EP1" s="559"/>
      <c r="EQ1" s="559"/>
      <c r="ER1" s="559"/>
      <c r="ES1" s="559"/>
    </row>
    <row r="2" spans="1:222" s="1" customFormat="1" ht="90" x14ac:dyDescent="0.25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19"/>
      <c r="AB2" s="19"/>
      <c r="AC2" s="90"/>
      <c r="AD2" s="90"/>
      <c r="AF2" s="90"/>
      <c r="AG2" s="90"/>
      <c r="AH2" s="90"/>
      <c r="AI2" s="90"/>
      <c r="AJ2" s="90"/>
      <c r="AK2" s="561" t="s">
        <v>236</v>
      </c>
      <c r="AL2" s="561"/>
      <c r="AM2" s="561"/>
      <c r="AN2" s="561"/>
      <c r="AO2" s="561"/>
      <c r="AP2" s="561"/>
      <c r="AQ2" s="561"/>
      <c r="AR2" s="561"/>
      <c r="AS2" s="561"/>
      <c r="AT2" s="561"/>
      <c r="AU2" s="561"/>
      <c r="AV2" s="561"/>
      <c r="AW2" s="561"/>
      <c r="AX2" s="561"/>
      <c r="AY2" s="561"/>
      <c r="AZ2" s="561"/>
      <c r="BA2" s="561"/>
      <c r="BB2" s="561"/>
      <c r="BC2" s="561"/>
      <c r="BD2" s="561"/>
      <c r="BE2" s="561"/>
      <c r="BF2" s="561"/>
      <c r="BG2" s="561"/>
      <c r="BH2" s="561"/>
      <c r="BI2" s="561"/>
      <c r="BJ2" s="561"/>
      <c r="BK2" s="561"/>
      <c r="BL2" s="561"/>
      <c r="BM2" s="561"/>
      <c r="BN2" s="561"/>
      <c r="BO2" s="561"/>
      <c r="BP2" s="561"/>
      <c r="BQ2" s="561"/>
      <c r="BR2" s="561"/>
      <c r="BS2" s="561"/>
      <c r="BT2" s="561"/>
      <c r="BU2" s="561"/>
      <c r="BV2" s="561"/>
      <c r="BW2" s="561"/>
      <c r="BX2" s="561"/>
      <c r="BY2" s="561"/>
      <c r="BZ2" s="561"/>
      <c r="CA2" s="561"/>
      <c r="CB2" s="561"/>
      <c r="CC2" s="561"/>
      <c r="CD2" s="561"/>
      <c r="CE2" s="561"/>
      <c r="CF2" s="561"/>
      <c r="CG2" s="561"/>
      <c r="CH2" s="561"/>
      <c r="CI2" s="561"/>
      <c r="CJ2" s="561"/>
      <c r="CK2" s="561"/>
      <c r="CL2" s="561"/>
      <c r="CM2" s="561"/>
      <c r="CN2" s="561"/>
      <c r="CO2" s="561"/>
      <c r="CP2" s="561"/>
      <c r="CQ2" s="561"/>
      <c r="CR2" s="561"/>
      <c r="CS2" s="561"/>
      <c r="CT2" s="561"/>
      <c r="CU2" s="561"/>
      <c r="CV2" s="561"/>
      <c r="CW2" s="561"/>
      <c r="CX2" s="561"/>
      <c r="CY2" s="561"/>
      <c r="CZ2" s="561"/>
      <c r="DA2" s="561"/>
      <c r="DB2" s="561"/>
      <c r="DC2" s="561"/>
      <c r="DD2" s="90"/>
      <c r="DE2" s="90"/>
      <c r="DF2" s="90"/>
      <c r="DG2" s="90"/>
      <c r="DH2" s="90"/>
      <c r="DI2" s="90"/>
      <c r="DJ2" s="90"/>
      <c r="DK2" s="90"/>
      <c r="DL2" s="565" t="s">
        <v>174</v>
      </c>
      <c r="DM2" s="565"/>
      <c r="DN2" s="565"/>
      <c r="DO2" s="565"/>
      <c r="DP2" s="565"/>
      <c r="DQ2" s="565"/>
      <c r="DR2" s="565"/>
      <c r="DS2" s="565"/>
      <c r="DT2" s="565"/>
      <c r="DU2" s="565"/>
      <c r="DV2" s="565"/>
      <c r="DW2" s="565"/>
      <c r="DX2" s="565"/>
      <c r="DY2" s="565"/>
      <c r="DZ2" s="565"/>
      <c r="EA2" s="565"/>
      <c r="EB2" s="565"/>
      <c r="EC2" s="565"/>
      <c r="ED2" s="565"/>
      <c r="EE2" s="565"/>
      <c r="EF2" s="565"/>
      <c r="EG2" s="565"/>
      <c r="EH2" s="565"/>
      <c r="EI2" s="565"/>
      <c r="EJ2" s="565"/>
      <c r="EK2" s="565"/>
      <c r="EL2" s="565"/>
      <c r="EM2" s="565"/>
      <c r="EN2" s="565"/>
      <c r="EO2" s="565"/>
      <c r="EP2" s="565"/>
      <c r="EQ2" s="565"/>
      <c r="ER2" s="565"/>
      <c r="ES2" s="565"/>
    </row>
    <row r="3" spans="1:222" s="1" customFormat="1" ht="90" customHeight="1" x14ac:dyDescent="0.2">
      <c r="A3" s="558"/>
      <c r="B3" s="558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B3" s="24"/>
      <c r="AC3" s="24"/>
      <c r="AD3" s="24"/>
      <c r="AF3" s="95"/>
      <c r="AG3" s="95"/>
      <c r="AH3" s="95"/>
      <c r="AI3" s="95"/>
      <c r="AJ3" s="95"/>
      <c r="AK3" s="562" t="s">
        <v>243</v>
      </c>
      <c r="AL3" s="562"/>
      <c r="AM3" s="562"/>
      <c r="AN3" s="562"/>
      <c r="AO3" s="562"/>
      <c r="AP3" s="562"/>
      <c r="AQ3" s="562"/>
      <c r="AR3" s="562"/>
      <c r="AS3" s="562"/>
      <c r="AT3" s="562"/>
      <c r="AU3" s="562"/>
      <c r="AV3" s="562"/>
      <c r="AW3" s="562"/>
      <c r="AX3" s="562"/>
      <c r="AY3" s="562"/>
      <c r="AZ3" s="562"/>
      <c r="BA3" s="562"/>
      <c r="BB3" s="562"/>
      <c r="BC3" s="562"/>
      <c r="BD3" s="562"/>
      <c r="BE3" s="562"/>
      <c r="BF3" s="562"/>
      <c r="BG3" s="562"/>
      <c r="BH3" s="562"/>
      <c r="BI3" s="562"/>
      <c r="BJ3" s="562"/>
      <c r="BK3" s="562"/>
      <c r="BL3" s="562"/>
      <c r="BM3" s="562"/>
      <c r="BN3" s="562"/>
      <c r="BO3" s="562"/>
      <c r="BP3" s="562"/>
      <c r="BQ3" s="562"/>
      <c r="BR3" s="562"/>
      <c r="BS3" s="562"/>
      <c r="BT3" s="562"/>
      <c r="BU3" s="562"/>
      <c r="BV3" s="562"/>
      <c r="BW3" s="562"/>
      <c r="BX3" s="562"/>
      <c r="BY3" s="562"/>
      <c r="BZ3" s="562"/>
      <c r="CA3" s="562"/>
      <c r="CB3" s="562"/>
      <c r="CC3" s="562"/>
      <c r="CD3" s="562"/>
      <c r="CE3" s="562"/>
      <c r="CF3" s="562"/>
      <c r="CG3" s="562"/>
      <c r="CH3" s="562"/>
      <c r="CI3" s="562"/>
      <c r="CJ3" s="562"/>
      <c r="CK3" s="562"/>
      <c r="CL3" s="562"/>
      <c r="CM3" s="562"/>
      <c r="CN3" s="562"/>
      <c r="CO3" s="562"/>
      <c r="CP3" s="562"/>
      <c r="CQ3" s="562"/>
      <c r="CR3" s="562"/>
      <c r="CS3" s="562"/>
      <c r="CT3" s="562"/>
      <c r="CU3" s="562"/>
      <c r="CV3" s="562"/>
      <c r="CW3" s="562"/>
      <c r="CX3" s="562"/>
      <c r="CY3" s="562"/>
      <c r="CZ3" s="562"/>
      <c r="DA3" s="562"/>
      <c r="DB3" s="562"/>
      <c r="DC3" s="562"/>
      <c r="DD3" s="24"/>
      <c r="DE3" s="24"/>
      <c r="DF3" s="24"/>
      <c r="DG3" s="24"/>
      <c r="DH3" s="24"/>
      <c r="DI3" s="24"/>
      <c r="DJ3" s="24"/>
      <c r="DK3" s="24"/>
      <c r="DL3" s="562" t="s">
        <v>246</v>
      </c>
      <c r="DM3" s="562"/>
      <c r="DN3" s="562"/>
      <c r="DO3" s="562"/>
      <c r="DP3" s="562"/>
      <c r="DQ3" s="562"/>
      <c r="DR3" s="562"/>
      <c r="DS3" s="562"/>
      <c r="DT3" s="562"/>
      <c r="DU3" s="562"/>
      <c r="DV3" s="562"/>
      <c r="DW3" s="562"/>
      <c r="DX3" s="562"/>
      <c r="DY3" s="562"/>
      <c r="DZ3" s="562"/>
      <c r="EA3" s="562"/>
      <c r="EB3" s="562"/>
      <c r="EC3" s="562"/>
      <c r="ED3" s="562"/>
      <c r="EE3" s="562"/>
      <c r="EF3" s="562"/>
      <c r="EG3" s="562"/>
      <c r="EH3" s="562"/>
      <c r="EI3" s="562"/>
      <c r="EJ3" s="562"/>
      <c r="EK3" s="562"/>
      <c r="EL3" s="562"/>
      <c r="EM3" s="562"/>
      <c r="EN3" s="562"/>
      <c r="EO3" s="562"/>
      <c r="EP3" s="562"/>
      <c r="EQ3" s="562"/>
      <c r="ER3" s="562"/>
      <c r="ES3" s="562"/>
    </row>
    <row r="4" spans="1:222" s="1" customFormat="1" ht="90" customHeight="1" x14ac:dyDescent="0.35">
      <c r="A4" s="82"/>
      <c r="B4" s="92"/>
      <c r="C4" s="92"/>
      <c r="D4" s="9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F4" s="134"/>
      <c r="AG4" s="134"/>
      <c r="AH4" s="134"/>
      <c r="AI4" s="134"/>
      <c r="AJ4" s="134"/>
      <c r="AK4" s="563" t="s">
        <v>119</v>
      </c>
      <c r="AL4" s="563"/>
      <c r="AM4" s="563"/>
      <c r="AN4" s="563"/>
      <c r="AO4" s="563"/>
      <c r="AP4" s="563"/>
      <c r="AQ4" s="563"/>
      <c r="AR4" s="563"/>
      <c r="AS4" s="563"/>
      <c r="AT4" s="563"/>
      <c r="AU4" s="563"/>
      <c r="AV4" s="563"/>
      <c r="AW4" s="563"/>
      <c r="AX4" s="563"/>
      <c r="AY4" s="563"/>
      <c r="AZ4" s="563"/>
      <c r="BA4" s="563"/>
      <c r="BB4" s="563"/>
      <c r="BC4" s="563"/>
      <c r="BD4" s="563"/>
      <c r="BE4" s="563"/>
      <c r="BF4" s="563"/>
      <c r="BG4" s="563"/>
      <c r="BH4" s="563"/>
      <c r="BI4" s="563"/>
      <c r="BJ4" s="563"/>
      <c r="BK4" s="563"/>
      <c r="BL4" s="563"/>
      <c r="BM4" s="563"/>
      <c r="BN4" s="563"/>
      <c r="BO4" s="563"/>
      <c r="BP4" s="563"/>
      <c r="BQ4" s="563"/>
      <c r="BR4" s="563"/>
      <c r="BS4" s="563"/>
      <c r="BT4" s="563"/>
      <c r="BU4" s="563"/>
      <c r="BV4" s="563"/>
      <c r="BW4" s="563"/>
      <c r="BX4" s="563"/>
      <c r="BY4" s="563"/>
      <c r="BZ4" s="563"/>
      <c r="CA4" s="563"/>
      <c r="CB4" s="563"/>
      <c r="CC4" s="563"/>
      <c r="CD4" s="563"/>
      <c r="CE4" s="563"/>
      <c r="CF4" s="563"/>
      <c r="CG4" s="563"/>
      <c r="CH4" s="563"/>
      <c r="CI4" s="563"/>
      <c r="CJ4" s="563"/>
      <c r="CK4" s="563"/>
      <c r="CL4" s="563"/>
      <c r="CM4" s="563"/>
      <c r="CN4" s="563"/>
      <c r="CO4" s="563"/>
      <c r="CP4" s="563"/>
      <c r="CQ4" s="563"/>
      <c r="CR4" s="563"/>
      <c r="CS4" s="563"/>
      <c r="CT4" s="563"/>
      <c r="CU4" s="563"/>
      <c r="CV4" s="563"/>
      <c r="CW4" s="563"/>
      <c r="CX4" s="563"/>
      <c r="CY4" s="563"/>
      <c r="CZ4" s="563"/>
      <c r="DA4" s="563"/>
      <c r="DB4" s="563"/>
      <c r="DC4" s="563"/>
      <c r="DD4" s="134"/>
      <c r="DE4" s="134"/>
      <c r="DL4" s="852" t="s">
        <v>239</v>
      </c>
      <c r="DM4" s="852"/>
      <c r="DN4" s="852"/>
      <c r="DO4" s="852"/>
      <c r="DP4" s="852"/>
      <c r="DQ4" s="852"/>
      <c r="DR4" s="852"/>
      <c r="DS4" s="852"/>
      <c r="DT4" s="852"/>
      <c r="DU4" s="852"/>
      <c r="DV4" s="852"/>
      <c r="DW4" s="852"/>
      <c r="DX4" s="852"/>
      <c r="DY4" s="852"/>
      <c r="DZ4" s="852"/>
      <c r="EA4" s="852"/>
      <c r="EB4" s="852"/>
      <c r="EC4" s="852"/>
      <c r="ED4" s="852"/>
      <c r="EE4" s="852"/>
      <c r="EF4" s="852"/>
      <c r="EG4" s="852"/>
      <c r="EH4" s="852"/>
      <c r="EI4" s="852"/>
      <c r="EJ4" s="852"/>
      <c r="EK4" s="852"/>
      <c r="EL4" s="852"/>
      <c r="EM4" s="852"/>
      <c r="EN4" s="852"/>
      <c r="EO4" s="852"/>
      <c r="EP4" s="852"/>
      <c r="EQ4" s="852"/>
      <c r="ER4" s="852"/>
      <c r="ES4" s="852"/>
    </row>
    <row r="5" spans="1:222" s="1" customFormat="1" ht="90" customHeight="1" x14ac:dyDescent="0.3">
      <c r="A5" s="82"/>
      <c r="B5" s="92"/>
      <c r="C5" s="92"/>
      <c r="D5" s="9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2"/>
      <c r="T5" s="2"/>
      <c r="U5" s="2"/>
      <c r="V5" s="2"/>
      <c r="W5" s="18"/>
      <c r="X5" s="18"/>
      <c r="Y5" s="18"/>
      <c r="Z5" s="19"/>
      <c r="AA5" s="19"/>
      <c r="AB5" s="19"/>
      <c r="AC5" s="19"/>
      <c r="AD5" s="20"/>
      <c r="AF5" s="134"/>
      <c r="AG5" s="134"/>
      <c r="AH5" s="134"/>
      <c r="AI5" s="134"/>
      <c r="AJ5" s="134"/>
      <c r="AK5" s="563" t="s">
        <v>245</v>
      </c>
      <c r="AL5" s="563"/>
      <c r="AM5" s="563"/>
      <c r="AN5" s="563"/>
      <c r="AO5" s="563"/>
      <c r="AP5" s="563"/>
      <c r="AQ5" s="563"/>
      <c r="AR5" s="563"/>
      <c r="AS5" s="563"/>
      <c r="AT5" s="563"/>
      <c r="AU5" s="563"/>
      <c r="AV5" s="563"/>
      <c r="AW5" s="563"/>
      <c r="AX5" s="563"/>
      <c r="AY5" s="563"/>
      <c r="AZ5" s="563"/>
      <c r="BA5" s="563"/>
      <c r="BB5" s="563"/>
      <c r="BC5" s="563"/>
      <c r="BD5" s="563"/>
      <c r="BE5" s="563"/>
      <c r="BF5" s="563"/>
      <c r="BG5" s="563"/>
      <c r="BH5" s="563"/>
      <c r="BI5" s="563"/>
      <c r="BJ5" s="563"/>
      <c r="BK5" s="563"/>
      <c r="BL5" s="563"/>
      <c r="BM5" s="563"/>
      <c r="BN5" s="563"/>
      <c r="BO5" s="563"/>
      <c r="BP5" s="563"/>
      <c r="BQ5" s="563"/>
      <c r="BR5" s="563"/>
      <c r="BS5" s="563"/>
      <c r="BT5" s="563"/>
      <c r="BU5" s="563"/>
      <c r="BV5" s="563"/>
      <c r="BW5" s="563"/>
      <c r="BX5" s="563"/>
      <c r="BY5" s="563"/>
      <c r="BZ5" s="563"/>
      <c r="CA5" s="563"/>
      <c r="CB5" s="563"/>
      <c r="CC5" s="563"/>
      <c r="CD5" s="563"/>
      <c r="CE5" s="563"/>
      <c r="CF5" s="563"/>
      <c r="CG5" s="563"/>
      <c r="CH5" s="563"/>
      <c r="CI5" s="563"/>
      <c r="CJ5" s="563"/>
      <c r="CK5" s="563"/>
      <c r="CL5" s="563"/>
      <c r="CM5" s="563"/>
      <c r="CN5" s="563"/>
      <c r="CO5" s="563"/>
      <c r="CP5" s="563"/>
      <c r="CQ5" s="563"/>
      <c r="CR5" s="563"/>
      <c r="CS5" s="563"/>
      <c r="CT5" s="563"/>
      <c r="CU5" s="563"/>
      <c r="CV5" s="563"/>
      <c r="CW5" s="563"/>
      <c r="CX5" s="563"/>
      <c r="CY5" s="563"/>
      <c r="CZ5" s="563"/>
      <c r="DA5" s="563"/>
      <c r="DB5" s="563"/>
      <c r="DC5" s="563"/>
      <c r="DD5" s="152"/>
      <c r="DE5" s="152"/>
      <c r="DL5" s="853" t="s">
        <v>238</v>
      </c>
      <c r="DM5" s="853"/>
      <c r="DN5" s="853"/>
      <c r="DO5" s="853"/>
      <c r="DP5" s="853"/>
      <c r="DQ5" s="853"/>
      <c r="DR5" s="853"/>
      <c r="DS5" s="853"/>
      <c r="DT5" s="853"/>
      <c r="DU5" s="853"/>
      <c r="DV5" s="853"/>
      <c r="DW5" s="853"/>
      <c r="DX5" s="853"/>
      <c r="DY5" s="853"/>
      <c r="DZ5" s="853"/>
      <c r="EA5" s="853"/>
      <c r="EB5" s="853"/>
      <c r="EC5" s="853"/>
      <c r="ED5" s="853"/>
      <c r="EE5" s="853"/>
      <c r="EF5" s="853"/>
      <c r="EG5" s="853"/>
      <c r="EH5" s="853"/>
      <c r="EI5" s="853"/>
      <c r="EJ5" s="853"/>
      <c r="EK5" s="853"/>
      <c r="EL5" s="853"/>
      <c r="EM5" s="853"/>
      <c r="EN5" s="853"/>
      <c r="EO5" s="853"/>
      <c r="EP5" s="853"/>
      <c r="EQ5" s="853"/>
      <c r="ER5" s="853"/>
      <c r="ES5" s="853"/>
    </row>
    <row r="6" spans="1:222" s="1" customFormat="1" ht="90" customHeight="1" x14ac:dyDescent="0.85">
      <c r="A6" s="82"/>
      <c r="B6" s="92"/>
      <c r="C6" s="92"/>
      <c r="D6" s="9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2"/>
      <c r="T6" s="2"/>
      <c r="U6" s="2"/>
      <c r="V6" s="2"/>
      <c r="W6" s="18"/>
      <c r="X6" s="18"/>
      <c r="Y6" s="18"/>
      <c r="Z6" s="19"/>
      <c r="AA6" s="19"/>
      <c r="AB6" s="19"/>
      <c r="AC6" s="19"/>
      <c r="AD6" s="20"/>
      <c r="AF6" s="134"/>
      <c r="AG6" s="134"/>
      <c r="AH6" s="134"/>
      <c r="AI6" s="134"/>
      <c r="AJ6" s="134"/>
      <c r="AK6" s="563" t="s">
        <v>13</v>
      </c>
      <c r="AL6" s="563"/>
      <c r="AM6" s="563"/>
      <c r="AN6" s="563"/>
      <c r="AO6" s="563"/>
      <c r="AP6" s="563"/>
      <c r="AQ6" s="563"/>
      <c r="AR6" s="563"/>
      <c r="AS6" s="563"/>
      <c r="AT6" s="563"/>
      <c r="AU6" s="563"/>
      <c r="AV6" s="563"/>
      <c r="AW6" s="563"/>
      <c r="AX6" s="563"/>
      <c r="AY6" s="563"/>
      <c r="AZ6" s="563"/>
      <c r="BA6" s="563"/>
      <c r="BB6" s="563"/>
      <c r="BC6" s="563"/>
      <c r="BD6" s="563"/>
      <c r="BE6" s="563"/>
      <c r="BF6" s="563"/>
      <c r="BG6" s="563"/>
      <c r="BH6" s="563"/>
      <c r="BI6" s="563"/>
      <c r="BJ6" s="563"/>
      <c r="BK6" s="563"/>
      <c r="BL6" s="563"/>
      <c r="BM6" s="563"/>
      <c r="BN6" s="563"/>
      <c r="BO6" s="563"/>
      <c r="BP6" s="563"/>
      <c r="BQ6" s="563"/>
      <c r="BR6" s="563"/>
      <c r="BS6" s="563"/>
      <c r="BT6" s="563"/>
      <c r="BU6" s="563"/>
      <c r="BV6" s="563"/>
      <c r="BW6" s="563"/>
      <c r="BX6" s="563"/>
      <c r="BY6" s="563"/>
      <c r="BZ6" s="563"/>
      <c r="CA6" s="563"/>
      <c r="CB6" s="563"/>
      <c r="CC6" s="563"/>
      <c r="CD6" s="563"/>
      <c r="CE6" s="563"/>
      <c r="CF6" s="563"/>
      <c r="CG6" s="563"/>
      <c r="CH6" s="563"/>
      <c r="CI6" s="563"/>
      <c r="CJ6" s="563"/>
      <c r="CK6" s="563"/>
      <c r="CL6" s="563"/>
      <c r="CM6" s="563"/>
      <c r="CN6" s="563"/>
      <c r="CO6" s="563"/>
      <c r="CP6" s="563"/>
      <c r="CQ6" s="563"/>
      <c r="CR6" s="563"/>
      <c r="CS6" s="563"/>
      <c r="CT6" s="563"/>
      <c r="CU6" s="563"/>
      <c r="CV6" s="563"/>
      <c r="CW6" s="563"/>
      <c r="CX6" s="563"/>
      <c r="CY6" s="563"/>
      <c r="CZ6" s="563"/>
      <c r="DA6" s="563"/>
      <c r="DB6" s="563"/>
      <c r="DC6" s="563"/>
      <c r="DD6" s="152"/>
      <c r="DE6" s="152"/>
      <c r="DO6" s="354" t="s">
        <v>175</v>
      </c>
      <c r="DP6" s="354"/>
      <c r="DQ6" s="354"/>
      <c r="DR6" s="354"/>
      <c r="DS6" s="354"/>
      <c r="DT6" s="354"/>
      <c r="DU6" s="354"/>
      <c r="DV6" s="77"/>
      <c r="DW6" s="77"/>
      <c r="DX6" s="77"/>
      <c r="DY6" s="77"/>
      <c r="DZ6" s="77"/>
      <c r="EA6" s="77"/>
      <c r="EB6" s="77"/>
      <c r="EC6" s="77"/>
      <c r="ED6" s="77"/>
      <c r="EE6" s="77"/>
      <c r="EF6" s="77"/>
      <c r="EG6" s="77"/>
      <c r="EH6" s="77"/>
      <c r="EI6" s="77"/>
      <c r="EJ6" s="77"/>
      <c r="EK6" s="77"/>
      <c r="EL6" s="77"/>
      <c r="EM6" s="77"/>
      <c r="EN6" s="77"/>
      <c r="EO6" s="77"/>
    </row>
    <row r="7" spans="1:222" s="1" customFormat="1" ht="90" customHeight="1" x14ac:dyDescent="0.3">
      <c r="A7" s="82"/>
      <c r="B7" s="92"/>
      <c r="C7" s="92"/>
      <c r="D7" s="9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2"/>
      <c r="T7" s="2"/>
      <c r="U7" s="2"/>
      <c r="V7" s="2"/>
      <c r="W7" s="18"/>
      <c r="X7" s="18"/>
      <c r="Y7" s="18"/>
      <c r="Z7" s="19"/>
      <c r="AA7" s="19"/>
      <c r="AB7" s="19"/>
      <c r="AC7" s="19"/>
      <c r="AD7" s="20"/>
      <c r="AF7" s="134"/>
      <c r="AG7" s="134"/>
      <c r="AH7" s="134"/>
      <c r="AI7" s="134"/>
      <c r="AJ7" s="134"/>
      <c r="AK7" s="563" t="s">
        <v>232</v>
      </c>
      <c r="AL7" s="563"/>
      <c r="AM7" s="563"/>
      <c r="AN7" s="563"/>
      <c r="AO7" s="563"/>
      <c r="AP7" s="563"/>
      <c r="AQ7" s="563"/>
      <c r="AR7" s="563"/>
      <c r="AS7" s="563"/>
      <c r="AT7" s="563"/>
      <c r="AU7" s="563"/>
      <c r="AV7" s="563"/>
      <c r="AW7" s="563"/>
      <c r="AX7" s="563"/>
      <c r="AY7" s="563"/>
      <c r="AZ7" s="563"/>
      <c r="BA7" s="563"/>
      <c r="BB7" s="563"/>
      <c r="BC7" s="563"/>
      <c r="BD7" s="563"/>
      <c r="BE7" s="563"/>
      <c r="BF7" s="563"/>
      <c r="BG7" s="563"/>
      <c r="BH7" s="563"/>
      <c r="BI7" s="563"/>
      <c r="BJ7" s="563"/>
      <c r="BK7" s="563"/>
      <c r="BL7" s="563"/>
      <c r="BM7" s="563"/>
      <c r="BN7" s="563"/>
      <c r="BO7" s="563"/>
      <c r="BP7" s="563"/>
      <c r="BQ7" s="563"/>
      <c r="BR7" s="563"/>
      <c r="BS7" s="563"/>
      <c r="BT7" s="563"/>
      <c r="BU7" s="563"/>
      <c r="BV7" s="563"/>
      <c r="BW7" s="563"/>
      <c r="BX7" s="563"/>
      <c r="BY7" s="563"/>
      <c r="BZ7" s="563"/>
      <c r="CA7" s="563"/>
      <c r="CB7" s="563"/>
      <c r="CC7" s="563"/>
      <c r="CD7" s="563"/>
      <c r="CE7" s="563"/>
      <c r="CF7" s="563"/>
      <c r="CG7" s="563"/>
      <c r="CH7" s="563"/>
      <c r="CI7" s="563"/>
      <c r="CJ7" s="563"/>
      <c r="CK7" s="563"/>
      <c r="CL7" s="563"/>
      <c r="CM7" s="563"/>
      <c r="CN7" s="563"/>
      <c r="CO7" s="563"/>
      <c r="CP7" s="563"/>
      <c r="CQ7" s="563"/>
      <c r="CR7" s="563"/>
      <c r="CS7" s="563"/>
      <c r="CT7" s="563"/>
      <c r="CU7" s="563"/>
      <c r="CV7" s="563"/>
      <c r="CW7" s="563"/>
      <c r="CX7" s="563"/>
      <c r="CY7" s="563"/>
      <c r="CZ7" s="563"/>
      <c r="DA7" s="563"/>
      <c r="DB7" s="563"/>
      <c r="DC7" s="563"/>
      <c r="DD7" s="152"/>
      <c r="DE7" s="152"/>
    </row>
    <row r="8" spans="1:222" s="1" customFormat="1" ht="90" customHeight="1" x14ac:dyDescent="0.3">
      <c r="A8" s="82"/>
      <c r="B8" s="92"/>
      <c r="C8" s="92"/>
      <c r="D8" s="9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2"/>
      <c r="T8" s="2"/>
      <c r="U8" s="2"/>
      <c r="V8" s="2"/>
      <c r="W8" s="18"/>
      <c r="X8" s="18"/>
      <c r="Y8" s="18"/>
      <c r="Z8" s="19"/>
      <c r="AA8" s="19"/>
      <c r="AB8" s="19"/>
      <c r="AC8" s="19"/>
      <c r="AD8" s="20"/>
      <c r="AF8" s="134"/>
      <c r="AG8" s="134"/>
      <c r="AH8" s="134"/>
      <c r="AI8" s="134"/>
      <c r="AJ8" s="134"/>
      <c r="AK8" s="563" t="s">
        <v>198</v>
      </c>
      <c r="AL8" s="563"/>
      <c r="AM8" s="563"/>
      <c r="AN8" s="563"/>
      <c r="AO8" s="563"/>
      <c r="AP8" s="563"/>
      <c r="AQ8" s="563"/>
      <c r="AR8" s="563"/>
      <c r="AS8" s="563"/>
      <c r="AT8" s="563"/>
      <c r="AU8" s="563"/>
      <c r="AV8" s="563"/>
      <c r="AW8" s="563"/>
      <c r="AX8" s="563"/>
      <c r="AY8" s="563"/>
      <c r="AZ8" s="563"/>
      <c r="BA8" s="563"/>
      <c r="BB8" s="563"/>
      <c r="BC8" s="563"/>
      <c r="BD8" s="563"/>
      <c r="BE8" s="563"/>
      <c r="BF8" s="563"/>
      <c r="BG8" s="563"/>
      <c r="BH8" s="563"/>
      <c r="BI8" s="563"/>
      <c r="BJ8" s="563"/>
      <c r="BK8" s="563"/>
      <c r="BL8" s="563"/>
      <c r="BM8" s="563"/>
      <c r="BN8" s="563"/>
      <c r="BO8" s="563"/>
      <c r="BP8" s="563"/>
      <c r="BQ8" s="563"/>
      <c r="BR8" s="563"/>
      <c r="BS8" s="563"/>
      <c r="BT8" s="563"/>
      <c r="BU8" s="563"/>
      <c r="BV8" s="563"/>
      <c r="BW8" s="563"/>
      <c r="BX8" s="563"/>
      <c r="BY8" s="563"/>
      <c r="BZ8" s="563"/>
      <c r="CA8" s="563"/>
      <c r="CB8" s="563"/>
      <c r="CC8" s="563"/>
      <c r="CD8" s="563"/>
      <c r="CE8" s="563"/>
      <c r="CF8" s="563"/>
      <c r="CG8" s="563"/>
      <c r="CH8" s="563"/>
      <c r="CI8" s="563"/>
      <c r="CJ8" s="563"/>
      <c r="CK8" s="563"/>
      <c r="CL8" s="563"/>
      <c r="CM8" s="563"/>
      <c r="CN8" s="563"/>
      <c r="CO8" s="563"/>
      <c r="CP8" s="563"/>
      <c r="CQ8" s="563"/>
      <c r="CR8" s="563"/>
      <c r="CS8" s="563"/>
      <c r="CT8" s="563"/>
      <c r="CU8" s="563"/>
      <c r="CV8" s="563"/>
      <c r="CW8" s="563"/>
      <c r="CX8" s="563"/>
      <c r="CY8" s="563"/>
      <c r="CZ8" s="563"/>
      <c r="DA8" s="563"/>
      <c r="DB8" s="563"/>
      <c r="DC8" s="563"/>
      <c r="DD8" s="152"/>
      <c r="DE8" s="152"/>
    </row>
    <row r="9" spans="1:222" ht="30" x14ac:dyDescent="0.25">
      <c r="T9" s="28"/>
      <c r="U9" s="28"/>
      <c r="V9" s="28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133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DX9" s="16"/>
      <c r="DY9" s="16"/>
      <c r="DZ9" s="16"/>
      <c r="EA9" s="16"/>
      <c r="EB9" s="16"/>
      <c r="EC9" s="16"/>
      <c r="ED9" s="16"/>
      <c r="EE9" s="16"/>
      <c r="EF9" s="31"/>
      <c r="EG9" s="31"/>
      <c r="EH9" s="31"/>
      <c r="EI9" s="28"/>
      <c r="EJ9" s="28"/>
      <c r="EK9" s="28"/>
      <c r="EL9" s="28"/>
      <c r="EM9" s="28"/>
      <c r="EN9" s="31"/>
      <c r="EO9" s="31"/>
      <c r="EP9" s="31"/>
    </row>
    <row r="10" spans="1:222" ht="75" x14ac:dyDescent="0.2">
      <c r="A10" s="557" t="s">
        <v>248</v>
      </c>
      <c r="B10" s="557"/>
      <c r="C10" s="557"/>
      <c r="D10" s="557"/>
      <c r="E10" s="557"/>
      <c r="F10" s="557"/>
      <c r="G10" s="557"/>
      <c r="H10" s="557"/>
      <c r="I10" s="557"/>
      <c r="J10" s="557"/>
      <c r="K10" s="557"/>
      <c r="L10" s="557"/>
      <c r="M10" s="557"/>
      <c r="N10" s="557"/>
      <c r="O10" s="557"/>
      <c r="P10" s="557"/>
      <c r="Q10" s="557"/>
      <c r="R10" s="557"/>
      <c r="S10" s="557"/>
      <c r="T10" s="557"/>
      <c r="U10" s="557"/>
      <c r="V10" s="557"/>
      <c r="W10" s="557"/>
      <c r="X10" s="557"/>
      <c r="Y10" s="557"/>
      <c r="Z10" s="557"/>
      <c r="AA10" s="557"/>
      <c r="AB10" s="557"/>
      <c r="AC10" s="557"/>
      <c r="AD10" s="557"/>
      <c r="AE10" s="557"/>
      <c r="AF10" s="557"/>
      <c r="AG10" s="557"/>
      <c r="AH10" s="557"/>
      <c r="AI10" s="557"/>
      <c r="AJ10" s="557"/>
      <c r="AK10" s="557"/>
      <c r="AL10" s="557"/>
      <c r="AM10" s="557"/>
      <c r="AN10" s="557"/>
      <c r="AO10" s="557"/>
      <c r="AP10" s="557"/>
      <c r="AQ10" s="557"/>
      <c r="AR10" s="557"/>
      <c r="AS10" s="557"/>
      <c r="AT10" s="557"/>
      <c r="AU10" s="557"/>
      <c r="AV10" s="557"/>
      <c r="AW10" s="557"/>
      <c r="AX10" s="557"/>
      <c r="AY10" s="557"/>
      <c r="AZ10" s="557"/>
      <c r="BA10" s="557"/>
      <c r="BB10" s="557"/>
      <c r="BC10" s="557"/>
      <c r="BD10" s="557"/>
      <c r="BE10" s="557"/>
      <c r="BF10" s="557"/>
      <c r="BG10" s="557"/>
      <c r="BH10" s="557"/>
      <c r="BI10" s="557"/>
      <c r="BJ10" s="557"/>
      <c r="BK10" s="557"/>
      <c r="BL10" s="557"/>
      <c r="BM10" s="557"/>
      <c r="BN10" s="557"/>
      <c r="BO10" s="557"/>
      <c r="BP10" s="557"/>
      <c r="BQ10" s="557"/>
      <c r="BR10" s="557"/>
      <c r="BS10" s="557"/>
      <c r="BT10" s="557"/>
      <c r="BU10" s="557"/>
      <c r="BV10" s="557"/>
      <c r="BW10" s="557"/>
      <c r="BX10" s="557"/>
      <c r="BY10" s="557"/>
      <c r="BZ10" s="557"/>
      <c r="CA10" s="557"/>
      <c r="CB10" s="557"/>
      <c r="CC10" s="557"/>
      <c r="CD10" s="557"/>
      <c r="CE10" s="557"/>
      <c r="CF10" s="557"/>
      <c r="CG10" s="557"/>
      <c r="CH10" s="557"/>
      <c r="CI10" s="557"/>
      <c r="CJ10" s="557"/>
      <c r="CK10" s="557"/>
      <c r="CL10" s="557"/>
      <c r="CM10" s="557"/>
      <c r="CN10" s="557"/>
      <c r="CO10" s="557"/>
      <c r="CP10" s="557"/>
      <c r="CQ10" s="557"/>
      <c r="CR10" s="557"/>
      <c r="CS10" s="557"/>
      <c r="CT10" s="557"/>
      <c r="CU10" s="557"/>
      <c r="CV10" s="557"/>
      <c r="CW10" s="557"/>
      <c r="CX10" s="557"/>
      <c r="CY10" s="557"/>
      <c r="CZ10" s="557"/>
      <c r="DA10" s="557"/>
      <c r="DB10" s="557"/>
      <c r="DC10" s="557"/>
      <c r="DD10" s="557"/>
      <c r="DE10" s="557"/>
      <c r="DF10" s="557"/>
      <c r="DG10" s="557"/>
      <c r="DH10" s="557"/>
      <c r="DI10" s="557"/>
      <c r="DJ10" s="557"/>
      <c r="DK10" s="557"/>
      <c r="DL10" s="557"/>
      <c r="DM10" s="557"/>
      <c r="DN10" s="557"/>
      <c r="DO10" s="557"/>
      <c r="DP10" s="557"/>
      <c r="DQ10" s="557"/>
      <c r="DR10" s="557"/>
      <c r="DS10" s="557"/>
      <c r="DT10" s="557"/>
      <c r="DU10" s="557"/>
      <c r="DV10" s="557"/>
      <c r="DW10" s="557"/>
      <c r="DX10" s="557"/>
      <c r="DY10" s="557"/>
      <c r="DZ10" s="557"/>
      <c r="EA10" s="557"/>
      <c r="EB10" s="557"/>
      <c r="EC10" s="557"/>
      <c r="ED10" s="557"/>
      <c r="EE10" s="557"/>
      <c r="EF10" s="557"/>
      <c r="EG10" s="557"/>
      <c r="EH10" s="557"/>
      <c r="EI10" s="557"/>
      <c r="EJ10" s="557"/>
      <c r="EK10" s="557"/>
      <c r="EL10" s="557"/>
      <c r="EM10" s="557"/>
      <c r="EN10" s="557"/>
      <c r="EO10" s="557"/>
      <c r="EP10" s="557"/>
      <c r="EQ10" s="557"/>
      <c r="ER10" s="557"/>
      <c r="ES10" s="557"/>
    </row>
    <row r="11" spans="1:222" ht="30" x14ac:dyDescent="0.4">
      <c r="A11" s="23"/>
      <c r="B11" s="23"/>
      <c r="C11" s="26"/>
      <c r="D11" s="26"/>
      <c r="E11" s="16"/>
      <c r="F11" s="20"/>
      <c r="G11" s="27"/>
      <c r="H11" s="27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109"/>
      <c r="BP11" s="109"/>
      <c r="BQ11" s="109"/>
      <c r="BR11" s="109"/>
      <c r="BS11" s="109"/>
      <c r="BT11" s="109"/>
      <c r="BU11" s="10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DX11" s="16"/>
      <c r="DY11" s="16"/>
      <c r="DZ11" s="16"/>
      <c r="EA11" s="16"/>
      <c r="EB11" s="16"/>
      <c r="EC11" s="16"/>
      <c r="ED11" s="16"/>
      <c r="EE11" s="16"/>
      <c r="EF11" s="31"/>
      <c r="EG11" s="31"/>
      <c r="EH11" s="31"/>
      <c r="EI11" s="28"/>
      <c r="EJ11" s="28"/>
      <c r="EK11" s="28"/>
      <c r="EL11" s="28"/>
      <c r="EM11" s="28"/>
      <c r="EN11" s="31"/>
      <c r="EO11" s="31"/>
      <c r="EP11" s="31"/>
    </row>
    <row r="12" spans="1:222" ht="57.75" customHeight="1" x14ac:dyDescent="0.4">
      <c r="A12" s="23"/>
      <c r="B12" s="23"/>
      <c r="C12" s="26"/>
      <c r="D12" s="203"/>
      <c r="E12" s="203"/>
      <c r="F12" s="203"/>
      <c r="G12" s="203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207"/>
      <c r="DL12" s="207"/>
      <c r="DM12" s="207"/>
      <c r="DN12" s="207"/>
      <c r="DO12" s="207"/>
      <c r="DP12" s="207"/>
      <c r="DQ12" s="207"/>
      <c r="DR12" s="207"/>
      <c r="DS12" s="207"/>
      <c r="DT12" s="207"/>
      <c r="DU12" s="207"/>
      <c r="DV12" s="207"/>
      <c r="DW12" s="207"/>
      <c r="DX12" s="207"/>
      <c r="DY12" s="207"/>
      <c r="DZ12" s="207"/>
      <c r="EA12" s="207"/>
      <c r="EB12" s="207"/>
      <c r="EC12" s="207"/>
      <c r="ED12" s="204"/>
      <c r="EE12" s="204"/>
      <c r="EF12" s="204"/>
      <c r="EG12" s="204"/>
      <c r="EH12" s="204"/>
      <c r="EI12" s="204"/>
      <c r="EJ12" s="28"/>
      <c r="EK12" s="28"/>
      <c r="EL12" s="28"/>
      <c r="EM12" s="28"/>
      <c r="EN12" s="31"/>
      <c r="EO12" s="31"/>
      <c r="EP12" s="31"/>
      <c r="EW12" s="572" t="s">
        <v>23</v>
      </c>
      <c r="EX12" s="572"/>
      <c r="EY12" s="568" t="s">
        <v>265</v>
      </c>
      <c r="EZ12" s="568"/>
      <c r="FA12" s="568"/>
      <c r="FB12" s="568"/>
      <c r="FC12" s="568"/>
      <c r="FD12" s="568"/>
      <c r="FE12" s="568"/>
      <c r="FF12" s="568"/>
      <c r="FG12" s="568"/>
      <c r="FH12" s="568"/>
      <c r="FI12" s="568"/>
      <c r="FJ12" s="568"/>
      <c r="FK12" s="568"/>
      <c r="FL12" s="568"/>
      <c r="FM12" s="568"/>
      <c r="FN12" s="568"/>
      <c r="FO12" s="568"/>
      <c r="FP12" s="568"/>
      <c r="FQ12" s="568"/>
      <c r="FR12" s="568"/>
      <c r="FS12" s="568"/>
      <c r="FT12" s="568"/>
      <c r="FU12" s="568"/>
      <c r="FV12" s="568"/>
      <c r="FW12" s="568"/>
      <c r="FX12" s="568"/>
      <c r="FY12" s="568"/>
      <c r="FZ12" s="568"/>
      <c r="GA12" s="568"/>
      <c r="GB12" s="568"/>
      <c r="GC12" s="568"/>
      <c r="GD12" s="568"/>
      <c r="GE12" s="568"/>
      <c r="GF12" s="568"/>
      <c r="GG12" s="568"/>
      <c r="GH12" s="568"/>
      <c r="GI12" s="568"/>
      <c r="GJ12" s="568"/>
      <c r="GK12" s="568"/>
      <c r="GL12" s="568"/>
      <c r="GM12" s="568"/>
      <c r="GN12" s="568"/>
      <c r="GO12" s="568"/>
      <c r="GP12" s="568"/>
      <c r="GQ12" s="568"/>
      <c r="GR12" s="568"/>
      <c r="GS12" s="568"/>
      <c r="GT12" s="568"/>
      <c r="GU12" s="568"/>
      <c r="GV12" s="568"/>
      <c r="GW12" s="568"/>
      <c r="GX12" s="568"/>
      <c r="GY12" s="568" t="s">
        <v>19</v>
      </c>
      <c r="GZ12" s="568"/>
      <c r="HA12" s="568"/>
      <c r="HB12" s="568"/>
      <c r="HC12" s="568"/>
      <c r="HD12" s="568"/>
      <c r="HE12" s="568"/>
      <c r="HF12" s="568"/>
      <c r="HG12" s="568"/>
      <c r="HH12" s="568"/>
      <c r="HI12" s="568"/>
      <c r="HJ12" s="568"/>
      <c r="HK12" s="572" t="s">
        <v>266</v>
      </c>
      <c r="HL12" s="572"/>
      <c r="HM12" s="572" t="s">
        <v>22</v>
      </c>
      <c r="HN12" s="572"/>
    </row>
    <row r="13" spans="1:222" ht="54.75" customHeight="1" x14ac:dyDescent="0.4">
      <c r="A13" s="23"/>
      <c r="B13" s="23"/>
      <c r="C13" s="26"/>
      <c r="D13" s="203"/>
      <c r="E13" s="203"/>
      <c r="F13" s="203"/>
      <c r="G13" s="203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204"/>
      <c r="DL13" s="204"/>
      <c r="DM13" s="204"/>
      <c r="DN13" s="204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4"/>
      <c r="EE13" s="204"/>
      <c r="EF13" s="204"/>
      <c r="EG13" s="204"/>
      <c r="EH13" s="204"/>
      <c r="EI13" s="204"/>
      <c r="EJ13" s="28"/>
      <c r="EK13" s="28"/>
      <c r="EL13" s="28"/>
      <c r="EM13" s="28"/>
      <c r="EN13" s="31"/>
      <c r="EO13" s="31"/>
      <c r="EP13" s="31"/>
      <c r="EW13" s="572"/>
      <c r="EX13" s="572"/>
      <c r="EY13" s="568"/>
      <c r="EZ13" s="568"/>
      <c r="FA13" s="568"/>
      <c r="FB13" s="568"/>
      <c r="FC13" s="568"/>
      <c r="FD13" s="568"/>
      <c r="FE13" s="568"/>
      <c r="FF13" s="568"/>
      <c r="FG13" s="568"/>
      <c r="FH13" s="568"/>
      <c r="FI13" s="568"/>
      <c r="FJ13" s="568"/>
      <c r="FK13" s="568"/>
      <c r="FL13" s="568"/>
      <c r="FM13" s="568"/>
      <c r="FN13" s="568"/>
      <c r="FO13" s="568"/>
      <c r="FP13" s="568"/>
      <c r="FQ13" s="568"/>
      <c r="FR13" s="568"/>
      <c r="FS13" s="568"/>
      <c r="FT13" s="568"/>
      <c r="FU13" s="568"/>
      <c r="FV13" s="568"/>
      <c r="FW13" s="568"/>
      <c r="FX13" s="568"/>
      <c r="FY13" s="568"/>
      <c r="FZ13" s="568"/>
      <c r="GA13" s="568"/>
      <c r="GB13" s="568"/>
      <c r="GC13" s="568"/>
      <c r="GD13" s="568"/>
      <c r="GE13" s="568"/>
      <c r="GF13" s="568"/>
      <c r="GG13" s="568"/>
      <c r="GH13" s="568"/>
      <c r="GI13" s="568"/>
      <c r="GJ13" s="568"/>
      <c r="GK13" s="568"/>
      <c r="GL13" s="568"/>
      <c r="GM13" s="568"/>
      <c r="GN13" s="568"/>
      <c r="GO13" s="568"/>
      <c r="GP13" s="568"/>
      <c r="GQ13" s="568"/>
      <c r="GR13" s="568"/>
      <c r="GS13" s="568"/>
      <c r="GT13" s="568"/>
      <c r="GU13" s="568"/>
      <c r="GV13" s="568"/>
      <c r="GW13" s="568"/>
      <c r="GX13" s="568"/>
      <c r="GY13" s="572" t="s">
        <v>20</v>
      </c>
      <c r="GZ13" s="572"/>
      <c r="HA13" s="568" t="s">
        <v>78</v>
      </c>
      <c r="HB13" s="568"/>
      <c r="HC13" s="568"/>
      <c r="HD13" s="568"/>
      <c r="HE13" s="568"/>
      <c r="HF13" s="568"/>
      <c r="HG13" s="568"/>
      <c r="HH13" s="568"/>
      <c r="HI13" s="568"/>
      <c r="HJ13" s="568"/>
      <c r="HK13" s="572"/>
      <c r="HL13" s="572"/>
      <c r="HM13" s="572"/>
      <c r="HN13" s="572"/>
    </row>
    <row r="14" spans="1:222" ht="26.25" customHeight="1" x14ac:dyDescent="0.4">
      <c r="A14" s="23"/>
      <c r="B14" s="23"/>
      <c r="C14" s="26"/>
      <c r="D14" s="203"/>
      <c r="E14" s="203"/>
      <c r="F14" s="203"/>
      <c r="G14" s="203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204"/>
      <c r="DL14" s="204"/>
      <c r="DM14" s="204"/>
      <c r="DN14" s="204"/>
      <c r="DO14" s="204"/>
      <c r="DP14" s="204"/>
      <c r="DQ14" s="204"/>
      <c r="DR14" s="204"/>
      <c r="DS14" s="204"/>
      <c r="DT14" s="204"/>
      <c r="DU14" s="204"/>
      <c r="DV14" s="204"/>
      <c r="DW14" s="204"/>
      <c r="DX14" s="179"/>
      <c r="DY14" s="179"/>
      <c r="DZ14" s="179"/>
      <c r="EA14" s="204"/>
      <c r="EB14" s="204"/>
      <c r="EC14" s="204"/>
      <c r="ED14" s="204"/>
      <c r="EE14" s="204"/>
      <c r="EF14" s="204"/>
      <c r="EG14" s="204"/>
      <c r="EH14" s="204"/>
      <c r="EI14" s="204"/>
      <c r="EJ14" s="28"/>
      <c r="EK14" s="28"/>
      <c r="EL14" s="28"/>
      <c r="EM14" s="28"/>
      <c r="EN14" s="31"/>
      <c r="EO14" s="31"/>
      <c r="EP14" s="31"/>
      <c r="EW14" s="572"/>
      <c r="EX14" s="572"/>
      <c r="EY14" s="568"/>
      <c r="EZ14" s="568"/>
      <c r="FA14" s="568"/>
      <c r="FB14" s="568"/>
      <c r="FC14" s="568"/>
      <c r="FD14" s="568"/>
      <c r="FE14" s="568"/>
      <c r="FF14" s="568"/>
      <c r="FG14" s="568"/>
      <c r="FH14" s="568"/>
      <c r="FI14" s="568"/>
      <c r="FJ14" s="568"/>
      <c r="FK14" s="568"/>
      <c r="FL14" s="568"/>
      <c r="FM14" s="568"/>
      <c r="FN14" s="568"/>
      <c r="FO14" s="568"/>
      <c r="FP14" s="568"/>
      <c r="FQ14" s="568"/>
      <c r="FR14" s="568"/>
      <c r="FS14" s="568"/>
      <c r="FT14" s="568"/>
      <c r="FU14" s="568"/>
      <c r="FV14" s="568"/>
      <c r="FW14" s="568"/>
      <c r="FX14" s="568"/>
      <c r="FY14" s="568"/>
      <c r="FZ14" s="568"/>
      <c r="GA14" s="568"/>
      <c r="GB14" s="568"/>
      <c r="GC14" s="568"/>
      <c r="GD14" s="568"/>
      <c r="GE14" s="568"/>
      <c r="GF14" s="568"/>
      <c r="GG14" s="568"/>
      <c r="GH14" s="568"/>
      <c r="GI14" s="568"/>
      <c r="GJ14" s="568"/>
      <c r="GK14" s="568"/>
      <c r="GL14" s="568"/>
      <c r="GM14" s="568"/>
      <c r="GN14" s="568"/>
      <c r="GO14" s="568"/>
      <c r="GP14" s="568"/>
      <c r="GQ14" s="568"/>
      <c r="GR14" s="568"/>
      <c r="GS14" s="568"/>
      <c r="GT14" s="568"/>
      <c r="GU14" s="568"/>
      <c r="GV14" s="568"/>
      <c r="GW14" s="568"/>
      <c r="GX14" s="568"/>
      <c r="GY14" s="572"/>
      <c r="GZ14" s="572"/>
      <c r="HA14" s="573" t="s">
        <v>267</v>
      </c>
      <c r="HB14" s="574"/>
      <c r="HC14" s="573" t="s">
        <v>16</v>
      </c>
      <c r="HD14" s="574"/>
      <c r="HE14" s="573" t="s">
        <v>268</v>
      </c>
      <c r="HF14" s="574"/>
      <c r="HG14" s="573" t="s">
        <v>14</v>
      </c>
      <c r="HH14" s="574"/>
      <c r="HI14" s="573" t="s">
        <v>17</v>
      </c>
      <c r="HJ14" s="574"/>
      <c r="HK14" s="572"/>
      <c r="HL14" s="572"/>
      <c r="HM14" s="572"/>
      <c r="HN14" s="572"/>
    </row>
    <row r="15" spans="1:222" ht="26.25" customHeight="1" x14ac:dyDescent="0.4">
      <c r="A15" s="23"/>
      <c r="B15" s="23"/>
      <c r="C15" s="26"/>
      <c r="D15" s="203"/>
      <c r="E15" s="203"/>
      <c r="F15" s="203"/>
      <c r="G15" s="203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204"/>
      <c r="DL15" s="204"/>
      <c r="DM15" s="204"/>
      <c r="DN15" s="204"/>
      <c r="DO15" s="204"/>
      <c r="DP15" s="204"/>
      <c r="DQ15" s="204"/>
      <c r="DR15" s="204"/>
      <c r="DS15" s="204"/>
      <c r="DT15" s="204"/>
      <c r="DU15" s="204"/>
      <c r="DV15" s="204"/>
      <c r="DW15" s="204"/>
      <c r="DX15" s="179"/>
      <c r="DY15" s="179"/>
      <c r="DZ15" s="179"/>
      <c r="EA15" s="204"/>
      <c r="EB15" s="204"/>
      <c r="EC15" s="204"/>
      <c r="ED15" s="204"/>
      <c r="EE15" s="204"/>
      <c r="EF15" s="204"/>
      <c r="EG15" s="204"/>
      <c r="EH15" s="204"/>
      <c r="EI15" s="204"/>
      <c r="EJ15" s="28"/>
      <c r="EK15" s="28"/>
      <c r="EL15" s="28"/>
      <c r="EM15" s="28"/>
      <c r="EN15" s="31"/>
      <c r="EO15" s="31"/>
      <c r="EP15" s="31"/>
      <c r="EW15" s="572"/>
      <c r="EX15" s="572"/>
      <c r="EY15" s="568"/>
      <c r="EZ15" s="568"/>
      <c r="FA15" s="568"/>
      <c r="FB15" s="568"/>
      <c r="FC15" s="568"/>
      <c r="FD15" s="568"/>
      <c r="FE15" s="568"/>
      <c r="FF15" s="568"/>
      <c r="FG15" s="568"/>
      <c r="FH15" s="568"/>
      <c r="FI15" s="568"/>
      <c r="FJ15" s="568"/>
      <c r="FK15" s="568"/>
      <c r="FL15" s="568"/>
      <c r="FM15" s="568"/>
      <c r="FN15" s="568"/>
      <c r="FO15" s="568"/>
      <c r="FP15" s="568"/>
      <c r="FQ15" s="568"/>
      <c r="FR15" s="568"/>
      <c r="FS15" s="568"/>
      <c r="FT15" s="568"/>
      <c r="FU15" s="568"/>
      <c r="FV15" s="568"/>
      <c r="FW15" s="568"/>
      <c r="FX15" s="568"/>
      <c r="FY15" s="568"/>
      <c r="FZ15" s="568"/>
      <c r="GA15" s="568"/>
      <c r="GB15" s="568"/>
      <c r="GC15" s="568"/>
      <c r="GD15" s="568"/>
      <c r="GE15" s="568"/>
      <c r="GF15" s="568"/>
      <c r="GG15" s="568"/>
      <c r="GH15" s="568"/>
      <c r="GI15" s="568"/>
      <c r="GJ15" s="568"/>
      <c r="GK15" s="568"/>
      <c r="GL15" s="568"/>
      <c r="GM15" s="568"/>
      <c r="GN15" s="568"/>
      <c r="GO15" s="568"/>
      <c r="GP15" s="568"/>
      <c r="GQ15" s="568"/>
      <c r="GR15" s="568"/>
      <c r="GS15" s="568"/>
      <c r="GT15" s="568"/>
      <c r="GU15" s="568"/>
      <c r="GV15" s="568"/>
      <c r="GW15" s="568"/>
      <c r="GX15" s="568"/>
      <c r="GY15" s="572"/>
      <c r="GZ15" s="572"/>
      <c r="HA15" s="575"/>
      <c r="HB15" s="576"/>
      <c r="HC15" s="575"/>
      <c r="HD15" s="576"/>
      <c r="HE15" s="575"/>
      <c r="HF15" s="576"/>
      <c r="HG15" s="575"/>
      <c r="HH15" s="576"/>
      <c r="HI15" s="575"/>
      <c r="HJ15" s="576"/>
      <c r="HK15" s="572"/>
      <c r="HL15" s="572"/>
      <c r="HM15" s="572"/>
      <c r="HN15" s="572"/>
    </row>
    <row r="16" spans="1:222" ht="62.25" customHeight="1" x14ac:dyDescent="0.4">
      <c r="A16" s="23"/>
      <c r="B16" s="23"/>
      <c r="C16" s="26"/>
      <c r="D16" s="203"/>
      <c r="E16" s="203"/>
      <c r="F16" s="203"/>
      <c r="G16" s="203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204"/>
      <c r="DL16" s="204"/>
      <c r="DM16" s="204"/>
      <c r="DN16" s="204"/>
      <c r="DO16" s="204"/>
      <c r="DP16" s="204"/>
      <c r="DQ16" s="204"/>
      <c r="DR16" s="204"/>
      <c r="DS16" s="204"/>
      <c r="DT16" s="204"/>
      <c r="DU16" s="204"/>
      <c r="DV16" s="204"/>
      <c r="DW16" s="204"/>
      <c r="DX16" s="179"/>
      <c r="DY16" s="179"/>
      <c r="DZ16" s="179"/>
      <c r="EA16" s="204"/>
      <c r="EB16" s="204"/>
      <c r="EC16" s="204"/>
      <c r="ED16" s="204"/>
      <c r="EE16" s="204"/>
      <c r="EF16" s="204"/>
      <c r="EG16" s="204"/>
      <c r="EH16" s="204"/>
      <c r="EI16" s="204"/>
      <c r="EJ16" s="28"/>
      <c r="EK16" s="28"/>
      <c r="EL16" s="28"/>
      <c r="EM16" s="28"/>
      <c r="EN16" s="31"/>
      <c r="EO16" s="31"/>
      <c r="EP16" s="31"/>
      <c r="EW16" s="572"/>
      <c r="EX16" s="572"/>
      <c r="EY16" s="579" t="s">
        <v>270</v>
      </c>
      <c r="EZ16" s="580"/>
      <c r="FA16" s="580"/>
      <c r="FB16" s="580"/>
      <c r="FC16" s="581"/>
      <c r="FD16" s="579" t="s">
        <v>271</v>
      </c>
      <c r="FE16" s="580"/>
      <c r="FF16" s="580"/>
      <c r="FG16" s="581"/>
      <c r="FH16" s="579" t="s">
        <v>50</v>
      </c>
      <c r="FI16" s="580"/>
      <c r="FJ16" s="580"/>
      <c r="FK16" s="580"/>
      <c r="FL16" s="581"/>
      <c r="FM16" s="579" t="s">
        <v>51</v>
      </c>
      <c r="FN16" s="580"/>
      <c r="FO16" s="580"/>
      <c r="FP16" s="581"/>
      <c r="FQ16" s="579" t="s">
        <v>52</v>
      </c>
      <c r="FR16" s="580"/>
      <c r="FS16" s="580"/>
      <c r="FT16" s="580"/>
      <c r="FU16" s="581"/>
      <c r="FV16" s="579" t="s">
        <v>53</v>
      </c>
      <c r="FW16" s="580"/>
      <c r="FX16" s="580"/>
      <c r="FY16" s="581"/>
      <c r="FZ16" s="579" t="s">
        <v>54</v>
      </c>
      <c r="GA16" s="580"/>
      <c r="GB16" s="580"/>
      <c r="GC16" s="580"/>
      <c r="GD16" s="581"/>
      <c r="GE16" s="579" t="s">
        <v>55</v>
      </c>
      <c r="GF16" s="580"/>
      <c r="GG16" s="580"/>
      <c r="GH16" s="581"/>
      <c r="GI16" s="579" t="s">
        <v>56</v>
      </c>
      <c r="GJ16" s="580"/>
      <c r="GK16" s="580"/>
      <c r="GL16" s="581"/>
      <c r="GM16" s="579" t="s">
        <v>57</v>
      </c>
      <c r="GN16" s="580"/>
      <c r="GO16" s="580"/>
      <c r="GP16" s="581"/>
      <c r="GQ16" s="579" t="s">
        <v>272</v>
      </c>
      <c r="GR16" s="580"/>
      <c r="GS16" s="580"/>
      <c r="GT16" s="581"/>
      <c r="GU16" s="579" t="s">
        <v>58</v>
      </c>
      <c r="GV16" s="580"/>
      <c r="GW16" s="580"/>
      <c r="GX16" s="581"/>
      <c r="GY16" s="572"/>
      <c r="GZ16" s="572"/>
      <c r="HA16" s="575"/>
      <c r="HB16" s="576"/>
      <c r="HC16" s="575"/>
      <c r="HD16" s="576"/>
      <c r="HE16" s="575"/>
      <c r="HF16" s="576"/>
      <c r="HG16" s="575"/>
      <c r="HH16" s="576"/>
      <c r="HI16" s="575"/>
      <c r="HJ16" s="576"/>
      <c r="HK16" s="572"/>
      <c r="HL16" s="572"/>
      <c r="HM16" s="572"/>
      <c r="HN16" s="572"/>
    </row>
    <row r="17" spans="1:222" ht="72" customHeight="1" x14ac:dyDescent="0.4">
      <c r="A17" s="23"/>
      <c r="B17" s="23"/>
      <c r="C17" s="26"/>
      <c r="D17" s="203"/>
      <c r="E17" s="203"/>
      <c r="F17" s="203"/>
      <c r="G17" s="203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9"/>
      <c r="AE17" s="209"/>
      <c r="AF17" s="209"/>
      <c r="AG17" s="209"/>
      <c r="AH17" s="209"/>
      <c r="AI17" s="209"/>
      <c r="AJ17" s="209"/>
      <c r="AK17" s="209"/>
      <c r="AL17" s="209"/>
      <c r="AM17" s="209"/>
      <c r="AN17" s="209"/>
      <c r="AO17" s="209"/>
      <c r="AP17" s="209"/>
      <c r="AQ17" s="209"/>
      <c r="AR17" s="209"/>
      <c r="AS17" s="209"/>
      <c r="AT17" s="209"/>
      <c r="AU17" s="209"/>
      <c r="AV17" s="209"/>
      <c r="AW17" s="209"/>
      <c r="AX17" s="209"/>
      <c r="AY17" s="209"/>
      <c r="AZ17" s="209"/>
      <c r="BA17" s="209"/>
      <c r="BB17" s="209"/>
      <c r="BC17" s="209"/>
      <c r="BD17" s="209"/>
      <c r="BE17" s="209"/>
      <c r="BF17" s="209"/>
      <c r="BG17" s="209"/>
      <c r="BH17" s="209"/>
      <c r="BI17" s="209"/>
      <c r="BJ17" s="209"/>
      <c r="BK17" s="209"/>
      <c r="BL17" s="209"/>
      <c r="BM17" s="209"/>
      <c r="BN17" s="209"/>
      <c r="BO17" s="209"/>
      <c r="BP17" s="209"/>
      <c r="BQ17" s="209"/>
      <c r="BR17" s="209"/>
      <c r="BS17" s="209"/>
      <c r="BT17" s="209"/>
      <c r="BU17" s="209"/>
      <c r="BV17" s="209"/>
      <c r="BW17" s="209"/>
      <c r="BX17" s="209"/>
      <c r="BY17" s="209"/>
      <c r="BZ17" s="209"/>
      <c r="CA17" s="209"/>
      <c r="CB17" s="209"/>
      <c r="CC17" s="209"/>
      <c r="CD17" s="209"/>
      <c r="CE17" s="209"/>
      <c r="CF17" s="209"/>
      <c r="CG17" s="209"/>
      <c r="CH17" s="209"/>
      <c r="CI17" s="209"/>
      <c r="CJ17" s="209"/>
      <c r="CK17" s="209"/>
      <c r="CL17" s="209"/>
      <c r="CM17" s="209"/>
      <c r="CN17" s="209"/>
      <c r="CO17" s="209"/>
      <c r="CP17" s="209"/>
      <c r="CQ17" s="209"/>
      <c r="CR17" s="209"/>
      <c r="CS17" s="209"/>
      <c r="CT17" s="209"/>
      <c r="CU17" s="209"/>
      <c r="CV17" s="209"/>
      <c r="CW17" s="209"/>
      <c r="CX17" s="209"/>
      <c r="CY17" s="209"/>
      <c r="CZ17" s="209"/>
      <c r="DA17" s="209"/>
      <c r="DB17" s="209"/>
      <c r="DC17" s="209"/>
      <c r="DD17" s="209"/>
      <c r="DE17" s="209"/>
      <c r="DF17" s="209"/>
      <c r="DG17" s="209"/>
      <c r="DH17" s="209"/>
      <c r="DI17" s="209"/>
      <c r="DJ17" s="209"/>
      <c r="DK17" s="204"/>
      <c r="DL17" s="204"/>
      <c r="DM17" s="204"/>
      <c r="DN17" s="204"/>
      <c r="DO17" s="204"/>
      <c r="DP17" s="204"/>
      <c r="DQ17" s="204"/>
      <c r="DR17" s="204"/>
      <c r="DS17" s="204"/>
      <c r="DT17" s="204"/>
      <c r="DU17" s="204"/>
      <c r="DV17" s="204"/>
      <c r="DW17" s="204"/>
      <c r="DX17" s="179"/>
      <c r="DY17" s="179"/>
      <c r="DZ17" s="179"/>
      <c r="EA17" s="204"/>
      <c r="EB17" s="204"/>
      <c r="EC17" s="204"/>
      <c r="ED17" s="204"/>
      <c r="EE17" s="204"/>
      <c r="EF17" s="204"/>
      <c r="EG17" s="204"/>
      <c r="EH17" s="204"/>
      <c r="EI17" s="204"/>
      <c r="EJ17" s="28"/>
      <c r="EK17" s="28"/>
      <c r="EL17" s="28"/>
      <c r="EM17" s="28"/>
      <c r="EN17" s="31"/>
      <c r="EO17" s="31"/>
      <c r="EP17" s="31"/>
      <c r="EW17" s="572"/>
      <c r="EX17" s="572"/>
      <c r="EY17" s="202">
        <v>1</v>
      </c>
      <c r="EZ17" s="202">
        <v>2</v>
      </c>
      <c r="FA17" s="202">
        <v>3</v>
      </c>
      <c r="FB17" s="202">
        <v>4</v>
      </c>
      <c r="FC17" s="202">
        <v>5</v>
      </c>
      <c r="FD17" s="202">
        <v>6</v>
      </c>
      <c r="FE17" s="202">
        <v>7</v>
      </c>
      <c r="FF17" s="202">
        <v>8</v>
      </c>
      <c r="FG17" s="202">
        <v>9</v>
      </c>
      <c r="FH17" s="202">
        <v>10</v>
      </c>
      <c r="FI17" s="202">
        <v>11</v>
      </c>
      <c r="FJ17" s="202">
        <v>12</v>
      </c>
      <c r="FK17" s="202">
        <v>13</v>
      </c>
      <c r="FL17" s="202">
        <v>14</v>
      </c>
      <c r="FM17" s="202">
        <v>15</v>
      </c>
      <c r="FN17" s="202">
        <v>16</v>
      </c>
      <c r="FO17" s="202">
        <v>17</v>
      </c>
      <c r="FP17" s="202">
        <v>18</v>
      </c>
      <c r="FQ17" s="202">
        <v>19</v>
      </c>
      <c r="FR17" s="202">
        <v>20</v>
      </c>
      <c r="FS17" s="202">
        <v>21</v>
      </c>
      <c r="FT17" s="202">
        <v>22</v>
      </c>
      <c r="FU17" s="202">
        <v>23</v>
      </c>
      <c r="FV17" s="202">
        <v>24</v>
      </c>
      <c r="FW17" s="202">
        <v>25</v>
      </c>
      <c r="FX17" s="202">
        <v>26</v>
      </c>
      <c r="FY17" s="202">
        <v>27</v>
      </c>
      <c r="FZ17" s="202">
        <v>28</v>
      </c>
      <c r="GA17" s="202">
        <v>29</v>
      </c>
      <c r="GB17" s="202">
        <v>30</v>
      </c>
      <c r="GC17" s="202">
        <v>31</v>
      </c>
      <c r="GD17" s="202">
        <v>32</v>
      </c>
      <c r="GE17" s="202">
        <v>33</v>
      </c>
      <c r="GF17" s="202">
        <v>34</v>
      </c>
      <c r="GG17" s="202">
        <v>35</v>
      </c>
      <c r="GH17" s="202">
        <v>36</v>
      </c>
      <c r="GI17" s="202">
        <v>37</v>
      </c>
      <c r="GJ17" s="202">
        <v>38</v>
      </c>
      <c r="GK17" s="202">
        <v>39</v>
      </c>
      <c r="GL17" s="202">
        <v>40</v>
      </c>
      <c r="GM17" s="202">
        <v>41</v>
      </c>
      <c r="GN17" s="202">
        <v>42</v>
      </c>
      <c r="GO17" s="202">
        <v>43</v>
      </c>
      <c r="GP17" s="202">
        <v>44</v>
      </c>
      <c r="GQ17" s="202">
        <v>45</v>
      </c>
      <c r="GR17" s="202">
        <v>46</v>
      </c>
      <c r="GS17" s="202">
        <v>47</v>
      </c>
      <c r="GT17" s="202">
        <v>48</v>
      </c>
      <c r="GU17" s="202">
        <v>49</v>
      </c>
      <c r="GV17" s="202">
        <v>50</v>
      </c>
      <c r="GW17" s="202">
        <v>51</v>
      </c>
      <c r="GX17" s="202">
        <v>52</v>
      </c>
      <c r="GY17" s="572"/>
      <c r="GZ17" s="572"/>
      <c r="HA17" s="577"/>
      <c r="HB17" s="578"/>
      <c r="HC17" s="577"/>
      <c r="HD17" s="578"/>
      <c r="HE17" s="577"/>
      <c r="HF17" s="578"/>
      <c r="HG17" s="577"/>
      <c r="HH17" s="578"/>
      <c r="HI17" s="577"/>
      <c r="HJ17" s="578"/>
      <c r="HK17" s="572"/>
      <c r="HL17" s="572"/>
      <c r="HM17" s="572"/>
      <c r="HN17" s="572"/>
    </row>
    <row r="18" spans="1:222" ht="66" customHeight="1" x14ac:dyDescent="0.4">
      <c r="A18" s="23"/>
      <c r="B18" s="23"/>
      <c r="C18" s="26"/>
      <c r="D18" s="203"/>
      <c r="E18" s="203"/>
      <c r="F18" s="203"/>
      <c r="G18" s="203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0"/>
      <c r="AT18" s="210"/>
      <c r="AU18" s="210"/>
      <c r="AV18" s="210"/>
      <c r="AW18" s="210"/>
      <c r="AX18" s="210"/>
      <c r="AY18" s="210"/>
      <c r="AZ18" s="210"/>
      <c r="BA18" s="210"/>
      <c r="BB18" s="210"/>
      <c r="BC18" s="210"/>
      <c r="BD18" s="210"/>
      <c r="BE18" s="210"/>
      <c r="BF18" s="210"/>
      <c r="BG18" s="210"/>
      <c r="BH18" s="210"/>
      <c r="BI18" s="210"/>
      <c r="BJ18" s="210"/>
      <c r="BK18" s="210"/>
      <c r="BL18" s="210"/>
      <c r="BM18" s="210"/>
      <c r="BN18" s="210"/>
      <c r="BO18" s="210"/>
      <c r="BP18" s="210"/>
      <c r="BQ18" s="210"/>
      <c r="BR18" s="210"/>
      <c r="BS18" s="210"/>
      <c r="BT18" s="210"/>
      <c r="BU18" s="210"/>
      <c r="BV18" s="210"/>
      <c r="BW18" s="210"/>
      <c r="BX18" s="210"/>
      <c r="BY18" s="210"/>
      <c r="BZ18" s="210"/>
      <c r="CA18" s="210"/>
      <c r="CB18" s="210"/>
      <c r="CC18" s="210"/>
      <c r="CD18" s="210"/>
      <c r="CE18" s="210"/>
      <c r="CF18" s="210"/>
      <c r="CG18" s="210"/>
      <c r="CH18" s="210"/>
      <c r="CI18" s="210"/>
      <c r="CJ18" s="210"/>
      <c r="CK18" s="210"/>
      <c r="CL18" s="210"/>
      <c r="CM18" s="210"/>
      <c r="CN18" s="210"/>
      <c r="CO18" s="210"/>
      <c r="CP18" s="210"/>
      <c r="CQ18" s="210"/>
      <c r="CR18" s="210"/>
      <c r="CS18" s="210"/>
      <c r="CT18" s="210"/>
      <c r="CU18" s="210"/>
      <c r="CV18" s="210"/>
      <c r="CW18" s="210"/>
      <c r="CX18" s="210"/>
      <c r="CY18" s="210"/>
      <c r="CZ18" s="210"/>
      <c r="DA18" s="210"/>
      <c r="DB18" s="210"/>
      <c r="DC18" s="210"/>
      <c r="DD18" s="210"/>
      <c r="DE18" s="210"/>
      <c r="DF18" s="210"/>
      <c r="DG18" s="210"/>
      <c r="DH18" s="210"/>
      <c r="DI18" s="210"/>
      <c r="DJ18" s="210"/>
      <c r="DK18" s="204"/>
      <c r="DL18" s="204"/>
      <c r="DM18" s="204"/>
      <c r="DN18" s="204"/>
      <c r="DO18" s="204"/>
      <c r="DP18" s="204"/>
      <c r="DQ18" s="204"/>
      <c r="DR18" s="204"/>
      <c r="DS18" s="204"/>
      <c r="DT18" s="204"/>
      <c r="DU18" s="204"/>
      <c r="DV18" s="204"/>
      <c r="DW18" s="204"/>
      <c r="DX18" s="179"/>
      <c r="DY18" s="179"/>
      <c r="DZ18" s="179"/>
      <c r="EA18" s="204"/>
      <c r="EB18" s="204"/>
      <c r="EC18" s="204"/>
      <c r="ED18" s="204"/>
      <c r="EE18" s="204"/>
      <c r="EF18" s="204"/>
      <c r="EG18" s="204"/>
      <c r="EH18" s="204"/>
      <c r="EI18" s="204"/>
      <c r="EJ18" s="28"/>
      <c r="EK18" s="28"/>
      <c r="EL18" s="28"/>
      <c r="EM18" s="28"/>
      <c r="EN18" s="31"/>
      <c r="EO18" s="31"/>
      <c r="EP18" s="31"/>
      <c r="EW18" s="568" t="s">
        <v>0</v>
      </c>
      <c r="EX18" s="568"/>
      <c r="EY18" s="201"/>
      <c r="EZ18" s="201"/>
      <c r="FA18" s="201"/>
      <c r="FB18" s="201"/>
      <c r="FC18" s="201"/>
      <c r="FD18" s="201"/>
      <c r="FE18" s="201"/>
      <c r="FF18" s="201"/>
      <c r="FG18" s="201"/>
      <c r="FH18" s="201"/>
      <c r="FI18" s="201"/>
      <c r="FJ18" s="201"/>
      <c r="FK18" s="201"/>
      <c r="FL18" s="201"/>
      <c r="FM18" s="201"/>
      <c r="FN18" s="201"/>
      <c r="FO18" s="201" t="s">
        <v>59</v>
      </c>
      <c r="FP18" s="201" t="s">
        <v>59</v>
      </c>
      <c r="FQ18" s="201" t="s">
        <v>49</v>
      </c>
      <c r="FR18" s="201" t="s">
        <v>116</v>
      </c>
      <c r="FS18" s="201" t="s">
        <v>116</v>
      </c>
      <c r="FT18" s="201" t="s">
        <v>116</v>
      </c>
      <c r="FU18" s="201" t="s">
        <v>60</v>
      </c>
      <c r="FV18" s="201" t="s">
        <v>60</v>
      </c>
      <c r="FW18" s="201"/>
      <c r="FX18" s="201"/>
      <c r="FY18" s="201"/>
      <c r="FZ18" s="201"/>
      <c r="GA18" s="201"/>
      <c r="GB18" s="201"/>
      <c r="GC18" s="201"/>
      <c r="GD18" s="201"/>
      <c r="GE18" s="201"/>
      <c r="GF18" s="201"/>
      <c r="GG18" s="201"/>
      <c r="GH18" s="201"/>
      <c r="GI18" s="201"/>
      <c r="GJ18" s="201"/>
      <c r="GK18" s="201"/>
      <c r="GL18" s="201"/>
      <c r="GM18" s="201" t="s">
        <v>116</v>
      </c>
      <c r="GN18" s="201" t="s">
        <v>116</v>
      </c>
      <c r="GO18" s="201" t="s">
        <v>116</v>
      </c>
      <c r="GP18" s="201" t="s">
        <v>60</v>
      </c>
      <c r="GQ18" s="201" t="s">
        <v>60</v>
      </c>
      <c r="GR18" s="201"/>
      <c r="GS18" s="201"/>
      <c r="GT18" s="201"/>
      <c r="GU18" s="201"/>
      <c r="GV18" s="201"/>
      <c r="GW18" s="201"/>
      <c r="GX18" s="201"/>
      <c r="GY18" s="569">
        <f>SUM(HA18:HJ18)</f>
        <v>11</v>
      </c>
      <c r="GZ18" s="570"/>
      <c r="HA18" s="569">
        <v>6</v>
      </c>
      <c r="HB18" s="570"/>
      <c r="HC18" s="569">
        <v>4</v>
      </c>
      <c r="HD18" s="570"/>
      <c r="HE18" s="569">
        <v>1</v>
      </c>
      <c r="HF18" s="570"/>
      <c r="HG18" s="569">
        <v>0</v>
      </c>
      <c r="HH18" s="570"/>
      <c r="HI18" s="569">
        <v>0</v>
      </c>
      <c r="HJ18" s="570"/>
      <c r="HK18" s="569">
        <v>41</v>
      </c>
      <c r="HL18" s="570"/>
      <c r="HM18" s="571">
        <f>GY18+HK18</f>
        <v>52</v>
      </c>
      <c r="HN18" s="571"/>
    </row>
    <row r="19" spans="1:222" ht="49.5" x14ac:dyDescent="0.4">
      <c r="A19" s="23"/>
      <c r="B19" s="23"/>
      <c r="C19" s="26"/>
      <c r="D19" s="210"/>
      <c r="E19" s="210"/>
      <c r="F19" s="210"/>
      <c r="G19" s="210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  <c r="T19" s="209"/>
      <c r="U19" s="209"/>
      <c r="V19" s="209"/>
      <c r="W19" s="209"/>
      <c r="X19" s="209"/>
      <c r="Y19" s="209"/>
      <c r="Z19" s="209"/>
      <c r="AA19" s="209"/>
      <c r="AB19" s="209"/>
      <c r="AC19" s="209"/>
      <c r="AD19" s="209"/>
      <c r="AE19" s="209"/>
      <c r="AF19" s="209"/>
      <c r="AG19" s="209"/>
      <c r="AH19" s="209"/>
      <c r="AI19" s="209"/>
      <c r="AJ19" s="209"/>
      <c r="AK19" s="209"/>
      <c r="AL19" s="209"/>
      <c r="AM19" s="209"/>
      <c r="AN19" s="209"/>
      <c r="AO19" s="209"/>
      <c r="AP19" s="209"/>
      <c r="AQ19" s="209"/>
      <c r="AR19" s="209"/>
      <c r="AS19" s="209"/>
      <c r="AT19" s="209"/>
      <c r="AU19" s="209"/>
      <c r="AV19" s="209"/>
      <c r="AW19" s="209"/>
      <c r="AX19" s="209"/>
      <c r="AY19" s="209"/>
      <c r="AZ19" s="209"/>
      <c r="BA19" s="209"/>
      <c r="BB19" s="209"/>
      <c r="BC19" s="209"/>
      <c r="BD19" s="209"/>
      <c r="BE19" s="209"/>
      <c r="BF19" s="209"/>
      <c r="BG19" s="209"/>
      <c r="BH19" s="209"/>
      <c r="BI19" s="209"/>
      <c r="BJ19" s="209"/>
      <c r="BK19" s="209"/>
      <c r="BL19" s="209"/>
      <c r="BM19" s="209"/>
      <c r="BN19" s="209"/>
      <c r="BO19" s="209"/>
      <c r="BP19" s="209"/>
      <c r="BQ19" s="209"/>
      <c r="BR19" s="209"/>
      <c r="BS19" s="209"/>
      <c r="BT19" s="209"/>
      <c r="BU19" s="209"/>
      <c r="BV19" s="209"/>
      <c r="BW19" s="209"/>
      <c r="BX19" s="209"/>
      <c r="BY19" s="209"/>
      <c r="BZ19" s="209"/>
      <c r="CA19" s="209"/>
      <c r="CB19" s="209"/>
      <c r="CC19" s="209"/>
      <c r="CD19" s="209"/>
      <c r="CE19" s="209"/>
      <c r="CF19" s="209"/>
      <c r="CG19" s="209"/>
      <c r="CH19" s="209"/>
      <c r="CI19" s="209"/>
      <c r="CJ19" s="209"/>
      <c r="CK19" s="209"/>
      <c r="CL19" s="209"/>
      <c r="CM19" s="209"/>
      <c r="CN19" s="209"/>
      <c r="CO19" s="209"/>
      <c r="CP19" s="209"/>
      <c r="CQ19" s="209"/>
      <c r="CR19" s="209"/>
      <c r="CS19" s="209"/>
      <c r="CT19" s="209"/>
      <c r="CU19" s="209"/>
      <c r="CV19" s="209"/>
      <c r="CW19" s="209"/>
      <c r="CX19" s="209"/>
      <c r="CY19" s="209"/>
      <c r="CZ19" s="209"/>
      <c r="DA19" s="209"/>
      <c r="DB19" s="209"/>
      <c r="DC19" s="209"/>
      <c r="DD19" s="209"/>
      <c r="DE19" s="209"/>
      <c r="DF19" s="209"/>
      <c r="DG19" s="209"/>
      <c r="DH19" s="209"/>
      <c r="DI19" s="209"/>
      <c r="DJ19" s="209"/>
      <c r="DK19" s="210"/>
      <c r="DL19" s="210"/>
      <c r="DM19" s="210"/>
      <c r="DN19" s="210"/>
      <c r="DO19" s="211"/>
      <c r="DP19" s="211"/>
      <c r="DQ19" s="211"/>
      <c r="DR19" s="211"/>
      <c r="DS19" s="211"/>
      <c r="DT19" s="211"/>
      <c r="DU19" s="211"/>
      <c r="DV19" s="211"/>
      <c r="DW19" s="211"/>
      <c r="DX19" s="211"/>
      <c r="DY19" s="211"/>
      <c r="DZ19" s="211"/>
      <c r="EA19" s="211"/>
      <c r="EB19" s="211"/>
      <c r="EC19" s="211"/>
      <c r="ED19" s="210"/>
      <c r="EE19" s="210"/>
      <c r="EF19" s="210"/>
      <c r="EG19" s="210"/>
      <c r="EH19" s="210"/>
      <c r="EI19" s="210"/>
      <c r="EJ19" s="28"/>
      <c r="EK19" s="28"/>
      <c r="EL19" s="28"/>
      <c r="EM19" s="28"/>
      <c r="EN19" s="31"/>
      <c r="EO19" s="31"/>
      <c r="EP19" s="31"/>
      <c r="EW19" s="568" t="s">
        <v>1</v>
      </c>
      <c r="EX19" s="568"/>
      <c r="EY19" s="201"/>
      <c r="EZ19" s="201"/>
      <c r="FA19" s="201"/>
      <c r="FB19" s="201"/>
      <c r="FC19" s="201"/>
      <c r="FD19" s="201"/>
      <c r="FE19" s="201"/>
      <c r="FF19" s="201"/>
      <c r="FG19" s="201"/>
      <c r="FH19" s="201"/>
      <c r="FI19" s="201"/>
      <c r="FJ19" s="201"/>
      <c r="FK19" s="201" t="s">
        <v>49</v>
      </c>
      <c r="FL19" s="201" t="s">
        <v>116</v>
      </c>
      <c r="FM19" s="201" t="s">
        <v>116</v>
      </c>
      <c r="FN19" s="201" t="s">
        <v>116</v>
      </c>
      <c r="FO19" s="201" t="s">
        <v>59</v>
      </c>
      <c r="FP19" s="201" t="s">
        <v>59</v>
      </c>
      <c r="FQ19" s="201" t="s">
        <v>60</v>
      </c>
      <c r="FR19" s="201"/>
      <c r="FS19" s="201"/>
      <c r="FT19" s="201"/>
      <c r="FU19" s="201"/>
      <c r="FV19" s="201"/>
      <c r="FW19" s="201"/>
      <c r="FX19" s="201"/>
      <c r="FY19" s="201"/>
      <c r="FZ19" s="201"/>
      <c r="GA19" s="201"/>
      <c r="GB19" s="201"/>
      <c r="GC19" s="201"/>
      <c r="GD19" s="201"/>
      <c r="GE19" s="201"/>
      <c r="GF19" s="201"/>
      <c r="GG19" s="201"/>
      <c r="GH19" s="201"/>
      <c r="GI19" s="201"/>
      <c r="GJ19" s="201" t="s">
        <v>116</v>
      </c>
      <c r="GK19" s="201" t="s">
        <v>116</v>
      </c>
      <c r="GL19" s="201" t="s">
        <v>116</v>
      </c>
      <c r="GM19" s="201" t="s">
        <v>60</v>
      </c>
      <c r="GN19" s="201" t="s">
        <v>61</v>
      </c>
      <c r="GO19" s="201" t="s">
        <v>61</v>
      </c>
      <c r="GP19" s="201" t="s">
        <v>61</v>
      </c>
      <c r="GQ19" s="201"/>
      <c r="GR19" s="201"/>
      <c r="GS19" s="201"/>
      <c r="GT19" s="201"/>
      <c r="GU19" s="201"/>
      <c r="GV19" s="201"/>
      <c r="GW19" s="201"/>
      <c r="GX19" s="201"/>
      <c r="GY19" s="569">
        <f>SUM(HA19:HJ19)</f>
        <v>12</v>
      </c>
      <c r="GZ19" s="570"/>
      <c r="HA19" s="569">
        <v>6</v>
      </c>
      <c r="HB19" s="570"/>
      <c r="HC19" s="569">
        <v>2</v>
      </c>
      <c r="HD19" s="570"/>
      <c r="HE19" s="569">
        <v>1</v>
      </c>
      <c r="HF19" s="570"/>
      <c r="HG19" s="569">
        <v>3</v>
      </c>
      <c r="HH19" s="570"/>
      <c r="HI19" s="569">
        <v>0</v>
      </c>
      <c r="HJ19" s="570"/>
      <c r="HK19" s="569">
        <v>40</v>
      </c>
      <c r="HL19" s="570"/>
      <c r="HM19" s="571">
        <f>GY19+HK19</f>
        <v>52</v>
      </c>
      <c r="HN19" s="571"/>
    </row>
    <row r="20" spans="1:222" ht="49.5" x14ac:dyDescent="0.4">
      <c r="A20" s="23"/>
      <c r="B20" s="23"/>
      <c r="C20" s="26"/>
      <c r="D20" s="210"/>
      <c r="E20" s="210"/>
      <c r="F20" s="210"/>
      <c r="G20" s="210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  <c r="S20" s="209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09"/>
      <c r="AX20" s="209"/>
      <c r="AY20" s="209"/>
      <c r="AZ20" s="209"/>
      <c r="BA20" s="209"/>
      <c r="BB20" s="209"/>
      <c r="BC20" s="209"/>
      <c r="BD20" s="209"/>
      <c r="BE20" s="209"/>
      <c r="BF20" s="209"/>
      <c r="BG20" s="209"/>
      <c r="BH20" s="209"/>
      <c r="BI20" s="209"/>
      <c r="BJ20" s="209"/>
      <c r="BK20" s="209"/>
      <c r="BL20" s="209"/>
      <c r="BM20" s="209"/>
      <c r="BN20" s="209"/>
      <c r="BO20" s="209"/>
      <c r="BP20" s="209"/>
      <c r="BQ20" s="209"/>
      <c r="BR20" s="209"/>
      <c r="BS20" s="209"/>
      <c r="BT20" s="209"/>
      <c r="BU20" s="209"/>
      <c r="BV20" s="209"/>
      <c r="BW20" s="209"/>
      <c r="BX20" s="209"/>
      <c r="BY20" s="209"/>
      <c r="BZ20" s="209"/>
      <c r="CA20" s="209"/>
      <c r="CB20" s="209"/>
      <c r="CC20" s="209"/>
      <c r="CD20" s="209"/>
      <c r="CE20" s="209"/>
      <c r="CF20" s="209"/>
      <c r="CG20" s="209"/>
      <c r="CH20" s="209"/>
      <c r="CI20" s="209"/>
      <c r="CJ20" s="209"/>
      <c r="CK20" s="209"/>
      <c r="CL20" s="209"/>
      <c r="CM20" s="209"/>
      <c r="CN20" s="209"/>
      <c r="CO20" s="209"/>
      <c r="CP20" s="209"/>
      <c r="CQ20" s="209"/>
      <c r="CR20" s="209"/>
      <c r="CS20" s="209"/>
      <c r="CT20" s="209"/>
      <c r="CU20" s="209"/>
      <c r="CV20" s="209"/>
      <c r="CW20" s="209"/>
      <c r="CX20" s="209"/>
      <c r="CY20" s="209"/>
      <c r="CZ20" s="209"/>
      <c r="DA20" s="209"/>
      <c r="DB20" s="209"/>
      <c r="DC20" s="209"/>
      <c r="DD20" s="209"/>
      <c r="DE20" s="209"/>
      <c r="DF20" s="209"/>
      <c r="DG20" s="209"/>
      <c r="DH20" s="209"/>
      <c r="DI20" s="209"/>
      <c r="DJ20" s="209"/>
      <c r="DK20" s="210"/>
      <c r="DL20" s="210"/>
      <c r="DM20" s="210"/>
      <c r="DN20" s="210"/>
      <c r="DO20" s="211"/>
      <c r="DP20" s="211"/>
      <c r="DQ20" s="211"/>
      <c r="DR20" s="211"/>
      <c r="DS20" s="211"/>
      <c r="DT20" s="211"/>
      <c r="DU20" s="211"/>
      <c r="DV20" s="211"/>
      <c r="DW20" s="211"/>
      <c r="DX20" s="211"/>
      <c r="DY20" s="211"/>
      <c r="DZ20" s="211"/>
      <c r="EA20" s="211"/>
      <c r="EB20" s="211"/>
      <c r="EC20" s="211"/>
      <c r="ED20" s="210"/>
      <c r="EE20" s="210"/>
      <c r="EF20" s="210"/>
      <c r="EG20" s="210"/>
      <c r="EH20" s="210"/>
      <c r="EI20" s="210"/>
      <c r="EJ20" s="28"/>
      <c r="EK20" s="28"/>
      <c r="EL20" s="28"/>
      <c r="EM20" s="28"/>
      <c r="EN20" s="31"/>
      <c r="EO20" s="31"/>
      <c r="EP20" s="186"/>
      <c r="EW20" s="568" t="s">
        <v>2</v>
      </c>
      <c r="EX20" s="568"/>
      <c r="EY20" s="201"/>
      <c r="EZ20" s="201"/>
      <c r="FA20" s="201"/>
      <c r="FB20" s="201"/>
      <c r="FC20" s="201"/>
      <c r="FD20" s="201"/>
      <c r="FE20" s="201"/>
      <c r="FF20" s="201"/>
      <c r="FG20" s="201"/>
      <c r="FH20" s="201"/>
      <c r="FI20" s="201"/>
      <c r="FJ20" s="201"/>
      <c r="FK20" s="201" t="s">
        <v>49</v>
      </c>
      <c r="FL20" s="201" t="s">
        <v>116</v>
      </c>
      <c r="FM20" s="201" t="s">
        <v>116</v>
      </c>
      <c r="FN20" s="201" t="s">
        <v>116</v>
      </c>
      <c r="FO20" s="201" t="s">
        <v>59</v>
      </c>
      <c r="FP20" s="201" t="s">
        <v>59</v>
      </c>
      <c r="FQ20" s="201" t="s">
        <v>60</v>
      </c>
      <c r="FR20" s="201"/>
      <c r="FS20" s="201"/>
      <c r="FT20" s="201"/>
      <c r="FU20" s="201"/>
      <c r="FV20" s="201"/>
      <c r="FW20" s="201"/>
      <c r="FX20" s="201"/>
      <c r="FY20" s="201"/>
      <c r="FZ20" s="201"/>
      <c r="GA20" s="201"/>
      <c r="GB20" s="201"/>
      <c r="GC20" s="201"/>
      <c r="GD20" s="201"/>
      <c r="GE20" s="201"/>
      <c r="GF20" s="201"/>
      <c r="GG20" s="201"/>
      <c r="GH20" s="201"/>
      <c r="GI20" s="201"/>
      <c r="GJ20" s="201" t="s">
        <v>116</v>
      </c>
      <c r="GK20" s="201" t="s">
        <v>116</v>
      </c>
      <c r="GL20" s="201" t="s">
        <v>116</v>
      </c>
      <c r="GM20" s="201" t="s">
        <v>60</v>
      </c>
      <c r="GN20" s="201" t="s">
        <v>61</v>
      </c>
      <c r="GO20" s="201" t="s">
        <v>61</v>
      </c>
      <c r="GP20" s="201" t="s">
        <v>61</v>
      </c>
      <c r="GQ20" s="201" t="s">
        <v>61</v>
      </c>
      <c r="GR20" s="201"/>
      <c r="GS20" s="201"/>
      <c r="GT20" s="201"/>
      <c r="GU20" s="201"/>
      <c r="GV20" s="201"/>
      <c r="GW20" s="201"/>
      <c r="GX20" s="201"/>
      <c r="GY20" s="569">
        <f>SUM(HA20:HJ20)</f>
        <v>13</v>
      </c>
      <c r="GZ20" s="570"/>
      <c r="HA20" s="569">
        <v>6</v>
      </c>
      <c r="HB20" s="570"/>
      <c r="HC20" s="569">
        <v>2</v>
      </c>
      <c r="HD20" s="570"/>
      <c r="HE20" s="569">
        <v>1</v>
      </c>
      <c r="HF20" s="570"/>
      <c r="HG20" s="569">
        <v>4</v>
      </c>
      <c r="HH20" s="570"/>
      <c r="HI20" s="569">
        <v>0</v>
      </c>
      <c r="HJ20" s="570"/>
      <c r="HK20" s="569">
        <v>39</v>
      </c>
      <c r="HL20" s="570"/>
      <c r="HM20" s="571">
        <f>GY20+HK20</f>
        <v>52</v>
      </c>
      <c r="HN20" s="571"/>
    </row>
    <row r="21" spans="1:222" ht="49.5" x14ac:dyDescent="0.4">
      <c r="A21" s="23"/>
      <c r="B21" s="23"/>
      <c r="C21" s="26"/>
      <c r="D21" s="210"/>
      <c r="E21" s="210"/>
      <c r="F21" s="210"/>
      <c r="G21" s="210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  <c r="AX21" s="209"/>
      <c r="AY21" s="209"/>
      <c r="AZ21" s="209"/>
      <c r="BA21" s="209"/>
      <c r="BB21" s="209"/>
      <c r="BC21" s="209"/>
      <c r="BD21" s="209"/>
      <c r="BE21" s="209"/>
      <c r="BF21" s="209"/>
      <c r="BG21" s="209"/>
      <c r="BH21" s="209"/>
      <c r="BI21" s="209"/>
      <c r="BJ21" s="209"/>
      <c r="BK21" s="209"/>
      <c r="BL21" s="209"/>
      <c r="BM21" s="209"/>
      <c r="BN21" s="209"/>
      <c r="BO21" s="209"/>
      <c r="BP21" s="209"/>
      <c r="BQ21" s="209"/>
      <c r="BR21" s="209"/>
      <c r="BS21" s="209"/>
      <c r="BT21" s="209"/>
      <c r="BU21" s="209"/>
      <c r="BV21" s="209"/>
      <c r="BW21" s="209"/>
      <c r="BX21" s="209"/>
      <c r="BY21" s="209"/>
      <c r="BZ21" s="209"/>
      <c r="CA21" s="209"/>
      <c r="CB21" s="209"/>
      <c r="CC21" s="209"/>
      <c r="CD21" s="209"/>
      <c r="CE21" s="209"/>
      <c r="CF21" s="209"/>
      <c r="CG21" s="209"/>
      <c r="CH21" s="209"/>
      <c r="CI21" s="209"/>
      <c r="CJ21" s="209"/>
      <c r="CK21" s="209"/>
      <c r="CL21" s="209"/>
      <c r="CM21" s="209"/>
      <c r="CN21" s="209"/>
      <c r="CO21" s="209"/>
      <c r="CP21" s="209"/>
      <c r="CQ21" s="209"/>
      <c r="CR21" s="209"/>
      <c r="CS21" s="209"/>
      <c r="CT21" s="209"/>
      <c r="CU21" s="209"/>
      <c r="CV21" s="209"/>
      <c r="CW21" s="209"/>
      <c r="CX21" s="209"/>
      <c r="CY21" s="209"/>
      <c r="CZ21" s="209"/>
      <c r="DA21" s="209"/>
      <c r="DB21" s="209"/>
      <c r="DC21" s="209"/>
      <c r="DD21" s="209"/>
      <c r="DE21" s="209"/>
      <c r="DF21" s="209"/>
      <c r="DG21" s="209"/>
      <c r="DH21" s="209"/>
      <c r="DI21" s="209"/>
      <c r="DJ21" s="209"/>
      <c r="DK21" s="210"/>
      <c r="DL21" s="210"/>
      <c r="DM21" s="210"/>
      <c r="DN21" s="210"/>
      <c r="DO21" s="211"/>
      <c r="DP21" s="211"/>
      <c r="DQ21" s="211"/>
      <c r="DR21" s="211"/>
      <c r="DS21" s="211"/>
      <c r="DT21" s="211"/>
      <c r="DU21" s="211"/>
      <c r="DV21" s="211"/>
      <c r="DW21" s="211"/>
      <c r="DX21" s="211"/>
      <c r="DY21" s="211"/>
      <c r="DZ21" s="211"/>
      <c r="EA21" s="211"/>
      <c r="EB21" s="211"/>
      <c r="EC21" s="211"/>
      <c r="ED21" s="210"/>
      <c r="EE21" s="210"/>
      <c r="EF21" s="210"/>
      <c r="EG21" s="210"/>
      <c r="EH21" s="210"/>
      <c r="EI21" s="210"/>
      <c r="EJ21" s="28"/>
      <c r="EK21" s="28"/>
      <c r="EL21" s="28"/>
      <c r="EM21" s="28"/>
      <c r="EN21" s="31"/>
      <c r="EO21" s="31"/>
      <c r="EP21" s="186"/>
      <c r="EW21" s="568" t="s">
        <v>3</v>
      </c>
      <c r="EX21" s="568"/>
      <c r="EY21" s="201"/>
      <c r="EZ21" s="201"/>
      <c r="FA21" s="201"/>
      <c r="FB21" s="201"/>
      <c r="FC21" s="201"/>
      <c r="FD21" s="201"/>
      <c r="FE21" s="201"/>
      <c r="FF21" s="201"/>
      <c r="FG21" s="201"/>
      <c r="FH21" s="201"/>
      <c r="FI21" s="201"/>
      <c r="FJ21" s="201"/>
      <c r="FK21" s="201" t="s">
        <v>49</v>
      </c>
      <c r="FL21" s="201" t="s">
        <v>116</v>
      </c>
      <c r="FM21" s="201" t="s">
        <v>116</v>
      </c>
      <c r="FN21" s="201" t="s">
        <v>116</v>
      </c>
      <c r="FO21" s="201" t="s">
        <v>59</v>
      </c>
      <c r="FP21" s="201" t="s">
        <v>59</v>
      </c>
      <c r="FQ21" s="201" t="s">
        <v>60</v>
      </c>
      <c r="FR21" s="201"/>
      <c r="FS21" s="201"/>
      <c r="FT21" s="201"/>
      <c r="FU21" s="201"/>
      <c r="FV21" s="201"/>
      <c r="FW21" s="201"/>
      <c r="FX21" s="201"/>
      <c r="FY21" s="201"/>
      <c r="FZ21" s="201"/>
      <c r="GA21" s="201"/>
      <c r="GB21" s="201"/>
      <c r="GC21" s="201"/>
      <c r="GD21" s="201"/>
      <c r="GE21" s="201"/>
      <c r="GF21" s="201"/>
      <c r="GG21" s="201"/>
      <c r="GH21" s="201"/>
      <c r="GI21" s="201"/>
      <c r="GJ21" s="201" t="s">
        <v>116</v>
      </c>
      <c r="GK21" s="201" t="s">
        <v>116</v>
      </c>
      <c r="GL21" s="201" t="s">
        <v>116</v>
      </c>
      <c r="GM21" s="201" t="s">
        <v>60</v>
      </c>
      <c r="GN21" s="201" t="s">
        <v>61</v>
      </c>
      <c r="GO21" s="201" t="s">
        <v>61</v>
      </c>
      <c r="GP21" s="201" t="s">
        <v>61</v>
      </c>
      <c r="GQ21" s="201" t="s">
        <v>61</v>
      </c>
      <c r="GR21" s="201"/>
      <c r="GS21" s="201"/>
      <c r="GT21" s="201"/>
      <c r="GU21" s="201"/>
      <c r="GV21" s="201"/>
      <c r="GW21" s="201"/>
      <c r="GX21" s="201"/>
      <c r="GY21" s="569">
        <f>SUM(HA21:HJ21)</f>
        <v>13</v>
      </c>
      <c r="GZ21" s="570"/>
      <c r="HA21" s="569">
        <v>6</v>
      </c>
      <c r="HB21" s="570"/>
      <c r="HC21" s="569">
        <v>2</v>
      </c>
      <c r="HD21" s="570"/>
      <c r="HE21" s="569">
        <v>1</v>
      </c>
      <c r="HF21" s="570"/>
      <c r="HG21" s="569">
        <v>4</v>
      </c>
      <c r="HH21" s="570"/>
      <c r="HI21" s="569">
        <v>0</v>
      </c>
      <c r="HJ21" s="570"/>
      <c r="HK21" s="569">
        <v>39</v>
      </c>
      <c r="HL21" s="570"/>
      <c r="HM21" s="571">
        <f>GY21+HK21</f>
        <v>52</v>
      </c>
      <c r="HN21" s="571"/>
    </row>
    <row r="22" spans="1:222" ht="49.5" x14ac:dyDescent="0.4">
      <c r="A22" s="23"/>
      <c r="B22" s="23"/>
      <c r="C22" s="26"/>
      <c r="D22" s="210"/>
      <c r="E22" s="210"/>
      <c r="F22" s="210"/>
      <c r="G22" s="210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9"/>
      <c r="BB22" s="209"/>
      <c r="BC22" s="209"/>
      <c r="BD22" s="209"/>
      <c r="BE22" s="209"/>
      <c r="BF22" s="209"/>
      <c r="BG22" s="209"/>
      <c r="BH22" s="209"/>
      <c r="BI22" s="209"/>
      <c r="BJ22" s="209"/>
      <c r="BK22" s="209"/>
      <c r="BL22" s="209"/>
      <c r="BM22" s="209"/>
      <c r="BN22" s="209"/>
      <c r="BO22" s="209"/>
      <c r="BP22" s="209"/>
      <c r="BQ22" s="209"/>
      <c r="BR22" s="209"/>
      <c r="BS22" s="209"/>
      <c r="BT22" s="209"/>
      <c r="BU22" s="209"/>
      <c r="BV22" s="209"/>
      <c r="BW22" s="209"/>
      <c r="BX22" s="209"/>
      <c r="BY22" s="209"/>
      <c r="BZ22" s="209"/>
      <c r="CA22" s="209"/>
      <c r="CB22" s="209"/>
      <c r="CC22" s="209"/>
      <c r="CD22" s="209"/>
      <c r="CE22" s="209"/>
      <c r="CF22" s="209"/>
      <c r="CG22" s="209"/>
      <c r="CH22" s="209"/>
      <c r="CI22" s="209"/>
      <c r="CJ22" s="209"/>
      <c r="CK22" s="209"/>
      <c r="CL22" s="209"/>
      <c r="CM22" s="209"/>
      <c r="CN22" s="209"/>
      <c r="CO22" s="209"/>
      <c r="CP22" s="209"/>
      <c r="CQ22" s="209"/>
      <c r="CR22" s="209"/>
      <c r="CS22" s="209"/>
      <c r="CT22" s="209"/>
      <c r="CU22" s="209"/>
      <c r="CV22" s="209"/>
      <c r="CW22" s="209"/>
      <c r="CX22" s="209"/>
      <c r="CY22" s="209"/>
      <c r="CZ22" s="209"/>
      <c r="DA22" s="209"/>
      <c r="DB22" s="209"/>
      <c r="DC22" s="209"/>
      <c r="DD22" s="209"/>
      <c r="DE22" s="209"/>
      <c r="DF22" s="209"/>
      <c r="DG22" s="209"/>
      <c r="DH22" s="209"/>
      <c r="DI22" s="209"/>
      <c r="DJ22" s="209"/>
      <c r="DK22" s="210"/>
      <c r="DL22" s="210"/>
      <c r="DM22" s="210"/>
      <c r="DN22" s="210"/>
      <c r="DO22" s="211"/>
      <c r="DP22" s="211"/>
      <c r="DQ22" s="211"/>
      <c r="DR22" s="211"/>
      <c r="DS22" s="211"/>
      <c r="DT22" s="211"/>
      <c r="DU22" s="211"/>
      <c r="DV22" s="211"/>
      <c r="DW22" s="211"/>
      <c r="DX22" s="211"/>
      <c r="DY22" s="211"/>
      <c r="DZ22" s="211"/>
      <c r="EA22" s="211"/>
      <c r="EB22" s="211"/>
      <c r="EC22" s="211"/>
      <c r="ED22" s="210"/>
      <c r="EE22" s="210"/>
      <c r="EF22" s="210"/>
      <c r="EG22" s="210"/>
      <c r="EH22" s="210"/>
      <c r="EI22" s="210"/>
      <c r="EJ22" s="28"/>
      <c r="EK22" s="28"/>
      <c r="EL22" s="28"/>
      <c r="EM22" s="28"/>
      <c r="EN22" s="31"/>
      <c r="EO22" s="31"/>
      <c r="EP22" s="31"/>
      <c r="EW22" s="568" t="s">
        <v>117</v>
      </c>
      <c r="EX22" s="568"/>
      <c r="EY22" s="201"/>
      <c r="EZ22" s="201"/>
      <c r="FA22" s="201"/>
      <c r="FB22" s="201"/>
      <c r="FC22" s="201"/>
      <c r="FD22" s="201"/>
      <c r="FE22" s="201"/>
      <c r="FF22" s="201" t="s">
        <v>49</v>
      </c>
      <c r="FG22" s="201" t="s">
        <v>116</v>
      </c>
      <c r="FH22" s="201" t="s">
        <v>116</v>
      </c>
      <c r="FI22" s="201" t="s">
        <v>116</v>
      </c>
      <c r="FJ22" s="201" t="s">
        <v>60</v>
      </c>
      <c r="FK22" s="201"/>
      <c r="FL22" s="201"/>
      <c r="FM22" s="201"/>
      <c r="FN22" s="201"/>
      <c r="FO22" s="201" t="s">
        <v>59</v>
      </c>
      <c r="FP22" s="201" t="s">
        <v>59</v>
      </c>
      <c r="FQ22" s="201"/>
      <c r="FR22" s="201"/>
      <c r="FS22" s="201"/>
      <c r="FT22" s="201"/>
      <c r="FU22" s="201"/>
      <c r="FV22" s="201"/>
      <c r="FW22" s="201"/>
      <c r="FX22" s="201"/>
      <c r="FY22" s="201"/>
      <c r="FZ22" s="201"/>
      <c r="GA22" s="201"/>
      <c r="GB22" s="201"/>
      <c r="GC22" s="201"/>
      <c r="GD22" s="201"/>
      <c r="GE22" s="201" t="s">
        <v>61</v>
      </c>
      <c r="GF22" s="201" t="s">
        <v>61</v>
      </c>
      <c r="GG22" s="201" t="s">
        <v>61</v>
      </c>
      <c r="GH22" s="201" t="s">
        <v>61</v>
      </c>
      <c r="GI22" s="201" t="s">
        <v>61</v>
      </c>
      <c r="GJ22" s="201" t="s">
        <v>116</v>
      </c>
      <c r="GK22" s="201" t="s">
        <v>116</v>
      </c>
      <c r="GL22" s="201" t="s">
        <v>116</v>
      </c>
      <c r="GM22" s="201" t="s">
        <v>60</v>
      </c>
      <c r="GN22" s="201" t="s">
        <v>18</v>
      </c>
      <c r="GO22" s="201" t="s">
        <v>18</v>
      </c>
      <c r="GP22" s="201"/>
      <c r="GQ22" s="201"/>
      <c r="GR22" s="201"/>
      <c r="GS22" s="201"/>
      <c r="GT22" s="201"/>
      <c r="GU22" s="201"/>
      <c r="GV22" s="201"/>
      <c r="GW22" s="201"/>
      <c r="GX22" s="201"/>
      <c r="GY22" s="569">
        <f>SUM(HA22:HJ22)</f>
        <v>16</v>
      </c>
      <c r="GZ22" s="570"/>
      <c r="HA22" s="569">
        <v>6</v>
      </c>
      <c r="HB22" s="570"/>
      <c r="HC22" s="569">
        <v>2</v>
      </c>
      <c r="HD22" s="570"/>
      <c r="HE22" s="569">
        <v>1</v>
      </c>
      <c r="HF22" s="570"/>
      <c r="HG22" s="569">
        <v>5</v>
      </c>
      <c r="HH22" s="570"/>
      <c r="HI22" s="569">
        <v>2</v>
      </c>
      <c r="HJ22" s="570"/>
      <c r="HK22" s="569">
        <v>32</v>
      </c>
      <c r="HL22" s="570"/>
      <c r="HM22" s="571">
        <f>GY22+HK22</f>
        <v>48</v>
      </c>
      <c r="HN22" s="571"/>
    </row>
    <row r="23" spans="1:222" ht="49.5" x14ac:dyDescent="0.65">
      <c r="A23" s="23"/>
      <c r="B23" s="23"/>
      <c r="C23" s="26"/>
      <c r="D23" s="210"/>
      <c r="E23" s="210"/>
      <c r="F23" s="210"/>
      <c r="G23" s="210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09"/>
      <c r="BA23" s="209"/>
      <c r="BB23" s="209"/>
      <c r="BC23" s="209"/>
      <c r="BD23" s="209"/>
      <c r="BE23" s="209"/>
      <c r="BF23" s="209"/>
      <c r="BG23" s="209"/>
      <c r="BH23" s="209"/>
      <c r="BI23" s="209"/>
      <c r="BJ23" s="209"/>
      <c r="BK23" s="209"/>
      <c r="BL23" s="209"/>
      <c r="BM23" s="209"/>
      <c r="BN23" s="209"/>
      <c r="BO23" s="209"/>
      <c r="BP23" s="209"/>
      <c r="BQ23" s="209"/>
      <c r="BR23" s="209"/>
      <c r="BS23" s="209"/>
      <c r="BT23" s="209"/>
      <c r="BU23" s="209"/>
      <c r="BV23" s="209"/>
      <c r="BW23" s="209"/>
      <c r="BX23" s="209"/>
      <c r="BY23" s="209"/>
      <c r="BZ23" s="209"/>
      <c r="CA23" s="209"/>
      <c r="CB23" s="209"/>
      <c r="CC23" s="209"/>
      <c r="CD23" s="209"/>
      <c r="CE23" s="209"/>
      <c r="CF23" s="209"/>
      <c r="CG23" s="209"/>
      <c r="CH23" s="209"/>
      <c r="CI23" s="209"/>
      <c r="CJ23" s="209"/>
      <c r="CK23" s="209"/>
      <c r="CL23" s="209"/>
      <c r="CM23" s="209"/>
      <c r="CN23" s="209"/>
      <c r="CO23" s="209"/>
      <c r="CP23" s="209"/>
      <c r="CQ23" s="209"/>
      <c r="CR23" s="209"/>
      <c r="CS23" s="209"/>
      <c r="CT23" s="209"/>
      <c r="CU23" s="209"/>
      <c r="CV23" s="209"/>
      <c r="CW23" s="209"/>
      <c r="CX23" s="209"/>
      <c r="CY23" s="209"/>
      <c r="CZ23" s="209"/>
      <c r="DA23" s="209"/>
      <c r="DB23" s="209"/>
      <c r="DC23" s="209"/>
      <c r="DD23" s="209"/>
      <c r="DE23" s="209"/>
      <c r="DF23" s="209"/>
      <c r="DG23" s="209"/>
      <c r="DH23" s="209"/>
      <c r="DI23" s="209"/>
      <c r="DJ23" s="209"/>
      <c r="DK23" s="210"/>
      <c r="DL23" s="210"/>
      <c r="DM23" s="210"/>
      <c r="DN23" s="210"/>
      <c r="DO23" s="211"/>
      <c r="DP23" s="211"/>
      <c r="DQ23" s="211"/>
      <c r="DR23" s="211"/>
      <c r="DS23" s="211"/>
      <c r="DT23" s="211"/>
      <c r="DU23" s="211"/>
      <c r="DV23" s="211"/>
      <c r="DW23" s="211"/>
      <c r="DX23" s="211"/>
      <c r="DY23" s="211"/>
      <c r="DZ23" s="211"/>
      <c r="EA23" s="211"/>
      <c r="EB23" s="211"/>
      <c r="EC23" s="211"/>
      <c r="ED23" s="210"/>
      <c r="EE23" s="210"/>
      <c r="EF23" s="210"/>
      <c r="EG23" s="210"/>
      <c r="EH23" s="210"/>
      <c r="EI23" s="210"/>
      <c r="EJ23" s="28"/>
      <c r="EK23" s="28"/>
      <c r="EL23" s="28"/>
      <c r="EM23" s="28"/>
      <c r="EN23" s="31"/>
      <c r="EO23" s="31"/>
      <c r="EP23" s="31"/>
      <c r="EW23" s="582" t="s">
        <v>24</v>
      </c>
      <c r="EX23" s="583"/>
      <c r="EY23" s="583"/>
      <c r="EZ23" s="583"/>
      <c r="FA23" s="583"/>
      <c r="FB23" s="583"/>
      <c r="FC23" s="583"/>
      <c r="FD23" s="583"/>
      <c r="FE23" s="583"/>
      <c r="FF23" s="583"/>
      <c r="FG23" s="583"/>
      <c r="FH23" s="583"/>
      <c r="FI23" s="583"/>
      <c r="FJ23" s="583"/>
      <c r="FK23" s="583"/>
      <c r="FL23" s="583"/>
      <c r="FM23" s="583"/>
      <c r="FN23" s="583"/>
      <c r="FO23" s="583"/>
      <c r="FP23" s="583"/>
      <c r="FQ23" s="583"/>
      <c r="FR23" s="583"/>
      <c r="FS23" s="583"/>
      <c r="FT23" s="583"/>
      <c r="FU23" s="583"/>
      <c r="FV23" s="583"/>
      <c r="FW23" s="583"/>
      <c r="FX23" s="583"/>
      <c r="FY23" s="583"/>
      <c r="FZ23" s="583"/>
      <c r="GA23" s="583"/>
      <c r="GB23" s="583"/>
      <c r="GC23" s="583"/>
      <c r="GD23" s="583"/>
      <c r="GE23" s="583"/>
      <c r="GF23" s="583"/>
      <c r="GG23" s="583"/>
      <c r="GH23" s="583"/>
      <c r="GI23" s="583"/>
      <c r="GJ23" s="583"/>
      <c r="GK23" s="583"/>
      <c r="GL23" s="583"/>
      <c r="GM23" s="583"/>
      <c r="GN23" s="583"/>
      <c r="GO23" s="583"/>
      <c r="GP23" s="583"/>
      <c r="GQ23" s="583"/>
      <c r="GR23" s="583"/>
      <c r="GS23" s="583"/>
      <c r="GT23" s="583"/>
      <c r="GU23" s="583"/>
      <c r="GV23" s="583"/>
      <c r="GW23" s="583"/>
      <c r="GX23" s="584"/>
      <c r="GY23" s="569">
        <f>SUM(GY18:GZ22)</f>
        <v>65</v>
      </c>
      <c r="GZ23" s="570"/>
      <c r="HA23" s="569">
        <f>SUM(HA18:HB22)</f>
        <v>30</v>
      </c>
      <c r="HB23" s="570"/>
      <c r="HC23" s="569">
        <f>SUM(HC18:HD22)</f>
        <v>12</v>
      </c>
      <c r="HD23" s="570"/>
      <c r="HE23" s="569">
        <f>SUM(HE18:HF22)</f>
        <v>5</v>
      </c>
      <c r="HF23" s="570"/>
      <c r="HG23" s="569">
        <f>SUM(HG18:HH22)</f>
        <v>16</v>
      </c>
      <c r="HH23" s="570"/>
      <c r="HI23" s="569">
        <f>SUM(HI18:HJ22)</f>
        <v>2</v>
      </c>
      <c r="HJ23" s="570"/>
      <c r="HK23" s="569">
        <f>SUM(HK18:HL22)</f>
        <v>191</v>
      </c>
      <c r="HL23" s="570"/>
      <c r="HM23" s="569">
        <f>SUM(HM18:HN22)</f>
        <v>256</v>
      </c>
      <c r="HN23" s="570"/>
    </row>
    <row r="24" spans="1:222" ht="51" thickBot="1" x14ac:dyDescent="0.75">
      <c r="A24" s="23"/>
      <c r="B24" s="23"/>
      <c r="C24" s="26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0"/>
      <c r="BP24" s="210"/>
      <c r="BQ24" s="210"/>
      <c r="BR24" s="210"/>
      <c r="BS24" s="210"/>
      <c r="BT24" s="210"/>
      <c r="BU24" s="210"/>
      <c r="BV24" s="210"/>
      <c r="BW24" s="210"/>
      <c r="BX24" s="210"/>
      <c r="BY24" s="210"/>
      <c r="BZ24" s="210"/>
      <c r="CA24" s="210"/>
      <c r="CB24" s="210"/>
      <c r="CC24" s="210"/>
      <c r="CD24" s="210"/>
      <c r="CE24" s="210"/>
      <c r="CF24" s="210"/>
      <c r="CG24" s="210"/>
      <c r="CH24" s="210"/>
      <c r="CI24" s="210"/>
      <c r="CJ24" s="210"/>
      <c r="CK24" s="210"/>
      <c r="CL24" s="210"/>
      <c r="CM24" s="210"/>
      <c r="CN24" s="210"/>
      <c r="CO24" s="210"/>
      <c r="CP24" s="210"/>
      <c r="CQ24" s="210"/>
      <c r="CR24" s="210"/>
      <c r="CS24" s="210"/>
      <c r="CT24" s="210"/>
      <c r="CU24" s="210"/>
      <c r="CV24" s="210"/>
      <c r="CW24" s="210"/>
      <c r="CX24" s="210"/>
      <c r="CY24" s="210"/>
      <c r="CZ24" s="210"/>
      <c r="DA24" s="210"/>
      <c r="DB24" s="210"/>
      <c r="DC24" s="210"/>
      <c r="DD24" s="210"/>
      <c r="DE24" s="210"/>
      <c r="DF24" s="210"/>
      <c r="DG24" s="210"/>
      <c r="DH24" s="210"/>
      <c r="DI24" s="210"/>
      <c r="DJ24" s="210"/>
      <c r="DK24" s="210"/>
      <c r="DL24" s="210"/>
      <c r="DM24" s="210"/>
      <c r="DN24" s="210"/>
      <c r="DO24" s="210"/>
      <c r="DP24" s="210"/>
      <c r="DQ24" s="210"/>
      <c r="DR24" s="210"/>
      <c r="DS24" s="210"/>
      <c r="DT24" s="210"/>
      <c r="DU24" s="210"/>
      <c r="DV24" s="210"/>
      <c r="DW24" s="210"/>
      <c r="DX24" s="210"/>
      <c r="DY24" s="210"/>
      <c r="DZ24" s="210"/>
      <c r="EA24" s="210"/>
      <c r="EB24" s="210"/>
      <c r="EC24" s="210"/>
      <c r="ED24" s="210"/>
      <c r="EE24" s="210"/>
      <c r="EF24" s="210"/>
      <c r="EG24" s="210"/>
      <c r="EH24" s="210"/>
      <c r="EI24" s="210"/>
      <c r="EJ24" s="28"/>
      <c r="EK24" s="28"/>
      <c r="EL24" s="28"/>
      <c r="EM24" s="28"/>
      <c r="EN24" s="31"/>
      <c r="EO24" s="31"/>
      <c r="EP24" s="31"/>
      <c r="EW24" s="174"/>
      <c r="EX24" s="174"/>
      <c r="EY24" s="174"/>
      <c r="EZ24" s="174"/>
      <c r="FA24" s="174"/>
      <c r="FB24" s="174"/>
      <c r="FC24" s="174"/>
      <c r="FD24" s="174"/>
      <c r="FE24" s="174"/>
      <c r="FF24" s="174"/>
      <c r="FG24" s="174"/>
      <c r="FH24" s="174"/>
      <c r="FI24" s="174"/>
      <c r="FJ24" s="174"/>
      <c r="FK24" s="174"/>
      <c r="FL24" s="174"/>
      <c r="FM24" s="174"/>
      <c r="FN24" s="174"/>
      <c r="FO24" s="174"/>
      <c r="FP24" s="174"/>
      <c r="FQ24" s="174"/>
      <c r="FR24" s="174"/>
      <c r="FS24" s="174"/>
      <c r="FT24" s="174"/>
      <c r="FU24" s="174"/>
      <c r="FV24" s="174"/>
      <c r="FW24" s="174"/>
      <c r="FX24" s="174"/>
      <c r="FY24" s="174"/>
      <c r="FZ24" s="174"/>
      <c r="GA24" s="174"/>
      <c r="GB24" s="174"/>
      <c r="GC24" s="174"/>
      <c r="GD24" s="174"/>
      <c r="GE24" s="174"/>
      <c r="GF24" s="174"/>
      <c r="GG24" s="174"/>
      <c r="GH24" s="174"/>
      <c r="GI24" s="174"/>
      <c r="GJ24" s="174"/>
      <c r="GK24" s="174"/>
      <c r="GL24" s="174"/>
      <c r="GM24" s="174"/>
      <c r="GN24" s="174"/>
      <c r="GO24" s="174"/>
      <c r="GP24" s="174"/>
      <c r="GQ24" s="174"/>
      <c r="GR24" s="174"/>
      <c r="GS24" s="174"/>
      <c r="GT24" s="174"/>
      <c r="GU24" s="174"/>
      <c r="GV24" s="174"/>
      <c r="GW24" s="174"/>
      <c r="GX24" s="174"/>
      <c r="GY24" s="174"/>
      <c r="GZ24" s="174"/>
      <c r="HA24" s="174"/>
      <c r="HB24" s="174"/>
      <c r="HC24" s="174"/>
      <c r="HD24" s="174"/>
      <c r="HE24" s="174"/>
      <c r="HF24" s="174"/>
      <c r="HG24" s="174"/>
      <c r="HH24" s="174"/>
      <c r="HI24" s="174"/>
      <c r="HJ24" s="174"/>
      <c r="HK24" s="174"/>
      <c r="HL24" s="174"/>
      <c r="HM24" s="174"/>
      <c r="HN24" s="174"/>
    </row>
    <row r="25" spans="1:222" s="3" customFormat="1" ht="93.75" customHeight="1" thickBot="1" x14ac:dyDescent="0.25">
      <c r="A25" s="15"/>
      <c r="B25" s="15"/>
      <c r="C25" s="123"/>
      <c r="D25" s="123"/>
      <c r="E25" s="123"/>
      <c r="F25" s="123"/>
      <c r="G25" s="123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285"/>
      <c r="V25" s="285"/>
      <c r="W25" s="285"/>
      <c r="X25" s="123"/>
      <c r="Y25" s="123"/>
      <c r="Z25" s="123"/>
      <c r="AA25" s="123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191"/>
      <c r="AX25" s="191"/>
      <c r="AY25" s="191"/>
      <c r="AZ25" s="191"/>
      <c r="BA25" s="191"/>
      <c r="BB25" s="191"/>
      <c r="BC25" s="33"/>
      <c r="BD25" s="285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191"/>
      <c r="BU25" s="191"/>
      <c r="BV25" s="191"/>
      <c r="BW25" s="191"/>
      <c r="BX25" s="191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123"/>
      <c r="CR25" s="123"/>
      <c r="CS25" s="123"/>
      <c r="CT25" s="123"/>
      <c r="CU25" s="123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123"/>
      <c r="DJ25" s="123"/>
      <c r="DK25" s="123"/>
      <c r="DL25" s="123"/>
      <c r="DM25" s="123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123"/>
      <c r="EA25" s="123"/>
      <c r="EB25" s="123"/>
      <c r="EC25" s="123"/>
      <c r="ED25" s="123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83"/>
      <c r="EX25" s="175"/>
      <c r="FA25" s="585" t="s">
        <v>116</v>
      </c>
      <c r="FB25" s="586"/>
      <c r="FC25" s="587"/>
      <c r="FD25" s="588" t="s">
        <v>267</v>
      </c>
      <c r="FE25" s="589"/>
      <c r="FF25" s="589"/>
      <c r="FG25" s="589"/>
      <c r="FH25" s="589"/>
      <c r="FI25" s="590"/>
      <c r="FL25" s="585" t="s">
        <v>61</v>
      </c>
      <c r="FM25" s="586"/>
      <c r="FN25" s="587"/>
      <c r="FO25" s="588" t="s">
        <v>14</v>
      </c>
      <c r="FP25" s="589"/>
      <c r="FQ25" s="589"/>
      <c r="FR25" s="589"/>
      <c r="FS25" s="589"/>
      <c r="FT25" s="590"/>
      <c r="FW25" s="585" t="s">
        <v>49</v>
      </c>
      <c r="FX25" s="586"/>
      <c r="FY25" s="587"/>
      <c r="FZ25" s="588" t="s">
        <v>15</v>
      </c>
      <c r="GA25" s="589"/>
      <c r="GB25" s="589"/>
      <c r="GC25" s="589"/>
      <c r="GD25" s="589"/>
      <c r="GE25" s="590"/>
      <c r="GH25" s="585" t="s">
        <v>60</v>
      </c>
      <c r="GI25" s="586"/>
      <c r="GJ25" s="587"/>
      <c r="GK25" s="588" t="s">
        <v>16</v>
      </c>
      <c r="GL25" s="589"/>
      <c r="GM25" s="589"/>
      <c r="GN25" s="589"/>
      <c r="GO25" s="589"/>
      <c r="GP25" s="590"/>
      <c r="GS25" s="585" t="s">
        <v>18</v>
      </c>
      <c r="GT25" s="586"/>
      <c r="GU25" s="587"/>
      <c r="GV25" s="588" t="s">
        <v>17</v>
      </c>
      <c r="GW25" s="589"/>
      <c r="GX25" s="589"/>
      <c r="GY25" s="589"/>
      <c r="GZ25" s="589"/>
      <c r="HA25" s="590"/>
      <c r="HD25" s="585" t="s">
        <v>59</v>
      </c>
      <c r="HE25" s="586"/>
      <c r="HF25" s="587"/>
      <c r="HG25" s="609" t="s">
        <v>274</v>
      </c>
      <c r="HH25" s="610"/>
      <c r="HI25" s="610"/>
      <c r="HJ25" s="610"/>
      <c r="HK25" s="611"/>
      <c r="HL25" s="175"/>
      <c r="HM25" s="175"/>
    </row>
    <row r="26" spans="1:222" ht="19.5" customHeight="1" x14ac:dyDescent="0.25">
      <c r="A26" s="15"/>
      <c r="B26" s="15"/>
      <c r="D26" s="212"/>
      <c r="E26" s="212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212"/>
      <c r="Q26" s="212"/>
      <c r="R26" s="212"/>
      <c r="S26" s="212"/>
      <c r="T26" s="212"/>
      <c r="U26" s="83"/>
      <c r="V26" s="206"/>
      <c r="W26" s="206"/>
      <c r="X26" s="206"/>
      <c r="Y26" s="206"/>
      <c r="Z26" s="206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  <c r="AN26" s="192"/>
      <c r="AO26" s="192"/>
      <c r="AP26" s="192"/>
      <c r="AQ26" s="192"/>
      <c r="AR26" s="192"/>
      <c r="AS26" s="192"/>
      <c r="AT26" s="192"/>
      <c r="AU26" s="192"/>
      <c r="AV26" s="84"/>
      <c r="AW26" s="213"/>
      <c r="AX26" s="213"/>
      <c r="AY26" s="213"/>
      <c r="AZ26" s="213"/>
      <c r="BA26" s="213"/>
      <c r="BB26" s="213"/>
      <c r="BC26" s="85"/>
      <c r="BD26" s="83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213"/>
      <c r="BU26" s="213"/>
      <c r="BV26" s="213"/>
      <c r="BW26" s="213"/>
      <c r="BX26" s="213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206"/>
      <c r="CR26" s="206"/>
      <c r="CS26" s="206"/>
      <c r="CT26" s="206"/>
      <c r="CU26" s="206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206"/>
      <c r="DJ26" s="206"/>
      <c r="DK26" s="206"/>
      <c r="DL26" s="206"/>
      <c r="DM26" s="206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206"/>
      <c r="EA26" s="206"/>
      <c r="EB26" s="206"/>
      <c r="EC26" s="206"/>
      <c r="ED26" s="206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3"/>
      <c r="ER26" s="3"/>
      <c r="ES26" s="3"/>
      <c r="EW26" s="175"/>
      <c r="EX26" s="199"/>
      <c r="EY26" s="199"/>
      <c r="EZ26" s="199"/>
      <c r="FA26" s="200"/>
      <c r="FB26" s="200"/>
      <c r="FC26" s="200"/>
      <c r="FD26" s="200"/>
      <c r="FE26" s="200"/>
      <c r="FF26" s="200"/>
      <c r="FG26" s="175"/>
      <c r="FH26" s="199"/>
      <c r="FI26" s="199"/>
      <c r="FJ26" s="199"/>
      <c r="FK26" s="200"/>
      <c r="FL26" s="200"/>
      <c r="FM26" s="200"/>
      <c r="FN26" s="200"/>
      <c r="FO26" s="200"/>
      <c r="FP26" s="200"/>
      <c r="FQ26" s="175"/>
      <c r="FR26" s="199"/>
      <c r="FS26" s="199"/>
      <c r="FT26" s="199"/>
      <c r="FU26" s="200"/>
      <c r="FV26" s="200"/>
      <c r="FW26" s="200"/>
      <c r="FX26" s="200"/>
      <c r="FY26" s="200"/>
      <c r="FZ26" s="200"/>
      <c r="GA26" s="175"/>
      <c r="GB26" s="199"/>
      <c r="GC26" s="199"/>
      <c r="GD26" s="199"/>
      <c r="GE26" s="200"/>
      <c r="GF26" s="200"/>
      <c r="GG26" s="200"/>
      <c r="GH26" s="200"/>
      <c r="GI26" s="200"/>
      <c r="GJ26" s="200"/>
      <c r="GK26" s="175"/>
      <c r="GL26" s="199"/>
      <c r="GM26" s="199"/>
      <c r="GN26" s="199"/>
      <c r="GO26" s="200"/>
      <c r="GP26" s="200"/>
      <c r="GQ26" s="200"/>
      <c r="GR26" s="200"/>
      <c r="GS26" s="200"/>
      <c r="GT26" s="200"/>
      <c r="GU26" s="175"/>
      <c r="GV26" s="199"/>
      <c r="GW26" s="199"/>
      <c r="GX26" s="199"/>
      <c r="GY26" s="200"/>
      <c r="GZ26" s="200"/>
      <c r="HA26" s="200"/>
      <c r="HB26" s="200"/>
      <c r="HC26" s="200"/>
      <c r="HD26" s="200"/>
      <c r="HE26" s="175"/>
      <c r="HF26" s="199"/>
      <c r="HG26" s="199"/>
      <c r="HH26" s="199"/>
      <c r="HI26" s="200"/>
      <c r="HJ26" s="200"/>
      <c r="HK26" s="200"/>
      <c r="HL26" s="200"/>
      <c r="HM26" s="175"/>
      <c r="HN26" s="175"/>
    </row>
    <row r="27" spans="1:222" ht="45.75" x14ac:dyDescent="0.25">
      <c r="A27" s="15"/>
      <c r="B27" s="15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2"/>
      <c r="O27" s="212"/>
      <c r="P27" s="212"/>
      <c r="Q27" s="212"/>
      <c r="R27" s="212"/>
      <c r="S27" s="212"/>
      <c r="T27" s="212"/>
      <c r="U27" s="83"/>
      <c r="V27" s="206"/>
      <c r="W27" s="206"/>
      <c r="X27" s="206"/>
      <c r="Y27" s="206"/>
      <c r="Z27" s="206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  <c r="AN27" s="192"/>
      <c r="AO27" s="192"/>
      <c r="AP27" s="192"/>
      <c r="AQ27" s="192"/>
      <c r="AR27" s="192"/>
      <c r="AS27" s="192"/>
      <c r="AT27" s="192"/>
      <c r="AU27" s="192"/>
      <c r="AV27" s="84"/>
      <c r="AW27" s="213"/>
      <c r="AX27" s="213"/>
      <c r="AY27" s="213"/>
      <c r="AZ27" s="213"/>
      <c r="BA27" s="213"/>
      <c r="BB27" s="213"/>
      <c r="BC27" s="85"/>
      <c r="BD27" s="83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213"/>
      <c r="BU27" s="213"/>
      <c r="BV27" s="213"/>
      <c r="BW27" s="213"/>
      <c r="BX27" s="213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206"/>
      <c r="CR27" s="206"/>
      <c r="CS27" s="206"/>
      <c r="CT27" s="206"/>
      <c r="CU27" s="206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206"/>
      <c r="DJ27" s="206"/>
      <c r="DK27" s="206"/>
      <c r="DL27" s="206"/>
      <c r="DM27" s="206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206"/>
      <c r="EA27" s="206"/>
      <c r="EB27" s="206"/>
      <c r="EC27" s="206"/>
      <c r="ED27" s="206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3"/>
      <c r="ER27" s="3"/>
      <c r="ES27" s="3"/>
    </row>
    <row r="28" spans="1:222" ht="42" x14ac:dyDescent="0.25">
      <c r="A28" s="34"/>
      <c r="B28" s="34"/>
      <c r="C28" s="35"/>
      <c r="D28" s="35"/>
      <c r="E28" s="35"/>
      <c r="F28" s="36"/>
      <c r="G28" s="36"/>
      <c r="H28" s="36"/>
      <c r="I28" s="36"/>
      <c r="J28" s="36"/>
      <c r="K28" s="36"/>
      <c r="L28" s="36"/>
      <c r="M28" s="36"/>
      <c r="N28" s="35"/>
      <c r="O28" s="35"/>
      <c r="P28" s="35"/>
      <c r="Q28" s="35"/>
      <c r="R28" s="37"/>
      <c r="S28" s="37"/>
      <c r="T28" s="35"/>
      <c r="U28" s="35"/>
      <c r="V28" s="35"/>
      <c r="W28" s="38"/>
      <c r="X28" s="38"/>
      <c r="Y28" s="38"/>
      <c r="Z28" s="39"/>
      <c r="AA28" s="39"/>
      <c r="AB28" s="40"/>
      <c r="AC28" s="40"/>
      <c r="AD28" s="41"/>
      <c r="AE28" s="41"/>
      <c r="AF28" s="42"/>
      <c r="AG28" s="41"/>
      <c r="AH28" s="41"/>
      <c r="AI28" s="41"/>
      <c r="AJ28" s="4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42"/>
      <c r="AX28" s="42"/>
      <c r="AY28" s="42"/>
      <c r="AZ28" s="41"/>
      <c r="BA28" s="41"/>
      <c r="BB28" s="41"/>
      <c r="BC28" s="41"/>
      <c r="BD28" s="42"/>
      <c r="BE28" s="42"/>
      <c r="BF28" s="42"/>
      <c r="BG28" s="42"/>
      <c r="BH28" s="43"/>
      <c r="BI28" s="38"/>
      <c r="BJ28" s="44"/>
      <c r="BK28" s="44"/>
      <c r="BL28" s="44"/>
      <c r="BM28" s="44"/>
      <c r="BN28" s="38"/>
      <c r="BO28" s="42"/>
      <c r="BP28" s="42"/>
      <c r="BQ28" s="42"/>
      <c r="BR28" s="42"/>
      <c r="BS28" s="42"/>
      <c r="BT28" s="42"/>
      <c r="BU28" s="42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2"/>
      <c r="DD28" s="42"/>
      <c r="DE28" s="42"/>
      <c r="DF28" s="42"/>
      <c r="DG28" s="42"/>
      <c r="DH28" s="42"/>
      <c r="DI28" s="42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"/>
      <c r="ER28" s="4"/>
      <c r="ES28" s="4"/>
    </row>
    <row r="29" spans="1:222" ht="75.75" thickBot="1" x14ac:dyDescent="0.25">
      <c r="A29" s="560" t="s">
        <v>257</v>
      </c>
      <c r="B29" s="560"/>
      <c r="C29" s="560"/>
      <c r="D29" s="560"/>
      <c r="E29" s="560"/>
      <c r="F29" s="560"/>
      <c r="G29" s="560"/>
      <c r="H29" s="560"/>
      <c r="I29" s="560"/>
      <c r="J29" s="560"/>
      <c r="K29" s="560"/>
      <c r="L29" s="560"/>
      <c r="M29" s="560"/>
      <c r="N29" s="560"/>
      <c r="O29" s="560"/>
      <c r="P29" s="560"/>
      <c r="Q29" s="560"/>
      <c r="R29" s="560"/>
      <c r="S29" s="560"/>
      <c r="T29" s="560"/>
      <c r="U29" s="560"/>
      <c r="V29" s="560"/>
      <c r="W29" s="560"/>
      <c r="X29" s="560"/>
      <c r="Y29" s="560"/>
      <c r="Z29" s="560"/>
      <c r="AA29" s="560"/>
      <c r="AB29" s="560"/>
      <c r="AC29" s="560"/>
      <c r="AD29" s="560"/>
      <c r="AE29" s="560"/>
      <c r="AF29" s="560"/>
      <c r="AG29" s="560"/>
      <c r="AH29" s="560"/>
      <c r="AI29" s="560"/>
      <c r="AJ29" s="560"/>
      <c r="AK29" s="560"/>
      <c r="AL29" s="560"/>
      <c r="AM29" s="560"/>
      <c r="AN29" s="560"/>
      <c r="AO29" s="560"/>
      <c r="AP29" s="560"/>
      <c r="AQ29" s="560"/>
      <c r="AR29" s="560"/>
      <c r="AS29" s="560"/>
      <c r="AT29" s="560"/>
      <c r="AU29" s="560"/>
      <c r="AV29" s="560"/>
      <c r="AW29" s="560"/>
      <c r="AX29" s="560"/>
      <c r="AY29" s="560"/>
      <c r="AZ29" s="560"/>
      <c r="BA29" s="560"/>
      <c r="BB29" s="560"/>
      <c r="BC29" s="560"/>
      <c r="BD29" s="560"/>
      <c r="BE29" s="560"/>
      <c r="BF29" s="560"/>
      <c r="BG29" s="560"/>
      <c r="BH29" s="560"/>
      <c r="BI29" s="560"/>
      <c r="BJ29" s="560"/>
      <c r="BK29" s="560"/>
      <c r="BL29" s="560"/>
      <c r="BM29" s="560"/>
      <c r="BN29" s="560"/>
      <c r="BO29" s="560"/>
      <c r="BP29" s="560"/>
      <c r="BQ29" s="560"/>
      <c r="BR29" s="560"/>
      <c r="BS29" s="560"/>
      <c r="BT29" s="560"/>
      <c r="BU29" s="560"/>
      <c r="BV29" s="560"/>
      <c r="BW29" s="560"/>
      <c r="BX29" s="560"/>
      <c r="BY29" s="560"/>
      <c r="BZ29" s="560"/>
      <c r="CA29" s="560"/>
      <c r="CB29" s="560"/>
      <c r="CC29" s="560"/>
      <c r="CD29" s="560"/>
      <c r="CE29" s="560"/>
      <c r="CF29" s="560"/>
      <c r="CG29" s="560"/>
      <c r="CH29" s="560"/>
      <c r="CI29" s="560"/>
      <c r="CJ29" s="560"/>
      <c r="CK29" s="560"/>
      <c r="CL29" s="560"/>
      <c r="CM29" s="560"/>
      <c r="CN29" s="560"/>
      <c r="CO29" s="560"/>
      <c r="CP29" s="560"/>
      <c r="CQ29" s="560"/>
      <c r="CR29" s="560"/>
      <c r="CS29" s="560"/>
      <c r="CT29" s="560"/>
      <c r="CU29" s="560"/>
      <c r="CV29" s="560"/>
      <c r="CW29" s="560"/>
      <c r="CX29" s="560"/>
      <c r="CY29" s="560"/>
      <c r="CZ29" s="560"/>
      <c r="DA29" s="560"/>
      <c r="DB29" s="560"/>
      <c r="DC29" s="560"/>
      <c r="DD29" s="560"/>
      <c r="DE29" s="560"/>
      <c r="DF29" s="560"/>
      <c r="DG29" s="560"/>
      <c r="DH29" s="560"/>
      <c r="DI29" s="560"/>
      <c r="DJ29" s="560"/>
      <c r="DK29" s="560"/>
      <c r="DL29" s="560"/>
      <c r="DM29" s="560"/>
      <c r="DN29" s="560"/>
      <c r="DO29" s="560"/>
      <c r="DP29" s="560"/>
      <c r="DQ29" s="560"/>
      <c r="DR29" s="560"/>
      <c r="DS29" s="560"/>
      <c r="DT29" s="560"/>
      <c r="DU29" s="560"/>
      <c r="DV29" s="560"/>
      <c r="DW29" s="560"/>
      <c r="DX29" s="560"/>
      <c r="DY29" s="560"/>
      <c r="DZ29" s="560"/>
      <c r="EA29" s="560"/>
      <c r="EB29" s="560"/>
      <c r="EC29" s="560"/>
      <c r="ED29" s="560"/>
      <c r="EE29" s="560"/>
      <c r="EF29" s="560"/>
      <c r="EG29" s="560"/>
      <c r="EH29" s="560"/>
      <c r="EI29" s="560"/>
      <c r="EJ29" s="560"/>
      <c r="EK29" s="560"/>
      <c r="EL29" s="560"/>
      <c r="EM29" s="560"/>
      <c r="EN29" s="560"/>
      <c r="EO29" s="560"/>
      <c r="EP29" s="560"/>
      <c r="EQ29" s="560"/>
      <c r="ER29" s="560"/>
      <c r="ES29" s="560"/>
    </row>
    <row r="30" spans="1:222" ht="60" customHeight="1" thickTop="1" x14ac:dyDescent="0.2">
      <c r="A30" s="1026" t="s">
        <v>25</v>
      </c>
      <c r="B30" s="1029" t="s">
        <v>62</v>
      </c>
      <c r="C30" s="1032" t="s">
        <v>63</v>
      </c>
      <c r="D30" s="1032"/>
      <c r="E30" s="1032"/>
      <c r="F30" s="1032"/>
      <c r="G30" s="1032"/>
      <c r="H30" s="1032"/>
      <c r="I30" s="1032"/>
      <c r="J30" s="1032"/>
      <c r="K30" s="1032"/>
      <c r="L30" s="1032"/>
      <c r="M30" s="1032"/>
      <c r="N30" s="1032"/>
      <c r="O30" s="1032"/>
      <c r="P30" s="1032"/>
      <c r="Q30" s="1032"/>
      <c r="R30" s="1032"/>
      <c r="S30" s="1032"/>
      <c r="T30" s="1032"/>
      <c r="U30" s="1032"/>
      <c r="V30" s="1032"/>
      <c r="W30" s="1032"/>
      <c r="X30" s="1032"/>
      <c r="Y30" s="1032"/>
      <c r="Z30" s="1034" t="s">
        <v>64</v>
      </c>
      <c r="AA30" s="1035"/>
      <c r="AB30" s="1035"/>
      <c r="AC30" s="1035"/>
      <c r="AD30" s="1035"/>
      <c r="AE30" s="1035"/>
      <c r="AF30" s="1035"/>
      <c r="AG30" s="1035"/>
      <c r="AH30" s="1035"/>
      <c r="AI30" s="1035"/>
      <c r="AJ30" s="1035"/>
      <c r="AK30" s="1035"/>
      <c r="AL30" s="1035"/>
      <c r="AM30" s="1035"/>
      <c r="AN30" s="1035"/>
      <c r="AO30" s="1035"/>
      <c r="AP30" s="1035"/>
      <c r="AQ30" s="1035"/>
      <c r="AR30" s="1035"/>
      <c r="AS30" s="1035"/>
      <c r="AT30" s="1035"/>
      <c r="AU30" s="1035"/>
      <c r="AV30" s="1035"/>
      <c r="AW30" s="1035"/>
      <c r="AX30" s="1035"/>
      <c r="AY30" s="1035"/>
      <c r="AZ30" s="1035"/>
      <c r="BA30" s="1035"/>
      <c r="BB30" s="1035"/>
      <c r="BC30" s="1035"/>
      <c r="BD30" s="1035"/>
      <c r="BE30" s="1035"/>
      <c r="BF30" s="1035"/>
      <c r="BG30" s="1035"/>
      <c r="BH30" s="1035"/>
      <c r="BI30" s="1035"/>
      <c r="BJ30" s="1035"/>
      <c r="BK30" s="1036"/>
      <c r="BL30" s="1036"/>
      <c r="BM30" s="1036"/>
      <c r="BN30" s="1037"/>
      <c r="BO30" s="1038" t="s">
        <v>260</v>
      </c>
      <c r="BP30" s="1039"/>
      <c r="BQ30" s="1039"/>
      <c r="BR30" s="1039"/>
      <c r="BS30" s="1039"/>
      <c r="BT30" s="1039"/>
      <c r="BU30" s="1039"/>
      <c r="BV30" s="1039"/>
      <c r="BW30" s="1039"/>
      <c r="BX30" s="1039"/>
      <c r="BY30" s="1039"/>
      <c r="BZ30" s="1039"/>
      <c r="CA30" s="1039"/>
      <c r="CB30" s="1039"/>
      <c r="CC30" s="1039"/>
      <c r="CD30" s="1039"/>
      <c r="CE30" s="1039"/>
      <c r="CF30" s="1039"/>
      <c r="CG30" s="1039"/>
      <c r="CH30" s="1039"/>
      <c r="CI30" s="1039"/>
      <c r="CJ30" s="1039"/>
      <c r="CK30" s="1039"/>
      <c r="CL30" s="1039"/>
      <c r="CM30" s="1039"/>
      <c r="CN30" s="1039"/>
      <c r="CO30" s="1039"/>
      <c r="CP30" s="1039"/>
      <c r="CQ30" s="1039"/>
      <c r="CR30" s="1039"/>
      <c r="CS30" s="1039"/>
      <c r="CT30" s="1039"/>
      <c r="CU30" s="1039"/>
      <c r="CV30" s="1039"/>
      <c r="CW30" s="1039"/>
      <c r="CX30" s="1039"/>
      <c r="CY30" s="1039"/>
      <c r="CZ30" s="1039"/>
      <c r="DA30" s="1039"/>
      <c r="DB30" s="1040"/>
      <c r="DC30" s="1038" t="s">
        <v>261</v>
      </c>
      <c r="DD30" s="1039"/>
      <c r="DE30" s="1039"/>
      <c r="DF30" s="1039"/>
      <c r="DG30" s="1039"/>
      <c r="DH30" s="1039"/>
      <c r="DI30" s="1039"/>
      <c r="DJ30" s="1039"/>
      <c r="DK30" s="1039"/>
      <c r="DL30" s="1039"/>
      <c r="DM30" s="1039"/>
      <c r="DN30" s="1039"/>
      <c r="DO30" s="1039"/>
      <c r="DP30" s="1039"/>
      <c r="DQ30" s="1039"/>
      <c r="DR30" s="1039"/>
      <c r="DS30" s="1039"/>
      <c r="DT30" s="1039"/>
      <c r="DU30" s="1039"/>
      <c r="DV30" s="1039"/>
      <c r="DW30" s="1039"/>
      <c r="DX30" s="1039"/>
      <c r="DY30" s="1039"/>
      <c r="DZ30" s="1039"/>
      <c r="EA30" s="1039"/>
      <c r="EB30" s="1039"/>
      <c r="EC30" s="1039"/>
      <c r="ED30" s="1039"/>
      <c r="EE30" s="1039"/>
      <c r="EF30" s="1039"/>
      <c r="EG30" s="1039"/>
      <c r="EH30" s="1039"/>
      <c r="EI30" s="1039"/>
      <c r="EJ30" s="1039"/>
      <c r="EK30" s="1039"/>
      <c r="EL30" s="1039"/>
      <c r="EM30" s="1039"/>
      <c r="EN30" s="1039"/>
      <c r="EO30" s="1039"/>
      <c r="EP30" s="1040"/>
      <c r="EQ30" s="1010" t="s">
        <v>36</v>
      </c>
      <c r="ER30" s="1011"/>
      <c r="ES30" s="1012"/>
    </row>
    <row r="31" spans="1:222" ht="60" customHeight="1" x14ac:dyDescent="0.2">
      <c r="A31" s="1027"/>
      <c r="B31" s="1030"/>
      <c r="C31" s="1033"/>
      <c r="D31" s="1033"/>
      <c r="E31" s="1033"/>
      <c r="F31" s="1033"/>
      <c r="G31" s="1033"/>
      <c r="H31" s="1033"/>
      <c r="I31" s="1033"/>
      <c r="J31" s="1033"/>
      <c r="K31" s="1033"/>
      <c r="L31" s="1033"/>
      <c r="M31" s="1033"/>
      <c r="N31" s="1033"/>
      <c r="O31" s="1033"/>
      <c r="P31" s="1033"/>
      <c r="Q31" s="1033"/>
      <c r="R31" s="1033"/>
      <c r="S31" s="1033"/>
      <c r="T31" s="1033"/>
      <c r="U31" s="1033"/>
      <c r="V31" s="1033"/>
      <c r="W31" s="1033"/>
      <c r="X31" s="1033"/>
      <c r="Y31" s="1033"/>
      <c r="Z31" s="1015" t="s">
        <v>65</v>
      </c>
      <c r="AA31" s="1016"/>
      <c r="AB31" s="1016"/>
      <c r="AC31" s="1016"/>
      <c r="AD31" s="1016"/>
      <c r="AE31" s="1016"/>
      <c r="AF31" s="1017"/>
      <c r="AG31" s="1015" t="s">
        <v>66</v>
      </c>
      <c r="AH31" s="1016"/>
      <c r="AI31" s="1016"/>
      <c r="AJ31" s="1016"/>
      <c r="AK31" s="1016"/>
      <c r="AL31" s="1016"/>
      <c r="AM31" s="1016"/>
      <c r="AN31" s="1016"/>
      <c r="AO31" s="1016"/>
      <c r="AP31" s="1016"/>
      <c r="AQ31" s="1016"/>
      <c r="AR31" s="1016"/>
      <c r="AS31" s="1016"/>
      <c r="AT31" s="1016"/>
      <c r="AU31" s="1016"/>
      <c r="AV31" s="1016"/>
      <c r="AW31" s="1016"/>
      <c r="AX31" s="1016"/>
      <c r="AY31" s="1016"/>
      <c r="AZ31" s="1016"/>
      <c r="BA31" s="1016"/>
      <c r="BB31" s="1016"/>
      <c r="BC31" s="1016"/>
      <c r="BD31" s="1016"/>
      <c r="BE31" s="1016"/>
      <c r="BF31" s="1016"/>
      <c r="BG31" s="1016"/>
      <c r="BH31" s="1016"/>
      <c r="BI31" s="1016"/>
      <c r="BJ31" s="1016"/>
      <c r="BK31" s="1024" t="s">
        <v>26</v>
      </c>
      <c r="BL31" s="1024"/>
      <c r="BM31" s="1024"/>
      <c r="BN31" s="1025"/>
      <c r="BO31" s="958" t="s">
        <v>27</v>
      </c>
      <c r="BP31" s="879"/>
      <c r="BQ31" s="879"/>
      <c r="BR31" s="879"/>
      <c r="BS31" s="879"/>
      <c r="BT31" s="879"/>
      <c r="BU31" s="879"/>
      <c r="BV31" s="879"/>
      <c r="BW31" s="879" t="s">
        <v>28</v>
      </c>
      <c r="BX31" s="879"/>
      <c r="BY31" s="879"/>
      <c r="BZ31" s="879"/>
      <c r="CA31" s="879"/>
      <c r="CB31" s="879"/>
      <c r="CC31" s="879"/>
      <c r="CD31" s="879"/>
      <c r="CE31" s="879" t="s">
        <v>29</v>
      </c>
      <c r="CF31" s="879"/>
      <c r="CG31" s="879"/>
      <c r="CH31" s="879"/>
      <c r="CI31" s="879"/>
      <c r="CJ31" s="879"/>
      <c r="CK31" s="879"/>
      <c r="CL31" s="879"/>
      <c r="CM31" s="879" t="s">
        <v>72</v>
      </c>
      <c r="CN31" s="879"/>
      <c r="CO31" s="879"/>
      <c r="CP31" s="879"/>
      <c r="CQ31" s="879"/>
      <c r="CR31" s="879"/>
      <c r="CS31" s="879"/>
      <c r="CT31" s="879"/>
      <c r="CU31" s="879" t="s">
        <v>118</v>
      </c>
      <c r="CV31" s="879"/>
      <c r="CW31" s="879"/>
      <c r="CX31" s="879"/>
      <c r="CY31" s="879"/>
      <c r="CZ31" s="879"/>
      <c r="DA31" s="879"/>
      <c r="DB31" s="956"/>
      <c r="DC31" s="958" t="s">
        <v>27</v>
      </c>
      <c r="DD31" s="879"/>
      <c r="DE31" s="879"/>
      <c r="DF31" s="879"/>
      <c r="DG31" s="879"/>
      <c r="DH31" s="879"/>
      <c r="DI31" s="879"/>
      <c r="DJ31" s="879"/>
      <c r="DK31" s="879" t="s">
        <v>28</v>
      </c>
      <c r="DL31" s="879"/>
      <c r="DM31" s="879"/>
      <c r="DN31" s="879"/>
      <c r="DO31" s="879"/>
      <c r="DP31" s="879"/>
      <c r="DQ31" s="879"/>
      <c r="DR31" s="879"/>
      <c r="DS31" s="879" t="s">
        <v>29</v>
      </c>
      <c r="DT31" s="879"/>
      <c r="DU31" s="879"/>
      <c r="DV31" s="879"/>
      <c r="DW31" s="879"/>
      <c r="DX31" s="879"/>
      <c r="DY31" s="879"/>
      <c r="DZ31" s="879"/>
      <c r="EA31" s="879" t="s">
        <v>72</v>
      </c>
      <c r="EB31" s="879"/>
      <c r="EC31" s="879"/>
      <c r="ED31" s="879"/>
      <c r="EE31" s="879"/>
      <c r="EF31" s="879"/>
      <c r="EG31" s="879"/>
      <c r="EH31" s="879"/>
      <c r="EI31" s="879" t="s">
        <v>118</v>
      </c>
      <c r="EJ31" s="879"/>
      <c r="EK31" s="879"/>
      <c r="EL31" s="879"/>
      <c r="EM31" s="879"/>
      <c r="EN31" s="879"/>
      <c r="EO31" s="879"/>
      <c r="EP31" s="956"/>
      <c r="EQ31" s="1013"/>
      <c r="ER31" s="1009"/>
      <c r="ES31" s="1014"/>
    </row>
    <row r="32" spans="1:222" ht="60" customHeight="1" x14ac:dyDescent="0.2">
      <c r="A32" s="1027"/>
      <c r="B32" s="1030"/>
      <c r="C32" s="1033"/>
      <c r="D32" s="1033"/>
      <c r="E32" s="1033"/>
      <c r="F32" s="1033"/>
      <c r="G32" s="1033"/>
      <c r="H32" s="1033"/>
      <c r="I32" s="1033"/>
      <c r="J32" s="1033"/>
      <c r="K32" s="1033"/>
      <c r="L32" s="1033"/>
      <c r="M32" s="1033"/>
      <c r="N32" s="1033"/>
      <c r="O32" s="1033"/>
      <c r="P32" s="1033"/>
      <c r="Q32" s="1033"/>
      <c r="R32" s="1033"/>
      <c r="S32" s="1033"/>
      <c r="T32" s="1033"/>
      <c r="U32" s="1033"/>
      <c r="V32" s="1033"/>
      <c r="W32" s="1033"/>
      <c r="X32" s="1033"/>
      <c r="Y32" s="1033"/>
      <c r="Z32" s="1018"/>
      <c r="AA32" s="1019"/>
      <c r="AB32" s="1019"/>
      <c r="AC32" s="1019"/>
      <c r="AD32" s="1019"/>
      <c r="AE32" s="1019"/>
      <c r="AF32" s="1020"/>
      <c r="AG32" s="1008" t="s">
        <v>20</v>
      </c>
      <c r="AH32" s="1008"/>
      <c r="AI32" s="1008"/>
      <c r="AJ32" s="1008"/>
      <c r="AK32" s="1008"/>
      <c r="AL32" s="1008" t="s">
        <v>280</v>
      </c>
      <c r="AM32" s="1008"/>
      <c r="AN32" s="1008"/>
      <c r="AO32" s="1008"/>
      <c r="AP32" s="1008"/>
      <c r="AQ32" s="1009" t="s">
        <v>323</v>
      </c>
      <c r="AR32" s="1009"/>
      <c r="AS32" s="1009"/>
      <c r="AT32" s="1009"/>
      <c r="AU32" s="1009"/>
      <c r="AV32" s="1008" t="s">
        <v>69</v>
      </c>
      <c r="AW32" s="1008"/>
      <c r="AX32" s="1008"/>
      <c r="AY32" s="1008"/>
      <c r="AZ32" s="1008"/>
      <c r="BA32" s="1009" t="s">
        <v>70</v>
      </c>
      <c r="BB32" s="1009"/>
      <c r="BC32" s="1009"/>
      <c r="BD32" s="1009"/>
      <c r="BE32" s="1009"/>
      <c r="BF32" s="1008" t="s">
        <v>71</v>
      </c>
      <c r="BG32" s="1008"/>
      <c r="BH32" s="1008"/>
      <c r="BI32" s="1008"/>
      <c r="BJ32" s="1008"/>
      <c r="BK32" s="1024"/>
      <c r="BL32" s="1024"/>
      <c r="BM32" s="1024"/>
      <c r="BN32" s="1025"/>
      <c r="BO32" s="958" t="s">
        <v>33</v>
      </c>
      <c r="BP32" s="879"/>
      <c r="BQ32" s="879"/>
      <c r="BR32" s="879"/>
      <c r="BS32" s="879"/>
      <c r="BT32" s="879"/>
      <c r="BU32" s="879"/>
      <c r="BV32" s="879"/>
      <c r="BW32" s="879"/>
      <c r="BX32" s="879"/>
      <c r="BY32" s="879"/>
      <c r="BZ32" s="879"/>
      <c r="CA32" s="879"/>
      <c r="CB32" s="879"/>
      <c r="CC32" s="879"/>
      <c r="CD32" s="879"/>
      <c r="CE32" s="879"/>
      <c r="CF32" s="879"/>
      <c r="CG32" s="879"/>
      <c r="CH32" s="879"/>
      <c r="CI32" s="879"/>
      <c r="CJ32" s="879"/>
      <c r="CK32" s="879"/>
      <c r="CL32" s="879"/>
      <c r="CM32" s="879"/>
      <c r="CN32" s="879"/>
      <c r="CO32" s="879"/>
      <c r="CP32" s="879"/>
      <c r="CQ32" s="879"/>
      <c r="CR32" s="879"/>
      <c r="CS32" s="879"/>
      <c r="CT32" s="879"/>
      <c r="CU32" s="879"/>
      <c r="CV32" s="879"/>
      <c r="CW32" s="879"/>
      <c r="CX32" s="879"/>
      <c r="CY32" s="879"/>
      <c r="CZ32" s="879"/>
      <c r="DA32" s="879"/>
      <c r="DB32" s="956"/>
      <c r="DC32" s="958" t="s">
        <v>33</v>
      </c>
      <c r="DD32" s="879"/>
      <c r="DE32" s="879"/>
      <c r="DF32" s="879"/>
      <c r="DG32" s="879"/>
      <c r="DH32" s="879"/>
      <c r="DI32" s="879"/>
      <c r="DJ32" s="879"/>
      <c r="DK32" s="879"/>
      <c r="DL32" s="879"/>
      <c r="DM32" s="879"/>
      <c r="DN32" s="879"/>
      <c r="DO32" s="879"/>
      <c r="DP32" s="879"/>
      <c r="DQ32" s="879"/>
      <c r="DR32" s="879"/>
      <c r="DS32" s="879"/>
      <c r="DT32" s="879"/>
      <c r="DU32" s="879"/>
      <c r="DV32" s="879"/>
      <c r="DW32" s="879"/>
      <c r="DX32" s="879"/>
      <c r="DY32" s="879"/>
      <c r="DZ32" s="879"/>
      <c r="EA32" s="879"/>
      <c r="EB32" s="879"/>
      <c r="EC32" s="879"/>
      <c r="ED32" s="879"/>
      <c r="EE32" s="879"/>
      <c r="EF32" s="879"/>
      <c r="EG32" s="879"/>
      <c r="EH32" s="879"/>
      <c r="EI32" s="879"/>
      <c r="EJ32" s="879"/>
      <c r="EK32" s="879"/>
      <c r="EL32" s="879"/>
      <c r="EM32" s="879"/>
      <c r="EN32" s="879"/>
      <c r="EO32" s="879"/>
      <c r="EP32" s="956"/>
      <c r="EQ32" s="1013"/>
      <c r="ER32" s="1009"/>
      <c r="ES32" s="1014"/>
    </row>
    <row r="33" spans="1:155" ht="60" customHeight="1" x14ac:dyDescent="0.2">
      <c r="A33" s="1027"/>
      <c r="B33" s="1030"/>
      <c r="C33" s="1033"/>
      <c r="D33" s="1033"/>
      <c r="E33" s="1033"/>
      <c r="F33" s="1033"/>
      <c r="G33" s="1033"/>
      <c r="H33" s="1033"/>
      <c r="I33" s="1033"/>
      <c r="J33" s="1033"/>
      <c r="K33" s="1033"/>
      <c r="L33" s="1033"/>
      <c r="M33" s="1033"/>
      <c r="N33" s="1033"/>
      <c r="O33" s="1033"/>
      <c r="P33" s="1033"/>
      <c r="Q33" s="1033"/>
      <c r="R33" s="1033"/>
      <c r="S33" s="1033"/>
      <c r="T33" s="1033"/>
      <c r="U33" s="1033"/>
      <c r="V33" s="1033"/>
      <c r="W33" s="1033"/>
      <c r="X33" s="1033"/>
      <c r="Y33" s="1033"/>
      <c r="Z33" s="1018"/>
      <c r="AA33" s="1019"/>
      <c r="AB33" s="1019"/>
      <c r="AC33" s="1019"/>
      <c r="AD33" s="1019"/>
      <c r="AE33" s="1019"/>
      <c r="AF33" s="1020"/>
      <c r="AG33" s="1008"/>
      <c r="AH33" s="1008"/>
      <c r="AI33" s="1008"/>
      <c r="AJ33" s="1008"/>
      <c r="AK33" s="1008"/>
      <c r="AL33" s="1008"/>
      <c r="AM33" s="1008"/>
      <c r="AN33" s="1008"/>
      <c r="AO33" s="1008"/>
      <c r="AP33" s="1008"/>
      <c r="AQ33" s="1009"/>
      <c r="AR33" s="1009"/>
      <c r="AS33" s="1009"/>
      <c r="AT33" s="1009"/>
      <c r="AU33" s="1009"/>
      <c r="AV33" s="1008"/>
      <c r="AW33" s="1008"/>
      <c r="AX33" s="1008"/>
      <c r="AY33" s="1008"/>
      <c r="AZ33" s="1008"/>
      <c r="BA33" s="1009"/>
      <c r="BB33" s="1009"/>
      <c r="BC33" s="1009"/>
      <c r="BD33" s="1009"/>
      <c r="BE33" s="1009"/>
      <c r="BF33" s="1008"/>
      <c r="BG33" s="1008"/>
      <c r="BH33" s="1008"/>
      <c r="BI33" s="1008"/>
      <c r="BJ33" s="1008"/>
      <c r="BK33" s="1024"/>
      <c r="BL33" s="1024"/>
      <c r="BM33" s="1024"/>
      <c r="BN33" s="1025"/>
      <c r="BO33" s="958">
        <v>1</v>
      </c>
      <c r="BP33" s="879"/>
      <c r="BQ33" s="879"/>
      <c r="BR33" s="879"/>
      <c r="BS33" s="879">
        <v>2</v>
      </c>
      <c r="BT33" s="879"/>
      <c r="BU33" s="879"/>
      <c r="BV33" s="879"/>
      <c r="BW33" s="879">
        <v>3</v>
      </c>
      <c r="BX33" s="879"/>
      <c r="BY33" s="879"/>
      <c r="BZ33" s="879"/>
      <c r="CA33" s="879">
        <v>4</v>
      </c>
      <c r="CB33" s="879"/>
      <c r="CC33" s="879"/>
      <c r="CD33" s="879"/>
      <c r="CE33" s="879">
        <v>5</v>
      </c>
      <c r="CF33" s="879"/>
      <c r="CG33" s="879"/>
      <c r="CH33" s="879"/>
      <c r="CI33" s="879">
        <v>6</v>
      </c>
      <c r="CJ33" s="879"/>
      <c r="CK33" s="879"/>
      <c r="CL33" s="879"/>
      <c r="CM33" s="879">
        <v>7</v>
      </c>
      <c r="CN33" s="879"/>
      <c r="CO33" s="879"/>
      <c r="CP33" s="879"/>
      <c r="CQ33" s="879">
        <v>8</v>
      </c>
      <c r="CR33" s="879"/>
      <c r="CS33" s="879"/>
      <c r="CT33" s="879"/>
      <c r="CU33" s="879">
        <v>9</v>
      </c>
      <c r="CV33" s="879"/>
      <c r="CW33" s="879"/>
      <c r="CX33" s="879"/>
      <c r="CY33" s="879">
        <v>10</v>
      </c>
      <c r="CZ33" s="879"/>
      <c r="DA33" s="879"/>
      <c r="DB33" s="956"/>
      <c r="DC33" s="958">
        <v>1</v>
      </c>
      <c r="DD33" s="879"/>
      <c r="DE33" s="879"/>
      <c r="DF33" s="879"/>
      <c r="DG33" s="879">
        <v>2</v>
      </c>
      <c r="DH33" s="879"/>
      <c r="DI33" s="879"/>
      <c r="DJ33" s="879"/>
      <c r="DK33" s="879">
        <v>3</v>
      </c>
      <c r="DL33" s="879"/>
      <c r="DM33" s="879"/>
      <c r="DN33" s="879"/>
      <c r="DO33" s="879">
        <v>4</v>
      </c>
      <c r="DP33" s="879"/>
      <c r="DQ33" s="879"/>
      <c r="DR33" s="879"/>
      <c r="DS33" s="879">
        <v>5</v>
      </c>
      <c r="DT33" s="879"/>
      <c r="DU33" s="879"/>
      <c r="DV33" s="879"/>
      <c r="DW33" s="879">
        <v>6</v>
      </c>
      <c r="DX33" s="879"/>
      <c r="DY33" s="879"/>
      <c r="DZ33" s="879"/>
      <c r="EA33" s="879">
        <v>7</v>
      </c>
      <c r="EB33" s="879"/>
      <c r="EC33" s="879"/>
      <c r="ED33" s="879"/>
      <c r="EE33" s="879">
        <v>8</v>
      </c>
      <c r="EF33" s="879"/>
      <c r="EG33" s="879"/>
      <c r="EH33" s="879"/>
      <c r="EI33" s="879">
        <v>9</v>
      </c>
      <c r="EJ33" s="879"/>
      <c r="EK33" s="879"/>
      <c r="EL33" s="879"/>
      <c r="EM33" s="879">
        <v>10</v>
      </c>
      <c r="EN33" s="879"/>
      <c r="EO33" s="879"/>
      <c r="EP33" s="956"/>
      <c r="EQ33" s="1013"/>
      <c r="ER33" s="1009"/>
      <c r="ES33" s="1014"/>
    </row>
    <row r="34" spans="1:155" ht="60" customHeight="1" x14ac:dyDescent="0.2">
      <c r="A34" s="1027"/>
      <c r="B34" s="1030"/>
      <c r="C34" s="1033"/>
      <c r="D34" s="1033"/>
      <c r="E34" s="1033"/>
      <c r="F34" s="1033"/>
      <c r="G34" s="1033"/>
      <c r="H34" s="1033"/>
      <c r="I34" s="1033"/>
      <c r="J34" s="1033"/>
      <c r="K34" s="1033"/>
      <c r="L34" s="1033"/>
      <c r="M34" s="1033"/>
      <c r="N34" s="1033"/>
      <c r="O34" s="1033"/>
      <c r="P34" s="1033"/>
      <c r="Q34" s="1033"/>
      <c r="R34" s="1033"/>
      <c r="S34" s="1033"/>
      <c r="T34" s="1033"/>
      <c r="U34" s="1033"/>
      <c r="V34" s="1033"/>
      <c r="W34" s="1033"/>
      <c r="X34" s="1033"/>
      <c r="Y34" s="1033"/>
      <c r="Z34" s="1018"/>
      <c r="AA34" s="1019"/>
      <c r="AB34" s="1019"/>
      <c r="AC34" s="1019"/>
      <c r="AD34" s="1019"/>
      <c r="AE34" s="1019"/>
      <c r="AF34" s="1020"/>
      <c r="AG34" s="1008"/>
      <c r="AH34" s="1008"/>
      <c r="AI34" s="1008"/>
      <c r="AJ34" s="1008"/>
      <c r="AK34" s="1008"/>
      <c r="AL34" s="1008"/>
      <c r="AM34" s="1008"/>
      <c r="AN34" s="1008"/>
      <c r="AO34" s="1008"/>
      <c r="AP34" s="1008"/>
      <c r="AQ34" s="1009"/>
      <c r="AR34" s="1009"/>
      <c r="AS34" s="1009"/>
      <c r="AT34" s="1009"/>
      <c r="AU34" s="1009"/>
      <c r="AV34" s="1008"/>
      <c r="AW34" s="1008"/>
      <c r="AX34" s="1008"/>
      <c r="AY34" s="1008"/>
      <c r="AZ34" s="1008"/>
      <c r="BA34" s="1009"/>
      <c r="BB34" s="1009"/>
      <c r="BC34" s="1009"/>
      <c r="BD34" s="1009"/>
      <c r="BE34" s="1009"/>
      <c r="BF34" s="1008"/>
      <c r="BG34" s="1008"/>
      <c r="BH34" s="1008"/>
      <c r="BI34" s="1008"/>
      <c r="BJ34" s="1008"/>
      <c r="BK34" s="1024"/>
      <c r="BL34" s="1024"/>
      <c r="BM34" s="1024"/>
      <c r="BN34" s="1025"/>
      <c r="BO34" s="958" t="s">
        <v>258</v>
      </c>
      <c r="BP34" s="879"/>
      <c r="BQ34" s="879"/>
      <c r="BR34" s="879"/>
      <c r="BS34" s="879"/>
      <c r="BT34" s="879"/>
      <c r="BU34" s="879"/>
      <c r="BV34" s="879"/>
      <c r="BW34" s="879"/>
      <c r="BX34" s="879"/>
      <c r="BY34" s="879"/>
      <c r="BZ34" s="879"/>
      <c r="CA34" s="879"/>
      <c r="CB34" s="879"/>
      <c r="CC34" s="879"/>
      <c r="CD34" s="879"/>
      <c r="CE34" s="879"/>
      <c r="CF34" s="879"/>
      <c r="CG34" s="879"/>
      <c r="CH34" s="879"/>
      <c r="CI34" s="879"/>
      <c r="CJ34" s="879"/>
      <c r="CK34" s="879"/>
      <c r="CL34" s="879"/>
      <c r="CM34" s="879"/>
      <c r="CN34" s="879"/>
      <c r="CO34" s="879"/>
      <c r="CP34" s="879"/>
      <c r="CQ34" s="879"/>
      <c r="CR34" s="879"/>
      <c r="CS34" s="879"/>
      <c r="CT34" s="879"/>
      <c r="CU34" s="879"/>
      <c r="CV34" s="879"/>
      <c r="CW34" s="879"/>
      <c r="CX34" s="879"/>
      <c r="CY34" s="879"/>
      <c r="CZ34" s="879"/>
      <c r="DA34" s="879"/>
      <c r="DB34" s="956"/>
      <c r="DC34" s="958" t="s">
        <v>35</v>
      </c>
      <c r="DD34" s="879"/>
      <c r="DE34" s="879"/>
      <c r="DF34" s="879"/>
      <c r="DG34" s="879"/>
      <c r="DH34" s="879"/>
      <c r="DI34" s="879"/>
      <c r="DJ34" s="879"/>
      <c r="DK34" s="879"/>
      <c r="DL34" s="879"/>
      <c r="DM34" s="879"/>
      <c r="DN34" s="879"/>
      <c r="DO34" s="879"/>
      <c r="DP34" s="879"/>
      <c r="DQ34" s="879"/>
      <c r="DR34" s="879"/>
      <c r="DS34" s="879"/>
      <c r="DT34" s="879"/>
      <c r="DU34" s="879"/>
      <c r="DV34" s="879"/>
      <c r="DW34" s="879"/>
      <c r="DX34" s="879"/>
      <c r="DY34" s="879"/>
      <c r="DZ34" s="879"/>
      <c r="EA34" s="879"/>
      <c r="EB34" s="879"/>
      <c r="EC34" s="879"/>
      <c r="ED34" s="879"/>
      <c r="EE34" s="879"/>
      <c r="EF34" s="879"/>
      <c r="EG34" s="879"/>
      <c r="EH34" s="879"/>
      <c r="EI34" s="879"/>
      <c r="EJ34" s="879"/>
      <c r="EK34" s="879"/>
      <c r="EL34" s="879"/>
      <c r="EM34" s="879"/>
      <c r="EN34" s="879"/>
      <c r="EO34" s="879"/>
      <c r="EP34" s="956"/>
      <c r="EQ34" s="1013"/>
      <c r="ER34" s="1009"/>
      <c r="ES34" s="1014"/>
    </row>
    <row r="35" spans="1:155" ht="60" customHeight="1" x14ac:dyDescent="0.2">
      <c r="A35" s="1028"/>
      <c r="B35" s="1031"/>
      <c r="C35" s="1033"/>
      <c r="D35" s="1033"/>
      <c r="E35" s="1033"/>
      <c r="F35" s="1033"/>
      <c r="G35" s="1033"/>
      <c r="H35" s="1033"/>
      <c r="I35" s="1033"/>
      <c r="J35" s="1033"/>
      <c r="K35" s="1033"/>
      <c r="L35" s="1033"/>
      <c r="M35" s="1033"/>
      <c r="N35" s="1033"/>
      <c r="O35" s="1033"/>
      <c r="P35" s="1033"/>
      <c r="Q35" s="1033"/>
      <c r="R35" s="1033"/>
      <c r="S35" s="1033"/>
      <c r="T35" s="1033"/>
      <c r="U35" s="1033"/>
      <c r="V35" s="1033"/>
      <c r="W35" s="1033"/>
      <c r="X35" s="1033"/>
      <c r="Y35" s="1033"/>
      <c r="Z35" s="1021"/>
      <c r="AA35" s="1022"/>
      <c r="AB35" s="1022"/>
      <c r="AC35" s="1022"/>
      <c r="AD35" s="1022"/>
      <c r="AE35" s="1022"/>
      <c r="AF35" s="1023"/>
      <c r="AG35" s="1008"/>
      <c r="AH35" s="1008"/>
      <c r="AI35" s="1008"/>
      <c r="AJ35" s="1008"/>
      <c r="AK35" s="1008"/>
      <c r="AL35" s="1008"/>
      <c r="AM35" s="1008"/>
      <c r="AN35" s="1008"/>
      <c r="AO35" s="1008"/>
      <c r="AP35" s="1008"/>
      <c r="AQ35" s="1009"/>
      <c r="AR35" s="1009"/>
      <c r="AS35" s="1009"/>
      <c r="AT35" s="1009"/>
      <c r="AU35" s="1009"/>
      <c r="AV35" s="1008"/>
      <c r="AW35" s="1008"/>
      <c r="AX35" s="1008"/>
      <c r="AY35" s="1008"/>
      <c r="AZ35" s="1008"/>
      <c r="BA35" s="1009"/>
      <c r="BB35" s="1009"/>
      <c r="BC35" s="1009"/>
      <c r="BD35" s="1009"/>
      <c r="BE35" s="1009"/>
      <c r="BF35" s="1008"/>
      <c r="BG35" s="1008"/>
      <c r="BH35" s="1008"/>
      <c r="BI35" s="1008"/>
      <c r="BJ35" s="1008"/>
      <c r="BK35" s="1024"/>
      <c r="BL35" s="1024"/>
      <c r="BM35" s="1024"/>
      <c r="BN35" s="1025"/>
      <c r="BO35" s="1007">
        <v>4</v>
      </c>
      <c r="BP35" s="962"/>
      <c r="BQ35" s="962"/>
      <c r="BR35" s="962"/>
      <c r="BS35" s="991">
        <v>3</v>
      </c>
      <c r="BT35" s="962"/>
      <c r="BU35" s="962"/>
      <c r="BV35" s="962"/>
      <c r="BW35" s="991">
        <v>3</v>
      </c>
      <c r="BX35" s="962"/>
      <c r="BY35" s="962"/>
      <c r="BZ35" s="962"/>
      <c r="CA35" s="991">
        <v>3</v>
      </c>
      <c r="CB35" s="962"/>
      <c r="CC35" s="962"/>
      <c r="CD35" s="962"/>
      <c r="CE35" s="991">
        <v>3</v>
      </c>
      <c r="CF35" s="962"/>
      <c r="CG35" s="962"/>
      <c r="CH35" s="962"/>
      <c r="CI35" s="991">
        <v>3</v>
      </c>
      <c r="CJ35" s="962"/>
      <c r="CK35" s="962"/>
      <c r="CL35" s="962"/>
      <c r="CM35" s="991">
        <v>3</v>
      </c>
      <c r="CN35" s="962"/>
      <c r="CO35" s="962"/>
      <c r="CP35" s="962"/>
      <c r="CQ35" s="991">
        <v>3</v>
      </c>
      <c r="CR35" s="962"/>
      <c r="CS35" s="962"/>
      <c r="CT35" s="962"/>
      <c r="CU35" s="991">
        <v>3</v>
      </c>
      <c r="CV35" s="962"/>
      <c r="CW35" s="962"/>
      <c r="CX35" s="962"/>
      <c r="CY35" s="879">
        <v>3</v>
      </c>
      <c r="CZ35" s="879"/>
      <c r="DA35" s="879"/>
      <c r="DB35" s="956"/>
      <c r="DC35" s="1007">
        <f>DC96</f>
        <v>26</v>
      </c>
      <c r="DD35" s="962"/>
      <c r="DE35" s="962"/>
      <c r="DF35" s="962"/>
      <c r="DG35" s="990">
        <f>DG96</f>
        <v>24</v>
      </c>
      <c r="DH35" s="962"/>
      <c r="DI35" s="962"/>
      <c r="DJ35" s="962"/>
      <c r="DK35" s="990">
        <f>DK96</f>
        <v>26</v>
      </c>
      <c r="DL35" s="962"/>
      <c r="DM35" s="962"/>
      <c r="DN35" s="962"/>
      <c r="DO35" s="990">
        <f>DO96</f>
        <v>27</v>
      </c>
      <c r="DP35" s="962"/>
      <c r="DQ35" s="962"/>
      <c r="DR35" s="962"/>
      <c r="DS35" s="990">
        <f>DS96</f>
        <v>27</v>
      </c>
      <c r="DT35" s="962"/>
      <c r="DU35" s="962"/>
      <c r="DV35" s="962"/>
      <c r="DW35" s="990">
        <f>DW96</f>
        <v>24</v>
      </c>
      <c r="DX35" s="962"/>
      <c r="DY35" s="962"/>
      <c r="DZ35" s="962"/>
      <c r="EA35" s="990">
        <f>EA96</f>
        <v>21</v>
      </c>
      <c r="EB35" s="962"/>
      <c r="EC35" s="962"/>
      <c r="ED35" s="962"/>
      <c r="EE35" s="990">
        <f>EE96</f>
        <v>22</v>
      </c>
      <c r="EF35" s="962"/>
      <c r="EG35" s="962"/>
      <c r="EH35" s="962"/>
      <c r="EI35" s="990">
        <f>EI96</f>
        <v>23</v>
      </c>
      <c r="EJ35" s="962"/>
      <c r="EK35" s="962"/>
      <c r="EL35" s="962"/>
      <c r="EM35" s="990">
        <f>EM96</f>
        <v>20</v>
      </c>
      <c r="EN35" s="962"/>
      <c r="EO35" s="962"/>
      <c r="EP35" s="992"/>
      <c r="EQ35" s="990"/>
      <c r="ER35" s="991"/>
      <c r="ES35" s="992"/>
    </row>
    <row r="36" spans="1:155" ht="60" customHeight="1" x14ac:dyDescent="0.2">
      <c r="A36" s="154">
        <v>1</v>
      </c>
      <c r="B36" s="132"/>
      <c r="C36" s="1003">
        <v>2</v>
      </c>
      <c r="D36" s="1004"/>
      <c r="E36" s="1004"/>
      <c r="F36" s="1004"/>
      <c r="G36" s="1004"/>
      <c r="H36" s="1004"/>
      <c r="I36" s="1004"/>
      <c r="J36" s="1004"/>
      <c r="K36" s="1004"/>
      <c r="L36" s="1004"/>
      <c r="M36" s="1004"/>
      <c r="N36" s="1004"/>
      <c r="O36" s="1004"/>
      <c r="P36" s="1004"/>
      <c r="Q36" s="1004"/>
      <c r="R36" s="1004"/>
      <c r="S36" s="1004"/>
      <c r="T36" s="1004"/>
      <c r="U36" s="1004"/>
      <c r="V36" s="1004"/>
      <c r="W36" s="1004"/>
      <c r="X36" s="1004"/>
      <c r="Y36" s="1005"/>
      <c r="Z36" s="1006">
        <v>3</v>
      </c>
      <c r="AA36" s="1006"/>
      <c r="AB36" s="1006"/>
      <c r="AC36" s="1006"/>
      <c r="AD36" s="1000">
        <v>4</v>
      </c>
      <c r="AE36" s="1001"/>
      <c r="AF36" s="1002"/>
      <c r="AG36" s="1000">
        <v>5</v>
      </c>
      <c r="AH36" s="1001"/>
      <c r="AI36" s="1001"/>
      <c r="AJ36" s="1001"/>
      <c r="AK36" s="1002"/>
      <c r="AL36" s="1000">
        <v>6</v>
      </c>
      <c r="AM36" s="1001"/>
      <c r="AN36" s="1001"/>
      <c r="AO36" s="1001"/>
      <c r="AP36" s="1002"/>
      <c r="AQ36" s="1000">
        <v>7</v>
      </c>
      <c r="AR36" s="1001"/>
      <c r="AS36" s="1001"/>
      <c r="AT36" s="1001"/>
      <c r="AU36" s="1002"/>
      <c r="AV36" s="1000">
        <v>8</v>
      </c>
      <c r="AW36" s="1001"/>
      <c r="AX36" s="1001"/>
      <c r="AY36" s="1001"/>
      <c r="AZ36" s="1002"/>
      <c r="BA36" s="1000">
        <v>9</v>
      </c>
      <c r="BB36" s="1001"/>
      <c r="BC36" s="1001"/>
      <c r="BD36" s="1001"/>
      <c r="BE36" s="1002"/>
      <c r="BF36" s="1000">
        <v>10</v>
      </c>
      <c r="BG36" s="1001"/>
      <c r="BH36" s="1001"/>
      <c r="BI36" s="1001"/>
      <c r="BJ36" s="1002"/>
      <c r="BK36" s="996">
        <v>11</v>
      </c>
      <c r="BL36" s="997"/>
      <c r="BM36" s="997"/>
      <c r="BN36" s="998"/>
      <c r="BO36" s="999">
        <v>12</v>
      </c>
      <c r="BP36" s="997"/>
      <c r="BQ36" s="997"/>
      <c r="BR36" s="997"/>
      <c r="BS36" s="996">
        <v>13</v>
      </c>
      <c r="BT36" s="997"/>
      <c r="BU36" s="997"/>
      <c r="BV36" s="997"/>
      <c r="BW36" s="996">
        <v>14</v>
      </c>
      <c r="BX36" s="997"/>
      <c r="BY36" s="997"/>
      <c r="BZ36" s="997"/>
      <c r="CA36" s="996">
        <v>15</v>
      </c>
      <c r="CB36" s="997"/>
      <c r="CC36" s="997"/>
      <c r="CD36" s="997"/>
      <c r="CE36" s="996">
        <v>16</v>
      </c>
      <c r="CF36" s="997"/>
      <c r="CG36" s="997"/>
      <c r="CH36" s="997"/>
      <c r="CI36" s="996">
        <v>17</v>
      </c>
      <c r="CJ36" s="997"/>
      <c r="CK36" s="997"/>
      <c r="CL36" s="997"/>
      <c r="CM36" s="996">
        <v>18</v>
      </c>
      <c r="CN36" s="997"/>
      <c r="CO36" s="997"/>
      <c r="CP36" s="997"/>
      <c r="CQ36" s="996">
        <v>19</v>
      </c>
      <c r="CR36" s="997"/>
      <c r="CS36" s="997"/>
      <c r="CT36" s="997"/>
      <c r="CU36" s="996">
        <v>20</v>
      </c>
      <c r="CV36" s="997"/>
      <c r="CW36" s="997"/>
      <c r="CX36" s="997"/>
      <c r="CY36" s="996">
        <v>21</v>
      </c>
      <c r="CZ36" s="997"/>
      <c r="DA36" s="997"/>
      <c r="DB36" s="998"/>
      <c r="DC36" s="999">
        <v>22</v>
      </c>
      <c r="DD36" s="997"/>
      <c r="DE36" s="997"/>
      <c r="DF36" s="997"/>
      <c r="DG36" s="996">
        <v>23</v>
      </c>
      <c r="DH36" s="997"/>
      <c r="DI36" s="997"/>
      <c r="DJ36" s="997"/>
      <c r="DK36" s="996">
        <v>24</v>
      </c>
      <c r="DL36" s="997"/>
      <c r="DM36" s="997"/>
      <c r="DN36" s="997"/>
      <c r="DO36" s="996">
        <v>25</v>
      </c>
      <c r="DP36" s="997"/>
      <c r="DQ36" s="997"/>
      <c r="DR36" s="997"/>
      <c r="DS36" s="996">
        <v>26</v>
      </c>
      <c r="DT36" s="997"/>
      <c r="DU36" s="997"/>
      <c r="DV36" s="997"/>
      <c r="DW36" s="996">
        <v>27</v>
      </c>
      <c r="DX36" s="997"/>
      <c r="DY36" s="997"/>
      <c r="DZ36" s="997"/>
      <c r="EA36" s="996">
        <v>28</v>
      </c>
      <c r="EB36" s="997"/>
      <c r="EC36" s="997"/>
      <c r="ED36" s="997"/>
      <c r="EE36" s="996">
        <v>29</v>
      </c>
      <c r="EF36" s="997"/>
      <c r="EG36" s="997"/>
      <c r="EH36" s="997"/>
      <c r="EI36" s="996">
        <v>30</v>
      </c>
      <c r="EJ36" s="997"/>
      <c r="EK36" s="997"/>
      <c r="EL36" s="997"/>
      <c r="EM36" s="996">
        <v>31</v>
      </c>
      <c r="EN36" s="997"/>
      <c r="EO36" s="997"/>
      <c r="EP36" s="998"/>
      <c r="EQ36" s="993">
        <v>32</v>
      </c>
      <c r="ER36" s="994"/>
      <c r="ES36" s="995"/>
    </row>
    <row r="37" spans="1:155" ht="69.95" customHeight="1" x14ac:dyDescent="0.65">
      <c r="A37" s="155" t="s">
        <v>79</v>
      </c>
      <c r="B37" s="131"/>
      <c r="C37" s="510" t="s">
        <v>37</v>
      </c>
      <c r="D37" s="510"/>
      <c r="E37" s="510"/>
      <c r="F37" s="510"/>
      <c r="G37" s="510"/>
      <c r="H37" s="510"/>
      <c r="I37" s="510"/>
      <c r="J37" s="510"/>
      <c r="K37" s="510"/>
      <c r="L37" s="510"/>
      <c r="M37" s="510"/>
      <c r="N37" s="510"/>
      <c r="O37" s="510"/>
      <c r="P37" s="510"/>
      <c r="Q37" s="510"/>
      <c r="R37" s="510"/>
      <c r="S37" s="510"/>
      <c r="T37" s="510"/>
      <c r="U37" s="510"/>
      <c r="V37" s="510"/>
      <c r="W37" s="510"/>
      <c r="X37" s="510"/>
      <c r="Y37" s="510"/>
      <c r="Z37" s="957">
        <f>SUM(Z38:AC62)</f>
        <v>4320</v>
      </c>
      <c r="AA37" s="957"/>
      <c r="AB37" s="957"/>
      <c r="AC37" s="957"/>
      <c r="AD37" s="957">
        <f>Z37/$Z$96*100</f>
        <v>60</v>
      </c>
      <c r="AE37" s="957"/>
      <c r="AF37" s="957"/>
      <c r="AG37" s="969">
        <f>SUM(AG38:AK62)</f>
        <v>661</v>
      </c>
      <c r="AH37" s="970"/>
      <c r="AI37" s="970"/>
      <c r="AJ37" s="970"/>
      <c r="AK37" s="971"/>
      <c r="AL37" s="969">
        <f>SUM(AL38:AP62)</f>
        <v>260</v>
      </c>
      <c r="AM37" s="970"/>
      <c r="AN37" s="970"/>
      <c r="AO37" s="970"/>
      <c r="AP37" s="971"/>
      <c r="AQ37" s="969">
        <f>SUM(AQ38:AU62)</f>
        <v>401</v>
      </c>
      <c r="AR37" s="970"/>
      <c r="AS37" s="970"/>
      <c r="AT37" s="970"/>
      <c r="AU37" s="971"/>
      <c r="AV37" s="969">
        <f>SUM(AV38:AZ62)</f>
        <v>0</v>
      </c>
      <c r="AW37" s="970"/>
      <c r="AX37" s="970"/>
      <c r="AY37" s="970"/>
      <c r="AZ37" s="971"/>
      <c r="BA37" s="969">
        <f>SUM(BA38:BE62)</f>
        <v>0</v>
      </c>
      <c r="BB37" s="970"/>
      <c r="BC37" s="970"/>
      <c r="BD37" s="970"/>
      <c r="BE37" s="971"/>
      <c r="BF37" s="969">
        <f>SUM(BF38:BJ62)</f>
        <v>0</v>
      </c>
      <c r="BG37" s="970"/>
      <c r="BH37" s="970"/>
      <c r="BI37" s="970"/>
      <c r="BJ37" s="971"/>
      <c r="BK37" s="957">
        <f>SUM(BK38:BN62)</f>
        <v>3659</v>
      </c>
      <c r="BL37" s="957"/>
      <c r="BM37" s="957"/>
      <c r="BN37" s="972"/>
      <c r="BO37" s="900">
        <f>SUM(BO38:BR62)</f>
        <v>28</v>
      </c>
      <c r="BP37" s="875"/>
      <c r="BQ37" s="875"/>
      <c r="BR37" s="875"/>
      <c r="BS37" s="875">
        <f>SUM(BS38:BV62)</f>
        <v>18</v>
      </c>
      <c r="BT37" s="875"/>
      <c r="BU37" s="875"/>
      <c r="BV37" s="875"/>
      <c r="BW37" s="875">
        <f>SUM(BW38:BZ62)</f>
        <v>16</v>
      </c>
      <c r="BX37" s="875"/>
      <c r="BY37" s="875"/>
      <c r="BZ37" s="875"/>
      <c r="CA37" s="875">
        <f>SUM(CA38:CD62)</f>
        <v>16</v>
      </c>
      <c r="CB37" s="875"/>
      <c r="CC37" s="875"/>
      <c r="CD37" s="875"/>
      <c r="CE37" s="875">
        <f>SUM(CE38:CH62)</f>
        <v>16</v>
      </c>
      <c r="CF37" s="875"/>
      <c r="CG37" s="875"/>
      <c r="CH37" s="875"/>
      <c r="CI37" s="875">
        <f>SUM(CI38:CL62)</f>
        <v>5</v>
      </c>
      <c r="CJ37" s="875"/>
      <c r="CK37" s="875"/>
      <c r="CL37" s="875"/>
      <c r="CM37" s="875">
        <f>SUM(CM38:CP62)</f>
        <v>26</v>
      </c>
      <c r="CN37" s="875"/>
      <c r="CO37" s="875"/>
      <c r="CP37" s="875"/>
      <c r="CQ37" s="875">
        <f>SUM(CQ38:CT62)</f>
        <v>20</v>
      </c>
      <c r="CR37" s="875"/>
      <c r="CS37" s="875"/>
      <c r="CT37" s="875"/>
      <c r="CU37" s="875">
        <f>SUM(CU38:CX62)</f>
        <v>19</v>
      </c>
      <c r="CV37" s="875"/>
      <c r="CW37" s="875"/>
      <c r="CX37" s="875"/>
      <c r="CY37" s="875">
        <f>SUM(CY38:DB62)</f>
        <v>12</v>
      </c>
      <c r="CZ37" s="875"/>
      <c r="DA37" s="875"/>
      <c r="DB37" s="928"/>
      <c r="DC37" s="900">
        <f>SUM(DC38:DF62)</f>
        <v>20</v>
      </c>
      <c r="DD37" s="875"/>
      <c r="DE37" s="875"/>
      <c r="DF37" s="875"/>
      <c r="DG37" s="875">
        <f>SUM(DG38:DJ62)</f>
        <v>14</v>
      </c>
      <c r="DH37" s="875"/>
      <c r="DI37" s="875"/>
      <c r="DJ37" s="875"/>
      <c r="DK37" s="875">
        <f>SUM(DK38:DN62)</f>
        <v>13</v>
      </c>
      <c r="DL37" s="875"/>
      <c r="DM37" s="875"/>
      <c r="DN37" s="875"/>
      <c r="DO37" s="875">
        <f>SUM(DO38:DR62)</f>
        <v>15</v>
      </c>
      <c r="DP37" s="875"/>
      <c r="DQ37" s="875"/>
      <c r="DR37" s="875"/>
      <c r="DS37" s="875">
        <f>SUM(DS38:DV62)</f>
        <v>13</v>
      </c>
      <c r="DT37" s="875"/>
      <c r="DU37" s="875"/>
      <c r="DV37" s="875"/>
      <c r="DW37" s="875">
        <f>SUM(DW38:DZ62)</f>
        <v>4</v>
      </c>
      <c r="DX37" s="875"/>
      <c r="DY37" s="875"/>
      <c r="DZ37" s="875"/>
      <c r="EA37" s="875">
        <f>SUM(EA38:ED62)</f>
        <v>21</v>
      </c>
      <c r="EB37" s="875"/>
      <c r="EC37" s="875"/>
      <c r="ED37" s="875"/>
      <c r="EE37" s="875">
        <f>SUM(EE38:EH62)</f>
        <v>18</v>
      </c>
      <c r="EF37" s="875"/>
      <c r="EG37" s="875"/>
      <c r="EH37" s="875"/>
      <c r="EI37" s="875">
        <f>SUM(EI38:EL62)</f>
        <v>16</v>
      </c>
      <c r="EJ37" s="875"/>
      <c r="EK37" s="875"/>
      <c r="EL37" s="875"/>
      <c r="EM37" s="875">
        <f>SUM(EM38:EP62)</f>
        <v>10</v>
      </c>
      <c r="EN37" s="875"/>
      <c r="EO37" s="875"/>
      <c r="EP37" s="928"/>
      <c r="EQ37" s="872">
        <f>DC37+DG37+DK37+DO37+DS37+DW37+EA37+EE37+EI37+EM37</f>
        <v>144</v>
      </c>
      <c r="ER37" s="873"/>
      <c r="ES37" s="874"/>
      <c r="EW37" s="311"/>
      <c r="EX37" s="312"/>
      <c r="EY37" s="313"/>
    </row>
    <row r="38" spans="1:155" ht="90" customHeight="1" x14ac:dyDescent="0.65">
      <c r="A38" s="156" t="s">
        <v>80</v>
      </c>
      <c r="B38" s="135" t="s">
        <v>129</v>
      </c>
      <c r="C38" s="535" t="s">
        <v>330</v>
      </c>
      <c r="D38" s="535"/>
      <c r="E38" s="535"/>
      <c r="F38" s="535"/>
      <c r="G38" s="535"/>
      <c r="H38" s="535"/>
      <c r="I38" s="535"/>
      <c r="J38" s="535"/>
      <c r="K38" s="535"/>
      <c r="L38" s="535"/>
      <c r="M38" s="535"/>
      <c r="N38" s="535"/>
      <c r="O38" s="535"/>
      <c r="P38" s="535"/>
      <c r="Q38" s="535"/>
      <c r="R38" s="535"/>
      <c r="S38" s="535"/>
      <c r="T38" s="535"/>
      <c r="U38" s="535"/>
      <c r="V38" s="535"/>
      <c r="W38" s="535"/>
      <c r="X38" s="535"/>
      <c r="Y38" s="535"/>
      <c r="Z38" s="962">
        <f t="shared" ref="Z38:Z47" si="0">EQ38*30</f>
        <v>120</v>
      </c>
      <c r="AA38" s="962"/>
      <c r="AB38" s="962"/>
      <c r="AC38" s="962"/>
      <c r="AD38" s="832"/>
      <c r="AE38" s="832"/>
      <c r="AF38" s="832"/>
      <c r="AG38" s="839">
        <f>SUM(AL38:BE38)</f>
        <v>18</v>
      </c>
      <c r="AH38" s="839"/>
      <c r="AI38" s="839"/>
      <c r="AJ38" s="839"/>
      <c r="AK38" s="839"/>
      <c r="AL38" s="880">
        <v>12</v>
      </c>
      <c r="AM38" s="880"/>
      <c r="AN38" s="880"/>
      <c r="AO38" s="880"/>
      <c r="AP38" s="880"/>
      <c r="AQ38" s="880">
        <v>6</v>
      </c>
      <c r="AR38" s="880"/>
      <c r="AS38" s="880"/>
      <c r="AT38" s="880"/>
      <c r="AU38" s="880"/>
      <c r="AV38" s="880"/>
      <c r="AW38" s="880"/>
      <c r="AX38" s="880"/>
      <c r="AY38" s="880"/>
      <c r="AZ38" s="880"/>
      <c r="BA38" s="989"/>
      <c r="BB38" s="989"/>
      <c r="BC38" s="989"/>
      <c r="BD38" s="989"/>
      <c r="BE38" s="989"/>
      <c r="BF38" s="989"/>
      <c r="BG38" s="989"/>
      <c r="BH38" s="989"/>
      <c r="BI38" s="989"/>
      <c r="BJ38" s="989"/>
      <c r="BK38" s="986">
        <f t="shared" ref="BK38:BK47" si="1">Z38-AG38</f>
        <v>102</v>
      </c>
      <c r="BL38" s="986"/>
      <c r="BM38" s="986"/>
      <c r="BN38" s="987"/>
      <c r="BO38" s="988"/>
      <c r="BP38" s="923"/>
      <c r="BQ38" s="923"/>
      <c r="BR38" s="923"/>
      <c r="BS38" s="923">
        <v>6</v>
      </c>
      <c r="BT38" s="923"/>
      <c r="BU38" s="923"/>
      <c r="BV38" s="923"/>
      <c r="BW38" s="832"/>
      <c r="BX38" s="832"/>
      <c r="BY38" s="832"/>
      <c r="BZ38" s="832"/>
      <c r="CA38" s="832"/>
      <c r="CB38" s="832"/>
      <c r="CC38" s="832"/>
      <c r="CD38" s="832"/>
      <c r="CE38" s="832"/>
      <c r="CF38" s="832"/>
      <c r="CG38" s="832"/>
      <c r="CH38" s="832"/>
      <c r="CI38" s="832"/>
      <c r="CJ38" s="832"/>
      <c r="CK38" s="832"/>
      <c r="CL38" s="832"/>
      <c r="CM38" s="832"/>
      <c r="CN38" s="832"/>
      <c r="CO38" s="832"/>
      <c r="CP38" s="832"/>
      <c r="CQ38" s="832"/>
      <c r="CR38" s="832"/>
      <c r="CS38" s="832"/>
      <c r="CT38" s="832"/>
      <c r="CU38" s="832"/>
      <c r="CV38" s="832"/>
      <c r="CW38" s="832"/>
      <c r="CX38" s="832"/>
      <c r="CY38" s="832"/>
      <c r="CZ38" s="832"/>
      <c r="DA38" s="832"/>
      <c r="DB38" s="833"/>
      <c r="DC38" s="834"/>
      <c r="DD38" s="832"/>
      <c r="DE38" s="832"/>
      <c r="DF38" s="832"/>
      <c r="DG38" s="832">
        <v>4</v>
      </c>
      <c r="DH38" s="832"/>
      <c r="DI38" s="832"/>
      <c r="DJ38" s="832"/>
      <c r="DK38" s="923"/>
      <c r="DL38" s="923"/>
      <c r="DM38" s="923"/>
      <c r="DN38" s="923"/>
      <c r="DO38" s="923"/>
      <c r="DP38" s="923"/>
      <c r="DQ38" s="923"/>
      <c r="DR38" s="923"/>
      <c r="DS38" s="923"/>
      <c r="DT38" s="923"/>
      <c r="DU38" s="923"/>
      <c r="DV38" s="923"/>
      <c r="DW38" s="923"/>
      <c r="DX38" s="923"/>
      <c r="DY38" s="923"/>
      <c r="DZ38" s="923"/>
      <c r="EA38" s="923"/>
      <c r="EB38" s="923"/>
      <c r="EC38" s="923"/>
      <c r="ED38" s="923"/>
      <c r="EE38" s="923"/>
      <c r="EF38" s="923"/>
      <c r="EG38" s="923"/>
      <c r="EH38" s="923"/>
      <c r="EI38" s="923"/>
      <c r="EJ38" s="923"/>
      <c r="EK38" s="923"/>
      <c r="EL38" s="923"/>
      <c r="EM38" s="923"/>
      <c r="EN38" s="923"/>
      <c r="EO38" s="923"/>
      <c r="EP38" s="955"/>
      <c r="EQ38" s="990">
        <f t="shared" ref="EQ38:EQ47" si="2">DC38+DG38+DK38+DO38+DS38+DW38+EA38+EE38+EI38+EM38</f>
        <v>4</v>
      </c>
      <c r="ER38" s="991"/>
      <c r="ES38" s="992"/>
      <c r="EU38" s="105"/>
      <c r="EV38" s="105"/>
      <c r="EW38" s="230"/>
      <c r="EX38" s="231"/>
      <c r="EY38" s="232"/>
    </row>
    <row r="39" spans="1:155" ht="90" customHeight="1" x14ac:dyDescent="0.65">
      <c r="A39" s="156" t="s">
        <v>81</v>
      </c>
      <c r="B39" s="135" t="s">
        <v>162</v>
      </c>
      <c r="C39" s="388" t="s">
        <v>114</v>
      </c>
      <c r="D39" s="388"/>
      <c r="E39" s="388"/>
      <c r="F39" s="388"/>
      <c r="G39" s="388"/>
      <c r="H39" s="388"/>
      <c r="I39" s="388"/>
      <c r="J39" s="388"/>
      <c r="K39" s="388"/>
      <c r="L39" s="388"/>
      <c r="M39" s="388"/>
      <c r="N39" s="388"/>
      <c r="O39" s="388"/>
      <c r="P39" s="388"/>
      <c r="Q39" s="388"/>
      <c r="R39" s="388"/>
      <c r="S39" s="388"/>
      <c r="T39" s="388"/>
      <c r="U39" s="388"/>
      <c r="V39" s="388"/>
      <c r="W39" s="388"/>
      <c r="X39" s="388"/>
      <c r="Y39" s="388"/>
      <c r="Z39" s="962">
        <f t="shared" si="0"/>
        <v>120</v>
      </c>
      <c r="AA39" s="962"/>
      <c r="AB39" s="962"/>
      <c r="AC39" s="962"/>
      <c r="AD39" s="832"/>
      <c r="AE39" s="832"/>
      <c r="AF39" s="832"/>
      <c r="AG39" s="839">
        <f t="shared" ref="AG39:AG54" si="3">SUM(AL39:BE39)</f>
        <v>18</v>
      </c>
      <c r="AH39" s="839"/>
      <c r="AI39" s="839"/>
      <c r="AJ39" s="839"/>
      <c r="AK39" s="839"/>
      <c r="AL39" s="839"/>
      <c r="AM39" s="839"/>
      <c r="AN39" s="839"/>
      <c r="AO39" s="839"/>
      <c r="AP39" s="839"/>
      <c r="AQ39" s="839">
        <v>18</v>
      </c>
      <c r="AR39" s="839"/>
      <c r="AS39" s="839"/>
      <c r="AT39" s="839"/>
      <c r="AU39" s="839"/>
      <c r="AV39" s="880"/>
      <c r="AW39" s="880"/>
      <c r="AX39" s="880"/>
      <c r="AY39" s="880"/>
      <c r="AZ39" s="880"/>
      <c r="BA39" s="989"/>
      <c r="BB39" s="989"/>
      <c r="BC39" s="989"/>
      <c r="BD39" s="989"/>
      <c r="BE39" s="989"/>
      <c r="BF39" s="989"/>
      <c r="BG39" s="989"/>
      <c r="BH39" s="989"/>
      <c r="BI39" s="989"/>
      <c r="BJ39" s="989"/>
      <c r="BK39" s="986">
        <f t="shared" si="1"/>
        <v>102</v>
      </c>
      <c r="BL39" s="986"/>
      <c r="BM39" s="986"/>
      <c r="BN39" s="987"/>
      <c r="BO39" s="988"/>
      <c r="BP39" s="923"/>
      <c r="BQ39" s="923"/>
      <c r="BR39" s="923"/>
      <c r="BS39" s="923"/>
      <c r="BT39" s="923"/>
      <c r="BU39" s="923"/>
      <c r="BV39" s="923"/>
      <c r="BW39" s="832">
        <v>6</v>
      </c>
      <c r="BX39" s="832"/>
      <c r="BY39" s="832"/>
      <c r="BZ39" s="832"/>
      <c r="CA39" s="832"/>
      <c r="CB39" s="832"/>
      <c r="CC39" s="832"/>
      <c r="CD39" s="832"/>
      <c r="CE39" s="832"/>
      <c r="CF39" s="832"/>
      <c r="CG39" s="832"/>
      <c r="CH39" s="832"/>
      <c r="CI39" s="832"/>
      <c r="CJ39" s="832"/>
      <c r="CK39" s="832"/>
      <c r="CL39" s="832"/>
      <c r="CM39" s="832"/>
      <c r="CN39" s="832"/>
      <c r="CO39" s="832"/>
      <c r="CP39" s="832"/>
      <c r="CQ39" s="832"/>
      <c r="CR39" s="832"/>
      <c r="CS39" s="832"/>
      <c r="CT39" s="832"/>
      <c r="CU39" s="832"/>
      <c r="CV39" s="832"/>
      <c r="CW39" s="832"/>
      <c r="CX39" s="832"/>
      <c r="CY39" s="832"/>
      <c r="CZ39" s="832"/>
      <c r="DA39" s="832"/>
      <c r="DB39" s="833"/>
      <c r="DC39" s="834"/>
      <c r="DD39" s="832"/>
      <c r="DE39" s="832"/>
      <c r="DF39" s="832"/>
      <c r="DG39" s="832"/>
      <c r="DH39" s="832"/>
      <c r="DI39" s="832"/>
      <c r="DJ39" s="832"/>
      <c r="DK39" s="923">
        <v>4</v>
      </c>
      <c r="DL39" s="923"/>
      <c r="DM39" s="923"/>
      <c r="DN39" s="923"/>
      <c r="DO39" s="923"/>
      <c r="DP39" s="923"/>
      <c r="DQ39" s="923"/>
      <c r="DR39" s="923"/>
      <c r="DS39" s="923"/>
      <c r="DT39" s="923"/>
      <c r="DU39" s="923"/>
      <c r="DV39" s="923"/>
      <c r="DW39" s="923"/>
      <c r="DX39" s="923"/>
      <c r="DY39" s="923"/>
      <c r="DZ39" s="923"/>
      <c r="EA39" s="923"/>
      <c r="EB39" s="923"/>
      <c r="EC39" s="923"/>
      <c r="ED39" s="923"/>
      <c r="EE39" s="923"/>
      <c r="EF39" s="923"/>
      <c r="EG39" s="923"/>
      <c r="EH39" s="923"/>
      <c r="EI39" s="923"/>
      <c r="EJ39" s="923"/>
      <c r="EK39" s="923"/>
      <c r="EL39" s="923"/>
      <c r="EM39" s="923"/>
      <c r="EN39" s="923"/>
      <c r="EO39" s="923"/>
      <c r="EP39" s="955"/>
      <c r="EQ39" s="990">
        <f t="shared" si="2"/>
        <v>4</v>
      </c>
      <c r="ER39" s="991"/>
      <c r="ES39" s="992"/>
      <c r="EU39" s="105"/>
      <c r="EV39" s="105"/>
      <c r="EW39" s="230"/>
      <c r="EX39" s="231"/>
      <c r="EY39" s="232"/>
    </row>
    <row r="40" spans="1:155" ht="90" customHeight="1" x14ac:dyDescent="0.65">
      <c r="A40" s="156" t="s">
        <v>82</v>
      </c>
      <c r="B40" s="135" t="s">
        <v>130</v>
      </c>
      <c r="C40" s="535" t="s">
        <v>75</v>
      </c>
      <c r="D40" s="535"/>
      <c r="E40" s="535"/>
      <c r="F40" s="535"/>
      <c r="G40" s="535"/>
      <c r="H40" s="535"/>
      <c r="I40" s="535"/>
      <c r="J40" s="535"/>
      <c r="K40" s="535"/>
      <c r="L40" s="535"/>
      <c r="M40" s="535"/>
      <c r="N40" s="535"/>
      <c r="O40" s="535"/>
      <c r="P40" s="535"/>
      <c r="Q40" s="535"/>
      <c r="R40" s="535"/>
      <c r="S40" s="535"/>
      <c r="T40" s="535"/>
      <c r="U40" s="535"/>
      <c r="V40" s="535"/>
      <c r="W40" s="535"/>
      <c r="X40" s="535"/>
      <c r="Y40" s="535"/>
      <c r="Z40" s="962">
        <f t="shared" si="0"/>
        <v>120</v>
      </c>
      <c r="AA40" s="962"/>
      <c r="AB40" s="962"/>
      <c r="AC40" s="962"/>
      <c r="AD40" s="832"/>
      <c r="AE40" s="832"/>
      <c r="AF40" s="832"/>
      <c r="AG40" s="839">
        <f t="shared" si="3"/>
        <v>18</v>
      </c>
      <c r="AH40" s="839"/>
      <c r="AI40" s="839"/>
      <c r="AJ40" s="839"/>
      <c r="AK40" s="839"/>
      <c r="AL40" s="880">
        <v>12</v>
      </c>
      <c r="AM40" s="880"/>
      <c r="AN40" s="880"/>
      <c r="AO40" s="880"/>
      <c r="AP40" s="880"/>
      <c r="AQ40" s="880">
        <v>6</v>
      </c>
      <c r="AR40" s="880"/>
      <c r="AS40" s="880"/>
      <c r="AT40" s="880"/>
      <c r="AU40" s="880"/>
      <c r="AV40" s="880"/>
      <c r="AW40" s="880"/>
      <c r="AX40" s="880"/>
      <c r="AY40" s="880"/>
      <c r="AZ40" s="880"/>
      <c r="BA40" s="989"/>
      <c r="BB40" s="989"/>
      <c r="BC40" s="989"/>
      <c r="BD40" s="989"/>
      <c r="BE40" s="989"/>
      <c r="BF40" s="989"/>
      <c r="BG40" s="989"/>
      <c r="BH40" s="989"/>
      <c r="BI40" s="989"/>
      <c r="BJ40" s="989"/>
      <c r="BK40" s="986">
        <f t="shared" si="1"/>
        <v>102</v>
      </c>
      <c r="BL40" s="986"/>
      <c r="BM40" s="986"/>
      <c r="BN40" s="987"/>
      <c r="BO40" s="988"/>
      <c r="BP40" s="923"/>
      <c r="BQ40" s="923"/>
      <c r="BR40" s="923"/>
      <c r="BS40" s="923"/>
      <c r="BT40" s="923"/>
      <c r="BU40" s="923"/>
      <c r="BV40" s="923"/>
      <c r="BW40" s="832">
        <v>6</v>
      </c>
      <c r="BX40" s="832"/>
      <c r="BY40" s="832"/>
      <c r="BZ40" s="832"/>
      <c r="CA40" s="832"/>
      <c r="CB40" s="832"/>
      <c r="CC40" s="832"/>
      <c r="CD40" s="832"/>
      <c r="CE40" s="832"/>
      <c r="CF40" s="832"/>
      <c r="CG40" s="832"/>
      <c r="CH40" s="832"/>
      <c r="CI40" s="832"/>
      <c r="CJ40" s="832"/>
      <c r="CK40" s="832"/>
      <c r="CL40" s="832"/>
      <c r="CM40" s="832"/>
      <c r="CN40" s="832"/>
      <c r="CO40" s="832"/>
      <c r="CP40" s="832"/>
      <c r="CQ40" s="832"/>
      <c r="CR40" s="832"/>
      <c r="CS40" s="832"/>
      <c r="CT40" s="832"/>
      <c r="CU40" s="832"/>
      <c r="CV40" s="832"/>
      <c r="CW40" s="832"/>
      <c r="CX40" s="832"/>
      <c r="CY40" s="832"/>
      <c r="CZ40" s="832"/>
      <c r="DA40" s="832"/>
      <c r="DB40" s="833"/>
      <c r="DC40" s="834"/>
      <c r="DD40" s="832"/>
      <c r="DE40" s="832"/>
      <c r="DF40" s="832"/>
      <c r="DG40" s="832"/>
      <c r="DH40" s="832"/>
      <c r="DI40" s="832"/>
      <c r="DJ40" s="832"/>
      <c r="DK40" s="923">
        <v>4</v>
      </c>
      <c r="DL40" s="923"/>
      <c r="DM40" s="923"/>
      <c r="DN40" s="923"/>
      <c r="DO40" s="923"/>
      <c r="DP40" s="923"/>
      <c r="DQ40" s="923"/>
      <c r="DR40" s="923"/>
      <c r="DS40" s="923"/>
      <c r="DT40" s="923"/>
      <c r="DU40" s="923"/>
      <c r="DV40" s="923"/>
      <c r="DW40" s="923"/>
      <c r="DX40" s="923"/>
      <c r="DY40" s="923"/>
      <c r="DZ40" s="923"/>
      <c r="EA40" s="923"/>
      <c r="EB40" s="923"/>
      <c r="EC40" s="923"/>
      <c r="ED40" s="923"/>
      <c r="EE40" s="923"/>
      <c r="EF40" s="923"/>
      <c r="EG40" s="923"/>
      <c r="EH40" s="923"/>
      <c r="EI40" s="923"/>
      <c r="EJ40" s="923"/>
      <c r="EK40" s="923"/>
      <c r="EL40" s="923"/>
      <c r="EM40" s="923"/>
      <c r="EN40" s="923"/>
      <c r="EO40" s="923"/>
      <c r="EP40" s="955"/>
      <c r="EQ40" s="990">
        <f t="shared" si="2"/>
        <v>4</v>
      </c>
      <c r="ER40" s="991"/>
      <c r="ES40" s="992"/>
      <c r="EU40" s="105"/>
      <c r="EV40" s="105"/>
      <c r="EW40" s="230"/>
      <c r="EX40" s="231"/>
      <c r="EY40" s="232"/>
    </row>
    <row r="41" spans="1:155" ht="90" customHeight="1" x14ac:dyDescent="0.65">
      <c r="A41" s="156" t="s">
        <v>84</v>
      </c>
      <c r="B41" s="135" t="s">
        <v>132</v>
      </c>
      <c r="C41" s="535" t="s">
        <v>205</v>
      </c>
      <c r="D41" s="535"/>
      <c r="E41" s="535"/>
      <c r="F41" s="535"/>
      <c r="G41" s="535"/>
      <c r="H41" s="535"/>
      <c r="I41" s="535"/>
      <c r="J41" s="535"/>
      <c r="K41" s="535"/>
      <c r="L41" s="535"/>
      <c r="M41" s="535"/>
      <c r="N41" s="535"/>
      <c r="O41" s="535"/>
      <c r="P41" s="535"/>
      <c r="Q41" s="535"/>
      <c r="R41" s="535"/>
      <c r="S41" s="535"/>
      <c r="T41" s="535"/>
      <c r="U41" s="535"/>
      <c r="V41" s="535"/>
      <c r="W41" s="535"/>
      <c r="X41" s="535"/>
      <c r="Y41" s="535"/>
      <c r="Z41" s="962">
        <f t="shared" si="0"/>
        <v>360</v>
      </c>
      <c r="AA41" s="962"/>
      <c r="AB41" s="962"/>
      <c r="AC41" s="962"/>
      <c r="AD41" s="832"/>
      <c r="AE41" s="832"/>
      <c r="AF41" s="832"/>
      <c r="AG41" s="839">
        <f t="shared" si="3"/>
        <v>56</v>
      </c>
      <c r="AH41" s="839"/>
      <c r="AI41" s="839"/>
      <c r="AJ41" s="839"/>
      <c r="AK41" s="839"/>
      <c r="AL41" s="839">
        <v>28</v>
      </c>
      <c r="AM41" s="839"/>
      <c r="AN41" s="839"/>
      <c r="AO41" s="839"/>
      <c r="AP41" s="839"/>
      <c r="AQ41" s="839">
        <v>28</v>
      </c>
      <c r="AR41" s="839"/>
      <c r="AS41" s="839"/>
      <c r="AT41" s="839"/>
      <c r="AU41" s="839"/>
      <c r="AV41" s="880"/>
      <c r="AW41" s="880"/>
      <c r="AX41" s="880"/>
      <c r="AY41" s="880"/>
      <c r="AZ41" s="880"/>
      <c r="BA41" s="989"/>
      <c r="BB41" s="989"/>
      <c r="BC41" s="989"/>
      <c r="BD41" s="989"/>
      <c r="BE41" s="989"/>
      <c r="BF41" s="989"/>
      <c r="BG41" s="989"/>
      <c r="BH41" s="989"/>
      <c r="BI41" s="989"/>
      <c r="BJ41" s="989"/>
      <c r="BK41" s="986">
        <f t="shared" si="1"/>
        <v>304</v>
      </c>
      <c r="BL41" s="986"/>
      <c r="BM41" s="986"/>
      <c r="BN41" s="987"/>
      <c r="BO41" s="988">
        <v>8</v>
      </c>
      <c r="BP41" s="923"/>
      <c r="BQ41" s="923"/>
      <c r="BR41" s="923"/>
      <c r="BS41" s="923">
        <v>8</v>
      </c>
      <c r="BT41" s="923"/>
      <c r="BU41" s="923"/>
      <c r="BV41" s="923"/>
      <c r="BW41" s="832"/>
      <c r="BX41" s="832"/>
      <c r="BY41" s="832"/>
      <c r="BZ41" s="832"/>
      <c r="CA41" s="832"/>
      <c r="CB41" s="832"/>
      <c r="CC41" s="832"/>
      <c r="CD41" s="832"/>
      <c r="CE41" s="832"/>
      <c r="CF41" s="832"/>
      <c r="CG41" s="832"/>
      <c r="CH41" s="832"/>
      <c r="CI41" s="832"/>
      <c r="CJ41" s="832"/>
      <c r="CK41" s="832"/>
      <c r="CL41" s="832"/>
      <c r="CM41" s="832"/>
      <c r="CN41" s="832"/>
      <c r="CO41" s="832"/>
      <c r="CP41" s="832"/>
      <c r="CQ41" s="832"/>
      <c r="CR41" s="832"/>
      <c r="CS41" s="832"/>
      <c r="CT41" s="832"/>
      <c r="CU41" s="832"/>
      <c r="CV41" s="832"/>
      <c r="CW41" s="832"/>
      <c r="CX41" s="832"/>
      <c r="CY41" s="832"/>
      <c r="CZ41" s="832"/>
      <c r="DA41" s="832"/>
      <c r="DB41" s="833"/>
      <c r="DC41" s="834">
        <v>6</v>
      </c>
      <c r="DD41" s="832"/>
      <c r="DE41" s="832"/>
      <c r="DF41" s="832"/>
      <c r="DG41" s="832">
        <v>6</v>
      </c>
      <c r="DH41" s="832"/>
      <c r="DI41" s="832"/>
      <c r="DJ41" s="832"/>
      <c r="DK41" s="923"/>
      <c r="DL41" s="923"/>
      <c r="DM41" s="923"/>
      <c r="DN41" s="923"/>
      <c r="DO41" s="923"/>
      <c r="DP41" s="923"/>
      <c r="DQ41" s="923"/>
      <c r="DR41" s="923"/>
      <c r="DS41" s="923"/>
      <c r="DT41" s="923"/>
      <c r="DU41" s="923"/>
      <c r="DV41" s="923"/>
      <c r="DW41" s="923"/>
      <c r="DX41" s="923"/>
      <c r="DY41" s="923"/>
      <c r="DZ41" s="923"/>
      <c r="EA41" s="923"/>
      <c r="EB41" s="923"/>
      <c r="EC41" s="923"/>
      <c r="ED41" s="923"/>
      <c r="EE41" s="923"/>
      <c r="EF41" s="923"/>
      <c r="EG41" s="923"/>
      <c r="EH41" s="923"/>
      <c r="EI41" s="923"/>
      <c r="EJ41" s="923"/>
      <c r="EK41" s="923"/>
      <c r="EL41" s="923"/>
      <c r="EM41" s="923"/>
      <c r="EN41" s="923"/>
      <c r="EO41" s="923"/>
      <c r="EP41" s="955"/>
      <c r="EQ41" s="990">
        <f t="shared" si="2"/>
        <v>12</v>
      </c>
      <c r="ER41" s="991"/>
      <c r="ES41" s="992"/>
      <c r="EU41" s="105"/>
      <c r="EV41" s="105"/>
      <c r="EW41" s="230"/>
      <c r="EX41" s="231"/>
      <c r="EY41" s="232"/>
    </row>
    <row r="42" spans="1:155" ht="90" customHeight="1" x14ac:dyDescent="0.65">
      <c r="A42" s="156" t="s">
        <v>86</v>
      </c>
      <c r="B42" s="135" t="s">
        <v>134</v>
      </c>
      <c r="C42" s="388" t="s">
        <v>178</v>
      </c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388"/>
      <c r="P42" s="388"/>
      <c r="Q42" s="388"/>
      <c r="R42" s="388"/>
      <c r="S42" s="388"/>
      <c r="T42" s="388"/>
      <c r="U42" s="388"/>
      <c r="V42" s="388"/>
      <c r="W42" s="388"/>
      <c r="X42" s="388"/>
      <c r="Y42" s="388"/>
      <c r="Z42" s="962">
        <f t="shared" si="0"/>
        <v>180</v>
      </c>
      <c r="AA42" s="962"/>
      <c r="AB42" s="962"/>
      <c r="AC42" s="962"/>
      <c r="AD42" s="832"/>
      <c r="AE42" s="832"/>
      <c r="AF42" s="832"/>
      <c r="AG42" s="839">
        <f t="shared" si="3"/>
        <v>22</v>
      </c>
      <c r="AH42" s="839"/>
      <c r="AI42" s="839"/>
      <c r="AJ42" s="839"/>
      <c r="AK42" s="839"/>
      <c r="AL42" s="880">
        <v>12</v>
      </c>
      <c r="AM42" s="880"/>
      <c r="AN42" s="880"/>
      <c r="AO42" s="880"/>
      <c r="AP42" s="880"/>
      <c r="AQ42" s="880">
        <v>10</v>
      </c>
      <c r="AR42" s="880"/>
      <c r="AS42" s="880"/>
      <c r="AT42" s="880"/>
      <c r="AU42" s="880"/>
      <c r="AV42" s="880"/>
      <c r="AW42" s="880"/>
      <c r="AX42" s="880"/>
      <c r="AY42" s="880"/>
      <c r="AZ42" s="880"/>
      <c r="BA42" s="989"/>
      <c r="BB42" s="989"/>
      <c r="BC42" s="989"/>
      <c r="BD42" s="989"/>
      <c r="BE42" s="989"/>
      <c r="BF42" s="989"/>
      <c r="BG42" s="989"/>
      <c r="BH42" s="989"/>
      <c r="BI42" s="989"/>
      <c r="BJ42" s="989"/>
      <c r="BK42" s="986">
        <f t="shared" si="1"/>
        <v>158</v>
      </c>
      <c r="BL42" s="986"/>
      <c r="BM42" s="986"/>
      <c r="BN42" s="987"/>
      <c r="BO42" s="988"/>
      <c r="BP42" s="923"/>
      <c r="BQ42" s="923"/>
      <c r="BR42" s="923"/>
      <c r="BS42" s="923"/>
      <c r="BT42" s="923"/>
      <c r="BU42" s="923"/>
      <c r="BV42" s="923"/>
      <c r="BW42" s="832"/>
      <c r="BX42" s="832"/>
      <c r="BY42" s="832"/>
      <c r="BZ42" s="832"/>
      <c r="CA42" s="832">
        <v>6</v>
      </c>
      <c r="CB42" s="832"/>
      <c r="CC42" s="832"/>
      <c r="CD42" s="832"/>
      <c r="CE42" s="832"/>
      <c r="CF42" s="832"/>
      <c r="CG42" s="832"/>
      <c r="CH42" s="832"/>
      <c r="CI42" s="832"/>
      <c r="CJ42" s="832"/>
      <c r="CK42" s="832"/>
      <c r="CL42" s="832"/>
      <c r="CM42" s="832"/>
      <c r="CN42" s="832"/>
      <c r="CO42" s="832"/>
      <c r="CP42" s="832"/>
      <c r="CQ42" s="832"/>
      <c r="CR42" s="832"/>
      <c r="CS42" s="832"/>
      <c r="CT42" s="832"/>
      <c r="CU42" s="832"/>
      <c r="CV42" s="832"/>
      <c r="CW42" s="832"/>
      <c r="CX42" s="832"/>
      <c r="CY42" s="832"/>
      <c r="CZ42" s="832"/>
      <c r="DA42" s="832"/>
      <c r="DB42" s="833"/>
      <c r="DC42" s="834"/>
      <c r="DD42" s="832"/>
      <c r="DE42" s="832"/>
      <c r="DF42" s="832"/>
      <c r="DG42" s="832"/>
      <c r="DH42" s="832"/>
      <c r="DI42" s="832"/>
      <c r="DJ42" s="832"/>
      <c r="DK42" s="923"/>
      <c r="DL42" s="923"/>
      <c r="DM42" s="923"/>
      <c r="DN42" s="923"/>
      <c r="DO42" s="923">
        <v>6</v>
      </c>
      <c r="DP42" s="923"/>
      <c r="DQ42" s="923"/>
      <c r="DR42" s="923"/>
      <c r="DS42" s="923"/>
      <c r="DT42" s="923"/>
      <c r="DU42" s="923"/>
      <c r="DV42" s="923"/>
      <c r="DW42" s="923"/>
      <c r="DX42" s="923"/>
      <c r="DY42" s="923"/>
      <c r="DZ42" s="923"/>
      <c r="EA42" s="923"/>
      <c r="EB42" s="923"/>
      <c r="EC42" s="923"/>
      <c r="ED42" s="923"/>
      <c r="EE42" s="923"/>
      <c r="EF42" s="923"/>
      <c r="EG42" s="923"/>
      <c r="EH42" s="923"/>
      <c r="EI42" s="923"/>
      <c r="EJ42" s="923"/>
      <c r="EK42" s="923"/>
      <c r="EL42" s="923"/>
      <c r="EM42" s="923"/>
      <c r="EN42" s="923"/>
      <c r="EO42" s="923"/>
      <c r="EP42" s="955"/>
      <c r="EQ42" s="990">
        <f t="shared" si="2"/>
        <v>6</v>
      </c>
      <c r="ER42" s="991"/>
      <c r="ES42" s="992"/>
      <c r="EU42" s="105"/>
      <c r="EV42" s="105"/>
      <c r="EW42" s="230"/>
      <c r="EX42" s="231"/>
      <c r="EY42" s="232"/>
    </row>
    <row r="43" spans="1:155" ht="90" customHeight="1" x14ac:dyDescent="0.65">
      <c r="A43" s="156" t="s">
        <v>88</v>
      </c>
      <c r="B43" s="135" t="s">
        <v>136</v>
      </c>
      <c r="C43" s="535" t="s">
        <v>115</v>
      </c>
      <c r="D43" s="535"/>
      <c r="E43" s="535"/>
      <c r="F43" s="535"/>
      <c r="G43" s="535"/>
      <c r="H43" s="535"/>
      <c r="I43" s="535"/>
      <c r="J43" s="535"/>
      <c r="K43" s="535"/>
      <c r="L43" s="535"/>
      <c r="M43" s="535"/>
      <c r="N43" s="535"/>
      <c r="O43" s="535"/>
      <c r="P43" s="535"/>
      <c r="Q43" s="535"/>
      <c r="R43" s="535"/>
      <c r="S43" s="535"/>
      <c r="T43" s="535"/>
      <c r="U43" s="535"/>
      <c r="V43" s="535"/>
      <c r="W43" s="535"/>
      <c r="X43" s="535"/>
      <c r="Y43" s="535"/>
      <c r="Z43" s="962">
        <f t="shared" si="0"/>
        <v>120</v>
      </c>
      <c r="AA43" s="962"/>
      <c r="AB43" s="962"/>
      <c r="AC43" s="962"/>
      <c r="AD43" s="832"/>
      <c r="AE43" s="832"/>
      <c r="AF43" s="832"/>
      <c r="AG43" s="839">
        <f t="shared" si="3"/>
        <v>16</v>
      </c>
      <c r="AH43" s="839"/>
      <c r="AI43" s="839"/>
      <c r="AJ43" s="839"/>
      <c r="AK43" s="839"/>
      <c r="AL43" s="880">
        <v>8</v>
      </c>
      <c r="AM43" s="880"/>
      <c r="AN43" s="880"/>
      <c r="AO43" s="880"/>
      <c r="AP43" s="880"/>
      <c r="AQ43" s="880">
        <v>8</v>
      </c>
      <c r="AR43" s="880"/>
      <c r="AS43" s="880"/>
      <c r="AT43" s="880"/>
      <c r="AU43" s="880"/>
      <c r="AV43" s="880"/>
      <c r="AW43" s="880"/>
      <c r="AX43" s="880"/>
      <c r="AY43" s="880"/>
      <c r="AZ43" s="880"/>
      <c r="BA43" s="989"/>
      <c r="BB43" s="989"/>
      <c r="BC43" s="989"/>
      <c r="BD43" s="989"/>
      <c r="BE43" s="989"/>
      <c r="BF43" s="989"/>
      <c r="BG43" s="989"/>
      <c r="BH43" s="989"/>
      <c r="BI43" s="989"/>
      <c r="BJ43" s="989"/>
      <c r="BK43" s="986">
        <f t="shared" si="1"/>
        <v>104</v>
      </c>
      <c r="BL43" s="986"/>
      <c r="BM43" s="986"/>
      <c r="BN43" s="987"/>
      <c r="BO43" s="988"/>
      <c r="BP43" s="923"/>
      <c r="BQ43" s="923"/>
      <c r="BR43" s="923"/>
      <c r="BS43" s="923"/>
      <c r="BT43" s="923"/>
      <c r="BU43" s="923"/>
      <c r="BV43" s="923"/>
      <c r="BW43" s="832"/>
      <c r="BX43" s="832"/>
      <c r="BY43" s="832"/>
      <c r="BZ43" s="832"/>
      <c r="CA43" s="832">
        <v>6</v>
      </c>
      <c r="CB43" s="832"/>
      <c r="CC43" s="832"/>
      <c r="CD43" s="832"/>
      <c r="CE43" s="832"/>
      <c r="CF43" s="832"/>
      <c r="CG43" s="832"/>
      <c r="CH43" s="832"/>
      <c r="CI43" s="832"/>
      <c r="CJ43" s="832"/>
      <c r="CK43" s="832"/>
      <c r="CL43" s="832"/>
      <c r="CM43" s="832"/>
      <c r="CN43" s="832"/>
      <c r="CO43" s="832"/>
      <c r="CP43" s="832"/>
      <c r="CQ43" s="832"/>
      <c r="CR43" s="832"/>
      <c r="CS43" s="832"/>
      <c r="CT43" s="832"/>
      <c r="CU43" s="832"/>
      <c r="CV43" s="832"/>
      <c r="CW43" s="832"/>
      <c r="CX43" s="832"/>
      <c r="CY43" s="832"/>
      <c r="CZ43" s="832"/>
      <c r="DA43" s="832"/>
      <c r="DB43" s="833"/>
      <c r="DC43" s="834"/>
      <c r="DD43" s="832"/>
      <c r="DE43" s="832"/>
      <c r="DF43" s="832"/>
      <c r="DG43" s="832"/>
      <c r="DH43" s="832"/>
      <c r="DI43" s="832"/>
      <c r="DJ43" s="832"/>
      <c r="DK43" s="923"/>
      <c r="DL43" s="923"/>
      <c r="DM43" s="923"/>
      <c r="DN43" s="923"/>
      <c r="DO43" s="923">
        <v>4</v>
      </c>
      <c r="DP43" s="923"/>
      <c r="DQ43" s="923"/>
      <c r="DR43" s="923"/>
      <c r="DS43" s="923"/>
      <c r="DT43" s="923"/>
      <c r="DU43" s="923"/>
      <c r="DV43" s="923"/>
      <c r="DW43" s="923"/>
      <c r="DX43" s="923"/>
      <c r="DY43" s="923"/>
      <c r="DZ43" s="923"/>
      <c r="EA43" s="923"/>
      <c r="EB43" s="923"/>
      <c r="EC43" s="923"/>
      <c r="ED43" s="923"/>
      <c r="EE43" s="923"/>
      <c r="EF43" s="923"/>
      <c r="EG43" s="923"/>
      <c r="EH43" s="923"/>
      <c r="EI43" s="923"/>
      <c r="EJ43" s="923"/>
      <c r="EK43" s="923"/>
      <c r="EL43" s="923"/>
      <c r="EM43" s="923"/>
      <c r="EN43" s="923"/>
      <c r="EO43" s="923"/>
      <c r="EP43" s="955"/>
      <c r="EQ43" s="990">
        <f t="shared" si="2"/>
        <v>4</v>
      </c>
      <c r="ER43" s="991"/>
      <c r="ES43" s="992"/>
      <c r="EU43" s="105"/>
      <c r="EV43" s="105"/>
      <c r="EW43" s="230"/>
      <c r="EX43" s="231"/>
      <c r="EY43" s="232"/>
    </row>
    <row r="44" spans="1:155" s="125" customFormat="1" ht="90" customHeight="1" x14ac:dyDescent="0.65">
      <c r="A44" s="157" t="s">
        <v>4</v>
      </c>
      <c r="B44" s="136" t="s">
        <v>137</v>
      </c>
      <c r="C44" s="535" t="s">
        <v>124</v>
      </c>
      <c r="D44" s="535"/>
      <c r="E44" s="535"/>
      <c r="F44" s="535"/>
      <c r="G44" s="535"/>
      <c r="H44" s="535"/>
      <c r="I44" s="535"/>
      <c r="J44" s="535"/>
      <c r="K44" s="535"/>
      <c r="L44" s="535"/>
      <c r="M44" s="535"/>
      <c r="N44" s="535"/>
      <c r="O44" s="535"/>
      <c r="P44" s="535"/>
      <c r="Q44" s="535"/>
      <c r="R44" s="535"/>
      <c r="S44" s="535"/>
      <c r="T44" s="535"/>
      <c r="U44" s="535"/>
      <c r="V44" s="535"/>
      <c r="W44" s="535"/>
      <c r="X44" s="535"/>
      <c r="Y44" s="535"/>
      <c r="Z44" s="838">
        <f t="shared" si="0"/>
        <v>120</v>
      </c>
      <c r="AA44" s="838"/>
      <c r="AB44" s="838"/>
      <c r="AC44" s="838"/>
      <c r="AD44" s="832"/>
      <c r="AE44" s="832"/>
      <c r="AF44" s="832"/>
      <c r="AG44" s="839">
        <f t="shared" si="3"/>
        <v>16</v>
      </c>
      <c r="AH44" s="839"/>
      <c r="AI44" s="839"/>
      <c r="AJ44" s="839"/>
      <c r="AK44" s="839"/>
      <c r="AL44" s="839">
        <v>8</v>
      </c>
      <c r="AM44" s="839"/>
      <c r="AN44" s="839"/>
      <c r="AO44" s="839"/>
      <c r="AP44" s="839"/>
      <c r="AQ44" s="839">
        <v>8</v>
      </c>
      <c r="AR44" s="839"/>
      <c r="AS44" s="839"/>
      <c r="AT44" s="839"/>
      <c r="AU44" s="839"/>
      <c r="AV44" s="839"/>
      <c r="AW44" s="839"/>
      <c r="AX44" s="839"/>
      <c r="AY44" s="839"/>
      <c r="AZ44" s="839"/>
      <c r="BA44" s="968"/>
      <c r="BB44" s="968"/>
      <c r="BC44" s="968"/>
      <c r="BD44" s="968"/>
      <c r="BE44" s="968"/>
      <c r="BF44" s="968"/>
      <c r="BG44" s="968"/>
      <c r="BH44" s="968"/>
      <c r="BI44" s="968"/>
      <c r="BJ44" s="968"/>
      <c r="BK44" s="840">
        <f t="shared" si="1"/>
        <v>104</v>
      </c>
      <c r="BL44" s="840"/>
      <c r="BM44" s="840"/>
      <c r="BN44" s="841"/>
      <c r="BO44" s="834"/>
      <c r="BP44" s="832"/>
      <c r="BQ44" s="832"/>
      <c r="BR44" s="832"/>
      <c r="BS44" s="832"/>
      <c r="BT44" s="832"/>
      <c r="BU44" s="832"/>
      <c r="BV44" s="832"/>
      <c r="BW44" s="832"/>
      <c r="BX44" s="832"/>
      <c r="BY44" s="832"/>
      <c r="BZ44" s="832"/>
      <c r="CA44" s="832"/>
      <c r="CB44" s="832"/>
      <c r="CC44" s="832"/>
      <c r="CD44" s="832"/>
      <c r="CE44" s="832">
        <v>5</v>
      </c>
      <c r="CF44" s="832"/>
      <c r="CG44" s="832"/>
      <c r="CH44" s="832"/>
      <c r="CI44" s="832"/>
      <c r="CJ44" s="832"/>
      <c r="CK44" s="832"/>
      <c r="CL44" s="832"/>
      <c r="CM44" s="832"/>
      <c r="CN44" s="832"/>
      <c r="CO44" s="832"/>
      <c r="CP44" s="832"/>
      <c r="CQ44" s="832"/>
      <c r="CR44" s="832"/>
      <c r="CS44" s="832"/>
      <c r="CT44" s="832"/>
      <c r="CU44" s="832"/>
      <c r="CV44" s="832"/>
      <c r="CW44" s="832"/>
      <c r="CX44" s="832"/>
      <c r="CY44" s="832"/>
      <c r="CZ44" s="832"/>
      <c r="DA44" s="832"/>
      <c r="DB44" s="833"/>
      <c r="DC44" s="834"/>
      <c r="DD44" s="832"/>
      <c r="DE44" s="832"/>
      <c r="DF44" s="832"/>
      <c r="DG44" s="832"/>
      <c r="DH44" s="832"/>
      <c r="DI44" s="832"/>
      <c r="DJ44" s="832"/>
      <c r="DK44" s="832"/>
      <c r="DL44" s="832"/>
      <c r="DM44" s="832"/>
      <c r="DN44" s="832"/>
      <c r="DO44" s="832"/>
      <c r="DP44" s="832"/>
      <c r="DQ44" s="832"/>
      <c r="DR44" s="832"/>
      <c r="DS44" s="832">
        <v>4</v>
      </c>
      <c r="DT44" s="832"/>
      <c r="DU44" s="832"/>
      <c r="DV44" s="832"/>
      <c r="DW44" s="832"/>
      <c r="DX44" s="832"/>
      <c r="DY44" s="832"/>
      <c r="DZ44" s="832"/>
      <c r="EA44" s="832"/>
      <c r="EB44" s="832"/>
      <c r="EC44" s="832"/>
      <c r="ED44" s="832"/>
      <c r="EE44" s="832"/>
      <c r="EF44" s="832"/>
      <c r="EG44" s="832"/>
      <c r="EH44" s="832"/>
      <c r="EI44" s="832"/>
      <c r="EJ44" s="832"/>
      <c r="EK44" s="832"/>
      <c r="EL44" s="832"/>
      <c r="EM44" s="832"/>
      <c r="EN44" s="832"/>
      <c r="EO44" s="832"/>
      <c r="EP44" s="833"/>
      <c r="EQ44" s="835">
        <f t="shared" si="2"/>
        <v>4</v>
      </c>
      <c r="ER44" s="836"/>
      <c r="ES44" s="837"/>
      <c r="EU44" s="126"/>
      <c r="EV44" s="126"/>
      <c r="EW44" s="233"/>
      <c r="EX44" s="234"/>
      <c r="EY44" s="235"/>
    </row>
    <row r="45" spans="1:155" s="125" customFormat="1" ht="90" customHeight="1" x14ac:dyDescent="0.65">
      <c r="A45" s="157" t="s">
        <v>5</v>
      </c>
      <c r="B45" s="136" t="s">
        <v>138</v>
      </c>
      <c r="C45" s="535" t="s">
        <v>187</v>
      </c>
      <c r="D45" s="535"/>
      <c r="E45" s="535"/>
      <c r="F45" s="535"/>
      <c r="G45" s="535"/>
      <c r="H45" s="535"/>
      <c r="I45" s="535"/>
      <c r="J45" s="535"/>
      <c r="K45" s="535"/>
      <c r="L45" s="535"/>
      <c r="M45" s="535"/>
      <c r="N45" s="535"/>
      <c r="O45" s="535"/>
      <c r="P45" s="535"/>
      <c r="Q45" s="535"/>
      <c r="R45" s="535"/>
      <c r="S45" s="535"/>
      <c r="T45" s="535"/>
      <c r="U45" s="535"/>
      <c r="V45" s="535"/>
      <c r="W45" s="535"/>
      <c r="X45" s="535"/>
      <c r="Y45" s="535"/>
      <c r="Z45" s="838">
        <f t="shared" si="0"/>
        <v>150</v>
      </c>
      <c r="AA45" s="838"/>
      <c r="AB45" s="838"/>
      <c r="AC45" s="838"/>
      <c r="AD45" s="832"/>
      <c r="AE45" s="832"/>
      <c r="AF45" s="832"/>
      <c r="AG45" s="839">
        <f t="shared" si="3"/>
        <v>18</v>
      </c>
      <c r="AH45" s="839"/>
      <c r="AI45" s="839"/>
      <c r="AJ45" s="839"/>
      <c r="AK45" s="839"/>
      <c r="AL45" s="839">
        <v>10</v>
      </c>
      <c r="AM45" s="839"/>
      <c r="AN45" s="839"/>
      <c r="AO45" s="839"/>
      <c r="AP45" s="839"/>
      <c r="AQ45" s="839">
        <v>8</v>
      </c>
      <c r="AR45" s="839"/>
      <c r="AS45" s="839"/>
      <c r="AT45" s="839"/>
      <c r="AU45" s="839"/>
      <c r="AV45" s="839"/>
      <c r="AW45" s="839"/>
      <c r="AX45" s="839"/>
      <c r="AY45" s="839"/>
      <c r="AZ45" s="839"/>
      <c r="BA45" s="968"/>
      <c r="BB45" s="968"/>
      <c r="BC45" s="968"/>
      <c r="BD45" s="968"/>
      <c r="BE45" s="968"/>
      <c r="BF45" s="968"/>
      <c r="BG45" s="968"/>
      <c r="BH45" s="968"/>
      <c r="BI45" s="968"/>
      <c r="BJ45" s="968"/>
      <c r="BK45" s="840">
        <f t="shared" si="1"/>
        <v>132</v>
      </c>
      <c r="BL45" s="840"/>
      <c r="BM45" s="840"/>
      <c r="BN45" s="841"/>
      <c r="BO45" s="834"/>
      <c r="BP45" s="832"/>
      <c r="BQ45" s="832"/>
      <c r="BR45" s="832"/>
      <c r="BS45" s="832"/>
      <c r="BT45" s="832"/>
      <c r="BU45" s="832"/>
      <c r="BV45" s="832"/>
      <c r="BW45" s="832"/>
      <c r="BX45" s="832"/>
      <c r="BY45" s="832"/>
      <c r="BZ45" s="832"/>
      <c r="CA45" s="832"/>
      <c r="CB45" s="832"/>
      <c r="CC45" s="832"/>
      <c r="CD45" s="832"/>
      <c r="CE45" s="832">
        <v>6</v>
      </c>
      <c r="CF45" s="832"/>
      <c r="CG45" s="832"/>
      <c r="CH45" s="832"/>
      <c r="CI45" s="832"/>
      <c r="CJ45" s="832"/>
      <c r="CK45" s="832"/>
      <c r="CL45" s="832"/>
      <c r="CM45" s="832"/>
      <c r="CN45" s="832"/>
      <c r="CO45" s="832"/>
      <c r="CP45" s="832"/>
      <c r="CQ45" s="832"/>
      <c r="CR45" s="832"/>
      <c r="CS45" s="832"/>
      <c r="CT45" s="832"/>
      <c r="CU45" s="832"/>
      <c r="CV45" s="832"/>
      <c r="CW45" s="832"/>
      <c r="CX45" s="832"/>
      <c r="CY45" s="832"/>
      <c r="CZ45" s="832"/>
      <c r="DA45" s="832"/>
      <c r="DB45" s="833"/>
      <c r="DC45" s="834"/>
      <c r="DD45" s="832"/>
      <c r="DE45" s="832"/>
      <c r="DF45" s="832"/>
      <c r="DG45" s="832"/>
      <c r="DH45" s="832"/>
      <c r="DI45" s="832"/>
      <c r="DJ45" s="832"/>
      <c r="DK45" s="832"/>
      <c r="DL45" s="832"/>
      <c r="DM45" s="832"/>
      <c r="DN45" s="832"/>
      <c r="DO45" s="832"/>
      <c r="DP45" s="832"/>
      <c r="DQ45" s="832"/>
      <c r="DR45" s="832"/>
      <c r="DS45" s="832">
        <v>5</v>
      </c>
      <c r="DT45" s="832"/>
      <c r="DU45" s="832"/>
      <c r="DV45" s="832"/>
      <c r="DW45" s="832"/>
      <c r="DX45" s="832"/>
      <c r="DY45" s="832"/>
      <c r="DZ45" s="832"/>
      <c r="EA45" s="832"/>
      <c r="EB45" s="832"/>
      <c r="EC45" s="832"/>
      <c r="ED45" s="832"/>
      <c r="EE45" s="832"/>
      <c r="EF45" s="832"/>
      <c r="EG45" s="832"/>
      <c r="EH45" s="832"/>
      <c r="EI45" s="832"/>
      <c r="EJ45" s="832"/>
      <c r="EK45" s="832"/>
      <c r="EL45" s="832"/>
      <c r="EM45" s="832"/>
      <c r="EN45" s="832"/>
      <c r="EO45" s="832"/>
      <c r="EP45" s="833"/>
      <c r="EQ45" s="835">
        <f t="shared" si="2"/>
        <v>5</v>
      </c>
      <c r="ER45" s="836"/>
      <c r="ES45" s="837"/>
      <c r="EU45" s="126"/>
      <c r="EV45" s="126"/>
      <c r="EW45" s="233"/>
      <c r="EX45" s="234"/>
      <c r="EY45" s="235"/>
    </row>
    <row r="46" spans="1:155" s="304" customFormat="1" ht="90" customHeight="1" x14ac:dyDescent="0.65">
      <c r="A46" s="302" t="s">
        <v>6</v>
      </c>
      <c r="B46" s="303" t="s">
        <v>139</v>
      </c>
      <c r="C46" s="488" t="s">
        <v>149</v>
      </c>
      <c r="D46" s="488"/>
      <c r="E46" s="488"/>
      <c r="F46" s="488"/>
      <c r="G46" s="488"/>
      <c r="H46" s="488"/>
      <c r="I46" s="488"/>
      <c r="J46" s="488"/>
      <c r="K46" s="488"/>
      <c r="L46" s="488"/>
      <c r="M46" s="488"/>
      <c r="N46" s="488"/>
      <c r="O46" s="488"/>
      <c r="P46" s="488"/>
      <c r="Q46" s="488"/>
      <c r="R46" s="488"/>
      <c r="S46" s="488"/>
      <c r="T46" s="488"/>
      <c r="U46" s="488"/>
      <c r="V46" s="488"/>
      <c r="W46" s="488"/>
      <c r="X46" s="488"/>
      <c r="Y46" s="488"/>
      <c r="Z46" s="985">
        <f t="shared" si="0"/>
        <v>390</v>
      </c>
      <c r="AA46" s="985"/>
      <c r="AB46" s="985"/>
      <c r="AC46" s="985"/>
      <c r="AD46" s="976"/>
      <c r="AE46" s="976"/>
      <c r="AF46" s="976"/>
      <c r="AG46" s="981">
        <f t="shared" si="3"/>
        <v>50</v>
      </c>
      <c r="AH46" s="981"/>
      <c r="AI46" s="981"/>
      <c r="AJ46" s="981"/>
      <c r="AK46" s="981"/>
      <c r="AL46" s="981">
        <v>26</v>
      </c>
      <c r="AM46" s="981"/>
      <c r="AN46" s="981"/>
      <c r="AO46" s="981"/>
      <c r="AP46" s="981"/>
      <c r="AQ46" s="981">
        <v>24</v>
      </c>
      <c r="AR46" s="981"/>
      <c r="AS46" s="981"/>
      <c r="AT46" s="981"/>
      <c r="AU46" s="981"/>
      <c r="AV46" s="981"/>
      <c r="AW46" s="981"/>
      <c r="AX46" s="981"/>
      <c r="AY46" s="981"/>
      <c r="AZ46" s="981"/>
      <c r="BA46" s="982"/>
      <c r="BB46" s="982"/>
      <c r="BC46" s="982"/>
      <c r="BD46" s="982"/>
      <c r="BE46" s="982"/>
      <c r="BF46" s="982"/>
      <c r="BG46" s="982"/>
      <c r="BH46" s="982"/>
      <c r="BI46" s="982"/>
      <c r="BJ46" s="982"/>
      <c r="BK46" s="983">
        <f t="shared" si="1"/>
        <v>340</v>
      </c>
      <c r="BL46" s="983"/>
      <c r="BM46" s="983"/>
      <c r="BN46" s="984"/>
      <c r="BO46" s="975"/>
      <c r="BP46" s="976"/>
      <c r="BQ46" s="976"/>
      <c r="BR46" s="976"/>
      <c r="BS46" s="976"/>
      <c r="BT46" s="976"/>
      <c r="BU46" s="976"/>
      <c r="BV46" s="976"/>
      <c r="BW46" s="976"/>
      <c r="BX46" s="976"/>
      <c r="BY46" s="976"/>
      <c r="BZ46" s="976"/>
      <c r="CA46" s="976"/>
      <c r="CB46" s="976"/>
      <c r="CC46" s="976"/>
      <c r="CD46" s="976"/>
      <c r="CE46" s="976">
        <v>5</v>
      </c>
      <c r="CF46" s="976"/>
      <c r="CG46" s="976"/>
      <c r="CH46" s="976"/>
      <c r="CI46" s="976">
        <v>5</v>
      </c>
      <c r="CJ46" s="976"/>
      <c r="CK46" s="976"/>
      <c r="CL46" s="976"/>
      <c r="CM46" s="976">
        <v>6</v>
      </c>
      <c r="CN46" s="976"/>
      <c r="CO46" s="976"/>
      <c r="CP46" s="976"/>
      <c r="CQ46" s="976"/>
      <c r="CR46" s="976"/>
      <c r="CS46" s="976"/>
      <c r="CT46" s="976"/>
      <c r="CU46" s="976"/>
      <c r="CV46" s="976"/>
      <c r="CW46" s="976"/>
      <c r="CX46" s="976"/>
      <c r="CY46" s="976"/>
      <c r="CZ46" s="976"/>
      <c r="DA46" s="976"/>
      <c r="DB46" s="980"/>
      <c r="DC46" s="975"/>
      <c r="DD46" s="976"/>
      <c r="DE46" s="976"/>
      <c r="DF46" s="976"/>
      <c r="DG46" s="976"/>
      <c r="DH46" s="976"/>
      <c r="DI46" s="976"/>
      <c r="DJ46" s="976"/>
      <c r="DK46" s="976"/>
      <c r="DL46" s="976"/>
      <c r="DM46" s="976"/>
      <c r="DN46" s="976"/>
      <c r="DO46" s="976"/>
      <c r="DP46" s="976"/>
      <c r="DQ46" s="976"/>
      <c r="DR46" s="976"/>
      <c r="DS46" s="976">
        <v>4</v>
      </c>
      <c r="DT46" s="976"/>
      <c r="DU46" s="976"/>
      <c r="DV46" s="976"/>
      <c r="DW46" s="976">
        <v>4</v>
      </c>
      <c r="DX46" s="976"/>
      <c r="DY46" s="976"/>
      <c r="DZ46" s="976"/>
      <c r="EA46" s="976">
        <v>5</v>
      </c>
      <c r="EB46" s="976"/>
      <c r="EC46" s="976"/>
      <c r="ED46" s="976"/>
      <c r="EE46" s="976"/>
      <c r="EF46" s="976"/>
      <c r="EG46" s="976"/>
      <c r="EH46" s="976"/>
      <c r="EI46" s="976"/>
      <c r="EJ46" s="976"/>
      <c r="EK46" s="976"/>
      <c r="EL46" s="976"/>
      <c r="EM46" s="976"/>
      <c r="EN46" s="976"/>
      <c r="EO46" s="976"/>
      <c r="EP46" s="980"/>
      <c r="EQ46" s="977">
        <f t="shared" si="2"/>
        <v>13</v>
      </c>
      <c r="ER46" s="978"/>
      <c r="ES46" s="979"/>
      <c r="EU46" s="305"/>
      <c r="EV46" s="305"/>
      <c r="EW46" s="306"/>
      <c r="EX46" s="307"/>
      <c r="EY46" s="308"/>
    </row>
    <row r="47" spans="1:155" s="125" customFormat="1" ht="90" customHeight="1" x14ac:dyDescent="0.65">
      <c r="A47" s="157" t="s">
        <v>107</v>
      </c>
      <c r="B47" s="136" t="s">
        <v>141</v>
      </c>
      <c r="C47" s="535" t="s">
        <v>186</v>
      </c>
      <c r="D47" s="535"/>
      <c r="E47" s="535"/>
      <c r="F47" s="535"/>
      <c r="G47" s="535"/>
      <c r="H47" s="535"/>
      <c r="I47" s="535"/>
      <c r="J47" s="535"/>
      <c r="K47" s="535"/>
      <c r="L47" s="535"/>
      <c r="M47" s="535"/>
      <c r="N47" s="535"/>
      <c r="O47" s="535"/>
      <c r="P47" s="535"/>
      <c r="Q47" s="535"/>
      <c r="R47" s="535"/>
      <c r="S47" s="535"/>
      <c r="T47" s="535"/>
      <c r="U47" s="535"/>
      <c r="V47" s="535"/>
      <c r="W47" s="535"/>
      <c r="X47" s="535"/>
      <c r="Y47" s="535"/>
      <c r="Z47" s="838">
        <f t="shared" si="0"/>
        <v>210</v>
      </c>
      <c r="AA47" s="838"/>
      <c r="AB47" s="838"/>
      <c r="AC47" s="838"/>
      <c r="AD47" s="832"/>
      <c r="AE47" s="832"/>
      <c r="AF47" s="832"/>
      <c r="AG47" s="839">
        <f t="shared" si="3"/>
        <v>26</v>
      </c>
      <c r="AH47" s="839"/>
      <c r="AI47" s="839"/>
      <c r="AJ47" s="839"/>
      <c r="AK47" s="839"/>
      <c r="AL47" s="839">
        <v>14</v>
      </c>
      <c r="AM47" s="839"/>
      <c r="AN47" s="839"/>
      <c r="AO47" s="839"/>
      <c r="AP47" s="839"/>
      <c r="AQ47" s="839">
        <v>12</v>
      </c>
      <c r="AR47" s="839"/>
      <c r="AS47" s="839"/>
      <c r="AT47" s="839"/>
      <c r="AU47" s="839"/>
      <c r="AV47" s="839"/>
      <c r="AW47" s="839"/>
      <c r="AX47" s="839"/>
      <c r="AY47" s="839"/>
      <c r="AZ47" s="839"/>
      <c r="BA47" s="968"/>
      <c r="BB47" s="968"/>
      <c r="BC47" s="968"/>
      <c r="BD47" s="968"/>
      <c r="BE47" s="968"/>
      <c r="BF47" s="968"/>
      <c r="BG47" s="968"/>
      <c r="BH47" s="968"/>
      <c r="BI47" s="968"/>
      <c r="BJ47" s="968"/>
      <c r="BK47" s="840">
        <f t="shared" si="1"/>
        <v>184</v>
      </c>
      <c r="BL47" s="840"/>
      <c r="BM47" s="840"/>
      <c r="BN47" s="841"/>
      <c r="BO47" s="834"/>
      <c r="BP47" s="832"/>
      <c r="BQ47" s="832"/>
      <c r="BR47" s="832"/>
      <c r="BS47" s="832"/>
      <c r="BT47" s="832"/>
      <c r="BU47" s="832"/>
      <c r="BV47" s="832"/>
      <c r="BW47" s="832"/>
      <c r="BX47" s="832"/>
      <c r="BY47" s="832"/>
      <c r="BZ47" s="832"/>
      <c r="CA47" s="832"/>
      <c r="CB47" s="832"/>
      <c r="CC47" s="832"/>
      <c r="CD47" s="832"/>
      <c r="CE47" s="832"/>
      <c r="CF47" s="832"/>
      <c r="CG47" s="832"/>
      <c r="CH47" s="832"/>
      <c r="CI47" s="832"/>
      <c r="CJ47" s="832"/>
      <c r="CK47" s="832"/>
      <c r="CL47" s="832"/>
      <c r="CM47" s="832"/>
      <c r="CN47" s="832"/>
      <c r="CO47" s="832"/>
      <c r="CP47" s="832"/>
      <c r="CQ47" s="832">
        <v>7</v>
      </c>
      <c r="CR47" s="832"/>
      <c r="CS47" s="832"/>
      <c r="CT47" s="832"/>
      <c r="CU47" s="832"/>
      <c r="CV47" s="832"/>
      <c r="CW47" s="832"/>
      <c r="CX47" s="832"/>
      <c r="CY47" s="832"/>
      <c r="CZ47" s="832"/>
      <c r="DA47" s="832"/>
      <c r="DB47" s="833"/>
      <c r="DC47" s="834"/>
      <c r="DD47" s="832"/>
      <c r="DE47" s="832"/>
      <c r="DF47" s="832"/>
      <c r="DG47" s="832"/>
      <c r="DH47" s="832"/>
      <c r="DI47" s="832"/>
      <c r="DJ47" s="832"/>
      <c r="DK47" s="832"/>
      <c r="DL47" s="832"/>
      <c r="DM47" s="832"/>
      <c r="DN47" s="832"/>
      <c r="DO47" s="832"/>
      <c r="DP47" s="832"/>
      <c r="DQ47" s="832"/>
      <c r="DR47" s="832"/>
      <c r="DS47" s="832"/>
      <c r="DT47" s="832"/>
      <c r="DU47" s="832"/>
      <c r="DV47" s="832"/>
      <c r="DW47" s="832"/>
      <c r="DX47" s="832"/>
      <c r="DY47" s="832"/>
      <c r="DZ47" s="832"/>
      <c r="EA47" s="832"/>
      <c r="EB47" s="832"/>
      <c r="EC47" s="832"/>
      <c r="ED47" s="832"/>
      <c r="EE47" s="832">
        <v>7</v>
      </c>
      <c r="EF47" s="832"/>
      <c r="EG47" s="832"/>
      <c r="EH47" s="832"/>
      <c r="EI47" s="832"/>
      <c r="EJ47" s="832"/>
      <c r="EK47" s="832"/>
      <c r="EL47" s="832"/>
      <c r="EM47" s="832"/>
      <c r="EN47" s="832"/>
      <c r="EO47" s="832"/>
      <c r="EP47" s="833"/>
      <c r="EQ47" s="835">
        <f t="shared" si="2"/>
        <v>7</v>
      </c>
      <c r="ER47" s="836"/>
      <c r="ES47" s="837"/>
      <c r="EU47" s="126"/>
      <c r="EV47" s="126"/>
      <c r="EW47" s="233"/>
      <c r="EX47" s="234"/>
      <c r="EY47" s="235"/>
    </row>
    <row r="48" spans="1:155" s="125" customFormat="1" ht="90" customHeight="1" x14ac:dyDescent="0.65">
      <c r="A48" s="157" t="s">
        <v>9</v>
      </c>
      <c r="B48" s="136" t="s">
        <v>188</v>
      </c>
      <c r="C48" s="388" t="s">
        <v>293</v>
      </c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388"/>
      <c r="P48" s="388"/>
      <c r="Q48" s="388"/>
      <c r="R48" s="388"/>
      <c r="S48" s="388"/>
      <c r="T48" s="388"/>
      <c r="U48" s="388"/>
      <c r="V48" s="388"/>
      <c r="W48" s="388"/>
      <c r="X48" s="388"/>
      <c r="Y48" s="388"/>
      <c r="Z48" s="838">
        <f>EQ48*30</f>
        <v>150</v>
      </c>
      <c r="AA48" s="838"/>
      <c r="AB48" s="838"/>
      <c r="AC48" s="838"/>
      <c r="AD48" s="832"/>
      <c r="AE48" s="832"/>
      <c r="AF48" s="832"/>
      <c r="AG48" s="839">
        <f t="shared" si="3"/>
        <v>18</v>
      </c>
      <c r="AH48" s="839"/>
      <c r="AI48" s="839"/>
      <c r="AJ48" s="839"/>
      <c r="AK48" s="839"/>
      <c r="AL48" s="839">
        <v>10</v>
      </c>
      <c r="AM48" s="839"/>
      <c r="AN48" s="839"/>
      <c r="AO48" s="839"/>
      <c r="AP48" s="839"/>
      <c r="AQ48" s="839">
        <v>8</v>
      </c>
      <c r="AR48" s="839"/>
      <c r="AS48" s="839"/>
      <c r="AT48" s="839"/>
      <c r="AU48" s="839"/>
      <c r="AV48" s="839"/>
      <c r="AW48" s="839"/>
      <c r="AX48" s="839"/>
      <c r="AY48" s="839"/>
      <c r="AZ48" s="839"/>
      <c r="BA48" s="968"/>
      <c r="BB48" s="968"/>
      <c r="BC48" s="968"/>
      <c r="BD48" s="968"/>
      <c r="BE48" s="968"/>
      <c r="BF48" s="968"/>
      <c r="BG48" s="968"/>
      <c r="BH48" s="968"/>
      <c r="BI48" s="968"/>
      <c r="BJ48" s="968"/>
      <c r="BK48" s="840">
        <f>Z48-AG48</f>
        <v>132</v>
      </c>
      <c r="BL48" s="840"/>
      <c r="BM48" s="840"/>
      <c r="BN48" s="841"/>
      <c r="BO48" s="834"/>
      <c r="BP48" s="832"/>
      <c r="BQ48" s="832"/>
      <c r="BR48" s="832"/>
      <c r="BS48" s="832"/>
      <c r="BT48" s="832"/>
      <c r="BU48" s="832"/>
      <c r="BV48" s="832"/>
      <c r="BW48" s="832"/>
      <c r="BX48" s="832"/>
      <c r="BY48" s="832"/>
      <c r="BZ48" s="832"/>
      <c r="CA48" s="832"/>
      <c r="CB48" s="832"/>
      <c r="CC48" s="832"/>
      <c r="CD48" s="832"/>
      <c r="CE48" s="832"/>
      <c r="CF48" s="832"/>
      <c r="CG48" s="832"/>
      <c r="CH48" s="832"/>
      <c r="CI48" s="832"/>
      <c r="CJ48" s="832"/>
      <c r="CK48" s="832"/>
      <c r="CL48" s="832"/>
      <c r="CM48" s="832"/>
      <c r="CN48" s="832"/>
      <c r="CO48" s="832"/>
      <c r="CP48" s="832"/>
      <c r="CQ48" s="832">
        <v>6</v>
      </c>
      <c r="CR48" s="832"/>
      <c r="CS48" s="832"/>
      <c r="CT48" s="832"/>
      <c r="CU48" s="832"/>
      <c r="CV48" s="832"/>
      <c r="CW48" s="832"/>
      <c r="CX48" s="832"/>
      <c r="CY48" s="832"/>
      <c r="CZ48" s="832"/>
      <c r="DA48" s="832"/>
      <c r="DB48" s="833"/>
      <c r="DC48" s="834"/>
      <c r="DD48" s="832"/>
      <c r="DE48" s="832"/>
      <c r="DF48" s="832"/>
      <c r="DG48" s="832"/>
      <c r="DH48" s="832"/>
      <c r="DI48" s="832"/>
      <c r="DJ48" s="832"/>
      <c r="DK48" s="832"/>
      <c r="DL48" s="832"/>
      <c r="DM48" s="832"/>
      <c r="DN48" s="832"/>
      <c r="DO48" s="832"/>
      <c r="DP48" s="832"/>
      <c r="DQ48" s="832"/>
      <c r="DR48" s="832"/>
      <c r="DS48" s="832"/>
      <c r="DT48" s="832"/>
      <c r="DU48" s="832"/>
      <c r="DV48" s="832"/>
      <c r="DW48" s="832"/>
      <c r="DX48" s="832"/>
      <c r="DY48" s="832"/>
      <c r="DZ48" s="832"/>
      <c r="EA48" s="832"/>
      <c r="EB48" s="832"/>
      <c r="EC48" s="832"/>
      <c r="ED48" s="832"/>
      <c r="EE48" s="832">
        <v>5</v>
      </c>
      <c r="EF48" s="832"/>
      <c r="EG48" s="832"/>
      <c r="EH48" s="832"/>
      <c r="EI48" s="832"/>
      <c r="EJ48" s="832"/>
      <c r="EK48" s="832"/>
      <c r="EL48" s="832"/>
      <c r="EM48" s="832"/>
      <c r="EN48" s="832"/>
      <c r="EO48" s="832"/>
      <c r="EP48" s="833"/>
      <c r="EQ48" s="835">
        <f>DC48+DG48+DK48+DO48+DS48+DW48+EA48+EE48+EI48+EM48</f>
        <v>5</v>
      </c>
      <c r="ER48" s="836"/>
      <c r="ES48" s="837"/>
      <c r="EU48" s="126"/>
      <c r="EV48" s="126"/>
      <c r="EW48" s="233"/>
      <c r="EX48" s="234"/>
      <c r="EY48" s="235"/>
    </row>
    <row r="49" spans="1:156" s="125" customFormat="1" ht="120" customHeight="1" x14ac:dyDescent="0.65">
      <c r="A49" s="157" t="s">
        <v>105</v>
      </c>
      <c r="B49" s="300" t="s">
        <v>324</v>
      </c>
      <c r="C49" s="388" t="s">
        <v>126</v>
      </c>
      <c r="D49" s="388"/>
      <c r="E49" s="388"/>
      <c r="F49" s="388"/>
      <c r="G49" s="388"/>
      <c r="H49" s="388"/>
      <c r="I49" s="388"/>
      <c r="J49" s="388"/>
      <c r="K49" s="388"/>
      <c r="L49" s="388"/>
      <c r="M49" s="388"/>
      <c r="N49" s="388"/>
      <c r="O49" s="388"/>
      <c r="P49" s="388"/>
      <c r="Q49" s="388"/>
      <c r="R49" s="388"/>
      <c r="S49" s="388"/>
      <c r="T49" s="388"/>
      <c r="U49" s="388"/>
      <c r="V49" s="388"/>
      <c r="W49" s="388"/>
      <c r="X49" s="388"/>
      <c r="Y49" s="388"/>
      <c r="Z49" s="838">
        <f>EQ49*30</f>
        <v>180</v>
      </c>
      <c r="AA49" s="838"/>
      <c r="AB49" s="838"/>
      <c r="AC49" s="838"/>
      <c r="AD49" s="832"/>
      <c r="AE49" s="832"/>
      <c r="AF49" s="832"/>
      <c r="AG49" s="839">
        <f t="shared" si="3"/>
        <v>22</v>
      </c>
      <c r="AH49" s="839"/>
      <c r="AI49" s="839"/>
      <c r="AJ49" s="839"/>
      <c r="AK49" s="839"/>
      <c r="AL49" s="839">
        <v>12</v>
      </c>
      <c r="AM49" s="839"/>
      <c r="AN49" s="839"/>
      <c r="AO49" s="839"/>
      <c r="AP49" s="839"/>
      <c r="AQ49" s="839">
        <v>10</v>
      </c>
      <c r="AR49" s="839"/>
      <c r="AS49" s="839"/>
      <c r="AT49" s="839"/>
      <c r="AU49" s="839"/>
      <c r="AV49" s="839"/>
      <c r="AW49" s="839"/>
      <c r="AX49" s="839"/>
      <c r="AY49" s="839"/>
      <c r="AZ49" s="839"/>
      <c r="BA49" s="968"/>
      <c r="BB49" s="968"/>
      <c r="BC49" s="968"/>
      <c r="BD49" s="968"/>
      <c r="BE49" s="968"/>
      <c r="BF49" s="968" t="s">
        <v>331</v>
      </c>
      <c r="BG49" s="968"/>
      <c r="BH49" s="968"/>
      <c r="BI49" s="968"/>
      <c r="BJ49" s="968"/>
      <c r="BK49" s="840">
        <f>Z49-AG49</f>
        <v>158</v>
      </c>
      <c r="BL49" s="840"/>
      <c r="BM49" s="840"/>
      <c r="BN49" s="841"/>
      <c r="BO49" s="834"/>
      <c r="BP49" s="832"/>
      <c r="BQ49" s="832"/>
      <c r="BR49" s="832"/>
      <c r="BS49" s="832"/>
      <c r="BT49" s="832"/>
      <c r="BU49" s="832"/>
      <c r="BV49" s="832"/>
      <c r="BW49" s="832"/>
      <c r="BX49" s="832"/>
      <c r="BY49" s="832"/>
      <c r="BZ49" s="832"/>
      <c r="CA49" s="832"/>
      <c r="CB49" s="832"/>
      <c r="CC49" s="832"/>
      <c r="CD49" s="832"/>
      <c r="CE49" s="832"/>
      <c r="CF49" s="832"/>
      <c r="CG49" s="832"/>
      <c r="CH49" s="832"/>
      <c r="CI49" s="832"/>
      <c r="CJ49" s="832"/>
      <c r="CK49" s="832"/>
      <c r="CL49" s="832"/>
      <c r="CM49" s="832"/>
      <c r="CN49" s="832"/>
      <c r="CO49" s="832"/>
      <c r="CP49" s="832"/>
      <c r="CQ49" s="832"/>
      <c r="CR49" s="832"/>
      <c r="CS49" s="832"/>
      <c r="CT49" s="832"/>
      <c r="CU49" s="832">
        <v>7</v>
      </c>
      <c r="CV49" s="832"/>
      <c r="CW49" s="832"/>
      <c r="CX49" s="832"/>
      <c r="CY49" s="832"/>
      <c r="CZ49" s="832"/>
      <c r="DA49" s="832"/>
      <c r="DB49" s="833"/>
      <c r="DC49" s="834"/>
      <c r="DD49" s="832"/>
      <c r="DE49" s="832"/>
      <c r="DF49" s="832"/>
      <c r="DG49" s="832"/>
      <c r="DH49" s="832"/>
      <c r="DI49" s="832"/>
      <c r="DJ49" s="832"/>
      <c r="DK49" s="832"/>
      <c r="DL49" s="832"/>
      <c r="DM49" s="832"/>
      <c r="DN49" s="832"/>
      <c r="DO49" s="832"/>
      <c r="DP49" s="832"/>
      <c r="DQ49" s="832"/>
      <c r="DR49" s="832"/>
      <c r="DS49" s="832"/>
      <c r="DT49" s="832"/>
      <c r="DU49" s="832"/>
      <c r="DV49" s="832"/>
      <c r="DW49" s="832"/>
      <c r="DX49" s="832"/>
      <c r="DY49" s="832"/>
      <c r="DZ49" s="832"/>
      <c r="EA49" s="832"/>
      <c r="EB49" s="832"/>
      <c r="EC49" s="832"/>
      <c r="ED49" s="832"/>
      <c r="EE49" s="832"/>
      <c r="EF49" s="832"/>
      <c r="EG49" s="832"/>
      <c r="EH49" s="832"/>
      <c r="EI49" s="832">
        <v>6</v>
      </c>
      <c r="EJ49" s="832"/>
      <c r="EK49" s="832"/>
      <c r="EL49" s="832"/>
      <c r="EM49" s="832"/>
      <c r="EN49" s="832"/>
      <c r="EO49" s="832"/>
      <c r="EP49" s="833"/>
      <c r="EQ49" s="835">
        <f>DC49+DG49+DK49+DO49+DS49+DW49+EA49+EE49+EI49+EM49</f>
        <v>6</v>
      </c>
      <c r="ER49" s="836"/>
      <c r="ES49" s="837"/>
      <c r="EU49" s="126"/>
      <c r="EV49" s="126"/>
      <c r="EW49" s="233"/>
      <c r="EX49" s="234"/>
      <c r="EY49" s="235"/>
    </row>
    <row r="50" spans="1:156" s="125" customFormat="1" ht="120" customHeight="1" x14ac:dyDescent="0.65">
      <c r="A50" s="157" t="s">
        <v>108</v>
      </c>
      <c r="B50" s="136" t="s">
        <v>153</v>
      </c>
      <c r="C50" s="388" t="s">
        <v>154</v>
      </c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838">
        <f>EQ50*30</f>
        <v>120</v>
      </c>
      <c r="AA50" s="838"/>
      <c r="AB50" s="838"/>
      <c r="AC50" s="838"/>
      <c r="AD50" s="832"/>
      <c r="AE50" s="832"/>
      <c r="AF50" s="832"/>
      <c r="AG50" s="839">
        <f t="shared" si="3"/>
        <v>32</v>
      </c>
      <c r="AH50" s="839"/>
      <c r="AI50" s="839"/>
      <c r="AJ50" s="839"/>
      <c r="AK50" s="839"/>
      <c r="AL50" s="839">
        <v>16</v>
      </c>
      <c r="AM50" s="839"/>
      <c r="AN50" s="839"/>
      <c r="AO50" s="839"/>
      <c r="AP50" s="839"/>
      <c r="AQ50" s="839">
        <v>16</v>
      </c>
      <c r="AR50" s="839"/>
      <c r="AS50" s="839"/>
      <c r="AT50" s="839"/>
      <c r="AU50" s="839"/>
      <c r="AV50" s="839"/>
      <c r="AW50" s="839"/>
      <c r="AX50" s="839"/>
      <c r="AY50" s="839"/>
      <c r="AZ50" s="839"/>
      <c r="BA50" s="968"/>
      <c r="BB50" s="968"/>
      <c r="BC50" s="968"/>
      <c r="BD50" s="968"/>
      <c r="BE50" s="968"/>
      <c r="BF50" s="968"/>
      <c r="BG50" s="968"/>
      <c r="BH50" s="968"/>
      <c r="BI50" s="968"/>
      <c r="BJ50" s="968"/>
      <c r="BK50" s="840">
        <f>Z50-AG50</f>
        <v>88</v>
      </c>
      <c r="BL50" s="840"/>
      <c r="BM50" s="840"/>
      <c r="BN50" s="841"/>
      <c r="BO50" s="834">
        <v>8</v>
      </c>
      <c r="BP50" s="832"/>
      <c r="BQ50" s="832"/>
      <c r="BR50" s="832"/>
      <c r="BS50" s="832"/>
      <c r="BT50" s="832"/>
      <c r="BU50" s="832"/>
      <c r="BV50" s="832"/>
      <c r="BW50" s="832"/>
      <c r="BX50" s="832"/>
      <c r="BY50" s="832"/>
      <c r="BZ50" s="832"/>
      <c r="CA50" s="832"/>
      <c r="CB50" s="832"/>
      <c r="CC50" s="832"/>
      <c r="CD50" s="832"/>
      <c r="CE50" s="832"/>
      <c r="CF50" s="832"/>
      <c r="CG50" s="832"/>
      <c r="CH50" s="832"/>
      <c r="CI50" s="832"/>
      <c r="CJ50" s="832"/>
      <c r="CK50" s="832"/>
      <c r="CL50" s="832"/>
      <c r="CM50" s="832"/>
      <c r="CN50" s="832"/>
      <c r="CO50" s="832"/>
      <c r="CP50" s="832"/>
      <c r="CQ50" s="832"/>
      <c r="CR50" s="832"/>
      <c r="CS50" s="832"/>
      <c r="CT50" s="832"/>
      <c r="CU50" s="832"/>
      <c r="CV50" s="832"/>
      <c r="CW50" s="832"/>
      <c r="CX50" s="832"/>
      <c r="CY50" s="832"/>
      <c r="CZ50" s="832"/>
      <c r="DA50" s="832"/>
      <c r="DB50" s="833"/>
      <c r="DC50" s="834">
        <v>4</v>
      </c>
      <c r="DD50" s="832"/>
      <c r="DE50" s="832"/>
      <c r="DF50" s="832"/>
      <c r="DG50" s="832"/>
      <c r="DH50" s="832"/>
      <c r="DI50" s="832"/>
      <c r="DJ50" s="832"/>
      <c r="DK50" s="832"/>
      <c r="DL50" s="832"/>
      <c r="DM50" s="832"/>
      <c r="DN50" s="832"/>
      <c r="DO50" s="832"/>
      <c r="DP50" s="832"/>
      <c r="DQ50" s="832"/>
      <c r="DR50" s="832"/>
      <c r="DS50" s="832"/>
      <c r="DT50" s="832"/>
      <c r="DU50" s="832"/>
      <c r="DV50" s="832"/>
      <c r="DW50" s="832"/>
      <c r="DX50" s="832"/>
      <c r="DY50" s="832"/>
      <c r="DZ50" s="832"/>
      <c r="EA50" s="832"/>
      <c r="EB50" s="832"/>
      <c r="EC50" s="832"/>
      <c r="ED50" s="832"/>
      <c r="EE50" s="832"/>
      <c r="EF50" s="832"/>
      <c r="EG50" s="832"/>
      <c r="EH50" s="832"/>
      <c r="EI50" s="832"/>
      <c r="EJ50" s="832"/>
      <c r="EK50" s="832"/>
      <c r="EL50" s="832"/>
      <c r="EM50" s="832"/>
      <c r="EN50" s="832"/>
      <c r="EO50" s="832"/>
      <c r="EP50" s="833"/>
      <c r="EQ50" s="835">
        <f>DC50+DG50+DK50+DO50+DS50+DW50+EA50+EE50+EI50+EM50</f>
        <v>4</v>
      </c>
      <c r="ER50" s="836"/>
      <c r="ES50" s="837"/>
      <c r="EU50" s="126"/>
      <c r="EV50" s="126"/>
      <c r="EW50" s="233"/>
      <c r="EX50" s="234"/>
      <c r="EY50" s="235"/>
    </row>
    <row r="51" spans="1:156" s="125" customFormat="1" ht="90" customHeight="1" x14ac:dyDescent="0.65">
      <c r="A51" s="157" t="s">
        <v>152</v>
      </c>
      <c r="B51" s="139" t="s">
        <v>146</v>
      </c>
      <c r="C51" s="402" t="s">
        <v>112</v>
      </c>
      <c r="D51" s="402"/>
      <c r="E51" s="402"/>
      <c r="F51" s="402"/>
      <c r="G51" s="402"/>
      <c r="H51" s="402"/>
      <c r="I51" s="402"/>
      <c r="J51" s="402"/>
      <c r="K51" s="402"/>
      <c r="L51" s="402"/>
      <c r="M51" s="402"/>
      <c r="N51" s="402"/>
      <c r="O51" s="402"/>
      <c r="P51" s="402"/>
      <c r="Q51" s="402"/>
      <c r="R51" s="402"/>
      <c r="S51" s="402"/>
      <c r="T51" s="402"/>
      <c r="U51" s="402"/>
      <c r="V51" s="402"/>
      <c r="W51" s="402"/>
      <c r="X51" s="402"/>
      <c r="Y51" s="402"/>
      <c r="Z51" s="838">
        <f t="shared" ref="Z51:Z62" si="4">EQ51*30</f>
        <v>180</v>
      </c>
      <c r="AA51" s="838"/>
      <c r="AB51" s="838"/>
      <c r="AC51" s="838"/>
      <c r="AD51" s="832"/>
      <c r="AE51" s="832"/>
      <c r="AF51" s="832"/>
      <c r="AG51" s="839">
        <f t="shared" si="3"/>
        <v>32</v>
      </c>
      <c r="AH51" s="839"/>
      <c r="AI51" s="839"/>
      <c r="AJ51" s="839"/>
      <c r="AK51" s="839"/>
      <c r="AL51" s="839">
        <v>16</v>
      </c>
      <c r="AM51" s="839"/>
      <c r="AN51" s="839"/>
      <c r="AO51" s="839"/>
      <c r="AP51" s="839"/>
      <c r="AQ51" s="839">
        <v>16</v>
      </c>
      <c r="AR51" s="839"/>
      <c r="AS51" s="839"/>
      <c r="AT51" s="839"/>
      <c r="AU51" s="839"/>
      <c r="AV51" s="839"/>
      <c r="AW51" s="839"/>
      <c r="AX51" s="839"/>
      <c r="AY51" s="839"/>
      <c r="AZ51" s="839"/>
      <c r="BA51" s="839"/>
      <c r="BB51" s="839"/>
      <c r="BC51" s="839"/>
      <c r="BD51" s="839"/>
      <c r="BE51" s="839"/>
      <c r="BF51" s="839"/>
      <c r="BG51" s="839"/>
      <c r="BH51" s="839"/>
      <c r="BI51" s="839"/>
      <c r="BJ51" s="839"/>
      <c r="BK51" s="840">
        <f t="shared" ref="BK51:BK62" si="5">Z51-AG51</f>
        <v>148</v>
      </c>
      <c r="BL51" s="840"/>
      <c r="BM51" s="840"/>
      <c r="BN51" s="841"/>
      <c r="BO51" s="834">
        <v>8</v>
      </c>
      <c r="BP51" s="832"/>
      <c r="BQ51" s="832"/>
      <c r="BR51" s="832"/>
      <c r="BS51" s="832"/>
      <c r="BT51" s="832"/>
      <c r="BU51" s="832"/>
      <c r="BV51" s="832"/>
      <c r="BW51" s="832"/>
      <c r="BX51" s="832"/>
      <c r="BY51" s="832"/>
      <c r="BZ51" s="832"/>
      <c r="CA51" s="832"/>
      <c r="CB51" s="832"/>
      <c r="CC51" s="832"/>
      <c r="CD51" s="832"/>
      <c r="CE51" s="832"/>
      <c r="CF51" s="832"/>
      <c r="CG51" s="832"/>
      <c r="CH51" s="832"/>
      <c r="CI51" s="832"/>
      <c r="CJ51" s="832"/>
      <c r="CK51" s="832"/>
      <c r="CL51" s="832"/>
      <c r="CM51" s="832"/>
      <c r="CN51" s="832"/>
      <c r="CO51" s="832"/>
      <c r="CP51" s="832"/>
      <c r="CQ51" s="832"/>
      <c r="CR51" s="832"/>
      <c r="CS51" s="832"/>
      <c r="CT51" s="832"/>
      <c r="CU51" s="832"/>
      <c r="CV51" s="832"/>
      <c r="CW51" s="832"/>
      <c r="CX51" s="832"/>
      <c r="CY51" s="832"/>
      <c r="CZ51" s="832"/>
      <c r="DA51" s="832"/>
      <c r="DB51" s="833"/>
      <c r="DC51" s="834">
        <v>6</v>
      </c>
      <c r="DD51" s="832"/>
      <c r="DE51" s="832"/>
      <c r="DF51" s="832"/>
      <c r="DG51" s="832"/>
      <c r="DH51" s="832"/>
      <c r="DI51" s="832"/>
      <c r="DJ51" s="832"/>
      <c r="DK51" s="832"/>
      <c r="DL51" s="832"/>
      <c r="DM51" s="832"/>
      <c r="DN51" s="832"/>
      <c r="DO51" s="832"/>
      <c r="DP51" s="832"/>
      <c r="DQ51" s="832"/>
      <c r="DR51" s="832"/>
      <c r="DS51" s="832"/>
      <c r="DT51" s="832"/>
      <c r="DU51" s="832"/>
      <c r="DV51" s="832"/>
      <c r="DW51" s="832"/>
      <c r="DX51" s="832"/>
      <c r="DY51" s="832"/>
      <c r="DZ51" s="832"/>
      <c r="EA51" s="832"/>
      <c r="EB51" s="832"/>
      <c r="EC51" s="832"/>
      <c r="ED51" s="832"/>
      <c r="EE51" s="832"/>
      <c r="EF51" s="832"/>
      <c r="EG51" s="832"/>
      <c r="EH51" s="832"/>
      <c r="EI51" s="832"/>
      <c r="EJ51" s="832"/>
      <c r="EK51" s="832"/>
      <c r="EL51" s="832"/>
      <c r="EM51" s="832"/>
      <c r="EN51" s="832"/>
      <c r="EO51" s="832"/>
      <c r="EP51" s="833"/>
      <c r="EQ51" s="835">
        <f t="shared" ref="EQ51:EQ62" si="6">DC51+DG51+DK51+DO51+DS51+DW51+EA51+EE51+EI51+EM51</f>
        <v>6</v>
      </c>
      <c r="ER51" s="836"/>
      <c r="ES51" s="837"/>
      <c r="EU51" s="126"/>
      <c r="EV51" s="126"/>
      <c r="EW51" s="233"/>
      <c r="EX51" s="234"/>
      <c r="EY51" s="235"/>
    </row>
    <row r="52" spans="1:156" s="125" customFormat="1" ht="90" customHeight="1" x14ac:dyDescent="0.65">
      <c r="A52" s="157" t="s">
        <v>163</v>
      </c>
      <c r="B52" s="139" t="s">
        <v>340</v>
      </c>
      <c r="C52" s="535" t="s">
        <v>337</v>
      </c>
      <c r="D52" s="535"/>
      <c r="E52" s="535"/>
      <c r="F52" s="535"/>
      <c r="G52" s="535"/>
      <c r="H52" s="535"/>
      <c r="I52" s="535"/>
      <c r="J52" s="535"/>
      <c r="K52" s="535"/>
      <c r="L52" s="535"/>
      <c r="M52" s="535"/>
      <c r="N52" s="535"/>
      <c r="O52" s="535"/>
      <c r="P52" s="535"/>
      <c r="Q52" s="535"/>
      <c r="R52" s="535"/>
      <c r="S52" s="535"/>
      <c r="T52" s="535"/>
      <c r="U52" s="535"/>
      <c r="V52" s="535"/>
      <c r="W52" s="535"/>
      <c r="X52" s="535"/>
      <c r="Y52" s="535"/>
      <c r="Z52" s="838">
        <f t="shared" si="4"/>
        <v>390</v>
      </c>
      <c r="AA52" s="838"/>
      <c r="AB52" s="838"/>
      <c r="AC52" s="838"/>
      <c r="AD52" s="832"/>
      <c r="AE52" s="832"/>
      <c r="AF52" s="832"/>
      <c r="AG52" s="839">
        <f t="shared" si="3"/>
        <v>68</v>
      </c>
      <c r="AH52" s="839"/>
      <c r="AI52" s="839"/>
      <c r="AJ52" s="839"/>
      <c r="AK52" s="839"/>
      <c r="AL52" s="839"/>
      <c r="AM52" s="839"/>
      <c r="AN52" s="839"/>
      <c r="AO52" s="839"/>
      <c r="AP52" s="839"/>
      <c r="AQ52" s="839">
        <v>68</v>
      </c>
      <c r="AR52" s="839"/>
      <c r="AS52" s="839"/>
      <c r="AT52" s="839"/>
      <c r="AU52" s="839"/>
      <c r="AV52" s="839"/>
      <c r="AW52" s="839"/>
      <c r="AX52" s="839"/>
      <c r="AY52" s="839"/>
      <c r="AZ52" s="839"/>
      <c r="BA52" s="839"/>
      <c r="BB52" s="839"/>
      <c r="BC52" s="839"/>
      <c r="BD52" s="839"/>
      <c r="BE52" s="839"/>
      <c r="BF52" s="839"/>
      <c r="BG52" s="839"/>
      <c r="BH52" s="839"/>
      <c r="BI52" s="839"/>
      <c r="BJ52" s="839"/>
      <c r="BK52" s="840">
        <f t="shared" si="5"/>
        <v>322</v>
      </c>
      <c r="BL52" s="840"/>
      <c r="BM52" s="840"/>
      <c r="BN52" s="841"/>
      <c r="BO52" s="834">
        <v>4</v>
      </c>
      <c r="BP52" s="832"/>
      <c r="BQ52" s="832"/>
      <c r="BR52" s="832"/>
      <c r="BS52" s="832">
        <v>4</v>
      </c>
      <c r="BT52" s="832"/>
      <c r="BU52" s="832"/>
      <c r="BV52" s="832"/>
      <c r="BW52" s="832">
        <v>4</v>
      </c>
      <c r="BX52" s="832"/>
      <c r="BY52" s="832"/>
      <c r="BZ52" s="832"/>
      <c r="CA52" s="832"/>
      <c r="CB52" s="832"/>
      <c r="CC52" s="832"/>
      <c r="CD52" s="832"/>
      <c r="CE52" s="832"/>
      <c r="CF52" s="832"/>
      <c r="CG52" s="832"/>
      <c r="CH52" s="832"/>
      <c r="CI52" s="832"/>
      <c r="CJ52" s="832"/>
      <c r="CK52" s="832"/>
      <c r="CL52" s="832"/>
      <c r="CM52" s="832"/>
      <c r="CN52" s="832"/>
      <c r="CO52" s="832"/>
      <c r="CP52" s="832"/>
      <c r="CQ52" s="832"/>
      <c r="CR52" s="832"/>
      <c r="CS52" s="832"/>
      <c r="CT52" s="832"/>
      <c r="CU52" s="832"/>
      <c r="CV52" s="832"/>
      <c r="CW52" s="832"/>
      <c r="CX52" s="832"/>
      <c r="CY52" s="832"/>
      <c r="CZ52" s="832"/>
      <c r="DA52" s="832"/>
      <c r="DB52" s="833"/>
      <c r="DC52" s="834">
        <v>4</v>
      </c>
      <c r="DD52" s="832"/>
      <c r="DE52" s="832"/>
      <c r="DF52" s="832"/>
      <c r="DG52" s="832">
        <v>4</v>
      </c>
      <c r="DH52" s="832"/>
      <c r="DI52" s="832"/>
      <c r="DJ52" s="832"/>
      <c r="DK52" s="832">
        <v>5</v>
      </c>
      <c r="DL52" s="832"/>
      <c r="DM52" s="832"/>
      <c r="DN52" s="832"/>
      <c r="DO52" s="832"/>
      <c r="DP52" s="832"/>
      <c r="DQ52" s="832"/>
      <c r="DR52" s="832"/>
      <c r="DS52" s="832"/>
      <c r="DT52" s="832"/>
      <c r="DU52" s="832"/>
      <c r="DV52" s="832"/>
      <c r="DW52" s="832"/>
      <c r="DX52" s="832"/>
      <c r="DY52" s="832"/>
      <c r="DZ52" s="832"/>
      <c r="EA52" s="832"/>
      <c r="EB52" s="832"/>
      <c r="EC52" s="832"/>
      <c r="ED52" s="832"/>
      <c r="EE52" s="832"/>
      <c r="EF52" s="832"/>
      <c r="EG52" s="832"/>
      <c r="EH52" s="832"/>
      <c r="EI52" s="832"/>
      <c r="EJ52" s="832"/>
      <c r="EK52" s="832"/>
      <c r="EL52" s="832"/>
      <c r="EM52" s="832"/>
      <c r="EN52" s="832"/>
      <c r="EO52" s="832"/>
      <c r="EP52" s="833"/>
      <c r="EQ52" s="835">
        <f t="shared" si="6"/>
        <v>13</v>
      </c>
      <c r="ER52" s="836"/>
      <c r="ES52" s="837"/>
      <c r="ET52" s="301" t="s">
        <v>259</v>
      </c>
      <c r="EU52" s="126"/>
      <c r="EV52" s="126"/>
      <c r="EW52" s="233"/>
      <c r="EX52" s="234"/>
      <c r="EY52" s="235"/>
    </row>
    <row r="53" spans="1:156" s="125" customFormat="1" ht="90" customHeight="1" x14ac:dyDescent="0.65">
      <c r="A53" s="157" t="s">
        <v>164</v>
      </c>
      <c r="B53" s="139" t="s">
        <v>145</v>
      </c>
      <c r="C53" s="535" t="s">
        <v>110</v>
      </c>
      <c r="D53" s="535"/>
      <c r="E53" s="535"/>
      <c r="F53" s="535"/>
      <c r="G53" s="535"/>
      <c r="H53" s="535"/>
      <c r="I53" s="535"/>
      <c r="J53" s="535"/>
      <c r="K53" s="535"/>
      <c r="L53" s="535"/>
      <c r="M53" s="535"/>
      <c r="N53" s="535"/>
      <c r="O53" s="535"/>
      <c r="P53" s="535"/>
      <c r="Q53" s="535"/>
      <c r="R53" s="535"/>
      <c r="S53" s="535"/>
      <c r="T53" s="535"/>
      <c r="U53" s="535"/>
      <c r="V53" s="535"/>
      <c r="W53" s="535"/>
      <c r="X53" s="535"/>
      <c r="Y53" s="535"/>
      <c r="Z53" s="838">
        <f t="shared" ref="Z53" si="7">EQ53*30</f>
        <v>150</v>
      </c>
      <c r="AA53" s="838"/>
      <c r="AB53" s="838"/>
      <c r="AC53" s="838"/>
      <c r="AD53" s="832"/>
      <c r="AE53" s="832"/>
      <c r="AF53" s="832"/>
      <c r="AG53" s="839">
        <f t="shared" ref="AG53" si="8">SUM(AL53:BE53)</f>
        <v>69</v>
      </c>
      <c r="AH53" s="839"/>
      <c r="AI53" s="839"/>
      <c r="AJ53" s="839"/>
      <c r="AK53" s="839"/>
      <c r="AL53" s="839"/>
      <c r="AM53" s="839"/>
      <c r="AN53" s="839"/>
      <c r="AO53" s="839"/>
      <c r="AP53" s="839"/>
      <c r="AQ53" s="839">
        <v>69</v>
      </c>
      <c r="AR53" s="839"/>
      <c r="AS53" s="839"/>
      <c r="AT53" s="839"/>
      <c r="AU53" s="839"/>
      <c r="AV53" s="839"/>
      <c r="AW53" s="839"/>
      <c r="AX53" s="839"/>
      <c r="AY53" s="839"/>
      <c r="AZ53" s="839"/>
      <c r="BA53" s="839"/>
      <c r="BB53" s="839"/>
      <c r="BC53" s="839"/>
      <c r="BD53" s="839"/>
      <c r="BE53" s="839"/>
      <c r="BF53" s="839"/>
      <c r="BG53" s="839"/>
      <c r="BH53" s="839"/>
      <c r="BI53" s="839"/>
      <c r="BJ53" s="839"/>
      <c r="BK53" s="840">
        <f t="shared" ref="BK53" si="9">Z53-AG53</f>
        <v>81</v>
      </c>
      <c r="BL53" s="840"/>
      <c r="BM53" s="840"/>
      <c r="BN53" s="841"/>
      <c r="BO53" s="834"/>
      <c r="BP53" s="832"/>
      <c r="BQ53" s="832"/>
      <c r="BR53" s="832"/>
      <c r="BS53" s="832"/>
      <c r="BT53" s="832"/>
      <c r="BU53" s="832"/>
      <c r="BV53" s="832"/>
      <c r="BW53" s="832"/>
      <c r="BX53" s="832"/>
      <c r="BY53" s="832"/>
      <c r="BZ53" s="832"/>
      <c r="CA53" s="832">
        <v>4</v>
      </c>
      <c r="CB53" s="832"/>
      <c r="CC53" s="832"/>
      <c r="CD53" s="832"/>
      <c r="CE53" s="832"/>
      <c r="CF53" s="832"/>
      <c r="CG53" s="832"/>
      <c r="CH53" s="832"/>
      <c r="CI53" s="832"/>
      <c r="CJ53" s="832"/>
      <c r="CK53" s="832"/>
      <c r="CL53" s="832"/>
      <c r="CM53" s="832"/>
      <c r="CN53" s="832"/>
      <c r="CO53" s="832"/>
      <c r="CP53" s="832"/>
      <c r="CQ53" s="832"/>
      <c r="CR53" s="832"/>
      <c r="CS53" s="832"/>
      <c r="CT53" s="832"/>
      <c r="CU53" s="832"/>
      <c r="CV53" s="832"/>
      <c r="CW53" s="832"/>
      <c r="CX53" s="832"/>
      <c r="CY53" s="832"/>
      <c r="CZ53" s="832"/>
      <c r="DA53" s="832"/>
      <c r="DB53" s="833"/>
      <c r="DC53" s="834"/>
      <c r="DD53" s="832"/>
      <c r="DE53" s="832"/>
      <c r="DF53" s="832"/>
      <c r="DG53" s="832"/>
      <c r="DH53" s="832"/>
      <c r="DI53" s="832"/>
      <c r="DJ53" s="832"/>
      <c r="DK53" s="832"/>
      <c r="DL53" s="832"/>
      <c r="DM53" s="832"/>
      <c r="DN53" s="832"/>
      <c r="DO53" s="832">
        <v>5</v>
      </c>
      <c r="DP53" s="832"/>
      <c r="DQ53" s="832"/>
      <c r="DR53" s="832"/>
      <c r="DS53" s="832"/>
      <c r="DT53" s="832"/>
      <c r="DU53" s="832"/>
      <c r="DV53" s="832"/>
      <c r="DW53" s="832"/>
      <c r="DX53" s="832"/>
      <c r="DY53" s="832"/>
      <c r="DZ53" s="832"/>
      <c r="EA53" s="832"/>
      <c r="EB53" s="832"/>
      <c r="EC53" s="832"/>
      <c r="ED53" s="832"/>
      <c r="EE53" s="832"/>
      <c r="EF53" s="832"/>
      <c r="EG53" s="832"/>
      <c r="EH53" s="832"/>
      <c r="EI53" s="832"/>
      <c r="EJ53" s="832"/>
      <c r="EK53" s="832"/>
      <c r="EL53" s="832"/>
      <c r="EM53" s="832"/>
      <c r="EN53" s="832"/>
      <c r="EO53" s="832"/>
      <c r="EP53" s="833"/>
      <c r="EQ53" s="835">
        <f t="shared" ref="EQ53" si="10">DC53+DG53+DK53+DO53+DS53+DW53+EA53+EE53+EI53+EM53</f>
        <v>5</v>
      </c>
      <c r="ER53" s="836"/>
      <c r="ES53" s="837"/>
      <c r="ET53" s="301"/>
      <c r="EU53" s="126"/>
      <c r="EV53" s="126"/>
      <c r="EW53" s="233"/>
      <c r="EX53" s="234"/>
      <c r="EY53" s="235"/>
    </row>
    <row r="54" spans="1:156" s="304" customFormat="1" ht="90" customHeight="1" x14ac:dyDescent="0.65">
      <c r="A54" s="302" t="s">
        <v>165</v>
      </c>
      <c r="B54" s="309" t="s">
        <v>155</v>
      </c>
      <c r="C54" s="411" t="s">
        <v>210</v>
      </c>
      <c r="D54" s="411"/>
      <c r="E54" s="411"/>
      <c r="F54" s="411"/>
      <c r="G54" s="411"/>
      <c r="H54" s="411"/>
      <c r="I54" s="411"/>
      <c r="J54" s="411"/>
      <c r="K54" s="411"/>
      <c r="L54" s="411"/>
      <c r="M54" s="411"/>
      <c r="N54" s="411"/>
      <c r="O54" s="411"/>
      <c r="P54" s="411"/>
      <c r="Q54" s="411"/>
      <c r="R54" s="411"/>
      <c r="S54" s="411"/>
      <c r="T54" s="411"/>
      <c r="U54" s="411"/>
      <c r="V54" s="411"/>
      <c r="W54" s="411"/>
      <c r="X54" s="411"/>
      <c r="Y54" s="411"/>
      <c r="Z54" s="985">
        <f>EQ54*30</f>
        <v>120</v>
      </c>
      <c r="AA54" s="985"/>
      <c r="AB54" s="985"/>
      <c r="AC54" s="985"/>
      <c r="AD54" s="976"/>
      <c r="AE54" s="976"/>
      <c r="AF54" s="976"/>
      <c r="AG54" s="981">
        <f t="shared" si="3"/>
        <v>16</v>
      </c>
      <c r="AH54" s="981"/>
      <c r="AI54" s="981"/>
      <c r="AJ54" s="981"/>
      <c r="AK54" s="981"/>
      <c r="AL54" s="981">
        <v>8</v>
      </c>
      <c r="AM54" s="981"/>
      <c r="AN54" s="981"/>
      <c r="AO54" s="981"/>
      <c r="AP54" s="981"/>
      <c r="AQ54" s="981">
        <v>8</v>
      </c>
      <c r="AR54" s="981"/>
      <c r="AS54" s="981"/>
      <c r="AT54" s="981"/>
      <c r="AU54" s="981"/>
      <c r="AV54" s="981"/>
      <c r="AW54" s="981"/>
      <c r="AX54" s="981"/>
      <c r="AY54" s="981"/>
      <c r="AZ54" s="981"/>
      <c r="BA54" s="982"/>
      <c r="BB54" s="982"/>
      <c r="BC54" s="982"/>
      <c r="BD54" s="982"/>
      <c r="BE54" s="982"/>
      <c r="BF54" s="982"/>
      <c r="BG54" s="982"/>
      <c r="BH54" s="982"/>
      <c r="BI54" s="982"/>
      <c r="BJ54" s="982"/>
      <c r="BK54" s="983">
        <f>Z54-AG54</f>
        <v>104</v>
      </c>
      <c r="BL54" s="983"/>
      <c r="BM54" s="983"/>
      <c r="BN54" s="984"/>
      <c r="BO54" s="975"/>
      <c r="BP54" s="976"/>
      <c r="BQ54" s="976"/>
      <c r="BR54" s="976"/>
      <c r="BS54" s="976"/>
      <c r="BT54" s="976"/>
      <c r="BU54" s="976"/>
      <c r="BV54" s="976"/>
      <c r="BW54" s="976"/>
      <c r="BX54" s="976"/>
      <c r="BY54" s="976"/>
      <c r="BZ54" s="976"/>
      <c r="CA54" s="976"/>
      <c r="CB54" s="976"/>
      <c r="CC54" s="976"/>
      <c r="CD54" s="976"/>
      <c r="CE54" s="976"/>
      <c r="CF54" s="976"/>
      <c r="CG54" s="976"/>
      <c r="CH54" s="976"/>
      <c r="CI54" s="976"/>
      <c r="CJ54" s="976"/>
      <c r="CK54" s="976"/>
      <c r="CL54" s="976"/>
      <c r="CM54" s="976">
        <v>5</v>
      </c>
      <c r="CN54" s="976"/>
      <c r="CO54" s="976"/>
      <c r="CP54" s="976"/>
      <c r="CQ54" s="976"/>
      <c r="CR54" s="976"/>
      <c r="CS54" s="976"/>
      <c r="CT54" s="976"/>
      <c r="CU54" s="976"/>
      <c r="CV54" s="976"/>
      <c r="CW54" s="976"/>
      <c r="CX54" s="976"/>
      <c r="CY54" s="976"/>
      <c r="CZ54" s="976"/>
      <c r="DA54" s="976"/>
      <c r="DB54" s="980"/>
      <c r="DC54" s="975"/>
      <c r="DD54" s="976"/>
      <c r="DE54" s="976"/>
      <c r="DF54" s="976"/>
      <c r="DG54" s="976"/>
      <c r="DH54" s="976"/>
      <c r="DI54" s="976"/>
      <c r="DJ54" s="976"/>
      <c r="DK54" s="976"/>
      <c r="DL54" s="976"/>
      <c r="DM54" s="976"/>
      <c r="DN54" s="976"/>
      <c r="DO54" s="976"/>
      <c r="DP54" s="976"/>
      <c r="DQ54" s="976"/>
      <c r="DR54" s="976"/>
      <c r="DS54" s="976"/>
      <c r="DT54" s="976"/>
      <c r="DU54" s="976"/>
      <c r="DV54" s="976"/>
      <c r="DW54" s="976"/>
      <c r="DX54" s="976"/>
      <c r="DY54" s="976"/>
      <c r="DZ54" s="976"/>
      <c r="EA54" s="976">
        <v>4</v>
      </c>
      <c r="EB54" s="976"/>
      <c r="EC54" s="976"/>
      <c r="ED54" s="976"/>
      <c r="EE54" s="976"/>
      <c r="EF54" s="976"/>
      <c r="EG54" s="976"/>
      <c r="EH54" s="976"/>
      <c r="EI54" s="976"/>
      <c r="EJ54" s="976"/>
      <c r="EK54" s="976"/>
      <c r="EL54" s="976"/>
      <c r="EM54" s="976"/>
      <c r="EN54" s="976"/>
      <c r="EO54" s="976"/>
      <c r="EP54" s="980"/>
      <c r="EQ54" s="977">
        <f>DC54+DG54+DK54+DO54+DS54+DW54+EA54+EE54+EI54+EM54</f>
        <v>4</v>
      </c>
      <c r="ER54" s="978"/>
      <c r="ES54" s="979"/>
      <c r="ET54" s="310"/>
      <c r="EU54" s="305"/>
      <c r="EV54" s="305"/>
      <c r="EW54" s="306"/>
      <c r="EX54" s="307"/>
      <c r="EY54" s="308"/>
    </row>
    <row r="55" spans="1:156" s="304" customFormat="1" ht="90" customHeight="1" x14ac:dyDescent="0.65">
      <c r="A55" s="302" t="s">
        <v>166</v>
      </c>
      <c r="B55" s="309" t="s">
        <v>305</v>
      </c>
      <c r="C55" s="488" t="s">
        <v>304</v>
      </c>
      <c r="D55" s="488"/>
      <c r="E55" s="488"/>
      <c r="F55" s="488"/>
      <c r="G55" s="488"/>
      <c r="H55" s="488"/>
      <c r="I55" s="488"/>
      <c r="J55" s="488"/>
      <c r="K55" s="488"/>
      <c r="L55" s="488"/>
      <c r="M55" s="488"/>
      <c r="N55" s="488"/>
      <c r="O55" s="488"/>
      <c r="P55" s="488"/>
      <c r="Q55" s="488"/>
      <c r="R55" s="488"/>
      <c r="S55" s="488"/>
      <c r="T55" s="488"/>
      <c r="U55" s="488"/>
      <c r="V55" s="488"/>
      <c r="W55" s="488"/>
      <c r="X55" s="488"/>
      <c r="Y55" s="488"/>
      <c r="Z55" s="985">
        <f t="shared" si="4"/>
        <v>120</v>
      </c>
      <c r="AA55" s="985"/>
      <c r="AB55" s="985"/>
      <c r="AC55" s="985"/>
      <c r="AD55" s="976"/>
      <c r="AE55" s="976"/>
      <c r="AF55" s="976"/>
      <c r="AG55" s="981">
        <f t="shared" ref="AG55:AG62" si="11">SUM(AL55:BE55)</f>
        <v>16</v>
      </c>
      <c r="AH55" s="981"/>
      <c r="AI55" s="981"/>
      <c r="AJ55" s="981"/>
      <c r="AK55" s="981"/>
      <c r="AL55" s="981"/>
      <c r="AM55" s="981"/>
      <c r="AN55" s="981"/>
      <c r="AO55" s="981"/>
      <c r="AP55" s="981"/>
      <c r="AQ55" s="981">
        <v>16</v>
      </c>
      <c r="AR55" s="981"/>
      <c r="AS55" s="981"/>
      <c r="AT55" s="981"/>
      <c r="AU55" s="981"/>
      <c r="AV55" s="981"/>
      <c r="AW55" s="981"/>
      <c r="AX55" s="981"/>
      <c r="AY55" s="981"/>
      <c r="AZ55" s="981"/>
      <c r="BA55" s="982"/>
      <c r="BB55" s="982"/>
      <c r="BC55" s="982"/>
      <c r="BD55" s="982"/>
      <c r="BE55" s="982"/>
      <c r="BF55" s="982"/>
      <c r="BG55" s="982"/>
      <c r="BH55" s="982"/>
      <c r="BI55" s="982"/>
      <c r="BJ55" s="982"/>
      <c r="BK55" s="983">
        <f t="shared" si="5"/>
        <v>104</v>
      </c>
      <c r="BL55" s="983"/>
      <c r="BM55" s="983"/>
      <c r="BN55" s="984"/>
      <c r="BO55" s="975"/>
      <c r="BP55" s="976"/>
      <c r="BQ55" s="976"/>
      <c r="BR55" s="976"/>
      <c r="BS55" s="976"/>
      <c r="BT55" s="976"/>
      <c r="BU55" s="976"/>
      <c r="BV55" s="976"/>
      <c r="BW55" s="976"/>
      <c r="BX55" s="976"/>
      <c r="BY55" s="976"/>
      <c r="BZ55" s="976"/>
      <c r="CA55" s="976"/>
      <c r="CB55" s="976"/>
      <c r="CC55" s="976"/>
      <c r="CD55" s="976"/>
      <c r="CE55" s="976"/>
      <c r="CF55" s="976"/>
      <c r="CG55" s="976"/>
      <c r="CH55" s="976"/>
      <c r="CI55" s="976"/>
      <c r="CJ55" s="976"/>
      <c r="CK55" s="976"/>
      <c r="CL55" s="976"/>
      <c r="CM55" s="976">
        <v>5</v>
      </c>
      <c r="CN55" s="976"/>
      <c r="CO55" s="976"/>
      <c r="CP55" s="976"/>
      <c r="CQ55" s="976"/>
      <c r="CR55" s="976"/>
      <c r="CS55" s="976"/>
      <c r="CT55" s="976"/>
      <c r="CU55" s="976"/>
      <c r="CV55" s="976"/>
      <c r="CW55" s="976"/>
      <c r="CX55" s="976"/>
      <c r="CY55" s="976"/>
      <c r="CZ55" s="976"/>
      <c r="DA55" s="976"/>
      <c r="DB55" s="980"/>
      <c r="DC55" s="975"/>
      <c r="DD55" s="976"/>
      <c r="DE55" s="976"/>
      <c r="DF55" s="976"/>
      <c r="DG55" s="976"/>
      <c r="DH55" s="976"/>
      <c r="DI55" s="976"/>
      <c r="DJ55" s="976"/>
      <c r="DK55" s="976"/>
      <c r="DL55" s="976"/>
      <c r="DM55" s="976"/>
      <c r="DN55" s="976"/>
      <c r="DO55" s="976"/>
      <c r="DP55" s="976"/>
      <c r="DQ55" s="976"/>
      <c r="DR55" s="976"/>
      <c r="DS55" s="976"/>
      <c r="DT55" s="976"/>
      <c r="DU55" s="976"/>
      <c r="DV55" s="976"/>
      <c r="DW55" s="976"/>
      <c r="DX55" s="976"/>
      <c r="DY55" s="976"/>
      <c r="DZ55" s="976"/>
      <c r="EA55" s="976">
        <v>4</v>
      </c>
      <c r="EB55" s="976"/>
      <c r="EC55" s="976"/>
      <c r="ED55" s="976"/>
      <c r="EE55" s="976"/>
      <c r="EF55" s="976"/>
      <c r="EG55" s="976"/>
      <c r="EH55" s="976"/>
      <c r="EI55" s="976"/>
      <c r="EJ55" s="976"/>
      <c r="EK55" s="976"/>
      <c r="EL55" s="976"/>
      <c r="EM55" s="976"/>
      <c r="EN55" s="976"/>
      <c r="EO55" s="976"/>
      <c r="EP55" s="980"/>
      <c r="EQ55" s="977">
        <f t="shared" si="6"/>
        <v>4</v>
      </c>
      <c r="ER55" s="978"/>
      <c r="ES55" s="979"/>
      <c r="ET55" s="310"/>
      <c r="EU55" s="305"/>
      <c r="EV55" s="305"/>
      <c r="EW55" s="306"/>
      <c r="EX55" s="307"/>
      <c r="EY55" s="308"/>
    </row>
    <row r="56" spans="1:156" s="304" customFormat="1" ht="90" customHeight="1" x14ac:dyDescent="0.65">
      <c r="A56" s="302" t="s">
        <v>303</v>
      </c>
      <c r="B56" s="309" t="s">
        <v>312</v>
      </c>
      <c r="C56" s="488" t="s">
        <v>286</v>
      </c>
      <c r="D56" s="488"/>
      <c r="E56" s="488"/>
      <c r="F56" s="488"/>
      <c r="G56" s="488"/>
      <c r="H56" s="488"/>
      <c r="I56" s="488"/>
      <c r="J56" s="488"/>
      <c r="K56" s="488"/>
      <c r="L56" s="488"/>
      <c r="M56" s="488"/>
      <c r="N56" s="488"/>
      <c r="O56" s="488"/>
      <c r="P56" s="488"/>
      <c r="Q56" s="488"/>
      <c r="R56" s="488"/>
      <c r="S56" s="488"/>
      <c r="T56" s="488"/>
      <c r="U56" s="488"/>
      <c r="V56" s="488"/>
      <c r="W56" s="488"/>
      <c r="X56" s="488"/>
      <c r="Y56" s="488"/>
      <c r="Z56" s="985">
        <f t="shared" si="4"/>
        <v>120</v>
      </c>
      <c r="AA56" s="985"/>
      <c r="AB56" s="985"/>
      <c r="AC56" s="985"/>
      <c r="AD56" s="976"/>
      <c r="AE56" s="976"/>
      <c r="AF56" s="976"/>
      <c r="AG56" s="981">
        <f t="shared" si="11"/>
        <v>16</v>
      </c>
      <c r="AH56" s="981"/>
      <c r="AI56" s="981"/>
      <c r="AJ56" s="981"/>
      <c r="AK56" s="981"/>
      <c r="AL56" s="981">
        <v>8</v>
      </c>
      <c r="AM56" s="981"/>
      <c r="AN56" s="981"/>
      <c r="AO56" s="981"/>
      <c r="AP56" s="981"/>
      <c r="AQ56" s="981">
        <v>8</v>
      </c>
      <c r="AR56" s="981"/>
      <c r="AS56" s="981"/>
      <c r="AT56" s="981"/>
      <c r="AU56" s="981"/>
      <c r="AV56" s="981"/>
      <c r="AW56" s="981"/>
      <c r="AX56" s="981"/>
      <c r="AY56" s="981"/>
      <c r="AZ56" s="981"/>
      <c r="BA56" s="982"/>
      <c r="BB56" s="982"/>
      <c r="BC56" s="982"/>
      <c r="BD56" s="982"/>
      <c r="BE56" s="982"/>
      <c r="BF56" s="982"/>
      <c r="BG56" s="982"/>
      <c r="BH56" s="982"/>
      <c r="BI56" s="982"/>
      <c r="BJ56" s="982"/>
      <c r="BK56" s="983">
        <f t="shared" si="5"/>
        <v>104</v>
      </c>
      <c r="BL56" s="983"/>
      <c r="BM56" s="983"/>
      <c r="BN56" s="984"/>
      <c r="BO56" s="975"/>
      <c r="BP56" s="976"/>
      <c r="BQ56" s="976"/>
      <c r="BR56" s="976"/>
      <c r="BS56" s="976"/>
      <c r="BT56" s="976"/>
      <c r="BU56" s="976"/>
      <c r="BV56" s="976"/>
      <c r="BW56" s="976"/>
      <c r="BX56" s="976"/>
      <c r="BY56" s="976"/>
      <c r="BZ56" s="976"/>
      <c r="CA56" s="976"/>
      <c r="CB56" s="976"/>
      <c r="CC56" s="976"/>
      <c r="CD56" s="976"/>
      <c r="CE56" s="976"/>
      <c r="CF56" s="976"/>
      <c r="CG56" s="976"/>
      <c r="CH56" s="976"/>
      <c r="CI56" s="976"/>
      <c r="CJ56" s="976"/>
      <c r="CK56" s="976"/>
      <c r="CL56" s="976"/>
      <c r="CM56" s="976">
        <v>5</v>
      </c>
      <c r="CN56" s="976"/>
      <c r="CO56" s="976"/>
      <c r="CP56" s="976"/>
      <c r="CQ56" s="976"/>
      <c r="CR56" s="976"/>
      <c r="CS56" s="976"/>
      <c r="CT56" s="976"/>
      <c r="CU56" s="976"/>
      <c r="CV56" s="976"/>
      <c r="CW56" s="976"/>
      <c r="CX56" s="976"/>
      <c r="CY56" s="976"/>
      <c r="CZ56" s="976"/>
      <c r="DA56" s="976"/>
      <c r="DB56" s="980"/>
      <c r="DC56" s="975"/>
      <c r="DD56" s="976"/>
      <c r="DE56" s="976"/>
      <c r="DF56" s="976"/>
      <c r="DG56" s="976"/>
      <c r="DH56" s="976"/>
      <c r="DI56" s="976"/>
      <c r="DJ56" s="976"/>
      <c r="DK56" s="976"/>
      <c r="DL56" s="976"/>
      <c r="DM56" s="976"/>
      <c r="DN56" s="976"/>
      <c r="DO56" s="976"/>
      <c r="DP56" s="976"/>
      <c r="DQ56" s="976"/>
      <c r="DR56" s="976"/>
      <c r="DS56" s="976"/>
      <c r="DT56" s="976"/>
      <c r="DU56" s="976"/>
      <c r="DV56" s="976"/>
      <c r="DW56" s="976"/>
      <c r="DX56" s="976"/>
      <c r="DY56" s="976"/>
      <c r="DZ56" s="976"/>
      <c r="EA56" s="976">
        <v>4</v>
      </c>
      <c r="EB56" s="976"/>
      <c r="EC56" s="976"/>
      <c r="ED56" s="976"/>
      <c r="EE56" s="976"/>
      <c r="EF56" s="976"/>
      <c r="EG56" s="976"/>
      <c r="EH56" s="976"/>
      <c r="EI56" s="976"/>
      <c r="EJ56" s="976"/>
      <c r="EK56" s="976"/>
      <c r="EL56" s="976"/>
      <c r="EM56" s="976"/>
      <c r="EN56" s="976"/>
      <c r="EO56" s="976"/>
      <c r="EP56" s="980"/>
      <c r="EQ56" s="977">
        <f t="shared" si="6"/>
        <v>4</v>
      </c>
      <c r="ER56" s="978"/>
      <c r="ES56" s="979"/>
      <c r="ET56" s="310"/>
      <c r="EU56" s="305"/>
      <c r="EV56" s="305"/>
      <c r="EW56" s="306"/>
      <c r="EX56" s="307"/>
      <c r="EY56" s="308"/>
    </row>
    <row r="57" spans="1:156" s="304" customFormat="1" ht="90" customHeight="1" x14ac:dyDescent="0.65">
      <c r="A57" s="302" t="s">
        <v>339</v>
      </c>
      <c r="B57" s="309" t="s">
        <v>314</v>
      </c>
      <c r="C57" s="488" t="s">
        <v>307</v>
      </c>
      <c r="D57" s="488"/>
      <c r="E57" s="488"/>
      <c r="F57" s="488"/>
      <c r="G57" s="488"/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985">
        <f t="shared" si="4"/>
        <v>120</v>
      </c>
      <c r="AA57" s="985"/>
      <c r="AB57" s="985"/>
      <c r="AC57" s="985"/>
      <c r="AD57" s="976"/>
      <c r="AE57" s="976"/>
      <c r="AF57" s="976"/>
      <c r="AG57" s="981">
        <f t="shared" si="11"/>
        <v>16</v>
      </c>
      <c r="AH57" s="981"/>
      <c r="AI57" s="981"/>
      <c r="AJ57" s="981"/>
      <c r="AK57" s="981"/>
      <c r="AL57" s="981">
        <v>8</v>
      </c>
      <c r="AM57" s="981"/>
      <c r="AN57" s="981"/>
      <c r="AO57" s="981"/>
      <c r="AP57" s="981"/>
      <c r="AQ57" s="981">
        <v>8</v>
      </c>
      <c r="AR57" s="981"/>
      <c r="AS57" s="981"/>
      <c r="AT57" s="981"/>
      <c r="AU57" s="981"/>
      <c r="AV57" s="981"/>
      <c r="AW57" s="981"/>
      <c r="AX57" s="981"/>
      <c r="AY57" s="981"/>
      <c r="AZ57" s="981"/>
      <c r="BA57" s="982"/>
      <c r="BB57" s="982"/>
      <c r="BC57" s="982"/>
      <c r="BD57" s="982"/>
      <c r="BE57" s="982"/>
      <c r="BF57" s="982"/>
      <c r="BG57" s="982"/>
      <c r="BH57" s="982"/>
      <c r="BI57" s="982"/>
      <c r="BJ57" s="982"/>
      <c r="BK57" s="983">
        <f t="shared" si="5"/>
        <v>104</v>
      </c>
      <c r="BL57" s="983"/>
      <c r="BM57" s="983"/>
      <c r="BN57" s="984"/>
      <c r="BO57" s="975"/>
      <c r="BP57" s="976"/>
      <c r="BQ57" s="976"/>
      <c r="BR57" s="976"/>
      <c r="BS57" s="976"/>
      <c r="BT57" s="976"/>
      <c r="BU57" s="976"/>
      <c r="BV57" s="976"/>
      <c r="BW57" s="976"/>
      <c r="BX57" s="976"/>
      <c r="BY57" s="976"/>
      <c r="BZ57" s="976"/>
      <c r="CA57" s="976"/>
      <c r="CB57" s="976"/>
      <c r="CC57" s="976"/>
      <c r="CD57" s="976"/>
      <c r="CE57" s="976"/>
      <c r="CF57" s="976"/>
      <c r="CG57" s="976"/>
      <c r="CH57" s="976"/>
      <c r="CI57" s="976"/>
      <c r="CJ57" s="976"/>
      <c r="CK57" s="976"/>
      <c r="CL57" s="976"/>
      <c r="CM57" s="976">
        <v>5</v>
      </c>
      <c r="CN57" s="976"/>
      <c r="CO57" s="976"/>
      <c r="CP57" s="976"/>
      <c r="CQ57" s="976"/>
      <c r="CR57" s="976"/>
      <c r="CS57" s="976"/>
      <c r="CT57" s="976"/>
      <c r="CU57" s="976"/>
      <c r="CV57" s="976"/>
      <c r="CW57" s="976"/>
      <c r="CX57" s="976"/>
      <c r="CY57" s="976"/>
      <c r="CZ57" s="976"/>
      <c r="DA57" s="976"/>
      <c r="DB57" s="980"/>
      <c r="DC57" s="975"/>
      <c r="DD57" s="976"/>
      <c r="DE57" s="976"/>
      <c r="DF57" s="976"/>
      <c r="DG57" s="976"/>
      <c r="DH57" s="976"/>
      <c r="DI57" s="976"/>
      <c r="DJ57" s="976"/>
      <c r="DK57" s="976"/>
      <c r="DL57" s="976"/>
      <c r="DM57" s="976"/>
      <c r="DN57" s="976"/>
      <c r="DO57" s="976"/>
      <c r="DP57" s="976"/>
      <c r="DQ57" s="976"/>
      <c r="DR57" s="976"/>
      <c r="DS57" s="976"/>
      <c r="DT57" s="976"/>
      <c r="DU57" s="976"/>
      <c r="DV57" s="976"/>
      <c r="DW57" s="976"/>
      <c r="DX57" s="976"/>
      <c r="DY57" s="976"/>
      <c r="DZ57" s="976"/>
      <c r="EA57" s="976">
        <v>4</v>
      </c>
      <c r="EB57" s="976"/>
      <c r="EC57" s="976"/>
      <c r="ED57" s="976"/>
      <c r="EE57" s="976"/>
      <c r="EF57" s="976"/>
      <c r="EG57" s="976"/>
      <c r="EH57" s="976"/>
      <c r="EI57" s="976"/>
      <c r="EJ57" s="976"/>
      <c r="EK57" s="976"/>
      <c r="EL57" s="976"/>
      <c r="EM57" s="976"/>
      <c r="EN57" s="976"/>
      <c r="EO57" s="976"/>
      <c r="EP57" s="980"/>
      <c r="EQ57" s="977">
        <f t="shared" si="6"/>
        <v>4</v>
      </c>
      <c r="ER57" s="978"/>
      <c r="ES57" s="979"/>
      <c r="ET57" s="310"/>
      <c r="EU57" s="305"/>
      <c r="EV57" s="305"/>
      <c r="EW57" s="306"/>
      <c r="EX57" s="307"/>
      <c r="EY57" s="308"/>
    </row>
    <row r="58" spans="1:156" s="125" customFormat="1" ht="90" customHeight="1" x14ac:dyDescent="0.65">
      <c r="A58" s="157" t="s">
        <v>341</v>
      </c>
      <c r="B58" s="136" t="s">
        <v>313</v>
      </c>
      <c r="C58" s="388" t="s">
        <v>287</v>
      </c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388"/>
      <c r="P58" s="388"/>
      <c r="Q58" s="388"/>
      <c r="R58" s="388"/>
      <c r="S58" s="388"/>
      <c r="T58" s="388"/>
      <c r="U58" s="388"/>
      <c r="V58" s="388"/>
      <c r="W58" s="388"/>
      <c r="X58" s="388"/>
      <c r="Y58" s="388"/>
      <c r="Z58" s="838">
        <f t="shared" si="4"/>
        <v>180</v>
      </c>
      <c r="AA58" s="838"/>
      <c r="AB58" s="838"/>
      <c r="AC58" s="838"/>
      <c r="AD58" s="832"/>
      <c r="AE58" s="832"/>
      <c r="AF58" s="832"/>
      <c r="AG58" s="839">
        <f t="shared" si="11"/>
        <v>22</v>
      </c>
      <c r="AH58" s="839"/>
      <c r="AI58" s="839"/>
      <c r="AJ58" s="839"/>
      <c r="AK58" s="839"/>
      <c r="AL58" s="839">
        <v>12</v>
      </c>
      <c r="AM58" s="839"/>
      <c r="AN58" s="839"/>
      <c r="AO58" s="839"/>
      <c r="AP58" s="839"/>
      <c r="AQ58" s="839">
        <v>10</v>
      </c>
      <c r="AR58" s="839"/>
      <c r="AS58" s="839"/>
      <c r="AT58" s="839"/>
      <c r="AU58" s="839"/>
      <c r="AV58" s="839"/>
      <c r="AW58" s="839"/>
      <c r="AX58" s="839"/>
      <c r="AY58" s="839"/>
      <c r="AZ58" s="839"/>
      <c r="BA58" s="968"/>
      <c r="BB58" s="968"/>
      <c r="BC58" s="968"/>
      <c r="BD58" s="968"/>
      <c r="BE58" s="968"/>
      <c r="BF58" s="968"/>
      <c r="BG58" s="968"/>
      <c r="BH58" s="968"/>
      <c r="BI58" s="968"/>
      <c r="BJ58" s="968"/>
      <c r="BK58" s="840">
        <f t="shared" si="5"/>
        <v>158</v>
      </c>
      <c r="BL58" s="840"/>
      <c r="BM58" s="840"/>
      <c r="BN58" s="841"/>
      <c r="BO58" s="834"/>
      <c r="BP58" s="832"/>
      <c r="BQ58" s="832"/>
      <c r="BR58" s="832"/>
      <c r="BS58" s="832"/>
      <c r="BT58" s="832"/>
      <c r="BU58" s="832"/>
      <c r="BV58" s="832"/>
      <c r="BW58" s="832"/>
      <c r="BX58" s="832"/>
      <c r="BY58" s="832"/>
      <c r="BZ58" s="832"/>
      <c r="CA58" s="832"/>
      <c r="CB58" s="832"/>
      <c r="CC58" s="832"/>
      <c r="CD58" s="832"/>
      <c r="CE58" s="832"/>
      <c r="CF58" s="832"/>
      <c r="CG58" s="832"/>
      <c r="CH58" s="832"/>
      <c r="CI58" s="832"/>
      <c r="CJ58" s="832"/>
      <c r="CK58" s="832"/>
      <c r="CL58" s="832"/>
      <c r="CM58" s="832"/>
      <c r="CN58" s="832"/>
      <c r="CO58" s="832"/>
      <c r="CP58" s="832"/>
      <c r="CQ58" s="832">
        <v>7</v>
      </c>
      <c r="CR58" s="832"/>
      <c r="CS58" s="832"/>
      <c r="CT58" s="832"/>
      <c r="CU58" s="832"/>
      <c r="CV58" s="832"/>
      <c r="CW58" s="832"/>
      <c r="CX58" s="832"/>
      <c r="CY58" s="832"/>
      <c r="CZ58" s="832"/>
      <c r="DA58" s="832"/>
      <c r="DB58" s="833"/>
      <c r="DC58" s="834"/>
      <c r="DD58" s="832"/>
      <c r="DE58" s="832"/>
      <c r="DF58" s="832"/>
      <c r="DG58" s="832"/>
      <c r="DH58" s="832"/>
      <c r="DI58" s="832"/>
      <c r="DJ58" s="832"/>
      <c r="DK58" s="832"/>
      <c r="DL58" s="832"/>
      <c r="DM58" s="832"/>
      <c r="DN58" s="832"/>
      <c r="DO58" s="832"/>
      <c r="DP58" s="832"/>
      <c r="DQ58" s="832"/>
      <c r="DR58" s="832"/>
      <c r="DS58" s="832"/>
      <c r="DT58" s="832"/>
      <c r="DU58" s="832"/>
      <c r="DV58" s="832"/>
      <c r="DW58" s="832"/>
      <c r="DX58" s="832"/>
      <c r="DY58" s="832"/>
      <c r="DZ58" s="832"/>
      <c r="EA58" s="832"/>
      <c r="EB58" s="832"/>
      <c r="EC58" s="832"/>
      <c r="ED58" s="832"/>
      <c r="EE58" s="832">
        <v>6</v>
      </c>
      <c r="EF58" s="832"/>
      <c r="EG58" s="832"/>
      <c r="EH58" s="832"/>
      <c r="EI58" s="832"/>
      <c r="EJ58" s="832"/>
      <c r="EK58" s="832"/>
      <c r="EL58" s="832"/>
      <c r="EM58" s="832"/>
      <c r="EN58" s="832"/>
      <c r="EO58" s="832"/>
      <c r="EP58" s="833"/>
      <c r="EQ58" s="835">
        <f t="shared" si="6"/>
        <v>6</v>
      </c>
      <c r="ER58" s="836"/>
      <c r="ES58" s="837"/>
      <c r="ET58" s="301"/>
      <c r="EU58" s="126"/>
      <c r="EV58" s="126"/>
      <c r="EW58" s="233"/>
      <c r="EX58" s="234"/>
      <c r="EY58" s="235"/>
    </row>
    <row r="59" spans="1:156" s="125" customFormat="1" ht="90" customHeight="1" x14ac:dyDescent="0.65">
      <c r="A59" s="157" t="s">
        <v>342</v>
      </c>
      <c r="B59" s="136" t="s">
        <v>308</v>
      </c>
      <c r="C59" s="388" t="s">
        <v>213</v>
      </c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388"/>
      <c r="P59" s="388"/>
      <c r="Q59" s="388"/>
      <c r="R59" s="388"/>
      <c r="S59" s="388"/>
      <c r="T59" s="388"/>
      <c r="U59" s="388"/>
      <c r="V59" s="388"/>
      <c r="W59" s="388"/>
      <c r="X59" s="388"/>
      <c r="Y59" s="388"/>
      <c r="Z59" s="838">
        <f t="shared" si="4"/>
        <v>180</v>
      </c>
      <c r="AA59" s="838"/>
      <c r="AB59" s="838"/>
      <c r="AC59" s="838"/>
      <c r="AD59" s="832"/>
      <c r="AE59" s="832"/>
      <c r="AF59" s="832"/>
      <c r="AG59" s="839">
        <f t="shared" si="11"/>
        <v>22</v>
      </c>
      <c r="AH59" s="839"/>
      <c r="AI59" s="839"/>
      <c r="AJ59" s="839"/>
      <c r="AK59" s="839"/>
      <c r="AL59" s="839">
        <v>12</v>
      </c>
      <c r="AM59" s="839"/>
      <c r="AN59" s="839"/>
      <c r="AO59" s="839"/>
      <c r="AP59" s="839"/>
      <c r="AQ59" s="839">
        <v>10</v>
      </c>
      <c r="AR59" s="839"/>
      <c r="AS59" s="839"/>
      <c r="AT59" s="839"/>
      <c r="AU59" s="839"/>
      <c r="AV59" s="839"/>
      <c r="AW59" s="839"/>
      <c r="AX59" s="839"/>
      <c r="AY59" s="839"/>
      <c r="AZ59" s="839"/>
      <c r="BA59" s="968"/>
      <c r="BB59" s="968"/>
      <c r="BC59" s="968"/>
      <c r="BD59" s="968"/>
      <c r="BE59" s="968"/>
      <c r="BF59" s="968"/>
      <c r="BG59" s="968"/>
      <c r="BH59" s="968"/>
      <c r="BI59" s="968"/>
      <c r="BJ59" s="968"/>
      <c r="BK59" s="840">
        <f t="shared" si="5"/>
        <v>158</v>
      </c>
      <c r="BL59" s="840"/>
      <c r="BM59" s="840"/>
      <c r="BN59" s="841"/>
      <c r="BO59" s="834"/>
      <c r="BP59" s="832"/>
      <c r="BQ59" s="832"/>
      <c r="BR59" s="832"/>
      <c r="BS59" s="832"/>
      <c r="BT59" s="832"/>
      <c r="BU59" s="832"/>
      <c r="BV59" s="832"/>
      <c r="BW59" s="832"/>
      <c r="BX59" s="832"/>
      <c r="BY59" s="832"/>
      <c r="BZ59" s="832"/>
      <c r="CA59" s="832"/>
      <c r="CB59" s="832"/>
      <c r="CC59" s="832"/>
      <c r="CD59" s="832"/>
      <c r="CE59" s="832"/>
      <c r="CF59" s="832"/>
      <c r="CG59" s="832"/>
      <c r="CH59" s="832"/>
      <c r="CI59" s="832"/>
      <c r="CJ59" s="832"/>
      <c r="CK59" s="832"/>
      <c r="CL59" s="832"/>
      <c r="CM59" s="832"/>
      <c r="CN59" s="832"/>
      <c r="CO59" s="832"/>
      <c r="CP59" s="832"/>
      <c r="CQ59" s="832"/>
      <c r="CR59" s="832"/>
      <c r="CS59" s="832"/>
      <c r="CT59" s="832"/>
      <c r="CU59" s="832">
        <v>7</v>
      </c>
      <c r="CV59" s="832"/>
      <c r="CW59" s="832"/>
      <c r="CX59" s="832"/>
      <c r="CY59" s="832"/>
      <c r="CZ59" s="832"/>
      <c r="DA59" s="832"/>
      <c r="DB59" s="833"/>
      <c r="DC59" s="834"/>
      <c r="DD59" s="832"/>
      <c r="DE59" s="832"/>
      <c r="DF59" s="832"/>
      <c r="DG59" s="832"/>
      <c r="DH59" s="832"/>
      <c r="DI59" s="832"/>
      <c r="DJ59" s="832"/>
      <c r="DK59" s="832"/>
      <c r="DL59" s="832"/>
      <c r="DM59" s="832"/>
      <c r="DN59" s="832"/>
      <c r="DO59" s="832"/>
      <c r="DP59" s="832"/>
      <c r="DQ59" s="832"/>
      <c r="DR59" s="832"/>
      <c r="DS59" s="832"/>
      <c r="DT59" s="832"/>
      <c r="DU59" s="832"/>
      <c r="DV59" s="832"/>
      <c r="DW59" s="832"/>
      <c r="DX59" s="832"/>
      <c r="DY59" s="832"/>
      <c r="DZ59" s="832"/>
      <c r="EA59" s="832"/>
      <c r="EB59" s="832"/>
      <c r="EC59" s="832"/>
      <c r="ED59" s="832"/>
      <c r="EE59" s="832"/>
      <c r="EF59" s="832"/>
      <c r="EG59" s="832"/>
      <c r="EH59" s="832"/>
      <c r="EI59" s="832">
        <v>6</v>
      </c>
      <c r="EJ59" s="832"/>
      <c r="EK59" s="832"/>
      <c r="EL59" s="832"/>
      <c r="EM59" s="832"/>
      <c r="EN59" s="832"/>
      <c r="EO59" s="832"/>
      <c r="EP59" s="833"/>
      <c r="EQ59" s="835">
        <f t="shared" si="6"/>
        <v>6</v>
      </c>
      <c r="ER59" s="836"/>
      <c r="ES59" s="837"/>
      <c r="ET59" s="301"/>
      <c r="EU59" s="126"/>
      <c r="EV59" s="126"/>
      <c r="EW59" s="233"/>
      <c r="EX59" s="234"/>
      <c r="EY59" s="235"/>
    </row>
    <row r="60" spans="1:156" ht="120" customHeight="1" x14ac:dyDescent="0.65">
      <c r="A60" s="156" t="s">
        <v>343</v>
      </c>
      <c r="B60" s="135" t="s">
        <v>315</v>
      </c>
      <c r="C60" s="388" t="s">
        <v>291</v>
      </c>
      <c r="D60" s="388"/>
      <c r="E60" s="388"/>
      <c r="F60" s="388"/>
      <c r="G60" s="388"/>
      <c r="H60" s="388"/>
      <c r="I60" s="388"/>
      <c r="J60" s="388"/>
      <c r="K60" s="388"/>
      <c r="L60" s="388"/>
      <c r="M60" s="388"/>
      <c r="N60" s="388"/>
      <c r="O60" s="388"/>
      <c r="P60" s="388"/>
      <c r="Q60" s="388"/>
      <c r="R60" s="388"/>
      <c r="S60" s="388"/>
      <c r="T60" s="388"/>
      <c r="U60" s="388"/>
      <c r="V60" s="388"/>
      <c r="W60" s="388"/>
      <c r="X60" s="388"/>
      <c r="Y60" s="388"/>
      <c r="Z60" s="962">
        <f t="shared" si="4"/>
        <v>180</v>
      </c>
      <c r="AA60" s="962"/>
      <c r="AB60" s="962"/>
      <c r="AC60" s="962"/>
      <c r="AD60" s="832"/>
      <c r="AE60" s="832"/>
      <c r="AF60" s="832"/>
      <c r="AG60" s="839">
        <f t="shared" si="11"/>
        <v>22</v>
      </c>
      <c r="AH60" s="839"/>
      <c r="AI60" s="839"/>
      <c r="AJ60" s="839"/>
      <c r="AK60" s="839"/>
      <c r="AL60" s="880">
        <v>12</v>
      </c>
      <c r="AM60" s="880"/>
      <c r="AN60" s="880"/>
      <c r="AO60" s="880"/>
      <c r="AP60" s="880"/>
      <c r="AQ60" s="880">
        <v>10</v>
      </c>
      <c r="AR60" s="880"/>
      <c r="AS60" s="880"/>
      <c r="AT60" s="880"/>
      <c r="AU60" s="880"/>
      <c r="AV60" s="880"/>
      <c r="AW60" s="880"/>
      <c r="AX60" s="880"/>
      <c r="AY60" s="880"/>
      <c r="AZ60" s="880"/>
      <c r="BA60" s="989"/>
      <c r="BB60" s="989"/>
      <c r="BC60" s="989"/>
      <c r="BD60" s="989"/>
      <c r="BE60" s="989"/>
      <c r="BF60" s="989" t="s">
        <v>331</v>
      </c>
      <c r="BG60" s="989"/>
      <c r="BH60" s="989"/>
      <c r="BI60" s="989"/>
      <c r="BJ60" s="989"/>
      <c r="BK60" s="986">
        <f t="shared" si="5"/>
        <v>158</v>
      </c>
      <c r="BL60" s="986"/>
      <c r="BM60" s="986"/>
      <c r="BN60" s="987"/>
      <c r="BO60" s="988"/>
      <c r="BP60" s="923"/>
      <c r="BQ60" s="923"/>
      <c r="BR60" s="923"/>
      <c r="BS60" s="923"/>
      <c r="BT60" s="923"/>
      <c r="BU60" s="923"/>
      <c r="BV60" s="923"/>
      <c r="BW60" s="832"/>
      <c r="BX60" s="832"/>
      <c r="BY60" s="832"/>
      <c r="BZ60" s="832"/>
      <c r="CA60" s="832"/>
      <c r="CB60" s="832"/>
      <c r="CC60" s="832"/>
      <c r="CD60" s="832"/>
      <c r="CE60" s="832"/>
      <c r="CF60" s="832"/>
      <c r="CG60" s="832"/>
      <c r="CH60" s="832"/>
      <c r="CI60" s="832"/>
      <c r="CJ60" s="832"/>
      <c r="CK60" s="832"/>
      <c r="CL60" s="832"/>
      <c r="CM60" s="832"/>
      <c r="CN60" s="832"/>
      <c r="CO60" s="832"/>
      <c r="CP60" s="832"/>
      <c r="CQ60" s="832"/>
      <c r="CR60" s="832"/>
      <c r="CS60" s="832"/>
      <c r="CT60" s="832"/>
      <c r="CU60" s="832"/>
      <c r="CV60" s="832"/>
      <c r="CW60" s="832"/>
      <c r="CX60" s="832"/>
      <c r="CY60" s="832">
        <v>7</v>
      </c>
      <c r="CZ60" s="832"/>
      <c r="DA60" s="832"/>
      <c r="DB60" s="833"/>
      <c r="DC60" s="834"/>
      <c r="DD60" s="832"/>
      <c r="DE60" s="832"/>
      <c r="DF60" s="832"/>
      <c r="DG60" s="832"/>
      <c r="DH60" s="832"/>
      <c r="DI60" s="832"/>
      <c r="DJ60" s="832"/>
      <c r="DK60" s="923"/>
      <c r="DL60" s="923"/>
      <c r="DM60" s="923"/>
      <c r="DN60" s="923"/>
      <c r="DO60" s="923"/>
      <c r="DP60" s="923"/>
      <c r="DQ60" s="923"/>
      <c r="DR60" s="923"/>
      <c r="DS60" s="923"/>
      <c r="DT60" s="923"/>
      <c r="DU60" s="923"/>
      <c r="DV60" s="923"/>
      <c r="DW60" s="923"/>
      <c r="DX60" s="923"/>
      <c r="DY60" s="923"/>
      <c r="DZ60" s="923"/>
      <c r="EA60" s="923"/>
      <c r="EB60" s="923"/>
      <c r="EC60" s="923"/>
      <c r="ED60" s="923"/>
      <c r="EE60" s="923"/>
      <c r="EF60" s="923"/>
      <c r="EG60" s="923"/>
      <c r="EH60" s="923"/>
      <c r="EI60" s="923"/>
      <c r="EJ60" s="923"/>
      <c r="EK60" s="923"/>
      <c r="EL60" s="923"/>
      <c r="EM60" s="923">
        <v>6</v>
      </c>
      <c r="EN60" s="923"/>
      <c r="EO60" s="923"/>
      <c r="EP60" s="955"/>
      <c r="EQ60" s="990">
        <f t="shared" si="6"/>
        <v>6</v>
      </c>
      <c r="ER60" s="991"/>
      <c r="ES60" s="992"/>
      <c r="ET60" s="153"/>
      <c r="EU60" s="121"/>
      <c r="EV60" s="121"/>
      <c r="EW60" s="236"/>
      <c r="EX60" s="237"/>
      <c r="EY60" s="238"/>
      <c r="EZ60" s="122"/>
    </row>
    <row r="61" spans="1:156" ht="90" customHeight="1" x14ac:dyDescent="0.65">
      <c r="A61" s="156" t="s">
        <v>344</v>
      </c>
      <c r="B61" s="135" t="s">
        <v>316</v>
      </c>
      <c r="C61" s="388" t="s">
        <v>290</v>
      </c>
      <c r="D61" s="388"/>
      <c r="E61" s="388"/>
      <c r="F61" s="388"/>
      <c r="G61" s="388"/>
      <c r="H61" s="388"/>
      <c r="I61" s="38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962">
        <f t="shared" si="4"/>
        <v>120</v>
      </c>
      <c r="AA61" s="962"/>
      <c r="AB61" s="962"/>
      <c r="AC61" s="962"/>
      <c r="AD61" s="832"/>
      <c r="AE61" s="832"/>
      <c r="AF61" s="832"/>
      <c r="AG61" s="839">
        <f t="shared" si="11"/>
        <v>16</v>
      </c>
      <c r="AH61" s="839"/>
      <c r="AI61" s="839"/>
      <c r="AJ61" s="839"/>
      <c r="AK61" s="839"/>
      <c r="AL61" s="880">
        <v>8</v>
      </c>
      <c r="AM61" s="880"/>
      <c r="AN61" s="880"/>
      <c r="AO61" s="880"/>
      <c r="AP61" s="880"/>
      <c r="AQ61" s="880">
        <v>8</v>
      </c>
      <c r="AR61" s="880"/>
      <c r="AS61" s="880"/>
      <c r="AT61" s="880"/>
      <c r="AU61" s="880"/>
      <c r="AV61" s="880"/>
      <c r="AW61" s="880"/>
      <c r="AX61" s="880"/>
      <c r="AY61" s="880"/>
      <c r="AZ61" s="880"/>
      <c r="BA61" s="989"/>
      <c r="BB61" s="989"/>
      <c r="BC61" s="989"/>
      <c r="BD61" s="989"/>
      <c r="BE61" s="989"/>
      <c r="BF61" s="989"/>
      <c r="BG61" s="989"/>
      <c r="BH61" s="989"/>
      <c r="BI61" s="989"/>
      <c r="BJ61" s="989"/>
      <c r="BK61" s="986">
        <f t="shared" si="5"/>
        <v>104</v>
      </c>
      <c r="BL61" s="986"/>
      <c r="BM61" s="986"/>
      <c r="BN61" s="987"/>
      <c r="BO61" s="988"/>
      <c r="BP61" s="923"/>
      <c r="BQ61" s="923"/>
      <c r="BR61" s="923"/>
      <c r="BS61" s="923"/>
      <c r="BT61" s="923"/>
      <c r="BU61" s="923"/>
      <c r="BV61" s="923"/>
      <c r="BW61" s="832"/>
      <c r="BX61" s="832"/>
      <c r="BY61" s="832"/>
      <c r="BZ61" s="832"/>
      <c r="CA61" s="832"/>
      <c r="CB61" s="832"/>
      <c r="CC61" s="832"/>
      <c r="CD61" s="832"/>
      <c r="CE61" s="832"/>
      <c r="CF61" s="832"/>
      <c r="CG61" s="832"/>
      <c r="CH61" s="832"/>
      <c r="CI61" s="832"/>
      <c r="CJ61" s="832"/>
      <c r="CK61" s="832"/>
      <c r="CL61" s="832"/>
      <c r="CM61" s="832"/>
      <c r="CN61" s="832"/>
      <c r="CO61" s="832"/>
      <c r="CP61" s="832"/>
      <c r="CQ61" s="832"/>
      <c r="CR61" s="832"/>
      <c r="CS61" s="832"/>
      <c r="CT61" s="832"/>
      <c r="CU61" s="832">
        <v>5</v>
      </c>
      <c r="CV61" s="832"/>
      <c r="CW61" s="832"/>
      <c r="CX61" s="832"/>
      <c r="CY61" s="832"/>
      <c r="CZ61" s="832"/>
      <c r="DA61" s="832"/>
      <c r="DB61" s="833"/>
      <c r="DC61" s="834"/>
      <c r="DD61" s="832"/>
      <c r="DE61" s="832"/>
      <c r="DF61" s="832"/>
      <c r="DG61" s="832"/>
      <c r="DH61" s="832"/>
      <c r="DI61" s="832"/>
      <c r="DJ61" s="832"/>
      <c r="DK61" s="923"/>
      <c r="DL61" s="923"/>
      <c r="DM61" s="923"/>
      <c r="DN61" s="923"/>
      <c r="DO61" s="923"/>
      <c r="DP61" s="923"/>
      <c r="DQ61" s="923"/>
      <c r="DR61" s="923"/>
      <c r="DS61" s="923"/>
      <c r="DT61" s="923"/>
      <c r="DU61" s="923"/>
      <c r="DV61" s="923"/>
      <c r="DW61" s="923"/>
      <c r="DX61" s="923"/>
      <c r="DY61" s="923"/>
      <c r="DZ61" s="923"/>
      <c r="EA61" s="923"/>
      <c r="EB61" s="923"/>
      <c r="EC61" s="923"/>
      <c r="ED61" s="923"/>
      <c r="EE61" s="923"/>
      <c r="EF61" s="923"/>
      <c r="EG61" s="923"/>
      <c r="EH61" s="923"/>
      <c r="EI61" s="923">
        <v>4</v>
      </c>
      <c r="EJ61" s="923"/>
      <c r="EK61" s="923"/>
      <c r="EL61" s="923"/>
      <c r="EM61" s="923"/>
      <c r="EN61" s="923"/>
      <c r="EO61" s="923"/>
      <c r="EP61" s="955"/>
      <c r="EQ61" s="990">
        <f t="shared" si="6"/>
        <v>4</v>
      </c>
      <c r="ER61" s="991"/>
      <c r="ES61" s="992"/>
      <c r="ET61" s="153"/>
      <c r="EU61" s="121"/>
      <c r="EV61" s="121"/>
      <c r="EW61" s="236"/>
      <c r="EX61" s="237"/>
      <c r="EY61" s="238"/>
      <c r="EZ61" s="122"/>
    </row>
    <row r="62" spans="1:156" ht="90" customHeight="1" x14ac:dyDescent="0.65">
      <c r="A62" s="156" t="s">
        <v>345</v>
      </c>
      <c r="B62" s="135" t="s">
        <v>317</v>
      </c>
      <c r="C62" s="388" t="s">
        <v>288</v>
      </c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962">
        <f t="shared" si="4"/>
        <v>120</v>
      </c>
      <c r="AA62" s="962"/>
      <c r="AB62" s="962"/>
      <c r="AC62" s="962"/>
      <c r="AD62" s="832"/>
      <c r="AE62" s="832"/>
      <c r="AF62" s="832"/>
      <c r="AG62" s="839">
        <f t="shared" si="11"/>
        <v>16</v>
      </c>
      <c r="AH62" s="839"/>
      <c r="AI62" s="839"/>
      <c r="AJ62" s="839"/>
      <c r="AK62" s="839"/>
      <c r="AL62" s="880">
        <v>8</v>
      </c>
      <c r="AM62" s="880"/>
      <c r="AN62" s="880"/>
      <c r="AO62" s="880"/>
      <c r="AP62" s="880"/>
      <c r="AQ62" s="880">
        <v>8</v>
      </c>
      <c r="AR62" s="880"/>
      <c r="AS62" s="880"/>
      <c r="AT62" s="880"/>
      <c r="AU62" s="880"/>
      <c r="AV62" s="880"/>
      <c r="AW62" s="880"/>
      <c r="AX62" s="880"/>
      <c r="AY62" s="880"/>
      <c r="AZ62" s="880"/>
      <c r="BA62" s="989"/>
      <c r="BB62" s="989"/>
      <c r="BC62" s="989"/>
      <c r="BD62" s="989"/>
      <c r="BE62" s="989"/>
      <c r="BF62" s="989"/>
      <c r="BG62" s="989"/>
      <c r="BH62" s="989"/>
      <c r="BI62" s="989"/>
      <c r="BJ62" s="989"/>
      <c r="BK62" s="986">
        <f t="shared" si="5"/>
        <v>104</v>
      </c>
      <c r="BL62" s="986"/>
      <c r="BM62" s="986"/>
      <c r="BN62" s="987"/>
      <c r="BO62" s="988"/>
      <c r="BP62" s="923"/>
      <c r="BQ62" s="923"/>
      <c r="BR62" s="923"/>
      <c r="BS62" s="923"/>
      <c r="BT62" s="923"/>
      <c r="BU62" s="923"/>
      <c r="BV62" s="923"/>
      <c r="BW62" s="832"/>
      <c r="BX62" s="832"/>
      <c r="BY62" s="832"/>
      <c r="BZ62" s="832"/>
      <c r="CA62" s="832"/>
      <c r="CB62" s="832"/>
      <c r="CC62" s="832"/>
      <c r="CD62" s="832"/>
      <c r="CE62" s="832"/>
      <c r="CF62" s="832"/>
      <c r="CG62" s="832"/>
      <c r="CH62" s="832"/>
      <c r="CI62" s="832"/>
      <c r="CJ62" s="832"/>
      <c r="CK62" s="832"/>
      <c r="CL62" s="832"/>
      <c r="CM62" s="832"/>
      <c r="CN62" s="832"/>
      <c r="CO62" s="832"/>
      <c r="CP62" s="832"/>
      <c r="CQ62" s="832"/>
      <c r="CR62" s="832"/>
      <c r="CS62" s="832"/>
      <c r="CT62" s="832"/>
      <c r="CU62" s="832"/>
      <c r="CV62" s="832"/>
      <c r="CW62" s="832"/>
      <c r="CX62" s="832"/>
      <c r="CY62" s="832">
        <v>5</v>
      </c>
      <c r="CZ62" s="832"/>
      <c r="DA62" s="832"/>
      <c r="DB62" s="833"/>
      <c r="DC62" s="834"/>
      <c r="DD62" s="832"/>
      <c r="DE62" s="832"/>
      <c r="DF62" s="832"/>
      <c r="DG62" s="832"/>
      <c r="DH62" s="832"/>
      <c r="DI62" s="832"/>
      <c r="DJ62" s="832"/>
      <c r="DK62" s="923"/>
      <c r="DL62" s="923"/>
      <c r="DM62" s="923"/>
      <c r="DN62" s="923"/>
      <c r="DO62" s="923"/>
      <c r="DP62" s="923"/>
      <c r="DQ62" s="923"/>
      <c r="DR62" s="923"/>
      <c r="DS62" s="923"/>
      <c r="DT62" s="923"/>
      <c r="DU62" s="923"/>
      <c r="DV62" s="923"/>
      <c r="DW62" s="923"/>
      <c r="DX62" s="923"/>
      <c r="DY62" s="923"/>
      <c r="DZ62" s="923"/>
      <c r="EA62" s="923"/>
      <c r="EB62" s="923"/>
      <c r="EC62" s="923"/>
      <c r="ED62" s="923"/>
      <c r="EE62" s="923"/>
      <c r="EF62" s="923"/>
      <c r="EG62" s="923"/>
      <c r="EH62" s="923"/>
      <c r="EI62" s="923"/>
      <c r="EJ62" s="923"/>
      <c r="EK62" s="923"/>
      <c r="EL62" s="923"/>
      <c r="EM62" s="923">
        <v>4</v>
      </c>
      <c r="EN62" s="923"/>
      <c r="EO62" s="923"/>
      <c r="EP62" s="955"/>
      <c r="EQ62" s="990">
        <f t="shared" si="6"/>
        <v>4</v>
      </c>
      <c r="ER62" s="991"/>
      <c r="ES62" s="992"/>
      <c r="ET62" s="153"/>
      <c r="EU62" s="121"/>
      <c r="EV62" s="121"/>
      <c r="EW62" s="236"/>
      <c r="EX62" s="237"/>
      <c r="EY62" s="238"/>
      <c r="EZ62" s="122"/>
    </row>
    <row r="63" spans="1:156" ht="69.95" customHeight="1" x14ac:dyDescent="0.65">
      <c r="A63" s="158" t="s">
        <v>38</v>
      </c>
      <c r="B63" s="140"/>
      <c r="C63" s="510" t="s">
        <v>76</v>
      </c>
      <c r="D63" s="510"/>
      <c r="E63" s="510"/>
      <c r="F63" s="510"/>
      <c r="G63" s="510"/>
      <c r="H63" s="510"/>
      <c r="I63" s="510"/>
      <c r="J63" s="510"/>
      <c r="K63" s="510"/>
      <c r="L63" s="510"/>
      <c r="M63" s="510"/>
      <c r="N63" s="510"/>
      <c r="O63" s="510"/>
      <c r="P63" s="510"/>
      <c r="Q63" s="510"/>
      <c r="R63" s="510"/>
      <c r="S63" s="510"/>
      <c r="T63" s="510"/>
      <c r="U63" s="510"/>
      <c r="V63" s="510"/>
      <c r="W63" s="510"/>
      <c r="X63" s="510"/>
      <c r="Y63" s="510"/>
      <c r="Z63" s="957">
        <f>SUM(Z64:AC91)</f>
        <v>2400</v>
      </c>
      <c r="AA63" s="957"/>
      <c r="AB63" s="957"/>
      <c r="AC63" s="957"/>
      <c r="AD63" s="957">
        <f>Z63/$Z$96*100</f>
        <v>33.333333333333329</v>
      </c>
      <c r="AE63" s="957"/>
      <c r="AF63" s="957"/>
      <c r="AG63" s="969">
        <f>SUM(AG64:AK91)</f>
        <v>300</v>
      </c>
      <c r="AH63" s="970"/>
      <c r="AI63" s="970"/>
      <c r="AJ63" s="970"/>
      <c r="AK63" s="971"/>
      <c r="AL63" s="969">
        <f>SUM(AL64:AP91)</f>
        <v>176</v>
      </c>
      <c r="AM63" s="970"/>
      <c r="AN63" s="970"/>
      <c r="AO63" s="970"/>
      <c r="AP63" s="971"/>
      <c r="AQ63" s="969">
        <f>SUM(AQ64:AU91)</f>
        <v>110</v>
      </c>
      <c r="AR63" s="970"/>
      <c r="AS63" s="970"/>
      <c r="AT63" s="970"/>
      <c r="AU63" s="971"/>
      <c r="AV63" s="969">
        <f>SUM(AV64:AZ91)</f>
        <v>14</v>
      </c>
      <c r="AW63" s="970"/>
      <c r="AX63" s="970"/>
      <c r="AY63" s="970"/>
      <c r="AZ63" s="971"/>
      <c r="BA63" s="969">
        <f>SUM(BA64:BE91)</f>
        <v>0</v>
      </c>
      <c r="BB63" s="970"/>
      <c r="BC63" s="970"/>
      <c r="BD63" s="970"/>
      <c r="BE63" s="971"/>
      <c r="BF63" s="969">
        <f>SUM(BF64:BJ91)</f>
        <v>0</v>
      </c>
      <c r="BG63" s="970"/>
      <c r="BH63" s="970"/>
      <c r="BI63" s="970"/>
      <c r="BJ63" s="971"/>
      <c r="BK63" s="957">
        <f>SUM(BK64:BN91)</f>
        <v>2100</v>
      </c>
      <c r="BL63" s="957"/>
      <c r="BM63" s="957"/>
      <c r="BN63" s="972"/>
      <c r="BO63" s="900">
        <f>SUM(BO64:BR91)</f>
        <v>6</v>
      </c>
      <c r="BP63" s="875"/>
      <c r="BQ63" s="875"/>
      <c r="BR63" s="875"/>
      <c r="BS63" s="875">
        <f>SUM(BS64:BV91)</f>
        <v>13</v>
      </c>
      <c r="BT63" s="875"/>
      <c r="BU63" s="875"/>
      <c r="BV63" s="875"/>
      <c r="BW63" s="875">
        <f>SUM(BW64:BZ91)</f>
        <v>14</v>
      </c>
      <c r="BX63" s="875"/>
      <c r="BY63" s="875"/>
      <c r="BZ63" s="875"/>
      <c r="CA63" s="875">
        <f>SUM(CA64:CD91)</f>
        <v>11</v>
      </c>
      <c r="CB63" s="875"/>
      <c r="CC63" s="875"/>
      <c r="CD63" s="875"/>
      <c r="CE63" s="875">
        <f>SUM(CE64:CH91)</f>
        <v>16</v>
      </c>
      <c r="CF63" s="875"/>
      <c r="CG63" s="875"/>
      <c r="CH63" s="875"/>
      <c r="CI63" s="875">
        <f>SUM(CI64:CL91)</f>
        <v>18</v>
      </c>
      <c r="CJ63" s="875"/>
      <c r="CK63" s="875"/>
      <c r="CL63" s="875"/>
      <c r="CM63" s="875">
        <f>SUM(CM64:CP91)</f>
        <v>0</v>
      </c>
      <c r="CN63" s="875"/>
      <c r="CO63" s="875"/>
      <c r="CP63" s="875"/>
      <c r="CQ63" s="875">
        <f>SUM(CQ64:CT91)</f>
        <v>0</v>
      </c>
      <c r="CR63" s="875"/>
      <c r="CS63" s="875"/>
      <c r="CT63" s="875"/>
      <c r="CU63" s="875">
        <f>SUM(CU64:CX91)</f>
        <v>8</v>
      </c>
      <c r="CV63" s="875"/>
      <c r="CW63" s="875"/>
      <c r="CX63" s="875"/>
      <c r="CY63" s="875">
        <f>SUM(CY64:DB91)</f>
        <v>6</v>
      </c>
      <c r="CZ63" s="875"/>
      <c r="DA63" s="875"/>
      <c r="DB63" s="928"/>
      <c r="DC63" s="900">
        <f>SUM(DC64:DF91)</f>
        <v>6</v>
      </c>
      <c r="DD63" s="875"/>
      <c r="DE63" s="875"/>
      <c r="DF63" s="875"/>
      <c r="DG63" s="875">
        <f>SUM(DG64:DJ91)</f>
        <v>10</v>
      </c>
      <c r="DH63" s="875"/>
      <c r="DI63" s="875"/>
      <c r="DJ63" s="875"/>
      <c r="DK63" s="875">
        <f>SUM(DK64:DN91)</f>
        <v>13</v>
      </c>
      <c r="DL63" s="875"/>
      <c r="DM63" s="875"/>
      <c r="DN63" s="875"/>
      <c r="DO63" s="875">
        <f>SUM(DO64:DR91)</f>
        <v>9</v>
      </c>
      <c r="DP63" s="875"/>
      <c r="DQ63" s="875"/>
      <c r="DR63" s="875"/>
      <c r="DS63" s="875">
        <f>SUM(DS64:DV91)</f>
        <v>14</v>
      </c>
      <c r="DT63" s="875"/>
      <c r="DU63" s="875"/>
      <c r="DV63" s="875"/>
      <c r="DW63" s="875">
        <f>SUM(DW64:DZ91)</f>
        <v>16</v>
      </c>
      <c r="DX63" s="875"/>
      <c r="DY63" s="875"/>
      <c r="DZ63" s="875"/>
      <c r="EA63" s="875">
        <f>SUM(EA64:ED91)</f>
        <v>0</v>
      </c>
      <c r="EB63" s="875"/>
      <c r="EC63" s="875"/>
      <c r="ED63" s="875"/>
      <c r="EE63" s="875">
        <f>SUM(EE64:EH91)</f>
        <v>0</v>
      </c>
      <c r="EF63" s="875"/>
      <c r="EG63" s="875"/>
      <c r="EH63" s="875"/>
      <c r="EI63" s="875">
        <f>SUM(EI64:EL91)</f>
        <v>7</v>
      </c>
      <c r="EJ63" s="875"/>
      <c r="EK63" s="875"/>
      <c r="EL63" s="875"/>
      <c r="EM63" s="875">
        <f>SUM(EM64:EP91)</f>
        <v>5</v>
      </c>
      <c r="EN63" s="875"/>
      <c r="EO63" s="875"/>
      <c r="EP63" s="928"/>
      <c r="EQ63" s="872">
        <f>SUM(EQ64:ES91)</f>
        <v>80</v>
      </c>
      <c r="ER63" s="873"/>
      <c r="ES63" s="874"/>
      <c r="EW63" s="230"/>
      <c r="EX63" s="231"/>
      <c r="EY63" s="232"/>
    </row>
    <row r="64" spans="1:156" ht="90" customHeight="1" x14ac:dyDescent="0.65">
      <c r="A64" s="854" t="s">
        <v>10</v>
      </c>
      <c r="B64" s="135" t="s">
        <v>196</v>
      </c>
      <c r="C64" s="412" t="s">
        <v>190</v>
      </c>
      <c r="D64" s="413"/>
      <c r="E64" s="413"/>
      <c r="F64" s="413"/>
      <c r="G64" s="413"/>
      <c r="H64" s="413"/>
      <c r="I64" s="413"/>
      <c r="J64" s="413"/>
      <c r="K64" s="413"/>
      <c r="L64" s="413"/>
      <c r="M64" s="413"/>
      <c r="N64" s="413"/>
      <c r="O64" s="413"/>
      <c r="P64" s="413"/>
      <c r="Q64" s="413"/>
      <c r="R64" s="413"/>
      <c r="S64" s="413"/>
      <c r="T64" s="413"/>
      <c r="U64" s="413"/>
      <c r="V64" s="413"/>
      <c r="W64" s="413"/>
      <c r="X64" s="413"/>
      <c r="Y64" s="414"/>
      <c r="Z64" s="949">
        <f>EQ64*30</f>
        <v>150</v>
      </c>
      <c r="AA64" s="950"/>
      <c r="AB64" s="950"/>
      <c r="AC64" s="951"/>
      <c r="AD64" s="846"/>
      <c r="AE64" s="847"/>
      <c r="AF64" s="848"/>
      <c r="AG64" s="930">
        <f>AL64+AQ64+AV64+BA64+BF64</f>
        <v>18</v>
      </c>
      <c r="AH64" s="931"/>
      <c r="AI64" s="931"/>
      <c r="AJ64" s="931"/>
      <c r="AK64" s="932"/>
      <c r="AL64" s="930">
        <v>10</v>
      </c>
      <c r="AM64" s="931"/>
      <c r="AN64" s="931"/>
      <c r="AO64" s="931"/>
      <c r="AP64" s="932"/>
      <c r="AQ64" s="930">
        <v>8</v>
      </c>
      <c r="AR64" s="931"/>
      <c r="AS64" s="931"/>
      <c r="AT64" s="931"/>
      <c r="AU64" s="932"/>
      <c r="AV64" s="930"/>
      <c r="AW64" s="931"/>
      <c r="AX64" s="931"/>
      <c r="AY64" s="931"/>
      <c r="AZ64" s="932"/>
      <c r="BA64" s="930"/>
      <c r="BB64" s="931"/>
      <c r="BC64" s="931"/>
      <c r="BD64" s="931"/>
      <c r="BE64" s="932"/>
      <c r="BF64" s="930"/>
      <c r="BG64" s="931"/>
      <c r="BH64" s="931"/>
      <c r="BI64" s="931"/>
      <c r="BJ64" s="932"/>
      <c r="BK64" s="936">
        <f>+Z64-AG64</f>
        <v>132</v>
      </c>
      <c r="BL64" s="937"/>
      <c r="BM64" s="937"/>
      <c r="BN64" s="938"/>
      <c r="BO64" s="942"/>
      <c r="BP64" s="943"/>
      <c r="BQ64" s="943"/>
      <c r="BR64" s="944"/>
      <c r="BS64" s="973"/>
      <c r="BT64" s="943"/>
      <c r="BU64" s="943"/>
      <c r="BV64" s="944"/>
      <c r="BW64" s="846"/>
      <c r="BX64" s="847"/>
      <c r="BY64" s="847"/>
      <c r="BZ64" s="848"/>
      <c r="CA64" s="846">
        <v>6</v>
      </c>
      <c r="CB64" s="847"/>
      <c r="CC64" s="847"/>
      <c r="CD64" s="848"/>
      <c r="CE64" s="846"/>
      <c r="CF64" s="847"/>
      <c r="CG64" s="847"/>
      <c r="CH64" s="848"/>
      <c r="CI64" s="846"/>
      <c r="CJ64" s="847"/>
      <c r="CK64" s="847"/>
      <c r="CL64" s="848"/>
      <c r="CM64" s="846"/>
      <c r="CN64" s="847"/>
      <c r="CO64" s="847"/>
      <c r="CP64" s="848"/>
      <c r="CQ64" s="846"/>
      <c r="CR64" s="847"/>
      <c r="CS64" s="847"/>
      <c r="CT64" s="848"/>
      <c r="CU64" s="846"/>
      <c r="CV64" s="847"/>
      <c r="CW64" s="847"/>
      <c r="CX64" s="848"/>
      <c r="CY64" s="846"/>
      <c r="CZ64" s="847"/>
      <c r="DA64" s="847"/>
      <c r="DB64" s="856"/>
      <c r="DC64" s="870"/>
      <c r="DD64" s="847"/>
      <c r="DE64" s="847"/>
      <c r="DF64" s="848"/>
      <c r="DG64" s="846"/>
      <c r="DH64" s="847"/>
      <c r="DI64" s="847"/>
      <c r="DJ64" s="848"/>
      <c r="DK64" s="846"/>
      <c r="DL64" s="847"/>
      <c r="DM64" s="847"/>
      <c r="DN64" s="848"/>
      <c r="DO64" s="846">
        <v>5</v>
      </c>
      <c r="DP64" s="847"/>
      <c r="DQ64" s="847"/>
      <c r="DR64" s="848"/>
      <c r="DS64" s="846"/>
      <c r="DT64" s="847"/>
      <c r="DU64" s="847"/>
      <c r="DV64" s="848"/>
      <c r="DW64" s="846"/>
      <c r="DX64" s="847"/>
      <c r="DY64" s="847"/>
      <c r="DZ64" s="848"/>
      <c r="EA64" s="846"/>
      <c r="EB64" s="847"/>
      <c r="EC64" s="847"/>
      <c r="ED64" s="848"/>
      <c r="EE64" s="846"/>
      <c r="EF64" s="847"/>
      <c r="EG64" s="847"/>
      <c r="EH64" s="848"/>
      <c r="EI64" s="846"/>
      <c r="EJ64" s="847"/>
      <c r="EK64" s="847"/>
      <c r="EL64" s="848"/>
      <c r="EM64" s="846"/>
      <c r="EN64" s="847"/>
      <c r="EO64" s="847"/>
      <c r="EP64" s="856"/>
      <c r="EQ64" s="964">
        <f>SUM(DC64:EP65)</f>
        <v>5</v>
      </c>
      <c r="ER64" s="964"/>
      <c r="ES64" s="965"/>
      <c r="EW64" s="230"/>
      <c r="EX64" s="231"/>
      <c r="EY64" s="232"/>
    </row>
    <row r="65" spans="1:155" ht="90" customHeight="1" x14ac:dyDescent="0.65">
      <c r="A65" s="855"/>
      <c r="B65" s="135" t="s">
        <v>197</v>
      </c>
      <c r="C65" s="917" t="s">
        <v>191</v>
      </c>
      <c r="D65" s="918"/>
      <c r="E65" s="918"/>
      <c r="F65" s="918"/>
      <c r="G65" s="918"/>
      <c r="H65" s="918"/>
      <c r="I65" s="918"/>
      <c r="J65" s="918"/>
      <c r="K65" s="918"/>
      <c r="L65" s="918"/>
      <c r="M65" s="918"/>
      <c r="N65" s="918"/>
      <c r="O65" s="918"/>
      <c r="P65" s="918"/>
      <c r="Q65" s="918"/>
      <c r="R65" s="918"/>
      <c r="S65" s="918"/>
      <c r="T65" s="918"/>
      <c r="U65" s="918"/>
      <c r="V65" s="918"/>
      <c r="W65" s="918"/>
      <c r="X65" s="918"/>
      <c r="Y65" s="919"/>
      <c r="Z65" s="952"/>
      <c r="AA65" s="953"/>
      <c r="AB65" s="953"/>
      <c r="AC65" s="954"/>
      <c r="AD65" s="849"/>
      <c r="AE65" s="850"/>
      <c r="AF65" s="851"/>
      <c r="AG65" s="933"/>
      <c r="AH65" s="934"/>
      <c r="AI65" s="934"/>
      <c r="AJ65" s="934"/>
      <c r="AK65" s="935"/>
      <c r="AL65" s="933"/>
      <c r="AM65" s="934"/>
      <c r="AN65" s="934"/>
      <c r="AO65" s="934"/>
      <c r="AP65" s="935"/>
      <c r="AQ65" s="933"/>
      <c r="AR65" s="934"/>
      <c r="AS65" s="934"/>
      <c r="AT65" s="934"/>
      <c r="AU65" s="935"/>
      <c r="AV65" s="933"/>
      <c r="AW65" s="934"/>
      <c r="AX65" s="934"/>
      <c r="AY65" s="934"/>
      <c r="AZ65" s="935"/>
      <c r="BA65" s="933"/>
      <c r="BB65" s="934"/>
      <c r="BC65" s="934"/>
      <c r="BD65" s="934"/>
      <c r="BE65" s="935"/>
      <c r="BF65" s="933"/>
      <c r="BG65" s="934"/>
      <c r="BH65" s="934"/>
      <c r="BI65" s="934"/>
      <c r="BJ65" s="935"/>
      <c r="BK65" s="939"/>
      <c r="BL65" s="940"/>
      <c r="BM65" s="940"/>
      <c r="BN65" s="941"/>
      <c r="BO65" s="945"/>
      <c r="BP65" s="946"/>
      <c r="BQ65" s="946"/>
      <c r="BR65" s="947"/>
      <c r="BS65" s="974"/>
      <c r="BT65" s="946"/>
      <c r="BU65" s="946"/>
      <c r="BV65" s="947"/>
      <c r="BW65" s="849"/>
      <c r="BX65" s="850"/>
      <c r="BY65" s="850"/>
      <c r="BZ65" s="851"/>
      <c r="CA65" s="849"/>
      <c r="CB65" s="850"/>
      <c r="CC65" s="850"/>
      <c r="CD65" s="851"/>
      <c r="CE65" s="849"/>
      <c r="CF65" s="850"/>
      <c r="CG65" s="850"/>
      <c r="CH65" s="851"/>
      <c r="CI65" s="849"/>
      <c r="CJ65" s="850"/>
      <c r="CK65" s="850"/>
      <c r="CL65" s="851"/>
      <c r="CM65" s="849"/>
      <c r="CN65" s="850"/>
      <c r="CO65" s="850"/>
      <c r="CP65" s="851"/>
      <c r="CQ65" s="849"/>
      <c r="CR65" s="850"/>
      <c r="CS65" s="850"/>
      <c r="CT65" s="851"/>
      <c r="CU65" s="849"/>
      <c r="CV65" s="850"/>
      <c r="CW65" s="850"/>
      <c r="CX65" s="851"/>
      <c r="CY65" s="849"/>
      <c r="CZ65" s="850"/>
      <c r="DA65" s="850"/>
      <c r="DB65" s="857"/>
      <c r="DC65" s="871"/>
      <c r="DD65" s="850"/>
      <c r="DE65" s="850"/>
      <c r="DF65" s="851"/>
      <c r="DG65" s="849"/>
      <c r="DH65" s="850"/>
      <c r="DI65" s="850"/>
      <c r="DJ65" s="851"/>
      <c r="DK65" s="849"/>
      <c r="DL65" s="850"/>
      <c r="DM65" s="850"/>
      <c r="DN65" s="851"/>
      <c r="DO65" s="849"/>
      <c r="DP65" s="850"/>
      <c r="DQ65" s="850"/>
      <c r="DR65" s="851"/>
      <c r="DS65" s="849"/>
      <c r="DT65" s="850"/>
      <c r="DU65" s="850"/>
      <c r="DV65" s="851"/>
      <c r="DW65" s="849"/>
      <c r="DX65" s="850"/>
      <c r="DY65" s="850"/>
      <c r="DZ65" s="851"/>
      <c r="EA65" s="849"/>
      <c r="EB65" s="850"/>
      <c r="EC65" s="850"/>
      <c r="ED65" s="851"/>
      <c r="EE65" s="849"/>
      <c r="EF65" s="850"/>
      <c r="EG65" s="850"/>
      <c r="EH65" s="851"/>
      <c r="EI65" s="849"/>
      <c r="EJ65" s="850"/>
      <c r="EK65" s="850"/>
      <c r="EL65" s="851"/>
      <c r="EM65" s="849"/>
      <c r="EN65" s="850"/>
      <c r="EO65" s="850"/>
      <c r="EP65" s="857"/>
      <c r="EQ65" s="966"/>
      <c r="ER65" s="966"/>
      <c r="ES65" s="967"/>
      <c r="EW65" s="230"/>
      <c r="EX65" s="231"/>
      <c r="EY65" s="232"/>
    </row>
    <row r="66" spans="1:155" s="125" customFormat="1" ht="120" customHeight="1" x14ac:dyDescent="0.65">
      <c r="A66" s="854" t="s">
        <v>11</v>
      </c>
      <c r="B66" s="136" t="s">
        <v>281</v>
      </c>
      <c r="C66" s="404" t="s">
        <v>193</v>
      </c>
      <c r="D66" s="405"/>
      <c r="E66" s="405"/>
      <c r="F66" s="405"/>
      <c r="G66" s="405"/>
      <c r="H66" s="405"/>
      <c r="I66" s="405"/>
      <c r="J66" s="405"/>
      <c r="K66" s="405"/>
      <c r="L66" s="405"/>
      <c r="M66" s="405"/>
      <c r="N66" s="405"/>
      <c r="O66" s="405"/>
      <c r="P66" s="405"/>
      <c r="Q66" s="405"/>
      <c r="R66" s="405"/>
      <c r="S66" s="405"/>
      <c r="T66" s="405"/>
      <c r="U66" s="405"/>
      <c r="V66" s="405"/>
      <c r="W66" s="405"/>
      <c r="X66" s="405"/>
      <c r="Y66" s="406"/>
      <c r="Z66" s="892">
        <f>+EQ66*30</f>
        <v>150</v>
      </c>
      <c r="AA66" s="893"/>
      <c r="AB66" s="893"/>
      <c r="AC66" s="894"/>
      <c r="AD66" s="846"/>
      <c r="AE66" s="847"/>
      <c r="AF66" s="848"/>
      <c r="AG66" s="858">
        <f>AL66+AQ66+AV66+BA66+BF66</f>
        <v>18</v>
      </c>
      <c r="AH66" s="859"/>
      <c r="AI66" s="859"/>
      <c r="AJ66" s="859"/>
      <c r="AK66" s="860"/>
      <c r="AL66" s="858">
        <v>10</v>
      </c>
      <c r="AM66" s="859"/>
      <c r="AN66" s="859"/>
      <c r="AO66" s="859"/>
      <c r="AP66" s="860"/>
      <c r="AQ66" s="858">
        <v>8</v>
      </c>
      <c r="AR66" s="859"/>
      <c r="AS66" s="859"/>
      <c r="AT66" s="859"/>
      <c r="AU66" s="860"/>
      <c r="AV66" s="858"/>
      <c r="AW66" s="859"/>
      <c r="AX66" s="859"/>
      <c r="AY66" s="859"/>
      <c r="AZ66" s="860"/>
      <c r="BA66" s="858"/>
      <c r="BB66" s="859"/>
      <c r="BC66" s="859"/>
      <c r="BD66" s="859"/>
      <c r="BE66" s="860"/>
      <c r="BF66" s="858"/>
      <c r="BG66" s="859"/>
      <c r="BH66" s="859"/>
      <c r="BI66" s="859"/>
      <c r="BJ66" s="860"/>
      <c r="BK66" s="864">
        <f>+Z66-AG66</f>
        <v>132</v>
      </c>
      <c r="BL66" s="865"/>
      <c r="BM66" s="865"/>
      <c r="BN66" s="866"/>
      <c r="BO66" s="870"/>
      <c r="BP66" s="847"/>
      <c r="BQ66" s="847"/>
      <c r="BR66" s="848"/>
      <c r="BS66" s="846"/>
      <c r="BT66" s="847"/>
      <c r="BU66" s="847"/>
      <c r="BV66" s="848"/>
      <c r="BW66" s="846"/>
      <c r="BX66" s="847"/>
      <c r="BY66" s="847"/>
      <c r="BZ66" s="848"/>
      <c r="CA66" s="846"/>
      <c r="CB66" s="847"/>
      <c r="CC66" s="847"/>
      <c r="CD66" s="848"/>
      <c r="CE66" s="846"/>
      <c r="CF66" s="847"/>
      <c r="CG66" s="847"/>
      <c r="CH66" s="848"/>
      <c r="CI66" s="846">
        <v>6</v>
      </c>
      <c r="CJ66" s="847"/>
      <c r="CK66" s="847"/>
      <c r="CL66" s="848"/>
      <c r="CM66" s="846"/>
      <c r="CN66" s="847"/>
      <c r="CO66" s="847"/>
      <c r="CP66" s="848"/>
      <c r="CQ66" s="846"/>
      <c r="CR66" s="847"/>
      <c r="CS66" s="847"/>
      <c r="CT66" s="848"/>
      <c r="CU66" s="846"/>
      <c r="CV66" s="847"/>
      <c r="CW66" s="847"/>
      <c r="CX66" s="848"/>
      <c r="CY66" s="846"/>
      <c r="CZ66" s="847"/>
      <c r="DA66" s="847"/>
      <c r="DB66" s="856"/>
      <c r="DC66" s="870"/>
      <c r="DD66" s="847"/>
      <c r="DE66" s="847"/>
      <c r="DF66" s="848"/>
      <c r="DG66" s="846"/>
      <c r="DH66" s="847"/>
      <c r="DI66" s="847"/>
      <c r="DJ66" s="848"/>
      <c r="DK66" s="846"/>
      <c r="DL66" s="847"/>
      <c r="DM66" s="847"/>
      <c r="DN66" s="848"/>
      <c r="DO66" s="846"/>
      <c r="DP66" s="847"/>
      <c r="DQ66" s="847"/>
      <c r="DR66" s="848"/>
      <c r="DS66" s="846"/>
      <c r="DT66" s="847"/>
      <c r="DU66" s="847"/>
      <c r="DV66" s="848"/>
      <c r="DW66" s="846">
        <v>5</v>
      </c>
      <c r="DX66" s="847"/>
      <c r="DY66" s="847"/>
      <c r="DZ66" s="848"/>
      <c r="EA66" s="846"/>
      <c r="EB66" s="847"/>
      <c r="EC66" s="847"/>
      <c r="ED66" s="848"/>
      <c r="EE66" s="846"/>
      <c r="EF66" s="847"/>
      <c r="EG66" s="847"/>
      <c r="EH66" s="848"/>
      <c r="EI66" s="846"/>
      <c r="EJ66" s="847"/>
      <c r="EK66" s="847"/>
      <c r="EL66" s="848"/>
      <c r="EM66" s="846"/>
      <c r="EN66" s="847"/>
      <c r="EO66" s="847"/>
      <c r="EP66" s="856"/>
      <c r="EQ66" s="842">
        <f>SUM(DC66:EP67)</f>
        <v>5</v>
      </c>
      <c r="ER66" s="842"/>
      <c r="ES66" s="843"/>
      <c r="EW66" s="233"/>
      <c r="EX66" s="234"/>
      <c r="EY66" s="235"/>
    </row>
    <row r="67" spans="1:155" s="125" customFormat="1" ht="120" customHeight="1" x14ac:dyDescent="0.65">
      <c r="A67" s="855"/>
      <c r="B67" s="136" t="s">
        <v>282</v>
      </c>
      <c r="C67" s="404" t="s">
        <v>195</v>
      </c>
      <c r="D67" s="405"/>
      <c r="E67" s="405"/>
      <c r="F67" s="405"/>
      <c r="G67" s="405"/>
      <c r="H67" s="405"/>
      <c r="I67" s="405"/>
      <c r="J67" s="405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5"/>
      <c r="V67" s="405"/>
      <c r="W67" s="405"/>
      <c r="X67" s="405"/>
      <c r="Y67" s="406"/>
      <c r="Z67" s="895"/>
      <c r="AA67" s="896"/>
      <c r="AB67" s="896"/>
      <c r="AC67" s="897"/>
      <c r="AD67" s="849"/>
      <c r="AE67" s="850"/>
      <c r="AF67" s="851"/>
      <c r="AG67" s="861"/>
      <c r="AH67" s="862"/>
      <c r="AI67" s="862"/>
      <c r="AJ67" s="862"/>
      <c r="AK67" s="863"/>
      <c r="AL67" s="861"/>
      <c r="AM67" s="862"/>
      <c r="AN67" s="862"/>
      <c r="AO67" s="862"/>
      <c r="AP67" s="863"/>
      <c r="AQ67" s="861"/>
      <c r="AR67" s="862"/>
      <c r="AS67" s="862"/>
      <c r="AT67" s="862"/>
      <c r="AU67" s="863"/>
      <c r="AV67" s="861"/>
      <c r="AW67" s="862"/>
      <c r="AX67" s="862"/>
      <c r="AY67" s="862"/>
      <c r="AZ67" s="863"/>
      <c r="BA67" s="861"/>
      <c r="BB67" s="862"/>
      <c r="BC67" s="862"/>
      <c r="BD67" s="862"/>
      <c r="BE67" s="863"/>
      <c r="BF67" s="861"/>
      <c r="BG67" s="862"/>
      <c r="BH67" s="862"/>
      <c r="BI67" s="862"/>
      <c r="BJ67" s="863"/>
      <c r="BK67" s="867"/>
      <c r="BL67" s="868"/>
      <c r="BM67" s="868"/>
      <c r="BN67" s="869"/>
      <c r="BO67" s="871"/>
      <c r="BP67" s="850"/>
      <c r="BQ67" s="850"/>
      <c r="BR67" s="851"/>
      <c r="BS67" s="849"/>
      <c r="BT67" s="850"/>
      <c r="BU67" s="850"/>
      <c r="BV67" s="851"/>
      <c r="BW67" s="849"/>
      <c r="BX67" s="850"/>
      <c r="BY67" s="850"/>
      <c r="BZ67" s="851"/>
      <c r="CA67" s="849"/>
      <c r="CB67" s="850"/>
      <c r="CC67" s="850"/>
      <c r="CD67" s="851"/>
      <c r="CE67" s="849"/>
      <c r="CF67" s="850"/>
      <c r="CG67" s="850"/>
      <c r="CH67" s="851"/>
      <c r="CI67" s="849"/>
      <c r="CJ67" s="850"/>
      <c r="CK67" s="850"/>
      <c r="CL67" s="851"/>
      <c r="CM67" s="849"/>
      <c r="CN67" s="850"/>
      <c r="CO67" s="850"/>
      <c r="CP67" s="851"/>
      <c r="CQ67" s="849"/>
      <c r="CR67" s="850"/>
      <c r="CS67" s="850"/>
      <c r="CT67" s="851"/>
      <c r="CU67" s="849"/>
      <c r="CV67" s="850"/>
      <c r="CW67" s="850"/>
      <c r="CX67" s="851"/>
      <c r="CY67" s="849"/>
      <c r="CZ67" s="850"/>
      <c r="DA67" s="850"/>
      <c r="DB67" s="857"/>
      <c r="DC67" s="871"/>
      <c r="DD67" s="850"/>
      <c r="DE67" s="850"/>
      <c r="DF67" s="851"/>
      <c r="DG67" s="849"/>
      <c r="DH67" s="850"/>
      <c r="DI67" s="850"/>
      <c r="DJ67" s="851"/>
      <c r="DK67" s="849"/>
      <c r="DL67" s="850"/>
      <c r="DM67" s="850"/>
      <c r="DN67" s="851"/>
      <c r="DO67" s="849"/>
      <c r="DP67" s="850"/>
      <c r="DQ67" s="850"/>
      <c r="DR67" s="851"/>
      <c r="DS67" s="849"/>
      <c r="DT67" s="850"/>
      <c r="DU67" s="850"/>
      <c r="DV67" s="851"/>
      <c r="DW67" s="849"/>
      <c r="DX67" s="850"/>
      <c r="DY67" s="850"/>
      <c r="DZ67" s="851"/>
      <c r="EA67" s="849"/>
      <c r="EB67" s="850"/>
      <c r="EC67" s="850"/>
      <c r="ED67" s="851"/>
      <c r="EE67" s="849"/>
      <c r="EF67" s="850"/>
      <c r="EG67" s="850"/>
      <c r="EH67" s="851"/>
      <c r="EI67" s="849"/>
      <c r="EJ67" s="850"/>
      <c r="EK67" s="850"/>
      <c r="EL67" s="851"/>
      <c r="EM67" s="849"/>
      <c r="EN67" s="850"/>
      <c r="EO67" s="850"/>
      <c r="EP67" s="857"/>
      <c r="EQ67" s="844"/>
      <c r="ER67" s="844"/>
      <c r="ES67" s="845"/>
      <c r="EW67" s="233"/>
      <c r="EX67" s="234"/>
      <c r="EY67" s="235"/>
    </row>
    <row r="68" spans="1:155" s="125" customFormat="1" ht="90" customHeight="1" x14ac:dyDescent="0.65">
      <c r="A68" s="854" t="s">
        <v>39</v>
      </c>
      <c r="B68" s="138" t="s">
        <v>147</v>
      </c>
      <c r="C68" s="402" t="s">
        <v>106</v>
      </c>
      <c r="D68" s="402"/>
      <c r="E68" s="402"/>
      <c r="F68" s="402"/>
      <c r="G68" s="402"/>
      <c r="H68" s="402"/>
      <c r="I68" s="402"/>
      <c r="J68" s="402"/>
      <c r="K68" s="402"/>
      <c r="L68" s="402"/>
      <c r="M68" s="402"/>
      <c r="N68" s="402"/>
      <c r="O68" s="402"/>
      <c r="P68" s="402"/>
      <c r="Q68" s="402"/>
      <c r="R68" s="402"/>
      <c r="S68" s="402"/>
      <c r="T68" s="402"/>
      <c r="U68" s="402"/>
      <c r="V68" s="402"/>
      <c r="W68" s="402"/>
      <c r="X68" s="402"/>
      <c r="Y68" s="402"/>
      <c r="Z68" s="892">
        <f>EQ68*30</f>
        <v>180</v>
      </c>
      <c r="AA68" s="893"/>
      <c r="AB68" s="893"/>
      <c r="AC68" s="894"/>
      <c r="AD68" s="846"/>
      <c r="AE68" s="847"/>
      <c r="AF68" s="848"/>
      <c r="AG68" s="858">
        <f>AL68+AQ68+AV68+BA68+BF68</f>
        <v>24</v>
      </c>
      <c r="AH68" s="859"/>
      <c r="AI68" s="859"/>
      <c r="AJ68" s="859"/>
      <c r="AK68" s="860"/>
      <c r="AL68" s="858">
        <v>16</v>
      </c>
      <c r="AM68" s="859"/>
      <c r="AN68" s="859"/>
      <c r="AO68" s="859"/>
      <c r="AP68" s="860"/>
      <c r="AQ68" s="858"/>
      <c r="AR68" s="859"/>
      <c r="AS68" s="859"/>
      <c r="AT68" s="859"/>
      <c r="AU68" s="860"/>
      <c r="AV68" s="858">
        <v>8</v>
      </c>
      <c r="AW68" s="859"/>
      <c r="AX68" s="859"/>
      <c r="AY68" s="859"/>
      <c r="AZ68" s="860"/>
      <c r="BA68" s="858"/>
      <c r="BB68" s="859"/>
      <c r="BC68" s="859"/>
      <c r="BD68" s="859"/>
      <c r="BE68" s="860"/>
      <c r="BF68" s="858"/>
      <c r="BG68" s="859"/>
      <c r="BH68" s="859"/>
      <c r="BI68" s="859"/>
      <c r="BJ68" s="860"/>
      <c r="BK68" s="864">
        <f>+Z68-AG68</f>
        <v>156</v>
      </c>
      <c r="BL68" s="865"/>
      <c r="BM68" s="865"/>
      <c r="BN68" s="866"/>
      <c r="BO68" s="870">
        <v>6</v>
      </c>
      <c r="BP68" s="847"/>
      <c r="BQ68" s="847"/>
      <c r="BR68" s="848"/>
      <c r="BS68" s="846"/>
      <c r="BT68" s="847"/>
      <c r="BU68" s="847"/>
      <c r="BV68" s="848"/>
      <c r="BW68" s="846"/>
      <c r="BX68" s="847"/>
      <c r="BY68" s="847"/>
      <c r="BZ68" s="848"/>
      <c r="CA68" s="846"/>
      <c r="CB68" s="847"/>
      <c r="CC68" s="847"/>
      <c r="CD68" s="848"/>
      <c r="CE68" s="846"/>
      <c r="CF68" s="847"/>
      <c r="CG68" s="847"/>
      <c r="CH68" s="848"/>
      <c r="CI68" s="846"/>
      <c r="CJ68" s="847"/>
      <c r="CK68" s="847"/>
      <c r="CL68" s="848"/>
      <c r="CM68" s="846"/>
      <c r="CN68" s="847"/>
      <c r="CO68" s="847"/>
      <c r="CP68" s="848"/>
      <c r="CQ68" s="846"/>
      <c r="CR68" s="847"/>
      <c r="CS68" s="847"/>
      <c r="CT68" s="848"/>
      <c r="CU68" s="846"/>
      <c r="CV68" s="847"/>
      <c r="CW68" s="847"/>
      <c r="CX68" s="848"/>
      <c r="CY68" s="846"/>
      <c r="CZ68" s="847"/>
      <c r="DA68" s="847"/>
      <c r="DB68" s="856"/>
      <c r="DC68" s="870">
        <v>6</v>
      </c>
      <c r="DD68" s="847"/>
      <c r="DE68" s="847"/>
      <c r="DF68" s="848"/>
      <c r="DG68" s="846"/>
      <c r="DH68" s="847"/>
      <c r="DI68" s="847"/>
      <c r="DJ68" s="848"/>
      <c r="DK68" s="846"/>
      <c r="DL68" s="847"/>
      <c r="DM68" s="847"/>
      <c r="DN68" s="848"/>
      <c r="DO68" s="846"/>
      <c r="DP68" s="847"/>
      <c r="DQ68" s="847"/>
      <c r="DR68" s="848"/>
      <c r="DS68" s="846"/>
      <c r="DT68" s="847"/>
      <c r="DU68" s="847"/>
      <c r="DV68" s="848"/>
      <c r="DW68" s="846"/>
      <c r="DX68" s="847"/>
      <c r="DY68" s="847"/>
      <c r="DZ68" s="848"/>
      <c r="EA68" s="846"/>
      <c r="EB68" s="847"/>
      <c r="EC68" s="847"/>
      <c r="ED68" s="848"/>
      <c r="EE68" s="846"/>
      <c r="EF68" s="847"/>
      <c r="EG68" s="847"/>
      <c r="EH68" s="848"/>
      <c r="EI68" s="846"/>
      <c r="EJ68" s="847"/>
      <c r="EK68" s="847"/>
      <c r="EL68" s="848"/>
      <c r="EM68" s="846"/>
      <c r="EN68" s="847"/>
      <c r="EO68" s="847"/>
      <c r="EP68" s="856"/>
      <c r="EQ68" s="842">
        <f>SUM(DC68:EP69)</f>
        <v>6</v>
      </c>
      <c r="ER68" s="842"/>
      <c r="ES68" s="843"/>
      <c r="EW68" s="233"/>
      <c r="EX68" s="234"/>
      <c r="EY68" s="235"/>
    </row>
    <row r="69" spans="1:155" s="125" customFormat="1" ht="90" customHeight="1" x14ac:dyDescent="0.65">
      <c r="A69" s="855"/>
      <c r="B69" s="138" t="s">
        <v>157</v>
      </c>
      <c r="C69" s="388" t="s">
        <v>228</v>
      </c>
      <c r="D69" s="388"/>
      <c r="E69" s="388"/>
      <c r="F69" s="388"/>
      <c r="G69" s="388"/>
      <c r="H69" s="388"/>
      <c r="I69" s="388"/>
      <c r="J69" s="388"/>
      <c r="K69" s="388"/>
      <c r="L69" s="388"/>
      <c r="M69" s="388"/>
      <c r="N69" s="388"/>
      <c r="O69" s="388"/>
      <c r="P69" s="388"/>
      <c r="Q69" s="388"/>
      <c r="R69" s="388"/>
      <c r="S69" s="388"/>
      <c r="T69" s="388"/>
      <c r="U69" s="388"/>
      <c r="V69" s="388"/>
      <c r="W69" s="388"/>
      <c r="X69" s="388"/>
      <c r="Y69" s="388"/>
      <c r="Z69" s="895"/>
      <c r="AA69" s="896"/>
      <c r="AB69" s="896"/>
      <c r="AC69" s="897"/>
      <c r="AD69" s="849"/>
      <c r="AE69" s="850"/>
      <c r="AF69" s="851"/>
      <c r="AG69" s="861"/>
      <c r="AH69" s="862"/>
      <c r="AI69" s="862"/>
      <c r="AJ69" s="862"/>
      <c r="AK69" s="863"/>
      <c r="AL69" s="861"/>
      <c r="AM69" s="862"/>
      <c r="AN69" s="862"/>
      <c r="AO69" s="862"/>
      <c r="AP69" s="863"/>
      <c r="AQ69" s="861"/>
      <c r="AR69" s="862"/>
      <c r="AS69" s="862"/>
      <c r="AT69" s="862"/>
      <c r="AU69" s="863"/>
      <c r="AV69" s="861"/>
      <c r="AW69" s="862"/>
      <c r="AX69" s="862"/>
      <c r="AY69" s="862"/>
      <c r="AZ69" s="863"/>
      <c r="BA69" s="861"/>
      <c r="BB69" s="862"/>
      <c r="BC69" s="862"/>
      <c r="BD69" s="862"/>
      <c r="BE69" s="863"/>
      <c r="BF69" s="861"/>
      <c r="BG69" s="862"/>
      <c r="BH69" s="862"/>
      <c r="BI69" s="862"/>
      <c r="BJ69" s="863"/>
      <c r="BK69" s="867"/>
      <c r="BL69" s="868"/>
      <c r="BM69" s="868"/>
      <c r="BN69" s="869"/>
      <c r="BO69" s="871"/>
      <c r="BP69" s="850"/>
      <c r="BQ69" s="850"/>
      <c r="BR69" s="851"/>
      <c r="BS69" s="849"/>
      <c r="BT69" s="850"/>
      <c r="BU69" s="850"/>
      <c r="BV69" s="851"/>
      <c r="BW69" s="849"/>
      <c r="BX69" s="850"/>
      <c r="BY69" s="850"/>
      <c r="BZ69" s="851"/>
      <c r="CA69" s="849"/>
      <c r="CB69" s="850"/>
      <c r="CC69" s="850"/>
      <c r="CD69" s="851"/>
      <c r="CE69" s="849"/>
      <c r="CF69" s="850"/>
      <c r="CG69" s="850"/>
      <c r="CH69" s="851"/>
      <c r="CI69" s="849"/>
      <c r="CJ69" s="850"/>
      <c r="CK69" s="850"/>
      <c r="CL69" s="851"/>
      <c r="CM69" s="849"/>
      <c r="CN69" s="850"/>
      <c r="CO69" s="850"/>
      <c r="CP69" s="851"/>
      <c r="CQ69" s="849"/>
      <c r="CR69" s="850"/>
      <c r="CS69" s="850"/>
      <c r="CT69" s="851"/>
      <c r="CU69" s="849"/>
      <c r="CV69" s="850"/>
      <c r="CW69" s="850"/>
      <c r="CX69" s="851"/>
      <c r="CY69" s="849"/>
      <c r="CZ69" s="850"/>
      <c r="DA69" s="850"/>
      <c r="DB69" s="857"/>
      <c r="DC69" s="871"/>
      <c r="DD69" s="850"/>
      <c r="DE69" s="850"/>
      <c r="DF69" s="851"/>
      <c r="DG69" s="849"/>
      <c r="DH69" s="850"/>
      <c r="DI69" s="850"/>
      <c r="DJ69" s="851"/>
      <c r="DK69" s="849"/>
      <c r="DL69" s="850"/>
      <c r="DM69" s="850"/>
      <c r="DN69" s="851"/>
      <c r="DO69" s="849"/>
      <c r="DP69" s="850"/>
      <c r="DQ69" s="850"/>
      <c r="DR69" s="851"/>
      <c r="DS69" s="849"/>
      <c r="DT69" s="850"/>
      <c r="DU69" s="850"/>
      <c r="DV69" s="851"/>
      <c r="DW69" s="849"/>
      <c r="DX69" s="850"/>
      <c r="DY69" s="850"/>
      <c r="DZ69" s="851"/>
      <c r="EA69" s="849"/>
      <c r="EB69" s="850"/>
      <c r="EC69" s="850"/>
      <c r="ED69" s="851"/>
      <c r="EE69" s="849"/>
      <c r="EF69" s="850"/>
      <c r="EG69" s="850"/>
      <c r="EH69" s="851"/>
      <c r="EI69" s="849"/>
      <c r="EJ69" s="850"/>
      <c r="EK69" s="850"/>
      <c r="EL69" s="851"/>
      <c r="EM69" s="849"/>
      <c r="EN69" s="850"/>
      <c r="EO69" s="850"/>
      <c r="EP69" s="857"/>
      <c r="EQ69" s="844"/>
      <c r="ER69" s="844"/>
      <c r="ES69" s="845"/>
      <c r="EW69" s="233"/>
      <c r="EX69" s="234"/>
      <c r="EY69" s="235"/>
    </row>
    <row r="70" spans="1:155" s="125" customFormat="1" ht="90" customHeight="1" x14ac:dyDescent="0.65">
      <c r="A70" s="854" t="s">
        <v>40</v>
      </c>
      <c r="B70" s="135" t="s">
        <v>131</v>
      </c>
      <c r="C70" s="535" t="s">
        <v>111</v>
      </c>
      <c r="D70" s="535"/>
      <c r="E70" s="535"/>
      <c r="F70" s="535"/>
      <c r="G70" s="535"/>
      <c r="H70" s="535"/>
      <c r="I70" s="535"/>
      <c r="J70" s="535"/>
      <c r="K70" s="535"/>
      <c r="L70" s="535"/>
      <c r="M70" s="535"/>
      <c r="N70" s="535"/>
      <c r="O70" s="535"/>
      <c r="P70" s="535"/>
      <c r="Q70" s="535"/>
      <c r="R70" s="535"/>
      <c r="S70" s="535"/>
      <c r="T70" s="535"/>
      <c r="U70" s="535"/>
      <c r="V70" s="535"/>
      <c r="W70" s="535"/>
      <c r="X70" s="535"/>
      <c r="Y70" s="535"/>
      <c r="Z70" s="892">
        <f>EQ70*30</f>
        <v>120</v>
      </c>
      <c r="AA70" s="893"/>
      <c r="AB70" s="893"/>
      <c r="AC70" s="894"/>
      <c r="AD70" s="846"/>
      <c r="AE70" s="847"/>
      <c r="AF70" s="848"/>
      <c r="AG70" s="858">
        <f>AL70+AQ70+AV70+BA70+BF70</f>
        <v>18</v>
      </c>
      <c r="AH70" s="859"/>
      <c r="AI70" s="859"/>
      <c r="AJ70" s="859"/>
      <c r="AK70" s="860"/>
      <c r="AL70" s="858">
        <v>12</v>
      </c>
      <c r="AM70" s="859"/>
      <c r="AN70" s="859"/>
      <c r="AO70" s="859"/>
      <c r="AP70" s="860"/>
      <c r="AQ70" s="858"/>
      <c r="AR70" s="859"/>
      <c r="AS70" s="859"/>
      <c r="AT70" s="859"/>
      <c r="AU70" s="860"/>
      <c r="AV70" s="858">
        <v>6</v>
      </c>
      <c r="AW70" s="859"/>
      <c r="AX70" s="859"/>
      <c r="AY70" s="859"/>
      <c r="AZ70" s="860"/>
      <c r="BA70" s="858"/>
      <c r="BB70" s="859"/>
      <c r="BC70" s="859"/>
      <c r="BD70" s="859"/>
      <c r="BE70" s="860"/>
      <c r="BF70" s="858"/>
      <c r="BG70" s="859"/>
      <c r="BH70" s="859"/>
      <c r="BI70" s="859"/>
      <c r="BJ70" s="860"/>
      <c r="BK70" s="864">
        <f>+Z70-AG70</f>
        <v>102</v>
      </c>
      <c r="BL70" s="865"/>
      <c r="BM70" s="865"/>
      <c r="BN70" s="866"/>
      <c r="BO70" s="870"/>
      <c r="BP70" s="847"/>
      <c r="BQ70" s="847"/>
      <c r="BR70" s="848"/>
      <c r="BS70" s="846">
        <v>6</v>
      </c>
      <c r="BT70" s="847"/>
      <c r="BU70" s="847"/>
      <c r="BV70" s="848"/>
      <c r="BW70" s="846"/>
      <c r="BX70" s="847"/>
      <c r="BY70" s="847"/>
      <c r="BZ70" s="848"/>
      <c r="CA70" s="846"/>
      <c r="CB70" s="847"/>
      <c r="CC70" s="847"/>
      <c r="CD70" s="848"/>
      <c r="CE70" s="846"/>
      <c r="CF70" s="847"/>
      <c r="CG70" s="847"/>
      <c r="CH70" s="848"/>
      <c r="CI70" s="846"/>
      <c r="CJ70" s="847"/>
      <c r="CK70" s="847"/>
      <c r="CL70" s="848"/>
      <c r="CM70" s="846"/>
      <c r="CN70" s="847"/>
      <c r="CO70" s="847"/>
      <c r="CP70" s="848"/>
      <c r="CQ70" s="846"/>
      <c r="CR70" s="847"/>
      <c r="CS70" s="847"/>
      <c r="CT70" s="848"/>
      <c r="CU70" s="846"/>
      <c r="CV70" s="847"/>
      <c r="CW70" s="847"/>
      <c r="CX70" s="848"/>
      <c r="CY70" s="846"/>
      <c r="CZ70" s="847"/>
      <c r="DA70" s="847"/>
      <c r="DB70" s="856"/>
      <c r="DC70" s="870"/>
      <c r="DD70" s="847"/>
      <c r="DE70" s="847"/>
      <c r="DF70" s="848"/>
      <c r="DG70" s="846">
        <v>4</v>
      </c>
      <c r="DH70" s="847"/>
      <c r="DI70" s="847"/>
      <c r="DJ70" s="848"/>
      <c r="DK70" s="846"/>
      <c r="DL70" s="847"/>
      <c r="DM70" s="847"/>
      <c r="DN70" s="848"/>
      <c r="DO70" s="846"/>
      <c r="DP70" s="847"/>
      <c r="DQ70" s="847"/>
      <c r="DR70" s="848"/>
      <c r="DS70" s="846"/>
      <c r="DT70" s="847"/>
      <c r="DU70" s="847"/>
      <c r="DV70" s="848"/>
      <c r="DW70" s="846"/>
      <c r="DX70" s="847"/>
      <c r="DY70" s="847"/>
      <c r="DZ70" s="848"/>
      <c r="EA70" s="846"/>
      <c r="EB70" s="847"/>
      <c r="EC70" s="847"/>
      <c r="ED70" s="848"/>
      <c r="EE70" s="846"/>
      <c r="EF70" s="847"/>
      <c r="EG70" s="847"/>
      <c r="EH70" s="848"/>
      <c r="EI70" s="846"/>
      <c r="EJ70" s="847"/>
      <c r="EK70" s="847"/>
      <c r="EL70" s="848"/>
      <c r="EM70" s="846"/>
      <c r="EN70" s="847"/>
      <c r="EO70" s="847"/>
      <c r="EP70" s="856"/>
      <c r="EQ70" s="842">
        <f>SUM(DC70:EP71)</f>
        <v>4</v>
      </c>
      <c r="ER70" s="842"/>
      <c r="ES70" s="843"/>
      <c r="EW70" s="233"/>
      <c r="EX70" s="234"/>
      <c r="EY70" s="235"/>
    </row>
    <row r="71" spans="1:155" s="125" customFormat="1" ht="90" customHeight="1" x14ac:dyDescent="0.65">
      <c r="A71" s="855"/>
      <c r="B71" s="138" t="s">
        <v>226</v>
      </c>
      <c r="C71" s="1046" t="s">
        <v>224</v>
      </c>
      <c r="D71" s="1047"/>
      <c r="E71" s="1047"/>
      <c r="F71" s="1047"/>
      <c r="G71" s="1047"/>
      <c r="H71" s="1047"/>
      <c r="I71" s="1047"/>
      <c r="J71" s="1047"/>
      <c r="K71" s="1047"/>
      <c r="L71" s="1047"/>
      <c r="M71" s="1047"/>
      <c r="N71" s="1047"/>
      <c r="O71" s="1047"/>
      <c r="P71" s="1047"/>
      <c r="Q71" s="1047"/>
      <c r="R71" s="1047"/>
      <c r="S71" s="1047"/>
      <c r="T71" s="1047"/>
      <c r="U71" s="1047"/>
      <c r="V71" s="1047"/>
      <c r="W71" s="1047"/>
      <c r="X71" s="1047"/>
      <c r="Y71" s="1048"/>
      <c r="Z71" s="895"/>
      <c r="AA71" s="896"/>
      <c r="AB71" s="896"/>
      <c r="AC71" s="897"/>
      <c r="AD71" s="849"/>
      <c r="AE71" s="850"/>
      <c r="AF71" s="851"/>
      <c r="AG71" s="861"/>
      <c r="AH71" s="862"/>
      <c r="AI71" s="862"/>
      <c r="AJ71" s="862"/>
      <c r="AK71" s="863"/>
      <c r="AL71" s="861"/>
      <c r="AM71" s="862"/>
      <c r="AN71" s="862"/>
      <c r="AO71" s="862"/>
      <c r="AP71" s="863"/>
      <c r="AQ71" s="861"/>
      <c r="AR71" s="862"/>
      <c r="AS71" s="862"/>
      <c r="AT71" s="862"/>
      <c r="AU71" s="863"/>
      <c r="AV71" s="861"/>
      <c r="AW71" s="862"/>
      <c r="AX71" s="862"/>
      <c r="AY71" s="862"/>
      <c r="AZ71" s="863"/>
      <c r="BA71" s="861"/>
      <c r="BB71" s="862"/>
      <c r="BC71" s="862"/>
      <c r="BD71" s="862"/>
      <c r="BE71" s="863"/>
      <c r="BF71" s="861"/>
      <c r="BG71" s="862"/>
      <c r="BH71" s="862"/>
      <c r="BI71" s="862"/>
      <c r="BJ71" s="863"/>
      <c r="BK71" s="867"/>
      <c r="BL71" s="868"/>
      <c r="BM71" s="868"/>
      <c r="BN71" s="869"/>
      <c r="BO71" s="871"/>
      <c r="BP71" s="850"/>
      <c r="BQ71" s="850"/>
      <c r="BR71" s="851"/>
      <c r="BS71" s="849"/>
      <c r="BT71" s="850"/>
      <c r="BU71" s="850"/>
      <c r="BV71" s="851"/>
      <c r="BW71" s="849"/>
      <c r="BX71" s="850"/>
      <c r="BY71" s="850"/>
      <c r="BZ71" s="851"/>
      <c r="CA71" s="849"/>
      <c r="CB71" s="850"/>
      <c r="CC71" s="850"/>
      <c r="CD71" s="851"/>
      <c r="CE71" s="849"/>
      <c r="CF71" s="850"/>
      <c r="CG71" s="850"/>
      <c r="CH71" s="851"/>
      <c r="CI71" s="849"/>
      <c r="CJ71" s="850"/>
      <c r="CK71" s="850"/>
      <c r="CL71" s="851"/>
      <c r="CM71" s="849"/>
      <c r="CN71" s="850"/>
      <c r="CO71" s="850"/>
      <c r="CP71" s="851"/>
      <c r="CQ71" s="849"/>
      <c r="CR71" s="850"/>
      <c r="CS71" s="850"/>
      <c r="CT71" s="851"/>
      <c r="CU71" s="849"/>
      <c r="CV71" s="850"/>
      <c r="CW71" s="850"/>
      <c r="CX71" s="851"/>
      <c r="CY71" s="849"/>
      <c r="CZ71" s="850"/>
      <c r="DA71" s="850"/>
      <c r="DB71" s="857"/>
      <c r="DC71" s="871"/>
      <c r="DD71" s="850"/>
      <c r="DE71" s="850"/>
      <c r="DF71" s="851"/>
      <c r="DG71" s="849"/>
      <c r="DH71" s="850"/>
      <c r="DI71" s="850"/>
      <c r="DJ71" s="851"/>
      <c r="DK71" s="849"/>
      <c r="DL71" s="850"/>
      <c r="DM71" s="850"/>
      <c r="DN71" s="851"/>
      <c r="DO71" s="849"/>
      <c r="DP71" s="850"/>
      <c r="DQ71" s="850"/>
      <c r="DR71" s="851"/>
      <c r="DS71" s="849"/>
      <c r="DT71" s="850"/>
      <c r="DU71" s="850"/>
      <c r="DV71" s="851"/>
      <c r="DW71" s="849"/>
      <c r="DX71" s="850"/>
      <c r="DY71" s="850"/>
      <c r="DZ71" s="851"/>
      <c r="EA71" s="849"/>
      <c r="EB71" s="850"/>
      <c r="EC71" s="850"/>
      <c r="ED71" s="851"/>
      <c r="EE71" s="849"/>
      <c r="EF71" s="850"/>
      <c r="EG71" s="850"/>
      <c r="EH71" s="851"/>
      <c r="EI71" s="849"/>
      <c r="EJ71" s="850"/>
      <c r="EK71" s="850"/>
      <c r="EL71" s="851"/>
      <c r="EM71" s="849"/>
      <c r="EN71" s="850"/>
      <c r="EO71" s="850"/>
      <c r="EP71" s="857"/>
      <c r="EQ71" s="844"/>
      <c r="ER71" s="844"/>
      <c r="ES71" s="845"/>
      <c r="EW71" s="233"/>
      <c r="EX71" s="234"/>
      <c r="EY71" s="235"/>
    </row>
    <row r="72" spans="1:155" s="125" customFormat="1" ht="90" customHeight="1" x14ac:dyDescent="0.65">
      <c r="A72" s="854" t="s">
        <v>41</v>
      </c>
      <c r="B72" s="135" t="s">
        <v>133</v>
      </c>
      <c r="C72" s="388" t="s">
        <v>123</v>
      </c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388"/>
      <c r="P72" s="388"/>
      <c r="Q72" s="388"/>
      <c r="R72" s="388"/>
      <c r="S72" s="388"/>
      <c r="T72" s="388"/>
      <c r="U72" s="388"/>
      <c r="V72" s="388"/>
      <c r="W72" s="388"/>
      <c r="X72" s="388"/>
      <c r="Y72" s="388"/>
      <c r="Z72" s="892">
        <f>EQ72*30</f>
        <v>450</v>
      </c>
      <c r="AA72" s="893"/>
      <c r="AB72" s="893"/>
      <c r="AC72" s="894"/>
      <c r="AD72" s="846"/>
      <c r="AE72" s="847"/>
      <c r="AF72" s="848"/>
      <c r="AG72" s="858">
        <f>AL72+AQ72+AV72+BA72+BF72</f>
        <v>54</v>
      </c>
      <c r="AH72" s="859"/>
      <c r="AI72" s="859"/>
      <c r="AJ72" s="859"/>
      <c r="AK72" s="860"/>
      <c r="AL72" s="858">
        <v>34</v>
      </c>
      <c r="AM72" s="859"/>
      <c r="AN72" s="859"/>
      <c r="AO72" s="859"/>
      <c r="AP72" s="860"/>
      <c r="AQ72" s="858">
        <v>20</v>
      </c>
      <c r="AR72" s="859"/>
      <c r="AS72" s="859"/>
      <c r="AT72" s="859"/>
      <c r="AU72" s="860"/>
      <c r="AV72" s="858"/>
      <c r="AW72" s="859"/>
      <c r="AX72" s="859"/>
      <c r="AY72" s="859"/>
      <c r="AZ72" s="860"/>
      <c r="BA72" s="858"/>
      <c r="BB72" s="859"/>
      <c r="BC72" s="859"/>
      <c r="BD72" s="859"/>
      <c r="BE72" s="860"/>
      <c r="BF72" s="858"/>
      <c r="BG72" s="859"/>
      <c r="BH72" s="859"/>
      <c r="BI72" s="859"/>
      <c r="BJ72" s="860"/>
      <c r="BK72" s="864">
        <f>+Z72-AG72</f>
        <v>396</v>
      </c>
      <c r="BL72" s="865"/>
      <c r="BM72" s="865"/>
      <c r="BN72" s="866"/>
      <c r="BO72" s="870"/>
      <c r="BP72" s="847"/>
      <c r="BQ72" s="847"/>
      <c r="BR72" s="848"/>
      <c r="BS72" s="846">
        <v>7</v>
      </c>
      <c r="BT72" s="847"/>
      <c r="BU72" s="847"/>
      <c r="BV72" s="848"/>
      <c r="BW72" s="846">
        <v>8</v>
      </c>
      <c r="BX72" s="847"/>
      <c r="BY72" s="847"/>
      <c r="BZ72" s="848"/>
      <c r="CA72" s="846"/>
      <c r="CB72" s="847"/>
      <c r="CC72" s="847"/>
      <c r="CD72" s="848"/>
      <c r="CE72" s="846"/>
      <c r="CF72" s="847"/>
      <c r="CG72" s="847"/>
      <c r="CH72" s="848"/>
      <c r="CI72" s="846"/>
      <c r="CJ72" s="847"/>
      <c r="CK72" s="847"/>
      <c r="CL72" s="848"/>
      <c r="CM72" s="846"/>
      <c r="CN72" s="847"/>
      <c r="CO72" s="847"/>
      <c r="CP72" s="848"/>
      <c r="CQ72" s="846"/>
      <c r="CR72" s="847"/>
      <c r="CS72" s="847"/>
      <c r="CT72" s="848"/>
      <c r="CU72" s="846"/>
      <c r="CV72" s="847"/>
      <c r="CW72" s="847"/>
      <c r="CX72" s="848"/>
      <c r="CY72" s="846"/>
      <c r="CZ72" s="847"/>
      <c r="DA72" s="847"/>
      <c r="DB72" s="856"/>
      <c r="DC72" s="870"/>
      <c r="DD72" s="847"/>
      <c r="DE72" s="847"/>
      <c r="DF72" s="848"/>
      <c r="DG72" s="846">
        <v>6</v>
      </c>
      <c r="DH72" s="847"/>
      <c r="DI72" s="847"/>
      <c r="DJ72" s="848"/>
      <c r="DK72" s="846">
        <v>9</v>
      </c>
      <c r="DL72" s="847"/>
      <c r="DM72" s="847"/>
      <c r="DN72" s="848"/>
      <c r="DO72" s="846"/>
      <c r="DP72" s="847"/>
      <c r="DQ72" s="847"/>
      <c r="DR72" s="848"/>
      <c r="DS72" s="846"/>
      <c r="DT72" s="847"/>
      <c r="DU72" s="847"/>
      <c r="DV72" s="848"/>
      <c r="DW72" s="846"/>
      <c r="DX72" s="847"/>
      <c r="DY72" s="847"/>
      <c r="DZ72" s="848"/>
      <c r="EA72" s="846"/>
      <c r="EB72" s="847"/>
      <c r="EC72" s="847"/>
      <c r="ED72" s="848"/>
      <c r="EE72" s="846"/>
      <c r="EF72" s="847"/>
      <c r="EG72" s="847"/>
      <c r="EH72" s="848"/>
      <c r="EI72" s="846"/>
      <c r="EJ72" s="847"/>
      <c r="EK72" s="847"/>
      <c r="EL72" s="848"/>
      <c r="EM72" s="846"/>
      <c r="EN72" s="847"/>
      <c r="EO72" s="847"/>
      <c r="EP72" s="856"/>
      <c r="EQ72" s="842">
        <f>SUM(DC72:EP73)</f>
        <v>15</v>
      </c>
      <c r="ER72" s="842"/>
      <c r="ES72" s="843"/>
      <c r="EW72" s="233"/>
      <c r="EX72" s="234"/>
      <c r="EY72" s="235"/>
    </row>
    <row r="73" spans="1:155" s="125" customFormat="1" ht="90" customHeight="1" x14ac:dyDescent="0.65">
      <c r="A73" s="855"/>
      <c r="B73" s="138" t="s">
        <v>229</v>
      </c>
      <c r="C73" s="1046" t="s">
        <v>227</v>
      </c>
      <c r="D73" s="1047"/>
      <c r="E73" s="1047"/>
      <c r="F73" s="1047"/>
      <c r="G73" s="1047"/>
      <c r="H73" s="1047"/>
      <c r="I73" s="1047"/>
      <c r="J73" s="1047"/>
      <c r="K73" s="1047"/>
      <c r="L73" s="1047"/>
      <c r="M73" s="1047"/>
      <c r="N73" s="1047"/>
      <c r="O73" s="1047"/>
      <c r="P73" s="1047"/>
      <c r="Q73" s="1047"/>
      <c r="R73" s="1047"/>
      <c r="S73" s="1047"/>
      <c r="T73" s="1047"/>
      <c r="U73" s="1047"/>
      <c r="V73" s="1047"/>
      <c r="W73" s="1047"/>
      <c r="X73" s="1047"/>
      <c r="Y73" s="1048"/>
      <c r="Z73" s="895"/>
      <c r="AA73" s="896"/>
      <c r="AB73" s="896"/>
      <c r="AC73" s="897"/>
      <c r="AD73" s="849"/>
      <c r="AE73" s="850"/>
      <c r="AF73" s="851"/>
      <c r="AG73" s="861"/>
      <c r="AH73" s="862"/>
      <c r="AI73" s="862"/>
      <c r="AJ73" s="862"/>
      <c r="AK73" s="863"/>
      <c r="AL73" s="861"/>
      <c r="AM73" s="862"/>
      <c r="AN73" s="862"/>
      <c r="AO73" s="862"/>
      <c r="AP73" s="863"/>
      <c r="AQ73" s="861"/>
      <c r="AR73" s="862"/>
      <c r="AS73" s="862"/>
      <c r="AT73" s="862"/>
      <c r="AU73" s="863"/>
      <c r="AV73" s="861"/>
      <c r="AW73" s="862"/>
      <c r="AX73" s="862"/>
      <c r="AY73" s="862"/>
      <c r="AZ73" s="863"/>
      <c r="BA73" s="861"/>
      <c r="BB73" s="862"/>
      <c r="BC73" s="862"/>
      <c r="BD73" s="862"/>
      <c r="BE73" s="863"/>
      <c r="BF73" s="861"/>
      <c r="BG73" s="862"/>
      <c r="BH73" s="862"/>
      <c r="BI73" s="862"/>
      <c r="BJ73" s="863"/>
      <c r="BK73" s="867"/>
      <c r="BL73" s="868"/>
      <c r="BM73" s="868"/>
      <c r="BN73" s="869"/>
      <c r="BO73" s="871"/>
      <c r="BP73" s="850"/>
      <c r="BQ73" s="850"/>
      <c r="BR73" s="851"/>
      <c r="BS73" s="849"/>
      <c r="BT73" s="850"/>
      <c r="BU73" s="850"/>
      <c r="BV73" s="851"/>
      <c r="BW73" s="849"/>
      <c r="BX73" s="850"/>
      <c r="BY73" s="850"/>
      <c r="BZ73" s="851"/>
      <c r="CA73" s="849"/>
      <c r="CB73" s="850"/>
      <c r="CC73" s="850"/>
      <c r="CD73" s="851"/>
      <c r="CE73" s="849"/>
      <c r="CF73" s="850"/>
      <c r="CG73" s="850"/>
      <c r="CH73" s="851"/>
      <c r="CI73" s="849"/>
      <c r="CJ73" s="850"/>
      <c r="CK73" s="850"/>
      <c r="CL73" s="851"/>
      <c r="CM73" s="849"/>
      <c r="CN73" s="850"/>
      <c r="CO73" s="850"/>
      <c r="CP73" s="851"/>
      <c r="CQ73" s="849"/>
      <c r="CR73" s="850"/>
      <c r="CS73" s="850"/>
      <c r="CT73" s="851"/>
      <c r="CU73" s="849"/>
      <c r="CV73" s="850"/>
      <c r="CW73" s="850"/>
      <c r="CX73" s="851"/>
      <c r="CY73" s="849"/>
      <c r="CZ73" s="850"/>
      <c r="DA73" s="850"/>
      <c r="DB73" s="857"/>
      <c r="DC73" s="871"/>
      <c r="DD73" s="850"/>
      <c r="DE73" s="850"/>
      <c r="DF73" s="851"/>
      <c r="DG73" s="849"/>
      <c r="DH73" s="850"/>
      <c r="DI73" s="850"/>
      <c r="DJ73" s="851"/>
      <c r="DK73" s="849"/>
      <c r="DL73" s="850"/>
      <c r="DM73" s="850"/>
      <c r="DN73" s="851"/>
      <c r="DO73" s="849"/>
      <c r="DP73" s="850"/>
      <c r="DQ73" s="850"/>
      <c r="DR73" s="851"/>
      <c r="DS73" s="849"/>
      <c r="DT73" s="850"/>
      <c r="DU73" s="850"/>
      <c r="DV73" s="851"/>
      <c r="DW73" s="849"/>
      <c r="DX73" s="850"/>
      <c r="DY73" s="850"/>
      <c r="DZ73" s="851"/>
      <c r="EA73" s="849"/>
      <c r="EB73" s="850"/>
      <c r="EC73" s="850"/>
      <c r="ED73" s="851"/>
      <c r="EE73" s="849"/>
      <c r="EF73" s="850"/>
      <c r="EG73" s="850"/>
      <c r="EH73" s="851"/>
      <c r="EI73" s="849"/>
      <c r="EJ73" s="850"/>
      <c r="EK73" s="850"/>
      <c r="EL73" s="851"/>
      <c r="EM73" s="849"/>
      <c r="EN73" s="850"/>
      <c r="EO73" s="850"/>
      <c r="EP73" s="857"/>
      <c r="EQ73" s="844"/>
      <c r="ER73" s="844"/>
      <c r="ES73" s="845"/>
      <c r="EW73" s="233"/>
      <c r="EX73" s="234"/>
      <c r="EY73" s="235"/>
    </row>
    <row r="74" spans="1:155" s="125" customFormat="1" ht="120" customHeight="1" x14ac:dyDescent="0.65">
      <c r="A74" s="854" t="s">
        <v>42</v>
      </c>
      <c r="B74" s="138" t="s">
        <v>148</v>
      </c>
      <c r="C74" s="402" t="s">
        <v>113</v>
      </c>
      <c r="D74" s="402"/>
      <c r="E74" s="402"/>
      <c r="F74" s="402"/>
      <c r="G74" s="402"/>
      <c r="H74" s="402"/>
      <c r="I74" s="402"/>
      <c r="J74" s="402"/>
      <c r="K74" s="402"/>
      <c r="L74" s="402"/>
      <c r="M74" s="402"/>
      <c r="N74" s="402"/>
      <c r="O74" s="402"/>
      <c r="P74" s="402"/>
      <c r="Q74" s="402"/>
      <c r="R74" s="402"/>
      <c r="S74" s="402"/>
      <c r="T74" s="402"/>
      <c r="U74" s="402"/>
      <c r="V74" s="402"/>
      <c r="W74" s="402"/>
      <c r="X74" s="402"/>
      <c r="Y74" s="402"/>
      <c r="Z74" s="892">
        <f>EQ74*30</f>
        <v>120</v>
      </c>
      <c r="AA74" s="893"/>
      <c r="AB74" s="893"/>
      <c r="AC74" s="894"/>
      <c r="AD74" s="846"/>
      <c r="AE74" s="847"/>
      <c r="AF74" s="848"/>
      <c r="AG74" s="858">
        <f>AL74+AQ74+AV74+BA74+BF74</f>
        <v>18</v>
      </c>
      <c r="AH74" s="859"/>
      <c r="AI74" s="859"/>
      <c r="AJ74" s="859"/>
      <c r="AK74" s="860"/>
      <c r="AL74" s="858">
        <v>12</v>
      </c>
      <c r="AM74" s="859"/>
      <c r="AN74" s="859"/>
      <c r="AO74" s="859"/>
      <c r="AP74" s="860"/>
      <c r="AQ74" s="858">
        <v>6</v>
      </c>
      <c r="AR74" s="859"/>
      <c r="AS74" s="859"/>
      <c r="AT74" s="859"/>
      <c r="AU74" s="860"/>
      <c r="AV74" s="858"/>
      <c r="AW74" s="859"/>
      <c r="AX74" s="859"/>
      <c r="AY74" s="859"/>
      <c r="AZ74" s="860"/>
      <c r="BA74" s="858"/>
      <c r="BB74" s="859"/>
      <c r="BC74" s="859"/>
      <c r="BD74" s="859"/>
      <c r="BE74" s="860"/>
      <c r="BF74" s="858"/>
      <c r="BG74" s="859"/>
      <c r="BH74" s="859"/>
      <c r="BI74" s="859"/>
      <c r="BJ74" s="860"/>
      <c r="BK74" s="864">
        <f>+Z74-AG74</f>
        <v>102</v>
      </c>
      <c r="BL74" s="865"/>
      <c r="BM74" s="865"/>
      <c r="BN74" s="866"/>
      <c r="BO74" s="870"/>
      <c r="BP74" s="847"/>
      <c r="BQ74" s="847"/>
      <c r="BR74" s="848"/>
      <c r="BS74" s="846"/>
      <c r="BT74" s="847"/>
      <c r="BU74" s="847"/>
      <c r="BV74" s="848"/>
      <c r="BW74" s="846">
        <v>6</v>
      </c>
      <c r="BX74" s="847"/>
      <c r="BY74" s="847"/>
      <c r="BZ74" s="848"/>
      <c r="CA74" s="846"/>
      <c r="CB74" s="847"/>
      <c r="CC74" s="847"/>
      <c r="CD74" s="848"/>
      <c r="CE74" s="846"/>
      <c r="CF74" s="847"/>
      <c r="CG74" s="847"/>
      <c r="CH74" s="848"/>
      <c r="CI74" s="846"/>
      <c r="CJ74" s="847"/>
      <c r="CK74" s="847"/>
      <c r="CL74" s="848"/>
      <c r="CM74" s="846"/>
      <c r="CN74" s="847"/>
      <c r="CO74" s="847"/>
      <c r="CP74" s="848"/>
      <c r="CQ74" s="846"/>
      <c r="CR74" s="847"/>
      <c r="CS74" s="847"/>
      <c r="CT74" s="848"/>
      <c r="CU74" s="846"/>
      <c r="CV74" s="847"/>
      <c r="CW74" s="847"/>
      <c r="CX74" s="848"/>
      <c r="CY74" s="846"/>
      <c r="CZ74" s="847"/>
      <c r="DA74" s="847"/>
      <c r="DB74" s="856"/>
      <c r="DC74" s="870"/>
      <c r="DD74" s="847"/>
      <c r="DE74" s="847"/>
      <c r="DF74" s="848"/>
      <c r="DG74" s="846"/>
      <c r="DH74" s="847"/>
      <c r="DI74" s="847"/>
      <c r="DJ74" s="848"/>
      <c r="DK74" s="846">
        <v>4</v>
      </c>
      <c r="DL74" s="847"/>
      <c r="DM74" s="847"/>
      <c r="DN74" s="848"/>
      <c r="DO74" s="846"/>
      <c r="DP74" s="847"/>
      <c r="DQ74" s="847"/>
      <c r="DR74" s="848"/>
      <c r="DS74" s="846"/>
      <c r="DT74" s="847"/>
      <c r="DU74" s="847"/>
      <c r="DV74" s="848"/>
      <c r="DW74" s="846"/>
      <c r="DX74" s="847"/>
      <c r="DY74" s="847"/>
      <c r="DZ74" s="848"/>
      <c r="EA74" s="846"/>
      <c r="EB74" s="847"/>
      <c r="EC74" s="847"/>
      <c r="ED74" s="848"/>
      <c r="EE74" s="846"/>
      <c r="EF74" s="847"/>
      <c r="EG74" s="847"/>
      <c r="EH74" s="848"/>
      <c r="EI74" s="846"/>
      <c r="EJ74" s="847"/>
      <c r="EK74" s="847"/>
      <c r="EL74" s="848"/>
      <c r="EM74" s="846"/>
      <c r="EN74" s="847"/>
      <c r="EO74" s="847"/>
      <c r="EP74" s="856"/>
      <c r="EQ74" s="842">
        <f>SUM(DC74:EP75)</f>
        <v>4</v>
      </c>
      <c r="ER74" s="842"/>
      <c r="ES74" s="843"/>
      <c r="EW74" s="233"/>
      <c r="EX74" s="234"/>
      <c r="EY74" s="235"/>
    </row>
    <row r="75" spans="1:155" s="125" customFormat="1" ht="90" customHeight="1" x14ac:dyDescent="0.65">
      <c r="A75" s="855"/>
      <c r="B75" s="138" t="s">
        <v>157</v>
      </c>
      <c r="C75" s="388" t="s">
        <v>228</v>
      </c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895"/>
      <c r="AA75" s="896"/>
      <c r="AB75" s="896"/>
      <c r="AC75" s="897"/>
      <c r="AD75" s="849"/>
      <c r="AE75" s="850"/>
      <c r="AF75" s="851"/>
      <c r="AG75" s="861"/>
      <c r="AH75" s="862"/>
      <c r="AI75" s="862"/>
      <c r="AJ75" s="862"/>
      <c r="AK75" s="863"/>
      <c r="AL75" s="861"/>
      <c r="AM75" s="862"/>
      <c r="AN75" s="862"/>
      <c r="AO75" s="862"/>
      <c r="AP75" s="863"/>
      <c r="AQ75" s="861"/>
      <c r="AR75" s="862"/>
      <c r="AS75" s="862"/>
      <c r="AT75" s="862"/>
      <c r="AU75" s="863"/>
      <c r="AV75" s="861"/>
      <c r="AW75" s="862"/>
      <c r="AX75" s="862"/>
      <c r="AY75" s="862"/>
      <c r="AZ75" s="863"/>
      <c r="BA75" s="861"/>
      <c r="BB75" s="862"/>
      <c r="BC75" s="862"/>
      <c r="BD75" s="862"/>
      <c r="BE75" s="863"/>
      <c r="BF75" s="861"/>
      <c r="BG75" s="862"/>
      <c r="BH75" s="862"/>
      <c r="BI75" s="862"/>
      <c r="BJ75" s="863"/>
      <c r="BK75" s="867"/>
      <c r="BL75" s="868"/>
      <c r="BM75" s="868"/>
      <c r="BN75" s="869"/>
      <c r="BO75" s="871"/>
      <c r="BP75" s="850"/>
      <c r="BQ75" s="850"/>
      <c r="BR75" s="851"/>
      <c r="BS75" s="849"/>
      <c r="BT75" s="850"/>
      <c r="BU75" s="850"/>
      <c r="BV75" s="851"/>
      <c r="BW75" s="849"/>
      <c r="BX75" s="850"/>
      <c r="BY75" s="850"/>
      <c r="BZ75" s="851"/>
      <c r="CA75" s="849"/>
      <c r="CB75" s="850"/>
      <c r="CC75" s="850"/>
      <c r="CD75" s="851"/>
      <c r="CE75" s="849"/>
      <c r="CF75" s="850"/>
      <c r="CG75" s="850"/>
      <c r="CH75" s="851"/>
      <c r="CI75" s="849"/>
      <c r="CJ75" s="850"/>
      <c r="CK75" s="850"/>
      <c r="CL75" s="851"/>
      <c r="CM75" s="849"/>
      <c r="CN75" s="850"/>
      <c r="CO75" s="850"/>
      <c r="CP75" s="851"/>
      <c r="CQ75" s="849"/>
      <c r="CR75" s="850"/>
      <c r="CS75" s="850"/>
      <c r="CT75" s="851"/>
      <c r="CU75" s="849"/>
      <c r="CV75" s="850"/>
      <c r="CW75" s="850"/>
      <c r="CX75" s="851"/>
      <c r="CY75" s="849"/>
      <c r="CZ75" s="850"/>
      <c r="DA75" s="850"/>
      <c r="DB75" s="857"/>
      <c r="DC75" s="871"/>
      <c r="DD75" s="850"/>
      <c r="DE75" s="850"/>
      <c r="DF75" s="851"/>
      <c r="DG75" s="849"/>
      <c r="DH75" s="850"/>
      <c r="DI75" s="850"/>
      <c r="DJ75" s="851"/>
      <c r="DK75" s="849"/>
      <c r="DL75" s="850"/>
      <c r="DM75" s="850"/>
      <c r="DN75" s="851"/>
      <c r="DO75" s="849"/>
      <c r="DP75" s="850"/>
      <c r="DQ75" s="850"/>
      <c r="DR75" s="851"/>
      <c r="DS75" s="849"/>
      <c r="DT75" s="850"/>
      <c r="DU75" s="850"/>
      <c r="DV75" s="851"/>
      <c r="DW75" s="849"/>
      <c r="DX75" s="850"/>
      <c r="DY75" s="850"/>
      <c r="DZ75" s="851"/>
      <c r="EA75" s="849"/>
      <c r="EB75" s="850"/>
      <c r="EC75" s="850"/>
      <c r="ED75" s="851"/>
      <c r="EE75" s="849"/>
      <c r="EF75" s="850"/>
      <c r="EG75" s="850"/>
      <c r="EH75" s="851"/>
      <c r="EI75" s="849"/>
      <c r="EJ75" s="850"/>
      <c r="EK75" s="850"/>
      <c r="EL75" s="851"/>
      <c r="EM75" s="849"/>
      <c r="EN75" s="850"/>
      <c r="EO75" s="850"/>
      <c r="EP75" s="857"/>
      <c r="EQ75" s="844"/>
      <c r="ER75" s="844"/>
      <c r="ES75" s="845"/>
      <c r="EW75" s="233"/>
      <c r="EX75" s="234"/>
      <c r="EY75" s="235"/>
    </row>
    <row r="76" spans="1:155" s="125" customFormat="1" ht="90" customHeight="1" x14ac:dyDescent="0.65">
      <c r="A76" s="854" t="s">
        <v>43</v>
      </c>
      <c r="B76" s="135" t="s">
        <v>135</v>
      </c>
      <c r="C76" s="535" t="s">
        <v>180</v>
      </c>
      <c r="D76" s="535"/>
      <c r="E76" s="535"/>
      <c r="F76" s="535"/>
      <c r="G76" s="535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  <c r="Z76" s="892">
        <f>EQ76*30</f>
        <v>120</v>
      </c>
      <c r="AA76" s="893"/>
      <c r="AB76" s="893"/>
      <c r="AC76" s="894"/>
      <c r="AD76" s="846"/>
      <c r="AE76" s="847"/>
      <c r="AF76" s="848"/>
      <c r="AG76" s="858">
        <f>AL76+AQ76+AV76+BA76+BF76</f>
        <v>16</v>
      </c>
      <c r="AH76" s="859"/>
      <c r="AI76" s="859"/>
      <c r="AJ76" s="859"/>
      <c r="AK76" s="860"/>
      <c r="AL76" s="858">
        <v>8</v>
      </c>
      <c r="AM76" s="859"/>
      <c r="AN76" s="859"/>
      <c r="AO76" s="859"/>
      <c r="AP76" s="860"/>
      <c r="AQ76" s="858">
        <v>8</v>
      </c>
      <c r="AR76" s="859"/>
      <c r="AS76" s="859"/>
      <c r="AT76" s="859"/>
      <c r="AU76" s="860"/>
      <c r="AV76" s="858"/>
      <c r="AW76" s="859"/>
      <c r="AX76" s="859"/>
      <c r="AY76" s="859"/>
      <c r="AZ76" s="860"/>
      <c r="BA76" s="858"/>
      <c r="BB76" s="859"/>
      <c r="BC76" s="859"/>
      <c r="BD76" s="859"/>
      <c r="BE76" s="860"/>
      <c r="BF76" s="858"/>
      <c r="BG76" s="859"/>
      <c r="BH76" s="859"/>
      <c r="BI76" s="859"/>
      <c r="BJ76" s="860"/>
      <c r="BK76" s="864">
        <f>+Z76-AG76</f>
        <v>104</v>
      </c>
      <c r="BL76" s="865"/>
      <c r="BM76" s="865"/>
      <c r="BN76" s="866"/>
      <c r="BO76" s="870"/>
      <c r="BP76" s="847"/>
      <c r="BQ76" s="847"/>
      <c r="BR76" s="848"/>
      <c r="BS76" s="846"/>
      <c r="BT76" s="847"/>
      <c r="BU76" s="847"/>
      <c r="BV76" s="848"/>
      <c r="BW76" s="846"/>
      <c r="BX76" s="847"/>
      <c r="BY76" s="847"/>
      <c r="BZ76" s="848"/>
      <c r="CA76" s="846">
        <v>5</v>
      </c>
      <c r="CB76" s="847"/>
      <c r="CC76" s="847"/>
      <c r="CD76" s="848"/>
      <c r="CE76" s="846"/>
      <c r="CF76" s="847"/>
      <c r="CG76" s="847"/>
      <c r="CH76" s="848"/>
      <c r="CI76" s="846"/>
      <c r="CJ76" s="847"/>
      <c r="CK76" s="847"/>
      <c r="CL76" s="848"/>
      <c r="CM76" s="846"/>
      <c r="CN76" s="847"/>
      <c r="CO76" s="847"/>
      <c r="CP76" s="848"/>
      <c r="CQ76" s="846"/>
      <c r="CR76" s="847"/>
      <c r="CS76" s="847"/>
      <c r="CT76" s="848"/>
      <c r="CU76" s="846"/>
      <c r="CV76" s="847"/>
      <c r="CW76" s="847"/>
      <c r="CX76" s="848"/>
      <c r="CY76" s="846"/>
      <c r="CZ76" s="847"/>
      <c r="DA76" s="847"/>
      <c r="DB76" s="856"/>
      <c r="DC76" s="870"/>
      <c r="DD76" s="847"/>
      <c r="DE76" s="847"/>
      <c r="DF76" s="848"/>
      <c r="DG76" s="846"/>
      <c r="DH76" s="847"/>
      <c r="DI76" s="847"/>
      <c r="DJ76" s="848"/>
      <c r="DK76" s="846"/>
      <c r="DL76" s="847"/>
      <c r="DM76" s="847"/>
      <c r="DN76" s="848"/>
      <c r="DO76" s="846">
        <v>4</v>
      </c>
      <c r="DP76" s="847"/>
      <c r="DQ76" s="847"/>
      <c r="DR76" s="848"/>
      <c r="DS76" s="846"/>
      <c r="DT76" s="847"/>
      <c r="DU76" s="847"/>
      <c r="DV76" s="848"/>
      <c r="DW76" s="846"/>
      <c r="DX76" s="847"/>
      <c r="DY76" s="847"/>
      <c r="DZ76" s="848"/>
      <c r="EA76" s="846"/>
      <c r="EB76" s="847"/>
      <c r="EC76" s="847"/>
      <c r="ED76" s="848"/>
      <c r="EE76" s="846"/>
      <c r="EF76" s="847"/>
      <c r="EG76" s="847"/>
      <c r="EH76" s="848"/>
      <c r="EI76" s="846"/>
      <c r="EJ76" s="847"/>
      <c r="EK76" s="847"/>
      <c r="EL76" s="848"/>
      <c r="EM76" s="846"/>
      <c r="EN76" s="847"/>
      <c r="EO76" s="847"/>
      <c r="EP76" s="856"/>
      <c r="EQ76" s="842">
        <f>SUM(DC76:EP77)</f>
        <v>4</v>
      </c>
      <c r="ER76" s="842"/>
      <c r="ES76" s="843"/>
      <c r="EW76" s="233"/>
      <c r="EX76" s="234"/>
      <c r="EY76" s="235"/>
    </row>
    <row r="77" spans="1:155" s="125" customFormat="1" ht="90" customHeight="1" x14ac:dyDescent="0.65">
      <c r="A77" s="855"/>
      <c r="B77" s="138" t="s">
        <v>217</v>
      </c>
      <c r="C77" s="1046" t="s">
        <v>128</v>
      </c>
      <c r="D77" s="1047"/>
      <c r="E77" s="1047"/>
      <c r="F77" s="1047"/>
      <c r="G77" s="1047"/>
      <c r="H77" s="1047"/>
      <c r="I77" s="1047"/>
      <c r="J77" s="1047"/>
      <c r="K77" s="1047"/>
      <c r="L77" s="1047"/>
      <c r="M77" s="1047"/>
      <c r="N77" s="1047"/>
      <c r="O77" s="1047"/>
      <c r="P77" s="1047"/>
      <c r="Q77" s="1047"/>
      <c r="R77" s="1047"/>
      <c r="S77" s="1047"/>
      <c r="T77" s="1047"/>
      <c r="U77" s="1047"/>
      <c r="V77" s="1047"/>
      <c r="W77" s="1047"/>
      <c r="X77" s="1047"/>
      <c r="Y77" s="1048"/>
      <c r="Z77" s="895"/>
      <c r="AA77" s="896"/>
      <c r="AB77" s="896"/>
      <c r="AC77" s="897"/>
      <c r="AD77" s="849"/>
      <c r="AE77" s="850"/>
      <c r="AF77" s="851"/>
      <c r="AG77" s="861"/>
      <c r="AH77" s="862"/>
      <c r="AI77" s="862"/>
      <c r="AJ77" s="862"/>
      <c r="AK77" s="863"/>
      <c r="AL77" s="861"/>
      <c r="AM77" s="862"/>
      <c r="AN77" s="862"/>
      <c r="AO77" s="862"/>
      <c r="AP77" s="863"/>
      <c r="AQ77" s="861"/>
      <c r="AR77" s="862"/>
      <c r="AS77" s="862"/>
      <c r="AT77" s="862"/>
      <c r="AU77" s="863"/>
      <c r="AV77" s="861"/>
      <c r="AW77" s="862"/>
      <c r="AX77" s="862"/>
      <c r="AY77" s="862"/>
      <c r="AZ77" s="863"/>
      <c r="BA77" s="861"/>
      <c r="BB77" s="862"/>
      <c r="BC77" s="862"/>
      <c r="BD77" s="862"/>
      <c r="BE77" s="863"/>
      <c r="BF77" s="861"/>
      <c r="BG77" s="862"/>
      <c r="BH77" s="862"/>
      <c r="BI77" s="862"/>
      <c r="BJ77" s="863"/>
      <c r="BK77" s="867"/>
      <c r="BL77" s="868"/>
      <c r="BM77" s="868"/>
      <c r="BN77" s="869"/>
      <c r="BO77" s="871"/>
      <c r="BP77" s="850"/>
      <c r="BQ77" s="850"/>
      <c r="BR77" s="851"/>
      <c r="BS77" s="849"/>
      <c r="BT77" s="850"/>
      <c r="BU77" s="850"/>
      <c r="BV77" s="851"/>
      <c r="BW77" s="849"/>
      <c r="BX77" s="850"/>
      <c r="BY77" s="850"/>
      <c r="BZ77" s="851"/>
      <c r="CA77" s="849"/>
      <c r="CB77" s="850"/>
      <c r="CC77" s="850"/>
      <c r="CD77" s="851"/>
      <c r="CE77" s="849"/>
      <c r="CF77" s="850"/>
      <c r="CG77" s="850"/>
      <c r="CH77" s="851"/>
      <c r="CI77" s="849"/>
      <c r="CJ77" s="850"/>
      <c r="CK77" s="850"/>
      <c r="CL77" s="851"/>
      <c r="CM77" s="849"/>
      <c r="CN77" s="850"/>
      <c r="CO77" s="850"/>
      <c r="CP77" s="851"/>
      <c r="CQ77" s="849"/>
      <c r="CR77" s="850"/>
      <c r="CS77" s="850"/>
      <c r="CT77" s="851"/>
      <c r="CU77" s="849"/>
      <c r="CV77" s="850"/>
      <c r="CW77" s="850"/>
      <c r="CX77" s="851"/>
      <c r="CY77" s="849"/>
      <c r="CZ77" s="850"/>
      <c r="DA77" s="850"/>
      <c r="DB77" s="857"/>
      <c r="DC77" s="871"/>
      <c r="DD77" s="850"/>
      <c r="DE77" s="850"/>
      <c r="DF77" s="851"/>
      <c r="DG77" s="849"/>
      <c r="DH77" s="850"/>
      <c r="DI77" s="850"/>
      <c r="DJ77" s="851"/>
      <c r="DK77" s="849"/>
      <c r="DL77" s="850"/>
      <c r="DM77" s="850"/>
      <c r="DN77" s="851"/>
      <c r="DO77" s="849"/>
      <c r="DP77" s="850"/>
      <c r="DQ77" s="850"/>
      <c r="DR77" s="851"/>
      <c r="DS77" s="849"/>
      <c r="DT77" s="850"/>
      <c r="DU77" s="850"/>
      <c r="DV77" s="851"/>
      <c r="DW77" s="849"/>
      <c r="DX77" s="850"/>
      <c r="DY77" s="850"/>
      <c r="DZ77" s="851"/>
      <c r="EA77" s="849"/>
      <c r="EB77" s="850"/>
      <c r="EC77" s="850"/>
      <c r="ED77" s="851"/>
      <c r="EE77" s="849"/>
      <c r="EF77" s="850"/>
      <c r="EG77" s="850"/>
      <c r="EH77" s="851"/>
      <c r="EI77" s="849"/>
      <c r="EJ77" s="850"/>
      <c r="EK77" s="850"/>
      <c r="EL77" s="851"/>
      <c r="EM77" s="849"/>
      <c r="EN77" s="850"/>
      <c r="EO77" s="850"/>
      <c r="EP77" s="857"/>
      <c r="EQ77" s="844"/>
      <c r="ER77" s="844"/>
      <c r="ES77" s="845"/>
      <c r="EW77" s="233"/>
      <c r="EX77" s="234"/>
      <c r="EY77" s="235"/>
    </row>
    <row r="78" spans="1:155" s="125" customFormat="1" ht="90" customHeight="1" x14ac:dyDescent="0.65">
      <c r="A78" s="854" t="s">
        <v>44</v>
      </c>
      <c r="B78" s="136" t="s">
        <v>140</v>
      </c>
      <c r="C78" s="388" t="s">
        <v>125</v>
      </c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388"/>
      <c r="P78" s="388"/>
      <c r="Q78" s="388"/>
      <c r="R78" s="388"/>
      <c r="S78" s="388"/>
      <c r="T78" s="388"/>
      <c r="U78" s="388"/>
      <c r="V78" s="388"/>
      <c r="W78" s="388"/>
      <c r="X78" s="388"/>
      <c r="Y78" s="388"/>
      <c r="Z78" s="892">
        <f>EQ78*30</f>
        <v>150</v>
      </c>
      <c r="AA78" s="893"/>
      <c r="AB78" s="893"/>
      <c r="AC78" s="894"/>
      <c r="AD78" s="846"/>
      <c r="AE78" s="847"/>
      <c r="AF78" s="848"/>
      <c r="AG78" s="858">
        <f>AL78+AQ78+AV78+BA78+BF78</f>
        <v>18</v>
      </c>
      <c r="AH78" s="859"/>
      <c r="AI78" s="859"/>
      <c r="AJ78" s="859"/>
      <c r="AK78" s="860"/>
      <c r="AL78" s="858">
        <v>10</v>
      </c>
      <c r="AM78" s="859"/>
      <c r="AN78" s="859"/>
      <c r="AO78" s="859"/>
      <c r="AP78" s="860"/>
      <c r="AQ78" s="858">
        <v>8</v>
      </c>
      <c r="AR78" s="859"/>
      <c r="AS78" s="859"/>
      <c r="AT78" s="859"/>
      <c r="AU78" s="860"/>
      <c r="AV78" s="858"/>
      <c r="AW78" s="859"/>
      <c r="AX78" s="859"/>
      <c r="AY78" s="859"/>
      <c r="AZ78" s="860"/>
      <c r="BA78" s="858"/>
      <c r="BB78" s="859"/>
      <c r="BC78" s="859"/>
      <c r="BD78" s="859"/>
      <c r="BE78" s="860"/>
      <c r="BF78" s="858"/>
      <c r="BG78" s="859"/>
      <c r="BH78" s="859"/>
      <c r="BI78" s="859"/>
      <c r="BJ78" s="860"/>
      <c r="BK78" s="864">
        <f>+Z78-AG78</f>
        <v>132</v>
      </c>
      <c r="BL78" s="865"/>
      <c r="BM78" s="865"/>
      <c r="BN78" s="866"/>
      <c r="BO78" s="870"/>
      <c r="BP78" s="847"/>
      <c r="BQ78" s="847"/>
      <c r="BR78" s="848"/>
      <c r="BS78" s="846"/>
      <c r="BT78" s="847"/>
      <c r="BU78" s="847"/>
      <c r="BV78" s="848"/>
      <c r="BW78" s="846"/>
      <c r="BX78" s="847"/>
      <c r="BY78" s="847"/>
      <c r="BZ78" s="848"/>
      <c r="CA78" s="846"/>
      <c r="CB78" s="847"/>
      <c r="CC78" s="847"/>
      <c r="CD78" s="848"/>
      <c r="CE78" s="846"/>
      <c r="CF78" s="847"/>
      <c r="CG78" s="847"/>
      <c r="CH78" s="848"/>
      <c r="CI78" s="846">
        <v>6</v>
      </c>
      <c r="CJ78" s="847"/>
      <c r="CK78" s="847"/>
      <c r="CL78" s="848"/>
      <c r="CM78" s="846"/>
      <c r="CN78" s="847"/>
      <c r="CO78" s="847"/>
      <c r="CP78" s="848"/>
      <c r="CQ78" s="846"/>
      <c r="CR78" s="847"/>
      <c r="CS78" s="847"/>
      <c r="CT78" s="848"/>
      <c r="CU78" s="846"/>
      <c r="CV78" s="847"/>
      <c r="CW78" s="847"/>
      <c r="CX78" s="848"/>
      <c r="CY78" s="846"/>
      <c r="CZ78" s="847"/>
      <c r="DA78" s="847"/>
      <c r="DB78" s="856"/>
      <c r="DC78" s="870"/>
      <c r="DD78" s="847"/>
      <c r="DE78" s="847"/>
      <c r="DF78" s="848"/>
      <c r="DG78" s="846"/>
      <c r="DH78" s="847"/>
      <c r="DI78" s="847"/>
      <c r="DJ78" s="848"/>
      <c r="DK78" s="846"/>
      <c r="DL78" s="847"/>
      <c r="DM78" s="847"/>
      <c r="DN78" s="848"/>
      <c r="DO78" s="846"/>
      <c r="DP78" s="847"/>
      <c r="DQ78" s="847"/>
      <c r="DR78" s="848"/>
      <c r="DS78" s="846"/>
      <c r="DT78" s="847"/>
      <c r="DU78" s="847"/>
      <c r="DV78" s="848"/>
      <c r="DW78" s="846">
        <v>5</v>
      </c>
      <c r="DX78" s="847"/>
      <c r="DY78" s="847"/>
      <c r="DZ78" s="848"/>
      <c r="EA78" s="846"/>
      <c r="EB78" s="847"/>
      <c r="EC78" s="847"/>
      <c r="ED78" s="848"/>
      <c r="EE78" s="846"/>
      <c r="EF78" s="847"/>
      <c r="EG78" s="847"/>
      <c r="EH78" s="848"/>
      <c r="EI78" s="846"/>
      <c r="EJ78" s="847"/>
      <c r="EK78" s="847"/>
      <c r="EL78" s="848"/>
      <c r="EM78" s="846"/>
      <c r="EN78" s="847"/>
      <c r="EO78" s="847"/>
      <c r="EP78" s="856"/>
      <c r="EQ78" s="842">
        <f>SUM(DC78:EP79)</f>
        <v>5</v>
      </c>
      <c r="ER78" s="842"/>
      <c r="ES78" s="843"/>
      <c r="EW78" s="233"/>
      <c r="EX78" s="234"/>
      <c r="EY78" s="235"/>
    </row>
    <row r="79" spans="1:155" s="125" customFormat="1" ht="90" customHeight="1" x14ac:dyDescent="0.65">
      <c r="A79" s="855"/>
      <c r="B79" s="138" t="s">
        <v>318</v>
      </c>
      <c r="C79" s="388" t="s">
        <v>218</v>
      </c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388"/>
      <c r="P79" s="388"/>
      <c r="Q79" s="388"/>
      <c r="R79" s="388"/>
      <c r="S79" s="388"/>
      <c r="T79" s="388"/>
      <c r="U79" s="388"/>
      <c r="V79" s="388"/>
      <c r="W79" s="388"/>
      <c r="X79" s="388"/>
      <c r="Y79" s="388"/>
      <c r="Z79" s="895"/>
      <c r="AA79" s="896"/>
      <c r="AB79" s="896"/>
      <c r="AC79" s="897"/>
      <c r="AD79" s="849"/>
      <c r="AE79" s="850"/>
      <c r="AF79" s="851"/>
      <c r="AG79" s="861"/>
      <c r="AH79" s="862"/>
      <c r="AI79" s="862"/>
      <c r="AJ79" s="862"/>
      <c r="AK79" s="863"/>
      <c r="AL79" s="861"/>
      <c r="AM79" s="862"/>
      <c r="AN79" s="862"/>
      <c r="AO79" s="862"/>
      <c r="AP79" s="863"/>
      <c r="AQ79" s="861"/>
      <c r="AR79" s="862"/>
      <c r="AS79" s="862"/>
      <c r="AT79" s="862"/>
      <c r="AU79" s="863"/>
      <c r="AV79" s="861"/>
      <c r="AW79" s="862"/>
      <c r="AX79" s="862"/>
      <c r="AY79" s="862"/>
      <c r="AZ79" s="863"/>
      <c r="BA79" s="861"/>
      <c r="BB79" s="862"/>
      <c r="BC79" s="862"/>
      <c r="BD79" s="862"/>
      <c r="BE79" s="863"/>
      <c r="BF79" s="861"/>
      <c r="BG79" s="862"/>
      <c r="BH79" s="862"/>
      <c r="BI79" s="862"/>
      <c r="BJ79" s="863"/>
      <c r="BK79" s="867"/>
      <c r="BL79" s="868"/>
      <c r="BM79" s="868"/>
      <c r="BN79" s="869"/>
      <c r="BO79" s="871"/>
      <c r="BP79" s="850"/>
      <c r="BQ79" s="850"/>
      <c r="BR79" s="851"/>
      <c r="BS79" s="849"/>
      <c r="BT79" s="850"/>
      <c r="BU79" s="850"/>
      <c r="BV79" s="851"/>
      <c r="BW79" s="849"/>
      <c r="BX79" s="850"/>
      <c r="BY79" s="850"/>
      <c r="BZ79" s="851"/>
      <c r="CA79" s="849"/>
      <c r="CB79" s="850"/>
      <c r="CC79" s="850"/>
      <c r="CD79" s="851"/>
      <c r="CE79" s="849"/>
      <c r="CF79" s="850"/>
      <c r="CG79" s="850"/>
      <c r="CH79" s="851"/>
      <c r="CI79" s="849"/>
      <c r="CJ79" s="850"/>
      <c r="CK79" s="850"/>
      <c r="CL79" s="851"/>
      <c r="CM79" s="849"/>
      <c r="CN79" s="850"/>
      <c r="CO79" s="850"/>
      <c r="CP79" s="851"/>
      <c r="CQ79" s="849"/>
      <c r="CR79" s="850"/>
      <c r="CS79" s="850"/>
      <c r="CT79" s="851"/>
      <c r="CU79" s="849"/>
      <c r="CV79" s="850"/>
      <c r="CW79" s="850"/>
      <c r="CX79" s="851"/>
      <c r="CY79" s="849"/>
      <c r="CZ79" s="850"/>
      <c r="DA79" s="850"/>
      <c r="DB79" s="857"/>
      <c r="DC79" s="871"/>
      <c r="DD79" s="850"/>
      <c r="DE79" s="850"/>
      <c r="DF79" s="851"/>
      <c r="DG79" s="849"/>
      <c r="DH79" s="850"/>
      <c r="DI79" s="850"/>
      <c r="DJ79" s="851"/>
      <c r="DK79" s="849"/>
      <c r="DL79" s="850"/>
      <c r="DM79" s="850"/>
      <c r="DN79" s="851"/>
      <c r="DO79" s="849"/>
      <c r="DP79" s="850"/>
      <c r="DQ79" s="850"/>
      <c r="DR79" s="851"/>
      <c r="DS79" s="849"/>
      <c r="DT79" s="850"/>
      <c r="DU79" s="850"/>
      <c r="DV79" s="851"/>
      <c r="DW79" s="849"/>
      <c r="DX79" s="850"/>
      <c r="DY79" s="850"/>
      <c r="DZ79" s="851"/>
      <c r="EA79" s="849"/>
      <c r="EB79" s="850"/>
      <c r="EC79" s="850"/>
      <c r="ED79" s="851"/>
      <c r="EE79" s="849"/>
      <c r="EF79" s="850"/>
      <c r="EG79" s="850"/>
      <c r="EH79" s="851"/>
      <c r="EI79" s="849"/>
      <c r="EJ79" s="850"/>
      <c r="EK79" s="850"/>
      <c r="EL79" s="851"/>
      <c r="EM79" s="849"/>
      <c r="EN79" s="850"/>
      <c r="EO79" s="850"/>
      <c r="EP79" s="857"/>
      <c r="EQ79" s="844"/>
      <c r="ER79" s="844"/>
      <c r="ES79" s="845"/>
      <c r="EW79" s="233"/>
      <c r="EX79" s="234"/>
      <c r="EY79" s="235"/>
    </row>
    <row r="80" spans="1:155" s="125" customFormat="1" ht="90" customHeight="1" x14ac:dyDescent="0.65">
      <c r="A80" s="854" t="s">
        <v>45</v>
      </c>
      <c r="B80" s="135" t="s">
        <v>306</v>
      </c>
      <c r="C80" s="535" t="s">
        <v>181</v>
      </c>
      <c r="D80" s="535"/>
      <c r="E80" s="535"/>
      <c r="F80" s="535"/>
      <c r="G80" s="535"/>
      <c r="H80" s="535"/>
      <c r="I80" s="535"/>
      <c r="J80" s="535"/>
      <c r="K80" s="535"/>
      <c r="L80" s="535"/>
      <c r="M80" s="535"/>
      <c r="N80" s="535"/>
      <c r="O80" s="535"/>
      <c r="P80" s="535"/>
      <c r="Q80" s="535"/>
      <c r="R80" s="535"/>
      <c r="S80" s="535"/>
      <c r="T80" s="535"/>
      <c r="U80" s="535"/>
      <c r="V80" s="535"/>
      <c r="W80" s="535"/>
      <c r="X80" s="535"/>
      <c r="Y80" s="535"/>
      <c r="Z80" s="892">
        <f>EQ80*30</f>
        <v>210</v>
      </c>
      <c r="AA80" s="893"/>
      <c r="AB80" s="893"/>
      <c r="AC80" s="894"/>
      <c r="AD80" s="846"/>
      <c r="AE80" s="847"/>
      <c r="AF80" s="848"/>
      <c r="AG80" s="858">
        <f>AL80+AQ80+AV80+BA80+BF80</f>
        <v>26</v>
      </c>
      <c r="AH80" s="859"/>
      <c r="AI80" s="859"/>
      <c r="AJ80" s="859"/>
      <c r="AK80" s="860"/>
      <c r="AL80" s="858">
        <v>14</v>
      </c>
      <c r="AM80" s="859"/>
      <c r="AN80" s="859"/>
      <c r="AO80" s="859"/>
      <c r="AP80" s="860"/>
      <c r="AQ80" s="858">
        <v>12</v>
      </c>
      <c r="AR80" s="859"/>
      <c r="AS80" s="859"/>
      <c r="AT80" s="859"/>
      <c r="AU80" s="860"/>
      <c r="AV80" s="858"/>
      <c r="AW80" s="859"/>
      <c r="AX80" s="859"/>
      <c r="AY80" s="859"/>
      <c r="AZ80" s="860"/>
      <c r="BA80" s="858"/>
      <c r="BB80" s="859"/>
      <c r="BC80" s="859"/>
      <c r="BD80" s="859"/>
      <c r="BE80" s="860"/>
      <c r="BF80" s="858"/>
      <c r="BG80" s="859"/>
      <c r="BH80" s="859"/>
      <c r="BI80" s="859"/>
      <c r="BJ80" s="860"/>
      <c r="BK80" s="864">
        <f>+Z80-AG80</f>
        <v>184</v>
      </c>
      <c r="BL80" s="865"/>
      <c r="BM80" s="865"/>
      <c r="BN80" s="866"/>
      <c r="BO80" s="870"/>
      <c r="BP80" s="847"/>
      <c r="BQ80" s="847"/>
      <c r="BR80" s="848"/>
      <c r="BS80" s="846"/>
      <c r="BT80" s="847"/>
      <c r="BU80" s="847"/>
      <c r="BV80" s="848"/>
      <c r="BW80" s="846"/>
      <c r="BX80" s="847"/>
      <c r="BY80" s="847"/>
      <c r="BZ80" s="848"/>
      <c r="CA80" s="846"/>
      <c r="CB80" s="847"/>
      <c r="CC80" s="847"/>
      <c r="CD80" s="848"/>
      <c r="CE80" s="846"/>
      <c r="CF80" s="847"/>
      <c r="CG80" s="847"/>
      <c r="CH80" s="848"/>
      <c r="CI80" s="846"/>
      <c r="CJ80" s="847"/>
      <c r="CK80" s="847"/>
      <c r="CL80" s="848"/>
      <c r="CM80" s="846"/>
      <c r="CN80" s="847"/>
      <c r="CO80" s="847"/>
      <c r="CP80" s="848"/>
      <c r="CQ80" s="846"/>
      <c r="CR80" s="847"/>
      <c r="CS80" s="847"/>
      <c r="CT80" s="848"/>
      <c r="CU80" s="846">
        <v>8</v>
      </c>
      <c r="CV80" s="847"/>
      <c r="CW80" s="847"/>
      <c r="CX80" s="848"/>
      <c r="CY80" s="846"/>
      <c r="CZ80" s="847"/>
      <c r="DA80" s="847"/>
      <c r="DB80" s="856"/>
      <c r="DC80" s="870"/>
      <c r="DD80" s="847"/>
      <c r="DE80" s="847"/>
      <c r="DF80" s="848"/>
      <c r="DG80" s="846"/>
      <c r="DH80" s="847"/>
      <c r="DI80" s="847"/>
      <c r="DJ80" s="848"/>
      <c r="DK80" s="846"/>
      <c r="DL80" s="847"/>
      <c r="DM80" s="847"/>
      <c r="DN80" s="848"/>
      <c r="DO80" s="846"/>
      <c r="DP80" s="847"/>
      <c r="DQ80" s="847"/>
      <c r="DR80" s="848"/>
      <c r="DS80" s="846"/>
      <c r="DT80" s="847"/>
      <c r="DU80" s="847"/>
      <c r="DV80" s="848"/>
      <c r="DW80" s="846"/>
      <c r="DX80" s="847"/>
      <c r="DY80" s="847"/>
      <c r="DZ80" s="848"/>
      <c r="EA80" s="846"/>
      <c r="EB80" s="847"/>
      <c r="EC80" s="847"/>
      <c r="ED80" s="848"/>
      <c r="EE80" s="846"/>
      <c r="EF80" s="847"/>
      <c r="EG80" s="847"/>
      <c r="EH80" s="848"/>
      <c r="EI80" s="846">
        <v>7</v>
      </c>
      <c r="EJ80" s="847"/>
      <c r="EK80" s="847"/>
      <c r="EL80" s="848"/>
      <c r="EM80" s="846"/>
      <c r="EN80" s="847"/>
      <c r="EO80" s="847"/>
      <c r="EP80" s="856"/>
      <c r="EQ80" s="842">
        <f>SUM(DC80:EP81)</f>
        <v>7</v>
      </c>
      <c r="ER80" s="842"/>
      <c r="ES80" s="843"/>
      <c r="EW80" s="233"/>
      <c r="EX80" s="234"/>
      <c r="EY80" s="235"/>
    </row>
    <row r="81" spans="1:155" s="125" customFormat="1" ht="90" customHeight="1" x14ac:dyDescent="0.65">
      <c r="A81" s="855"/>
      <c r="B81" s="138" t="s">
        <v>319</v>
      </c>
      <c r="C81" s="388" t="s">
        <v>219</v>
      </c>
      <c r="D81" s="388"/>
      <c r="E81" s="388"/>
      <c r="F81" s="388"/>
      <c r="G81" s="388"/>
      <c r="H81" s="388"/>
      <c r="I81" s="388"/>
      <c r="J81" s="388"/>
      <c r="K81" s="388"/>
      <c r="L81" s="388"/>
      <c r="M81" s="388"/>
      <c r="N81" s="388"/>
      <c r="O81" s="388"/>
      <c r="P81" s="388"/>
      <c r="Q81" s="388"/>
      <c r="R81" s="388"/>
      <c r="S81" s="388"/>
      <c r="T81" s="388"/>
      <c r="U81" s="388"/>
      <c r="V81" s="388"/>
      <c r="W81" s="388"/>
      <c r="X81" s="388"/>
      <c r="Y81" s="388"/>
      <c r="Z81" s="895"/>
      <c r="AA81" s="896"/>
      <c r="AB81" s="896"/>
      <c r="AC81" s="897"/>
      <c r="AD81" s="849"/>
      <c r="AE81" s="850"/>
      <c r="AF81" s="851"/>
      <c r="AG81" s="861"/>
      <c r="AH81" s="862"/>
      <c r="AI81" s="862"/>
      <c r="AJ81" s="862"/>
      <c r="AK81" s="863"/>
      <c r="AL81" s="861"/>
      <c r="AM81" s="862"/>
      <c r="AN81" s="862"/>
      <c r="AO81" s="862"/>
      <c r="AP81" s="863"/>
      <c r="AQ81" s="861"/>
      <c r="AR81" s="862"/>
      <c r="AS81" s="862"/>
      <c r="AT81" s="862"/>
      <c r="AU81" s="863"/>
      <c r="AV81" s="861"/>
      <c r="AW81" s="862"/>
      <c r="AX81" s="862"/>
      <c r="AY81" s="862"/>
      <c r="AZ81" s="863"/>
      <c r="BA81" s="861"/>
      <c r="BB81" s="862"/>
      <c r="BC81" s="862"/>
      <c r="BD81" s="862"/>
      <c r="BE81" s="863"/>
      <c r="BF81" s="861"/>
      <c r="BG81" s="862"/>
      <c r="BH81" s="862"/>
      <c r="BI81" s="862"/>
      <c r="BJ81" s="863"/>
      <c r="BK81" s="867"/>
      <c r="BL81" s="868"/>
      <c r="BM81" s="868"/>
      <c r="BN81" s="869"/>
      <c r="BO81" s="871"/>
      <c r="BP81" s="850"/>
      <c r="BQ81" s="850"/>
      <c r="BR81" s="851"/>
      <c r="BS81" s="849"/>
      <c r="BT81" s="850"/>
      <c r="BU81" s="850"/>
      <c r="BV81" s="851"/>
      <c r="BW81" s="849"/>
      <c r="BX81" s="850"/>
      <c r="BY81" s="850"/>
      <c r="BZ81" s="851"/>
      <c r="CA81" s="849"/>
      <c r="CB81" s="850"/>
      <c r="CC81" s="850"/>
      <c r="CD81" s="851"/>
      <c r="CE81" s="849"/>
      <c r="CF81" s="850"/>
      <c r="CG81" s="850"/>
      <c r="CH81" s="851"/>
      <c r="CI81" s="849"/>
      <c r="CJ81" s="850"/>
      <c r="CK81" s="850"/>
      <c r="CL81" s="851"/>
      <c r="CM81" s="849"/>
      <c r="CN81" s="850"/>
      <c r="CO81" s="850"/>
      <c r="CP81" s="851"/>
      <c r="CQ81" s="849"/>
      <c r="CR81" s="850"/>
      <c r="CS81" s="850"/>
      <c r="CT81" s="851"/>
      <c r="CU81" s="849"/>
      <c r="CV81" s="850"/>
      <c r="CW81" s="850"/>
      <c r="CX81" s="851"/>
      <c r="CY81" s="849"/>
      <c r="CZ81" s="850"/>
      <c r="DA81" s="850"/>
      <c r="DB81" s="857"/>
      <c r="DC81" s="871"/>
      <c r="DD81" s="850"/>
      <c r="DE81" s="850"/>
      <c r="DF81" s="851"/>
      <c r="DG81" s="849"/>
      <c r="DH81" s="850"/>
      <c r="DI81" s="850"/>
      <c r="DJ81" s="851"/>
      <c r="DK81" s="849"/>
      <c r="DL81" s="850"/>
      <c r="DM81" s="850"/>
      <c r="DN81" s="851"/>
      <c r="DO81" s="849"/>
      <c r="DP81" s="850"/>
      <c r="DQ81" s="850"/>
      <c r="DR81" s="851"/>
      <c r="DS81" s="849"/>
      <c r="DT81" s="850"/>
      <c r="DU81" s="850"/>
      <c r="DV81" s="851"/>
      <c r="DW81" s="849"/>
      <c r="DX81" s="850"/>
      <c r="DY81" s="850"/>
      <c r="DZ81" s="851"/>
      <c r="EA81" s="849"/>
      <c r="EB81" s="850"/>
      <c r="EC81" s="850"/>
      <c r="ED81" s="851"/>
      <c r="EE81" s="849"/>
      <c r="EF81" s="850"/>
      <c r="EG81" s="850"/>
      <c r="EH81" s="851"/>
      <c r="EI81" s="849"/>
      <c r="EJ81" s="850"/>
      <c r="EK81" s="850"/>
      <c r="EL81" s="851"/>
      <c r="EM81" s="849"/>
      <c r="EN81" s="850"/>
      <c r="EO81" s="850"/>
      <c r="EP81" s="857"/>
      <c r="EQ81" s="844"/>
      <c r="ER81" s="844"/>
      <c r="ES81" s="845"/>
      <c r="EW81" s="233"/>
      <c r="EX81" s="234"/>
      <c r="EY81" s="235"/>
    </row>
    <row r="82" spans="1:155" s="125" customFormat="1" ht="120" customHeight="1" x14ac:dyDescent="0.65">
      <c r="A82" s="854" t="s">
        <v>46</v>
      </c>
      <c r="B82" s="139" t="s">
        <v>206</v>
      </c>
      <c r="C82" s="920" t="s">
        <v>207</v>
      </c>
      <c r="D82" s="921"/>
      <c r="E82" s="921"/>
      <c r="F82" s="921"/>
      <c r="G82" s="921"/>
      <c r="H82" s="921"/>
      <c r="I82" s="921"/>
      <c r="J82" s="921"/>
      <c r="K82" s="921"/>
      <c r="L82" s="921"/>
      <c r="M82" s="921"/>
      <c r="N82" s="921"/>
      <c r="O82" s="921"/>
      <c r="P82" s="921"/>
      <c r="Q82" s="921"/>
      <c r="R82" s="921"/>
      <c r="S82" s="921"/>
      <c r="T82" s="921"/>
      <c r="U82" s="921"/>
      <c r="V82" s="921"/>
      <c r="W82" s="921"/>
      <c r="X82" s="921"/>
      <c r="Y82" s="922"/>
      <c r="Z82" s="892">
        <f>EQ82*30</f>
        <v>150</v>
      </c>
      <c r="AA82" s="893"/>
      <c r="AB82" s="893"/>
      <c r="AC82" s="894"/>
      <c r="AD82" s="846"/>
      <c r="AE82" s="847"/>
      <c r="AF82" s="848"/>
      <c r="AG82" s="858">
        <f>AL82+AQ82+AV82+BA82+BF82</f>
        <v>22</v>
      </c>
      <c r="AH82" s="859"/>
      <c r="AI82" s="859"/>
      <c r="AJ82" s="859"/>
      <c r="AK82" s="860"/>
      <c r="AL82" s="858">
        <v>12</v>
      </c>
      <c r="AM82" s="859"/>
      <c r="AN82" s="859"/>
      <c r="AO82" s="859"/>
      <c r="AP82" s="860"/>
      <c r="AQ82" s="858">
        <v>10</v>
      </c>
      <c r="AR82" s="859"/>
      <c r="AS82" s="859"/>
      <c r="AT82" s="859"/>
      <c r="AU82" s="860"/>
      <c r="AV82" s="858"/>
      <c r="AW82" s="859"/>
      <c r="AX82" s="859"/>
      <c r="AY82" s="859"/>
      <c r="AZ82" s="860"/>
      <c r="BA82" s="858"/>
      <c r="BB82" s="859"/>
      <c r="BC82" s="859"/>
      <c r="BD82" s="859"/>
      <c r="BE82" s="860"/>
      <c r="BF82" s="858"/>
      <c r="BG82" s="859"/>
      <c r="BH82" s="859"/>
      <c r="BI82" s="859"/>
      <c r="BJ82" s="860"/>
      <c r="BK82" s="864">
        <f>+Z82-AG82</f>
        <v>128</v>
      </c>
      <c r="BL82" s="865"/>
      <c r="BM82" s="865"/>
      <c r="BN82" s="866"/>
      <c r="BO82" s="870"/>
      <c r="BP82" s="847"/>
      <c r="BQ82" s="847"/>
      <c r="BR82" s="848"/>
      <c r="BS82" s="846"/>
      <c r="BT82" s="847"/>
      <c r="BU82" s="847"/>
      <c r="BV82" s="848"/>
      <c r="BW82" s="846"/>
      <c r="BX82" s="847"/>
      <c r="BY82" s="847"/>
      <c r="BZ82" s="848"/>
      <c r="CA82" s="846"/>
      <c r="CB82" s="847"/>
      <c r="CC82" s="847"/>
      <c r="CD82" s="848"/>
      <c r="CE82" s="846">
        <v>6</v>
      </c>
      <c r="CF82" s="847"/>
      <c r="CG82" s="847"/>
      <c r="CH82" s="848"/>
      <c r="CI82" s="846"/>
      <c r="CJ82" s="847"/>
      <c r="CK82" s="847"/>
      <c r="CL82" s="848"/>
      <c r="CM82" s="846"/>
      <c r="CN82" s="847"/>
      <c r="CO82" s="847"/>
      <c r="CP82" s="848"/>
      <c r="CQ82" s="846"/>
      <c r="CR82" s="847"/>
      <c r="CS82" s="847"/>
      <c r="CT82" s="848"/>
      <c r="CU82" s="846"/>
      <c r="CV82" s="847"/>
      <c r="CW82" s="847"/>
      <c r="CX82" s="848"/>
      <c r="CY82" s="846"/>
      <c r="CZ82" s="847"/>
      <c r="DA82" s="847"/>
      <c r="DB82" s="856"/>
      <c r="DC82" s="870"/>
      <c r="DD82" s="847"/>
      <c r="DE82" s="847"/>
      <c r="DF82" s="848"/>
      <c r="DG82" s="846"/>
      <c r="DH82" s="847"/>
      <c r="DI82" s="847"/>
      <c r="DJ82" s="848"/>
      <c r="DK82" s="846"/>
      <c r="DL82" s="847"/>
      <c r="DM82" s="847"/>
      <c r="DN82" s="848"/>
      <c r="DO82" s="846"/>
      <c r="DP82" s="847"/>
      <c r="DQ82" s="847"/>
      <c r="DR82" s="848"/>
      <c r="DS82" s="846">
        <v>5</v>
      </c>
      <c r="DT82" s="847"/>
      <c r="DU82" s="847"/>
      <c r="DV82" s="848"/>
      <c r="DW82" s="846"/>
      <c r="DX82" s="847"/>
      <c r="DY82" s="847"/>
      <c r="DZ82" s="848"/>
      <c r="EA82" s="846"/>
      <c r="EB82" s="847"/>
      <c r="EC82" s="847"/>
      <c r="ED82" s="848"/>
      <c r="EE82" s="846"/>
      <c r="EF82" s="847"/>
      <c r="EG82" s="847"/>
      <c r="EH82" s="848"/>
      <c r="EI82" s="846"/>
      <c r="EJ82" s="847"/>
      <c r="EK82" s="847"/>
      <c r="EL82" s="848"/>
      <c r="EM82" s="846"/>
      <c r="EN82" s="847"/>
      <c r="EO82" s="847"/>
      <c r="EP82" s="856"/>
      <c r="EQ82" s="842">
        <f>SUM(DC82:EP83)</f>
        <v>5</v>
      </c>
      <c r="ER82" s="842"/>
      <c r="ES82" s="843"/>
      <c r="EW82" s="233"/>
      <c r="EX82" s="234"/>
      <c r="EY82" s="235"/>
    </row>
    <row r="83" spans="1:155" s="125" customFormat="1" ht="90" customHeight="1" x14ac:dyDescent="0.65">
      <c r="A83" s="855"/>
      <c r="B83" s="139" t="s">
        <v>182</v>
      </c>
      <c r="C83" s="402" t="s">
        <v>183</v>
      </c>
      <c r="D83" s="402"/>
      <c r="E83" s="402"/>
      <c r="F83" s="402"/>
      <c r="G83" s="402"/>
      <c r="H83" s="402"/>
      <c r="I83" s="402"/>
      <c r="J83" s="402"/>
      <c r="K83" s="402"/>
      <c r="L83" s="402"/>
      <c r="M83" s="402"/>
      <c r="N83" s="402"/>
      <c r="O83" s="402"/>
      <c r="P83" s="402"/>
      <c r="Q83" s="402"/>
      <c r="R83" s="402"/>
      <c r="S83" s="402"/>
      <c r="T83" s="402"/>
      <c r="U83" s="402"/>
      <c r="V83" s="402"/>
      <c r="W83" s="402"/>
      <c r="X83" s="402"/>
      <c r="Y83" s="402"/>
      <c r="Z83" s="895"/>
      <c r="AA83" s="896"/>
      <c r="AB83" s="896"/>
      <c r="AC83" s="897"/>
      <c r="AD83" s="849"/>
      <c r="AE83" s="850"/>
      <c r="AF83" s="851"/>
      <c r="AG83" s="861"/>
      <c r="AH83" s="862"/>
      <c r="AI83" s="862"/>
      <c r="AJ83" s="862"/>
      <c r="AK83" s="863"/>
      <c r="AL83" s="861"/>
      <c r="AM83" s="862"/>
      <c r="AN83" s="862"/>
      <c r="AO83" s="862"/>
      <c r="AP83" s="863"/>
      <c r="AQ83" s="861"/>
      <c r="AR83" s="862"/>
      <c r="AS83" s="862"/>
      <c r="AT83" s="862"/>
      <c r="AU83" s="863"/>
      <c r="AV83" s="861"/>
      <c r="AW83" s="862"/>
      <c r="AX83" s="862"/>
      <c r="AY83" s="862"/>
      <c r="AZ83" s="863"/>
      <c r="BA83" s="861"/>
      <c r="BB83" s="862"/>
      <c r="BC83" s="862"/>
      <c r="BD83" s="862"/>
      <c r="BE83" s="863"/>
      <c r="BF83" s="861"/>
      <c r="BG83" s="862"/>
      <c r="BH83" s="862"/>
      <c r="BI83" s="862"/>
      <c r="BJ83" s="863"/>
      <c r="BK83" s="867"/>
      <c r="BL83" s="868"/>
      <c r="BM83" s="868"/>
      <c r="BN83" s="869"/>
      <c r="BO83" s="871"/>
      <c r="BP83" s="850"/>
      <c r="BQ83" s="850"/>
      <c r="BR83" s="851"/>
      <c r="BS83" s="849"/>
      <c r="BT83" s="850"/>
      <c r="BU83" s="850"/>
      <c r="BV83" s="851"/>
      <c r="BW83" s="849"/>
      <c r="BX83" s="850"/>
      <c r="BY83" s="850"/>
      <c r="BZ83" s="851"/>
      <c r="CA83" s="849"/>
      <c r="CB83" s="850"/>
      <c r="CC83" s="850"/>
      <c r="CD83" s="851"/>
      <c r="CE83" s="849"/>
      <c r="CF83" s="850"/>
      <c r="CG83" s="850"/>
      <c r="CH83" s="851"/>
      <c r="CI83" s="849"/>
      <c r="CJ83" s="850"/>
      <c r="CK83" s="850"/>
      <c r="CL83" s="851"/>
      <c r="CM83" s="849"/>
      <c r="CN83" s="850"/>
      <c r="CO83" s="850"/>
      <c r="CP83" s="851"/>
      <c r="CQ83" s="849"/>
      <c r="CR83" s="850"/>
      <c r="CS83" s="850"/>
      <c r="CT83" s="851"/>
      <c r="CU83" s="849"/>
      <c r="CV83" s="850"/>
      <c r="CW83" s="850"/>
      <c r="CX83" s="851"/>
      <c r="CY83" s="849"/>
      <c r="CZ83" s="850"/>
      <c r="DA83" s="850"/>
      <c r="DB83" s="857"/>
      <c r="DC83" s="871"/>
      <c r="DD83" s="850"/>
      <c r="DE83" s="850"/>
      <c r="DF83" s="851"/>
      <c r="DG83" s="849"/>
      <c r="DH83" s="850"/>
      <c r="DI83" s="850"/>
      <c r="DJ83" s="851"/>
      <c r="DK83" s="849"/>
      <c r="DL83" s="850"/>
      <c r="DM83" s="850"/>
      <c r="DN83" s="851"/>
      <c r="DO83" s="849"/>
      <c r="DP83" s="850"/>
      <c r="DQ83" s="850"/>
      <c r="DR83" s="851"/>
      <c r="DS83" s="849"/>
      <c r="DT83" s="850"/>
      <c r="DU83" s="850"/>
      <c r="DV83" s="851"/>
      <c r="DW83" s="849"/>
      <c r="DX83" s="850"/>
      <c r="DY83" s="850"/>
      <c r="DZ83" s="851"/>
      <c r="EA83" s="849"/>
      <c r="EB83" s="850"/>
      <c r="EC83" s="850"/>
      <c r="ED83" s="851"/>
      <c r="EE83" s="849"/>
      <c r="EF83" s="850"/>
      <c r="EG83" s="850"/>
      <c r="EH83" s="851"/>
      <c r="EI83" s="849"/>
      <c r="EJ83" s="850"/>
      <c r="EK83" s="850"/>
      <c r="EL83" s="851"/>
      <c r="EM83" s="849"/>
      <c r="EN83" s="850"/>
      <c r="EO83" s="850"/>
      <c r="EP83" s="857"/>
      <c r="EQ83" s="844"/>
      <c r="ER83" s="844"/>
      <c r="ES83" s="845"/>
      <c r="ET83" s="280" t="s">
        <v>326</v>
      </c>
      <c r="EW83" s="233"/>
      <c r="EX83" s="234"/>
      <c r="EY83" s="235"/>
    </row>
    <row r="84" spans="1:155" s="125" customFormat="1" ht="90" customHeight="1" x14ac:dyDescent="0.65">
      <c r="A84" s="854" t="s">
        <v>47</v>
      </c>
      <c r="B84" s="139" t="s">
        <v>208</v>
      </c>
      <c r="C84" s="402" t="s">
        <v>209</v>
      </c>
      <c r="D84" s="402"/>
      <c r="E84" s="402"/>
      <c r="F84" s="402"/>
      <c r="G84" s="402"/>
      <c r="H84" s="402"/>
      <c r="I84" s="402"/>
      <c r="J84" s="402"/>
      <c r="K84" s="402"/>
      <c r="L84" s="402"/>
      <c r="M84" s="402"/>
      <c r="N84" s="402"/>
      <c r="O84" s="402"/>
      <c r="P84" s="402"/>
      <c r="Q84" s="402"/>
      <c r="R84" s="402"/>
      <c r="S84" s="402"/>
      <c r="T84" s="402"/>
      <c r="U84" s="402"/>
      <c r="V84" s="402"/>
      <c r="W84" s="402"/>
      <c r="X84" s="402"/>
      <c r="Y84" s="402"/>
      <c r="Z84" s="892">
        <f>EQ84*30</f>
        <v>150</v>
      </c>
      <c r="AA84" s="893"/>
      <c r="AB84" s="893"/>
      <c r="AC84" s="894"/>
      <c r="AD84" s="846"/>
      <c r="AE84" s="847"/>
      <c r="AF84" s="848"/>
      <c r="AG84" s="858">
        <v>16</v>
      </c>
      <c r="AH84" s="859"/>
      <c r="AI84" s="859"/>
      <c r="AJ84" s="859"/>
      <c r="AK84" s="860"/>
      <c r="AL84" s="858">
        <v>10</v>
      </c>
      <c r="AM84" s="859"/>
      <c r="AN84" s="859"/>
      <c r="AO84" s="859"/>
      <c r="AP84" s="860"/>
      <c r="AQ84" s="858">
        <v>6</v>
      </c>
      <c r="AR84" s="859"/>
      <c r="AS84" s="859"/>
      <c r="AT84" s="859"/>
      <c r="AU84" s="860"/>
      <c r="AV84" s="858"/>
      <c r="AW84" s="859"/>
      <c r="AX84" s="859"/>
      <c r="AY84" s="859"/>
      <c r="AZ84" s="860"/>
      <c r="BA84" s="858"/>
      <c r="BB84" s="859"/>
      <c r="BC84" s="859"/>
      <c r="BD84" s="859"/>
      <c r="BE84" s="860"/>
      <c r="BF84" s="858"/>
      <c r="BG84" s="859"/>
      <c r="BH84" s="859"/>
      <c r="BI84" s="859"/>
      <c r="BJ84" s="860"/>
      <c r="BK84" s="864">
        <f>+Z84-AG84</f>
        <v>134</v>
      </c>
      <c r="BL84" s="865"/>
      <c r="BM84" s="865"/>
      <c r="BN84" s="866"/>
      <c r="BO84" s="870"/>
      <c r="BP84" s="847"/>
      <c r="BQ84" s="847"/>
      <c r="BR84" s="848"/>
      <c r="BS84" s="846"/>
      <c r="BT84" s="847"/>
      <c r="BU84" s="847"/>
      <c r="BV84" s="848"/>
      <c r="BW84" s="846"/>
      <c r="BX84" s="847"/>
      <c r="BY84" s="847"/>
      <c r="BZ84" s="848"/>
      <c r="CA84" s="846"/>
      <c r="CB84" s="847"/>
      <c r="CC84" s="847"/>
      <c r="CD84" s="848"/>
      <c r="CE84" s="846">
        <v>5</v>
      </c>
      <c r="CF84" s="847"/>
      <c r="CG84" s="847"/>
      <c r="CH84" s="848"/>
      <c r="CI84" s="846"/>
      <c r="CJ84" s="847"/>
      <c r="CK84" s="847"/>
      <c r="CL84" s="848"/>
      <c r="CM84" s="846"/>
      <c r="CN84" s="847"/>
      <c r="CO84" s="847"/>
      <c r="CP84" s="848"/>
      <c r="CQ84" s="846"/>
      <c r="CR84" s="847"/>
      <c r="CS84" s="847"/>
      <c r="CT84" s="848"/>
      <c r="CU84" s="846"/>
      <c r="CV84" s="847"/>
      <c r="CW84" s="847"/>
      <c r="CX84" s="848"/>
      <c r="CY84" s="846"/>
      <c r="CZ84" s="847"/>
      <c r="DA84" s="847"/>
      <c r="DB84" s="856"/>
      <c r="DC84" s="870"/>
      <c r="DD84" s="847"/>
      <c r="DE84" s="847"/>
      <c r="DF84" s="848"/>
      <c r="DG84" s="846"/>
      <c r="DH84" s="847"/>
      <c r="DI84" s="847"/>
      <c r="DJ84" s="848"/>
      <c r="DK84" s="846"/>
      <c r="DL84" s="847"/>
      <c r="DM84" s="847"/>
      <c r="DN84" s="848"/>
      <c r="DO84" s="846"/>
      <c r="DP84" s="847"/>
      <c r="DQ84" s="847"/>
      <c r="DR84" s="848"/>
      <c r="DS84" s="846">
        <v>5</v>
      </c>
      <c r="DT84" s="847"/>
      <c r="DU84" s="847"/>
      <c r="DV84" s="848"/>
      <c r="DW84" s="846"/>
      <c r="DX84" s="847"/>
      <c r="DY84" s="847"/>
      <c r="DZ84" s="848"/>
      <c r="EA84" s="846"/>
      <c r="EB84" s="847"/>
      <c r="EC84" s="847"/>
      <c r="ED84" s="848"/>
      <c r="EE84" s="846"/>
      <c r="EF84" s="847"/>
      <c r="EG84" s="847"/>
      <c r="EH84" s="848"/>
      <c r="EI84" s="846"/>
      <c r="EJ84" s="847"/>
      <c r="EK84" s="847"/>
      <c r="EL84" s="848"/>
      <c r="EM84" s="846"/>
      <c r="EN84" s="847"/>
      <c r="EO84" s="847"/>
      <c r="EP84" s="856"/>
      <c r="EQ84" s="842">
        <f>SUM(DC84:EP85)</f>
        <v>5</v>
      </c>
      <c r="ER84" s="842"/>
      <c r="ES84" s="843"/>
      <c r="EW84" s="233"/>
      <c r="EX84" s="234"/>
      <c r="EY84" s="235"/>
    </row>
    <row r="85" spans="1:155" s="125" customFormat="1" ht="90" customHeight="1" x14ac:dyDescent="0.65">
      <c r="A85" s="855"/>
      <c r="B85" s="139" t="s">
        <v>184</v>
      </c>
      <c r="C85" s="402" t="s">
        <v>185</v>
      </c>
      <c r="D85" s="402"/>
      <c r="E85" s="402"/>
      <c r="F85" s="402"/>
      <c r="G85" s="402"/>
      <c r="H85" s="402"/>
      <c r="I85" s="402"/>
      <c r="J85" s="402"/>
      <c r="K85" s="402"/>
      <c r="L85" s="402"/>
      <c r="M85" s="402"/>
      <c r="N85" s="402"/>
      <c r="O85" s="402"/>
      <c r="P85" s="402"/>
      <c r="Q85" s="402"/>
      <c r="R85" s="402"/>
      <c r="S85" s="402"/>
      <c r="T85" s="402"/>
      <c r="U85" s="402"/>
      <c r="V85" s="402"/>
      <c r="W85" s="402"/>
      <c r="X85" s="402"/>
      <c r="Y85" s="402"/>
      <c r="Z85" s="895"/>
      <c r="AA85" s="896"/>
      <c r="AB85" s="896"/>
      <c r="AC85" s="897"/>
      <c r="AD85" s="849"/>
      <c r="AE85" s="850"/>
      <c r="AF85" s="851"/>
      <c r="AG85" s="861"/>
      <c r="AH85" s="862"/>
      <c r="AI85" s="862"/>
      <c r="AJ85" s="862"/>
      <c r="AK85" s="863"/>
      <c r="AL85" s="861"/>
      <c r="AM85" s="862"/>
      <c r="AN85" s="862"/>
      <c r="AO85" s="862"/>
      <c r="AP85" s="863"/>
      <c r="AQ85" s="861"/>
      <c r="AR85" s="862"/>
      <c r="AS85" s="862"/>
      <c r="AT85" s="862"/>
      <c r="AU85" s="863"/>
      <c r="AV85" s="861"/>
      <c r="AW85" s="862"/>
      <c r="AX85" s="862"/>
      <c r="AY85" s="862"/>
      <c r="AZ85" s="863"/>
      <c r="BA85" s="861"/>
      <c r="BB85" s="862"/>
      <c r="BC85" s="862"/>
      <c r="BD85" s="862"/>
      <c r="BE85" s="863"/>
      <c r="BF85" s="861"/>
      <c r="BG85" s="862"/>
      <c r="BH85" s="862"/>
      <c r="BI85" s="862"/>
      <c r="BJ85" s="863"/>
      <c r="BK85" s="867"/>
      <c r="BL85" s="868"/>
      <c r="BM85" s="868"/>
      <c r="BN85" s="869"/>
      <c r="BO85" s="871"/>
      <c r="BP85" s="850"/>
      <c r="BQ85" s="850"/>
      <c r="BR85" s="851"/>
      <c r="BS85" s="849"/>
      <c r="BT85" s="850"/>
      <c r="BU85" s="850"/>
      <c r="BV85" s="851"/>
      <c r="BW85" s="849"/>
      <c r="BX85" s="850"/>
      <c r="BY85" s="850"/>
      <c r="BZ85" s="851"/>
      <c r="CA85" s="849"/>
      <c r="CB85" s="850"/>
      <c r="CC85" s="850"/>
      <c r="CD85" s="851"/>
      <c r="CE85" s="849"/>
      <c r="CF85" s="850"/>
      <c r="CG85" s="850"/>
      <c r="CH85" s="851"/>
      <c r="CI85" s="849"/>
      <c r="CJ85" s="850"/>
      <c r="CK85" s="850"/>
      <c r="CL85" s="851"/>
      <c r="CM85" s="849"/>
      <c r="CN85" s="850"/>
      <c r="CO85" s="850"/>
      <c r="CP85" s="851"/>
      <c r="CQ85" s="849"/>
      <c r="CR85" s="850"/>
      <c r="CS85" s="850"/>
      <c r="CT85" s="851"/>
      <c r="CU85" s="849"/>
      <c r="CV85" s="850"/>
      <c r="CW85" s="850"/>
      <c r="CX85" s="851"/>
      <c r="CY85" s="849"/>
      <c r="CZ85" s="850"/>
      <c r="DA85" s="850"/>
      <c r="DB85" s="857"/>
      <c r="DC85" s="871"/>
      <c r="DD85" s="850"/>
      <c r="DE85" s="850"/>
      <c r="DF85" s="851"/>
      <c r="DG85" s="849"/>
      <c r="DH85" s="850"/>
      <c r="DI85" s="850"/>
      <c r="DJ85" s="851"/>
      <c r="DK85" s="849"/>
      <c r="DL85" s="850"/>
      <c r="DM85" s="850"/>
      <c r="DN85" s="851"/>
      <c r="DO85" s="849"/>
      <c r="DP85" s="850"/>
      <c r="DQ85" s="850"/>
      <c r="DR85" s="851"/>
      <c r="DS85" s="849"/>
      <c r="DT85" s="850"/>
      <c r="DU85" s="850"/>
      <c r="DV85" s="851"/>
      <c r="DW85" s="849"/>
      <c r="DX85" s="850"/>
      <c r="DY85" s="850"/>
      <c r="DZ85" s="851"/>
      <c r="EA85" s="849"/>
      <c r="EB85" s="850"/>
      <c r="EC85" s="850"/>
      <c r="ED85" s="851"/>
      <c r="EE85" s="849"/>
      <c r="EF85" s="850"/>
      <c r="EG85" s="850"/>
      <c r="EH85" s="851"/>
      <c r="EI85" s="849"/>
      <c r="EJ85" s="850"/>
      <c r="EK85" s="850"/>
      <c r="EL85" s="851"/>
      <c r="EM85" s="849"/>
      <c r="EN85" s="850"/>
      <c r="EO85" s="850"/>
      <c r="EP85" s="857"/>
      <c r="EQ85" s="844"/>
      <c r="ER85" s="844"/>
      <c r="ES85" s="845"/>
      <c r="ET85" s="280" t="s">
        <v>326</v>
      </c>
      <c r="EW85" s="233"/>
      <c r="EX85" s="234"/>
      <c r="EY85" s="235"/>
    </row>
    <row r="86" spans="1:155" s="125" customFormat="1" ht="90" customHeight="1" x14ac:dyDescent="0.65">
      <c r="A86" s="854" t="s">
        <v>48</v>
      </c>
      <c r="B86" s="139" t="s">
        <v>203</v>
      </c>
      <c r="C86" s="402" t="s">
        <v>251</v>
      </c>
      <c r="D86" s="402"/>
      <c r="E86" s="402"/>
      <c r="F86" s="402"/>
      <c r="G86" s="402"/>
      <c r="H86" s="402"/>
      <c r="I86" s="402"/>
      <c r="J86" s="402"/>
      <c r="K86" s="402"/>
      <c r="L86" s="402"/>
      <c r="M86" s="402"/>
      <c r="N86" s="402"/>
      <c r="O86" s="402"/>
      <c r="P86" s="402"/>
      <c r="Q86" s="402"/>
      <c r="R86" s="402"/>
      <c r="S86" s="402"/>
      <c r="T86" s="402"/>
      <c r="U86" s="402"/>
      <c r="V86" s="402"/>
      <c r="W86" s="402"/>
      <c r="X86" s="402"/>
      <c r="Y86" s="402"/>
      <c r="Z86" s="892">
        <f>EQ86*30</f>
        <v>120</v>
      </c>
      <c r="AA86" s="893"/>
      <c r="AB86" s="893"/>
      <c r="AC86" s="894"/>
      <c r="AD86" s="846"/>
      <c r="AE86" s="847"/>
      <c r="AF86" s="848"/>
      <c r="AG86" s="858">
        <v>18</v>
      </c>
      <c r="AH86" s="859"/>
      <c r="AI86" s="859"/>
      <c r="AJ86" s="859"/>
      <c r="AK86" s="860"/>
      <c r="AL86" s="858">
        <v>10</v>
      </c>
      <c r="AM86" s="859"/>
      <c r="AN86" s="859"/>
      <c r="AO86" s="859"/>
      <c r="AP86" s="860"/>
      <c r="AQ86" s="858">
        <v>8</v>
      </c>
      <c r="AR86" s="859"/>
      <c r="AS86" s="859"/>
      <c r="AT86" s="859"/>
      <c r="AU86" s="860"/>
      <c r="AV86" s="858"/>
      <c r="AW86" s="859"/>
      <c r="AX86" s="859"/>
      <c r="AY86" s="859"/>
      <c r="AZ86" s="860"/>
      <c r="BA86" s="858"/>
      <c r="BB86" s="859"/>
      <c r="BC86" s="859"/>
      <c r="BD86" s="859"/>
      <c r="BE86" s="860"/>
      <c r="BF86" s="858"/>
      <c r="BG86" s="859"/>
      <c r="BH86" s="859"/>
      <c r="BI86" s="859"/>
      <c r="BJ86" s="860"/>
      <c r="BK86" s="864">
        <f>Z86-AG86</f>
        <v>102</v>
      </c>
      <c r="BL86" s="865"/>
      <c r="BM86" s="865"/>
      <c r="BN86" s="866"/>
      <c r="BO86" s="870"/>
      <c r="BP86" s="847"/>
      <c r="BQ86" s="847"/>
      <c r="BR86" s="848"/>
      <c r="BS86" s="846"/>
      <c r="BT86" s="847"/>
      <c r="BU86" s="847"/>
      <c r="BV86" s="848"/>
      <c r="BW86" s="846"/>
      <c r="BX86" s="847"/>
      <c r="BY86" s="847"/>
      <c r="BZ86" s="848"/>
      <c r="CA86" s="846"/>
      <c r="CB86" s="847"/>
      <c r="CC86" s="847"/>
      <c r="CD86" s="848"/>
      <c r="CE86" s="846">
        <v>5</v>
      </c>
      <c r="CF86" s="847"/>
      <c r="CG86" s="847"/>
      <c r="CH86" s="848"/>
      <c r="CI86" s="846"/>
      <c r="CJ86" s="847"/>
      <c r="CK86" s="847"/>
      <c r="CL86" s="848"/>
      <c r="CM86" s="846"/>
      <c r="CN86" s="847"/>
      <c r="CO86" s="847"/>
      <c r="CP86" s="848"/>
      <c r="CQ86" s="846"/>
      <c r="CR86" s="847"/>
      <c r="CS86" s="847"/>
      <c r="CT86" s="848"/>
      <c r="CU86" s="846"/>
      <c r="CV86" s="847"/>
      <c r="CW86" s="847"/>
      <c r="CX86" s="848"/>
      <c r="CY86" s="846"/>
      <c r="CZ86" s="847"/>
      <c r="DA86" s="847"/>
      <c r="DB86" s="856"/>
      <c r="DC86" s="870"/>
      <c r="DD86" s="847"/>
      <c r="DE86" s="847"/>
      <c r="DF86" s="848"/>
      <c r="DG86" s="846"/>
      <c r="DH86" s="847"/>
      <c r="DI86" s="847"/>
      <c r="DJ86" s="848"/>
      <c r="DK86" s="846"/>
      <c r="DL86" s="847"/>
      <c r="DM86" s="847"/>
      <c r="DN86" s="848"/>
      <c r="DO86" s="846"/>
      <c r="DP86" s="847"/>
      <c r="DQ86" s="847"/>
      <c r="DR86" s="848"/>
      <c r="DS86" s="846">
        <v>4</v>
      </c>
      <c r="DT86" s="847"/>
      <c r="DU86" s="847"/>
      <c r="DV86" s="848"/>
      <c r="DW86" s="846"/>
      <c r="DX86" s="847"/>
      <c r="DY86" s="847"/>
      <c r="DZ86" s="848"/>
      <c r="EA86" s="846"/>
      <c r="EB86" s="847"/>
      <c r="EC86" s="847"/>
      <c r="ED86" s="848"/>
      <c r="EE86" s="846"/>
      <c r="EF86" s="847"/>
      <c r="EG86" s="847"/>
      <c r="EH86" s="848"/>
      <c r="EI86" s="846"/>
      <c r="EJ86" s="847"/>
      <c r="EK86" s="847"/>
      <c r="EL86" s="848"/>
      <c r="EM86" s="846"/>
      <c r="EN86" s="847"/>
      <c r="EO86" s="847"/>
      <c r="EP86" s="856"/>
      <c r="EQ86" s="842">
        <f>SUM(DC86:EP87)</f>
        <v>4</v>
      </c>
      <c r="ER86" s="842"/>
      <c r="ES86" s="843"/>
      <c r="ET86" s="280"/>
      <c r="EW86" s="233"/>
      <c r="EX86" s="234"/>
      <c r="EY86" s="235"/>
    </row>
    <row r="87" spans="1:155" s="125" customFormat="1" ht="90" customHeight="1" x14ac:dyDescent="0.65">
      <c r="A87" s="855"/>
      <c r="B87" s="139" t="s">
        <v>204</v>
      </c>
      <c r="C87" s="402" t="s">
        <v>250</v>
      </c>
      <c r="D87" s="402"/>
      <c r="E87" s="402"/>
      <c r="F87" s="402"/>
      <c r="G87" s="402"/>
      <c r="H87" s="402"/>
      <c r="I87" s="402"/>
      <c r="J87" s="402"/>
      <c r="K87" s="402"/>
      <c r="L87" s="402"/>
      <c r="M87" s="402"/>
      <c r="N87" s="402"/>
      <c r="O87" s="402"/>
      <c r="P87" s="402"/>
      <c r="Q87" s="402"/>
      <c r="R87" s="402"/>
      <c r="S87" s="402"/>
      <c r="T87" s="402"/>
      <c r="U87" s="402"/>
      <c r="V87" s="402"/>
      <c r="W87" s="402"/>
      <c r="X87" s="402"/>
      <c r="Y87" s="402"/>
      <c r="Z87" s="895"/>
      <c r="AA87" s="896"/>
      <c r="AB87" s="896"/>
      <c r="AC87" s="897"/>
      <c r="AD87" s="849"/>
      <c r="AE87" s="850"/>
      <c r="AF87" s="851"/>
      <c r="AG87" s="861"/>
      <c r="AH87" s="862"/>
      <c r="AI87" s="862"/>
      <c r="AJ87" s="862"/>
      <c r="AK87" s="863"/>
      <c r="AL87" s="861"/>
      <c r="AM87" s="862"/>
      <c r="AN87" s="862"/>
      <c r="AO87" s="862"/>
      <c r="AP87" s="863"/>
      <c r="AQ87" s="861"/>
      <c r="AR87" s="862"/>
      <c r="AS87" s="862"/>
      <c r="AT87" s="862"/>
      <c r="AU87" s="863"/>
      <c r="AV87" s="861"/>
      <c r="AW87" s="862"/>
      <c r="AX87" s="862"/>
      <c r="AY87" s="862"/>
      <c r="AZ87" s="863"/>
      <c r="BA87" s="861"/>
      <c r="BB87" s="862"/>
      <c r="BC87" s="862"/>
      <c r="BD87" s="862"/>
      <c r="BE87" s="863"/>
      <c r="BF87" s="861"/>
      <c r="BG87" s="862"/>
      <c r="BH87" s="862"/>
      <c r="BI87" s="862"/>
      <c r="BJ87" s="863"/>
      <c r="BK87" s="867"/>
      <c r="BL87" s="868"/>
      <c r="BM87" s="868"/>
      <c r="BN87" s="869"/>
      <c r="BO87" s="871"/>
      <c r="BP87" s="850"/>
      <c r="BQ87" s="850"/>
      <c r="BR87" s="851"/>
      <c r="BS87" s="849"/>
      <c r="BT87" s="850"/>
      <c r="BU87" s="850"/>
      <c r="BV87" s="851"/>
      <c r="BW87" s="849"/>
      <c r="BX87" s="850"/>
      <c r="BY87" s="850"/>
      <c r="BZ87" s="851"/>
      <c r="CA87" s="849"/>
      <c r="CB87" s="850"/>
      <c r="CC87" s="850"/>
      <c r="CD87" s="851"/>
      <c r="CE87" s="849"/>
      <c r="CF87" s="850"/>
      <c r="CG87" s="850"/>
      <c r="CH87" s="851"/>
      <c r="CI87" s="849"/>
      <c r="CJ87" s="850"/>
      <c r="CK87" s="850"/>
      <c r="CL87" s="851"/>
      <c r="CM87" s="849"/>
      <c r="CN87" s="850"/>
      <c r="CO87" s="850"/>
      <c r="CP87" s="851"/>
      <c r="CQ87" s="849"/>
      <c r="CR87" s="850"/>
      <c r="CS87" s="850"/>
      <c r="CT87" s="851"/>
      <c r="CU87" s="849"/>
      <c r="CV87" s="850"/>
      <c r="CW87" s="850"/>
      <c r="CX87" s="851"/>
      <c r="CY87" s="849"/>
      <c r="CZ87" s="850"/>
      <c r="DA87" s="850"/>
      <c r="DB87" s="857"/>
      <c r="DC87" s="871"/>
      <c r="DD87" s="850"/>
      <c r="DE87" s="850"/>
      <c r="DF87" s="851"/>
      <c r="DG87" s="849"/>
      <c r="DH87" s="850"/>
      <c r="DI87" s="850"/>
      <c r="DJ87" s="851"/>
      <c r="DK87" s="849"/>
      <c r="DL87" s="850"/>
      <c r="DM87" s="850"/>
      <c r="DN87" s="851"/>
      <c r="DO87" s="849"/>
      <c r="DP87" s="850"/>
      <c r="DQ87" s="850"/>
      <c r="DR87" s="851"/>
      <c r="DS87" s="849"/>
      <c r="DT87" s="850"/>
      <c r="DU87" s="850"/>
      <c r="DV87" s="851"/>
      <c r="DW87" s="849"/>
      <c r="DX87" s="850"/>
      <c r="DY87" s="850"/>
      <c r="DZ87" s="851"/>
      <c r="EA87" s="849"/>
      <c r="EB87" s="850"/>
      <c r="EC87" s="850"/>
      <c r="ED87" s="851"/>
      <c r="EE87" s="849"/>
      <c r="EF87" s="850"/>
      <c r="EG87" s="850"/>
      <c r="EH87" s="851"/>
      <c r="EI87" s="849"/>
      <c r="EJ87" s="850"/>
      <c r="EK87" s="850"/>
      <c r="EL87" s="851"/>
      <c r="EM87" s="849"/>
      <c r="EN87" s="850"/>
      <c r="EO87" s="850"/>
      <c r="EP87" s="857"/>
      <c r="EQ87" s="844"/>
      <c r="ER87" s="844"/>
      <c r="ES87" s="845"/>
      <c r="ET87" s="280" t="s">
        <v>326</v>
      </c>
      <c r="EW87" s="233"/>
      <c r="EX87" s="234"/>
      <c r="EY87" s="235"/>
    </row>
    <row r="88" spans="1:155" s="125" customFormat="1" ht="90" customHeight="1" x14ac:dyDescent="0.65">
      <c r="A88" s="854" t="s">
        <v>301</v>
      </c>
      <c r="B88" s="138" t="s">
        <v>156</v>
      </c>
      <c r="C88" s="388" t="s">
        <v>221</v>
      </c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388"/>
      <c r="P88" s="388"/>
      <c r="Q88" s="388"/>
      <c r="R88" s="388"/>
      <c r="S88" s="388"/>
      <c r="T88" s="388"/>
      <c r="U88" s="388"/>
      <c r="V88" s="388"/>
      <c r="W88" s="388"/>
      <c r="X88" s="388"/>
      <c r="Y88" s="388"/>
      <c r="Z88" s="892">
        <f>EQ88*30</f>
        <v>180</v>
      </c>
      <c r="AA88" s="893"/>
      <c r="AB88" s="893"/>
      <c r="AC88" s="894"/>
      <c r="AD88" s="846"/>
      <c r="AE88" s="847"/>
      <c r="AF88" s="848"/>
      <c r="AG88" s="858">
        <v>18</v>
      </c>
      <c r="AH88" s="859"/>
      <c r="AI88" s="859"/>
      <c r="AJ88" s="859"/>
      <c r="AK88" s="860"/>
      <c r="AL88" s="858">
        <v>10</v>
      </c>
      <c r="AM88" s="859"/>
      <c r="AN88" s="859"/>
      <c r="AO88" s="859"/>
      <c r="AP88" s="860"/>
      <c r="AQ88" s="858">
        <v>8</v>
      </c>
      <c r="AR88" s="859"/>
      <c r="AS88" s="859"/>
      <c r="AT88" s="859"/>
      <c r="AU88" s="860"/>
      <c r="AV88" s="858"/>
      <c r="AW88" s="859"/>
      <c r="AX88" s="859"/>
      <c r="AY88" s="859"/>
      <c r="AZ88" s="860"/>
      <c r="BA88" s="858"/>
      <c r="BB88" s="859"/>
      <c r="BC88" s="859"/>
      <c r="BD88" s="859"/>
      <c r="BE88" s="860"/>
      <c r="BF88" s="858"/>
      <c r="BG88" s="859"/>
      <c r="BH88" s="859"/>
      <c r="BI88" s="859"/>
      <c r="BJ88" s="860"/>
      <c r="BK88" s="864">
        <f>Z88-AG88</f>
        <v>162</v>
      </c>
      <c r="BL88" s="865"/>
      <c r="BM88" s="865"/>
      <c r="BN88" s="866"/>
      <c r="BO88" s="870"/>
      <c r="BP88" s="847"/>
      <c r="BQ88" s="847"/>
      <c r="BR88" s="848"/>
      <c r="BS88" s="846"/>
      <c r="BT88" s="847"/>
      <c r="BU88" s="847"/>
      <c r="BV88" s="848"/>
      <c r="BW88" s="846"/>
      <c r="BX88" s="847"/>
      <c r="BY88" s="847"/>
      <c r="BZ88" s="848"/>
      <c r="CA88" s="846"/>
      <c r="CB88" s="847"/>
      <c r="CC88" s="847"/>
      <c r="CD88" s="848"/>
      <c r="CE88" s="846"/>
      <c r="CF88" s="847"/>
      <c r="CG88" s="847"/>
      <c r="CH88" s="848"/>
      <c r="CI88" s="846">
        <v>6</v>
      </c>
      <c r="CJ88" s="847"/>
      <c r="CK88" s="847"/>
      <c r="CL88" s="848"/>
      <c r="CM88" s="846"/>
      <c r="CN88" s="847"/>
      <c r="CO88" s="847"/>
      <c r="CP88" s="848"/>
      <c r="CQ88" s="846"/>
      <c r="CR88" s="847"/>
      <c r="CS88" s="847"/>
      <c r="CT88" s="848"/>
      <c r="CU88" s="846"/>
      <c r="CV88" s="847"/>
      <c r="CW88" s="847"/>
      <c r="CX88" s="848"/>
      <c r="CY88" s="846"/>
      <c r="CZ88" s="847"/>
      <c r="DA88" s="847"/>
      <c r="DB88" s="856"/>
      <c r="DC88" s="870"/>
      <c r="DD88" s="847"/>
      <c r="DE88" s="847"/>
      <c r="DF88" s="848"/>
      <c r="DG88" s="846"/>
      <c r="DH88" s="847"/>
      <c r="DI88" s="847"/>
      <c r="DJ88" s="848"/>
      <c r="DK88" s="846"/>
      <c r="DL88" s="847"/>
      <c r="DM88" s="847"/>
      <c r="DN88" s="848"/>
      <c r="DO88" s="846"/>
      <c r="DP88" s="847"/>
      <c r="DQ88" s="847"/>
      <c r="DR88" s="848"/>
      <c r="DS88" s="846"/>
      <c r="DT88" s="847"/>
      <c r="DU88" s="847"/>
      <c r="DV88" s="848"/>
      <c r="DW88" s="846">
        <v>6</v>
      </c>
      <c r="DX88" s="847"/>
      <c r="DY88" s="847"/>
      <c r="DZ88" s="848"/>
      <c r="EA88" s="846"/>
      <c r="EB88" s="847"/>
      <c r="EC88" s="847"/>
      <c r="ED88" s="848"/>
      <c r="EE88" s="846"/>
      <c r="EF88" s="847"/>
      <c r="EG88" s="847"/>
      <c r="EH88" s="848"/>
      <c r="EI88" s="846"/>
      <c r="EJ88" s="847"/>
      <c r="EK88" s="847"/>
      <c r="EL88" s="848"/>
      <c r="EM88" s="846"/>
      <c r="EN88" s="847"/>
      <c r="EO88" s="847"/>
      <c r="EP88" s="856"/>
      <c r="EQ88" s="842">
        <f>SUM(DC88:EP89)</f>
        <v>6</v>
      </c>
      <c r="ER88" s="842"/>
      <c r="ES88" s="843"/>
      <c r="EW88" s="233"/>
      <c r="EX88" s="234"/>
      <c r="EY88" s="235"/>
    </row>
    <row r="89" spans="1:155" s="125" customFormat="1" ht="90" customHeight="1" x14ac:dyDescent="0.65">
      <c r="A89" s="855"/>
      <c r="B89" s="139" t="s">
        <v>212</v>
      </c>
      <c r="C89" s="388" t="s">
        <v>211</v>
      </c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895"/>
      <c r="AA89" s="896"/>
      <c r="AB89" s="896"/>
      <c r="AC89" s="897"/>
      <c r="AD89" s="849"/>
      <c r="AE89" s="850"/>
      <c r="AF89" s="851"/>
      <c r="AG89" s="861"/>
      <c r="AH89" s="862"/>
      <c r="AI89" s="862"/>
      <c r="AJ89" s="862"/>
      <c r="AK89" s="863"/>
      <c r="AL89" s="861"/>
      <c r="AM89" s="862"/>
      <c r="AN89" s="862"/>
      <c r="AO89" s="862"/>
      <c r="AP89" s="863"/>
      <c r="AQ89" s="861"/>
      <c r="AR89" s="862"/>
      <c r="AS89" s="862"/>
      <c r="AT89" s="862"/>
      <c r="AU89" s="863"/>
      <c r="AV89" s="861"/>
      <c r="AW89" s="862"/>
      <c r="AX89" s="862"/>
      <c r="AY89" s="862"/>
      <c r="AZ89" s="863"/>
      <c r="BA89" s="861"/>
      <c r="BB89" s="862"/>
      <c r="BC89" s="862"/>
      <c r="BD89" s="862"/>
      <c r="BE89" s="863"/>
      <c r="BF89" s="861"/>
      <c r="BG89" s="862"/>
      <c r="BH89" s="862"/>
      <c r="BI89" s="862"/>
      <c r="BJ89" s="863"/>
      <c r="BK89" s="867"/>
      <c r="BL89" s="868"/>
      <c r="BM89" s="868"/>
      <c r="BN89" s="869"/>
      <c r="BO89" s="871"/>
      <c r="BP89" s="850"/>
      <c r="BQ89" s="850"/>
      <c r="BR89" s="851"/>
      <c r="BS89" s="849"/>
      <c r="BT89" s="850"/>
      <c r="BU89" s="850"/>
      <c r="BV89" s="851"/>
      <c r="BW89" s="849"/>
      <c r="BX89" s="850"/>
      <c r="BY89" s="850"/>
      <c r="BZ89" s="851"/>
      <c r="CA89" s="849"/>
      <c r="CB89" s="850"/>
      <c r="CC89" s="850"/>
      <c r="CD89" s="851"/>
      <c r="CE89" s="849"/>
      <c r="CF89" s="850"/>
      <c r="CG89" s="850"/>
      <c r="CH89" s="851"/>
      <c r="CI89" s="849"/>
      <c r="CJ89" s="850"/>
      <c r="CK89" s="850"/>
      <c r="CL89" s="851"/>
      <c r="CM89" s="849"/>
      <c r="CN89" s="850"/>
      <c r="CO89" s="850"/>
      <c r="CP89" s="851"/>
      <c r="CQ89" s="849"/>
      <c r="CR89" s="850"/>
      <c r="CS89" s="850"/>
      <c r="CT89" s="851"/>
      <c r="CU89" s="849"/>
      <c r="CV89" s="850"/>
      <c r="CW89" s="850"/>
      <c r="CX89" s="851"/>
      <c r="CY89" s="849"/>
      <c r="CZ89" s="850"/>
      <c r="DA89" s="850"/>
      <c r="DB89" s="857"/>
      <c r="DC89" s="871"/>
      <c r="DD89" s="850"/>
      <c r="DE89" s="850"/>
      <c r="DF89" s="851"/>
      <c r="DG89" s="849"/>
      <c r="DH89" s="850"/>
      <c r="DI89" s="850"/>
      <c r="DJ89" s="851"/>
      <c r="DK89" s="849"/>
      <c r="DL89" s="850"/>
      <c r="DM89" s="850"/>
      <c r="DN89" s="851"/>
      <c r="DO89" s="849"/>
      <c r="DP89" s="850"/>
      <c r="DQ89" s="850"/>
      <c r="DR89" s="851"/>
      <c r="DS89" s="849"/>
      <c r="DT89" s="850"/>
      <c r="DU89" s="850"/>
      <c r="DV89" s="851"/>
      <c r="DW89" s="849"/>
      <c r="DX89" s="850"/>
      <c r="DY89" s="850"/>
      <c r="DZ89" s="851"/>
      <c r="EA89" s="849"/>
      <c r="EB89" s="850"/>
      <c r="EC89" s="850"/>
      <c r="ED89" s="851"/>
      <c r="EE89" s="849"/>
      <c r="EF89" s="850"/>
      <c r="EG89" s="850"/>
      <c r="EH89" s="851"/>
      <c r="EI89" s="849"/>
      <c r="EJ89" s="850"/>
      <c r="EK89" s="850"/>
      <c r="EL89" s="851"/>
      <c r="EM89" s="849"/>
      <c r="EN89" s="850"/>
      <c r="EO89" s="850"/>
      <c r="EP89" s="857"/>
      <c r="EQ89" s="844"/>
      <c r="ER89" s="844"/>
      <c r="ES89" s="845"/>
      <c r="EW89" s="233"/>
      <c r="EX89" s="234"/>
      <c r="EY89" s="235"/>
    </row>
    <row r="90" spans="1:155" ht="90" customHeight="1" x14ac:dyDescent="0.65">
      <c r="A90" s="854" t="s">
        <v>325</v>
      </c>
      <c r="B90" s="274" t="s">
        <v>328</v>
      </c>
      <c r="C90" s="388" t="s">
        <v>327</v>
      </c>
      <c r="D90" s="388"/>
      <c r="E90" s="388"/>
      <c r="F90" s="388"/>
      <c r="G90" s="388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949">
        <f>EQ90*30</f>
        <v>150</v>
      </c>
      <c r="AA90" s="950"/>
      <c r="AB90" s="950"/>
      <c r="AC90" s="951"/>
      <c r="AD90" s="846"/>
      <c r="AE90" s="847"/>
      <c r="AF90" s="848"/>
      <c r="AG90" s="930">
        <v>16</v>
      </c>
      <c r="AH90" s="931"/>
      <c r="AI90" s="931"/>
      <c r="AJ90" s="931"/>
      <c r="AK90" s="932"/>
      <c r="AL90" s="930">
        <v>8</v>
      </c>
      <c r="AM90" s="931"/>
      <c r="AN90" s="931"/>
      <c r="AO90" s="931"/>
      <c r="AP90" s="932"/>
      <c r="AQ90" s="930">
        <v>8</v>
      </c>
      <c r="AR90" s="931"/>
      <c r="AS90" s="931"/>
      <c r="AT90" s="931"/>
      <c r="AU90" s="932"/>
      <c r="AV90" s="930"/>
      <c r="AW90" s="931"/>
      <c r="AX90" s="931"/>
      <c r="AY90" s="931"/>
      <c r="AZ90" s="932"/>
      <c r="BA90" s="930"/>
      <c r="BB90" s="931"/>
      <c r="BC90" s="931"/>
      <c r="BD90" s="931"/>
      <c r="BE90" s="932"/>
      <c r="BF90" s="930"/>
      <c r="BG90" s="931"/>
      <c r="BH90" s="931"/>
      <c r="BI90" s="931"/>
      <c r="BJ90" s="932"/>
      <c r="BK90" s="936">
        <f>Z90-AG90</f>
        <v>134</v>
      </c>
      <c r="BL90" s="937"/>
      <c r="BM90" s="937"/>
      <c r="BN90" s="938"/>
      <c r="BO90" s="942"/>
      <c r="BP90" s="943"/>
      <c r="BQ90" s="943"/>
      <c r="BR90" s="944"/>
      <c r="BS90" s="973"/>
      <c r="BT90" s="943"/>
      <c r="BU90" s="943"/>
      <c r="BV90" s="944"/>
      <c r="BW90" s="973"/>
      <c r="BX90" s="943"/>
      <c r="BY90" s="943"/>
      <c r="BZ90" s="944"/>
      <c r="CA90" s="846"/>
      <c r="CB90" s="847"/>
      <c r="CC90" s="847"/>
      <c r="CD90" s="848"/>
      <c r="CE90" s="846"/>
      <c r="CF90" s="847"/>
      <c r="CG90" s="847"/>
      <c r="CH90" s="848"/>
      <c r="CI90" s="846"/>
      <c r="CJ90" s="847"/>
      <c r="CK90" s="847"/>
      <c r="CL90" s="848"/>
      <c r="CM90" s="846"/>
      <c r="CN90" s="847"/>
      <c r="CO90" s="847"/>
      <c r="CP90" s="848"/>
      <c r="CQ90" s="846"/>
      <c r="CR90" s="847"/>
      <c r="CS90" s="847"/>
      <c r="CT90" s="848"/>
      <c r="CU90" s="846"/>
      <c r="CV90" s="847"/>
      <c r="CW90" s="847"/>
      <c r="CX90" s="848"/>
      <c r="CY90" s="846">
        <v>6</v>
      </c>
      <c r="CZ90" s="847"/>
      <c r="DA90" s="847"/>
      <c r="DB90" s="856"/>
      <c r="DC90" s="870"/>
      <c r="DD90" s="847"/>
      <c r="DE90" s="847"/>
      <c r="DF90" s="848"/>
      <c r="DG90" s="846"/>
      <c r="DH90" s="847"/>
      <c r="DI90" s="847"/>
      <c r="DJ90" s="848"/>
      <c r="DK90" s="846"/>
      <c r="DL90" s="847"/>
      <c r="DM90" s="847"/>
      <c r="DN90" s="848"/>
      <c r="DO90" s="846"/>
      <c r="DP90" s="847"/>
      <c r="DQ90" s="847"/>
      <c r="DR90" s="848"/>
      <c r="DS90" s="846"/>
      <c r="DT90" s="847"/>
      <c r="DU90" s="847"/>
      <c r="DV90" s="848"/>
      <c r="DW90" s="846"/>
      <c r="DX90" s="847"/>
      <c r="DY90" s="847"/>
      <c r="DZ90" s="848"/>
      <c r="EA90" s="846"/>
      <c r="EB90" s="847"/>
      <c r="EC90" s="847"/>
      <c r="ED90" s="848"/>
      <c r="EE90" s="846"/>
      <c r="EF90" s="847"/>
      <c r="EG90" s="847"/>
      <c r="EH90" s="848"/>
      <c r="EI90" s="846"/>
      <c r="EJ90" s="847"/>
      <c r="EK90" s="847"/>
      <c r="EL90" s="848"/>
      <c r="EM90" s="846">
        <v>5</v>
      </c>
      <c r="EN90" s="847"/>
      <c r="EO90" s="847"/>
      <c r="EP90" s="856"/>
      <c r="EQ90" s="1049">
        <f>SUM(DC90:EP91)</f>
        <v>5</v>
      </c>
      <c r="ER90" s="964"/>
      <c r="ES90" s="965"/>
      <c r="EW90" s="230"/>
      <c r="EX90" s="231"/>
      <c r="EY90" s="232"/>
    </row>
    <row r="91" spans="1:155" ht="90" customHeight="1" x14ac:dyDescent="0.65">
      <c r="A91" s="855"/>
      <c r="B91" s="138" t="s">
        <v>216</v>
      </c>
      <c r="C91" s="1046" t="s">
        <v>214</v>
      </c>
      <c r="D91" s="1047"/>
      <c r="E91" s="1047"/>
      <c r="F91" s="1047"/>
      <c r="G91" s="1047"/>
      <c r="H91" s="1047"/>
      <c r="I91" s="1047"/>
      <c r="J91" s="1047"/>
      <c r="K91" s="1047"/>
      <c r="L91" s="1047"/>
      <c r="M91" s="1047"/>
      <c r="N91" s="1047"/>
      <c r="O91" s="1047"/>
      <c r="P91" s="1047"/>
      <c r="Q91" s="1047"/>
      <c r="R91" s="1047"/>
      <c r="S91" s="1047"/>
      <c r="T91" s="1047"/>
      <c r="U91" s="1047"/>
      <c r="V91" s="1047"/>
      <c r="W91" s="1047"/>
      <c r="X91" s="1047"/>
      <c r="Y91" s="1048"/>
      <c r="Z91" s="952"/>
      <c r="AA91" s="953"/>
      <c r="AB91" s="953"/>
      <c r="AC91" s="954"/>
      <c r="AD91" s="849"/>
      <c r="AE91" s="850"/>
      <c r="AF91" s="851"/>
      <c r="AG91" s="933"/>
      <c r="AH91" s="934"/>
      <c r="AI91" s="934"/>
      <c r="AJ91" s="934"/>
      <c r="AK91" s="935"/>
      <c r="AL91" s="933"/>
      <c r="AM91" s="934"/>
      <c r="AN91" s="934"/>
      <c r="AO91" s="934"/>
      <c r="AP91" s="935"/>
      <c r="AQ91" s="933"/>
      <c r="AR91" s="934"/>
      <c r="AS91" s="934"/>
      <c r="AT91" s="934"/>
      <c r="AU91" s="935"/>
      <c r="AV91" s="933"/>
      <c r="AW91" s="934"/>
      <c r="AX91" s="934"/>
      <c r="AY91" s="934"/>
      <c r="AZ91" s="935"/>
      <c r="BA91" s="933"/>
      <c r="BB91" s="934"/>
      <c r="BC91" s="934"/>
      <c r="BD91" s="934"/>
      <c r="BE91" s="935"/>
      <c r="BF91" s="933"/>
      <c r="BG91" s="934"/>
      <c r="BH91" s="934"/>
      <c r="BI91" s="934"/>
      <c r="BJ91" s="935"/>
      <c r="BK91" s="939"/>
      <c r="BL91" s="940"/>
      <c r="BM91" s="940"/>
      <c r="BN91" s="941"/>
      <c r="BO91" s="945"/>
      <c r="BP91" s="946"/>
      <c r="BQ91" s="946"/>
      <c r="BR91" s="947"/>
      <c r="BS91" s="974"/>
      <c r="BT91" s="946"/>
      <c r="BU91" s="946"/>
      <c r="BV91" s="947"/>
      <c r="BW91" s="974"/>
      <c r="BX91" s="946"/>
      <c r="BY91" s="946"/>
      <c r="BZ91" s="947"/>
      <c r="CA91" s="849"/>
      <c r="CB91" s="850"/>
      <c r="CC91" s="850"/>
      <c r="CD91" s="851"/>
      <c r="CE91" s="849"/>
      <c r="CF91" s="850"/>
      <c r="CG91" s="850"/>
      <c r="CH91" s="851"/>
      <c r="CI91" s="849"/>
      <c r="CJ91" s="850"/>
      <c r="CK91" s="850"/>
      <c r="CL91" s="851"/>
      <c r="CM91" s="849"/>
      <c r="CN91" s="850"/>
      <c r="CO91" s="850"/>
      <c r="CP91" s="851"/>
      <c r="CQ91" s="849"/>
      <c r="CR91" s="850"/>
      <c r="CS91" s="850"/>
      <c r="CT91" s="851"/>
      <c r="CU91" s="849"/>
      <c r="CV91" s="850"/>
      <c r="CW91" s="850"/>
      <c r="CX91" s="851"/>
      <c r="CY91" s="849"/>
      <c r="CZ91" s="850"/>
      <c r="DA91" s="850"/>
      <c r="DB91" s="857"/>
      <c r="DC91" s="871"/>
      <c r="DD91" s="850"/>
      <c r="DE91" s="850"/>
      <c r="DF91" s="851"/>
      <c r="DG91" s="849"/>
      <c r="DH91" s="850"/>
      <c r="DI91" s="850"/>
      <c r="DJ91" s="851"/>
      <c r="DK91" s="849"/>
      <c r="DL91" s="850"/>
      <c r="DM91" s="850"/>
      <c r="DN91" s="851"/>
      <c r="DO91" s="849"/>
      <c r="DP91" s="850"/>
      <c r="DQ91" s="850"/>
      <c r="DR91" s="851"/>
      <c r="DS91" s="849"/>
      <c r="DT91" s="850"/>
      <c r="DU91" s="850"/>
      <c r="DV91" s="851"/>
      <c r="DW91" s="849"/>
      <c r="DX91" s="850"/>
      <c r="DY91" s="850"/>
      <c r="DZ91" s="851"/>
      <c r="EA91" s="849"/>
      <c r="EB91" s="850"/>
      <c r="EC91" s="850"/>
      <c r="ED91" s="851"/>
      <c r="EE91" s="849"/>
      <c r="EF91" s="850"/>
      <c r="EG91" s="850"/>
      <c r="EH91" s="851"/>
      <c r="EI91" s="849"/>
      <c r="EJ91" s="850"/>
      <c r="EK91" s="850"/>
      <c r="EL91" s="851"/>
      <c r="EM91" s="849"/>
      <c r="EN91" s="850"/>
      <c r="EO91" s="850"/>
      <c r="EP91" s="857"/>
      <c r="EQ91" s="1050"/>
      <c r="ER91" s="966"/>
      <c r="ES91" s="967"/>
      <c r="EW91" s="230"/>
      <c r="EX91" s="231"/>
      <c r="EY91" s="232"/>
    </row>
    <row r="92" spans="1:155" ht="69.95" customHeight="1" x14ac:dyDescent="0.65">
      <c r="A92" s="159"/>
      <c r="B92" s="60"/>
      <c r="C92" s="1041" t="s">
        <v>77</v>
      </c>
      <c r="D92" s="1042"/>
      <c r="E92" s="1042"/>
      <c r="F92" s="1042"/>
      <c r="G92" s="1042"/>
      <c r="H92" s="1042"/>
      <c r="I92" s="1042"/>
      <c r="J92" s="1042"/>
      <c r="K92" s="1042"/>
      <c r="L92" s="1042"/>
      <c r="M92" s="1042"/>
      <c r="N92" s="1042"/>
      <c r="O92" s="1042"/>
      <c r="P92" s="1042"/>
      <c r="Q92" s="1042"/>
      <c r="R92" s="1042"/>
      <c r="S92" s="1042"/>
      <c r="T92" s="1042"/>
      <c r="U92" s="1042"/>
      <c r="V92" s="1042"/>
      <c r="W92" s="1042"/>
      <c r="X92" s="1042"/>
      <c r="Y92" s="1043"/>
      <c r="Z92" s="969">
        <f>Z63+Z37</f>
        <v>6720</v>
      </c>
      <c r="AA92" s="970"/>
      <c r="AB92" s="970"/>
      <c r="AC92" s="971"/>
      <c r="AD92" s="957">
        <f>Z92/$Z$96*100</f>
        <v>93.333333333333329</v>
      </c>
      <c r="AE92" s="957"/>
      <c r="AF92" s="957"/>
      <c r="AG92" s="873">
        <f>AG63+AG37</f>
        <v>961</v>
      </c>
      <c r="AH92" s="899"/>
      <c r="AI92" s="899"/>
      <c r="AJ92" s="899"/>
      <c r="AK92" s="899"/>
      <c r="AL92" s="873">
        <f>AL63+AL37</f>
        <v>436</v>
      </c>
      <c r="AM92" s="899"/>
      <c r="AN92" s="899"/>
      <c r="AO92" s="899"/>
      <c r="AP92" s="899"/>
      <c r="AQ92" s="873">
        <f>AQ63+AQ37</f>
        <v>511</v>
      </c>
      <c r="AR92" s="899"/>
      <c r="AS92" s="899"/>
      <c r="AT92" s="899"/>
      <c r="AU92" s="899"/>
      <c r="AV92" s="873">
        <f>AV63+AV37</f>
        <v>14</v>
      </c>
      <c r="AW92" s="899"/>
      <c r="AX92" s="899"/>
      <c r="AY92" s="899"/>
      <c r="AZ92" s="899"/>
      <c r="BA92" s="873">
        <f>BA63+BA37</f>
        <v>0</v>
      </c>
      <c r="BB92" s="899"/>
      <c r="BC92" s="899"/>
      <c r="BD92" s="899"/>
      <c r="BE92" s="899"/>
      <c r="BF92" s="873">
        <f>BF63+BF37</f>
        <v>0</v>
      </c>
      <c r="BG92" s="899"/>
      <c r="BH92" s="899"/>
      <c r="BI92" s="899"/>
      <c r="BJ92" s="899"/>
      <c r="BK92" s="914">
        <f>BK63+BK37</f>
        <v>5759</v>
      </c>
      <c r="BL92" s="915"/>
      <c r="BM92" s="915"/>
      <c r="BN92" s="916"/>
      <c r="BO92" s="900">
        <f>BO63+BO37</f>
        <v>34</v>
      </c>
      <c r="BP92" s="875"/>
      <c r="BQ92" s="875"/>
      <c r="BR92" s="875"/>
      <c r="BS92" s="875">
        <f>BS63+BS37</f>
        <v>31</v>
      </c>
      <c r="BT92" s="875"/>
      <c r="BU92" s="875"/>
      <c r="BV92" s="875"/>
      <c r="BW92" s="875">
        <f>BW63+BW37</f>
        <v>30</v>
      </c>
      <c r="BX92" s="875"/>
      <c r="BY92" s="875"/>
      <c r="BZ92" s="875"/>
      <c r="CA92" s="875">
        <f>CA63+CA37</f>
        <v>27</v>
      </c>
      <c r="CB92" s="875"/>
      <c r="CC92" s="875"/>
      <c r="CD92" s="875"/>
      <c r="CE92" s="875">
        <f>CE63+CE37</f>
        <v>32</v>
      </c>
      <c r="CF92" s="875"/>
      <c r="CG92" s="875"/>
      <c r="CH92" s="875"/>
      <c r="CI92" s="875">
        <f>CI63+CI37</f>
        <v>23</v>
      </c>
      <c r="CJ92" s="875"/>
      <c r="CK92" s="875"/>
      <c r="CL92" s="875"/>
      <c r="CM92" s="875">
        <f>CM63+CM37</f>
        <v>26</v>
      </c>
      <c r="CN92" s="875"/>
      <c r="CO92" s="875"/>
      <c r="CP92" s="875"/>
      <c r="CQ92" s="875">
        <f>CQ63+CQ37</f>
        <v>20</v>
      </c>
      <c r="CR92" s="875"/>
      <c r="CS92" s="875"/>
      <c r="CT92" s="875"/>
      <c r="CU92" s="875">
        <f>CU63+CU37</f>
        <v>27</v>
      </c>
      <c r="CV92" s="875"/>
      <c r="CW92" s="875"/>
      <c r="CX92" s="875"/>
      <c r="CY92" s="875">
        <f>CY63+CY37</f>
        <v>18</v>
      </c>
      <c r="CZ92" s="875"/>
      <c r="DA92" s="875"/>
      <c r="DB92" s="928"/>
      <c r="DC92" s="900">
        <f>DC63+DC37</f>
        <v>26</v>
      </c>
      <c r="DD92" s="875"/>
      <c r="DE92" s="875"/>
      <c r="DF92" s="875"/>
      <c r="DG92" s="948">
        <f>DG63+DG37</f>
        <v>24</v>
      </c>
      <c r="DH92" s="875"/>
      <c r="DI92" s="875"/>
      <c r="DJ92" s="875"/>
      <c r="DK92" s="948">
        <f>DK63+DK37</f>
        <v>26</v>
      </c>
      <c r="DL92" s="875"/>
      <c r="DM92" s="875"/>
      <c r="DN92" s="875"/>
      <c r="DO92" s="948">
        <f>DO63+DO37</f>
        <v>24</v>
      </c>
      <c r="DP92" s="875"/>
      <c r="DQ92" s="875"/>
      <c r="DR92" s="875"/>
      <c r="DS92" s="948">
        <f>DS63+DS37</f>
        <v>27</v>
      </c>
      <c r="DT92" s="875"/>
      <c r="DU92" s="875"/>
      <c r="DV92" s="875"/>
      <c r="DW92" s="948">
        <f>DW63+DW37</f>
        <v>20</v>
      </c>
      <c r="DX92" s="875"/>
      <c r="DY92" s="875"/>
      <c r="DZ92" s="875"/>
      <c r="EA92" s="948">
        <f>EA63+EA37</f>
        <v>21</v>
      </c>
      <c r="EB92" s="875"/>
      <c r="EC92" s="875"/>
      <c r="ED92" s="875"/>
      <c r="EE92" s="948">
        <f>EE63+EE37</f>
        <v>18</v>
      </c>
      <c r="EF92" s="875"/>
      <c r="EG92" s="875"/>
      <c r="EH92" s="875"/>
      <c r="EI92" s="948">
        <f>EI63+EI37</f>
        <v>23</v>
      </c>
      <c r="EJ92" s="875"/>
      <c r="EK92" s="875"/>
      <c r="EL92" s="875"/>
      <c r="EM92" s="948">
        <f>EM63+EM37</f>
        <v>15</v>
      </c>
      <c r="EN92" s="875"/>
      <c r="EO92" s="875"/>
      <c r="EP92" s="928"/>
      <c r="EQ92" s="872">
        <f>DC92+DG92+DK92+DO92+DS92+DW92+EA92+EE92+EI92+EM92</f>
        <v>224</v>
      </c>
      <c r="ER92" s="873"/>
      <c r="ES92" s="874"/>
      <c r="EW92" s="230"/>
      <c r="EX92" s="231"/>
      <c r="EY92" s="232"/>
    </row>
    <row r="93" spans="1:155" ht="69.95" customHeight="1" x14ac:dyDescent="0.65">
      <c r="A93" s="160"/>
      <c r="B93" s="58"/>
      <c r="C93" s="541" t="s">
        <v>161</v>
      </c>
      <c r="D93" s="541"/>
      <c r="E93" s="541"/>
      <c r="F93" s="541"/>
      <c r="G93" s="541"/>
      <c r="H93" s="541"/>
      <c r="I93" s="541"/>
      <c r="J93" s="541"/>
      <c r="K93" s="541"/>
      <c r="L93" s="541"/>
      <c r="M93" s="541"/>
      <c r="N93" s="541"/>
      <c r="O93" s="541"/>
      <c r="P93" s="541"/>
      <c r="Q93" s="541"/>
      <c r="R93" s="541"/>
      <c r="S93" s="541"/>
      <c r="T93" s="541"/>
      <c r="U93" s="541"/>
      <c r="V93" s="541"/>
      <c r="W93" s="541"/>
      <c r="X93" s="541"/>
      <c r="Y93" s="541"/>
      <c r="Z93" s="962">
        <f>EQ93*30</f>
        <v>480</v>
      </c>
      <c r="AA93" s="962"/>
      <c r="AB93" s="962"/>
      <c r="AC93" s="962"/>
      <c r="AD93" s="963"/>
      <c r="AE93" s="963"/>
      <c r="AF93" s="963"/>
      <c r="AG93" s="880">
        <f>AL93+AQ93+AV93+BA93+BF93</f>
        <v>0</v>
      </c>
      <c r="AH93" s="880"/>
      <c r="AI93" s="880"/>
      <c r="AJ93" s="880"/>
      <c r="AK93" s="880"/>
      <c r="AL93" s="881"/>
      <c r="AM93" s="882"/>
      <c r="AN93" s="882"/>
      <c r="AO93" s="882"/>
      <c r="AP93" s="883"/>
      <c r="AQ93" s="880"/>
      <c r="AR93" s="880"/>
      <c r="AS93" s="880"/>
      <c r="AT93" s="880"/>
      <c r="AU93" s="880"/>
      <c r="AV93" s="880"/>
      <c r="AW93" s="880"/>
      <c r="AX93" s="880"/>
      <c r="AY93" s="880"/>
      <c r="AZ93" s="880"/>
      <c r="BA93" s="880"/>
      <c r="BB93" s="880"/>
      <c r="BC93" s="880"/>
      <c r="BD93" s="880"/>
      <c r="BE93" s="880"/>
      <c r="BF93" s="880"/>
      <c r="BG93" s="880"/>
      <c r="BH93" s="880"/>
      <c r="BI93" s="880"/>
      <c r="BJ93" s="880"/>
      <c r="BK93" s="959"/>
      <c r="BL93" s="960"/>
      <c r="BM93" s="960"/>
      <c r="BN93" s="961"/>
      <c r="BO93" s="958"/>
      <c r="BP93" s="879"/>
      <c r="BQ93" s="879"/>
      <c r="BR93" s="879"/>
      <c r="BS93" s="879"/>
      <c r="BT93" s="879"/>
      <c r="BU93" s="879"/>
      <c r="BV93" s="879"/>
      <c r="BW93" s="879"/>
      <c r="BX93" s="879"/>
      <c r="BY93" s="879"/>
      <c r="BZ93" s="879"/>
      <c r="CA93" s="879"/>
      <c r="CB93" s="879"/>
      <c r="CC93" s="879"/>
      <c r="CD93" s="879"/>
      <c r="CE93" s="879"/>
      <c r="CF93" s="879"/>
      <c r="CG93" s="879"/>
      <c r="CH93" s="879"/>
      <c r="CI93" s="879"/>
      <c r="CJ93" s="879"/>
      <c r="CK93" s="879"/>
      <c r="CL93" s="879"/>
      <c r="CM93" s="879"/>
      <c r="CN93" s="879"/>
      <c r="CO93" s="879"/>
      <c r="CP93" s="879"/>
      <c r="CQ93" s="879"/>
      <c r="CR93" s="879"/>
      <c r="CS93" s="879"/>
      <c r="CT93" s="879"/>
      <c r="CU93" s="879"/>
      <c r="CV93" s="879"/>
      <c r="CW93" s="879"/>
      <c r="CX93" s="879"/>
      <c r="CY93" s="879"/>
      <c r="CZ93" s="879"/>
      <c r="DA93" s="879"/>
      <c r="DB93" s="956"/>
      <c r="DC93" s="958"/>
      <c r="DD93" s="879"/>
      <c r="DE93" s="879"/>
      <c r="DF93" s="879"/>
      <c r="DG93" s="879"/>
      <c r="DH93" s="879"/>
      <c r="DI93" s="879"/>
      <c r="DJ93" s="879"/>
      <c r="DK93" s="879"/>
      <c r="DL93" s="879"/>
      <c r="DM93" s="879"/>
      <c r="DN93" s="879"/>
      <c r="DO93" s="923">
        <v>3</v>
      </c>
      <c r="DP93" s="923"/>
      <c r="DQ93" s="923"/>
      <c r="DR93" s="923"/>
      <c r="DS93" s="923"/>
      <c r="DT93" s="923"/>
      <c r="DU93" s="923"/>
      <c r="DV93" s="923"/>
      <c r="DW93" s="923">
        <v>4</v>
      </c>
      <c r="DX93" s="923"/>
      <c r="DY93" s="923"/>
      <c r="DZ93" s="923"/>
      <c r="EA93" s="923"/>
      <c r="EB93" s="923"/>
      <c r="EC93" s="923"/>
      <c r="ED93" s="923"/>
      <c r="EE93" s="923">
        <v>4</v>
      </c>
      <c r="EF93" s="923"/>
      <c r="EG93" s="923"/>
      <c r="EH93" s="923"/>
      <c r="EI93" s="923"/>
      <c r="EJ93" s="923"/>
      <c r="EK93" s="923"/>
      <c r="EL93" s="923"/>
      <c r="EM93" s="923">
        <v>5</v>
      </c>
      <c r="EN93" s="923"/>
      <c r="EO93" s="923"/>
      <c r="EP93" s="955"/>
      <c r="EQ93" s="990">
        <f>DC93+DG93+DK93+DO93+DS93+DW93+EA93+EE93+EI93+EM93</f>
        <v>16</v>
      </c>
      <c r="ER93" s="991"/>
      <c r="ES93" s="992"/>
      <c r="EW93" s="230"/>
      <c r="EX93" s="231"/>
      <c r="EY93" s="232"/>
    </row>
    <row r="94" spans="1:155" ht="69.95" customHeight="1" x14ac:dyDescent="0.65">
      <c r="A94" s="160"/>
      <c r="B94" s="58"/>
      <c r="C94" s="541" t="s">
        <v>17</v>
      </c>
      <c r="D94" s="541"/>
      <c r="E94" s="541"/>
      <c r="F94" s="541"/>
      <c r="G94" s="541"/>
      <c r="H94" s="541"/>
      <c r="I94" s="541"/>
      <c r="J94" s="541"/>
      <c r="K94" s="541"/>
      <c r="L94" s="541"/>
      <c r="M94" s="541"/>
      <c r="N94" s="541"/>
      <c r="O94" s="541"/>
      <c r="P94" s="541"/>
      <c r="Q94" s="541"/>
      <c r="R94" s="541"/>
      <c r="S94" s="541"/>
      <c r="T94" s="541"/>
      <c r="U94" s="541"/>
      <c r="V94" s="541"/>
      <c r="W94" s="541"/>
      <c r="X94" s="541"/>
      <c r="Y94" s="541"/>
      <c r="Z94" s="962">
        <f>EQ94*30</f>
        <v>0</v>
      </c>
      <c r="AA94" s="962"/>
      <c r="AB94" s="962"/>
      <c r="AC94" s="962"/>
      <c r="AD94" s="878"/>
      <c r="AE94" s="878"/>
      <c r="AF94" s="879"/>
      <c r="AG94" s="880">
        <f>AL94+AQ94+AV94+BA94+BF94</f>
        <v>0</v>
      </c>
      <c r="AH94" s="880"/>
      <c r="AI94" s="880"/>
      <c r="AJ94" s="880"/>
      <c r="AK94" s="880"/>
      <c r="AL94" s="881"/>
      <c r="AM94" s="882"/>
      <c r="AN94" s="882"/>
      <c r="AO94" s="882"/>
      <c r="AP94" s="883"/>
      <c r="AQ94" s="880"/>
      <c r="AR94" s="880"/>
      <c r="AS94" s="880"/>
      <c r="AT94" s="880"/>
      <c r="AU94" s="880"/>
      <c r="AV94" s="880"/>
      <c r="AW94" s="880"/>
      <c r="AX94" s="880"/>
      <c r="AY94" s="880"/>
      <c r="AZ94" s="880"/>
      <c r="BA94" s="880"/>
      <c r="BB94" s="880"/>
      <c r="BC94" s="880"/>
      <c r="BD94" s="880"/>
      <c r="BE94" s="880"/>
      <c r="BF94" s="880"/>
      <c r="BG94" s="880"/>
      <c r="BH94" s="880"/>
      <c r="BI94" s="880"/>
      <c r="BJ94" s="880"/>
      <c r="BK94" s="959"/>
      <c r="BL94" s="960"/>
      <c r="BM94" s="960"/>
      <c r="BN94" s="961"/>
      <c r="BO94" s="958"/>
      <c r="BP94" s="879"/>
      <c r="BQ94" s="879"/>
      <c r="BR94" s="879"/>
      <c r="BS94" s="879"/>
      <c r="BT94" s="879"/>
      <c r="BU94" s="879"/>
      <c r="BV94" s="879"/>
      <c r="BW94" s="879"/>
      <c r="BX94" s="879"/>
      <c r="BY94" s="879"/>
      <c r="BZ94" s="879"/>
      <c r="CA94" s="879"/>
      <c r="CB94" s="879"/>
      <c r="CC94" s="879"/>
      <c r="CD94" s="879"/>
      <c r="CE94" s="879"/>
      <c r="CF94" s="879"/>
      <c r="CG94" s="879"/>
      <c r="CH94" s="879"/>
      <c r="CI94" s="879"/>
      <c r="CJ94" s="879"/>
      <c r="CK94" s="879"/>
      <c r="CL94" s="879"/>
      <c r="CM94" s="879"/>
      <c r="CN94" s="879"/>
      <c r="CO94" s="879"/>
      <c r="CP94" s="879"/>
      <c r="CQ94" s="879"/>
      <c r="CR94" s="879"/>
      <c r="CS94" s="879"/>
      <c r="CT94" s="879"/>
      <c r="CU94" s="879"/>
      <c r="CV94" s="879"/>
      <c r="CW94" s="879"/>
      <c r="CX94" s="879"/>
      <c r="CY94" s="879"/>
      <c r="CZ94" s="879"/>
      <c r="DA94" s="879"/>
      <c r="DB94" s="956"/>
      <c r="DC94" s="958"/>
      <c r="DD94" s="879"/>
      <c r="DE94" s="879"/>
      <c r="DF94" s="879"/>
      <c r="DG94" s="879"/>
      <c r="DH94" s="879"/>
      <c r="DI94" s="879"/>
      <c r="DJ94" s="879"/>
      <c r="DK94" s="879"/>
      <c r="DL94" s="879"/>
      <c r="DM94" s="879"/>
      <c r="DN94" s="879"/>
      <c r="DO94" s="923"/>
      <c r="DP94" s="923"/>
      <c r="DQ94" s="923"/>
      <c r="DR94" s="923"/>
      <c r="DS94" s="923"/>
      <c r="DT94" s="923"/>
      <c r="DU94" s="923"/>
      <c r="DV94" s="923"/>
      <c r="DW94" s="923"/>
      <c r="DX94" s="923"/>
      <c r="DY94" s="923"/>
      <c r="DZ94" s="923"/>
      <c r="EA94" s="923"/>
      <c r="EB94" s="923"/>
      <c r="EC94" s="923"/>
      <c r="ED94" s="923"/>
      <c r="EE94" s="923"/>
      <c r="EF94" s="923"/>
      <c r="EG94" s="923"/>
      <c r="EH94" s="923"/>
      <c r="EI94" s="923"/>
      <c r="EJ94" s="923"/>
      <c r="EK94" s="923"/>
      <c r="EL94" s="923"/>
      <c r="EM94" s="923"/>
      <c r="EN94" s="923"/>
      <c r="EO94" s="923"/>
      <c r="EP94" s="955"/>
      <c r="EQ94" s="990">
        <f>DC94+DG94+DK94+DO94+DS94+DW94+EA94+EE94+EI94+EM94</f>
        <v>0</v>
      </c>
      <c r="ER94" s="991"/>
      <c r="ES94" s="992"/>
      <c r="EW94" s="230"/>
      <c r="EX94" s="231"/>
      <c r="EY94" s="232"/>
    </row>
    <row r="95" spans="1:155" ht="69.95" customHeight="1" x14ac:dyDescent="0.65">
      <c r="A95" s="159"/>
      <c r="B95" s="60"/>
      <c r="C95" s="876" t="s">
        <v>77</v>
      </c>
      <c r="D95" s="876"/>
      <c r="E95" s="876"/>
      <c r="F95" s="876"/>
      <c r="G95" s="876"/>
      <c r="H95" s="876"/>
      <c r="I95" s="876"/>
      <c r="J95" s="876"/>
      <c r="K95" s="876"/>
      <c r="L95" s="876"/>
      <c r="M95" s="876"/>
      <c r="N95" s="876"/>
      <c r="O95" s="876"/>
      <c r="P95" s="876"/>
      <c r="Q95" s="876"/>
      <c r="R95" s="876"/>
      <c r="S95" s="876"/>
      <c r="T95" s="876"/>
      <c r="U95" s="876"/>
      <c r="V95" s="876"/>
      <c r="W95" s="876"/>
      <c r="X95" s="876"/>
      <c r="Y95" s="876"/>
      <c r="Z95" s="899">
        <f>Z93+Z94</f>
        <v>480</v>
      </c>
      <c r="AA95" s="899"/>
      <c r="AB95" s="899"/>
      <c r="AC95" s="899"/>
      <c r="AD95" s="957">
        <f>Z95/$Z$96*100</f>
        <v>6.666666666666667</v>
      </c>
      <c r="AE95" s="957"/>
      <c r="AF95" s="957"/>
      <c r="AG95" s="899">
        <f>AG93+AG94</f>
        <v>0</v>
      </c>
      <c r="AH95" s="899"/>
      <c r="AI95" s="899"/>
      <c r="AJ95" s="899"/>
      <c r="AK95" s="899"/>
      <c r="AL95" s="899">
        <f>AL93+AL94</f>
        <v>0</v>
      </c>
      <c r="AM95" s="899"/>
      <c r="AN95" s="899"/>
      <c r="AO95" s="899"/>
      <c r="AP95" s="899"/>
      <c r="AQ95" s="899">
        <f>AQ93+AQ94</f>
        <v>0</v>
      </c>
      <c r="AR95" s="899"/>
      <c r="AS95" s="899"/>
      <c r="AT95" s="899"/>
      <c r="AU95" s="899"/>
      <c r="AV95" s="899">
        <f>AV93+AV94</f>
        <v>0</v>
      </c>
      <c r="AW95" s="899"/>
      <c r="AX95" s="899"/>
      <c r="AY95" s="899"/>
      <c r="AZ95" s="899"/>
      <c r="BA95" s="899">
        <f>BA93+BA94</f>
        <v>0</v>
      </c>
      <c r="BB95" s="899"/>
      <c r="BC95" s="899"/>
      <c r="BD95" s="899"/>
      <c r="BE95" s="899"/>
      <c r="BF95" s="899">
        <f>BF93+BF94</f>
        <v>0</v>
      </c>
      <c r="BG95" s="899"/>
      <c r="BH95" s="899"/>
      <c r="BI95" s="899"/>
      <c r="BJ95" s="899"/>
      <c r="BK95" s="929">
        <f>BK93+BK94</f>
        <v>0</v>
      </c>
      <c r="BL95" s="915"/>
      <c r="BM95" s="915"/>
      <c r="BN95" s="916"/>
      <c r="BO95" s="900">
        <f>BO93+BO94</f>
        <v>0</v>
      </c>
      <c r="BP95" s="875"/>
      <c r="BQ95" s="875"/>
      <c r="BR95" s="875"/>
      <c r="BS95" s="875">
        <f>BS93+BS94</f>
        <v>0</v>
      </c>
      <c r="BT95" s="875"/>
      <c r="BU95" s="875"/>
      <c r="BV95" s="875"/>
      <c r="BW95" s="875">
        <f>BW93+BW94</f>
        <v>0</v>
      </c>
      <c r="BX95" s="875"/>
      <c r="BY95" s="875"/>
      <c r="BZ95" s="875"/>
      <c r="CA95" s="875">
        <f>CA93+CA94</f>
        <v>0</v>
      </c>
      <c r="CB95" s="875"/>
      <c r="CC95" s="875"/>
      <c r="CD95" s="875"/>
      <c r="CE95" s="875">
        <f>CE93+CE94</f>
        <v>0</v>
      </c>
      <c r="CF95" s="875"/>
      <c r="CG95" s="875"/>
      <c r="CH95" s="875"/>
      <c r="CI95" s="875">
        <f>CI93+CI94</f>
        <v>0</v>
      </c>
      <c r="CJ95" s="875"/>
      <c r="CK95" s="875"/>
      <c r="CL95" s="875"/>
      <c r="CM95" s="875">
        <f>CM93+CM94</f>
        <v>0</v>
      </c>
      <c r="CN95" s="875"/>
      <c r="CO95" s="875"/>
      <c r="CP95" s="875"/>
      <c r="CQ95" s="875">
        <f>CQ93+CQ94</f>
        <v>0</v>
      </c>
      <c r="CR95" s="875"/>
      <c r="CS95" s="875"/>
      <c r="CT95" s="875"/>
      <c r="CU95" s="875">
        <f>CU93+CU94</f>
        <v>0</v>
      </c>
      <c r="CV95" s="875"/>
      <c r="CW95" s="875"/>
      <c r="CX95" s="875"/>
      <c r="CY95" s="875">
        <f>CY93+CY94</f>
        <v>0</v>
      </c>
      <c r="CZ95" s="875"/>
      <c r="DA95" s="875"/>
      <c r="DB95" s="928"/>
      <c r="DC95" s="900">
        <f>DC93+DC94</f>
        <v>0</v>
      </c>
      <c r="DD95" s="875"/>
      <c r="DE95" s="875"/>
      <c r="DF95" s="875"/>
      <c r="DG95" s="875">
        <f>DG93+DG94</f>
        <v>0</v>
      </c>
      <c r="DH95" s="875"/>
      <c r="DI95" s="875"/>
      <c r="DJ95" s="875"/>
      <c r="DK95" s="875">
        <f>DK93+DK94</f>
        <v>0</v>
      </c>
      <c r="DL95" s="875"/>
      <c r="DM95" s="875"/>
      <c r="DN95" s="875"/>
      <c r="DO95" s="875">
        <f>DO93+DO94</f>
        <v>3</v>
      </c>
      <c r="DP95" s="875"/>
      <c r="DQ95" s="875"/>
      <c r="DR95" s="875"/>
      <c r="DS95" s="875">
        <f>DS93+DS94</f>
        <v>0</v>
      </c>
      <c r="DT95" s="875"/>
      <c r="DU95" s="875"/>
      <c r="DV95" s="875"/>
      <c r="DW95" s="875">
        <f>DW93+DW94</f>
        <v>4</v>
      </c>
      <c r="DX95" s="875"/>
      <c r="DY95" s="875"/>
      <c r="DZ95" s="875"/>
      <c r="EA95" s="875">
        <f>EA93+EA94</f>
        <v>0</v>
      </c>
      <c r="EB95" s="875"/>
      <c r="EC95" s="875"/>
      <c r="ED95" s="875"/>
      <c r="EE95" s="875">
        <f>EE93+EE94</f>
        <v>4</v>
      </c>
      <c r="EF95" s="875"/>
      <c r="EG95" s="875"/>
      <c r="EH95" s="875"/>
      <c r="EI95" s="875">
        <f>EI93+EI94</f>
        <v>0</v>
      </c>
      <c r="EJ95" s="875"/>
      <c r="EK95" s="875"/>
      <c r="EL95" s="875"/>
      <c r="EM95" s="875">
        <f>EM93+EM94</f>
        <v>5</v>
      </c>
      <c r="EN95" s="875"/>
      <c r="EO95" s="875"/>
      <c r="EP95" s="928"/>
      <c r="EQ95" s="872">
        <f>DC95+DG95+DK95+DO95+DS95+DW95+EA95+EE95+EI95+EM95</f>
        <v>16</v>
      </c>
      <c r="ER95" s="873"/>
      <c r="ES95" s="874"/>
      <c r="EW95" s="239"/>
      <c r="EX95" s="240"/>
      <c r="EY95" s="241"/>
    </row>
    <row r="96" spans="1:155" ht="69.95" customHeight="1" thickBot="1" x14ac:dyDescent="0.25">
      <c r="A96" s="161"/>
      <c r="B96" s="162"/>
      <c r="C96" s="877" t="s">
        <v>22</v>
      </c>
      <c r="D96" s="877"/>
      <c r="E96" s="877"/>
      <c r="F96" s="877"/>
      <c r="G96" s="877"/>
      <c r="H96" s="877"/>
      <c r="I96" s="877"/>
      <c r="J96" s="877"/>
      <c r="K96" s="877"/>
      <c r="L96" s="877"/>
      <c r="M96" s="877"/>
      <c r="N96" s="877"/>
      <c r="O96" s="877"/>
      <c r="P96" s="877"/>
      <c r="Q96" s="877"/>
      <c r="R96" s="877"/>
      <c r="S96" s="877"/>
      <c r="T96" s="877"/>
      <c r="U96" s="877"/>
      <c r="V96" s="877"/>
      <c r="W96" s="877"/>
      <c r="X96" s="877"/>
      <c r="Y96" s="877"/>
      <c r="Z96" s="885">
        <f>Z95+Z92</f>
        <v>7200</v>
      </c>
      <c r="AA96" s="898"/>
      <c r="AB96" s="898"/>
      <c r="AC96" s="898"/>
      <c r="AD96" s="910">
        <f>AD92+AD95</f>
        <v>100</v>
      </c>
      <c r="AE96" s="910"/>
      <c r="AF96" s="910"/>
      <c r="AG96" s="885">
        <f>AG92+AG95</f>
        <v>961</v>
      </c>
      <c r="AH96" s="898"/>
      <c r="AI96" s="898"/>
      <c r="AJ96" s="898"/>
      <c r="AK96" s="898"/>
      <c r="AL96" s="885">
        <f>AL92+AL95</f>
        <v>436</v>
      </c>
      <c r="AM96" s="898"/>
      <c r="AN96" s="898"/>
      <c r="AO96" s="898"/>
      <c r="AP96" s="898"/>
      <c r="AQ96" s="885">
        <f>AQ92+AQ95</f>
        <v>511</v>
      </c>
      <c r="AR96" s="898"/>
      <c r="AS96" s="898"/>
      <c r="AT96" s="898"/>
      <c r="AU96" s="898"/>
      <c r="AV96" s="885">
        <f>AV92+AV95</f>
        <v>14</v>
      </c>
      <c r="AW96" s="898"/>
      <c r="AX96" s="898"/>
      <c r="AY96" s="898"/>
      <c r="AZ96" s="898"/>
      <c r="BA96" s="885">
        <f>BA92+BA95</f>
        <v>0</v>
      </c>
      <c r="BB96" s="898"/>
      <c r="BC96" s="898"/>
      <c r="BD96" s="898"/>
      <c r="BE96" s="898"/>
      <c r="BF96" s="885">
        <f>BF92+BF95</f>
        <v>0</v>
      </c>
      <c r="BG96" s="898"/>
      <c r="BH96" s="898"/>
      <c r="BI96" s="898"/>
      <c r="BJ96" s="898"/>
      <c r="BK96" s="924">
        <f>BK92+BK95</f>
        <v>5759</v>
      </c>
      <c r="BL96" s="925"/>
      <c r="BM96" s="925"/>
      <c r="BN96" s="926"/>
      <c r="BO96" s="890">
        <f>BO92+BO95</f>
        <v>34</v>
      </c>
      <c r="BP96" s="888"/>
      <c r="BQ96" s="888"/>
      <c r="BR96" s="888"/>
      <c r="BS96" s="887">
        <f>BS92+BS95</f>
        <v>31</v>
      </c>
      <c r="BT96" s="888"/>
      <c r="BU96" s="888"/>
      <c r="BV96" s="888"/>
      <c r="BW96" s="887">
        <f>BW92+BW95</f>
        <v>30</v>
      </c>
      <c r="BX96" s="888"/>
      <c r="BY96" s="888"/>
      <c r="BZ96" s="888"/>
      <c r="CA96" s="887">
        <f>CA92+CA95</f>
        <v>27</v>
      </c>
      <c r="CB96" s="888"/>
      <c r="CC96" s="888"/>
      <c r="CD96" s="888"/>
      <c r="CE96" s="887">
        <f>CE92+CE95</f>
        <v>32</v>
      </c>
      <c r="CF96" s="888"/>
      <c r="CG96" s="888"/>
      <c r="CH96" s="888"/>
      <c r="CI96" s="887">
        <f>CI92+CI95</f>
        <v>23</v>
      </c>
      <c r="CJ96" s="888"/>
      <c r="CK96" s="888"/>
      <c r="CL96" s="888"/>
      <c r="CM96" s="887">
        <f>CM92+CM95</f>
        <v>26</v>
      </c>
      <c r="CN96" s="888"/>
      <c r="CO96" s="888"/>
      <c r="CP96" s="888"/>
      <c r="CQ96" s="887">
        <f>CQ92+CQ95</f>
        <v>20</v>
      </c>
      <c r="CR96" s="888"/>
      <c r="CS96" s="888"/>
      <c r="CT96" s="888"/>
      <c r="CU96" s="887">
        <f>CU92+CU95</f>
        <v>27</v>
      </c>
      <c r="CV96" s="888"/>
      <c r="CW96" s="888"/>
      <c r="CX96" s="888"/>
      <c r="CY96" s="887">
        <f>CY92+CY95</f>
        <v>18</v>
      </c>
      <c r="CZ96" s="888"/>
      <c r="DA96" s="888"/>
      <c r="DB96" s="889"/>
      <c r="DC96" s="890">
        <f>DC92+DC95</f>
        <v>26</v>
      </c>
      <c r="DD96" s="888"/>
      <c r="DE96" s="888"/>
      <c r="DF96" s="888"/>
      <c r="DG96" s="887">
        <f>DG92+DG95</f>
        <v>24</v>
      </c>
      <c r="DH96" s="888"/>
      <c r="DI96" s="888"/>
      <c r="DJ96" s="888"/>
      <c r="DK96" s="887">
        <f>DK92+DK95</f>
        <v>26</v>
      </c>
      <c r="DL96" s="888"/>
      <c r="DM96" s="888"/>
      <c r="DN96" s="888"/>
      <c r="DO96" s="887">
        <f>DO92+DO95</f>
        <v>27</v>
      </c>
      <c r="DP96" s="888"/>
      <c r="DQ96" s="888"/>
      <c r="DR96" s="888"/>
      <c r="DS96" s="887">
        <f>DS92+DS95</f>
        <v>27</v>
      </c>
      <c r="DT96" s="888"/>
      <c r="DU96" s="888"/>
      <c r="DV96" s="888"/>
      <c r="DW96" s="887">
        <f>DW92+DW95</f>
        <v>24</v>
      </c>
      <c r="DX96" s="888"/>
      <c r="DY96" s="888"/>
      <c r="DZ96" s="888"/>
      <c r="EA96" s="887">
        <f>EA92+EA95</f>
        <v>21</v>
      </c>
      <c r="EB96" s="888"/>
      <c r="EC96" s="888"/>
      <c r="ED96" s="888"/>
      <c r="EE96" s="887">
        <f>EE92+EE95</f>
        <v>22</v>
      </c>
      <c r="EF96" s="888"/>
      <c r="EG96" s="888"/>
      <c r="EH96" s="888"/>
      <c r="EI96" s="887">
        <f>EI92+EI95</f>
        <v>23</v>
      </c>
      <c r="EJ96" s="888"/>
      <c r="EK96" s="888"/>
      <c r="EL96" s="888"/>
      <c r="EM96" s="887">
        <f>EM92+EM95</f>
        <v>20</v>
      </c>
      <c r="EN96" s="888"/>
      <c r="EO96" s="888"/>
      <c r="EP96" s="889"/>
      <c r="EQ96" s="884">
        <f>DC96+DG96+DK96+DO96+DS96+DW96+EA96+EE96+EI96+EM96</f>
        <v>240</v>
      </c>
      <c r="ER96" s="885"/>
      <c r="ES96" s="886"/>
    </row>
    <row r="97" spans="1:161" ht="21" thickTop="1" x14ac:dyDescent="0.2">
      <c r="A97" s="5"/>
      <c r="B97" s="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912"/>
      <c r="AA97" s="912"/>
      <c r="AB97" s="912"/>
      <c r="AC97" s="913"/>
      <c r="AD97" s="7"/>
      <c r="AE97" s="7"/>
      <c r="AF97" s="8"/>
      <c r="AG97" s="7"/>
      <c r="AH97" s="7"/>
      <c r="AI97" s="7"/>
      <c r="AJ97" s="8"/>
      <c r="AK97" s="7"/>
      <c r="AL97" s="7"/>
      <c r="AM97" s="7"/>
      <c r="AN97" s="8"/>
      <c r="AO97" s="7"/>
      <c r="AP97" s="7"/>
      <c r="AQ97" s="7"/>
      <c r="AR97" s="8"/>
      <c r="AS97" s="7"/>
      <c r="AT97" s="7"/>
      <c r="AU97" s="7"/>
      <c r="AV97" s="8"/>
      <c r="AW97" s="7"/>
      <c r="AX97" s="7"/>
      <c r="AY97" s="7"/>
      <c r="AZ97" s="8"/>
      <c r="BA97" s="7"/>
      <c r="BB97" s="7"/>
      <c r="BC97" s="7"/>
      <c r="BD97" s="8"/>
      <c r="BE97" s="9"/>
      <c r="BF97" s="9"/>
      <c r="BG97" s="9"/>
      <c r="BH97" s="9"/>
      <c r="BI97" s="9"/>
      <c r="BJ97" s="9"/>
      <c r="BK97" s="7"/>
      <c r="BL97" s="7"/>
      <c r="BM97" s="7"/>
      <c r="BN97" s="8"/>
      <c r="BO97" s="10"/>
      <c r="BP97" s="9"/>
      <c r="BQ97" s="9"/>
      <c r="BR97" s="9"/>
      <c r="BS97" s="10"/>
      <c r="BT97" s="9"/>
      <c r="BU97" s="9"/>
      <c r="BV97" s="9"/>
      <c r="BW97" s="10"/>
      <c r="BX97" s="9"/>
      <c r="BY97" s="9"/>
      <c r="BZ97" s="9"/>
      <c r="CA97" s="10"/>
      <c r="CB97" s="9"/>
      <c r="CC97" s="9"/>
      <c r="CD97" s="9"/>
      <c r="CE97" s="10"/>
      <c r="CF97" s="9"/>
      <c r="CG97" s="9"/>
      <c r="CH97" s="9"/>
      <c r="CI97" s="10"/>
      <c r="CJ97" s="9"/>
      <c r="CK97" s="9"/>
      <c r="CL97" s="9"/>
      <c r="CM97" s="10"/>
      <c r="CN97" s="9"/>
      <c r="CO97" s="9"/>
      <c r="CP97" s="9"/>
      <c r="CQ97" s="10"/>
      <c r="CR97" s="9"/>
      <c r="CS97" s="9"/>
      <c r="CT97" s="9"/>
      <c r="CU97" s="10"/>
      <c r="CV97" s="9"/>
      <c r="CW97" s="9"/>
      <c r="CX97" s="9"/>
      <c r="CY97" s="10"/>
      <c r="CZ97" s="9"/>
      <c r="DA97" s="9"/>
      <c r="DB97" s="9"/>
      <c r="DC97" s="10"/>
      <c r="DD97" s="9"/>
      <c r="DE97" s="9"/>
      <c r="DF97" s="9"/>
      <c r="DG97" s="10"/>
      <c r="DH97" s="9"/>
      <c r="DI97" s="9"/>
      <c r="DJ97" s="9"/>
      <c r="DK97" s="10"/>
      <c r="DL97" s="9"/>
      <c r="DM97" s="9"/>
      <c r="DN97" s="9"/>
      <c r="DO97" s="10"/>
      <c r="DP97" s="9"/>
      <c r="DQ97" s="9"/>
      <c r="DR97" s="9"/>
      <c r="DS97" s="10"/>
      <c r="DT97" s="9"/>
      <c r="DU97" s="9"/>
      <c r="DV97" s="9"/>
      <c r="DW97" s="10"/>
      <c r="DX97" s="9"/>
      <c r="DY97" s="9"/>
      <c r="DZ97" s="9"/>
      <c r="EA97" s="10"/>
      <c r="EB97" s="9"/>
      <c r="EC97" s="9"/>
      <c r="ED97" s="9"/>
      <c r="EE97" s="10"/>
      <c r="EF97" s="9"/>
      <c r="EG97" s="9"/>
      <c r="EH97" s="9"/>
      <c r="EI97" s="10"/>
      <c r="EJ97" s="9"/>
      <c r="EK97" s="9"/>
      <c r="EL97" s="9"/>
      <c r="EM97" s="10"/>
      <c r="EN97" s="9"/>
      <c r="EO97" s="9"/>
      <c r="EP97" s="9"/>
      <c r="EQ97" s="11"/>
      <c r="ER97" s="11"/>
      <c r="ES97" s="12"/>
    </row>
    <row r="98" spans="1:161" ht="20.2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912"/>
      <c r="AA98" s="912"/>
      <c r="AB98" s="912"/>
      <c r="AC98" s="913"/>
      <c r="AD98" s="7"/>
      <c r="AE98" s="7"/>
      <c r="AF98" s="8"/>
      <c r="AG98" s="7"/>
      <c r="AH98" s="7"/>
      <c r="AI98" s="7"/>
      <c r="AJ98" s="8"/>
      <c r="AK98" s="7"/>
      <c r="AL98" s="7"/>
      <c r="AM98" s="7"/>
      <c r="AN98" s="8"/>
      <c r="AO98" s="7"/>
      <c r="AP98" s="7"/>
      <c r="AQ98" s="7"/>
      <c r="AR98" s="8"/>
      <c r="AS98" s="7"/>
      <c r="AT98" s="7"/>
      <c r="AU98" s="7"/>
      <c r="AV98" s="8"/>
      <c r="AW98" s="7"/>
      <c r="AX98" s="7"/>
      <c r="AY98" s="7"/>
      <c r="AZ98" s="8"/>
      <c r="BA98" s="7"/>
      <c r="BB98" s="7"/>
      <c r="BC98" s="7"/>
      <c r="BD98" s="8"/>
      <c r="BE98" s="9"/>
      <c r="BF98" s="9"/>
      <c r="BG98" s="9"/>
      <c r="BH98" s="9"/>
      <c r="BI98" s="9"/>
      <c r="BJ98" s="9"/>
      <c r="BK98" s="7"/>
      <c r="BL98" s="7"/>
      <c r="BM98" s="7"/>
      <c r="BN98" s="8"/>
      <c r="BO98" s="10"/>
      <c r="BP98" s="9"/>
      <c r="BQ98" s="9"/>
      <c r="BR98" s="9"/>
      <c r="BS98" s="10"/>
      <c r="BT98" s="9"/>
      <c r="BU98" s="9"/>
      <c r="BV98" s="9"/>
      <c r="BW98" s="10"/>
      <c r="BX98" s="9"/>
      <c r="BY98" s="9"/>
      <c r="BZ98" s="9"/>
      <c r="CA98" s="10"/>
      <c r="CB98" s="9"/>
      <c r="CC98" s="9"/>
      <c r="CD98" s="9"/>
      <c r="CE98" s="10"/>
      <c r="CF98" s="9"/>
      <c r="CG98" s="9"/>
      <c r="CH98" s="9"/>
      <c r="CI98" s="10"/>
      <c r="CJ98" s="9"/>
      <c r="CK98" s="9"/>
      <c r="CL98" s="9"/>
      <c r="CM98" s="10"/>
      <c r="CN98" s="9"/>
      <c r="CO98" s="9"/>
      <c r="CP98" s="9"/>
      <c r="CQ98" s="10"/>
      <c r="CR98" s="9"/>
      <c r="CS98" s="9"/>
      <c r="CT98" s="9"/>
      <c r="CU98" s="10"/>
      <c r="CV98" s="9"/>
      <c r="CW98" s="9"/>
      <c r="CX98" s="9"/>
      <c r="CY98" s="10"/>
      <c r="CZ98" s="9"/>
      <c r="DA98" s="9"/>
      <c r="DB98" s="9"/>
      <c r="DC98" s="10"/>
      <c r="DD98" s="9"/>
      <c r="DE98" s="9"/>
      <c r="DF98" s="9"/>
      <c r="DG98" s="10"/>
      <c r="DH98" s="9"/>
      <c r="DI98" s="9"/>
      <c r="DJ98" s="9"/>
      <c r="DK98" s="10"/>
      <c r="DL98" s="9"/>
      <c r="DM98" s="9"/>
      <c r="DN98" s="9"/>
      <c r="DO98" s="10"/>
      <c r="DP98" s="9"/>
      <c r="DQ98" s="9"/>
      <c r="DR98" s="9"/>
      <c r="DS98" s="10"/>
      <c r="DT98" s="9"/>
      <c r="DU98" s="9"/>
      <c r="DV98" s="9"/>
      <c r="DW98" s="10"/>
      <c r="DX98" s="9"/>
      <c r="DY98" s="9"/>
      <c r="DZ98" s="9"/>
      <c r="EA98" s="10"/>
      <c r="EB98" s="9"/>
      <c r="EC98" s="9"/>
      <c r="ED98" s="9"/>
      <c r="EE98" s="10"/>
      <c r="EF98" s="9"/>
      <c r="EG98" s="9"/>
      <c r="EH98" s="9"/>
      <c r="EI98" s="10"/>
      <c r="EJ98" s="9"/>
      <c r="EK98" s="9"/>
      <c r="EL98" s="9"/>
      <c r="EM98" s="10"/>
      <c r="EN98" s="9"/>
      <c r="EO98" s="9"/>
      <c r="EP98" s="9"/>
      <c r="EQ98" s="11"/>
      <c r="ER98" s="11"/>
      <c r="ES98" s="12"/>
    </row>
    <row r="99" spans="1:161" s="61" customFormat="1" ht="140.1" customHeight="1" x14ac:dyDescent="0.65">
      <c r="A99" s="97"/>
      <c r="B99" s="286" t="s">
        <v>89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524"/>
      <c r="AA99" s="524"/>
      <c r="AB99" s="524"/>
      <c r="AC99" s="525"/>
      <c r="AD99" s="99"/>
      <c r="AE99" s="99"/>
      <c r="AF99" s="97"/>
      <c r="AG99" s="99"/>
      <c r="AH99" s="99"/>
      <c r="AI99" s="99"/>
      <c r="AJ99" s="97"/>
      <c r="AK99" s="99"/>
      <c r="AL99" s="99"/>
      <c r="AM99" s="99"/>
      <c r="AN99" s="97"/>
      <c r="AO99" s="99"/>
      <c r="AP99" s="99"/>
      <c r="AQ99" s="99"/>
      <c r="AR99" s="97"/>
      <c r="AS99" s="99"/>
      <c r="AT99" s="99"/>
      <c r="AU99" s="99"/>
      <c r="AV99" s="97"/>
      <c r="AW99" s="99"/>
      <c r="AX99" s="99"/>
      <c r="AY99" s="99"/>
      <c r="AZ99" s="97"/>
      <c r="BA99" s="99"/>
      <c r="BB99" s="99"/>
      <c r="BC99" s="99"/>
      <c r="BD99" s="97"/>
      <c r="BE99" s="97"/>
      <c r="BF99" s="97"/>
      <c r="BG99" s="97"/>
      <c r="BH99" s="97"/>
      <c r="BI99" s="97"/>
      <c r="BJ99" s="97"/>
      <c r="BK99" s="99"/>
      <c r="BL99" s="99"/>
      <c r="BM99" s="99"/>
      <c r="BN99" s="97"/>
      <c r="BO99" s="107"/>
      <c r="BP99" s="106"/>
      <c r="BQ99" s="106"/>
      <c r="BR99" s="106"/>
      <c r="BS99" s="107"/>
      <c r="BT99" s="106"/>
      <c r="BU99" s="106"/>
      <c r="BV99" s="106"/>
      <c r="BW99" s="99"/>
      <c r="BX99" s="97"/>
      <c r="BY99" s="97"/>
      <c r="BZ99" s="97"/>
      <c r="CA99" s="99"/>
      <c r="CB99" s="97"/>
      <c r="CC99" s="97"/>
      <c r="CD99" s="97"/>
      <c r="CE99" s="99"/>
      <c r="CF99" s="97"/>
      <c r="CG99" s="97"/>
      <c r="CH99" s="97"/>
      <c r="CI99" s="99"/>
      <c r="CJ99" s="97"/>
      <c r="CK99" s="97"/>
      <c r="CL99" s="97"/>
      <c r="CM99" s="99"/>
      <c r="CN99" s="97"/>
      <c r="CO99" s="97"/>
      <c r="CP99" s="97"/>
      <c r="CQ99" s="99"/>
      <c r="CR99" s="97"/>
      <c r="CS99" s="97"/>
      <c r="CT99" s="97"/>
      <c r="CU99" s="99"/>
      <c r="CV99" s="97"/>
      <c r="CW99" s="97"/>
      <c r="CX99" s="97"/>
      <c r="CY99" s="99"/>
      <c r="CZ99" s="97"/>
      <c r="DA99" s="97"/>
      <c r="DB99" s="97"/>
      <c r="DC99" s="927"/>
      <c r="DD99" s="927"/>
      <c r="DE99" s="927"/>
      <c r="DF99" s="927"/>
      <c r="DG99" s="927"/>
      <c r="DH99" s="927"/>
      <c r="DI99" s="927"/>
      <c r="DJ99" s="927"/>
      <c r="DK99" s="927"/>
      <c r="DL99" s="927"/>
      <c r="DM99" s="927"/>
      <c r="DN99" s="927"/>
      <c r="DO99" s="927"/>
      <c r="DP99" s="927"/>
      <c r="DQ99" s="927"/>
      <c r="DR99" s="927"/>
      <c r="DS99" s="927"/>
      <c r="DT99" s="927"/>
      <c r="DU99" s="927"/>
      <c r="DV99" s="927"/>
      <c r="DW99" s="927"/>
      <c r="DX99" s="927"/>
      <c r="DY99" s="927"/>
      <c r="DZ99" s="927"/>
      <c r="EA99" s="927"/>
      <c r="EB99" s="927"/>
      <c r="EC99" s="927"/>
      <c r="ED99" s="927"/>
      <c r="EE99" s="927"/>
      <c r="EF99" s="927"/>
      <c r="EG99" s="927"/>
      <c r="EH99" s="927"/>
      <c r="EI99" s="927"/>
      <c r="EJ99" s="927"/>
      <c r="EK99" s="927"/>
      <c r="EL99" s="927"/>
      <c r="EM99" s="927"/>
      <c r="EN99" s="927"/>
      <c r="EO99" s="927"/>
      <c r="EP99" s="927"/>
      <c r="EQ99" s="1044"/>
      <c r="ER99" s="1044"/>
      <c r="ES99" s="1045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</row>
    <row r="100" spans="1:161" s="61" customFormat="1" ht="140.1" customHeight="1" x14ac:dyDescent="0.8">
      <c r="A100" s="69"/>
      <c r="B100" s="427" t="s">
        <v>189</v>
      </c>
      <c r="C100" s="427"/>
      <c r="D100" s="427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  <c r="AR100" s="427"/>
      <c r="AS100" s="427"/>
      <c r="AT100" s="427"/>
      <c r="AU100" s="427"/>
      <c r="AV100" s="427"/>
      <c r="AW100" s="427"/>
      <c r="AX100" s="427"/>
      <c r="AY100" s="427"/>
      <c r="AZ100" s="427"/>
      <c r="BA100" s="427"/>
      <c r="BB100" s="427"/>
      <c r="BC100" s="427"/>
      <c r="BD100" s="427"/>
      <c r="BE100" s="427"/>
      <c r="BF100" s="427"/>
      <c r="BG100" s="427"/>
      <c r="BH100" s="427"/>
      <c r="BI100" s="427"/>
      <c r="BJ100" s="427"/>
      <c r="BK100" s="427"/>
      <c r="BL100" s="427"/>
      <c r="BM100" s="427"/>
      <c r="BN100" s="427"/>
      <c r="BO100" s="427"/>
      <c r="BP100" s="427"/>
      <c r="BQ100" s="427"/>
      <c r="BR100" s="427"/>
      <c r="BS100" s="427"/>
      <c r="BT100" s="427"/>
      <c r="BU100" s="427"/>
      <c r="BV100" s="427"/>
      <c r="BW100" s="427"/>
      <c r="BX100" s="427"/>
      <c r="BY100" s="427"/>
      <c r="BZ100" s="427"/>
      <c r="CA100" s="427"/>
      <c r="CB100" s="427"/>
      <c r="CC100" s="427"/>
      <c r="CD100" s="427"/>
      <c r="CE100" s="427"/>
      <c r="CF100" s="427"/>
      <c r="CG100" s="427"/>
      <c r="CH100" s="427"/>
      <c r="CI100" s="427"/>
      <c r="CJ100" s="427"/>
      <c r="CK100" s="427"/>
      <c r="CL100" s="427"/>
      <c r="CM100" s="427"/>
      <c r="CN100" s="427"/>
      <c r="CO100" s="427"/>
      <c r="CP100" s="427"/>
      <c r="CQ100" s="427"/>
      <c r="CR100" s="427"/>
      <c r="CS100" s="427"/>
      <c r="CT100" s="427"/>
      <c r="CU100" s="427"/>
      <c r="CV100" s="427"/>
      <c r="CW100" s="427"/>
      <c r="CX100" s="427"/>
      <c r="CY100" s="427"/>
      <c r="CZ100" s="427"/>
      <c r="DA100" s="427"/>
      <c r="DB100" s="427"/>
      <c r="DC100" s="427"/>
      <c r="DD100" s="427"/>
      <c r="DE100" s="427"/>
      <c r="DF100" s="427"/>
      <c r="DG100" s="427"/>
      <c r="DH100" s="427"/>
      <c r="DI100" s="427"/>
      <c r="DJ100" s="427"/>
      <c r="DK100" s="427"/>
      <c r="DL100" s="427"/>
      <c r="DM100" s="427"/>
      <c r="DN100" s="427"/>
      <c r="DO100" s="427"/>
      <c r="DP100" s="427"/>
      <c r="DQ100" s="427"/>
      <c r="DR100" s="427"/>
      <c r="DS100" s="427"/>
      <c r="DT100" s="427"/>
      <c r="DU100" s="427"/>
      <c r="DV100" s="427"/>
      <c r="DW100" s="427"/>
      <c r="DX100" s="427"/>
      <c r="DY100" s="427"/>
      <c r="DZ100" s="427"/>
      <c r="EA100" s="427"/>
      <c r="EB100" s="427"/>
      <c r="EC100" s="427"/>
      <c r="ED100" s="427"/>
      <c r="EE100" s="427"/>
      <c r="EF100" s="427"/>
      <c r="EG100" s="427"/>
      <c r="EH100" s="427"/>
      <c r="EI100" s="427"/>
      <c r="EJ100" s="427"/>
      <c r="EK100" s="427"/>
      <c r="EL100" s="427"/>
      <c r="EM100" s="427"/>
      <c r="EN100" s="427"/>
      <c r="EO100" s="427"/>
      <c r="EP100" s="427"/>
      <c r="EQ100" s="427"/>
      <c r="ER100" s="427"/>
      <c r="ES100" s="427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</row>
    <row r="101" spans="1:161" s="61" customFormat="1" ht="140.1" customHeight="1" x14ac:dyDescent="0.8">
      <c r="A101" s="69"/>
      <c r="B101" s="428" t="s">
        <v>158</v>
      </c>
      <c r="C101" s="429"/>
      <c r="D101" s="429"/>
      <c r="E101" s="429"/>
      <c r="F101" s="429"/>
      <c r="G101" s="429"/>
      <c r="H101" s="429"/>
      <c r="I101" s="429"/>
      <c r="J101" s="429"/>
      <c r="K101" s="429"/>
      <c r="L101" s="429"/>
      <c r="M101" s="429"/>
      <c r="N101" s="429"/>
      <c r="O101" s="429"/>
      <c r="P101" s="429"/>
      <c r="Q101" s="429"/>
      <c r="R101" s="429"/>
      <c r="S101" s="429"/>
      <c r="T101" s="429"/>
      <c r="U101" s="429"/>
      <c r="V101" s="429"/>
      <c r="W101" s="429"/>
      <c r="X101" s="429"/>
      <c r="Y101" s="429"/>
      <c r="Z101" s="429"/>
      <c r="AA101" s="429"/>
      <c r="AB101" s="429"/>
      <c r="AC101" s="429"/>
      <c r="AD101" s="429"/>
      <c r="AE101" s="429"/>
      <c r="AF101" s="429"/>
      <c r="AG101" s="429"/>
      <c r="AH101" s="429"/>
      <c r="AI101" s="429"/>
      <c r="AJ101" s="429"/>
      <c r="AK101" s="429"/>
      <c r="AL101" s="429"/>
      <c r="AM101" s="429"/>
      <c r="AN101" s="429"/>
      <c r="AO101" s="429"/>
      <c r="AP101" s="429"/>
      <c r="AQ101" s="429"/>
      <c r="AR101" s="429"/>
      <c r="AS101" s="429"/>
      <c r="AT101" s="429"/>
      <c r="AU101" s="429"/>
      <c r="AV101" s="429"/>
      <c r="AW101" s="429"/>
      <c r="AX101" s="429"/>
      <c r="AY101" s="429"/>
      <c r="AZ101" s="429"/>
      <c r="BA101" s="429"/>
      <c r="BB101" s="429"/>
      <c r="BC101" s="429"/>
      <c r="BD101" s="429"/>
      <c r="BE101" s="429"/>
      <c r="BF101" s="429"/>
      <c r="BG101" s="429"/>
      <c r="BH101" s="429"/>
      <c r="BI101" s="429"/>
      <c r="BJ101" s="429"/>
      <c r="BK101" s="429"/>
      <c r="BL101" s="429"/>
      <c r="BM101" s="429"/>
      <c r="BN101" s="429"/>
      <c r="BO101" s="429"/>
      <c r="BP101" s="429"/>
      <c r="BQ101" s="429"/>
      <c r="BR101" s="429"/>
      <c r="BS101" s="429"/>
      <c r="BT101" s="429"/>
      <c r="BU101" s="429"/>
      <c r="BV101" s="429"/>
      <c r="BW101" s="429"/>
      <c r="BX101" s="429"/>
      <c r="BY101" s="429"/>
      <c r="BZ101" s="429"/>
      <c r="CA101" s="429"/>
      <c r="CB101" s="429"/>
      <c r="CC101" s="429"/>
      <c r="CD101" s="429"/>
      <c r="CE101" s="429"/>
      <c r="CF101" s="429"/>
      <c r="CG101" s="429"/>
      <c r="CH101" s="429"/>
      <c r="CI101" s="429"/>
      <c r="CJ101" s="429"/>
      <c r="CK101" s="429"/>
      <c r="CL101" s="429"/>
      <c r="CM101" s="429"/>
      <c r="CN101" s="429"/>
      <c r="CO101" s="429"/>
      <c r="CP101" s="429"/>
      <c r="CQ101" s="429"/>
      <c r="CR101" s="429"/>
      <c r="CS101" s="429"/>
      <c r="CT101" s="429"/>
      <c r="CU101" s="429"/>
      <c r="CV101" s="429"/>
      <c r="CW101" s="429"/>
      <c r="CX101" s="429"/>
      <c r="CY101" s="429"/>
      <c r="CZ101" s="429"/>
      <c r="DA101" s="429"/>
      <c r="DB101" s="429"/>
      <c r="DC101" s="429"/>
      <c r="DD101" s="429"/>
      <c r="DE101" s="429"/>
      <c r="DF101" s="429"/>
      <c r="DG101" s="429"/>
      <c r="DH101" s="429"/>
      <c r="DI101" s="429"/>
      <c r="DJ101" s="429"/>
      <c r="DK101" s="429"/>
      <c r="DL101" s="429"/>
      <c r="DM101" s="429"/>
      <c r="DN101" s="429"/>
      <c r="DO101" s="429"/>
      <c r="DP101" s="429"/>
      <c r="DQ101" s="429"/>
      <c r="DR101" s="429"/>
      <c r="DS101" s="429"/>
      <c r="DT101" s="429"/>
      <c r="DU101" s="429"/>
      <c r="DV101" s="429"/>
      <c r="DW101" s="429"/>
      <c r="DX101" s="429"/>
      <c r="DY101" s="429"/>
      <c r="DZ101" s="429"/>
      <c r="EA101" s="429"/>
      <c r="EB101" s="429"/>
      <c r="EC101" s="429"/>
      <c r="ED101" s="429"/>
      <c r="EE101" s="429"/>
      <c r="EF101" s="429"/>
      <c r="EG101" s="429"/>
      <c r="EH101" s="429"/>
      <c r="EI101" s="429"/>
      <c r="EJ101" s="429"/>
      <c r="EK101" s="429"/>
      <c r="EL101" s="429"/>
      <c r="EM101" s="429"/>
      <c r="EN101" s="429"/>
      <c r="EO101" s="429"/>
      <c r="EP101" s="429"/>
      <c r="EQ101" s="429"/>
      <c r="ER101" s="429"/>
      <c r="ES101" s="429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</row>
    <row r="102" spans="1:161" s="61" customFormat="1" ht="140.1" customHeight="1" x14ac:dyDescent="0.8">
      <c r="A102" s="69"/>
      <c r="B102" s="429" t="s">
        <v>159</v>
      </c>
      <c r="C102" s="429"/>
      <c r="D102" s="429"/>
      <c r="E102" s="429"/>
      <c r="F102" s="429"/>
      <c r="G102" s="429"/>
      <c r="H102" s="429"/>
      <c r="I102" s="429"/>
      <c r="J102" s="429"/>
      <c r="K102" s="429"/>
      <c r="L102" s="429"/>
      <c r="M102" s="429"/>
      <c r="N102" s="429"/>
      <c r="O102" s="429"/>
      <c r="P102" s="429"/>
      <c r="Q102" s="429"/>
      <c r="R102" s="429"/>
      <c r="S102" s="429"/>
      <c r="T102" s="429"/>
      <c r="U102" s="429"/>
      <c r="V102" s="429"/>
      <c r="W102" s="429"/>
      <c r="X102" s="429"/>
      <c r="Y102" s="429"/>
      <c r="Z102" s="429"/>
      <c r="AA102" s="429"/>
      <c r="AB102" s="429"/>
      <c r="AC102" s="429"/>
      <c r="AD102" s="429"/>
      <c r="AE102" s="429"/>
      <c r="AF102" s="429"/>
      <c r="AG102" s="429"/>
      <c r="AH102" s="429"/>
      <c r="AI102" s="429"/>
      <c r="AJ102" s="429"/>
      <c r="AK102" s="429"/>
      <c r="AL102" s="429"/>
      <c r="AM102" s="429"/>
      <c r="AN102" s="429"/>
      <c r="AO102" s="429"/>
      <c r="AP102" s="429"/>
      <c r="AQ102" s="429"/>
      <c r="AR102" s="429"/>
      <c r="AS102" s="429"/>
      <c r="AT102" s="429"/>
      <c r="AU102" s="429"/>
      <c r="AV102" s="429"/>
      <c r="AW102" s="429"/>
      <c r="AX102" s="429"/>
      <c r="AY102" s="429"/>
      <c r="AZ102" s="429"/>
      <c r="BA102" s="429"/>
      <c r="BB102" s="429"/>
      <c r="BC102" s="429"/>
      <c r="BD102" s="429"/>
      <c r="BE102" s="429"/>
      <c r="BF102" s="429"/>
      <c r="BG102" s="429"/>
      <c r="BH102" s="429"/>
      <c r="BI102" s="429"/>
      <c r="BJ102" s="429"/>
      <c r="BK102" s="429"/>
      <c r="BL102" s="429"/>
      <c r="BM102" s="429"/>
      <c r="BN102" s="429"/>
      <c r="BO102" s="429"/>
      <c r="BP102" s="429"/>
      <c r="BQ102" s="429"/>
      <c r="BR102" s="429"/>
      <c r="BS102" s="429"/>
      <c r="BT102" s="429"/>
      <c r="BU102" s="429"/>
      <c r="BV102" s="429"/>
      <c r="BW102" s="429"/>
      <c r="BX102" s="429"/>
      <c r="BY102" s="429"/>
      <c r="BZ102" s="429"/>
      <c r="CA102" s="429"/>
      <c r="CB102" s="429"/>
      <c r="CC102" s="429"/>
      <c r="CD102" s="429"/>
      <c r="CE102" s="429"/>
      <c r="CF102" s="429"/>
      <c r="CG102" s="429"/>
      <c r="CH102" s="429"/>
      <c r="CI102" s="429"/>
      <c r="CJ102" s="429"/>
      <c r="CK102" s="429"/>
      <c r="CL102" s="429"/>
      <c r="CM102" s="429"/>
      <c r="CN102" s="429"/>
      <c r="CO102" s="429"/>
      <c r="CP102" s="429"/>
      <c r="CQ102" s="429"/>
      <c r="CR102" s="429"/>
      <c r="CS102" s="429"/>
      <c r="CT102" s="429"/>
      <c r="CU102" s="429"/>
      <c r="CV102" s="429"/>
      <c r="CW102" s="429"/>
      <c r="CX102" s="429"/>
      <c r="CY102" s="429"/>
      <c r="CZ102" s="429"/>
      <c r="DA102" s="429"/>
      <c r="DB102" s="429"/>
      <c r="DC102" s="429"/>
      <c r="DD102" s="429"/>
      <c r="DE102" s="429"/>
      <c r="DF102" s="429"/>
      <c r="DG102" s="429"/>
      <c r="DH102" s="429"/>
      <c r="DI102" s="429"/>
      <c r="DJ102" s="429"/>
      <c r="DK102" s="429"/>
      <c r="DL102" s="429"/>
      <c r="DM102" s="429"/>
      <c r="DN102" s="429"/>
      <c r="DO102" s="429"/>
      <c r="DP102" s="429"/>
      <c r="DQ102" s="429"/>
      <c r="DR102" s="429"/>
      <c r="DS102" s="429"/>
      <c r="DT102" s="429"/>
      <c r="DU102" s="429"/>
      <c r="DV102" s="429"/>
      <c r="DW102" s="429"/>
      <c r="DX102" s="429"/>
      <c r="DY102" s="429"/>
      <c r="DZ102" s="429"/>
      <c r="EA102" s="429"/>
      <c r="EB102" s="429"/>
      <c r="EC102" s="429"/>
      <c r="ED102" s="429"/>
      <c r="EE102" s="429"/>
      <c r="EF102" s="429"/>
      <c r="EG102" s="429"/>
      <c r="EH102" s="429"/>
      <c r="EI102" s="429"/>
      <c r="EJ102" s="429"/>
      <c r="EK102" s="429"/>
      <c r="EL102" s="429"/>
      <c r="EM102" s="429"/>
      <c r="EN102" s="429"/>
      <c r="EO102" s="429"/>
      <c r="EP102" s="429"/>
      <c r="EQ102" s="429"/>
      <c r="ER102" s="429"/>
      <c r="ES102" s="429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</row>
    <row r="103" spans="1:161" s="61" customFormat="1" ht="140.1" customHeight="1" x14ac:dyDescent="0.8">
      <c r="A103" s="69"/>
      <c r="B103" s="448" t="s">
        <v>160</v>
      </c>
      <c r="C103" s="448"/>
      <c r="D103" s="448"/>
      <c r="E103" s="448"/>
      <c r="F103" s="448"/>
      <c r="G103" s="448"/>
      <c r="H103" s="448"/>
      <c r="I103" s="448"/>
      <c r="J103" s="448"/>
      <c r="K103" s="448"/>
      <c r="L103" s="448"/>
      <c r="M103" s="448"/>
      <c r="N103" s="448"/>
      <c r="O103" s="448"/>
      <c r="P103" s="448"/>
      <c r="Q103" s="448"/>
      <c r="R103" s="448"/>
      <c r="S103" s="448"/>
      <c r="T103" s="448"/>
      <c r="U103" s="448"/>
      <c r="V103" s="448"/>
      <c r="W103" s="448"/>
      <c r="X103" s="448"/>
      <c r="Y103" s="448"/>
      <c r="Z103" s="448"/>
      <c r="AA103" s="448"/>
      <c r="AB103" s="448"/>
      <c r="AC103" s="448"/>
      <c r="AD103" s="448"/>
      <c r="AE103" s="448"/>
      <c r="AF103" s="448"/>
      <c r="AG103" s="448"/>
      <c r="AH103" s="448"/>
      <c r="AI103" s="448"/>
      <c r="AJ103" s="448"/>
      <c r="AK103" s="448"/>
      <c r="AL103" s="448"/>
      <c r="AM103" s="448"/>
      <c r="AN103" s="448"/>
      <c r="AO103" s="448"/>
      <c r="AP103" s="448"/>
      <c r="AQ103" s="448"/>
      <c r="AR103" s="448"/>
      <c r="AS103" s="448"/>
      <c r="AT103" s="448"/>
      <c r="AU103" s="448"/>
      <c r="AV103" s="448"/>
      <c r="AW103" s="448"/>
      <c r="AX103" s="448"/>
      <c r="AY103" s="448"/>
      <c r="AZ103" s="448"/>
      <c r="BA103" s="448"/>
      <c r="BB103" s="448"/>
      <c r="BC103" s="448"/>
      <c r="BD103" s="448"/>
      <c r="BE103" s="448"/>
      <c r="BF103" s="448"/>
      <c r="BG103" s="448"/>
      <c r="BH103" s="448"/>
      <c r="BI103" s="448"/>
      <c r="BJ103" s="448"/>
      <c r="BK103" s="448"/>
      <c r="BL103" s="448"/>
      <c r="BM103" s="448"/>
      <c r="BN103" s="448"/>
      <c r="BO103" s="448"/>
      <c r="BP103" s="448"/>
      <c r="BQ103" s="448"/>
      <c r="BR103" s="448"/>
      <c r="BS103" s="448"/>
      <c r="BT103" s="448"/>
      <c r="BU103" s="448"/>
      <c r="BV103" s="448"/>
      <c r="BW103" s="448"/>
      <c r="BX103" s="448"/>
      <c r="BY103" s="448"/>
      <c r="BZ103" s="448"/>
      <c r="CA103" s="448"/>
      <c r="CB103" s="448"/>
      <c r="CC103" s="448"/>
      <c r="CD103" s="448"/>
      <c r="CE103" s="448"/>
      <c r="CF103" s="448"/>
      <c r="CG103" s="448"/>
      <c r="CH103" s="448"/>
      <c r="CI103" s="448"/>
      <c r="CJ103" s="448"/>
      <c r="CK103" s="448"/>
      <c r="CL103" s="448"/>
      <c r="CM103" s="448"/>
      <c r="CN103" s="448"/>
      <c r="CO103" s="448"/>
      <c r="CP103" s="448"/>
      <c r="CQ103" s="448"/>
      <c r="CR103" s="448"/>
      <c r="CS103" s="448"/>
      <c r="CT103" s="448"/>
      <c r="CU103" s="448"/>
      <c r="CV103" s="448"/>
      <c r="CW103" s="448"/>
      <c r="CX103" s="448"/>
      <c r="CY103" s="448"/>
      <c r="CZ103" s="448"/>
      <c r="DA103" s="448"/>
      <c r="DB103" s="448"/>
      <c r="DC103" s="448"/>
      <c r="DD103" s="448"/>
      <c r="DE103" s="448"/>
      <c r="DF103" s="448"/>
      <c r="DG103" s="448"/>
      <c r="DH103" s="448"/>
      <c r="DI103" s="448"/>
      <c r="DJ103" s="448"/>
      <c r="DK103" s="448"/>
      <c r="DL103" s="448"/>
      <c r="DM103" s="448"/>
      <c r="DN103" s="448"/>
      <c r="DO103" s="448"/>
      <c r="DP103" s="448"/>
      <c r="DQ103" s="448"/>
      <c r="DR103" s="448"/>
      <c r="DS103" s="448"/>
      <c r="DT103" s="448"/>
      <c r="DU103" s="448"/>
      <c r="DV103" s="448"/>
      <c r="DW103" s="448"/>
      <c r="DX103" s="448"/>
      <c r="DY103" s="448"/>
      <c r="DZ103" s="448"/>
      <c r="EA103" s="448"/>
      <c r="EB103" s="448"/>
      <c r="EC103" s="448"/>
      <c r="ED103" s="448"/>
      <c r="EE103" s="448"/>
      <c r="EF103" s="448"/>
      <c r="EG103" s="448"/>
      <c r="EH103" s="448"/>
      <c r="EI103" s="448"/>
      <c r="EJ103" s="448"/>
      <c r="EK103" s="448"/>
      <c r="EL103" s="448"/>
      <c r="EM103" s="448"/>
      <c r="EN103" s="448"/>
      <c r="EO103" s="448"/>
      <c r="EP103" s="448"/>
      <c r="EQ103" s="448"/>
      <c r="ER103" s="448"/>
      <c r="ES103" s="448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</row>
    <row r="104" spans="1:161" s="61" customFormat="1" ht="140.1" customHeight="1" x14ac:dyDescent="0.8">
      <c r="A104" s="69"/>
      <c r="B104" s="448" t="s">
        <v>199</v>
      </c>
      <c r="C104" s="448"/>
      <c r="D104" s="448"/>
      <c r="E104" s="448"/>
      <c r="F104" s="448"/>
      <c r="G104" s="448"/>
      <c r="H104" s="448"/>
      <c r="I104" s="448"/>
      <c r="J104" s="448"/>
      <c r="K104" s="448"/>
      <c r="L104" s="448"/>
      <c r="M104" s="448"/>
      <c r="N104" s="448"/>
      <c r="O104" s="448"/>
      <c r="P104" s="448"/>
      <c r="Q104" s="448"/>
      <c r="R104" s="448"/>
      <c r="S104" s="448"/>
      <c r="T104" s="448"/>
      <c r="U104" s="448"/>
      <c r="V104" s="448"/>
      <c r="W104" s="448"/>
      <c r="X104" s="448"/>
      <c r="Y104" s="448"/>
      <c r="Z104" s="448"/>
      <c r="AA104" s="448"/>
      <c r="AB104" s="448"/>
      <c r="AC104" s="448"/>
      <c r="AD104" s="448"/>
      <c r="AE104" s="448"/>
      <c r="AF104" s="448"/>
      <c r="AG104" s="448"/>
      <c r="AH104" s="448"/>
      <c r="AI104" s="448"/>
      <c r="AJ104" s="448"/>
      <c r="AK104" s="448"/>
      <c r="AL104" s="448"/>
      <c r="AM104" s="448"/>
      <c r="AN104" s="448"/>
      <c r="AO104" s="448"/>
      <c r="AP104" s="448"/>
      <c r="AQ104" s="448"/>
      <c r="AR104" s="448"/>
      <c r="AS104" s="448"/>
      <c r="AT104" s="448"/>
      <c r="AU104" s="448"/>
      <c r="AV104" s="448"/>
      <c r="AW104" s="448"/>
      <c r="AX104" s="448"/>
      <c r="AY104" s="448"/>
      <c r="AZ104" s="448"/>
      <c r="BA104" s="448"/>
      <c r="BB104" s="448"/>
      <c r="BC104" s="448"/>
      <c r="BD104" s="448"/>
      <c r="BE104" s="448"/>
      <c r="BF104" s="448"/>
      <c r="BG104" s="448"/>
      <c r="BH104" s="448"/>
      <c r="BI104" s="448"/>
      <c r="BJ104" s="448"/>
      <c r="BK104" s="448"/>
      <c r="BL104" s="448"/>
      <c r="BM104" s="448"/>
      <c r="BN104" s="448"/>
      <c r="BO104" s="448"/>
      <c r="BP104" s="448"/>
      <c r="BQ104" s="448"/>
      <c r="BR104" s="448"/>
      <c r="BS104" s="448"/>
      <c r="BT104" s="448"/>
      <c r="BU104" s="448"/>
      <c r="BV104" s="448"/>
      <c r="BW104" s="448"/>
      <c r="BX104" s="448"/>
      <c r="BY104" s="448"/>
      <c r="BZ104" s="448"/>
      <c r="CA104" s="448"/>
      <c r="CB104" s="448"/>
      <c r="CC104" s="448"/>
      <c r="CD104" s="448"/>
      <c r="CE104" s="448"/>
      <c r="CF104" s="448"/>
      <c r="CG104" s="448"/>
      <c r="CH104" s="448"/>
      <c r="CI104" s="448"/>
      <c r="CJ104" s="448"/>
      <c r="CK104" s="448"/>
      <c r="CL104" s="448"/>
      <c r="CM104" s="448"/>
      <c r="CN104" s="448"/>
      <c r="CO104" s="448"/>
      <c r="CP104" s="448"/>
      <c r="CQ104" s="448"/>
      <c r="CR104" s="448"/>
      <c r="CS104" s="448"/>
      <c r="CT104" s="448"/>
      <c r="CU104" s="448"/>
      <c r="CV104" s="448"/>
      <c r="CW104" s="448"/>
      <c r="CX104" s="448"/>
      <c r="CY104" s="448"/>
      <c r="CZ104" s="448"/>
      <c r="DA104" s="448"/>
      <c r="DB104" s="448"/>
      <c r="DC104" s="448"/>
      <c r="DD104" s="448"/>
      <c r="DE104" s="448"/>
      <c r="DF104" s="448"/>
      <c r="DG104" s="448"/>
      <c r="DH104" s="448"/>
      <c r="DI104" s="448"/>
      <c r="DJ104" s="448"/>
      <c r="DK104" s="448"/>
      <c r="DL104" s="448"/>
      <c r="DM104" s="448"/>
      <c r="DN104" s="448"/>
      <c r="DO104" s="448"/>
      <c r="DP104" s="448"/>
      <c r="DQ104" s="448"/>
      <c r="DR104" s="448"/>
      <c r="DS104" s="448"/>
      <c r="DT104" s="448"/>
      <c r="DU104" s="448"/>
      <c r="DV104" s="448"/>
      <c r="DW104" s="448"/>
      <c r="DX104" s="448"/>
      <c r="DY104" s="448"/>
      <c r="DZ104" s="448"/>
      <c r="EA104" s="448"/>
      <c r="EB104" s="448"/>
      <c r="EC104" s="448"/>
      <c r="ED104" s="448"/>
      <c r="EE104" s="448"/>
      <c r="EF104" s="448"/>
      <c r="EG104" s="448"/>
      <c r="EH104" s="448"/>
      <c r="EI104" s="448"/>
      <c r="EJ104" s="448"/>
      <c r="EK104" s="448"/>
      <c r="EL104" s="448"/>
      <c r="EM104" s="448"/>
      <c r="EN104" s="448"/>
      <c r="EO104" s="448"/>
      <c r="EP104" s="448"/>
      <c r="EQ104" s="448"/>
      <c r="ER104" s="448"/>
      <c r="ES104" s="448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</row>
    <row r="105" spans="1:161" s="20" customFormat="1" ht="27" customHeight="1" x14ac:dyDescent="0.8">
      <c r="A105" s="70"/>
      <c r="B105" s="70"/>
      <c r="C105" s="71"/>
      <c r="D105" s="71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98"/>
      <c r="AR105" s="98"/>
      <c r="AS105" s="98"/>
      <c r="AT105" s="98"/>
      <c r="AU105" s="98"/>
      <c r="AV105" s="98"/>
      <c r="AW105" s="98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108"/>
      <c r="BP105" s="108"/>
      <c r="BQ105" s="108"/>
      <c r="BR105" s="108"/>
      <c r="BS105" s="108"/>
      <c r="BT105" s="108"/>
      <c r="BU105" s="108"/>
      <c r="BV105" s="108"/>
      <c r="BW105" s="98"/>
      <c r="BX105" s="98"/>
      <c r="BY105" s="98"/>
      <c r="BZ105" s="98"/>
      <c r="CA105" s="98"/>
      <c r="CB105" s="98"/>
      <c r="CC105" s="98"/>
      <c r="CD105" s="98"/>
      <c r="CE105" s="98"/>
      <c r="CF105" s="98"/>
      <c r="CG105" s="98"/>
      <c r="CH105" s="98"/>
      <c r="CI105" s="98"/>
      <c r="CJ105" s="98"/>
      <c r="CK105" s="98"/>
      <c r="CL105" s="98"/>
      <c r="CM105" s="98"/>
      <c r="CN105" s="98"/>
      <c r="CO105" s="98"/>
      <c r="CP105" s="98"/>
      <c r="CQ105" s="98"/>
      <c r="CR105" s="98"/>
      <c r="CS105" s="98"/>
      <c r="CT105" s="98"/>
      <c r="CU105" s="98"/>
      <c r="CV105" s="98"/>
      <c r="CW105" s="98"/>
      <c r="CX105" s="98"/>
      <c r="CY105" s="98"/>
      <c r="CZ105" s="98"/>
      <c r="DA105" s="98"/>
      <c r="DB105" s="98"/>
      <c r="DC105" s="98"/>
      <c r="DD105" s="98"/>
      <c r="DE105" s="98"/>
      <c r="DF105" s="98"/>
      <c r="DG105" s="98"/>
      <c r="DH105" s="98"/>
      <c r="DI105" s="98"/>
      <c r="DJ105" s="98"/>
      <c r="DK105" s="98"/>
      <c r="DL105" s="98"/>
      <c r="DM105" s="98"/>
      <c r="DN105" s="98"/>
      <c r="DO105" s="98"/>
      <c r="DP105" s="98"/>
      <c r="DQ105" s="98"/>
      <c r="DR105" s="73"/>
      <c r="DS105" s="74"/>
      <c r="DT105" s="74"/>
      <c r="DU105" s="74"/>
      <c r="DV105" s="74"/>
      <c r="DW105" s="74"/>
      <c r="DX105" s="74"/>
      <c r="DY105" s="74"/>
      <c r="DZ105" s="74"/>
      <c r="EA105" s="74"/>
      <c r="EB105" s="74"/>
      <c r="EC105" s="74"/>
      <c r="ED105" s="74"/>
      <c r="EE105" s="74"/>
      <c r="EF105" s="74"/>
      <c r="EG105" s="74"/>
      <c r="EH105" s="75"/>
      <c r="EI105" s="74"/>
      <c r="EJ105" s="74"/>
      <c r="EK105" s="74"/>
      <c r="EL105" s="74"/>
      <c r="EM105" s="74"/>
      <c r="EN105" s="74"/>
      <c r="EO105" s="74"/>
      <c r="EP105" s="75"/>
      <c r="EQ105" s="74"/>
      <c r="ER105" s="74"/>
      <c r="ES105" s="74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</row>
    <row r="106" spans="1:161" s="20" customFormat="1" ht="32.25" customHeight="1" x14ac:dyDescent="0.8">
      <c r="A106" s="70"/>
      <c r="B106" s="70"/>
      <c r="C106" s="71"/>
      <c r="D106" s="71"/>
      <c r="E106" s="441"/>
      <c r="F106" s="441"/>
      <c r="G106" s="441"/>
      <c r="H106" s="441"/>
      <c r="I106" s="441"/>
      <c r="J106" s="441"/>
      <c r="K106" s="441"/>
      <c r="L106" s="441"/>
      <c r="M106" s="441"/>
      <c r="N106" s="441"/>
      <c r="O106" s="441"/>
      <c r="P106" s="441"/>
      <c r="Q106" s="441"/>
      <c r="R106" s="441"/>
      <c r="S106" s="441"/>
      <c r="T106" s="441"/>
      <c r="U106" s="441"/>
      <c r="V106" s="441"/>
      <c r="W106" s="441"/>
      <c r="X106" s="441"/>
      <c r="Y106" s="441"/>
      <c r="Z106" s="441"/>
      <c r="AA106" s="441"/>
      <c r="AB106" s="441"/>
      <c r="AC106" s="441"/>
      <c r="AD106" s="441"/>
      <c r="AE106" s="441"/>
      <c r="AF106" s="441"/>
      <c r="AG106" s="441"/>
      <c r="AH106" s="441"/>
      <c r="AI106" s="441"/>
      <c r="AJ106" s="441"/>
      <c r="AK106" s="441"/>
      <c r="AL106" s="441"/>
      <c r="AM106" s="441"/>
      <c r="AN106" s="441"/>
      <c r="AO106" s="441"/>
      <c r="AP106" s="441"/>
      <c r="AQ106" s="441"/>
      <c r="AR106" s="441"/>
      <c r="AS106" s="441"/>
      <c r="AT106" s="441"/>
      <c r="AU106" s="441"/>
      <c r="AV106" s="441"/>
      <c r="AW106" s="441"/>
      <c r="AX106" s="441"/>
      <c r="AY106" s="441"/>
      <c r="AZ106" s="441"/>
      <c r="BA106" s="441"/>
      <c r="BB106" s="441"/>
      <c r="BC106" s="441"/>
      <c r="BD106" s="441"/>
      <c r="BE106" s="441"/>
      <c r="BF106" s="441"/>
      <c r="BG106" s="441"/>
      <c r="BH106" s="441"/>
      <c r="BI106" s="441"/>
      <c r="BJ106" s="441"/>
      <c r="BK106" s="441"/>
      <c r="BL106" s="441"/>
      <c r="BM106" s="441"/>
      <c r="BN106" s="441"/>
      <c r="BO106" s="441"/>
      <c r="BP106" s="441"/>
      <c r="BQ106" s="441"/>
      <c r="BR106" s="441"/>
      <c r="BS106" s="441"/>
      <c r="BT106" s="441"/>
      <c r="BU106" s="441"/>
      <c r="BV106" s="441"/>
      <c r="BW106" s="441"/>
      <c r="BX106" s="441"/>
      <c r="BY106" s="441"/>
      <c r="BZ106" s="441"/>
      <c r="CA106" s="441"/>
      <c r="CB106" s="441"/>
      <c r="CC106" s="441"/>
      <c r="CD106" s="441"/>
      <c r="CE106" s="441"/>
      <c r="CF106" s="441"/>
      <c r="CG106" s="441"/>
      <c r="CH106" s="441"/>
      <c r="CI106" s="441"/>
      <c r="CJ106" s="441"/>
      <c r="CK106" s="441"/>
      <c r="CL106" s="441"/>
      <c r="CM106" s="441"/>
      <c r="CN106" s="441"/>
      <c r="CO106" s="441"/>
      <c r="CP106" s="441"/>
      <c r="CQ106" s="441"/>
      <c r="CR106" s="441"/>
      <c r="CS106" s="441"/>
      <c r="CT106" s="441"/>
      <c r="CU106" s="441"/>
      <c r="CV106" s="441"/>
      <c r="CW106" s="441"/>
      <c r="CX106" s="441"/>
      <c r="CY106" s="441"/>
      <c r="CZ106" s="441"/>
      <c r="DA106" s="441"/>
      <c r="DB106" s="441"/>
      <c r="DC106" s="441"/>
      <c r="DD106" s="441"/>
      <c r="DE106" s="441"/>
      <c r="DF106" s="441"/>
      <c r="DG106" s="441"/>
      <c r="DH106" s="441"/>
      <c r="DI106" s="441"/>
      <c r="DJ106" s="441"/>
      <c r="DK106" s="441"/>
      <c r="DL106" s="441"/>
      <c r="DM106" s="441"/>
      <c r="DN106" s="441"/>
      <c r="DO106" s="441"/>
      <c r="DP106" s="441"/>
      <c r="DQ106" s="98"/>
      <c r="DR106" s="73"/>
      <c r="DS106" s="74"/>
      <c r="DT106" s="74"/>
      <c r="DU106" s="74"/>
      <c r="DV106" s="74"/>
      <c r="DW106" s="74"/>
      <c r="DX106" s="74"/>
      <c r="DY106" s="74"/>
      <c r="DZ106" s="74"/>
      <c r="EA106" s="74"/>
      <c r="EB106" s="74"/>
      <c r="EC106" s="74"/>
      <c r="ED106" s="74"/>
      <c r="EE106" s="74"/>
      <c r="EF106" s="74"/>
      <c r="EG106" s="74"/>
      <c r="EH106" s="75"/>
      <c r="EI106" s="74"/>
      <c r="EJ106" s="74"/>
      <c r="EK106" s="74"/>
      <c r="EL106" s="74"/>
      <c r="EM106" s="74"/>
      <c r="EN106" s="74"/>
      <c r="EO106" s="74"/>
      <c r="EP106" s="75"/>
      <c r="EQ106" s="74"/>
      <c r="ER106" s="74"/>
      <c r="ES106" s="74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</row>
    <row r="107" spans="1:161" s="166" customFormat="1" ht="120" customHeight="1" x14ac:dyDescent="0.2">
      <c r="A107" s="163"/>
      <c r="B107" s="163"/>
      <c r="C107" s="370" t="s">
        <v>90</v>
      </c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  <c r="AA107" s="370"/>
      <c r="AB107" s="370"/>
      <c r="AC107" s="370"/>
      <c r="AD107" s="370"/>
      <c r="AE107" s="424" t="s">
        <v>91</v>
      </c>
      <c r="AF107" s="425"/>
      <c r="AG107" s="425"/>
      <c r="AH107" s="425"/>
      <c r="AI107" s="425"/>
      <c r="AJ107" s="425"/>
      <c r="AK107" s="425"/>
      <c r="AL107" s="426"/>
      <c r="AM107" s="424" t="s">
        <v>92</v>
      </c>
      <c r="AN107" s="425"/>
      <c r="AO107" s="425"/>
      <c r="AP107" s="425"/>
      <c r="AQ107" s="425"/>
      <c r="AR107" s="425"/>
      <c r="AS107" s="425"/>
      <c r="AT107" s="426"/>
      <c r="AU107" s="434" t="s">
        <v>93</v>
      </c>
      <c r="AV107" s="435"/>
      <c r="AW107" s="435"/>
      <c r="AX107" s="435"/>
      <c r="AY107" s="435"/>
      <c r="AZ107" s="435"/>
      <c r="BA107" s="435"/>
      <c r="BB107" s="435"/>
      <c r="BC107" s="435"/>
      <c r="BD107" s="435"/>
      <c r="BE107" s="435"/>
      <c r="BF107" s="435"/>
      <c r="BG107" s="435"/>
      <c r="BH107" s="435"/>
      <c r="BI107" s="435"/>
      <c r="BJ107" s="435"/>
      <c r="BK107" s="435"/>
      <c r="BL107" s="435"/>
      <c r="BM107" s="435"/>
      <c r="BN107" s="435"/>
      <c r="BO107" s="435"/>
      <c r="BP107" s="435"/>
      <c r="BQ107" s="435"/>
      <c r="BR107" s="435"/>
      <c r="BS107" s="435"/>
      <c r="BT107" s="435"/>
      <c r="BU107" s="435"/>
      <c r="BV107" s="435"/>
      <c r="BW107" s="435"/>
      <c r="BX107" s="435"/>
      <c r="BY107" s="435"/>
      <c r="BZ107" s="435"/>
      <c r="CA107" s="435"/>
      <c r="CB107" s="435"/>
      <c r="CC107" s="435"/>
      <c r="CD107" s="435"/>
      <c r="CE107" s="435"/>
      <c r="CF107" s="435"/>
      <c r="CG107" s="435"/>
      <c r="CH107" s="436"/>
      <c r="CI107" s="164"/>
      <c r="CJ107" s="164"/>
      <c r="CK107" s="164"/>
      <c r="CL107" s="164"/>
      <c r="CM107" s="164"/>
      <c r="CN107" s="164"/>
      <c r="CO107" s="167"/>
      <c r="CP107" s="167"/>
      <c r="CQ107" s="167"/>
      <c r="CR107" s="123"/>
      <c r="CS107" s="123"/>
      <c r="CT107" s="123"/>
      <c r="CU107" s="123"/>
      <c r="CV107" s="123"/>
      <c r="CW107" s="123"/>
      <c r="CX107" s="123"/>
      <c r="CY107" s="123"/>
      <c r="CZ107" s="123"/>
      <c r="DA107" s="123"/>
      <c r="DB107" s="123"/>
      <c r="DC107" s="123"/>
      <c r="DD107" s="123"/>
      <c r="DE107" s="123"/>
      <c r="DF107" s="123"/>
      <c r="DG107" s="123"/>
      <c r="DH107" s="123"/>
      <c r="DI107" s="123"/>
      <c r="DJ107" s="123"/>
      <c r="DK107" s="123"/>
      <c r="DL107" s="123"/>
      <c r="DM107" s="123"/>
      <c r="DN107" s="123"/>
      <c r="DO107" s="123"/>
      <c r="DP107" s="123"/>
      <c r="DQ107" s="123"/>
      <c r="DR107" s="123"/>
      <c r="DS107" s="123"/>
      <c r="DT107" s="123"/>
      <c r="DU107" s="123"/>
      <c r="DV107" s="123"/>
      <c r="DW107" s="123"/>
      <c r="DX107" s="123"/>
      <c r="DY107" s="123"/>
      <c r="DZ107" s="123"/>
      <c r="EA107" s="123"/>
      <c r="EB107" s="123"/>
      <c r="EC107" s="123"/>
      <c r="ED107" s="123"/>
      <c r="EE107" s="123"/>
      <c r="EF107" s="123"/>
      <c r="EG107" s="123"/>
      <c r="EH107" s="123"/>
      <c r="EI107" s="167"/>
      <c r="EJ107" s="167"/>
      <c r="EK107" s="164"/>
      <c r="EL107" s="164"/>
      <c r="EM107" s="164"/>
      <c r="EN107" s="164"/>
      <c r="EO107" s="164"/>
      <c r="EP107" s="164"/>
      <c r="EQ107" s="164"/>
      <c r="ER107" s="164"/>
      <c r="ES107" s="164"/>
      <c r="ET107" s="165"/>
      <c r="EU107" s="165"/>
      <c r="EV107" s="165"/>
      <c r="EW107" s="165"/>
      <c r="EX107" s="165"/>
      <c r="EY107" s="165"/>
      <c r="EZ107" s="165"/>
      <c r="FA107" s="165"/>
      <c r="FB107" s="165"/>
      <c r="FC107" s="165"/>
      <c r="FD107" s="165"/>
      <c r="FE107" s="165"/>
    </row>
    <row r="108" spans="1:161" s="166" customFormat="1" ht="120" customHeight="1" x14ac:dyDescent="0.2">
      <c r="A108" s="163"/>
      <c r="B108" s="163"/>
      <c r="C108" s="820" t="s">
        <v>21</v>
      </c>
      <c r="D108" s="820"/>
      <c r="E108" s="820"/>
      <c r="F108" s="820"/>
      <c r="G108" s="820"/>
      <c r="H108" s="820"/>
      <c r="I108" s="820"/>
      <c r="J108" s="820"/>
      <c r="K108" s="820"/>
      <c r="L108" s="820"/>
      <c r="M108" s="820"/>
      <c r="N108" s="820"/>
      <c r="O108" s="820"/>
      <c r="P108" s="820"/>
      <c r="Q108" s="820"/>
      <c r="R108" s="820"/>
      <c r="S108" s="820"/>
      <c r="T108" s="820"/>
      <c r="U108" s="820"/>
      <c r="V108" s="820"/>
      <c r="W108" s="820"/>
      <c r="X108" s="820"/>
      <c r="Y108" s="820"/>
      <c r="Z108" s="820"/>
      <c r="AA108" s="820"/>
      <c r="AB108" s="820"/>
      <c r="AC108" s="820"/>
      <c r="AD108" s="820"/>
      <c r="AE108" s="442">
        <f>HA23</f>
        <v>30</v>
      </c>
      <c r="AF108" s="443"/>
      <c r="AG108" s="443"/>
      <c r="AH108" s="443"/>
      <c r="AI108" s="443"/>
      <c r="AJ108" s="443"/>
      <c r="AK108" s="443"/>
      <c r="AL108" s="444"/>
      <c r="AM108" s="445" t="s">
        <v>335</v>
      </c>
      <c r="AN108" s="446"/>
      <c r="AO108" s="446"/>
      <c r="AP108" s="446"/>
      <c r="AQ108" s="446"/>
      <c r="AR108" s="446"/>
      <c r="AS108" s="446"/>
      <c r="AT108" s="447"/>
      <c r="AU108" s="901" t="s">
        <v>103</v>
      </c>
      <c r="AV108" s="902"/>
      <c r="AW108" s="902"/>
      <c r="AX108" s="902"/>
      <c r="AY108" s="902"/>
      <c r="AZ108" s="902"/>
      <c r="BA108" s="902"/>
      <c r="BB108" s="902"/>
      <c r="BC108" s="902"/>
      <c r="BD108" s="902"/>
      <c r="BE108" s="902"/>
      <c r="BF108" s="902"/>
      <c r="BG108" s="902"/>
      <c r="BH108" s="902"/>
      <c r="BI108" s="902"/>
      <c r="BJ108" s="902"/>
      <c r="BK108" s="902"/>
      <c r="BL108" s="902"/>
      <c r="BM108" s="902"/>
      <c r="BN108" s="902"/>
      <c r="BO108" s="902"/>
      <c r="BP108" s="902"/>
      <c r="BQ108" s="902"/>
      <c r="BR108" s="902"/>
      <c r="BS108" s="902"/>
      <c r="BT108" s="902"/>
      <c r="BU108" s="902"/>
      <c r="BV108" s="902"/>
      <c r="BW108" s="902"/>
      <c r="BX108" s="902"/>
      <c r="BY108" s="902"/>
      <c r="BZ108" s="902"/>
      <c r="CA108" s="902"/>
      <c r="CB108" s="902"/>
      <c r="CC108" s="902"/>
      <c r="CD108" s="902"/>
      <c r="CE108" s="902"/>
      <c r="CF108" s="902"/>
      <c r="CG108" s="902"/>
      <c r="CH108" s="903"/>
      <c r="CI108" s="164"/>
      <c r="CJ108" s="164"/>
      <c r="CK108" s="164"/>
      <c r="CL108" s="164"/>
      <c r="CM108" s="164"/>
      <c r="CN108" s="164"/>
      <c r="CO108" s="164"/>
      <c r="CP108" s="891" t="s">
        <v>329</v>
      </c>
      <c r="CQ108" s="891"/>
      <c r="CR108" s="891"/>
      <c r="CS108" s="891"/>
      <c r="CT108" s="891"/>
      <c r="CU108" s="891"/>
      <c r="CV108" s="891"/>
      <c r="CW108" s="891"/>
      <c r="CX108" s="891"/>
      <c r="CY108" s="891"/>
      <c r="CZ108" s="891"/>
      <c r="DA108" s="891"/>
      <c r="DB108" s="891"/>
      <c r="DC108" s="891"/>
      <c r="DD108" s="891"/>
      <c r="DE108" s="891"/>
      <c r="DF108" s="891"/>
      <c r="DG108" s="891"/>
      <c r="DH108" s="891"/>
      <c r="DI108" s="891"/>
      <c r="DJ108" s="891"/>
      <c r="DK108" s="891"/>
      <c r="DL108" s="891"/>
      <c r="DM108" s="891"/>
      <c r="DN108" s="891"/>
      <c r="DO108" s="891"/>
      <c r="DP108" s="891"/>
      <c r="DQ108" s="891"/>
      <c r="DR108" s="891"/>
      <c r="DS108" s="891"/>
      <c r="DT108" s="891"/>
      <c r="DU108" s="891"/>
      <c r="DV108" s="891"/>
      <c r="DW108" s="891"/>
      <c r="DX108" s="891"/>
      <c r="DY108" s="891"/>
      <c r="DZ108" s="891"/>
      <c r="EA108" s="891"/>
      <c r="EB108" s="891"/>
      <c r="EC108" s="891"/>
      <c r="ED108" s="891"/>
      <c r="EE108" s="891"/>
      <c r="EF108" s="891"/>
      <c r="EG108" s="891"/>
      <c r="EH108" s="891"/>
      <c r="EI108" s="891"/>
      <c r="EJ108" s="164"/>
      <c r="EK108" s="164"/>
      <c r="EL108" s="164"/>
      <c r="EM108" s="164"/>
      <c r="EN108" s="164"/>
      <c r="EO108" s="164"/>
      <c r="EP108" s="164"/>
      <c r="EQ108" s="164"/>
      <c r="ER108" s="164"/>
      <c r="ES108" s="164"/>
      <c r="ET108" s="165"/>
      <c r="EU108" s="165"/>
      <c r="EV108" s="165"/>
      <c r="EW108" s="165"/>
      <c r="EX108" s="165"/>
      <c r="EY108" s="165"/>
      <c r="EZ108" s="165"/>
      <c r="FA108" s="165"/>
      <c r="FB108" s="165"/>
      <c r="FC108" s="165"/>
      <c r="FD108" s="165"/>
      <c r="FE108" s="165"/>
    </row>
    <row r="109" spans="1:161" s="166" customFormat="1" ht="120" customHeight="1" x14ac:dyDescent="0.2">
      <c r="A109" s="163"/>
      <c r="B109" s="163"/>
      <c r="C109" s="401" t="s">
        <v>254</v>
      </c>
      <c r="D109" s="401"/>
      <c r="E109" s="401"/>
      <c r="F109" s="401"/>
      <c r="G109" s="401"/>
      <c r="H109" s="401"/>
      <c r="I109" s="401"/>
      <c r="J109" s="401"/>
      <c r="K109" s="401"/>
      <c r="L109" s="401"/>
      <c r="M109" s="401"/>
      <c r="N109" s="401"/>
      <c r="O109" s="401"/>
      <c r="P109" s="401"/>
      <c r="Q109" s="401"/>
      <c r="R109" s="401"/>
      <c r="S109" s="401"/>
      <c r="T109" s="401"/>
      <c r="U109" s="401"/>
      <c r="V109" s="401"/>
      <c r="W109" s="401"/>
      <c r="X109" s="401"/>
      <c r="Y109" s="401"/>
      <c r="Z109" s="401"/>
      <c r="AA109" s="401"/>
      <c r="AB109" s="401"/>
      <c r="AC109" s="401"/>
      <c r="AD109" s="401"/>
      <c r="AE109" s="442">
        <f>HG23</f>
        <v>16</v>
      </c>
      <c r="AF109" s="443"/>
      <c r="AG109" s="443"/>
      <c r="AH109" s="443"/>
      <c r="AI109" s="443"/>
      <c r="AJ109" s="443"/>
      <c r="AK109" s="443"/>
      <c r="AL109" s="444"/>
      <c r="AM109" s="445" t="s">
        <v>202</v>
      </c>
      <c r="AN109" s="446"/>
      <c r="AO109" s="446"/>
      <c r="AP109" s="446"/>
      <c r="AQ109" s="446"/>
      <c r="AR109" s="446"/>
      <c r="AS109" s="446"/>
      <c r="AT109" s="447"/>
      <c r="AU109" s="904"/>
      <c r="AV109" s="905"/>
      <c r="AW109" s="905"/>
      <c r="AX109" s="905"/>
      <c r="AY109" s="905"/>
      <c r="AZ109" s="905"/>
      <c r="BA109" s="905"/>
      <c r="BB109" s="905"/>
      <c r="BC109" s="905"/>
      <c r="BD109" s="905"/>
      <c r="BE109" s="905"/>
      <c r="BF109" s="905"/>
      <c r="BG109" s="905"/>
      <c r="BH109" s="905"/>
      <c r="BI109" s="905"/>
      <c r="BJ109" s="905"/>
      <c r="BK109" s="905"/>
      <c r="BL109" s="905"/>
      <c r="BM109" s="905"/>
      <c r="BN109" s="905"/>
      <c r="BO109" s="905"/>
      <c r="BP109" s="905"/>
      <c r="BQ109" s="905"/>
      <c r="BR109" s="905"/>
      <c r="BS109" s="905"/>
      <c r="BT109" s="905"/>
      <c r="BU109" s="905"/>
      <c r="BV109" s="905"/>
      <c r="BW109" s="905"/>
      <c r="BX109" s="905"/>
      <c r="BY109" s="905"/>
      <c r="BZ109" s="905"/>
      <c r="CA109" s="905"/>
      <c r="CB109" s="905"/>
      <c r="CC109" s="905"/>
      <c r="CD109" s="905"/>
      <c r="CE109" s="905"/>
      <c r="CF109" s="905"/>
      <c r="CG109" s="905"/>
      <c r="CH109" s="906"/>
      <c r="CI109" s="164"/>
      <c r="CJ109" s="164"/>
      <c r="CK109" s="164"/>
      <c r="CL109" s="164"/>
      <c r="CM109" s="164"/>
      <c r="CN109" s="164"/>
      <c r="CO109" s="164"/>
      <c r="CP109" s="891"/>
      <c r="CQ109" s="891"/>
      <c r="CR109" s="891"/>
      <c r="CS109" s="891"/>
      <c r="CT109" s="891"/>
      <c r="CU109" s="891"/>
      <c r="CV109" s="891"/>
      <c r="CW109" s="891"/>
      <c r="CX109" s="891"/>
      <c r="CY109" s="891"/>
      <c r="CZ109" s="891"/>
      <c r="DA109" s="891"/>
      <c r="DB109" s="891"/>
      <c r="DC109" s="891"/>
      <c r="DD109" s="891"/>
      <c r="DE109" s="891"/>
      <c r="DF109" s="891"/>
      <c r="DG109" s="891"/>
      <c r="DH109" s="891"/>
      <c r="DI109" s="891"/>
      <c r="DJ109" s="891"/>
      <c r="DK109" s="891"/>
      <c r="DL109" s="891"/>
      <c r="DM109" s="891"/>
      <c r="DN109" s="891"/>
      <c r="DO109" s="891"/>
      <c r="DP109" s="891"/>
      <c r="DQ109" s="891"/>
      <c r="DR109" s="891"/>
      <c r="DS109" s="891"/>
      <c r="DT109" s="891"/>
      <c r="DU109" s="891"/>
      <c r="DV109" s="891"/>
      <c r="DW109" s="891"/>
      <c r="DX109" s="891"/>
      <c r="DY109" s="891"/>
      <c r="DZ109" s="891"/>
      <c r="EA109" s="891"/>
      <c r="EB109" s="891"/>
      <c r="EC109" s="891"/>
      <c r="ED109" s="891"/>
      <c r="EE109" s="891"/>
      <c r="EF109" s="891"/>
      <c r="EG109" s="891"/>
      <c r="EH109" s="891"/>
      <c r="EI109" s="891"/>
      <c r="EJ109" s="164"/>
      <c r="EK109" s="164"/>
      <c r="EL109" s="164"/>
      <c r="EM109" s="164"/>
      <c r="EN109" s="164"/>
      <c r="EO109" s="164"/>
      <c r="EP109" s="164"/>
      <c r="EQ109" s="164"/>
      <c r="ER109" s="164"/>
      <c r="ES109" s="164"/>
      <c r="ET109" s="165"/>
      <c r="EU109" s="165"/>
      <c r="EV109" s="165"/>
      <c r="EW109" s="165"/>
      <c r="EX109" s="165"/>
      <c r="EY109" s="165"/>
      <c r="EZ109" s="165"/>
      <c r="FA109" s="165"/>
      <c r="FB109" s="165"/>
      <c r="FC109" s="165"/>
      <c r="FD109" s="165"/>
      <c r="FE109" s="165"/>
    </row>
    <row r="110" spans="1:161" s="166" customFormat="1" ht="120" customHeight="1" x14ac:dyDescent="0.2">
      <c r="A110" s="163"/>
      <c r="B110" s="163"/>
      <c r="C110" s="401" t="s">
        <v>168</v>
      </c>
      <c r="D110" s="401"/>
      <c r="E110" s="401"/>
      <c r="F110" s="401"/>
      <c r="G110" s="401"/>
      <c r="H110" s="401"/>
      <c r="I110" s="401"/>
      <c r="J110" s="401"/>
      <c r="K110" s="401"/>
      <c r="L110" s="401"/>
      <c r="M110" s="401"/>
      <c r="N110" s="401"/>
      <c r="O110" s="401"/>
      <c r="P110" s="401"/>
      <c r="Q110" s="401"/>
      <c r="R110" s="401"/>
      <c r="S110" s="401"/>
      <c r="T110" s="401"/>
      <c r="U110" s="401"/>
      <c r="V110" s="401"/>
      <c r="W110" s="401"/>
      <c r="X110" s="401"/>
      <c r="Y110" s="401"/>
      <c r="Z110" s="401"/>
      <c r="AA110" s="401"/>
      <c r="AB110" s="401"/>
      <c r="AC110" s="401"/>
      <c r="AD110" s="401"/>
      <c r="AE110" s="442">
        <f>HC23</f>
        <v>12</v>
      </c>
      <c r="AF110" s="443"/>
      <c r="AG110" s="443"/>
      <c r="AH110" s="443"/>
      <c r="AI110" s="443"/>
      <c r="AJ110" s="443"/>
      <c r="AK110" s="443"/>
      <c r="AL110" s="444"/>
      <c r="AM110" s="445" t="s">
        <v>335</v>
      </c>
      <c r="AN110" s="446"/>
      <c r="AO110" s="446"/>
      <c r="AP110" s="446"/>
      <c r="AQ110" s="446"/>
      <c r="AR110" s="446"/>
      <c r="AS110" s="446"/>
      <c r="AT110" s="447"/>
      <c r="AU110" s="904"/>
      <c r="AV110" s="905"/>
      <c r="AW110" s="905"/>
      <c r="AX110" s="905"/>
      <c r="AY110" s="905"/>
      <c r="AZ110" s="905"/>
      <c r="BA110" s="905"/>
      <c r="BB110" s="905"/>
      <c r="BC110" s="905"/>
      <c r="BD110" s="905"/>
      <c r="BE110" s="905"/>
      <c r="BF110" s="905"/>
      <c r="BG110" s="905"/>
      <c r="BH110" s="905"/>
      <c r="BI110" s="905"/>
      <c r="BJ110" s="905"/>
      <c r="BK110" s="905"/>
      <c r="BL110" s="905"/>
      <c r="BM110" s="905"/>
      <c r="BN110" s="905"/>
      <c r="BO110" s="905"/>
      <c r="BP110" s="905"/>
      <c r="BQ110" s="905"/>
      <c r="BR110" s="905"/>
      <c r="BS110" s="905"/>
      <c r="BT110" s="905"/>
      <c r="BU110" s="905"/>
      <c r="BV110" s="905"/>
      <c r="BW110" s="905"/>
      <c r="BX110" s="905"/>
      <c r="BY110" s="905"/>
      <c r="BZ110" s="905"/>
      <c r="CA110" s="905"/>
      <c r="CB110" s="905"/>
      <c r="CC110" s="905"/>
      <c r="CD110" s="905"/>
      <c r="CE110" s="905"/>
      <c r="CF110" s="905"/>
      <c r="CG110" s="905"/>
      <c r="CH110" s="906"/>
      <c r="CI110" s="164"/>
      <c r="CJ110" s="164"/>
      <c r="CK110" s="164"/>
      <c r="CL110" s="164"/>
      <c r="CM110" s="164"/>
      <c r="CN110" s="164"/>
      <c r="CO110" s="164"/>
      <c r="CP110" s="891"/>
      <c r="CQ110" s="891"/>
      <c r="CR110" s="891"/>
      <c r="CS110" s="891"/>
      <c r="CT110" s="891"/>
      <c r="CU110" s="891"/>
      <c r="CV110" s="891"/>
      <c r="CW110" s="891"/>
      <c r="CX110" s="891"/>
      <c r="CY110" s="891"/>
      <c r="CZ110" s="891"/>
      <c r="DA110" s="891"/>
      <c r="DB110" s="891"/>
      <c r="DC110" s="891"/>
      <c r="DD110" s="891"/>
      <c r="DE110" s="891"/>
      <c r="DF110" s="891"/>
      <c r="DG110" s="891"/>
      <c r="DH110" s="891"/>
      <c r="DI110" s="891"/>
      <c r="DJ110" s="891"/>
      <c r="DK110" s="891"/>
      <c r="DL110" s="891"/>
      <c r="DM110" s="891"/>
      <c r="DN110" s="891"/>
      <c r="DO110" s="891"/>
      <c r="DP110" s="891"/>
      <c r="DQ110" s="891"/>
      <c r="DR110" s="891"/>
      <c r="DS110" s="891"/>
      <c r="DT110" s="891"/>
      <c r="DU110" s="891"/>
      <c r="DV110" s="891"/>
      <c r="DW110" s="891"/>
      <c r="DX110" s="891"/>
      <c r="DY110" s="891"/>
      <c r="DZ110" s="891"/>
      <c r="EA110" s="891"/>
      <c r="EB110" s="891"/>
      <c r="EC110" s="891"/>
      <c r="ED110" s="891"/>
      <c r="EE110" s="891"/>
      <c r="EF110" s="891"/>
      <c r="EG110" s="891"/>
      <c r="EH110" s="891"/>
      <c r="EI110" s="891"/>
      <c r="EJ110" s="164"/>
      <c r="EK110" s="164"/>
      <c r="EL110" s="164"/>
      <c r="EM110" s="164"/>
      <c r="EN110" s="164"/>
      <c r="EO110" s="164"/>
      <c r="EP110" s="164"/>
      <c r="EQ110" s="164"/>
      <c r="ER110" s="164"/>
      <c r="ES110" s="164"/>
      <c r="ET110" s="165"/>
      <c r="EU110" s="165"/>
      <c r="EV110" s="165"/>
      <c r="EW110" s="165"/>
      <c r="EX110" s="165"/>
      <c r="EY110" s="165"/>
      <c r="EZ110" s="165"/>
      <c r="FA110" s="165"/>
      <c r="FB110" s="165"/>
      <c r="FC110" s="165"/>
      <c r="FD110" s="165"/>
      <c r="FE110" s="165"/>
    </row>
    <row r="111" spans="1:161" s="166" customFormat="1" ht="120" customHeight="1" x14ac:dyDescent="0.2">
      <c r="A111" s="163"/>
      <c r="B111" s="163"/>
      <c r="C111" s="401" t="s">
        <v>169</v>
      </c>
      <c r="D111" s="401"/>
      <c r="E111" s="401"/>
      <c r="F111" s="401"/>
      <c r="G111" s="401"/>
      <c r="H111" s="401"/>
      <c r="I111" s="401"/>
      <c r="J111" s="401"/>
      <c r="K111" s="401"/>
      <c r="L111" s="401"/>
      <c r="M111" s="401"/>
      <c r="N111" s="401"/>
      <c r="O111" s="401"/>
      <c r="P111" s="401"/>
      <c r="Q111" s="401"/>
      <c r="R111" s="401"/>
      <c r="S111" s="401"/>
      <c r="T111" s="401"/>
      <c r="U111" s="401"/>
      <c r="V111" s="401"/>
      <c r="W111" s="401"/>
      <c r="X111" s="401"/>
      <c r="Y111" s="401"/>
      <c r="Z111" s="401"/>
      <c r="AA111" s="401"/>
      <c r="AB111" s="401"/>
      <c r="AC111" s="401"/>
      <c r="AD111" s="401"/>
      <c r="AE111" s="442">
        <f>HI23</f>
        <v>2</v>
      </c>
      <c r="AF111" s="443"/>
      <c r="AG111" s="443"/>
      <c r="AH111" s="443"/>
      <c r="AI111" s="443"/>
      <c r="AJ111" s="443"/>
      <c r="AK111" s="443"/>
      <c r="AL111" s="444"/>
      <c r="AM111" s="445" t="s">
        <v>336</v>
      </c>
      <c r="AN111" s="446"/>
      <c r="AO111" s="446"/>
      <c r="AP111" s="446"/>
      <c r="AQ111" s="446"/>
      <c r="AR111" s="446"/>
      <c r="AS111" s="446"/>
      <c r="AT111" s="447"/>
      <c r="AU111" s="904"/>
      <c r="AV111" s="905"/>
      <c r="AW111" s="905"/>
      <c r="AX111" s="905"/>
      <c r="AY111" s="905"/>
      <c r="AZ111" s="905"/>
      <c r="BA111" s="905"/>
      <c r="BB111" s="905"/>
      <c r="BC111" s="905"/>
      <c r="BD111" s="905"/>
      <c r="BE111" s="905"/>
      <c r="BF111" s="905"/>
      <c r="BG111" s="905"/>
      <c r="BH111" s="905"/>
      <c r="BI111" s="905"/>
      <c r="BJ111" s="905"/>
      <c r="BK111" s="905"/>
      <c r="BL111" s="905"/>
      <c r="BM111" s="905"/>
      <c r="BN111" s="905"/>
      <c r="BO111" s="905"/>
      <c r="BP111" s="905"/>
      <c r="BQ111" s="905"/>
      <c r="BR111" s="905"/>
      <c r="BS111" s="905"/>
      <c r="BT111" s="905"/>
      <c r="BU111" s="905"/>
      <c r="BV111" s="905"/>
      <c r="BW111" s="905"/>
      <c r="BX111" s="905"/>
      <c r="BY111" s="905"/>
      <c r="BZ111" s="905"/>
      <c r="CA111" s="905"/>
      <c r="CB111" s="905"/>
      <c r="CC111" s="905"/>
      <c r="CD111" s="905"/>
      <c r="CE111" s="905"/>
      <c r="CF111" s="905"/>
      <c r="CG111" s="905"/>
      <c r="CH111" s="906"/>
      <c r="CI111" s="164"/>
      <c r="CJ111" s="164"/>
      <c r="CK111" s="164"/>
      <c r="CL111" s="164"/>
      <c r="CM111" s="164"/>
      <c r="CN111" s="164"/>
      <c r="CO111" s="164"/>
      <c r="CP111" s="891"/>
      <c r="CQ111" s="891"/>
      <c r="CR111" s="891"/>
      <c r="CS111" s="891"/>
      <c r="CT111" s="891"/>
      <c r="CU111" s="891"/>
      <c r="CV111" s="891"/>
      <c r="CW111" s="891"/>
      <c r="CX111" s="891"/>
      <c r="CY111" s="891"/>
      <c r="CZ111" s="891"/>
      <c r="DA111" s="891"/>
      <c r="DB111" s="891"/>
      <c r="DC111" s="891"/>
      <c r="DD111" s="891"/>
      <c r="DE111" s="891"/>
      <c r="DF111" s="891"/>
      <c r="DG111" s="891"/>
      <c r="DH111" s="891"/>
      <c r="DI111" s="891"/>
      <c r="DJ111" s="891"/>
      <c r="DK111" s="891"/>
      <c r="DL111" s="891"/>
      <c r="DM111" s="891"/>
      <c r="DN111" s="891"/>
      <c r="DO111" s="891"/>
      <c r="DP111" s="891"/>
      <c r="DQ111" s="891"/>
      <c r="DR111" s="891"/>
      <c r="DS111" s="891"/>
      <c r="DT111" s="891"/>
      <c r="DU111" s="891"/>
      <c r="DV111" s="891"/>
      <c r="DW111" s="891"/>
      <c r="DX111" s="891"/>
      <c r="DY111" s="891"/>
      <c r="DZ111" s="891"/>
      <c r="EA111" s="891"/>
      <c r="EB111" s="891"/>
      <c r="EC111" s="891"/>
      <c r="ED111" s="891"/>
      <c r="EE111" s="891"/>
      <c r="EF111" s="891"/>
      <c r="EG111" s="891"/>
      <c r="EH111" s="891"/>
      <c r="EI111" s="891"/>
      <c r="EJ111" s="164"/>
      <c r="EK111" s="164"/>
      <c r="EL111" s="164"/>
      <c r="EM111" s="164"/>
      <c r="EN111" s="164"/>
      <c r="EO111" s="164"/>
      <c r="EP111" s="164"/>
      <c r="EQ111" s="164"/>
      <c r="ER111" s="164"/>
      <c r="ES111" s="164"/>
      <c r="ET111" s="165"/>
      <c r="EU111" s="165"/>
      <c r="EV111" s="165"/>
      <c r="EW111" s="165"/>
      <c r="EX111" s="165"/>
      <c r="EY111" s="165"/>
      <c r="EZ111" s="165"/>
      <c r="FA111" s="165"/>
      <c r="FB111" s="165"/>
      <c r="FC111" s="165"/>
      <c r="FD111" s="165"/>
      <c r="FE111" s="165"/>
    </row>
    <row r="112" spans="1:161" s="166" customFormat="1" ht="120" customHeight="1" x14ac:dyDescent="0.2">
      <c r="A112" s="163"/>
      <c r="B112" s="163"/>
      <c r="C112" s="401" t="s">
        <v>274</v>
      </c>
      <c r="D112" s="401"/>
      <c r="E112" s="401"/>
      <c r="F112" s="401"/>
      <c r="G112" s="401"/>
      <c r="H112" s="401"/>
      <c r="I112" s="401"/>
      <c r="J112" s="401"/>
      <c r="K112" s="401"/>
      <c r="L112" s="401"/>
      <c r="M112" s="401"/>
      <c r="N112" s="401"/>
      <c r="O112" s="401"/>
      <c r="P112" s="401"/>
      <c r="Q112" s="401"/>
      <c r="R112" s="401"/>
      <c r="S112" s="401"/>
      <c r="T112" s="401"/>
      <c r="U112" s="401"/>
      <c r="V112" s="401"/>
      <c r="W112" s="401"/>
      <c r="X112" s="401"/>
      <c r="Y112" s="401"/>
      <c r="Z112" s="401"/>
      <c r="AA112" s="401"/>
      <c r="AB112" s="401"/>
      <c r="AC112" s="401"/>
      <c r="AD112" s="401"/>
      <c r="AE112" s="442">
        <f>HK23</f>
        <v>191</v>
      </c>
      <c r="AF112" s="443"/>
      <c r="AG112" s="443"/>
      <c r="AH112" s="443"/>
      <c r="AI112" s="443"/>
      <c r="AJ112" s="443"/>
      <c r="AK112" s="443"/>
      <c r="AL112" s="444"/>
      <c r="AM112" s="445" t="s">
        <v>335</v>
      </c>
      <c r="AN112" s="446"/>
      <c r="AO112" s="446"/>
      <c r="AP112" s="446"/>
      <c r="AQ112" s="446"/>
      <c r="AR112" s="446"/>
      <c r="AS112" s="446"/>
      <c r="AT112" s="447"/>
      <c r="AU112" s="904"/>
      <c r="AV112" s="905"/>
      <c r="AW112" s="905"/>
      <c r="AX112" s="905"/>
      <c r="AY112" s="905"/>
      <c r="AZ112" s="905"/>
      <c r="BA112" s="905"/>
      <c r="BB112" s="905"/>
      <c r="BC112" s="905"/>
      <c r="BD112" s="905"/>
      <c r="BE112" s="905"/>
      <c r="BF112" s="905"/>
      <c r="BG112" s="905"/>
      <c r="BH112" s="905"/>
      <c r="BI112" s="905"/>
      <c r="BJ112" s="905"/>
      <c r="BK112" s="905"/>
      <c r="BL112" s="905"/>
      <c r="BM112" s="905"/>
      <c r="BN112" s="905"/>
      <c r="BO112" s="905"/>
      <c r="BP112" s="905"/>
      <c r="BQ112" s="905"/>
      <c r="BR112" s="905"/>
      <c r="BS112" s="905"/>
      <c r="BT112" s="905"/>
      <c r="BU112" s="905"/>
      <c r="BV112" s="905"/>
      <c r="BW112" s="905"/>
      <c r="BX112" s="905"/>
      <c r="BY112" s="905"/>
      <c r="BZ112" s="905"/>
      <c r="CA112" s="905"/>
      <c r="CB112" s="905"/>
      <c r="CC112" s="905"/>
      <c r="CD112" s="905"/>
      <c r="CE112" s="905"/>
      <c r="CF112" s="905"/>
      <c r="CG112" s="905"/>
      <c r="CH112" s="906"/>
      <c r="CI112" s="164"/>
      <c r="CJ112" s="164"/>
      <c r="CK112" s="164"/>
      <c r="CL112" s="164"/>
      <c r="CM112" s="164"/>
      <c r="CN112" s="164"/>
      <c r="CO112" s="164"/>
      <c r="CP112" s="891"/>
      <c r="CQ112" s="891"/>
      <c r="CR112" s="891"/>
      <c r="CS112" s="891"/>
      <c r="CT112" s="891"/>
      <c r="CU112" s="891"/>
      <c r="CV112" s="891"/>
      <c r="CW112" s="891"/>
      <c r="CX112" s="891"/>
      <c r="CY112" s="891"/>
      <c r="CZ112" s="891"/>
      <c r="DA112" s="891"/>
      <c r="DB112" s="891"/>
      <c r="DC112" s="891"/>
      <c r="DD112" s="891"/>
      <c r="DE112" s="891"/>
      <c r="DF112" s="891"/>
      <c r="DG112" s="891"/>
      <c r="DH112" s="891"/>
      <c r="DI112" s="891"/>
      <c r="DJ112" s="891"/>
      <c r="DK112" s="891"/>
      <c r="DL112" s="891"/>
      <c r="DM112" s="891"/>
      <c r="DN112" s="891"/>
      <c r="DO112" s="891"/>
      <c r="DP112" s="891"/>
      <c r="DQ112" s="891"/>
      <c r="DR112" s="891"/>
      <c r="DS112" s="891"/>
      <c r="DT112" s="891"/>
      <c r="DU112" s="891"/>
      <c r="DV112" s="891"/>
      <c r="DW112" s="891"/>
      <c r="DX112" s="891"/>
      <c r="DY112" s="891"/>
      <c r="DZ112" s="891"/>
      <c r="EA112" s="891"/>
      <c r="EB112" s="891"/>
      <c r="EC112" s="891"/>
      <c r="ED112" s="891"/>
      <c r="EE112" s="891"/>
      <c r="EF112" s="891"/>
      <c r="EG112" s="891"/>
      <c r="EH112" s="891"/>
      <c r="EI112" s="891"/>
      <c r="EJ112" s="164"/>
      <c r="EK112" s="164"/>
      <c r="EL112" s="164"/>
      <c r="EM112" s="164"/>
      <c r="EN112" s="164"/>
      <c r="EO112" s="164"/>
      <c r="EP112" s="164"/>
      <c r="EQ112" s="164"/>
      <c r="ER112" s="164"/>
      <c r="ES112" s="164"/>
      <c r="ET112" s="165"/>
      <c r="EU112" s="165"/>
      <c r="EV112" s="165"/>
      <c r="EW112" s="165"/>
      <c r="EX112" s="165"/>
      <c r="EY112" s="165"/>
      <c r="EZ112" s="165"/>
      <c r="FA112" s="165"/>
      <c r="FB112" s="165"/>
      <c r="FC112" s="165"/>
      <c r="FD112" s="165"/>
      <c r="FE112" s="165"/>
    </row>
    <row r="113" spans="1:161" s="166" customFormat="1" ht="120" customHeight="1" x14ac:dyDescent="0.2">
      <c r="A113" s="163"/>
      <c r="B113" s="163"/>
      <c r="C113" s="401" t="s">
        <v>15</v>
      </c>
      <c r="D113" s="401"/>
      <c r="E113" s="401"/>
      <c r="F113" s="401"/>
      <c r="G113" s="401"/>
      <c r="H113" s="401"/>
      <c r="I113" s="401"/>
      <c r="J113" s="401"/>
      <c r="K113" s="401"/>
      <c r="L113" s="401"/>
      <c r="M113" s="401"/>
      <c r="N113" s="401"/>
      <c r="O113" s="401"/>
      <c r="P113" s="401"/>
      <c r="Q113" s="401"/>
      <c r="R113" s="401"/>
      <c r="S113" s="401"/>
      <c r="T113" s="401"/>
      <c r="U113" s="401"/>
      <c r="V113" s="401"/>
      <c r="W113" s="401"/>
      <c r="X113" s="401"/>
      <c r="Y113" s="401"/>
      <c r="Z113" s="401"/>
      <c r="AA113" s="401"/>
      <c r="AB113" s="401"/>
      <c r="AC113" s="401"/>
      <c r="AD113" s="401"/>
      <c r="AE113" s="442">
        <f>HE23</f>
        <v>5</v>
      </c>
      <c r="AF113" s="443"/>
      <c r="AG113" s="443"/>
      <c r="AH113" s="443"/>
      <c r="AI113" s="443"/>
      <c r="AJ113" s="443"/>
      <c r="AK113" s="443"/>
      <c r="AL113" s="444"/>
      <c r="AM113" s="445" t="s">
        <v>200</v>
      </c>
      <c r="AN113" s="446"/>
      <c r="AO113" s="446"/>
      <c r="AP113" s="446"/>
      <c r="AQ113" s="446"/>
      <c r="AR113" s="446"/>
      <c r="AS113" s="446"/>
      <c r="AT113" s="447"/>
      <c r="AU113" s="904"/>
      <c r="AV113" s="905"/>
      <c r="AW113" s="905"/>
      <c r="AX113" s="905"/>
      <c r="AY113" s="905"/>
      <c r="AZ113" s="905"/>
      <c r="BA113" s="905"/>
      <c r="BB113" s="905"/>
      <c r="BC113" s="905"/>
      <c r="BD113" s="905"/>
      <c r="BE113" s="905"/>
      <c r="BF113" s="905"/>
      <c r="BG113" s="905"/>
      <c r="BH113" s="905"/>
      <c r="BI113" s="905"/>
      <c r="BJ113" s="905"/>
      <c r="BK113" s="905"/>
      <c r="BL113" s="905"/>
      <c r="BM113" s="905"/>
      <c r="BN113" s="905"/>
      <c r="BO113" s="905"/>
      <c r="BP113" s="905"/>
      <c r="BQ113" s="905"/>
      <c r="BR113" s="905"/>
      <c r="BS113" s="905"/>
      <c r="BT113" s="905"/>
      <c r="BU113" s="905"/>
      <c r="BV113" s="905"/>
      <c r="BW113" s="905"/>
      <c r="BX113" s="905"/>
      <c r="BY113" s="905"/>
      <c r="BZ113" s="905"/>
      <c r="CA113" s="905"/>
      <c r="CB113" s="905"/>
      <c r="CC113" s="905"/>
      <c r="CD113" s="905"/>
      <c r="CE113" s="905"/>
      <c r="CF113" s="905"/>
      <c r="CG113" s="905"/>
      <c r="CH113" s="906"/>
      <c r="CI113" s="164"/>
      <c r="CJ113" s="164"/>
      <c r="CK113" s="164"/>
      <c r="CL113" s="164"/>
      <c r="CM113" s="164"/>
      <c r="CN113" s="164"/>
      <c r="CO113" s="164"/>
      <c r="CP113" s="891"/>
      <c r="CQ113" s="891"/>
      <c r="CR113" s="891"/>
      <c r="CS113" s="891"/>
      <c r="CT113" s="891"/>
      <c r="CU113" s="891"/>
      <c r="CV113" s="891"/>
      <c r="CW113" s="891"/>
      <c r="CX113" s="891"/>
      <c r="CY113" s="891"/>
      <c r="CZ113" s="891"/>
      <c r="DA113" s="891"/>
      <c r="DB113" s="891"/>
      <c r="DC113" s="891"/>
      <c r="DD113" s="891"/>
      <c r="DE113" s="891"/>
      <c r="DF113" s="891"/>
      <c r="DG113" s="891"/>
      <c r="DH113" s="891"/>
      <c r="DI113" s="891"/>
      <c r="DJ113" s="891"/>
      <c r="DK113" s="891"/>
      <c r="DL113" s="891"/>
      <c r="DM113" s="891"/>
      <c r="DN113" s="891"/>
      <c r="DO113" s="891"/>
      <c r="DP113" s="891"/>
      <c r="DQ113" s="891"/>
      <c r="DR113" s="891"/>
      <c r="DS113" s="891"/>
      <c r="DT113" s="891"/>
      <c r="DU113" s="891"/>
      <c r="DV113" s="891"/>
      <c r="DW113" s="891"/>
      <c r="DX113" s="891"/>
      <c r="DY113" s="891"/>
      <c r="DZ113" s="891"/>
      <c r="EA113" s="891"/>
      <c r="EB113" s="891"/>
      <c r="EC113" s="891"/>
      <c r="ED113" s="891"/>
      <c r="EE113" s="891"/>
      <c r="EF113" s="891"/>
      <c r="EG113" s="891"/>
      <c r="EH113" s="891"/>
      <c r="EI113" s="891"/>
      <c r="EJ113" s="164"/>
      <c r="EK113" s="164"/>
      <c r="EL113" s="164"/>
      <c r="EM113" s="164"/>
      <c r="EN113" s="164"/>
      <c r="EO113" s="164"/>
      <c r="EP113" s="164"/>
      <c r="EQ113" s="164"/>
      <c r="ER113" s="164"/>
      <c r="ES113" s="164"/>
      <c r="ET113" s="165"/>
      <c r="EU113" s="165"/>
      <c r="EV113" s="165"/>
      <c r="EW113" s="165"/>
      <c r="EX113" s="165"/>
      <c r="EY113" s="165"/>
      <c r="EZ113" s="165"/>
      <c r="FA113" s="165"/>
      <c r="FB113" s="165"/>
      <c r="FC113" s="165"/>
      <c r="FD113" s="165"/>
      <c r="FE113" s="165"/>
    </row>
    <row r="114" spans="1:161" s="166" customFormat="1" ht="120" customHeight="1" x14ac:dyDescent="0.2">
      <c r="A114" s="163"/>
      <c r="B114" s="163"/>
      <c r="C114" s="911" t="s">
        <v>20</v>
      </c>
      <c r="D114" s="911"/>
      <c r="E114" s="911"/>
      <c r="F114" s="911"/>
      <c r="G114" s="911"/>
      <c r="H114" s="911"/>
      <c r="I114" s="911"/>
      <c r="J114" s="911"/>
      <c r="K114" s="911"/>
      <c r="L114" s="911"/>
      <c r="M114" s="911"/>
      <c r="N114" s="911"/>
      <c r="O114" s="911"/>
      <c r="P114" s="911"/>
      <c r="Q114" s="911"/>
      <c r="R114" s="911"/>
      <c r="S114" s="911"/>
      <c r="T114" s="911"/>
      <c r="U114" s="911"/>
      <c r="V114" s="911"/>
      <c r="W114" s="911"/>
      <c r="X114" s="911"/>
      <c r="Y114" s="911"/>
      <c r="Z114" s="911"/>
      <c r="AA114" s="911"/>
      <c r="AB114" s="911"/>
      <c r="AC114" s="911"/>
      <c r="AD114" s="911"/>
      <c r="AE114" s="440">
        <f>SUBTOTAL(9,AE108:AL113)</f>
        <v>256</v>
      </c>
      <c r="AF114" s="449"/>
      <c r="AG114" s="449"/>
      <c r="AH114" s="449"/>
      <c r="AI114" s="449"/>
      <c r="AJ114" s="449"/>
      <c r="AK114" s="449"/>
      <c r="AL114" s="450"/>
      <c r="AM114" s="445"/>
      <c r="AN114" s="446"/>
      <c r="AO114" s="446"/>
      <c r="AP114" s="446"/>
      <c r="AQ114" s="446"/>
      <c r="AR114" s="446"/>
      <c r="AS114" s="446"/>
      <c r="AT114" s="447"/>
      <c r="AU114" s="907"/>
      <c r="AV114" s="908"/>
      <c r="AW114" s="908"/>
      <c r="AX114" s="908"/>
      <c r="AY114" s="908"/>
      <c r="AZ114" s="908"/>
      <c r="BA114" s="908"/>
      <c r="BB114" s="908"/>
      <c r="BC114" s="908"/>
      <c r="BD114" s="908"/>
      <c r="BE114" s="908"/>
      <c r="BF114" s="908"/>
      <c r="BG114" s="908"/>
      <c r="BH114" s="908"/>
      <c r="BI114" s="908"/>
      <c r="BJ114" s="908"/>
      <c r="BK114" s="908"/>
      <c r="BL114" s="908"/>
      <c r="BM114" s="908"/>
      <c r="BN114" s="908"/>
      <c r="BO114" s="908"/>
      <c r="BP114" s="908"/>
      <c r="BQ114" s="908"/>
      <c r="BR114" s="908"/>
      <c r="BS114" s="908"/>
      <c r="BT114" s="908"/>
      <c r="BU114" s="908"/>
      <c r="BV114" s="908"/>
      <c r="BW114" s="908"/>
      <c r="BX114" s="908"/>
      <c r="BY114" s="908"/>
      <c r="BZ114" s="908"/>
      <c r="CA114" s="908"/>
      <c r="CB114" s="908"/>
      <c r="CC114" s="908"/>
      <c r="CD114" s="908"/>
      <c r="CE114" s="908"/>
      <c r="CF114" s="908"/>
      <c r="CG114" s="908"/>
      <c r="CH114" s="909"/>
      <c r="CI114" s="164"/>
      <c r="CJ114" s="164"/>
      <c r="CK114" s="164"/>
      <c r="CL114" s="164"/>
      <c r="CM114" s="164"/>
      <c r="CN114" s="164"/>
      <c r="CO114" s="164"/>
      <c r="CP114" s="891"/>
      <c r="CQ114" s="891"/>
      <c r="CR114" s="891"/>
      <c r="CS114" s="891"/>
      <c r="CT114" s="891"/>
      <c r="CU114" s="891"/>
      <c r="CV114" s="891"/>
      <c r="CW114" s="891"/>
      <c r="CX114" s="891"/>
      <c r="CY114" s="891"/>
      <c r="CZ114" s="891"/>
      <c r="DA114" s="891"/>
      <c r="DB114" s="891"/>
      <c r="DC114" s="891"/>
      <c r="DD114" s="891"/>
      <c r="DE114" s="891"/>
      <c r="DF114" s="891"/>
      <c r="DG114" s="891"/>
      <c r="DH114" s="891"/>
      <c r="DI114" s="891"/>
      <c r="DJ114" s="891"/>
      <c r="DK114" s="891"/>
      <c r="DL114" s="891"/>
      <c r="DM114" s="891"/>
      <c r="DN114" s="891"/>
      <c r="DO114" s="891"/>
      <c r="DP114" s="891"/>
      <c r="DQ114" s="891"/>
      <c r="DR114" s="891"/>
      <c r="DS114" s="891"/>
      <c r="DT114" s="891"/>
      <c r="DU114" s="891"/>
      <c r="DV114" s="891"/>
      <c r="DW114" s="891"/>
      <c r="DX114" s="891"/>
      <c r="DY114" s="891"/>
      <c r="DZ114" s="891"/>
      <c r="EA114" s="891"/>
      <c r="EB114" s="891"/>
      <c r="EC114" s="891"/>
      <c r="ED114" s="891"/>
      <c r="EE114" s="891"/>
      <c r="EF114" s="891"/>
      <c r="EG114" s="891"/>
      <c r="EH114" s="891"/>
      <c r="EI114" s="891"/>
      <c r="EJ114" s="164"/>
      <c r="EK114" s="164"/>
      <c r="EL114" s="164"/>
      <c r="EM114" s="164"/>
      <c r="EN114" s="164"/>
      <c r="EO114" s="164"/>
      <c r="EP114" s="164"/>
      <c r="EQ114" s="164"/>
      <c r="ER114" s="164"/>
      <c r="ES114" s="164"/>
      <c r="ET114" s="165"/>
      <c r="EU114" s="165"/>
      <c r="EV114" s="165"/>
      <c r="EW114" s="165"/>
      <c r="EX114" s="165"/>
      <c r="EY114" s="165"/>
      <c r="EZ114" s="165"/>
      <c r="FA114" s="165"/>
      <c r="FB114" s="165"/>
      <c r="FC114" s="165"/>
      <c r="FD114" s="165"/>
      <c r="FE114" s="165"/>
    </row>
    <row r="115" spans="1:161" s="1" customFormat="1" ht="120" customHeight="1" x14ac:dyDescent="0.85">
      <c r="A115" s="69"/>
      <c r="B115" s="69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8"/>
      <c r="X115" s="78"/>
      <c r="Y115" s="78"/>
      <c r="Z115" s="79"/>
      <c r="AA115" s="79"/>
      <c r="AB115" s="79"/>
      <c r="AC115" s="79"/>
      <c r="AD115" s="77"/>
      <c r="AE115" s="77"/>
      <c r="AF115" s="77"/>
      <c r="AG115" s="77"/>
      <c r="AH115" s="77"/>
      <c r="AI115" s="77"/>
      <c r="AJ115" s="77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8"/>
      <c r="BJ115" s="78"/>
      <c r="BK115" s="78"/>
      <c r="BL115" s="78"/>
      <c r="BM115" s="78"/>
      <c r="BN115" s="78"/>
      <c r="BO115" s="77"/>
      <c r="BP115" s="77"/>
      <c r="BQ115" s="77"/>
      <c r="BR115" s="77"/>
      <c r="BS115" s="77"/>
      <c r="BT115" s="77"/>
      <c r="BU115" s="77"/>
      <c r="BV115" s="77"/>
      <c r="BW115" s="77"/>
      <c r="BX115" s="77"/>
      <c r="BY115" s="77"/>
      <c r="BZ115" s="77"/>
      <c r="CA115" s="77"/>
      <c r="CB115" s="77"/>
      <c r="CC115" s="77"/>
      <c r="CD115" s="77"/>
      <c r="CE115" s="77"/>
      <c r="CF115" s="77"/>
      <c r="CG115" s="77"/>
      <c r="CH115" s="77"/>
      <c r="CI115" s="77"/>
      <c r="CJ115" s="77"/>
      <c r="CK115" s="77"/>
      <c r="CL115" s="77"/>
      <c r="CM115" s="77"/>
      <c r="CN115" s="77"/>
      <c r="CO115" s="77"/>
      <c r="CP115" s="77"/>
      <c r="CQ115" s="77"/>
      <c r="CR115" s="77"/>
      <c r="CS115" s="77"/>
      <c r="CT115" s="77"/>
      <c r="CU115" s="77"/>
      <c r="CV115" s="77"/>
      <c r="CW115" s="77"/>
      <c r="CX115" s="77"/>
      <c r="CY115" s="77"/>
      <c r="CZ115" s="77"/>
      <c r="DA115" s="77"/>
      <c r="DB115" s="77"/>
      <c r="DC115" s="77"/>
      <c r="DD115" s="77"/>
      <c r="DE115" s="77"/>
      <c r="DF115" s="77"/>
      <c r="DG115" s="77"/>
      <c r="DH115" s="77"/>
      <c r="DI115" s="77"/>
      <c r="DJ115" s="77"/>
      <c r="DK115" s="77"/>
      <c r="DL115" s="77"/>
      <c r="DM115" s="77"/>
      <c r="DN115" s="77"/>
      <c r="DO115" s="77"/>
      <c r="DP115" s="77"/>
      <c r="DQ115" s="77"/>
      <c r="DR115" s="77"/>
      <c r="DS115" s="77"/>
      <c r="DT115" s="77"/>
      <c r="DU115" s="77"/>
      <c r="DV115" s="77"/>
      <c r="DW115" s="77"/>
      <c r="DX115" s="77"/>
      <c r="DY115" s="77"/>
      <c r="DZ115" s="77"/>
      <c r="EA115" s="77"/>
      <c r="EB115" s="77"/>
      <c r="EC115" s="77"/>
      <c r="ED115" s="77"/>
      <c r="EE115" s="77"/>
      <c r="EF115" s="77"/>
      <c r="EG115" s="77"/>
      <c r="EH115" s="77"/>
      <c r="EI115" s="77"/>
      <c r="EJ115" s="77"/>
      <c r="EK115" s="77"/>
      <c r="EL115" s="77"/>
      <c r="EM115" s="77"/>
      <c r="EN115" s="77"/>
      <c r="EO115" s="77"/>
      <c r="EP115" s="77"/>
      <c r="EQ115" s="77"/>
      <c r="ER115" s="77"/>
      <c r="ES115" s="77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</row>
    <row r="116" spans="1:161" s="1" customFormat="1" ht="120" customHeight="1" x14ac:dyDescent="0.85">
      <c r="A116" s="69"/>
      <c r="B116" s="317" t="s">
        <v>255</v>
      </c>
      <c r="C116" s="317"/>
      <c r="D116" s="317"/>
      <c r="E116" s="317"/>
      <c r="F116" s="317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17"/>
      <c r="V116" s="317"/>
      <c r="W116" s="317"/>
      <c r="X116" s="317"/>
      <c r="Y116" s="318" t="s">
        <v>104</v>
      </c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  <c r="AN116" s="318"/>
      <c r="AO116" s="318"/>
      <c r="AP116" s="318"/>
      <c r="AQ116" s="318"/>
      <c r="AR116" s="318"/>
      <c r="AS116" s="318"/>
      <c r="AT116" s="318"/>
      <c r="AU116" s="318"/>
      <c r="AV116" s="448"/>
      <c r="AW116" s="448"/>
      <c r="AX116" s="448"/>
      <c r="AY116" s="448"/>
      <c r="AZ116" s="448"/>
      <c r="BA116" s="448"/>
      <c r="BB116" s="448"/>
      <c r="BC116" s="448"/>
      <c r="BD116" s="448"/>
      <c r="BE116" s="448"/>
      <c r="BF116" s="448"/>
      <c r="BG116" s="448"/>
      <c r="BH116" s="448"/>
      <c r="BI116" s="448"/>
      <c r="BJ116" s="448"/>
      <c r="BK116" s="448"/>
      <c r="BL116" s="448"/>
      <c r="BM116" s="448"/>
      <c r="BN116" s="448"/>
      <c r="BO116" s="448"/>
      <c r="BP116" s="448"/>
      <c r="BQ116" s="448"/>
      <c r="BR116" s="448"/>
      <c r="BS116" s="77"/>
      <c r="BT116" s="77"/>
      <c r="BU116" s="77"/>
      <c r="BV116" s="77"/>
      <c r="BW116" s="77"/>
      <c r="BX116" s="77"/>
      <c r="BY116" s="77"/>
      <c r="BZ116" s="77"/>
      <c r="CA116" s="77"/>
      <c r="CB116" s="77"/>
      <c r="CC116" s="77"/>
      <c r="CD116" s="77"/>
      <c r="CE116" s="77"/>
      <c r="CF116" s="77"/>
      <c r="CG116" s="77"/>
      <c r="CH116" s="77"/>
      <c r="CI116" s="77"/>
      <c r="CJ116" s="77"/>
      <c r="CK116" s="77"/>
      <c r="CL116" s="77"/>
      <c r="CM116" s="77"/>
      <c r="CN116" s="77"/>
      <c r="CO116" s="77"/>
      <c r="CP116" s="77"/>
      <c r="CQ116" s="77"/>
      <c r="CR116" s="77"/>
      <c r="CS116" s="77"/>
      <c r="CT116" s="77"/>
      <c r="CU116" s="77"/>
      <c r="CV116" s="77"/>
      <c r="CW116" s="77"/>
      <c r="CX116" s="77"/>
      <c r="CY116" s="77"/>
      <c r="CZ116" s="77"/>
      <c r="DA116" s="77"/>
      <c r="DB116" s="77"/>
      <c r="DC116" s="77"/>
      <c r="DD116" s="77"/>
      <c r="DE116" s="77"/>
      <c r="DF116" s="77"/>
      <c r="DG116" s="77"/>
      <c r="DH116" s="77"/>
      <c r="DI116" s="77"/>
      <c r="DJ116" s="77"/>
      <c r="DK116" s="77"/>
      <c r="DL116" s="77"/>
      <c r="DM116" s="77"/>
      <c r="DN116" s="77"/>
      <c r="DO116" s="77"/>
      <c r="DP116" s="77"/>
      <c r="DQ116" s="77"/>
      <c r="DR116" s="77"/>
      <c r="DS116" s="77"/>
      <c r="DT116" s="77"/>
      <c r="DU116" s="77"/>
      <c r="DV116" s="77"/>
      <c r="DW116" s="77"/>
      <c r="DX116" s="77"/>
      <c r="DY116" s="77"/>
      <c r="DZ116" s="77"/>
      <c r="EA116" s="77"/>
      <c r="EB116" s="77"/>
      <c r="EC116" s="77"/>
      <c r="ED116" s="77"/>
      <c r="EE116" s="77"/>
      <c r="EF116" s="77"/>
      <c r="EG116" s="77"/>
      <c r="EH116" s="77"/>
      <c r="EI116" s="77"/>
      <c r="EJ116" s="77"/>
      <c r="EK116" s="77"/>
      <c r="EL116" s="77"/>
      <c r="EM116" s="77"/>
      <c r="EN116" s="77"/>
      <c r="EO116" s="77"/>
      <c r="EP116" s="77"/>
      <c r="EQ116" s="77"/>
      <c r="ER116" s="77"/>
      <c r="ES116" s="77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</row>
    <row r="117" spans="1:161" s="1" customFormat="1" ht="120" customHeight="1" x14ac:dyDescent="0.85">
      <c r="A117" s="69"/>
      <c r="B117" s="317"/>
      <c r="C117" s="317"/>
      <c r="D117" s="317"/>
      <c r="E117" s="317"/>
      <c r="F117" s="317"/>
      <c r="G117" s="317"/>
      <c r="H117" s="317"/>
      <c r="I117" s="317"/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  <c r="T117" s="317"/>
      <c r="U117" s="317"/>
      <c r="V117" s="317"/>
      <c r="W117" s="317"/>
      <c r="X117" s="317"/>
      <c r="Y117" s="448"/>
      <c r="Z117" s="448"/>
      <c r="AA117" s="448"/>
      <c r="AB117" s="448"/>
      <c r="AC117" s="448"/>
      <c r="AD117" s="448"/>
      <c r="AE117" s="448"/>
      <c r="AF117" s="448"/>
      <c r="AG117" s="448"/>
      <c r="AH117" s="448"/>
      <c r="AI117" s="448"/>
      <c r="AJ117" s="448"/>
      <c r="AK117" s="448"/>
      <c r="AL117" s="448"/>
      <c r="AM117" s="448"/>
      <c r="AN117" s="448"/>
      <c r="AO117" s="448"/>
      <c r="AP117" s="448"/>
      <c r="AQ117" s="448"/>
      <c r="AR117" s="448"/>
      <c r="AS117" s="448"/>
      <c r="AT117" s="448"/>
      <c r="AU117" s="448"/>
      <c r="AV117" s="448"/>
      <c r="AW117" s="448"/>
      <c r="AX117" s="448"/>
      <c r="AY117" s="448"/>
      <c r="AZ117" s="448"/>
      <c r="BA117" s="448"/>
      <c r="BB117" s="448"/>
      <c r="BC117" s="448"/>
      <c r="BD117" s="448"/>
      <c r="BE117" s="448"/>
      <c r="BF117" s="448"/>
      <c r="BG117" s="448"/>
      <c r="BH117" s="448"/>
      <c r="BI117" s="448"/>
      <c r="BJ117" s="448"/>
      <c r="BK117" s="448"/>
      <c r="BL117" s="448"/>
      <c r="BM117" s="448"/>
      <c r="BN117" s="448"/>
      <c r="BO117" s="448"/>
      <c r="BP117" s="448"/>
      <c r="BQ117" s="448"/>
      <c r="BR117" s="448"/>
      <c r="BS117" s="77"/>
      <c r="BT117" s="77"/>
      <c r="BU117" s="77"/>
      <c r="BV117" s="77"/>
      <c r="BW117" s="77"/>
      <c r="BX117" s="77"/>
      <c r="BY117" s="77"/>
      <c r="BZ117" s="77"/>
      <c r="CA117" s="77"/>
      <c r="CB117" s="77"/>
      <c r="CC117" s="77"/>
      <c r="CD117" s="77"/>
      <c r="CE117" s="77"/>
      <c r="CF117" s="77"/>
      <c r="CG117" s="77"/>
      <c r="CH117" s="77"/>
      <c r="CI117" s="77"/>
      <c r="CJ117" s="77"/>
      <c r="CK117" s="77"/>
      <c r="CL117" s="77"/>
      <c r="CM117" s="77"/>
      <c r="CN117" s="77"/>
      <c r="CO117" s="77"/>
      <c r="CP117" s="77"/>
      <c r="CQ117" s="77"/>
      <c r="CR117" s="77"/>
      <c r="CS117" s="77"/>
      <c r="CT117" s="77"/>
      <c r="CU117" s="77"/>
      <c r="CV117" s="77"/>
      <c r="CW117" s="77"/>
      <c r="CX117" s="77"/>
      <c r="CY117" s="77"/>
      <c r="CZ117" s="77"/>
      <c r="DA117" s="77"/>
      <c r="DB117" s="77"/>
      <c r="DC117" s="77"/>
      <c r="DD117" s="77"/>
      <c r="DE117" s="77"/>
      <c r="DF117" s="77"/>
      <c r="DG117" s="77"/>
      <c r="DH117" s="77"/>
      <c r="DI117" s="77"/>
      <c r="DJ117" s="77"/>
      <c r="DK117" s="77"/>
      <c r="DL117" s="77"/>
      <c r="DM117" s="77"/>
      <c r="DN117" s="77"/>
      <c r="DO117" s="77"/>
      <c r="DP117" s="77"/>
      <c r="DQ117" s="77"/>
      <c r="DR117" s="77"/>
      <c r="DS117" s="77"/>
      <c r="DT117" s="77"/>
      <c r="DU117" s="77"/>
      <c r="DV117" s="77"/>
      <c r="DW117" s="77"/>
      <c r="DX117" s="77"/>
      <c r="DY117" s="77"/>
      <c r="DZ117" s="77"/>
      <c r="EA117" s="77"/>
      <c r="EB117" s="77"/>
      <c r="EC117" s="77"/>
      <c r="ED117" s="77"/>
      <c r="EE117" s="77"/>
      <c r="EF117" s="77"/>
      <c r="EG117" s="77"/>
      <c r="EH117" s="77"/>
      <c r="EI117" s="77"/>
      <c r="EJ117" s="77"/>
      <c r="EK117" s="77"/>
      <c r="EL117" s="77"/>
      <c r="EM117" s="77"/>
      <c r="EN117" s="77"/>
      <c r="EO117" s="77"/>
      <c r="EP117" s="77"/>
      <c r="EQ117" s="77"/>
      <c r="ER117" s="77"/>
      <c r="ES117" s="77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</row>
    <row r="118" spans="1:161" s="1" customFormat="1" ht="120" customHeight="1" x14ac:dyDescent="0.85">
      <c r="A118" s="69"/>
      <c r="B118" s="317" t="s">
        <v>256</v>
      </c>
      <c r="C118" s="317"/>
      <c r="D118" s="317"/>
      <c r="E118" s="317"/>
      <c r="F118" s="317"/>
      <c r="G118" s="317"/>
      <c r="H118" s="317"/>
      <c r="I118" s="317"/>
      <c r="J118" s="317"/>
      <c r="K118" s="317"/>
      <c r="L118" s="317"/>
      <c r="M118" s="317"/>
      <c r="N118" s="317"/>
      <c r="O118" s="317"/>
      <c r="P118" s="317"/>
      <c r="Q118" s="317"/>
      <c r="R118" s="317"/>
      <c r="S118" s="317"/>
      <c r="T118" s="317"/>
      <c r="U118" s="317"/>
      <c r="V118" s="317"/>
      <c r="W118" s="317"/>
      <c r="X118" s="317"/>
      <c r="Y118" s="318" t="s">
        <v>104</v>
      </c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  <c r="AN118" s="318"/>
      <c r="AO118" s="318"/>
      <c r="AP118" s="318"/>
      <c r="AQ118" s="318"/>
      <c r="AR118" s="318"/>
      <c r="AS118" s="318"/>
      <c r="AT118" s="318"/>
      <c r="AU118" s="318"/>
      <c r="AV118" s="448"/>
      <c r="AW118" s="448"/>
      <c r="AX118" s="448"/>
      <c r="AY118" s="448"/>
      <c r="AZ118" s="448"/>
      <c r="BA118" s="448"/>
      <c r="BB118" s="448"/>
      <c r="BC118" s="448"/>
      <c r="BD118" s="448"/>
      <c r="BE118" s="448"/>
      <c r="BF118" s="448"/>
      <c r="BG118" s="448"/>
      <c r="BH118" s="448"/>
      <c r="BI118" s="448"/>
      <c r="BJ118" s="448"/>
      <c r="BK118" s="448"/>
      <c r="BL118" s="448"/>
      <c r="BM118" s="448"/>
      <c r="BN118" s="448"/>
      <c r="BO118" s="448"/>
      <c r="BP118" s="448"/>
      <c r="BQ118" s="448"/>
      <c r="BR118" s="448"/>
      <c r="BS118" s="77"/>
      <c r="BT118" s="77"/>
      <c r="BU118" s="77"/>
      <c r="BV118" s="77"/>
      <c r="BW118" s="77"/>
      <c r="BX118" s="77"/>
      <c r="BY118" s="77"/>
      <c r="BZ118" s="77"/>
      <c r="CA118" s="77"/>
      <c r="CB118" s="77"/>
      <c r="CC118" s="77"/>
      <c r="CD118" s="77"/>
      <c r="CE118" s="77"/>
      <c r="CF118" s="77"/>
      <c r="CG118" s="77"/>
      <c r="CH118" s="77"/>
      <c r="CI118" s="77"/>
      <c r="CJ118" s="77"/>
      <c r="CK118" s="77"/>
      <c r="CL118" s="77"/>
      <c r="CM118" s="77"/>
      <c r="CN118" s="77"/>
      <c r="CO118" s="77"/>
      <c r="CP118" s="77"/>
      <c r="CQ118" s="77"/>
      <c r="CR118" s="77"/>
      <c r="CS118" s="77"/>
      <c r="CT118" s="77"/>
      <c r="CU118" s="77"/>
      <c r="CV118" s="77"/>
      <c r="CW118" s="77"/>
      <c r="CX118" s="77"/>
      <c r="CY118" s="77"/>
      <c r="CZ118" s="77"/>
      <c r="DA118" s="77"/>
      <c r="DB118" s="77"/>
      <c r="DC118" s="77"/>
      <c r="DD118" s="77"/>
      <c r="DE118" s="77"/>
      <c r="DF118" s="77"/>
      <c r="DG118" s="77"/>
      <c r="DH118" s="77"/>
      <c r="DI118" s="77"/>
      <c r="DJ118" s="77"/>
      <c r="DK118" s="77"/>
      <c r="DL118" s="77"/>
      <c r="DM118" s="77"/>
      <c r="DN118" s="77"/>
      <c r="DO118" s="77"/>
      <c r="DP118" s="77"/>
      <c r="DQ118" s="77"/>
      <c r="DR118" s="77"/>
      <c r="DS118" s="77"/>
      <c r="DT118" s="77"/>
      <c r="DU118" s="77"/>
      <c r="DV118" s="77"/>
      <c r="DW118" s="77"/>
      <c r="DX118" s="77"/>
      <c r="DY118" s="77"/>
      <c r="DZ118" s="77"/>
      <c r="EA118" s="77"/>
      <c r="EB118" s="77"/>
      <c r="EC118" s="77"/>
      <c r="ED118" s="77"/>
      <c r="EE118" s="77"/>
      <c r="EF118" s="77"/>
      <c r="EG118" s="77"/>
      <c r="EH118" s="77"/>
      <c r="EI118" s="77"/>
      <c r="EJ118" s="77"/>
      <c r="EK118" s="77"/>
      <c r="EL118" s="77"/>
      <c r="EM118" s="77"/>
      <c r="EN118" s="77"/>
      <c r="EO118" s="77"/>
      <c r="EP118" s="77"/>
      <c r="EQ118" s="77"/>
      <c r="ER118" s="77"/>
      <c r="ES118" s="77"/>
    </row>
    <row r="119" spans="1:161" s="1" customFormat="1" ht="120" customHeight="1" x14ac:dyDescent="0.85">
      <c r="A119" s="69"/>
      <c r="B119" s="317"/>
      <c r="C119" s="317"/>
      <c r="D119" s="317"/>
      <c r="E119" s="317"/>
      <c r="F119" s="317"/>
      <c r="G119" s="317"/>
      <c r="H119" s="317"/>
      <c r="I119" s="317"/>
      <c r="J119" s="317"/>
      <c r="K119" s="317"/>
      <c r="L119" s="317"/>
      <c r="M119" s="317"/>
      <c r="N119" s="317"/>
      <c r="O119" s="317"/>
      <c r="P119" s="317"/>
      <c r="Q119" s="317"/>
      <c r="R119" s="317"/>
      <c r="S119" s="317"/>
      <c r="T119" s="317"/>
      <c r="U119" s="317"/>
      <c r="V119" s="317"/>
      <c r="W119" s="317"/>
      <c r="X119" s="317"/>
      <c r="Y119" s="448"/>
      <c r="Z119" s="448"/>
      <c r="AA119" s="448"/>
      <c r="AB119" s="448"/>
      <c r="AC119" s="448"/>
      <c r="AD119" s="448"/>
      <c r="AE119" s="448"/>
      <c r="AF119" s="448"/>
      <c r="AG119" s="448"/>
      <c r="AH119" s="448"/>
      <c r="AI119" s="448"/>
      <c r="AJ119" s="448"/>
      <c r="AK119" s="448"/>
      <c r="AL119" s="448"/>
      <c r="AM119" s="448"/>
      <c r="AN119" s="448"/>
      <c r="AO119" s="448"/>
      <c r="AP119" s="448"/>
      <c r="AQ119" s="448"/>
      <c r="AR119" s="448"/>
      <c r="AS119" s="448"/>
      <c r="AT119" s="448"/>
      <c r="AU119" s="448"/>
      <c r="AV119" s="448"/>
      <c r="AW119" s="448"/>
      <c r="AX119" s="448"/>
      <c r="AY119" s="448"/>
      <c r="AZ119" s="448"/>
      <c r="BA119" s="448"/>
      <c r="BB119" s="448"/>
      <c r="BC119" s="448"/>
      <c r="BD119" s="448"/>
      <c r="BE119" s="448"/>
      <c r="BF119" s="448"/>
      <c r="BG119" s="448"/>
      <c r="BH119" s="448"/>
      <c r="BI119" s="448"/>
      <c r="BJ119" s="448"/>
      <c r="BK119" s="448"/>
      <c r="BL119" s="448"/>
      <c r="BM119" s="448"/>
      <c r="BN119" s="448"/>
      <c r="BO119" s="448"/>
      <c r="BP119" s="448"/>
      <c r="BQ119" s="448"/>
      <c r="BR119" s="448"/>
      <c r="BS119" s="77"/>
      <c r="BT119" s="77"/>
      <c r="BU119" s="77"/>
      <c r="BV119" s="77"/>
      <c r="BW119" s="77"/>
      <c r="BX119" s="77"/>
      <c r="BY119" s="77"/>
      <c r="BZ119" s="77"/>
      <c r="CA119" s="77"/>
      <c r="CB119" s="77"/>
      <c r="CC119" s="77"/>
      <c r="CD119" s="77"/>
      <c r="CE119" s="77"/>
      <c r="CF119" s="77"/>
      <c r="CG119" s="77"/>
      <c r="CH119" s="77"/>
      <c r="CI119" s="77"/>
      <c r="CJ119" s="77"/>
      <c r="CK119" s="77"/>
      <c r="CL119" s="77"/>
      <c r="CM119" s="77"/>
      <c r="CN119" s="77"/>
      <c r="CO119" s="77"/>
      <c r="CP119" s="77"/>
      <c r="CQ119" s="77"/>
      <c r="CR119" s="77"/>
      <c r="CS119" s="77"/>
      <c r="CT119" s="77"/>
      <c r="CU119" s="77"/>
      <c r="CV119" s="77"/>
      <c r="CW119" s="77"/>
      <c r="CX119" s="77"/>
      <c r="CY119" s="77"/>
      <c r="CZ119" s="77"/>
      <c r="DA119" s="77"/>
      <c r="DB119" s="77"/>
      <c r="DC119" s="77"/>
      <c r="DD119" s="77"/>
      <c r="DE119" s="77"/>
      <c r="DF119" s="77"/>
      <c r="DG119" s="77"/>
      <c r="DH119" s="77"/>
      <c r="DI119" s="77"/>
      <c r="DJ119" s="77"/>
      <c r="DK119" s="77"/>
      <c r="DL119" s="77"/>
      <c r="DM119" s="77"/>
      <c r="DN119" s="77"/>
      <c r="DO119" s="77"/>
      <c r="DP119" s="77"/>
      <c r="DQ119" s="77"/>
      <c r="DR119" s="77"/>
      <c r="DS119" s="77"/>
      <c r="DT119" s="77"/>
      <c r="DU119" s="77"/>
      <c r="DV119" s="77"/>
      <c r="DW119" s="77"/>
      <c r="DX119" s="77"/>
      <c r="DY119" s="77"/>
      <c r="DZ119" s="77"/>
      <c r="EA119" s="77"/>
      <c r="EB119" s="77"/>
      <c r="EC119" s="77"/>
      <c r="ED119" s="77"/>
      <c r="EE119" s="77"/>
      <c r="EF119" s="77"/>
      <c r="EG119" s="77"/>
      <c r="EH119" s="77"/>
      <c r="EI119" s="77"/>
      <c r="EJ119" s="77"/>
      <c r="EK119" s="77"/>
      <c r="EL119" s="77"/>
      <c r="EM119" s="77"/>
      <c r="EN119" s="77"/>
      <c r="EO119" s="77"/>
      <c r="EP119" s="77"/>
      <c r="EQ119" s="77"/>
      <c r="ER119" s="77"/>
      <c r="ES119" s="77"/>
    </row>
    <row r="120" spans="1:161" s="1" customFormat="1" ht="120" customHeight="1" x14ac:dyDescent="0.85">
      <c r="A120" s="69"/>
      <c r="B120" s="317" t="s">
        <v>230</v>
      </c>
      <c r="C120" s="317"/>
      <c r="D120" s="317"/>
      <c r="E120" s="317"/>
      <c r="F120" s="317"/>
      <c r="G120" s="317"/>
      <c r="H120" s="317"/>
      <c r="I120" s="317"/>
      <c r="J120" s="317"/>
      <c r="K120" s="317"/>
      <c r="L120" s="317"/>
      <c r="M120" s="317"/>
      <c r="N120" s="317"/>
      <c r="O120" s="317"/>
      <c r="P120" s="317"/>
      <c r="Q120" s="317"/>
      <c r="R120" s="317"/>
      <c r="S120" s="317"/>
      <c r="T120" s="317"/>
      <c r="U120" s="317"/>
      <c r="V120" s="317"/>
      <c r="W120" s="317"/>
      <c r="X120" s="317"/>
      <c r="Y120" s="318" t="s">
        <v>104</v>
      </c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  <c r="AT120" s="318"/>
      <c r="AU120" s="318"/>
      <c r="AV120" s="448"/>
      <c r="AW120" s="448"/>
      <c r="AX120" s="448"/>
      <c r="AY120" s="448"/>
      <c r="AZ120" s="448"/>
      <c r="BA120" s="448"/>
      <c r="BB120" s="448"/>
      <c r="BC120" s="448"/>
      <c r="BD120" s="448"/>
      <c r="BE120" s="448"/>
      <c r="BF120" s="448"/>
      <c r="BG120" s="448"/>
      <c r="BH120" s="448"/>
      <c r="BI120" s="448"/>
      <c r="BJ120" s="448"/>
      <c r="BK120" s="448"/>
      <c r="BL120" s="448"/>
      <c r="BM120" s="448"/>
      <c r="BN120" s="448"/>
      <c r="BO120" s="448"/>
      <c r="BP120" s="448"/>
      <c r="BQ120" s="448"/>
      <c r="BR120" s="448"/>
      <c r="BS120" s="77"/>
      <c r="BT120" s="77"/>
      <c r="BU120" s="77"/>
      <c r="BV120" s="77"/>
      <c r="BW120" s="77"/>
      <c r="BX120" s="77"/>
      <c r="BY120" s="77"/>
      <c r="BZ120" s="77"/>
      <c r="CA120" s="77"/>
      <c r="CB120" s="77"/>
      <c r="CC120" s="77"/>
      <c r="CD120" s="77"/>
      <c r="CE120" s="77"/>
      <c r="CF120" s="77"/>
      <c r="CG120" s="77"/>
      <c r="CH120" s="77"/>
      <c r="CI120" s="77"/>
      <c r="CJ120" s="77"/>
      <c r="CK120" s="77"/>
      <c r="CL120" s="77"/>
      <c r="CM120" s="77"/>
      <c r="CN120" s="77"/>
      <c r="CO120" s="77"/>
      <c r="CP120" s="77"/>
      <c r="CQ120" s="77"/>
      <c r="CR120" s="77"/>
      <c r="CS120" s="77"/>
      <c r="CT120" s="77"/>
      <c r="CU120" s="77"/>
      <c r="CV120" s="77"/>
      <c r="CW120" s="77"/>
      <c r="CX120" s="77"/>
      <c r="CY120" s="77"/>
      <c r="CZ120" s="77"/>
      <c r="DA120" s="77"/>
      <c r="DB120" s="77"/>
      <c r="DC120" s="77"/>
      <c r="DD120" s="77"/>
      <c r="DE120" s="77"/>
      <c r="DF120" s="77"/>
      <c r="DG120" s="77"/>
      <c r="DH120" s="77"/>
      <c r="DI120" s="77"/>
      <c r="DJ120" s="77"/>
      <c r="DK120" s="77"/>
      <c r="DL120" s="77"/>
      <c r="DM120" s="77"/>
      <c r="DN120" s="77"/>
      <c r="DO120" s="77"/>
      <c r="DP120" s="77"/>
      <c r="DQ120" s="77"/>
      <c r="DR120" s="77"/>
      <c r="DS120" s="77"/>
      <c r="DT120" s="77"/>
      <c r="DU120" s="77"/>
      <c r="DV120" s="77"/>
      <c r="DW120" s="77"/>
      <c r="DX120" s="77"/>
      <c r="DY120" s="77"/>
      <c r="DZ120" s="77"/>
      <c r="EA120" s="77"/>
      <c r="EB120" s="77"/>
      <c r="EC120" s="77"/>
      <c r="ED120" s="77"/>
      <c r="EE120" s="77"/>
      <c r="EF120" s="77"/>
      <c r="EG120" s="77"/>
      <c r="EH120" s="77"/>
      <c r="EI120" s="77"/>
      <c r="EJ120" s="77"/>
      <c r="EK120" s="77"/>
      <c r="EL120" s="77"/>
      <c r="EM120" s="77"/>
      <c r="EN120" s="77"/>
      <c r="EO120" s="77"/>
      <c r="EP120" s="77"/>
      <c r="EQ120" s="77"/>
      <c r="ER120" s="77"/>
      <c r="ES120" s="77"/>
    </row>
    <row r="121" spans="1:161" s="104" customFormat="1" ht="120" customHeight="1" x14ac:dyDescent="1.05">
      <c r="A121" s="69"/>
      <c r="B121" s="168"/>
      <c r="C121" s="169"/>
      <c r="D121" s="169"/>
      <c r="E121" s="169"/>
      <c r="F121" s="169"/>
      <c r="G121" s="169"/>
      <c r="H121" s="169"/>
      <c r="I121" s="169"/>
      <c r="J121" s="169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00"/>
      <c r="Z121" s="101"/>
      <c r="AA121" s="101"/>
      <c r="AB121" s="101"/>
      <c r="AC121" s="101"/>
      <c r="AD121" s="100"/>
      <c r="AE121" s="100"/>
      <c r="AF121" s="100"/>
      <c r="AG121" s="100"/>
      <c r="AH121" s="100"/>
      <c r="AI121" s="100"/>
      <c r="AJ121" s="100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s="101"/>
      <c r="AV121" s="91"/>
      <c r="AW121" s="102"/>
      <c r="AX121" s="102"/>
      <c r="AY121" s="102"/>
      <c r="AZ121" s="102"/>
      <c r="BA121" s="102"/>
      <c r="BB121" s="102"/>
      <c r="BC121" s="102"/>
      <c r="BD121" s="103"/>
      <c r="BE121" s="103"/>
      <c r="BF121" s="103"/>
      <c r="BG121" s="103"/>
      <c r="BH121" s="103"/>
      <c r="BI121" s="103"/>
      <c r="BJ121" s="103"/>
      <c r="BK121" s="103"/>
      <c r="BL121" s="103"/>
      <c r="BM121" s="103"/>
      <c r="BN121" s="103"/>
      <c r="BO121" s="103"/>
      <c r="BP121" s="103"/>
      <c r="BQ121" s="103"/>
      <c r="BR121" s="103"/>
      <c r="BS121" s="103"/>
      <c r="BT121" s="103"/>
      <c r="BU121" s="103"/>
      <c r="BV121" s="103"/>
      <c r="BW121" s="103"/>
      <c r="BX121" s="77"/>
      <c r="BY121" s="77"/>
      <c r="BZ121" s="77"/>
      <c r="CA121" s="77"/>
      <c r="CB121" s="77"/>
      <c r="CC121" s="77"/>
      <c r="CD121" s="77"/>
      <c r="CE121" s="77"/>
      <c r="CF121" s="77"/>
      <c r="CG121" s="77"/>
      <c r="CH121" s="77"/>
      <c r="CI121" s="77"/>
      <c r="CJ121" s="77"/>
      <c r="CK121" s="77"/>
      <c r="CL121" s="77"/>
      <c r="CM121" s="77"/>
      <c r="CN121" s="77"/>
      <c r="CO121" s="77"/>
      <c r="CP121" s="77"/>
      <c r="CQ121" s="77"/>
      <c r="CR121" s="77"/>
      <c r="CS121" s="77"/>
      <c r="CT121" s="77"/>
      <c r="CU121" s="77"/>
      <c r="CV121" s="77"/>
      <c r="CW121" s="77"/>
      <c r="CX121" s="77"/>
      <c r="CY121" s="77"/>
      <c r="CZ121" s="77"/>
      <c r="DA121" s="77"/>
      <c r="DB121" s="77"/>
      <c r="DC121" s="103"/>
      <c r="DD121" s="103"/>
      <c r="DE121" s="103"/>
      <c r="DF121" s="103"/>
      <c r="DG121" s="103"/>
      <c r="DH121" s="103"/>
      <c r="DI121" s="103"/>
      <c r="DJ121" s="103"/>
      <c r="DK121" s="103"/>
      <c r="DL121" s="77"/>
      <c r="DM121" s="77"/>
      <c r="DN121" s="77"/>
      <c r="DO121" s="77"/>
      <c r="DP121" s="77"/>
      <c r="DQ121" s="77"/>
      <c r="DR121" s="77"/>
      <c r="DS121" s="77"/>
      <c r="DT121" s="77"/>
      <c r="DU121" s="77"/>
      <c r="DV121" s="77"/>
      <c r="DW121" s="77"/>
      <c r="DX121" s="77"/>
      <c r="DY121" s="77"/>
      <c r="DZ121" s="77"/>
      <c r="EA121" s="77"/>
      <c r="EB121" s="77"/>
      <c r="EC121" s="77"/>
      <c r="ED121" s="77"/>
      <c r="EE121" s="77"/>
      <c r="EF121" s="77"/>
      <c r="EG121" s="77"/>
      <c r="EH121" s="77"/>
      <c r="EI121" s="77"/>
      <c r="EJ121" s="77"/>
      <c r="EK121" s="77"/>
      <c r="EL121" s="77"/>
      <c r="EM121" s="77"/>
      <c r="EN121" s="77"/>
      <c r="EO121" s="77"/>
      <c r="EP121" s="77"/>
      <c r="EQ121" s="77"/>
      <c r="ER121" s="77"/>
      <c r="ES121" s="77"/>
    </row>
    <row r="122" spans="1:161" ht="120" customHeight="1" x14ac:dyDescent="0.25">
      <c r="B122" s="317" t="s">
        <v>262</v>
      </c>
      <c r="C122" s="317"/>
      <c r="D122" s="317"/>
      <c r="E122" s="317"/>
      <c r="F122" s="317"/>
      <c r="G122" s="317"/>
      <c r="H122" s="317"/>
      <c r="I122" s="317"/>
      <c r="J122" s="317"/>
      <c r="K122" s="317"/>
      <c r="L122" s="317"/>
      <c r="M122" s="317"/>
      <c r="N122" s="317"/>
      <c r="O122" s="317"/>
      <c r="P122" s="317"/>
      <c r="Q122" s="317"/>
      <c r="R122" s="317"/>
      <c r="S122" s="317"/>
      <c r="T122" s="317"/>
      <c r="U122" s="317"/>
      <c r="V122" s="317"/>
      <c r="W122" s="317"/>
      <c r="X122" s="317"/>
      <c r="Y122" s="318" t="s">
        <v>104</v>
      </c>
      <c r="Z122" s="318"/>
      <c r="AA122" s="318"/>
      <c r="AB122" s="318"/>
      <c r="AC122" s="318"/>
      <c r="AD122" s="318"/>
      <c r="AE122" s="318"/>
      <c r="AF122" s="318"/>
      <c r="AG122" s="318"/>
      <c r="AH122" s="318"/>
      <c r="AI122" s="318"/>
      <c r="AJ122" s="318"/>
      <c r="AK122" s="318"/>
      <c r="AL122" s="318"/>
      <c r="AM122" s="318"/>
      <c r="AN122" s="318"/>
      <c r="AO122" s="318"/>
      <c r="AP122" s="318"/>
      <c r="AQ122" s="318"/>
      <c r="AR122" s="318"/>
      <c r="AS122" s="318"/>
      <c r="AT122" s="318"/>
      <c r="AU122" s="318"/>
    </row>
  </sheetData>
  <mergeCells count="1728">
    <mergeCell ref="C112:AD112"/>
    <mergeCell ref="AE112:AL112"/>
    <mergeCell ref="AM112:AT112"/>
    <mergeCell ref="AG90:AK91"/>
    <mergeCell ref="AD90:AF91"/>
    <mergeCell ref="Z90:AC91"/>
    <mergeCell ref="C90:Y90"/>
    <mergeCell ref="A90:A91"/>
    <mergeCell ref="C91:Y91"/>
    <mergeCell ref="EQ90:ES91"/>
    <mergeCell ref="EM90:EP91"/>
    <mergeCell ref="EI90:EL91"/>
    <mergeCell ref="EE90:EH91"/>
    <mergeCell ref="EA90:ED91"/>
    <mergeCell ref="DW90:DZ91"/>
    <mergeCell ref="DS90:DV91"/>
    <mergeCell ref="DO90:DR91"/>
    <mergeCell ref="DK90:DN91"/>
    <mergeCell ref="DG90:DJ91"/>
    <mergeCell ref="DC90:DF91"/>
    <mergeCell ref="CY90:DB91"/>
    <mergeCell ref="CU90:CX91"/>
    <mergeCell ref="CQ90:CT91"/>
    <mergeCell ref="CM90:CP91"/>
    <mergeCell ref="CI90:CL91"/>
    <mergeCell ref="CE90:CH91"/>
    <mergeCell ref="CA90:CD91"/>
    <mergeCell ref="BW90:BZ91"/>
    <mergeCell ref="BS90:BV91"/>
    <mergeCell ref="BO90:BR91"/>
    <mergeCell ref="BK90:BN91"/>
    <mergeCell ref="BF90:BJ91"/>
    <mergeCell ref="BA90:BE91"/>
    <mergeCell ref="AV90:AZ91"/>
    <mergeCell ref="AQ90:AU91"/>
    <mergeCell ref="DG54:DJ54"/>
    <mergeCell ref="DK54:DN54"/>
    <mergeCell ref="DO54:DR54"/>
    <mergeCell ref="DS54:DV54"/>
    <mergeCell ref="DW54:DZ54"/>
    <mergeCell ref="EA54:ED54"/>
    <mergeCell ref="EE54:EH54"/>
    <mergeCell ref="EI54:EL54"/>
    <mergeCell ref="EM54:EP54"/>
    <mergeCell ref="EQ54:ES54"/>
    <mergeCell ref="C54:Y54"/>
    <mergeCell ref="Z54:AC54"/>
    <mergeCell ref="AD54:AF54"/>
    <mergeCell ref="AG54:AK54"/>
    <mergeCell ref="AL54:AP54"/>
    <mergeCell ref="AQ54:AU54"/>
    <mergeCell ref="AV54:AZ54"/>
    <mergeCell ref="BA54:BE54"/>
    <mergeCell ref="BF54:BJ54"/>
    <mergeCell ref="BK54:BN54"/>
    <mergeCell ref="BO54:BR54"/>
    <mergeCell ref="BS54:BV54"/>
    <mergeCell ref="BW54:BZ54"/>
    <mergeCell ref="CA54:CD54"/>
    <mergeCell ref="CE54:CH54"/>
    <mergeCell ref="CI54:CL54"/>
    <mergeCell ref="CM54:CP54"/>
    <mergeCell ref="CQ54:CT54"/>
    <mergeCell ref="CU54:CX54"/>
    <mergeCell ref="CY54:DB54"/>
    <mergeCell ref="AL90:AP91"/>
    <mergeCell ref="DC54:DF54"/>
    <mergeCell ref="DG62:DJ62"/>
    <mergeCell ref="DK62:DN62"/>
    <mergeCell ref="DO62:DR62"/>
    <mergeCell ref="DS62:DV62"/>
    <mergeCell ref="DW62:DZ62"/>
    <mergeCell ref="EA62:ED62"/>
    <mergeCell ref="EE62:EH62"/>
    <mergeCell ref="EI62:EL62"/>
    <mergeCell ref="EM62:EP62"/>
    <mergeCell ref="EQ62:ES62"/>
    <mergeCell ref="DC61:DF61"/>
    <mergeCell ref="DG61:DJ61"/>
    <mergeCell ref="DK61:DN61"/>
    <mergeCell ref="DO61:DR61"/>
    <mergeCell ref="DS61:DV61"/>
    <mergeCell ref="DW61:DZ61"/>
    <mergeCell ref="EA61:ED61"/>
    <mergeCell ref="EE61:EH61"/>
    <mergeCell ref="EI61:EL61"/>
    <mergeCell ref="EM61:EP61"/>
    <mergeCell ref="EQ61:ES61"/>
    <mergeCell ref="CQ62:CT62"/>
    <mergeCell ref="CU62:CX62"/>
    <mergeCell ref="CY62:DB62"/>
    <mergeCell ref="DC62:DF62"/>
    <mergeCell ref="CY60:DB60"/>
    <mergeCell ref="DC60:DF60"/>
    <mergeCell ref="DG60:DJ60"/>
    <mergeCell ref="DK60:DN60"/>
    <mergeCell ref="C62:Y62"/>
    <mergeCell ref="Z62:AC62"/>
    <mergeCell ref="AD62:AF62"/>
    <mergeCell ref="AG62:AK62"/>
    <mergeCell ref="AL62:AP62"/>
    <mergeCell ref="AQ62:AU62"/>
    <mergeCell ref="AV62:AZ62"/>
    <mergeCell ref="BA62:BE62"/>
    <mergeCell ref="BF62:BJ62"/>
    <mergeCell ref="BK62:BN62"/>
    <mergeCell ref="BO62:BR62"/>
    <mergeCell ref="BS62:BV62"/>
    <mergeCell ref="BW62:BZ62"/>
    <mergeCell ref="CA62:CD62"/>
    <mergeCell ref="CE62:CH62"/>
    <mergeCell ref="CI62:CL62"/>
    <mergeCell ref="CM62:CP62"/>
    <mergeCell ref="DS60:DV60"/>
    <mergeCell ref="DW60:DZ60"/>
    <mergeCell ref="EA60:ED60"/>
    <mergeCell ref="EE60:EH60"/>
    <mergeCell ref="EI60:EL60"/>
    <mergeCell ref="EM60:EP60"/>
    <mergeCell ref="EQ60:ES60"/>
    <mergeCell ref="C61:Y61"/>
    <mergeCell ref="Z61:AC61"/>
    <mergeCell ref="AD61:AF61"/>
    <mergeCell ref="AG61:AK61"/>
    <mergeCell ref="AL61:AP61"/>
    <mergeCell ref="AQ61:AU61"/>
    <mergeCell ref="AV61:AZ61"/>
    <mergeCell ref="BA61:BE61"/>
    <mergeCell ref="BF61:BJ61"/>
    <mergeCell ref="BK61:BN61"/>
    <mergeCell ref="BO61:BR61"/>
    <mergeCell ref="BS61:BV61"/>
    <mergeCell ref="BW61:BZ61"/>
    <mergeCell ref="CA61:CD61"/>
    <mergeCell ref="CE61:CH61"/>
    <mergeCell ref="CI61:CL61"/>
    <mergeCell ref="CM61:CP61"/>
    <mergeCell ref="CQ61:CT61"/>
    <mergeCell ref="CU61:CX61"/>
    <mergeCell ref="CY61:DB61"/>
    <mergeCell ref="DO60:DR60"/>
    <mergeCell ref="CU59:CX59"/>
    <mergeCell ref="CY59:DB59"/>
    <mergeCell ref="DC59:DF59"/>
    <mergeCell ref="DG59:DJ59"/>
    <mergeCell ref="DK59:DN59"/>
    <mergeCell ref="DO59:DR59"/>
    <mergeCell ref="DS59:DV59"/>
    <mergeCell ref="DW59:DZ59"/>
    <mergeCell ref="EA59:ED59"/>
    <mergeCell ref="EE59:EH59"/>
    <mergeCell ref="EI59:EL59"/>
    <mergeCell ref="EM59:EP59"/>
    <mergeCell ref="EQ59:ES59"/>
    <mergeCell ref="CQ60:CT60"/>
    <mergeCell ref="CU60:CX60"/>
    <mergeCell ref="C60:Y60"/>
    <mergeCell ref="Z60:AC60"/>
    <mergeCell ref="AD60:AF60"/>
    <mergeCell ref="AG60:AK60"/>
    <mergeCell ref="AL60:AP60"/>
    <mergeCell ref="AQ60:AU60"/>
    <mergeCell ref="AV60:AZ60"/>
    <mergeCell ref="BA60:BE60"/>
    <mergeCell ref="BF60:BJ60"/>
    <mergeCell ref="BK60:BN60"/>
    <mergeCell ref="BO60:BR60"/>
    <mergeCell ref="BS60:BV60"/>
    <mergeCell ref="BW60:BZ60"/>
    <mergeCell ref="CA60:CD60"/>
    <mergeCell ref="CE60:CH60"/>
    <mergeCell ref="CI60:CL60"/>
    <mergeCell ref="CM60:CP60"/>
    <mergeCell ref="CQ58:CT58"/>
    <mergeCell ref="CU58:CX58"/>
    <mergeCell ref="CY58:DB58"/>
    <mergeCell ref="DC58:DF58"/>
    <mergeCell ref="DG58:DJ58"/>
    <mergeCell ref="DK58:DN58"/>
    <mergeCell ref="DO58:DR58"/>
    <mergeCell ref="DS58:DV58"/>
    <mergeCell ref="DW58:DZ58"/>
    <mergeCell ref="EA58:ED58"/>
    <mergeCell ref="EE58:EH58"/>
    <mergeCell ref="EI58:EL58"/>
    <mergeCell ref="EM58:EP58"/>
    <mergeCell ref="EQ58:ES58"/>
    <mergeCell ref="C59:Y59"/>
    <mergeCell ref="Z59:AC59"/>
    <mergeCell ref="AD59:AF59"/>
    <mergeCell ref="AG59:AK59"/>
    <mergeCell ref="AL59:AP59"/>
    <mergeCell ref="AQ59:AU59"/>
    <mergeCell ref="AV59:AZ59"/>
    <mergeCell ref="BA59:BE59"/>
    <mergeCell ref="BF59:BJ59"/>
    <mergeCell ref="BK59:BN59"/>
    <mergeCell ref="BO59:BR59"/>
    <mergeCell ref="BS59:BV59"/>
    <mergeCell ref="BW59:BZ59"/>
    <mergeCell ref="CA59:CD59"/>
    <mergeCell ref="CE59:CH59"/>
    <mergeCell ref="CI59:CL59"/>
    <mergeCell ref="CM59:CP59"/>
    <mergeCell ref="CQ59:CT59"/>
    <mergeCell ref="C58:Y58"/>
    <mergeCell ref="Z58:AC58"/>
    <mergeCell ref="AD58:AF58"/>
    <mergeCell ref="AG58:AK58"/>
    <mergeCell ref="AL58:AP58"/>
    <mergeCell ref="AQ58:AU58"/>
    <mergeCell ref="AV58:AZ58"/>
    <mergeCell ref="BA58:BE58"/>
    <mergeCell ref="BF58:BJ58"/>
    <mergeCell ref="BK58:BN58"/>
    <mergeCell ref="BO58:BR58"/>
    <mergeCell ref="BS58:BV58"/>
    <mergeCell ref="BW58:BZ58"/>
    <mergeCell ref="CA58:CD58"/>
    <mergeCell ref="CE58:CH58"/>
    <mergeCell ref="CI58:CL58"/>
    <mergeCell ref="CM58:CP58"/>
    <mergeCell ref="DK56:DN56"/>
    <mergeCell ref="DO56:DR56"/>
    <mergeCell ref="DS56:DV56"/>
    <mergeCell ref="DW56:DZ56"/>
    <mergeCell ref="EA56:ED56"/>
    <mergeCell ref="EE56:EH56"/>
    <mergeCell ref="EI56:EL56"/>
    <mergeCell ref="EM56:EP56"/>
    <mergeCell ref="EQ56:ES56"/>
    <mergeCell ref="BS57:BV57"/>
    <mergeCell ref="BW57:BZ57"/>
    <mergeCell ref="CA57:CD57"/>
    <mergeCell ref="CE57:CH57"/>
    <mergeCell ref="CQ57:CT57"/>
    <mergeCell ref="CU57:CX57"/>
    <mergeCell ref="CY57:DB57"/>
    <mergeCell ref="DC57:DF57"/>
    <mergeCell ref="DG57:DJ57"/>
    <mergeCell ref="DK57:DN57"/>
    <mergeCell ref="DO57:DR57"/>
    <mergeCell ref="DS57:DV57"/>
    <mergeCell ref="DW57:DZ57"/>
    <mergeCell ref="EA57:ED57"/>
    <mergeCell ref="EE57:EH57"/>
    <mergeCell ref="EI57:EL57"/>
    <mergeCell ref="EM57:EP57"/>
    <mergeCell ref="EQ57:ES57"/>
    <mergeCell ref="DG55:DJ55"/>
    <mergeCell ref="DK55:DN55"/>
    <mergeCell ref="DO55:DR55"/>
    <mergeCell ref="DS55:DV55"/>
    <mergeCell ref="DW55:DZ55"/>
    <mergeCell ref="EA55:ED55"/>
    <mergeCell ref="EE55:EH55"/>
    <mergeCell ref="EI55:EL55"/>
    <mergeCell ref="EM55:EP55"/>
    <mergeCell ref="EQ55:ES55"/>
    <mergeCell ref="C56:Y56"/>
    <mergeCell ref="Z56:AC56"/>
    <mergeCell ref="AD56:AF56"/>
    <mergeCell ref="AG56:AK56"/>
    <mergeCell ref="AL56:AP56"/>
    <mergeCell ref="AQ56:AU56"/>
    <mergeCell ref="AV56:AZ56"/>
    <mergeCell ref="BA56:BE56"/>
    <mergeCell ref="BF56:BJ56"/>
    <mergeCell ref="BK56:BN56"/>
    <mergeCell ref="BO56:BR56"/>
    <mergeCell ref="BS56:BV56"/>
    <mergeCell ref="BW56:BZ56"/>
    <mergeCell ref="CA56:CD56"/>
    <mergeCell ref="CE56:CH56"/>
    <mergeCell ref="CI56:CL56"/>
    <mergeCell ref="CM56:CP56"/>
    <mergeCell ref="CQ56:CT56"/>
    <mergeCell ref="CU56:CX56"/>
    <mergeCell ref="CY56:DB56"/>
    <mergeCell ref="DC56:DF56"/>
    <mergeCell ref="DG56:DJ56"/>
    <mergeCell ref="DG74:DJ75"/>
    <mergeCell ref="DK74:DN75"/>
    <mergeCell ref="DO74:DR75"/>
    <mergeCell ref="DS74:DV75"/>
    <mergeCell ref="DW74:DZ75"/>
    <mergeCell ref="EA74:ED75"/>
    <mergeCell ref="EE74:EH75"/>
    <mergeCell ref="EI74:EL75"/>
    <mergeCell ref="EM74:EP75"/>
    <mergeCell ref="EQ74:ES75"/>
    <mergeCell ref="C75:Y75"/>
    <mergeCell ref="C55:Y55"/>
    <mergeCell ref="Z55:AC55"/>
    <mergeCell ref="AD55:AF55"/>
    <mergeCell ref="AG55:AK55"/>
    <mergeCell ref="AL55:AP55"/>
    <mergeCell ref="AQ55:AU55"/>
    <mergeCell ref="AV55:AZ55"/>
    <mergeCell ref="BA55:BE55"/>
    <mergeCell ref="BF55:BJ55"/>
    <mergeCell ref="BK55:BN55"/>
    <mergeCell ref="BO55:BR55"/>
    <mergeCell ref="BS55:BV55"/>
    <mergeCell ref="BW55:BZ55"/>
    <mergeCell ref="CA55:CD55"/>
    <mergeCell ref="CE55:CH55"/>
    <mergeCell ref="CI55:CL55"/>
    <mergeCell ref="CM55:CP55"/>
    <mergeCell ref="CQ55:CT55"/>
    <mergeCell ref="CU55:CX55"/>
    <mergeCell ref="CY55:DB55"/>
    <mergeCell ref="DC55:DF55"/>
    <mergeCell ref="DK80:DN81"/>
    <mergeCell ref="DO80:DR81"/>
    <mergeCell ref="DS80:DV81"/>
    <mergeCell ref="DW80:DZ81"/>
    <mergeCell ref="EA80:ED81"/>
    <mergeCell ref="EE80:EH81"/>
    <mergeCell ref="EI80:EL81"/>
    <mergeCell ref="EM80:EP81"/>
    <mergeCell ref="EQ80:ES81"/>
    <mergeCell ref="C81:Y81"/>
    <mergeCell ref="A74:A75"/>
    <mergeCell ref="C74:Y74"/>
    <mergeCell ref="Z74:AC75"/>
    <mergeCell ref="AD74:AF75"/>
    <mergeCell ref="AG74:AK75"/>
    <mergeCell ref="AL74:AP75"/>
    <mergeCell ref="AQ74:AU75"/>
    <mergeCell ref="AV74:AZ75"/>
    <mergeCell ref="BA74:BE75"/>
    <mergeCell ref="BF74:BJ75"/>
    <mergeCell ref="BK74:BN75"/>
    <mergeCell ref="BO74:BR75"/>
    <mergeCell ref="BS74:BV75"/>
    <mergeCell ref="BW74:BZ75"/>
    <mergeCell ref="CA74:CD75"/>
    <mergeCell ref="CE74:CH75"/>
    <mergeCell ref="CI74:CL75"/>
    <mergeCell ref="CM74:CP75"/>
    <mergeCell ref="CQ74:CT75"/>
    <mergeCell ref="CU74:CX75"/>
    <mergeCell ref="CY74:DB75"/>
    <mergeCell ref="DC74:DF75"/>
    <mergeCell ref="DO78:DR79"/>
    <mergeCell ref="DS78:DV79"/>
    <mergeCell ref="DW78:DZ79"/>
    <mergeCell ref="EA78:ED79"/>
    <mergeCell ref="EE78:EH79"/>
    <mergeCell ref="EI78:EL79"/>
    <mergeCell ref="EM78:EP79"/>
    <mergeCell ref="EQ78:ES79"/>
    <mergeCell ref="C79:Y79"/>
    <mergeCell ref="A80:A81"/>
    <mergeCell ref="C80:Y80"/>
    <mergeCell ref="Z80:AC81"/>
    <mergeCell ref="AD80:AF81"/>
    <mergeCell ref="AG80:AK81"/>
    <mergeCell ref="AL80:AP81"/>
    <mergeCell ref="AQ80:AU81"/>
    <mergeCell ref="AV80:AZ81"/>
    <mergeCell ref="BA80:BE81"/>
    <mergeCell ref="BF80:BJ81"/>
    <mergeCell ref="BK80:BN81"/>
    <mergeCell ref="BO80:BR81"/>
    <mergeCell ref="BS80:BV81"/>
    <mergeCell ref="BW80:BZ81"/>
    <mergeCell ref="CA80:CD81"/>
    <mergeCell ref="CE80:CH81"/>
    <mergeCell ref="CI80:CL81"/>
    <mergeCell ref="CM80:CP81"/>
    <mergeCell ref="CQ80:CT81"/>
    <mergeCell ref="CU80:CX81"/>
    <mergeCell ref="CY80:DB81"/>
    <mergeCell ref="DC80:DF81"/>
    <mergeCell ref="DG80:DJ81"/>
    <mergeCell ref="DO76:DR77"/>
    <mergeCell ref="DS76:DV77"/>
    <mergeCell ref="DW76:DZ77"/>
    <mergeCell ref="EA76:ED77"/>
    <mergeCell ref="EE76:EH77"/>
    <mergeCell ref="EI76:EL77"/>
    <mergeCell ref="EM76:EP77"/>
    <mergeCell ref="EQ76:ES77"/>
    <mergeCell ref="C77:Y77"/>
    <mergeCell ref="A78:A79"/>
    <mergeCell ref="C78:Y78"/>
    <mergeCell ref="Z78:AC79"/>
    <mergeCell ref="AD78:AF79"/>
    <mergeCell ref="AG78:AK79"/>
    <mergeCell ref="AL78:AP79"/>
    <mergeCell ref="AQ78:AU79"/>
    <mergeCell ref="AV78:AZ79"/>
    <mergeCell ref="BA78:BE79"/>
    <mergeCell ref="BF78:BJ79"/>
    <mergeCell ref="BK78:BN79"/>
    <mergeCell ref="BO78:BR79"/>
    <mergeCell ref="BS78:BV79"/>
    <mergeCell ref="BW78:BZ79"/>
    <mergeCell ref="CA78:CD79"/>
    <mergeCell ref="CE78:CH79"/>
    <mergeCell ref="CI78:CL79"/>
    <mergeCell ref="CM78:CP79"/>
    <mergeCell ref="CQ78:CT79"/>
    <mergeCell ref="CU78:CX79"/>
    <mergeCell ref="DC78:DF79"/>
    <mergeCell ref="DG78:DJ79"/>
    <mergeCell ref="DK78:DN79"/>
    <mergeCell ref="DO72:DR73"/>
    <mergeCell ref="DS72:DV73"/>
    <mergeCell ref="DW72:DZ73"/>
    <mergeCell ref="EA72:ED73"/>
    <mergeCell ref="EE72:EH73"/>
    <mergeCell ref="EI72:EL73"/>
    <mergeCell ref="EM72:EP73"/>
    <mergeCell ref="EQ72:ES73"/>
    <mergeCell ref="C73:Y73"/>
    <mergeCell ref="A76:A77"/>
    <mergeCell ref="C76:Y76"/>
    <mergeCell ref="Z76:AC77"/>
    <mergeCell ref="AD76:AF77"/>
    <mergeCell ref="AG76:AK77"/>
    <mergeCell ref="AL76:AP77"/>
    <mergeCell ref="AQ76:AU77"/>
    <mergeCell ref="AV76:AZ77"/>
    <mergeCell ref="BA76:BE77"/>
    <mergeCell ref="BF76:BJ77"/>
    <mergeCell ref="BK76:BN77"/>
    <mergeCell ref="BO76:BR77"/>
    <mergeCell ref="BS76:BV77"/>
    <mergeCell ref="BW76:BZ77"/>
    <mergeCell ref="CA76:CD77"/>
    <mergeCell ref="CE76:CH77"/>
    <mergeCell ref="CI76:CL77"/>
    <mergeCell ref="CM76:CP77"/>
    <mergeCell ref="CQ76:CT77"/>
    <mergeCell ref="CU76:CX77"/>
    <mergeCell ref="DC76:DF77"/>
    <mergeCell ref="DG76:DJ77"/>
    <mergeCell ref="DK76:DN77"/>
    <mergeCell ref="A72:A73"/>
    <mergeCell ref="C72:Y72"/>
    <mergeCell ref="Z72:AC73"/>
    <mergeCell ref="AD72:AF73"/>
    <mergeCell ref="AG72:AK73"/>
    <mergeCell ref="AL72:AP73"/>
    <mergeCell ref="AQ72:AU73"/>
    <mergeCell ref="AV72:AZ73"/>
    <mergeCell ref="BA72:BE73"/>
    <mergeCell ref="BF72:BJ73"/>
    <mergeCell ref="BK72:BN73"/>
    <mergeCell ref="BO72:BR73"/>
    <mergeCell ref="BS72:BV73"/>
    <mergeCell ref="BW72:BZ73"/>
    <mergeCell ref="CA72:CD73"/>
    <mergeCell ref="CE72:CH73"/>
    <mergeCell ref="CI72:CL73"/>
    <mergeCell ref="A70:A71"/>
    <mergeCell ref="C70:Y70"/>
    <mergeCell ref="Z70:AC71"/>
    <mergeCell ref="AD70:AF71"/>
    <mergeCell ref="AG70:AK71"/>
    <mergeCell ref="AL70:AP71"/>
    <mergeCell ref="AQ70:AU71"/>
    <mergeCell ref="AV70:AZ71"/>
    <mergeCell ref="BA70:BE71"/>
    <mergeCell ref="BF70:BJ71"/>
    <mergeCell ref="BK70:BN71"/>
    <mergeCell ref="BO70:BR71"/>
    <mergeCell ref="BS70:BV71"/>
    <mergeCell ref="BW70:BZ71"/>
    <mergeCell ref="CA70:CD71"/>
    <mergeCell ref="CE70:CH71"/>
    <mergeCell ref="CI70:CL71"/>
    <mergeCell ref="C71:Y71"/>
    <mergeCell ref="A68:A69"/>
    <mergeCell ref="C68:Y68"/>
    <mergeCell ref="Z68:AC69"/>
    <mergeCell ref="AD68:AF69"/>
    <mergeCell ref="AG68:AK69"/>
    <mergeCell ref="AL68:AP69"/>
    <mergeCell ref="AQ68:AU69"/>
    <mergeCell ref="AV68:AZ69"/>
    <mergeCell ref="BA68:BE69"/>
    <mergeCell ref="BF68:BJ69"/>
    <mergeCell ref="BK68:BN69"/>
    <mergeCell ref="BO68:BR69"/>
    <mergeCell ref="BS68:BV69"/>
    <mergeCell ref="BW68:BZ69"/>
    <mergeCell ref="CA68:CD69"/>
    <mergeCell ref="CE68:CH69"/>
    <mergeCell ref="CI68:CL69"/>
    <mergeCell ref="C69:Y69"/>
    <mergeCell ref="HK23:HL23"/>
    <mergeCell ref="HM23:HN23"/>
    <mergeCell ref="EW21:EX21"/>
    <mergeCell ref="GY21:GZ21"/>
    <mergeCell ref="HA21:HB21"/>
    <mergeCell ref="AK2:DC2"/>
    <mergeCell ref="AK3:DC3"/>
    <mergeCell ref="AK4:DC4"/>
    <mergeCell ref="AK5:DC5"/>
    <mergeCell ref="AK6:DC6"/>
    <mergeCell ref="AK7:DC7"/>
    <mergeCell ref="AK8:DC8"/>
    <mergeCell ref="EW12:EX17"/>
    <mergeCell ref="EW20:EX20"/>
    <mergeCell ref="GE16:GH16"/>
    <mergeCell ref="GI16:GL16"/>
    <mergeCell ref="GM16:GP16"/>
    <mergeCell ref="GQ16:GT16"/>
    <mergeCell ref="HK20:HL20"/>
    <mergeCell ref="HM20:HN20"/>
    <mergeCell ref="EW18:EX18"/>
    <mergeCell ref="GY18:GZ18"/>
    <mergeCell ref="HA18:HB18"/>
    <mergeCell ref="HC18:HD18"/>
    <mergeCell ref="HE18:HF18"/>
    <mergeCell ref="HG18:HH18"/>
    <mergeCell ref="HI18:HJ18"/>
    <mergeCell ref="HK18:HL18"/>
    <mergeCell ref="HG21:HH21"/>
    <mergeCell ref="HK21:HL21"/>
    <mergeCell ref="HM21:HN21"/>
    <mergeCell ref="EW22:EX22"/>
    <mergeCell ref="GY22:GZ22"/>
    <mergeCell ref="HA22:HB22"/>
    <mergeCell ref="HC22:HD22"/>
    <mergeCell ref="HE22:HF22"/>
    <mergeCell ref="HG22:HH22"/>
    <mergeCell ref="HI22:HJ22"/>
    <mergeCell ref="HK22:HL22"/>
    <mergeCell ref="HM22:HN22"/>
    <mergeCell ref="HK12:HL17"/>
    <mergeCell ref="HM18:HN18"/>
    <mergeCell ref="EW19:EX19"/>
    <mergeCell ref="GY19:GZ19"/>
    <mergeCell ref="HA19:HB19"/>
    <mergeCell ref="HC19:HD19"/>
    <mergeCell ref="HE19:HF19"/>
    <mergeCell ref="HG19:HH19"/>
    <mergeCell ref="HI19:HJ19"/>
    <mergeCell ref="HK19:HL19"/>
    <mergeCell ref="HM19:HN19"/>
    <mergeCell ref="HG20:HH20"/>
    <mergeCell ref="HI20:HJ20"/>
    <mergeCell ref="A88:A89"/>
    <mergeCell ref="HC21:HD21"/>
    <mergeCell ref="HE21:HF21"/>
    <mergeCell ref="CU88:CX89"/>
    <mergeCell ref="CM88:CP89"/>
    <mergeCell ref="BF51:BJ51"/>
    <mergeCell ref="BK51:BN51"/>
    <mergeCell ref="BO51:BR51"/>
    <mergeCell ref="EQ50:ES50"/>
    <mergeCell ref="DK49:DN49"/>
    <mergeCell ref="DO49:DR49"/>
    <mergeCell ref="DS49:DV49"/>
    <mergeCell ref="DW49:DZ49"/>
    <mergeCell ref="EA49:ED49"/>
    <mergeCell ref="EE49:EH49"/>
    <mergeCell ref="EI49:EL49"/>
    <mergeCell ref="HM12:HN17"/>
    <mergeCell ref="GY20:GZ20"/>
    <mergeCell ref="HA20:HB20"/>
    <mergeCell ref="HC20:HD20"/>
    <mergeCell ref="HE20:HF20"/>
    <mergeCell ref="A86:A87"/>
    <mergeCell ref="Z86:AC87"/>
    <mergeCell ref="AD86:AF87"/>
    <mergeCell ref="AG86:AK87"/>
    <mergeCell ref="AL86:AP87"/>
    <mergeCell ref="AQ86:AU87"/>
    <mergeCell ref="AV86:AZ87"/>
    <mergeCell ref="BA86:BE87"/>
    <mergeCell ref="BF86:BJ87"/>
    <mergeCell ref="BK86:BN87"/>
    <mergeCell ref="BO86:BR87"/>
    <mergeCell ref="BF88:BJ89"/>
    <mergeCell ref="GY13:GZ17"/>
    <mergeCell ref="HA13:HJ13"/>
    <mergeCell ref="HA14:HB17"/>
    <mergeCell ref="HC14:HD17"/>
    <mergeCell ref="HE14:HF17"/>
    <mergeCell ref="HG14:HH17"/>
    <mergeCell ref="HI14:HJ17"/>
    <mergeCell ref="EY16:FC16"/>
    <mergeCell ref="FD16:FG16"/>
    <mergeCell ref="FH16:FL16"/>
    <mergeCell ref="FM16:FP16"/>
    <mergeCell ref="FQ16:FU16"/>
    <mergeCell ref="FV16:FY16"/>
    <mergeCell ref="FZ16:GD16"/>
    <mergeCell ref="GU16:GX16"/>
    <mergeCell ref="EY12:GX15"/>
    <mergeCell ref="GY12:HJ12"/>
    <mergeCell ref="HI21:HJ21"/>
    <mergeCell ref="HE23:HF23"/>
    <mergeCell ref="HG23:HH23"/>
    <mergeCell ref="HI23:HJ23"/>
    <mergeCell ref="EM68:EP69"/>
    <mergeCell ref="EQ68:ES69"/>
    <mergeCell ref="CM70:CP71"/>
    <mergeCell ref="CQ70:CT71"/>
    <mergeCell ref="CU70:CX71"/>
    <mergeCell ref="DC70:DF71"/>
    <mergeCell ref="DG70:DJ71"/>
    <mergeCell ref="DK70:DN71"/>
    <mergeCell ref="DO70:DR71"/>
    <mergeCell ref="DS70:DV71"/>
    <mergeCell ref="C87:Y87"/>
    <mergeCell ref="C86:Y86"/>
    <mergeCell ref="EI99:EL99"/>
    <mergeCell ref="EM99:EP99"/>
    <mergeCell ref="EQ99:ES99"/>
    <mergeCell ref="EQ93:ES93"/>
    <mergeCell ref="EQ94:ES94"/>
    <mergeCell ref="EM94:EP94"/>
    <mergeCell ref="DC94:DF94"/>
    <mergeCell ref="DC99:DF99"/>
    <mergeCell ref="DG99:DJ99"/>
    <mergeCell ref="CY64:DB65"/>
    <mergeCell ref="AD64:AF65"/>
    <mergeCell ref="EQ86:ES87"/>
    <mergeCell ref="EI88:EL89"/>
    <mergeCell ref="EM88:EP89"/>
    <mergeCell ref="EQ88:ES89"/>
    <mergeCell ref="CQ88:CT89"/>
    <mergeCell ref="CY88:DB89"/>
    <mergeCell ref="BS86:BV87"/>
    <mergeCell ref="BW86:BZ87"/>
    <mergeCell ref="CA86:CD87"/>
    <mergeCell ref="CE86:CH87"/>
    <mergeCell ref="CI86:CL87"/>
    <mergeCell ref="CM86:CP87"/>
    <mergeCell ref="DS88:DV89"/>
    <mergeCell ref="DW88:DZ89"/>
    <mergeCell ref="EA88:ED89"/>
    <mergeCell ref="EE88:EH89"/>
    <mergeCell ref="DS86:DV87"/>
    <mergeCell ref="AQ88:AU89"/>
    <mergeCell ref="AV88:AZ89"/>
    <mergeCell ref="BO63:BR63"/>
    <mergeCell ref="CU84:CX85"/>
    <mergeCell ref="CY84:DB85"/>
    <mergeCell ref="Z82:AC83"/>
    <mergeCell ref="AG64:AK65"/>
    <mergeCell ref="AL64:AP65"/>
    <mergeCell ref="AQ64:AU65"/>
    <mergeCell ref="EW23:GX23"/>
    <mergeCell ref="GY23:GZ23"/>
    <mergeCell ref="HA23:HB23"/>
    <mergeCell ref="HC23:HD23"/>
    <mergeCell ref="C63:Y63"/>
    <mergeCell ref="Z63:AC63"/>
    <mergeCell ref="AD63:AF63"/>
    <mergeCell ref="AG63:AK63"/>
    <mergeCell ref="AL63:AP63"/>
    <mergeCell ref="AQ63:AU63"/>
    <mergeCell ref="CU64:CX65"/>
    <mergeCell ref="BA66:BE67"/>
    <mergeCell ref="BF66:BJ67"/>
    <mergeCell ref="DW70:DZ71"/>
    <mergeCell ref="EA70:ED71"/>
    <mergeCell ref="EE70:EH71"/>
    <mergeCell ref="EI70:EL71"/>
    <mergeCell ref="EM70:EP71"/>
    <mergeCell ref="EQ70:ES71"/>
    <mergeCell ref="CM72:CP73"/>
    <mergeCell ref="CQ72:CT73"/>
    <mergeCell ref="CU72:CX73"/>
    <mergeCell ref="DC72:DF73"/>
    <mergeCell ref="DG72:DJ73"/>
    <mergeCell ref="DK72:DN73"/>
    <mergeCell ref="CY49:DB49"/>
    <mergeCell ref="DC49:DF49"/>
    <mergeCell ref="DG49:DJ49"/>
    <mergeCell ref="CI51:CL51"/>
    <mergeCell ref="CM51:CP51"/>
    <mergeCell ref="C50:Y50"/>
    <mergeCell ref="Z50:AC50"/>
    <mergeCell ref="AD50:AF50"/>
    <mergeCell ref="AG50:AK50"/>
    <mergeCell ref="AL50:AP50"/>
    <mergeCell ref="AQ50:AU50"/>
    <mergeCell ref="AV50:AZ50"/>
    <mergeCell ref="BA50:BE50"/>
    <mergeCell ref="BS51:BV51"/>
    <mergeCell ref="CE51:CH51"/>
    <mergeCell ref="C51:Y51"/>
    <mergeCell ref="Z51:AC51"/>
    <mergeCell ref="AD51:AF51"/>
    <mergeCell ref="AG51:AK51"/>
    <mergeCell ref="AL51:AP51"/>
    <mergeCell ref="AQ51:AU51"/>
    <mergeCell ref="DK99:DN99"/>
    <mergeCell ref="DO99:DR99"/>
    <mergeCell ref="BS88:BV89"/>
    <mergeCell ref="BW88:BZ89"/>
    <mergeCell ref="CA88:CD89"/>
    <mergeCell ref="CE88:CH89"/>
    <mergeCell ref="CI88:CL89"/>
    <mergeCell ref="Z88:AC89"/>
    <mergeCell ref="AD88:AF89"/>
    <mergeCell ref="AG88:AK89"/>
    <mergeCell ref="AL88:AP89"/>
    <mergeCell ref="C88:Y88"/>
    <mergeCell ref="C89:Y89"/>
    <mergeCell ref="DC68:DF69"/>
    <mergeCell ref="DG68:DJ69"/>
    <mergeCell ref="DK68:DN69"/>
    <mergeCell ref="DO68:DR69"/>
    <mergeCell ref="C92:Y92"/>
    <mergeCell ref="Z92:AC92"/>
    <mergeCell ref="AD92:AF92"/>
    <mergeCell ref="AG92:AK92"/>
    <mergeCell ref="AL92:AP92"/>
    <mergeCell ref="AQ92:AU92"/>
    <mergeCell ref="AV92:AZ92"/>
    <mergeCell ref="BA92:BE92"/>
    <mergeCell ref="BF92:BJ92"/>
    <mergeCell ref="DG93:DJ93"/>
    <mergeCell ref="DK93:DN93"/>
    <mergeCell ref="DO93:DR93"/>
    <mergeCell ref="CM95:CP95"/>
    <mergeCell ref="CQ95:CT95"/>
    <mergeCell ref="CU95:CX95"/>
    <mergeCell ref="EA50:ED50"/>
    <mergeCell ref="EE50:EH50"/>
    <mergeCell ref="EI50:EL50"/>
    <mergeCell ref="EM50:EP50"/>
    <mergeCell ref="BK49:BN49"/>
    <mergeCell ref="BO49:BR49"/>
    <mergeCell ref="BS49:BV49"/>
    <mergeCell ref="BW49:BZ49"/>
    <mergeCell ref="CA49:CD49"/>
    <mergeCell ref="CE49:CH49"/>
    <mergeCell ref="CI49:CL49"/>
    <mergeCell ref="CM49:CP49"/>
    <mergeCell ref="BK50:BN50"/>
    <mergeCell ref="BO50:BR50"/>
    <mergeCell ref="BS50:BV50"/>
    <mergeCell ref="C57:Y57"/>
    <mergeCell ref="Z57:AC57"/>
    <mergeCell ref="AD57:AF57"/>
    <mergeCell ref="AG57:AK57"/>
    <mergeCell ref="AL57:AP57"/>
    <mergeCell ref="AQ57:AU57"/>
    <mergeCell ref="AV57:AZ57"/>
    <mergeCell ref="BA57:BE57"/>
    <mergeCell ref="BF57:BJ57"/>
    <mergeCell ref="BK57:BN57"/>
    <mergeCell ref="BO57:BR57"/>
    <mergeCell ref="CM57:CP57"/>
    <mergeCell ref="CI57:CL57"/>
    <mergeCell ref="CY51:DB51"/>
    <mergeCell ref="DC51:DF51"/>
    <mergeCell ref="DG51:DJ51"/>
    <mergeCell ref="C49:Y49"/>
    <mergeCell ref="EQ51:ES51"/>
    <mergeCell ref="EA51:ED51"/>
    <mergeCell ref="EE51:EH51"/>
    <mergeCell ref="EI51:EL51"/>
    <mergeCell ref="EI35:EL35"/>
    <mergeCell ref="EM35:EP35"/>
    <mergeCell ref="BW35:BZ35"/>
    <mergeCell ref="CA35:CD35"/>
    <mergeCell ref="CE35:CH35"/>
    <mergeCell ref="CI35:CL35"/>
    <mergeCell ref="DK33:DN33"/>
    <mergeCell ref="DO33:DR33"/>
    <mergeCell ref="DS33:DV33"/>
    <mergeCell ref="DW33:DZ33"/>
    <mergeCell ref="EA33:ED33"/>
    <mergeCell ref="EE33:EH33"/>
    <mergeCell ref="CM33:CP33"/>
    <mergeCell ref="CQ33:CT33"/>
    <mergeCell ref="CU33:CX33"/>
    <mergeCell ref="BW50:BZ50"/>
    <mergeCell ref="CA50:CD50"/>
    <mergeCell ref="CE50:CH50"/>
    <mergeCell ref="CI50:CL50"/>
    <mergeCell ref="EM51:EP51"/>
    <mergeCell ref="BW51:BZ51"/>
    <mergeCell ref="CQ51:CT51"/>
    <mergeCell ref="CU51:CX51"/>
    <mergeCell ref="EM49:EP49"/>
    <mergeCell ref="EQ49:ES49"/>
    <mergeCell ref="CU50:CX50"/>
    <mergeCell ref="CY50:DB50"/>
    <mergeCell ref="CM50:CP50"/>
    <mergeCell ref="DW51:DZ51"/>
    <mergeCell ref="AV51:AZ51"/>
    <mergeCell ref="BA51:BE51"/>
    <mergeCell ref="Z49:AC49"/>
    <mergeCell ref="AD49:AF49"/>
    <mergeCell ref="AG49:AK49"/>
    <mergeCell ref="AL49:AP49"/>
    <mergeCell ref="AQ49:AU49"/>
    <mergeCell ref="AV49:AZ49"/>
    <mergeCell ref="BO31:BV31"/>
    <mergeCell ref="BW31:CD31"/>
    <mergeCell ref="CE31:CL31"/>
    <mergeCell ref="CM31:CT31"/>
    <mergeCell ref="CU31:DB31"/>
    <mergeCell ref="DC31:DJ31"/>
    <mergeCell ref="BO37:BR37"/>
    <mergeCell ref="BS37:BV37"/>
    <mergeCell ref="BO34:DB34"/>
    <mergeCell ref="DC34:EP34"/>
    <mergeCell ref="EA36:ED36"/>
    <mergeCell ref="EE36:EH36"/>
    <mergeCell ref="EI36:EL36"/>
    <mergeCell ref="EM36:EP36"/>
    <mergeCell ref="EE38:EH38"/>
    <mergeCell ref="EI38:EL38"/>
    <mergeCell ref="EM38:EP38"/>
    <mergeCell ref="AV40:AZ40"/>
    <mergeCell ref="BA40:BE40"/>
    <mergeCell ref="BF40:BJ40"/>
    <mergeCell ref="CU39:CX39"/>
    <mergeCell ref="CY39:DB39"/>
    <mergeCell ref="DC39:DF39"/>
    <mergeCell ref="C37:Y37"/>
    <mergeCell ref="Z37:AC37"/>
    <mergeCell ref="AD37:AF37"/>
    <mergeCell ref="AG37:AK37"/>
    <mergeCell ref="AL37:AP37"/>
    <mergeCell ref="AQ37:AU37"/>
    <mergeCell ref="DW36:DZ36"/>
    <mergeCell ref="BA36:BE36"/>
    <mergeCell ref="DK51:DN51"/>
    <mergeCell ref="A30:A35"/>
    <mergeCell ref="B30:B35"/>
    <mergeCell ref="C30:Y35"/>
    <mergeCell ref="Z30:BN30"/>
    <mergeCell ref="BO30:DB30"/>
    <mergeCell ref="DC30:EP30"/>
    <mergeCell ref="DK31:DR31"/>
    <mergeCell ref="DS31:DZ31"/>
    <mergeCell ref="EA31:EH31"/>
    <mergeCell ref="EI31:EP31"/>
    <mergeCell ref="BO32:DB32"/>
    <mergeCell ref="DC32:EP32"/>
    <mergeCell ref="BO33:BR33"/>
    <mergeCell ref="BS33:BV33"/>
    <mergeCell ref="BW33:BZ33"/>
    <mergeCell ref="CA33:CD33"/>
    <mergeCell ref="CE33:CH33"/>
    <mergeCell ref="CI33:CL33"/>
    <mergeCell ref="BO35:BR35"/>
    <mergeCell ref="BS35:BV35"/>
    <mergeCell ref="CY33:DB33"/>
    <mergeCell ref="DC33:DF33"/>
    <mergeCell ref="DG33:DJ33"/>
    <mergeCell ref="EI33:EL33"/>
    <mergeCell ref="EM33:EP33"/>
    <mergeCell ref="EQ35:ES35"/>
    <mergeCell ref="C36:Y36"/>
    <mergeCell ref="Z36:AC36"/>
    <mergeCell ref="AD36:AF36"/>
    <mergeCell ref="AG36:AK36"/>
    <mergeCell ref="AL36:AP36"/>
    <mergeCell ref="AQ36:AU36"/>
    <mergeCell ref="AV36:AZ36"/>
    <mergeCell ref="DK35:DN35"/>
    <mergeCell ref="DO35:DR35"/>
    <mergeCell ref="DS35:DV35"/>
    <mergeCell ref="DW35:DZ35"/>
    <mergeCell ref="EA35:ED35"/>
    <mergeCell ref="EE35:EH35"/>
    <mergeCell ref="CM35:CP35"/>
    <mergeCell ref="CQ35:CT35"/>
    <mergeCell ref="CU35:CX35"/>
    <mergeCell ref="CY35:DB35"/>
    <mergeCell ref="DC35:DF35"/>
    <mergeCell ref="DG35:DJ35"/>
    <mergeCell ref="AG32:AK35"/>
    <mergeCell ref="AL32:AP35"/>
    <mergeCell ref="AQ32:AU35"/>
    <mergeCell ref="AV32:AZ35"/>
    <mergeCell ref="BA32:BE35"/>
    <mergeCell ref="BF32:BJ35"/>
    <mergeCell ref="EQ30:ES34"/>
    <mergeCell ref="Z31:AF35"/>
    <mergeCell ref="AG31:BJ31"/>
    <mergeCell ref="BK31:BN35"/>
    <mergeCell ref="EQ36:ES36"/>
    <mergeCell ref="CY36:DB36"/>
    <mergeCell ref="DC36:DF36"/>
    <mergeCell ref="DG36:DJ36"/>
    <mergeCell ref="DK36:DN36"/>
    <mergeCell ref="DO36:DR36"/>
    <mergeCell ref="DS36:DV36"/>
    <mergeCell ref="CA36:CD36"/>
    <mergeCell ref="CE36:CH36"/>
    <mergeCell ref="CI36:CL36"/>
    <mergeCell ref="CM36:CP36"/>
    <mergeCell ref="CQ36:CT36"/>
    <mergeCell ref="CU36:CX36"/>
    <mergeCell ref="BF36:BJ36"/>
    <mergeCell ref="BK36:BN36"/>
    <mergeCell ref="BO36:BR36"/>
    <mergeCell ref="BS36:BV36"/>
    <mergeCell ref="BW36:BZ36"/>
    <mergeCell ref="EQ37:ES37"/>
    <mergeCell ref="C38:Y38"/>
    <mergeCell ref="Z38:AC38"/>
    <mergeCell ref="AD38:AF38"/>
    <mergeCell ref="AG38:AK38"/>
    <mergeCell ref="AL38:AP38"/>
    <mergeCell ref="AQ38:AU38"/>
    <mergeCell ref="AV38:AZ38"/>
    <mergeCell ref="BA38:BE38"/>
    <mergeCell ref="BF38:BJ38"/>
    <mergeCell ref="DS37:DV37"/>
    <mergeCell ref="DW37:DZ37"/>
    <mergeCell ref="EA37:ED37"/>
    <mergeCell ref="EE37:EH37"/>
    <mergeCell ref="EI37:EL37"/>
    <mergeCell ref="EM37:EP37"/>
    <mergeCell ref="CU37:CX37"/>
    <mergeCell ref="CY37:DB37"/>
    <mergeCell ref="DC37:DF37"/>
    <mergeCell ref="DG37:DJ37"/>
    <mergeCell ref="DK37:DN37"/>
    <mergeCell ref="DO37:DR37"/>
    <mergeCell ref="BW37:BZ37"/>
    <mergeCell ref="CA37:CD37"/>
    <mergeCell ref="CE37:CH37"/>
    <mergeCell ref="CI37:CL37"/>
    <mergeCell ref="CM37:CP37"/>
    <mergeCell ref="CQ37:CT37"/>
    <mergeCell ref="AV37:AZ37"/>
    <mergeCell ref="BA37:BE37"/>
    <mergeCell ref="BF37:BJ37"/>
    <mergeCell ref="BK37:BN37"/>
    <mergeCell ref="EQ38:ES38"/>
    <mergeCell ref="C39:Y39"/>
    <mergeCell ref="Z39:AC39"/>
    <mergeCell ref="AD39:AF39"/>
    <mergeCell ref="AG39:AK39"/>
    <mergeCell ref="AL39:AP39"/>
    <mergeCell ref="AQ39:AU39"/>
    <mergeCell ref="DG38:DJ38"/>
    <mergeCell ref="DK38:DN38"/>
    <mergeCell ref="DO38:DR38"/>
    <mergeCell ref="DS38:DV38"/>
    <mergeCell ref="DW38:DZ38"/>
    <mergeCell ref="EA38:ED38"/>
    <mergeCell ref="CI38:CL38"/>
    <mergeCell ref="CM38:CP38"/>
    <mergeCell ref="CQ38:CT38"/>
    <mergeCell ref="CU38:CX38"/>
    <mergeCell ref="CY38:DB38"/>
    <mergeCell ref="DC38:DF38"/>
    <mergeCell ref="BK38:BN38"/>
    <mergeCell ref="BO38:BR38"/>
    <mergeCell ref="BS38:BV38"/>
    <mergeCell ref="BW38:BZ38"/>
    <mergeCell ref="CA38:CD38"/>
    <mergeCell ref="CE38:CH38"/>
    <mergeCell ref="EQ39:ES39"/>
    <mergeCell ref="DS39:DV39"/>
    <mergeCell ref="DW39:DZ39"/>
    <mergeCell ref="EA39:ED39"/>
    <mergeCell ref="EE39:EH39"/>
    <mergeCell ref="EI39:EL39"/>
    <mergeCell ref="EM39:EP39"/>
    <mergeCell ref="DG39:DJ39"/>
    <mergeCell ref="DK39:DN39"/>
    <mergeCell ref="DO39:DR39"/>
    <mergeCell ref="BW39:BZ39"/>
    <mergeCell ref="CA39:CD39"/>
    <mergeCell ref="CE39:CH39"/>
    <mergeCell ref="CI39:CL39"/>
    <mergeCell ref="CM39:CP39"/>
    <mergeCell ref="CQ39:CT39"/>
    <mergeCell ref="AV39:AZ39"/>
    <mergeCell ref="BA39:BE39"/>
    <mergeCell ref="BF39:BJ39"/>
    <mergeCell ref="BK39:BN39"/>
    <mergeCell ref="BO39:BR39"/>
    <mergeCell ref="BS39:BV39"/>
    <mergeCell ref="EE40:EH40"/>
    <mergeCell ref="EI40:EL40"/>
    <mergeCell ref="EM40:EP40"/>
    <mergeCell ref="EQ40:ES40"/>
    <mergeCell ref="DG40:DJ40"/>
    <mergeCell ref="DK40:DN40"/>
    <mergeCell ref="DO40:DR40"/>
    <mergeCell ref="DS40:DV40"/>
    <mergeCell ref="DW40:DZ40"/>
    <mergeCell ref="EA40:ED40"/>
    <mergeCell ref="CI40:CL40"/>
    <mergeCell ref="CM40:CP40"/>
    <mergeCell ref="CQ40:CT40"/>
    <mergeCell ref="CU40:CX40"/>
    <mergeCell ref="CY40:DB40"/>
    <mergeCell ref="DC40:DF40"/>
    <mergeCell ref="BK40:BN40"/>
    <mergeCell ref="BO40:BR40"/>
    <mergeCell ref="BS40:BV40"/>
    <mergeCell ref="BW40:BZ40"/>
    <mergeCell ref="CA40:CD40"/>
    <mergeCell ref="CE40:CH40"/>
    <mergeCell ref="C40:Y40"/>
    <mergeCell ref="Z40:AC40"/>
    <mergeCell ref="AD40:AF40"/>
    <mergeCell ref="AG40:AK40"/>
    <mergeCell ref="AL40:AP40"/>
    <mergeCell ref="AQ40:AU40"/>
    <mergeCell ref="AV41:AZ41"/>
    <mergeCell ref="BA41:BE41"/>
    <mergeCell ref="BF41:BJ41"/>
    <mergeCell ref="EE41:EH41"/>
    <mergeCell ref="EI41:EL41"/>
    <mergeCell ref="EM41:EP41"/>
    <mergeCell ref="EQ41:ES41"/>
    <mergeCell ref="DG41:DJ41"/>
    <mergeCell ref="DK41:DN41"/>
    <mergeCell ref="DO41:DR41"/>
    <mergeCell ref="DS41:DV41"/>
    <mergeCell ref="DW41:DZ41"/>
    <mergeCell ref="EA41:ED41"/>
    <mergeCell ref="CI41:CL41"/>
    <mergeCell ref="CM41:CP41"/>
    <mergeCell ref="CQ41:CT41"/>
    <mergeCell ref="CU41:CX41"/>
    <mergeCell ref="CY41:DB41"/>
    <mergeCell ref="DC41:DF41"/>
    <mergeCell ref="BK41:BN41"/>
    <mergeCell ref="BO41:BR41"/>
    <mergeCell ref="BS41:BV41"/>
    <mergeCell ref="BW41:BZ41"/>
    <mergeCell ref="CA41:CD41"/>
    <mergeCell ref="CE41:CH41"/>
    <mergeCell ref="C41:Y41"/>
    <mergeCell ref="Z41:AC41"/>
    <mergeCell ref="AD41:AF41"/>
    <mergeCell ref="AG41:AK41"/>
    <mergeCell ref="AL41:AP41"/>
    <mergeCell ref="AQ41:AU41"/>
    <mergeCell ref="AV42:AZ42"/>
    <mergeCell ref="BA42:BE42"/>
    <mergeCell ref="BF42:BJ42"/>
    <mergeCell ref="EE42:EH42"/>
    <mergeCell ref="EI42:EL42"/>
    <mergeCell ref="EM42:EP42"/>
    <mergeCell ref="EQ42:ES42"/>
    <mergeCell ref="DG42:DJ42"/>
    <mergeCell ref="DK42:DN42"/>
    <mergeCell ref="DO42:DR42"/>
    <mergeCell ref="DS42:DV42"/>
    <mergeCell ref="DW42:DZ42"/>
    <mergeCell ref="EA42:ED42"/>
    <mergeCell ref="CI42:CL42"/>
    <mergeCell ref="CM42:CP42"/>
    <mergeCell ref="CQ42:CT42"/>
    <mergeCell ref="CU42:CX42"/>
    <mergeCell ref="CY42:DB42"/>
    <mergeCell ref="DC42:DF42"/>
    <mergeCell ref="BK42:BN42"/>
    <mergeCell ref="BO42:BR42"/>
    <mergeCell ref="BS42:BV42"/>
    <mergeCell ref="BW42:BZ42"/>
    <mergeCell ref="CA42:CD42"/>
    <mergeCell ref="CE42:CH42"/>
    <mergeCell ref="C42:Y42"/>
    <mergeCell ref="Z42:AC42"/>
    <mergeCell ref="AD42:AF42"/>
    <mergeCell ref="AG42:AK42"/>
    <mergeCell ref="AL42:AP42"/>
    <mergeCell ref="AQ42:AU42"/>
    <mergeCell ref="AQ43:AU43"/>
    <mergeCell ref="AV43:AZ43"/>
    <mergeCell ref="BA43:BE43"/>
    <mergeCell ref="BF43:BJ43"/>
    <mergeCell ref="EE43:EH43"/>
    <mergeCell ref="EI43:EL43"/>
    <mergeCell ref="EM43:EP43"/>
    <mergeCell ref="EM45:EP45"/>
    <mergeCell ref="EQ43:ES43"/>
    <mergeCell ref="C44:Y44"/>
    <mergeCell ref="Z44:AC44"/>
    <mergeCell ref="AD44:AF44"/>
    <mergeCell ref="AG44:AK44"/>
    <mergeCell ref="AL44:AP44"/>
    <mergeCell ref="AQ44:AU44"/>
    <mergeCell ref="DG43:DJ43"/>
    <mergeCell ref="DK43:DN43"/>
    <mergeCell ref="DO43:DR43"/>
    <mergeCell ref="DS43:DV43"/>
    <mergeCell ref="DW43:DZ43"/>
    <mergeCell ref="EA43:ED43"/>
    <mergeCell ref="CI43:CL43"/>
    <mergeCell ref="CM43:CP43"/>
    <mergeCell ref="CQ43:CT43"/>
    <mergeCell ref="CU43:CX43"/>
    <mergeCell ref="CY43:DB43"/>
    <mergeCell ref="DC43:DF43"/>
    <mergeCell ref="BK43:BN43"/>
    <mergeCell ref="BO43:BR43"/>
    <mergeCell ref="BS43:BV43"/>
    <mergeCell ref="BW43:BZ43"/>
    <mergeCell ref="CA43:CD43"/>
    <mergeCell ref="CE43:CH43"/>
    <mergeCell ref="EQ44:ES44"/>
    <mergeCell ref="C43:Y43"/>
    <mergeCell ref="Z43:AC43"/>
    <mergeCell ref="AD43:AF43"/>
    <mergeCell ref="AG43:AK43"/>
    <mergeCell ref="AL43:AP43"/>
    <mergeCell ref="AG45:AK45"/>
    <mergeCell ref="AL45:AP45"/>
    <mergeCell ref="AQ45:AU45"/>
    <mergeCell ref="AV45:AZ45"/>
    <mergeCell ref="BA45:BE45"/>
    <mergeCell ref="BF45:BJ45"/>
    <mergeCell ref="DS44:DV44"/>
    <mergeCell ref="DW44:DZ44"/>
    <mergeCell ref="EA44:ED44"/>
    <mergeCell ref="EE44:EH44"/>
    <mergeCell ref="EI44:EL44"/>
    <mergeCell ref="EM44:EP44"/>
    <mergeCell ref="CU44:CX44"/>
    <mergeCell ref="CY44:DB44"/>
    <mergeCell ref="DC44:DF44"/>
    <mergeCell ref="DG44:DJ44"/>
    <mergeCell ref="DK44:DN44"/>
    <mergeCell ref="DO44:DR44"/>
    <mergeCell ref="BW44:BZ44"/>
    <mergeCell ref="CA44:CD44"/>
    <mergeCell ref="CE44:CH44"/>
    <mergeCell ref="CI44:CL44"/>
    <mergeCell ref="CM44:CP44"/>
    <mergeCell ref="CQ44:CT44"/>
    <mergeCell ref="AV44:AZ44"/>
    <mergeCell ref="BA44:BE44"/>
    <mergeCell ref="BF44:BJ44"/>
    <mergeCell ref="BK44:BN44"/>
    <mergeCell ref="BO44:BR44"/>
    <mergeCell ref="BS44:BV44"/>
    <mergeCell ref="EE45:EH45"/>
    <mergeCell ref="EI45:EL45"/>
    <mergeCell ref="EQ45:ES45"/>
    <mergeCell ref="C46:Y46"/>
    <mergeCell ref="Z46:AC46"/>
    <mergeCell ref="AD46:AF46"/>
    <mergeCell ref="AG46:AK46"/>
    <mergeCell ref="AL46:AP46"/>
    <mergeCell ref="AQ46:AU46"/>
    <mergeCell ref="DG45:DJ45"/>
    <mergeCell ref="DK45:DN45"/>
    <mergeCell ref="DO45:DR45"/>
    <mergeCell ref="DS45:DV45"/>
    <mergeCell ref="DW45:DZ45"/>
    <mergeCell ref="EA45:ED45"/>
    <mergeCell ref="CI45:CL45"/>
    <mergeCell ref="CM45:CP45"/>
    <mergeCell ref="CQ45:CT45"/>
    <mergeCell ref="CU45:CX45"/>
    <mergeCell ref="CY45:DB45"/>
    <mergeCell ref="DC45:DF45"/>
    <mergeCell ref="BK45:BN45"/>
    <mergeCell ref="BO45:BR45"/>
    <mergeCell ref="BS45:BV45"/>
    <mergeCell ref="BW45:BZ45"/>
    <mergeCell ref="CA45:CD45"/>
    <mergeCell ref="CE45:CH45"/>
    <mergeCell ref="EQ46:ES46"/>
    <mergeCell ref="C45:Y45"/>
    <mergeCell ref="Z45:AC45"/>
    <mergeCell ref="AD45:AF45"/>
    <mergeCell ref="DS46:DV46"/>
    <mergeCell ref="DW46:DZ46"/>
    <mergeCell ref="EA46:ED46"/>
    <mergeCell ref="EE46:EH46"/>
    <mergeCell ref="EI46:EL46"/>
    <mergeCell ref="EM46:EP46"/>
    <mergeCell ref="CU46:CX46"/>
    <mergeCell ref="CY46:DB46"/>
    <mergeCell ref="DC46:DF46"/>
    <mergeCell ref="DG46:DJ46"/>
    <mergeCell ref="DK46:DN46"/>
    <mergeCell ref="DO46:DR46"/>
    <mergeCell ref="BW46:BZ46"/>
    <mergeCell ref="CA46:CD46"/>
    <mergeCell ref="CE46:CH46"/>
    <mergeCell ref="CI46:CL46"/>
    <mergeCell ref="CM46:CP46"/>
    <mergeCell ref="CQ46:CT46"/>
    <mergeCell ref="AV46:AZ46"/>
    <mergeCell ref="BA46:BE46"/>
    <mergeCell ref="BF46:BJ46"/>
    <mergeCell ref="BK46:BN46"/>
    <mergeCell ref="BO46:BR46"/>
    <mergeCell ref="BS46:BV46"/>
    <mergeCell ref="BO47:BR47"/>
    <mergeCell ref="BS47:BV47"/>
    <mergeCell ref="C47:Y47"/>
    <mergeCell ref="Z47:AC47"/>
    <mergeCell ref="AD47:AF47"/>
    <mergeCell ref="AG47:AK47"/>
    <mergeCell ref="AL47:AP47"/>
    <mergeCell ref="AQ47:AU47"/>
    <mergeCell ref="EQ47:ES47"/>
    <mergeCell ref="EQ48:ES48"/>
    <mergeCell ref="DS47:DV47"/>
    <mergeCell ref="DW47:DZ47"/>
    <mergeCell ref="EA47:ED47"/>
    <mergeCell ref="EE47:EH47"/>
    <mergeCell ref="EI47:EL47"/>
    <mergeCell ref="EM47:EP47"/>
    <mergeCell ref="CU47:CX47"/>
    <mergeCell ref="CY47:DB47"/>
    <mergeCell ref="DC47:DF47"/>
    <mergeCell ref="DG47:DJ47"/>
    <mergeCell ref="DK47:DN47"/>
    <mergeCell ref="DO47:DR47"/>
    <mergeCell ref="BW47:BZ47"/>
    <mergeCell ref="CA47:CD47"/>
    <mergeCell ref="CE47:CH47"/>
    <mergeCell ref="CI47:CL47"/>
    <mergeCell ref="CM47:CP47"/>
    <mergeCell ref="CQ47:CT47"/>
    <mergeCell ref="AV47:AZ47"/>
    <mergeCell ref="BA47:BE47"/>
    <mergeCell ref="BF47:BJ47"/>
    <mergeCell ref="BK47:BN47"/>
    <mergeCell ref="BO48:BR48"/>
    <mergeCell ref="BS48:BV48"/>
    <mergeCell ref="CQ49:CT49"/>
    <mergeCell ref="CU49:CX49"/>
    <mergeCell ref="BF50:BJ50"/>
    <mergeCell ref="BA49:BE49"/>
    <mergeCell ref="BF49:BJ49"/>
    <mergeCell ref="C48:Y48"/>
    <mergeCell ref="Z48:AC48"/>
    <mergeCell ref="AD48:AF48"/>
    <mergeCell ref="AG48:AK48"/>
    <mergeCell ref="AL48:AP48"/>
    <mergeCell ref="AQ48:AU48"/>
    <mergeCell ref="EQ63:ES63"/>
    <mergeCell ref="BS63:BV63"/>
    <mergeCell ref="EI63:EL63"/>
    <mergeCell ref="DS48:DV48"/>
    <mergeCell ref="DW48:DZ48"/>
    <mergeCell ref="EA48:ED48"/>
    <mergeCell ref="EE48:EH48"/>
    <mergeCell ref="EI48:EL48"/>
    <mergeCell ref="EM48:EP48"/>
    <mergeCell ref="CU48:CX48"/>
    <mergeCell ref="CY48:DB48"/>
    <mergeCell ref="DC48:DF48"/>
    <mergeCell ref="DG48:DJ48"/>
    <mergeCell ref="DK48:DN48"/>
    <mergeCell ref="DO48:DR48"/>
    <mergeCell ref="BW48:BZ48"/>
    <mergeCell ref="CA48:CD48"/>
    <mergeCell ref="CE48:CH48"/>
    <mergeCell ref="CI48:CL48"/>
    <mergeCell ref="CM48:CP48"/>
    <mergeCell ref="CQ48:CT48"/>
    <mergeCell ref="AV48:AZ48"/>
    <mergeCell ref="BA48:BE48"/>
    <mergeCell ref="BF48:BJ48"/>
    <mergeCell ref="BK48:BN48"/>
    <mergeCell ref="EI64:EL65"/>
    <mergeCell ref="EM64:EP65"/>
    <mergeCell ref="DO64:DR65"/>
    <mergeCell ref="DS64:DV65"/>
    <mergeCell ref="DW64:DZ65"/>
    <mergeCell ref="EA64:ED65"/>
    <mergeCell ref="EE64:EH65"/>
    <mergeCell ref="AV63:AZ63"/>
    <mergeCell ref="BA63:BE63"/>
    <mergeCell ref="BF63:BJ63"/>
    <mergeCell ref="BK63:BN63"/>
    <mergeCell ref="CQ63:CT63"/>
    <mergeCell ref="BS64:BV65"/>
    <mergeCell ref="BW64:BZ65"/>
    <mergeCell ref="CA51:CD51"/>
    <mergeCell ref="DO51:DR51"/>
    <mergeCell ref="DS51:DV51"/>
    <mergeCell ref="CQ50:CT50"/>
    <mergeCell ref="DC50:DF50"/>
    <mergeCell ref="DG50:DJ50"/>
    <mergeCell ref="DK50:DN50"/>
    <mergeCell ref="DO50:DR50"/>
    <mergeCell ref="DS50:DV50"/>
    <mergeCell ref="DW50:DZ50"/>
    <mergeCell ref="DS63:DV63"/>
    <mergeCell ref="DW63:DZ63"/>
    <mergeCell ref="EA63:ED63"/>
    <mergeCell ref="EE63:EH63"/>
    <mergeCell ref="EQ64:ES65"/>
    <mergeCell ref="DC64:DF65"/>
    <mergeCell ref="DG64:DJ65"/>
    <mergeCell ref="DK64:DN65"/>
    <mergeCell ref="CQ64:CT65"/>
    <mergeCell ref="EM63:EP63"/>
    <mergeCell ref="CU63:CX63"/>
    <mergeCell ref="CY63:DB63"/>
    <mergeCell ref="DC63:DF63"/>
    <mergeCell ref="DG63:DJ63"/>
    <mergeCell ref="DK63:DN63"/>
    <mergeCell ref="DO63:DR63"/>
    <mergeCell ref="BW63:BZ63"/>
    <mergeCell ref="CA63:CD63"/>
    <mergeCell ref="CE63:CH63"/>
    <mergeCell ref="CI63:CL63"/>
    <mergeCell ref="CM63:CP63"/>
    <mergeCell ref="CA64:CD65"/>
    <mergeCell ref="CE64:CH65"/>
    <mergeCell ref="CI64:CL65"/>
    <mergeCell ref="CM64:CP65"/>
    <mergeCell ref="EM86:EP87"/>
    <mergeCell ref="CQ86:CT87"/>
    <mergeCell ref="CU86:CX87"/>
    <mergeCell ref="CY86:DB87"/>
    <mergeCell ref="DC86:DF87"/>
    <mergeCell ref="DG86:DJ87"/>
    <mergeCell ref="DK86:DN87"/>
    <mergeCell ref="DO86:DR87"/>
    <mergeCell ref="C94:Y94"/>
    <mergeCell ref="Z94:AC94"/>
    <mergeCell ref="EQ92:ES92"/>
    <mergeCell ref="C93:Y93"/>
    <mergeCell ref="Z93:AC93"/>
    <mergeCell ref="AD93:AF93"/>
    <mergeCell ref="AG93:AK93"/>
    <mergeCell ref="AL93:AP93"/>
    <mergeCell ref="AQ93:AU93"/>
    <mergeCell ref="CI93:CL93"/>
    <mergeCell ref="CM93:CP93"/>
    <mergeCell ref="CQ93:CT93"/>
    <mergeCell ref="CU93:CX93"/>
    <mergeCell ref="CY93:DB93"/>
    <mergeCell ref="DC93:DF93"/>
    <mergeCell ref="BK93:BN93"/>
    <mergeCell ref="BO93:BR93"/>
    <mergeCell ref="BS93:BV93"/>
    <mergeCell ref="BW93:BZ93"/>
    <mergeCell ref="CA93:CD93"/>
    <mergeCell ref="DC88:DF89"/>
    <mergeCell ref="DG88:DJ89"/>
    <mergeCell ref="DK88:DN89"/>
    <mergeCell ref="DO88:DR89"/>
    <mergeCell ref="AQ94:AU94"/>
    <mergeCell ref="CU94:CX94"/>
    <mergeCell ref="CY94:DB94"/>
    <mergeCell ref="DK94:DN94"/>
    <mergeCell ref="DK95:DN95"/>
    <mergeCell ref="AV93:AZ93"/>
    <mergeCell ref="Z95:AC95"/>
    <mergeCell ref="AD95:AF95"/>
    <mergeCell ref="AG95:AK95"/>
    <mergeCell ref="AL95:AP95"/>
    <mergeCell ref="AQ95:AU95"/>
    <mergeCell ref="DO94:DR94"/>
    <mergeCell ref="BW94:BZ94"/>
    <mergeCell ref="CA94:CD94"/>
    <mergeCell ref="CE94:CH94"/>
    <mergeCell ref="CI94:CL94"/>
    <mergeCell ref="CM94:CP94"/>
    <mergeCell ref="CQ94:CT94"/>
    <mergeCell ref="BO94:BR94"/>
    <mergeCell ref="BS94:BV94"/>
    <mergeCell ref="AV94:AZ94"/>
    <mergeCell ref="BA94:BE94"/>
    <mergeCell ref="BF94:BJ94"/>
    <mergeCell ref="CI95:CL95"/>
    <mergeCell ref="BK94:BN94"/>
    <mergeCell ref="EI93:EL93"/>
    <mergeCell ref="EM93:EP93"/>
    <mergeCell ref="EE95:EH95"/>
    <mergeCell ref="EI95:EL95"/>
    <mergeCell ref="EM95:EP95"/>
    <mergeCell ref="EA92:ED92"/>
    <mergeCell ref="EE92:EH92"/>
    <mergeCell ref="DS95:DV95"/>
    <mergeCell ref="DW95:DZ95"/>
    <mergeCell ref="EA95:ED95"/>
    <mergeCell ref="BO92:BR92"/>
    <mergeCell ref="EI92:EL92"/>
    <mergeCell ref="EM92:EP92"/>
    <mergeCell ref="CU92:CX92"/>
    <mergeCell ref="CY92:DB92"/>
    <mergeCell ref="DC92:DF92"/>
    <mergeCell ref="DG92:DJ92"/>
    <mergeCell ref="DK92:DN92"/>
    <mergeCell ref="DS93:DV93"/>
    <mergeCell ref="DW93:DZ93"/>
    <mergeCell ref="EA93:ED93"/>
    <mergeCell ref="EE93:EH93"/>
    <mergeCell ref="BS92:BV92"/>
    <mergeCell ref="DS92:DV92"/>
    <mergeCell ref="DW92:DZ92"/>
    <mergeCell ref="EI94:EL94"/>
    <mergeCell ref="EQ52:ES52"/>
    <mergeCell ref="C52:Y52"/>
    <mergeCell ref="Z52:AC52"/>
    <mergeCell ref="AD52:AF52"/>
    <mergeCell ref="AG52:AK52"/>
    <mergeCell ref="AL52:AP52"/>
    <mergeCell ref="AQ52:AU52"/>
    <mergeCell ref="AV52:AZ52"/>
    <mergeCell ref="BA52:BE52"/>
    <mergeCell ref="BF52:BJ52"/>
    <mergeCell ref="BK52:BN52"/>
    <mergeCell ref="BO52:BR52"/>
    <mergeCell ref="BS52:BV52"/>
    <mergeCell ref="BW52:BZ52"/>
    <mergeCell ref="CA52:CD52"/>
    <mergeCell ref="CE52:CH52"/>
    <mergeCell ref="CI52:CL52"/>
    <mergeCell ref="CM52:CP52"/>
    <mergeCell ref="EI52:EL52"/>
    <mergeCell ref="EM52:EP52"/>
    <mergeCell ref="EA66:ED67"/>
    <mergeCell ref="DO92:DR92"/>
    <mergeCell ref="Z64:AC65"/>
    <mergeCell ref="EE66:EH67"/>
    <mergeCell ref="EI66:EL67"/>
    <mergeCell ref="AL82:AP83"/>
    <mergeCell ref="AQ82:AU83"/>
    <mergeCell ref="AV82:AZ83"/>
    <mergeCell ref="CI82:CL83"/>
    <mergeCell ref="CM82:CP83"/>
    <mergeCell ref="CQ82:CT83"/>
    <mergeCell ref="DC84:DF85"/>
    <mergeCell ref="DG84:DJ85"/>
    <mergeCell ref="AQ84:AU85"/>
    <mergeCell ref="CU66:CX67"/>
    <mergeCell ref="CY66:DB67"/>
    <mergeCell ref="AV66:AZ67"/>
    <mergeCell ref="DC66:DF67"/>
    <mergeCell ref="CA66:CD67"/>
    <mergeCell ref="CE66:CH67"/>
    <mergeCell ref="CI66:CL67"/>
    <mergeCell ref="CM66:CP67"/>
    <mergeCell ref="CQ66:CT67"/>
    <mergeCell ref="DW86:DZ87"/>
    <mergeCell ref="EA86:ED87"/>
    <mergeCell ref="EE86:EH87"/>
    <mergeCell ref="EI86:EL87"/>
    <mergeCell ref="BA88:BE89"/>
    <mergeCell ref="BK66:BN67"/>
    <mergeCell ref="DS68:DV69"/>
    <mergeCell ref="DW68:DZ69"/>
    <mergeCell ref="EA68:ED69"/>
    <mergeCell ref="BF96:BJ96"/>
    <mergeCell ref="BK96:BN96"/>
    <mergeCell ref="BO96:BR96"/>
    <mergeCell ref="DS99:DV99"/>
    <mergeCell ref="DW99:DZ99"/>
    <mergeCell ref="EA99:ED99"/>
    <mergeCell ref="EE99:EH99"/>
    <mergeCell ref="A2:Z2"/>
    <mergeCell ref="A3:Z3"/>
    <mergeCell ref="CQ52:CT52"/>
    <mergeCell ref="CU52:CX52"/>
    <mergeCell ref="CY52:DB52"/>
    <mergeCell ref="DC52:DF52"/>
    <mergeCell ref="DG52:DJ52"/>
    <mergeCell ref="DK52:DN52"/>
    <mergeCell ref="DO52:DR52"/>
    <mergeCell ref="DS52:DV52"/>
    <mergeCell ref="DW52:DZ52"/>
    <mergeCell ref="EA52:ED52"/>
    <mergeCell ref="EE52:EH52"/>
    <mergeCell ref="AV84:AZ85"/>
    <mergeCell ref="CE93:CH93"/>
    <mergeCell ref="BA93:BE93"/>
    <mergeCell ref="BF93:BJ93"/>
    <mergeCell ref="CY95:DB95"/>
    <mergeCell ref="DC95:DF95"/>
    <mergeCell ref="BK95:BN95"/>
    <mergeCell ref="AV64:AZ65"/>
    <mergeCell ref="BA64:BE65"/>
    <mergeCell ref="BF64:BJ65"/>
    <mergeCell ref="BK64:BN65"/>
    <mergeCell ref="BO64:BR65"/>
    <mergeCell ref="C64:Y64"/>
    <mergeCell ref="C65:Y65"/>
    <mergeCell ref="C66:Y66"/>
    <mergeCell ref="C67:Y67"/>
    <mergeCell ref="C82:Y82"/>
    <mergeCell ref="C83:Y83"/>
    <mergeCell ref="C84:Y84"/>
    <mergeCell ref="C85:Y85"/>
    <mergeCell ref="Z99:AC99"/>
    <mergeCell ref="B100:ES100"/>
    <mergeCell ref="B101:ES101"/>
    <mergeCell ref="B102:ES102"/>
    <mergeCell ref="B103:ES103"/>
    <mergeCell ref="B104:ES104"/>
    <mergeCell ref="E106:DP106"/>
    <mergeCell ref="AE107:AL107"/>
    <mergeCell ref="AM107:AT107"/>
    <mergeCell ref="AU107:CH107"/>
    <mergeCell ref="DS94:DV94"/>
    <mergeCell ref="DW94:DZ94"/>
    <mergeCell ref="EA94:ED94"/>
    <mergeCell ref="EE94:EH94"/>
    <mergeCell ref="EE96:EH96"/>
    <mergeCell ref="EI96:EL96"/>
    <mergeCell ref="EM96:EP96"/>
    <mergeCell ref="DO96:DR96"/>
    <mergeCell ref="BW96:BZ96"/>
    <mergeCell ref="CA96:CD96"/>
    <mergeCell ref="CE96:CH96"/>
    <mergeCell ref="CI96:CL96"/>
    <mergeCell ref="CM96:CP96"/>
    <mergeCell ref="CQ96:CT96"/>
    <mergeCell ref="B116:X116"/>
    <mergeCell ref="AE108:AL108"/>
    <mergeCell ref="Y116:AU116"/>
    <mergeCell ref="AM108:AT108"/>
    <mergeCell ref="AU108:CH114"/>
    <mergeCell ref="Z96:AC96"/>
    <mergeCell ref="AD96:AF96"/>
    <mergeCell ref="AG96:AK96"/>
    <mergeCell ref="AL96:AP96"/>
    <mergeCell ref="AQ96:AU96"/>
    <mergeCell ref="AV116:BR116"/>
    <mergeCell ref="C111:AD111"/>
    <mergeCell ref="C113:AD113"/>
    <mergeCell ref="C114:AD114"/>
    <mergeCell ref="C107:AD107"/>
    <mergeCell ref="CM84:CP85"/>
    <mergeCell ref="CQ84:CT85"/>
    <mergeCell ref="Z84:AC85"/>
    <mergeCell ref="AD84:AF85"/>
    <mergeCell ref="AG84:AK85"/>
    <mergeCell ref="Z97:AC97"/>
    <mergeCell ref="CE95:CH95"/>
    <mergeCell ref="BK92:BN92"/>
    <mergeCell ref="BK88:BN89"/>
    <mergeCell ref="BO88:BR89"/>
    <mergeCell ref="C109:AD109"/>
    <mergeCell ref="C110:AD110"/>
    <mergeCell ref="AE113:AL113"/>
    <mergeCell ref="AM113:AT113"/>
    <mergeCell ref="AE114:AL114"/>
    <mergeCell ref="AM114:AT114"/>
    <mergeCell ref="Z98:AC98"/>
    <mergeCell ref="DS96:DV96"/>
    <mergeCell ref="DW96:DZ96"/>
    <mergeCell ref="EA96:ED96"/>
    <mergeCell ref="AE109:AL109"/>
    <mergeCell ref="AV96:AZ96"/>
    <mergeCell ref="BA96:BE96"/>
    <mergeCell ref="AM109:AT109"/>
    <mergeCell ref="AE110:AL110"/>
    <mergeCell ref="AM110:AT110"/>
    <mergeCell ref="AE111:AL111"/>
    <mergeCell ref="CM68:CP69"/>
    <mergeCell ref="CQ68:CT69"/>
    <mergeCell ref="CU68:CX69"/>
    <mergeCell ref="CY68:DB69"/>
    <mergeCell ref="CY70:DB71"/>
    <mergeCell ref="CY72:DB73"/>
    <mergeCell ref="CY76:DB77"/>
    <mergeCell ref="CY78:DB79"/>
    <mergeCell ref="BS96:BV96"/>
    <mergeCell ref="BW92:BZ92"/>
    <mergeCell ref="DG96:DJ96"/>
    <mergeCell ref="DK96:DN96"/>
    <mergeCell ref="AV95:AZ95"/>
    <mergeCell ref="BA95:BE95"/>
    <mergeCell ref="DK84:DN85"/>
    <mergeCell ref="BO95:BR95"/>
    <mergeCell ref="DG94:DJ94"/>
    <mergeCell ref="CQ92:CT92"/>
    <mergeCell ref="BF95:BJ95"/>
    <mergeCell ref="BS95:BV95"/>
    <mergeCell ref="BW95:BZ95"/>
    <mergeCell ref="CA95:CD95"/>
    <mergeCell ref="B122:X122"/>
    <mergeCell ref="Y122:AU122"/>
    <mergeCell ref="AD82:AF83"/>
    <mergeCell ref="AG82:AK83"/>
    <mergeCell ref="Z66:AC67"/>
    <mergeCell ref="AD66:AF67"/>
    <mergeCell ref="AG66:AK67"/>
    <mergeCell ref="AL66:AP67"/>
    <mergeCell ref="AQ66:AU67"/>
    <mergeCell ref="BA82:BE83"/>
    <mergeCell ref="BF82:BJ83"/>
    <mergeCell ref="BK82:BN83"/>
    <mergeCell ref="BO82:BR83"/>
    <mergeCell ref="BS82:BV83"/>
    <mergeCell ref="BW82:BZ83"/>
    <mergeCell ref="BO66:BR67"/>
    <mergeCell ref="BS66:BV67"/>
    <mergeCell ref="BW66:BZ67"/>
    <mergeCell ref="AL84:AP85"/>
    <mergeCell ref="B119:X119"/>
    <mergeCell ref="Y119:AU119"/>
    <mergeCell ref="AV119:BR119"/>
    <mergeCell ref="B120:X120"/>
    <mergeCell ref="Y120:AU120"/>
    <mergeCell ref="AV120:BR120"/>
    <mergeCell ref="B117:X117"/>
    <mergeCell ref="Y117:AU117"/>
    <mergeCell ref="AV117:BR117"/>
    <mergeCell ref="B118:X118"/>
    <mergeCell ref="Y118:AU118"/>
    <mergeCell ref="AV118:BR118"/>
    <mergeCell ref="AM111:AT111"/>
    <mergeCell ref="DG66:DJ67"/>
    <mergeCell ref="DK66:DN67"/>
    <mergeCell ref="DO66:DR67"/>
    <mergeCell ref="DS66:DV67"/>
    <mergeCell ref="DW66:DZ67"/>
    <mergeCell ref="EQ95:ES95"/>
    <mergeCell ref="DG95:DJ95"/>
    <mergeCell ref="DO95:DR95"/>
    <mergeCell ref="CE84:CH85"/>
    <mergeCell ref="EM66:EP67"/>
    <mergeCell ref="C95:Y95"/>
    <mergeCell ref="C108:AD108"/>
    <mergeCell ref="C96:Y96"/>
    <mergeCell ref="AD94:AF94"/>
    <mergeCell ref="AG94:AK94"/>
    <mergeCell ref="AL94:AP94"/>
    <mergeCell ref="EQ66:ES67"/>
    <mergeCell ref="EQ82:ES83"/>
    <mergeCell ref="CA92:CD92"/>
    <mergeCell ref="CE92:CH92"/>
    <mergeCell ref="CI92:CL92"/>
    <mergeCell ref="CM92:CP92"/>
    <mergeCell ref="EQ96:ES96"/>
    <mergeCell ref="CU96:CX96"/>
    <mergeCell ref="CY96:DB96"/>
    <mergeCell ref="DC96:DF96"/>
    <mergeCell ref="CP108:EI114"/>
    <mergeCell ref="DO84:DR85"/>
    <mergeCell ref="DW82:DZ83"/>
    <mergeCell ref="EA82:ED83"/>
    <mergeCell ref="EE82:EH83"/>
    <mergeCell ref="EI82:EL83"/>
    <mergeCell ref="EM82:EP83"/>
    <mergeCell ref="BA84:BE85"/>
    <mergeCell ref="BF84:BJ85"/>
    <mergeCell ref="BK84:BN85"/>
    <mergeCell ref="BO84:BR85"/>
    <mergeCell ref="BS84:BV85"/>
    <mergeCell ref="BW84:BZ85"/>
    <mergeCell ref="CA84:CD85"/>
    <mergeCell ref="CI84:CL85"/>
    <mergeCell ref="CA82:CD83"/>
    <mergeCell ref="CE82:CH83"/>
    <mergeCell ref="CU82:CX83"/>
    <mergeCell ref="CY82:DB83"/>
    <mergeCell ref="DC82:DF83"/>
    <mergeCell ref="DS84:DV85"/>
    <mergeCell ref="DW84:DZ85"/>
    <mergeCell ref="EA84:ED85"/>
    <mergeCell ref="EE84:EH85"/>
    <mergeCell ref="EI84:EL85"/>
    <mergeCell ref="EM84:EP85"/>
    <mergeCell ref="EQ84:ES85"/>
    <mergeCell ref="FA25:FC25"/>
    <mergeCell ref="FD25:FI25"/>
    <mergeCell ref="FL25:FN25"/>
    <mergeCell ref="FO25:FT25"/>
    <mergeCell ref="FW25:FY25"/>
    <mergeCell ref="FZ25:GE25"/>
    <mergeCell ref="GH25:GJ25"/>
    <mergeCell ref="GK25:GP25"/>
    <mergeCell ref="GS25:GU25"/>
    <mergeCell ref="GV25:HA25"/>
    <mergeCell ref="HD25:HF25"/>
    <mergeCell ref="HG25:HK25"/>
    <mergeCell ref="EE68:EH69"/>
    <mergeCell ref="EI68:EL69"/>
    <mergeCell ref="EW37:EY37"/>
    <mergeCell ref="A1:ES1"/>
    <mergeCell ref="A10:ES10"/>
    <mergeCell ref="A29:ES29"/>
    <mergeCell ref="DL2:ES2"/>
    <mergeCell ref="DL3:ES3"/>
    <mergeCell ref="DL4:ES4"/>
    <mergeCell ref="DL5:ES5"/>
    <mergeCell ref="DO6:DU6"/>
    <mergeCell ref="A64:A65"/>
    <mergeCell ref="A66:A67"/>
    <mergeCell ref="A82:A83"/>
    <mergeCell ref="A84:A85"/>
    <mergeCell ref="DG82:DJ83"/>
    <mergeCell ref="DK82:DN83"/>
    <mergeCell ref="DO82:DR83"/>
    <mergeCell ref="DS82:DV83"/>
    <mergeCell ref="CQ53:CT53"/>
    <mergeCell ref="CU53:CX53"/>
    <mergeCell ref="CY53:DB53"/>
    <mergeCell ref="DC53:DF53"/>
    <mergeCell ref="DG53:DJ53"/>
    <mergeCell ref="DK53:DN53"/>
    <mergeCell ref="DO53:DR53"/>
    <mergeCell ref="DS53:DV53"/>
    <mergeCell ref="DW53:DZ53"/>
    <mergeCell ref="EA53:ED53"/>
    <mergeCell ref="EE53:EH53"/>
    <mergeCell ref="EI53:EL53"/>
    <mergeCell ref="EM53:EP53"/>
    <mergeCell ref="EQ53:ES53"/>
    <mergeCell ref="C53:Y53"/>
    <mergeCell ref="Z53:AC53"/>
    <mergeCell ref="AD53:AF53"/>
    <mergeCell ref="AG53:AK53"/>
    <mergeCell ref="AL53:AP53"/>
    <mergeCell ref="AQ53:AU53"/>
    <mergeCell ref="AV53:AZ53"/>
    <mergeCell ref="BA53:BE53"/>
    <mergeCell ref="BF53:BJ53"/>
    <mergeCell ref="BK53:BN53"/>
    <mergeCell ref="BO53:BR53"/>
    <mergeCell ref="BS53:BV53"/>
    <mergeCell ref="BW53:BZ53"/>
    <mergeCell ref="CA53:CD53"/>
    <mergeCell ref="CE53:CH53"/>
    <mergeCell ref="CI53:CL53"/>
    <mergeCell ref="CM53:CP53"/>
  </mergeCells>
  <printOptions horizontalCentered="1"/>
  <pageMargins left="0.5" right="0" top="0.5" bottom="0" header="0" footer="0"/>
  <pageSetup paperSize="9" scale="14" fitToHeight="0" orientation="landscape" r:id="rId1"/>
  <rowBreaks count="3" manualBreakCount="3">
    <brk id="54" max="148" man="1"/>
    <brk id="96" max="148" man="1"/>
    <brk id="125" max="148" man="1"/>
  </rowBreaks>
  <ignoredErrors>
    <ignoredError sqref="A47 A48:A50" twoDigitTextYear="1"/>
    <ignoredError sqref="Z92 AG92 AG63 BK63" formula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C120"/>
  <sheetViews>
    <sheetView view="pageBreakPreview" topLeftCell="A43" zoomScale="20" zoomScaleNormal="20" zoomScaleSheetLayoutView="20" workbookViewId="0">
      <selection activeCell="EA54" sqref="EA54:EE54"/>
    </sheetView>
  </sheetViews>
  <sheetFormatPr defaultRowHeight="15.75" x14ac:dyDescent="0.25"/>
  <cols>
    <col min="1" max="1" width="20.7109375" style="17" customWidth="1"/>
    <col min="2" max="2" width="45.7109375" style="17" customWidth="1"/>
    <col min="3" max="22" width="7.28515625" style="2" customWidth="1"/>
    <col min="23" max="25" width="7.28515625" style="18" customWidth="1"/>
    <col min="26" max="30" width="5.7109375" style="19" customWidth="1"/>
    <col min="31" max="39" width="5.7109375" style="20" customWidth="1"/>
    <col min="40" max="51" width="5.7109375" style="21" customWidth="1"/>
    <col min="52" max="63" width="5.7109375" style="20" customWidth="1"/>
    <col min="64" max="65" width="5.7109375" style="18" customWidth="1"/>
    <col min="66" max="70" width="5.28515625" style="18" customWidth="1"/>
    <col min="71" max="160" width="5.28515625" style="20" customWidth="1"/>
    <col min="161" max="165" width="5.28515625" style="1" customWidth="1"/>
  </cols>
  <sheetData>
    <row r="1" spans="1:237" s="1" customFormat="1" ht="130.5" customHeight="1" x14ac:dyDescent="0.2">
      <c r="A1" s="559" t="s">
        <v>12</v>
      </c>
      <c r="B1" s="559"/>
      <c r="C1" s="559"/>
      <c r="D1" s="559"/>
      <c r="E1" s="559"/>
      <c r="F1" s="559"/>
      <c r="G1" s="559"/>
      <c r="H1" s="559"/>
      <c r="I1" s="559"/>
      <c r="J1" s="559"/>
      <c r="K1" s="559"/>
      <c r="L1" s="559"/>
      <c r="M1" s="559"/>
      <c r="N1" s="559"/>
      <c r="O1" s="559"/>
      <c r="P1" s="559"/>
      <c r="Q1" s="559"/>
      <c r="R1" s="559"/>
      <c r="S1" s="559"/>
      <c r="T1" s="559"/>
      <c r="U1" s="559"/>
      <c r="V1" s="559"/>
      <c r="W1" s="559"/>
      <c r="X1" s="559"/>
      <c r="Y1" s="559"/>
      <c r="Z1" s="559"/>
      <c r="AA1" s="559"/>
      <c r="AB1" s="559"/>
      <c r="AC1" s="559"/>
      <c r="AD1" s="559"/>
      <c r="AE1" s="559"/>
      <c r="AF1" s="559"/>
      <c r="AG1" s="559"/>
      <c r="AH1" s="559"/>
      <c r="AI1" s="559"/>
      <c r="AJ1" s="559"/>
      <c r="AK1" s="559"/>
      <c r="AL1" s="559"/>
      <c r="AM1" s="559"/>
      <c r="AN1" s="559"/>
      <c r="AO1" s="559"/>
      <c r="AP1" s="559"/>
      <c r="AQ1" s="559"/>
      <c r="AR1" s="559"/>
      <c r="AS1" s="559"/>
      <c r="AT1" s="559"/>
      <c r="AU1" s="559"/>
      <c r="AV1" s="559"/>
      <c r="AW1" s="559"/>
      <c r="AX1" s="559"/>
      <c r="AY1" s="559"/>
      <c r="AZ1" s="559"/>
      <c r="BA1" s="559"/>
      <c r="BB1" s="559"/>
      <c r="BC1" s="559"/>
      <c r="BD1" s="559"/>
      <c r="BE1" s="559"/>
      <c r="BF1" s="559"/>
      <c r="BG1" s="559"/>
      <c r="BH1" s="559"/>
      <c r="BI1" s="559"/>
      <c r="BJ1" s="559"/>
      <c r="BK1" s="559"/>
      <c r="BL1" s="559"/>
      <c r="BM1" s="559"/>
      <c r="BN1" s="559"/>
      <c r="BO1" s="559"/>
      <c r="BP1" s="559"/>
      <c r="BQ1" s="559"/>
      <c r="BR1" s="559"/>
      <c r="BS1" s="559"/>
      <c r="BT1" s="559"/>
      <c r="BU1" s="559"/>
      <c r="BV1" s="559"/>
      <c r="BW1" s="559"/>
      <c r="BX1" s="559"/>
      <c r="BY1" s="559"/>
      <c r="BZ1" s="559"/>
      <c r="CA1" s="559"/>
      <c r="CB1" s="559"/>
      <c r="CC1" s="559"/>
      <c r="CD1" s="559"/>
      <c r="CE1" s="559"/>
      <c r="CF1" s="559"/>
      <c r="CG1" s="559"/>
      <c r="CH1" s="559"/>
      <c r="CI1" s="559"/>
      <c r="CJ1" s="559"/>
      <c r="CK1" s="559"/>
      <c r="CL1" s="559"/>
      <c r="CM1" s="559"/>
      <c r="CN1" s="559"/>
      <c r="CO1" s="559"/>
      <c r="CP1" s="559"/>
      <c r="CQ1" s="559"/>
      <c r="CR1" s="559"/>
      <c r="CS1" s="559"/>
      <c r="CT1" s="559"/>
      <c r="CU1" s="559"/>
      <c r="CV1" s="559"/>
      <c r="CW1" s="559"/>
      <c r="CX1" s="559"/>
      <c r="CY1" s="559"/>
      <c r="CZ1" s="559"/>
      <c r="DA1" s="559"/>
      <c r="DB1" s="559"/>
      <c r="DC1" s="559"/>
      <c r="DD1" s="559"/>
      <c r="DE1" s="559"/>
      <c r="DF1" s="559"/>
      <c r="DG1" s="559"/>
      <c r="DH1" s="559"/>
      <c r="DI1" s="559"/>
      <c r="DJ1" s="559"/>
      <c r="DK1" s="559"/>
      <c r="DL1" s="559"/>
      <c r="DM1" s="559"/>
      <c r="DN1" s="559"/>
      <c r="DO1" s="559"/>
      <c r="DP1" s="559"/>
      <c r="DQ1" s="559"/>
      <c r="DR1" s="559"/>
      <c r="DS1" s="559"/>
      <c r="DT1" s="559"/>
      <c r="DU1" s="559"/>
      <c r="DV1" s="559"/>
      <c r="DW1" s="559"/>
      <c r="DX1" s="559"/>
      <c r="DY1" s="559"/>
      <c r="DZ1" s="559"/>
      <c r="EA1" s="559"/>
      <c r="EB1" s="559"/>
      <c r="EC1" s="559"/>
      <c r="ED1" s="559"/>
      <c r="EE1" s="559"/>
      <c r="EF1" s="559"/>
      <c r="EG1" s="559"/>
      <c r="EH1" s="559"/>
      <c r="EI1" s="559"/>
      <c r="EJ1" s="559"/>
      <c r="EK1" s="559"/>
      <c r="EL1" s="559"/>
      <c r="EM1" s="559"/>
      <c r="EN1" s="559"/>
      <c r="EO1" s="559"/>
      <c r="EP1" s="559"/>
      <c r="EQ1" s="559"/>
      <c r="ER1" s="559"/>
      <c r="ES1" s="559"/>
      <c r="ET1" s="559"/>
      <c r="EU1" s="559"/>
      <c r="EV1" s="559"/>
      <c r="EW1" s="559"/>
      <c r="EX1" s="559"/>
      <c r="EY1" s="559"/>
      <c r="EZ1" s="559"/>
      <c r="FA1" s="559"/>
      <c r="FB1" s="559"/>
      <c r="FC1" s="559"/>
      <c r="FD1" s="559"/>
      <c r="FE1" s="559"/>
      <c r="FF1" s="559"/>
      <c r="FG1" s="559"/>
      <c r="FH1" s="559"/>
      <c r="FI1" s="559"/>
    </row>
    <row r="2" spans="1:237" s="1" customFormat="1" ht="105" customHeight="1" x14ac:dyDescent="1.25">
      <c r="A2" s="557"/>
      <c r="B2" s="557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19"/>
      <c r="AB2" s="19"/>
      <c r="AC2" s="19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561" t="s">
        <v>236</v>
      </c>
      <c r="AU2" s="561"/>
      <c r="AV2" s="561"/>
      <c r="AW2" s="561"/>
      <c r="AX2" s="561"/>
      <c r="AY2" s="561"/>
      <c r="AZ2" s="561"/>
      <c r="BA2" s="561"/>
      <c r="BB2" s="561"/>
      <c r="BC2" s="561"/>
      <c r="BD2" s="561"/>
      <c r="BE2" s="561"/>
      <c r="BF2" s="561"/>
      <c r="BG2" s="561"/>
      <c r="BH2" s="561"/>
      <c r="BI2" s="561"/>
      <c r="BJ2" s="561"/>
      <c r="BK2" s="561"/>
      <c r="BL2" s="561"/>
      <c r="BM2" s="561"/>
      <c r="BN2" s="561"/>
      <c r="BO2" s="561"/>
      <c r="BP2" s="561"/>
      <c r="BQ2" s="561"/>
      <c r="BR2" s="561"/>
      <c r="BS2" s="561"/>
      <c r="BT2" s="561"/>
      <c r="BU2" s="561"/>
      <c r="BV2" s="561"/>
      <c r="BW2" s="561"/>
      <c r="BX2" s="561"/>
      <c r="BY2" s="561"/>
      <c r="BZ2" s="561"/>
      <c r="CA2" s="561"/>
      <c r="CB2" s="561"/>
      <c r="CC2" s="561"/>
      <c r="CD2" s="561"/>
      <c r="CE2" s="561"/>
      <c r="CF2" s="561"/>
      <c r="CG2" s="561"/>
      <c r="CH2" s="561"/>
      <c r="CI2" s="561"/>
      <c r="CJ2" s="561"/>
      <c r="CK2" s="561"/>
      <c r="CL2" s="561"/>
      <c r="CM2" s="561"/>
      <c r="CN2" s="561"/>
      <c r="CO2" s="561"/>
      <c r="CP2" s="561"/>
      <c r="CQ2" s="561"/>
      <c r="CR2" s="561"/>
      <c r="CS2" s="561"/>
      <c r="CT2" s="561"/>
      <c r="CU2" s="561"/>
      <c r="CV2" s="561"/>
      <c r="CW2" s="561"/>
      <c r="CX2" s="561"/>
      <c r="CY2" s="561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ES2" s="91"/>
      <c r="ET2" s="25"/>
      <c r="EU2" s="25"/>
      <c r="EV2" s="25"/>
      <c r="EW2" s="25"/>
    </row>
    <row r="3" spans="1:237" s="1" customFormat="1" ht="90" customHeight="1" x14ac:dyDescent="0.2">
      <c r="A3" s="558"/>
      <c r="B3" s="558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558"/>
      <c r="O3" s="558"/>
      <c r="P3" s="558"/>
      <c r="Q3" s="558"/>
      <c r="R3" s="558"/>
      <c r="S3" s="558"/>
      <c r="T3" s="558"/>
      <c r="U3" s="558"/>
      <c r="V3" s="558"/>
      <c r="W3" s="558"/>
      <c r="X3" s="558"/>
      <c r="Y3" s="558"/>
      <c r="Z3" s="558"/>
      <c r="AC3" s="24"/>
      <c r="AD3" s="24"/>
      <c r="AE3" s="24"/>
      <c r="AF3" s="24"/>
      <c r="AG3" s="24"/>
      <c r="AH3" s="24"/>
      <c r="AI3" s="24"/>
      <c r="AJ3" s="24"/>
      <c r="AK3" s="96"/>
      <c r="AL3" s="96"/>
      <c r="AM3" s="96"/>
      <c r="AN3" s="96"/>
      <c r="AO3" s="96"/>
      <c r="AP3" s="96"/>
      <c r="AQ3" s="96"/>
      <c r="AR3" s="96"/>
      <c r="AS3" s="96"/>
      <c r="AT3" s="564" t="s">
        <v>243</v>
      </c>
      <c r="AU3" s="564"/>
      <c r="AV3" s="564"/>
      <c r="AW3" s="564"/>
      <c r="AX3" s="564"/>
      <c r="AY3" s="564"/>
      <c r="AZ3" s="564"/>
      <c r="BA3" s="564"/>
      <c r="BB3" s="564"/>
      <c r="BC3" s="564"/>
      <c r="BD3" s="564"/>
      <c r="BE3" s="564"/>
      <c r="BF3" s="564"/>
      <c r="BG3" s="564"/>
      <c r="BH3" s="564"/>
      <c r="BI3" s="564"/>
      <c r="BJ3" s="564"/>
      <c r="BK3" s="564"/>
      <c r="BL3" s="564"/>
      <c r="BM3" s="564"/>
      <c r="BN3" s="564"/>
      <c r="BO3" s="564"/>
      <c r="BP3" s="564"/>
      <c r="BQ3" s="564"/>
      <c r="BR3" s="564"/>
      <c r="BS3" s="564"/>
      <c r="BT3" s="564"/>
      <c r="BU3" s="564"/>
      <c r="BV3" s="564"/>
      <c r="BW3" s="564"/>
      <c r="BX3" s="564"/>
      <c r="BY3" s="564"/>
      <c r="BZ3" s="564"/>
      <c r="CA3" s="564"/>
      <c r="CB3" s="564"/>
      <c r="CC3" s="564"/>
      <c r="CD3" s="564"/>
      <c r="CE3" s="564"/>
      <c r="CF3" s="564"/>
      <c r="CG3" s="564"/>
      <c r="CH3" s="564"/>
      <c r="CI3" s="564"/>
      <c r="CJ3" s="564"/>
      <c r="CK3" s="564"/>
      <c r="CL3" s="564"/>
      <c r="CM3" s="564"/>
      <c r="CN3" s="564"/>
      <c r="CO3" s="564"/>
      <c r="CP3" s="564"/>
      <c r="CQ3" s="564"/>
      <c r="CR3" s="564"/>
      <c r="CS3" s="564"/>
      <c r="CT3" s="564"/>
      <c r="CU3" s="564"/>
      <c r="CV3" s="564"/>
      <c r="CW3" s="564"/>
      <c r="CX3" s="564"/>
      <c r="CY3" s="564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24"/>
      <c r="DK3" s="24"/>
      <c r="DL3" s="24"/>
      <c r="DM3" s="24"/>
      <c r="DN3" s="24"/>
      <c r="DO3" s="24"/>
      <c r="DP3" s="565" t="s">
        <v>174</v>
      </c>
      <c r="DQ3" s="565"/>
      <c r="DR3" s="565"/>
      <c r="DS3" s="565"/>
      <c r="DT3" s="565"/>
      <c r="DU3" s="565"/>
      <c r="DV3" s="565"/>
      <c r="DW3" s="565"/>
      <c r="DX3" s="565"/>
      <c r="DY3" s="565"/>
      <c r="DZ3" s="565"/>
      <c r="EA3" s="565"/>
      <c r="EB3" s="565"/>
      <c r="EC3" s="565"/>
      <c r="ED3" s="565"/>
      <c r="EE3" s="565"/>
      <c r="EF3" s="565"/>
      <c r="EG3" s="565"/>
      <c r="EH3" s="565"/>
      <c r="EI3" s="565"/>
      <c r="EJ3" s="565"/>
      <c r="EK3" s="565"/>
      <c r="EL3" s="565"/>
      <c r="EM3" s="565"/>
      <c r="EN3" s="565"/>
      <c r="EO3" s="565"/>
      <c r="EP3" s="565"/>
      <c r="EQ3" s="565"/>
      <c r="ER3" s="565"/>
      <c r="ES3" s="565"/>
      <c r="ET3" s="565"/>
      <c r="EU3" s="565"/>
      <c r="EV3" s="565"/>
      <c r="EW3" s="565"/>
      <c r="EX3" s="565"/>
      <c r="EY3" s="565"/>
      <c r="EZ3" s="565"/>
      <c r="FA3" s="565"/>
      <c r="FB3" s="565"/>
      <c r="FC3" s="565"/>
      <c r="FD3" s="565"/>
      <c r="FE3" s="565"/>
      <c r="FF3" s="565"/>
      <c r="FG3" s="565"/>
      <c r="FH3" s="565"/>
      <c r="FI3" s="565"/>
    </row>
    <row r="4" spans="1:237" s="1" customFormat="1" ht="90" customHeight="1" x14ac:dyDescent="0.35">
      <c r="A4" s="82"/>
      <c r="B4" s="92"/>
      <c r="C4" s="92"/>
      <c r="D4" s="9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1175" t="s">
        <v>119</v>
      </c>
      <c r="AL4" s="1175"/>
      <c r="AM4" s="1175"/>
      <c r="AN4" s="1175"/>
      <c r="AO4" s="1175"/>
      <c r="AP4" s="1175"/>
      <c r="AQ4" s="1175"/>
      <c r="AR4" s="1175"/>
      <c r="AS4" s="1175"/>
      <c r="AT4" s="1175"/>
      <c r="AU4" s="1175"/>
      <c r="AV4" s="1175"/>
      <c r="AW4" s="1175"/>
      <c r="AX4" s="1175"/>
      <c r="AY4" s="1175"/>
      <c r="AZ4" s="1175"/>
      <c r="BA4" s="1175"/>
      <c r="BB4" s="1175"/>
      <c r="BC4" s="1175"/>
      <c r="BD4" s="1175"/>
      <c r="BE4" s="1175"/>
      <c r="BF4" s="1175"/>
      <c r="BG4" s="1175"/>
      <c r="BH4" s="1175"/>
      <c r="BI4" s="1175"/>
      <c r="BJ4" s="1175"/>
      <c r="BK4" s="1175"/>
      <c r="BL4" s="1175"/>
      <c r="BM4" s="1175"/>
      <c r="BN4" s="1175"/>
      <c r="BO4" s="1175"/>
      <c r="BP4" s="1175"/>
      <c r="BQ4" s="1175"/>
      <c r="BR4" s="1175"/>
      <c r="BS4" s="1175"/>
      <c r="BT4" s="1175"/>
      <c r="BU4" s="1175"/>
      <c r="BV4" s="1175"/>
      <c r="BW4" s="1175"/>
      <c r="BX4" s="1175"/>
      <c r="BY4" s="1175"/>
      <c r="BZ4" s="1175"/>
      <c r="CA4" s="1175"/>
      <c r="CB4" s="1175"/>
      <c r="CC4" s="1175"/>
      <c r="CD4" s="1175"/>
      <c r="CE4" s="1175"/>
      <c r="CF4" s="1175"/>
      <c r="CG4" s="1175"/>
      <c r="CH4" s="1175"/>
      <c r="CI4" s="1175"/>
      <c r="CJ4" s="1175"/>
      <c r="CK4" s="1175"/>
      <c r="CL4" s="1175"/>
      <c r="CM4" s="1175"/>
      <c r="CN4" s="1175"/>
      <c r="CO4" s="1175"/>
      <c r="CP4" s="1175"/>
      <c r="CQ4" s="1175"/>
      <c r="CR4" s="1175"/>
      <c r="CS4" s="1175"/>
      <c r="CT4" s="1175"/>
      <c r="CU4" s="1175"/>
      <c r="CV4" s="1175"/>
      <c r="CW4" s="1175"/>
      <c r="CX4" s="1175"/>
      <c r="CY4" s="1175"/>
      <c r="CZ4" s="1175"/>
      <c r="DA4" s="1175"/>
      <c r="DB4" s="1175"/>
      <c r="DC4" s="1175"/>
      <c r="DD4" s="1175"/>
      <c r="DE4" s="1175"/>
      <c r="DF4" s="1175"/>
      <c r="DG4" s="1175"/>
      <c r="DH4" s="1175"/>
      <c r="DI4" s="1175"/>
      <c r="DP4" s="562" t="s">
        <v>246</v>
      </c>
      <c r="DQ4" s="562"/>
      <c r="DR4" s="562"/>
      <c r="DS4" s="562"/>
      <c r="DT4" s="562"/>
      <c r="DU4" s="562"/>
      <c r="DV4" s="562"/>
      <c r="DW4" s="562"/>
      <c r="DX4" s="562"/>
      <c r="DY4" s="562"/>
      <c r="DZ4" s="562"/>
      <c r="EA4" s="562"/>
      <c r="EB4" s="562"/>
      <c r="EC4" s="562"/>
      <c r="ED4" s="562"/>
      <c r="EE4" s="562"/>
      <c r="EF4" s="562"/>
      <c r="EG4" s="562"/>
      <c r="EH4" s="562"/>
      <c r="EI4" s="562"/>
      <c r="EJ4" s="562"/>
      <c r="EK4" s="562"/>
      <c r="EL4" s="562"/>
      <c r="EM4" s="562"/>
      <c r="EN4" s="562"/>
      <c r="EO4" s="562"/>
      <c r="EP4" s="562"/>
      <c r="EQ4" s="562"/>
      <c r="ER4" s="562"/>
      <c r="ES4" s="562"/>
      <c r="ET4" s="562"/>
      <c r="EU4" s="562"/>
      <c r="EV4" s="562"/>
      <c r="EW4" s="562"/>
      <c r="EX4" s="562"/>
      <c r="EY4" s="562"/>
      <c r="EZ4" s="562"/>
      <c r="FA4" s="562"/>
      <c r="FB4" s="562"/>
      <c r="FC4" s="562"/>
      <c r="FD4" s="562"/>
      <c r="FE4" s="562"/>
      <c r="FF4" s="562"/>
      <c r="FG4" s="562"/>
      <c r="FH4" s="562"/>
      <c r="FI4" s="562"/>
    </row>
    <row r="5" spans="1:237" s="1" customFormat="1" ht="90" customHeight="1" x14ac:dyDescent="0.3">
      <c r="A5" s="82"/>
      <c r="B5" s="92"/>
      <c r="C5" s="92"/>
      <c r="D5" s="9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2"/>
      <c r="T5" s="2"/>
      <c r="U5" s="2"/>
      <c r="V5" s="2"/>
      <c r="W5" s="18"/>
      <c r="X5" s="18"/>
      <c r="Y5" s="18"/>
      <c r="Z5" s="19"/>
      <c r="AA5" s="19"/>
      <c r="AB5" s="19"/>
      <c r="AC5" s="19"/>
      <c r="AD5" s="19"/>
      <c r="AE5" s="20"/>
      <c r="AF5" s="20"/>
      <c r="AG5" s="20"/>
      <c r="AH5" s="20"/>
      <c r="AI5" s="20"/>
      <c r="AJ5" s="20"/>
      <c r="AK5" s="1175" t="s">
        <v>245</v>
      </c>
      <c r="AL5" s="1175"/>
      <c r="AM5" s="1175"/>
      <c r="AN5" s="1175"/>
      <c r="AO5" s="1175"/>
      <c r="AP5" s="1175"/>
      <c r="AQ5" s="1175"/>
      <c r="AR5" s="1175"/>
      <c r="AS5" s="1175"/>
      <c r="AT5" s="1175"/>
      <c r="AU5" s="1175"/>
      <c r="AV5" s="1175"/>
      <c r="AW5" s="1175"/>
      <c r="AX5" s="1175"/>
      <c r="AY5" s="1175"/>
      <c r="AZ5" s="1175"/>
      <c r="BA5" s="1175"/>
      <c r="BB5" s="1175"/>
      <c r="BC5" s="1175"/>
      <c r="BD5" s="1175"/>
      <c r="BE5" s="1175"/>
      <c r="BF5" s="1175"/>
      <c r="BG5" s="1175"/>
      <c r="BH5" s="1175"/>
      <c r="BI5" s="1175"/>
      <c r="BJ5" s="1175"/>
      <c r="BK5" s="1175"/>
      <c r="BL5" s="1175"/>
      <c r="BM5" s="1175"/>
      <c r="BN5" s="1175"/>
      <c r="BO5" s="1175"/>
      <c r="BP5" s="1175"/>
      <c r="BQ5" s="1175"/>
      <c r="BR5" s="1175"/>
      <c r="BS5" s="1175"/>
      <c r="BT5" s="1175"/>
      <c r="BU5" s="1175"/>
      <c r="BV5" s="1175"/>
      <c r="BW5" s="1175"/>
      <c r="BX5" s="1175"/>
      <c r="BY5" s="1175"/>
      <c r="BZ5" s="1175"/>
      <c r="CA5" s="1175"/>
      <c r="CB5" s="1175"/>
      <c r="CC5" s="1175"/>
      <c r="CD5" s="1175"/>
      <c r="CE5" s="1175"/>
      <c r="CF5" s="1175"/>
      <c r="CG5" s="1175"/>
      <c r="CH5" s="1175"/>
      <c r="CI5" s="1175"/>
      <c r="CJ5" s="1175"/>
      <c r="CK5" s="1175"/>
      <c r="CL5" s="1175"/>
      <c r="CM5" s="1175"/>
      <c r="CN5" s="1175"/>
      <c r="CO5" s="1175"/>
      <c r="CP5" s="1175"/>
      <c r="CQ5" s="1175"/>
      <c r="CR5" s="1175"/>
      <c r="CS5" s="1175"/>
      <c r="CT5" s="1175"/>
      <c r="CU5" s="1175"/>
      <c r="CV5" s="1175"/>
      <c r="CW5" s="1175"/>
      <c r="CX5" s="1175"/>
      <c r="CY5" s="1175"/>
      <c r="CZ5" s="1175"/>
      <c r="DA5" s="1175"/>
      <c r="DB5" s="1175"/>
      <c r="DC5" s="1175"/>
      <c r="DD5" s="1175"/>
      <c r="DE5" s="1175"/>
      <c r="DF5" s="1175"/>
      <c r="DG5" s="1175"/>
      <c r="DH5" s="1175"/>
      <c r="DI5" s="1175"/>
      <c r="DP5" s="852" t="s">
        <v>237</v>
      </c>
      <c r="DQ5" s="852"/>
      <c r="DR5" s="852"/>
      <c r="DS5" s="852"/>
      <c r="DT5" s="852"/>
      <c r="DU5" s="852"/>
      <c r="DV5" s="852"/>
      <c r="DW5" s="852"/>
      <c r="DX5" s="852"/>
      <c r="DY5" s="852"/>
      <c r="DZ5" s="852"/>
      <c r="EA5" s="852"/>
      <c r="EB5" s="852"/>
      <c r="EC5" s="852"/>
      <c r="ED5" s="852"/>
      <c r="EE5" s="852"/>
      <c r="EF5" s="852"/>
      <c r="EG5" s="852"/>
      <c r="EH5" s="852"/>
      <c r="EI5" s="852"/>
      <c r="EJ5" s="852"/>
      <c r="EK5" s="852"/>
      <c r="EL5" s="852"/>
      <c r="EM5" s="852"/>
      <c r="EN5" s="852"/>
      <c r="EO5" s="852"/>
      <c r="EP5" s="852"/>
      <c r="EQ5" s="852"/>
      <c r="ER5" s="852"/>
      <c r="ES5" s="852"/>
      <c r="ET5" s="852"/>
      <c r="EU5" s="852"/>
      <c r="EV5" s="852"/>
      <c r="EW5" s="852"/>
      <c r="EX5" s="852"/>
      <c r="EY5" s="852"/>
      <c r="EZ5" s="852"/>
      <c r="FA5" s="852"/>
      <c r="FB5" s="852"/>
      <c r="FC5" s="852"/>
      <c r="FD5" s="852"/>
      <c r="FE5" s="852"/>
      <c r="FF5" s="852"/>
      <c r="FG5" s="852"/>
      <c r="FH5" s="852"/>
      <c r="FI5" s="852"/>
    </row>
    <row r="6" spans="1:237" s="1" customFormat="1" ht="90" customHeight="1" x14ac:dyDescent="0.3">
      <c r="A6" s="82"/>
      <c r="B6" s="92"/>
      <c r="C6" s="92"/>
      <c r="D6" s="9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2"/>
      <c r="T6" s="2"/>
      <c r="U6" s="2"/>
      <c r="V6" s="2"/>
      <c r="W6" s="18"/>
      <c r="X6" s="18"/>
      <c r="Y6" s="18"/>
      <c r="Z6" s="19"/>
      <c r="AA6" s="19"/>
      <c r="AB6" s="19"/>
      <c r="AC6" s="19"/>
      <c r="AD6" s="19"/>
      <c r="AE6" s="20"/>
      <c r="AF6" s="20"/>
      <c r="AG6" s="20"/>
      <c r="AH6" s="20"/>
      <c r="AI6" s="20"/>
      <c r="AJ6" s="20"/>
      <c r="AK6" s="1175" t="s">
        <v>13</v>
      </c>
      <c r="AL6" s="1175"/>
      <c r="AM6" s="1175"/>
      <c r="AN6" s="1175"/>
      <c r="AO6" s="1175"/>
      <c r="AP6" s="1175"/>
      <c r="AQ6" s="1175"/>
      <c r="AR6" s="1175"/>
      <c r="AS6" s="1175"/>
      <c r="AT6" s="1175"/>
      <c r="AU6" s="1175"/>
      <c r="AV6" s="1175"/>
      <c r="AW6" s="1175"/>
      <c r="AX6" s="1175"/>
      <c r="AY6" s="1175"/>
      <c r="AZ6" s="1175"/>
      <c r="BA6" s="1175"/>
      <c r="BB6" s="1175"/>
      <c r="BC6" s="1175"/>
      <c r="BD6" s="1175"/>
      <c r="BE6" s="1175"/>
      <c r="BF6" s="1175"/>
      <c r="BG6" s="1175"/>
      <c r="BH6" s="1175"/>
      <c r="BI6" s="1175"/>
      <c r="BJ6" s="1175"/>
      <c r="BK6" s="1175"/>
      <c r="BL6" s="1175"/>
      <c r="BM6" s="1175"/>
      <c r="BN6" s="1175"/>
      <c r="BO6" s="1175"/>
      <c r="BP6" s="1175"/>
      <c r="BQ6" s="1175"/>
      <c r="BR6" s="1175"/>
      <c r="BS6" s="1175"/>
      <c r="BT6" s="1175"/>
      <c r="BU6" s="1175"/>
      <c r="BV6" s="1175"/>
      <c r="BW6" s="1175"/>
      <c r="BX6" s="1175"/>
      <c r="BY6" s="1175"/>
      <c r="BZ6" s="1175"/>
      <c r="CA6" s="1175"/>
      <c r="CB6" s="1175"/>
      <c r="CC6" s="1175"/>
      <c r="CD6" s="1175"/>
      <c r="CE6" s="1175"/>
      <c r="CF6" s="1175"/>
      <c r="CG6" s="1175"/>
      <c r="CH6" s="1175"/>
      <c r="CI6" s="1175"/>
      <c r="CJ6" s="1175"/>
      <c r="CK6" s="1175"/>
      <c r="CL6" s="1175"/>
      <c r="CM6" s="1175"/>
      <c r="CN6" s="1175"/>
      <c r="CO6" s="1175"/>
      <c r="CP6" s="1175"/>
      <c r="CQ6" s="1175"/>
      <c r="CR6" s="1175"/>
      <c r="CS6" s="1175"/>
      <c r="CT6" s="1175"/>
      <c r="CU6" s="1175"/>
      <c r="CV6" s="1175"/>
      <c r="CW6" s="1175"/>
      <c r="CX6" s="1175"/>
      <c r="CY6" s="1175"/>
      <c r="CZ6" s="1175"/>
      <c r="DA6" s="1175"/>
      <c r="DB6" s="1175"/>
      <c r="DC6" s="1175"/>
      <c r="DD6" s="1175"/>
      <c r="DE6" s="1175"/>
      <c r="DF6" s="1175"/>
      <c r="DG6" s="1175"/>
      <c r="DH6" s="1175"/>
      <c r="DI6" s="1175"/>
      <c r="DP6" s="853" t="s">
        <v>238</v>
      </c>
      <c r="DQ6" s="853"/>
      <c r="DR6" s="853"/>
      <c r="DS6" s="853"/>
      <c r="DT6" s="853"/>
      <c r="DU6" s="853"/>
      <c r="DV6" s="853"/>
      <c r="DW6" s="853"/>
      <c r="DX6" s="853"/>
      <c r="DY6" s="853"/>
      <c r="DZ6" s="853"/>
      <c r="EA6" s="853"/>
      <c r="EB6" s="853"/>
      <c r="EC6" s="853"/>
      <c r="ED6" s="853"/>
      <c r="EE6" s="853"/>
      <c r="EF6" s="853"/>
      <c r="EG6" s="853"/>
      <c r="EH6" s="853"/>
      <c r="EI6" s="853"/>
      <c r="EJ6" s="853"/>
      <c r="EK6" s="853"/>
      <c r="EL6" s="853"/>
      <c r="EM6" s="853"/>
      <c r="EN6" s="853"/>
      <c r="EO6" s="853"/>
      <c r="EP6" s="853"/>
      <c r="EQ6" s="853"/>
      <c r="ER6" s="853"/>
      <c r="ES6" s="853"/>
      <c r="ET6" s="853"/>
      <c r="EU6" s="853"/>
      <c r="EV6" s="853"/>
      <c r="EW6" s="853"/>
      <c r="EX6" s="853"/>
      <c r="EY6" s="853"/>
      <c r="EZ6" s="853"/>
      <c r="FA6" s="853"/>
      <c r="FB6" s="853"/>
      <c r="FC6" s="853"/>
      <c r="FD6" s="853"/>
      <c r="FE6" s="853"/>
      <c r="FF6" s="853"/>
      <c r="FG6" s="853"/>
      <c r="FH6" s="853"/>
      <c r="FI6" s="853"/>
    </row>
    <row r="7" spans="1:237" s="1" customFormat="1" ht="90" customHeight="1" x14ac:dyDescent="0.3">
      <c r="A7" s="82"/>
      <c r="B7" s="92"/>
      <c r="C7" s="92"/>
      <c r="D7" s="9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2"/>
      <c r="T7" s="2"/>
      <c r="U7" s="2"/>
      <c r="V7" s="2"/>
      <c r="W7" s="18"/>
      <c r="X7" s="18"/>
      <c r="Y7" s="18"/>
      <c r="Z7" s="19"/>
      <c r="AA7" s="19"/>
      <c r="AB7" s="19"/>
      <c r="AC7" s="19"/>
      <c r="AD7" s="19"/>
      <c r="AE7" s="20"/>
      <c r="AF7" s="20"/>
      <c r="AG7" s="20"/>
      <c r="AH7" s="20"/>
      <c r="AI7" s="20"/>
      <c r="AJ7" s="20"/>
      <c r="AK7" s="1175" t="s">
        <v>233</v>
      </c>
      <c r="AL7" s="1175"/>
      <c r="AM7" s="1175"/>
      <c r="AN7" s="1175"/>
      <c r="AO7" s="1175"/>
      <c r="AP7" s="1175"/>
      <c r="AQ7" s="1175"/>
      <c r="AR7" s="1175"/>
      <c r="AS7" s="1175"/>
      <c r="AT7" s="1175"/>
      <c r="AU7" s="1175"/>
      <c r="AV7" s="1175"/>
      <c r="AW7" s="1175"/>
      <c r="AX7" s="1175"/>
      <c r="AY7" s="1175"/>
      <c r="AZ7" s="1175"/>
      <c r="BA7" s="1175"/>
      <c r="BB7" s="1175"/>
      <c r="BC7" s="1175"/>
      <c r="BD7" s="1175"/>
      <c r="BE7" s="1175"/>
      <c r="BF7" s="1175"/>
      <c r="BG7" s="1175"/>
      <c r="BH7" s="1175"/>
      <c r="BI7" s="1175"/>
      <c r="BJ7" s="1175"/>
      <c r="BK7" s="1175"/>
      <c r="BL7" s="1175"/>
      <c r="BM7" s="1175"/>
      <c r="BN7" s="1175"/>
      <c r="BO7" s="1175"/>
      <c r="BP7" s="1175"/>
      <c r="BQ7" s="1175"/>
      <c r="BR7" s="1175"/>
      <c r="BS7" s="1175"/>
      <c r="BT7" s="1175"/>
      <c r="BU7" s="1175"/>
      <c r="BV7" s="1175"/>
      <c r="BW7" s="1175"/>
      <c r="BX7" s="1175"/>
      <c r="BY7" s="1175"/>
      <c r="BZ7" s="1175"/>
      <c r="CA7" s="1175"/>
      <c r="CB7" s="1175"/>
      <c r="CC7" s="1175"/>
      <c r="CD7" s="1175"/>
      <c r="CE7" s="1175"/>
      <c r="CF7" s="1175"/>
      <c r="CG7" s="1175"/>
      <c r="CH7" s="1175"/>
      <c r="CI7" s="1175"/>
      <c r="CJ7" s="1175"/>
      <c r="CK7" s="1175"/>
      <c r="CL7" s="1175"/>
      <c r="CM7" s="1175"/>
      <c r="CN7" s="1175"/>
      <c r="CO7" s="1175"/>
      <c r="CP7" s="1175"/>
      <c r="CQ7" s="1175"/>
      <c r="CR7" s="1175"/>
      <c r="CS7" s="1175"/>
      <c r="CT7" s="1175"/>
      <c r="CU7" s="1175"/>
      <c r="CV7" s="1175"/>
      <c r="CW7" s="1175"/>
      <c r="CX7" s="1175"/>
      <c r="CY7" s="1175"/>
      <c r="CZ7" s="1175"/>
      <c r="DA7" s="1175"/>
      <c r="DB7" s="1175"/>
      <c r="DC7" s="1175"/>
      <c r="DD7" s="1175"/>
      <c r="DE7" s="1175"/>
      <c r="DF7" s="1175"/>
      <c r="DG7" s="1175"/>
      <c r="DH7" s="1175"/>
      <c r="DI7" s="1175"/>
    </row>
    <row r="8" spans="1:237" s="1" customFormat="1" ht="90" customHeight="1" x14ac:dyDescent="0.85">
      <c r="A8" s="82"/>
      <c r="B8" s="92"/>
      <c r="C8" s="92"/>
      <c r="D8" s="9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2"/>
      <c r="T8" s="2"/>
      <c r="U8" s="2"/>
      <c r="V8" s="2"/>
      <c r="W8" s="18"/>
      <c r="X8" s="18"/>
      <c r="Y8" s="18"/>
      <c r="Z8" s="19"/>
      <c r="AA8" s="19"/>
      <c r="AB8" s="19"/>
      <c r="AC8" s="19"/>
      <c r="AD8" s="19"/>
      <c r="AE8" s="20"/>
      <c r="AF8" s="20"/>
      <c r="AG8" s="20"/>
      <c r="AH8" s="20"/>
      <c r="AI8" s="20"/>
      <c r="AJ8" s="20"/>
      <c r="AK8" s="1175" t="s">
        <v>241</v>
      </c>
      <c r="AL8" s="1175"/>
      <c r="AM8" s="1175"/>
      <c r="AN8" s="1175"/>
      <c r="AO8" s="1175"/>
      <c r="AP8" s="1175"/>
      <c r="AQ8" s="1175"/>
      <c r="AR8" s="1175"/>
      <c r="AS8" s="1175"/>
      <c r="AT8" s="1175"/>
      <c r="AU8" s="1175"/>
      <c r="AV8" s="1175"/>
      <c r="AW8" s="1175"/>
      <c r="AX8" s="1175"/>
      <c r="AY8" s="1175"/>
      <c r="AZ8" s="1175"/>
      <c r="BA8" s="1175"/>
      <c r="BB8" s="1175"/>
      <c r="BC8" s="1175"/>
      <c r="BD8" s="1175"/>
      <c r="BE8" s="1175"/>
      <c r="BF8" s="1175"/>
      <c r="BG8" s="1175"/>
      <c r="BH8" s="1175"/>
      <c r="BI8" s="1175"/>
      <c r="BJ8" s="1175"/>
      <c r="BK8" s="1175"/>
      <c r="BL8" s="1175"/>
      <c r="BM8" s="1175"/>
      <c r="BN8" s="1175"/>
      <c r="BO8" s="1175"/>
      <c r="BP8" s="1175"/>
      <c r="BQ8" s="1175"/>
      <c r="BR8" s="1175"/>
      <c r="BS8" s="1175"/>
      <c r="BT8" s="1175"/>
      <c r="BU8" s="1175"/>
      <c r="BV8" s="1175"/>
      <c r="BW8" s="1175"/>
      <c r="BX8" s="1175"/>
      <c r="BY8" s="1175"/>
      <c r="BZ8" s="1175"/>
      <c r="CA8" s="1175"/>
      <c r="CB8" s="1175"/>
      <c r="CC8" s="1175"/>
      <c r="CD8" s="1175"/>
      <c r="CE8" s="1175"/>
      <c r="CF8" s="1175"/>
      <c r="CG8" s="1175"/>
      <c r="CH8" s="1175"/>
      <c r="CI8" s="1175"/>
      <c r="CJ8" s="1175"/>
      <c r="CK8" s="1175"/>
      <c r="CL8" s="1175"/>
      <c r="CM8" s="1175"/>
      <c r="CN8" s="1175"/>
      <c r="CO8" s="1175"/>
      <c r="CP8" s="1175"/>
      <c r="CQ8" s="1175"/>
      <c r="CR8" s="1175"/>
      <c r="CS8" s="1175"/>
      <c r="CT8" s="1175"/>
      <c r="CU8" s="1175"/>
      <c r="CV8" s="1175"/>
      <c r="CW8" s="1175"/>
      <c r="CX8" s="1175"/>
      <c r="CY8" s="1175"/>
      <c r="CZ8" s="1175"/>
      <c r="DA8" s="1175"/>
      <c r="DB8" s="1175"/>
      <c r="DC8" s="1175"/>
      <c r="DD8" s="1175"/>
      <c r="DE8" s="1175"/>
      <c r="DF8" s="1175"/>
      <c r="DG8" s="1175"/>
      <c r="DH8" s="1175"/>
      <c r="DI8" s="1175"/>
      <c r="DZ8" s="1176" t="s">
        <v>175</v>
      </c>
      <c r="EA8" s="1176"/>
      <c r="EB8" s="1176"/>
      <c r="EC8" s="1176"/>
    </row>
    <row r="9" spans="1:237" s="1" customFormat="1" ht="49.5" customHeight="1" x14ac:dyDescent="0.3">
      <c r="A9" s="82"/>
      <c r="B9" s="92"/>
      <c r="C9" s="92"/>
      <c r="D9" s="9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2"/>
      <c r="T9" s="2"/>
      <c r="U9" s="2"/>
      <c r="V9" s="2"/>
      <c r="W9" s="18"/>
      <c r="X9" s="18"/>
      <c r="Y9" s="18"/>
      <c r="Z9" s="19"/>
      <c r="AA9" s="19"/>
      <c r="AB9" s="19"/>
      <c r="AC9" s="19"/>
      <c r="AD9" s="19"/>
      <c r="AE9" s="20"/>
      <c r="AF9" s="20"/>
      <c r="AG9" s="20"/>
      <c r="AH9" s="20"/>
      <c r="AI9" s="20"/>
      <c r="AJ9" s="20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  <c r="BY9" s="94"/>
      <c r="BZ9" s="94"/>
      <c r="CA9" s="94"/>
      <c r="CB9" s="94"/>
      <c r="CC9" s="94"/>
      <c r="CD9" s="94"/>
      <c r="CE9" s="94"/>
      <c r="CF9" s="94"/>
      <c r="CG9" s="94"/>
      <c r="CH9" s="94"/>
      <c r="CI9" s="94"/>
      <c r="CJ9" s="94"/>
      <c r="CK9" s="94"/>
      <c r="CL9" s="94"/>
      <c r="CM9" s="94"/>
      <c r="CN9" s="94"/>
      <c r="CO9" s="94"/>
      <c r="CP9" s="94"/>
      <c r="CQ9" s="94"/>
      <c r="CR9" s="94"/>
      <c r="CS9" s="94"/>
      <c r="CT9" s="94"/>
      <c r="CU9" s="94"/>
      <c r="CV9" s="94"/>
      <c r="CW9" s="94"/>
      <c r="CX9" s="94"/>
      <c r="CY9" s="94"/>
      <c r="CZ9" s="94"/>
      <c r="DA9" s="94"/>
      <c r="DB9" s="94"/>
      <c r="DC9" s="94"/>
      <c r="DD9" s="94"/>
      <c r="DE9" s="94"/>
      <c r="DF9" s="94"/>
      <c r="DG9" s="94"/>
      <c r="DH9" s="94"/>
      <c r="DI9" s="94"/>
    </row>
    <row r="10" spans="1:237" s="1" customFormat="1" ht="78" customHeight="1" x14ac:dyDescent="0.2">
      <c r="A10" s="560" t="s">
        <v>248</v>
      </c>
      <c r="B10" s="560"/>
      <c r="C10" s="560"/>
      <c r="D10" s="560"/>
      <c r="E10" s="560"/>
      <c r="F10" s="560"/>
      <c r="G10" s="560"/>
      <c r="H10" s="560"/>
      <c r="I10" s="560"/>
      <c r="J10" s="560"/>
      <c r="K10" s="560"/>
      <c r="L10" s="560"/>
      <c r="M10" s="560"/>
      <c r="N10" s="560"/>
      <c r="O10" s="560"/>
      <c r="P10" s="560"/>
      <c r="Q10" s="560"/>
      <c r="R10" s="560"/>
      <c r="S10" s="560"/>
      <c r="T10" s="560"/>
      <c r="U10" s="560"/>
      <c r="V10" s="560"/>
      <c r="W10" s="560"/>
      <c r="X10" s="560"/>
      <c r="Y10" s="560"/>
      <c r="Z10" s="560"/>
      <c r="AA10" s="560"/>
      <c r="AB10" s="560"/>
      <c r="AC10" s="560"/>
      <c r="AD10" s="560"/>
      <c r="AE10" s="560"/>
      <c r="AF10" s="560"/>
      <c r="AG10" s="560"/>
      <c r="AH10" s="560"/>
      <c r="AI10" s="560"/>
      <c r="AJ10" s="560"/>
      <c r="AK10" s="560"/>
      <c r="AL10" s="560"/>
      <c r="AM10" s="560"/>
      <c r="AN10" s="560"/>
      <c r="AO10" s="560"/>
      <c r="AP10" s="560"/>
      <c r="AQ10" s="560"/>
      <c r="AR10" s="560"/>
      <c r="AS10" s="560"/>
      <c r="AT10" s="560"/>
      <c r="AU10" s="560"/>
      <c r="AV10" s="560"/>
      <c r="AW10" s="560"/>
      <c r="AX10" s="560"/>
      <c r="AY10" s="560"/>
      <c r="AZ10" s="560"/>
      <c r="BA10" s="560"/>
      <c r="BB10" s="560"/>
      <c r="BC10" s="560"/>
      <c r="BD10" s="560"/>
      <c r="BE10" s="560"/>
      <c r="BF10" s="560"/>
      <c r="BG10" s="560"/>
      <c r="BH10" s="560"/>
      <c r="BI10" s="560"/>
      <c r="BJ10" s="560"/>
      <c r="BK10" s="560"/>
      <c r="BL10" s="560"/>
      <c r="BM10" s="560"/>
      <c r="BN10" s="560"/>
      <c r="BO10" s="560"/>
      <c r="BP10" s="560"/>
      <c r="BQ10" s="560"/>
      <c r="BR10" s="560"/>
      <c r="BS10" s="560"/>
      <c r="BT10" s="560"/>
      <c r="BU10" s="560"/>
      <c r="BV10" s="560"/>
      <c r="BW10" s="560"/>
      <c r="BX10" s="560"/>
      <c r="BY10" s="560"/>
      <c r="BZ10" s="560"/>
      <c r="CA10" s="560"/>
      <c r="CB10" s="560"/>
      <c r="CC10" s="560"/>
      <c r="CD10" s="560"/>
      <c r="CE10" s="560"/>
      <c r="CF10" s="560"/>
      <c r="CG10" s="560"/>
      <c r="CH10" s="560"/>
      <c r="CI10" s="560"/>
      <c r="CJ10" s="560"/>
      <c r="CK10" s="560"/>
      <c r="CL10" s="560"/>
      <c r="CM10" s="560"/>
      <c r="CN10" s="560"/>
      <c r="CO10" s="560"/>
      <c r="CP10" s="560"/>
      <c r="CQ10" s="560"/>
      <c r="CR10" s="560"/>
      <c r="CS10" s="560"/>
      <c r="CT10" s="560"/>
      <c r="CU10" s="560"/>
      <c r="CV10" s="560"/>
      <c r="CW10" s="560"/>
      <c r="CX10" s="560"/>
      <c r="CY10" s="560"/>
      <c r="CZ10" s="560"/>
      <c r="DA10" s="560"/>
      <c r="DB10" s="560"/>
      <c r="DC10" s="560"/>
      <c r="DD10" s="560"/>
      <c r="DE10" s="560"/>
      <c r="DF10" s="560"/>
      <c r="DG10" s="560"/>
      <c r="DH10" s="560"/>
      <c r="DI10" s="560"/>
      <c r="DJ10" s="560"/>
      <c r="DK10" s="560"/>
      <c r="DL10" s="560"/>
      <c r="DM10" s="560"/>
      <c r="DN10" s="560"/>
      <c r="DO10" s="560"/>
      <c r="DP10" s="560"/>
      <c r="DQ10" s="560"/>
      <c r="DR10" s="560"/>
      <c r="DS10" s="560"/>
      <c r="DT10" s="560"/>
      <c r="DU10" s="560"/>
      <c r="DV10" s="560"/>
      <c r="DW10" s="560"/>
      <c r="DX10" s="560"/>
      <c r="DY10" s="560"/>
      <c r="DZ10" s="560"/>
      <c r="EA10" s="560"/>
      <c r="EB10" s="560"/>
      <c r="EC10" s="560"/>
      <c r="ED10" s="560"/>
      <c r="EE10" s="560"/>
      <c r="EF10" s="560"/>
      <c r="EG10" s="560"/>
      <c r="EH10" s="560"/>
      <c r="EI10" s="560"/>
      <c r="EJ10" s="560"/>
      <c r="EK10" s="560"/>
      <c r="EL10" s="560"/>
      <c r="EM10" s="560"/>
      <c r="EN10" s="560"/>
      <c r="EO10" s="560"/>
      <c r="EP10" s="560"/>
      <c r="EQ10" s="560"/>
      <c r="ER10" s="560"/>
      <c r="ES10" s="560"/>
      <c r="ET10" s="560"/>
      <c r="EU10" s="560"/>
      <c r="EV10" s="560"/>
      <c r="EW10" s="560"/>
      <c r="EX10" s="560"/>
      <c r="EY10" s="560"/>
      <c r="EZ10" s="560"/>
      <c r="FA10" s="560"/>
      <c r="FB10" s="560"/>
      <c r="FC10" s="560"/>
      <c r="FD10" s="560"/>
      <c r="FE10" s="560"/>
      <c r="FF10" s="560"/>
      <c r="FG10" s="560"/>
      <c r="FH10" s="560"/>
    </row>
    <row r="11" spans="1:237" ht="30" x14ac:dyDescent="0.4">
      <c r="A11" s="23"/>
      <c r="B11" s="23"/>
      <c r="C11" s="26"/>
      <c r="D11" s="26"/>
      <c r="E11" s="16"/>
      <c r="F11" s="20"/>
      <c r="G11" s="27"/>
      <c r="H11" s="27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133"/>
      <c r="BR11" s="89"/>
      <c r="BS11" s="89"/>
      <c r="BT11" s="89"/>
      <c r="BU11" s="89"/>
      <c r="BV11" s="89"/>
      <c r="BW11" s="89"/>
      <c r="BX11" s="89"/>
      <c r="BY11" s="8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EG11" s="16"/>
      <c r="EH11" s="16"/>
      <c r="EI11" s="16"/>
      <c r="EJ11" s="16"/>
      <c r="EK11" s="16"/>
      <c r="EL11" s="16"/>
      <c r="EM11" s="16"/>
      <c r="EN11" s="16"/>
      <c r="EO11" s="31"/>
      <c r="EP11" s="31"/>
      <c r="EQ11" s="31"/>
      <c r="ER11" s="28"/>
      <c r="ES11" s="28"/>
      <c r="ET11" s="28"/>
      <c r="EU11" s="28"/>
      <c r="EV11" s="28"/>
      <c r="EW11" s="28"/>
      <c r="EX11" s="31"/>
      <c r="EY11" s="31"/>
      <c r="EZ11" s="31"/>
      <c r="FA11" s="31"/>
      <c r="FB11" s="31"/>
      <c r="FC11" s="31"/>
      <c r="FD11" s="31"/>
    </row>
    <row r="12" spans="1:237" ht="62.25" customHeight="1" x14ac:dyDescent="0.4">
      <c r="A12" s="23"/>
      <c r="B12" s="23"/>
      <c r="C12" s="26"/>
      <c r="D12" s="181"/>
      <c r="E12" s="181"/>
      <c r="F12" s="181"/>
      <c r="G12" s="181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77"/>
      <c r="BW12" s="177"/>
      <c r="BX12" s="177"/>
      <c r="BY12" s="177"/>
      <c r="BZ12" s="177"/>
      <c r="CA12" s="177"/>
      <c r="CB12" s="177"/>
      <c r="CC12" s="177"/>
      <c r="CD12" s="177"/>
      <c r="CE12" s="177"/>
      <c r="CF12" s="177"/>
      <c r="CG12" s="177"/>
      <c r="CH12" s="177"/>
      <c r="CI12" s="177"/>
      <c r="CJ12" s="177"/>
      <c r="CK12" s="177"/>
      <c r="CL12" s="177"/>
      <c r="CM12" s="177"/>
      <c r="CN12" s="177"/>
      <c r="CO12" s="177"/>
      <c r="CP12" s="177"/>
      <c r="CQ12" s="177"/>
      <c r="CR12" s="177"/>
      <c r="CS12" s="177"/>
      <c r="CT12" s="177"/>
      <c r="CU12" s="177"/>
      <c r="CV12" s="177"/>
      <c r="CW12" s="177"/>
      <c r="CX12" s="177"/>
      <c r="CY12" s="177"/>
      <c r="CZ12" s="177"/>
      <c r="DA12" s="177"/>
      <c r="DB12" s="177"/>
      <c r="DC12" s="177"/>
      <c r="DD12" s="177"/>
      <c r="DE12" s="177"/>
      <c r="DF12" s="177"/>
      <c r="DG12" s="177"/>
      <c r="DH12" s="177"/>
      <c r="DI12" s="177"/>
      <c r="DJ12" s="177"/>
      <c r="DK12" s="177"/>
      <c r="DL12" s="177"/>
      <c r="DM12" s="177"/>
      <c r="DN12" s="177"/>
      <c r="DO12" s="177"/>
      <c r="DP12" s="177"/>
      <c r="DQ12" s="177"/>
      <c r="DR12" s="177"/>
      <c r="DS12" s="177"/>
      <c r="DT12" s="177"/>
      <c r="DU12" s="177"/>
      <c r="DV12" s="177"/>
      <c r="DW12" s="177"/>
      <c r="DX12" s="177"/>
      <c r="DY12" s="177"/>
      <c r="DZ12" s="177"/>
      <c r="EA12" s="177"/>
      <c r="EB12" s="177"/>
      <c r="EC12" s="177"/>
      <c r="ED12" s="177"/>
      <c r="EE12" s="177"/>
      <c r="EF12" s="177"/>
      <c r="EG12" s="177"/>
      <c r="EH12" s="177"/>
      <c r="EI12" s="177"/>
      <c r="EJ12" s="177"/>
      <c r="EK12" s="177"/>
      <c r="EL12" s="177"/>
      <c r="EM12" s="177"/>
      <c r="EN12" s="177"/>
      <c r="EO12" s="177"/>
      <c r="EP12" s="178"/>
      <c r="EQ12" s="178"/>
      <c r="ER12" s="178"/>
      <c r="ES12" s="178"/>
      <c r="ET12" s="178"/>
      <c r="EU12" s="178"/>
      <c r="EV12" s="178"/>
      <c r="EW12" s="178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L12" s="1189" t="s">
        <v>23</v>
      </c>
      <c r="FM12" s="1189"/>
      <c r="FN12" s="571" t="s">
        <v>265</v>
      </c>
      <c r="FO12" s="571"/>
      <c r="FP12" s="571"/>
      <c r="FQ12" s="571"/>
      <c r="FR12" s="571"/>
      <c r="FS12" s="571"/>
      <c r="FT12" s="571"/>
      <c r="FU12" s="571"/>
      <c r="FV12" s="571"/>
      <c r="FW12" s="571"/>
      <c r="FX12" s="571"/>
      <c r="FY12" s="571"/>
      <c r="FZ12" s="571"/>
      <c r="GA12" s="571"/>
      <c r="GB12" s="571"/>
      <c r="GC12" s="571"/>
      <c r="GD12" s="571"/>
      <c r="GE12" s="571"/>
      <c r="GF12" s="571"/>
      <c r="GG12" s="571"/>
      <c r="GH12" s="571"/>
      <c r="GI12" s="571"/>
      <c r="GJ12" s="571"/>
      <c r="GK12" s="571"/>
      <c r="GL12" s="571"/>
      <c r="GM12" s="571"/>
      <c r="GN12" s="571"/>
      <c r="GO12" s="571"/>
      <c r="GP12" s="571"/>
      <c r="GQ12" s="571"/>
      <c r="GR12" s="571"/>
      <c r="GS12" s="571"/>
      <c r="GT12" s="571"/>
      <c r="GU12" s="571"/>
      <c r="GV12" s="571"/>
      <c r="GW12" s="571"/>
      <c r="GX12" s="571"/>
      <c r="GY12" s="571"/>
      <c r="GZ12" s="571"/>
      <c r="HA12" s="571"/>
      <c r="HB12" s="571"/>
      <c r="HC12" s="571"/>
      <c r="HD12" s="571"/>
      <c r="HE12" s="571"/>
      <c r="HF12" s="571"/>
      <c r="HG12" s="571"/>
      <c r="HH12" s="571"/>
      <c r="HI12" s="571"/>
      <c r="HJ12" s="571"/>
      <c r="HK12" s="571"/>
      <c r="HL12" s="571"/>
      <c r="HM12" s="571"/>
      <c r="HN12" s="571" t="s">
        <v>19</v>
      </c>
      <c r="HO12" s="571"/>
      <c r="HP12" s="571"/>
      <c r="HQ12" s="571"/>
      <c r="HR12" s="571"/>
      <c r="HS12" s="571"/>
      <c r="HT12" s="571"/>
      <c r="HU12" s="571"/>
      <c r="HV12" s="571"/>
      <c r="HW12" s="571"/>
      <c r="HX12" s="571"/>
      <c r="HY12" s="571"/>
      <c r="HZ12" s="1189" t="s">
        <v>266</v>
      </c>
      <c r="IA12" s="1189"/>
      <c r="IB12" s="1189" t="s">
        <v>22</v>
      </c>
      <c r="IC12" s="1189"/>
    </row>
    <row r="13" spans="1:237" ht="74.25" customHeight="1" x14ac:dyDescent="0.4">
      <c r="A13" s="23"/>
      <c r="B13" s="23"/>
      <c r="C13" s="26"/>
      <c r="D13" s="181"/>
      <c r="E13" s="181"/>
      <c r="F13" s="181"/>
      <c r="G13" s="181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  <c r="AX13" s="177"/>
      <c r="AY13" s="177"/>
      <c r="AZ13" s="177"/>
      <c r="BA13" s="177"/>
      <c r="BB13" s="177"/>
      <c r="BC13" s="177"/>
      <c r="BD13" s="177"/>
      <c r="BE13" s="177"/>
      <c r="BF13" s="177"/>
      <c r="BG13" s="177"/>
      <c r="BH13" s="177"/>
      <c r="BI13" s="177"/>
      <c r="BJ13" s="177"/>
      <c r="BK13" s="177"/>
      <c r="BL13" s="177"/>
      <c r="BM13" s="177"/>
      <c r="BN13" s="177"/>
      <c r="BO13" s="177"/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T13" s="177"/>
      <c r="CU13" s="177"/>
      <c r="CV13" s="177"/>
      <c r="CW13" s="177"/>
      <c r="CX13" s="177"/>
      <c r="CY13" s="177"/>
      <c r="CZ13" s="177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7"/>
      <c r="DL13" s="177"/>
      <c r="DM13" s="177"/>
      <c r="DN13" s="177"/>
      <c r="DO13" s="177"/>
      <c r="DP13" s="177"/>
      <c r="DQ13" s="177"/>
      <c r="DR13" s="177"/>
      <c r="DS13" s="177"/>
      <c r="DT13" s="178"/>
      <c r="DU13" s="178"/>
      <c r="DV13" s="178"/>
      <c r="DW13" s="178"/>
      <c r="DX13" s="182"/>
      <c r="DY13" s="182"/>
      <c r="DZ13" s="182"/>
      <c r="EA13" s="182"/>
      <c r="EB13" s="182"/>
      <c r="EC13" s="182"/>
      <c r="ED13" s="182"/>
      <c r="EE13" s="182"/>
      <c r="EF13" s="182"/>
      <c r="EG13" s="182"/>
      <c r="EH13" s="182"/>
      <c r="EI13" s="182"/>
      <c r="EJ13" s="182"/>
      <c r="EK13" s="182"/>
      <c r="EL13" s="182"/>
      <c r="EM13" s="182"/>
      <c r="EN13" s="182"/>
      <c r="EO13" s="182"/>
      <c r="EP13" s="178"/>
      <c r="EQ13" s="178"/>
      <c r="ER13" s="178"/>
      <c r="ES13" s="178"/>
      <c r="ET13" s="178"/>
      <c r="EU13" s="178"/>
      <c r="EV13" s="178"/>
      <c r="EW13" s="178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L13" s="1189"/>
      <c r="FM13" s="1189"/>
      <c r="FN13" s="571"/>
      <c r="FO13" s="571"/>
      <c r="FP13" s="571"/>
      <c r="FQ13" s="571"/>
      <c r="FR13" s="571"/>
      <c r="FS13" s="571"/>
      <c r="FT13" s="571"/>
      <c r="FU13" s="571"/>
      <c r="FV13" s="571"/>
      <c r="FW13" s="571"/>
      <c r="FX13" s="571"/>
      <c r="FY13" s="571"/>
      <c r="FZ13" s="571"/>
      <c r="GA13" s="571"/>
      <c r="GB13" s="571"/>
      <c r="GC13" s="571"/>
      <c r="GD13" s="571"/>
      <c r="GE13" s="571"/>
      <c r="GF13" s="571"/>
      <c r="GG13" s="571"/>
      <c r="GH13" s="571"/>
      <c r="GI13" s="571"/>
      <c r="GJ13" s="571"/>
      <c r="GK13" s="571"/>
      <c r="GL13" s="571"/>
      <c r="GM13" s="571"/>
      <c r="GN13" s="571"/>
      <c r="GO13" s="571"/>
      <c r="GP13" s="571"/>
      <c r="GQ13" s="571"/>
      <c r="GR13" s="571"/>
      <c r="GS13" s="571"/>
      <c r="GT13" s="571"/>
      <c r="GU13" s="571"/>
      <c r="GV13" s="571"/>
      <c r="GW13" s="571"/>
      <c r="GX13" s="571"/>
      <c r="GY13" s="571"/>
      <c r="GZ13" s="571"/>
      <c r="HA13" s="571"/>
      <c r="HB13" s="571"/>
      <c r="HC13" s="571"/>
      <c r="HD13" s="571"/>
      <c r="HE13" s="571"/>
      <c r="HF13" s="571"/>
      <c r="HG13" s="571"/>
      <c r="HH13" s="571"/>
      <c r="HI13" s="571"/>
      <c r="HJ13" s="571"/>
      <c r="HK13" s="571"/>
      <c r="HL13" s="571"/>
      <c r="HM13" s="571"/>
      <c r="HN13" s="1189" t="s">
        <v>20</v>
      </c>
      <c r="HO13" s="1189"/>
      <c r="HP13" s="571" t="s">
        <v>78</v>
      </c>
      <c r="HQ13" s="571"/>
      <c r="HR13" s="571"/>
      <c r="HS13" s="571"/>
      <c r="HT13" s="571"/>
      <c r="HU13" s="571"/>
      <c r="HV13" s="571"/>
      <c r="HW13" s="571"/>
      <c r="HX13" s="571"/>
      <c r="HY13" s="571"/>
      <c r="HZ13" s="1189"/>
      <c r="IA13" s="1189"/>
      <c r="IB13" s="1189"/>
      <c r="IC13" s="1189"/>
    </row>
    <row r="14" spans="1:237" ht="26.25" customHeight="1" x14ac:dyDescent="0.4">
      <c r="A14" s="23"/>
      <c r="B14" s="23"/>
      <c r="C14" s="26"/>
      <c r="D14" s="181"/>
      <c r="E14" s="181"/>
      <c r="F14" s="181"/>
      <c r="G14" s="181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  <c r="AH14" s="177"/>
      <c r="AI14" s="177"/>
      <c r="AJ14" s="177"/>
      <c r="AK14" s="177"/>
      <c r="AL14" s="177"/>
      <c r="AM14" s="177"/>
      <c r="AN14" s="177"/>
      <c r="AO14" s="177"/>
      <c r="AP14" s="177"/>
      <c r="AQ14" s="177"/>
      <c r="AR14" s="177"/>
      <c r="AS14" s="177"/>
      <c r="AT14" s="177"/>
      <c r="AU14" s="177"/>
      <c r="AV14" s="177"/>
      <c r="AW14" s="177"/>
      <c r="AX14" s="177"/>
      <c r="AY14" s="177"/>
      <c r="AZ14" s="177"/>
      <c r="BA14" s="177"/>
      <c r="BB14" s="177"/>
      <c r="BC14" s="177"/>
      <c r="BD14" s="177"/>
      <c r="BE14" s="177"/>
      <c r="BF14" s="177"/>
      <c r="BG14" s="177"/>
      <c r="BH14" s="177"/>
      <c r="BI14" s="177"/>
      <c r="BJ14" s="177"/>
      <c r="BK14" s="177"/>
      <c r="BL14" s="177"/>
      <c r="BM14" s="177"/>
      <c r="BN14" s="177"/>
      <c r="BO14" s="177"/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7"/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178"/>
      <c r="DU14" s="178"/>
      <c r="DV14" s="178"/>
      <c r="DW14" s="178"/>
      <c r="DX14" s="179"/>
      <c r="DY14" s="179"/>
      <c r="DZ14" s="179"/>
      <c r="EA14" s="179"/>
      <c r="EB14" s="179"/>
      <c r="EC14" s="179"/>
      <c r="ED14" s="179"/>
      <c r="EE14" s="179"/>
      <c r="EF14" s="179"/>
      <c r="EG14" s="179"/>
      <c r="EH14" s="179"/>
      <c r="EI14" s="179"/>
      <c r="EJ14" s="179"/>
      <c r="EK14" s="179"/>
      <c r="EL14" s="179"/>
      <c r="EM14" s="183"/>
      <c r="EN14" s="183"/>
      <c r="EO14" s="183"/>
      <c r="EP14" s="178"/>
      <c r="EQ14" s="178"/>
      <c r="ER14" s="178"/>
      <c r="ES14" s="178"/>
      <c r="ET14" s="178"/>
      <c r="EU14" s="178"/>
      <c r="EV14" s="178"/>
      <c r="EW14" s="178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L14" s="1189"/>
      <c r="FM14" s="1189"/>
      <c r="FN14" s="571"/>
      <c r="FO14" s="571"/>
      <c r="FP14" s="571"/>
      <c r="FQ14" s="571"/>
      <c r="FR14" s="571"/>
      <c r="FS14" s="571"/>
      <c r="FT14" s="571"/>
      <c r="FU14" s="571"/>
      <c r="FV14" s="571"/>
      <c r="FW14" s="571"/>
      <c r="FX14" s="571"/>
      <c r="FY14" s="571"/>
      <c r="FZ14" s="571"/>
      <c r="GA14" s="571"/>
      <c r="GB14" s="571"/>
      <c r="GC14" s="571"/>
      <c r="GD14" s="571"/>
      <c r="GE14" s="571"/>
      <c r="GF14" s="571"/>
      <c r="GG14" s="571"/>
      <c r="GH14" s="571"/>
      <c r="GI14" s="571"/>
      <c r="GJ14" s="571"/>
      <c r="GK14" s="571"/>
      <c r="GL14" s="571"/>
      <c r="GM14" s="571"/>
      <c r="GN14" s="571"/>
      <c r="GO14" s="571"/>
      <c r="GP14" s="571"/>
      <c r="GQ14" s="571"/>
      <c r="GR14" s="571"/>
      <c r="GS14" s="571"/>
      <c r="GT14" s="571"/>
      <c r="GU14" s="571"/>
      <c r="GV14" s="571"/>
      <c r="GW14" s="571"/>
      <c r="GX14" s="571"/>
      <c r="GY14" s="571"/>
      <c r="GZ14" s="571"/>
      <c r="HA14" s="571"/>
      <c r="HB14" s="571"/>
      <c r="HC14" s="571"/>
      <c r="HD14" s="571"/>
      <c r="HE14" s="571"/>
      <c r="HF14" s="571"/>
      <c r="HG14" s="571"/>
      <c r="HH14" s="571"/>
      <c r="HI14" s="571"/>
      <c r="HJ14" s="571"/>
      <c r="HK14" s="571"/>
      <c r="HL14" s="571"/>
      <c r="HM14" s="571"/>
      <c r="HN14" s="1189"/>
      <c r="HO14" s="1189"/>
      <c r="HP14" s="573" t="s">
        <v>267</v>
      </c>
      <c r="HQ14" s="574"/>
      <c r="HR14" s="573" t="s">
        <v>16</v>
      </c>
      <c r="HS14" s="574"/>
      <c r="HT14" s="573" t="s">
        <v>268</v>
      </c>
      <c r="HU14" s="574"/>
      <c r="HV14" s="573" t="s">
        <v>14</v>
      </c>
      <c r="HW14" s="574"/>
      <c r="HX14" s="573" t="s">
        <v>17</v>
      </c>
      <c r="HY14" s="574"/>
      <c r="HZ14" s="1189"/>
      <c r="IA14" s="1189"/>
      <c r="IB14" s="1189"/>
      <c r="IC14" s="1189"/>
    </row>
    <row r="15" spans="1:237" ht="26.25" customHeight="1" x14ac:dyDescent="0.4">
      <c r="A15" s="23"/>
      <c r="B15" s="23"/>
      <c r="C15" s="26"/>
      <c r="D15" s="181"/>
      <c r="E15" s="181"/>
      <c r="F15" s="181"/>
      <c r="G15" s="181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  <c r="AH15" s="177"/>
      <c r="AI15" s="177"/>
      <c r="AJ15" s="177"/>
      <c r="AK15" s="177"/>
      <c r="AL15" s="177"/>
      <c r="AM15" s="177"/>
      <c r="AN15" s="177"/>
      <c r="AO15" s="177"/>
      <c r="AP15" s="177"/>
      <c r="AQ15" s="177"/>
      <c r="AR15" s="177"/>
      <c r="AS15" s="177"/>
      <c r="AT15" s="177"/>
      <c r="AU15" s="177"/>
      <c r="AV15" s="177"/>
      <c r="AW15" s="177"/>
      <c r="AX15" s="177"/>
      <c r="AY15" s="177"/>
      <c r="AZ15" s="177"/>
      <c r="BA15" s="177"/>
      <c r="BB15" s="177"/>
      <c r="BC15" s="177"/>
      <c r="BD15" s="177"/>
      <c r="BE15" s="177"/>
      <c r="BF15" s="177"/>
      <c r="BG15" s="177"/>
      <c r="BH15" s="177"/>
      <c r="BI15" s="177"/>
      <c r="BJ15" s="177"/>
      <c r="BK15" s="177"/>
      <c r="BL15" s="177"/>
      <c r="BM15" s="177"/>
      <c r="BN15" s="177"/>
      <c r="BO15" s="177"/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7"/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7"/>
      <c r="DL15" s="177"/>
      <c r="DM15" s="177"/>
      <c r="DN15" s="177"/>
      <c r="DO15" s="177"/>
      <c r="DP15" s="177"/>
      <c r="DQ15" s="177"/>
      <c r="DR15" s="177"/>
      <c r="DS15" s="177"/>
      <c r="DT15" s="178"/>
      <c r="DU15" s="178"/>
      <c r="DV15" s="178"/>
      <c r="DW15" s="178"/>
      <c r="DX15" s="179"/>
      <c r="DY15" s="179"/>
      <c r="DZ15" s="179"/>
      <c r="EA15" s="179"/>
      <c r="EB15" s="179"/>
      <c r="EC15" s="179"/>
      <c r="ED15" s="179"/>
      <c r="EE15" s="179"/>
      <c r="EF15" s="179"/>
      <c r="EG15" s="179"/>
      <c r="EH15" s="179"/>
      <c r="EI15" s="179"/>
      <c r="EJ15" s="179"/>
      <c r="EK15" s="179"/>
      <c r="EL15" s="179"/>
      <c r="EM15" s="183"/>
      <c r="EN15" s="183"/>
      <c r="EO15" s="183"/>
      <c r="EP15" s="178"/>
      <c r="EQ15" s="178"/>
      <c r="ER15" s="178"/>
      <c r="ES15" s="178"/>
      <c r="ET15" s="178"/>
      <c r="EU15" s="178"/>
      <c r="EV15" s="178"/>
      <c r="EW15" s="178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L15" s="1189"/>
      <c r="FM15" s="1189"/>
      <c r="FN15" s="571"/>
      <c r="FO15" s="571"/>
      <c r="FP15" s="571"/>
      <c r="FQ15" s="571"/>
      <c r="FR15" s="571"/>
      <c r="FS15" s="571"/>
      <c r="FT15" s="571"/>
      <c r="FU15" s="571"/>
      <c r="FV15" s="571"/>
      <c r="FW15" s="571"/>
      <c r="FX15" s="571"/>
      <c r="FY15" s="571"/>
      <c r="FZ15" s="571"/>
      <c r="GA15" s="571"/>
      <c r="GB15" s="571"/>
      <c r="GC15" s="571"/>
      <c r="GD15" s="571"/>
      <c r="GE15" s="571"/>
      <c r="GF15" s="571"/>
      <c r="GG15" s="571"/>
      <c r="GH15" s="571"/>
      <c r="GI15" s="571"/>
      <c r="GJ15" s="571"/>
      <c r="GK15" s="571"/>
      <c r="GL15" s="571"/>
      <c r="GM15" s="571"/>
      <c r="GN15" s="571"/>
      <c r="GO15" s="571"/>
      <c r="GP15" s="571"/>
      <c r="GQ15" s="571"/>
      <c r="GR15" s="571"/>
      <c r="GS15" s="571"/>
      <c r="GT15" s="571"/>
      <c r="GU15" s="571"/>
      <c r="GV15" s="571"/>
      <c r="GW15" s="571"/>
      <c r="GX15" s="571"/>
      <c r="GY15" s="571"/>
      <c r="GZ15" s="571"/>
      <c r="HA15" s="571"/>
      <c r="HB15" s="571"/>
      <c r="HC15" s="571"/>
      <c r="HD15" s="571"/>
      <c r="HE15" s="571"/>
      <c r="HF15" s="571"/>
      <c r="HG15" s="571"/>
      <c r="HH15" s="571"/>
      <c r="HI15" s="571"/>
      <c r="HJ15" s="571"/>
      <c r="HK15" s="571"/>
      <c r="HL15" s="571"/>
      <c r="HM15" s="571"/>
      <c r="HN15" s="1189"/>
      <c r="HO15" s="1189"/>
      <c r="HP15" s="575"/>
      <c r="HQ15" s="576"/>
      <c r="HR15" s="575"/>
      <c r="HS15" s="576"/>
      <c r="HT15" s="575"/>
      <c r="HU15" s="576"/>
      <c r="HV15" s="575"/>
      <c r="HW15" s="576"/>
      <c r="HX15" s="575"/>
      <c r="HY15" s="576"/>
      <c r="HZ15" s="1189"/>
      <c r="IA15" s="1189"/>
      <c r="IB15" s="1189"/>
      <c r="IC15" s="1189"/>
    </row>
    <row r="16" spans="1:237" ht="60" customHeight="1" x14ac:dyDescent="0.4">
      <c r="A16" s="23"/>
      <c r="B16" s="23"/>
      <c r="C16" s="26"/>
      <c r="D16" s="181"/>
      <c r="E16" s="181"/>
      <c r="F16" s="181"/>
      <c r="G16" s="181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8"/>
      <c r="DU16" s="178"/>
      <c r="DV16" s="178"/>
      <c r="DW16" s="178"/>
      <c r="DX16" s="179"/>
      <c r="DY16" s="179"/>
      <c r="DZ16" s="179"/>
      <c r="EA16" s="179"/>
      <c r="EB16" s="179"/>
      <c r="EC16" s="179"/>
      <c r="ED16" s="179"/>
      <c r="EE16" s="179"/>
      <c r="EF16" s="179"/>
      <c r="EG16" s="179"/>
      <c r="EH16" s="179"/>
      <c r="EI16" s="179"/>
      <c r="EJ16" s="179"/>
      <c r="EK16" s="179"/>
      <c r="EL16" s="179"/>
      <c r="EM16" s="183"/>
      <c r="EN16" s="183"/>
      <c r="EO16" s="183"/>
      <c r="EP16" s="178"/>
      <c r="EQ16" s="178"/>
      <c r="ER16" s="178"/>
      <c r="ES16" s="178"/>
      <c r="ET16" s="178"/>
      <c r="EU16" s="178"/>
      <c r="EV16" s="178"/>
      <c r="EW16" s="178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L16" s="1189"/>
      <c r="FM16" s="1189"/>
      <c r="FN16" s="569" t="s">
        <v>270</v>
      </c>
      <c r="FO16" s="1190"/>
      <c r="FP16" s="1190"/>
      <c r="FQ16" s="1190"/>
      <c r="FR16" s="570"/>
      <c r="FS16" s="569" t="s">
        <v>271</v>
      </c>
      <c r="FT16" s="1190"/>
      <c r="FU16" s="1190"/>
      <c r="FV16" s="570"/>
      <c r="FW16" s="569" t="s">
        <v>50</v>
      </c>
      <c r="FX16" s="1190"/>
      <c r="FY16" s="1190"/>
      <c r="FZ16" s="1190"/>
      <c r="GA16" s="570"/>
      <c r="GB16" s="569" t="s">
        <v>51</v>
      </c>
      <c r="GC16" s="1190"/>
      <c r="GD16" s="1190"/>
      <c r="GE16" s="570"/>
      <c r="GF16" s="569" t="s">
        <v>52</v>
      </c>
      <c r="GG16" s="1190"/>
      <c r="GH16" s="1190"/>
      <c r="GI16" s="1190"/>
      <c r="GJ16" s="570"/>
      <c r="GK16" s="569" t="s">
        <v>53</v>
      </c>
      <c r="GL16" s="1190"/>
      <c r="GM16" s="1190"/>
      <c r="GN16" s="570"/>
      <c r="GO16" s="569" t="s">
        <v>54</v>
      </c>
      <c r="GP16" s="1190"/>
      <c r="GQ16" s="1190"/>
      <c r="GR16" s="1190"/>
      <c r="GS16" s="570"/>
      <c r="GT16" s="569" t="s">
        <v>55</v>
      </c>
      <c r="GU16" s="1190"/>
      <c r="GV16" s="1190"/>
      <c r="GW16" s="570"/>
      <c r="GX16" s="569" t="s">
        <v>56</v>
      </c>
      <c r="GY16" s="1190"/>
      <c r="GZ16" s="1190"/>
      <c r="HA16" s="570"/>
      <c r="HB16" s="569" t="s">
        <v>57</v>
      </c>
      <c r="HC16" s="1190"/>
      <c r="HD16" s="1190"/>
      <c r="HE16" s="570"/>
      <c r="HF16" s="569" t="s">
        <v>272</v>
      </c>
      <c r="HG16" s="1190"/>
      <c r="HH16" s="1190"/>
      <c r="HI16" s="570"/>
      <c r="HJ16" s="569" t="s">
        <v>58</v>
      </c>
      <c r="HK16" s="1190"/>
      <c r="HL16" s="1190"/>
      <c r="HM16" s="570"/>
      <c r="HN16" s="1189"/>
      <c r="HO16" s="1189"/>
      <c r="HP16" s="575"/>
      <c r="HQ16" s="576"/>
      <c r="HR16" s="575"/>
      <c r="HS16" s="576"/>
      <c r="HT16" s="575"/>
      <c r="HU16" s="576"/>
      <c r="HV16" s="575"/>
      <c r="HW16" s="576"/>
      <c r="HX16" s="575"/>
      <c r="HY16" s="576"/>
      <c r="HZ16" s="1189"/>
      <c r="IA16" s="1189"/>
      <c r="IB16" s="1189"/>
      <c r="IC16" s="1189"/>
    </row>
    <row r="17" spans="1:237" ht="60" customHeight="1" x14ac:dyDescent="0.4">
      <c r="A17" s="23"/>
      <c r="B17" s="23"/>
      <c r="C17" s="26"/>
      <c r="D17" s="181"/>
      <c r="E17" s="181"/>
      <c r="F17" s="181"/>
      <c r="G17" s="181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7"/>
      <c r="BK17" s="177"/>
      <c r="BL17" s="177"/>
      <c r="BM17" s="177"/>
      <c r="BN17" s="177"/>
      <c r="BO17" s="177"/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7"/>
      <c r="CC17" s="177"/>
      <c r="CD17" s="177"/>
      <c r="CE17" s="177"/>
      <c r="CF17" s="177"/>
      <c r="CG17" s="177"/>
      <c r="CH17" s="177"/>
      <c r="CI17" s="177"/>
      <c r="CJ17" s="177"/>
      <c r="CK17" s="177"/>
      <c r="CL17" s="177"/>
      <c r="CM17" s="177"/>
      <c r="CN17" s="177"/>
      <c r="CO17" s="177"/>
      <c r="CP17" s="177"/>
      <c r="CQ17" s="177"/>
      <c r="CR17" s="177"/>
      <c r="CS17" s="177"/>
      <c r="CT17" s="177"/>
      <c r="CU17" s="177"/>
      <c r="CV17" s="177"/>
      <c r="CW17" s="177"/>
      <c r="CX17" s="177"/>
      <c r="CY17" s="177"/>
      <c r="CZ17" s="177"/>
      <c r="DA17" s="177"/>
      <c r="DB17" s="177"/>
      <c r="DC17" s="177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7"/>
      <c r="DQ17" s="177"/>
      <c r="DR17" s="177"/>
      <c r="DS17" s="177"/>
      <c r="DT17" s="178"/>
      <c r="DU17" s="178"/>
      <c r="DV17" s="178"/>
      <c r="DW17" s="178"/>
      <c r="DX17" s="179"/>
      <c r="DY17" s="179"/>
      <c r="DZ17" s="179"/>
      <c r="EA17" s="179"/>
      <c r="EB17" s="179"/>
      <c r="EC17" s="179"/>
      <c r="ED17" s="179"/>
      <c r="EE17" s="179"/>
      <c r="EF17" s="179"/>
      <c r="EG17" s="179"/>
      <c r="EH17" s="179"/>
      <c r="EI17" s="179"/>
      <c r="EJ17" s="179"/>
      <c r="EK17" s="179"/>
      <c r="EL17" s="179"/>
      <c r="EM17" s="183"/>
      <c r="EN17" s="183"/>
      <c r="EO17" s="183"/>
      <c r="EP17" s="178"/>
      <c r="EQ17" s="178"/>
      <c r="ER17" s="178"/>
      <c r="ES17" s="178"/>
      <c r="ET17" s="178"/>
      <c r="EU17" s="178"/>
      <c r="EV17" s="178"/>
      <c r="EW17" s="178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L17" s="1189"/>
      <c r="FM17" s="1189"/>
      <c r="FN17" s="214">
        <v>1</v>
      </c>
      <c r="FO17" s="214">
        <v>2</v>
      </c>
      <c r="FP17" s="214">
        <v>3</v>
      </c>
      <c r="FQ17" s="214">
        <v>4</v>
      </c>
      <c r="FR17" s="214">
        <v>5</v>
      </c>
      <c r="FS17" s="214">
        <v>6</v>
      </c>
      <c r="FT17" s="214">
        <v>7</v>
      </c>
      <c r="FU17" s="214">
        <v>8</v>
      </c>
      <c r="FV17" s="214">
        <v>9</v>
      </c>
      <c r="FW17" s="214">
        <v>10</v>
      </c>
      <c r="FX17" s="214">
        <v>11</v>
      </c>
      <c r="FY17" s="214">
        <v>12</v>
      </c>
      <c r="FZ17" s="214">
        <v>13</v>
      </c>
      <c r="GA17" s="214">
        <v>14</v>
      </c>
      <c r="GB17" s="214">
        <v>15</v>
      </c>
      <c r="GC17" s="214">
        <v>16</v>
      </c>
      <c r="GD17" s="214">
        <v>17</v>
      </c>
      <c r="GE17" s="214">
        <v>18</v>
      </c>
      <c r="GF17" s="214">
        <v>19</v>
      </c>
      <c r="GG17" s="214">
        <v>20</v>
      </c>
      <c r="GH17" s="214">
        <v>21</v>
      </c>
      <c r="GI17" s="214">
        <v>22</v>
      </c>
      <c r="GJ17" s="214">
        <v>23</v>
      </c>
      <c r="GK17" s="214">
        <v>24</v>
      </c>
      <c r="GL17" s="214">
        <v>25</v>
      </c>
      <c r="GM17" s="214">
        <v>26</v>
      </c>
      <c r="GN17" s="214">
        <v>27</v>
      </c>
      <c r="GO17" s="214">
        <v>28</v>
      </c>
      <c r="GP17" s="214">
        <v>29</v>
      </c>
      <c r="GQ17" s="214">
        <v>30</v>
      </c>
      <c r="GR17" s="214">
        <v>31</v>
      </c>
      <c r="GS17" s="214">
        <v>32</v>
      </c>
      <c r="GT17" s="214">
        <v>33</v>
      </c>
      <c r="GU17" s="214">
        <v>34</v>
      </c>
      <c r="GV17" s="214">
        <v>35</v>
      </c>
      <c r="GW17" s="214">
        <v>36</v>
      </c>
      <c r="GX17" s="214">
        <v>37</v>
      </c>
      <c r="GY17" s="214">
        <v>38</v>
      </c>
      <c r="GZ17" s="214">
        <v>39</v>
      </c>
      <c r="HA17" s="214">
        <v>40</v>
      </c>
      <c r="HB17" s="214">
        <v>41</v>
      </c>
      <c r="HC17" s="214">
        <v>42</v>
      </c>
      <c r="HD17" s="214">
        <v>43</v>
      </c>
      <c r="HE17" s="214">
        <v>44</v>
      </c>
      <c r="HF17" s="214">
        <v>45</v>
      </c>
      <c r="HG17" s="214">
        <v>46</v>
      </c>
      <c r="HH17" s="214">
        <v>47</v>
      </c>
      <c r="HI17" s="214">
        <v>48</v>
      </c>
      <c r="HJ17" s="214">
        <v>49</v>
      </c>
      <c r="HK17" s="214">
        <v>50</v>
      </c>
      <c r="HL17" s="214">
        <v>51</v>
      </c>
      <c r="HM17" s="214">
        <v>52</v>
      </c>
      <c r="HN17" s="1189"/>
      <c r="HO17" s="1189"/>
      <c r="HP17" s="577"/>
      <c r="HQ17" s="578"/>
      <c r="HR17" s="577"/>
      <c r="HS17" s="578"/>
      <c r="HT17" s="577"/>
      <c r="HU17" s="578"/>
      <c r="HV17" s="577"/>
      <c r="HW17" s="578"/>
      <c r="HX17" s="577"/>
      <c r="HY17" s="578"/>
      <c r="HZ17" s="1189"/>
      <c r="IA17" s="1189"/>
      <c r="IB17" s="1189"/>
      <c r="IC17" s="1189"/>
    </row>
    <row r="18" spans="1:237" ht="60" customHeight="1" x14ac:dyDescent="0.4">
      <c r="A18" s="23"/>
      <c r="B18" s="23"/>
      <c r="C18" s="26"/>
      <c r="D18" s="181"/>
      <c r="E18" s="181"/>
      <c r="F18" s="181"/>
      <c r="G18" s="181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182"/>
      <c r="AR18" s="182"/>
      <c r="AS18" s="182"/>
      <c r="AT18" s="182"/>
      <c r="AU18" s="182"/>
      <c r="AV18" s="182"/>
      <c r="AW18" s="182"/>
      <c r="AX18" s="182"/>
      <c r="AY18" s="182"/>
      <c r="AZ18" s="182"/>
      <c r="BA18" s="182"/>
      <c r="BB18" s="182"/>
      <c r="BC18" s="182"/>
      <c r="BD18" s="182"/>
      <c r="BE18" s="182"/>
      <c r="BF18" s="182"/>
      <c r="BG18" s="182"/>
      <c r="BH18" s="182"/>
      <c r="BI18" s="182"/>
      <c r="BJ18" s="182"/>
      <c r="BK18" s="182"/>
      <c r="BL18" s="182"/>
      <c r="BM18" s="182"/>
      <c r="BN18" s="182"/>
      <c r="BO18" s="182"/>
      <c r="BP18" s="182"/>
      <c r="BQ18" s="182"/>
      <c r="BR18" s="182"/>
      <c r="BS18" s="182"/>
      <c r="BT18" s="182"/>
      <c r="BU18" s="182"/>
      <c r="BV18" s="182"/>
      <c r="BW18" s="182"/>
      <c r="BX18" s="182"/>
      <c r="BY18" s="182"/>
      <c r="BZ18" s="182"/>
      <c r="CA18" s="182"/>
      <c r="CB18" s="182"/>
      <c r="CC18" s="182"/>
      <c r="CD18" s="182"/>
      <c r="CE18" s="182"/>
      <c r="CF18" s="182"/>
      <c r="CG18" s="182"/>
      <c r="CH18" s="182"/>
      <c r="CI18" s="182"/>
      <c r="CJ18" s="182"/>
      <c r="CK18" s="182"/>
      <c r="CL18" s="182"/>
      <c r="CM18" s="182"/>
      <c r="CN18" s="182"/>
      <c r="CO18" s="182"/>
      <c r="CP18" s="182"/>
      <c r="CQ18" s="182"/>
      <c r="CR18" s="182"/>
      <c r="CS18" s="182"/>
      <c r="CT18" s="182"/>
      <c r="CU18" s="182"/>
      <c r="CV18" s="182"/>
      <c r="CW18" s="182"/>
      <c r="CX18" s="182"/>
      <c r="CY18" s="182"/>
      <c r="CZ18" s="182"/>
      <c r="DA18" s="182"/>
      <c r="DB18" s="182"/>
      <c r="DC18" s="182"/>
      <c r="DD18" s="182"/>
      <c r="DE18" s="182"/>
      <c r="DF18" s="182"/>
      <c r="DG18" s="182"/>
      <c r="DH18" s="182"/>
      <c r="DI18" s="182"/>
      <c r="DJ18" s="182"/>
      <c r="DK18" s="182"/>
      <c r="DL18" s="182"/>
      <c r="DM18" s="182"/>
      <c r="DN18" s="182"/>
      <c r="DO18" s="182"/>
      <c r="DP18" s="182"/>
      <c r="DQ18" s="182"/>
      <c r="DR18" s="182"/>
      <c r="DS18" s="182"/>
      <c r="DT18" s="178"/>
      <c r="DU18" s="178"/>
      <c r="DV18" s="178"/>
      <c r="DW18" s="178"/>
      <c r="DX18" s="179"/>
      <c r="DY18" s="179"/>
      <c r="DZ18" s="179"/>
      <c r="EA18" s="179"/>
      <c r="EB18" s="179"/>
      <c r="EC18" s="179"/>
      <c r="ED18" s="179"/>
      <c r="EE18" s="179"/>
      <c r="EF18" s="179"/>
      <c r="EG18" s="179"/>
      <c r="EH18" s="179"/>
      <c r="EI18" s="179"/>
      <c r="EJ18" s="179"/>
      <c r="EK18" s="179"/>
      <c r="EL18" s="179"/>
      <c r="EM18" s="183"/>
      <c r="EN18" s="183"/>
      <c r="EO18" s="183"/>
      <c r="EP18" s="178"/>
      <c r="EQ18" s="178"/>
      <c r="ER18" s="178"/>
      <c r="ES18" s="178"/>
      <c r="ET18" s="178"/>
      <c r="EU18" s="178"/>
      <c r="EV18" s="178"/>
      <c r="EW18" s="178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L18" s="571" t="s">
        <v>0</v>
      </c>
      <c r="FM18" s="571"/>
      <c r="FN18" s="215" t="s">
        <v>59</v>
      </c>
      <c r="FO18" s="215" t="s">
        <v>49</v>
      </c>
      <c r="FP18" s="215" t="s">
        <v>49</v>
      </c>
      <c r="FQ18" s="215"/>
      <c r="FR18" s="215"/>
      <c r="FS18" s="215"/>
      <c r="FT18" s="215"/>
      <c r="FU18" s="215"/>
      <c r="FV18" s="215"/>
      <c r="FW18" s="215"/>
      <c r="FX18" s="215"/>
      <c r="FY18" s="215"/>
      <c r="FZ18" s="215"/>
      <c r="GA18" s="215"/>
      <c r="GB18" s="215"/>
      <c r="GC18" s="215"/>
      <c r="GD18" s="215"/>
      <c r="GE18" s="215"/>
      <c r="GF18" s="215" t="s">
        <v>59</v>
      </c>
      <c r="GG18" s="215" t="s">
        <v>59</v>
      </c>
      <c r="GH18" s="215" t="s">
        <v>60</v>
      </c>
      <c r="GI18" s="215" t="s">
        <v>60</v>
      </c>
      <c r="GJ18" s="215" t="s">
        <v>59</v>
      </c>
      <c r="GK18" s="215" t="s">
        <v>59</v>
      </c>
      <c r="GL18" s="215"/>
      <c r="GM18" s="215"/>
      <c r="GN18" s="215"/>
      <c r="GO18" s="215"/>
      <c r="GP18" s="215"/>
      <c r="GQ18" s="215"/>
      <c r="GR18" s="215"/>
      <c r="GS18" s="215"/>
      <c r="GT18" s="215"/>
      <c r="GU18" s="215"/>
      <c r="GV18" s="215"/>
      <c r="GW18" s="215"/>
      <c r="GX18" s="215"/>
      <c r="GY18" s="215"/>
      <c r="GZ18" s="215"/>
      <c r="HA18" s="215" t="s">
        <v>60</v>
      </c>
      <c r="HB18" s="215" t="s">
        <v>60</v>
      </c>
      <c r="HC18" s="215" t="s">
        <v>61</v>
      </c>
      <c r="HD18" s="215" t="s">
        <v>61</v>
      </c>
      <c r="HE18" s="215" t="s">
        <v>59</v>
      </c>
      <c r="HF18" s="215" t="s">
        <v>59</v>
      </c>
      <c r="HG18" s="215" t="s">
        <v>59</v>
      </c>
      <c r="HH18" s="215" t="s">
        <v>59</v>
      </c>
      <c r="HI18" s="215" t="s">
        <v>59</v>
      </c>
      <c r="HJ18" s="215" t="s">
        <v>59</v>
      </c>
      <c r="HK18" s="215" t="s">
        <v>59</v>
      </c>
      <c r="HL18" s="215" t="s">
        <v>59</v>
      </c>
      <c r="HM18" s="215" t="s">
        <v>59</v>
      </c>
      <c r="HN18" s="1186">
        <f>SUM(HP18:HY18)</f>
        <v>37</v>
      </c>
      <c r="HO18" s="1187"/>
      <c r="HP18" s="1186">
        <v>30</v>
      </c>
      <c r="HQ18" s="1187"/>
      <c r="HR18" s="1186">
        <v>4</v>
      </c>
      <c r="HS18" s="1187"/>
      <c r="HT18" s="1186">
        <v>1</v>
      </c>
      <c r="HU18" s="1187"/>
      <c r="HV18" s="1186">
        <v>2</v>
      </c>
      <c r="HW18" s="1187"/>
      <c r="HX18" s="1186">
        <v>0</v>
      </c>
      <c r="HY18" s="1187"/>
      <c r="HZ18" s="1186">
        <v>15</v>
      </c>
      <c r="IA18" s="1187"/>
      <c r="IB18" s="1191">
        <f>HN18+HZ18</f>
        <v>52</v>
      </c>
      <c r="IC18" s="1191"/>
    </row>
    <row r="19" spans="1:237" ht="60" customHeight="1" x14ac:dyDescent="0.4">
      <c r="A19" s="23"/>
      <c r="B19" s="23"/>
      <c r="C19" s="26"/>
      <c r="D19" s="182"/>
      <c r="E19" s="182"/>
      <c r="F19" s="182"/>
      <c r="G19" s="182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  <c r="AU19" s="177"/>
      <c r="AV19" s="177"/>
      <c r="AW19" s="177"/>
      <c r="AX19" s="177"/>
      <c r="AY19" s="177"/>
      <c r="AZ19" s="177"/>
      <c r="BA19" s="177"/>
      <c r="BB19" s="177"/>
      <c r="BC19" s="177"/>
      <c r="BD19" s="177"/>
      <c r="BE19" s="177"/>
      <c r="BF19" s="177"/>
      <c r="BG19" s="177"/>
      <c r="BH19" s="177"/>
      <c r="BI19" s="177"/>
      <c r="BJ19" s="177"/>
      <c r="BK19" s="177"/>
      <c r="BL19" s="177"/>
      <c r="BM19" s="177"/>
      <c r="BN19" s="177"/>
      <c r="BO19" s="177"/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/>
      <c r="CG19" s="177"/>
      <c r="CH19" s="177"/>
      <c r="CI19" s="177"/>
      <c r="CJ19" s="177"/>
      <c r="CK19" s="177"/>
      <c r="CL19" s="177"/>
      <c r="CM19" s="177"/>
      <c r="CN19" s="177"/>
      <c r="CO19" s="177"/>
      <c r="CP19" s="177"/>
      <c r="CQ19" s="177"/>
      <c r="CR19" s="177"/>
      <c r="CS19" s="177"/>
      <c r="CT19" s="177"/>
      <c r="CU19" s="177"/>
      <c r="CV19" s="177"/>
      <c r="CW19" s="177"/>
      <c r="CX19" s="177"/>
      <c r="CY19" s="177"/>
      <c r="CZ19" s="177"/>
      <c r="DA19" s="177"/>
      <c r="DB19" s="177"/>
      <c r="DC19" s="177"/>
      <c r="DD19" s="177"/>
      <c r="DE19" s="177"/>
      <c r="DF19" s="177"/>
      <c r="DG19" s="177"/>
      <c r="DH19" s="177"/>
      <c r="DI19" s="177"/>
      <c r="DJ19" s="177"/>
      <c r="DK19" s="177"/>
      <c r="DL19" s="177"/>
      <c r="DM19" s="177"/>
      <c r="DN19" s="177"/>
      <c r="DO19" s="177"/>
      <c r="DP19" s="177"/>
      <c r="DQ19" s="177"/>
      <c r="DR19" s="177"/>
      <c r="DS19" s="177"/>
      <c r="DT19" s="182"/>
      <c r="DU19" s="182"/>
      <c r="DV19" s="182"/>
      <c r="DW19" s="182"/>
      <c r="DX19" s="184"/>
      <c r="DY19" s="184"/>
      <c r="DZ19" s="184"/>
      <c r="EA19" s="184"/>
      <c r="EB19" s="184"/>
      <c r="EC19" s="184"/>
      <c r="ED19" s="184"/>
      <c r="EE19" s="184"/>
      <c r="EF19" s="184"/>
      <c r="EG19" s="184"/>
      <c r="EH19" s="184"/>
      <c r="EI19" s="184"/>
      <c r="EJ19" s="184"/>
      <c r="EK19" s="184"/>
      <c r="EL19" s="184"/>
      <c r="EM19" s="184"/>
      <c r="EN19" s="184"/>
      <c r="EO19" s="184"/>
      <c r="EP19" s="184"/>
      <c r="EQ19" s="184"/>
      <c r="ER19" s="184"/>
      <c r="ES19" s="177"/>
      <c r="ET19" s="177"/>
      <c r="EU19" s="177"/>
      <c r="EV19" s="177"/>
      <c r="EW19" s="177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L19" s="571" t="s">
        <v>1</v>
      </c>
      <c r="FM19" s="571"/>
      <c r="FN19" s="215" t="s">
        <v>59</v>
      </c>
      <c r="FO19" s="215" t="s">
        <v>49</v>
      </c>
      <c r="FP19" s="215"/>
      <c r="FQ19" s="215"/>
      <c r="FR19" s="215"/>
      <c r="FS19" s="215"/>
      <c r="FT19" s="215"/>
      <c r="FU19" s="215"/>
      <c r="FV19" s="215"/>
      <c r="FW19" s="215"/>
      <c r="FX19" s="215"/>
      <c r="FY19" s="215"/>
      <c r="FZ19" s="215"/>
      <c r="GA19" s="215"/>
      <c r="GB19" s="215"/>
      <c r="GC19" s="215"/>
      <c r="GD19" s="215"/>
      <c r="GE19" s="215" t="s">
        <v>59</v>
      </c>
      <c r="GF19" s="215" t="s">
        <v>59</v>
      </c>
      <c r="GG19" s="215" t="s">
        <v>60</v>
      </c>
      <c r="GH19" s="215" t="s">
        <v>60</v>
      </c>
      <c r="GI19" s="215"/>
      <c r="GJ19" s="215"/>
      <c r="GK19" s="215"/>
      <c r="GL19" s="215"/>
      <c r="GM19" s="215"/>
      <c r="GN19" s="215"/>
      <c r="GO19" s="215"/>
      <c r="GP19" s="215"/>
      <c r="GQ19" s="215"/>
      <c r="GR19" s="215"/>
      <c r="GS19" s="215"/>
      <c r="GT19" s="215"/>
      <c r="GU19" s="215"/>
      <c r="GV19" s="215"/>
      <c r="GW19" s="215"/>
      <c r="GX19" s="215"/>
      <c r="GY19" s="215" t="s">
        <v>116</v>
      </c>
      <c r="GZ19" s="215" t="s">
        <v>116</v>
      </c>
      <c r="HA19" s="215" t="s">
        <v>116</v>
      </c>
      <c r="HB19" s="215" t="s">
        <v>60</v>
      </c>
      <c r="HC19" s="215" t="s">
        <v>61</v>
      </c>
      <c r="HD19" s="215" t="s">
        <v>61</v>
      </c>
      <c r="HE19" s="215" t="s">
        <v>61</v>
      </c>
      <c r="HF19" s="215" t="s">
        <v>61</v>
      </c>
      <c r="HG19" s="215" t="s">
        <v>59</v>
      </c>
      <c r="HH19" s="215" t="s">
        <v>59</v>
      </c>
      <c r="HI19" s="215" t="s">
        <v>59</v>
      </c>
      <c r="HJ19" s="215" t="s">
        <v>59</v>
      </c>
      <c r="HK19" s="215" t="s">
        <v>59</v>
      </c>
      <c r="HL19" s="215" t="s">
        <v>59</v>
      </c>
      <c r="HM19" s="215" t="s">
        <v>59</v>
      </c>
      <c r="HN19" s="1186">
        <f>SUM(HP19:HY19)</f>
        <v>40</v>
      </c>
      <c r="HO19" s="1187"/>
      <c r="HP19" s="1186">
        <v>30</v>
      </c>
      <c r="HQ19" s="1187"/>
      <c r="HR19" s="1186">
        <v>4</v>
      </c>
      <c r="HS19" s="1187"/>
      <c r="HT19" s="1186">
        <v>1</v>
      </c>
      <c r="HU19" s="1187"/>
      <c r="HV19" s="1186">
        <v>5</v>
      </c>
      <c r="HW19" s="1187"/>
      <c r="HX19" s="1186">
        <v>0</v>
      </c>
      <c r="HY19" s="1187"/>
      <c r="HZ19" s="1186">
        <v>12</v>
      </c>
      <c r="IA19" s="1187"/>
      <c r="IB19" s="1191">
        <f>HN19+HZ19</f>
        <v>52</v>
      </c>
      <c r="IC19" s="1191"/>
    </row>
    <row r="20" spans="1:237" ht="60" customHeight="1" x14ac:dyDescent="0.4">
      <c r="A20" s="23"/>
      <c r="B20" s="23"/>
      <c r="C20" s="26"/>
      <c r="D20" s="182"/>
      <c r="E20" s="182"/>
      <c r="F20" s="182"/>
      <c r="G20" s="182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  <c r="AU20" s="177"/>
      <c r="AV20" s="177"/>
      <c r="AW20" s="177"/>
      <c r="AX20" s="177"/>
      <c r="AY20" s="177"/>
      <c r="AZ20" s="177"/>
      <c r="BA20" s="177"/>
      <c r="BB20" s="177"/>
      <c r="BC20" s="177"/>
      <c r="BD20" s="177"/>
      <c r="BE20" s="177"/>
      <c r="BF20" s="177"/>
      <c r="BG20" s="177"/>
      <c r="BH20" s="177"/>
      <c r="BI20" s="177"/>
      <c r="BJ20" s="177"/>
      <c r="BK20" s="177"/>
      <c r="BL20" s="177"/>
      <c r="BM20" s="177"/>
      <c r="BN20" s="177"/>
      <c r="BO20" s="177"/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7"/>
      <c r="CA20" s="177"/>
      <c r="CB20" s="177"/>
      <c r="CC20" s="177"/>
      <c r="CD20" s="177"/>
      <c r="CE20" s="177"/>
      <c r="CF20" s="177"/>
      <c r="CG20" s="177"/>
      <c r="CH20" s="177"/>
      <c r="CI20" s="177"/>
      <c r="CJ20" s="177"/>
      <c r="CK20" s="177"/>
      <c r="CL20" s="177"/>
      <c r="CM20" s="177"/>
      <c r="CN20" s="177"/>
      <c r="CO20" s="177"/>
      <c r="CP20" s="177"/>
      <c r="CQ20" s="177"/>
      <c r="CR20" s="177"/>
      <c r="CS20" s="177"/>
      <c r="CT20" s="177"/>
      <c r="CU20" s="177"/>
      <c r="CV20" s="177"/>
      <c r="CW20" s="177"/>
      <c r="CX20" s="177"/>
      <c r="CY20" s="177"/>
      <c r="CZ20" s="177"/>
      <c r="DA20" s="177"/>
      <c r="DB20" s="177"/>
      <c r="DC20" s="177"/>
      <c r="DD20" s="177"/>
      <c r="DE20" s="177"/>
      <c r="DF20" s="177"/>
      <c r="DG20" s="177"/>
      <c r="DH20" s="177"/>
      <c r="DI20" s="177"/>
      <c r="DJ20" s="177"/>
      <c r="DK20" s="177"/>
      <c r="DL20" s="177"/>
      <c r="DM20" s="177"/>
      <c r="DN20" s="177"/>
      <c r="DO20" s="177"/>
      <c r="DP20" s="177"/>
      <c r="DQ20" s="177"/>
      <c r="DR20" s="177"/>
      <c r="DS20" s="177"/>
      <c r="DT20" s="182"/>
      <c r="DU20" s="182"/>
      <c r="DV20" s="182"/>
      <c r="DW20" s="182"/>
      <c r="DX20" s="184"/>
      <c r="DY20" s="184"/>
      <c r="DZ20" s="184"/>
      <c r="EA20" s="184"/>
      <c r="EB20" s="184"/>
      <c r="EC20" s="184"/>
      <c r="ED20" s="184"/>
      <c r="EE20" s="184"/>
      <c r="EF20" s="184"/>
      <c r="EG20" s="184"/>
      <c r="EH20" s="184"/>
      <c r="EI20" s="184"/>
      <c r="EJ20" s="184"/>
      <c r="EK20" s="184"/>
      <c r="EL20" s="184"/>
      <c r="EM20" s="184"/>
      <c r="EN20" s="184"/>
      <c r="EO20" s="184"/>
      <c r="EP20" s="184"/>
      <c r="EQ20" s="184"/>
      <c r="ER20" s="184"/>
      <c r="ES20" s="177"/>
      <c r="ET20" s="177"/>
      <c r="EU20" s="177"/>
      <c r="EV20" s="177"/>
      <c r="EW20" s="177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L20" s="571" t="s">
        <v>2</v>
      </c>
      <c r="FM20" s="571"/>
      <c r="FN20" s="215" t="s">
        <v>59</v>
      </c>
      <c r="FO20" s="215" t="s">
        <v>49</v>
      </c>
      <c r="FP20" s="215"/>
      <c r="FQ20" s="215"/>
      <c r="FR20" s="215"/>
      <c r="FS20" s="215"/>
      <c r="FT20" s="215"/>
      <c r="FU20" s="215"/>
      <c r="FV20" s="215"/>
      <c r="FW20" s="215"/>
      <c r="FX20" s="215"/>
      <c r="FY20" s="215"/>
      <c r="FZ20" s="215"/>
      <c r="GA20" s="215"/>
      <c r="GB20" s="215"/>
      <c r="GC20" s="215"/>
      <c r="GD20" s="215"/>
      <c r="GE20" s="215" t="s">
        <v>59</v>
      </c>
      <c r="GF20" s="215" t="s">
        <v>59</v>
      </c>
      <c r="GG20" s="215" t="s">
        <v>60</v>
      </c>
      <c r="GH20" s="215" t="s">
        <v>60</v>
      </c>
      <c r="GI20" s="215"/>
      <c r="GJ20" s="215"/>
      <c r="GK20" s="215"/>
      <c r="GL20" s="215"/>
      <c r="GM20" s="215"/>
      <c r="GN20" s="216"/>
      <c r="GO20" s="216"/>
      <c r="GP20" s="216"/>
      <c r="GQ20" s="216"/>
      <c r="GR20" s="216"/>
      <c r="GS20" s="216"/>
      <c r="GT20" s="216"/>
      <c r="GU20" s="216"/>
      <c r="GV20" s="216"/>
      <c r="GW20" s="216"/>
      <c r="GX20" s="216"/>
      <c r="GY20" s="216" t="s">
        <v>116</v>
      </c>
      <c r="GZ20" s="216" t="s">
        <v>116</v>
      </c>
      <c r="HA20" s="216" t="s">
        <v>116</v>
      </c>
      <c r="HB20" s="216" t="s">
        <v>60</v>
      </c>
      <c r="HC20" s="216" t="s">
        <v>61</v>
      </c>
      <c r="HD20" s="216" t="s">
        <v>61</v>
      </c>
      <c r="HE20" s="216" t="s">
        <v>61</v>
      </c>
      <c r="HF20" s="216" t="s">
        <v>61</v>
      </c>
      <c r="HG20" s="215" t="s">
        <v>59</v>
      </c>
      <c r="HH20" s="215" t="s">
        <v>59</v>
      </c>
      <c r="HI20" s="215" t="s">
        <v>59</v>
      </c>
      <c r="HJ20" s="215" t="s">
        <v>59</v>
      </c>
      <c r="HK20" s="215" t="s">
        <v>59</v>
      </c>
      <c r="HL20" s="215" t="s">
        <v>59</v>
      </c>
      <c r="HM20" s="215" t="s">
        <v>59</v>
      </c>
      <c r="HN20" s="1186">
        <f>SUM(HP20:HY20)</f>
        <v>40</v>
      </c>
      <c r="HO20" s="1187"/>
      <c r="HP20" s="1186">
        <v>30</v>
      </c>
      <c r="HQ20" s="1187"/>
      <c r="HR20" s="1186">
        <v>4</v>
      </c>
      <c r="HS20" s="1187"/>
      <c r="HT20" s="1186">
        <v>1</v>
      </c>
      <c r="HU20" s="1187"/>
      <c r="HV20" s="1186">
        <v>5</v>
      </c>
      <c r="HW20" s="1187"/>
      <c r="HX20" s="1186">
        <v>0</v>
      </c>
      <c r="HY20" s="1187"/>
      <c r="HZ20" s="1186">
        <v>12</v>
      </c>
      <c r="IA20" s="1187"/>
      <c r="IB20" s="1191">
        <f>HN20+HZ20</f>
        <v>52</v>
      </c>
      <c r="IC20" s="1191"/>
    </row>
    <row r="21" spans="1:237" ht="60" customHeight="1" x14ac:dyDescent="0.4">
      <c r="A21" s="23"/>
      <c r="B21" s="23"/>
      <c r="C21" s="26"/>
      <c r="D21" s="182"/>
      <c r="E21" s="182"/>
      <c r="F21" s="182"/>
      <c r="G21" s="182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7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7"/>
      <c r="BH21" s="177"/>
      <c r="BI21" s="177"/>
      <c r="BJ21" s="177"/>
      <c r="BK21" s="177"/>
      <c r="BL21" s="177"/>
      <c r="BM21" s="177"/>
      <c r="BN21" s="177"/>
      <c r="BO21" s="177"/>
      <c r="BP21" s="177"/>
      <c r="BQ21" s="177"/>
      <c r="BR21" s="177"/>
      <c r="BS21" s="177"/>
      <c r="BT21" s="177"/>
      <c r="BU21" s="177"/>
      <c r="BV21" s="177"/>
      <c r="BW21" s="177"/>
      <c r="BX21" s="177"/>
      <c r="BY21" s="177"/>
      <c r="BZ21" s="177"/>
      <c r="CA21" s="177"/>
      <c r="CB21" s="177"/>
      <c r="CC21" s="177"/>
      <c r="CD21" s="177"/>
      <c r="CE21" s="177"/>
      <c r="CF21" s="177"/>
      <c r="CG21" s="177"/>
      <c r="CH21" s="177"/>
      <c r="CI21" s="177"/>
      <c r="CJ21" s="177"/>
      <c r="CK21" s="177"/>
      <c r="CL21" s="177"/>
      <c r="CM21" s="177"/>
      <c r="CN21" s="177"/>
      <c r="CO21" s="177"/>
      <c r="CP21" s="177"/>
      <c r="CQ21" s="177"/>
      <c r="CR21" s="177"/>
      <c r="CS21" s="177"/>
      <c r="CT21" s="177"/>
      <c r="CU21" s="177"/>
      <c r="CV21" s="177"/>
      <c r="CW21" s="177"/>
      <c r="CX21" s="177"/>
      <c r="CY21" s="177"/>
      <c r="CZ21" s="177"/>
      <c r="DA21" s="177"/>
      <c r="DB21" s="177"/>
      <c r="DC21" s="177"/>
      <c r="DD21" s="177"/>
      <c r="DE21" s="177"/>
      <c r="DF21" s="177"/>
      <c r="DG21" s="177"/>
      <c r="DH21" s="177"/>
      <c r="DI21" s="177"/>
      <c r="DJ21" s="177"/>
      <c r="DK21" s="177"/>
      <c r="DL21" s="177"/>
      <c r="DM21" s="177"/>
      <c r="DN21" s="177"/>
      <c r="DO21" s="177"/>
      <c r="DP21" s="177"/>
      <c r="DQ21" s="177"/>
      <c r="DR21" s="177"/>
      <c r="DS21" s="177"/>
      <c r="DT21" s="182"/>
      <c r="DU21" s="182"/>
      <c r="DV21" s="182"/>
      <c r="DW21" s="182"/>
      <c r="DX21" s="184"/>
      <c r="DY21" s="184"/>
      <c r="DZ21" s="184"/>
      <c r="EA21" s="184"/>
      <c r="EB21" s="184"/>
      <c r="EC21" s="184"/>
      <c r="ED21" s="184"/>
      <c r="EE21" s="184"/>
      <c r="EF21" s="184"/>
      <c r="EG21" s="184"/>
      <c r="EH21" s="184"/>
      <c r="EI21" s="184"/>
      <c r="EJ21" s="184"/>
      <c r="EK21" s="184"/>
      <c r="EL21" s="184"/>
      <c r="EM21" s="184"/>
      <c r="EN21" s="184"/>
      <c r="EO21" s="184"/>
      <c r="EP21" s="184"/>
      <c r="EQ21" s="184"/>
      <c r="ER21" s="184"/>
      <c r="ES21" s="177"/>
      <c r="ET21" s="177"/>
      <c r="EU21" s="177"/>
      <c r="EV21" s="177"/>
      <c r="EW21" s="177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L21" s="571" t="s">
        <v>3</v>
      </c>
      <c r="FM21" s="571"/>
      <c r="FN21" s="215" t="s">
        <v>59</v>
      </c>
      <c r="FO21" s="215" t="s">
        <v>49</v>
      </c>
      <c r="FP21" s="215"/>
      <c r="FQ21" s="215"/>
      <c r="FR21" s="215"/>
      <c r="FS21" s="215"/>
      <c r="FT21" s="215"/>
      <c r="FU21" s="215"/>
      <c r="FV21" s="215"/>
      <c r="FW21" s="215"/>
      <c r="FX21" s="215"/>
      <c r="FY21" s="215"/>
      <c r="FZ21" s="215"/>
      <c r="GA21" s="215"/>
      <c r="GB21" s="215"/>
      <c r="GC21" s="215"/>
      <c r="GD21" s="215"/>
      <c r="GE21" s="215" t="s">
        <v>59</v>
      </c>
      <c r="GF21" s="215" t="s">
        <v>59</v>
      </c>
      <c r="GG21" s="215" t="s">
        <v>60</v>
      </c>
      <c r="GH21" s="215" t="s">
        <v>60</v>
      </c>
      <c r="GI21" s="215"/>
      <c r="GJ21" s="215"/>
      <c r="GK21" s="215"/>
      <c r="GL21" s="215"/>
      <c r="GM21" s="217"/>
      <c r="GN21" s="215"/>
      <c r="GO21" s="215"/>
      <c r="GP21" s="215"/>
      <c r="GQ21" s="215"/>
      <c r="GR21" s="215"/>
      <c r="GS21" s="215"/>
      <c r="GT21" s="215"/>
      <c r="GU21" s="215"/>
      <c r="GV21" s="215"/>
      <c r="GW21" s="215"/>
      <c r="GX21" s="215"/>
      <c r="GY21" s="215" t="s">
        <v>116</v>
      </c>
      <c r="GZ21" s="215" t="s">
        <v>116</v>
      </c>
      <c r="HA21" s="215" t="s">
        <v>116</v>
      </c>
      <c r="HB21" s="215" t="s">
        <v>60</v>
      </c>
      <c r="HC21" s="215" t="s">
        <v>61</v>
      </c>
      <c r="HD21" s="215" t="s">
        <v>61</v>
      </c>
      <c r="HE21" s="215" t="s">
        <v>61</v>
      </c>
      <c r="HF21" s="215" t="s">
        <v>59</v>
      </c>
      <c r="HG21" s="215" t="s">
        <v>59</v>
      </c>
      <c r="HH21" s="215" t="s">
        <v>59</v>
      </c>
      <c r="HI21" s="215" t="s">
        <v>59</v>
      </c>
      <c r="HJ21" s="215" t="s">
        <v>59</v>
      </c>
      <c r="HK21" s="215" t="s">
        <v>59</v>
      </c>
      <c r="HL21" s="215" t="s">
        <v>59</v>
      </c>
      <c r="HM21" s="215" t="s">
        <v>59</v>
      </c>
      <c r="HN21" s="1193">
        <f>SUM(HP21:HY21)</f>
        <v>38</v>
      </c>
      <c r="HO21" s="1187"/>
      <c r="HP21" s="1186">
        <v>30</v>
      </c>
      <c r="HQ21" s="1187"/>
      <c r="HR21" s="1186">
        <v>4</v>
      </c>
      <c r="HS21" s="1187"/>
      <c r="HT21" s="1186">
        <v>1</v>
      </c>
      <c r="HU21" s="1187"/>
      <c r="HV21" s="1186">
        <v>3</v>
      </c>
      <c r="HW21" s="1187"/>
      <c r="HX21" s="1186">
        <v>0</v>
      </c>
      <c r="HY21" s="1187"/>
      <c r="HZ21" s="1186">
        <v>14</v>
      </c>
      <c r="IA21" s="1187"/>
      <c r="IB21" s="1191">
        <f>HN21+HZ21</f>
        <v>52</v>
      </c>
      <c r="IC21" s="1191"/>
    </row>
    <row r="22" spans="1:237" ht="60" customHeight="1" x14ac:dyDescent="0.4">
      <c r="A22" s="23"/>
      <c r="B22" s="23"/>
      <c r="C22" s="26"/>
      <c r="D22" s="182"/>
      <c r="E22" s="182"/>
      <c r="F22" s="182"/>
      <c r="G22" s="182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7"/>
      <c r="BB22" s="177"/>
      <c r="BC22" s="177"/>
      <c r="BD22" s="177"/>
      <c r="BE22" s="177"/>
      <c r="BF22" s="177"/>
      <c r="BG22" s="177"/>
      <c r="BH22" s="177"/>
      <c r="BI22" s="177"/>
      <c r="BJ22" s="177"/>
      <c r="BK22" s="177"/>
      <c r="BL22" s="177"/>
      <c r="BM22" s="177"/>
      <c r="BN22" s="177"/>
      <c r="BO22" s="177"/>
      <c r="BP22" s="177"/>
      <c r="BQ22" s="177"/>
      <c r="BR22" s="177"/>
      <c r="BS22" s="177"/>
      <c r="BT22" s="177"/>
      <c r="BU22" s="177"/>
      <c r="BV22" s="177"/>
      <c r="BW22" s="177"/>
      <c r="BX22" s="177"/>
      <c r="BY22" s="177"/>
      <c r="BZ22" s="177"/>
      <c r="CA22" s="177"/>
      <c r="CB22" s="177"/>
      <c r="CC22" s="177"/>
      <c r="CD22" s="177"/>
      <c r="CE22" s="177"/>
      <c r="CF22" s="177"/>
      <c r="CG22" s="177"/>
      <c r="CH22" s="177"/>
      <c r="CI22" s="177"/>
      <c r="CJ22" s="177"/>
      <c r="CK22" s="177"/>
      <c r="CL22" s="177"/>
      <c r="CM22" s="177"/>
      <c r="CN22" s="177"/>
      <c r="CO22" s="177"/>
      <c r="CP22" s="177"/>
      <c r="CQ22" s="177"/>
      <c r="CR22" s="177"/>
      <c r="CS22" s="177"/>
      <c r="CT22" s="177"/>
      <c r="CU22" s="177"/>
      <c r="CV22" s="177"/>
      <c r="CW22" s="177"/>
      <c r="CX22" s="177"/>
      <c r="CY22" s="177"/>
      <c r="CZ22" s="177"/>
      <c r="DA22" s="177"/>
      <c r="DB22" s="177"/>
      <c r="DC22" s="177"/>
      <c r="DD22" s="177"/>
      <c r="DE22" s="177"/>
      <c r="DF22" s="177"/>
      <c r="DG22" s="177"/>
      <c r="DH22" s="177"/>
      <c r="DI22" s="177"/>
      <c r="DJ22" s="177"/>
      <c r="DK22" s="177"/>
      <c r="DL22" s="177"/>
      <c r="DM22" s="177"/>
      <c r="DN22" s="177"/>
      <c r="DO22" s="177"/>
      <c r="DP22" s="177"/>
      <c r="DQ22" s="177"/>
      <c r="DR22" s="177"/>
      <c r="DS22" s="177"/>
      <c r="DT22" s="182"/>
      <c r="DU22" s="182"/>
      <c r="DV22" s="182"/>
      <c r="DW22" s="182"/>
      <c r="DX22" s="184"/>
      <c r="DY22" s="184"/>
      <c r="DZ22" s="184"/>
      <c r="EA22" s="184"/>
      <c r="EB22" s="184"/>
      <c r="EC22" s="184"/>
      <c r="ED22" s="184"/>
      <c r="EE22" s="184"/>
      <c r="EF22" s="184"/>
      <c r="EG22" s="184"/>
      <c r="EH22" s="184"/>
      <c r="EI22" s="184"/>
      <c r="EJ22" s="184"/>
      <c r="EK22" s="184"/>
      <c r="EL22" s="184"/>
      <c r="EM22" s="184"/>
      <c r="EN22" s="184"/>
      <c r="EO22" s="184"/>
      <c r="EP22" s="184"/>
      <c r="EQ22" s="184"/>
      <c r="ER22" s="184"/>
      <c r="ES22" s="177"/>
      <c r="ET22" s="177"/>
      <c r="EU22" s="177"/>
      <c r="EV22" s="177"/>
      <c r="EW22" s="177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L22" s="1185" t="s">
        <v>117</v>
      </c>
      <c r="FM22" s="1185"/>
      <c r="FN22" s="216" t="s">
        <v>59</v>
      </c>
      <c r="FO22" s="216" t="s">
        <v>49</v>
      </c>
      <c r="FP22" s="216"/>
      <c r="FQ22" s="216"/>
      <c r="FR22" s="216"/>
      <c r="FS22" s="216"/>
      <c r="FT22" s="216"/>
      <c r="FU22" s="216"/>
      <c r="FV22" s="216"/>
      <c r="FW22" s="216"/>
      <c r="FX22" s="216"/>
      <c r="FY22" s="216"/>
      <c r="FZ22" s="216"/>
      <c r="GA22" s="216"/>
      <c r="GB22" s="216"/>
      <c r="GC22" s="216"/>
      <c r="GD22" s="216"/>
      <c r="GE22" s="216" t="s">
        <v>59</v>
      </c>
      <c r="GF22" s="216" t="s">
        <v>59</v>
      </c>
      <c r="GG22" s="216" t="s">
        <v>60</v>
      </c>
      <c r="GH22" s="216" t="s">
        <v>60</v>
      </c>
      <c r="GI22" s="216" t="s">
        <v>61</v>
      </c>
      <c r="GJ22" s="216" t="s">
        <v>61</v>
      </c>
      <c r="GK22" s="216" t="s">
        <v>61</v>
      </c>
      <c r="GL22" s="216" t="s">
        <v>18</v>
      </c>
      <c r="GM22" s="216" t="s">
        <v>18</v>
      </c>
      <c r="GN22" s="218"/>
      <c r="GO22" s="218"/>
      <c r="GP22" s="218"/>
      <c r="GQ22" s="218"/>
      <c r="GR22" s="218"/>
      <c r="GS22" s="218"/>
      <c r="GT22" s="218"/>
      <c r="GU22" s="218"/>
      <c r="GV22" s="218"/>
      <c r="GW22" s="218"/>
      <c r="GX22" s="218"/>
      <c r="GY22" s="218"/>
      <c r="GZ22" s="218"/>
      <c r="HA22" s="218"/>
      <c r="HB22" s="218"/>
      <c r="HC22" s="218"/>
      <c r="HD22" s="218"/>
      <c r="HE22" s="218"/>
      <c r="HF22" s="218"/>
      <c r="HG22" s="218"/>
      <c r="HH22" s="218"/>
      <c r="HI22" s="218"/>
      <c r="HJ22" s="218"/>
      <c r="HK22" s="218"/>
      <c r="HL22" s="218"/>
      <c r="HM22" s="218"/>
      <c r="HN22" s="1191">
        <f>SUM(HP22:HY22)</f>
        <v>23</v>
      </c>
      <c r="HO22" s="1191"/>
      <c r="HP22" s="1186">
        <v>15</v>
      </c>
      <c r="HQ22" s="1187"/>
      <c r="HR22" s="1186">
        <v>2</v>
      </c>
      <c r="HS22" s="1187"/>
      <c r="HT22" s="1186">
        <v>1</v>
      </c>
      <c r="HU22" s="1187"/>
      <c r="HV22" s="1186">
        <v>3</v>
      </c>
      <c r="HW22" s="1187"/>
      <c r="HX22" s="1186">
        <v>2</v>
      </c>
      <c r="HY22" s="1187"/>
      <c r="HZ22" s="1186">
        <v>3</v>
      </c>
      <c r="IA22" s="1187"/>
      <c r="IB22" s="1191">
        <f>HN22+HZ22</f>
        <v>26</v>
      </c>
      <c r="IC22" s="1191"/>
    </row>
    <row r="23" spans="1:237" ht="60" customHeight="1" x14ac:dyDescent="0.4">
      <c r="A23" s="23"/>
      <c r="B23" s="23"/>
      <c r="C23" s="26"/>
      <c r="D23" s="182"/>
      <c r="E23" s="182"/>
      <c r="F23" s="182"/>
      <c r="G23" s="182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7"/>
      <c r="BB23" s="177"/>
      <c r="BC23" s="177"/>
      <c r="BD23" s="177"/>
      <c r="BE23" s="177"/>
      <c r="BF23" s="177"/>
      <c r="BG23" s="177"/>
      <c r="BH23" s="177"/>
      <c r="BI23" s="177"/>
      <c r="BJ23" s="177"/>
      <c r="BK23" s="177"/>
      <c r="BL23" s="177"/>
      <c r="BM23" s="177"/>
      <c r="BN23" s="177"/>
      <c r="BO23" s="177"/>
      <c r="BP23" s="177"/>
      <c r="BQ23" s="177"/>
      <c r="BR23" s="177"/>
      <c r="BS23" s="177"/>
      <c r="BT23" s="177"/>
      <c r="BU23" s="177"/>
      <c r="BV23" s="177"/>
      <c r="BW23" s="177"/>
      <c r="BX23" s="177"/>
      <c r="BY23" s="177"/>
      <c r="BZ23" s="177"/>
      <c r="CA23" s="177"/>
      <c r="CB23" s="177"/>
      <c r="CC23" s="177"/>
      <c r="CD23" s="177"/>
      <c r="CE23" s="177"/>
      <c r="CF23" s="177"/>
      <c r="CG23" s="177"/>
      <c r="CH23" s="177"/>
      <c r="CI23" s="177"/>
      <c r="CJ23" s="177"/>
      <c r="CK23" s="177"/>
      <c r="CL23" s="177"/>
      <c r="CM23" s="177"/>
      <c r="CN23" s="177"/>
      <c r="CO23" s="177"/>
      <c r="CP23" s="177"/>
      <c r="CQ23" s="177"/>
      <c r="CR23" s="177"/>
      <c r="CS23" s="177"/>
      <c r="CT23" s="177"/>
      <c r="CU23" s="177"/>
      <c r="CV23" s="177"/>
      <c r="CW23" s="177"/>
      <c r="CX23" s="177"/>
      <c r="CY23" s="177"/>
      <c r="CZ23" s="177"/>
      <c r="DA23" s="177"/>
      <c r="DB23" s="177"/>
      <c r="DC23" s="177"/>
      <c r="DD23" s="177"/>
      <c r="DE23" s="177"/>
      <c r="DF23" s="177"/>
      <c r="DG23" s="177"/>
      <c r="DH23" s="177"/>
      <c r="DI23" s="177"/>
      <c r="DJ23" s="177"/>
      <c r="DK23" s="177"/>
      <c r="DL23" s="177"/>
      <c r="DM23" s="177"/>
      <c r="DN23" s="177"/>
      <c r="DO23" s="177"/>
      <c r="DP23" s="177"/>
      <c r="DQ23" s="177"/>
      <c r="DR23" s="177"/>
      <c r="DS23" s="177"/>
      <c r="DT23" s="182"/>
      <c r="DU23" s="182"/>
      <c r="DV23" s="182"/>
      <c r="DW23" s="182"/>
      <c r="DX23" s="184"/>
      <c r="DY23" s="184"/>
      <c r="DZ23" s="184"/>
      <c r="EA23" s="184"/>
      <c r="EB23" s="184"/>
      <c r="EC23" s="184"/>
      <c r="ED23" s="184"/>
      <c r="EE23" s="184"/>
      <c r="EF23" s="184"/>
      <c r="EG23" s="184"/>
      <c r="EH23" s="184"/>
      <c r="EI23" s="184"/>
      <c r="EJ23" s="184"/>
      <c r="EK23" s="184"/>
      <c r="EL23" s="184"/>
      <c r="EM23" s="184"/>
      <c r="EN23" s="184"/>
      <c r="EO23" s="184"/>
      <c r="EP23" s="184"/>
      <c r="EQ23" s="184"/>
      <c r="ER23" s="184"/>
      <c r="ES23" s="177"/>
      <c r="ET23" s="177"/>
      <c r="EU23" s="177"/>
      <c r="EV23" s="177"/>
      <c r="EW23" s="177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L23" s="1192" t="s">
        <v>24</v>
      </c>
      <c r="FM23" s="1192"/>
      <c r="FN23" s="1192"/>
      <c r="FO23" s="1192"/>
      <c r="FP23" s="1192"/>
      <c r="FQ23" s="1192"/>
      <c r="FR23" s="1192"/>
      <c r="FS23" s="1192"/>
      <c r="FT23" s="1192"/>
      <c r="FU23" s="1192"/>
      <c r="FV23" s="1192"/>
      <c r="FW23" s="1192"/>
      <c r="FX23" s="1192"/>
      <c r="FY23" s="1192"/>
      <c r="FZ23" s="1192"/>
      <c r="GA23" s="1192"/>
      <c r="GB23" s="1192"/>
      <c r="GC23" s="1192"/>
      <c r="GD23" s="1192"/>
      <c r="GE23" s="1192"/>
      <c r="GF23" s="1192"/>
      <c r="GG23" s="1192"/>
      <c r="GH23" s="1192"/>
      <c r="GI23" s="1192"/>
      <c r="GJ23" s="1192"/>
      <c r="GK23" s="1192"/>
      <c r="GL23" s="1192"/>
      <c r="GM23" s="1192"/>
      <c r="GN23" s="1192"/>
      <c r="GO23" s="1192"/>
      <c r="GP23" s="1192"/>
      <c r="GQ23" s="1192"/>
      <c r="GR23" s="1192"/>
      <c r="GS23" s="1192"/>
      <c r="GT23" s="1192"/>
      <c r="GU23" s="1192"/>
      <c r="GV23" s="1192"/>
      <c r="GW23" s="1192"/>
      <c r="GX23" s="1192"/>
      <c r="GY23" s="1192"/>
      <c r="GZ23" s="1192"/>
      <c r="HA23" s="1192"/>
      <c r="HB23" s="1192"/>
      <c r="HC23" s="1192"/>
      <c r="HD23" s="1192"/>
      <c r="HE23" s="1192"/>
      <c r="HF23" s="1192"/>
      <c r="HG23" s="1192"/>
      <c r="HH23" s="1192"/>
      <c r="HI23" s="1192"/>
      <c r="HJ23" s="1192"/>
      <c r="HK23" s="1192"/>
      <c r="HL23" s="1192"/>
      <c r="HM23" s="1192"/>
      <c r="HN23" s="1186">
        <f>SUM(HN18:HO22)</f>
        <v>178</v>
      </c>
      <c r="HO23" s="1187"/>
      <c r="HP23" s="1186">
        <f>SUM(HP18:HQ22)</f>
        <v>135</v>
      </c>
      <c r="HQ23" s="1187"/>
      <c r="HR23" s="1186">
        <f>SUM(HR18:HS22)</f>
        <v>18</v>
      </c>
      <c r="HS23" s="1187"/>
      <c r="HT23" s="1186">
        <f>SUM(HT18:HU22)</f>
        <v>5</v>
      </c>
      <c r="HU23" s="1187"/>
      <c r="HV23" s="1186">
        <f>SUM(HV18:HW22)</f>
        <v>18</v>
      </c>
      <c r="HW23" s="1187"/>
      <c r="HX23" s="1186">
        <f>SUM(HX18:HY22)</f>
        <v>2</v>
      </c>
      <c r="HY23" s="1187"/>
      <c r="HZ23" s="1186">
        <f>SUM(HZ18:IA22)</f>
        <v>56</v>
      </c>
      <c r="IA23" s="1187"/>
      <c r="IB23" s="1186">
        <f>SUM(IB18:IC22)</f>
        <v>234</v>
      </c>
      <c r="IC23" s="1187"/>
    </row>
    <row r="24" spans="1:237" ht="60" customHeight="1" thickBot="1" x14ac:dyDescent="0.7">
      <c r="A24" s="23"/>
      <c r="B24" s="23"/>
      <c r="C24" s="26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182"/>
      <c r="AR24" s="182"/>
      <c r="AS24" s="182"/>
      <c r="AT24" s="182"/>
      <c r="AU24" s="182"/>
      <c r="AV24" s="182"/>
      <c r="AW24" s="182"/>
      <c r="AX24" s="182"/>
      <c r="AY24" s="182"/>
      <c r="AZ24" s="182"/>
      <c r="BA24" s="182"/>
      <c r="BB24" s="182"/>
      <c r="BC24" s="182"/>
      <c r="BD24" s="182"/>
      <c r="BE24" s="182"/>
      <c r="BF24" s="182"/>
      <c r="BG24" s="182"/>
      <c r="BH24" s="182"/>
      <c r="BI24" s="182"/>
      <c r="BJ24" s="182"/>
      <c r="BK24" s="182"/>
      <c r="BL24" s="182"/>
      <c r="BM24" s="182"/>
      <c r="BN24" s="182"/>
      <c r="BO24" s="182"/>
      <c r="BP24" s="182"/>
      <c r="BQ24" s="182"/>
      <c r="BR24" s="182"/>
      <c r="BS24" s="182"/>
      <c r="BT24" s="182"/>
      <c r="BU24" s="182"/>
      <c r="BV24" s="182"/>
      <c r="BW24" s="182"/>
      <c r="BX24" s="182"/>
      <c r="BY24" s="182"/>
      <c r="BZ24" s="182"/>
      <c r="CA24" s="182"/>
      <c r="CB24" s="182"/>
      <c r="CC24" s="182"/>
      <c r="CD24" s="182"/>
      <c r="CE24" s="182"/>
      <c r="CF24" s="182"/>
      <c r="CG24" s="182"/>
      <c r="CH24" s="182"/>
      <c r="CI24" s="182"/>
      <c r="CJ24" s="182"/>
      <c r="CK24" s="182"/>
      <c r="CL24" s="182"/>
      <c r="CM24" s="182"/>
      <c r="CN24" s="182"/>
      <c r="CO24" s="182"/>
      <c r="CP24" s="182"/>
      <c r="CQ24" s="182"/>
      <c r="CR24" s="182"/>
      <c r="CS24" s="182"/>
      <c r="CT24" s="182"/>
      <c r="CU24" s="182"/>
      <c r="CV24" s="182"/>
      <c r="CW24" s="182"/>
      <c r="CX24" s="182"/>
      <c r="CY24" s="182"/>
      <c r="CZ24" s="182"/>
      <c r="DA24" s="182"/>
      <c r="DB24" s="182"/>
      <c r="DC24" s="182"/>
      <c r="DD24" s="182"/>
      <c r="DE24" s="182"/>
      <c r="DF24" s="182"/>
      <c r="DG24" s="182"/>
      <c r="DH24" s="182"/>
      <c r="DI24" s="182"/>
      <c r="DJ24" s="182"/>
      <c r="DK24" s="182"/>
      <c r="DL24" s="182"/>
      <c r="DM24" s="182"/>
      <c r="DN24" s="182"/>
      <c r="DO24" s="182"/>
      <c r="DP24" s="182"/>
      <c r="DQ24" s="182"/>
      <c r="DR24" s="182"/>
      <c r="DS24" s="182"/>
      <c r="DT24" s="182"/>
      <c r="DU24" s="182"/>
      <c r="DV24" s="182"/>
      <c r="DW24" s="182"/>
      <c r="DX24" s="182"/>
      <c r="DY24" s="182"/>
      <c r="DZ24" s="182"/>
      <c r="EA24" s="182"/>
      <c r="EB24" s="182"/>
      <c r="EC24" s="182"/>
      <c r="ED24" s="182"/>
      <c r="EE24" s="182"/>
      <c r="EF24" s="182"/>
      <c r="EG24" s="182"/>
      <c r="EH24" s="182"/>
      <c r="EI24" s="182"/>
      <c r="EJ24" s="182"/>
      <c r="EK24" s="182"/>
      <c r="EL24" s="182"/>
      <c r="EM24" s="182"/>
      <c r="EN24" s="182"/>
      <c r="EO24" s="182"/>
      <c r="EP24" s="182"/>
      <c r="EQ24" s="182"/>
      <c r="ER24" s="182"/>
      <c r="ES24" s="177"/>
      <c r="ET24" s="177"/>
      <c r="EU24" s="177"/>
      <c r="EV24" s="177"/>
      <c r="EW24" s="177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</row>
    <row r="25" spans="1:237" s="3" customFormat="1" ht="93.75" customHeight="1" thickBot="1" x14ac:dyDescent="0.25">
      <c r="A25" s="15"/>
      <c r="B25" s="15"/>
      <c r="C25" s="123"/>
      <c r="D25" s="123"/>
      <c r="E25" s="123"/>
      <c r="F25" s="123"/>
      <c r="G25" s="123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285"/>
      <c r="V25" s="285"/>
      <c r="W25" s="285"/>
      <c r="X25" s="123"/>
      <c r="Y25" s="123"/>
      <c r="Z25" s="123"/>
      <c r="AA25" s="123"/>
      <c r="AB25" s="123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191"/>
      <c r="BA25" s="191"/>
      <c r="BB25" s="191"/>
      <c r="BC25" s="191"/>
      <c r="BD25" s="191"/>
      <c r="BE25" s="191"/>
      <c r="BF25" s="33"/>
      <c r="BG25" s="285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191"/>
      <c r="BY25" s="191"/>
      <c r="BZ25" s="191"/>
      <c r="CA25" s="191"/>
      <c r="CB25" s="191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123"/>
      <c r="CV25" s="123"/>
      <c r="CW25" s="123"/>
      <c r="CX25" s="123"/>
      <c r="CY25" s="123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123"/>
      <c r="DN25" s="123"/>
      <c r="DO25" s="123"/>
      <c r="DP25" s="123"/>
      <c r="DQ25" s="123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123"/>
      <c r="EE25" s="123"/>
      <c r="EF25" s="123"/>
      <c r="EG25" s="123"/>
      <c r="EH25" s="123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83"/>
      <c r="FB25" s="175"/>
      <c r="FO25" s="585" t="s">
        <v>116</v>
      </c>
      <c r="FP25" s="586"/>
      <c r="FQ25" s="587"/>
      <c r="FR25" s="588" t="s">
        <v>267</v>
      </c>
      <c r="FS25" s="589"/>
      <c r="FT25" s="589"/>
      <c r="FU25" s="589"/>
      <c r="FV25" s="589"/>
      <c r="FW25" s="590"/>
      <c r="FZ25" s="585" t="s">
        <v>61</v>
      </c>
      <c r="GA25" s="586"/>
      <c r="GB25" s="587"/>
      <c r="GC25" s="588" t="s">
        <v>14</v>
      </c>
      <c r="GD25" s="589"/>
      <c r="GE25" s="589"/>
      <c r="GF25" s="589"/>
      <c r="GG25" s="589"/>
      <c r="GH25" s="590"/>
      <c r="GK25" s="585" t="s">
        <v>49</v>
      </c>
      <c r="GL25" s="586"/>
      <c r="GM25" s="587"/>
      <c r="GN25" s="588" t="s">
        <v>15</v>
      </c>
      <c r="GO25" s="589"/>
      <c r="GP25" s="589"/>
      <c r="GQ25" s="589"/>
      <c r="GR25" s="589"/>
      <c r="GS25" s="590"/>
      <c r="GV25" s="585" t="s">
        <v>60</v>
      </c>
      <c r="GW25" s="586"/>
      <c r="GX25" s="587"/>
      <c r="GY25" s="588" t="s">
        <v>16</v>
      </c>
      <c r="GZ25" s="589"/>
      <c r="HA25" s="589"/>
      <c r="HB25" s="589"/>
      <c r="HC25" s="589"/>
      <c r="HD25" s="590"/>
      <c r="HG25" s="585" t="s">
        <v>18</v>
      </c>
      <c r="HH25" s="586"/>
      <c r="HI25" s="587"/>
      <c r="HJ25" s="588" t="s">
        <v>17</v>
      </c>
      <c r="HK25" s="589"/>
      <c r="HL25" s="589"/>
      <c r="HM25" s="589"/>
      <c r="HN25" s="589"/>
      <c r="HO25" s="590"/>
      <c r="HR25" s="585" t="s">
        <v>59</v>
      </c>
      <c r="HS25" s="586"/>
      <c r="HT25" s="587"/>
      <c r="HU25" s="609" t="s">
        <v>274</v>
      </c>
      <c r="HV25" s="610"/>
      <c r="HW25" s="610"/>
      <c r="HX25" s="610"/>
      <c r="HY25" s="610"/>
      <c r="HZ25" s="611"/>
    </row>
    <row r="26" spans="1:237" ht="20.25" customHeight="1" x14ac:dyDescent="0.2">
      <c r="A26" s="15"/>
      <c r="B26" s="15"/>
      <c r="C26" s="123"/>
      <c r="D26" s="123"/>
      <c r="E26" s="123"/>
      <c r="F26" s="123"/>
      <c r="G26" s="123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98"/>
      <c r="V26" s="198"/>
      <c r="W26" s="198"/>
      <c r="X26" s="123"/>
      <c r="Y26" s="123"/>
      <c r="Z26" s="123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191"/>
      <c r="BA26" s="191"/>
      <c r="BB26" s="191"/>
      <c r="BC26" s="191"/>
      <c r="BD26" s="191"/>
      <c r="BE26" s="191"/>
      <c r="BF26" s="33"/>
      <c r="BG26" s="198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191"/>
      <c r="BY26" s="191"/>
      <c r="BZ26" s="191"/>
      <c r="CA26" s="191"/>
      <c r="CB26" s="191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123"/>
      <c r="CV26" s="123"/>
      <c r="CW26" s="123"/>
      <c r="CX26" s="123"/>
      <c r="CY26" s="123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123"/>
      <c r="DS26" s="123"/>
      <c r="DT26" s="123"/>
      <c r="DU26" s="123"/>
      <c r="DV26" s="123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123"/>
      <c r="EJ26" s="123"/>
      <c r="EK26" s="123"/>
      <c r="EL26" s="123"/>
      <c r="EM26" s="123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88"/>
      <c r="FC26" s="88"/>
      <c r="FD26" s="88"/>
      <c r="FE26" s="3"/>
      <c r="FF26" s="3"/>
      <c r="FG26" s="3"/>
      <c r="FH26" s="3"/>
      <c r="FI26" s="3"/>
    </row>
    <row r="27" spans="1:237" ht="61.5" x14ac:dyDescent="0.2">
      <c r="A27" s="15"/>
      <c r="B27" s="15"/>
      <c r="C27" s="123"/>
      <c r="D27" s="123"/>
      <c r="E27" s="123"/>
      <c r="F27" s="123"/>
      <c r="G27" s="123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98"/>
      <c r="V27" s="198"/>
      <c r="W27" s="198"/>
      <c r="X27" s="123"/>
      <c r="Y27" s="123"/>
      <c r="Z27" s="123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191"/>
      <c r="BA27" s="191"/>
      <c r="BB27" s="191"/>
      <c r="BC27" s="191"/>
      <c r="BD27" s="191"/>
      <c r="BE27" s="191"/>
      <c r="BF27" s="33"/>
      <c r="BG27" s="198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191"/>
      <c r="BY27" s="191"/>
      <c r="BZ27" s="191"/>
      <c r="CA27" s="191"/>
      <c r="CB27" s="191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123"/>
      <c r="CV27" s="123"/>
      <c r="CW27" s="123"/>
      <c r="CX27" s="123"/>
      <c r="CY27" s="123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123"/>
      <c r="DS27" s="123"/>
      <c r="DT27" s="123"/>
      <c r="DU27" s="123"/>
      <c r="DV27" s="123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123"/>
      <c r="EJ27" s="123"/>
      <c r="EK27" s="123"/>
      <c r="EL27" s="123"/>
      <c r="EM27" s="123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88"/>
      <c r="FC27" s="88"/>
      <c r="FD27" s="88"/>
      <c r="FE27" s="3"/>
      <c r="FF27" s="3"/>
      <c r="FG27" s="3"/>
      <c r="FH27" s="3"/>
      <c r="FI27" s="3"/>
    </row>
    <row r="28" spans="1:237" ht="75" customHeight="1" thickBot="1" x14ac:dyDescent="0.25">
      <c r="A28" s="560" t="s">
        <v>257</v>
      </c>
      <c r="B28" s="560"/>
      <c r="C28" s="560"/>
      <c r="D28" s="560"/>
      <c r="E28" s="560"/>
      <c r="F28" s="560"/>
      <c r="G28" s="560"/>
      <c r="H28" s="560"/>
      <c r="I28" s="560"/>
      <c r="J28" s="560"/>
      <c r="K28" s="560"/>
      <c r="L28" s="560"/>
      <c r="M28" s="560"/>
      <c r="N28" s="560"/>
      <c r="O28" s="560"/>
      <c r="P28" s="560"/>
      <c r="Q28" s="560"/>
      <c r="R28" s="560"/>
      <c r="S28" s="560"/>
      <c r="T28" s="560"/>
      <c r="U28" s="560"/>
      <c r="V28" s="560"/>
      <c r="W28" s="560"/>
      <c r="X28" s="560"/>
      <c r="Y28" s="560"/>
      <c r="Z28" s="560"/>
      <c r="AA28" s="560"/>
      <c r="AB28" s="560"/>
      <c r="AC28" s="560"/>
      <c r="AD28" s="560"/>
      <c r="AE28" s="560"/>
      <c r="AF28" s="560"/>
      <c r="AG28" s="560"/>
      <c r="AH28" s="560"/>
      <c r="AI28" s="560"/>
      <c r="AJ28" s="560"/>
      <c r="AK28" s="560"/>
      <c r="AL28" s="560"/>
      <c r="AM28" s="560"/>
      <c r="AN28" s="560"/>
      <c r="AO28" s="560"/>
      <c r="AP28" s="560"/>
      <c r="AQ28" s="560"/>
      <c r="AR28" s="560"/>
      <c r="AS28" s="560"/>
      <c r="AT28" s="560"/>
      <c r="AU28" s="560"/>
      <c r="AV28" s="560"/>
      <c r="AW28" s="560"/>
      <c r="AX28" s="560"/>
      <c r="AY28" s="560"/>
      <c r="AZ28" s="560"/>
      <c r="BA28" s="560"/>
      <c r="BB28" s="560"/>
      <c r="BC28" s="560"/>
      <c r="BD28" s="560"/>
      <c r="BE28" s="560"/>
      <c r="BF28" s="560"/>
      <c r="BG28" s="560"/>
      <c r="BH28" s="560"/>
      <c r="BI28" s="560"/>
      <c r="BJ28" s="560"/>
      <c r="BK28" s="560"/>
      <c r="BL28" s="560"/>
      <c r="BM28" s="560"/>
      <c r="BN28" s="560"/>
      <c r="BO28" s="560"/>
      <c r="BP28" s="560"/>
      <c r="BQ28" s="560"/>
      <c r="BR28" s="560"/>
      <c r="BS28" s="560"/>
      <c r="BT28" s="560"/>
      <c r="BU28" s="560"/>
      <c r="BV28" s="560"/>
      <c r="BW28" s="560"/>
      <c r="BX28" s="560"/>
      <c r="BY28" s="560"/>
      <c r="BZ28" s="560"/>
      <c r="CA28" s="560"/>
      <c r="CB28" s="560"/>
      <c r="CC28" s="560"/>
      <c r="CD28" s="560"/>
      <c r="CE28" s="560"/>
      <c r="CF28" s="560"/>
      <c r="CG28" s="560"/>
      <c r="CH28" s="560"/>
      <c r="CI28" s="560"/>
      <c r="CJ28" s="560"/>
      <c r="CK28" s="560"/>
      <c r="CL28" s="560"/>
      <c r="CM28" s="560"/>
      <c r="CN28" s="560"/>
      <c r="CO28" s="560"/>
      <c r="CP28" s="560"/>
      <c r="CQ28" s="560"/>
      <c r="CR28" s="560"/>
      <c r="CS28" s="560"/>
      <c r="CT28" s="560"/>
      <c r="CU28" s="560"/>
      <c r="CV28" s="560"/>
      <c r="CW28" s="560"/>
      <c r="CX28" s="560"/>
      <c r="CY28" s="560"/>
      <c r="CZ28" s="560"/>
      <c r="DA28" s="560"/>
      <c r="DB28" s="560"/>
      <c r="DC28" s="560"/>
      <c r="DD28" s="560"/>
      <c r="DE28" s="560"/>
      <c r="DF28" s="560"/>
      <c r="DG28" s="560"/>
      <c r="DH28" s="560"/>
      <c r="DI28" s="560"/>
      <c r="DJ28" s="560"/>
      <c r="DK28" s="560"/>
      <c r="DL28" s="560"/>
      <c r="DM28" s="560"/>
      <c r="DN28" s="560"/>
      <c r="DO28" s="560"/>
      <c r="DP28" s="560"/>
      <c r="DQ28" s="560"/>
      <c r="DR28" s="560"/>
      <c r="DS28" s="560"/>
      <c r="DT28" s="560"/>
      <c r="DU28" s="560"/>
      <c r="DV28" s="560"/>
      <c r="DW28" s="560"/>
      <c r="DX28" s="560"/>
      <c r="DY28" s="560"/>
      <c r="DZ28" s="560"/>
      <c r="EA28" s="560"/>
      <c r="EB28" s="560"/>
      <c r="EC28" s="560"/>
      <c r="ED28" s="560"/>
      <c r="EE28" s="560"/>
      <c r="EF28" s="560"/>
      <c r="EG28" s="560"/>
      <c r="EH28" s="560"/>
      <c r="EI28" s="560"/>
      <c r="EJ28" s="560"/>
      <c r="EK28" s="560"/>
      <c r="EL28" s="560"/>
      <c r="EM28" s="560"/>
      <c r="EN28" s="560"/>
      <c r="EO28" s="560"/>
      <c r="EP28" s="560"/>
      <c r="EQ28" s="560"/>
      <c r="ER28" s="560"/>
      <c r="ES28" s="560"/>
      <c r="ET28" s="560"/>
      <c r="EU28" s="560"/>
      <c r="EV28" s="560"/>
      <c r="EW28" s="560"/>
      <c r="EX28" s="560"/>
      <c r="EY28" s="560"/>
      <c r="EZ28" s="560"/>
      <c r="FA28" s="560"/>
      <c r="FB28" s="560"/>
      <c r="FC28" s="560"/>
      <c r="FD28" s="560"/>
      <c r="FE28" s="560"/>
      <c r="FF28" s="560"/>
      <c r="FG28" s="560"/>
      <c r="FH28" s="560"/>
      <c r="FI28" s="560"/>
    </row>
    <row r="29" spans="1:237" ht="129" customHeight="1" thickTop="1" x14ac:dyDescent="0.2">
      <c r="A29" s="1121" t="s">
        <v>25</v>
      </c>
      <c r="B29" s="1112" t="s">
        <v>62</v>
      </c>
      <c r="C29" s="1113" t="s">
        <v>63</v>
      </c>
      <c r="D29" s="1113"/>
      <c r="E29" s="1113"/>
      <c r="F29" s="1113"/>
      <c r="G29" s="1113"/>
      <c r="H29" s="1113"/>
      <c r="I29" s="1113"/>
      <c r="J29" s="1113"/>
      <c r="K29" s="1113"/>
      <c r="L29" s="1113"/>
      <c r="M29" s="1113"/>
      <c r="N29" s="1113"/>
      <c r="O29" s="1113"/>
      <c r="P29" s="1113"/>
      <c r="Q29" s="1113"/>
      <c r="R29" s="1113"/>
      <c r="S29" s="1113"/>
      <c r="T29" s="1113"/>
      <c r="U29" s="1113"/>
      <c r="V29" s="1113"/>
      <c r="W29" s="1113"/>
      <c r="X29" s="1113"/>
      <c r="Y29" s="1113"/>
      <c r="Z29" s="1114" t="s">
        <v>64</v>
      </c>
      <c r="AA29" s="1115"/>
      <c r="AB29" s="1115"/>
      <c r="AC29" s="1115"/>
      <c r="AD29" s="1115"/>
      <c r="AE29" s="1115"/>
      <c r="AF29" s="1115"/>
      <c r="AG29" s="1115"/>
      <c r="AH29" s="1115"/>
      <c r="AI29" s="1115"/>
      <c r="AJ29" s="1115"/>
      <c r="AK29" s="1115"/>
      <c r="AL29" s="1115"/>
      <c r="AM29" s="1115"/>
      <c r="AN29" s="1115"/>
      <c r="AO29" s="1115"/>
      <c r="AP29" s="1115"/>
      <c r="AQ29" s="1115"/>
      <c r="AR29" s="1115"/>
      <c r="AS29" s="1115"/>
      <c r="AT29" s="1115"/>
      <c r="AU29" s="1115"/>
      <c r="AV29" s="1115"/>
      <c r="AW29" s="1115"/>
      <c r="AX29" s="1115"/>
      <c r="AY29" s="1115"/>
      <c r="AZ29" s="1115"/>
      <c r="BA29" s="1115"/>
      <c r="BB29" s="1115"/>
      <c r="BC29" s="1115"/>
      <c r="BD29" s="1115"/>
      <c r="BE29" s="1115"/>
      <c r="BF29" s="1115"/>
      <c r="BG29" s="1115"/>
      <c r="BH29" s="1115"/>
      <c r="BI29" s="1115"/>
      <c r="BJ29" s="1115"/>
      <c r="BK29" s="1115"/>
      <c r="BL29" s="1115"/>
      <c r="BM29" s="1115"/>
      <c r="BN29" s="1116"/>
      <c r="BO29" s="1116"/>
      <c r="BP29" s="1116"/>
      <c r="BQ29" s="1116"/>
      <c r="BR29" s="1117"/>
      <c r="BS29" s="1118" t="s">
        <v>30</v>
      </c>
      <c r="BT29" s="1119"/>
      <c r="BU29" s="1119"/>
      <c r="BV29" s="1119"/>
      <c r="BW29" s="1119"/>
      <c r="BX29" s="1119"/>
      <c r="BY29" s="1119"/>
      <c r="BZ29" s="1119"/>
      <c r="CA29" s="1119"/>
      <c r="CB29" s="1119"/>
      <c r="CC29" s="1119"/>
      <c r="CD29" s="1119"/>
      <c r="CE29" s="1119"/>
      <c r="CF29" s="1119"/>
      <c r="CG29" s="1119"/>
      <c r="CH29" s="1119"/>
      <c r="CI29" s="1119"/>
      <c r="CJ29" s="1119"/>
      <c r="CK29" s="1119"/>
      <c r="CL29" s="1119"/>
      <c r="CM29" s="1119"/>
      <c r="CN29" s="1119"/>
      <c r="CO29" s="1119"/>
      <c r="CP29" s="1119"/>
      <c r="CQ29" s="1119"/>
      <c r="CR29" s="1119"/>
      <c r="CS29" s="1119"/>
      <c r="CT29" s="1119"/>
      <c r="CU29" s="1119"/>
      <c r="CV29" s="1119"/>
      <c r="CW29" s="1119"/>
      <c r="CX29" s="1119"/>
      <c r="CY29" s="1119"/>
      <c r="CZ29" s="1119"/>
      <c r="DA29" s="1119"/>
      <c r="DB29" s="1119"/>
      <c r="DC29" s="1119"/>
      <c r="DD29" s="1119"/>
      <c r="DE29" s="1119"/>
      <c r="DF29" s="1119"/>
      <c r="DG29" s="1119"/>
      <c r="DH29" s="1119"/>
      <c r="DI29" s="1119"/>
      <c r="DJ29" s="1119"/>
      <c r="DK29" s="1120"/>
      <c r="DL29" s="1118" t="s">
        <v>31</v>
      </c>
      <c r="DM29" s="1119"/>
      <c r="DN29" s="1119"/>
      <c r="DO29" s="1119"/>
      <c r="DP29" s="1119"/>
      <c r="DQ29" s="1119"/>
      <c r="DR29" s="1119"/>
      <c r="DS29" s="1119"/>
      <c r="DT29" s="1119"/>
      <c r="DU29" s="1119"/>
      <c r="DV29" s="1119"/>
      <c r="DW29" s="1119"/>
      <c r="DX29" s="1119"/>
      <c r="DY29" s="1119"/>
      <c r="DZ29" s="1119"/>
      <c r="EA29" s="1119"/>
      <c r="EB29" s="1119"/>
      <c r="EC29" s="1119"/>
      <c r="ED29" s="1119"/>
      <c r="EE29" s="1119"/>
      <c r="EF29" s="1119"/>
      <c r="EG29" s="1119"/>
      <c r="EH29" s="1119"/>
      <c r="EI29" s="1119"/>
      <c r="EJ29" s="1119"/>
      <c r="EK29" s="1119"/>
      <c r="EL29" s="1119"/>
      <c r="EM29" s="1119"/>
      <c r="EN29" s="1119"/>
      <c r="EO29" s="1119"/>
      <c r="EP29" s="1119"/>
      <c r="EQ29" s="1119"/>
      <c r="ER29" s="1119"/>
      <c r="ES29" s="1119"/>
      <c r="ET29" s="1119"/>
      <c r="EU29" s="1119"/>
      <c r="EV29" s="1119"/>
      <c r="EW29" s="1119"/>
      <c r="EX29" s="1119"/>
      <c r="EY29" s="1119"/>
      <c r="EZ29" s="1119"/>
      <c r="FA29" s="1119"/>
      <c r="FB29" s="1119"/>
      <c r="FC29" s="1119"/>
      <c r="FD29" s="1120"/>
      <c r="FE29" s="1124" t="s">
        <v>36</v>
      </c>
      <c r="FF29" s="1125"/>
      <c r="FG29" s="1125"/>
      <c r="FH29" s="1126"/>
      <c r="FI29" s="1127"/>
    </row>
    <row r="30" spans="1:237" ht="80.25" customHeight="1" x14ac:dyDescent="0.2">
      <c r="A30" s="1122"/>
      <c r="B30" s="491"/>
      <c r="C30" s="482"/>
      <c r="D30" s="482"/>
      <c r="E30" s="482"/>
      <c r="F30" s="482"/>
      <c r="G30" s="482"/>
      <c r="H30" s="482"/>
      <c r="I30" s="482"/>
      <c r="J30" s="482"/>
      <c r="K30" s="482"/>
      <c r="L30" s="482"/>
      <c r="M30" s="482"/>
      <c r="N30" s="482"/>
      <c r="O30" s="482"/>
      <c r="P30" s="482"/>
      <c r="Q30" s="482"/>
      <c r="R30" s="482"/>
      <c r="S30" s="482"/>
      <c r="T30" s="482"/>
      <c r="U30" s="482"/>
      <c r="V30" s="482"/>
      <c r="W30" s="482"/>
      <c r="X30" s="482"/>
      <c r="Y30" s="482"/>
      <c r="Z30" s="495" t="s">
        <v>65</v>
      </c>
      <c r="AA30" s="324"/>
      <c r="AB30" s="324"/>
      <c r="AC30" s="324"/>
      <c r="AD30" s="324"/>
      <c r="AE30" s="324"/>
      <c r="AF30" s="324"/>
      <c r="AG30" s="324"/>
      <c r="AH30" s="324"/>
      <c r="AI30" s="532"/>
      <c r="AJ30" s="495" t="s">
        <v>66</v>
      </c>
      <c r="AK30" s="324"/>
      <c r="AL30" s="324"/>
      <c r="AM30" s="324"/>
      <c r="AN30" s="324"/>
      <c r="AO30" s="324"/>
      <c r="AP30" s="324"/>
      <c r="AQ30" s="324"/>
      <c r="AR30" s="324"/>
      <c r="AS30" s="324"/>
      <c r="AT30" s="324"/>
      <c r="AU30" s="324"/>
      <c r="AV30" s="324"/>
      <c r="AW30" s="324"/>
      <c r="AX30" s="324"/>
      <c r="AY30" s="324"/>
      <c r="AZ30" s="324"/>
      <c r="BA30" s="324"/>
      <c r="BB30" s="324"/>
      <c r="BC30" s="324"/>
      <c r="BD30" s="324"/>
      <c r="BE30" s="324"/>
      <c r="BF30" s="324"/>
      <c r="BG30" s="324"/>
      <c r="BH30" s="324"/>
      <c r="BI30" s="324"/>
      <c r="BJ30" s="324"/>
      <c r="BK30" s="324"/>
      <c r="BL30" s="324"/>
      <c r="BM30" s="324"/>
      <c r="BN30" s="513" t="s">
        <v>26</v>
      </c>
      <c r="BO30" s="513"/>
      <c r="BP30" s="513"/>
      <c r="BQ30" s="514"/>
      <c r="BR30" s="1111"/>
      <c r="BS30" s="1107" t="s">
        <v>27</v>
      </c>
      <c r="BT30" s="483"/>
      <c r="BU30" s="483"/>
      <c r="BV30" s="483"/>
      <c r="BW30" s="483"/>
      <c r="BX30" s="483"/>
      <c r="BY30" s="483"/>
      <c r="BZ30" s="483"/>
      <c r="CA30" s="483"/>
      <c r="CB30" s="483"/>
      <c r="CC30" s="483" t="s">
        <v>28</v>
      </c>
      <c r="CD30" s="483"/>
      <c r="CE30" s="483"/>
      <c r="CF30" s="483"/>
      <c r="CG30" s="483"/>
      <c r="CH30" s="483"/>
      <c r="CI30" s="483"/>
      <c r="CJ30" s="483"/>
      <c r="CK30" s="483"/>
      <c r="CL30" s="483"/>
      <c r="CM30" s="483" t="s">
        <v>29</v>
      </c>
      <c r="CN30" s="483"/>
      <c r="CO30" s="483"/>
      <c r="CP30" s="483"/>
      <c r="CQ30" s="483"/>
      <c r="CR30" s="483"/>
      <c r="CS30" s="483"/>
      <c r="CT30" s="483"/>
      <c r="CU30" s="483"/>
      <c r="CV30" s="483"/>
      <c r="CW30" s="483" t="s">
        <v>72</v>
      </c>
      <c r="CX30" s="483"/>
      <c r="CY30" s="483"/>
      <c r="CZ30" s="483"/>
      <c r="DA30" s="483"/>
      <c r="DB30" s="483"/>
      <c r="DC30" s="483"/>
      <c r="DD30" s="483"/>
      <c r="DE30" s="483"/>
      <c r="DF30" s="483"/>
      <c r="DG30" s="483" t="s">
        <v>118</v>
      </c>
      <c r="DH30" s="483"/>
      <c r="DI30" s="483"/>
      <c r="DJ30" s="483"/>
      <c r="DK30" s="1108"/>
      <c r="DL30" s="1107" t="s">
        <v>27</v>
      </c>
      <c r="DM30" s="483"/>
      <c r="DN30" s="483"/>
      <c r="DO30" s="483"/>
      <c r="DP30" s="483"/>
      <c r="DQ30" s="483"/>
      <c r="DR30" s="483"/>
      <c r="DS30" s="483"/>
      <c r="DT30" s="483"/>
      <c r="DU30" s="483"/>
      <c r="DV30" s="483" t="s">
        <v>28</v>
      </c>
      <c r="DW30" s="483"/>
      <c r="DX30" s="483"/>
      <c r="DY30" s="483"/>
      <c r="DZ30" s="483"/>
      <c r="EA30" s="483"/>
      <c r="EB30" s="483"/>
      <c r="EC30" s="483"/>
      <c r="ED30" s="483"/>
      <c r="EE30" s="483"/>
      <c r="EF30" s="483" t="s">
        <v>29</v>
      </c>
      <c r="EG30" s="483"/>
      <c r="EH30" s="483"/>
      <c r="EI30" s="483"/>
      <c r="EJ30" s="483"/>
      <c r="EK30" s="483"/>
      <c r="EL30" s="483"/>
      <c r="EM30" s="483"/>
      <c r="EN30" s="483"/>
      <c r="EO30" s="483"/>
      <c r="EP30" s="483" t="s">
        <v>72</v>
      </c>
      <c r="EQ30" s="483"/>
      <c r="ER30" s="483"/>
      <c r="ES30" s="483"/>
      <c r="ET30" s="483"/>
      <c r="EU30" s="483"/>
      <c r="EV30" s="483"/>
      <c r="EW30" s="483"/>
      <c r="EX30" s="483"/>
      <c r="EY30" s="483"/>
      <c r="EZ30" s="1109" t="s">
        <v>118</v>
      </c>
      <c r="FA30" s="1109"/>
      <c r="FB30" s="1109"/>
      <c r="FC30" s="1109"/>
      <c r="FD30" s="1110"/>
      <c r="FE30" s="1128"/>
      <c r="FF30" s="512"/>
      <c r="FG30" s="512"/>
      <c r="FH30" s="513"/>
      <c r="FI30" s="1111"/>
    </row>
    <row r="31" spans="1:237" ht="60.75" x14ac:dyDescent="0.2">
      <c r="A31" s="1122"/>
      <c r="B31" s="491"/>
      <c r="C31" s="482"/>
      <c r="D31" s="482"/>
      <c r="E31" s="482"/>
      <c r="F31" s="482"/>
      <c r="G31" s="482"/>
      <c r="H31" s="482"/>
      <c r="I31" s="482"/>
      <c r="J31" s="482"/>
      <c r="K31" s="482"/>
      <c r="L31" s="482"/>
      <c r="M31" s="482"/>
      <c r="N31" s="482"/>
      <c r="O31" s="482"/>
      <c r="P31" s="482"/>
      <c r="Q31" s="482"/>
      <c r="R31" s="482"/>
      <c r="S31" s="482"/>
      <c r="T31" s="482"/>
      <c r="U31" s="482"/>
      <c r="V31" s="482"/>
      <c r="W31" s="482"/>
      <c r="X31" s="482"/>
      <c r="Y31" s="482"/>
      <c r="Z31" s="533"/>
      <c r="AA31" s="525"/>
      <c r="AB31" s="525"/>
      <c r="AC31" s="525"/>
      <c r="AD31" s="525"/>
      <c r="AE31" s="525"/>
      <c r="AF31" s="525"/>
      <c r="AG31" s="525"/>
      <c r="AH31" s="525"/>
      <c r="AI31" s="534"/>
      <c r="AJ31" s="496" t="s">
        <v>20</v>
      </c>
      <c r="AK31" s="497"/>
      <c r="AL31" s="497"/>
      <c r="AM31" s="497"/>
      <c r="AN31" s="498"/>
      <c r="AO31" s="496" t="s">
        <v>67</v>
      </c>
      <c r="AP31" s="497"/>
      <c r="AQ31" s="497"/>
      <c r="AR31" s="497"/>
      <c r="AS31" s="498"/>
      <c r="AT31" s="496" t="s">
        <v>68</v>
      </c>
      <c r="AU31" s="497"/>
      <c r="AV31" s="497"/>
      <c r="AW31" s="497"/>
      <c r="AX31" s="498"/>
      <c r="AY31" s="496" t="s">
        <v>69</v>
      </c>
      <c r="AZ31" s="497"/>
      <c r="BA31" s="497"/>
      <c r="BB31" s="497"/>
      <c r="BC31" s="498"/>
      <c r="BD31" s="496" t="s">
        <v>70</v>
      </c>
      <c r="BE31" s="497"/>
      <c r="BF31" s="497"/>
      <c r="BG31" s="497"/>
      <c r="BH31" s="498"/>
      <c r="BI31" s="496" t="s">
        <v>71</v>
      </c>
      <c r="BJ31" s="497"/>
      <c r="BK31" s="497"/>
      <c r="BL31" s="497"/>
      <c r="BM31" s="497"/>
      <c r="BN31" s="513"/>
      <c r="BO31" s="513"/>
      <c r="BP31" s="513"/>
      <c r="BQ31" s="514"/>
      <c r="BR31" s="1111"/>
      <c r="BS31" s="1107" t="s">
        <v>32</v>
      </c>
      <c r="BT31" s="483"/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  <c r="CI31" s="483"/>
      <c r="CJ31" s="483"/>
      <c r="CK31" s="483"/>
      <c r="CL31" s="483"/>
      <c r="CM31" s="483"/>
      <c r="CN31" s="483"/>
      <c r="CO31" s="483"/>
      <c r="CP31" s="483"/>
      <c r="CQ31" s="483"/>
      <c r="CR31" s="483"/>
      <c r="CS31" s="483"/>
      <c r="CT31" s="483"/>
      <c r="CU31" s="483"/>
      <c r="CV31" s="483"/>
      <c r="CW31" s="483"/>
      <c r="CX31" s="483"/>
      <c r="CY31" s="483"/>
      <c r="CZ31" s="483"/>
      <c r="DA31" s="483"/>
      <c r="DB31" s="483"/>
      <c r="DC31" s="483"/>
      <c r="DD31" s="483"/>
      <c r="DE31" s="483"/>
      <c r="DF31" s="483"/>
      <c r="DG31" s="483"/>
      <c r="DH31" s="483"/>
      <c r="DI31" s="483"/>
      <c r="DJ31" s="483"/>
      <c r="DK31" s="1108"/>
      <c r="DL31" s="1107" t="s">
        <v>32</v>
      </c>
      <c r="DM31" s="483"/>
      <c r="DN31" s="483"/>
      <c r="DO31" s="483"/>
      <c r="DP31" s="483"/>
      <c r="DQ31" s="483"/>
      <c r="DR31" s="483"/>
      <c r="DS31" s="483"/>
      <c r="DT31" s="483"/>
      <c r="DU31" s="483"/>
      <c r="DV31" s="483"/>
      <c r="DW31" s="483"/>
      <c r="DX31" s="483"/>
      <c r="DY31" s="483"/>
      <c r="DZ31" s="483"/>
      <c r="EA31" s="483"/>
      <c r="EB31" s="483"/>
      <c r="EC31" s="483"/>
      <c r="ED31" s="483"/>
      <c r="EE31" s="483"/>
      <c r="EF31" s="483"/>
      <c r="EG31" s="483"/>
      <c r="EH31" s="483"/>
      <c r="EI31" s="483"/>
      <c r="EJ31" s="483"/>
      <c r="EK31" s="483"/>
      <c r="EL31" s="483"/>
      <c r="EM31" s="483"/>
      <c r="EN31" s="483"/>
      <c r="EO31" s="483"/>
      <c r="EP31" s="483"/>
      <c r="EQ31" s="483"/>
      <c r="ER31" s="483"/>
      <c r="ES31" s="483"/>
      <c r="ET31" s="483"/>
      <c r="EU31" s="483"/>
      <c r="EV31" s="483"/>
      <c r="EW31" s="483"/>
      <c r="EX31" s="483"/>
      <c r="EY31" s="483"/>
      <c r="EZ31" s="483"/>
      <c r="FA31" s="483"/>
      <c r="FB31" s="483"/>
      <c r="FC31" s="483"/>
      <c r="FD31" s="1108"/>
      <c r="FE31" s="1128"/>
      <c r="FF31" s="512"/>
      <c r="FG31" s="512"/>
      <c r="FH31" s="513"/>
      <c r="FI31" s="1111"/>
    </row>
    <row r="32" spans="1:237" ht="60.75" x14ac:dyDescent="0.2">
      <c r="A32" s="1122"/>
      <c r="B32" s="491"/>
      <c r="C32" s="482"/>
      <c r="D32" s="482"/>
      <c r="E32" s="482"/>
      <c r="F32" s="482"/>
      <c r="G32" s="482"/>
      <c r="H32" s="482"/>
      <c r="I32" s="482"/>
      <c r="J32" s="482"/>
      <c r="K32" s="482"/>
      <c r="L32" s="482"/>
      <c r="M32" s="482"/>
      <c r="N32" s="482"/>
      <c r="O32" s="482"/>
      <c r="P32" s="482"/>
      <c r="Q32" s="482"/>
      <c r="R32" s="482"/>
      <c r="S32" s="482"/>
      <c r="T32" s="482"/>
      <c r="U32" s="482"/>
      <c r="V32" s="482"/>
      <c r="W32" s="482"/>
      <c r="X32" s="482"/>
      <c r="Y32" s="482"/>
      <c r="Z32" s="533"/>
      <c r="AA32" s="525"/>
      <c r="AB32" s="525"/>
      <c r="AC32" s="525"/>
      <c r="AD32" s="525"/>
      <c r="AE32" s="525"/>
      <c r="AF32" s="525"/>
      <c r="AG32" s="525"/>
      <c r="AH32" s="525"/>
      <c r="AI32" s="534"/>
      <c r="AJ32" s="499"/>
      <c r="AK32" s="500"/>
      <c r="AL32" s="500"/>
      <c r="AM32" s="500"/>
      <c r="AN32" s="501"/>
      <c r="AO32" s="499"/>
      <c r="AP32" s="500"/>
      <c r="AQ32" s="500"/>
      <c r="AR32" s="500"/>
      <c r="AS32" s="501"/>
      <c r="AT32" s="499"/>
      <c r="AU32" s="500"/>
      <c r="AV32" s="500"/>
      <c r="AW32" s="500"/>
      <c r="AX32" s="501"/>
      <c r="AY32" s="499"/>
      <c r="AZ32" s="500"/>
      <c r="BA32" s="500"/>
      <c r="BB32" s="500"/>
      <c r="BC32" s="501"/>
      <c r="BD32" s="499"/>
      <c r="BE32" s="500"/>
      <c r="BF32" s="500"/>
      <c r="BG32" s="500"/>
      <c r="BH32" s="501"/>
      <c r="BI32" s="499"/>
      <c r="BJ32" s="500"/>
      <c r="BK32" s="500"/>
      <c r="BL32" s="500"/>
      <c r="BM32" s="500"/>
      <c r="BN32" s="513"/>
      <c r="BO32" s="513"/>
      <c r="BP32" s="513"/>
      <c r="BQ32" s="514"/>
      <c r="BR32" s="1111"/>
      <c r="BS32" s="1107">
        <v>30</v>
      </c>
      <c r="BT32" s="483"/>
      <c r="BU32" s="483"/>
      <c r="BV32" s="483"/>
      <c r="BW32" s="483"/>
      <c r="BX32" s="483"/>
      <c r="BY32" s="483"/>
      <c r="BZ32" s="483"/>
      <c r="CA32" s="483"/>
      <c r="CB32" s="483"/>
      <c r="CC32" s="483">
        <v>30</v>
      </c>
      <c r="CD32" s="483"/>
      <c r="CE32" s="483"/>
      <c r="CF32" s="483"/>
      <c r="CG32" s="483"/>
      <c r="CH32" s="483"/>
      <c r="CI32" s="483"/>
      <c r="CJ32" s="483"/>
      <c r="CK32" s="483"/>
      <c r="CL32" s="483"/>
      <c r="CM32" s="483">
        <v>30</v>
      </c>
      <c r="CN32" s="483"/>
      <c r="CO32" s="483"/>
      <c r="CP32" s="483"/>
      <c r="CQ32" s="483"/>
      <c r="CR32" s="483"/>
      <c r="CS32" s="483"/>
      <c r="CT32" s="483"/>
      <c r="CU32" s="483"/>
      <c r="CV32" s="483"/>
      <c r="CW32" s="483">
        <v>30</v>
      </c>
      <c r="CX32" s="483"/>
      <c r="CY32" s="483"/>
      <c r="CZ32" s="483"/>
      <c r="DA32" s="483"/>
      <c r="DB32" s="483"/>
      <c r="DC32" s="483"/>
      <c r="DD32" s="483"/>
      <c r="DE32" s="483"/>
      <c r="DF32" s="483"/>
      <c r="DG32" s="483">
        <v>15</v>
      </c>
      <c r="DH32" s="483"/>
      <c r="DI32" s="483"/>
      <c r="DJ32" s="483"/>
      <c r="DK32" s="1108"/>
      <c r="DL32" s="1107">
        <v>30</v>
      </c>
      <c r="DM32" s="483"/>
      <c r="DN32" s="483"/>
      <c r="DO32" s="483"/>
      <c r="DP32" s="483"/>
      <c r="DQ32" s="483"/>
      <c r="DR32" s="483"/>
      <c r="DS32" s="483"/>
      <c r="DT32" s="483"/>
      <c r="DU32" s="483"/>
      <c r="DV32" s="483">
        <v>30</v>
      </c>
      <c r="DW32" s="483"/>
      <c r="DX32" s="483"/>
      <c r="DY32" s="483"/>
      <c r="DZ32" s="483"/>
      <c r="EA32" s="483"/>
      <c r="EB32" s="483"/>
      <c r="EC32" s="483"/>
      <c r="ED32" s="483"/>
      <c r="EE32" s="483"/>
      <c r="EF32" s="483">
        <v>30</v>
      </c>
      <c r="EG32" s="483"/>
      <c r="EH32" s="483"/>
      <c r="EI32" s="483"/>
      <c r="EJ32" s="483"/>
      <c r="EK32" s="483"/>
      <c r="EL32" s="483"/>
      <c r="EM32" s="483"/>
      <c r="EN32" s="483"/>
      <c r="EO32" s="483"/>
      <c r="EP32" s="483">
        <v>30</v>
      </c>
      <c r="EQ32" s="483"/>
      <c r="ER32" s="483"/>
      <c r="ES32" s="483"/>
      <c r="ET32" s="483"/>
      <c r="EU32" s="483"/>
      <c r="EV32" s="483"/>
      <c r="EW32" s="483"/>
      <c r="EX32" s="483"/>
      <c r="EY32" s="483"/>
      <c r="EZ32" s="483">
        <v>15</v>
      </c>
      <c r="FA32" s="483"/>
      <c r="FB32" s="483"/>
      <c r="FC32" s="483"/>
      <c r="FD32" s="1108"/>
      <c r="FE32" s="1128"/>
      <c r="FF32" s="512"/>
      <c r="FG32" s="512"/>
      <c r="FH32" s="513"/>
      <c r="FI32" s="1111"/>
    </row>
    <row r="33" spans="1:165" ht="60.75" x14ac:dyDescent="0.2">
      <c r="A33" s="1122"/>
      <c r="B33" s="491"/>
      <c r="C33" s="482"/>
      <c r="D33" s="482"/>
      <c r="E33" s="482"/>
      <c r="F33" s="482"/>
      <c r="G33" s="482"/>
      <c r="H33" s="482"/>
      <c r="I33" s="482"/>
      <c r="J33" s="482"/>
      <c r="K33" s="482"/>
      <c r="L33" s="482"/>
      <c r="M33" s="482"/>
      <c r="N33" s="482"/>
      <c r="O33" s="482"/>
      <c r="P33" s="482"/>
      <c r="Q33" s="482"/>
      <c r="R33" s="482"/>
      <c r="S33" s="482"/>
      <c r="T33" s="482"/>
      <c r="U33" s="482"/>
      <c r="V33" s="482"/>
      <c r="W33" s="482"/>
      <c r="X33" s="482"/>
      <c r="Y33" s="482"/>
      <c r="Z33" s="533"/>
      <c r="AA33" s="525"/>
      <c r="AB33" s="525"/>
      <c r="AC33" s="525"/>
      <c r="AD33" s="525"/>
      <c r="AE33" s="525"/>
      <c r="AF33" s="525"/>
      <c r="AG33" s="525"/>
      <c r="AH33" s="525"/>
      <c r="AI33" s="534"/>
      <c r="AJ33" s="499"/>
      <c r="AK33" s="500"/>
      <c r="AL33" s="500"/>
      <c r="AM33" s="500"/>
      <c r="AN33" s="501"/>
      <c r="AO33" s="499"/>
      <c r="AP33" s="500"/>
      <c r="AQ33" s="500"/>
      <c r="AR33" s="500"/>
      <c r="AS33" s="501"/>
      <c r="AT33" s="499"/>
      <c r="AU33" s="500"/>
      <c r="AV33" s="500"/>
      <c r="AW33" s="500"/>
      <c r="AX33" s="501"/>
      <c r="AY33" s="499"/>
      <c r="AZ33" s="500"/>
      <c r="BA33" s="500"/>
      <c r="BB33" s="500"/>
      <c r="BC33" s="501"/>
      <c r="BD33" s="499"/>
      <c r="BE33" s="500"/>
      <c r="BF33" s="500"/>
      <c r="BG33" s="500"/>
      <c r="BH33" s="501"/>
      <c r="BI33" s="499"/>
      <c r="BJ33" s="500"/>
      <c r="BK33" s="500"/>
      <c r="BL33" s="500"/>
      <c r="BM33" s="500"/>
      <c r="BN33" s="513"/>
      <c r="BO33" s="513"/>
      <c r="BP33" s="513"/>
      <c r="BQ33" s="514"/>
      <c r="BR33" s="1111"/>
      <c r="BS33" s="1107" t="s">
        <v>33</v>
      </c>
      <c r="BT33" s="483"/>
      <c r="BU33" s="483"/>
      <c r="BV33" s="483"/>
      <c r="BW33" s="483"/>
      <c r="BX33" s="483"/>
      <c r="BY33" s="483"/>
      <c r="BZ33" s="483"/>
      <c r="CA33" s="483"/>
      <c r="CB33" s="483"/>
      <c r="CC33" s="483"/>
      <c r="CD33" s="483"/>
      <c r="CE33" s="483"/>
      <c r="CF33" s="483"/>
      <c r="CG33" s="483"/>
      <c r="CH33" s="483"/>
      <c r="CI33" s="483"/>
      <c r="CJ33" s="483"/>
      <c r="CK33" s="483"/>
      <c r="CL33" s="483"/>
      <c r="CM33" s="483"/>
      <c r="CN33" s="483"/>
      <c r="CO33" s="483"/>
      <c r="CP33" s="483"/>
      <c r="CQ33" s="483"/>
      <c r="CR33" s="483"/>
      <c r="CS33" s="483"/>
      <c r="CT33" s="483"/>
      <c r="CU33" s="483"/>
      <c r="CV33" s="483"/>
      <c r="CW33" s="483"/>
      <c r="CX33" s="483"/>
      <c r="CY33" s="483"/>
      <c r="CZ33" s="483"/>
      <c r="DA33" s="483"/>
      <c r="DB33" s="483"/>
      <c r="DC33" s="483"/>
      <c r="DD33" s="483"/>
      <c r="DE33" s="483"/>
      <c r="DF33" s="483"/>
      <c r="DG33" s="483"/>
      <c r="DH33" s="483"/>
      <c r="DI33" s="483"/>
      <c r="DJ33" s="483"/>
      <c r="DK33" s="1108"/>
      <c r="DL33" s="1107" t="s">
        <v>33</v>
      </c>
      <c r="DM33" s="483"/>
      <c r="DN33" s="483"/>
      <c r="DO33" s="483"/>
      <c r="DP33" s="483"/>
      <c r="DQ33" s="483"/>
      <c r="DR33" s="483"/>
      <c r="DS33" s="483"/>
      <c r="DT33" s="483"/>
      <c r="DU33" s="483"/>
      <c r="DV33" s="483"/>
      <c r="DW33" s="483"/>
      <c r="DX33" s="483"/>
      <c r="DY33" s="483"/>
      <c r="DZ33" s="483"/>
      <c r="EA33" s="483"/>
      <c r="EB33" s="483"/>
      <c r="EC33" s="483"/>
      <c r="ED33" s="483"/>
      <c r="EE33" s="483"/>
      <c r="EF33" s="483"/>
      <c r="EG33" s="483"/>
      <c r="EH33" s="483"/>
      <c r="EI33" s="483"/>
      <c r="EJ33" s="483"/>
      <c r="EK33" s="483"/>
      <c r="EL33" s="483"/>
      <c r="EM33" s="483"/>
      <c r="EN33" s="483"/>
      <c r="EO33" s="483"/>
      <c r="EP33" s="483"/>
      <c r="EQ33" s="483"/>
      <c r="ER33" s="483"/>
      <c r="ES33" s="483"/>
      <c r="ET33" s="483"/>
      <c r="EU33" s="483"/>
      <c r="EV33" s="483"/>
      <c r="EW33" s="483"/>
      <c r="EX33" s="483"/>
      <c r="EY33" s="483"/>
      <c r="EZ33" s="483"/>
      <c r="FA33" s="483"/>
      <c r="FB33" s="483"/>
      <c r="FC33" s="483"/>
      <c r="FD33" s="1108"/>
      <c r="FE33" s="1128"/>
      <c r="FF33" s="512"/>
      <c r="FG33" s="512"/>
      <c r="FH33" s="513"/>
      <c r="FI33" s="1111"/>
    </row>
    <row r="34" spans="1:165" ht="60.75" x14ac:dyDescent="0.2">
      <c r="A34" s="1122"/>
      <c r="B34" s="491"/>
      <c r="C34" s="482"/>
      <c r="D34" s="482"/>
      <c r="E34" s="482"/>
      <c r="F34" s="482"/>
      <c r="G34" s="482"/>
      <c r="H34" s="482"/>
      <c r="I34" s="482"/>
      <c r="J34" s="482"/>
      <c r="K34" s="482"/>
      <c r="L34" s="482"/>
      <c r="M34" s="482"/>
      <c r="N34" s="482"/>
      <c r="O34" s="482"/>
      <c r="P34" s="482"/>
      <c r="Q34" s="482"/>
      <c r="R34" s="482"/>
      <c r="S34" s="482"/>
      <c r="T34" s="482"/>
      <c r="U34" s="482"/>
      <c r="V34" s="482"/>
      <c r="W34" s="482"/>
      <c r="X34" s="482"/>
      <c r="Y34" s="482"/>
      <c r="Z34" s="533"/>
      <c r="AA34" s="525"/>
      <c r="AB34" s="525"/>
      <c r="AC34" s="525"/>
      <c r="AD34" s="525"/>
      <c r="AE34" s="525"/>
      <c r="AF34" s="525"/>
      <c r="AG34" s="525"/>
      <c r="AH34" s="525"/>
      <c r="AI34" s="534"/>
      <c r="AJ34" s="499"/>
      <c r="AK34" s="500"/>
      <c r="AL34" s="500"/>
      <c r="AM34" s="500"/>
      <c r="AN34" s="501"/>
      <c r="AO34" s="499"/>
      <c r="AP34" s="500"/>
      <c r="AQ34" s="500"/>
      <c r="AR34" s="500"/>
      <c r="AS34" s="501"/>
      <c r="AT34" s="499"/>
      <c r="AU34" s="500"/>
      <c r="AV34" s="500"/>
      <c r="AW34" s="500"/>
      <c r="AX34" s="501"/>
      <c r="AY34" s="499"/>
      <c r="AZ34" s="500"/>
      <c r="BA34" s="500"/>
      <c r="BB34" s="500"/>
      <c r="BC34" s="501"/>
      <c r="BD34" s="499"/>
      <c r="BE34" s="500"/>
      <c r="BF34" s="500"/>
      <c r="BG34" s="500"/>
      <c r="BH34" s="501"/>
      <c r="BI34" s="499"/>
      <c r="BJ34" s="500"/>
      <c r="BK34" s="500"/>
      <c r="BL34" s="500"/>
      <c r="BM34" s="500"/>
      <c r="BN34" s="513"/>
      <c r="BO34" s="513"/>
      <c r="BP34" s="513"/>
      <c r="BQ34" s="514"/>
      <c r="BR34" s="1111"/>
      <c r="BS34" s="1107">
        <v>1</v>
      </c>
      <c r="BT34" s="483"/>
      <c r="BU34" s="483"/>
      <c r="BV34" s="483"/>
      <c r="BW34" s="483"/>
      <c r="BX34" s="483">
        <v>2</v>
      </c>
      <c r="BY34" s="483"/>
      <c r="BZ34" s="483"/>
      <c r="CA34" s="483"/>
      <c r="CB34" s="483"/>
      <c r="CC34" s="483">
        <v>3</v>
      </c>
      <c r="CD34" s="483"/>
      <c r="CE34" s="483"/>
      <c r="CF34" s="483"/>
      <c r="CG34" s="483"/>
      <c r="CH34" s="483">
        <v>4</v>
      </c>
      <c r="CI34" s="483"/>
      <c r="CJ34" s="483"/>
      <c r="CK34" s="483"/>
      <c r="CL34" s="483"/>
      <c r="CM34" s="483">
        <v>5</v>
      </c>
      <c r="CN34" s="483"/>
      <c r="CO34" s="483"/>
      <c r="CP34" s="483"/>
      <c r="CQ34" s="483"/>
      <c r="CR34" s="483">
        <v>6</v>
      </c>
      <c r="CS34" s="483"/>
      <c r="CT34" s="483"/>
      <c r="CU34" s="483"/>
      <c r="CV34" s="483"/>
      <c r="CW34" s="483">
        <v>7</v>
      </c>
      <c r="CX34" s="483"/>
      <c r="CY34" s="483"/>
      <c r="CZ34" s="483"/>
      <c r="DA34" s="483"/>
      <c r="DB34" s="483">
        <v>8</v>
      </c>
      <c r="DC34" s="483"/>
      <c r="DD34" s="483"/>
      <c r="DE34" s="483"/>
      <c r="DF34" s="483"/>
      <c r="DG34" s="483">
        <v>9</v>
      </c>
      <c r="DH34" s="483"/>
      <c r="DI34" s="483"/>
      <c r="DJ34" s="483"/>
      <c r="DK34" s="1108"/>
      <c r="DL34" s="1107">
        <v>1</v>
      </c>
      <c r="DM34" s="483"/>
      <c r="DN34" s="483"/>
      <c r="DO34" s="483"/>
      <c r="DP34" s="483"/>
      <c r="DQ34" s="483">
        <v>2</v>
      </c>
      <c r="DR34" s="483"/>
      <c r="DS34" s="483"/>
      <c r="DT34" s="483"/>
      <c r="DU34" s="483"/>
      <c r="DV34" s="483">
        <v>3</v>
      </c>
      <c r="DW34" s="483"/>
      <c r="DX34" s="483"/>
      <c r="DY34" s="483"/>
      <c r="DZ34" s="483"/>
      <c r="EA34" s="483">
        <v>4</v>
      </c>
      <c r="EB34" s="483"/>
      <c r="EC34" s="483"/>
      <c r="ED34" s="483"/>
      <c r="EE34" s="483"/>
      <c r="EF34" s="483">
        <v>5</v>
      </c>
      <c r="EG34" s="483"/>
      <c r="EH34" s="483"/>
      <c r="EI34" s="483"/>
      <c r="EJ34" s="483"/>
      <c r="EK34" s="483">
        <v>6</v>
      </c>
      <c r="EL34" s="483"/>
      <c r="EM34" s="483"/>
      <c r="EN34" s="483"/>
      <c r="EO34" s="483"/>
      <c r="EP34" s="483">
        <v>7</v>
      </c>
      <c r="EQ34" s="483"/>
      <c r="ER34" s="483"/>
      <c r="ES34" s="483"/>
      <c r="ET34" s="483"/>
      <c r="EU34" s="483">
        <v>8</v>
      </c>
      <c r="EV34" s="483"/>
      <c r="EW34" s="483"/>
      <c r="EX34" s="483"/>
      <c r="EY34" s="483"/>
      <c r="EZ34" s="483">
        <v>9</v>
      </c>
      <c r="FA34" s="483"/>
      <c r="FB34" s="483"/>
      <c r="FC34" s="483"/>
      <c r="FD34" s="1108"/>
      <c r="FE34" s="1128"/>
      <c r="FF34" s="512"/>
      <c r="FG34" s="512"/>
      <c r="FH34" s="513"/>
      <c r="FI34" s="1111"/>
    </row>
    <row r="35" spans="1:165" ht="60.75" x14ac:dyDescent="0.2">
      <c r="A35" s="1122"/>
      <c r="B35" s="491"/>
      <c r="C35" s="482"/>
      <c r="D35" s="482"/>
      <c r="E35" s="482"/>
      <c r="F35" s="482"/>
      <c r="G35" s="482"/>
      <c r="H35" s="482"/>
      <c r="I35" s="482"/>
      <c r="J35" s="482"/>
      <c r="K35" s="482"/>
      <c r="L35" s="482"/>
      <c r="M35" s="482"/>
      <c r="N35" s="482"/>
      <c r="O35" s="482"/>
      <c r="P35" s="482"/>
      <c r="Q35" s="482"/>
      <c r="R35" s="482"/>
      <c r="S35" s="482"/>
      <c r="T35" s="482"/>
      <c r="U35" s="482"/>
      <c r="V35" s="482"/>
      <c r="W35" s="482"/>
      <c r="X35" s="482"/>
      <c r="Y35" s="482"/>
      <c r="Z35" s="533"/>
      <c r="AA35" s="525"/>
      <c r="AB35" s="525"/>
      <c r="AC35" s="525"/>
      <c r="AD35" s="525"/>
      <c r="AE35" s="525"/>
      <c r="AF35" s="525"/>
      <c r="AG35" s="525"/>
      <c r="AH35" s="525"/>
      <c r="AI35" s="534"/>
      <c r="AJ35" s="499"/>
      <c r="AK35" s="500"/>
      <c r="AL35" s="500"/>
      <c r="AM35" s="500"/>
      <c r="AN35" s="501"/>
      <c r="AO35" s="499"/>
      <c r="AP35" s="500"/>
      <c r="AQ35" s="500"/>
      <c r="AR35" s="500"/>
      <c r="AS35" s="501"/>
      <c r="AT35" s="499"/>
      <c r="AU35" s="500"/>
      <c r="AV35" s="500"/>
      <c r="AW35" s="500"/>
      <c r="AX35" s="501"/>
      <c r="AY35" s="499"/>
      <c r="AZ35" s="500"/>
      <c r="BA35" s="500"/>
      <c r="BB35" s="500"/>
      <c r="BC35" s="501"/>
      <c r="BD35" s="499"/>
      <c r="BE35" s="500"/>
      <c r="BF35" s="500"/>
      <c r="BG35" s="500"/>
      <c r="BH35" s="501"/>
      <c r="BI35" s="499"/>
      <c r="BJ35" s="500"/>
      <c r="BK35" s="500"/>
      <c r="BL35" s="500"/>
      <c r="BM35" s="500"/>
      <c r="BN35" s="513"/>
      <c r="BO35" s="513"/>
      <c r="BP35" s="513"/>
      <c r="BQ35" s="514"/>
      <c r="BR35" s="1111"/>
      <c r="BS35" s="1107" t="s">
        <v>34</v>
      </c>
      <c r="BT35" s="483"/>
      <c r="BU35" s="483"/>
      <c r="BV35" s="483"/>
      <c r="BW35" s="483"/>
      <c r="BX35" s="483"/>
      <c r="BY35" s="483"/>
      <c r="BZ35" s="483"/>
      <c r="CA35" s="483"/>
      <c r="CB35" s="483"/>
      <c r="CC35" s="483"/>
      <c r="CD35" s="483"/>
      <c r="CE35" s="483"/>
      <c r="CF35" s="483"/>
      <c r="CG35" s="483"/>
      <c r="CH35" s="483"/>
      <c r="CI35" s="483"/>
      <c r="CJ35" s="483"/>
      <c r="CK35" s="483"/>
      <c r="CL35" s="483"/>
      <c r="CM35" s="483"/>
      <c r="CN35" s="483"/>
      <c r="CO35" s="483"/>
      <c r="CP35" s="483"/>
      <c r="CQ35" s="483"/>
      <c r="CR35" s="483"/>
      <c r="CS35" s="483"/>
      <c r="CT35" s="483"/>
      <c r="CU35" s="483"/>
      <c r="CV35" s="483"/>
      <c r="CW35" s="483"/>
      <c r="CX35" s="483"/>
      <c r="CY35" s="483"/>
      <c r="CZ35" s="483"/>
      <c r="DA35" s="483"/>
      <c r="DB35" s="483"/>
      <c r="DC35" s="483"/>
      <c r="DD35" s="483"/>
      <c r="DE35" s="483"/>
      <c r="DF35" s="483"/>
      <c r="DG35" s="483"/>
      <c r="DH35" s="483"/>
      <c r="DI35" s="483"/>
      <c r="DJ35" s="483"/>
      <c r="DK35" s="1108"/>
      <c r="DL35" s="1107" t="s">
        <v>35</v>
      </c>
      <c r="DM35" s="483"/>
      <c r="DN35" s="483"/>
      <c r="DO35" s="483"/>
      <c r="DP35" s="483"/>
      <c r="DQ35" s="483"/>
      <c r="DR35" s="483"/>
      <c r="DS35" s="483"/>
      <c r="DT35" s="483"/>
      <c r="DU35" s="483"/>
      <c r="DV35" s="483"/>
      <c r="DW35" s="483"/>
      <c r="DX35" s="483"/>
      <c r="DY35" s="483"/>
      <c r="DZ35" s="483"/>
      <c r="EA35" s="483"/>
      <c r="EB35" s="483"/>
      <c r="EC35" s="483"/>
      <c r="ED35" s="483"/>
      <c r="EE35" s="483"/>
      <c r="EF35" s="483"/>
      <c r="EG35" s="483"/>
      <c r="EH35" s="483"/>
      <c r="EI35" s="483"/>
      <c r="EJ35" s="483"/>
      <c r="EK35" s="483"/>
      <c r="EL35" s="483"/>
      <c r="EM35" s="483"/>
      <c r="EN35" s="483"/>
      <c r="EO35" s="483"/>
      <c r="EP35" s="483"/>
      <c r="EQ35" s="483"/>
      <c r="ER35" s="483"/>
      <c r="ES35" s="483"/>
      <c r="ET35" s="483"/>
      <c r="EU35" s="483"/>
      <c r="EV35" s="483"/>
      <c r="EW35" s="483"/>
      <c r="EX35" s="483"/>
      <c r="EY35" s="483"/>
      <c r="EZ35" s="483"/>
      <c r="FA35" s="483"/>
      <c r="FB35" s="483"/>
      <c r="FC35" s="483"/>
      <c r="FD35" s="1108"/>
      <c r="FE35" s="1128"/>
      <c r="FF35" s="512"/>
      <c r="FG35" s="512"/>
      <c r="FH35" s="513"/>
      <c r="FI35" s="1111"/>
    </row>
    <row r="36" spans="1:165" ht="60.75" x14ac:dyDescent="0.2">
      <c r="A36" s="1123"/>
      <c r="B36" s="492"/>
      <c r="C36" s="482"/>
      <c r="D36" s="482"/>
      <c r="E36" s="482"/>
      <c r="F36" s="482"/>
      <c r="G36" s="482"/>
      <c r="H36" s="482"/>
      <c r="I36" s="482"/>
      <c r="J36" s="482"/>
      <c r="K36" s="482"/>
      <c r="L36" s="482"/>
      <c r="M36" s="482"/>
      <c r="N36" s="482"/>
      <c r="O36" s="482"/>
      <c r="P36" s="482"/>
      <c r="Q36" s="482"/>
      <c r="R36" s="482"/>
      <c r="S36" s="482"/>
      <c r="T36" s="482"/>
      <c r="U36" s="482"/>
      <c r="V36" s="482"/>
      <c r="W36" s="482"/>
      <c r="X36" s="482"/>
      <c r="Y36" s="482"/>
      <c r="Z36" s="483" t="s">
        <v>73</v>
      </c>
      <c r="AA36" s="483"/>
      <c r="AB36" s="483"/>
      <c r="AC36" s="483"/>
      <c r="AD36" s="483"/>
      <c r="AE36" s="483" t="s">
        <v>74</v>
      </c>
      <c r="AF36" s="483"/>
      <c r="AG36" s="483"/>
      <c r="AH36" s="483"/>
      <c r="AI36" s="483"/>
      <c r="AJ36" s="502"/>
      <c r="AK36" s="503"/>
      <c r="AL36" s="503"/>
      <c r="AM36" s="503"/>
      <c r="AN36" s="504"/>
      <c r="AO36" s="502"/>
      <c r="AP36" s="503"/>
      <c r="AQ36" s="503"/>
      <c r="AR36" s="503"/>
      <c r="AS36" s="504"/>
      <c r="AT36" s="502"/>
      <c r="AU36" s="503"/>
      <c r="AV36" s="503"/>
      <c r="AW36" s="503"/>
      <c r="AX36" s="504"/>
      <c r="AY36" s="502"/>
      <c r="AZ36" s="503"/>
      <c r="BA36" s="503"/>
      <c r="BB36" s="503"/>
      <c r="BC36" s="504"/>
      <c r="BD36" s="502"/>
      <c r="BE36" s="503"/>
      <c r="BF36" s="503"/>
      <c r="BG36" s="503"/>
      <c r="BH36" s="504"/>
      <c r="BI36" s="502"/>
      <c r="BJ36" s="503"/>
      <c r="BK36" s="503"/>
      <c r="BL36" s="503"/>
      <c r="BM36" s="503"/>
      <c r="BN36" s="513"/>
      <c r="BO36" s="513"/>
      <c r="BP36" s="513"/>
      <c r="BQ36" s="514"/>
      <c r="BR36" s="1111"/>
      <c r="BS36" s="1107">
        <v>15</v>
      </c>
      <c r="BT36" s="483"/>
      <c r="BU36" s="483"/>
      <c r="BV36" s="483"/>
      <c r="BW36" s="483"/>
      <c r="BX36" s="483">
        <v>15</v>
      </c>
      <c r="BY36" s="483"/>
      <c r="BZ36" s="483"/>
      <c r="CA36" s="483"/>
      <c r="CB36" s="483"/>
      <c r="CC36" s="483">
        <v>15</v>
      </c>
      <c r="CD36" s="483"/>
      <c r="CE36" s="483"/>
      <c r="CF36" s="483"/>
      <c r="CG36" s="483"/>
      <c r="CH36" s="483">
        <v>15</v>
      </c>
      <c r="CI36" s="483"/>
      <c r="CJ36" s="483"/>
      <c r="CK36" s="483"/>
      <c r="CL36" s="483"/>
      <c r="CM36" s="483">
        <v>15</v>
      </c>
      <c r="CN36" s="483"/>
      <c r="CO36" s="483"/>
      <c r="CP36" s="483"/>
      <c r="CQ36" s="483"/>
      <c r="CR36" s="483">
        <v>15</v>
      </c>
      <c r="CS36" s="483"/>
      <c r="CT36" s="483"/>
      <c r="CU36" s="483"/>
      <c r="CV36" s="483"/>
      <c r="CW36" s="483">
        <v>15</v>
      </c>
      <c r="CX36" s="483"/>
      <c r="CY36" s="483"/>
      <c r="CZ36" s="483"/>
      <c r="DA36" s="483"/>
      <c r="DB36" s="483">
        <v>15</v>
      </c>
      <c r="DC36" s="483"/>
      <c r="DD36" s="483"/>
      <c r="DE36" s="483"/>
      <c r="DF36" s="483"/>
      <c r="DG36" s="483">
        <v>15</v>
      </c>
      <c r="DH36" s="483"/>
      <c r="DI36" s="483"/>
      <c r="DJ36" s="483"/>
      <c r="DK36" s="1108"/>
      <c r="DL36" s="1107">
        <f>DL97</f>
        <v>30</v>
      </c>
      <c r="DM36" s="483"/>
      <c r="DN36" s="483"/>
      <c r="DO36" s="483"/>
      <c r="DP36" s="483"/>
      <c r="DQ36" s="483">
        <f>DQ97</f>
        <v>30</v>
      </c>
      <c r="DR36" s="483"/>
      <c r="DS36" s="483"/>
      <c r="DT36" s="483"/>
      <c r="DU36" s="483"/>
      <c r="DV36" s="483">
        <f>DV97</f>
        <v>23</v>
      </c>
      <c r="DW36" s="483"/>
      <c r="DX36" s="483"/>
      <c r="DY36" s="483"/>
      <c r="DZ36" s="483"/>
      <c r="EA36" s="483">
        <f>EA97</f>
        <v>28</v>
      </c>
      <c r="EB36" s="483"/>
      <c r="EC36" s="483"/>
      <c r="ED36" s="483"/>
      <c r="EE36" s="483"/>
      <c r="EF36" s="483">
        <f>EF97</f>
        <v>22</v>
      </c>
      <c r="EG36" s="483"/>
      <c r="EH36" s="483"/>
      <c r="EI36" s="483"/>
      <c r="EJ36" s="483"/>
      <c r="EK36" s="483">
        <f>EK97</f>
        <v>28</v>
      </c>
      <c r="EL36" s="483"/>
      <c r="EM36" s="483"/>
      <c r="EN36" s="483"/>
      <c r="EO36" s="483"/>
      <c r="EP36" s="483">
        <f>EP97</f>
        <v>24</v>
      </c>
      <c r="EQ36" s="483"/>
      <c r="ER36" s="483"/>
      <c r="ES36" s="483"/>
      <c r="ET36" s="483"/>
      <c r="EU36" s="483">
        <f>EU97</f>
        <v>28</v>
      </c>
      <c r="EV36" s="483"/>
      <c r="EW36" s="483"/>
      <c r="EX36" s="483"/>
      <c r="EY36" s="483"/>
      <c r="EZ36" s="483">
        <f>EZ97</f>
        <v>27</v>
      </c>
      <c r="FA36" s="483"/>
      <c r="FB36" s="483"/>
      <c r="FC36" s="483"/>
      <c r="FD36" s="1108"/>
      <c r="FE36" s="1052">
        <v>240</v>
      </c>
      <c r="FF36" s="478"/>
      <c r="FG36" s="478"/>
      <c r="FH36" s="479"/>
      <c r="FI36" s="1053"/>
    </row>
    <row r="37" spans="1:165" ht="60.75" x14ac:dyDescent="0.2">
      <c r="A37" s="197">
        <v>1</v>
      </c>
      <c r="B37" s="195"/>
      <c r="C37" s="493">
        <v>2</v>
      </c>
      <c r="D37" s="494"/>
      <c r="E37" s="494"/>
      <c r="F37" s="494"/>
      <c r="G37" s="494"/>
      <c r="H37" s="494"/>
      <c r="I37" s="494"/>
      <c r="J37" s="494"/>
      <c r="K37" s="494"/>
      <c r="L37" s="494"/>
      <c r="M37" s="494"/>
      <c r="N37" s="494"/>
      <c r="O37" s="494"/>
      <c r="P37" s="494"/>
      <c r="Q37" s="494"/>
      <c r="R37" s="494"/>
      <c r="S37" s="494"/>
      <c r="T37" s="494"/>
      <c r="U37" s="494"/>
      <c r="V37" s="494"/>
      <c r="W37" s="494"/>
      <c r="X37" s="494"/>
      <c r="Y37" s="511"/>
      <c r="Z37" s="531">
        <v>3</v>
      </c>
      <c r="AA37" s="531"/>
      <c r="AB37" s="531"/>
      <c r="AC37" s="531"/>
      <c r="AD37" s="531"/>
      <c r="AE37" s="505">
        <v>4</v>
      </c>
      <c r="AF37" s="506"/>
      <c r="AG37" s="506"/>
      <c r="AH37" s="506"/>
      <c r="AI37" s="507"/>
      <c r="AJ37" s="505">
        <v>5</v>
      </c>
      <c r="AK37" s="506"/>
      <c r="AL37" s="506"/>
      <c r="AM37" s="506"/>
      <c r="AN37" s="507"/>
      <c r="AO37" s="505">
        <v>6</v>
      </c>
      <c r="AP37" s="506"/>
      <c r="AQ37" s="506"/>
      <c r="AR37" s="506"/>
      <c r="AS37" s="507"/>
      <c r="AT37" s="505">
        <v>7</v>
      </c>
      <c r="AU37" s="506"/>
      <c r="AV37" s="506"/>
      <c r="AW37" s="506"/>
      <c r="AX37" s="507"/>
      <c r="AY37" s="505">
        <v>8</v>
      </c>
      <c r="AZ37" s="506"/>
      <c r="BA37" s="506"/>
      <c r="BB37" s="506"/>
      <c r="BC37" s="507"/>
      <c r="BD37" s="505">
        <v>9</v>
      </c>
      <c r="BE37" s="506"/>
      <c r="BF37" s="506"/>
      <c r="BG37" s="506"/>
      <c r="BH37" s="507"/>
      <c r="BI37" s="505">
        <v>10</v>
      </c>
      <c r="BJ37" s="506"/>
      <c r="BK37" s="506"/>
      <c r="BL37" s="506"/>
      <c r="BM37" s="507"/>
      <c r="BN37" s="508">
        <v>11</v>
      </c>
      <c r="BO37" s="509"/>
      <c r="BP37" s="509"/>
      <c r="BQ37" s="509"/>
      <c r="BR37" s="1132"/>
      <c r="BS37" s="1107">
        <v>12</v>
      </c>
      <c r="BT37" s="483"/>
      <c r="BU37" s="483"/>
      <c r="BV37" s="483"/>
      <c r="BW37" s="483"/>
      <c r="BX37" s="483">
        <v>13</v>
      </c>
      <c r="BY37" s="483"/>
      <c r="BZ37" s="483"/>
      <c r="CA37" s="483"/>
      <c r="CB37" s="483"/>
      <c r="CC37" s="483">
        <v>14</v>
      </c>
      <c r="CD37" s="483"/>
      <c r="CE37" s="483"/>
      <c r="CF37" s="483"/>
      <c r="CG37" s="483"/>
      <c r="CH37" s="483">
        <v>15</v>
      </c>
      <c r="CI37" s="483"/>
      <c r="CJ37" s="483"/>
      <c r="CK37" s="483"/>
      <c r="CL37" s="483"/>
      <c r="CM37" s="483">
        <v>16</v>
      </c>
      <c r="CN37" s="483"/>
      <c r="CO37" s="483"/>
      <c r="CP37" s="483"/>
      <c r="CQ37" s="483"/>
      <c r="CR37" s="483">
        <v>17</v>
      </c>
      <c r="CS37" s="483"/>
      <c r="CT37" s="483"/>
      <c r="CU37" s="483"/>
      <c r="CV37" s="483"/>
      <c r="CW37" s="483">
        <v>18</v>
      </c>
      <c r="CX37" s="483"/>
      <c r="CY37" s="483"/>
      <c r="CZ37" s="483"/>
      <c r="DA37" s="483"/>
      <c r="DB37" s="483">
        <v>19</v>
      </c>
      <c r="DC37" s="483"/>
      <c r="DD37" s="483"/>
      <c r="DE37" s="483"/>
      <c r="DF37" s="483"/>
      <c r="DG37" s="483">
        <v>20</v>
      </c>
      <c r="DH37" s="483"/>
      <c r="DI37" s="483"/>
      <c r="DJ37" s="483"/>
      <c r="DK37" s="1108"/>
      <c r="DL37" s="1107">
        <v>21</v>
      </c>
      <c r="DM37" s="483"/>
      <c r="DN37" s="483"/>
      <c r="DO37" s="483"/>
      <c r="DP37" s="483"/>
      <c r="DQ37" s="483">
        <v>22</v>
      </c>
      <c r="DR37" s="483"/>
      <c r="DS37" s="483"/>
      <c r="DT37" s="483"/>
      <c r="DU37" s="483"/>
      <c r="DV37" s="483">
        <v>23</v>
      </c>
      <c r="DW37" s="483"/>
      <c r="DX37" s="483"/>
      <c r="DY37" s="483"/>
      <c r="DZ37" s="483"/>
      <c r="EA37" s="483">
        <v>24</v>
      </c>
      <c r="EB37" s="483"/>
      <c r="EC37" s="483"/>
      <c r="ED37" s="483"/>
      <c r="EE37" s="483"/>
      <c r="EF37" s="483">
        <v>25</v>
      </c>
      <c r="EG37" s="483"/>
      <c r="EH37" s="483"/>
      <c r="EI37" s="483"/>
      <c r="EJ37" s="483"/>
      <c r="EK37" s="483">
        <v>26</v>
      </c>
      <c r="EL37" s="483"/>
      <c r="EM37" s="483"/>
      <c r="EN37" s="483"/>
      <c r="EO37" s="483"/>
      <c r="EP37" s="483">
        <v>27</v>
      </c>
      <c r="EQ37" s="483"/>
      <c r="ER37" s="483"/>
      <c r="ES37" s="483"/>
      <c r="ET37" s="483"/>
      <c r="EU37" s="483">
        <v>28</v>
      </c>
      <c r="EV37" s="483"/>
      <c r="EW37" s="483"/>
      <c r="EX37" s="483"/>
      <c r="EY37" s="483"/>
      <c r="EZ37" s="483">
        <v>29</v>
      </c>
      <c r="FA37" s="483"/>
      <c r="FB37" s="483"/>
      <c r="FC37" s="483"/>
      <c r="FD37" s="1108"/>
      <c r="FE37" s="1052">
        <v>30</v>
      </c>
      <c r="FF37" s="478"/>
      <c r="FG37" s="478"/>
      <c r="FH37" s="479"/>
      <c r="FI37" s="1053"/>
    </row>
    <row r="38" spans="1:165" ht="69.95" customHeight="1" x14ac:dyDescent="0.2">
      <c r="A38" s="196" t="s">
        <v>79</v>
      </c>
      <c r="B38" s="194"/>
      <c r="C38" s="510" t="s">
        <v>37</v>
      </c>
      <c r="D38" s="510"/>
      <c r="E38" s="510"/>
      <c r="F38" s="510"/>
      <c r="G38" s="510"/>
      <c r="H38" s="510"/>
      <c r="I38" s="510"/>
      <c r="J38" s="510"/>
      <c r="K38" s="510"/>
      <c r="L38" s="510"/>
      <c r="M38" s="510"/>
      <c r="N38" s="510"/>
      <c r="O38" s="510"/>
      <c r="P38" s="510"/>
      <c r="Q38" s="510"/>
      <c r="R38" s="510"/>
      <c r="S38" s="510"/>
      <c r="T38" s="510"/>
      <c r="U38" s="510"/>
      <c r="V38" s="510"/>
      <c r="W38" s="510"/>
      <c r="X38" s="510"/>
      <c r="Y38" s="510"/>
      <c r="Z38" s="407">
        <f>SUM(Z39:AD63)</f>
        <v>4320</v>
      </c>
      <c r="AA38" s="407"/>
      <c r="AB38" s="407"/>
      <c r="AC38" s="407"/>
      <c r="AD38" s="407"/>
      <c r="AE38" s="469">
        <f>Z38/$Z$97*100</f>
        <v>60</v>
      </c>
      <c r="AF38" s="469"/>
      <c r="AG38" s="469"/>
      <c r="AH38" s="469"/>
      <c r="AI38" s="469"/>
      <c r="AJ38" s="408">
        <f>SUM(AJ39:AN63)</f>
        <v>1656</v>
      </c>
      <c r="AK38" s="409"/>
      <c r="AL38" s="409"/>
      <c r="AM38" s="409"/>
      <c r="AN38" s="410"/>
      <c r="AO38" s="408">
        <f>SUM(AO39:AS63)</f>
        <v>708</v>
      </c>
      <c r="AP38" s="409"/>
      <c r="AQ38" s="409"/>
      <c r="AR38" s="409"/>
      <c r="AS38" s="410"/>
      <c r="AT38" s="408">
        <f>SUM(AT39:AX63)</f>
        <v>922</v>
      </c>
      <c r="AU38" s="409"/>
      <c r="AV38" s="409"/>
      <c r="AW38" s="409"/>
      <c r="AX38" s="410"/>
      <c r="AY38" s="408">
        <f>SUM(AY39:BC63)</f>
        <v>26</v>
      </c>
      <c r="AZ38" s="409"/>
      <c r="BA38" s="409"/>
      <c r="BB38" s="409"/>
      <c r="BC38" s="410"/>
      <c r="BD38" s="408">
        <f>SUM(BD39:BH63)</f>
        <v>0</v>
      </c>
      <c r="BE38" s="409"/>
      <c r="BF38" s="409"/>
      <c r="BG38" s="409"/>
      <c r="BH38" s="410"/>
      <c r="BI38" s="408">
        <f>SUM(BI39:BM63)</f>
        <v>0</v>
      </c>
      <c r="BJ38" s="409"/>
      <c r="BK38" s="409"/>
      <c r="BL38" s="409"/>
      <c r="BM38" s="410"/>
      <c r="BN38" s="407">
        <f>SUM(BN39:BR63)</f>
        <v>2664</v>
      </c>
      <c r="BO38" s="407"/>
      <c r="BP38" s="407"/>
      <c r="BQ38" s="408"/>
      <c r="BR38" s="1133"/>
      <c r="BS38" s="1134">
        <f>SUM(BS39:BW63)</f>
        <v>16</v>
      </c>
      <c r="BT38" s="368"/>
      <c r="BU38" s="368"/>
      <c r="BV38" s="368"/>
      <c r="BW38" s="368"/>
      <c r="BX38" s="368">
        <f>SUM(BX39:CB63)</f>
        <v>8</v>
      </c>
      <c r="BY38" s="368"/>
      <c r="BZ38" s="368"/>
      <c r="CA38" s="368"/>
      <c r="CB38" s="368"/>
      <c r="CC38" s="368">
        <f>SUM(CC39:CG63)</f>
        <v>4</v>
      </c>
      <c r="CD38" s="368"/>
      <c r="CE38" s="368"/>
      <c r="CF38" s="368"/>
      <c r="CG38" s="368"/>
      <c r="CH38" s="368">
        <f>SUM(CH39:CL63)</f>
        <v>17</v>
      </c>
      <c r="CI38" s="368"/>
      <c r="CJ38" s="368"/>
      <c r="CK38" s="368"/>
      <c r="CL38" s="368"/>
      <c r="CM38" s="368">
        <f>SUM(CM39:CQ63)</f>
        <v>11</v>
      </c>
      <c r="CN38" s="368"/>
      <c r="CO38" s="368"/>
      <c r="CP38" s="368"/>
      <c r="CQ38" s="368"/>
      <c r="CR38" s="368">
        <f>SUM(CR39:CV63)</f>
        <v>9</v>
      </c>
      <c r="CS38" s="368"/>
      <c r="CT38" s="368"/>
      <c r="CU38" s="368"/>
      <c r="CV38" s="368"/>
      <c r="CW38" s="368">
        <f>SUM(CW39:DA63)</f>
        <v>13</v>
      </c>
      <c r="CX38" s="368"/>
      <c r="CY38" s="368"/>
      <c r="CZ38" s="368"/>
      <c r="DA38" s="368"/>
      <c r="DB38" s="368">
        <f>SUM(DB39:DF63)</f>
        <v>20</v>
      </c>
      <c r="DC38" s="368"/>
      <c r="DD38" s="368"/>
      <c r="DE38" s="368"/>
      <c r="DF38" s="368"/>
      <c r="DG38" s="368">
        <f>SUM(DG39:DK63)</f>
        <v>15</v>
      </c>
      <c r="DH38" s="368"/>
      <c r="DI38" s="368"/>
      <c r="DJ38" s="368"/>
      <c r="DK38" s="1129"/>
      <c r="DL38" s="1134">
        <f>SUM(DL39:DP63)</f>
        <v>24</v>
      </c>
      <c r="DM38" s="368"/>
      <c r="DN38" s="368"/>
      <c r="DO38" s="368"/>
      <c r="DP38" s="368"/>
      <c r="DQ38" s="368">
        <f>SUM(DQ39:DU63)</f>
        <v>14</v>
      </c>
      <c r="DR38" s="368"/>
      <c r="DS38" s="368"/>
      <c r="DT38" s="368"/>
      <c r="DU38" s="368"/>
      <c r="DV38" s="368">
        <f>SUM(DV39:DZ63)</f>
        <v>4</v>
      </c>
      <c r="DW38" s="368"/>
      <c r="DX38" s="368"/>
      <c r="DY38" s="368"/>
      <c r="DZ38" s="368"/>
      <c r="EA38" s="368">
        <f>SUM(EA39:EE63)</f>
        <v>20</v>
      </c>
      <c r="EB38" s="368"/>
      <c r="EC38" s="368"/>
      <c r="ED38" s="368"/>
      <c r="EE38" s="368"/>
      <c r="EF38" s="368">
        <f>SUM(EF39:EJ63)</f>
        <v>12</v>
      </c>
      <c r="EG38" s="368"/>
      <c r="EH38" s="368"/>
      <c r="EI38" s="368"/>
      <c r="EJ38" s="368"/>
      <c r="EK38" s="368">
        <f>SUM(EK39:EO63)</f>
        <v>10</v>
      </c>
      <c r="EL38" s="368"/>
      <c r="EM38" s="368"/>
      <c r="EN38" s="368"/>
      <c r="EO38" s="368"/>
      <c r="EP38" s="368">
        <f>SUM(EP39:ET63)</f>
        <v>16</v>
      </c>
      <c r="EQ38" s="368"/>
      <c r="ER38" s="368"/>
      <c r="ES38" s="368"/>
      <c r="ET38" s="368"/>
      <c r="EU38" s="368">
        <f>SUM(EU39:EY63)</f>
        <v>25</v>
      </c>
      <c r="EV38" s="368"/>
      <c r="EW38" s="368"/>
      <c r="EX38" s="368"/>
      <c r="EY38" s="368"/>
      <c r="EZ38" s="368">
        <f>SUM(EZ39:FD63)</f>
        <v>19</v>
      </c>
      <c r="FA38" s="368"/>
      <c r="FB38" s="368"/>
      <c r="FC38" s="368"/>
      <c r="FD38" s="1129"/>
      <c r="FE38" s="1130">
        <f>SUM(FE39:FI63)</f>
        <v>144</v>
      </c>
      <c r="FF38" s="540"/>
      <c r="FG38" s="540"/>
      <c r="FH38" s="473"/>
      <c r="FI38" s="1131"/>
    </row>
    <row r="39" spans="1:165" ht="90" customHeight="1" x14ac:dyDescent="0.2">
      <c r="A39" s="219" t="s">
        <v>80</v>
      </c>
      <c r="B39" s="281" t="s">
        <v>129</v>
      </c>
      <c r="C39" s="535" t="s">
        <v>121</v>
      </c>
      <c r="D39" s="535"/>
      <c r="E39" s="535"/>
      <c r="F39" s="535"/>
      <c r="G39" s="535"/>
      <c r="H39" s="535"/>
      <c r="I39" s="535"/>
      <c r="J39" s="535"/>
      <c r="K39" s="535"/>
      <c r="L39" s="535"/>
      <c r="M39" s="535"/>
      <c r="N39" s="535"/>
      <c r="O39" s="535"/>
      <c r="P39" s="535"/>
      <c r="Q39" s="535"/>
      <c r="R39" s="535"/>
      <c r="S39" s="535"/>
      <c r="T39" s="535"/>
      <c r="U39" s="535"/>
      <c r="V39" s="535"/>
      <c r="W39" s="535"/>
      <c r="X39" s="535"/>
      <c r="Y39" s="535"/>
      <c r="Z39" s="523">
        <f>+FE39*30</f>
        <v>120</v>
      </c>
      <c r="AA39" s="523"/>
      <c r="AB39" s="523"/>
      <c r="AC39" s="523"/>
      <c r="AD39" s="523"/>
      <c r="AE39" s="356"/>
      <c r="AF39" s="356"/>
      <c r="AG39" s="356"/>
      <c r="AH39" s="356"/>
      <c r="AI39" s="356"/>
      <c r="AJ39" s="489">
        <f>SUM(AO39:BH39)</f>
        <v>40</v>
      </c>
      <c r="AK39" s="489"/>
      <c r="AL39" s="489"/>
      <c r="AM39" s="489"/>
      <c r="AN39" s="489"/>
      <c r="AO39" s="489">
        <v>32</v>
      </c>
      <c r="AP39" s="489"/>
      <c r="AQ39" s="489"/>
      <c r="AR39" s="489"/>
      <c r="AS39" s="489"/>
      <c r="AT39" s="489"/>
      <c r="AU39" s="489"/>
      <c r="AV39" s="489"/>
      <c r="AW39" s="489"/>
      <c r="AX39" s="489"/>
      <c r="AY39" s="489">
        <v>8</v>
      </c>
      <c r="AZ39" s="489"/>
      <c r="BA39" s="489"/>
      <c r="BB39" s="489"/>
      <c r="BC39" s="489"/>
      <c r="BD39" s="518"/>
      <c r="BE39" s="518"/>
      <c r="BF39" s="518"/>
      <c r="BG39" s="518"/>
      <c r="BH39" s="518"/>
      <c r="BI39" s="518"/>
      <c r="BJ39" s="518"/>
      <c r="BK39" s="518"/>
      <c r="BL39" s="518"/>
      <c r="BM39" s="518"/>
      <c r="BN39" s="519">
        <f>Z39-AJ39</f>
        <v>80</v>
      </c>
      <c r="BO39" s="519"/>
      <c r="BP39" s="519"/>
      <c r="BQ39" s="520"/>
      <c r="BR39" s="1135"/>
      <c r="BS39" s="1092">
        <v>2</v>
      </c>
      <c r="BT39" s="356"/>
      <c r="BU39" s="356"/>
      <c r="BV39" s="356"/>
      <c r="BW39" s="356"/>
      <c r="BX39" s="1054"/>
      <c r="BY39" s="1055"/>
      <c r="BZ39" s="1055"/>
      <c r="CA39" s="1055"/>
      <c r="CB39" s="1056"/>
      <c r="CC39" s="1054"/>
      <c r="CD39" s="1055"/>
      <c r="CE39" s="1055"/>
      <c r="CF39" s="1055"/>
      <c r="CG39" s="1056"/>
      <c r="CH39" s="1054"/>
      <c r="CI39" s="1055"/>
      <c r="CJ39" s="1055"/>
      <c r="CK39" s="1055"/>
      <c r="CL39" s="1056"/>
      <c r="CM39" s="1054"/>
      <c r="CN39" s="1055"/>
      <c r="CO39" s="1055"/>
      <c r="CP39" s="1055"/>
      <c r="CQ39" s="1056"/>
      <c r="CR39" s="1054"/>
      <c r="CS39" s="1055"/>
      <c r="CT39" s="1055"/>
      <c r="CU39" s="1055"/>
      <c r="CV39" s="1056"/>
      <c r="CW39" s="1054"/>
      <c r="CX39" s="1055"/>
      <c r="CY39" s="1055"/>
      <c r="CZ39" s="1055"/>
      <c r="DA39" s="1056"/>
      <c r="DB39" s="1054"/>
      <c r="DC39" s="1055"/>
      <c r="DD39" s="1055"/>
      <c r="DE39" s="1055"/>
      <c r="DF39" s="1056"/>
      <c r="DG39" s="1089"/>
      <c r="DH39" s="1090"/>
      <c r="DI39" s="1090"/>
      <c r="DJ39" s="1090"/>
      <c r="DK39" s="1091"/>
      <c r="DL39" s="1092">
        <v>4</v>
      </c>
      <c r="DM39" s="356"/>
      <c r="DN39" s="356"/>
      <c r="DO39" s="356"/>
      <c r="DP39" s="356"/>
      <c r="DQ39" s="356"/>
      <c r="DR39" s="356"/>
      <c r="DS39" s="356"/>
      <c r="DT39" s="356"/>
      <c r="DU39" s="356"/>
      <c r="DV39" s="356"/>
      <c r="DW39" s="356"/>
      <c r="DX39" s="356"/>
      <c r="DY39" s="356"/>
      <c r="DZ39" s="356"/>
      <c r="EA39" s="356"/>
      <c r="EB39" s="356"/>
      <c r="EC39" s="356"/>
      <c r="ED39" s="356"/>
      <c r="EE39" s="356"/>
      <c r="EF39" s="356"/>
      <c r="EG39" s="356"/>
      <c r="EH39" s="356"/>
      <c r="EI39" s="356"/>
      <c r="EJ39" s="356"/>
      <c r="EK39" s="356"/>
      <c r="EL39" s="356"/>
      <c r="EM39" s="356"/>
      <c r="EN39" s="356"/>
      <c r="EO39" s="356"/>
      <c r="EP39" s="356"/>
      <c r="EQ39" s="356"/>
      <c r="ER39" s="356"/>
      <c r="ES39" s="356"/>
      <c r="ET39" s="356"/>
      <c r="EU39" s="356"/>
      <c r="EV39" s="356"/>
      <c r="EW39" s="356"/>
      <c r="EX39" s="356"/>
      <c r="EY39" s="356"/>
      <c r="EZ39" s="1062"/>
      <c r="FA39" s="1062"/>
      <c r="FB39" s="1062"/>
      <c r="FC39" s="1062"/>
      <c r="FD39" s="1063"/>
      <c r="FE39" s="1052">
        <f>SUM(DL39:FD39)</f>
        <v>4</v>
      </c>
      <c r="FF39" s="478"/>
      <c r="FG39" s="478"/>
      <c r="FH39" s="479"/>
      <c r="FI39" s="1053"/>
    </row>
    <row r="40" spans="1:165" s="120" customFormat="1" ht="90" customHeight="1" x14ac:dyDescent="0.2">
      <c r="A40" s="220" t="s">
        <v>81</v>
      </c>
      <c r="B40" s="282" t="s">
        <v>162</v>
      </c>
      <c r="C40" s="388" t="s">
        <v>114</v>
      </c>
      <c r="D40" s="388"/>
      <c r="E40" s="388"/>
      <c r="F40" s="388"/>
      <c r="G40" s="388"/>
      <c r="H40" s="388"/>
      <c r="I40" s="388"/>
      <c r="J40" s="388"/>
      <c r="K40" s="388"/>
      <c r="L40" s="388"/>
      <c r="M40" s="388"/>
      <c r="N40" s="388"/>
      <c r="O40" s="388"/>
      <c r="P40" s="388"/>
      <c r="Q40" s="388"/>
      <c r="R40" s="388"/>
      <c r="S40" s="388"/>
      <c r="T40" s="388"/>
      <c r="U40" s="388"/>
      <c r="V40" s="388"/>
      <c r="W40" s="388"/>
      <c r="X40" s="388"/>
      <c r="Y40" s="388"/>
      <c r="Z40" s="523">
        <f t="shared" ref="Z40:Z63" si="0">+FE40*30</f>
        <v>120</v>
      </c>
      <c r="AA40" s="523"/>
      <c r="AB40" s="523"/>
      <c r="AC40" s="523"/>
      <c r="AD40" s="523"/>
      <c r="AE40" s="356"/>
      <c r="AF40" s="356"/>
      <c r="AG40" s="356"/>
      <c r="AH40" s="356"/>
      <c r="AI40" s="356"/>
      <c r="AJ40" s="489">
        <f t="shared" ref="AJ40:AJ63" si="1">SUM(AO40:BH40)</f>
        <v>38</v>
      </c>
      <c r="AK40" s="489"/>
      <c r="AL40" s="489"/>
      <c r="AM40" s="489"/>
      <c r="AN40" s="489"/>
      <c r="AO40" s="489"/>
      <c r="AP40" s="489"/>
      <c r="AQ40" s="489"/>
      <c r="AR40" s="489"/>
      <c r="AS40" s="489"/>
      <c r="AT40" s="489">
        <v>38</v>
      </c>
      <c r="AU40" s="489"/>
      <c r="AV40" s="489"/>
      <c r="AW40" s="489"/>
      <c r="AX40" s="489"/>
      <c r="AY40" s="489"/>
      <c r="AZ40" s="489"/>
      <c r="BA40" s="489"/>
      <c r="BB40" s="489"/>
      <c r="BC40" s="489"/>
      <c r="BD40" s="518"/>
      <c r="BE40" s="518"/>
      <c r="BF40" s="518"/>
      <c r="BG40" s="518"/>
      <c r="BH40" s="518"/>
      <c r="BI40" s="518"/>
      <c r="BJ40" s="518"/>
      <c r="BK40" s="518"/>
      <c r="BL40" s="518"/>
      <c r="BM40" s="518"/>
      <c r="BN40" s="519">
        <f t="shared" ref="BN40:BN63" si="2">Z40-AJ40</f>
        <v>82</v>
      </c>
      <c r="BO40" s="519"/>
      <c r="BP40" s="519"/>
      <c r="BQ40" s="520"/>
      <c r="BR40" s="1135"/>
      <c r="BS40" s="1072"/>
      <c r="BT40" s="1055"/>
      <c r="BU40" s="1055"/>
      <c r="BV40" s="1055"/>
      <c r="BW40" s="1056"/>
      <c r="BX40" s="1054">
        <v>2</v>
      </c>
      <c r="BY40" s="1055"/>
      <c r="BZ40" s="1055"/>
      <c r="CA40" s="1055"/>
      <c r="CB40" s="1056"/>
      <c r="CC40" s="1054"/>
      <c r="CD40" s="1055"/>
      <c r="CE40" s="1055"/>
      <c r="CF40" s="1055"/>
      <c r="CG40" s="1056"/>
      <c r="CH40" s="1054"/>
      <c r="CI40" s="1055"/>
      <c r="CJ40" s="1055"/>
      <c r="CK40" s="1055"/>
      <c r="CL40" s="1056"/>
      <c r="CM40" s="1054"/>
      <c r="CN40" s="1055"/>
      <c r="CO40" s="1055"/>
      <c r="CP40" s="1055"/>
      <c r="CQ40" s="1056"/>
      <c r="CR40" s="1054"/>
      <c r="CS40" s="1055"/>
      <c r="CT40" s="1055"/>
      <c r="CU40" s="1055"/>
      <c r="CV40" s="1056"/>
      <c r="CW40" s="1054"/>
      <c r="CX40" s="1055"/>
      <c r="CY40" s="1055"/>
      <c r="CZ40" s="1055"/>
      <c r="DA40" s="1056"/>
      <c r="DB40" s="1054"/>
      <c r="DC40" s="1055"/>
      <c r="DD40" s="1055"/>
      <c r="DE40" s="1055"/>
      <c r="DF40" s="1056"/>
      <c r="DG40" s="1089"/>
      <c r="DH40" s="1090"/>
      <c r="DI40" s="1090"/>
      <c r="DJ40" s="1090"/>
      <c r="DK40" s="1091"/>
      <c r="DL40" s="1092"/>
      <c r="DM40" s="356"/>
      <c r="DN40" s="356"/>
      <c r="DO40" s="356"/>
      <c r="DP40" s="356"/>
      <c r="DQ40" s="356">
        <v>4</v>
      </c>
      <c r="DR40" s="356"/>
      <c r="DS40" s="356"/>
      <c r="DT40" s="356"/>
      <c r="DU40" s="356"/>
      <c r="DV40" s="356"/>
      <c r="DW40" s="356"/>
      <c r="DX40" s="356"/>
      <c r="DY40" s="356"/>
      <c r="DZ40" s="356"/>
      <c r="EA40" s="356"/>
      <c r="EB40" s="356"/>
      <c r="EC40" s="356"/>
      <c r="ED40" s="356"/>
      <c r="EE40" s="356"/>
      <c r="EF40" s="356"/>
      <c r="EG40" s="356"/>
      <c r="EH40" s="356"/>
      <c r="EI40" s="356"/>
      <c r="EJ40" s="356"/>
      <c r="EK40" s="356"/>
      <c r="EL40" s="356"/>
      <c r="EM40" s="356"/>
      <c r="EN40" s="356"/>
      <c r="EO40" s="356"/>
      <c r="EP40" s="356"/>
      <c r="EQ40" s="356"/>
      <c r="ER40" s="356"/>
      <c r="ES40" s="356"/>
      <c r="ET40" s="356"/>
      <c r="EU40" s="356"/>
      <c r="EV40" s="356"/>
      <c r="EW40" s="356"/>
      <c r="EX40" s="356"/>
      <c r="EY40" s="356"/>
      <c r="EZ40" s="1062"/>
      <c r="FA40" s="1062"/>
      <c r="FB40" s="1062"/>
      <c r="FC40" s="1062"/>
      <c r="FD40" s="1063"/>
      <c r="FE40" s="1052">
        <f t="shared" ref="FE40:FE63" si="3">SUM(DL40:FD40)</f>
        <v>4</v>
      </c>
      <c r="FF40" s="478"/>
      <c r="FG40" s="478"/>
      <c r="FH40" s="479"/>
      <c r="FI40" s="1053"/>
    </row>
    <row r="41" spans="1:165" s="120" customFormat="1" ht="90" customHeight="1" x14ac:dyDescent="0.2">
      <c r="A41" s="220" t="s">
        <v>82</v>
      </c>
      <c r="B41" s="282" t="s">
        <v>130</v>
      </c>
      <c r="C41" s="535" t="s">
        <v>75</v>
      </c>
      <c r="D41" s="535"/>
      <c r="E41" s="535"/>
      <c r="F41" s="535"/>
      <c r="G41" s="535"/>
      <c r="H41" s="535"/>
      <c r="I41" s="535"/>
      <c r="J41" s="535"/>
      <c r="K41" s="535"/>
      <c r="L41" s="535"/>
      <c r="M41" s="535"/>
      <c r="N41" s="535"/>
      <c r="O41" s="535"/>
      <c r="P41" s="535"/>
      <c r="Q41" s="535"/>
      <c r="R41" s="535"/>
      <c r="S41" s="535"/>
      <c r="T41" s="535"/>
      <c r="U41" s="535"/>
      <c r="V41" s="535"/>
      <c r="W41" s="535"/>
      <c r="X41" s="535"/>
      <c r="Y41" s="535"/>
      <c r="Z41" s="523">
        <f t="shared" si="0"/>
        <v>120</v>
      </c>
      <c r="AA41" s="523"/>
      <c r="AB41" s="523"/>
      <c r="AC41" s="523"/>
      <c r="AD41" s="523"/>
      <c r="AE41" s="356"/>
      <c r="AF41" s="356"/>
      <c r="AG41" s="356"/>
      <c r="AH41" s="356"/>
      <c r="AI41" s="356"/>
      <c r="AJ41" s="489">
        <f t="shared" si="1"/>
        <v>46</v>
      </c>
      <c r="AK41" s="489"/>
      <c r="AL41" s="489"/>
      <c r="AM41" s="489"/>
      <c r="AN41" s="489"/>
      <c r="AO41" s="489">
        <v>28</v>
      </c>
      <c r="AP41" s="489"/>
      <c r="AQ41" s="489"/>
      <c r="AR41" s="489"/>
      <c r="AS41" s="489"/>
      <c r="AT41" s="489"/>
      <c r="AU41" s="489"/>
      <c r="AV41" s="489"/>
      <c r="AW41" s="489"/>
      <c r="AX41" s="489"/>
      <c r="AY41" s="489">
        <v>18</v>
      </c>
      <c r="AZ41" s="489"/>
      <c r="BA41" s="489"/>
      <c r="BB41" s="489"/>
      <c r="BC41" s="489"/>
      <c r="BD41" s="518"/>
      <c r="BE41" s="518"/>
      <c r="BF41" s="518"/>
      <c r="BG41" s="518"/>
      <c r="BH41" s="518"/>
      <c r="BI41" s="518"/>
      <c r="BJ41" s="518"/>
      <c r="BK41" s="518"/>
      <c r="BL41" s="518"/>
      <c r="BM41" s="518"/>
      <c r="BN41" s="519">
        <f t="shared" si="2"/>
        <v>74</v>
      </c>
      <c r="BO41" s="519"/>
      <c r="BP41" s="519"/>
      <c r="BQ41" s="520"/>
      <c r="BR41" s="1135"/>
      <c r="BS41" s="1072"/>
      <c r="BT41" s="1055"/>
      <c r="BU41" s="1055"/>
      <c r="BV41" s="1055"/>
      <c r="BW41" s="1056"/>
      <c r="BX41" s="1054">
        <v>2</v>
      </c>
      <c r="BY41" s="1055"/>
      <c r="BZ41" s="1055"/>
      <c r="CA41" s="1055"/>
      <c r="CB41" s="1056"/>
      <c r="CC41" s="1054"/>
      <c r="CD41" s="1055"/>
      <c r="CE41" s="1055"/>
      <c r="CF41" s="1055"/>
      <c r="CG41" s="1056"/>
      <c r="CH41" s="1054"/>
      <c r="CI41" s="1055"/>
      <c r="CJ41" s="1055"/>
      <c r="CK41" s="1055"/>
      <c r="CL41" s="1056"/>
      <c r="CM41" s="1054"/>
      <c r="CN41" s="1055"/>
      <c r="CO41" s="1055"/>
      <c r="CP41" s="1055"/>
      <c r="CQ41" s="1056"/>
      <c r="CR41" s="1054"/>
      <c r="CS41" s="1055"/>
      <c r="CT41" s="1055"/>
      <c r="CU41" s="1055"/>
      <c r="CV41" s="1056"/>
      <c r="CW41" s="1054"/>
      <c r="CX41" s="1055"/>
      <c r="CY41" s="1055"/>
      <c r="CZ41" s="1055"/>
      <c r="DA41" s="1056"/>
      <c r="DB41" s="1054"/>
      <c r="DC41" s="1055"/>
      <c r="DD41" s="1055"/>
      <c r="DE41" s="1055"/>
      <c r="DF41" s="1056"/>
      <c r="DG41" s="1089"/>
      <c r="DH41" s="1090"/>
      <c r="DI41" s="1090"/>
      <c r="DJ41" s="1090"/>
      <c r="DK41" s="1091"/>
      <c r="DL41" s="1092"/>
      <c r="DM41" s="356"/>
      <c r="DN41" s="356"/>
      <c r="DO41" s="356"/>
      <c r="DP41" s="356"/>
      <c r="DQ41" s="356">
        <v>4</v>
      </c>
      <c r="DR41" s="356"/>
      <c r="DS41" s="356"/>
      <c r="DT41" s="356"/>
      <c r="DU41" s="356"/>
      <c r="DV41" s="356"/>
      <c r="DW41" s="356"/>
      <c r="DX41" s="356"/>
      <c r="DY41" s="356"/>
      <c r="DZ41" s="356"/>
      <c r="EA41" s="356"/>
      <c r="EB41" s="356"/>
      <c r="EC41" s="356"/>
      <c r="ED41" s="356"/>
      <c r="EE41" s="356"/>
      <c r="EF41" s="356"/>
      <c r="EG41" s="356"/>
      <c r="EH41" s="356"/>
      <c r="EI41" s="356"/>
      <c r="EJ41" s="356"/>
      <c r="EK41" s="356"/>
      <c r="EL41" s="356"/>
      <c r="EM41" s="356"/>
      <c r="EN41" s="356"/>
      <c r="EO41" s="356"/>
      <c r="EP41" s="356"/>
      <c r="EQ41" s="356"/>
      <c r="ER41" s="356"/>
      <c r="ES41" s="356"/>
      <c r="ET41" s="356"/>
      <c r="EU41" s="356"/>
      <c r="EV41" s="356"/>
      <c r="EW41" s="356"/>
      <c r="EX41" s="356"/>
      <c r="EY41" s="356"/>
      <c r="EZ41" s="1062"/>
      <c r="FA41" s="1062"/>
      <c r="FB41" s="1062"/>
      <c r="FC41" s="1062"/>
      <c r="FD41" s="1063"/>
      <c r="FE41" s="1052">
        <f t="shared" si="3"/>
        <v>4</v>
      </c>
      <c r="FF41" s="478"/>
      <c r="FG41" s="478"/>
      <c r="FH41" s="479"/>
      <c r="FI41" s="1053"/>
    </row>
    <row r="42" spans="1:165" s="120" customFormat="1" ht="90" customHeight="1" x14ac:dyDescent="0.2">
      <c r="A42" s="219" t="s">
        <v>83</v>
      </c>
      <c r="B42" s="282" t="s">
        <v>132</v>
      </c>
      <c r="C42" s="535" t="s">
        <v>205</v>
      </c>
      <c r="D42" s="535"/>
      <c r="E42" s="535"/>
      <c r="F42" s="535"/>
      <c r="G42" s="535"/>
      <c r="H42" s="535"/>
      <c r="I42" s="535"/>
      <c r="J42" s="535"/>
      <c r="K42" s="535"/>
      <c r="L42" s="535"/>
      <c r="M42" s="535"/>
      <c r="N42" s="535"/>
      <c r="O42" s="535"/>
      <c r="P42" s="535"/>
      <c r="Q42" s="535"/>
      <c r="R42" s="535"/>
      <c r="S42" s="535"/>
      <c r="T42" s="535"/>
      <c r="U42" s="535"/>
      <c r="V42" s="535"/>
      <c r="W42" s="535"/>
      <c r="X42" s="535"/>
      <c r="Y42" s="535"/>
      <c r="Z42" s="523">
        <f t="shared" si="0"/>
        <v>360</v>
      </c>
      <c r="AA42" s="523"/>
      <c r="AB42" s="523"/>
      <c r="AC42" s="523"/>
      <c r="AD42" s="523"/>
      <c r="AE42" s="356"/>
      <c r="AF42" s="356"/>
      <c r="AG42" s="356"/>
      <c r="AH42" s="356"/>
      <c r="AI42" s="356"/>
      <c r="AJ42" s="489">
        <f t="shared" si="1"/>
        <v>106</v>
      </c>
      <c r="AK42" s="489"/>
      <c r="AL42" s="489"/>
      <c r="AM42" s="489"/>
      <c r="AN42" s="489"/>
      <c r="AO42" s="489">
        <v>60</v>
      </c>
      <c r="AP42" s="489"/>
      <c r="AQ42" s="489"/>
      <c r="AR42" s="489"/>
      <c r="AS42" s="489"/>
      <c r="AT42" s="489">
        <v>46</v>
      </c>
      <c r="AU42" s="489"/>
      <c r="AV42" s="489"/>
      <c r="AW42" s="489"/>
      <c r="AX42" s="489"/>
      <c r="AY42" s="489"/>
      <c r="AZ42" s="489"/>
      <c r="BA42" s="489"/>
      <c r="BB42" s="489"/>
      <c r="BC42" s="489"/>
      <c r="BD42" s="518"/>
      <c r="BE42" s="518"/>
      <c r="BF42" s="518"/>
      <c r="BG42" s="518"/>
      <c r="BH42" s="518"/>
      <c r="BI42" s="518"/>
      <c r="BJ42" s="518"/>
      <c r="BK42" s="518"/>
      <c r="BL42" s="518"/>
      <c r="BM42" s="518"/>
      <c r="BN42" s="519">
        <f t="shared" si="2"/>
        <v>254</v>
      </c>
      <c r="BO42" s="519"/>
      <c r="BP42" s="519"/>
      <c r="BQ42" s="520"/>
      <c r="BR42" s="1135"/>
      <c r="BS42" s="1072">
        <v>4</v>
      </c>
      <c r="BT42" s="1055"/>
      <c r="BU42" s="1055"/>
      <c r="BV42" s="1055"/>
      <c r="BW42" s="1056"/>
      <c r="BX42" s="1054">
        <v>4</v>
      </c>
      <c r="BY42" s="1055"/>
      <c r="BZ42" s="1055"/>
      <c r="CA42" s="1055"/>
      <c r="CB42" s="1056"/>
      <c r="CC42" s="1054"/>
      <c r="CD42" s="1055"/>
      <c r="CE42" s="1055"/>
      <c r="CF42" s="1055"/>
      <c r="CG42" s="1056"/>
      <c r="CH42" s="1054"/>
      <c r="CI42" s="1055"/>
      <c r="CJ42" s="1055"/>
      <c r="CK42" s="1055"/>
      <c r="CL42" s="1056"/>
      <c r="CM42" s="1054"/>
      <c r="CN42" s="1055"/>
      <c r="CO42" s="1055"/>
      <c r="CP42" s="1055"/>
      <c r="CQ42" s="1056"/>
      <c r="CR42" s="1054"/>
      <c r="CS42" s="1055"/>
      <c r="CT42" s="1055"/>
      <c r="CU42" s="1055"/>
      <c r="CV42" s="1056"/>
      <c r="CW42" s="1054"/>
      <c r="CX42" s="1055"/>
      <c r="CY42" s="1055"/>
      <c r="CZ42" s="1055"/>
      <c r="DA42" s="1056"/>
      <c r="DB42" s="1054"/>
      <c r="DC42" s="1055"/>
      <c r="DD42" s="1055"/>
      <c r="DE42" s="1055"/>
      <c r="DF42" s="1056"/>
      <c r="DG42" s="1089"/>
      <c r="DH42" s="1090"/>
      <c r="DI42" s="1090"/>
      <c r="DJ42" s="1090"/>
      <c r="DK42" s="1091"/>
      <c r="DL42" s="1092">
        <v>6</v>
      </c>
      <c r="DM42" s="356"/>
      <c r="DN42" s="356"/>
      <c r="DO42" s="356"/>
      <c r="DP42" s="356"/>
      <c r="DQ42" s="356">
        <v>6</v>
      </c>
      <c r="DR42" s="356"/>
      <c r="DS42" s="356"/>
      <c r="DT42" s="356"/>
      <c r="DU42" s="356"/>
      <c r="DV42" s="356"/>
      <c r="DW42" s="356"/>
      <c r="DX42" s="356"/>
      <c r="DY42" s="356"/>
      <c r="DZ42" s="356"/>
      <c r="EA42" s="356"/>
      <c r="EB42" s="356"/>
      <c r="EC42" s="356"/>
      <c r="ED42" s="356"/>
      <c r="EE42" s="356"/>
      <c r="EF42" s="356"/>
      <c r="EG42" s="356"/>
      <c r="EH42" s="356"/>
      <c r="EI42" s="356"/>
      <c r="EJ42" s="356"/>
      <c r="EK42" s="356"/>
      <c r="EL42" s="356"/>
      <c r="EM42" s="356"/>
      <c r="EN42" s="356"/>
      <c r="EO42" s="356"/>
      <c r="EP42" s="356"/>
      <c r="EQ42" s="356"/>
      <c r="ER42" s="356"/>
      <c r="ES42" s="356"/>
      <c r="ET42" s="356"/>
      <c r="EU42" s="356"/>
      <c r="EV42" s="356"/>
      <c r="EW42" s="356"/>
      <c r="EX42" s="356"/>
      <c r="EY42" s="356"/>
      <c r="EZ42" s="1062"/>
      <c r="FA42" s="1062"/>
      <c r="FB42" s="1062"/>
      <c r="FC42" s="1062"/>
      <c r="FD42" s="1063"/>
      <c r="FE42" s="1052">
        <f t="shared" si="3"/>
        <v>12</v>
      </c>
      <c r="FF42" s="478"/>
      <c r="FG42" s="478"/>
      <c r="FH42" s="479"/>
      <c r="FI42" s="1053"/>
    </row>
    <row r="43" spans="1:165" s="120" customFormat="1" ht="90" customHeight="1" x14ac:dyDescent="0.2">
      <c r="A43" s="220" t="s">
        <v>84</v>
      </c>
      <c r="B43" s="282" t="s">
        <v>134</v>
      </c>
      <c r="C43" s="388" t="s">
        <v>178</v>
      </c>
      <c r="D43" s="388"/>
      <c r="E43" s="388"/>
      <c r="F43" s="388"/>
      <c r="G43" s="388"/>
      <c r="H43" s="388"/>
      <c r="I43" s="388"/>
      <c r="J43" s="388"/>
      <c r="K43" s="388"/>
      <c r="L43" s="388"/>
      <c r="M43" s="388"/>
      <c r="N43" s="388"/>
      <c r="O43" s="388"/>
      <c r="P43" s="388"/>
      <c r="Q43" s="388"/>
      <c r="R43" s="388"/>
      <c r="S43" s="388"/>
      <c r="T43" s="388"/>
      <c r="U43" s="388"/>
      <c r="V43" s="388"/>
      <c r="W43" s="388"/>
      <c r="X43" s="388"/>
      <c r="Y43" s="388"/>
      <c r="Z43" s="523">
        <f t="shared" si="0"/>
        <v>180</v>
      </c>
      <c r="AA43" s="523"/>
      <c r="AB43" s="523"/>
      <c r="AC43" s="523"/>
      <c r="AD43" s="523"/>
      <c r="AE43" s="356"/>
      <c r="AF43" s="356"/>
      <c r="AG43" s="356"/>
      <c r="AH43" s="356"/>
      <c r="AI43" s="356"/>
      <c r="AJ43" s="489">
        <f t="shared" si="1"/>
        <v>72</v>
      </c>
      <c r="AK43" s="489"/>
      <c r="AL43" s="489"/>
      <c r="AM43" s="489"/>
      <c r="AN43" s="489"/>
      <c r="AO43" s="489">
        <v>36</v>
      </c>
      <c r="AP43" s="489"/>
      <c r="AQ43" s="489"/>
      <c r="AR43" s="489"/>
      <c r="AS43" s="489"/>
      <c r="AT43" s="489">
        <v>36</v>
      </c>
      <c r="AU43" s="489"/>
      <c r="AV43" s="489"/>
      <c r="AW43" s="489"/>
      <c r="AX43" s="489"/>
      <c r="AY43" s="489"/>
      <c r="AZ43" s="489"/>
      <c r="BA43" s="489"/>
      <c r="BB43" s="489"/>
      <c r="BC43" s="489"/>
      <c r="BD43" s="518"/>
      <c r="BE43" s="518"/>
      <c r="BF43" s="518"/>
      <c r="BG43" s="518"/>
      <c r="BH43" s="518"/>
      <c r="BI43" s="518"/>
      <c r="BJ43" s="518"/>
      <c r="BK43" s="518"/>
      <c r="BL43" s="518"/>
      <c r="BM43" s="518"/>
      <c r="BN43" s="519">
        <f t="shared" si="2"/>
        <v>108</v>
      </c>
      <c r="BO43" s="519"/>
      <c r="BP43" s="519"/>
      <c r="BQ43" s="520"/>
      <c r="BR43" s="1135"/>
      <c r="BS43" s="1072"/>
      <c r="BT43" s="1055"/>
      <c r="BU43" s="1055"/>
      <c r="BV43" s="1055"/>
      <c r="BW43" s="1056"/>
      <c r="BX43" s="1054"/>
      <c r="BY43" s="1055"/>
      <c r="BZ43" s="1055"/>
      <c r="CA43" s="1055"/>
      <c r="CB43" s="1056"/>
      <c r="CC43" s="1054"/>
      <c r="CD43" s="1055"/>
      <c r="CE43" s="1055"/>
      <c r="CF43" s="1055"/>
      <c r="CG43" s="1056"/>
      <c r="CH43" s="1054">
        <v>5</v>
      </c>
      <c r="CI43" s="1055"/>
      <c r="CJ43" s="1055"/>
      <c r="CK43" s="1055"/>
      <c r="CL43" s="1056"/>
      <c r="CM43" s="1054"/>
      <c r="CN43" s="1055"/>
      <c r="CO43" s="1055"/>
      <c r="CP43" s="1055"/>
      <c r="CQ43" s="1056"/>
      <c r="CR43" s="1054"/>
      <c r="CS43" s="1055"/>
      <c r="CT43" s="1055"/>
      <c r="CU43" s="1055"/>
      <c r="CV43" s="1056"/>
      <c r="CW43" s="1054"/>
      <c r="CX43" s="1055"/>
      <c r="CY43" s="1055"/>
      <c r="CZ43" s="1055"/>
      <c r="DA43" s="1056"/>
      <c r="DB43" s="1054"/>
      <c r="DC43" s="1055"/>
      <c r="DD43" s="1055"/>
      <c r="DE43" s="1055"/>
      <c r="DF43" s="1056"/>
      <c r="DG43" s="1089"/>
      <c r="DH43" s="1090"/>
      <c r="DI43" s="1090"/>
      <c r="DJ43" s="1090"/>
      <c r="DK43" s="1091"/>
      <c r="DL43" s="1092"/>
      <c r="DM43" s="356"/>
      <c r="DN43" s="356"/>
      <c r="DO43" s="356"/>
      <c r="DP43" s="356"/>
      <c r="DQ43" s="356"/>
      <c r="DR43" s="356"/>
      <c r="DS43" s="356"/>
      <c r="DT43" s="356"/>
      <c r="DU43" s="356"/>
      <c r="DV43" s="356"/>
      <c r="DW43" s="356"/>
      <c r="DX43" s="356"/>
      <c r="DY43" s="356"/>
      <c r="DZ43" s="356"/>
      <c r="EA43" s="356">
        <v>6</v>
      </c>
      <c r="EB43" s="356"/>
      <c r="EC43" s="356"/>
      <c r="ED43" s="356"/>
      <c r="EE43" s="356"/>
      <c r="EF43" s="356"/>
      <c r="EG43" s="356"/>
      <c r="EH43" s="356"/>
      <c r="EI43" s="356"/>
      <c r="EJ43" s="356"/>
      <c r="EK43" s="356"/>
      <c r="EL43" s="356"/>
      <c r="EM43" s="356"/>
      <c r="EN43" s="356"/>
      <c r="EO43" s="356"/>
      <c r="EP43" s="356"/>
      <c r="EQ43" s="356"/>
      <c r="ER43" s="356"/>
      <c r="ES43" s="356"/>
      <c r="ET43" s="356"/>
      <c r="EU43" s="356"/>
      <c r="EV43" s="356"/>
      <c r="EW43" s="356"/>
      <c r="EX43" s="356"/>
      <c r="EY43" s="356"/>
      <c r="EZ43" s="1062"/>
      <c r="FA43" s="1062"/>
      <c r="FB43" s="1062"/>
      <c r="FC43" s="1062"/>
      <c r="FD43" s="1063"/>
      <c r="FE43" s="1052">
        <f t="shared" si="3"/>
        <v>6</v>
      </c>
      <c r="FF43" s="478"/>
      <c r="FG43" s="478"/>
      <c r="FH43" s="479"/>
      <c r="FI43" s="1053"/>
    </row>
    <row r="44" spans="1:165" s="120" customFormat="1" ht="90" customHeight="1" x14ac:dyDescent="0.2">
      <c r="A44" s="220" t="s">
        <v>85</v>
      </c>
      <c r="B44" s="282" t="s">
        <v>136</v>
      </c>
      <c r="C44" s="535" t="s">
        <v>115</v>
      </c>
      <c r="D44" s="535"/>
      <c r="E44" s="535"/>
      <c r="F44" s="535"/>
      <c r="G44" s="535"/>
      <c r="H44" s="535"/>
      <c r="I44" s="535"/>
      <c r="J44" s="535"/>
      <c r="K44" s="535"/>
      <c r="L44" s="535"/>
      <c r="M44" s="535"/>
      <c r="N44" s="535"/>
      <c r="O44" s="535"/>
      <c r="P44" s="535"/>
      <c r="Q44" s="535"/>
      <c r="R44" s="535"/>
      <c r="S44" s="535"/>
      <c r="T44" s="535"/>
      <c r="U44" s="535"/>
      <c r="V44" s="535"/>
      <c r="W44" s="535"/>
      <c r="X44" s="535"/>
      <c r="Y44" s="535"/>
      <c r="Z44" s="523">
        <f t="shared" si="0"/>
        <v>120</v>
      </c>
      <c r="AA44" s="523"/>
      <c r="AB44" s="523"/>
      <c r="AC44" s="523"/>
      <c r="AD44" s="523"/>
      <c r="AE44" s="356"/>
      <c r="AF44" s="356"/>
      <c r="AG44" s="356"/>
      <c r="AH44" s="356"/>
      <c r="AI44" s="356"/>
      <c r="AJ44" s="489">
        <f t="shared" si="1"/>
        <v>48</v>
      </c>
      <c r="AK44" s="489"/>
      <c r="AL44" s="489"/>
      <c r="AM44" s="489"/>
      <c r="AN44" s="489"/>
      <c r="AO44" s="489">
        <v>24</v>
      </c>
      <c r="AP44" s="489"/>
      <c r="AQ44" s="489"/>
      <c r="AR44" s="489"/>
      <c r="AS44" s="489"/>
      <c r="AT44" s="489">
        <v>24</v>
      </c>
      <c r="AU44" s="489"/>
      <c r="AV44" s="489"/>
      <c r="AW44" s="489"/>
      <c r="AX44" s="489"/>
      <c r="AY44" s="489"/>
      <c r="AZ44" s="489"/>
      <c r="BA44" s="489"/>
      <c r="BB44" s="489"/>
      <c r="BC44" s="489"/>
      <c r="BD44" s="518"/>
      <c r="BE44" s="518"/>
      <c r="BF44" s="518"/>
      <c r="BG44" s="518"/>
      <c r="BH44" s="518"/>
      <c r="BI44" s="518"/>
      <c r="BJ44" s="518"/>
      <c r="BK44" s="518"/>
      <c r="BL44" s="518"/>
      <c r="BM44" s="518"/>
      <c r="BN44" s="519">
        <f t="shared" si="2"/>
        <v>72</v>
      </c>
      <c r="BO44" s="519"/>
      <c r="BP44" s="519"/>
      <c r="BQ44" s="520"/>
      <c r="BR44" s="1135"/>
      <c r="BS44" s="1072"/>
      <c r="BT44" s="1055"/>
      <c r="BU44" s="1055"/>
      <c r="BV44" s="1055"/>
      <c r="BW44" s="1056"/>
      <c r="BX44" s="1054"/>
      <c r="BY44" s="1055"/>
      <c r="BZ44" s="1055"/>
      <c r="CA44" s="1055"/>
      <c r="CB44" s="1056"/>
      <c r="CC44" s="1054"/>
      <c r="CD44" s="1055"/>
      <c r="CE44" s="1055"/>
      <c r="CF44" s="1055"/>
      <c r="CG44" s="1056"/>
      <c r="CH44" s="1054"/>
      <c r="CI44" s="1055"/>
      <c r="CJ44" s="1055"/>
      <c r="CK44" s="1055"/>
      <c r="CL44" s="1056"/>
      <c r="CM44" s="1054">
        <v>4</v>
      </c>
      <c r="CN44" s="1055"/>
      <c r="CO44" s="1055"/>
      <c r="CP44" s="1055"/>
      <c r="CQ44" s="1056"/>
      <c r="CR44" s="1054"/>
      <c r="CS44" s="1055"/>
      <c r="CT44" s="1055"/>
      <c r="CU44" s="1055"/>
      <c r="CV44" s="1056"/>
      <c r="CW44" s="1054"/>
      <c r="CX44" s="1055"/>
      <c r="CY44" s="1055"/>
      <c r="CZ44" s="1055"/>
      <c r="DA44" s="1056"/>
      <c r="DB44" s="1054"/>
      <c r="DC44" s="1055"/>
      <c r="DD44" s="1055"/>
      <c r="DE44" s="1055"/>
      <c r="DF44" s="1056"/>
      <c r="DG44" s="1089"/>
      <c r="DH44" s="1090"/>
      <c r="DI44" s="1090"/>
      <c r="DJ44" s="1090"/>
      <c r="DK44" s="1091"/>
      <c r="DL44" s="1092"/>
      <c r="DM44" s="356"/>
      <c r="DN44" s="356"/>
      <c r="DO44" s="356"/>
      <c r="DP44" s="356"/>
      <c r="DQ44" s="356"/>
      <c r="DR44" s="356"/>
      <c r="DS44" s="356"/>
      <c r="DT44" s="356"/>
      <c r="DU44" s="356"/>
      <c r="DV44" s="356"/>
      <c r="DW44" s="356"/>
      <c r="DX44" s="356"/>
      <c r="DY44" s="356"/>
      <c r="DZ44" s="356"/>
      <c r="EA44" s="356"/>
      <c r="EB44" s="356"/>
      <c r="EC44" s="356"/>
      <c r="ED44" s="356"/>
      <c r="EE44" s="356"/>
      <c r="EF44" s="356">
        <v>4</v>
      </c>
      <c r="EG44" s="356"/>
      <c r="EH44" s="356"/>
      <c r="EI44" s="356"/>
      <c r="EJ44" s="356"/>
      <c r="EK44" s="356"/>
      <c r="EL44" s="356"/>
      <c r="EM44" s="356"/>
      <c r="EN44" s="356"/>
      <c r="EO44" s="356"/>
      <c r="EP44" s="356"/>
      <c r="EQ44" s="356"/>
      <c r="ER44" s="356"/>
      <c r="ES44" s="356"/>
      <c r="ET44" s="356"/>
      <c r="EU44" s="356"/>
      <c r="EV44" s="356"/>
      <c r="EW44" s="356"/>
      <c r="EX44" s="356"/>
      <c r="EY44" s="356"/>
      <c r="EZ44" s="1062"/>
      <c r="FA44" s="1062"/>
      <c r="FB44" s="1062"/>
      <c r="FC44" s="1062"/>
      <c r="FD44" s="1063"/>
      <c r="FE44" s="1052">
        <f t="shared" si="3"/>
        <v>4</v>
      </c>
      <c r="FF44" s="478"/>
      <c r="FG44" s="478"/>
      <c r="FH44" s="479"/>
      <c r="FI44" s="1053"/>
    </row>
    <row r="45" spans="1:165" s="120" customFormat="1" ht="90" customHeight="1" x14ac:dyDescent="0.2">
      <c r="A45" s="219" t="s">
        <v>86</v>
      </c>
      <c r="B45" s="283" t="s">
        <v>311</v>
      </c>
      <c r="C45" s="388" t="s">
        <v>210</v>
      </c>
      <c r="D45" s="388"/>
      <c r="E45" s="388"/>
      <c r="F45" s="388"/>
      <c r="G45" s="388"/>
      <c r="H45" s="388"/>
      <c r="I45" s="388"/>
      <c r="J45" s="388"/>
      <c r="K45" s="388"/>
      <c r="L45" s="388"/>
      <c r="M45" s="388"/>
      <c r="N45" s="388"/>
      <c r="O45" s="388"/>
      <c r="P45" s="388"/>
      <c r="Q45" s="388"/>
      <c r="R45" s="388"/>
      <c r="S45" s="388"/>
      <c r="T45" s="388"/>
      <c r="U45" s="388"/>
      <c r="V45" s="388"/>
      <c r="W45" s="388"/>
      <c r="X45" s="388"/>
      <c r="Y45" s="388"/>
      <c r="Z45" s="523">
        <f t="shared" ref="Z45" si="4">+FE45*30</f>
        <v>120</v>
      </c>
      <c r="AA45" s="523"/>
      <c r="AB45" s="523"/>
      <c r="AC45" s="523"/>
      <c r="AD45" s="523"/>
      <c r="AE45" s="356"/>
      <c r="AF45" s="356"/>
      <c r="AG45" s="356"/>
      <c r="AH45" s="356"/>
      <c r="AI45" s="356"/>
      <c r="AJ45" s="489">
        <f t="shared" ref="AJ45" si="5">SUM(AO45:BH45)</f>
        <v>48</v>
      </c>
      <c r="AK45" s="489"/>
      <c r="AL45" s="489"/>
      <c r="AM45" s="489"/>
      <c r="AN45" s="489"/>
      <c r="AO45" s="489">
        <v>24</v>
      </c>
      <c r="AP45" s="489"/>
      <c r="AQ45" s="489"/>
      <c r="AR45" s="489"/>
      <c r="AS45" s="489"/>
      <c r="AT45" s="489">
        <v>24</v>
      </c>
      <c r="AU45" s="489"/>
      <c r="AV45" s="489"/>
      <c r="AW45" s="489"/>
      <c r="AX45" s="489"/>
      <c r="AY45" s="489"/>
      <c r="AZ45" s="489"/>
      <c r="BA45" s="489"/>
      <c r="BB45" s="489"/>
      <c r="BC45" s="489"/>
      <c r="BD45" s="518"/>
      <c r="BE45" s="518"/>
      <c r="BF45" s="518"/>
      <c r="BG45" s="518"/>
      <c r="BH45" s="518"/>
      <c r="BI45" s="518"/>
      <c r="BJ45" s="518"/>
      <c r="BK45" s="518"/>
      <c r="BL45" s="518"/>
      <c r="BM45" s="518"/>
      <c r="BN45" s="519">
        <f t="shared" ref="BN45" si="6">Z45-AJ45</f>
        <v>72</v>
      </c>
      <c r="BO45" s="519"/>
      <c r="BP45" s="519"/>
      <c r="BQ45" s="520"/>
      <c r="BR45" s="1135"/>
      <c r="BS45" s="1072"/>
      <c r="BT45" s="1055"/>
      <c r="BU45" s="1055"/>
      <c r="BV45" s="1055"/>
      <c r="BW45" s="1056"/>
      <c r="BX45" s="1054"/>
      <c r="BY45" s="1055"/>
      <c r="BZ45" s="1055"/>
      <c r="CA45" s="1055"/>
      <c r="CB45" s="1056"/>
      <c r="CC45" s="1054"/>
      <c r="CD45" s="1055"/>
      <c r="CE45" s="1055"/>
      <c r="CF45" s="1055"/>
      <c r="CG45" s="1056"/>
      <c r="CH45" s="1054"/>
      <c r="CI45" s="1055"/>
      <c r="CJ45" s="1055"/>
      <c r="CK45" s="1055"/>
      <c r="CL45" s="1056"/>
      <c r="CM45" s="1054"/>
      <c r="CN45" s="1055"/>
      <c r="CO45" s="1055"/>
      <c r="CP45" s="1055"/>
      <c r="CQ45" s="1056"/>
      <c r="CR45" s="1054"/>
      <c r="CS45" s="1055"/>
      <c r="CT45" s="1055"/>
      <c r="CU45" s="1055"/>
      <c r="CV45" s="1056"/>
      <c r="CW45" s="1054">
        <v>3</v>
      </c>
      <c r="CX45" s="1055"/>
      <c r="CY45" s="1055"/>
      <c r="CZ45" s="1055"/>
      <c r="DA45" s="1056"/>
      <c r="DB45" s="1054"/>
      <c r="DC45" s="1055"/>
      <c r="DD45" s="1055"/>
      <c r="DE45" s="1055"/>
      <c r="DF45" s="1056"/>
      <c r="DG45" s="1089"/>
      <c r="DH45" s="1090"/>
      <c r="DI45" s="1090"/>
      <c r="DJ45" s="1090"/>
      <c r="DK45" s="1091"/>
      <c r="DL45" s="1092"/>
      <c r="DM45" s="356"/>
      <c r="DN45" s="356"/>
      <c r="DO45" s="356"/>
      <c r="DP45" s="356"/>
      <c r="DQ45" s="356"/>
      <c r="DR45" s="356"/>
      <c r="DS45" s="356"/>
      <c r="DT45" s="356"/>
      <c r="DU45" s="356"/>
      <c r="DV45" s="356"/>
      <c r="DW45" s="356"/>
      <c r="DX45" s="356"/>
      <c r="DY45" s="356"/>
      <c r="DZ45" s="356"/>
      <c r="EA45" s="356"/>
      <c r="EB45" s="356"/>
      <c r="EC45" s="356"/>
      <c r="ED45" s="356"/>
      <c r="EE45" s="356"/>
      <c r="EF45" s="356"/>
      <c r="EG45" s="356"/>
      <c r="EH45" s="356"/>
      <c r="EI45" s="356"/>
      <c r="EJ45" s="356"/>
      <c r="EK45" s="356"/>
      <c r="EL45" s="356"/>
      <c r="EM45" s="356"/>
      <c r="EN45" s="356"/>
      <c r="EO45" s="356"/>
      <c r="EP45" s="356">
        <v>4</v>
      </c>
      <c r="EQ45" s="356"/>
      <c r="ER45" s="356"/>
      <c r="ES45" s="356"/>
      <c r="ET45" s="356"/>
      <c r="EU45" s="356"/>
      <c r="EV45" s="356"/>
      <c r="EW45" s="356"/>
      <c r="EX45" s="356"/>
      <c r="EY45" s="356"/>
      <c r="EZ45" s="1062"/>
      <c r="FA45" s="1062"/>
      <c r="FB45" s="1062"/>
      <c r="FC45" s="1062"/>
      <c r="FD45" s="1063"/>
      <c r="FE45" s="1052">
        <f t="shared" si="3"/>
        <v>4</v>
      </c>
      <c r="FF45" s="478"/>
      <c r="FG45" s="478"/>
      <c r="FH45" s="479"/>
      <c r="FI45" s="1053"/>
    </row>
    <row r="46" spans="1:165" s="120" customFormat="1" ht="90" customHeight="1" x14ac:dyDescent="0.2">
      <c r="A46" s="220" t="s">
        <v>87</v>
      </c>
      <c r="B46" s="282" t="s">
        <v>137</v>
      </c>
      <c r="C46" s="535" t="s">
        <v>124</v>
      </c>
      <c r="D46" s="535"/>
      <c r="E46" s="535"/>
      <c r="F46" s="535"/>
      <c r="G46" s="535"/>
      <c r="H46" s="535"/>
      <c r="I46" s="535"/>
      <c r="J46" s="535"/>
      <c r="K46" s="535"/>
      <c r="L46" s="535"/>
      <c r="M46" s="535"/>
      <c r="N46" s="535"/>
      <c r="O46" s="535"/>
      <c r="P46" s="535"/>
      <c r="Q46" s="535"/>
      <c r="R46" s="535"/>
      <c r="S46" s="535"/>
      <c r="T46" s="535"/>
      <c r="U46" s="535"/>
      <c r="V46" s="535"/>
      <c r="W46" s="535"/>
      <c r="X46" s="535"/>
      <c r="Y46" s="535"/>
      <c r="Z46" s="523">
        <f t="shared" si="0"/>
        <v>120</v>
      </c>
      <c r="AA46" s="523"/>
      <c r="AB46" s="523"/>
      <c r="AC46" s="523"/>
      <c r="AD46" s="523"/>
      <c r="AE46" s="356"/>
      <c r="AF46" s="356"/>
      <c r="AG46" s="356"/>
      <c r="AH46" s="356"/>
      <c r="AI46" s="356"/>
      <c r="AJ46" s="489">
        <f t="shared" si="1"/>
        <v>48</v>
      </c>
      <c r="AK46" s="489"/>
      <c r="AL46" s="489"/>
      <c r="AM46" s="489"/>
      <c r="AN46" s="489"/>
      <c r="AO46" s="489">
        <v>24</v>
      </c>
      <c r="AP46" s="489"/>
      <c r="AQ46" s="489"/>
      <c r="AR46" s="489"/>
      <c r="AS46" s="489"/>
      <c r="AT46" s="489">
        <v>24</v>
      </c>
      <c r="AU46" s="489"/>
      <c r="AV46" s="489"/>
      <c r="AW46" s="489"/>
      <c r="AX46" s="489"/>
      <c r="AY46" s="489"/>
      <c r="AZ46" s="489"/>
      <c r="BA46" s="489"/>
      <c r="BB46" s="489"/>
      <c r="BC46" s="489"/>
      <c r="BD46" s="518"/>
      <c r="BE46" s="518"/>
      <c r="BF46" s="518"/>
      <c r="BG46" s="518"/>
      <c r="BH46" s="518"/>
      <c r="BI46" s="518"/>
      <c r="BJ46" s="518"/>
      <c r="BK46" s="518"/>
      <c r="BL46" s="518"/>
      <c r="BM46" s="518"/>
      <c r="BN46" s="519">
        <f t="shared" si="2"/>
        <v>72</v>
      </c>
      <c r="BO46" s="519"/>
      <c r="BP46" s="519"/>
      <c r="BQ46" s="520"/>
      <c r="BR46" s="1135"/>
      <c r="BS46" s="1072"/>
      <c r="BT46" s="1055"/>
      <c r="BU46" s="1055"/>
      <c r="BV46" s="1055"/>
      <c r="BW46" s="1056"/>
      <c r="BX46" s="1054"/>
      <c r="BY46" s="1055"/>
      <c r="BZ46" s="1055"/>
      <c r="CA46" s="1055"/>
      <c r="CB46" s="1056"/>
      <c r="CC46" s="1054"/>
      <c r="CD46" s="1055"/>
      <c r="CE46" s="1055"/>
      <c r="CF46" s="1055"/>
      <c r="CG46" s="1056"/>
      <c r="CH46" s="1054">
        <v>4</v>
      </c>
      <c r="CI46" s="1055"/>
      <c r="CJ46" s="1055"/>
      <c r="CK46" s="1055"/>
      <c r="CL46" s="1056"/>
      <c r="CM46" s="1054"/>
      <c r="CN46" s="1055"/>
      <c r="CO46" s="1055"/>
      <c r="CP46" s="1055"/>
      <c r="CQ46" s="1056"/>
      <c r="CR46" s="1054"/>
      <c r="CS46" s="1055"/>
      <c r="CT46" s="1055"/>
      <c r="CU46" s="1055"/>
      <c r="CV46" s="1056"/>
      <c r="CW46" s="1054"/>
      <c r="CX46" s="1055"/>
      <c r="CY46" s="1055"/>
      <c r="CZ46" s="1055"/>
      <c r="DA46" s="1056"/>
      <c r="DB46" s="1054"/>
      <c r="DC46" s="1055"/>
      <c r="DD46" s="1055"/>
      <c r="DE46" s="1055"/>
      <c r="DF46" s="1056"/>
      <c r="DG46" s="1089"/>
      <c r="DH46" s="1090"/>
      <c r="DI46" s="1090"/>
      <c r="DJ46" s="1090"/>
      <c r="DK46" s="1091"/>
      <c r="DL46" s="1092"/>
      <c r="DM46" s="356"/>
      <c r="DN46" s="356"/>
      <c r="DO46" s="356"/>
      <c r="DP46" s="356"/>
      <c r="DQ46" s="356"/>
      <c r="DR46" s="356"/>
      <c r="DS46" s="356"/>
      <c r="DT46" s="356"/>
      <c r="DU46" s="356"/>
      <c r="DV46" s="356"/>
      <c r="DW46" s="356"/>
      <c r="DX46" s="356"/>
      <c r="DY46" s="356"/>
      <c r="DZ46" s="356"/>
      <c r="EA46" s="356">
        <v>4</v>
      </c>
      <c r="EB46" s="356"/>
      <c r="EC46" s="356"/>
      <c r="ED46" s="356"/>
      <c r="EE46" s="356"/>
      <c r="EF46" s="356"/>
      <c r="EG46" s="356"/>
      <c r="EH46" s="356"/>
      <c r="EI46" s="356"/>
      <c r="EJ46" s="356"/>
      <c r="EK46" s="356"/>
      <c r="EL46" s="356"/>
      <c r="EM46" s="356"/>
      <c r="EN46" s="356"/>
      <c r="EO46" s="356"/>
      <c r="EP46" s="356"/>
      <c r="EQ46" s="356"/>
      <c r="ER46" s="356"/>
      <c r="ES46" s="356"/>
      <c r="ET46" s="356"/>
      <c r="EU46" s="356"/>
      <c r="EV46" s="356"/>
      <c r="EW46" s="356"/>
      <c r="EX46" s="356"/>
      <c r="EY46" s="356"/>
      <c r="EZ46" s="1062"/>
      <c r="FA46" s="1062"/>
      <c r="FB46" s="1062"/>
      <c r="FC46" s="1062"/>
      <c r="FD46" s="1063"/>
      <c r="FE46" s="1052">
        <f t="shared" si="3"/>
        <v>4</v>
      </c>
      <c r="FF46" s="478"/>
      <c r="FG46" s="478"/>
      <c r="FH46" s="479"/>
      <c r="FI46" s="1053"/>
    </row>
    <row r="47" spans="1:165" s="120" customFormat="1" ht="90" customHeight="1" x14ac:dyDescent="0.2">
      <c r="A47" s="220" t="s">
        <v>88</v>
      </c>
      <c r="B47" s="282" t="s">
        <v>138</v>
      </c>
      <c r="C47" s="535" t="s">
        <v>187</v>
      </c>
      <c r="D47" s="535"/>
      <c r="E47" s="535"/>
      <c r="F47" s="535"/>
      <c r="G47" s="535"/>
      <c r="H47" s="535"/>
      <c r="I47" s="535"/>
      <c r="J47" s="535"/>
      <c r="K47" s="535"/>
      <c r="L47" s="535"/>
      <c r="M47" s="535"/>
      <c r="N47" s="535"/>
      <c r="O47" s="535"/>
      <c r="P47" s="535"/>
      <c r="Q47" s="535"/>
      <c r="R47" s="535"/>
      <c r="S47" s="535"/>
      <c r="T47" s="535"/>
      <c r="U47" s="535"/>
      <c r="V47" s="535"/>
      <c r="W47" s="535"/>
      <c r="X47" s="535"/>
      <c r="Y47" s="535"/>
      <c r="Z47" s="523">
        <f t="shared" si="0"/>
        <v>150</v>
      </c>
      <c r="AA47" s="523"/>
      <c r="AB47" s="523"/>
      <c r="AC47" s="523"/>
      <c r="AD47" s="523"/>
      <c r="AE47" s="356"/>
      <c r="AF47" s="356"/>
      <c r="AG47" s="356"/>
      <c r="AH47" s="356"/>
      <c r="AI47" s="356"/>
      <c r="AJ47" s="489">
        <f t="shared" si="1"/>
        <v>60</v>
      </c>
      <c r="AK47" s="489"/>
      <c r="AL47" s="489"/>
      <c r="AM47" s="489"/>
      <c r="AN47" s="489"/>
      <c r="AO47" s="489">
        <v>30</v>
      </c>
      <c r="AP47" s="489"/>
      <c r="AQ47" s="489"/>
      <c r="AR47" s="489"/>
      <c r="AS47" s="489"/>
      <c r="AT47" s="489">
        <v>30</v>
      </c>
      <c r="AU47" s="489"/>
      <c r="AV47" s="489"/>
      <c r="AW47" s="489"/>
      <c r="AX47" s="489"/>
      <c r="AY47" s="489"/>
      <c r="AZ47" s="489"/>
      <c r="BA47" s="489"/>
      <c r="BB47" s="489"/>
      <c r="BC47" s="489"/>
      <c r="BD47" s="518"/>
      <c r="BE47" s="518"/>
      <c r="BF47" s="518"/>
      <c r="BG47" s="518"/>
      <c r="BH47" s="518"/>
      <c r="BI47" s="518"/>
      <c r="BJ47" s="518"/>
      <c r="BK47" s="518"/>
      <c r="BL47" s="518"/>
      <c r="BM47" s="518"/>
      <c r="BN47" s="519">
        <f t="shared" si="2"/>
        <v>90</v>
      </c>
      <c r="BO47" s="519"/>
      <c r="BP47" s="519"/>
      <c r="BQ47" s="520"/>
      <c r="BR47" s="1135"/>
      <c r="BS47" s="1072"/>
      <c r="BT47" s="1055"/>
      <c r="BU47" s="1055"/>
      <c r="BV47" s="1055"/>
      <c r="BW47" s="1056"/>
      <c r="BX47" s="1054"/>
      <c r="BY47" s="1055"/>
      <c r="BZ47" s="1055"/>
      <c r="CA47" s="1055"/>
      <c r="CB47" s="1056"/>
      <c r="CC47" s="1054"/>
      <c r="CD47" s="1055"/>
      <c r="CE47" s="1055"/>
      <c r="CF47" s="1055"/>
      <c r="CG47" s="1056"/>
      <c r="CH47" s="1054"/>
      <c r="CI47" s="1055"/>
      <c r="CJ47" s="1055"/>
      <c r="CK47" s="1055"/>
      <c r="CL47" s="1056"/>
      <c r="CM47" s="1054"/>
      <c r="CN47" s="1055"/>
      <c r="CO47" s="1055"/>
      <c r="CP47" s="1055"/>
      <c r="CQ47" s="1056"/>
      <c r="CR47" s="1054">
        <v>4</v>
      </c>
      <c r="CS47" s="1055"/>
      <c r="CT47" s="1055"/>
      <c r="CU47" s="1055"/>
      <c r="CV47" s="1056"/>
      <c r="CW47" s="1054"/>
      <c r="CX47" s="1055"/>
      <c r="CY47" s="1055"/>
      <c r="CZ47" s="1055"/>
      <c r="DA47" s="1056"/>
      <c r="DB47" s="1054"/>
      <c r="DC47" s="1055"/>
      <c r="DD47" s="1055"/>
      <c r="DE47" s="1055"/>
      <c r="DF47" s="1056"/>
      <c r="DG47" s="1089"/>
      <c r="DH47" s="1090"/>
      <c r="DI47" s="1090"/>
      <c r="DJ47" s="1090"/>
      <c r="DK47" s="1091"/>
      <c r="DL47" s="1092"/>
      <c r="DM47" s="356"/>
      <c r="DN47" s="356"/>
      <c r="DO47" s="356"/>
      <c r="DP47" s="356"/>
      <c r="DQ47" s="356"/>
      <c r="DR47" s="356"/>
      <c r="DS47" s="356"/>
      <c r="DT47" s="356"/>
      <c r="DU47" s="356"/>
      <c r="DV47" s="356"/>
      <c r="DW47" s="356"/>
      <c r="DX47" s="356"/>
      <c r="DY47" s="356"/>
      <c r="DZ47" s="356"/>
      <c r="EA47" s="356"/>
      <c r="EB47" s="356"/>
      <c r="EC47" s="356"/>
      <c r="ED47" s="356"/>
      <c r="EE47" s="356"/>
      <c r="EF47" s="356"/>
      <c r="EG47" s="356"/>
      <c r="EH47" s="356"/>
      <c r="EI47" s="356"/>
      <c r="EJ47" s="356"/>
      <c r="EK47" s="356">
        <v>5</v>
      </c>
      <c r="EL47" s="356"/>
      <c r="EM47" s="356"/>
      <c r="EN47" s="356"/>
      <c r="EO47" s="356"/>
      <c r="EP47" s="356"/>
      <c r="EQ47" s="356"/>
      <c r="ER47" s="356"/>
      <c r="ES47" s="356"/>
      <c r="ET47" s="356"/>
      <c r="EU47" s="356"/>
      <c r="EV47" s="356"/>
      <c r="EW47" s="356"/>
      <c r="EX47" s="356"/>
      <c r="EY47" s="356"/>
      <c r="EZ47" s="1062"/>
      <c r="FA47" s="1062"/>
      <c r="FB47" s="1062"/>
      <c r="FC47" s="1062"/>
      <c r="FD47" s="1063"/>
      <c r="FE47" s="1052">
        <f t="shared" si="3"/>
        <v>5</v>
      </c>
      <c r="FF47" s="478"/>
      <c r="FG47" s="478"/>
      <c r="FH47" s="479"/>
      <c r="FI47" s="1053"/>
    </row>
    <row r="48" spans="1:165" s="120" customFormat="1" ht="90" customHeight="1" x14ac:dyDescent="0.2">
      <c r="A48" s="219" t="s">
        <v>4</v>
      </c>
      <c r="B48" s="282" t="s">
        <v>139</v>
      </c>
      <c r="C48" s="535" t="s">
        <v>149</v>
      </c>
      <c r="D48" s="535"/>
      <c r="E48" s="535"/>
      <c r="F48" s="535"/>
      <c r="G48" s="535"/>
      <c r="H48" s="535"/>
      <c r="I48" s="535"/>
      <c r="J48" s="535"/>
      <c r="K48" s="535"/>
      <c r="L48" s="535"/>
      <c r="M48" s="535"/>
      <c r="N48" s="535"/>
      <c r="O48" s="535"/>
      <c r="P48" s="535"/>
      <c r="Q48" s="535"/>
      <c r="R48" s="535"/>
      <c r="S48" s="535"/>
      <c r="T48" s="535"/>
      <c r="U48" s="535"/>
      <c r="V48" s="535"/>
      <c r="W48" s="535"/>
      <c r="X48" s="535"/>
      <c r="Y48" s="535"/>
      <c r="Z48" s="523">
        <f t="shared" si="0"/>
        <v>390</v>
      </c>
      <c r="AA48" s="523"/>
      <c r="AB48" s="523"/>
      <c r="AC48" s="523"/>
      <c r="AD48" s="523"/>
      <c r="AE48" s="356"/>
      <c r="AF48" s="356"/>
      <c r="AG48" s="356"/>
      <c r="AH48" s="356"/>
      <c r="AI48" s="356"/>
      <c r="AJ48" s="489">
        <f t="shared" si="1"/>
        <v>156</v>
      </c>
      <c r="AK48" s="489"/>
      <c r="AL48" s="489"/>
      <c r="AM48" s="489"/>
      <c r="AN48" s="489"/>
      <c r="AO48" s="489">
        <v>78</v>
      </c>
      <c r="AP48" s="489"/>
      <c r="AQ48" s="489"/>
      <c r="AR48" s="489"/>
      <c r="AS48" s="489"/>
      <c r="AT48" s="489">
        <v>78</v>
      </c>
      <c r="AU48" s="489"/>
      <c r="AV48" s="489"/>
      <c r="AW48" s="489"/>
      <c r="AX48" s="489"/>
      <c r="AY48" s="489"/>
      <c r="AZ48" s="489"/>
      <c r="BA48" s="489"/>
      <c r="BB48" s="489"/>
      <c r="BC48" s="489"/>
      <c r="BD48" s="518"/>
      <c r="BE48" s="518"/>
      <c r="BF48" s="518"/>
      <c r="BG48" s="518"/>
      <c r="BH48" s="518"/>
      <c r="BI48" s="518"/>
      <c r="BJ48" s="518"/>
      <c r="BK48" s="518"/>
      <c r="BL48" s="518"/>
      <c r="BM48" s="518"/>
      <c r="BN48" s="519">
        <f t="shared" si="2"/>
        <v>234</v>
      </c>
      <c r="BO48" s="519"/>
      <c r="BP48" s="519"/>
      <c r="BQ48" s="520"/>
      <c r="BR48" s="1135"/>
      <c r="BS48" s="1072"/>
      <c r="BT48" s="1055"/>
      <c r="BU48" s="1055"/>
      <c r="BV48" s="1055"/>
      <c r="BW48" s="1056"/>
      <c r="BX48" s="1054"/>
      <c r="BY48" s="1055"/>
      <c r="BZ48" s="1055"/>
      <c r="CA48" s="1055"/>
      <c r="CB48" s="1056"/>
      <c r="CC48" s="1054"/>
      <c r="CD48" s="1055"/>
      <c r="CE48" s="1055"/>
      <c r="CF48" s="1055"/>
      <c r="CG48" s="1056"/>
      <c r="CH48" s="1054">
        <v>3</v>
      </c>
      <c r="CI48" s="1055"/>
      <c r="CJ48" s="1055"/>
      <c r="CK48" s="1055"/>
      <c r="CL48" s="1056"/>
      <c r="CM48" s="1054">
        <v>4</v>
      </c>
      <c r="CN48" s="1055"/>
      <c r="CO48" s="1055"/>
      <c r="CP48" s="1055"/>
      <c r="CQ48" s="1056"/>
      <c r="CR48" s="1054">
        <v>5</v>
      </c>
      <c r="CS48" s="1055"/>
      <c r="CT48" s="1055"/>
      <c r="CU48" s="1055"/>
      <c r="CV48" s="1056"/>
      <c r="CW48" s="1054"/>
      <c r="CX48" s="1055"/>
      <c r="CY48" s="1055"/>
      <c r="CZ48" s="1055"/>
      <c r="DA48" s="1056"/>
      <c r="DB48" s="1054"/>
      <c r="DC48" s="1055"/>
      <c r="DD48" s="1055"/>
      <c r="DE48" s="1055"/>
      <c r="DF48" s="1056"/>
      <c r="DG48" s="1089"/>
      <c r="DH48" s="1090"/>
      <c r="DI48" s="1090"/>
      <c r="DJ48" s="1090"/>
      <c r="DK48" s="1091"/>
      <c r="DL48" s="1092"/>
      <c r="DM48" s="356"/>
      <c r="DN48" s="356"/>
      <c r="DO48" s="356"/>
      <c r="DP48" s="356"/>
      <c r="DQ48" s="356"/>
      <c r="DR48" s="356"/>
      <c r="DS48" s="356"/>
      <c r="DT48" s="356"/>
      <c r="DU48" s="356"/>
      <c r="DV48" s="356"/>
      <c r="DW48" s="356"/>
      <c r="DX48" s="356"/>
      <c r="DY48" s="356"/>
      <c r="DZ48" s="356"/>
      <c r="EA48" s="356">
        <v>4</v>
      </c>
      <c r="EB48" s="356"/>
      <c r="EC48" s="356"/>
      <c r="ED48" s="356"/>
      <c r="EE48" s="356"/>
      <c r="EF48" s="356">
        <v>4</v>
      </c>
      <c r="EG48" s="356"/>
      <c r="EH48" s="356"/>
      <c r="EI48" s="356"/>
      <c r="EJ48" s="356"/>
      <c r="EK48" s="356">
        <v>5</v>
      </c>
      <c r="EL48" s="356"/>
      <c r="EM48" s="356"/>
      <c r="EN48" s="356"/>
      <c r="EO48" s="356"/>
      <c r="EP48" s="356"/>
      <c r="EQ48" s="356"/>
      <c r="ER48" s="356"/>
      <c r="ES48" s="356"/>
      <c r="ET48" s="356"/>
      <c r="EU48" s="356"/>
      <c r="EV48" s="356"/>
      <c r="EW48" s="356"/>
      <c r="EX48" s="356"/>
      <c r="EY48" s="356"/>
      <c r="EZ48" s="1062"/>
      <c r="FA48" s="1062"/>
      <c r="FB48" s="1062"/>
      <c r="FC48" s="1062"/>
      <c r="FD48" s="1063"/>
      <c r="FE48" s="1052">
        <f t="shared" si="3"/>
        <v>13</v>
      </c>
      <c r="FF48" s="478"/>
      <c r="FG48" s="478"/>
      <c r="FH48" s="479"/>
      <c r="FI48" s="1053"/>
    </row>
    <row r="49" spans="1:166" s="276" customFormat="1" ht="90" customHeight="1" x14ac:dyDescent="0.2">
      <c r="A49" s="220" t="s">
        <v>5</v>
      </c>
      <c r="B49" s="298" t="s">
        <v>141</v>
      </c>
      <c r="C49" s="488" t="s">
        <v>186</v>
      </c>
      <c r="D49" s="488"/>
      <c r="E49" s="488"/>
      <c r="F49" s="488"/>
      <c r="G49" s="488"/>
      <c r="H49" s="488"/>
      <c r="I49" s="488"/>
      <c r="J49" s="488"/>
      <c r="K49" s="488"/>
      <c r="L49" s="488"/>
      <c r="M49" s="488"/>
      <c r="N49" s="488"/>
      <c r="O49" s="488"/>
      <c r="P49" s="488"/>
      <c r="Q49" s="488"/>
      <c r="R49" s="488"/>
      <c r="S49" s="488"/>
      <c r="T49" s="488"/>
      <c r="U49" s="488"/>
      <c r="V49" s="488"/>
      <c r="W49" s="488"/>
      <c r="X49" s="488"/>
      <c r="Y49" s="488"/>
      <c r="Z49" s="1147">
        <f t="shared" si="0"/>
        <v>210</v>
      </c>
      <c r="AA49" s="1147"/>
      <c r="AB49" s="1147"/>
      <c r="AC49" s="1147"/>
      <c r="AD49" s="1147"/>
      <c r="AE49" s="1140"/>
      <c r="AF49" s="1140"/>
      <c r="AG49" s="1140"/>
      <c r="AH49" s="1140"/>
      <c r="AI49" s="1140"/>
      <c r="AJ49" s="1136">
        <f t="shared" si="1"/>
        <v>84</v>
      </c>
      <c r="AK49" s="1136"/>
      <c r="AL49" s="1136"/>
      <c r="AM49" s="1136"/>
      <c r="AN49" s="1136"/>
      <c r="AO49" s="1136">
        <v>42</v>
      </c>
      <c r="AP49" s="1136"/>
      <c r="AQ49" s="1136"/>
      <c r="AR49" s="1136"/>
      <c r="AS49" s="1136"/>
      <c r="AT49" s="1136">
        <v>42</v>
      </c>
      <c r="AU49" s="1136"/>
      <c r="AV49" s="1136"/>
      <c r="AW49" s="1136"/>
      <c r="AX49" s="1136"/>
      <c r="AY49" s="1136"/>
      <c r="AZ49" s="1136"/>
      <c r="BA49" s="1136"/>
      <c r="BB49" s="1136"/>
      <c r="BC49" s="1136"/>
      <c r="BD49" s="1137"/>
      <c r="BE49" s="1137"/>
      <c r="BF49" s="1137"/>
      <c r="BG49" s="1137"/>
      <c r="BH49" s="1137"/>
      <c r="BI49" s="1137"/>
      <c r="BJ49" s="1137"/>
      <c r="BK49" s="1137"/>
      <c r="BL49" s="1137"/>
      <c r="BM49" s="1137"/>
      <c r="BN49" s="1138">
        <f t="shared" si="2"/>
        <v>126</v>
      </c>
      <c r="BO49" s="1138"/>
      <c r="BP49" s="1138"/>
      <c r="BQ49" s="1085"/>
      <c r="BR49" s="1139"/>
      <c r="BS49" s="1088"/>
      <c r="BT49" s="1077"/>
      <c r="BU49" s="1077"/>
      <c r="BV49" s="1077"/>
      <c r="BW49" s="1078"/>
      <c r="BX49" s="1076"/>
      <c r="BY49" s="1077"/>
      <c r="BZ49" s="1077"/>
      <c r="CA49" s="1077"/>
      <c r="CB49" s="1078"/>
      <c r="CC49" s="1076"/>
      <c r="CD49" s="1077"/>
      <c r="CE49" s="1077"/>
      <c r="CF49" s="1077"/>
      <c r="CG49" s="1078"/>
      <c r="CH49" s="1076"/>
      <c r="CI49" s="1077"/>
      <c r="CJ49" s="1077"/>
      <c r="CK49" s="1077"/>
      <c r="CL49" s="1078"/>
      <c r="CM49" s="1076"/>
      <c r="CN49" s="1077"/>
      <c r="CO49" s="1077"/>
      <c r="CP49" s="1077"/>
      <c r="CQ49" s="1078"/>
      <c r="CR49" s="1076"/>
      <c r="CS49" s="1077"/>
      <c r="CT49" s="1077"/>
      <c r="CU49" s="1077"/>
      <c r="CV49" s="1078"/>
      <c r="CW49" s="1076">
        <v>4</v>
      </c>
      <c r="CX49" s="1077"/>
      <c r="CY49" s="1077"/>
      <c r="CZ49" s="1077"/>
      <c r="DA49" s="1078"/>
      <c r="DB49" s="1076">
        <v>2</v>
      </c>
      <c r="DC49" s="1077"/>
      <c r="DD49" s="1077"/>
      <c r="DE49" s="1077"/>
      <c r="DF49" s="1078"/>
      <c r="DG49" s="1143"/>
      <c r="DH49" s="1144"/>
      <c r="DI49" s="1144"/>
      <c r="DJ49" s="1144"/>
      <c r="DK49" s="1145"/>
      <c r="DL49" s="1146"/>
      <c r="DM49" s="1140"/>
      <c r="DN49" s="1140"/>
      <c r="DO49" s="1140"/>
      <c r="DP49" s="1140"/>
      <c r="DQ49" s="1140"/>
      <c r="DR49" s="1140"/>
      <c r="DS49" s="1140"/>
      <c r="DT49" s="1140"/>
      <c r="DU49" s="1140"/>
      <c r="DV49" s="1140"/>
      <c r="DW49" s="1140"/>
      <c r="DX49" s="1140"/>
      <c r="DY49" s="1140"/>
      <c r="DZ49" s="1140"/>
      <c r="EA49" s="1140"/>
      <c r="EB49" s="1140"/>
      <c r="EC49" s="1140"/>
      <c r="ED49" s="1140"/>
      <c r="EE49" s="1140"/>
      <c r="EF49" s="1140"/>
      <c r="EG49" s="1140"/>
      <c r="EH49" s="1140"/>
      <c r="EI49" s="1140"/>
      <c r="EJ49" s="1140"/>
      <c r="EK49" s="1140"/>
      <c r="EL49" s="1140"/>
      <c r="EM49" s="1140"/>
      <c r="EN49" s="1140"/>
      <c r="EO49" s="1140"/>
      <c r="EP49" s="1076">
        <v>4</v>
      </c>
      <c r="EQ49" s="1077"/>
      <c r="ER49" s="1077"/>
      <c r="ES49" s="1077"/>
      <c r="ET49" s="1078"/>
      <c r="EU49" s="1140">
        <v>3</v>
      </c>
      <c r="EV49" s="1140"/>
      <c r="EW49" s="1140"/>
      <c r="EX49" s="1140"/>
      <c r="EY49" s="1140"/>
      <c r="EZ49" s="1141"/>
      <c r="FA49" s="1141"/>
      <c r="FB49" s="1141"/>
      <c r="FC49" s="1141"/>
      <c r="FD49" s="1142"/>
      <c r="FE49" s="1058">
        <f t="shared" si="3"/>
        <v>7</v>
      </c>
      <c r="FF49" s="1059"/>
      <c r="FG49" s="1059"/>
      <c r="FH49" s="1060"/>
      <c r="FI49" s="1061"/>
    </row>
    <row r="50" spans="1:166" s="120" customFormat="1" ht="90" customHeight="1" x14ac:dyDescent="0.2">
      <c r="A50" s="220" t="s">
        <v>6</v>
      </c>
      <c r="B50" s="282" t="s">
        <v>188</v>
      </c>
      <c r="C50" s="388" t="s">
        <v>293</v>
      </c>
      <c r="D50" s="388"/>
      <c r="E50" s="388"/>
      <c r="F50" s="388"/>
      <c r="G50" s="388"/>
      <c r="H50" s="388"/>
      <c r="I50" s="388"/>
      <c r="J50" s="388"/>
      <c r="K50" s="388"/>
      <c r="L50" s="388"/>
      <c r="M50" s="388"/>
      <c r="N50" s="388"/>
      <c r="O50" s="388"/>
      <c r="P50" s="388"/>
      <c r="Q50" s="388"/>
      <c r="R50" s="388"/>
      <c r="S50" s="388"/>
      <c r="T50" s="388"/>
      <c r="U50" s="388"/>
      <c r="V50" s="388"/>
      <c r="W50" s="388"/>
      <c r="X50" s="388"/>
      <c r="Y50" s="388"/>
      <c r="Z50" s="523">
        <f t="shared" si="0"/>
        <v>150</v>
      </c>
      <c r="AA50" s="523"/>
      <c r="AB50" s="523"/>
      <c r="AC50" s="523"/>
      <c r="AD50" s="523"/>
      <c r="AE50" s="356"/>
      <c r="AF50" s="356"/>
      <c r="AG50" s="356"/>
      <c r="AH50" s="356"/>
      <c r="AI50" s="356"/>
      <c r="AJ50" s="489">
        <f t="shared" si="1"/>
        <v>60</v>
      </c>
      <c r="AK50" s="489"/>
      <c r="AL50" s="489"/>
      <c r="AM50" s="489"/>
      <c r="AN50" s="489"/>
      <c r="AO50" s="489">
        <v>30</v>
      </c>
      <c r="AP50" s="489"/>
      <c r="AQ50" s="489"/>
      <c r="AR50" s="489"/>
      <c r="AS50" s="489"/>
      <c r="AT50" s="489">
        <v>30</v>
      </c>
      <c r="AU50" s="489"/>
      <c r="AV50" s="489"/>
      <c r="AW50" s="489"/>
      <c r="AX50" s="489"/>
      <c r="AY50" s="489"/>
      <c r="AZ50" s="489"/>
      <c r="BA50" s="489"/>
      <c r="BB50" s="489"/>
      <c r="BC50" s="489"/>
      <c r="BD50" s="518"/>
      <c r="BE50" s="518"/>
      <c r="BF50" s="518"/>
      <c r="BG50" s="518"/>
      <c r="BH50" s="518"/>
      <c r="BI50" s="518"/>
      <c r="BJ50" s="518"/>
      <c r="BK50" s="518"/>
      <c r="BL50" s="518"/>
      <c r="BM50" s="518"/>
      <c r="BN50" s="519">
        <f t="shared" si="2"/>
        <v>90</v>
      </c>
      <c r="BO50" s="519"/>
      <c r="BP50" s="519"/>
      <c r="BQ50" s="520"/>
      <c r="BR50" s="1135"/>
      <c r="BS50" s="1072"/>
      <c r="BT50" s="1055"/>
      <c r="BU50" s="1055"/>
      <c r="BV50" s="1055"/>
      <c r="BW50" s="1056"/>
      <c r="BX50" s="1054"/>
      <c r="BY50" s="1055"/>
      <c r="BZ50" s="1055"/>
      <c r="CA50" s="1055"/>
      <c r="CB50" s="1056"/>
      <c r="CC50" s="1054"/>
      <c r="CD50" s="1055"/>
      <c r="CE50" s="1055"/>
      <c r="CF50" s="1055"/>
      <c r="CG50" s="1056"/>
      <c r="CH50" s="1054"/>
      <c r="CI50" s="1055"/>
      <c r="CJ50" s="1055"/>
      <c r="CK50" s="1055"/>
      <c r="CL50" s="1056"/>
      <c r="CM50" s="1054"/>
      <c r="CN50" s="1055"/>
      <c r="CO50" s="1055"/>
      <c r="CP50" s="1055"/>
      <c r="CQ50" s="1056"/>
      <c r="CR50" s="1054"/>
      <c r="CS50" s="1055"/>
      <c r="CT50" s="1055"/>
      <c r="CU50" s="1055"/>
      <c r="CV50" s="1056"/>
      <c r="CW50" s="1054"/>
      <c r="CX50" s="1055"/>
      <c r="CY50" s="1055"/>
      <c r="CZ50" s="1055"/>
      <c r="DA50" s="1056"/>
      <c r="DB50" s="1054"/>
      <c r="DC50" s="1055"/>
      <c r="DD50" s="1055"/>
      <c r="DE50" s="1055"/>
      <c r="DF50" s="1056"/>
      <c r="DG50" s="1054">
        <v>4</v>
      </c>
      <c r="DH50" s="1055"/>
      <c r="DI50" s="1055"/>
      <c r="DJ50" s="1055"/>
      <c r="DK50" s="1057"/>
      <c r="DL50" s="1092"/>
      <c r="DM50" s="356"/>
      <c r="DN50" s="356"/>
      <c r="DO50" s="356"/>
      <c r="DP50" s="356"/>
      <c r="DQ50" s="356"/>
      <c r="DR50" s="356"/>
      <c r="DS50" s="356"/>
      <c r="DT50" s="356"/>
      <c r="DU50" s="356"/>
      <c r="DV50" s="356"/>
      <c r="DW50" s="356"/>
      <c r="DX50" s="356"/>
      <c r="DY50" s="356"/>
      <c r="DZ50" s="356"/>
      <c r="EA50" s="356"/>
      <c r="EB50" s="356"/>
      <c r="EC50" s="356"/>
      <c r="ED50" s="356"/>
      <c r="EE50" s="356"/>
      <c r="EF50" s="356"/>
      <c r="EG50" s="356"/>
      <c r="EH50" s="356"/>
      <c r="EI50" s="356"/>
      <c r="EJ50" s="356"/>
      <c r="EK50" s="356"/>
      <c r="EL50" s="356"/>
      <c r="EM50" s="356"/>
      <c r="EN50" s="356"/>
      <c r="EO50" s="356"/>
      <c r="EP50" s="356"/>
      <c r="EQ50" s="356"/>
      <c r="ER50" s="356"/>
      <c r="ES50" s="356"/>
      <c r="ET50" s="356"/>
      <c r="EU50" s="356"/>
      <c r="EV50" s="356"/>
      <c r="EW50" s="356"/>
      <c r="EX50" s="356"/>
      <c r="EY50" s="356"/>
      <c r="EZ50" s="356">
        <v>5</v>
      </c>
      <c r="FA50" s="356"/>
      <c r="FB50" s="356"/>
      <c r="FC50" s="356"/>
      <c r="FD50" s="1099"/>
      <c r="FE50" s="1052">
        <f t="shared" si="3"/>
        <v>5</v>
      </c>
      <c r="FF50" s="478"/>
      <c r="FG50" s="478"/>
      <c r="FH50" s="479"/>
      <c r="FI50" s="1053"/>
    </row>
    <row r="51" spans="1:166" s="276" customFormat="1" ht="120" customHeight="1" x14ac:dyDescent="0.2">
      <c r="A51" s="219" t="s">
        <v>7</v>
      </c>
      <c r="B51" s="299" t="s">
        <v>324</v>
      </c>
      <c r="C51" s="411" t="s">
        <v>126</v>
      </c>
      <c r="D51" s="411"/>
      <c r="E51" s="411"/>
      <c r="F51" s="411"/>
      <c r="G51" s="411"/>
      <c r="H51" s="411"/>
      <c r="I51" s="411"/>
      <c r="J51" s="411"/>
      <c r="K51" s="411"/>
      <c r="L51" s="411"/>
      <c r="M51" s="411"/>
      <c r="N51" s="411"/>
      <c r="O51" s="411"/>
      <c r="P51" s="411"/>
      <c r="Q51" s="411"/>
      <c r="R51" s="411"/>
      <c r="S51" s="411"/>
      <c r="T51" s="411"/>
      <c r="U51" s="411"/>
      <c r="V51" s="411"/>
      <c r="W51" s="411"/>
      <c r="X51" s="411"/>
      <c r="Y51" s="411"/>
      <c r="Z51" s="1147">
        <f t="shared" si="0"/>
        <v>180</v>
      </c>
      <c r="AA51" s="1147"/>
      <c r="AB51" s="1147"/>
      <c r="AC51" s="1147"/>
      <c r="AD51" s="1147"/>
      <c r="AE51" s="1140"/>
      <c r="AF51" s="1140"/>
      <c r="AG51" s="1140"/>
      <c r="AH51" s="1140"/>
      <c r="AI51" s="1140"/>
      <c r="AJ51" s="1136">
        <f t="shared" si="1"/>
        <v>72</v>
      </c>
      <c r="AK51" s="1136"/>
      <c r="AL51" s="1136"/>
      <c r="AM51" s="1136"/>
      <c r="AN51" s="1136"/>
      <c r="AO51" s="1136">
        <v>36</v>
      </c>
      <c r="AP51" s="1136"/>
      <c r="AQ51" s="1136"/>
      <c r="AR51" s="1136"/>
      <c r="AS51" s="1136"/>
      <c r="AT51" s="1136">
        <v>36</v>
      </c>
      <c r="AU51" s="1136"/>
      <c r="AV51" s="1136"/>
      <c r="AW51" s="1136"/>
      <c r="AX51" s="1136"/>
      <c r="AY51" s="1136"/>
      <c r="AZ51" s="1136"/>
      <c r="BA51" s="1136"/>
      <c r="BB51" s="1136"/>
      <c r="BC51" s="1136"/>
      <c r="BD51" s="1137"/>
      <c r="BE51" s="1137"/>
      <c r="BF51" s="1137"/>
      <c r="BG51" s="1137"/>
      <c r="BH51" s="1137"/>
      <c r="BI51" s="1137" t="s">
        <v>331</v>
      </c>
      <c r="BJ51" s="1137"/>
      <c r="BK51" s="1137"/>
      <c r="BL51" s="1137"/>
      <c r="BM51" s="1137"/>
      <c r="BN51" s="1138">
        <f t="shared" si="2"/>
        <v>108</v>
      </c>
      <c r="BO51" s="1138"/>
      <c r="BP51" s="1138"/>
      <c r="BQ51" s="1085"/>
      <c r="BR51" s="1139"/>
      <c r="BS51" s="1088"/>
      <c r="BT51" s="1077"/>
      <c r="BU51" s="1077"/>
      <c r="BV51" s="1077"/>
      <c r="BW51" s="1078"/>
      <c r="BX51" s="1076"/>
      <c r="BY51" s="1077"/>
      <c r="BZ51" s="1077"/>
      <c r="CA51" s="1077"/>
      <c r="CB51" s="1078"/>
      <c r="CC51" s="1076"/>
      <c r="CD51" s="1077"/>
      <c r="CE51" s="1077"/>
      <c r="CF51" s="1077"/>
      <c r="CG51" s="1078"/>
      <c r="CH51" s="1076"/>
      <c r="CI51" s="1077"/>
      <c r="CJ51" s="1077"/>
      <c r="CK51" s="1077"/>
      <c r="CL51" s="1078"/>
      <c r="CM51" s="1076"/>
      <c r="CN51" s="1077"/>
      <c r="CO51" s="1077"/>
      <c r="CP51" s="1077"/>
      <c r="CQ51" s="1078"/>
      <c r="CR51" s="1076"/>
      <c r="CS51" s="1077"/>
      <c r="CT51" s="1077"/>
      <c r="CU51" s="1077"/>
      <c r="CV51" s="1078"/>
      <c r="CW51" s="1076"/>
      <c r="CX51" s="1077"/>
      <c r="CY51" s="1077"/>
      <c r="CZ51" s="1077"/>
      <c r="DA51" s="1078"/>
      <c r="DB51" s="1076">
        <v>5</v>
      </c>
      <c r="DC51" s="1077"/>
      <c r="DD51" s="1077"/>
      <c r="DE51" s="1077"/>
      <c r="DF51" s="1078"/>
      <c r="DG51" s="1143"/>
      <c r="DH51" s="1144"/>
      <c r="DI51" s="1144"/>
      <c r="DJ51" s="1144"/>
      <c r="DK51" s="1145"/>
      <c r="DL51" s="1146"/>
      <c r="DM51" s="1140"/>
      <c r="DN51" s="1140"/>
      <c r="DO51" s="1140"/>
      <c r="DP51" s="1140"/>
      <c r="DQ51" s="1140"/>
      <c r="DR51" s="1140"/>
      <c r="DS51" s="1140"/>
      <c r="DT51" s="1140"/>
      <c r="DU51" s="1140"/>
      <c r="DV51" s="1140"/>
      <c r="DW51" s="1140"/>
      <c r="DX51" s="1140"/>
      <c r="DY51" s="1140"/>
      <c r="DZ51" s="1140"/>
      <c r="EA51" s="1140"/>
      <c r="EB51" s="1140"/>
      <c r="EC51" s="1140"/>
      <c r="ED51" s="1140"/>
      <c r="EE51" s="1140"/>
      <c r="EF51" s="1140"/>
      <c r="EG51" s="1140"/>
      <c r="EH51" s="1140"/>
      <c r="EI51" s="1140"/>
      <c r="EJ51" s="1140"/>
      <c r="EK51" s="1140"/>
      <c r="EL51" s="1140"/>
      <c r="EM51" s="1140"/>
      <c r="EN51" s="1140"/>
      <c r="EO51" s="1140"/>
      <c r="EP51" s="1140"/>
      <c r="EQ51" s="1140"/>
      <c r="ER51" s="1140"/>
      <c r="ES51" s="1140"/>
      <c r="ET51" s="1140"/>
      <c r="EU51" s="1140">
        <v>6</v>
      </c>
      <c r="EV51" s="1140"/>
      <c r="EW51" s="1140"/>
      <c r="EX51" s="1140"/>
      <c r="EY51" s="1140"/>
      <c r="EZ51" s="1141"/>
      <c r="FA51" s="1141"/>
      <c r="FB51" s="1141"/>
      <c r="FC51" s="1141"/>
      <c r="FD51" s="1142"/>
      <c r="FE51" s="1058">
        <f t="shared" si="3"/>
        <v>6</v>
      </c>
      <c r="FF51" s="1059"/>
      <c r="FG51" s="1059"/>
      <c r="FH51" s="1060"/>
      <c r="FI51" s="1061"/>
    </row>
    <row r="52" spans="1:166" s="120" customFormat="1" ht="84.95" customHeight="1" x14ac:dyDescent="0.2">
      <c r="A52" s="220" t="s">
        <v>107</v>
      </c>
      <c r="B52" s="282" t="s">
        <v>153</v>
      </c>
      <c r="C52" s="388" t="s">
        <v>154</v>
      </c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388"/>
      <c r="P52" s="388"/>
      <c r="Q52" s="388"/>
      <c r="R52" s="388"/>
      <c r="S52" s="388"/>
      <c r="T52" s="388"/>
      <c r="U52" s="388"/>
      <c r="V52" s="388"/>
      <c r="W52" s="388"/>
      <c r="X52" s="388"/>
      <c r="Y52" s="388"/>
      <c r="Z52" s="523">
        <f t="shared" si="0"/>
        <v>120</v>
      </c>
      <c r="AA52" s="523"/>
      <c r="AB52" s="523"/>
      <c r="AC52" s="523"/>
      <c r="AD52" s="523"/>
      <c r="AE52" s="356"/>
      <c r="AF52" s="356"/>
      <c r="AG52" s="356"/>
      <c r="AH52" s="356"/>
      <c r="AI52" s="356"/>
      <c r="AJ52" s="489">
        <f t="shared" si="1"/>
        <v>60</v>
      </c>
      <c r="AK52" s="489"/>
      <c r="AL52" s="489"/>
      <c r="AM52" s="489"/>
      <c r="AN52" s="489"/>
      <c r="AO52" s="489">
        <v>30</v>
      </c>
      <c r="AP52" s="489"/>
      <c r="AQ52" s="489"/>
      <c r="AR52" s="489"/>
      <c r="AS52" s="489"/>
      <c r="AT52" s="489">
        <v>30</v>
      </c>
      <c r="AU52" s="489"/>
      <c r="AV52" s="489"/>
      <c r="AW52" s="489"/>
      <c r="AX52" s="489"/>
      <c r="AY52" s="489"/>
      <c r="AZ52" s="489"/>
      <c r="BA52" s="489"/>
      <c r="BB52" s="489"/>
      <c r="BC52" s="489"/>
      <c r="BD52" s="518"/>
      <c r="BE52" s="518"/>
      <c r="BF52" s="518"/>
      <c r="BG52" s="518"/>
      <c r="BH52" s="518"/>
      <c r="BI52" s="518"/>
      <c r="BJ52" s="518"/>
      <c r="BK52" s="518"/>
      <c r="BL52" s="518"/>
      <c r="BM52" s="518"/>
      <c r="BN52" s="519">
        <f>Z52-AJ52</f>
        <v>60</v>
      </c>
      <c r="BO52" s="519"/>
      <c r="BP52" s="519"/>
      <c r="BQ52" s="520"/>
      <c r="BR52" s="1135"/>
      <c r="BS52" s="1072">
        <v>4</v>
      </c>
      <c r="BT52" s="1055"/>
      <c r="BU52" s="1055"/>
      <c r="BV52" s="1055"/>
      <c r="BW52" s="1056"/>
      <c r="BX52" s="1054"/>
      <c r="BY52" s="1055"/>
      <c r="BZ52" s="1055"/>
      <c r="CA52" s="1055"/>
      <c r="CB52" s="1056"/>
      <c r="CC52" s="1054"/>
      <c r="CD52" s="1055"/>
      <c r="CE52" s="1055"/>
      <c r="CF52" s="1055"/>
      <c r="CG52" s="1056"/>
      <c r="CH52" s="1054"/>
      <c r="CI52" s="1055"/>
      <c r="CJ52" s="1055"/>
      <c r="CK52" s="1055"/>
      <c r="CL52" s="1056"/>
      <c r="CM52" s="1054"/>
      <c r="CN52" s="1055"/>
      <c r="CO52" s="1055"/>
      <c r="CP52" s="1055"/>
      <c r="CQ52" s="1056"/>
      <c r="CR52" s="1054"/>
      <c r="CS52" s="1055"/>
      <c r="CT52" s="1055"/>
      <c r="CU52" s="1055"/>
      <c r="CV52" s="1056"/>
      <c r="CW52" s="1054"/>
      <c r="CX52" s="1055"/>
      <c r="CY52" s="1055"/>
      <c r="CZ52" s="1055"/>
      <c r="DA52" s="1056"/>
      <c r="DB52" s="1054"/>
      <c r="DC52" s="1055"/>
      <c r="DD52" s="1055"/>
      <c r="DE52" s="1055"/>
      <c r="DF52" s="1056"/>
      <c r="DG52" s="1089"/>
      <c r="DH52" s="1090"/>
      <c r="DI52" s="1090"/>
      <c r="DJ52" s="1090"/>
      <c r="DK52" s="1091"/>
      <c r="DL52" s="1092">
        <v>4</v>
      </c>
      <c r="DM52" s="356"/>
      <c r="DN52" s="356"/>
      <c r="DO52" s="356"/>
      <c r="DP52" s="356"/>
      <c r="DQ52" s="356"/>
      <c r="DR52" s="356"/>
      <c r="DS52" s="356"/>
      <c r="DT52" s="356"/>
      <c r="DU52" s="356"/>
      <c r="DV52" s="356"/>
      <c r="DW52" s="356"/>
      <c r="DX52" s="356"/>
      <c r="DY52" s="356"/>
      <c r="DZ52" s="356"/>
      <c r="EA52" s="356"/>
      <c r="EB52" s="356"/>
      <c r="EC52" s="356"/>
      <c r="ED52" s="356"/>
      <c r="EE52" s="356"/>
      <c r="EF52" s="356"/>
      <c r="EG52" s="356"/>
      <c r="EH52" s="356"/>
      <c r="EI52" s="356"/>
      <c r="EJ52" s="356"/>
      <c r="EK52" s="356"/>
      <c r="EL52" s="356"/>
      <c r="EM52" s="356"/>
      <c r="EN52" s="356"/>
      <c r="EO52" s="356"/>
      <c r="EP52" s="356"/>
      <c r="EQ52" s="356"/>
      <c r="ER52" s="356"/>
      <c r="ES52" s="356"/>
      <c r="ET52" s="356"/>
      <c r="EU52" s="356"/>
      <c r="EV52" s="356"/>
      <c r="EW52" s="356"/>
      <c r="EX52" s="356"/>
      <c r="EY52" s="356"/>
      <c r="EZ52" s="1062"/>
      <c r="FA52" s="1062"/>
      <c r="FB52" s="1062"/>
      <c r="FC52" s="1062"/>
      <c r="FD52" s="1063"/>
      <c r="FE52" s="1052">
        <f t="shared" si="3"/>
        <v>4</v>
      </c>
      <c r="FF52" s="478"/>
      <c r="FG52" s="478"/>
      <c r="FH52" s="479"/>
      <c r="FI52" s="1053"/>
    </row>
    <row r="53" spans="1:166" s="120" customFormat="1" ht="84.95" customHeight="1" x14ac:dyDescent="0.2">
      <c r="A53" s="220" t="s">
        <v>8</v>
      </c>
      <c r="B53" s="283" t="s">
        <v>146</v>
      </c>
      <c r="C53" s="402" t="s">
        <v>112</v>
      </c>
      <c r="D53" s="402"/>
      <c r="E53" s="402"/>
      <c r="F53" s="402"/>
      <c r="G53" s="402"/>
      <c r="H53" s="402"/>
      <c r="I53" s="402"/>
      <c r="J53" s="402"/>
      <c r="K53" s="402"/>
      <c r="L53" s="402"/>
      <c r="M53" s="402"/>
      <c r="N53" s="402"/>
      <c r="O53" s="402"/>
      <c r="P53" s="402"/>
      <c r="Q53" s="402"/>
      <c r="R53" s="402"/>
      <c r="S53" s="402"/>
      <c r="T53" s="402"/>
      <c r="U53" s="402"/>
      <c r="V53" s="402"/>
      <c r="W53" s="402"/>
      <c r="X53" s="402"/>
      <c r="Y53" s="402"/>
      <c r="Z53" s="523">
        <f t="shared" si="0"/>
        <v>180</v>
      </c>
      <c r="AA53" s="523"/>
      <c r="AB53" s="523"/>
      <c r="AC53" s="523"/>
      <c r="AD53" s="523"/>
      <c r="AE53" s="1062"/>
      <c r="AF53" s="1062"/>
      <c r="AG53" s="1062"/>
      <c r="AH53" s="1062"/>
      <c r="AI53" s="1062"/>
      <c r="AJ53" s="489">
        <f t="shared" si="1"/>
        <v>60</v>
      </c>
      <c r="AK53" s="489"/>
      <c r="AL53" s="489"/>
      <c r="AM53" s="489"/>
      <c r="AN53" s="489"/>
      <c r="AO53" s="489">
        <v>30</v>
      </c>
      <c r="AP53" s="489"/>
      <c r="AQ53" s="489"/>
      <c r="AR53" s="489"/>
      <c r="AS53" s="489"/>
      <c r="AT53" s="489">
        <v>30</v>
      </c>
      <c r="AU53" s="489"/>
      <c r="AV53" s="489"/>
      <c r="AW53" s="489"/>
      <c r="AX53" s="489"/>
      <c r="AY53" s="489"/>
      <c r="AZ53" s="489"/>
      <c r="BA53" s="489"/>
      <c r="BB53" s="489"/>
      <c r="BC53" s="489"/>
      <c r="BD53" s="489"/>
      <c r="BE53" s="489"/>
      <c r="BF53" s="489"/>
      <c r="BG53" s="489"/>
      <c r="BH53" s="489"/>
      <c r="BI53" s="489"/>
      <c r="BJ53" s="489"/>
      <c r="BK53" s="489"/>
      <c r="BL53" s="489"/>
      <c r="BM53" s="489"/>
      <c r="BN53" s="519">
        <f>Z53-AJ53</f>
        <v>120</v>
      </c>
      <c r="BO53" s="519"/>
      <c r="BP53" s="519"/>
      <c r="BQ53" s="520"/>
      <c r="BR53" s="1135"/>
      <c r="BS53" s="1072">
        <v>4</v>
      </c>
      <c r="BT53" s="1055"/>
      <c r="BU53" s="1055"/>
      <c r="BV53" s="1055"/>
      <c r="BW53" s="1056"/>
      <c r="BX53" s="1054"/>
      <c r="BY53" s="1055"/>
      <c r="BZ53" s="1055"/>
      <c r="CA53" s="1055"/>
      <c r="CB53" s="1056"/>
      <c r="CC53" s="1054"/>
      <c r="CD53" s="1055"/>
      <c r="CE53" s="1055"/>
      <c r="CF53" s="1055"/>
      <c r="CG53" s="1056"/>
      <c r="CH53" s="1054"/>
      <c r="CI53" s="1055"/>
      <c r="CJ53" s="1055"/>
      <c r="CK53" s="1055"/>
      <c r="CL53" s="1056"/>
      <c r="CM53" s="1054"/>
      <c r="CN53" s="1055"/>
      <c r="CO53" s="1055"/>
      <c r="CP53" s="1055"/>
      <c r="CQ53" s="1056"/>
      <c r="CR53" s="1054"/>
      <c r="CS53" s="1055"/>
      <c r="CT53" s="1055"/>
      <c r="CU53" s="1055"/>
      <c r="CV53" s="1056"/>
      <c r="CW53" s="1054"/>
      <c r="CX53" s="1055"/>
      <c r="CY53" s="1055"/>
      <c r="CZ53" s="1055"/>
      <c r="DA53" s="1056"/>
      <c r="DB53" s="1054"/>
      <c r="DC53" s="1055"/>
      <c r="DD53" s="1055"/>
      <c r="DE53" s="1055"/>
      <c r="DF53" s="1056"/>
      <c r="DG53" s="1089"/>
      <c r="DH53" s="1090"/>
      <c r="DI53" s="1090"/>
      <c r="DJ53" s="1090"/>
      <c r="DK53" s="1091"/>
      <c r="DL53" s="1092">
        <v>6</v>
      </c>
      <c r="DM53" s="356"/>
      <c r="DN53" s="356"/>
      <c r="DO53" s="356"/>
      <c r="DP53" s="356"/>
      <c r="DQ53" s="356"/>
      <c r="DR53" s="356"/>
      <c r="DS53" s="356"/>
      <c r="DT53" s="356"/>
      <c r="DU53" s="356"/>
      <c r="DV53" s="356"/>
      <c r="DW53" s="356"/>
      <c r="DX53" s="356"/>
      <c r="DY53" s="356"/>
      <c r="DZ53" s="356"/>
      <c r="EA53" s="356"/>
      <c r="EB53" s="356"/>
      <c r="EC53" s="356"/>
      <c r="ED53" s="356"/>
      <c r="EE53" s="356"/>
      <c r="EF53" s="356"/>
      <c r="EG53" s="356"/>
      <c r="EH53" s="356"/>
      <c r="EI53" s="356"/>
      <c r="EJ53" s="356"/>
      <c r="EK53" s="356"/>
      <c r="EL53" s="356"/>
      <c r="EM53" s="356"/>
      <c r="EN53" s="356"/>
      <c r="EO53" s="356"/>
      <c r="EP53" s="356"/>
      <c r="EQ53" s="356"/>
      <c r="ER53" s="356"/>
      <c r="ES53" s="356"/>
      <c r="ET53" s="356"/>
      <c r="EU53" s="356"/>
      <c r="EV53" s="356"/>
      <c r="EW53" s="356"/>
      <c r="EX53" s="356"/>
      <c r="EY53" s="356"/>
      <c r="EZ53" s="1062"/>
      <c r="FA53" s="1062"/>
      <c r="FB53" s="1062"/>
      <c r="FC53" s="1062"/>
      <c r="FD53" s="1063"/>
      <c r="FE53" s="1052">
        <f t="shared" si="3"/>
        <v>6</v>
      </c>
      <c r="FF53" s="478"/>
      <c r="FG53" s="478"/>
      <c r="FH53" s="479"/>
      <c r="FI53" s="1053"/>
    </row>
    <row r="54" spans="1:166" s="120" customFormat="1" ht="84.95" customHeight="1" x14ac:dyDescent="0.2">
      <c r="A54" s="219" t="s">
        <v>9</v>
      </c>
      <c r="B54" s="138" t="s">
        <v>338</v>
      </c>
      <c r="C54" s="402" t="s">
        <v>337</v>
      </c>
      <c r="D54" s="402"/>
      <c r="E54" s="402"/>
      <c r="F54" s="402"/>
      <c r="G54" s="402"/>
      <c r="H54" s="402"/>
      <c r="I54" s="402"/>
      <c r="J54" s="402"/>
      <c r="K54" s="402"/>
      <c r="L54" s="402"/>
      <c r="M54" s="402"/>
      <c r="N54" s="402"/>
      <c r="O54" s="402"/>
      <c r="P54" s="402"/>
      <c r="Q54" s="402"/>
      <c r="R54" s="402"/>
      <c r="S54" s="402"/>
      <c r="T54" s="402"/>
      <c r="U54" s="402"/>
      <c r="V54" s="402"/>
      <c r="W54" s="402"/>
      <c r="X54" s="402"/>
      <c r="Y54" s="402"/>
      <c r="Z54" s="523">
        <f t="shared" ref="Z54" si="7">+FE54*30</f>
        <v>420</v>
      </c>
      <c r="AA54" s="523"/>
      <c r="AB54" s="523"/>
      <c r="AC54" s="523"/>
      <c r="AD54" s="523"/>
      <c r="AE54" s="356"/>
      <c r="AF54" s="356"/>
      <c r="AG54" s="356"/>
      <c r="AH54" s="356"/>
      <c r="AI54" s="356"/>
      <c r="AJ54" s="489">
        <f t="shared" ref="AJ54" si="8">SUM(AO54:BH54)</f>
        <v>154</v>
      </c>
      <c r="AK54" s="489"/>
      <c r="AL54" s="489"/>
      <c r="AM54" s="489"/>
      <c r="AN54" s="489"/>
      <c r="AO54" s="489"/>
      <c r="AP54" s="489"/>
      <c r="AQ54" s="489"/>
      <c r="AR54" s="489"/>
      <c r="AS54" s="489"/>
      <c r="AT54" s="489">
        <v>154</v>
      </c>
      <c r="AU54" s="489"/>
      <c r="AV54" s="489"/>
      <c r="AW54" s="489"/>
      <c r="AX54" s="489"/>
      <c r="AY54" s="489"/>
      <c r="AZ54" s="489"/>
      <c r="BA54" s="489"/>
      <c r="BB54" s="489"/>
      <c r="BC54" s="489"/>
      <c r="BD54" s="489"/>
      <c r="BE54" s="489"/>
      <c r="BF54" s="489"/>
      <c r="BG54" s="489"/>
      <c r="BH54" s="489"/>
      <c r="BI54" s="489"/>
      <c r="BJ54" s="489"/>
      <c r="BK54" s="489"/>
      <c r="BL54" s="489"/>
      <c r="BM54" s="489"/>
      <c r="BN54" s="519">
        <f>Z54-AJ54</f>
        <v>266</v>
      </c>
      <c r="BO54" s="519"/>
      <c r="BP54" s="519"/>
      <c r="BQ54" s="520"/>
      <c r="BR54" s="1135"/>
      <c r="BS54" s="1072">
        <v>2</v>
      </c>
      <c r="BT54" s="1055"/>
      <c r="BU54" s="1055"/>
      <c r="BV54" s="1055"/>
      <c r="BW54" s="1056"/>
      <c r="BX54" s="1054"/>
      <c r="BY54" s="1055"/>
      <c r="BZ54" s="1055"/>
      <c r="CA54" s="1055"/>
      <c r="CB54" s="1056"/>
      <c r="CC54" s="1054">
        <v>4</v>
      </c>
      <c r="CD54" s="1055"/>
      <c r="CE54" s="1055"/>
      <c r="CF54" s="1055"/>
      <c r="CG54" s="1056"/>
      <c r="CH54" s="1054">
        <v>5</v>
      </c>
      <c r="CI54" s="1055"/>
      <c r="CJ54" s="1055"/>
      <c r="CK54" s="1055"/>
      <c r="CL54" s="1056"/>
      <c r="CM54" s="1054"/>
      <c r="CN54" s="1055"/>
      <c r="CO54" s="1055"/>
      <c r="CP54" s="1055"/>
      <c r="CQ54" s="1056"/>
      <c r="CR54" s="1054"/>
      <c r="CS54" s="1055"/>
      <c r="CT54" s="1055"/>
      <c r="CU54" s="1055"/>
      <c r="CV54" s="1056"/>
      <c r="CW54" s="1054"/>
      <c r="CX54" s="1055"/>
      <c r="CY54" s="1055"/>
      <c r="CZ54" s="1055"/>
      <c r="DA54" s="1056"/>
      <c r="DB54" s="1054"/>
      <c r="DC54" s="1055"/>
      <c r="DD54" s="1055"/>
      <c r="DE54" s="1055"/>
      <c r="DF54" s="1056"/>
      <c r="DG54" s="1054"/>
      <c r="DH54" s="1055"/>
      <c r="DI54" s="1055"/>
      <c r="DJ54" s="1055"/>
      <c r="DK54" s="1057"/>
      <c r="DL54" s="1194">
        <v>4</v>
      </c>
      <c r="DM54" s="1195"/>
      <c r="DN54" s="1195"/>
      <c r="DO54" s="1195"/>
      <c r="DP54" s="1195"/>
      <c r="DQ54" s="356"/>
      <c r="DR54" s="356"/>
      <c r="DS54" s="356"/>
      <c r="DT54" s="356"/>
      <c r="DU54" s="356"/>
      <c r="DV54" s="1195">
        <v>4</v>
      </c>
      <c r="DW54" s="1195"/>
      <c r="DX54" s="1195"/>
      <c r="DY54" s="1195"/>
      <c r="DZ54" s="1195"/>
      <c r="EA54" s="1195">
        <v>6</v>
      </c>
      <c r="EB54" s="1195"/>
      <c r="EC54" s="1195"/>
      <c r="ED54" s="1195"/>
      <c r="EE54" s="1195"/>
      <c r="EF54" s="356"/>
      <c r="EG54" s="356"/>
      <c r="EH54" s="356"/>
      <c r="EI54" s="356"/>
      <c r="EJ54" s="356"/>
      <c r="EK54" s="356"/>
      <c r="EL54" s="356"/>
      <c r="EM54" s="356"/>
      <c r="EN54" s="356"/>
      <c r="EO54" s="356"/>
      <c r="EP54" s="356"/>
      <c r="EQ54" s="356"/>
      <c r="ER54" s="356"/>
      <c r="ES54" s="356"/>
      <c r="ET54" s="356"/>
      <c r="EU54" s="356"/>
      <c r="EV54" s="356"/>
      <c r="EW54" s="356"/>
      <c r="EX54" s="356"/>
      <c r="EY54" s="356"/>
      <c r="EZ54" s="356"/>
      <c r="FA54" s="356"/>
      <c r="FB54" s="356"/>
      <c r="FC54" s="356"/>
      <c r="FD54" s="1099"/>
      <c r="FE54" s="1052">
        <f t="shared" ref="FE54" si="9">SUM(DL54:FD54)</f>
        <v>14</v>
      </c>
      <c r="FF54" s="478"/>
      <c r="FG54" s="478"/>
      <c r="FH54" s="479"/>
      <c r="FI54" s="1053"/>
    </row>
    <row r="55" spans="1:166" s="120" customFormat="1" ht="84.95" customHeight="1" x14ac:dyDescent="0.85">
      <c r="A55" s="220" t="s">
        <v>105</v>
      </c>
      <c r="B55" s="283" t="s">
        <v>145</v>
      </c>
      <c r="C55" s="535" t="s">
        <v>110</v>
      </c>
      <c r="D55" s="535"/>
      <c r="E55" s="535"/>
      <c r="F55" s="535"/>
      <c r="G55" s="535"/>
      <c r="H55" s="535"/>
      <c r="I55" s="535"/>
      <c r="J55" s="535"/>
      <c r="K55" s="535"/>
      <c r="L55" s="535"/>
      <c r="M55" s="535"/>
      <c r="N55" s="535"/>
      <c r="O55" s="535"/>
      <c r="P55" s="535"/>
      <c r="Q55" s="535"/>
      <c r="R55" s="535"/>
      <c r="S55" s="535"/>
      <c r="T55" s="535"/>
      <c r="U55" s="535"/>
      <c r="V55" s="535"/>
      <c r="W55" s="535"/>
      <c r="X55" s="535"/>
      <c r="Y55" s="535"/>
      <c r="Z55" s="523">
        <f t="shared" si="0"/>
        <v>120</v>
      </c>
      <c r="AA55" s="523"/>
      <c r="AB55" s="523"/>
      <c r="AC55" s="523"/>
      <c r="AD55" s="523"/>
      <c r="AE55" s="356"/>
      <c r="AF55" s="356"/>
      <c r="AG55" s="356"/>
      <c r="AH55" s="356"/>
      <c r="AI55" s="356"/>
      <c r="AJ55" s="489">
        <f t="shared" si="1"/>
        <v>48</v>
      </c>
      <c r="AK55" s="489"/>
      <c r="AL55" s="489"/>
      <c r="AM55" s="489"/>
      <c r="AN55" s="489"/>
      <c r="AO55" s="489"/>
      <c r="AP55" s="489"/>
      <c r="AQ55" s="489"/>
      <c r="AR55" s="489"/>
      <c r="AS55" s="489"/>
      <c r="AT55" s="489">
        <v>48</v>
      </c>
      <c r="AU55" s="489"/>
      <c r="AV55" s="489"/>
      <c r="AW55" s="489"/>
      <c r="AX55" s="489"/>
      <c r="AY55" s="489"/>
      <c r="AZ55" s="489"/>
      <c r="BA55" s="489"/>
      <c r="BB55" s="489"/>
      <c r="BC55" s="489"/>
      <c r="BD55" s="489"/>
      <c r="BE55" s="489"/>
      <c r="BF55" s="489"/>
      <c r="BG55" s="489"/>
      <c r="BH55" s="489"/>
      <c r="BI55" s="489"/>
      <c r="BJ55" s="489"/>
      <c r="BK55" s="489"/>
      <c r="BL55" s="489"/>
      <c r="BM55" s="489"/>
      <c r="BN55" s="519">
        <f>Z55-AJ55</f>
        <v>72</v>
      </c>
      <c r="BO55" s="519"/>
      <c r="BP55" s="519"/>
      <c r="BQ55" s="520"/>
      <c r="BR55" s="1135"/>
      <c r="BS55" s="1072"/>
      <c r="BT55" s="1055"/>
      <c r="BU55" s="1055"/>
      <c r="BV55" s="1055"/>
      <c r="BW55" s="1056"/>
      <c r="BX55" s="1054"/>
      <c r="BY55" s="1055"/>
      <c r="BZ55" s="1055"/>
      <c r="CA55" s="1055"/>
      <c r="CB55" s="1056"/>
      <c r="CC55" s="1054"/>
      <c r="CD55" s="1055"/>
      <c r="CE55" s="1055"/>
      <c r="CF55" s="1055"/>
      <c r="CG55" s="1056"/>
      <c r="CH55" s="1054"/>
      <c r="CI55" s="1055"/>
      <c r="CJ55" s="1055"/>
      <c r="CK55" s="1055"/>
      <c r="CL55" s="1056"/>
      <c r="CM55" s="1054">
        <v>3</v>
      </c>
      <c r="CN55" s="1055"/>
      <c r="CO55" s="1055"/>
      <c r="CP55" s="1055"/>
      <c r="CQ55" s="1056"/>
      <c r="CR55" s="1054"/>
      <c r="CS55" s="1055"/>
      <c r="CT55" s="1055"/>
      <c r="CU55" s="1055"/>
      <c r="CV55" s="1056"/>
      <c r="CW55" s="1054"/>
      <c r="CX55" s="1055"/>
      <c r="CY55" s="1055"/>
      <c r="CZ55" s="1055"/>
      <c r="DA55" s="1056"/>
      <c r="DB55" s="1054"/>
      <c r="DC55" s="1055"/>
      <c r="DD55" s="1055"/>
      <c r="DE55" s="1055"/>
      <c r="DF55" s="1056"/>
      <c r="DG55" s="1054"/>
      <c r="DH55" s="1055"/>
      <c r="DI55" s="1055"/>
      <c r="DJ55" s="1055"/>
      <c r="DK55" s="1057"/>
      <c r="DL55" s="1092"/>
      <c r="DM55" s="356"/>
      <c r="DN55" s="356"/>
      <c r="DO55" s="356"/>
      <c r="DP55" s="356"/>
      <c r="DQ55" s="356"/>
      <c r="DR55" s="356"/>
      <c r="DS55" s="356"/>
      <c r="DT55" s="356"/>
      <c r="DU55" s="356"/>
      <c r="DV55" s="356"/>
      <c r="DW55" s="356"/>
      <c r="DX55" s="356"/>
      <c r="DY55" s="356"/>
      <c r="DZ55" s="356"/>
      <c r="EA55" s="356"/>
      <c r="EB55" s="356"/>
      <c r="EC55" s="356"/>
      <c r="ED55" s="356"/>
      <c r="EE55" s="356"/>
      <c r="EF55" s="356">
        <v>4</v>
      </c>
      <c r="EG55" s="356"/>
      <c r="EH55" s="356"/>
      <c r="EI55" s="356"/>
      <c r="EJ55" s="356"/>
      <c r="EK55" s="356"/>
      <c r="EL55" s="356"/>
      <c r="EM55" s="356"/>
      <c r="EN55" s="356"/>
      <c r="EO55" s="356"/>
      <c r="EP55" s="356"/>
      <c r="EQ55" s="356"/>
      <c r="ER55" s="356"/>
      <c r="ES55" s="356"/>
      <c r="ET55" s="356"/>
      <c r="EU55" s="356"/>
      <c r="EV55" s="356"/>
      <c r="EW55" s="356"/>
      <c r="EX55" s="356"/>
      <c r="EY55" s="356"/>
      <c r="EZ55" s="356"/>
      <c r="FA55" s="356"/>
      <c r="FB55" s="356"/>
      <c r="FC55" s="356"/>
      <c r="FD55" s="1099"/>
      <c r="FE55" s="1052">
        <f t="shared" si="3"/>
        <v>4</v>
      </c>
      <c r="FF55" s="478"/>
      <c r="FG55" s="478"/>
      <c r="FH55" s="479"/>
      <c r="FI55" s="1053"/>
      <c r="FJ55" s="130" t="s">
        <v>264</v>
      </c>
    </row>
    <row r="56" spans="1:166" s="120" customFormat="1" ht="84.95" customHeight="1" x14ac:dyDescent="0.85">
      <c r="A56" s="220" t="s">
        <v>108</v>
      </c>
      <c r="B56" s="283" t="s">
        <v>305</v>
      </c>
      <c r="C56" s="535" t="s">
        <v>304</v>
      </c>
      <c r="D56" s="535"/>
      <c r="E56" s="535"/>
      <c r="F56" s="535"/>
      <c r="G56" s="535"/>
      <c r="H56" s="535"/>
      <c r="I56" s="535"/>
      <c r="J56" s="535"/>
      <c r="K56" s="535"/>
      <c r="L56" s="535"/>
      <c r="M56" s="535"/>
      <c r="N56" s="535"/>
      <c r="O56" s="535"/>
      <c r="P56" s="535"/>
      <c r="Q56" s="535"/>
      <c r="R56" s="535"/>
      <c r="S56" s="535"/>
      <c r="T56" s="535"/>
      <c r="U56" s="535"/>
      <c r="V56" s="535"/>
      <c r="W56" s="535"/>
      <c r="X56" s="535"/>
      <c r="Y56" s="535"/>
      <c r="Z56" s="515">
        <f t="shared" ref="Z56:Z62" si="10">+FE56*30</f>
        <v>120</v>
      </c>
      <c r="AA56" s="516"/>
      <c r="AB56" s="516"/>
      <c r="AC56" s="516"/>
      <c r="AD56" s="517"/>
      <c r="AE56" s="1054"/>
      <c r="AF56" s="1055"/>
      <c r="AG56" s="1055"/>
      <c r="AH56" s="1055"/>
      <c r="AI56" s="1056"/>
      <c r="AJ56" s="1064">
        <f t="shared" ref="AJ56:AJ62" si="11">SUM(AO56:BH56)</f>
        <v>48</v>
      </c>
      <c r="AK56" s="1065"/>
      <c r="AL56" s="1065"/>
      <c r="AM56" s="1065"/>
      <c r="AN56" s="1066"/>
      <c r="AO56" s="1064"/>
      <c r="AP56" s="1065"/>
      <c r="AQ56" s="1065"/>
      <c r="AR56" s="1065"/>
      <c r="AS56" s="1066"/>
      <c r="AT56" s="1064">
        <v>48</v>
      </c>
      <c r="AU56" s="1065"/>
      <c r="AV56" s="1065"/>
      <c r="AW56" s="1065"/>
      <c r="AX56" s="1066"/>
      <c r="AY56" s="1064"/>
      <c r="AZ56" s="1065"/>
      <c r="BA56" s="1065"/>
      <c r="BB56" s="1065"/>
      <c r="BC56" s="1066"/>
      <c r="BD56" s="1067"/>
      <c r="BE56" s="1068"/>
      <c r="BF56" s="1068"/>
      <c r="BG56" s="1068"/>
      <c r="BH56" s="1069"/>
      <c r="BI56" s="1067"/>
      <c r="BJ56" s="1068"/>
      <c r="BK56" s="1068"/>
      <c r="BL56" s="1068"/>
      <c r="BM56" s="1069"/>
      <c r="BN56" s="520">
        <f t="shared" ref="BN56:BN62" si="12">Z56-AJ56</f>
        <v>72</v>
      </c>
      <c r="BO56" s="1070"/>
      <c r="BP56" s="1070"/>
      <c r="BQ56" s="1070"/>
      <c r="BR56" s="1071"/>
      <c r="BS56" s="1072"/>
      <c r="BT56" s="1055"/>
      <c r="BU56" s="1055"/>
      <c r="BV56" s="1055"/>
      <c r="BW56" s="1056"/>
      <c r="BX56" s="1054"/>
      <c r="BY56" s="1055"/>
      <c r="BZ56" s="1055"/>
      <c r="CA56" s="1055"/>
      <c r="CB56" s="1056"/>
      <c r="CC56" s="1054"/>
      <c r="CD56" s="1055"/>
      <c r="CE56" s="1055"/>
      <c r="CF56" s="1055"/>
      <c r="CG56" s="1056"/>
      <c r="CH56" s="1054"/>
      <c r="CI56" s="1055"/>
      <c r="CJ56" s="1055"/>
      <c r="CK56" s="1055"/>
      <c r="CL56" s="1056"/>
      <c r="CM56" s="1054"/>
      <c r="CN56" s="1055"/>
      <c r="CO56" s="1055"/>
      <c r="CP56" s="1055"/>
      <c r="CQ56" s="1056"/>
      <c r="CR56" s="1054"/>
      <c r="CS56" s="1055"/>
      <c r="CT56" s="1055"/>
      <c r="CU56" s="1055"/>
      <c r="CV56" s="1056"/>
      <c r="CW56" s="1054">
        <v>3</v>
      </c>
      <c r="CX56" s="1055"/>
      <c r="CY56" s="1055"/>
      <c r="CZ56" s="1055"/>
      <c r="DA56" s="1056"/>
      <c r="DB56" s="1054"/>
      <c r="DC56" s="1055"/>
      <c r="DD56" s="1055"/>
      <c r="DE56" s="1055"/>
      <c r="DF56" s="1056"/>
      <c r="DG56" s="1054"/>
      <c r="DH56" s="1055"/>
      <c r="DI56" s="1055"/>
      <c r="DJ56" s="1055"/>
      <c r="DK56" s="1057"/>
      <c r="DL56" s="1072"/>
      <c r="DM56" s="1055"/>
      <c r="DN56" s="1055"/>
      <c r="DO56" s="1055"/>
      <c r="DP56" s="1056"/>
      <c r="DQ56" s="1054"/>
      <c r="DR56" s="1055"/>
      <c r="DS56" s="1055"/>
      <c r="DT56" s="1055"/>
      <c r="DU56" s="1056"/>
      <c r="DV56" s="1054"/>
      <c r="DW56" s="1055"/>
      <c r="DX56" s="1055"/>
      <c r="DY56" s="1055"/>
      <c r="DZ56" s="1056"/>
      <c r="EA56" s="1054"/>
      <c r="EB56" s="1055"/>
      <c r="EC56" s="1055"/>
      <c r="ED56" s="1055"/>
      <c r="EE56" s="1056"/>
      <c r="EF56" s="1054"/>
      <c r="EG56" s="1055"/>
      <c r="EH56" s="1055"/>
      <c r="EI56" s="1055"/>
      <c r="EJ56" s="1056"/>
      <c r="EK56" s="1054"/>
      <c r="EL56" s="1055"/>
      <c r="EM56" s="1055"/>
      <c r="EN56" s="1055"/>
      <c r="EO56" s="1056"/>
      <c r="EP56" s="1054">
        <v>4</v>
      </c>
      <c r="EQ56" s="1055"/>
      <c r="ER56" s="1055"/>
      <c r="ES56" s="1055"/>
      <c r="ET56" s="1056"/>
      <c r="EU56" s="1054"/>
      <c r="EV56" s="1055"/>
      <c r="EW56" s="1055"/>
      <c r="EX56" s="1055"/>
      <c r="EY56" s="1056"/>
      <c r="EZ56" s="1054"/>
      <c r="FA56" s="1055"/>
      <c r="FB56" s="1055"/>
      <c r="FC56" s="1055"/>
      <c r="FD56" s="1057"/>
      <c r="FE56" s="1052">
        <f t="shared" si="3"/>
        <v>4</v>
      </c>
      <c r="FF56" s="478"/>
      <c r="FG56" s="478"/>
      <c r="FH56" s="479"/>
      <c r="FI56" s="1053"/>
      <c r="FJ56" s="130"/>
    </row>
    <row r="57" spans="1:166" s="120" customFormat="1" ht="84.95" customHeight="1" x14ac:dyDescent="0.85">
      <c r="A57" s="219" t="s">
        <v>152</v>
      </c>
      <c r="B57" s="283" t="s">
        <v>312</v>
      </c>
      <c r="C57" s="535" t="s">
        <v>286</v>
      </c>
      <c r="D57" s="535"/>
      <c r="E57" s="535"/>
      <c r="F57" s="535"/>
      <c r="G57" s="535"/>
      <c r="H57" s="535"/>
      <c r="I57" s="535"/>
      <c r="J57" s="535"/>
      <c r="K57" s="535"/>
      <c r="L57" s="535"/>
      <c r="M57" s="535"/>
      <c r="N57" s="535"/>
      <c r="O57" s="535"/>
      <c r="P57" s="535"/>
      <c r="Q57" s="535"/>
      <c r="R57" s="535"/>
      <c r="S57" s="535"/>
      <c r="T57" s="535"/>
      <c r="U57" s="535"/>
      <c r="V57" s="535"/>
      <c r="W57" s="535"/>
      <c r="X57" s="535"/>
      <c r="Y57" s="535"/>
      <c r="Z57" s="515">
        <f t="shared" si="10"/>
        <v>120</v>
      </c>
      <c r="AA57" s="516"/>
      <c r="AB57" s="516"/>
      <c r="AC57" s="516"/>
      <c r="AD57" s="517"/>
      <c r="AE57" s="1054"/>
      <c r="AF57" s="1055"/>
      <c r="AG57" s="1055"/>
      <c r="AH57" s="1055"/>
      <c r="AI57" s="1056"/>
      <c r="AJ57" s="1064">
        <f t="shared" si="11"/>
        <v>48</v>
      </c>
      <c r="AK57" s="1065"/>
      <c r="AL57" s="1065"/>
      <c r="AM57" s="1065"/>
      <c r="AN57" s="1066"/>
      <c r="AO57" s="1064">
        <v>24</v>
      </c>
      <c r="AP57" s="1065"/>
      <c r="AQ57" s="1065"/>
      <c r="AR57" s="1065"/>
      <c r="AS57" s="1066"/>
      <c r="AT57" s="1064">
        <v>24</v>
      </c>
      <c r="AU57" s="1065"/>
      <c r="AV57" s="1065"/>
      <c r="AW57" s="1065"/>
      <c r="AX57" s="1066"/>
      <c r="AY57" s="1064"/>
      <c r="AZ57" s="1065"/>
      <c r="BA57" s="1065"/>
      <c r="BB57" s="1065"/>
      <c r="BC57" s="1066"/>
      <c r="BD57" s="1067"/>
      <c r="BE57" s="1068"/>
      <c r="BF57" s="1068"/>
      <c r="BG57" s="1068"/>
      <c r="BH57" s="1069"/>
      <c r="BI57" s="1067"/>
      <c r="BJ57" s="1068"/>
      <c r="BK57" s="1068"/>
      <c r="BL57" s="1068"/>
      <c r="BM57" s="1069"/>
      <c r="BN57" s="520">
        <f t="shared" si="12"/>
        <v>72</v>
      </c>
      <c r="BO57" s="1070"/>
      <c r="BP57" s="1070"/>
      <c r="BQ57" s="1070"/>
      <c r="BR57" s="1071"/>
      <c r="BS57" s="1072"/>
      <c r="BT57" s="1055"/>
      <c r="BU57" s="1055"/>
      <c r="BV57" s="1055"/>
      <c r="BW57" s="1056"/>
      <c r="BX57" s="1054"/>
      <c r="BY57" s="1055"/>
      <c r="BZ57" s="1055"/>
      <c r="CA57" s="1055"/>
      <c r="CB57" s="1056"/>
      <c r="CC57" s="1054"/>
      <c r="CD57" s="1055"/>
      <c r="CE57" s="1055"/>
      <c r="CF57" s="1055"/>
      <c r="CG57" s="1056"/>
      <c r="CH57" s="1054"/>
      <c r="CI57" s="1055"/>
      <c r="CJ57" s="1055"/>
      <c r="CK57" s="1055"/>
      <c r="CL57" s="1056"/>
      <c r="CM57" s="1054"/>
      <c r="CN57" s="1055"/>
      <c r="CO57" s="1055"/>
      <c r="CP57" s="1055"/>
      <c r="CQ57" s="1056"/>
      <c r="CR57" s="1054"/>
      <c r="CS57" s="1055"/>
      <c r="CT57" s="1055"/>
      <c r="CU57" s="1055"/>
      <c r="CV57" s="1056"/>
      <c r="CW57" s="1054">
        <v>3</v>
      </c>
      <c r="CX57" s="1055"/>
      <c r="CY57" s="1055"/>
      <c r="CZ57" s="1055"/>
      <c r="DA57" s="1056"/>
      <c r="DB57" s="1054"/>
      <c r="DC57" s="1055"/>
      <c r="DD57" s="1055"/>
      <c r="DE57" s="1055"/>
      <c r="DF57" s="1056"/>
      <c r="DG57" s="1054"/>
      <c r="DH57" s="1055"/>
      <c r="DI57" s="1055"/>
      <c r="DJ57" s="1055"/>
      <c r="DK57" s="1057"/>
      <c r="DL57" s="1072"/>
      <c r="DM57" s="1055"/>
      <c r="DN57" s="1055"/>
      <c r="DO57" s="1055"/>
      <c r="DP57" s="1056"/>
      <c r="DQ57" s="1054"/>
      <c r="DR57" s="1055"/>
      <c r="DS57" s="1055"/>
      <c r="DT57" s="1055"/>
      <c r="DU57" s="1056"/>
      <c r="DV57" s="1054"/>
      <c r="DW57" s="1055"/>
      <c r="DX57" s="1055"/>
      <c r="DY57" s="1055"/>
      <c r="DZ57" s="1056"/>
      <c r="EA57" s="1054"/>
      <c r="EB57" s="1055"/>
      <c r="EC57" s="1055"/>
      <c r="ED57" s="1055"/>
      <c r="EE57" s="1056"/>
      <c r="EF57" s="1054"/>
      <c r="EG57" s="1055"/>
      <c r="EH57" s="1055"/>
      <c r="EI57" s="1055"/>
      <c r="EJ57" s="1056"/>
      <c r="EK57" s="1054"/>
      <c r="EL57" s="1055"/>
      <c r="EM57" s="1055"/>
      <c r="EN57" s="1055"/>
      <c r="EO57" s="1056"/>
      <c r="EP57" s="1054">
        <v>4</v>
      </c>
      <c r="EQ57" s="1055"/>
      <c r="ER57" s="1055"/>
      <c r="ES57" s="1055"/>
      <c r="ET57" s="1056"/>
      <c r="EU57" s="1054"/>
      <c r="EV57" s="1055"/>
      <c r="EW57" s="1055"/>
      <c r="EX57" s="1055"/>
      <c r="EY57" s="1056"/>
      <c r="EZ57" s="1054"/>
      <c r="FA57" s="1055"/>
      <c r="FB57" s="1055"/>
      <c r="FC57" s="1055"/>
      <c r="FD57" s="1057"/>
      <c r="FE57" s="1052">
        <f t="shared" si="3"/>
        <v>4</v>
      </c>
      <c r="FF57" s="478"/>
      <c r="FG57" s="478"/>
      <c r="FH57" s="479"/>
      <c r="FI57" s="1053"/>
      <c r="FJ57" s="130"/>
    </row>
    <row r="58" spans="1:166" s="276" customFormat="1" ht="84.95" customHeight="1" x14ac:dyDescent="0.85">
      <c r="A58" s="220" t="s">
        <v>163</v>
      </c>
      <c r="B58" s="296" t="s">
        <v>314</v>
      </c>
      <c r="C58" s="488" t="s">
        <v>307</v>
      </c>
      <c r="D58" s="488"/>
      <c r="E58" s="488"/>
      <c r="F58" s="488"/>
      <c r="G58" s="488"/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1073">
        <f t="shared" si="10"/>
        <v>120</v>
      </c>
      <c r="AA58" s="1074"/>
      <c r="AB58" s="1074"/>
      <c r="AC58" s="1074"/>
      <c r="AD58" s="1075"/>
      <c r="AE58" s="1076"/>
      <c r="AF58" s="1077"/>
      <c r="AG58" s="1077"/>
      <c r="AH58" s="1077"/>
      <c r="AI58" s="1078"/>
      <c r="AJ58" s="1079">
        <f t="shared" si="11"/>
        <v>48</v>
      </c>
      <c r="AK58" s="1080"/>
      <c r="AL58" s="1080"/>
      <c r="AM58" s="1080"/>
      <c r="AN58" s="1081"/>
      <c r="AO58" s="1079">
        <v>24</v>
      </c>
      <c r="AP58" s="1080"/>
      <c r="AQ58" s="1080"/>
      <c r="AR58" s="1080"/>
      <c r="AS58" s="1081"/>
      <c r="AT58" s="1079">
        <v>24</v>
      </c>
      <c r="AU58" s="1080"/>
      <c r="AV58" s="1080"/>
      <c r="AW58" s="1080"/>
      <c r="AX58" s="1081"/>
      <c r="AY58" s="1079"/>
      <c r="AZ58" s="1080"/>
      <c r="BA58" s="1080"/>
      <c r="BB58" s="1080"/>
      <c r="BC58" s="1081"/>
      <c r="BD58" s="1082"/>
      <c r="BE58" s="1083"/>
      <c r="BF58" s="1083"/>
      <c r="BG58" s="1083"/>
      <c r="BH58" s="1084"/>
      <c r="BI58" s="1082"/>
      <c r="BJ58" s="1083"/>
      <c r="BK58" s="1083"/>
      <c r="BL58" s="1083"/>
      <c r="BM58" s="1084"/>
      <c r="BN58" s="1085">
        <f t="shared" si="12"/>
        <v>72</v>
      </c>
      <c r="BO58" s="1086"/>
      <c r="BP58" s="1086"/>
      <c r="BQ58" s="1086"/>
      <c r="BR58" s="1087"/>
      <c r="BS58" s="1088"/>
      <c r="BT58" s="1077"/>
      <c r="BU58" s="1077"/>
      <c r="BV58" s="1077"/>
      <c r="BW58" s="1078"/>
      <c r="BX58" s="1076"/>
      <c r="BY58" s="1077"/>
      <c r="BZ58" s="1077"/>
      <c r="CA58" s="1077"/>
      <c r="CB58" s="1078"/>
      <c r="CC58" s="1076"/>
      <c r="CD58" s="1077"/>
      <c r="CE58" s="1077"/>
      <c r="CF58" s="1077"/>
      <c r="CG58" s="1078"/>
      <c r="CH58" s="1076"/>
      <c r="CI58" s="1077"/>
      <c r="CJ58" s="1077"/>
      <c r="CK58" s="1077"/>
      <c r="CL58" s="1078"/>
      <c r="CM58" s="1076"/>
      <c r="CN58" s="1077"/>
      <c r="CO58" s="1077"/>
      <c r="CP58" s="1077"/>
      <c r="CQ58" s="1078"/>
      <c r="CR58" s="1076"/>
      <c r="CS58" s="1077"/>
      <c r="CT58" s="1077"/>
      <c r="CU58" s="1077"/>
      <c r="CV58" s="1078"/>
      <c r="CW58" s="1076"/>
      <c r="CX58" s="1077"/>
      <c r="CY58" s="1077"/>
      <c r="CZ58" s="1077"/>
      <c r="DA58" s="1078"/>
      <c r="DB58" s="1076">
        <v>3</v>
      </c>
      <c r="DC58" s="1077"/>
      <c r="DD58" s="1077"/>
      <c r="DE58" s="1077"/>
      <c r="DF58" s="1078"/>
      <c r="DG58" s="1076"/>
      <c r="DH58" s="1077"/>
      <c r="DI58" s="1077"/>
      <c r="DJ58" s="1077"/>
      <c r="DK58" s="1100"/>
      <c r="DL58" s="1088"/>
      <c r="DM58" s="1077"/>
      <c r="DN58" s="1077"/>
      <c r="DO58" s="1077"/>
      <c r="DP58" s="1078"/>
      <c r="DQ58" s="1076"/>
      <c r="DR58" s="1077"/>
      <c r="DS58" s="1077"/>
      <c r="DT58" s="1077"/>
      <c r="DU58" s="1078"/>
      <c r="DV58" s="1076"/>
      <c r="DW58" s="1077"/>
      <c r="DX58" s="1077"/>
      <c r="DY58" s="1077"/>
      <c r="DZ58" s="1078"/>
      <c r="EA58" s="1076"/>
      <c r="EB58" s="1077"/>
      <c r="EC58" s="1077"/>
      <c r="ED58" s="1077"/>
      <c r="EE58" s="1078"/>
      <c r="EF58" s="1076"/>
      <c r="EG58" s="1077"/>
      <c r="EH58" s="1077"/>
      <c r="EI58" s="1077"/>
      <c r="EJ58" s="1078"/>
      <c r="EK58" s="1076"/>
      <c r="EL58" s="1077"/>
      <c r="EM58" s="1077"/>
      <c r="EN58" s="1077"/>
      <c r="EO58" s="1078"/>
      <c r="EP58" s="1076"/>
      <c r="EQ58" s="1077"/>
      <c r="ER58" s="1077"/>
      <c r="ES58" s="1077"/>
      <c r="ET58" s="1078"/>
      <c r="EU58" s="1076">
        <v>4</v>
      </c>
      <c r="EV58" s="1077"/>
      <c r="EW58" s="1077"/>
      <c r="EX58" s="1077"/>
      <c r="EY58" s="1078"/>
      <c r="EZ58" s="1076"/>
      <c r="FA58" s="1077"/>
      <c r="FB58" s="1077"/>
      <c r="FC58" s="1077"/>
      <c r="FD58" s="1100"/>
      <c r="FE58" s="1058">
        <f t="shared" si="3"/>
        <v>4</v>
      </c>
      <c r="FF58" s="1059"/>
      <c r="FG58" s="1059"/>
      <c r="FH58" s="1060"/>
      <c r="FI58" s="1061"/>
      <c r="FJ58" s="297"/>
    </row>
    <row r="59" spans="1:166" s="276" customFormat="1" ht="84.95" customHeight="1" x14ac:dyDescent="0.85">
      <c r="A59" s="220" t="s">
        <v>164</v>
      </c>
      <c r="B59" s="298" t="s">
        <v>313</v>
      </c>
      <c r="C59" s="411" t="s">
        <v>287</v>
      </c>
      <c r="D59" s="411"/>
      <c r="E59" s="411"/>
      <c r="F59" s="411"/>
      <c r="G59" s="411"/>
      <c r="H59" s="411"/>
      <c r="I59" s="411"/>
      <c r="J59" s="411"/>
      <c r="K59" s="411"/>
      <c r="L59" s="411"/>
      <c r="M59" s="411"/>
      <c r="N59" s="411"/>
      <c r="O59" s="411"/>
      <c r="P59" s="411"/>
      <c r="Q59" s="411"/>
      <c r="R59" s="411"/>
      <c r="S59" s="411"/>
      <c r="T59" s="411"/>
      <c r="U59" s="411"/>
      <c r="V59" s="411"/>
      <c r="W59" s="411"/>
      <c r="X59" s="411"/>
      <c r="Y59" s="411"/>
      <c r="Z59" s="1073">
        <f t="shared" si="10"/>
        <v>180</v>
      </c>
      <c r="AA59" s="1074"/>
      <c r="AB59" s="1074"/>
      <c r="AC59" s="1074"/>
      <c r="AD59" s="1075"/>
      <c r="AE59" s="1076"/>
      <c r="AF59" s="1077"/>
      <c r="AG59" s="1077"/>
      <c r="AH59" s="1077"/>
      <c r="AI59" s="1078"/>
      <c r="AJ59" s="1079">
        <f t="shared" si="11"/>
        <v>72</v>
      </c>
      <c r="AK59" s="1080"/>
      <c r="AL59" s="1080"/>
      <c r="AM59" s="1080"/>
      <c r="AN59" s="1081"/>
      <c r="AO59" s="1079">
        <v>36</v>
      </c>
      <c r="AP59" s="1080"/>
      <c r="AQ59" s="1080"/>
      <c r="AR59" s="1080"/>
      <c r="AS59" s="1081"/>
      <c r="AT59" s="1079">
        <v>36</v>
      </c>
      <c r="AU59" s="1080"/>
      <c r="AV59" s="1080"/>
      <c r="AW59" s="1080"/>
      <c r="AX59" s="1081"/>
      <c r="AY59" s="1079"/>
      <c r="AZ59" s="1080"/>
      <c r="BA59" s="1080"/>
      <c r="BB59" s="1080"/>
      <c r="BC59" s="1081"/>
      <c r="BD59" s="1082"/>
      <c r="BE59" s="1083"/>
      <c r="BF59" s="1083"/>
      <c r="BG59" s="1083"/>
      <c r="BH59" s="1084"/>
      <c r="BI59" s="1082"/>
      <c r="BJ59" s="1083"/>
      <c r="BK59" s="1083"/>
      <c r="BL59" s="1083"/>
      <c r="BM59" s="1084"/>
      <c r="BN59" s="1085">
        <f t="shared" si="12"/>
        <v>108</v>
      </c>
      <c r="BO59" s="1086"/>
      <c r="BP59" s="1086"/>
      <c r="BQ59" s="1086"/>
      <c r="BR59" s="1087"/>
      <c r="BS59" s="1088"/>
      <c r="BT59" s="1077"/>
      <c r="BU59" s="1077"/>
      <c r="BV59" s="1077"/>
      <c r="BW59" s="1078"/>
      <c r="BX59" s="1076"/>
      <c r="BY59" s="1077"/>
      <c r="BZ59" s="1077"/>
      <c r="CA59" s="1077"/>
      <c r="CB59" s="1078"/>
      <c r="CC59" s="1076"/>
      <c r="CD59" s="1077"/>
      <c r="CE59" s="1077"/>
      <c r="CF59" s="1077"/>
      <c r="CG59" s="1078"/>
      <c r="CH59" s="1076"/>
      <c r="CI59" s="1077"/>
      <c r="CJ59" s="1077"/>
      <c r="CK59" s="1077"/>
      <c r="CL59" s="1078"/>
      <c r="CM59" s="1076"/>
      <c r="CN59" s="1077"/>
      <c r="CO59" s="1077"/>
      <c r="CP59" s="1077"/>
      <c r="CQ59" s="1078"/>
      <c r="CR59" s="1076"/>
      <c r="CS59" s="1077"/>
      <c r="CT59" s="1077"/>
      <c r="CU59" s="1077"/>
      <c r="CV59" s="1078"/>
      <c r="CW59" s="1076"/>
      <c r="CX59" s="1077"/>
      <c r="CY59" s="1077"/>
      <c r="CZ59" s="1077"/>
      <c r="DA59" s="1078"/>
      <c r="DB59" s="1076">
        <v>5</v>
      </c>
      <c r="DC59" s="1077"/>
      <c r="DD59" s="1077"/>
      <c r="DE59" s="1077"/>
      <c r="DF59" s="1078"/>
      <c r="DG59" s="1076"/>
      <c r="DH59" s="1077"/>
      <c r="DI59" s="1077"/>
      <c r="DJ59" s="1077"/>
      <c r="DK59" s="1100"/>
      <c r="DL59" s="1088"/>
      <c r="DM59" s="1077"/>
      <c r="DN59" s="1077"/>
      <c r="DO59" s="1077"/>
      <c r="DP59" s="1078"/>
      <c r="DQ59" s="1076"/>
      <c r="DR59" s="1077"/>
      <c r="DS59" s="1077"/>
      <c r="DT59" s="1077"/>
      <c r="DU59" s="1078"/>
      <c r="DV59" s="1076"/>
      <c r="DW59" s="1077"/>
      <c r="DX59" s="1077"/>
      <c r="DY59" s="1077"/>
      <c r="DZ59" s="1078"/>
      <c r="EA59" s="1076"/>
      <c r="EB59" s="1077"/>
      <c r="EC59" s="1077"/>
      <c r="ED59" s="1077"/>
      <c r="EE59" s="1078"/>
      <c r="EF59" s="1076"/>
      <c r="EG59" s="1077"/>
      <c r="EH59" s="1077"/>
      <c r="EI59" s="1077"/>
      <c r="EJ59" s="1078"/>
      <c r="EK59" s="1076"/>
      <c r="EL59" s="1077"/>
      <c r="EM59" s="1077"/>
      <c r="EN59" s="1077"/>
      <c r="EO59" s="1078"/>
      <c r="EP59" s="1076"/>
      <c r="EQ59" s="1077"/>
      <c r="ER59" s="1077"/>
      <c r="ES59" s="1077"/>
      <c r="ET59" s="1078"/>
      <c r="EU59" s="1076">
        <v>6</v>
      </c>
      <c r="EV59" s="1077"/>
      <c r="EW59" s="1077"/>
      <c r="EX59" s="1077"/>
      <c r="EY59" s="1078"/>
      <c r="EZ59" s="1076"/>
      <c r="FA59" s="1077"/>
      <c r="FB59" s="1077"/>
      <c r="FC59" s="1077"/>
      <c r="FD59" s="1100"/>
      <c r="FE59" s="1058">
        <f t="shared" si="3"/>
        <v>6</v>
      </c>
      <c r="FF59" s="1059"/>
      <c r="FG59" s="1059"/>
      <c r="FH59" s="1060"/>
      <c r="FI59" s="1061"/>
      <c r="FJ59" s="297"/>
    </row>
    <row r="60" spans="1:166" s="276" customFormat="1" ht="84.95" customHeight="1" x14ac:dyDescent="0.85">
      <c r="A60" s="219" t="s">
        <v>165</v>
      </c>
      <c r="B60" s="298" t="s">
        <v>308</v>
      </c>
      <c r="C60" s="411" t="s">
        <v>213</v>
      </c>
      <c r="D60" s="411"/>
      <c r="E60" s="411"/>
      <c r="F60" s="411"/>
      <c r="G60" s="411"/>
      <c r="H60" s="411"/>
      <c r="I60" s="411"/>
      <c r="J60" s="411"/>
      <c r="K60" s="411"/>
      <c r="L60" s="411"/>
      <c r="M60" s="411"/>
      <c r="N60" s="411"/>
      <c r="O60" s="411"/>
      <c r="P60" s="411"/>
      <c r="Q60" s="411"/>
      <c r="R60" s="411"/>
      <c r="S60" s="411"/>
      <c r="T60" s="411"/>
      <c r="U60" s="411"/>
      <c r="V60" s="411"/>
      <c r="W60" s="411"/>
      <c r="X60" s="411"/>
      <c r="Y60" s="411"/>
      <c r="Z60" s="1073">
        <f t="shared" si="10"/>
        <v>180</v>
      </c>
      <c r="AA60" s="1074"/>
      <c r="AB60" s="1074"/>
      <c r="AC60" s="1074"/>
      <c r="AD60" s="1075"/>
      <c r="AE60" s="1076"/>
      <c r="AF60" s="1077"/>
      <c r="AG60" s="1077"/>
      <c r="AH60" s="1077"/>
      <c r="AI60" s="1078"/>
      <c r="AJ60" s="1079">
        <f t="shared" si="11"/>
        <v>72</v>
      </c>
      <c r="AK60" s="1080"/>
      <c r="AL60" s="1080"/>
      <c r="AM60" s="1080"/>
      <c r="AN60" s="1081"/>
      <c r="AO60" s="1079">
        <v>36</v>
      </c>
      <c r="AP60" s="1080"/>
      <c r="AQ60" s="1080"/>
      <c r="AR60" s="1080"/>
      <c r="AS60" s="1081"/>
      <c r="AT60" s="1079">
        <v>36</v>
      </c>
      <c r="AU60" s="1080"/>
      <c r="AV60" s="1080"/>
      <c r="AW60" s="1080"/>
      <c r="AX60" s="1081"/>
      <c r="AY60" s="1079"/>
      <c r="AZ60" s="1080"/>
      <c r="BA60" s="1080"/>
      <c r="BB60" s="1080"/>
      <c r="BC60" s="1081"/>
      <c r="BD60" s="1082"/>
      <c r="BE60" s="1083"/>
      <c r="BF60" s="1083"/>
      <c r="BG60" s="1083"/>
      <c r="BH60" s="1084"/>
      <c r="BI60" s="1082"/>
      <c r="BJ60" s="1083"/>
      <c r="BK60" s="1083"/>
      <c r="BL60" s="1083"/>
      <c r="BM60" s="1084"/>
      <c r="BN60" s="1085">
        <f t="shared" si="12"/>
        <v>108</v>
      </c>
      <c r="BO60" s="1086"/>
      <c r="BP60" s="1086"/>
      <c r="BQ60" s="1086"/>
      <c r="BR60" s="1087"/>
      <c r="BS60" s="1088"/>
      <c r="BT60" s="1077"/>
      <c r="BU60" s="1077"/>
      <c r="BV60" s="1077"/>
      <c r="BW60" s="1078"/>
      <c r="BX60" s="1076"/>
      <c r="BY60" s="1077"/>
      <c r="BZ60" s="1077"/>
      <c r="CA60" s="1077"/>
      <c r="CB60" s="1078"/>
      <c r="CC60" s="1076"/>
      <c r="CD60" s="1077"/>
      <c r="CE60" s="1077"/>
      <c r="CF60" s="1077"/>
      <c r="CG60" s="1078"/>
      <c r="CH60" s="1076"/>
      <c r="CI60" s="1077"/>
      <c r="CJ60" s="1077"/>
      <c r="CK60" s="1077"/>
      <c r="CL60" s="1078"/>
      <c r="CM60" s="1076"/>
      <c r="CN60" s="1077"/>
      <c r="CO60" s="1077"/>
      <c r="CP60" s="1077"/>
      <c r="CQ60" s="1078"/>
      <c r="CR60" s="1076"/>
      <c r="CS60" s="1077"/>
      <c r="CT60" s="1077"/>
      <c r="CU60" s="1077"/>
      <c r="CV60" s="1078"/>
      <c r="CW60" s="1076"/>
      <c r="CX60" s="1077"/>
      <c r="CY60" s="1077"/>
      <c r="CZ60" s="1077"/>
      <c r="DA60" s="1078"/>
      <c r="DB60" s="1076">
        <v>5</v>
      </c>
      <c r="DC60" s="1077"/>
      <c r="DD60" s="1077"/>
      <c r="DE60" s="1077"/>
      <c r="DF60" s="1078"/>
      <c r="DG60" s="1076"/>
      <c r="DH60" s="1077"/>
      <c r="DI60" s="1077"/>
      <c r="DJ60" s="1077"/>
      <c r="DK60" s="1100"/>
      <c r="DL60" s="1088"/>
      <c r="DM60" s="1077"/>
      <c r="DN60" s="1077"/>
      <c r="DO60" s="1077"/>
      <c r="DP60" s="1078"/>
      <c r="DQ60" s="1076"/>
      <c r="DR60" s="1077"/>
      <c r="DS60" s="1077"/>
      <c r="DT60" s="1077"/>
      <c r="DU60" s="1078"/>
      <c r="DV60" s="1076"/>
      <c r="DW60" s="1077"/>
      <c r="DX60" s="1077"/>
      <c r="DY60" s="1077"/>
      <c r="DZ60" s="1078"/>
      <c r="EA60" s="1076"/>
      <c r="EB60" s="1077"/>
      <c r="EC60" s="1077"/>
      <c r="ED60" s="1077"/>
      <c r="EE60" s="1078"/>
      <c r="EF60" s="1076"/>
      <c r="EG60" s="1077"/>
      <c r="EH60" s="1077"/>
      <c r="EI60" s="1077"/>
      <c r="EJ60" s="1078"/>
      <c r="EK60" s="1076"/>
      <c r="EL60" s="1077"/>
      <c r="EM60" s="1077"/>
      <c r="EN60" s="1077"/>
      <c r="EO60" s="1078"/>
      <c r="EP60" s="1076"/>
      <c r="EQ60" s="1077"/>
      <c r="ER60" s="1077"/>
      <c r="ES60" s="1077"/>
      <c r="ET60" s="1078"/>
      <c r="EU60" s="1076">
        <v>6</v>
      </c>
      <c r="EV60" s="1077"/>
      <c r="EW60" s="1077"/>
      <c r="EX60" s="1077"/>
      <c r="EY60" s="1078"/>
      <c r="EZ60" s="1076"/>
      <c r="FA60" s="1077"/>
      <c r="FB60" s="1077"/>
      <c r="FC60" s="1077"/>
      <c r="FD60" s="1100"/>
      <c r="FE60" s="1058">
        <f t="shared" si="3"/>
        <v>6</v>
      </c>
      <c r="FF60" s="1059"/>
      <c r="FG60" s="1059"/>
      <c r="FH60" s="1060"/>
      <c r="FI60" s="1061"/>
      <c r="FJ60" s="297"/>
    </row>
    <row r="61" spans="1:166" s="120" customFormat="1" ht="84.95" customHeight="1" x14ac:dyDescent="0.85">
      <c r="A61" s="220" t="s">
        <v>166</v>
      </c>
      <c r="B61" s="281" t="s">
        <v>315</v>
      </c>
      <c r="C61" s="388" t="s">
        <v>291</v>
      </c>
      <c r="D61" s="388"/>
      <c r="E61" s="388"/>
      <c r="F61" s="388"/>
      <c r="G61" s="388"/>
      <c r="H61" s="388"/>
      <c r="I61" s="388"/>
      <c r="J61" s="388"/>
      <c r="K61" s="388"/>
      <c r="L61" s="388"/>
      <c r="M61" s="388"/>
      <c r="N61" s="388"/>
      <c r="O61" s="388"/>
      <c r="P61" s="388"/>
      <c r="Q61" s="388"/>
      <c r="R61" s="388"/>
      <c r="S61" s="388"/>
      <c r="T61" s="388"/>
      <c r="U61" s="388"/>
      <c r="V61" s="388"/>
      <c r="W61" s="388"/>
      <c r="X61" s="388"/>
      <c r="Y61" s="388"/>
      <c r="Z61" s="515">
        <f t="shared" si="10"/>
        <v>180</v>
      </c>
      <c r="AA61" s="516"/>
      <c r="AB61" s="516"/>
      <c r="AC61" s="516"/>
      <c r="AD61" s="517"/>
      <c r="AE61" s="1054"/>
      <c r="AF61" s="1055"/>
      <c r="AG61" s="1055"/>
      <c r="AH61" s="1055"/>
      <c r="AI61" s="1056"/>
      <c r="AJ61" s="1064">
        <f t="shared" si="11"/>
        <v>72</v>
      </c>
      <c r="AK61" s="1065"/>
      <c r="AL61" s="1065"/>
      <c r="AM61" s="1065"/>
      <c r="AN61" s="1066"/>
      <c r="AO61" s="1064">
        <v>36</v>
      </c>
      <c r="AP61" s="1065"/>
      <c r="AQ61" s="1065"/>
      <c r="AR61" s="1065"/>
      <c r="AS61" s="1066"/>
      <c r="AT61" s="1064">
        <v>36</v>
      </c>
      <c r="AU61" s="1065"/>
      <c r="AV61" s="1065"/>
      <c r="AW61" s="1065"/>
      <c r="AX61" s="1066"/>
      <c r="AY61" s="1064"/>
      <c r="AZ61" s="1065"/>
      <c r="BA61" s="1065"/>
      <c r="BB61" s="1065"/>
      <c r="BC61" s="1066"/>
      <c r="BD61" s="1067"/>
      <c r="BE61" s="1068"/>
      <c r="BF61" s="1068"/>
      <c r="BG61" s="1068"/>
      <c r="BH61" s="1069"/>
      <c r="BI61" s="1067" t="s">
        <v>331</v>
      </c>
      <c r="BJ61" s="1068"/>
      <c r="BK61" s="1068"/>
      <c r="BL61" s="1068"/>
      <c r="BM61" s="1069"/>
      <c r="BN61" s="520">
        <f t="shared" si="12"/>
        <v>108</v>
      </c>
      <c r="BO61" s="1070"/>
      <c r="BP61" s="1070"/>
      <c r="BQ61" s="1070"/>
      <c r="BR61" s="1071"/>
      <c r="BS61" s="1072"/>
      <c r="BT61" s="1055"/>
      <c r="BU61" s="1055"/>
      <c r="BV61" s="1055"/>
      <c r="BW61" s="1056"/>
      <c r="BX61" s="1054"/>
      <c r="BY61" s="1055"/>
      <c r="BZ61" s="1055"/>
      <c r="CA61" s="1055"/>
      <c r="CB61" s="1056"/>
      <c r="CC61" s="1054"/>
      <c r="CD61" s="1055"/>
      <c r="CE61" s="1055"/>
      <c r="CF61" s="1055"/>
      <c r="CG61" s="1056"/>
      <c r="CH61" s="1054"/>
      <c r="CI61" s="1055"/>
      <c r="CJ61" s="1055"/>
      <c r="CK61" s="1055"/>
      <c r="CL61" s="1056"/>
      <c r="CM61" s="1054"/>
      <c r="CN61" s="1055"/>
      <c r="CO61" s="1055"/>
      <c r="CP61" s="1055"/>
      <c r="CQ61" s="1056"/>
      <c r="CR61" s="1054"/>
      <c r="CS61" s="1055"/>
      <c r="CT61" s="1055"/>
      <c r="CU61" s="1055"/>
      <c r="CV61" s="1056"/>
      <c r="CW61" s="1054"/>
      <c r="CX61" s="1055"/>
      <c r="CY61" s="1055"/>
      <c r="CZ61" s="1055"/>
      <c r="DA61" s="1056"/>
      <c r="DB61" s="1054"/>
      <c r="DC61" s="1055"/>
      <c r="DD61" s="1055"/>
      <c r="DE61" s="1055"/>
      <c r="DF61" s="1056"/>
      <c r="DG61" s="1054">
        <v>5</v>
      </c>
      <c r="DH61" s="1055"/>
      <c r="DI61" s="1055"/>
      <c r="DJ61" s="1055"/>
      <c r="DK61" s="1057"/>
      <c r="DL61" s="1072"/>
      <c r="DM61" s="1055"/>
      <c r="DN61" s="1055"/>
      <c r="DO61" s="1055"/>
      <c r="DP61" s="1056"/>
      <c r="DQ61" s="1054"/>
      <c r="DR61" s="1055"/>
      <c r="DS61" s="1055"/>
      <c r="DT61" s="1055"/>
      <c r="DU61" s="1056"/>
      <c r="DV61" s="1054"/>
      <c r="DW61" s="1055"/>
      <c r="DX61" s="1055"/>
      <c r="DY61" s="1055"/>
      <c r="DZ61" s="1056"/>
      <c r="EA61" s="1054"/>
      <c r="EB61" s="1055"/>
      <c r="EC61" s="1055"/>
      <c r="ED61" s="1055"/>
      <c r="EE61" s="1056"/>
      <c r="EF61" s="1054"/>
      <c r="EG61" s="1055"/>
      <c r="EH61" s="1055"/>
      <c r="EI61" s="1055"/>
      <c r="EJ61" s="1056"/>
      <c r="EK61" s="1054"/>
      <c r="EL61" s="1055"/>
      <c r="EM61" s="1055"/>
      <c r="EN61" s="1055"/>
      <c r="EO61" s="1056"/>
      <c r="EP61" s="1054"/>
      <c r="EQ61" s="1055"/>
      <c r="ER61" s="1055"/>
      <c r="ES61" s="1055"/>
      <c r="ET61" s="1056"/>
      <c r="EU61" s="1054"/>
      <c r="EV61" s="1055"/>
      <c r="EW61" s="1055"/>
      <c r="EX61" s="1055"/>
      <c r="EY61" s="1056"/>
      <c r="EZ61" s="1054">
        <v>6</v>
      </c>
      <c r="FA61" s="1055"/>
      <c r="FB61" s="1055"/>
      <c r="FC61" s="1055"/>
      <c r="FD61" s="1057"/>
      <c r="FE61" s="1052">
        <f t="shared" si="3"/>
        <v>6</v>
      </c>
      <c r="FF61" s="478"/>
      <c r="FG61" s="478"/>
      <c r="FH61" s="479"/>
      <c r="FI61" s="1053"/>
      <c r="FJ61" s="130"/>
    </row>
    <row r="62" spans="1:166" s="120" customFormat="1" ht="84.95" customHeight="1" x14ac:dyDescent="0.85">
      <c r="A62" s="220" t="s">
        <v>303</v>
      </c>
      <c r="B62" s="281" t="s">
        <v>316</v>
      </c>
      <c r="C62" s="388" t="s">
        <v>290</v>
      </c>
      <c r="D62" s="388"/>
      <c r="E62" s="388"/>
      <c r="F62" s="388"/>
      <c r="G62" s="388"/>
      <c r="H62" s="388"/>
      <c r="I62" s="388"/>
      <c r="J62" s="388"/>
      <c r="K62" s="388"/>
      <c r="L62" s="388"/>
      <c r="M62" s="388"/>
      <c r="N62" s="388"/>
      <c r="O62" s="388"/>
      <c r="P62" s="388"/>
      <c r="Q62" s="388"/>
      <c r="R62" s="388"/>
      <c r="S62" s="388"/>
      <c r="T62" s="388"/>
      <c r="U62" s="388"/>
      <c r="V62" s="388"/>
      <c r="W62" s="388"/>
      <c r="X62" s="388"/>
      <c r="Y62" s="388"/>
      <c r="Z62" s="515">
        <f t="shared" si="10"/>
        <v>120</v>
      </c>
      <c r="AA62" s="516"/>
      <c r="AB62" s="516"/>
      <c r="AC62" s="516"/>
      <c r="AD62" s="517"/>
      <c r="AE62" s="1054"/>
      <c r="AF62" s="1055"/>
      <c r="AG62" s="1055"/>
      <c r="AH62" s="1055"/>
      <c r="AI62" s="1056"/>
      <c r="AJ62" s="1064">
        <f t="shared" si="11"/>
        <v>48</v>
      </c>
      <c r="AK62" s="1065"/>
      <c r="AL62" s="1065"/>
      <c r="AM62" s="1065"/>
      <c r="AN62" s="1066"/>
      <c r="AO62" s="1064">
        <v>24</v>
      </c>
      <c r="AP62" s="1065"/>
      <c r="AQ62" s="1065"/>
      <c r="AR62" s="1065"/>
      <c r="AS62" s="1066"/>
      <c r="AT62" s="1064">
        <v>24</v>
      </c>
      <c r="AU62" s="1065"/>
      <c r="AV62" s="1065"/>
      <c r="AW62" s="1065"/>
      <c r="AX62" s="1066"/>
      <c r="AY62" s="1064"/>
      <c r="AZ62" s="1065"/>
      <c r="BA62" s="1065"/>
      <c r="BB62" s="1065"/>
      <c r="BC62" s="1066"/>
      <c r="BD62" s="1067"/>
      <c r="BE62" s="1068"/>
      <c r="BF62" s="1068"/>
      <c r="BG62" s="1068"/>
      <c r="BH62" s="1069"/>
      <c r="BI62" s="1067"/>
      <c r="BJ62" s="1068"/>
      <c r="BK62" s="1068"/>
      <c r="BL62" s="1068"/>
      <c r="BM62" s="1069"/>
      <c r="BN62" s="520">
        <f t="shared" si="12"/>
        <v>72</v>
      </c>
      <c r="BO62" s="1070"/>
      <c r="BP62" s="1070"/>
      <c r="BQ62" s="1070"/>
      <c r="BR62" s="1071"/>
      <c r="BS62" s="1072"/>
      <c r="BT62" s="1055"/>
      <c r="BU62" s="1055"/>
      <c r="BV62" s="1055"/>
      <c r="BW62" s="1056"/>
      <c r="BX62" s="1054"/>
      <c r="BY62" s="1055"/>
      <c r="BZ62" s="1055"/>
      <c r="CA62" s="1055"/>
      <c r="CB62" s="1056"/>
      <c r="CC62" s="1054"/>
      <c r="CD62" s="1055"/>
      <c r="CE62" s="1055"/>
      <c r="CF62" s="1055"/>
      <c r="CG62" s="1056"/>
      <c r="CH62" s="1054"/>
      <c r="CI62" s="1055"/>
      <c r="CJ62" s="1055"/>
      <c r="CK62" s="1055"/>
      <c r="CL62" s="1056"/>
      <c r="CM62" s="1054"/>
      <c r="CN62" s="1055"/>
      <c r="CO62" s="1055"/>
      <c r="CP62" s="1055"/>
      <c r="CQ62" s="1056"/>
      <c r="CR62" s="1054"/>
      <c r="CS62" s="1055"/>
      <c r="CT62" s="1055"/>
      <c r="CU62" s="1055"/>
      <c r="CV62" s="1056"/>
      <c r="CW62" s="1054"/>
      <c r="CX62" s="1055"/>
      <c r="CY62" s="1055"/>
      <c r="CZ62" s="1055"/>
      <c r="DA62" s="1056"/>
      <c r="DB62" s="1054"/>
      <c r="DC62" s="1055"/>
      <c r="DD62" s="1055"/>
      <c r="DE62" s="1055"/>
      <c r="DF62" s="1056"/>
      <c r="DG62" s="1054">
        <v>3</v>
      </c>
      <c r="DH62" s="1055"/>
      <c r="DI62" s="1055"/>
      <c r="DJ62" s="1055"/>
      <c r="DK62" s="1057"/>
      <c r="DL62" s="1072"/>
      <c r="DM62" s="1055"/>
      <c r="DN62" s="1055"/>
      <c r="DO62" s="1055"/>
      <c r="DP62" s="1056"/>
      <c r="DQ62" s="1054"/>
      <c r="DR62" s="1055"/>
      <c r="DS62" s="1055"/>
      <c r="DT62" s="1055"/>
      <c r="DU62" s="1056"/>
      <c r="DV62" s="1054"/>
      <c r="DW62" s="1055"/>
      <c r="DX62" s="1055"/>
      <c r="DY62" s="1055"/>
      <c r="DZ62" s="1056"/>
      <c r="EA62" s="1054"/>
      <c r="EB62" s="1055"/>
      <c r="EC62" s="1055"/>
      <c r="ED62" s="1055"/>
      <c r="EE62" s="1056"/>
      <c r="EF62" s="1054"/>
      <c r="EG62" s="1055"/>
      <c r="EH62" s="1055"/>
      <c r="EI62" s="1055"/>
      <c r="EJ62" s="1056"/>
      <c r="EK62" s="1054"/>
      <c r="EL62" s="1055"/>
      <c r="EM62" s="1055"/>
      <c r="EN62" s="1055"/>
      <c r="EO62" s="1056"/>
      <c r="EP62" s="1054"/>
      <c r="EQ62" s="1055"/>
      <c r="ER62" s="1055"/>
      <c r="ES62" s="1055"/>
      <c r="ET62" s="1056"/>
      <c r="EU62" s="1054"/>
      <c r="EV62" s="1055"/>
      <c r="EW62" s="1055"/>
      <c r="EX62" s="1055"/>
      <c r="EY62" s="1056"/>
      <c r="EZ62" s="1054">
        <v>4</v>
      </c>
      <c r="FA62" s="1055"/>
      <c r="FB62" s="1055"/>
      <c r="FC62" s="1055"/>
      <c r="FD62" s="1057"/>
      <c r="FE62" s="1052">
        <f t="shared" si="3"/>
        <v>4</v>
      </c>
      <c r="FF62" s="478"/>
      <c r="FG62" s="478"/>
      <c r="FH62" s="479"/>
      <c r="FI62" s="1053"/>
      <c r="FJ62" s="130"/>
    </row>
    <row r="63" spans="1:166" ht="84.95" customHeight="1" x14ac:dyDescent="0.2">
      <c r="A63" s="219" t="s">
        <v>339</v>
      </c>
      <c r="B63" s="281" t="s">
        <v>317</v>
      </c>
      <c r="C63" s="388" t="s">
        <v>288</v>
      </c>
      <c r="D63" s="388"/>
      <c r="E63" s="388"/>
      <c r="F63" s="388"/>
      <c r="G63" s="388"/>
      <c r="H63" s="388"/>
      <c r="I63" s="388"/>
      <c r="J63" s="388"/>
      <c r="K63" s="388"/>
      <c r="L63" s="388"/>
      <c r="M63" s="388"/>
      <c r="N63" s="388"/>
      <c r="O63" s="388"/>
      <c r="P63" s="388"/>
      <c r="Q63" s="388"/>
      <c r="R63" s="388"/>
      <c r="S63" s="388"/>
      <c r="T63" s="388"/>
      <c r="U63" s="388"/>
      <c r="V63" s="388"/>
      <c r="W63" s="388"/>
      <c r="X63" s="388"/>
      <c r="Y63" s="388"/>
      <c r="Z63" s="515">
        <f t="shared" si="0"/>
        <v>120</v>
      </c>
      <c r="AA63" s="516"/>
      <c r="AB63" s="516"/>
      <c r="AC63" s="516"/>
      <c r="AD63" s="517"/>
      <c r="AE63" s="1054"/>
      <c r="AF63" s="1055"/>
      <c r="AG63" s="1055"/>
      <c r="AH63" s="1055"/>
      <c r="AI63" s="1056"/>
      <c r="AJ63" s="1064">
        <f t="shared" si="1"/>
        <v>48</v>
      </c>
      <c r="AK63" s="1065"/>
      <c r="AL63" s="1065"/>
      <c r="AM63" s="1065"/>
      <c r="AN63" s="1066"/>
      <c r="AO63" s="1064">
        <v>24</v>
      </c>
      <c r="AP63" s="1065"/>
      <c r="AQ63" s="1065"/>
      <c r="AR63" s="1065"/>
      <c r="AS63" s="1066"/>
      <c r="AT63" s="1064">
        <v>24</v>
      </c>
      <c r="AU63" s="1065"/>
      <c r="AV63" s="1065"/>
      <c r="AW63" s="1065"/>
      <c r="AX63" s="1066"/>
      <c r="AY63" s="1064"/>
      <c r="AZ63" s="1065"/>
      <c r="BA63" s="1065"/>
      <c r="BB63" s="1065"/>
      <c r="BC63" s="1066"/>
      <c r="BD63" s="1067"/>
      <c r="BE63" s="1068"/>
      <c r="BF63" s="1068"/>
      <c r="BG63" s="1068"/>
      <c r="BH63" s="1069"/>
      <c r="BI63" s="1067"/>
      <c r="BJ63" s="1068"/>
      <c r="BK63" s="1068"/>
      <c r="BL63" s="1068"/>
      <c r="BM63" s="1069"/>
      <c r="BN63" s="520">
        <f t="shared" si="2"/>
        <v>72</v>
      </c>
      <c r="BO63" s="1070"/>
      <c r="BP63" s="1070"/>
      <c r="BQ63" s="1070"/>
      <c r="BR63" s="1071"/>
      <c r="BS63" s="1072"/>
      <c r="BT63" s="1055"/>
      <c r="BU63" s="1055"/>
      <c r="BV63" s="1055"/>
      <c r="BW63" s="1056"/>
      <c r="BX63" s="1054"/>
      <c r="BY63" s="1055"/>
      <c r="BZ63" s="1055"/>
      <c r="CA63" s="1055"/>
      <c r="CB63" s="1056"/>
      <c r="CC63" s="1054"/>
      <c r="CD63" s="1055"/>
      <c r="CE63" s="1055"/>
      <c r="CF63" s="1055"/>
      <c r="CG63" s="1056"/>
      <c r="CH63" s="1054"/>
      <c r="CI63" s="1055"/>
      <c r="CJ63" s="1055"/>
      <c r="CK63" s="1055"/>
      <c r="CL63" s="1056"/>
      <c r="CM63" s="1054"/>
      <c r="CN63" s="1055"/>
      <c r="CO63" s="1055"/>
      <c r="CP63" s="1055"/>
      <c r="CQ63" s="1056"/>
      <c r="CR63" s="1054"/>
      <c r="CS63" s="1055"/>
      <c r="CT63" s="1055"/>
      <c r="CU63" s="1055"/>
      <c r="CV63" s="1056"/>
      <c r="CW63" s="1054"/>
      <c r="CX63" s="1055"/>
      <c r="CY63" s="1055"/>
      <c r="CZ63" s="1055"/>
      <c r="DA63" s="1056"/>
      <c r="DB63" s="1054"/>
      <c r="DC63" s="1055"/>
      <c r="DD63" s="1055"/>
      <c r="DE63" s="1055"/>
      <c r="DF63" s="1056"/>
      <c r="DG63" s="1054">
        <v>3</v>
      </c>
      <c r="DH63" s="1055"/>
      <c r="DI63" s="1055"/>
      <c r="DJ63" s="1055"/>
      <c r="DK63" s="1057"/>
      <c r="DL63" s="1072"/>
      <c r="DM63" s="1055"/>
      <c r="DN63" s="1055"/>
      <c r="DO63" s="1055"/>
      <c r="DP63" s="1056"/>
      <c r="DQ63" s="1054"/>
      <c r="DR63" s="1055"/>
      <c r="DS63" s="1055"/>
      <c r="DT63" s="1055"/>
      <c r="DU63" s="1056"/>
      <c r="DV63" s="1054"/>
      <c r="DW63" s="1055"/>
      <c r="DX63" s="1055"/>
      <c r="DY63" s="1055"/>
      <c r="DZ63" s="1056"/>
      <c r="EA63" s="1054"/>
      <c r="EB63" s="1055"/>
      <c r="EC63" s="1055"/>
      <c r="ED63" s="1055"/>
      <c r="EE63" s="1056"/>
      <c r="EF63" s="1054"/>
      <c r="EG63" s="1055"/>
      <c r="EH63" s="1055"/>
      <c r="EI63" s="1055"/>
      <c r="EJ63" s="1056"/>
      <c r="EK63" s="1054"/>
      <c r="EL63" s="1055"/>
      <c r="EM63" s="1055"/>
      <c r="EN63" s="1055"/>
      <c r="EO63" s="1056"/>
      <c r="EP63" s="1054"/>
      <c r="EQ63" s="1055"/>
      <c r="ER63" s="1055"/>
      <c r="ES63" s="1055"/>
      <c r="ET63" s="1056"/>
      <c r="EU63" s="1054"/>
      <c r="EV63" s="1055"/>
      <c r="EW63" s="1055"/>
      <c r="EX63" s="1055"/>
      <c r="EY63" s="1056"/>
      <c r="EZ63" s="1054">
        <v>4</v>
      </c>
      <c r="FA63" s="1055"/>
      <c r="FB63" s="1055"/>
      <c r="FC63" s="1055"/>
      <c r="FD63" s="1057"/>
      <c r="FE63" s="1052">
        <f t="shared" si="3"/>
        <v>4</v>
      </c>
      <c r="FF63" s="478"/>
      <c r="FG63" s="478"/>
      <c r="FH63" s="479"/>
      <c r="FI63" s="1053"/>
    </row>
    <row r="64" spans="1:166" ht="69.95" customHeight="1" x14ac:dyDescent="0.2">
      <c r="A64" s="196" t="s">
        <v>38</v>
      </c>
      <c r="B64" s="194"/>
      <c r="C64" s="510" t="s">
        <v>76</v>
      </c>
      <c r="D64" s="510"/>
      <c r="E64" s="510"/>
      <c r="F64" s="510"/>
      <c r="G64" s="510"/>
      <c r="H64" s="510"/>
      <c r="I64" s="510"/>
      <c r="J64" s="510"/>
      <c r="K64" s="510"/>
      <c r="L64" s="510"/>
      <c r="M64" s="510"/>
      <c r="N64" s="510"/>
      <c r="O64" s="510"/>
      <c r="P64" s="510"/>
      <c r="Q64" s="510"/>
      <c r="R64" s="510"/>
      <c r="S64" s="510"/>
      <c r="T64" s="510"/>
      <c r="U64" s="510"/>
      <c r="V64" s="510"/>
      <c r="W64" s="510"/>
      <c r="X64" s="510"/>
      <c r="Y64" s="510"/>
      <c r="Z64" s="407">
        <f>SUM(Z65:AD92)</f>
        <v>2400</v>
      </c>
      <c r="AA64" s="407"/>
      <c r="AB64" s="407"/>
      <c r="AC64" s="407"/>
      <c r="AD64" s="407"/>
      <c r="AE64" s="469">
        <f>Z64/$Z$97*100</f>
        <v>33.333333333333329</v>
      </c>
      <c r="AF64" s="469"/>
      <c r="AG64" s="469"/>
      <c r="AH64" s="469"/>
      <c r="AI64" s="469"/>
      <c r="AJ64" s="408">
        <f>SUM(AJ65:AN92)</f>
        <v>932</v>
      </c>
      <c r="AK64" s="409"/>
      <c r="AL64" s="409"/>
      <c r="AM64" s="409"/>
      <c r="AN64" s="410"/>
      <c r="AO64" s="408">
        <f>SUM(AO65:AS92)</f>
        <v>408</v>
      </c>
      <c r="AP64" s="409"/>
      <c r="AQ64" s="409"/>
      <c r="AR64" s="409"/>
      <c r="AS64" s="410"/>
      <c r="AT64" s="408">
        <f>SUM(AT65:AX92)</f>
        <v>474</v>
      </c>
      <c r="AU64" s="409"/>
      <c r="AV64" s="409"/>
      <c r="AW64" s="409"/>
      <c r="AX64" s="410"/>
      <c r="AY64" s="408">
        <f>SUM(AY65:BC92)</f>
        <v>50</v>
      </c>
      <c r="AZ64" s="409"/>
      <c r="BA64" s="409"/>
      <c r="BB64" s="409"/>
      <c r="BC64" s="410"/>
      <c r="BD64" s="408">
        <f>SUM(BD65:BH92)</f>
        <v>0</v>
      </c>
      <c r="BE64" s="409"/>
      <c r="BF64" s="409"/>
      <c r="BG64" s="409"/>
      <c r="BH64" s="410"/>
      <c r="BI64" s="408">
        <f>SUM(BI65:BM92)</f>
        <v>0</v>
      </c>
      <c r="BJ64" s="409"/>
      <c r="BK64" s="409"/>
      <c r="BL64" s="409"/>
      <c r="BM64" s="410"/>
      <c r="BN64" s="407">
        <f>SUM(BN65:BR92)</f>
        <v>1468</v>
      </c>
      <c r="BO64" s="407"/>
      <c r="BP64" s="407"/>
      <c r="BQ64" s="408"/>
      <c r="BR64" s="1133"/>
      <c r="BS64" s="1134">
        <f>SUM(BS65:BW92)</f>
        <v>4</v>
      </c>
      <c r="BT64" s="368"/>
      <c r="BU64" s="368"/>
      <c r="BV64" s="368"/>
      <c r="BW64" s="368"/>
      <c r="BX64" s="368">
        <f>SUM(BX65:CB92)</f>
        <v>12</v>
      </c>
      <c r="BY64" s="368"/>
      <c r="BZ64" s="368"/>
      <c r="CA64" s="368"/>
      <c r="CB64" s="368"/>
      <c r="CC64" s="368">
        <f>SUM(CC65:CG92)</f>
        <v>16</v>
      </c>
      <c r="CD64" s="368"/>
      <c r="CE64" s="368"/>
      <c r="CF64" s="368"/>
      <c r="CG64" s="368"/>
      <c r="CH64" s="368">
        <f>SUM(CH65:CL92)</f>
        <v>3</v>
      </c>
      <c r="CI64" s="368"/>
      <c r="CJ64" s="368"/>
      <c r="CK64" s="368"/>
      <c r="CL64" s="368"/>
      <c r="CM64" s="368">
        <f>SUM(CM65:CQ92)</f>
        <v>9</v>
      </c>
      <c r="CN64" s="368"/>
      <c r="CO64" s="368"/>
      <c r="CP64" s="368"/>
      <c r="CQ64" s="368"/>
      <c r="CR64" s="368">
        <f>SUM(CR65:CV92)</f>
        <v>12</v>
      </c>
      <c r="CS64" s="368"/>
      <c r="CT64" s="368"/>
      <c r="CU64" s="368"/>
      <c r="CV64" s="368"/>
      <c r="CW64" s="368">
        <f>SUM(CW65:DA92)</f>
        <v>6</v>
      </c>
      <c r="CX64" s="368"/>
      <c r="CY64" s="368"/>
      <c r="CZ64" s="368"/>
      <c r="DA64" s="368"/>
      <c r="DB64" s="368">
        <f>SUM(DB65:DF92)</f>
        <v>0</v>
      </c>
      <c r="DC64" s="368"/>
      <c r="DD64" s="368"/>
      <c r="DE64" s="368"/>
      <c r="DF64" s="368"/>
      <c r="DG64" s="407">
        <f>SUM(DG65:DK92)</f>
        <v>4</v>
      </c>
      <c r="DH64" s="407"/>
      <c r="DI64" s="407"/>
      <c r="DJ64" s="407"/>
      <c r="DK64" s="1133"/>
      <c r="DL64" s="1134">
        <f>SUM(DL65:DP92)</f>
        <v>6</v>
      </c>
      <c r="DM64" s="368"/>
      <c r="DN64" s="368"/>
      <c r="DO64" s="368"/>
      <c r="DP64" s="368"/>
      <c r="DQ64" s="368">
        <f>SUM(DQ65:DU92)</f>
        <v>14</v>
      </c>
      <c r="DR64" s="368"/>
      <c r="DS64" s="368"/>
      <c r="DT64" s="368"/>
      <c r="DU64" s="368"/>
      <c r="DV64" s="368">
        <f>SUM(DV65:DZ92)</f>
        <v>19</v>
      </c>
      <c r="DW64" s="368"/>
      <c r="DX64" s="368"/>
      <c r="DY64" s="368"/>
      <c r="DZ64" s="368"/>
      <c r="EA64" s="368">
        <f>SUM(EA65:EE92)</f>
        <v>4</v>
      </c>
      <c r="EB64" s="368"/>
      <c r="EC64" s="368"/>
      <c r="ED64" s="368"/>
      <c r="EE64" s="368"/>
      <c r="EF64" s="368">
        <f>SUM(EF65:EJ92)</f>
        <v>10</v>
      </c>
      <c r="EG64" s="368"/>
      <c r="EH64" s="368"/>
      <c r="EI64" s="368"/>
      <c r="EJ64" s="368"/>
      <c r="EK64" s="368">
        <f>SUM(EK65:EO92)</f>
        <v>14</v>
      </c>
      <c r="EL64" s="368"/>
      <c r="EM64" s="368"/>
      <c r="EN64" s="368"/>
      <c r="EO64" s="368"/>
      <c r="EP64" s="368">
        <f>SUM(EP65:ET92)</f>
        <v>8</v>
      </c>
      <c r="EQ64" s="368"/>
      <c r="ER64" s="368"/>
      <c r="ES64" s="368"/>
      <c r="ET64" s="368"/>
      <c r="EU64" s="368">
        <f>SUM(EU65:EY92)</f>
        <v>0</v>
      </c>
      <c r="EV64" s="368"/>
      <c r="EW64" s="368"/>
      <c r="EX64" s="368"/>
      <c r="EY64" s="368"/>
      <c r="EZ64" s="368">
        <f>SUM(EZ65:FD92)</f>
        <v>5</v>
      </c>
      <c r="FA64" s="368"/>
      <c r="FB64" s="368"/>
      <c r="FC64" s="368"/>
      <c r="FD64" s="1129"/>
      <c r="FE64" s="1171">
        <f>SUM(FE65:FI92)</f>
        <v>80</v>
      </c>
      <c r="FF64" s="1172"/>
      <c r="FG64" s="1172"/>
      <c r="FH64" s="1173"/>
      <c r="FI64" s="1174"/>
    </row>
    <row r="65" spans="1:165" ht="84.95" customHeight="1" x14ac:dyDescent="0.2">
      <c r="A65" s="1101" t="s">
        <v>10</v>
      </c>
      <c r="B65" s="281" t="s">
        <v>196</v>
      </c>
      <c r="C65" s="412" t="s">
        <v>190</v>
      </c>
      <c r="D65" s="413"/>
      <c r="E65" s="413"/>
      <c r="F65" s="413"/>
      <c r="G65" s="413"/>
      <c r="H65" s="413"/>
      <c r="I65" s="413"/>
      <c r="J65" s="413"/>
      <c r="K65" s="413"/>
      <c r="L65" s="413"/>
      <c r="M65" s="413"/>
      <c r="N65" s="413"/>
      <c r="O65" s="413"/>
      <c r="P65" s="413"/>
      <c r="Q65" s="413"/>
      <c r="R65" s="413"/>
      <c r="S65" s="413"/>
      <c r="T65" s="413"/>
      <c r="U65" s="413"/>
      <c r="V65" s="413"/>
      <c r="W65" s="413"/>
      <c r="X65" s="413"/>
      <c r="Y65" s="414"/>
      <c r="Z65" s="389">
        <f>FE65*30</f>
        <v>150</v>
      </c>
      <c r="AA65" s="390"/>
      <c r="AB65" s="390"/>
      <c r="AC65" s="390"/>
      <c r="AD65" s="391"/>
      <c r="AE65" s="395"/>
      <c r="AF65" s="396"/>
      <c r="AG65" s="396"/>
      <c r="AH65" s="396"/>
      <c r="AI65" s="397"/>
      <c r="AJ65" s="372">
        <f>SUM(AO65:BH66)</f>
        <v>60</v>
      </c>
      <c r="AK65" s="373"/>
      <c r="AL65" s="373"/>
      <c r="AM65" s="373"/>
      <c r="AN65" s="374"/>
      <c r="AO65" s="372">
        <v>30</v>
      </c>
      <c r="AP65" s="373"/>
      <c r="AQ65" s="373"/>
      <c r="AR65" s="373"/>
      <c r="AS65" s="374"/>
      <c r="AT65" s="372">
        <v>30</v>
      </c>
      <c r="AU65" s="373"/>
      <c r="AV65" s="373"/>
      <c r="AW65" s="373"/>
      <c r="AX65" s="374"/>
      <c r="AY65" s="1148"/>
      <c r="AZ65" s="1149"/>
      <c r="BA65" s="1149"/>
      <c r="BB65" s="1149"/>
      <c r="BC65" s="1150"/>
      <c r="BD65" s="372"/>
      <c r="BE65" s="373"/>
      <c r="BF65" s="373"/>
      <c r="BG65" s="373"/>
      <c r="BH65" s="374"/>
      <c r="BI65" s="372"/>
      <c r="BJ65" s="373"/>
      <c r="BK65" s="373"/>
      <c r="BL65" s="373"/>
      <c r="BM65" s="374"/>
      <c r="BN65" s="389">
        <f>Z65-AJ65</f>
        <v>90</v>
      </c>
      <c r="BO65" s="390"/>
      <c r="BP65" s="390"/>
      <c r="BQ65" s="390"/>
      <c r="BR65" s="1103"/>
      <c r="BS65" s="1092"/>
      <c r="BT65" s="356"/>
      <c r="BU65" s="356"/>
      <c r="BV65" s="356"/>
      <c r="BW65" s="356"/>
      <c r="BX65" s="356"/>
      <c r="BY65" s="356"/>
      <c r="BZ65" s="356"/>
      <c r="CA65" s="356"/>
      <c r="CB65" s="356"/>
      <c r="CC65" s="356">
        <v>4</v>
      </c>
      <c r="CD65" s="356"/>
      <c r="CE65" s="356"/>
      <c r="CF65" s="356"/>
      <c r="CG65" s="356"/>
      <c r="CH65" s="356"/>
      <c r="CI65" s="356"/>
      <c r="CJ65" s="356"/>
      <c r="CK65" s="356"/>
      <c r="CL65" s="356"/>
      <c r="CM65" s="356"/>
      <c r="CN65" s="356"/>
      <c r="CO65" s="356"/>
      <c r="CP65" s="356"/>
      <c r="CQ65" s="356"/>
      <c r="CR65" s="356"/>
      <c r="CS65" s="356"/>
      <c r="CT65" s="356"/>
      <c r="CU65" s="356"/>
      <c r="CV65" s="356"/>
      <c r="CW65" s="356"/>
      <c r="CX65" s="356"/>
      <c r="CY65" s="356"/>
      <c r="CZ65" s="356"/>
      <c r="DA65" s="356"/>
      <c r="DB65" s="356"/>
      <c r="DC65" s="356"/>
      <c r="DD65" s="356"/>
      <c r="DE65" s="356"/>
      <c r="DF65" s="356"/>
      <c r="DG65" s="356"/>
      <c r="DH65" s="356"/>
      <c r="DI65" s="356"/>
      <c r="DJ65" s="356"/>
      <c r="DK65" s="1099"/>
      <c r="DL65" s="1105"/>
      <c r="DM65" s="357"/>
      <c r="DN65" s="357"/>
      <c r="DO65" s="357"/>
      <c r="DP65" s="358"/>
      <c r="DQ65" s="364"/>
      <c r="DR65" s="357"/>
      <c r="DS65" s="357"/>
      <c r="DT65" s="357"/>
      <c r="DU65" s="358"/>
      <c r="DV65" s="364">
        <v>5</v>
      </c>
      <c r="DW65" s="357"/>
      <c r="DX65" s="357"/>
      <c r="DY65" s="357"/>
      <c r="DZ65" s="358"/>
      <c r="EA65" s="364"/>
      <c r="EB65" s="357"/>
      <c r="EC65" s="357"/>
      <c r="ED65" s="357"/>
      <c r="EE65" s="358"/>
      <c r="EF65" s="364"/>
      <c r="EG65" s="357"/>
      <c r="EH65" s="357"/>
      <c r="EI65" s="357"/>
      <c r="EJ65" s="358"/>
      <c r="EK65" s="364"/>
      <c r="EL65" s="357"/>
      <c r="EM65" s="357"/>
      <c r="EN65" s="357"/>
      <c r="EO65" s="358"/>
      <c r="EP65" s="364"/>
      <c r="EQ65" s="357"/>
      <c r="ER65" s="357"/>
      <c r="ES65" s="357"/>
      <c r="ET65" s="358"/>
      <c r="EU65" s="364"/>
      <c r="EV65" s="357"/>
      <c r="EW65" s="357"/>
      <c r="EX65" s="357"/>
      <c r="EY65" s="358"/>
      <c r="EZ65" s="1056"/>
      <c r="FA65" s="356"/>
      <c r="FB65" s="356"/>
      <c r="FC65" s="356"/>
      <c r="FD65" s="1099"/>
      <c r="FE65" s="1179">
        <f>+SUM(DL65:FD66)</f>
        <v>5</v>
      </c>
      <c r="FF65" s="1180"/>
      <c r="FG65" s="1180"/>
      <c r="FH65" s="1180"/>
      <c r="FI65" s="1181"/>
    </row>
    <row r="66" spans="1:165" ht="84.95" customHeight="1" x14ac:dyDescent="0.2">
      <c r="A66" s="1102"/>
      <c r="B66" s="281" t="s">
        <v>197</v>
      </c>
      <c r="C66" s="917" t="s">
        <v>191</v>
      </c>
      <c r="D66" s="918"/>
      <c r="E66" s="918"/>
      <c r="F66" s="918"/>
      <c r="G66" s="918"/>
      <c r="H66" s="918"/>
      <c r="I66" s="918"/>
      <c r="J66" s="918"/>
      <c r="K66" s="918"/>
      <c r="L66" s="918"/>
      <c r="M66" s="918"/>
      <c r="N66" s="918"/>
      <c r="O66" s="918"/>
      <c r="P66" s="918"/>
      <c r="Q66" s="918"/>
      <c r="R66" s="918"/>
      <c r="S66" s="918"/>
      <c r="T66" s="918"/>
      <c r="U66" s="918"/>
      <c r="V66" s="918"/>
      <c r="W66" s="918"/>
      <c r="X66" s="918"/>
      <c r="Y66" s="919"/>
      <c r="Z66" s="392"/>
      <c r="AA66" s="393"/>
      <c r="AB66" s="393"/>
      <c r="AC66" s="393"/>
      <c r="AD66" s="394"/>
      <c r="AE66" s="398"/>
      <c r="AF66" s="399"/>
      <c r="AG66" s="399"/>
      <c r="AH66" s="399"/>
      <c r="AI66" s="400"/>
      <c r="AJ66" s="375"/>
      <c r="AK66" s="376"/>
      <c r="AL66" s="376"/>
      <c r="AM66" s="376"/>
      <c r="AN66" s="377"/>
      <c r="AO66" s="375"/>
      <c r="AP66" s="376"/>
      <c r="AQ66" s="376"/>
      <c r="AR66" s="376"/>
      <c r="AS66" s="377"/>
      <c r="AT66" s="375"/>
      <c r="AU66" s="376"/>
      <c r="AV66" s="376"/>
      <c r="AW66" s="376"/>
      <c r="AX66" s="377"/>
      <c r="AY66" s="1151"/>
      <c r="AZ66" s="1152"/>
      <c r="BA66" s="1152"/>
      <c r="BB66" s="1152"/>
      <c r="BC66" s="1153"/>
      <c r="BD66" s="375"/>
      <c r="BE66" s="376"/>
      <c r="BF66" s="376"/>
      <c r="BG66" s="376"/>
      <c r="BH66" s="377"/>
      <c r="BI66" s="375"/>
      <c r="BJ66" s="376"/>
      <c r="BK66" s="376"/>
      <c r="BL66" s="376"/>
      <c r="BM66" s="377"/>
      <c r="BN66" s="392"/>
      <c r="BO66" s="393"/>
      <c r="BP66" s="393"/>
      <c r="BQ66" s="393"/>
      <c r="BR66" s="1104"/>
      <c r="BS66" s="1092"/>
      <c r="BT66" s="356"/>
      <c r="BU66" s="356"/>
      <c r="BV66" s="356"/>
      <c r="BW66" s="356"/>
      <c r="BX66" s="356"/>
      <c r="BY66" s="356"/>
      <c r="BZ66" s="356"/>
      <c r="CA66" s="356"/>
      <c r="CB66" s="356"/>
      <c r="CC66" s="356"/>
      <c r="CD66" s="356"/>
      <c r="CE66" s="356"/>
      <c r="CF66" s="356"/>
      <c r="CG66" s="356"/>
      <c r="CH66" s="356"/>
      <c r="CI66" s="356"/>
      <c r="CJ66" s="356"/>
      <c r="CK66" s="356"/>
      <c r="CL66" s="356"/>
      <c r="CM66" s="356"/>
      <c r="CN66" s="356"/>
      <c r="CO66" s="356"/>
      <c r="CP66" s="356"/>
      <c r="CQ66" s="356"/>
      <c r="CR66" s="356"/>
      <c r="CS66" s="356"/>
      <c r="CT66" s="356"/>
      <c r="CU66" s="356"/>
      <c r="CV66" s="356"/>
      <c r="CW66" s="356"/>
      <c r="CX66" s="356"/>
      <c r="CY66" s="356"/>
      <c r="CZ66" s="356"/>
      <c r="DA66" s="356"/>
      <c r="DB66" s="356"/>
      <c r="DC66" s="356"/>
      <c r="DD66" s="356"/>
      <c r="DE66" s="356"/>
      <c r="DF66" s="356"/>
      <c r="DG66" s="356"/>
      <c r="DH66" s="356"/>
      <c r="DI66" s="356"/>
      <c r="DJ66" s="356"/>
      <c r="DK66" s="1099"/>
      <c r="DL66" s="1106"/>
      <c r="DM66" s="359"/>
      <c r="DN66" s="359"/>
      <c r="DO66" s="359"/>
      <c r="DP66" s="360"/>
      <c r="DQ66" s="365"/>
      <c r="DR66" s="359"/>
      <c r="DS66" s="359"/>
      <c r="DT66" s="359"/>
      <c r="DU66" s="360"/>
      <c r="DV66" s="365"/>
      <c r="DW66" s="359"/>
      <c r="DX66" s="359"/>
      <c r="DY66" s="359"/>
      <c r="DZ66" s="360"/>
      <c r="EA66" s="365"/>
      <c r="EB66" s="359"/>
      <c r="EC66" s="359"/>
      <c r="ED66" s="359"/>
      <c r="EE66" s="360"/>
      <c r="EF66" s="365"/>
      <c r="EG66" s="359"/>
      <c r="EH66" s="359"/>
      <c r="EI66" s="359"/>
      <c r="EJ66" s="360"/>
      <c r="EK66" s="365"/>
      <c r="EL66" s="359"/>
      <c r="EM66" s="359"/>
      <c r="EN66" s="359"/>
      <c r="EO66" s="360"/>
      <c r="EP66" s="365"/>
      <c r="EQ66" s="359"/>
      <c r="ER66" s="359"/>
      <c r="ES66" s="359"/>
      <c r="ET66" s="360"/>
      <c r="EU66" s="365"/>
      <c r="EV66" s="359"/>
      <c r="EW66" s="359"/>
      <c r="EX66" s="359"/>
      <c r="EY66" s="360"/>
      <c r="EZ66" s="1056"/>
      <c r="FA66" s="356"/>
      <c r="FB66" s="356"/>
      <c r="FC66" s="356"/>
      <c r="FD66" s="1099"/>
      <c r="FE66" s="1182"/>
      <c r="FF66" s="1183"/>
      <c r="FG66" s="1183"/>
      <c r="FH66" s="1183"/>
      <c r="FI66" s="1184"/>
    </row>
    <row r="67" spans="1:165" ht="110.1" customHeight="1" x14ac:dyDescent="0.2">
      <c r="A67" s="1101" t="s">
        <v>11</v>
      </c>
      <c r="B67" s="281" t="s">
        <v>192</v>
      </c>
      <c r="C67" s="404" t="s">
        <v>193</v>
      </c>
      <c r="D67" s="405"/>
      <c r="E67" s="405"/>
      <c r="F67" s="405"/>
      <c r="G67" s="405"/>
      <c r="H67" s="405"/>
      <c r="I67" s="405"/>
      <c r="J67" s="405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5"/>
      <c r="V67" s="405"/>
      <c r="W67" s="405"/>
      <c r="X67" s="405"/>
      <c r="Y67" s="406"/>
      <c r="Z67" s="389">
        <f>FE67*30</f>
        <v>150</v>
      </c>
      <c r="AA67" s="390"/>
      <c r="AB67" s="390"/>
      <c r="AC67" s="390"/>
      <c r="AD67" s="391"/>
      <c r="AE67" s="395"/>
      <c r="AF67" s="396"/>
      <c r="AG67" s="396"/>
      <c r="AH67" s="396"/>
      <c r="AI67" s="397"/>
      <c r="AJ67" s="372">
        <f>SUM(AO67:BH68)</f>
        <v>60</v>
      </c>
      <c r="AK67" s="373"/>
      <c r="AL67" s="373"/>
      <c r="AM67" s="373"/>
      <c r="AN67" s="374"/>
      <c r="AO67" s="372">
        <v>30</v>
      </c>
      <c r="AP67" s="373"/>
      <c r="AQ67" s="373"/>
      <c r="AR67" s="373"/>
      <c r="AS67" s="374"/>
      <c r="AT67" s="372">
        <v>30</v>
      </c>
      <c r="AU67" s="373"/>
      <c r="AV67" s="373"/>
      <c r="AW67" s="373"/>
      <c r="AX67" s="374"/>
      <c r="AY67" s="372"/>
      <c r="AZ67" s="373"/>
      <c r="BA67" s="373"/>
      <c r="BB67" s="373"/>
      <c r="BC67" s="374"/>
      <c r="BD67" s="372"/>
      <c r="BE67" s="373"/>
      <c r="BF67" s="373"/>
      <c r="BG67" s="373"/>
      <c r="BH67" s="374"/>
      <c r="BI67" s="372"/>
      <c r="BJ67" s="373"/>
      <c r="BK67" s="373"/>
      <c r="BL67" s="373"/>
      <c r="BM67" s="374"/>
      <c r="BN67" s="389">
        <f>Z67-AJ67</f>
        <v>90</v>
      </c>
      <c r="BO67" s="390"/>
      <c r="BP67" s="390"/>
      <c r="BQ67" s="390"/>
      <c r="BR67" s="1103"/>
      <c r="BS67" s="1092"/>
      <c r="BT67" s="356"/>
      <c r="BU67" s="356"/>
      <c r="BV67" s="356"/>
      <c r="BW67" s="356"/>
      <c r="BX67" s="356"/>
      <c r="BY67" s="356"/>
      <c r="BZ67" s="356"/>
      <c r="CA67" s="356"/>
      <c r="CB67" s="356"/>
      <c r="CC67" s="356">
        <v>4</v>
      </c>
      <c r="CD67" s="356"/>
      <c r="CE67" s="356"/>
      <c r="CF67" s="356"/>
      <c r="CG67" s="356"/>
      <c r="CH67" s="356"/>
      <c r="CI67" s="356"/>
      <c r="CJ67" s="356"/>
      <c r="CK67" s="356"/>
      <c r="CL67" s="356"/>
      <c r="CM67" s="356"/>
      <c r="CN67" s="356"/>
      <c r="CO67" s="356"/>
      <c r="CP67" s="356"/>
      <c r="CQ67" s="356"/>
      <c r="CR67" s="356"/>
      <c r="CS67" s="356"/>
      <c r="CT67" s="356"/>
      <c r="CU67" s="356"/>
      <c r="CV67" s="356"/>
      <c r="CW67" s="356"/>
      <c r="CX67" s="356"/>
      <c r="CY67" s="356"/>
      <c r="CZ67" s="356"/>
      <c r="DA67" s="356"/>
      <c r="DB67" s="356"/>
      <c r="DC67" s="356"/>
      <c r="DD67" s="356"/>
      <c r="DE67" s="356"/>
      <c r="DF67" s="356"/>
      <c r="DG67" s="356"/>
      <c r="DH67" s="356"/>
      <c r="DI67" s="356"/>
      <c r="DJ67" s="356"/>
      <c r="DK67" s="1099"/>
      <c r="DL67" s="1105"/>
      <c r="DM67" s="357"/>
      <c r="DN67" s="357"/>
      <c r="DO67" s="357"/>
      <c r="DP67" s="358"/>
      <c r="DQ67" s="364"/>
      <c r="DR67" s="357"/>
      <c r="DS67" s="357"/>
      <c r="DT67" s="357"/>
      <c r="DU67" s="358"/>
      <c r="DV67" s="364">
        <v>5</v>
      </c>
      <c r="DW67" s="357"/>
      <c r="DX67" s="357"/>
      <c r="DY67" s="357"/>
      <c r="DZ67" s="358"/>
      <c r="EA67" s="364"/>
      <c r="EB67" s="357"/>
      <c r="EC67" s="357"/>
      <c r="ED67" s="357"/>
      <c r="EE67" s="358"/>
      <c r="EF67" s="364"/>
      <c r="EG67" s="357"/>
      <c r="EH67" s="357"/>
      <c r="EI67" s="357"/>
      <c r="EJ67" s="358"/>
      <c r="EK67" s="364"/>
      <c r="EL67" s="357"/>
      <c r="EM67" s="357"/>
      <c r="EN67" s="357"/>
      <c r="EO67" s="358"/>
      <c r="EP67" s="364"/>
      <c r="EQ67" s="357"/>
      <c r="ER67" s="357"/>
      <c r="ES67" s="357"/>
      <c r="ET67" s="358"/>
      <c r="EU67" s="364"/>
      <c r="EV67" s="357"/>
      <c r="EW67" s="357"/>
      <c r="EX67" s="357"/>
      <c r="EY67" s="358"/>
      <c r="EZ67" s="1056"/>
      <c r="FA67" s="356"/>
      <c r="FB67" s="356"/>
      <c r="FC67" s="356"/>
      <c r="FD67" s="1099"/>
      <c r="FE67" s="1179">
        <f>+SUM(DL67:FD68)</f>
        <v>5</v>
      </c>
      <c r="FF67" s="1180"/>
      <c r="FG67" s="1180"/>
      <c r="FH67" s="1180"/>
      <c r="FI67" s="1181"/>
    </row>
    <row r="68" spans="1:165" ht="84.95" customHeight="1" x14ac:dyDescent="0.2">
      <c r="A68" s="1102"/>
      <c r="B68" s="281" t="s">
        <v>194</v>
      </c>
      <c r="C68" s="404" t="s">
        <v>195</v>
      </c>
      <c r="D68" s="405"/>
      <c r="E68" s="405"/>
      <c r="F68" s="405"/>
      <c r="G68" s="405"/>
      <c r="H68" s="405"/>
      <c r="I68" s="405"/>
      <c r="J68" s="405"/>
      <c r="K68" s="405"/>
      <c r="L68" s="405"/>
      <c r="M68" s="405"/>
      <c r="N68" s="405"/>
      <c r="O68" s="405"/>
      <c r="P68" s="405"/>
      <c r="Q68" s="405"/>
      <c r="R68" s="405"/>
      <c r="S68" s="405"/>
      <c r="T68" s="405"/>
      <c r="U68" s="405"/>
      <c r="V68" s="405"/>
      <c r="W68" s="405"/>
      <c r="X68" s="405"/>
      <c r="Y68" s="406"/>
      <c r="Z68" s="392"/>
      <c r="AA68" s="393"/>
      <c r="AB68" s="393"/>
      <c r="AC68" s="393"/>
      <c r="AD68" s="394"/>
      <c r="AE68" s="398"/>
      <c r="AF68" s="399"/>
      <c r="AG68" s="399"/>
      <c r="AH68" s="399"/>
      <c r="AI68" s="400"/>
      <c r="AJ68" s="375"/>
      <c r="AK68" s="376"/>
      <c r="AL68" s="376"/>
      <c r="AM68" s="376"/>
      <c r="AN68" s="377"/>
      <c r="AO68" s="375"/>
      <c r="AP68" s="376"/>
      <c r="AQ68" s="376"/>
      <c r="AR68" s="376"/>
      <c r="AS68" s="377"/>
      <c r="AT68" s="375"/>
      <c r="AU68" s="376"/>
      <c r="AV68" s="376"/>
      <c r="AW68" s="376"/>
      <c r="AX68" s="377"/>
      <c r="AY68" s="375"/>
      <c r="AZ68" s="376"/>
      <c r="BA68" s="376"/>
      <c r="BB68" s="376"/>
      <c r="BC68" s="377"/>
      <c r="BD68" s="375"/>
      <c r="BE68" s="376"/>
      <c r="BF68" s="376"/>
      <c r="BG68" s="376"/>
      <c r="BH68" s="377"/>
      <c r="BI68" s="375"/>
      <c r="BJ68" s="376"/>
      <c r="BK68" s="376"/>
      <c r="BL68" s="376"/>
      <c r="BM68" s="377"/>
      <c r="BN68" s="392"/>
      <c r="BO68" s="393"/>
      <c r="BP68" s="393"/>
      <c r="BQ68" s="393"/>
      <c r="BR68" s="1104"/>
      <c r="BS68" s="1092"/>
      <c r="BT68" s="356"/>
      <c r="BU68" s="356"/>
      <c r="BV68" s="356"/>
      <c r="BW68" s="356"/>
      <c r="BX68" s="356"/>
      <c r="BY68" s="356"/>
      <c r="BZ68" s="356"/>
      <c r="CA68" s="356"/>
      <c r="CB68" s="356"/>
      <c r="CC68" s="356"/>
      <c r="CD68" s="356"/>
      <c r="CE68" s="356"/>
      <c r="CF68" s="356"/>
      <c r="CG68" s="356"/>
      <c r="CH68" s="356"/>
      <c r="CI68" s="356"/>
      <c r="CJ68" s="356"/>
      <c r="CK68" s="356"/>
      <c r="CL68" s="356"/>
      <c r="CM68" s="356"/>
      <c r="CN68" s="356"/>
      <c r="CO68" s="356"/>
      <c r="CP68" s="356"/>
      <c r="CQ68" s="356"/>
      <c r="CR68" s="356"/>
      <c r="CS68" s="356"/>
      <c r="CT68" s="356"/>
      <c r="CU68" s="356"/>
      <c r="CV68" s="356"/>
      <c r="CW68" s="356"/>
      <c r="CX68" s="356"/>
      <c r="CY68" s="356"/>
      <c r="CZ68" s="356"/>
      <c r="DA68" s="356"/>
      <c r="DB68" s="356"/>
      <c r="DC68" s="356"/>
      <c r="DD68" s="356"/>
      <c r="DE68" s="356"/>
      <c r="DF68" s="356"/>
      <c r="DG68" s="356"/>
      <c r="DH68" s="356"/>
      <c r="DI68" s="356"/>
      <c r="DJ68" s="356"/>
      <c r="DK68" s="1099"/>
      <c r="DL68" s="1106"/>
      <c r="DM68" s="359"/>
      <c r="DN68" s="359"/>
      <c r="DO68" s="359"/>
      <c r="DP68" s="360"/>
      <c r="DQ68" s="365"/>
      <c r="DR68" s="359"/>
      <c r="DS68" s="359"/>
      <c r="DT68" s="359"/>
      <c r="DU68" s="360"/>
      <c r="DV68" s="365"/>
      <c r="DW68" s="359"/>
      <c r="DX68" s="359"/>
      <c r="DY68" s="359"/>
      <c r="DZ68" s="360"/>
      <c r="EA68" s="365"/>
      <c r="EB68" s="359"/>
      <c r="EC68" s="359"/>
      <c r="ED68" s="359"/>
      <c r="EE68" s="360"/>
      <c r="EF68" s="365"/>
      <c r="EG68" s="359"/>
      <c r="EH68" s="359"/>
      <c r="EI68" s="359"/>
      <c r="EJ68" s="360"/>
      <c r="EK68" s="365"/>
      <c r="EL68" s="359"/>
      <c r="EM68" s="359"/>
      <c r="EN68" s="359"/>
      <c r="EO68" s="360"/>
      <c r="EP68" s="365"/>
      <c r="EQ68" s="359"/>
      <c r="ER68" s="359"/>
      <c r="ES68" s="359"/>
      <c r="ET68" s="360"/>
      <c r="EU68" s="365"/>
      <c r="EV68" s="359"/>
      <c r="EW68" s="359"/>
      <c r="EX68" s="359"/>
      <c r="EY68" s="360"/>
      <c r="EZ68" s="1056"/>
      <c r="FA68" s="356"/>
      <c r="FB68" s="356"/>
      <c r="FC68" s="356"/>
      <c r="FD68" s="1099"/>
      <c r="FE68" s="1182"/>
      <c r="FF68" s="1183"/>
      <c r="FG68" s="1183"/>
      <c r="FH68" s="1183"/>
      <c r="FI68" s="1184"/>
    </row>
    <row r="69" spans="1:165" ht="84.95" customHeight="1" x14ac:dyDescent="0.2">
      <c r="A69" s="1101" t="s">
        <v>39</v>
      </c>
      <c r="B69" s="284" t="s">
        <v>206</v>
      </c>
      <c r="C69" s="920" t="s">
        <v>207</v>
      </c>
      <c r="D69" s="921"/>
      <c r="E69" s="921"/>
      <c r="F69" s="921"/>
      <c r="G69" s="921"/>
      <c r="H69" s="921"/>
      <c r="I69" s="921"/>
      <c r="J69" s="921"/>
      <c r="K69" s="921"/>
      <c r="L69" s="921"/>
      <c r="M69" s="921"/>
      <c r="N69" s="921"/>
      <c r="O69" s="921"/>
      <c r="P69" s="921"/>
      <c r="Q69" s="921"/>
      <c r="R69" s="921"/>
      <c r="S69" s="921"/>
      <c r="T69" s="921"/>
      <c r="U69" s="921"/>
      <c r="V69" s="921"/>
      <c r="W69" s="921"/>
      <c r="X69" s="921"/>
      <c r="Y69" s="922"/>
      <c r="Z69" s="389">
        <f>FE69*30</f>
        <v>150</v>
      </c>
      <c r="AA69" s="390"/>
      <c r="AB69" s="390"/>
      <c r="AC69" s="390"/>
      <c r="AD69" s="391"/>
      <c r="AE69" s="395"/>
      <c r="AF69" s="396"/>
      <c r="AG69" s="396"/>
      <c r="AH69" s="396"/>
      <c r="AI69" s="397"/>
      <c r="AJ69" s="372">
        <f>SUM(AO69:BH70)</f>
        <v>60</v>
      </c>
      <c r="AK69" s="373"/>
      <c r="AL69" s="373"/>
      <c r="AM69" s="373"/>
      <c r="AN69" s="374"/>
      <c r="AO69" s="372"/>
      <c r="AP69" s="373"/>
      <c r="AQ69" s="373"/>
      <c r="AR69" s="373"/>
      <c r="AS69" s="374"/>
      <c r="AT69" s="372">
        <v>60</v>
      </c>
      <c r="AU69" s="373"/>
      <c r="AV69" s="373"/>
      <c r="AW69" s="373"/>
      <c r="AX69" s="374"/>
      <c r="AY69" s="372"/>
      <c r="AZ69" s="373"/>
      <c r="BA69" s="373"/>
      <c r="BB69" s="373"/>
      <c r="BC69" s="374"/>
      <c r="BD69" s="372"/>
      <c r="BE69" s="373"/>
      <c r="BF69" s="373"/>
      <c r="BG69" s="373"/>
      <c r="BH69" s="374"/>
      <c r="BI69" s="372"/>
      <c r="BJ69" s="373"/>
      <c r="BK69" s="373"/>
      <c r="BL69" s="373"/>
      <c r="BM69" s="374"/>
      <c r="BN69" s="389">
        <f>Z69-AJ69</f>
        <v>90</v>
      </c>
      <c r="BO69" s="390"/>
      <c r="BP69" s="390"/>
      <c r="BQ69" s="390"/>
      <c r="BR69" s="1103"/>
      <c r="BS69" s="1092"/>
      <c r="BT69" s="356"/>
      <c r="BU69" s="356"/>
      <c r="BV69" s="356"/>
      <c r="BW69" s="356"/>
      <c r="BX69" s="356"/>
      <c r="BY69" s="356"/>
      <c r="BZ69" s="356"/>
      <c r="CA69" s="356"/>
      <c r="CB69" s="356"/>
      <c r="CC69" s="356"/>
      <c r="CD69" s="356"/>
      <c r="CE69" s="356"/>
      <c r="CF69" s="356"/>
      <c r="CG69" s="356"/>
      <c r="CH69" s="356"/>
      <c r="CI69" s="356"/>
      <c r="CJ69" s="356"/>
      <c r="CK69" s="356"/>
      <c r="CL69" s="356"/>
      <c r="CM69" s="356"/>
      <c r="CN69" s="356"/>
      <c r="CO69" s="356"/>
      <c r="CP69" s="356"/>
      <c r="CQ69" s="356"/>
      <c r="CR69" s="356"/>
      <c r="CS69" s="356"/>
      <c r="CT69" s="356"/>
      <c r="CU69" s="356"/>
      <c r="CV69" s="356"/>
      <c r="CW69" s="356">
        <v>4</v>
      </c>
      <c r="CX69" s="356"/>
      <c r="CY69" s="356"/>
      <c r="CZ69" s="356"/>
      <c r="DA69" s="356"/>
      <c r="DB69" s="356"/>
      <c r="DC69" s="356"/>
      <c r="DD69" s="356"/>
      <c r="DE69" s="356"/>
      <c r="DF69" s="356"/>
      <c r="DG69" s="356"/>
      <c r="DH69" s="356"/>
      <c r="DI69" s="356"/>
      <c r="DJ69" s="356"/>
      <c r="DK69" s="1099"/>
      <c r="DL69" s="1105"/>
      <c r="DM69" s="357"/>
      <c r="DN69" s="357"/>
      <c r="DO69" s="357"/>
      <c r="DP69" s="358"/>
      <c r="DQ69" s="364"/>
      <c r="DR69" s="357"/>
      <c r="DS69" s="357"/>
      <c r="DT69" s="357"/>
      <c r="DU69" s="358"/>
      <c r="DV69" s="364"/>
      <c r="DW69" s="357"/>
      <c r="DX69" s="357"/>
      <c r="DY69" s="357"/>
      <c r="DZ69" s="358"/>
      <c r="EA69" s="364"/>
      <c r="EB69" s="357"/>
      <c r="EC69" s="357"/>
      <c r="ED69" s="357"/>
      <c r="EE69" s="358"/>
      <c r="EF69" s="364"/>
      <c r="EG69" s="357"/>
      <c r="EH69" s="357"/>
      <c r="EI69" s="357"/>
      <c r="EJ69" s="358"/>
      <c r="EK69" s="364"/>
      <c r="EL69" s="357"/>
      <c r="EM69" s="357"/>
      <c r="EN69" s="357"/>
      <c r="EO69" s="358"/>
      <c r="EP69" s="364">
        <v>5</v>
      </c>
      <c r="EQ69" s="357"/>
      <c r="ER69" s="357"/>
      <c r="ES69" s="357"/>
      <c r="ET69" s="358"/>
      <c r="EU69" s="364"/>
      <c r="EV69" s="357"/>
      <c r="EW69" s="357"/>
      <c r="EX69" s="357"/>
      <c r="EY69" s="358"/>
      <c r="EZ69" s="1056"/>
      <c r="FA69" s="356"/>
      <c r="FB69" s="356"/>
      <c r="FC69" s="356"/>
      <c r="FD69" s="1099"/>
      <c r="FE69" s="1179">
        <f>+SUM(DL69:FD70)</f>
        <v>5</v>
      </c>
      <c r="FF69" s="1180"/>
      <c r="FG69" s="1180"/>
      <c r="FH69" s="1180"/>
      <c r="FI69" s="1181"/>
    </row>
    <row r="70" spans="1:165" ht="84.95" customHeight="1" x14ac:dyDescent="0.2">
      <c r="A70" s="1102"/>
      <c r="B70" s="284" t="s">
        <v>182</v>
      </c>
      <c r="C70" s="402" t="s">
        <v>183</v>
      </c>
      <c r="D70" s="402"/>
      <c r="E70" s="402"/>
      <c r="F70" s="402"/>
      <c r="G70" s="402"/>
      <c r="H70" s="402"/>
      <c r="I70" s="402"/>
      <c r="J70" s="402"/>
      <c r="K70" s="402"/>
      <c r="L70" s="402"/>
      <c r="M70" s="402"/>
      <c r="N70" s="402"/>
      <c r="O70" s="402"/>
      <c r="P70" s="402"/>
      <c r="Q70" s="402"/>
      <c r="R70" s="402"/>
      <c r="S70" s="402"/>
      <c r="T70" s="402"/>
      <c r="U70" s="402"/>
      <c r="V70" s="402"/>
      <c r="W70" s="402"/>
      <c r="X70" s="402"/>
      <c r="Y70" s="402"/>
      <c r="Z70" s="392"/>
      <c r="AA70" s="393"/>
      <c r="AB70" s="393"/>
      <c r="AC70" s="393"/>
      <c r="AD70" s="394"/>
      <c r="AE70" s="398"/>
      <c r="AF70" s="399"/>
      <c r="AG70" s="399"/>
      <c r="AH70" s="399"/>
      <c r="AI70" s="400"/>
      <c r="AJ70" s="375"/>
      <c r="AK70" s="376"/>
      <c r="AL70" s="376"/>
      <c r="AM70" s="376"/>
      <c r="AN70" s="377"/>
      <c r="AO70" s="375"/>
      <c r="AP70" s="376"/>
      <c r="AQ70" s="376"/>
      <c r="AR70" s="376"/>
      <c r="AS70" s="377"/>
      <c r="AT70" s="375"/>
      <c r="AU70" s="376"/>
      <c r="AV70" s="376"/>
      <c r="AW70" s="376"/>
      <c r="AX70" s="377"/>
      <c r="AY70" s="375"/>
      <c r="AZ70" s="376"/>
      <c r="BA70" s="376"/>
      <c r="BB70" s="376"/>
      <c r="BC70" s="377"/>
      <c r="BD70" s="375"/>
      <c r="BE70" s="376"/>
      <c r="BF70" s="376"/>
      <c r="BG70" s="376"/>
      <c r="BH70" s="377"/>
      <c r="BI70" s="375"/>
      <c r="BJ70" s="376"/>
      <c r="BK70" s="376"/>
      <c r="BL70" s="376"/>
      <c r="BM70" s="377"/>
      <c r="BN70" s="392"/>
      <c r="BO70" s="393"/>
      <c r="BP70" s="393"/>
      <c r="BQ70" s="393"/>
      <c r="BR70" s="1104"/>
      <c r="BS70" s="1092"/>
      <c r="BT70" s="356"/>
      <c r="BU70" s="356"/>
      <c r="BV70" s="356"/>
      <c r="BW70" s="356"/>
      <c r="BX70" s="356"/>
      <c r="BY70" s="356"/>
      <c r="BZ70" s="356"/>
      <c r="CA70" s="356"/>
      <c r="CB70" s="356"/>
      <c r="CC70" s="356"/>
      <c r="CD70" s="356"/>
      <c r="CE70" s="356"/>
      <c r="CF70" s="356"/>
      <c r="CG70" s="356"/>
      <c r="CH70" s="356"/>
      <c r="CI70" s="356"/>
      <c r="CJ70" s="356"/>
      <c r="CK70" s="356"/>
      <c r="CL70" s="356"/>
      <c r="CM70" s="356"/>
      <c r="CN70" s="356"/>
      <c r="CO70" s="356"/>
      <c r="CP70" s="356"/>
      <c r="CQ70" s="356"/>
      <c r="CR70" s="356"/>
      <c r="CS70" s="356"/>
      <c r="CT70" s="356"/>
      <c r="CU70" s="356"/>
      <c r="CV70" s="356"/>
      <c r="CW70" s="356"/>
      <c r="CX70" s="356"/>
      <c r="CY70" s="356"/>
      <c r="CZ70" s="356"/>
      <c r="DA70" s="356"/>
      <c r="DB70" s="356"/>
      <c r="DC70" s="356"/>
      <c r="DD70" s="356"/>
      <c r="DE70" s="356"/>
      <c r="DF70" s="356"/>
      <c r="DG70" s="356"/>
      <c r="DH70" s="356"/>
      <c r="DI70" s="356"/>
      <c r="DJ70" s="356"/>
      <c r="DK70" s="1099"/>
      <c r="DL70" s="1106"/>
      <c r="DM70" s="359"/>
      <c r="DN70" s="359"/>
      <c r="DO70" s="359"/>
      <c r="DP70" s="360"/>
      <c r="DQ70" s="365"/>
      <c r="DR70" s="359"/>
      <c r="DS70" s="359"/>
      <c r="DT70" s="359"/>
      <c r="DU70" s="360"/>
      <c r="DV70" s="365"/>
      <c r="DW70" s="359"/>
      <c r="DX70" s="359"/>
      <c r="DY70" s="359"/>
      <c r="DZ70" s="360"/>
      <c r="EA70" s="365"/>
      <c r="EB70" s="359"/>
      <c r="EC70" s="359"/>
      <c r="ED70" s="359"/>
      <c r="EE70" s="360"/>
      <c r="EF70" s="365"/>
      <c r="EG70" s="359"/>
      <c r="EH70" s="359"/>
      <c r="EI70" s="359"/>
      <c r="EJ70" s="360"/>
      <c r="EK70" s="365"/>
      <c r="EL70" s="359"/>
      <c r="EM70" s="359"/>
      <c r="EN70" s="359"/>
      <c r="EO70" s="360"/>
      <c r="EP70" s="365"/>
      <c r="EQ70" s="359"/>
      <c r="ER70" s="359"/>
      <c r="ES70" s="359"/>
      <c r="ET70" s="360"/>
      <c r="EU70" s="365"/>
      <c r="EV70" s="359"/>
      <c r="EW70" s="359"/>
      <c r="EX70" s="359"/>
      <c r="EY70" s="360"/>
      <c r="EZ70" s="1056"/>
      <c r="FA70" s="356"/>
      <c r="FB70" s="356"/>
      <c r="FC70" s="356"/>
      <c r="FD70" s="1099"/>
      <c r="FE70" s="1182"/>
      <c r="FF70" s="1183"/>
      <c r="FG70" s="1183"/>
      <c r="FH70" s="1183"/>
      <c r="FI70" s="1184"/>
    </row>
    <row r="71" spans="1:165" s="120" customFormat="1" ht="84.95" customHeight="1" x14ac:dyDescent="0.2">
      <c r="A71" s="1101" t="s">
        <v>40</v>
      </c>
      <c r="B71" s="283" t="s">
        <v>208</v>
      </c>
      <c r="C71" s="402" t="s">
        <v>209</v>
      </c>
      <c r="D71" s="402"/>
      <c r="E71" s="402"/>
      <c r="F71" s="402"/>
      <c r="G71" s="402"/>
      <c r="H71" s="402"/>
      <c r="I71" s="402"/>
      <c r="J71" s="402"/>
      <c r="K71" s="402"/>
      <c r="L71" s="402"/>
      <c r="M71" s="402"/>
      <c r="N71" s="402"/>
      <c r="O71" s="402"/>
      <c r="P71" s="402"/>
      <c r="Q71" s="402"/>
      <c r="R71" s="402"/>
      <c r="S71" s="402"/>
      <c r="T71" s="402"/>
      <c r="U71" s="402"/>
      <c r="V71" s="402"/>
      <c r="W71" s="402"/>
      <c r="X71" s="402"/>
      <c r="Y71" s="402"/>
      <c r="Z71" s="389">
        <f>FE71*30</f>
        <v>150</v>
      </c>
      <c r="AA71" s="390"/>
      <c r="AB71" s="390"/>
      <c r="AC71" s="390"/>
      <c r="AD71" s="391"/>
      <c r="AE71" s="395"/>
      <c r="AF71" s="396"/>
      <c r="AG71" s="396"/>
      <c r="AH71" s="396"/>
      <c r="AI71" s="397"/>
      <c r="AJ71" s="372">
        <f>SUM(AO71:BH72)</f>
        <v>60</v>
      </c>
      <c r="AK71" s="373"/>
      <c r="AL71" s="373"/>
      <c r="AM71" s="373"/>
      <c r="AN71" s="374"/>
      <c r="AO71" s="372"/>
      <c r="AP71" s="373"/>
      <c r="AQ71" s="373"/>
      <c r="AR71" s="373"/>
      <c r="AS71" s="374"/>
      <c r="AT71" s="372">
        <v>60</v>
      </c>
      <c r="AU71" s="373"/>
      <c r="AV71" s="373"/>
      <c r="AW71" s="373"/>
      <c r="AX71" s="374"/>
      <c r="AY71" s="372"/>
      <c r="AZ71" s="373"/>
      <c r="BA71" s="373"/>
      <c r="BB71" s="373"/>
      <c r="BC71" s="374"/>
      <c r="BD71" s="372"/>
      <c r="BE71" s="373"/>
      <c r="BF71" s="373"/>
      <c r="BG71" s="373"/>
      <c r="BH71" s="374"/>
      <c r="BI71" s="372"/>
      <c r="BJ71" s="373"/>
      <c r="BK71" s="373"/>
      <c r="BL71" s="373"/>
      <c r="BM71" s="374"/>
      <c r="BN71" s="389">
        <f>Z71-AJ71</f>
        <v>90</v>
      </c>
      <c r="BO71" s="390"/>
      <c r="BP71" s="390"/>
      <c r="BQ71" s="390"/>
      <c r="BR71" s="1103"/>
      <c r="BS71" s="1092"/>
      <c r="BT71" s="356"/>
      <c r="BU71" s="356"/>
      <c r="BV71" s="356"/>
      <c r="BW71" s="356"/>
      <c r="BX71" s="356"/>
      <c r="BY71" s="356"/>
      <c r="BZ71" s="356"/>
      <c r="CA71" s="356"/>
      <c r="CB71" s="356"/>
      <c r="CC71" s="356"/>
      <c r="CD71" s="356"/>
      <c r="CE71" s="356"/>
      <c r="CF71" s="356"/>
      <c r="CG71" s="356"/>
      <c r="CH71" s="356"/>
      <c r="CI71" s="356"/>
      <c r="CJ71" s="356"/>
      <c r="CK71" s="356"/>
      <c r="CL71" s="356"/>
      <c r="CM71" s="356"/>
      <c r="CN71" s="356"/>
      <c r="CO71" s="356"/>
      <c r="CP71" s="356"/>
      <c r="CQ71" s="356"/>
      <c r="CR71" s="356">
        <v>2</v>
      </c>
      <c r="CS71" s="356"/>
      <c r="CT71" s="356"/>
      <c r="CU71" s="356"/>
      <c r="CV71" s="356"/>
      <c r="CW71" s="356">
        <v>2</v>
      </c>
      <c r="CX71" s="356"/>
      <c r="CY71" s="356"/>
      <c r="CZ71" s="356"/>
      <c r="DA71" s="356"/>
      <c r="DB71" s="356"/>
      <c r="DC71" s="356"/>
      <c r="DD71" s="356"/>
      <c r="DE71" s="356"/>
      <c r="DF71" s="356"/>
      <c r="DG71" s="356"/>
      <c r="DH71" s="356"/>
      <c r="DI71" s="356"/>
      <c r="DJ71" s="356"/>
      <c r="DK71" s="1099"/>
      <c r="DL71" s="1105"/>
      <c r="DM71" s="357"/>
      <c r="DN71" s="357"/>
      <c r="DO71" s="357"/>
      <c r="DP71" s="358"/>
      <c r="DQ71" s="364"/>
      <c r="DR71" s="357"/>
      <c r="DS71" s="357"/>
      <c r="DT71" s="357"/>
      <c r="DU71" s="358"/>
      <c r="DV71" s="364"/>
      <c r="DW71" s="357"/>
      <c r="DX71" s="357"/>
      <c r="DY71" s="357"/>
      <c r="DZ71" s="358"/>
      <c r="EA71" s="364"/>
      <c r="EB71" s="357"/>
      <c r="EC71" s="357"/>
      <c r="ED71" s="357"/>
      <c r="EE71" s="358"/>
      <c r="EF71" s="364"/>
      <c r="EG71" s="357"/>
      <c r="EH71" s="357"/>
      <c r="EI71" s="357"/>
      <c r="EJ71" s="358"/>
      <c r="EK71" s="364">
        <v>2</v>
      </c>
      <c r="EL71" s="357"/>
      <c r="EM71" s="357"/>
      <c r="EN71" s="357"/>
      <c r="EO71" s="358"/>
      <c r="EP71" s="364">
        <v>3</v>
      </c>
      <c r="EQ71" s="357"/>
      <c r="ER71" s="357"/>
      <c r="ES71" s="357"/>
      <c r="ET71" s="358"/>
      <c r="EU71" s="364"/>
      <c r="EV71" s="357"/>
      <c r="EW71" s="357"/>
      <c r="EX71" s="357"/>
      <c r="EY71" s="358"/>
      <c r="EZ71" s="1056"/>
      <c r="FA71" s="356"/>
      <c r="FB71" s="356"/>
      <c r="FC71" s="356"/>
      <c r="FD71" s="1099"/>
      <c r="FE71" s="1093">
        <f>+SUM(DL71:FD72)</f>
        <v>5</v>
      </c>
      <c r="FF71" s="1094"/>
      <c r="FG71" s="1094"/>
      <c r="FH71" s="1094"/>
      <c r="FI71" s="1095"/>
    </row>
    <row r="72" spans="1:165" s="120" customFormat="1" ht="84.95" customHeight="1" x14ac:dyDescent="0.2">
      <c r="A72" s="1102"/>
      <c r="B72" s="283" t="s">
        <v>184</v>
      </c>
      <c r="C72" s="402" t="s">
        <v>185</v>
      </c>
      <c r="D72" s="402"/>
      <c r="E72" s="402"/>
      <c r="F72" s="402"/>
      <c r="G72" s="402"/>
      <c r="H72" s="402"/>
      <c r="I72" s="402"/>
      <c r="J72" s="402"/>
      <c r="K72" s="402"/>
      <c r="L72" s="402"/>
      <c r="M72" s="402"/>
      <c r="N72" s="402"/>
      <c r="O72" s="402"/>
      <c r="P72" s="402"/>
      <c r="Q72" s="402"/>
      <c r="R72" s="402"/>
      <c r="S72" s="402"/>
      <c r="T72" s="402"/>
      <c r="U72" s="402"/>
      <c r="V72" s="402"/>
      <c r="W72" s="402"/>
      <c r="X72" s="402"/>
      <c r="Y72" s="402"/>
      <c r="Z72" s="392"/>
      <c r="AA72" s="393"/>
      <c r="AB72" s="393"/>
      <c r="AC72" s="393"/>
      <c r="AD72" s="394"/>
      <c r="AE72" s="398"/>
      <c r="AF72" s="399"/>
      <c r="AG72" s="399"/>
      <c r="AH72" s="399"/>
      <c r="AI72" s="400"/>
      <c r="AJ72" s="375"/>
      <c r="AK72" s="376"/>
      <c r="AL72" s="376"/>
      <c r="AM72" s="376"/>
      <c r="AN72" s="377"/>
      <c r="AO72" s="375"/>
      <c r="AP72" s="376"/>
      <c r="AQ72" s="376"/>
      <c r="AR72" s="376"/>
      <c r="AS72" s="377"/>
      <c r="AT72" s="375"/>
      <c r="AU72" s="376"/>
      <c r="AV72" s="376"/>
      <c r="AW72" s="376"/>
      <c r="AX72" s="377"/>
      <c r="AY72" s="375"/>
      <c r="AZ72" s="376"/>
      <c r="BA72" s="376"/>
      <c r="BB72" s="376"/>
      <c r="BC72" s="377"/>
      <c r="BD72" s="375"/>
      <c r="BE72" s="376"/>
      <c r="BF72" s="376"/>
      <c r="BG72" s="376"/>
      <c r="BH72" s="377"/>
      <c r="BI72" s="375"/>
      <c r="BJ72" s="376"/>
      <c r="BK72" s="376"/>
      <c r="BL72" s="376"/>
      <c r="BM72" s="377"/>
      <c r="BN72" s="392"/>
      <c r="BO72" s="393"/>
      <c r="BP72" s="393"/>
      <c r="BQ72" s="393"/>
      <c r="BR72" s="1104"/>
      <c r="BS72" s="1092"/>
      <c r="BT72" s="356"/>
      <c r="BU72" s="356"/>
      <c r="BV72" s="356"/>
      <c r="BW72" s="356"/>
      <c r="BX72" s="356"/>
      <c r="BY72" s="356"/>
      <c r="BZ72" s="356"/>
      <c r="CA72" s="356"/>
      <c r="CB72" s="356"/>
      <c r="CC72" s="356"/>
      <c r="CD72" s="356"/>
      <c r="CE72" s="356"/>
      <c r="CF72" s="356"/>
      <c r="CG72" s="356"/>
      <c r="CH72" s="356"/>
      <c r="CI72" s="356"/>
      <c r="CJ72" s="356"/>
      <c r="CK72" s="356"/>
      <c r="CL72" s="356"/>
      <c r="CM72" s="356"/>
      <c r="CN72" s="356"/>
      <c r="CO72" s="356"/>
      <c r="CP72" s="356"/>
      <c r="CQ72" s="356"/>
      <c r="CR72" s="356"/>
      <c r="CS72" s="356"/>
      <c r="CT72" s="356"/>
      <c r="CU72" s="356"/>
      <c r="CV72" s="356"/>
      <c r="CW72" s="356"/>
      <c r="CX72" s="356"/>
      <c r="CY72" s="356"/>
      <c r="CZ72" s="356"/>
      <c r="DA72" s="356"/>
      <c r="DB72" s="356"/>
      <c r="DC72" s="356"/>
      <c r="DD72" s="356"/>
      <c r="DE72" s="356"/>
      <c r="DF72" s="356"/>
      <c r="DG72" s="356"/>
      <c r="DH72" s="356"/>
      <c r="DI72" s="356"/>
      <c r="DJ72" s="356"/>
      <c r="DK72" s="1099"/>
      <c r="DL72" s="1106"/>
      <c r="DM72" s="359"/>
      <c r="DN72" s="359"/>
      <c r="DO72" s="359"/>
      <c r="DP72" s="360"/>
      <c r="DQ72" s="365"/>
      <c r="DR72" s="359"/>
      <c r="DS72" s="359"/>
      <c r="DT72" s="359"/>
      <c r="DU72" s="360"/>
      <c r="DV72" s="365"/>
      <c r="DW72" s="359"/>
      <c r="DX72" s="359"/>
      <c r="DY72" s="359"/>
      <c r="DZ72" s="360"/>
      <c r="EA72" s="365"/>
      <c r="EB72" s="359"/>
      <c r="EC72" s="359"/>
      <c r="ED72" s="359"/>
      <c r="EE72" s="360"/>
      <c r="EF72" s="365"/>
      <c r="EG72" s="359"/>
      <c r="EH72" s="359"/>
      <c r="EI72" s="359"/>
      <c r="EJ72" s="360"/>
      <c r="EK72" s="365"/>
      <c r="EL72" s="359"/>
      <c r="EM72" s="359"/>
      <c r="EN72" s="359"/>
      <c r="EO72" s="360"/>
      <c r="EP72" s="365"/>
      <c r="EQ72" s="359"/>
      <c r="ER72" s="359"/>
      <c r="ES72" s="359"/>
      <c r="ET72" s="360"/>
      <c r="EU72" s="365"/>
      <c r="EV72" s="359"/>
      <c r="EW72" s="359"/>
      <c r="EX72" s="359"/>
      <c r="EY72" s="360"/>
      <c r="EZ72" s="1056"/>
      <c r="FA72" s="356"/>
      <c r="FB72" s="356"/>
      <c r="FC72" s="356"/>
      <c r="FD72" s="1099"/>
      <c r="FE72" s="1096"/>
      <c r="FF72" s="1097"/>
      <c r="FG72" s="1097"/>
      <c r="FH72" s="1097"/>
      <c r="FI72" s="1098"/>
    </row>
    <row r="73" spans="1:165" s="120" customFormat="1" ht="84.95" customHeight="1" x14ac:dyDescent="0.2">
      <c r="A73" s="1101" t="s">
        <v>41</v>
      </c>
      <c r="B73" s="284" t="s">
        <v>147</v>
      </c>
      <c r="C73" s="402" t="s">
        <v>106</v>
      </c>
      <c r="D73" s="402"/>
      <c r="E73" s="402"/>
      <c r="F73" s="402"/>
      <c r="G73" s="402"/>
      <c r="H73" s="402"/>
      <c r="I73" s="402"/>
      <c r="J73" s="402"/>
      <c r="K73" s="402"/>
      <c r="L73" s="402"/>
      <c r="M73" s="402"/>
      <c r="N73" s="402"/>
      <c r="O73" s="402"/>
      <c r="P73" s="402"/>
      <c r="Q73" s="402"/>
      <c r="R73" s="402"/>
      <c r="S73" s="402"/>
      <c r="T73" s="402"/>
      <c r="U73" s="402"/>
      <c r="V73" s="402"/>
      <c r="W73" s="402"/>
      <c r="X73" s="402"/>
      <c r="Y73" s="402"/>
      <c r="Z73" s="389">
        <f t="shared" ref="Z73" si="13">FE73*30</f>
        <v>180</v>
      </c>
      <c r="AA73" s="390"/>
      <c r="AB73" s="390"/>
      <c r="AC73" s="390"/>
      <c r="AD73" s="391"/>
      <c r="AE73" s="395"/>
      <c r="AF73" s="396"/>
      <c r="AG73" s="396"/>
      <c r="AH73" s="396"/>
      <c r="AI73" s="397"/>
      <c r="AJ73" s="372">
        <f t="shared" ref="AJ73" si="14">SUM(AO73:BH74)</f>
        <v>40</v>
      </c>
      <c r="AK73" s="373"/>
      <c r="AL73" s="373"/>
      <c r="AM73" s="373"/>
      <c r="AN73" s="374"/>
      <c r="AO73" s="372">
        <v>10</v>
      </c>
      <c r="AP73" s="373"/>
      <c r="AQ73" s="373"/>
      <c r="AR73" s="373"/>
      <c r="AS73" s="374"/>
      <c r="AT73" s="372"/>
      <c r="AU73" s="373"/>
      <c r="AV73" s="373"/>
      <c r="AW73" s="373"/>
      <c r="AX73" s="374"/>
      <c r="AY73" s="372">
        <v>30</v>
      </c>
      <c r="AZ73" s="373"/>
      <c r="BA73" s="373"/>
      <c r="BB73" s="373"/>
      <c r="BC73" s="374"/>
      <c r="BD73" s="372"/>
      <c r="BE73" s="373"/>
      <c r="BF73" s="373"/>
      <c r="BG73" s="373"/>
      <c r="BH73" s="374"/>
      <c r="BI73" s="372"/>
      <c r="BJ73" s="373"/>
      <c r="BK73" s="373"/>
      <c r="BL73" s="373"/>
      <c r="BM73" s="374"/>
      <c r="BN73" s="389">
        <f t="shared" ref="BN73" si="15">Z73-AJ73</f>
        <v>140</v>
      </c>
      <c r="BO73" s="390"/>
      <c r="BP73" s="390"/>
      <c r="BQ73" s="390"/>
      <c r="BR73" s="1103"/>
      <c r="BS73" s="1092">
        <v>4</v>
      </c>
      <c r="BT73" s="356"/>
      <c r="BU73" s="356"/>
      <c r="BV73" s="356"/>
      <c r="BW73" s="356"/>
      <c r="BX73" s="356"/>
      <c r="BY73" s="356"/>
      <c r="BZ73" s="356"/>
      <c r="CA73" s="356"/>
      <c r="CB73" s="356"/>
      <c r="CC73" s="356"/>
      <c r="CD73" s="356"/>
      <c r="CE73" s="356"/>
      <c r="CF73" s="356"/>
      <c r="CG73" s="356"/>
      <c r="CH73" s="356"/>
      <c r="CI73" s="356"/>
      <c r="CJ73" s="356"/>
      <c r="CK73" s="356"/>
      <c r="CL73" s="356"/>
      <c r="CM73" s="356"/>
      <c r="CN73" s="356"/>
      <c r="CO73" s="356"/>
      <c r="CP73" s="356"/>
      <c r="CQ73" s="356"/>
      <c r="CR73" s="356"/>
      <c r="CS73" s="356"/>
      <c r="CT73" s="356"/>
      <c r="CU73" s="356"/>
      <c r="CV73" s="356"/>
      <c r="CW73" s="356"/>
      <c r="CX73" s="356"/>
      <c r="CY73" s="356"/>
      <c r="CZ73" s="356"/>
      <c r="DA73" s="356"/>
      <c r="DB73" s="356"/>
      <c r="DC73" s="356"/>
      <c r="DD73" s="356"/>
      <c r="DE73" s="356"/>
      <c r="DF73" s="356"/>
      <c r="DG73" s="356"/>
      <c r="DH73" s="356"/>
      <c r="DI73" s="356"/>
      <c r="DJ73" s="356"/>
      <c r="DK73" s="1099"/>
      <c r="DL73" s="1105">
        <v>6</v>
      </c>
      <c r="DM73" s="357"/>
      <c r="DN73" s="357"/>
      <c r="DO73" s="357"/>
      <c r="DP73" s="358"/>
      <c r="DQ73" s="364"/>
      <c r="DR73" s="357"/>
      <c r="DS73" s="357"/>
      <c r="DT73" s="357"/>
      <c r="DU73" s="358"/>
      <c r="DV73" s="364"/>
      <c r="DW73" s="357"/>
      <c r="DX73" s="357"/>
      <c r="DY73" s="357"/>
      <c r="DZ73" s="358"/>
      <c r="EA73" s="364"/>
      <c r="EB73" s="357"/>
      <c r="EC73" s="357"/>
      <c r="ED73" s="357"/>
      <c r="EE73" s="358"/>
      <c r="EF73" s="364"/>
      <c r="EG73" s="357"/>
      <c r="EH73" s="357"/>
      <c r="EI73" s="357"/>
      <c r="EJ73" s="358"/>
      <c r="EK73" s="364"/>
      <c r="EL73" s="357"/>
      <c r="EM73" s="357"/>
      <c r="EN73" s="357"/>
      <c r="EO73" s="358"/>
      <c r="EP73" s="364"/>
      <c r="EQ73" s="357"/>
      <c r="ER73" s="357"/>
      <c r="ES73" s="357"/>
      <c r="ET73" s="358"/>
      <c r="EU73" s="364"/>
      <c r="EV73" s="357"/>
      <c r="EW73" s="357"/>
      <c r="EX73" s="357"/>
      <c r="EY73" s="358"/>
      <c r="EZ73" s="1056"/>
      <c r="FA73" s="356"/>
      <c r="FB73" s="356"/>
      <c r="FC73" s="356"/>
      <c r="FD73" s="1099"/>
      <c r="FE73" s="1093">
        <f t="shared" ref="FE73" si="16">+SUM(DL73:FD74)</f>
        <v>6</v>
      </c>
      <c r="FF73" s="1094"/>
      <c r="FG73" s="1094"/>
      <c r="FH73" s="1094"/>
      <c r="FI73" s="1095"/>
    </row>
    <row r="74" spans="1:165" s="120" customFormat="1" ht="84.95" customHeight="1" x14ac:dyDescent="0.2">
      <c r="A74" s="1102"/>
      <c r="B74" s="284" t="s">
        <v>157</v>
      </c>
      <c r="C74" s="388" t="s">
        <v>228</v>
      </c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92"/>
      <c r="AA74" s="393"/>
      <c r="AB74" s="393"/>
      <c r="AC74" s="393"/>
      <c r="AD74" s="394"/>
      <c r="AE74" s="398"/>
      <c r="AF74" s="399"/>
      <c r="AG74" s="399"/>
      <c r="AH74" s="399"/>
      <c r="AI74" s="400"/>
      <c r="AJ74" s="375"/>
      <c r="AK74" s="376"/>
      <c r="AL74" s="376"/>
      <c r="AM74" s="376"/>
      <c r="AN74" s="377"/>
      <c r="AO74" s="375"/>
      <c r="AP74" s="376"/>
      <c r="AQ74" s="376"/>
      <c r="AR74" s="376"/>
      <c r="AS74" s="377"/>
      <c r="AT74" s="375"/>
      <c r="AU74" s="376"/>
      <c r="AV74" s="376"/>
      <c r="AW74" s="376"/>
      <c r="AX74" s="377"/>
      <c r="AY74" s="375"/>
      <c r="AZ74" s="376"/>
      <c r="BA74" s="376"/>
      <c r="BB74" s="376"/>
      <c r="BC74" s="377"/>
      <c r="BD74" s="375"/>
      <c r="BE74" s="376"/>
      <c r="BF74" s="376"/>
      <c r="BG74" s="376"/>
      <c r="BH74" s="377"/>
      <c r="BI74" s="375"/>
      <c r="BJ74" s="376"/>
      <c r="BK74" s="376"/>
      <c r="BL74" s="376"/>
      <c r="BM74" s="377"/>
      <c r="BN74" s="392"/>
      <c r="BO74" s="393"/>
      <c r="BP74" s="393"/>
      <c r="BQ74" s="393"/>
      <c r="BR74" s="1104"/>
      <c r="BS74" s="1092"/>
      <c r="BT74" s="356"/>
      <c r="BU74" s="356"/>
      <c r="BV74" s="356"/>
      <c r="BW74" s="356"/>
      <c r="BX74" s="356"/>
      <c r="BY74" s="356"/>
      <c r="BZ74" s="356"/>
      <c r="CA74" s="356"/>
      <c r="CB74" s="356"/>
      <c r="CC74" s="356"/>
      <c r="CD74" s="356"/>
      <c r="CE74" s="356"/>
      <c r="CF74" s="356"/>
      <c r="CG74" s="356"/>
      <c r="CH74" s="356"/>
      <c r="CI74" s="356"/>
      <c r="CJ74" s="356"/>
      <c r="CK74" s="356"/>
      <c r="CL74" s="356"/>
      <c r="CM74" s="356"/>
      <c r="CN74" s="356"/>
      <c r="CO74" s="356"/>
      <c r="CP74" s="356"/>
      <c r="CQ74" s="356"/>
      <c r="CR74" s="356"/>
      <c r="CS74" s="356"/>
      <c r="CT74" s="356"/>
      <c r="CU74" s="356"/>
      <c r="CV74" s="356"/>
      <c r="CW74" s="356"/>
      <c r="CX74" s="356"/>
      <c r="CY74" s="356"/>
      <c r="CZ74" s="356"/>
      <c r="DA74" s="356"/>
      <c r="DB74" s="356"/>
      <c r="DC74" s="356"/>
      <c r="DD74" s="356"/>
      <c r="DE74" s="356"/>
      <c r="DF74" s="356"/>
      <c r="DG74" s="356"/>
      <c r="DH74" s="356"/>
      <c r="DI74" s="356"/>
      <c r="DJ74" s="356"/>
      <c r="DK74" s="1099"/>
      <c r="DL74" s="1106"/>
      <c r="DM74" s="359"/>
      <c r="DN74" s="359"/>
      <c r="DO74" s="359"/>
      <c r="DP74" s="360"/>
      <c r="DQ74" s="365"/>
      <c r="DR74" s="359"/>
      <c r="DS74" s="359"/>
      <c r="DT74" s="359"/>
      <c r="DU74" s="360"/>
      <c r="DV74" s="365"/>
      <c r="DW74" s="359"/>
      <c r="DX74" s="359"/>
      <c r="DY74" s="359"/>
      <c r="DZ74" s="360"/>
      <c r="EA74" s="365"/>
      <c r="EB74" s="359"/>
      <c r="EC74" s="359"/>
      <c r="ED74" s="359"/>
      <c r="EE74" s="360"/>
      <c r="EF74" s="365"/>
      <c r="EG74" s="359"/>
      <c r="EH74" s="359"/>
      <c r="EI74" s="359"/>
      <c r="EJ74" s="360"/>
      <c r="EK74" s="365"/>
      <c r="EL74" s="359"/>
      <c r="EM74" s="359"/>
      <c r="EN74" s="359"/>
      <c r="EO74" s="360"/>
      <c r="EP74" s="365"/>
      <c r="EQ74" s="359"/>
      <c r="ER74" s="359"/>
      <c r="ES74" s="359"/>
      <c r="ET74" s="360"/>
      <c r="EU74" s="365"/>
      <c r="EV74" s="359"/>
      <c r="EW74" s="359"/>
      <c r="EX74" s="359"/>
      <c r="EY74" s="360"/>
      <c r="EZ74" s="1056"/>
      <c r="FA74" s="356"/>
      <c r="FB74" s="356"/>
      <c r="FC74" s="356"/>
      <c r="FD74" s="1099"/>
      <c r="FE74" s="1096"/>
      <c r="FF74" s="1097"/>
      <c r="FG74" s="1097"/>
      <c r="FH74" s="1097"/>
      <c r="FI74" s="1098"/>
    </row>
    <row r="75" spans="1:165" s="120" customFormat="1" ht="84.95" customHeight="1" x14ac:dyDescent="0.2">
      <c r="A75" s="1101" t="s">
        <v>42</v>
      </c>
      <c r="B75" s="281" t="s">
        <v>131</v>
      </c>
      <c r="C75" s="535" t="s">
        <v>111</v>
      </c>
      <c r="D75" s="535"/>
      <c r="E75" s="535"/>
      <c r="F75" s="535"/>
      <c r="G75" s="535"/>
      <c r="H75" s="535"/>
      <c r="I75" s="535"/>
      <c r="J75" s="535"/>
      <c r="K75" s="535"/>
      <c r="L75" s="535"/>
      <c r="M75" s="535"/>
      <c r="N75" s="535"/>
      <c r="O75" s="535"/>
      <c r="P75" s="535"/>
      <c r="Q75" s="535"/>
      <c r="R75" s="535"/>
      <c r="S75" s="535"/>
      <c r="T75" s="535"/>
      <c r="U75" s="535"/>
      <c r="V75" s="535"/>
      <c r="W75" s="535"/>
      <c r="X75" s="535"/>
      <c r="Y75" s="535"/>
      <c r="Z75" s="389">
        <f t="shared" ref="Z75" si="17">FE75*30</f>
        <v>120</v>
      </c>
      <c r="AA75" s="390"/>
      <c r="AB75" s="390"/>
      <c r="AC75" s="390"/>
      <c r="AD75" s="391"/>
      <c r="AE75" s="395"/>
      <c r="AF75" s="396"/>
      <c r="AG75" s="396"/>
      <c r="AH75" s="396"/>
      <c r="AI75" s="397"/>
      <c r="AJ75" s="372">
        <f t="shared" ref="AJ75" si="18">SUM(AO75:BH76)</f>
        <v>50</v>
      </c>
      <c r="AK75" s="373"/>
      <c r="AL75" s="373"/>
      <c r="AM75" s="373"/>
      <c r="AN75" s="374"/>
      <c r="AO75" s="372">
        <v>30</v>
      </c>
      <c r="AP75" s="373"/>
      <c r="AQ75" s="373"/>
      <c r="AR75" s="373"/>
      <c r="AS75" s="374"/>
      <c r="AT75" s="372"/>
      <c r="AU75" s="373"/>
      <c r="AV75" s="373"/>
      <c r="AW75" s="373"/>
      <c r="AX75" s="374"/>
      <c r="AY75" s="372">
        <v>20</v>
      </c>
      <c r="AZ75" s="373"/>
      <c r="BA75" s="373"/>
      <c r="BB75" s="373"/>
      <c r="BC75" s="374"/>
      <c r="BD75" s="372"/>
      <c r="BE75" s="373"/>
      <c r="BF75" s="373"/>
      <c r="BG75" s="373"/>
      <c r="BH75" s="374"/>
      <c r="BI75" s="372"/>
      <c r="BJ75" s="373"/>
      <c r="BK75" s="373"/>
      <c r="BL75" s="373"/>
      <c r="BM75" s="374"/>
      <c r="BN75" s="389">
        <f t="shared" ref="BN75" si="19">Z75-AJ75</f>
        <v>70</v>
      </c>
      <c r="BO75" s="390"/>
      <c r="BP75" s="390"/>
      <c r="BQ75" s="390"/>
      <c r="BR75" s="1103"/>
      <c r="BS75" s="1092"/>
      <c r="BT75" s="356"/>
      <c r="BU75" s="356"/>
      <c r="BV75" s="356"/>
      <c r="BW75" s="356"/>
      <c r="BX75" s="356">
        <v>4</v>
      </c>
      <c r="BY75" s="356"/>
      <c r="BZ75" s="356"/>
      <c r="CA75" s="356"/>
      <c r="CB75" s="356"/>
      <c r="CC75" s="356"/>
      <c r="CD75" s="356"/>
      <c r="CE75" s="356"/>
      <c r="CF75" s="356"/>
      <c r="CG75" s="356"/>
      <c r="CH75" s="356"/>
      <c r="CI75" s="356"/>
      <c r="CJ75" s="356"/>
      <c r="CK75" s="356"/>
      <c r="CL75" s="356"/>
      <c r="CM75" s="356"/>
      <c r="CN75" s="356"/>
      <c r="CO75" s="356"/>
      <c r="CP75" s="356"/>
      <c r="CQ75" s="356"/>
      <c r="CR75" s="356"/>
      <c r="CS75" s="356"/>
      <c r="CT75" s="356"/>
      <c r="CU75" s="356"/>
      <c r="CV75" s="356"/>
      <c r="CW75" s="356"/>
      <c r="CX75" s="356"/>
      <c r="CY75" s="356"/>
      <c r="CZ75" s="356"/>
      <c r="DA75" s="356"/>
      <c r="DB75" s="356"/>
      <c r="DC75" s="356"/>
      <c r="DD75" s="356"/>
      <c r="DE75" s="356"/>
      <c r="DF75" s="356"/>
      <c r="DG75" s="356"/>
      <c r="DH75" s="356"/>
      <c r="DI75" s="356"/>
      <c r="DJ75" s="356"/>
      <c r="DK75" s="1099"/>
      <c r="DL75" s="1105"/>
      <c r="DM75" s="357"/>
      <c r="DN75" s="357"/>
      <c r="DO75" s="357"/>
      <c r="DP75" s="358"/>
      <c r="DQ75" s="364">
        <v>4</v>
      </c>
      <c r="DR75" s="357"/>
      <c r="DS75" s="357"/>
      <c r="DT75" s="357"/>
      <c r="DU75" s="358"/>
      <c r="DV75" s="364"/>
      <c r="DW75" s="357"/>
      <c r="DX75" s="357"/>
      <c r="DY75" s="357"/>
      <c r="DZ75" s="358"/>
      <c r="EA75" s="364"/>
      <c r="EB75" s="357"/>
      <c r="EC75" s="357"/>
      <c r="ED75" s="357"/>
      <c r="EE75" s="358"/>
      <c r="EF75" s="364"/>
      <c r="EG75" s="357"/>
      <c r="EH75" s="357"/>
      <c r="EI75" s="357"/>
      <c r="EJ75" s="358"/>
      <c r="EK75" s="364"/>
      <c r="EL75" s="357"/>
      <c r="EM75" s="357"/>
      <c r="EN75" s="357"/>
      <c r="EO75" s="358"/>
      <c r="EP75" s="364"/>
      <c r="EQ75" s="357"/>
      <c r="ER75" s="357"/>
      <c r="ES75" s="357"/>
      <c r="ET75" s="358"/>
      <c r="EU75" s="364"/>
      <c r="EV75" s="357"/>
      <c r="EW75" s="357"/>
      <c r="EX75" s="357"/>
      <c r="EY75" s="358"/>
      <c r="EZ75" s="1056"/>
      <c r="FA75" s="356"/>
      <c r="FB75" s="356"/>
      <c r="FC75" s="356"/>
      <c r="FD75" s="1099"/>
      <c r="FE75" s="1093">
        <f t="shared" ref="FE75" si="20">+SUM(DL75:FD76)</f>
        <v>4</v>
      </c>
      <c r="FF75" s="1094"/>
      <c r="FG75" s="1094"/>
      <c r="FH75" s="1094"/>
      <c r="FI75" s="1095"/>
    </row>
    <row r="76" spans="1:165" s="120" customFormat="1" ht="84.95" customHeight="1" x14ac:dyDescent="0.2">
      <c r="A76" s="1102"/>
      <c r="B76" s="284" t="s">
        <v>226</v>
      </c>
      <c r="C76" s="1046" t="s">
        <v>333</v>
      </c>
      <c r="D76" s="1047"/>
      <c r="E76" s="1047"/>
      <c r="F76" s="1047"/>
      <c r="G76" s="1047"/>
      <c r="H76" s="1047"/>
      <c r="I76" s="1047"/>
      <c r="J76" s="1047"/>
      <c r="K76" s="1047"/>
      <c r="L76" s="1047"/>
      <c r="M76" s="1047"/>
      <c r="N76" s="1047"/>
      <c r="O76" s="1047"/>
      <c r="P76" s="1047"/>
      <c r="Q76" s="1047"/>
      <c r="R76" s="1047"/>
      <c r="S76" s="1047"/>
      <c r="T76" s="1047"/>
      <c r="U76" s="1047"/>
      <c r="V76" s="1047"/>
      <c r="W76" s="1047"/>
      <c r="X76" s="1047"/>
      <c r="Y76" s="1048"/>
      <c r="Z76" s="392"/>
      <c r="AA76" s="393"/>
      <c r="AB76" s="393"/>
      <c r="AC76" s="393"/>
      <c r="AD76" s="394"/>
      <c r="AE76" s="398"/>
      <c r="AF76" s="399"/>
      <c r="AG76" s="399"/>
      <c r="AH76" s="399"/>
      <c r="AI76" s="400"/>
      <c r="AJ76" s="375"/>
      <c r="AK76" s="376"/>
      <c r="AL76" s="376"/>
      <c r="AM76" s="376"/>
      <c r="AN76" s="377"/>
      <c r="AO76" s="375"/>
      <c r="AP76" s="376"/>
      <c r="AQ76" s="376"/>
      <c r="AR76" s="376"/>
      <c r="AS76" s="377"/>
      <c r="AT76" s="375"/>
      <c r="AU76" s="376"/>
      <c r="AV76" s="376"/>
      <c r="AW76" s="376"/>
      <c r="AX76" s="377"/>
      <c r="AY76" s="375"/>
      <c r="AZ76" s="376"/>
      <c r="BA76" s="376"/>
      <c r="BB76" s="376"/>
      <c r="BC76" s="377"/>
      <c r="BD76" s="375"/>
      <c r="BE76" s="376"/>
      <c r="BF76" s="376"/>
      <c r="BG76" s="376"/>
      <c r="BH76" s="377"/>
      <c r="BI76" s="375"/>
      <c r="BJ76" s="376"/>
      <c r="BK76" s="376"/>
      <c r="BL76" s="376"/>
      <c r="BM76" s="377"/>
      <c r="BN76" s="392"/>
      <c r="BO76" s="393"/>
      <c r="BP76" s="393"/>
      <c r="BQ76" s="393"/>
      <c r="BR76" s="1104"/>
      <c r="BS76" s="1092"/>
      <c r="BT76" s="356"/>
      <c r="BU76" s="356"/>
      <c r="BV76" s="356"/>
      <c r="BW76" s="356"/>
      <c r="BX76" s="356"/>
      <c r="BY76" s="356"/>
      <c r="BZ76" s="356"/>
      <c r="CA76" s="356"/>
      <c r="CB76" s="356"/>
      <c r="CC76" s="356"/>
      <c r="CD76" s="356"/>
      <c r="CE76" s="356"/>
      <c r="CF76" s="356"/>
      <c r="CG76" s="356"/>
      <c r="CH76" s="356"/>
      <c r="CI76" s="356"/>
      <c r="CJ76" s="356"/>
      <c r="CK76" s="356"/>
      <c r="CL76" s="356"/>
      <c r="CM76" s="356"/>
      <c r="CN76" s="356"/>
      <c r="CO76" s="356"/>
      <c r="CP76" s="356"/>
      <c r="CQ76" s="356"/>
      <c r="CR76" s="356"/>
      <c r="CS76" s="356"/>
      <c r="CT76" s="356"/>
      <c r="CU76" s="356"/>
      <c r="CV76" s="356"/>
      <c r="CW76" s="356"/>
      <c r="CX76" s="356"/>
      <c r="CY76" s="356"/>
      <c r="CZ76" s="356"/>
      <c r="DA76" s="356"/>
      <c r="DB76" s="356"/>
      <c r="DC76" s="356"/>
      <c r="DD76" s="356"/>
      <c r="DE76" s="356"/>
      <c r="DF76" s="356"/>
      <c r="DG76" s="356"/>
      <c r="DH76" s="356"/>
      <c r="DI76" s="356"/>
      <c r="DJ76" s="356"/>
      <c r="DK76" s="1099"/>
      <c r="DL76" s="1106"/>
      <c r="DM76" s="359"/>
      <c r="DN76" s="359"/>
      <c r="DO76" s="359"/>
      <c r="DP76" s="360"/>
      <c r="DQ76" s="365"/>
      <c r="DR76" s="359"/>
      <c r="DS76" s="359"/>
      <c r="DT76" s="359"/>
      <c r="DU76" s="360"/>
      <c r="DV76" s="365"/>
      <c r="DW76" s="359"/>
      <c r="DX76" s="359"/>
      <c r="DY76" s="359"/>
      <c r="DZ76" s="360"/>
      <c r="EA76" s="365"/>
      <c r="EB76" s="359"/>
      <c r="EC76" s="359"/>
      <c r="ED76" s="359"/>
      <c r="EE76" s="360"/>
      <c r="EF76" s="365"/>
      <c r="EG76" s="359"/>
      <c r="EH76" s="359"/>
      <c r="EI76" s="359"/>
      <c r="EJ76" s="360"/>
      <c r="EK76" s="365"/>
      <c r="EL76" s="359"/>
      <c r="EM76" s="359"/>
      <c r="EN76" s="359"/>
      <c r="EO76" s="360"/>
      <c r="EP76" s="365"/>
      <c r="EQ76" s="359"/>
      <c r="ER76" s="359"/>
      <c r="ES76" s="359"/>
      <c r="ET76" s="360"/>
      <c r="EU76" s="365"/>
      <c r="EV76" s="359"/>
      <c r="EW76" s="359"/>
      <c r="EX76" s="359"/>
      <c r="EY76" s="360"/>
      <c r="EZ76" s="1056"/>
      <c r="FA76" s="356"/>
      <c r="FB76" s="356"/>
      <c r="FC76" s="356"/>
      <c r="FD76" s="1099"/>
      <c r="FE76" s="1096"/>
      <c r="FF76" s="1097"/>
      <c r="FG76" s="1097"/>
      <c r="FH76" s="1097"/>
      <c r="FI76" s="1098"/>
    </row>
    <row r="77" spans="1:165" s="120" customFormat="1" ht="84.95" customHeight="1" x14ac:dyDescent="0.2">
      <c r="A77" s="1101" t="s">
        <v>43</v>
      </c>
      <c r="B77" s="281" t="s">
        <v>133</v>
      </c>
      <c r="C77" s="388" t="s">
        <v>123</v>
      </c>
      <c r="D77" s="388"/>
      <c r="E77" s="388"/>
      <c r="F77" s="388"/>
      <c r="G77" s="388"/>
      <c r="H77" s="388"/>
      <c r="I77" s="388"/>
      <c r="J77" s="388"/>
      <c r="K77" s="388"/>
      <c r="L77" s="388"/>
      <c r="M77" s="388"/>
      <c r="N77" s="388"/>
      <c r="O77" s="388"/>
      <c r="P77" s="388"/>
      <c r="Q77" s="388"/>
      <c r="R77" s="388"/>
      <c r="S77" s="388"/>
      <c r="T77" s="388"/>
      <c r="U77" s="388"/>
      <c r="V77" s="388"/>
      <c r="W77" s="388"/>
      <c r="X77" s="388"/>
      <c r="Y77" s="388"/>
      <c r="Z77" s="389">
        <f t="shared" ref="Z77" si="21">FE77*30</f>
        <v>450</v>
      </c>
      <c r="AA77" s="390"/>
      <c r="AB77" s="390"/>
      <c r="AC77" s="390"/>
      <c r="AD77" s="391"/>
      <c r="AE77" s="395"/>
      <c r="AF77" s="396"/>
      <c r="AG77" s="396"/>
      <c r="AH77" s="396"/>
      <c r="AI77" s="397"/>
      <c r="AJ77" s="372">
        <f t="shared" ref="AJ77" si="22">SUM(AO77:BH78)</f>
        <v>158</v>
      </c>
      <c r="AK77" s="373"/>
      <c r="AL77" s="373"/>
      <c r="AM77" s="373"/>
      <c r="AN77" s="374"/>
      <c r="AO77" s="372">
        <v>84</v>
      </c>
      <c r="AP77" s="373"/>
      <c r="AQ77" s="373"/>
      <c r="AR77" s="373"/>
      <c r="AS77" s="374"/>
      <c r="AT77" s="372">
        <v>74</v>
      </c>
      <c r="AU77" s="373"/>
      <c r="AV77" s="373"/>
      <c r="AW77" s="373"/>
      <c r="AX77" s="374"/>
      <c r="AY77" s="372"/>
      <c r="AZ77" s="373"/>
      <c r="BA77" s="373"/>
      <c r="BB77" s="373"/>
      <c r="BC77" s="374"/>
      <c r="BD77" s="372"/>
      <c r="BE77" s="373"/>
      <c r="BF77" s="373"/>
      <c r="BG77" s="373"/>
      <c r="BH77" s="374"/>
      <c r="BI77" s="372"/>
      <c r="BJ77" s="373"/>
      <c r="BK77" s="373"/>
      <c r="BL77" s="373"/>
      <c r="BM77" s="374"/>
      <c r="BN77" s="389">
        <f t="shared" ref="BN77" si="23">Z77-AJ77</f>
        <v>292</v>
      </c>
      <c r="BO77" s="390"/>
      <c r="BP77" s="390"/>
      <c r="BQ77" s="390"/>
      <c r="BR77" s="1103"/>
      <c r="BS77" s="1092"/>
      <c r="BT77" s="356"/>
      <c r="BU77" s="356"/>
      <c r="BV77" s="356"/>
      <c r="BW77" s="356"/>
      <c r="BX77" s="356">
        <v>4</v>
      </c>
      <c r="BY77" s="356"/>
      <c r="BZ77" s="356"/>
      <c r="CA77" s="356"/>
      <c r="CB77" s="356"/>
      <c r="CC77" s="356">
        <v>4</v>
      </c>
      <c r="CD77" s="356"/>
      <c r="CE77" s="356"/>
      <c r="CF77" s="356"/>
      <c r="CG77" s="356"/>
      <c r="CH77" s="356">
        <v>3</v>
      </c>
      <c r="CI77" s="356"/>
      <c r="CJ77" s="356"/>
      <c r="CK77" s="356"/>
      <c r="CL77" s="356"/>
      <c r="CM77" s="356"/>
      <c r="CN77" s="356"/>
      <c r="CO77" s="356"/>
      <c r="CP77" s="356"/>
      <c r="CQ77" s="356"/>
      <c r="CR77" s="356"/>
      <c r="CS77" s="356"/>
      <c r="CT77" s="356"/>
      <c r="CU77" s="356"/>
      <c r="CV77" s="356"/>
      <c r="CW77" s="356"/>
      <c r="CX77" s="356"/>
      <c r="CY77" s="356"/>
      <c r="CZ77" s="356"/>
      <c r="DA77" s="356"/>
      <c r="DB77" s="356"/>
      <c r="DC77" s="356"/>
      <c r="DD77" s="356"/>
      <c r="DE77" s="356"/>
      <c r="DF77" s="356"/>
      <c r="DG77" s="356"/>
      <c r="DH77" s="356"/>
      <c r="DI77" s="356"/>
      <c r="DJ77" s="356"/>
      <c r="DK77" s="1099"/>
      <c r="DL77" s="1105"/>
      <c r="DM77" s="357"/>
      <c r="DN77" s="357"/>
      <c r="DO77" s="357"/>
      <c r="DP77" s="358"/>
      <c r="DQ77" s="364">
        <v>6</v>
      </c>
      <c r="DR77" s="357"/>
      <c r="DS77" s="357"/>
      <c r="DT77" s="357"/>
      <c r="DU77" s="358"/>
      <c r="DV77" s="364">
        <v>5</v>
      </c>
      <c r="DW77" s="357"/>
      <c r="DX77" s="357"/>
      <c r="DY77" s="357"/>
      <c r="DZ77" s="358"/>
      <c r="EA77" s="364">
        <v>4</v>
      </c>
      <c r="EB77" s="357"/>
      <c r="EC77" s="357"/>
      <c r="ED77" s="357"/>
      <c r="EE77" s="358"/>
      <c r="EF77" s="364"/>
      <c r="EG77" s="357"/>
      <c r="EH77" s="357"/>
      <c r="EI77" s="357"/>
      <c r="EJ77" s="358"/>
      <c r="EK77" s="364"/>
      <c r="EL77" s="357"/>
      <c r="EM77" s="357"/>
      <c r="EN77" s="357"/>
      <c r="EO77" s="358"/>
      <c r="EP77" s="364"/>
      <c r="EQ77" s="357"/>
      <c r="ER77" s="357"/>
      <c r="ES77" s="357"/>
      <c r="ET77" s="358"/>
      <c r="EU77" s="364"/>
      <c r="EV77" s="357"/>
      <c r="EW77" s="357"/>
      <c r="EX77" s="357"/>
      <c r="EY77" s="358"/>
      <c r="EZ77" s="1056"/>
      <c r="FA77" s="356"/>
      <c r="FB77" s="356"/>
      <c r="FC77" s="356"/>
      <c r="FD77" s="1099"/>
      <c r="FE77" s="1093">
        <f t="shared" ref="FE77" si="24">+SUM(DL77:FD78)</f>
        <v>15</v>
      </c>
      <c r="FF77" s="1094"/>
      <c r="FG77" s="1094"/>
      <c r="FH77" s="1094"/>
      <c r="FI77" s="1095"/>
    </row>
    <row r="78" spans="1:165" s="120" customFormat="1" ht="84.95" customHeight="1" x14ac:dyDescent="0.2">
      <c r="A78" s="1102"/>
      <c r="B78" s="284" t="s">
        <v>229</v>
      </c>
      <c r="C78" s="1046" t="s">
        <v>227</v>
      </c>
      <c r="D78" s="1047"/>
      <c r="E78" s="1047"/>
      <c r="F78" s="1047"/>
      <c r="G78" s="1047"/>
      <c r="H78" s="1047"/>
      <c r="I78" s="1047"/>
      <c r="J78" s="1047"/>
      <c r="K78" s="1047"/>
      <c r="L78" s="1047"/>
      <c r="M78" s="1047"/>
      <c r="N78" s="1047"/>
      <c r="O78" s="1047"/>
      <c r="P78" s="1047"/>
      <c r="Q78" s="1047"/>
      <c r="R78" s="1047"/>
      <c r="S78" s="1047"/>
      <c r="T78" s="1047"/>
      <c r="U78" s="1047"/>
      <c r="V78" s="1047"/>
      <c r="W78" s="1047"/>
      <c r="X78" s="1047"/>
      <c r="Y78" s="1048"/>
      <c r="Z78" s="392"/>
      <c r="AA78" s="393"/>
      <c r="AB78" s="393"/>
      <c r="AC78" s="393"/>
      <c r="AD78" s="394"/>
      <c r="AE78" s="398"/>
      <c r="AF78" s="399"/>
      <c r="AG78" s="399"/>
      <c r="AH78" s="399"/>
      <c r="AI78" s="400"/>
      <c r="AJ78" s="375"/>
      <c r="AK78" s="376"/>
      <c r="AL78" s="376"/>
      <c r="AM78" s="376"/>
      <c r="AN78" s="377"/>
      <c r="AO78" s="375"/>
      <c r="AP78" s="376"/>
      <c r="AQ78" s="376"/>
      <c r="AR78" s="376"/>
      <c r="AS78" s="377"/>
      <c r="AT78" s="375"/>
      <c r="AU78" s="376"/>
      <c r="AV78" s="376"/>
      <c r="AW78" s="376"/>
      <c r="AX78" s="377"/>
      <c r="AY78" s="375"/>
      <c r="AZ78" s="376"/>
      <c r="BA78" s="376"/>
      <c r="BB78" s="376"/>
      <c r="BC78" s="377"/>
      <c r="BD78" s="375"/>
      <c r="BE78" s="376"/>
      <c r="BF78" s="376"/>
      <c r="BG78" s="376"/>
      <c r="BH78" s="377"/>
      <c r="BI78" s="375"/>
      <c r="BJ78" s="376"/>
      <c r="BK78" s="376"/>
      <c r="BL78" s="376"/>
      <c r="BM78" s="377"/>
      <c r="BN78" s="392"/>
      <c r="BO78" s="393"/>
      <c r="BP78" s="393"/>
      <c r="BQ78" s="393"/>
      <c r="BR78" s="1104"/>
      <c r="BS78" s="1092"/>
      <c r="BT78" s="356"/>
      <c r="BU78" s="356"/>
      <c r="BV78" s="356"/>
      <c r="BW78" s="356"/>
      <c r="BX78" s="356"/>
      <c r="BY78" s="356"/>
      <c r="BZ78" s="356"/>
      <c r="CA78" s="356"/>
      <c r="CB78" s="356"/>
      <c r="CC78" s="356"/>
      <c r="CD78" s="356"/>
      <c r="CE78" s="356"/>
      <c r="CF78" s="356"/>
      <c r="CG78" s="356"/>
      <c r="CH78" s="356"/>
      <c r="CI78" s="356"/>
      <c r="CJ78" s="356"/>
      <c r="CK78" s="356"/>
      <c r="CL78" s="356"/>
      <c r="CM78" s="356"/>
      <c r="CN78" s="356"/>
      <c r="CO78" s="356"/>
      <c r="CP78" s="356"/>
      <c r="CQ78" s="356"/>
      <c r="CR78" s="356"/>
      <c r="CS78" s="356"/>
      <c r="CT78" s="356"/>
      <c r="CU78" s="356"/>
      <c r="CV78" s="356"/>
      <c r="CW78" s="356"/>
      <c r="CX78" s="356"/>
      <c r="CY78" s="356"/>
      <c r="CZ78" s="356"/>
      <c r="DA78" s="356"/>
      <c r="DB78" s="356"/>
      <c r="DC78" s="356"/>
      <c r="DD78" s="356"/>
      <c r="DE78" s="356"/>
      <c r="DF78" s="356"/>
      <c r="DG78" s="356"/>
      <c r="DH78" s="356"/>
      <c r="DI78" s="356"/>
      <c r="DJ78" s="356"/>
      <c r="DK78" s="1099"/>
      <c r="DL78" s="1106"/>
      <c r="DM78" s="359"/>
      <c r="DN78" s="359"/>
      <c r="DO78" s="359"/>
      <c r="DP78" s="360"/>
      <c r="DQ78" s="365"/>
      <c r="DR78" s="359"/>
      <c r="DS78" s="359"/>
      <c r="DT78" s="359"/>
      <c r="DU78" s="360"/>
      <c r="DV78" s="365"/>
      <c r="DW78" s="359"/>
      <c r="DX78" s="359"/>
      <c r="DY78" s="359"/>
      <c r="DZ78" s="360"/>
      <c r="EA78" s="365"/>
      <c r="EB78" s="359"/>
      <c r="EC78" s="359"/>
      <c r="ED78" s="359"/>
      <c r="EE78" s="360"/>
      <c r="EF78" s="365"/>
      <c r="EG78" s="359"/>
      <c r="EH78" s="359"/>
      <c r="EI78" s="359"/>
      <c r="EJ78" s="360"/>
      <c r="EK78" s="365"/>
      <c r="EL78" s="359"/>
      <c r="EM78" s="359"/>
      <c r="EN78" s="359"/>
      <c r="EO78" s="360"/>
      <c r="EP78" s="365"/>
      <c r="EQ78" s="359"/>
      <c r="ER78" s="359"/>
      <c r="ES78" s="359"/>
      <c r="ET78" s="360"/>
      <c r="EU78" s="365"/>
      <c r="EV78" s="359"/>
      <c r="EW78" s="359"/>
      <c r="EX78" s="359"/>
      <c r="EY78" s="360"/>
      <c r="EZ78" s="1056"/>
      <c r="FA78" s="356"/>
      <c r="FB78" s="356"/>
      <c r="FC78" s="356"/>
      <c r="FD78" s="1099"/>
      <c r="FE78" s="1096"/>
      <c r="FF78" s="1097"/>
      <c r="FG78" s="1097"/>
      <c r="FH78" s="1097"/>
      <c r="FI78" s="1098"/>
    </row>
    <row r="79" spans="1:165" s="120" customFormat="1" ht="110.1" customHeight="1" x14ac:dyDescent="0.2">
      <c r="A79" s="1101" t="s">
        <v>44</v>
      </c>
      <c r="B79" s="284" t="s">
        <v>148</v>
      </c>
      <c r="C79" s="402" t="s">
        <v>113</v>
      </c>
      <c r="D79" s="402"/>
      <c r="E79" s="402"/>
      <c r="F79" s="402"/>
      <c r="G79" s="402"/>
      <c r="H79" s="402"/>
      <c r="I79" s="402"/>
      <c r="J79" s="402"/>
      <c r="K79" s="402"/>
      <c r="L79" s="402"/>
      <c r="M79" s="402"/>
      <c r="N79" s="402"/>
      <c r="O79" s="402"/>
      <c r="P79" s="402"/>
      <c r="Q79" s="402"/>
      <c r="R79" s="402"/>
      <c r="S79" s="402"/>
      <c r="T79" s="402"/>
      <c r="U79" s="402"/>
      <c r="V79" s="402"/>
      <c r="W79" s="402"/>
      <c r="X79" s="402"/>
      <c r="Y79" s="402"/>
      <c r="Z79" s="389">
        <f t="shared" ref="Z79" si="25">FE79*30</f>
        <v>120</v>
      </c>
      <c r="AA79" s="390"/>
      <c r="AB79" s="390"/>
      <c r="AC79" s="390"/>
      <c r="AD79" s="391"/>
      <c r="AE79" s="395"/>
      <c r="AF79" s="396"/>
      <c r="AG79" s="396"/>
      <c r="AH79" s="396"/>
      <c r="AI79" s="397"/>
      <c r="AJ79" s="372">
        <f t="shared" ref="AJ79" si="26">SUM(AO79:BH80)</f>
        <v>60</v>
      </c>
      <c r="AK79" s="373"/>
      <c r="AL79" s="373"/>
      <c r="AM79" s="373"/>
      <c r="AN79" s="374"/>
      <c r="AO79" s="372">
        <v>30</v>
      </c>
      <c r="AP79" s="373"/>
      <c r="AQ79" s="373"/>
      <c r="AR79" s="373"/>
      <c r="AS79" s="374"/>
      <c r="AT79" s="372">
        <v>30</v>
      </c>
      <c r="AU79" s="373"/>
      <c r="AV79" s="373"/>
      <c r="AW79" s="373"/>
      <c r="AX79" s="374"/>
      <c r="AY79" s="372"/>
      <c r="AZ79" s="373"/>
      <c r="BA79" s="373"/>
      <c r="BB79" s="373"/>
      <c r="BC79" s="374"/>
      <c r="BD79" s="372"/>
      <c r="BE79" s="373"/>
      <c r="BF79" s="373"/>
      <c r="BG79" s="373"/>
      <c r="BH79" s="374"/>
      <c r="BI79" s="372"/>
      <c r="BJ79" s="373"/>
      <c r="BK79" s="373"/>
      <c r="BL79" s="373"/>
      <c r="BM79" s="374"/>
      <c r="BN79" s="389">
        <f t="shared" ref="BN79" si="27">Z79-AJ79</f>
        <v>60</v>
      </c>
      <c r="BO79" s="390"/>
      <c r="BP79" s="390"/>
      <c r="BQ79" s="390"/>
      <c r="BR79" s="1103"/>
      <c r="BS79" s="1092"/>
      <c r="BT79" s="356"/>
      <c r="BU79" s="356"/>
      <c r="BV79" s="356"/>
      <c r="BW79" s="356"/>
      <c r="BX79" s="356">
        <v>4</v>
      </c>
      <c r="BY79" s="356"/>
      <c r="BZ79" s="356"/>
      <c r="CA79" s="356"/>
      <c r="CB79" s="356"/>
      <c r="CC79" s="356"/>
      <c r="CD79" s="356"/>
      <c r="CE79" s="356"/>
      <c r="CF79" s="356"/>
      <c r="CG79" s="356"/>
      <c r="CH79" s="356"/>
      <c r="CI79" s="356"/>
      <c r="CJ79" s="356"/>
      <c r="CK79" s="356"/>
      <c r="CL79" s="356"/>
      <c r="CM79" s="356"/>
      <c r="CN79" s="356"/>
      <c r="CO79" s="356"/>
      <c r="CP79" s="356"/>
      <c r="CQ79" s="356"/>
      <c r="CR79" s="356"/>
      <c r="CS79" s="356"/>
      <c r="CT79" s="356"/>
      <c r="CU79" s="356"/>
      <c r="CV79" s="356"/>
      <c r="CW79" s="356"/>
      <c r="CX79" s="356"/>
      <c r="CY79" s="356"/>
      <c r="CZ79" s="356"/>
      <c r="DA79" s="356"/>
      <c r="DB79" s="356"/>
      <c r="DC79" s="356"/>
      <c r="DD79" s="356"/>
      <c r="DE79" s="356"/>
      <c r="DF79" s="356"/>
      <c r="DG79" s="356"/>
      <c r="DH79" s="356"/>
      <c r="DI79" s="356"/>
      <c r="DJ79" s="356"/>
      <c r="DK79" s="1099"/>
      <c r="DL79" s="1105"/>
      <c r="DM79" s="357"/>
      <c r="DN79" s="357"/>
      <c r="DO79" s="357"/>
      <c r="DP79" s="358"/>
      <c r="DQ79" s="364">
        <v>4</v>
      </c>
      <c r="DR79" s="357"/>
      <c r="DS79" s="357"/>
      <c r="DT79" s="357"/>
      <c r="DU79" s="358"/>
      <c r="DV79" s="364"/>
      <c r="DW79" s="357"/>
      <c r="DX79" s="357"/>
      <c r="DY79" s="357"/>
      <c r="DZ79" s="358"/>
      <c r="EA79" s="364"/>
      <c r="EB79" s="357"/>
      <c r="EC79" s="357"/>
      <c r="ED79" s="357"/>
      <c r="EE79" s="358"/>
      <c r="EF79" s="364"/>
      <c r="EG79" s="357"/>
      <c r="EH79" s="357"/>
      <c r="EI79" s="357"/>
      <c r="EJ79" s="358"/>
      <c r="EK79" s="364"/>
      <c r="EL79" s="357"/>
      <c r="EM79" s="357"/>
      <c r="EN79" s="357"/>
      <c r="EO79" s="358"/>
      <c r="EP79" s="364"/>
      <c r="EQ79" s="357"/>
      <c r="ER79" s="357"/>
      <c r="ES79" s="357"/>
      <c r="ET79" s="358"/>
      <c r="EU79" s="364"/>
      <c r="EV79" s="357"/>
      <c r="EW79" s="357"/>
      <c r="EX79" s="357"/>
      <c r="EY79" s="358"/>
      <c r="EZ79" s="1056"/>
      <c r="FA79" s="356"/>
      <c r="FB79" s="356"/>
      <c r="FC79" s="356"/>
      <c r="FD79" s="1099"/>
      <c r="FE79" s="1093">
        <f t="shared" ref="FE79" si="28">+SUM(DL79:FD80)</f>
        <v>4</v>
      </c>
      <c r="FF79" s="1094"/>
      <c r="FG79" s="1094"/>
      <c r="FH79" s="1094"/>
      <c r="FI79" s="1095"/>
    </row>
    <row r="80" spans="1:165" s="120" customFormat="1" ht="90" customHeight="1" x14ac:dyDescent="0.2">
      <c r="A80" s="1102"/>
      <c r="B80" s="284" t="s">
        <v>157</v>
      </c>
      <c r="C80" s="388" t="s">
        <v>228</v>
      </c>
      <c r="D80" s="388"/>
      <c r="E80" s="388"/>
      <c r="F80" s="388"/>
      <c r="G80" s="388"/>
      <c r="H80" s="388"/>
      <c r="I80" s="388"/>
      <c r="J80" s="388"/>
      <c r="K80" s="388"/>
      <c r="L80" s="388"/>
      <c r="M80" s="388"/>
      <c r="N80" s="388"/>
      <c r="O80" s="388"/>
      <c r="P80" s="388"/>
      <c r="Q80" s="388"/>
      <c r="R80" s="388"/>
      <c r="S80" s="388"/>
      <c r="T80" s="388"/>
      <c r="U80" s="388"/>
      <c r="V80" s="388"/>
      <c r="W80" s="388"/>
      <c r="X80" s="388"/>
      <c r="Y80" s="388"/>
      <c r="Z80" s="392"/>
      <c r="AA80" s="393"/>
      <c r="AB80" s="393"/>
      <c r="AC80" s="393"/>
      <c r="AD80" s="394"/>
      <c r="AE80" s="398"/>
      <c r="AF80" s="399"/>
      <c r="AG80" s="399"/>
      <c r="AH80" s="399"/>
      <c r="AI80" s="400"/>
      <c r="AJ80" s="375"/>
      <c r="AK80" s="376"/>
      <c r="AL80" s="376"/>
      <c r="AM80" s="376"/>
      <c r="AN80" s="377"/>
      <c r="AO80" s="375"/>
      <c r="AP80" s="376"/>
      <c r="AQ80" s="376"/>
      <c r="AR80" s="376"/>
      <c r="AS80" s="377"/>
      <c r="AT80" s="375"/>
      <c r="AU80" s="376"/>
      <c r="AV80" s="376"/>
      <c r="AW80" s="376"/>
      <c r="AX80" s="377"/>
      <c r="AY80" s="375"/>
      <c r="AZ80" s="376"/>
      <c r="BA80" s="376"/>
      <c r="BB80" s="376"/>
      <c r="BC80" s="377"/>
      <c r="BD80" s="375"/>
      <c r="BE80" s="376"/>
      <c r="BF80" s="376"/>
      <c r="BG80" s="376"/>
      <c r="BH80" s="377"/>
      <c r="BI80" s="375"/>
      <c r="BJ80" s="376"/>
      <c r="BK80" s="376"/>
      <c r="BL80" s="376"/>
      <c r="BM80" s="377"/>
      <c r="BN80" s="392"/>
      <c r="BO80" s="393"/>
      <c r="BP80" s="393"/>
      <c r="BQ80" s="393"/>
      <c r="BR80" s="1104"/>
      <c r="BS80" s="1092"/>
      <c r="BT80" s="356"/>
      <c r="BU80" s="356"/>
      <c r="BV80" s="356"/>
      <c r="BW80" s="356"/>
      <c r="BX80" s="356"/>
      <c r="BY80" s="356"/>
      <c r="BZ80" s="356"/>
      <c r="CA80" s="356"/>
      <c r="CB80" s="356"/>
      <c r="CC80" s="356"/>
      <c r="CD80" s="356"/>
      <c r="CE80" s="356"/>
      <c r="CF80" s="356"/>
      <c r="CG80" s="356"/>
      <c r="CH80" s="356"/>
      <c r="CI80" s="356"/>
      <c r="CJ80" s="356"/>
      <c r="CK80" s="356"/>
      <c r="CL80" s="356"/>
      <c r="CM80" s="356"/>
      <c r="CN80" s="356"/>
      <c r="CO80" s="356"/>
      <c r="CP80" s="356"/>
      <c r="CQ80" s="356"/>
      <c r="CR80" s="356"/>
      <c r="CS80" s="356"/>
      <c r="CT80" s="356"/>
      <c r="CU80" s="356"/>
      <c r="CV80" s="356"/>
      <c r="CW80" s="356"/>
      <c r="CX80" s="356"/>
      <c r="CY80" s="356"/>
      <c r="CZ80" s="356"/>
      <c r="DA80" s="356"/>
      <c r="DB80" s="356"/>
      <c r="DC80" s="356"/>
      <c r="DD80" s="356"/>
      <c r="DE80" s="356"/>
      <c r="DF80" s="356"/>
      <c r="DG80" s="356"/>
      <c r="DH80" s="356"/>
      <c r="DI80" s="356"/>
      <c r="DJ80" s="356"/>
      <c r="DK80" s="1099"/>
      <c r="DL80" s="1106"/>
      <c r="DM80" s="359"/>
      <c r="DN80" s="359"/>
      <c r="DO80" s="359"/>
      <c r="DP80" s="360"/>
      <c r="DQ80" s="365"/>
      <c r="DR80" s="359"/>
      <c r="DS80" s="359"/>
      <c r="DT80" s="359"/>
      <c r="DU80" s="360"/>
      <c r="DV80" s="365"/>
      <c r="DW80" s="359"/>
      <c r="DX80" s="359"/>
      <c r="DY80" s="359"/>
      <c r="DZ80" s="360"/>
      <c r="EA80" s="365"/>
      <c r="EB80" s="359"/>
      <c r="EC80" s="359"/>
      <c r="ED80" s="359"/>
      <c r="EE80" s="360"/>
      <c r="EF80" s="365"/>
      <c r="EG80" s="359"/>
      <c r="EH80" s="359"/>
      <c r="EI80" s="359"/>
      <c r="EJ80" s="360"/>
      <c r="EK80" s="365"/>
      <c r="EL80" s="359"/>
      <c r="EM80" s="359"/>
      <c r="EN80" s="359"/>
      <c r="EO80" s="360"/>
      <c r="EP80" s="365"/>
      <c r="EQ80" s="359"/>
      <c r="ER80" s="359"/>
      <c r="ES80" s="359"/>
      <c r="ET80" s="360"/>
      <c r="EU80" s="365"/>
      <c r="EV80" s="359"/>
      <c r="EW80" s="359"/>
      <c r="EX80" s="359"/>
      <c r="EY80" s="360"/>
      <c r="EZ80" s="1056"/>
      <c r="FA80" s="356"/>
      <c r="FB80" s="356"/>
      <c r="FC80" s="356"/>
      <c r="FD80" s="1099"/>
      <c r="FE80" s="1096"/>
      <c r="FF80" s="1097"/>
      <c r="FG80" s="1097"/>
      <c r="FH80" s="1097"/>
      <c r="FI80" s="1098"/>
    </row>
    <row r="81" spans="1:168" s="120" customFormat="1" ht="90" customHeight="1" x14ac:dyDescent="0.2">
      <c r="A81" s="1101" t="s">
        <v>45</v>
      </c>
      <c r="B81" s="281" t="s">
        <v>135</v>
      </c>
      <c r="C81" s="535" t="s">
        <v>180</v>
      </c>
      <c r="D81" s="535"/>
      <c r="E81" s="535"/>
      <c r="F81" s="535"/>
      <c r="G81" s="535"/>
      <c r="H81" s="535"/>
      <c r="I81" s="535"/>
      <c r="J81" s="535"/>
      <c r="K81" s="535"/>
      <c r="L81" s="535"/>
      <c r="M81" s="535"/>
      <c r="N81" s="535"/>
      <c r="O81" s="535"/>
      <c r="P81" s="535"/>
      <c r="Q81" s="535"/>
      <c r="R81" s="535"/>
      <c r="S81" s="535"/>
      <c r="T81" s="535"/>
      <c r="U81" s="535"/>
      <c r="V81" s="535"/>
      <c r="W81" s="535"/>
      <c r="X81" s="535"/>
      <c r="Y81" s="535"/>
      <c r="Z81" s="389">
        <f t="shared" ref="Z81" si="29">FE81*30</f>
        <v>120</v>
      </c>
      <c r="AA81" s="390"/>
      <c r="AB81" s="390"/>
      <c r="AC81" s="390"/>
      <c r="AD81" s="391"/>
      <c r="AE81" s="395"/>
      <c r="AF81" s="396"/>
      <c r="AG81" s="396"/>
      <c r="AH81" s="396"/>
      <c r="AI81" s="397"/>
      <c r="AJ81" s="372">
        <f t="shared" ref="AJ81" si="30">SUM(AO81:BH82)</f>
        <v>60</v>
      </c>
      <c r="AK81" s="373"/>
      <c r="AL81" s="373"/>
      <c r="AM81" s="373"/>
      <c r="AN81" s="374"/>
      <c r="AO81" s="372">
        <v>30</v>
      </c>
      <c r="AP81" s="373"/>
      <c r="AQ81" s="373"/>
      <c r="AR81" s="373"/>
      <c r="AS81" s="374"/>
      <c r="AT81" s="372">
        <v>30</v>
      </c>
      <c r="AU81" s="373"/>
      <c r="AV81" s="373"/>
      <c r="AW81" s="373"/>
      <c r="AX81" s="374"/>
      <c r="AY81" s="372"/>
      <c r="AZ81" s="373"/>
      <c r="BA81" s="373"/>
      <c r="BB81" s="373"/>
      <c r="BC81" s="374"/>
      <c r="BD81" s="372"/>
      <c r="BE81" s="373"/>
      <c r="BF81" s="373"/>
      <c r="BG81" s="373"/>
      <c r="BH81" s="374"/>
      <c r="BI81" s="372"/>
      <c r="BJ81" s="373"/>
      <c r="BK81" s="373"/>
      <c r="BL81" s="373"/>
      <c r="BM81" s="374"/>
      <c r="BN81" s="389">
        <f t="shared" ref="BN81" si="31">Z81-AJ81</f>
        <v>60</v>
      </c>
      <c r="BO81" s="390"/>
      <c r="BP81" s="390"/>
      <c r="BQ81" s="390"/>
      <c r="BR81" s="1103"/>
      <c r="BS81" s="1092"/>
      <c r="BT81" s="356"/>
      <c r="BU81" s="356"/>
      <c r="BV81" s="356"/>
      <c r="BW81" s="356"/>
      <c r="BX81" s="356"/>
      <c r="BY81" s="356"/>
      <c r="BZ81" s="356"/>
      <c r="CA81" s="356"/>
      <c r="CB81" s="356"/>
      <c r="CC81" s="356">
        <v>4</v>
      </c>
      <c r="CD81" s="356"/>
      <c r="CE81" s="356"/>
      <c r="CF81" s="356"/>
      <c r="CG81" s="356"/>
      <c r="CH81" s="356"/>
      <c r="CI81" s="356"/>
      <c r="CJ81" s="356"/>
      <c r="CK81" s="356"/>
      <c r="CL81" s="356"/>
      <c r="CM81" s="356"/>
      <c r="CN81" s="356"/>
      <c r="CO81" s="356"/>
      <c r="CP81" s="356"/>
      <c r="CQ81" s="356"/>
      <c r="CR81" s="356"/>
      <c r="CS81" s="356"/>
      <c r="CT81" s="356"/>
      <c r="CU81" s="356"/>
      <c r="CV81" s="356"/>
      <c r="CW81" s="356"/>
      <c r="CX81" s="356"/>
      <c r="CY81" s="356"/>
      <c r="CZ81" s="356"/>
      <c r="DA81" s="356"/>
      <c r="DB81" s="356"/>
      <c r="DC81" s="356"/>
      <c r="DD81" s="356"/>
      <c r="DE81" s="356"/>
      <c r="DF81" s="356"/>
      <c r="DG81" s="356"/>
      <c r="DH81" s="356"/>
      <c r="DI81" s="356"/>
      <c r="DJ81" s="356"/>
      <c r="DK81" s="1099"/>
      <c r="DL81" s="1105"/>
      <c r="DM81" s="357"/>
      <c r="DN81" s="357"/>
      <c r="DO81" s="357"/>
      <c r="DP81" s="358"/>
      <c r="DQ81" s="364"/>
      <c r="DR81" s="357"/>
      <c r="DS81" s="357"/>
      <c r="DT81" s="357"/>
      <c r="DU81" s="358"/>
      <c r="DV81" s="364">
        <v>4</v>
      </c>
      <c r="DW81" s="357"/>
      <c r="DX81" s="357"/>
      <c r="DY81" s="357"/>
      <c r="DZ81" s="358"/>
      <c r="EA81" s="364"/>
      <c r="EB81" s="357"/>
      <c r="EC81" s="357"/>
      <c r="ED81" s="357"/>
      <c r="EE81" s="358"/>
      <c r="EF81" s="364"/>
      <c r="EG81" s="357"/>
      <c r="EH81" s="357"/>
      <c r="EI81" s="357"/>
      <c r="EJ81" s="358"/>
      <c r="EK81" s="364"/>
      <c r="EL81" s="357"/>
      <c r="EM81" s="357"/>
      <c r="EN81" s="357"/>
      <c r="EO81" s="358"/>
      <c r="EP81" s="364"/>
      <c r="EQ81" s="357"/>
      <c r="ER81" s="357"/>
      <c r="ES81" s="357"/>
      <c r="ET81" s="358"/>
      <c r="EU81" s="364"/>
      <c r="EV81" s="357"/>
      <c r="EW81" s="357"/>
      <c r="EX81" s="357"/>
      <c r="EY81" s="358"/>
      <c r="EZ81" s="1056"/>
      <c r="FA81" s="356"/>
      <c r="FB81" s="356"/>
      <c r="FC81" s="356"/>
      <c r="FD81" s="1099"/>
      <c r="FE81" s="1093">
        <f t="shared" ref="FE81" si="32">+SUM(DL81:FD82)</f>
        <v>4</v>
      </c>
      <c r="FF81" s="1094"/>
      <c r="FG81" s="1094"/>
      <c r="FH81" s="1094"/>
      <c r="FI81" s="1095"/>
    </row>
    <row r="82" spans="1:168" s="120" customFormat="1" ht="90" customHeight="1" x14ac:dyDescent="0.2">
      <c r="A82" s="1102"/>
      <c r="B82" s="284" t="s">
        <v>217</v>
      </c>
      <c r="C82" s="1046" t="s">
        <v>128</v>
      </c>
      <c r="D82" s="1047"/>
      <c r="E82" s="1047"/>
      <c r="F82" s="1047"/>
      <c r="G82" s="1047"/>
      <c r="H82" s="1047"/>
      <c r="I82" s="1047"/>
      <c r="J82" s="1047"/>
      <c r="K82" s="1047"/>
      <c r="L82" s="1047"/>
      <c r="M82" s="1047"/>
      <c r="N82" s="1047"/>
      <c r="O82" s="1047"/>
      <c r="P82" s="1047"/>
      <c r="Q82" s="1047"/>
      <c r="R82" s="1047"/>
      <c r="S82" s="1047"/>
      <c r="T82" s="1047"/>
      <c r="U82" s="1047"/>
      <c r="V82" s="1047"/>
      <c r="W82" s="1047"/>
      <c r="X82" s="1047"/>
      <c r="Y82" s="1048"/>
      <c r="Z82" s="392"/>
      <c r="AA82" s="393"/>
      <c r="AB82" s="393"/>
      <c r="AC82" s="393"/>
      <c r="AD82" s="394"/>
      <c r="AE82" s="398"/>
      <c r="AF82" s="399"/>
      <c r="AG82" s="399"/>
      <c r="AH82" s="399"/>
      <c r="AI82" s="400"/>
      <c r="AJ82" s="375"/>
      <c r="AK82" s="376"/>
      <c r="AL82" s="376"/>
      <c r="AM82" s="376"/>
      <c r="AN82" s="377"/>
      <c r="AO82" s="375"/>
      <c r="AP82" s="376"/>
      <c r="AQ82" s="376"/>
      <c r="AR82" s="376"/>
      <c r="AS82" s="377"/>
      <c r="AT82" s="375"/>
      <c r="AU82" s="376"/>
      <c r="AV82" s="376"/>
      <c r="AW82" s="376"/>
      <c r="AX82" s="377"/>
      <c r="AY82" s="375"/>
      <c r="AZ82" s="376"/>
      <c r="BA82" s="376"/>
      <c r="BB82" s="376"/>
      <c r="BC82" s="377"/>
      <c r="BD82" s="375"/>
      <c r="BE82" s="376"/>
      <c r="BF82" s="376"/>
      <c r="BG82" s="376"/>
      <c r="BH82" s="377"/>
      <c r="BI82" s="375"/>
      <c r="BJ82" s="376"/>
      <c r="BK82" s="376"/>
      <c r="BL82" s="376"/>
      <c r="BM82" s="377"/>
      <c r="BN82" s="392"/>
      <c r="BO82" s="393"/>
      <c r="BP82" s="393"/>
      <c r="BQ82" s="393"/>
      <c r="BR82" s="1104"/>
      <c r="BS82" s="1092"/>
      <c r="BT82" s="356"/>
      <c r="BU82" s="356"/>
      <c r="BV82" s="356"/>
      <c r="BW82" s="356"/>
      <c r="BX82" s="356"/>
      <c r="BY82" s="356"/>
      <c r="BZ82" s="356"/>
      <c r="CA82" s="356"/>
      <c r="CB82" s="356"/>
      <c r="CC82" s="356"/>
      <c r="CD82" s="356"/>
      <c r="CE82" s="356"/>
      <c r="CF82" s="356"/>
      <c r="CG82" s="356"/>
      <c r="CH82" s="356"/>
      <c r="CI82" s="356"/>
      <c r="CJ82" s="356"/>
      <c r="CK82" s="356"/>
      <c r="CL82" s="356"/>
      <c r="CM82" s="356"/>
      <c r="CN82" s="356"/>
      <c r="CO82" s="356"/>
      <c r="CP82" s="356"/>
      <c r="CQ82" s="356"/>
      <c r="CR82" s="356"/>
      <c r="CS82" s="356"/>
      <c r="CT82" s="356"/>
      <c r="CU82" s="356"/>
      <c r="CV82" s="356"/>
      <c r="CW82" s="356"/>
      <c r="CX82" s="356"/>
      <c r="CY82" s="356"/>
      <c r="CZ82" s="356"/>
      <c r="DA82" s="356"/>
      <c r="DB82" s="356"/>
      <c r="DC82" s="356"/>
      <c r="DD82" s="356"/>
      <c r="DE82" s="356"/>
      <c r="DF82" s="356"/>
      <c r="DG82" s="356"/>
      <c r="DH82" s="356"/>
      <c r="DI82" s="356"/>
      <c r="DJ82" s="356"/>
      <c r="DK82" s="1099"/>
      <c r="DL82" s="1106"/>
      <c r="DM82" s="359"/>
      <c r="DN82" s="359"/>
      <c r="DO82" s="359"/>
      <c r="DP82" s="360"/>
      <c r="DQ82" s="365"/>
      <c r="DR82" s="359"/>
      <c r="DS82" s="359"/>
      <c r="DT82" s="359"/>
      <c r="DU82" s="360"/>
      <c r="DV82" s="365"/>
      <c r="DW82" s="359"/>
      <c r="DX82" s="359"/>
      <c r="DY82" s="359"/>
      <c r="DZ82" s="360"/>
      <c r="EA82" s="365"/>
      <c r="EB82" s="359"/>
      <c r="EC82" s="359"/>
      <c r="ED82" s="359"/>
      <c r="EE82" s="360"/>
      <c r="EF82" s="365"/>
      <c r="EG82" s="359"/>
      <c r="EH82" s="359"/>
      <c r="EI82" s="359"/>
      <c r="EJ82" s="360"/>
      <c r="EK82" s="365"/>
      <c r="EL82" s="359"/>
      <c r="EM82" s="359"/>
      <c r="EN82" s="359"/>
      <c r="EO82" s="360"/>
      <c r="EP82" s="365"/>
      <c r="EQ82" s="359"/>
      <c r="ER82" s="359"/>
      <c r="ES82" s="359"/>
      <c r="ET82" s="360"/>
      <c r="EU82" s="365"/>
      <c r="EV82" s="359"/>
      <c r="EW82" s="359"/>
      <c r="EX82" s="359"/>
      <c r="EY82" s="360"/>
      <c r="EZ82" s="1056"/>
      <c r="FA82" s="356"/>
      <c r="FB82" s="356"/>
      <c r="FC82" s="356"/>
      <c r="FD82" s="1099"/>
      <c r="FE82" s="1096"/>
      <c r="FF82" s="1097"/>
      <c r="FG82" s="1097"/>
      <c r="FH82" s="1097"/>
      <c r="FI82" s="1098"/>
    </row>
    <row r="83" spans="1:168" s="120" customFormat="1" ht="90" customHeight="1" x14ac:dyDescent="0.2">
      <c r="A83" s="1101" t="s">
        <v>46</v>
      </c>
      <c r="B83" s="282" t="s">
        <v>140</v>
      </c>
      <c r="C83" s="388" t="s">
        <v>125</v>
      </c>
      <c r="D83" s="388"/>
      <c r="E83" s="388"/>
      <c r="F83" s="388"/>
      <c r="G83" s="388"/>
      <c r="H83" s="388"/>
      <c r="I83" s="388"/>
      <c r="J83" s="388"/>
      <c r="K83" s="388"/>
      <c r="L83" s="388"/>
      <c r="M83" s="388"/>
      <c r="N83" s="388"/>
      <c r="O83" s="388"/>
      <c r="P83" s="388"/>
      <c r="Q83" s="388"/>
      <c r="R83" s="388"/>
      <c r="S83" s="388"/>
      <c r="T83" s="388"/>
      <c r="U83" s="388"/>
      <c r="V83" s="388"/>
      <c r="W83" s="388"/>
      <c r="X83" s="388"/>
      <c r="Y83" s="388"/>
      <c r="Z83" s="389">
        <f t="shared" ref="Z83" si="33">FE83*30</f>
        <v>150</v>
      </c>
      <c r="AA83" s="390"/>
      <c r="AB83" s="390"/>
      <c r="AC83" s="390"/>
      <c r="AD83" s="391"/>
      <c r="AE83" s="395"/>
      <c r="AF83" s="396"/>
      <c r="AG83" s="396"/>
      <c r="AH83" s="396"/>
      <c r="AI83" s="397"/>
      <c r="AJ83" s="372">
        <f t="shared" ref="AJ83" si="34">SUM(AO83:BH84)</f>
        <v>60</v>
      </c>
      <c r="AK83" s="373"/>
      <c r="AL83" s="373"/>
      <c r="AM83" s="373"/>
      <c r="AN83" s="374"/>
      <c r="AO83" s="372">
        <v>30</v>
      </c>
      <c r="AP83" s="373"/>
      <c r="AQ83" s="373"/>
      <c r="AR83" s="373"/>
      <c r="AS83" s="374"/>
      <c r="AT83" s="372">
        <v>30</v>
      </c>
      <c r="AU83" s="373"/>
      <c r="AV83" s="373"/>
      <c r="AW83" s="373"/>
      <c r="AX83" s="374"/>
      <c r="AY83" s="372"/>
      <c r="AZ83" s="373"/>
      <c r="BA83" s="373"/>
      <c r="BB83" s="373"/>
      <c r="BC83" s="374"/>
      <c r="BD83" s="372"/>
      <c r="BE83" s="373"/>
      <c r="BF83" s="373"/>
      <c r="BG83" s="373"/>
      <c r="BH83" s="374"/>
      <c r="BI83" s="372"/>
      <c r="BJ83" s="373"/>
      <c r="BK83" s="373"/>
      <c r="BL83" s="373"/>
      <c r="BM83" s="374"/>
      <c r="BN83" s="389">
        <f t="shared" ref="BN83" si="35">Z83-AJ83</f>
        <v>90</v>
      </c>
      <c r="BO83" s="390"/>
      <c r="BP83" s="390"/>
      <c r="BQ83" s="390"/>
      <c r="BR83" s="1103"/>
      <c r="BS83" s="1092"/>
      <c r="BT83" s="356"/>
      <c r="BU83" s="356"/>
      <c r="BV83" s="356"/>
      <c r="BW83" s="356"/>
      <c r="BX83" s="356"/>
      <c r="BY83" s="356"/>
      <c r="BZ83" s="356"/>
      <c r="CA83" s="356"/>
      <c r="CB83" s="356"/>
      <c r="CC83" s="356"/>
      <c r="CD83" s="356"/>
      <c r="CE83" s="356"/>
      <c r="CF83" s="356"/>
      <c r="CG83" s="356"/>
      <c r="CH83" s="356"/>
      <c r="CI83" s="356"/>
      <c r="CJ83" s="356"/>
      <c r="CK83" s="356"/>
      <c r="CL83" s="356"/>
      <c r="CM83" s="356"/>
      <c r="CN83" s="356"/>
      <c r="CO83" s="356"/>
      <c r="CP83" s="356"/>
      <c r="CQ83" s="356"/>
      <c r="CR83" s="356">
        <v>4</v>
      </c>
      <c r="CS83" s="356"/>
      <c r="CT83" s="356"/>
      <c r="CU83" s="356"/>
      <c r="CV83" s="356"/>
      <c r="CW83" s="356"/>
      <c r="CX83" s="356"/>
      <c r="CY83" s="356"/>
      <c r="CZ83" s="356"/>
      <c r="DA83" s="356"/>
      <c r="DB83" s="356"/>
      <c r="DC83" s="356"/>
      <c r="DD83" s="356"/>
      <c r="DE83" s="356"/>
      <c r="DF83" s="356"/>
      <c r="DG83" s="356"/>
      <c r="DH83" s="356"/>
      <c r="DI83" s="356"/>
      <c r="DJ83" s="356"/>
      <c r="DK83" s="1099"/>
      <c r="DL83" s="1105"/>
      <c r="DM83" s="357"/>
      <c r="DN83" s="357"/>
      <c r="DO83" s="357"/>
      <c r="DP83" s="358"/>
      <c r="DQ83" s="364"/>
      <c r="DR83" s="357"/>
      <c r="DS83" s="357"/>
      <c r="DT83" s="357"/>
      <c r="DU83" s="358"/>
      <c r="DV83" s="364"/>
      <c r="DW83" s="357"/>
      <c r="DX83" s="357"/>
      <c r="DY83" s="357"/>
      <c r="DZ83" s="358"/>
      <c r="EA83" s="364"/>
      <c r="EB83" s="357"/>
      <c r="EC83" s="357"/>
      <c r="ED83" s="357"/>
      <c r="EE83" s="358"/>
      <c r="EF83" s="364"/>
      <c r="EG83" s="357"/>
      <c r="EH83" s="357"/>
      <c r="EI83" s="357"/>
      <c r="EJ83" s="358"/>
      <c r="EK83" s="364">
        <v>5</v>
      </c>
      <c r="EL83" s="357"/>
      <c r="EM83" s="357"/>
      <c r="EN83" s="357"/>
      <c r="EO83" s="358"/>
      <c r="EP83" s="364"/>
      <c r="EQ83" s="357"/>
      <c r="ER83" s="357"/>
      <c r="ES83" s="357"/>
      <c r="ET83" s="358"/>
      <c r="EU83" s="364"/>
      <c r="EV83" s="357"/>
      <c r="EW83" s="357"/>
      <c r="EX83" s="357"/>
      <c r="EY83" s="358"/>
      <c r="EZ83" s="1056"/>
      <c r="FA83" s="356"/>
      <c r="FB83" s="356"/>
      <c r="FC83" s="356"/>
      <c r="FD83" s="1099"/>
      <c r="FE83" s="1093">
        <f t="shared" ref="FE83" si="36">+SUM(DL83:FD84)</f>
        <v>5</v>
      </c>
      <c r="FF83" s="1094"/>
      <c r="FG83" s="1094"/>
      <c r="FH83" s="1094"/>
      <c r="FI83" s="1095"/>
    </row>
    <row r="84" spans="1:168" s="120" customFormat="1" ht="90" customHeight="1" x14ac:dyDescent="0.2">
      <c r="A84" s="1102"/>
      <c r="B84" s="284" t="s">
        <v>318</v>
      </c>
      <c r="C84" s="388" t="s">
        <v>218</v>
      </c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92"/>
      <c r="AA84" s="393"/>
      <c r="AB84" s="393"/>
      <c r="AC84" s="393"/>
      <c r="AD84" s="394"/>
      <c r="AE84" s="398"/>
      <c r="AF84" s="399"/>
      <c r="AG84" s="399"/>
      <c r="AH84" s="399"/>
      <c r="AI84" s="400"/>
      <c r="AJ84" s="375"/>
      <c r="AK84" s="376"/>
      <c r="AL84" s="376"/>
      <c r="AM84" s="376"/>
      <c r="AN84" s="377"/>
      <c r="AO84" s="375"/>
      <c r="AP84" s="376"/>
      <c r="AQ84" s="376"/>
      <c r="AR84" s="376"/>
      <c r="AS84" s="377"/>
      <c r="AT84" s="375"/>
      <c r="AU84" s="376"/>
      <c r="AV84" s="376"/>
      <c r="AW84" s="376"/>
      <c r="AX84" s="377"/>
      <c r="AY84" s="375"/>
      <c r="AZ84" s="376"/>
      <c r="BA84" s="376"/>
      <c r="BB84" s="376"/>
      <c r="BC84" s="377"/>
      <c r="BD84" s="375"/>
      <c r="BE84" s="376"/>
      <c r="BF84" s="376"/>
      <c r="BG84" s="376"/>
      <c r="BH84" s="377"/>
      <c r="BI84" s="375"/>
      <c r="BJ84" s="376"/>
      <c r="BK84" s="376"/>
      <c r="BL84" s="376"/>
      <c r="BM84" s="377"/>
      <c r="BN84" s="392"/>
      <c r="BO84" s="393"/>
      <c r="BP84" s="393"/>
      <c r="BQ84" s="393"/>
      <c r="BR84" s="1104"/>
      <c r="BS84" s="1092"/>
      <c r="BT84" s="356"/>
      <c r="BU84" s="356"/>
      <c r="BV84" s="356"/>
      <c r="BW84" s="356"/>
      <c r="BX84" s="356"/>
      <c r="BY84" s="356"/>
      <c r="BZ84" s="356"/>
      <c r="CA84" s="356"/>
      <c r="CB84" s="356"/>
      <c r="CC84" s="356"/>
      <c r="CD84" s="356"/>
      <c r="CE84" s="356"/>
      <c r="CF84" s="356"/>
      <c r="CG84" s="356"/>
      <c r="CH84" s="356"/>
      <c r="CI84" s="356"/>
      <c r="CJ84" s="356"/>
      <c r="CK84" s="356"/>
      <c r="CL84" s="356"/>
      <c r="CM84" s="356"/>
      <c r="CN84" s="356"/>
      <c r="CO84" s="356"/>
      <c r="CP84" s="356"/>
      <c r="CQ84" s="356"/>
      <c r="CR84" s="356"/>
      <c r="CS84" s="356"/>
      <c r="CT84" s="356"/>
      <c r="CU84" s="356"/>
      <c r="CV84" s="356"/>
      <c r="CW84" s="356"/>
      <c r="CX84" s="356"/>
      <c r="CY84" s="356"/>
      <c r="CZ84" s="356"/>
      <c r="DA84" s="356"/>
      <c r="DB84" s="356"/>
      <c r="DC84" s="356"/>
      <c r="DD84" s="356"/>
      <c r="DE84" s="356"/>
      <c r="DF84" s="356"/>
      <c r="DG84" s="356"/>
      <c r="DH84" s="356"/>
      <c r="DI84" s="356"/>
      <c r="DJ84" s="356"/>
      <c r="DK84" s="1099"/>
      <c r="DL84" s="1106"/>
      <c r="DM84" s="359"/>
      <c r="DN84" s="359"/>
      <c r="DO84" s="359"/>
      <c r="DP84" s="360"/>
      <c r="DQ84" s="365"/>
      <c r="DR84" s="359"/>
      <c r="DS84" s="359"/>
      <c r="DT84" s="359"/>
      <c r="DU84" s="360"/>
      <c r="DV84" s="365"/>
      <c r="DW84" s="359"/>
      <c r="DX84" s="359"/>
      <c r="DY84" s="359"/>
      <c r="DZ84" s="360"/>
      <c r="EA84" s="365"/>
      <c r="EB84" s="359"/>
      <c r="EC84" s="359"/>
      <c r="ED84" s="359"/>
      <c r="EE84" s="360"/>
      <c r="EF84" s="365"/>
      <c r="EG84" s="359"/>
      <c r="EH84" s="359"/>
      <c r="EI84" s="359"/>
      <c r="EJ84" s="360"/>
      <c r="EK84" s="365"/>
      <c r="EL84" s="359"/>
      <c r="EM84" s="359"/>
      <c r="EN84" s="359"/>
      <c r="EO84" s="360"/>
      <c r="EP84" s="365"/>
      <c r="EQ84" s="359"/>
      <c r="ER84" s="359"/>
      <c r="ES84" s="359"/>
      <c r="ET84" s="360"/>
      <c r="EU84" s="365"/>
      <c r="EV84" s="359"/>
      <c r="EW84" s="359"/>
      <c r="EX84" s="359"/>
      <c r="EY84" s="360"/>
      <c r="EZ84" s="1056"/>
      <c r="FA84" s="356"/>
      <c r="FB84" s="356"/>
      <c r="FC84" s="356"/>
      <c r="FD84" s="1099"/>
      <c r="FE84" s="1096"/>
      <c r="FF84" s="1097"/>
      <c r="FG84" s="1097"/>
      <c r="FH84" s="1097"/>
      <c r="FI84" s="1098"/>
    </row>
    <row r="85" spans="1:168" s="120" customFormat="1" ht="90" customHeight="1" x14ac:dyDescent="0.2">
      <c r="A85" s="1101" t="s">
        <v>47</v>
      </c>
      <c r="B85" s="281" t="s">
        <v>306</v>
      </c>
      <c r="C85" s="535" t="s">
        <v>181</v>
      </c>
      <c r="D85" s="535"/>
      <c r="E85" s="535"/>
      <c r="F85" s="535"/>
      <c r="G85" s="535"/>
      <c r="H85" s="535"/>
      <c r="I85" s="535"/>
      <c r="J85" s="535"/>
      <c r="K85" s="535"/>
      <c r="L85" s="535"/>
      <c r="M85" s="535"/>
      <c r="N85" s="535"/>
      <c r="O85" s="535"/>
      <c r="P85" s="535"/>
      <c r="Q85" s="535"/>
      <c r="R85" s="535"/>
      <c r="S85" s="535"/>
      <c r="T85" s="535"/>
      <c r="U85" s="535"/>
      <c r="V85" s="535"/>
      <c r="W85" s="535"/>
      <c r="X85" s="535"/>
      <c r="Y85" s="535"/>
      <c r="Z85" s="389">
        <f t="shared" ref="Z85" si="37">FE85*30</f>
        <v>210</v>
      </c>
      <c r="AA85" s="390"/>
      <c r="AB85" s="390"/>
      <c r="AC85" s="390"/>
      <c r="AD85" s="391"/>
      <c r="AE85" s="395"/>
      <c r="AF85" s="396"/>
      <c r="AG85" s="396"/>
      <c r="AH85" s="396"/>
      <c r="AI85" s="397"/>
      <c r="AJ85" s="372">
        <f t="shared" ref="AJ85" si="38">SUM(AO85:BH86)</f>
        <v>84</v>
      </c>
      <c r="AK85" s="373"/>
      <c r="AL85" s="373"/>
      <c r="AM85" s="373"/>
      <c r="AN85" s="374"/>
      <c r="AO85" s="372">
        <v>42</v>
      </c>
      <c r="AP85" s="373"/>
      <c r="AQ85" s="373"/>
      <c r="AR85" s="373"/>
      <c r="AS85" s="374"/>
      <c r="AT85" s="372">
        <v>42</v>
      </c>
      <c r="AU85" s="373"/>
      <c r="AV85" s="373"/>
      <c r="AW85" s="373"/>
      <c r="AX85" s="374"/>
      <c r="AY85" s="372"/>
      <c r="AZ85" s="373"/>
      <c r="BA85" s="373"/>
      <c r="BB85" s="373"/>
      <c r="BC85" s="374"/>
      <c r="BD85" s="372"/>
      <c r="BE85" s="373"/>
      <c r="BF85" s="373"/>
      <c r="BG85" s="373"/>
      <c r="BH85" s="374"/>
      <c r="BI85" s="372"/>
      <c r="BJ85" s="373"/>
      <c r="BK85" s="373"/>
      <c r="BL85" s="373"/>
      <c r="BM85" s="374"/>
      <c r="BN85" s="389">
        <f t="shared" ref="BN85" si="39">Z85-AJ85</f>
        <v>126</v>
      </c>
      <c r="BO85" s="390"/>
      <c r="BP85" s="390"/>
      <c r="BQ85" s="390"/>
      <c r="BR85" s="1103"/>
      <c r="BS85" s="1092"/>
      <c r="BT85" s="356"/>
      <c r="BU85" s="356"/>
      <c r="BV85" s="356"/>
      <c r="BW85" s="356"/>
      <c r="BX85" s="356"/>
      <c r="BY85" s="356"/>
      <c r="BZ85" s="356"/>
      <c r="CA85" s="356"/>
      <c r="CB85" s="356"/>
      <c r="CC85" s="356"/>
      <c r="CD85" s="356"/>
      <c r="CE85" s="356"/>
      <c r="CF85" s="356"/>
      <c r="CG85" s="356"/>
      <c r="CH85" s="356"/>
      <c r="CI85" s="356"/>
      <c r="CJ85" s="356"/>
      <c r="CK85" s="356"/>
      <c r="CL85" s="356"/>
      <c r="CM85" s="356">
        <v>4</v>
      </c>
      <c r="CN85" s="356"/>
      <c r="CO85" s="356"/>
      <c r="CP85" s="356"/>
      <c r="CQ85" s="356"/>
      <c r="CR85" s="356">
        <v>2</v>
      </c>
      <c r="CS85" s="356"/>
      <c r="CT85" s="356"/>
      <c r="CU85" s="356"/>
      <c r="CV85" s="356"/>
      <c r="CW85" s="356"/>
      <c r="CX85" s="356"/>
      <c r="CY85" s="356"/>
      <c r="CZ85" s="356"/>
      <c r="DA85" s="356"/>
      <c r="DB85" s="356"/>
      <c r="DC85" s="356"/>
      <c r="DD85" s="356"/>
      <c r="DE85" s="356"/>
      <c r="DF85" s="356"/>
      <c r="DG85" s="356"/>
      <c r="DH85" s="356"/>
      <c r="DI85" s="356"/>
      <c r="DJ85" s="356"/>
      <c r="DK85" s="1099"/>
      <c r="DL85" s="1105"/>
      <c r="DM85" s="357"/>
      <c r="DN85" s="357"/>
      <c r="DO85" s="357"/>
      <c r="DP85" s="358"/>
      <c r="DQ85" s="364"/>
      <c r="DR85" s="357"/>
      <c r="DS85" s="357"/>
      <c r="DT85" s="357"/>
      <c r="DU85" s="358"/>
      <c r="DV85" s="364"/>
      <c r="DW85" s="357"/>
      <c r="DX85" s="357"/>
      <c r="DY85" s="357"/>
      <c r="DZ85" s="358"/>
      <c r="EA85" s="364"/>
      <c r="EB85" s="357"/>
      <c r="EC85" s="357"/>
      <c r="ED85" s="357"/>
      <c r="EE85" s="358"/>
      <c r="EF85" s="364">
        <v>4</v>
      </c>
      <c r="EG85" s="357"/>
      <c r="EH85" s="357"/>
      <c r="EI85" s="357"/>
      <c r="EJ85" s="358"/>
      <c r="EK85" s="364">
        <v>3</v>
      </c>
      <c r="EL85" s="357"/>
      <c r="EM85" s="357"/>
      <c r="EN85" s="357"/>
      <c r="EO85" s="358"/>
      <c r="EP85" s="364"/>
      <c r="EQ85" s="357"/>
      <c r="ER85" s="357"/>
      <c r="ES85" s="357"/>
      <c r="ET85" s="358"/>
      <c r="EU85" s="364"/>
      <c r="EV85" s="357"/>
      <c r="EW85" s="357"/>
      <c r="EX85" s="357"/>
      <c r="EY85" s="358"/>
      <c r="EZ85" s="1056"/>
      <c r="FA85" s="356"/>
      <c r="FB85" s="356"/>
      <c r="FC85" s="356"/>
      <c r="FD85" s="1099"/>
      <c r="FE85" s="1093">
        <f t="shared" ref="FE85" si="40">+SUM(DL85:FD86)</f>
        <v>7</v>
      </c>
      <c r="FF85" s="1094"/>
      <c r="FG85" s="1094"/>
      <c r="FH85" s="1094"/>
      <c r="FI85" s="1095"/>
    </row>
    <row r="86" spans="1:168" s="120" customFormat="1" ht="90" customHeight="1" x14ac:dyDescent="0.2">
      <c r="A86" s="1102"/>
      <c r="B86" s="284" t="s">
        <v>319</v>
      </c>
      <c r="C86" s="388" t="s">
        <v>219</v>
      </c>
      <c r="D86" s="388"/>
      <c r="E86" s="388"/>
      <c r="F86" s="388"/>
      <c r="G86" s="388"/>
      <c r="H86" s="388"/>
      <c r="I86" s="388"/>
      <c r="J86" s="388"/>
      <c r="K86" s="388"/>
      <c r="L86" s="388"/>
      <c r="M86" s="388"/>
      <c r="N86" s="388"/>
      <c r="O86" s="388"/>
      <c r="P86" s="388"/>
      <c r="Q86" s="388"/>
      <c r="R86" s="388"/>
      <c r="S86" s="388"/>
      <c r="T86" s="388"/>
      <c r="U86" s="388"/>
      <c r="V86" s="388"/>
      <c r="W86" s="388"/>
      <c r="X86" s="388"/>
      <c r="Y86" s="388"/>
      <c r="Z86" s="392"/>
      <c r="AA86" s="393"/>
      <c r="AB86" s="393"/>
      <c r="AC86" s="393"/>
      <c r="AD86" s="394"/>
      <c r="AE86" s="398"/>
      <c r="AF86" s="399"/>
      <c r="AG86" s="399"/>
      <c r="AH86" s="399"/>
      <c r="AI86" s="400"/>
      <c r="AJ86" s="375"/>
      <c r="AK86" s="376"/>
      <c r="AL86" s="376"/>
      <c r="AM86" s="376"/>
      <c r="AN86" s="377"/>
      <c r="AO86" s="375"/>
      <c r="AP86" s="376"/>
      <c r="AQ86" s="376"/>
      <c r="AR86" s="376"/>
      <c r="AS86" s="377"/>
      <c r="AT86" s="375"/>
      <c r="AU86" s="376"/>
      <c r="AV86" s="376"/>
      <c r="AW86" s="376"/>
      <c r="AX86" s="377"/>
      <c r="AY86" s="375"/>
      <c r="AZ86" s="376"/>
      <c r="BA86" s="376"/>
      <c r="BB86" s="376"/>
      <c r="BC86" s="377"/>
      <c r="BD86" s="375"/>
      <c r="BE86" s="376"/>
      <c r="BF86" s="376"/>
      <c r="BG86" s="376"/>
      <c r="BH86" s="377"/>
      <c r="BI86" s="375"/>
      <c r="BJ86" s="376"/>
      <c r="BK86" s="376"/>
      <c r="BL86" s="376"/>
      <c r="BM86" s="377"/>
      <c r="BN86" s="392"/>
      <c r="BO86" s="393"/>
      <c r="BP86" s="393"/>
      <c r="BQ86" s="393"/>
      <c r="BR86" s="1104"/>
      <c r="BS86" s="1092"/>
      <c r="BT86" s="356"/>
      <c r="BU86" s="356"/>
      <c r="BV86" s="356"/>
      <c r="BW86" s="356"/>
      <c r="BX86" s="356"/>
      <c r="BY86" s="356"/>
      <c r="BZ86" s="356"/>
      <c r="CA86" s="356"/>
      <c r="CB86" s="356"/>
      <c r="CC86" s="356"/>
      <c r="CD86" s="356"/>
      <c r="CE86" s="356"/>
      <c r="CF86" s="356"/>
      <c r="CG86" s="356"/>
      <c r="CH86" s="356"/>
      <c r="CI86" s="356"/>
      <c r="CJ86" s="356"/>
      <c r="CK86" s="356"/>
      <c r="CL86" s="356"/>
      <c r="CM86" s="356"/>
      <c r="CN86" s="356"/>
      <c r="CO86" s="356"/>
      <c r="CP86" s="356"/>
      <c r="CQ86" s="356"/>
      <c r="CR86" s="356"/>
      <c r="CS86" s="356"/>
      <c r="CT86" s="356"/>
      <c r="CU86" s="356"/>
      <c r="CV86" s="356"/>
      <c r="CW86" s="356"/>
      <c r="CX86" s="356"/>
      <c r="CY86" s="356"/>
      <c r="CZ86" s="356"/>
      <c r="DA86" s="356"/>
      <c r="DB86" s="356"/>
      <c r="DC86" s="356"/>
      <c r="DD86" s="356"/>
      <c r="DE86" s="356"/>
      <c r="DF86" s="356"/>
      <c r="DG86" s="356"/>
      <c r="DH86" s="356"/>
      <c r="DI86" s="356"/>
      <c r="DJ86" s="356"/>
      <c r="DK86" s="1099"/>
      <c r="DL86" s="1106"/>
      <c r="DM86" s="359"/>
      <c r="DN86" s="359"/>
      <c r="DO86" s="359"/>
      <c r="DP86" s="360"/>
      <c r="DQ86" s="365"/>
      <c r="DR86" s="359"/>
      <c r="DS86" s="359"/>
      <c r="DT86" s="359"/>
      <c r="DU86" s="360"/>
      <c r="DV86" s="365"/>
      <c r="DW86" s="359"/>
      <c r="DX86" s="359"/>
      <c r="DY86" s="359"/>
      <c r="DZ86" s="360"/>
      <c r="EA86" s="365"/>
      <c r="EB86" s="359"/>
      <c r="EC86" s="359"/>
      <c r="ED86" s="359"/>
      <c r="EE86" s="360"/>
      <c r="EF86" s="365"/>
      <c r="EG86" s="359"/>
      <c r="EH86" s="359"/>
      <c r="EI86" s="359"/>
      <c r="EJ86" s="360"/>
      <c r="EK86" s="365"/>
      <c r="EL86" s="359"/>
      <c r="EM86" s="359"/>
      <c r="EN86" s="359"/>
      <c r="EO86" s="360"/>
      <c r="EP86" s="365"/>
      <c r="EQ86" s="359"/>
      <c r="ER86" s="359"/>
      <c r="ES86" s="359"/>
      <c r="ET86" s="360"/>
      <c r="EU86" s="365"/>
      <c r="EV86" s="359"/>
      <c r="EW86" s="359"/>
      <c r="EX86" s="359"/>
      <c r="EY86" s="360"/>
      <c r="EZ86" s="1056"/>
      <c r="FA86" s="356"/>
      <c r="FB86" s="356"/>
      <c r="FC86" s="356"/>
      <c r="FD86" s="1099"/>
      <c r="FE86" s="1096"/>
      <c r="FF86" s="1097"/>
      <c r="FG86" s="1097"/>
      <c r="FH86" s="1097"/>
      <c r="FI86" s="1098"/>
    </row>
    <row r="87" spans="1:168" s="120" customFormat="1" ht="90" customHeight="1" x14ac:dyDescent="0.2">
      <c r="A87" s="1101" t="s">
        <v>48</v>
      </c>
      <c r="B87" s="283" t="s">
        <v>203</v>
      </c>
      <c r="C87" s="402" t="s">
        <v>251</v>
      </c>
      <c r="D87" s="402"/>
      <c r="E87" s="402"/>
      <c r="F87" s="402"/>
      <c r="G87" s="402"/>
      <c r="H87" s="402"/>
      <c r="I87" s="402"/>
      <c r="J87" s="402"/>
      <c r="K87" s="402"/>
      <c r="L87" s="402"/>
      <c r="M87" s="402"/>
      <c r="N87" s="402"/>
      <c r="O87" s="402"/>
      <c r="P87" s="402"/>
      <c r="Q87" s="402"/>
      <c r="R87" s="402"/>
      <c r="S87" s="402"/>
      <c r="T87" s="402"/>
      <c r="U87" s="402"/>
      <c r="V87" s="402"/>
      <c r="W87" s="402"/>
      <c r="X87" s="402"/>
      <c r="Y87" s="402"/>
      <c r="Z87" s="389">
        <f>FE87*30</f>
        <v>120</v>
      </c>
      <c r="AA87" s="390"/>
      <c r="AB87" s="390"/>
      <c r="AC87" s="390"/>
      <c r="AD87" s="391"/>
      <c r="AE87" s="395"/>
      <c r="AF87" s="396"/>
      <c r="AG87" s="396"/>
      <c r="AH87" s="396"/>
      <c r="AI87" s="397"/>
      <c r="AJ87" s="372">
        <f>SUM(AO87:BH88)</f>
        <v>48</v>
      </c>
      <c r="AK87" s="373"/>
      <c r="AL87" s="373"/>
      <c r="AM87" s="373"/>
      <c r="AN87" s="374"/>
      <c r="AO87" s="372">
        <v>26</v>
      </c>
      <c r="AP87" s="373"/>
      <c r="AQ87" s="373"/>
      <c r="AR87" s="373"/>
      <c r="AS87" s="374"/>
      <c r="AT87" s="372">
        <v>22</v>
      </c>
      <c r="AU87" s="373"/>
      <c r="AV87" s="373"/>
      <c r="AW87" s="373"/>
      <c r="AX87" s="374"/>
      <c r="AY87" s="372"/>
      <c r="AZ87" s="373"/>
      <c r="BA87" s="373"/>
      <c r="BB87" s="373"/>
      <c r="BC87" s="374"/>
      <c r="BD87" s="372"/>
      <c r="BE87" s="373"/>
      <c r="BF87" s="373"/>
      <c r="BG87" s="373"/>
      <c r="BH87" s="374"/>
      <c r="BI87" s="372"/>
      <c r="BJ87" s="373"/>
      <c r="BK87" s="373"/>
      <c r="BL87" s="373"/>
      <c r="BM87" s="374"/>
      <c r="BN87" s="389">
        <f>Z87-AJ87</f>
        <v>72</v>
      </c>
      <c r="BO87" s="390"/>
      <c r="BP87" s="390"/>
      <c r="BQ87" s="390"/>
      <c r="BR87" s="1103"/>
      <c r="BS87" s="1092"/>
      <c r="BT87" s="356"/>
      <c r="BU87" s="356"/>
      <c r="BV87" s="356"/>
      <c r="BW87" s="356"/>
      <c r="BX87" s="356"/>
      <c r="BY87" s="356"/>
      <c r="BZ87" s="356"/>
      <c r="CA87" s="356"/>
      <c r="CB87" s="356"/>
      <c r="CC87" s="356"/>
      <c r="CD87" s="356"/>
      <c r="CE87" s="356"/>
      <c r="CF87" s="356"/>
      <c r="CG87" s="356"/>
      <c r="CH87" s="356"/>
      <c r="CI87" s="356"/>
      <c r="CJ87" s="356"/>
      <c r="CK87" s="356"/>
      <c r="CL87" s="356"/>
      <c r="CM87" s="356">
        <v>3</v>
      </c>
      <c r="CN87" s="356"/>
      <c r="CO87" s="356"/>
      <c r="CP87" s="356"/>
      <c r="CQ87" s="356"/>
      <c r="CR87" s="356"/>
      <c r="CS87" s="356"/>
      <c r="CT87" s="356"/>
      <c r="CU87" s="356"/>
      <c r="CV87" s="356"/>
      <c r="CW87" s="356"/>
      <c r="CX87" s="356"/>
      <c r="CY87" s="356"/>
      <c r="CZ87" s="356"/>
      <c r="DA87" s="356"/>
      <c r="DB87" s="356"/>
      <c r="DC87" s="356"/>
      <c r="DD87" s="356"/>
      <c r="DE87" s="356"/>
      <c r="DF87" s="356"/>
      <c r="DG87" s="356"/>
      <c r="DH87" s="356"/>
      <c r="DI87" s="356"/>
      <c r="DJ87" s="356"/>
      <c r="DK87" s="1099"/>
      <c r="DL87" s="1105"/>
      <c r="DM87" s="357"/>
      <c r="DN87" s="357"/>
      <c r="DO87" s="357"/>
      <c r="DP87" s="358"/>
      <c r="DQ87" s="364"/>
      <c r="DR87" s="357"/>
      <c r="DS87" s="357"/>
      <c r="DT87" s="357"/>
      <c r="DU87" s="358"/>
      <c r="DV87" s="364"/>
      <c r="DW87" s="357"/>
      <c r="DX87" s="357"/>
      <c r="DY87" s="357"/>
      <c r="DZ87" s="358"/>
      <c r="EA87" s="364"/>
      <c r="EB87" s="357"/>
      <c r="EC87" s="357"/>
      <c r="ED87" s="357"/>
      <c r="EE87" s="358"/>
      <c r="EF87" s="364">
        <v>4</v>
      </c>
      <c r="EG87" s="357"/>
      <c r="EH87" s="357"/>
      <c r="EI87" s="357"/>
      <c r="EJ87" s="358"/>
      <c r="EK87" s="364"/>
      <c r="EL87" s="357"/>
      <c r="EM87" s="357"/>
      <c r="EN87" s="357"/>
      <c r="EO87" s="358"/>
      <c r="EP87" s="364"/>
      <c r="EQ87" s="357"/>
      <c r="ER87" s="357"/>
      <c r="ES87" s="357"/>
      <c r="ET87" s="358"/>
      <c r="EU87" s="364"/>
      <c r="EV87" s="357"/>
      <c r="EW87" s="357"/>
      <c r="EX87" s="357"/>
      <c r="EY87" s="358"/>
      <c r="EZ87" s="1056"/>
      <c r="FA87" s="356"/>
      <c r="FB87" s="356"/>
      <c r="FC87" s="356"/>
      <c r="FD87" s="1099"/>
      <c r="FE87" s="1093">
        <f>+SUM(DL87:FD88)</f>
        <v>4</v>
      </c>
      <c r="FF87" s="1094"/>
      <c r="FG87" s="1094"/>
      <c r="FH87" s="1094"/>
      <c r="FI87" s="1095"/>
    </row>
    <row r="88" spans="1:168" s="120" customFormat="1" ht="90" customHeight="1" x14ac:dyDescent="0.2">
      <c r="A88" s="1102"/>
      <c r="B88" s="283" t="s">
        <v>320</v>
      </c>
      <c r="C88" s="402" t="s">
        <v>250</v>
      </c>
      <c r="D88" s="402"/>
      <c r="E88" s="402"/>
      <c r="F88" s="402"/>
      <c r="G88" s="402"/>
      <c r="H88" s="402"/>
      <c r="I88" s="402"/>
      <c r="J88" s="402"/>
      <c r="K88" s="402"/>
      <c r="L88" s="402"/>
      <c r="M88" s="402"/>
      <c r="N88" s="402"/>
      <c r="O88" s="402"/>
      <c r="P88" s="402"/>
      <c r="Q88" s="402"/>
      <c r="R88" s="402"/>
      <c r="S88" s="402"/>
      <c r="T88" s="402"/>
      <c r="U88" s="402"/>
      <c r="V88" s="402"/>
      <c r="W88" s="402"/>
      <c r="X88" s="402"/>
      <c r="Y88" s="402"/>
      <c r="Z88" s="392"/>
      <c r="AA88" s="393"/>
      <c r="AB88" s="393"/>
      <c r="AC88" s="393"/>
      <c r="AD88" s="394"/>
      <c r="AE88" s="398"/>
      <c r="AF88" s="399"/>
      <c r="AG88" s="399"/>
      <c r="AH88" s="399"/>
      <c r="AI88" s="400"/>
      <c r="AJ88" s="375"/>
      <c r="AK88" s="376"/>
      <c r="AL88" s="376"/>
      <c r="AM88" s="376"/>
      <c r="AN88" s="377"/>
      <c r="AO88" s="375"/>
      <c r="AP88" s="376"/>
      <c r="AQ88" s="376"/>
      <c r="AR88" s="376"/>
      <c r="AS88" s="377"/>
      <c r="AT88" s="375"/>
      <c r="AU88" s="376"/>
      <c r="AV88" s="376"/>
      <c r="AW88" s="376"/>
      <c r="AX88" s="377"/>
      <c r="AY88" s="375"/>
      <c r="AZ88" s="376"/>
      <c r="BA88" s="376"/>
      <c r="BB88" s="376"/>
      <c r="BC88" s="377"/>
      <c r="BD88" s="375"/>
      <c r="BE88" s="376"/>
      <c r="BF88" s="376"/>
      <c r="BG88" s="376"/>
      <c r="BH88" s="377"/>
      <c r="BI88" s="375"/>
      <c r="BJ88" s="376"/>
      <c r="BK88" s="376"/>
      <c r="BL88" s="376"/>
      <c r="BM88" s="377"/>
      <c r="BN88" s="392"/>
      <c r="BO88" s="393"/>
      <c r="BP88" s="393"/>
      <c r="BQ88" s="393"/>
      <c r="BR88" s="1104"/>
      <c r="BS88" s="1092"/>
      <c r="BT88" s="356"/>
      <c r="BU88" s="356"/>
      <c r="BV88" s="356"/>
      <c r="BW88" s="356"/>
      <c r="BX88" s="356"/>
      <c r="BY88" s="356"/>
      <c r="BZ88" s="356"/>
      <c r="CA88" s="356"/>
      <c r="CB88" s="356"/>
      <c r="CC88" s="356"/>
      <c r="CD88" s="356"/>
      <c r="CE88" s="356"/>
      <c r="CF88" s="356"/>
      <c r="CG88" s="356"/>
      <c r="CH88" s="356"/>
      <c r="CI88" s="356"/>
      <c r="CJ88" s="356"/>
      <c r="CK88" s="356"/>
      <c r="CL88" s="356"/>
      <c r="CM88" s="356"/>
      <c r="CN88" s="356"/>
      <c r="CO88" s="356"/>
      <c r="CP88" s="356"/>
      <c r="CQ88" s="356"/>
      <c r="CR88" s="356"/>
      <c r="CS88" s="356"/>
      <c r="CT88" s="356"/>
      <c r="CU88" s="356"/>
      <c r="CV88" s="356"/>
      <c r="CW88" s="356"/>
      <c r="CX88" s="356"/>
      <c r="CY88" s="356"/>
      <c r="CZ88" s="356"/>
      <c r="DA88" s="356"/>
      <c r="DB88" s="356"/>
      <c r="DC88" s="356"/>
      <c r="DD88" s="356"/>
      <c r="DE88" s="356"/>
      <c r="DF88" s="356"/>
      <c r="DG88" s="356"/>
      <c r="DH88" s="356"/>
      <c r="DI88" s="356"/>
      <c r="DJ88" s="356"/>
      <c r="DK88" s="1099"/>
      <c r="DL88" s="1106"/>
      <c r="DM88" s="359"/>
      <c r="DN88" s="359"/>
      <c r="DO88" s="359"/>
      <c r="DP88" s="360"/>
      <c r="DQ88" s="365"/>
      <c r="DR88" s="359"/>
      <c r="DS88" s="359"/>
      <c r="DT88" s="359"/>
      <c r="DU88" s="360"/>
      <c r="DV88" s="365"/>
      <c r="DW88" s="359"/>
      <c r="DX88" s="359"/>
      <c r="DY88" s="359"/>
      <c r="DZ88" s="360"/>
      <c r="EA88" s="365"/>
      <c r="EB88" s="359"/>
      <c r="EC88" s="359"/>
      <c r="ED88" s="359"/>
      <c r="EE88" s="360"/>
      <c r="EF88" s="365"/>
      <c r="EG88" s="359"/>
      <c r="EH88" s="359"/>
      <c r="EI88" s="359"/>
      <c r="EJ88" s="360"/>
      <c r="EK88" s="365"/>
      <c r="EL88" s="359"/>
      <c r="EM88" s="359"/>
      <c r="EN88" s="359"/>
      <c r="EO88" s="360"/>
      <c r="EP88" s="365"/>
      <c r="EQ88" s="359"/>
      <c r="ER88" s="359"/>
      <c r="ES88" s="359"/>
      <c r="ET88" s="360"/>
      <c r="EU88" s="365"/>
      <c r="EV88" s="359"/>
      <c r="EW88" s="359"/>
      <c r="EX88" s="359"/>
      <c r="EY88" s="360"/>
      <c r="EZ88" s="1056"/>
      <c r="FA88" s="356"/>
      <c r="FB88" s="356"/>
      <c r="FC88" s="356"/>
      <c r="FD88" s="1099"/>
      <c r="FE88" s="1096"/>
      <c r="FF88" s="1097"/>
      <c r="FG88" s="1097"/>
      <c r="FH88" s="1097"/>
      <c r="FI88" s="1098"/>
    </row>
    <row r="89" spans="1:168" s="120" customFormat="1" ht="90" customHeight="1" x14ac:dyDescent="0.2">
      <c r="A89" s="1101" t="s">
        <v>301</v>
      </c>
      <c r="B89" s="284" t="s">
        <v>156</v>
      </c>
      <c r="C89" s="388" t="s">
        <v>221</v>
      </c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388"/>
      <c r="P89" s="388"/>
      <c r="Q89" s="388"/>
      <c r="R89" s="388"/>
      <c r="S89" s="388"/>
      <c r="T89" s="388"/>
      <c r="U89" s="388"/>
      <c r="V89" s="388"/>
      <c r="W89" s="388"/>
      <c r="X89" s="388"/>
      <c r="Y89" s="388"/>
      <c r="Z89" s="389">
        <f>FE89*30</f>
        <v>180</v>
      </c>
      <c r="AA89" s="390"/>
      <c r="AB89" s="390"/>
      <c r="AC89" s="390"/>
      <c r="AD89" s="391"/>
      <c r="AE89" s="395"/>
      <c r="AF89" s="396"/>
      <c r="AG89" s="396"/>
      <c r="AH89" s="396"/>
      <c r="AI89" s="397"/>
      <c r="AJ89" s="372">
        <f>SUM(AO89:BH90)</f>
        <v>72</v>
      </c>
      <c r="AK89" s="373"/>
      <c r="AL89" s="373"/>
      <c r="AM89" s="373"/>
      <c r="AN89" s="374"/>
      <c r="AO89" s="372">
        <v>36</v>
      </c>
      <c r="AP89" s="373"/>
      <c r="AQ89" s="373"/>
      <c r="AR89" s="373"/>
      <c r="AS89" s="374"/>
      <c r="AT89" s="372">
        <v>36</v>
      </c>
      <c r="AU89" s="373"/>
      <c r="AV89" s="373"/>
      <c r="AW89" s="373"/>
      <c r="AX89" s="374"/>
      <c r="AY89" s="372"/>
      <c r="AZ89" s="373"/>
      <c r="BA89" s="373"/>
      <c r="BB89" s="373"/>
      <c r="BC89" s="374"/>
      <c r="BD89" s="372"/>
      <c r="BE89" s="373"/>
      <c r="BF89" s="373"/>
      <c r="BG89" s="373"/>
      <c r="BH89" s="374"/>
      <c r="BI89" s="372"/>
      <c r="BJ89" s="373"/>
      <c r="BK89" s="373"/>
      <c r="BL89" s="373"/>
      <c r="BM89" s="374"/>
      <c r="BN89" s="389">
        <f>Z89-AJ89</f>
        <v>108</v>
      </c>
      <c r="BO89" s="390"/>
      <c r="BP89" s="390"/>
      <c r="BQ89" s="390"/>
      <c r="BR89" s="1103"/>
      <c r="BS89" s="1092"/>
      <c r="BT89" s="356"/>
      <c r="BU89" s="356"/>
      <c r="BV89" s="356"/>
      <c r="BW89" s="356"/>
      <c r="BX89" s="356"/>
      <c r="BY89" s="356"/>
      <c r="BZ89" s="356"/>
      <c r="CA89" s="356"/>
      <c r="CB89" s="356"/>
      <c r="CC89" s="356"/>
      <c r="CD89" s="356"/>
      <c r="CE89" s="356"/>
      <c r="CF89" s="356"/>
      <c r="CG89" s="356"/>
      <c r="CH89" s="356"/>
      <c r="CI89" s="356"/>
      <c r="CJ89" s="356"/>
      <c r="CK89" s="356"/>
      <c r="CL89" s="356"/>
      <c r="CM89" s="356">
        <v>2</v>
      </c>
      <c r="CN89" s="356"/>
      <c r="CO89" s="356"/>
      <c r="CP89" s="356"/>
      <c r="CQ89" s="356"/>
      <c r="CR89" s="356">
        <v>4</v>
      </c>
      <c r="CS89" s="356"/>
      <c r="CT89" s="356"/>
      <c r="CU89" s="356"/>
      <c r="CV89" s="356"/>
      <c r="CW89" s="356"/>
      <c r="CX89" s="356"/>
      <c r="CY89" s="356"/>
      <c r="CZ89" s="356"/>
      <c r="DA89" s="356"/>
      <c r="DB89" s="356"/>
      <c r="DC89" s="356"/>
      <c r="DD89" s="356"/>
      <c r="DE89" s="356"/>
      <c r="DF89" s="356"/>
      <c r="DG89" s="356"/>
      <c r="DH89" s="356"/>
      <c r="DI89" s="356"/>
      <c r="DJ89" s="356"/>
      <c r="DK89" s="1099"/>
      <c r="DL89" s="1105"/>
      <c r="DM89" s="357"/>
      <c r="DN89" s="357"/>
      <c r="DO89" s="357"/>
      <c r="DP89" s="357"/>
      <c r="DQ89" s="356"/>
      <c r="DR89" s="356"/>
      <c r="DS89" s="356"/>
      <c r="DT89" s="356"/>
      <c r="DU89" s="356"/>
      <c r="DV89" s="356"/>
      <c r="DW89" s="356"/>
      <c r="DX89" s="356"/>
      <c r="DY89" s="356"/>
      <c r="DZ89" s="356"/>
      <c r="EA89" s="356"/>
      <c r="EB89" s="356"/>
      <c r="EC89" s="356"/>
      <c r="ED89" s="356"/>
      <c r="EE89" s="356"/>
      <c r="EF89" s="356">
        <v>2</v>
      </c>
      <c r="EG89" s="356"/>
      <c r="EH89" s="356"/>
      <c r="EI89" s="356"/>
      <c r="EJ89" s="356"/>
      <c r="EK89" s="356">
        <v>4</v>
      </c>
      <c r="EL89" s="356"/>
      <c r="EM89" s="356"/>
      <c r="EN89" s="356"/>
      <c r="EO89" s="356"/>
      <c r="EP89" s="356"/>
      <c r="EQ89" s="356"/>
      <c r="ER89" s="356"/>
      <c r="ES89" s="356"/>
      <c r="ET89" s="356"/>
      <c r="EU89" s="357"/>
      <c r="EV89" s="357"/>
      <c r="EW89" s="357"/>
      <c r="EX89" s="357"/>
      <c r="EY89" s="358"/>
      <c r="EZ89" s="356"/>
      <c r="FA89" s="356"/>
      <c r="FB89" s="356"/>
      <c r="FC89" s="356"/>
      <c r="FD89" s="1099"/>
      <c r="FE89" s="1093">
        <f>+SUM(DL89:FD90)</f>
        <v>6</v>
      </c>
      <c r="FF89" s="1094"/>
      <c r="FG89" s="1094"/>
      <c r="FH89" s="1094"/>
      <c r="FI89" s="1095"/>
    </row>
    <row r="90" spans="1:168" s="120" customFormat="1" ht="90" customHeight="1" x14ac:dyDescent="0.2">
      <c r="A90" s="1102"/>
      <c r="B90" s="283" t="s">
        <v>212</v>
      </c>
      <c r="C90" s="388" t="s">
        <v>211</v>
      </c>
      <c r="D90" s="388"/>
      <c r="E90" s="388"/>
      <c r="F90" s="388"/>
      <c r="G90" s="388"/>
      <c r="H90" s="388"/>
      <c r="I90" s="388"/>
      <c r="J90" s="388"/>
      <c r="K90" s="388"/>
      <c r="L90" s="388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88"/>
      <c r="Y90" s="388"/>
      <c r="Z90" s="392"/>
      <c r="AA90" s="393"/>
      <c r="AB90" s="393"/>
      <c r="AC90" s="393"/>
      <c r="AD90" s="394"/>
      <c r="AE90" s="398"/>
      <c r="AF90" s="399"/>
      <c r="AG90" s="399"/>
      <c r="AH90" s="399"/>
      <c r="AI90" s="400"/>
      <c r="AJ90" s="375"/>
      <c r="AK90" s="376"/>
      <c r="AL90" s="376"/>
      <c r="AM90" s="376"/>
      <c r="AN90" s="377"/>
      <c r="AO90" s="375"/>
      <c r="AP90" s="376"/>
      <c r="AQ90" s="376"/>
      <c r="AR90" s="376"/>
      <c r="AS90" s="377"/>
      <c r="AT90" s="375"/>
      <c r="AU90" s="376"/>
      <c r="AV90" s="376"/>
      <c r="AW90" s="376"/>
      <c r="AX90" s="377"/>
      <c r="AY90" s="375"/>
      <c r="AZ90" s="376"/>
      <c r="BA90" s="376"/>
      <c r="BB90" s="376"/>
      <c r="BC90" s="377"/>
      <c r="BD90" s="375"/>
      <c r="BE90" s="376"/>
      <c r="BF90" s="376"/>
      <c r="BG90" s="376"/>
      <c r="BH90" s="377"/>
      <c r="BI90" s="375"/>
      <c r="BJ90" s="376"/>
      <c r="BK90" s="376"/>
      <c r="BL90" s="376"/>
      <c r="BM90" s="377"/>
      <c r="BN90" s="392"/>
      <c r="BO90" s="393"/>
      <c r="BP90" s="393"/>
      <c r="BQ90" s="393"/>
      <c r="BR90" s="1104"/>
      <c r="BS90" s="1092"/>
      <c r="BT90" s="356"/>
      <c r="BU90" s="356"/>
      <c r="BV90" s="356"/>
      <c r="BW90" s="356"/>
      <c r="BX90" s="356"/>
      <c r="BY90" s="356"/>
      <c r="BZ90" s="356"/>
      <c r="CA90" s="356"/>
      <c r="CB90" s="356"/>
      <c r="CC90" s="356"/>
      <c r="CD90" s="356"/>
      <c r="CE90" s="356"/>
      <c r="CF90" s="356"/>
      <c r="CG90" s="356"/>
      <c r="CH90" s="356"/>
      <c r="CI90" s="356"/>
      <c r="CJ90" s="356"/>
      <c r="CK90" s="356"/>
      <c r="CL90" s="356"/>
      <c r="CM90" s="356"/>
      <c r="CN90" s="356"/>
      <c r="CO90" s="356"/>
      <c r="CP90" s="356"/>
      <c r="CQ90" s="356"/>
      <c r="CR90" s="356"/>
      <c r="CS90" s="356"/>
      <c r="CT90" s="356"/>
      <c r="CU90" s="356"/>
      <c r="CV90" s="356"/>
      <c r="CW90" s="356"/>
      <c r="CX90" s="356"/>
      <c r="CY90" s="356"/>
      <c r="CZ90" s="356"/>
      <c r="DA90" s="356"/>
      <c r="DB90" s="356"/>
      <c r="DC90" s="356"/>
      <c r="DD90" s="356"/>
      <c r="DE90" s="356"/>
      <c r="DF90" s="356"/>
      <c r="DG90" s="356"/>
      <c r="DH90" s="356"/>
      <c r="DI90" s="356"/>
      <c r="DJ90" s="356"/>
      <c r="DK90" s="1099"/>
      <c r="DL90" s="1106"/>
      <c r="DM90" s="359"/>
      <c r="DN90" s="359"/>
      <c r="DO90" s="359"/>
      <c r="DP90" s="359"/>
      <c r="DQ90" s="356"/>
      <c r="DR90" s="356"/>
      <c r="DS90" s="356"/>
      <c r="DT90" s="356"/>
      <c r="DU90" s="356"/>
      <c r="DV90" s="356"/>
      <c r="DW90" s="356"/>
      <c r="DX90" s="356"/>
      <c r="DY90" s="356"/>
      <c r="DZ90" s="356"/>
      <c r="EA90" s="356"/>
      <c r="EB90" s="356"/>
      <c r="EC90" s="356"/>
      <c r="ED90" s="356"/>
      <c r="EE90" s="356"/>
      <c r="EF90" s="356"/>
      <c r="EG90" s="356"/>
      <c r="EH90" s="356"/>
      <c r="EI90" s="356"/>
      <c r="EJ90" s="356"/>
      <c r="EK90" s="356"/>
      <c r="EL90" s="356"/>
      <c r="EM90" s="356"/>
      <c r="EN90" s="356"/>
      <c r="EO90" s="356"/>
      <c r="EP90" s="356"/>
      <c r="EQ90" s="356"/>
      <c r="ER90" s="356"/>
      <c r="ES90" s="356"/>
      <c r="ET90" s="356"/>
      <c r="EU90" s="359"/>
      <c r="EV90" s="359"/>
      <c r="EW90" s="359"/>
      <c r="EX90" s="359"/>
      <c r="EY90" s="360"/>
      <c r="EZ90" s="356"/>
      <c r="FA90" s="356"/>
      <c r="FB90" s="356"/>
      <c r="FC90" s="356"/>
      <c r="FD90" s="1099"/>
      <c r="FE90" s="1096"/>
      <c r="FF90" s="1097"/>
      <c r="FG90" s="1097"/>
      <c r="FH90" s="1097"/>
      <c r="FI90" s="1098"/>
      <c r="FJ90" s="1177"/>
      <c r="FK90" s="1178"/>
      <c r="FL90" s="1178"/>
    </row>
    <row r="91" spans="1:168" s="120" customFormat="1" ht="90" customHeight="1" x14ac:dyDescent="0.2">
      <c r="A91" s="1101" t="s">
        <v>325</v>
      </c>
      <c r="B91" s="283" t="s">
        <v>328</v>
      </c>
      <c r="C91" s="388" t="s">
        <v>327</v>
      </c>
      <c r="D91" s="388"/>
      <c r="E91" s="388"/>
      <c r="F91" s="388"/>
      <c r="G91" s="388"/>
      <c r="H91" s="388"/>
      <c r="I91" s="388"/>
      <c r="J91" s="388"/>
      <c r="K91" s="388"/>
      <c r="L91" s="388"/>
      <c r="M91" s="388"/>
      <c r="N91" s="388"/>
      <c r="O91" s="388"/>
      <c r="P91" s="388"/>
      <c r="Q91" s="388"/>
      <c r="R91" s="388"/>
      <c r="S91" s="388"/>
      <c r="T91" s="388"/>
      <c r="U91" s="388"/>
      <c r="V91" s="388"/>
      <c r="W91" s="388"/>
      <c r="X91" s="388"/>
      <c r="Y91" s="388"/>
      <c r="Z91" s="389">
        <f>FE91*30</f>
        <v>150</v>
      </c>
      <c r="AA91" s="390"/>
      <c r="AB91" s="390"/>
      <c r="AC91" s="390"/>
      <c r="AD91" s="391"/>
      <c r="AE91" s="395"/>
      <c r="AF91" s="396"/>
      <c r="AG91" s="396"/>
      <c r="AH91" s="396"/>
      <c r="AI91" s="397"/>
      <c r="AJ91" s="372">
        <f>SUM(AO91:BH92)</f>
        <v>60</v>
      </c>
      <c r="AK91" s="373"/>
      <c r="AL91" s="373"/>
      <c r="AM91" s="373"/>
      <c r="AN91" s="374"/>
      <c r="AO91" s="372">
        <v>30</v>
      </c>
      <c r="AP91" s="373"/>
      <c r="AQ91" s="373"/>
      <c r="AR91" s="373"/>
      <c r="AS91" s="374"/>
      <c r="AT91" s="372">
        <v>30</v>
      </c>
      <c r="AU91" s="373"/>
      <c r="AV91" s="373"/>
      <c r="AW91" s="373"/>
      <c r="AX91" s="374"/>
      <c r="AY91" s="372"/>
      <c r="AZ91" s="373"/>
      <c r="BA91" s="373"/>
      <c r="BB91" s="373"/>
      <c r="BC91" s="374"/>
      <c r="BD91" s="372"/>
      <c r="BE91" s="373"/>
      <c r="BF91" s="373"/>
      <c r="BG91" s="373"/>
      <c r="BH91" s="374"/>
      <c r="BI91" s="372"/>
      <c r="BJ91" s="373"/>
      <c r="BK91" s="373"/>
      <c r="BL91" s="373"/>
      <c r="BM91" s="374"/>
      <c r="BN91" s="389">
        <f>Z91-AJ91</f>
        <v>90</v>
      </c>
      <c r="BO91" s="390"/>
      <c r="BP91" s="390"/>
      <c r="BQ91" s="390"/>
      <c r="BR91" s="1103"/>
      <c r="BS91" s="1092"/>
      <c r="BT91" s="356"/>
      <c r="BU91" s="356"/>
      <c r="BV91" s="356"/>
      <c r="BW91" s="356"/>
      <c r="BX91" s="356"/>
      <c r="BY91" s="356"/>
      <c r="BZ91" s="356"/>
      <c r="CA91" s="356"/>
      <c r="CB91" s="356"/>
      <c r="CC91" s="356"/>
      <c r="CD91" s="356"/>
      <c r="CE91" s="356"/>
      <c r="CF91" s="356"/>
      <c r="CG91" s="356"/>
      <c r="CH91" s="356"/>
      <c r="CI91" s="356"/>
      <c r="CJ91" s="356"/>
      <c r="CK91" s="356"/>
      <c r="CL91" s="356"/>
      <c r="CM91" s="356"/>
      <c r="CN91" s="356"/>
      <c r="CO91" s="356"/>
      <c r="CP91" s="356"/>
      <c r="CQ91" s="356"/>
      <c r="CR91" s="356"/>
      <c r="CS91" s="356"/>
      <c r="CT91" s="356"/>
      <c r="CU91" s="356"/>
      <c r="CV91" s="356"/>
      <c r="CW91" s="356"/>
      <c r="CX91" s="356"/>
      <c r="CY91" s="356"/>
      <c r="CZ91" s="356"/>
      <c r="DA91" s="356"/>
      <c r="DB91" s="356"/>
      <c r="DC91" s="356"/>
      <c r="DD91" s="356"/>
      <c r="DE91" s="356"/>
      <c r="DF91" s="356"/>
      <c r="DG91" s="356">
        <v>4</v>
      </c>
      <c r="DH91" s="356"/>
      <c r="DI91" s="356"/>
      <c r="DJ91" s="356"/>
      <c r="DK91" s="1099"/>
      <c r="DL91" s="1105"/>
      <c r="DM91" s="357"/>
      <c r="DN91" s="357"/>
      <c r="DO91" s="357"/>
      <c r="DP91" s="357"/>
      <c r="DQ91" s="356"/>
      <c r="DR91" s="356"/>
      <c r="DS91" s="356"/>
      <c r="DT91" s="356"/>
      <c r="DU91" s="356"/>
      <c r="DV91" s="356"/>
      <c r="DW91" s="356"/>
      <c r="DX91" s="356"/>
      <c r="DY91" s="356"/>
      <c r="DZ91" s="356"/>
      <c r="EA91" s="356"/>
      <c r="EB91" s="356"/>
      <c r="EC91" s="356"/>
      <c r="ED91" s="356"/>
      <c r="EE91" s="356"/>
      <c r="EF91" s="356"/>
      <c r="EG91" s="356"/>
      <c r="EH91" s="356"/>
      <c r="EI91" s="356"/>
      <c r="EJ91" s="356"/>
      <c r="EK91" s="356"/>
      <c r="EL91" s="356"/>
      <c r="EM91" s="356"/>
      <c r="EN91" s="356"/>
      <c r="EO91" s="356"/>
      <c r="EP91" s="356"/>
      <c r="EQ91" s="356"/>
      <c r="ER91" s="356"/>
      <c r="ES91" s="356"/>
      <c r="ET91" s="356"/>
      <c r="EU91" s="357"/>
      <c r="EV91" s="357"/>
      <c r="EW91" s="357"/>
      <c r="EX91" s="357"/>
      <c r="EY91" s="358"/>
      <c r="EZ91" s="356">
        <v>5</v>
      </c>
      <c r="FA91" s="356"/>
      <c r="FB91" s="356"/>
      <c r="FC91" s="356"/>
      <c r="FD91" s="1099"/>
      <c r="FE91" s="1179">
        <f>+SUM(DL91:FD92)</f>
        <v>5</v>
      </c>
      <c r="FF91" s="1180"/>
      <c r="FG91" s="1180"/>
      <c r="FH91" s="1180"/>
      <c r="FI91" s="1181"/>
    </row>
    <row r="92" spans="1:168" ht="90" customHeight="1" x14ac:dyDescent="0.2">
      <c r="A92" s="1102"/>
      <c r="B92" s="284" t="s">
        <v>216</v>
      </c>
      <c r="C92" s="388" t="s">
        <v>214</v>
      </c>
      <c r="D92" s="388"/>
      <c r="E92" s="388"/>
      <c r="F92" s="388"/>
      <c r="G92" s="388"/>
      <c r="H92" s="388"/>
      <c r="I92" s="388"/>
      <c r="J92" s="388"/>
      <c r="K92" s="388"/>
      <c r="L92" s="388"/>
      <c r="M92" s="388"/>
      <c r="N92" s="388"/>
      <c r="O92" s="388"/>
      <c r="P92" s="388"/>
      <c r="Q92" s="388"/>
      <c r="R92" s="388"/>
      <c r="S92" s="388"/>
      <c r="T92" s="388"/>
      <c r="U92" s="388"/>
      <c r="V92" s="388"/>
      <c r="W92" s="388"/>
      <c r="X92" s="388"/>
      <c r="Y92" s="388"/>
      <c r="Z92" s="392"/>
      <c r="AA92" s="393"/>
      <c r="AB92" s="393"/>
      <c r="AC92" s="393"/>
      <c r="AD92" s="394"/>
      <c r="AE92" s="398"/>
      <c r="AF92" s="399"/>
      <c r="AG92" s="399"/>
      <c r="AH92" s="399"/>
      <c r="AI92" s="400"/>
      <c r="AJ92" s="375"/>
      <c r="AK92" s="376"/>
      <c r="AL92" s="376"/>
      <c r="AM92" s="376"/>
      <c r="AN92" s="377"/>
      <c r="AO92" s="375"/>
      <c r="AP92" s="376"/>
      <c r="AQ92" s="376"/>
      <c r="AR92" s="376"/>
      <c r="AS92" s="377"/>
      <c r="AT92" s="375"/>
      <c r="AU92" s="376"/>
      <c r="AV92" s="376"/>
      <c r="AW92" s="376"/>
      <c r="AX92" s="377"/>
      <c r="AY92" s="375"/>
      <c r="AZ92" s="376"/>
      <c r="BA92" s="376"/>
      <c r="BB92" s="376"/>
      <c r="BC92" s="377"/>
      <c r="BD92" s="375"/>
      <c r="BE92" s="376"/>
      <c r="BF92" s="376"/>
      <c r="BG92" s="376"/>
      <c r="BH92" s="377"/>
      <c r="BI92" s="375"/>
      <c r="BJ92" s="376"/>
      <c r="BK92" s="376"/>
      <c r="BL92" s="376"/>
      <c r="BM92" s="377"/>
      <c r="BN92" s="392"/>
      <c r="BO92" s="393"/>
      <c r="BP92" s="393"/>
      <c r="BQ92" s="393"/>
      <c r="BR92" s="1104"/>
      <c r="BS92" s="1092"/>
      <c r="BT92" s="356"/>
      <c r="BU92" s="356"/>
      <c r="BV92" s="356"/>
      <c r="BW92" s="356"/>
      <c r="BX92" s="356"/>
      <c r="BY92" s="356"/>
      <c r="BZ92" s="356"/>
      <c r="CA92" s="356"/>
      <c r="CB92" s="356"/>
      <c r="CC92" s="356"/>
      <c r="CD92" s="356"/>
      <c r="CE92" s="356"/>
      <c r="CF92" s="356"/>
      <c r="CG92" s="356"/>
      <c r="CH92" s="356"/>
      <c r="CI92" s="356"/>
      <c r="CJ92" s="356"/>
      <c r="CK92" s="356"/>
      <c r="CL92" s="356"/>
      <c r="CM92" s="356"/>
      <c r="CN92" s="356"/>
      <c r="CO92" s="356"/>
      <c r="CP92" s="356"/>
      <c r="CQ92" s="356"/>
      <c r="CR92" s="356"/>
      <c r="CS92" s="356"/>
      <c r="CT92" s="356"/>
      <c r="CU92" s="356"/>
      <c r="CV92" s="356"/>
      <c r="CW92" s="356"/>
      <c r="CX92" s="356"/>
      <c r="CY92" s="356"/>
      <c r="CZ92" s="356"/>
      <c r="DA92" s="356"/>
      <c r="DB92" s="356"/>
      <c r="DC92" s="356"/>
      <c r="DD92" s="356"/>
      <c r="DE92" s="356"/>
      <c r="DF92" s="356"/>
      <c r="DG92" s="356"/>
      <c r="DH92" s="356"/>
      <c r="DI92" s="356"/>
      <c r="DJ92" s="356"/>
      <c r="DK92" s="1099"/>
      <c r="DL92" s="1106"/>
      <c r="DM92" s="359"/>
      <c r="DN92" s="359"/>
      <c r="DO92" s="359"/>
      <c r="DP92" s="359"/>
      <c r="DQ92" s="356"/>
      <c r="DR92" s="356"/>
      <c r="DS92" s="356"/>
      <c r="DT92" s="356"/>
      <c r="DU92" s="356"/>
      <c r="DV92" s="356"/>
      <c r="DW92" s="356"/>
      <c r="DX92" s="356"/>
      <c r="DY92" s="356"/>
      <c r="DZ92" s="356"/>
      <c r="EA92" s="356"/>
      <c r="EB92" s="356"/>
      <c r="EC92" s="356"/>
      <c r="ED92" s="356"/>
      <c r="EE92" s="356"/>
      <c r="EF92" s="356"/>
      <c r="EG92" s="356"/>
      <c r="EH92" s="356"/>
      <c r="EI92" s="356"/>
      <c r="EJ92" s="356"/>
      <c r="EK92" s="356"/>
      <c r="EL92" s="356"/>
      <c r="EM92" s="356"/>
      <c r="EN92" s="356"/>
      <c r="EO92" s="356"/>
      <c r="EP92" s="356"/>
      <c r="EQ92" s="356"/>
      <c r="ER92" s="356"/>
      <c r="ES92" s="356"/>
      <c r="ET92" s="356"/>
      <c r="EU92" s="359"/>
      <c r="EV92" s="359"/>
      <c r="EW92" s="359"/>
      <c r="EX92" s="359"/>
      <c r="EY92" s="360"/>
      <c r="EZ92" s="356"/>
      <c r="FA92" s="356"/>
      <c r="FB92" s="356"/>
      <c r="FC92" s="356"/>
      <c r="FD92" s="1099"/>
      <c r="FE92" s="1182"/>
      <c r="FF92" s="1183"/>
      <c r="FG92" s="1183"/>
      <c r="FH92" s="1183"/>
      <c r="FI92" s="1184"/>
    </row>
    <row r="93" spans="1:168" ht="69.95" customHeight="1" x14ac:dyDescent="0.2">
      <c r="A93" s="221"/>
      <c r="B93" s="222"/>
      <c r="C93" s="463" t="s">
        <v>77</v>
      </c>
      <c r="D93" s="463"/>
      <c r="E93" s="463"/>
      <c r="F93" s="463"/>
      <c r="G93" s="463"/>
      <c r="H93" s="463"/>
      <c r="I93" s="463"/>
      <c r="J93" s="463"/>
      <c r="K93" s="463"/>
      <c r="L93" s="463"/>
      <c r="M93" s="463"/>
      <c r="N93" s="463"/>
      <c r="O93" s="463"/>
      <c r="P93" s="463"/>
      <c r="Q93" s="463"/>
      <c r="R93" s="463"/>
      <c r="S93" s="463"/>
      <c r="T93" s="463"/>
      <c r="U93" s="463"/>
      <c r="V93" s="463"/>
      <c r="W93" s="463"/>
      <c r="X93" s="463"/>
      <c r="Y93" s="463"/>
      <c r="Z93" s="408">
        <f>Z64+Z38</f>
        <v>6720</v>
      </c>
      <c r="AA93" s="409"/>
      <c r="AB93" s="409"/>
      <c r="AC93" s="409"/>
      <c r="AD93" s="410"/>
      <c r="AE93" s="469">
        <f>Z93/$Z$97*100</f>
        <v>93.333333333333329</v>
      </c>
      <c r="AF93" s="469"/>
      <c r="AG93" s="469"/>
      <c r="AH93" s="469"/>
      <c r="AI93" s="469"/>
      <c r="AJ93" s="473">
        <f>AJ64+AJ38</f>
        <v>2588</v>
      </c>
      <c r="AK93" s="468"/>
      <c r="AL93" s="468"/>
      <c r="AM93" s="468"/>
      <c r="AN93" s="468"/>
      <c r="AO93" s="473">
        <f>AO64+AO38</f>
        <v>1116</v>
      </c>
      <c r="AP93" s="468"/>
      <c r="AQ93" s="468"/>
      <c r="AR93" s="468"/>
      <c r="AS93" s="468"/>
      <c r="AT93" s="473">
        <f>AT64+AT38</f>
        <v>1396</v>
      </c>
      <c r="AU93" s="468"/>
      <c r="AV93" s="468"/>
      <c r="AW93" s="468"/>
      <c r="AX93" s="468"/>
      <c r="AY93" s="473">
        <f>AY64+AY38</f>
        <v>76</v>
      </c>
      <c r="AZ93" s="468"/>
      <c r="BA93" s="468"/>
      <c r="BB93" s="468"/>
      <c r="BC93" s="468"/>
      <c r="BD93" s="473">
        <f>BD64+BD38</f>
        <v>0</v>
      </c>
      <c r="BE93" s="468"/>
      <c r="BF93" s="468"/>
      <c r="BG93" s="468"/>
      <c r="BH93" s="468"/>
      <c r="BI93" s="473">
        <f>BI64+BI38</f>
        <v>0</v>
      </c>
      <c r="BJ93" s="468"/>
      <c r="BK93" s="468"/>
      <c r="BL93" s="468"/>
      <c r="BM93" s="468"/>
      <c r="BN93" s="556">
        <f>BN64+BN38</f>
        <v>4132</v>
      </c>
      <c r="BO93" s="550"/>
      <c r="BP93" s="550"/>
      <c r="BQ93" s="550"/>
      <c r="BR93" s="1154"/>
      <c r="BS93" s="1134">
        <f>BS64+BS38</f>
        <v>20</v>
      </c>
      <c r="BT93" s="368"/>
      <c r="BU93" s="368"/>
      <c r="BV93" s="368"/>
      <c r="BW93" s="368"/>
      <c r="BX93" s="368">
        <f>BX64+BX38</f>
        <v>20</v>
      </c>
      <c r="BY93" s="368"/>
      <c r="BZ93" s="368"/>
      <c r="CA93" s="368"/>
      <c r="CB93" s="368"/>
      <c r="CC93" s="368">
        <f>CC64+CC38</f>
        <v>20</v>
      </c>
      <c r="CD93" s="368"/>
      <c r="CE93" s="368"/>
      <c r="CF93" s="368"/>
      <c r="CG93" s="368"/>
      <c r="CH93" s="368">
        <f>CH64+CH38</f>
        <v>20</v>
      </c>
      <c r="CI93" s="368"/>
      <c r="CJ93" s="368"/>
      <c r="CK93" s="368"/>
      <c r="CL93" s="368"/>
      <c r="CM93" s="368">
        <f>CM64+CM38</f>
        <v>20</v>
      </c>
      <c r="CN93" s="368"/>
      <c r="CO93" s="368"/>
      <c r="CP93" s="368"/>
      <c r="CQ93" s="368"/>
      <c r="CR93" s="368">
        <f>CR64+CR38</f>
        <v>21</v>
      </c>
      <c r="CS93" s="368"/>
      <c r="CT93" s="368"/>
      <c r="CU93" s="368"/>
      <c r="CV93" s="368"/>
      <c r="CW93" s="368">
        <f>CW64+CW38</f>
        <v>19</v>
      </c>
      <c r="CX93" s="368"/>
      <c r="CY93" s="368"/>
      <c r="CZ93" s="368"/>
      <c r="DA93" s="368"/>
      <c r="DB93" s="368">
        <f>DB64+DB38</f>
        <v>20</v>
      </c>
      <c r="DC93" s="368"/>
      <c r="DD93" s="368"/>
      <c r="DE93" s="368"/>
      <c r="DF93" s="368"/>
      <c r="DG93" s="473">
        <f>DG64+DG38</f>
        <v>19</v>
      </c>
      <c r="DH93" s="468"/>
      <c r="DI93" s="468"/>
      <c r="DJ93" s="468"/>
      <c r="DK93" s="1131"/>
      <c r="DL93" s="1134">
        <f>DL64+DL38</f>
        <v>30</v>
      </c>
      <c r="DM93" s="368"/>
      <c r="DN93" s="368"/>
      <c r="DO93" s="368"/>
      <c r="DP93" s="368"/>
      <c r="DQ93" s="368">
        <f>DQ64+DQ38</f>
        <v>28</v>
      </c>
      <c r="DR93" s="368"/>
      <c r="DS93" s="368"/>
      <c r="DT93" s="368"/>
      <c r="DU93" s="368"/>
      <c r="DV93" s="368">
        <f>DV64+DV38</f>
        <v>23</v>
      </c>
      <c r="DW93" s="368"/>
      <c r="DX93" s="368"/>
      <c r="DY93" s="368"/>
      <c r="DZ93" s="368"/>
      <c r="EA93" s="368">
        <f>EA64+EA38</f>
        <v>24</v>
      </c>
      <c r="EB93" s="368"/>
      <c r="EC93" s="368"/>
      <c r="ED93" s="368"/>
      <c r="EE93" s="368"/>
      <c r="EF93" s="368">
        <f>EF64+EF38</f>
        <v>22</v>
      </c>
      <c r="EG93" s="368"/>
      <c r="EH93" s="368"/>
      <c r="EI93" s="368"/>
      <c r="EJ93" s="368"/>
      <c r="EK93" s="368">
        <f>EK64+EK38</f>
        <v>24</v>
      </c>
      <c r="EL93" s="368"/>
      <c r="EM93" s="368"/>
      <c r="EN93" s="368"/>
      <c r="EO93" s="368"/>
      <c r="EP93" s="368">
        <f>EP64+EP38</f>
        <v>24</v>
      </c>
      <c r="EQ93" s="368"/>
      <c r="ER93" s="368"/>
      <c r="ES93" s="368"/>
      <c r="ET93" s="368"/>
      <c r="EU93" s="368">
        <f>EU64+EU38</f>
        <v>25</v>
      </c>
      <c r="EV93" s="368"/>
      <c r="EW93" s="368"/>
      <c r="EX93" s="368"/>
      <c r="EY93" s="368"/>
      <c r="EZ93" s="473">
        <f>EZ64+EZ38</f>
        <v>24</v>
      </c>
      <c r="FA93" s="468"/>
      <c r="FB93" s="468"/>
      <c r="FC93" s="468"/>
      <c r="FD93" s="1131"/>
      <c r="FE93" s="1130">
        <f>FE64+FE38</f>
        <v>224</v>
      </c>
      <c r="FF93" s="540"/>
      <c r="FG93" s="540"/>
      <c r="FH93" s="473"/>
      <c r="FI93" s="1131"/>
    </row>
    <row r="94" spans="1:168" ht="69.95" customHeight="1" x14ac:dyDescent="0.2">
      <c r="A94" s="219"/>
      <c r="B94" s="193"/>
      <c r="C94" s="541" t="s">
        <v>161</v>
      </c>
      <c r="D94" s="541"/>
      <c r="E94" s="541"/>
      <c r="F94" s="541"/>
      <c r="G94" s="541"/>
      <c r="H94" s="541"/>
      <c r="I94" s="541"/>
      <c r="J94" s="541"/>
      <c r="K94" s="541"/>
      <c r="L94" s="541"/>
      <c r="M94" s="541"/>
      <c r="N94" s="541"/>
      <c r="O94" s="541"/>
      <c r="P94" s="541"/>
      <c r="Q94" s="541"/>
      <c r="R94" s="541"/>
      <c r="S94" s="541"/>
      <c r="T94" s="541"/>
      <c r="U94" s="541"/>
      <c r="V94" s="541"/>
      <c r="W94" s="541"/>
      <c r="X94" s="541"/>
      <c r="Y94" s="541"/>
      <c r="Z94" s="466">
        <f>FE94*30</f>
        <v>480</v>
      </c>
      <c r="AA94" s="466"/>
      <c r="AB94" s="466"/>
      <c r="AC94" s="466"/>
      <c r="AD94" s="466"/>
      <c r="AE94" s="467"/>
      <c r="AF94" s="467"/>
      <c r="AG94" s="467"/>
      <c r="AH94" s="467"/>
      <c r="AI94" s="467"/>
      <c r="AJ94" s="437">
        <f>AO94+AT94+AY94+BD94+BI94</f>
        <v>0</v>
      </c>
      <c r="AK94" s="437"/>
      <c r="AL94" s="437"/>
      <c r="AM94" s="437"/>
      <c r="AN94" s="437"/>
      <c r="AO94" s="474"/>
      <c r="AP94" s="475"/>
      <c r="AQ94" s="475"/>
      <c r="AR94" s="475"/>
      <c r="AS94" s="476"/>
      <c r="AT94" s="437"/>
      <c r="AU94" s="437"/>
      <c r="AV94" s="437"/>
      <c r="AW94" s="437"/>
      <c r="AX94" s="437"/>
      <c r="AY94" s="437"/>
      <c r="AZ94" s="437"/>
      <c r="BA94" s="437"/>
      <c r="BB94" s="437"/>
      <c r="BC94" s="437"/>
      <c r="BD94" s="437"/>
      <c r="BE94" s="437"/>
      <c r="BF94" s="437"/>
      <c r="BG94" s="437"/>
      <c r="BH94" s="437"/>
      <c r="BI94" s="437"/>
      <c r="BJ94" s="437"/>
      <c r="BK94" s="437"/>
      <c r="BL94" s="437"/>
      <c r="BM94" s="437"/>
      <c r="BN94" s="440">
        <f>Z94-AJ94</f>
        <v>480</v>
      </c>
      <c r="BO94" s="449"/>
      <c r="BP94" s="449"/>
      <c r="BQ94" s="449"/>
      <c r="BR94" s="1155"/>
      <c r="BS94" s="1107"/>
      <c r="BT94" s="483"/>
      <c r="BU94" s="483"/>
      <c r="BV94" s="483"/>
      <c r="BW94" s="483"/>
      <c r="BX94" s="483"/>
      <c r="BY94" s="483"/>
      <c r="BZ94" s="483"/>
      <c r="CA94" s="483"/>
      <c r="CB94" s="483"/>
      <c r="CC94" s="483"/>
      <c r="CD94" s="483"/>
      <c r="CE94" s="483"/>
      <c r="CF94" s="483"/>
      <c r="CG94" s="483"/>
      <c r="CH94" s="483"/>
      <c r="CI94" s="483"/>
      <c r="CJ94" s="483"/>
      <c r="CK94" s="483"/>
      <c r="CL94" s="483"/>
      <c r="CM94" s="483"/>
      <c r="CN94" s="483"/>
      <c r="CO94" s="483"/>
      <c r="CP94" s="483"/>
      <c r="CQ94" s="483"/>
      <c r="CR94" s="483"/>
      <c r="CS94" s="483"/>
      <c r="CT94" s="483"/>
      <c r="CU94" s="483"/>
      <c r="CV94" s="483"/>
      <c r="CW94" s="483"/>
      <c r="CX94" s="483"/>
      <c r="CY94" s="483"/>
      <c r="CZ94" s="483"/>
      <c r="DA94" s="483"/>
      <c r="DB94" s="483"/>
      <c r="DC94" s="483"/>
      <c r="DD94" s="483"/>
      <c r="DE94" s="483"/>
      <c r="DF94" s="483"/>
      <c r="DG94" s="483"/>
      <c r="DH94" s="483"/>
      <c r="DI94" s="483"/>
      <c r="DJ94" s="483"/>
      <c r="DK94" s="1108"/>
      <c r="DL94" s="1107"/>
      <c r="DM94" s="483"/>
      <c r="DN94" s="483"/>
      <c r="DO94" s="483"/>
      <c r="DP94" s="483"/>
      <c r="DQ94" s="483">
        <v>2</v>
      </c>
      <c r="DR94" s="483"/>
      <c r="DS94" s="483"/>
      <c r="DT94" s="483"/>
      <c r="DU94" s="483"/>
      <c r="DV94" s="483"/>
      <c r="DW94" s="483"/>
      <c r="DX94" s="483"/>
      <c r="DY94" s="483"/>
      <c r="DZ94" s="483"/>
      <c r="EA94" s="483">
        <v>4</v>
      </c>
      <c r="EB94" s="483"/>
      <c r="EC94" s="483"/>
      <c r="ED94" s="483"/>
      <c r="EE94" s="483"/>
      <c r="EF94" s="483"/>
      <c r="EG94" s="483"/>
      <c r="EH94" s="483"/>
      <c r="EI94" s="483"/>
      <c r="EJ94" s="483"/>
      <c r="EK94" s="483">
        <v>4</v>
      </c>
      <c r="EL94" s="483"/>
      <c r="EM94" s="483"/>
      <c r="EN94" s="483"/>
      <c r="EO94" s="483"/>
      <c r="EP94" s="483"/>
      <c r="EQ94" s="483"/>
      <c r="ER94" s="483"/>
      <c r="ES94" s="483"/>
      <c r="ET94" s="483"/>
      <c r="EU94" s="483">
        <v>3</v>
      </c>
      <c r="EV94" s="483"/>
      <c r="EW94" s="483"/>
      <c r="EX94" s="483"/>
      <c r="EY94" s="483"/>
      <c r="EZ94" s="483">
        <v>3</v>
      </c>
      <c r="FA94" s="483"/>
      <c r="FB94" s="483"/>
      <c r="FC94" s="483"/>
      <c r="FD94" s="1108"/>
      <c r="FE94" s="1052">
        <f>DL94+DQ94+DV94+EA94+EF94+EP94+EK94+EU94+EZ94</f>
        <v>16</v>
      </c>
      <c r="FF94" s="478"/>
      <c r="FG94" s="478"/>
      <c r="FH94" s="479"/>
      <c r="FI94" s="1053"/>
      <c r="FJ94" s="171" t="s">
        <v>263</v>
      </c>
    </row>
    <row r="95" spans="1:168" ht="69.95" customHeight="1" x14ac:dyDescent="0.2">
      <c r="A95" s="219"/>
      <c r="B95" s="193"/>
      <c r="C95" s="541" t="s">
        <v>17</v>
      </c>
      <c r="D95" s="541"/>
      <c r="E95" s="541"/>
      <c r="F95" s="541"/>
      <c r="G95" s="541"/>
      <c r="H95" s="541"/>
      <c r="I95" s="541"/>
      <c r="J95" s="541"/>
      <c r="K95" s="541"/>
      <c r="L95" s="541"/>
      <c r="M95" s="541"/>
      <c r="N95" s="541"/>
      <c r="O95" s="541"/>
      <c r="P95" s="541"/>
      <c r="Q95" s="541"/>
      <c r="R95" s="541"/>
      <c r="S95" s="541"/>
      <c r="T95" s="541"/>
      <c r="U95" s="541"/>
      <c r="V95" s="541"/>
      <c r="W95" s="541"/>
      <c r="X95" s="541"/>
      <c r="Y95" s="541"/>
      <c r="Z95" s="466">
        <f>FE95*30</f>
        <v>0</v>
      </c>
      <c r="AA95" s="466"/>
      <c r="AB95" s="466"/>
      <c r="AC95" s="466"/>
      <c r="AD95" s="466"/>
      <c r="AE95" s="531"/>
      <c r="AF95" s="531"/>
      <c r="AG95" s="531"/>
      <c r="AH95" s="531"/>
      <c r="AI95" s="483"/>
      <c r="AJ95" s="437">
        <f>AO95+AT95+AY95+BD95+BI95</f>
        <v>0</v>
      </c>
      <c r="AK95" s="437"/>
      <c r="AL95" s="437"/>
      <c r="AM95" s="437"/>
      <c r="AN95" s="437"/>
      <c r="AO95" s="474"/>
      <c r="AP95" s="475"/>
      <c r="AQ95" s="475"/>
      <c r="AR95" s="475"/>
      <c r="AS95" s="476"/>
      <c r="AT95" s="437"/>
      <c r="AU95" s="437"/>
      <c r="AV95" s="437"/>
      <c r="AW95" s="437"/>
      <c r="AX95" s="437"/>
      <c r="AY95" s="437"/>
      <c r="AZ95" s="437"/>
      <c r="BA95" s="437"/>
      <c r="BB95" s="437"/>
      <c r="BC95" s="437"/>
      <c r="BD95" s="437"/>
      <c r="BE95" s="437"/>
      <c r="BF95" s="437"/>
      <c r="BG95" s="437"/>
      <c r="BH95" s="437"/>
      <c r="BI95" s="437"/>
      <c r="BJ95" s="437"/>
      <c r="BK95" s="437"/>
      <c r="BL95" s="437"/>
      <c r="BM95" s="437"/>
      <c r="BN95" s="440">
        <f>Z95-AJ95</f>
        <v>0</v>
      </c>
      <c r="BO95" s="449"/>
      <c r="BP95" s="449"/>
      <c r="BQ95" s="449"/>
      <c r="BR95" s="1155"/>
      <c r="BS95" s="1107"/>
      <c r="BT95" s="483"/>
      <c r="BU95" s="483"/>
      <c r="BV95" s="483"/>
      <c r="BW95" s="483"/>
      <c r="BX95" s="483"/>
      <c r="BY95" s="483"/>
      <c r="BZ95" s="483"/>
      <c r="CA95" s="483"/>
      <c r="CB95" s="483"/>
      <c r="CC95" s="483"/>
      <c r="CD95" s="483"/>
      <c r="CE95" s="483"/>
      <c r="CF95" s="483"/>
      <c r="CG95" s="483"/>
      <c r="CH95" s="483"/>
      <c r="CI95" s="483"/>
      <c r="CJ95" s="483"/>
      <c r="CK95" s="483"/>
      <c r="CL95" s="483"/>
      <c r="CM95" s="483"/>
      <c r="CN95" s="483"/>
      <c r="CO95" s="483"/>
      <c r="CP95" s="483"/>
      <c r="CQ95" s="483"/>
      <c r="CR95" s="483"/>
      <c r="CS95" s="483"/>
      <c r="CT95" s="483"/>
      <c r="CU95" s="483"/>
      <c r="CV95" s="483"/>
      <c r="CW95" s="483"/>
      <c r="CX95" s="483"/>
      <c r="CY95" s="483"/>
      <c r="CZ95" s="483"/>
      <c r="DA95" s="483"/>
      <c r="DB95" s="483"/>
      <c r="DC95" s="483"/>
      <c r="DD95" s="483"/>
      <c r="DE95" s="483"/>
      <c r="DF95" s="483"/>
      <c r="DG95" s="483"/>
      <c r="DH95" s="483"/>
      <c r="DI95" s="483"/>
      <c r="DJ95" s="483"/>
      <c r="DK95" s="1108"/>
      <c r="DL95" s="1107"/>
      <c r="DM95" s="483"/>
      <c r="DN95" s="483"/>
      <c r="DO95" s="483"/>
      <c r="DP95" s="483"/>
      <c r="DQ95" s="483"/>
      <c r="DR95" s="483"/>
      <c r="DS95" s="483"/>
      <c r="DT95" s="483"/>
      <c r="DU95" s="483"/>
      <c r="DV95" s="483"/>
      <c r="DW95" s="483"/>
      <c r="DX95" s="483"/>
      <c r="DY95" s="483"/>
      <c r="DZ95" s="483"/>
      <c r="EA95" s="483"/>
      <c r="EB95" s="483"/>
      <c r="EC95" s="483"/>
      <c r="ED95" s="483"/>
      <c r="EE95" s="483"/>
      <c r="EF95" s="483"/>
      <c r="EG95" s="483"/>
      <c r="EH95" s="483"/>
      <c r="EI95" s="483"/>
      <c r="EJ95" s="483"/>
      <c r="EK95" s="483"/>
      <c r="EL95" s="483"/>
      <c r="EM95" s="483"/>
      <c r="EN95" s="483"/>
      <c r="EO95" s="483"/>
      <c r="EP95" s="483"/>
      <c r="EQ95" s="483"/>
      <c r="ER95" s="483"/>
      <c r="ES95" s="483"/>
      <c r="ET95" s="483"/>
      <c r="EU95" s="483"/>
      <c r="EV95" s="483"/>
      <c r="EW95" s="483"/>
      <c r="EX95" s="483"/>
      <c r="EY95" s="483"/>
      <c r="EZ95" s="483"/>
      <c r="FA95" s="483"/>
      <c r="FB95" s="483"/>
      <c r="FC95" s="483"/>
      <c r="FD95" s="1108"/>
      <c r="FE95" s="1052">
        <f>DL95+DQ95+DV95+EA95+EF95+EP95+EK95+EU95+EZ95</f>
        <v>0</v>
      </c>
      <c r="FF95" s="478"/>
      <c r="FG95" s="478"/>
      <c r="FH95" s="479"/>
      <c r="FI95" s="1053"/>
    </row>
    <row r="96" spans="1:168" ht="69.95" customHeight="1" x14ac:dyDescent="0.2">
      <c r="A96" s="221"/>
      <c r="B96" s="222"/>
      <c r="C96" s="463" t="s">
        <v>77</v>
      </c>
      <c r="D96" s="463"/>
      <c r="E96" s="463"/>
      <c r="F96" s="463"/>
      <c r="G96" s="463"/>
      <c r="H96" s="463"/>
      <c r="I96" s="463"/>
      <c r="J96" s="463"/>
      <c r="K96" s="463"/>
      <c r="L96" s="463"/>
      <c r="M96" s="463"/>
      <c r="N96" s="463"/>
      <c r="O96" s="463"/>
      <c r="P96" s="463"/>
      <c r="Q96" s="463"/>
      <c r="R96" s="463"/>
      <c r="S96" s="463"/>
      <c r="T96" s="463"/>
      <c r="U96" s="463"/>
      <c r="V96" s="463"/>
      <c r="W96" s="463"/>
      <c r="X96" s="463"/>
      <c r="Y96" s="463"/>
      <c r="Z96" s="468">
        <f>Z94+Z95</f>
        <v>480</v>
      </c>
      <c r="AA96" s="468"/>
      <c r="AB96" s="468"/>
      <c r="AC96" s="468"/>
      <c r="AD96" s="468"/>
      <c r="AE96" s="469">
        <f>Z96/$Z$97*100</f>
        <v>6.666666666666667</v>
      </c>
      <c r="AF96" s="469"/>
      <c r="AG96" s="469"/>
      <c r="AH96" s="469"/>
      <c r="AI96" s="469"/>
      <c r="AJ96" s="468">
        <f>AJ94+AJ95</f>
        <v>0</v>
      </c>
      <c r="AK96" s="468"/>
      <c r="AL96" s="468"/>
      <c r="AM96" s="468"/>
      <c r="AN96" s="468"/>
      <c r="AO96" s="468">
        <f>AO94+AO95</f>
        <v>0</v>
      </c>
      <c r="AP96" s="468"/>
      <c r="AQ96" s="468"/>
      <c r="AR96" s="468"/>
      <c r="AS96" s="468"/>
      <c r="AT96" s="468">
        <f>AT94+AT95</f>
        <v>0</v>
      </c>
      <c r="AU96" s="468"/>
      <c r="AV96" s="468"/>
      <c r="AW96" s="468"/>
      <c r="AX96" s="468"/>
      <c r="AY96" s="468">
        <f>AY94+AY95</f>
        <v>0</v>
      </c>
      <c r="AZ96" s="468"/>
      <c r="BA96" s="468"/>
      <c r="BB96" s="468"/>
      <c r="BC96" s="468"/>
      <c r="BD96" s="468">
        <f>BD94+BD95</f>
        <v>0</v>
      </c>
      <c r="BE96" s="468"/>
      <c r="BF96" s="468"/>
      <c r="BG96" s="468"/>
      <c r="BH96" s="468"/>
      <c r="BI96" s="468">
        <f>BI94+BI95</f>
        <v>0</v>
      </c>
      <c r="BJ96" s="468"/>
      <c r="BK96" s="468"/>
      <c r="BL96" s="468"/>
      <c r="BM96" s="468"/>
      <c r="BN96" s="549">
        <f>BN94+BN95</f>
        <v>480</v>
      </c>
      <c r="BO96" s="550"/>
      <c r="BP96" s="550"/>
      <c r="BQ96" s="550"/>
      <c r="BR96" s="1154"/>
      <c r="BS96" s="1134">
        <f>BS94+BS95</f>
        <v>0</v>
      </c>
      <c r="BT96" s="368"/>
      <c r="BU96" s="368"/>
      <c r="BV96" s="368"/>
      <c r="BW96" s="368"/>
      <c r="BX96" s="368">
        <f>BX94+BX95</f>
        <v>0</v>
      </c>
      <c r="BY96" s="368"/>
      <c r="BZ96" s="368"/>
      <c r="CA96" s="368"/>
      <c r="CB96" s="368"/>
      <c r="CC96" s="368">
        <f>CC94+CC95</f>
        <v>0</v>
      </c>
      <c r="CD96" s="368"/>
      <c r="CE96" s="368"/>
      <c r="CF96" s="368"/>
      <c r="CG96" s="368"/>
      <c r="CH96" s="368">
        <f>CH94+CH95</f>
        <v>0</v>
      </c>
      <c r="CI96" s="368"/>
      <c r="CJ96" s="368"/>
      <c r="CK96" s="368"/>
      <c r="CL96" s="368"/>
      <c r="CM96" s="368">
        <f>CM94+CM95</f>
        <v>0</v>
      </c>
      <c r="CN96" s="368"/>
      <c r="CO96" s="368"/>
      <c r="CP96" s="368"/>
      <c r="CQ96" s="368"/>
      <c r="CR96" s="368">
        <f>CR94+CR95</f>
        <v>0</v>
      </c>
      <c r="CS96" s="368"/>
      <c r="CT96" s="368"/>
      <c r="CU96" s="368"/>
      <c r="CV96" s="368"/>
      <c r="CW96" s="368">
        <f>CW94+CW95</f>
        <v>0</v>
      </c>
      <c r="CX96" s="368"/>
      <c r="CY96" s="368"/>
      <c r="CZ96" s="368"/>
      <c r="DA96" s="368"/>
      <c r="DB96" s="368">
        <f>DB94+DB95</f>
        <v>0</v>
      </c>
      <c r="DC96" s="368"/>
      <c r="DD96" s="368"/>
      <c r="DE96" s="368"/>
      <c r="DF96" s="368"/>
      <c r="DG96" s="368">
        <f>DG94+DG95</f>
        <v>0</v>
      </c>
      <c r="DH96" s="368"/>
      <c r="DI96" s="368"/>
      <c r="DJ96" s="368"/>
      <c r="DK96" s="1129"/>
      <c r="DL96" s="1134">
        <f>DL94+DL95</f>
        <v>0</v>
      </c>
      <c r="DM96" s="368"/>
      <c r="DN96" s="368"/>
      <c r="DO96" s="368"/>
      <c r="DP96" s="368"/>
      <c r="DQ96" s="368">
        <f>DQ94+DQ95</f>
        <v>2</v>
      </c>
      <c r="DR96" s="368"/>
      <c r="DS96" s="368"/>
      <c r="DT96" s="368"/>
      <c r="DU96" s="368"/>
      <c r="DV96" s="368">
        <f>DV94+DV95</f>
        <v>0</v>
      </c>
      <c r="DW96" s="368"/>
      <c r="DX96" s="368"/>
      <c r="DY96" s="368"/>
      <c r="DZ96" s="368"/>
      <c r="EA96" s="368">
        <f>EA94+EA95</f>
        <v>4</v>
      </c>
      <c r="EB96" s="368"/>
      <c r="EC96" s="368"/>
      <c r="ED96" s="368"/>
      <c r="EE96" s="368"/>
      <c r="EF96" s="368">
        <f>EF94+EF95</f>
        <v>0</v>
      </c>
      <c r="EG96" s="368"/>
      <c r="EH96" s="368"/>
      <c r="EI96" s="368"/>
      <c r="EJ96" s="368"/>
      <c r="EK96" s="368">
        <f>EK94+EK95</f>
        <v>4</v>
      </c>
      <c r="EL96" s="368"/>
      <c r="EM96" s="368"/>
      <c r="EN96" s="368"/>
      <c r="EO96" s="368"/>
      <c r="EP96" s="368">
        <f>EP94+EP95</f>
        <v>0</v>
      </c>
      <c r="EQ96" s="368"/>
      <c r="ER96" s="368"/>
      <c r="ES96" s="368"/>
      <c r="ET96" s="368"/>
      <c r="EU96" s="368">
        <f>EU94+EU95</f>
        <v>3</v>
      </c>
      <c r="EV96" s="368"/>
      <c r="EW96" s="368"/>
      <c r="EX96" s="368"/>
      <c r="EY96" s="368"/>
      <c r="EZ96" s="368">
        <f>EZ94+EZ95</f>
        <v>3</v>
      </c>
      <c r="FA96" s="368"/>
      <c r="FB96" s="368"/>
      <c r="FC96" s="368"/>
      <c r="FD96" s="1129"/>
      <c r="FE96" s="1130">
        <f>FE94+FE95</f>
        <v>16</v>
      </c>
      <c r="FF96" s="540"/>
      <c r="FG96" s="540"/>
      <c r="FH96" s="473"/>
      <c r="FI96" s="1131"/>
    </row>
    <row r="97" spans="1:168" ht="69.95" customHeight="1" thickBot="1" x14ac:dyDescent="0.25">
      <c r="A97" s="223"/>
      <c r="B97" s="224"/>
      <c r="C97" s="1169" t="s">
        <v>22</v>
      </c>
      <c r="D97" s="1169"/>
      <c r="E97" s="1169"/>
      <c r="F97" s="1169"/>
      <c r="G97" s="1169"/>
      <c r="H97" s="1169"/>
      <c r="I97" s="1169"/>
      <c r="J97" s="1169"/>
      <c r="K97" s="1169"/>
      <c r="L97" s="1169"/>
      <c r="M97" s="1169"/>
      <c r="N97" s="1169"/>
      <c r="O97" s="1169"/>
      <c r="P97" s="1169"/>
      <c r="Q97" s="1169"/>
      <c r="R97" s="1169"/>
      <c r="S97" s="1169"/>
      <c r="T97" s="1169"/>
      <c r="U97" s="1169"/>
      <c r="V97" s="1169"/>
      <c r="W97" s="1169"/>
      <c r="X97" s="1169"/>
      <c r="Y97" s="1169"/>
      <c r="Z97" s="1160">
        <f>Z96+Z93</f>
        <v>7200</v>
      </c>
      <c r="AA97" s="1163"/>
      <c r="AB97" s="1163"/>
      <c r="AC97" s="1163"/>
      <c r="AD97" s="1163"/>
      <c r="AE97" s="1170">
        <f>AE93+AE96</f>
        <v>100</v>
      </c>
      <c r="AF97" s="1170"/>
      <c r="AG97" s="1170"/>
      <c r="AH97" s="1170"/>
      <c r="AI97" s="1170"/>
      <c r="AJ97" s="1160">
        <f>AJ93+AJ96</f>
        <v>2588</v>
      </c>
      <c r="AK97" s="1163"/>
      <c r="AL97" s="1163"/>
      <c r="AM97" s="1163"/>
      <c r="AN97" s="1163"/>
      <c r="AO97" s="1160">
        <f>AO93+AO96</f>
        <v>1116</v>
      </c>
      <c r="AP97" s="1163"/>
      <c r="AQ97" s="1163"/>
      <c r="AR97" s="1163"/>
      <c r="AS97" s="1163"/>
      <c r="AT97" s="1160">
        <f>AT93+AT96</f>
        <v>1396</v>
      </c>
      <c r="AU97" s="1163"/>
      <c r="AV97" s="1163"/>
      <c r="AW97" s="1163"/>
      <c r="AX97" s="1163"/>
      <c r="AY97" s="1160">
        <f>AY93+AY96</f>
        <v>76</v>
      </c>
      <c r="AZ97" s="1163"/>
      <c r="BA97" s="1163"/>
      <c r="BB97" s="1163"/>
      <c r="BC97" s="1163"/>
      <c r="BD97" s="1160">
        <f>BD93+BD96</f>
        <v>0</v>
      </c>
      <c r="BE97" s="1163"/>
      <c r="BF97" s="1163"/>
      <c r="BG97" s="1163"/>
      <c r="BH97" s="1163"/>
      <c r="BI97" s="1160">
        <f>BI93+BI96</f>
        <v>0</v>
      </c>
      <c r="BJ97" s="1163"/>
      <c r="BK97" s="1163"/>
      <c r="BL97" s="1163"/>
      <c r="BM97" s="1163"/>
      <c r="BN97" s="1164">
        <f>BN93+BN96</f>
        <v>4612</v>
      </c>
      <c r="BO97" s="1165"/>
      <c r="BP97" s="1165"/>
      <c r="BQ97" s="1165"/>
      <c r="BR97" s="1166"/>
      <c r="BS97" s="1162">
        <f>BS96+BS93</f>
        <v>20</v>
      </c>
      <c r="BT97" s="1156"/>
      <c r="BU97" s="1156"/>
      <c r="BV97" s="1156"/>
      <c r="BW97" s="1156"/>
      <c r="BX97" s="1156">
        <f>BX96+BX93</f>
        <v>20</v>
      </c>
      <c r="BY97" s="1156"/>
      <c r="BZ97" s="1156"/>
      <c r="CA97" s="1156"/>
      <c r="CB97" s="1156"/>
      <c r="CC97" s="1156">
        <f>CC96+CC93</f>
        <v>20</v>
      </c>
      <c r="CD97" s="1156"/>
      <c r="CE97" s="1156"/>
      <c r="CF97" s="1156"/>
      <c r="CG97" s="1156"/>
      <c r="CH97" s="1156">
        <f>CH96+CH93</f>
        <v>20</v>
      </c>
      <c r="CI97" s="1156"/>
      <c r="CJ97" s="1156"/>
      <c r="CK97" s="1156"/>
      <c r="CL97" s="1156"/>
      <c r="CM97" s="1156">
        <f>CM96+CM93</f>
        <v>20</v>
      </c>
      <c r="CN97" s="1156"/>
      <c r="CO97" s="1156"/>
      <c r="CP97" s="1156"/>
      <c r="CQ97" s="1156"/>
      <c r="CR97" s="1156">
        <f>CR96+CR93</f>
        <v>21</v>
      </c>
      <c r="CS97" s="1156"/>
      <c r="CT97" s="1156"/>
      <c r="CU97" s="1156"/>
      <c r="CV97" s="1156"/>
      <c r="CW97" s="1156">
        <f>CW96+CW93</f>
        <v>19</v>
      </c>
      <c r="CX97" s="1156"/>
      <c r="CY97" s="1156"/>
      <c r="CZ97" s="1156"/>
      <c r="DA97" s="1156"/>
      <c r="DB97" s="1156">
        <f>DB96+DB93</f>
        <v>20</v>
      </c>
      <c r="DC97" s="1156"/>
      <c r="DD97" s="1156"/>
      <c r="DE97" s="1156"/>
      <c r="DF97" s="1156"/>
      <c r="DG97" s="1156">
        <f>DG96+DG93</f>
        <v>19</v>
      </c>
      <c r="DH97" s="1156"/>
      <c r="DI97" s="1156"/>
      <c r="DJ97" s="1156"/>
      <c r="DK97" s="1157"/>
      <c r="DL97" s="1162">
        <f>DL96+DL93</f>
        <v>30</v>
      </c>
      <c r="DM97" s="1156"/>
      <c r="DN97" s="1156"/>
      <c r="DO97" s="1156"/>
      <c r="DP97" s="1156"/>
      <c r="DQ97" s="1156">
        <f>DQ96+DQ93</f>
        <v>30</v>
      </c>
      <c r="DR97" s="1156"/>
      <c r="DS97" s="1156"/>
      <c r="DT97" s="1156"/>
      <c r="DU97" s="1156"/>
      <c r="DV97" s="1156">
        <f>DV96+DV93</f>
        <v>23</v>
      </c>
      <c r="DW97" s="1156"/>
      <c r="DX97" s="1156"/>
      <c r="DY97" s="1156"/>
      <c r="DZ97" s="1156"/>
      <c r="EA97" s="1156">
        <f>EA96+EA93</f>
        <v>28</v>
      </c>
      <c r="EB97" s="1156"/>
      <c r="EC97" s="1156"/>
      <c r="ED97" s="1156"/>
      <c r="EE97" s="1156"/>
      <c r="EF97" s="1156">
        <f>EF96+EF93</f>
        <v>22</v>
      </c>
      <c r="EG97" s="1156"/>
      <c r="EH97" s="1156"/>
      <c r="EI97" s="1156"/>
      <c r="EJ97" s="1156"/>
      <c r="EK97" s="1156">
        <f>EK96+EK93</f>
        <v>28</v>
      </c>
      <c r="EL97" s="1156"/>
      <c r="EM97" s="1156"/>
      <c r="EN97" s="1156"/>
      <c r="EO97" s="1156"/>
      <c r="EP97" s="1156">
        <f>EP96+EP93</f>
        <v>24</v>
      </c>
      <c r="EQ97" s="1156"/>
      <c r="ER97" s="1156"/>
      <c r="ES97" s="1156"/>
      <c r="ET97" s="1156"/>
      <c r="EU97" s="1156">
        <f>EU96+EU93</f>
        <v>28</v>
      </c>
      <c r="EV97" s="1156"/>
      <c r="EW97" s="1156"/>
      <c r="EX97" s="1156"/>
      <c r="EY97" s="1156"/>
      <c r="EZ97" s="1156">
        <f>EZ96+EZ93</f>
        <v>27</v>
      </c>
      <c r="FA97" s="1156"/>
      <c r="FB97" s="1156"/>
      <c r="FC97" s="1156"/>
      <c r="FD97" s="1157"/>
      <c r="FE97" s="1158">
        <f>FE96+FE93</f>
        <v>240</v>
      </c>
      <c r="FF97" s="1159"/>
      <c r="FG97" s="1159"/>
      <c r="FH97" s="1160"/>
      <c r="FI97" s="1161"/>
    </row>
    <row r="98" spans="1:168" s="120" customFormat="1" ht="61.5" customHeight="1" thickTop="1" x14ac:dyDescent="0.2">
      <c r="A98" s="112"/>
      <c r="B98" s="113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5"/>
      <c r="AA98" s="116"/>
      <c r="AB98" s="116"/>
      <c r="AC98" s="116"/>
      <c r="AD98" s="116"/>
      <c r="AE98" s="117"/>
      <c r="AF98" s="117"/>
      <c r="AG98" s="117"/>
      <c r="AH98" s="117"/>
      <c r="AI98" s="117"/>
      <c r="AJ98" s="115"/>
      <c r="AK98" s="116"/>
      <c r="AL98" s="116"/>
      <c r="AM98" s="116"/>
      <c r="AN98" s="116"/>
      <c r="AO98" s="115"/>
      <c r="AP98" s="116"/>
      <c r="AQ98" s="116"/>
      <c r="AR98" s="116"/>
      <c r="AS98" s="116"/>
      <c r="AT98" s="115"/>
      <c r="AU98" s="116"/>
      <c r="AV98" s="116"/>
      <c r="AW98" s="116"/>
      <c r="AX98" s="116"/>
      <c r="AY98" s="115"/>
      <c r="AZ98" s="116"/>
      <c r="BA98" s="116"/>
      <c r="BB98" s="116"/>
      <c r="BC98" s="116"/>
      <c r="BD98" s="115"/>
      <c r="BE98" s="116"/>
      <c r="BF98" s="116"/>
      <c r="BG98" s="116"/>
      <c r="BH98" s="116"/>
      <c r="BI98" s="115"/>
      <c r="BJ98" s="116"/>
      <c r="BK98" s="116"/>
      <c r="BL98" s="116"/>
      <c r="BM98" s="116"/>
      <c r="BN98" s="115"/>
      <c r="BO98" s="118"/>
      <c r="BP98" s="118"/>
      <c r="BQ98" s="118"/>
      <c r="BR98" s="118"/>
      <c r="BS98" s="119"/>
      <c r="BT98" s="119"/>
      <c r="BU98" s="119"/>
      <c r="BV98" s="119"/>
      <c r="BW98" s="119"/>
      <c r="BX98" s="119"/>
      <c r="BY98" s="119"/>
      <c r="BZ98" s="119"/>
      <c r="CA98" s="119"/>
      <c r="CB98" s="119"/>
      <c r="CC98" s="119"/>
      <c r="CD98" s="119"/>
      <c r="CE98" s="119"/>
      <c r="CF98" s="119"/>
      <c r="CG98" s="119"/>
      <c r="CH98" s="119"/>
      <c r="CI98" s="119"/>
      <c r="CJ98" s="119"/>
      <c r="CK98" s="119"/>
      <c r="CL98" s="119"/>
      <c r="CM98" s="119"/>
      <c r="CN98" s="119"/>
      <c r="CO98" s="119"/>
      <c r="CP98" s="119"/>
      <c r="CQ98" s="119"/>
      <c r="CR98" s="119"/>
      <c r="CS98" s="119"/>
      <c r="CT98" s="119"/>
      <c r="CU98" s="119"/>
      <c r="CV98" s="119"/>
      <c r="CW98" s="119"/>
      <c r="CX98" s="119"/>
      <c r="CY98" s="119"/>
      <c r="CZ98" s="119"/>
      <c r="DA98" s="119"/>
      <c r="DB98" s="119"/>
      <c r="DC98" s="119"/>
      <c r="DD98" s="119"/>
      <c r="DE98" s="119"/>
      <c r="DF98" s="119"/>
      <c r="DG98" s="119"/>
      <c r="DH98" s="119"/>
      <c r="DI98" s="119"/>
      <c r="DJ98" s="119"/>
      <c r="DK98" s="119"/>
      <c r="DL98" s="119"/>
      <c r="DM98" s="119"/>
      <c r="DN98" s="119"/>
      <c r="DO98" s="119"/>
      <c r="DP98" s="119"/>
      <c r="DQ98" s="119"/>
      <c r="DR98" s="119"/>
      <c r="DS98" s="119"/>
      <c r="DT98" s="119"/>
      <c r="DU98" s="119"/>
      <c r="DV98" s="119"/>
      <c r="DW98" s="119"/>
      <c r="DX98" s="119"/>
      <c r="DY98" s="119"/>
      <c r="DZ98" s="119"/>
      <c r="EA98" s="119"/>
      <c r="EB98" s="119"/>
      <c r="EC98" s="119"/>
      <c r="ED98" s="119"/>
      <c r="EE98" s="119"/>
      <c r="EF98" s="119"/>
      <c r="EG98" s="119"/>
      <c r="EH98" s="119"/>
      <c r="EI98" s="119"/>
      <c r="EJ98" s="119"/>
      <c r="EK98" s="119"/>
      <c r="EL98" s="119"/>
      <c r="EM98" s="119"/>
      <c r="EN98" s="119"/>
      <c r="EO98" s="119"/>
      <c r="EP98" s="119"/>
      <c r="EQ98" s="119"/>
      <c r="ER98" s="119"/>
      <c r="ES98" s="119"/>
      <c r="ET98" s="119"/>
      <c r="EU98" s="119"/>
      <c r="EV98" s="119"/>
      <c r="EW98" s="119"/>
      <c r="EX98" s="119"/>
      <c r="EY98" s="119"/>
      <c r="EZ98" s="119"/>
      <c r="FA98" s="119"/>
      <c r="FB98" s="119"/>
      <c r="FC98" s="119"/>
      <c r="FD98" s="119"/>
      <c r="FE98" s="115"/>
      <c r="FF98" s="115"/>
      <c r="FG98" s="115"/>
      <c r="FH98" s="115"/>
      <c r="FI98" s="116"/>
    </row>
    <row r="99" spans="1:168" ht="120" customHeight="1" x14ac:dyDescent="0.2">
      <c r="A99" s="86"/>
      <c r="B99" s="110" t="s">
        <v>89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524"/>
      <c r="AA99" s="524"/>
      <c r="AB99" s="524"/>
      <c r="AC99" s="524"/>
      <c r="AD99" s="525"/>
      <c r="AE99" s="111"/>
      <c r="AF99" s="111"/>
      <c r="AG99" s="295"/>
      <c r="AH99" s="295"/>
      <c r="AI99" s="110"/>
      <c r="AJ99" s="111"/>
      <c r="AK99" s="111"/>
      <c r="AL99" s="111"/>
      <c r="AM99" s="110"/>
      <c r="AN99" s="111"/>
      <c r="AO99" s="111"/>
      <c r="AP99" s="111"/>
      <c r="AQ99" s="110"/>
      <c r="AR99" s="111"/>
      <c r="AS99" s="111"/>
      <c r="AT99" s="111"/>
      <c r="AU99" s="110"/>
      <c r="AV99" s="111"/>
      <c r="AW99" s="111"/>
      <c r="AX99" s="111"/>
      <c r="AY99" s="110"/>
      <c r="AZ99" s="111"/>
      <c r="BA99" s="111"/>
      <c r="BB99" s="111"/>
      <c r="BC99" s="110"/>
      <c r="BD99" s="111"/>
      <c r="BE99" s="111"/>
      <c r="BF99" s="111"/>
      <c r="BG99" s="110"/>
      <c r="BH99" s="110"/>
      <c r="BI99" s="110"/>
      <c r="BJ99" s="110"/>
      <c r="BK99" s="110"/>
      <c r="BL99" s="110"/>
      <c r="BM99" s="110"/>
      <c r="BN99" s="111"/>
      <c r="BO99" s="111"/>
      <c r="BP99" s="111"/>
      <c r="BQ99" s="295"/>
      <c r="BR99" s="110"/>
      <c r="BS99" s="111"/>
      <c r="BT99" s="110"/>
      <c r="BU99" s="110"/>
      <c r="BV99" s="110"/>
      <c r="BW99" s="111"/>
      <c r="BX99" s="110"/>
      <c r="BY99" s="110"/>
      <c r="BZ99" s="110"/>
      <c r="CA99" s="111"/>
      <c r="CB99" s="110"/>
      <c r="CC99" s="110"/>
      <c r="CD99" s="110"/>
      <c r="CE99" s="111"/>
      <c r="CF99" s="110"/>
      <c r="CG99" s="110"/>
      <c r="CH99" s="110"/>
      <c r="CI99" s="111"/>
      <c r="CJ99" s="110"/>
      <c r="CK99" s="110"/>
      <c r="CL99" s="110"/>
      <c r="CM99" s="111"/>
      <c r="CN99" s="110"/>
      <c r="CO99" s="110"/>
      <c r="CP99" s="110"/>
      <c r="CQ99" s="111"/>
      <c r="CR99" s="110"/>
      <c r="CS99" s="110"/>
      <c r="CT99" s="110"/>
      <c r="CU99" s="111"/>
      <c r="CV99" s="110"/>
      <c r="CW99" s="110"/>
      <c r="CX99" s="110"/>
      <c r="CY99" s="111"/>
      <c r="CZ99" s="110"/>
      <c r="DA99" s="110"/>
      <c r="DB99" s="110"/>
      <c r="DC99" s="110"/>
      <c r="DD99" s="110"/>
      <c r="DE99" s="111"/>
      <c r="DF99" s="111"/>
      <c r="DG99" s="110"/>
      <c r="DH99" s="110"/>
      <c r="DI99" s="110"/>
      <c r="DJ99" s="110"/>
      <c r="DK99" s="110"/>
      <c r="DL99" s="111"/>
      <c r="DM99" s="110"/>
      <c r="DN99" s="110"/>
      <c r="DO99" s="110"/>
      <c r="DP99" s="111"/>
      <c r="DQ99" s="110"/>
      <c r="DR99" s="110"/>
      <c r="DS99" s="110"/>
      <c r="DT99" s="111"/>
      <c r="DU99" s="110"/>
      <c r="DV99" s="110"/>
      <c r="DW99" s="110"/>
      <c r="DX99" s="111"/>
      <c r="DY99" s="110"/>
      <c r="DZ99" s="110"/>
      <c r="EA99" s="110"/>
      <c r="EB99" s="111"/>
      <c r="EC99" s="110"/>
      <c r="ED99" s="110"/>
      <c r="EE99" s="110"/>
      <c r="EF99" s="111"/>
      <c r="EG99" s="110"/>
      <c r="EH99" s="110"/>
      <c r="EI99" s="110"/>
      <c r="EJ99" s="111"/>
      <c r="EK99" s="110"/>
      <c r="EL99" s="110"/>
      <c r="EM99" s="110"/>
      <c r="EN99" s="111"/>
      <c r="EO99" s="110"/>
      <c r="EP99" s="110"/>
      <c r="EQ99" s="110"/>
      <c r="ER99" s="111"/>
      <c r="ES99" s="110"/>
      <c r="ET99" s="110"/>
      <c r="EU99" s="110"/>
      <c r="EV99" s="110"/>
      <c r="EW99" s="111"/>
      <c r="EX99" s="110"/>
      <c r="EY99" s="110"/>
      <c r="EZ99" s="86"/>
      <c r="FA99" s="86"/>
      <c r="FB99" s="86"/>
      <c r="FC99" s="86"/>
      <c r="FD99" s="86"/>
      <c r="FE99" s="67"/>
      <c r="FF99" s="67"/>
      <c r="FG99" s="67"/>
      <c r="FH99" s="67"/>
      <c r="FI99" s="68"/>
    </row>
    <row r="100" spans="1:168" s="61" customFormat="1" ht="120" customHeight="1" x14ac:dyDescent="0.8">
      <c r="A100" s="69"/>
      <c r="B100" s="427" t="s">
        <v>189</v>
      </c>
      <c r="C100" s="427"/>
      <c r="D100" s="427"/>
      <c r="E100" s="427"/>
      <c r="F100" s="427"/>
      <c r="G100" s="427"/>
      <c r="H100" s="427"/>
      <c r="I100" s="427"/>
      <c r="J100" s="427"/>
      <c r="K100" s="427"/>
      <c r="L100" s="427"/>
      <c r="M100" s="427"/>
      <c r="N100" s="427"/>
      <c r="O100" s="427"/>
      <c r="P100" s="427"/>
      <c r="Q100" s="427"/>
      <c r="R100" s="427"/>
      <c r="S100" s="427"/>
      <c r="T100" s="427"/>
      <c r="U100" s="427"/>
      <c r="V100" s="427"/>
      <c r="W100" s="427"/>
      <c r="X100" s="427"/>
      <c r="Y100" s="427"/>
      <c r="Z100" s="427"/>
      <c r="AA100" s="427"/>
      <c r="AB100" s="427"/>
      <c r="AC100" s="427"/>
      <c r="AD100" s="427"/>
      <c r="AE100" s="427"/>
      <c r="AF100" s="427"/>
      <c r="AG100" s="427"/>
      <c r="AH100" s="427"/>
      <c r="AI100" s="427"/>
      <c r="AJ100" s="427"/>
      <c r="AK100" s="427"/>
      <c r="AL100" s="427"/>
      <c r="AM100" s="427"/>
      <c r="AN100" s="427"/>
      <c r="AO100" s="427"/>
      <c r="AP100" s="427"/>
      <c r="AQ100" s="427"/>
      <c r="AR100" s="427"/>
      <c r="AS100" s="427"/>
      <c r="AT100" s="427"/>
      <c r="AU100" s="427"/>
      <c r="AV100" s="427"/>
      <c r="AW100" s="427"/>
      <c r="AX100" s="427"/>
      <c r="AY100" s="427"/>
      <c r="AZ100" s="427"/>
      <c r="BA100" s="427"/>
      <c r="BB100" s="427"/>
      <c r="BC100" s="427"/>
      <c r="BD100" s="427"/>
      <c r="BE100" s="427"/>
      <c r="BF100" s="427"/>
      <c r="BG100" s="427"/>
      <c r="BH100" s="427"/>
      <c r="BI100" s="427"/>
      <c r="BJ100" s="427"/>
      <c r="BK100" s="427"/>
      <c r="BL100" s="427"/>
      <c r="BM100" s="427"/>
      <c r="BN100" s="427"/>
      <c r="BO100" s="427"/>
      <c r="BP100" s="427"/>
      <c r="BQ100" s="427"/>
      <c r="BR100" s="427"/>
      <c r="BS100" s="427"/>
      <c r="BT100" s="427"/>
      <c r="BU100" s="427"/>
      <c r="BV100" s="427"/>
      <c r="BW100" s="427"/>
      <c r="BX100" s="427"/>
      <c r="BY100" s="427"/>
      <c r="BZ100" s="427"/>
      <c r="CA100" s="427"/>
      <c r="CB100" s="427"/>
      <c r="CC100" s="427"/>
      <c r="CD100" s="427"/>
      <c r="CE100" s="427"/>
      <c r="CF100" s="427"/>
      <c r="CG100" s="427"/>
      <c r="CH100" s="427"/>
      <c r="CI100" s="427"/>
      <c r="CJ100" s="427"/>
      <c r="CK100" s="427"/>
      <c r="CL100" s="427"/>
      <c r="CM100" s="427"/>
      <c r="CN100" s="427"/>
      <c r="CO100" s="427"/>
      <c r="CP100" s="427"/>
      <c r="CQ100" s="427"/>
      <c r="CR100" s="427"/>
      <c r="CS100" s="427"/>
      <c r="CT100" s="427"/>
      <c r="CU100" s="427"/>
      <c r="CV100" s="427"/>
      <c r="CW100" s="427"/>
      <c r="CX100" s="427"/>
      <c r="CY100" s="427"/>
      <c r="CZ100" s="427"/>
      <c r="DA100" s="427"/>
      <c r="DB100" s="427"/>
      <c r="DC100" s="427"/>
      <c r="DD100" s="427"/>
      <c r="DE100" s="427"/>
      <c r="DF100" s="427"/>
      <c r="DG100" s="427"/>
      <c r="DH100" s="427"/>
      <c r="DI100" s="427"/>
      <c r="DJ100" s="427"/>
      <c r="DK100" s="427"/>
      <c r="DL100" s="427"/>
      <c r="DM100" s="427"/>
      <c r="DN100" s="427"/>
      <c r="DO100" s="427"/>
      <c r="DP100" s="427"/>
      <c r="DQ100" s="427"/>
      <c r="DR100" s="427"/>
      <c r="DS100" s="427"/>
      <c r="DT100" s="427"/>
      <c r="DU100" s="427"/>
      <c r="DV100" s="427"/>
      <c r="DW100" s="427"/>
      <c r="DX100" s="427"/>
      <c r="DY100" s="427"/>
      <c r="DZ100" s="427"/>
      <c r="EA100" s="427"/>
      <c r="EB100" s="427"/>
      <c r="EC100" s="427"/>
      <c r="ED100" s="427"/>
      <c r="EE100" s="427"/>
      <c r="EF100" s="427"/>
      <c r="EG100" s="427"/>
      <c r="EH100" s="427"/>
      <c r="EI100" s="427"/>
      <c r="EJ100" s="427"/>
      <c r="EK100" s="427"/>
      <c r="EL100" s="427"/>
      <c r="EM100" s="427"/>
      <c r="EN100" s="427"/>
      <c r="EO100" s="427"/>
      <c r="EP100" s="427"/>
      <c r="EQ100" s="427"/>
      <c r="ER100" s="427"/>
      <c r="ES100" s="427"/>
      <c r="ET100" s="427"/>
      <c r="EU100" s="427"/>
      <c r="EV100" s="427"/>
      <c r="EW100" s="427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</row>
    <row r="101" spans="1:168" s="61" customFormat="1" ht="120" customHeight="1" x14ac:dyDescent="0.8">
      <c r="A101" s="69"/>
      <c r="B101" s="428" t="s">
        <v>158</v>
      </c>
      <c r="C101" s="428"/>
      <c r="D101" s="428"/>
      <c r="E101" s="428"/>
      <c r="F101" s="428"/>
      <c r="G101" s="428"/>
      <c r="H101" s="428"/>
      <c r="I101" s="428"/>
      <c r="J101" s="428"/>
      <c r="K101" s="428"/>
      <c r="L101" s="428"/>
      <c r="M101" s="428"/>
      <c r="N101" s="428"/>
      <c r="O101" s="428"/>
      <c r="P101" s="428"/>
      <c r="Q101" s="428"/>
      <c r="R101" s="428"/>
      <c r="S101" s="428"/>
      <c r="T101" s="428"/>
      <c r="U101" s="428"/>
      <c r="V101" s="428"/>
      <c r="W101" s="428"/>
      <c r="X101" s="428"/>
      <c r="Y101" s="428"/>
      <c r="Z101" s="428"/>
      <c r="AA101" s="428"/>
      <c r="AB101" s="428"/>
      <c r="AC101" s="428"/>
      <c r="AD101" s="428"/>
      <c r="AE101" s="428"/>
      <c r="AF101" s="428"/>
      <c r="AG101" s="428"/>
      <c r="AH101" s="428"/>
      <c r="AI101" s="428"/>
      <c r="AJ101" s="428"/>
      <c r="AK101" s="428"/>
      <c r="AL101" s="428"/>
      <c r="AM101" s="428"/>
      <c r="AN101" s="428"/>
      <c r="AO101" s="428"/>
      <c r="AP101" s="428"/>
      <c r="AQ101" s="428"/>
      <c r="AR101" s="428"/>
      <c r="AS101" s="428"/>
      <c r="AT101" s="428"/>
      <c r="AU101" s="428"/>
      <c r="AV101" s="428"/>
      <c r="AW101" s="428"/>
      <c r="AX101" s="428"/>
      <c r="AY101" s="428"/>
      <c r="AZ101" s="428"/>
      <c r="BA101" s="428"/>
      <c r="BB101" s="428"/>
      <c r="BC101" s="428"/>
      <c r="BD101" s="428"/>
      <c r="BE101" s="428"/>
      <c r="BF101" s="428"/>
      <c r="BG101" s="428"/>
      <c r="BH101" s="428"/>
      <c r="BI101" s="428"/>
      <c r="BJ101" s="428"/>
      <c r="BK101" s="428"/>
      <c r="BL101" s="428"/>
      <c r="BM101" s="428"/>
      <c r="BN101" s="428"/>
      <c r="BO101" s="428"/>
      <c r="BP101" s="428"/>
      <c r="BQ101" s="428"/>
      <c r="BR101" s="428"/>
      <c r="BS101" s="428"/>
      <c r="BT101" s="428"/>
      <c r="BU101" s="428"/>
      <c r="BV101" s="428"/>
      <c r="BW101" s="428"/>
      <c r="BX101" s="428"/>
      <c r="BY101" s="428"/>
      <c r="BZ101" s="428"/>
      <c r="CA101" s="428"/>
      <c r="CB101" s="428"/>
      <c r="CC101" s="428"/>
      <c r="CD101" s="428"/>
      <c r="CE101" s="428"/>
      <c r="CF101" s="428"/>
      <c r="CG101" s="428"/>
      <c r="CH101" s="428"/>
      <c r="CI101" s="428"/>
      <c r="CJ101" s="428"/>
      <c r="CK101" s="428"/>
      <c r="CL101" s="428"/>
      <c r="CM101" s="428"/>
      <c r="CN101" s="428"/>
      <c r="CO101" s="428"/>
      <c r="CP101" s="428"/>
      <c r="CQ101" s="428"/>
      <c r="CR101" s="428"/>
      <c r="CS101" s="428"/>
      <c r="CT101" s="428"/>
      <c r="CU101" s="428"/>
      <c r="CV101" s="428"/>
      <c r="CW101" s="428"/>
      <c r="CX101" s="428"/>
      <c r="CY101" s="428"/>
      <c r="CZ101" s="428"/>
      <c r="DA101" s="428"/>
      <c r="DB101" s="428"/>
      <c r="DC101" s="428"/>
      <c r="DD101" s="428"/>
      <c r="DE101" s="428"/>
      <c r="DF101" s="428"/>
      <c r="DG101" s="428"/>
      <c r="DH101" s="428"/>
      <c r="DI101" s="428"/>
      <c r="DJ101" s="428"/>
      <c r="DK101" s="428"/>
      <c r="DL101" s="428"/>
      <c r="DM101" s="428"/>
      <c r="DN101" s="428"/>
      <c r="DO101" s="428"/>
      <c r="DP101" s="428"/>
      <c r="DQ101" s="428"/>
      <c r="DR101" s="428"/>
      <c r="DS101" s="428"/>
      <c r="DT101" s="428"/>
      <c r="DU101" s="428"/>
      <c r="DV101" s="428"/>
      <c r="DW101" s="428"/>
      <c r="DX101" s="428"/>
      <c r="DY101" s="428"/>
      <c r="DZ101" s="428"/>
      <c r="EA101" s="428"/>
      <c r="EB101" s="428"/>
      <c r="EC101" s="428"/>
      <c r="ED101" s="428"/>
      <c r="EE101" s="428"/>
      <c r="EF101" s="428"/>
      <c r="EG101" s="428"/>
      <c r="EH101" s="428"/>
      <c r="EI101" s="428"/>
      <c r="EJ101" s="428"/>
      <c r="EK101" s="428"/>
      <c r="EL101" s="428"/>
      <c r="EM101" s="428"/>
      <c r="EN101" s="428"/>
      <c r="EO101" s="428"/>
      <c r="EP101" s="428"/>
      <c r="EQ101" s="428"/>
      <c r="ER101" s="428"/>
      <c r="ES101" s="428"/>
      <c r="ET101" s="428"/>
      <c r="EU101" s="428"/>
      <c r="EV101" s="428"/>
      <c r="EW101" s="428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</row>
    <row r="102" spans="1:168" s="61" customFormat="1" ht="120" customHeight="1" x14ac:dyDescent="0.8">
      <c r="A102" s="69"/>
      <c r="B102" s="448" t="s">
        <v>159</v>
      </c>
      <c r="C102" s="448"/>
      <c r="D102" s="448"/>
      <c r="E102" s="448"/>
      <c r="F102" s="448"/>
      <c r="G102" s="448"/>
      <c r="H102" s="448"/>
      <c r="I102" s="448"/>
      <c r="J102" s="448"/>
      <c r="K102" s="448"/>
      <c r="L102" s="448"/>
      <c r="M102" s="448"/>
      <c r="N102" s="448"/>
      <c r="O102" s="448"/>
      <c r="P102" s="448"/>
      <c r="Q102" s="448"/>
      <c r="R102" s="448"/>
      <c r="S102" s="448"/>
      <c r="T102" s="448"/>
      <c r="U102" s="448"/>
      <c r="V102" s="448"/>
      <c r="W102" s="448"/>
      <c r="X102" s="448"/>
      <c r="Y102" s="448"/>
      <c r="Z102" s="448"/>
      <c r="AA102" s="448"/>
      <c r="AB102" s="448"/>
      <c r="AC102" s="448"/>
      <c r="AD102" s="448"/>
      <c r="AE102" s="448"/>
      <c r="AF102" s="448"/>
      <c r="AG102" s="448"/>
      <c r="AH102" s="448"/>
      <c r="AI102" s="448"/>
      <c r="AJ102" s="448"/>
      <c r="AK102" s="448"/>
      <c r="AL102" s="448"/>
      <c r="AM102" s="448"/>
      <c r="AN102" s="448"/>
      <c r="AO102" s="448"/>
      <c r="AP102" s="448"/>
      <c r="AQ102" s="448"/>
      <c r="AR102" s="448"/>
      <c r="AS102" s="448"/>
      <c r="AT102" s="448"/>
      <c r="AU102" s="448"/>
      <c r="AV102" s="448"/>
      <c r="AW102" s="448"/>
      <c r="AX102" s="448"/>
      <c r="AY102" s="448"/>
      <c r="AZ102" s="448"/>
      <c r="BA102" s="448"/>
      <c r="BB102" s="448"/>
      <c r="BC102" s="448"/>
      <c r="BD102" s="448"/>
      <c r="BE102" s="448"/>
      <c r="BF102" s="448"/>
      <c r="BG102" s="448"/>
      <c r="BH102" s="448"/>
      <c r="BI102" s="448"/>
      <c r="BJ102" s="448"/>
      <c r="BK102" s="448"/>
      <c r="BL102" s="448"/>
      <c r="BM102" s="448"/>
      <c r="BN102" s="448"/>
      <c r="BO102" s="448"/>
      <c r="BP102" s="448"/>
      <c r="BQ102" s="448"/>
      <c r="BR102" s="448"/>
      <c r="BS102" s="448"/>
      <c r="BT102" s="448"/>
      <c r="BU102" s="448"/>
      <c r="BV102" s="448"/>
      <c r="BW102" s="448"/>
      <c r="BX102" s="448"/>
      <c r="BY102" s="448"/>
      <c r="BZ102" s="448"/>
      <c r="CA102" s="448"/>
      <c r="CB102" s="448"/>
      <c r="CC102" s="448"/>
      <c r="CD102" s="448"/>
      <c r="CE102" s="448"/>
      <c r="CF102" s="448"/>
      <c r="CG102" s="448"/>
      <c r="CH102" s="448"/>
      <c r="CI102" s="448"/>
      <c r="CJ102" s="448"/>
      <c r="CK102" s="448"/>
      <c r="CL102" s="448"/>
      <c r="CM102" s="448"/>
      <c r="CN102" s="448"/>
      <c r="CO102" s="448"/>
      <c r="CP102" s="448"/>
      <c r="CQ102" s="448"/>
      <c r="CR102" s="448"/>
      <c r="CS102" s="448"/>
      <c r="CT102" s="448"/>
      <c r="CU102" s="448"/>
      <c r="CV102" s="448"/>
      <c r="CW102" s="448"/>
      <c r="CX102" s="448"/>
      <c r="CY102" s="448"/>
      <c r="CZ102" s="448"/>
      <c r="DA102" s="448"/>
      <c r="DB102" s="448"/>
      <c r="DC102" s="448"/>
      <c r="DD102" s="448"/>
      <c r="DE102" s="448"/>
      <c r="DF102" s="448"/>
      <c r="DG102" s="448"/>
      <c r="DH102" s="448"/>
      <c r="DI102" s="448"/>
      <c r="DJ102" s="448"/>
      <c r="DK102" s="448"/>
      <c r="DL102" s="448"/>
      <c r="DM102" s="448"/>
      <c r="DN102" s="448"/>
      <c r="DO102" s="448"/>
      <c r="DP102" s="448"/>
      <c r="DQ102" s="448"/>
      <c r="DR102" s="448"/>
      <c r="DS102" s="448"/>
      <c r="DT102" s="448"/>
      <c r="DU102" s="448"/>
      <c r="DV102" s="448"/>
      <c r="DW102" s="448"/>
      <c r="DX102" s="448"/>
      <c r="DY102" s="448"/>
      <c r="DZ102" s="448"/>
      <c r="EA102" s="448"/>
      <c r="EB102" s="448"/>
      <c r="EC102" s="448"/>
      <c r="ED102" s="448"/>
      <c r="EE102" s="448"/>
      <c r="EF102" s="448"/>
      <c r="EG102" s="448"/>
      <c r="EH102" s="448"/>
      <c r="EI102" s="448"/>
      <c r="EJ102" s="448"/>
      <c r="EK102" s="448"/>
      <c r="EL102" s="448"/>
      <c r="EM102" s="448"/>
      <c r="EN102" s="448"/>
      <c r="EO102" s="448"/>
      <c r="EP102" s="448"/>
      <c r="EQ102" s="448"/>
      <c r="ER102" s="448"/>
      <c r="ES102" s="448"/>
      <c r="ET102" s="448"/>
      <c r="EU102" s="448"/>
      <c r="EV102" s="448"/>
      <c r="EW102" s="448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</row>
    <row r="103" spans="1:168" s="61" customFormat="1" ht="120" customHeight="1" x14ac:dyDescent="0.8">
      <c r="A103" s="69"/>
      <c r="B103" s="448" t="s">
        <v>160</v>
      </c>
      <c r="C103" s="448"/>
      <c r="D103" s="448"/>
      <c r="E103" s="448"/>
      <c r="F103" s="448"/>
      <c r="G103" s="448"/>
      <c r="H103" s="448"/>
      <c r="I103" s="448"/>
      <c r="J103" s="448"/>
      <c r="K103" s="448"/>
      <c r="L103" s="448"/>
      <c r="M103" s="448"/>
      <c r="N103" s="448"/>
      <c r="O103" s="448"/>
      <c r="P103" s="448"/>
      <c r="Q103" s="448"/>
      <c r="R103" s="448"/>
      <c r="S103" s="448"/>
      <c r="T103" s="448"/>
      <c r="U103" s="448"/>
      <c r="V103" s="448"/>
      <c r="W103" s="448"/>
      <c r="X103" s="448"/>
      <c r="Y103" s="448"/>
      <c r="Z103" s="448"/>
      <c r="AA103" s="448"/>
      <c r="AB103" s="448"/>
      <c r="AC103" s="448"/>
      <c r="AD103" s="448"/>
      <c r="AE103" s="448"/>
      <c r="AF103" s="448"/>
      <c r="AG103" s="448"/>
      <c r="AH103" s="448"/>
      <c r="AI103" s="448"/>
      <c r="AJ103" s="448"/>
      <c r="AK103" s="448"/>
      <c r="AL103" s="448"/>
      <c r="AM103" s="448"/>
      <c r="AN103" s="448"/>
      <c r="AO103" s="448"/>
      <c r="AP103" s="448"/>
      <c r="AQ103" s="448"/>
      <c r="AR103" s="448"/>
      <c r="AS103" s="448"/>
      <c r="AT103" s="448"/>
      <c r="AU103" s="448"/>
      <c r="AV103" s="448"/>
      <c r="AW103" s="448"/>
      <c r="AX103" s="448"/>
      <c r="AY103" s="448"/>
      <c r="AZ103" s="448"/>
      <c r="BA103" s="448"/>
      <c r="BB103" s="448"/>
      <c r="BC103" s="448"/>
      <c r="BD103" s="448"/>
      <c r="BE103" s="448"/>
      <c r="BF103" s="448"/>
      <c r="BG103" s="448"/>
      <c r="BH103" s="448"/>
      <c r="BI103" s="448"/>
      <c r="BJ103" s="448"/>
      <c r="BK103" s="448"/>
      <c r="BL103" s="448"/>
      <c r="BM103" s="448"/>
      <c r="BN103" s="448"/>
      <c r="BO103" s="448"/>
      <c r="BP103" s="448"/>
      <c r="BQ103" s="448"/>
      <c r="BR103" s="448"/>
      <c r="BS103" s="448"/>
      <c r="BT103" s="448"/>
      <c r="BU103" s="448"/>
      <c r="BV103" s="448"/>
      <c r="BW103" s="448"/>
      <c r="BX103" s="448"/>
      <c r="BY103" s="448"/>
      <c r="BZ103" s="448"/>
      <c r="CA103" s="448"/>
      <c r="CB103" s="448"/>
      <c r="CC103" s="448"/>
      <c r="CD103" s="448"/>
      <c r="CE103" s="448"/>
      <c r="CF103" s="448"/>
      <c r="CG103" s="448"/>
      <c r="CH103" s="448"/>
      <c r="CI103" s="448"/>
      <c r="CJ103" s="448"/>
      <c r="CK103" s="448"/>
      <c r="CL103" s="448"/>
      <c r="CM103" s="448"/>
      <c r="CN103" s="448"/>
      <c r="CO103" s="448"/>
      <c r="CP103" s="448"/>
      <c r="CQ103" s="448"/>
      <c r="CR103" s="448"/>
      <c r="CS103" s="448"/>
      <c r="CT103" s="448"/>
      <c r="CU103" s="448"/>
      <c r="CV103" s="448"/>
      <c r="CW103" s="448"/>
      <c r="CX103" s="448"/>
      <c r="CY103" s="448"/>
      <c r="CZ103" s="448"/>
      <c r="DA103" s="448"/>
      <c r="DB103" s="448"/>
      <c r="DC103" s="448"/>
      <c r="DD103" s="448"/>
      <c r="DE103" s="448"/>
      <c r="DF103" s="448"/>
      <c r="DG103" s="448"/>
      <c r="DH103" s="448"/>
      <c r="DI103" s="448"/>
      <c r="DJ103" s="448"/>
      <c r="DK103" s="448"/>
      <c r="DL103" s="448"/>
      <c r="DM103" s="448"/>
      <c r="DN103" s="448"/>
      <c r="DO103" s="448"/>
      <c r="DP103" s="448"/>
      <c r="DQ103" s="448"/>
      <c r="DR103" s="448"/>
      <c r="DS103" s="448"/>
      <c r="DT103" s="448"/>
      <c r="DU103" s="448"/>
      <c r="DV103" s="448"/>
      <c r="DW103" s="448"/>
      <c r="DX103" s="448"/>
      <c r="DY103" s="448"/>
      <c r="DZ103" s="448"/>
      <c r="EA103" s="448"/>
      <c r="EB103" s="448"/>
      <c r="EC103" s="448"/>
      <c r="ED103" s="448"/>
      <c r="EE103" s="448"/>
      <c r="EF103" s="448"/>
      <c r="EG103" s="448"/>
      <c r="EH103" s="448"/>
      <c r="EI103" s="448"/>
      <c r="EJ103" s="448"/>
      <c r="EK103" s="448"/>
      <c r="EL103" s="448"/>
      <c r="EM103" s="448"/>
      <c r="EN103" s="448"/>
      <c r="EO103" s="448"/>
      <c r="EP103" s="448"/>
      <c r="EQ103" s="448"/>
      <c r="ER103" s="448"/>
      <c r="ES103" s="448"/>
      <c r="ET103" s="448"/>
      <c r="EU103" s="448"/>
      <c r="EV103" s="448"/>
      <c r="EW103" s="448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</row>
    <row r="104" spans="1:168" ht="120" customHeight="1" x14ac:dyDescent="0.8">
      <c r="A104" s="70"/>
      <c r="B104" s="70"/>
      <c r="C104" s="71"/>
      <c r="D104" s="71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294"/>
      <c r="AC104" s="87"/>
      <c r="AD104" s="87"/>
      <c r="AE104" s="87"/>
      <c r="AF104" s="87"/>
      <c r="AG104" s="294"/>
      <c r="AH104" s="294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  <c r="BE104" s="87"/>
      <c r="BF104" s="87"/>
      <c r="BG104" s="87"/>
      <c r="BH104" s="87"/>
      <c r="BI104" s="87"/>
      <c r="BJ104" s="87"/>
      <c r="BK104" s="87"/>
      <c r="BL104" s="87"/>
      <c r="BM104" s="87"/>
      <c r="BN104" s="87"/>
      <c r="BO104" s="87"/>
      <c r="BP104" s="87"/>
      <c r="BQ104" s="294"/>
      <c r="BR104" s="87"/>
      <c r="BS104" s="87"/>
      <c r="BT104" s="87"/>
      <c r="BU104" s="87"/>
      <c r="BV104" s="87"/>
      <c r="BW104" s="87"/>
      <c r="BX104" s="87"/>
      <c r="BY104" s="87"/>
      <c r="BZ104" s="87"/>
      <c r="CA104" s="87"/>
      <c r="CB104" s="87"/>
      <c r="CC104" s="87"/>
      <c r="CD104" s="87"/>
      <c r="CE104" s="87"/>
      <c r="CF104" s="87"/>
      <c r="CG104" s="87"/>
      <c r="CH104" s="87"/>
      <c r="CI104" s="87"/>
      <c r="CJ104" s="87"/>
      <c r="CK104" s="87"/>
      <c r="CL104" s="87"/>
      <c r="CM104" s="87"/>
      <c r="CN104" s="87"/>
      <c r="CO104" s="87"/>
      <c r="CP104" s="87"/>
      <c r="CQ104" s="87"/>
      <c r="CR104" s="87"/>
      <c r="CS104" s="87"/>
      <c r="CT104" s="87"/>
      <c r="CU104" s="87"/>
      <c r="CV104" s="87"/>
      <c r="CW104" s="87"/>
      <c r="CX104" s="87"/>
      <c r="CY104" s="87"/>
      <c r="CZ104" s="87"/>
      <c r="DA104" s="87"/>
      <c r="DB104" s="87"/>
      <c r="DC104" s="87"/>
      <c r="DD104" s="87"/>
      <c r="DE104" s="87"/>
      <c r="DF104" s="87"/>
      <c r="DG104" s="87"/>
      <c r="DH104" s="87"/>
      <c r="DI104" s="87"/>
      <c r="DJ104" s="87"/>
      <c r="DK104" s="87"/>
      <c r="DL104" s="87"/>
      <c r="DM104" s="87"/>
      <c r="DN104" s="87"/>
      <c r="DO104" s="87"/>
      <c r="DP104" s="87"/>
      <c r="DQ104" s="87"/>
      <c r="DR104" s="87"/>
      <c r="DS104" s="87"/>
      <c r="DT104" s="87"/>
      <c r="DU104" s="87"/>
      <c r="DV104" s="87"/>
      <c r="DW104" s="87"/>
      <c r="DX104" s="87"/>
      <c r="DY104" s="87"/>
      <c r="DZ104" s="87"/>
      <c r="EA104" s="73"/>
      <c r="EB104" s="74"/>
      <c r="EC104" s="74"/>
      <c r="ED104" s="74"/>
      <c r="EE104" s="74"/>
      <c r="EF104" s="74"/>
      <c r="EG104" s="74"/>
      <c r="EH104" s="74"/>
      <c r="EI104" s="74"/>
      <c r="EJ104" s="74"/>
      <c r="EK104" s="74"/>
      <c r="EL104" s="74"/>
      <c r="EM104" s="74"/>
      <c r="EN104" s="74"/>
      <c r="EO104" s="74"/>
      <c r="EP104" s="74"/>
      <c r="EQ104" s="75"/>
      <c r="ER104" s="74"/>
      <c r="ES104" s="74"/>
      <c r="ET104" s="74"/>
      <c r="EU104" s="74"/>
      <c r="EV104" s="74"/>
      <c r="EW104" s="74"/>
      <c r="EX104" s="74"/>
      <c r="EY104" s="74"/>
      <c r="EZ104" s="74"/>
      <c r="FA104" s="75"/>
      <c r="FB104" s="75"/>
      <c r="FC104" s="75"/>
      <c r="FD104" s="75"/>
      <c r="FE104" s="74"/>
      <c r="FF104" s="74"/>
      <c r="FG104" s="74"/>
      <c r="FH104" s="74"/>
      <c r="FI104" s="74"/>
    </row>
    <row r="105" spans="1:168" ht="120" customHeight="1" x14ac:dyDescent="0.85">
      <c r="A105" s="69"/>
      <c r="B105" s="69"/>
      <c r="C105" s="76"/>
      <c r="D105" s="76"/>
      <c r="E105" s="370" t="s">
        <v>90</v>
      </c>
      <c r="F105" s="370"/>
      <c r="G105" s="370"/>
      <c r="H105" s="370"/>
      <c r="I105" s="370"/>
      <c r="J105" s="370"/>
      <c r="K105" s="370"/>
      <c r="L105" s="370"/>
      <c r="M105" s="370"/>
      <c r="N105" s="370"/>
      <c r="O105" s="370"/>
      <c r="P105" s="370"/>
      <c r="Q105" s="370"/>
      <c r="R105" s="370"/>
      <c r="S105" s="370"/>
      <c r="T105" s="370"/>
      <c r="U105" s="370"/>
      <c r="V105" s="370"/>
      <c r="W105" s="370"/>
      <c r="X105" s="370"/>
      <c r="Y105" s="370"/>
      <c r="Z105" s="370"/>
      <c r="AA105" s="370"/>
      <c r="AB105" s="370"/>
      <c r="AC105" s="370"/>
      <c r="AD105" s="370"/>
      <c r="AE105" s="370"/>
      <c r="AF105" s="424" t="s">
        <v>91</v>
      </c>
      <c r="AG105" s="425"/>
      <c r="AH105" s="425"/>
      <c r="AI105" s="425"/>
      <c r="AJ105" s="425"/>
      <c r="AK105" s="425"/>
      <c r="AL105" s="425"/>
      <c r="AM105" s="425"/>
      <c r="AN105" s="425"/>
      <c r="AO105" s="426"/>
      <c r="AP105" s="424" t="s">
        <v>92</v>
      </c>
      <c r="AQ105" s="425"/>
      <c r="AR105" s="425"/>
      <c r="AS105" s="425"/>
      <c r="AT105" s="425"/>
      <c r="AU105" s="425"/>
      <c r="AV105" s="425"/>
      <c r="AW105" s="426"/>
      <c r="AX105" s="434" t="s">
        <v>93</v>
      </c>
      <c r="AY105" s="435"/>
      <c r="AZ105" s="435"/>
      <c r="BA105" s="435"/>
      <c r="BB105" s="435"/>
      <c r="BC105" s="435"/>
      <c r="BD105" s="435"/>
      <c r="BE105" s="435"/>
      <c r="BF105" s="435"/>
      <c r="BG105" s="435"/>
      <c r="BH105" s="435"/>
      <c r="BI105" s="435"/>
      <c r="BJ105" s="435"/>
      <c r="BK105" s="435"/>
      <c r="BL105" s="435"/>
      <c r="BM105" s="435"/>
      <c r="BN105" s="435"/>
      <c r="BO105" s="435"/>
      <c r="BP105" s="435"/>
      <c r="BQ105" s="435"/>
      <c r="BR105" s="435"/>
      <c r="BS105" s="435"/>
      <c r="BT105" s="435"/>
      <c r="BU105" s="435"/>
      <c r="BV105" s="435"/>
      <c r="BW105" s="435"/>
      <c r="BX105" s="435"/>
      <c r="BY105" s="435"/>
      <c r="BZ105" s="435"/>
      <c r="CA105" s="435"/>
      <c r="CB105" s="435"/>
      <c r="CC105" s="435"/>
      <c r="CD105" s="435"/>
      <c r="CE105" s="435"/>
      <c r="CF105" s="435"/>
      <c r="CG105" s="435"/>
      <c r="CH105" s="435"/>
      <c r="CI105" s="435"/>
      <c r="CJ105" s="435"/>
      <c r="CK105" s="435"/>
      <c r="CL105" s="436"/>
      <c r="CM105" s="77"/>
      <c r="CN105" s="77"/>
      <c r="CO105" s="77"/>
      <c r="CP105" s="77"/>
      <c r="CQ105" s="77"/>
      <c r="CR105" s="77"/>
      <c r="CS105" s="123"/>
      <c r="CT105" s="1188"/>
      <c r="CU105" s="1188"/>
      <c r="CV105" s="1188"/>
      <c r="CW105" s="1188"/>
      <c r="CX105" s="1188"/>
      <c r="CY105" s="1188"/>
      <c r="CZ105" s="1188"/>
      <c r="DA105" s="1188"/>
      <c r="DB105" s="1188"/>
      <c r="DC105" s="1188"/>
      <c r="DD105" s="1188"/>
      <c r="DE105" s="1188"/>
      <c r="DF105" s="1188"/>
      <c r="DG105" s="1188"/>
      <c r="DH105" s="1188"/>
      <c r="DI105" s="1188"/>
      <c r="DJ105" s="1188"/>
      <c r="DK105" s="1188"/>
      <c r="DL105" s="1188"/>
      <c r="DM105" s="1188"/>
      <c r="DN105" s="1188"/>
      <c r="DO105" s="1188"/>
      <c r="DP105" s="1188"/>
      <c r="DQ105" s="1188"/>
      <c r="DR105" s="1188"/>
      <c r="DS105" s="1188"/>
      <c r="DT105" s="1188"/>
      <c r="DU105" s="1188"/>
      <c r="DV105" s="1188"/>
      <c r="DW105" s="1188"/>
      <c r="DX105" s="77"/>
      <c r="DY105" s="77"/>
      <c r="DZ105" s="77"/>
      <c r="EA105" s="77"/>
      <c r="EB105" s="77"/>
      <c r="EC105" s="77"/>
      <c r="ED105" s="77"/>
      <c r="EE105" s="77"/>
      <c r="EF105" s="77"/>
      <c r="EG105" s="77"/>
      <c r="EH105" s="77"/>
      <c r="EI105" s="77"/>
      <c r="EJ105" s="77"/>
      <c r="EK105" s="77"/>
      <c r="EL105" s="77"/>
      <c r="EM105" s="77"/>
      <c r="EN105" s="77"/>
      <c r="EO105" s="77"/>
      <c r="EP105" s="77"/>
      <c r="EQ105" s="77"/>
      <c r="ER105" s="77"/>
      <c r="ES105" s="77"/>
      <c r="ET105" s="77"/>
      <c r="EU105" s="77"/>
      <c r="EV105" s="77"/>
      <c r="EW105" s="77"/>
      <c r="EX105" s="77"/>
      <c r="EY105" s="77"/>
      <c r="EZ105" s="77"/>
      <c r="FA105" s="77"/>
      <c r="FB105" s="77"/>
      <c r="FC105" s="77"/>
      <c r="FD105" s="77"/>
      <c r="FE105" s="77"/>
      <c r="FF105" s="77"/>
      <c r="FG105" s="77"/>
      <c r="FH105" s="77"/>
      <c r="FI105" s="77"/>
    </row>
    <row r="106" spans="1:168" ht="120" customHeight="1" x14ac:dyDescent="0.85">
      <c r="A106" s="69"/>
      <c r="B106" s="69"/>
      <c r="C106" s="76"/>
      <c r="D106" s="76"/>
      <c r="E106" s="820" t="s">
        <v>21</v>
      </c>
      <c r="F106" s="820"/>
      <c r="G106" s="820"/>
      <c r="H106" s="820"/>
      <c r="I106" s="820"/>
      <c r="J106" s="820"/>
      <c r="K106" s="820"/>
      <c r="L106" s="820"/>
      <c r="M106" s="820"/>
      <c r="N106" s="820"/>
      <c r="O106" s="820"/>
      <c r="P106" s="820"/>
      <c r="Q106" s="820"/>
      <c r="R106" s="820"/>
      <c r="S106" s="820"/>
      <c r="T106" s="820"/>
      <c r="U106" s="820"/>
      <c r="V106" s="820"/>
      <c r="W106" s="820"/>
      <c r="X106" s="820"/>
      <c r="Y106" s="820"/>
      <c r="Z106" s="820"/>
      <c r="AA106" s="820"/>
      <c r="AB106" s="820"/>
      <c r="AC106" s="820"/>
      <c r="AD106" s="820"/>
      <c r="AE106" s="820"/>
      <c r="AF106" s="442">
        <f>HP23</f>
        <v>135</v>
      </c>
      <c r="AG106" s="443"/>
      <c r="AH106" s="443"/>
      <c r="AI106" s="443"/>
      <c r="AJ106" s="443"/>
      <c r="AK106" s="443"/>
      <c r="AL106" s="443"/>
      <c r="AM106" s="443"/>
      <c r="AN106" s="443"/>
      <c r="AO106" s="444"/>
      <c r="AP106" s="445" t="s">
        <v>171</v>
      </c>
      <c r="AQ106" s="446"/>
      <c r="AR106" s="446"/>
      <c r="AS106" s="446"/>
      <c r="AT106" s="446"/>
      <c r="AU106" s="446"/>
      <c r="AV106" s="446"/>
      <c r="AW106" s="447"/>
      <c r="AX106" s="495" t="s">
        <v>103</v>
      </c>
      <c r="AY106" s="324"/>
      <c r="AZ106" s="324"/>
      <c r="BA106" s="324"/>
      <c r="BB106" s="324"/>
      <c r="BC106" s="324"/>
      <c r="BD106" s="324"/>
      <c r="BE106" s="324"/>
      <c r="BF106" s="324"/>
      <c r="BG106" s="324"/>
      <c r="BH106" s="324"/>
      <c r="BI106" s="324"/>
      <c r="BJ106" s="324"/>
      <c r="BK106" s="324"/>
      <c r="BL106" s="324"/>
      <c r="BM106" s="324"/>
      <c r="BN106" s="324"/>
      <c r="BO106" s="324"/>
      <c r="BP106" s="324"/>
      <c r="BQ106" s="324"/>
      <c r="BR106" s="324"/>
      <c r="BS106" s="324"/>
      <c r="BT106" s="324"/>
      <c r="BU106" s="324"/>
      <c r="BV106" s="324"/>
      <c r="BW106" s="324"/>
      <c r="BX106" s="324"/>
      <c r="BY106" s="324"/>
      <c r="BZ106" s="324"/>
      <c r="CA106" s="324"/>
      <c r="CB106" s="324"/>
      <c r="CC106" s="324"/>
      <c r="CD106" s="324"/>
      <c r="CE106" s="324"/>
      <c r="CF106" s="324"/>
      <c r="CG106" s="324"/>
      <c r="CH106" s="324"/>
      <c r="CI106" s="324"/>
      <c r="CJ106" s="324"/>
      <c r="CK106" s="324"/>
      <c r="CL106" s="532"/>
      <c r="CM106" s="77"/>
      <c r="CN106" s="77"/>
      <c r="CO106" s="77"/>
      <c r="CP106" s="77"/>
      <c r="CQ106" s="77"/>
      <c r="CR106" s="77"/>
      <c r="CS106" s="1051" t="s">
        <v>329</v>
      </c>
      <c r="CT106" s="1051"/>
      <c r="CU106" s="1051"/>
      <c r="CV106" s="1051"/>
      <c r="CW106" s="1051"/>
      <c r="CX106" s="1051"/>
      <c r="CY106" s="1051"/>
      <c r="CZ106" s="1051"/>
      <c r="DA106" s="1051"/>
      <c r="DB106" s="1051"/>
      <c r="DC106" s="1051"/>
      <c r="DD106" s="1051"/>
      <c r="DE106" s="1051"/>
      <c r="DF106" s="1051"/>
      <c r="DG106" s="1051"/>
      <c r="DH106" s="1051"/>
      <c r="DI106" s="1051"/>
      <c r="DJ106" s="1051"/>
      <c r="DK106" s="1051"/>
      <c r="DL106" s="1051"/>
      <c r="DM106" s="1051"/>
      <c r="DN106" s="1051"/>
      <c r="DO106" s="1051"/>
      <c r="DP106" s="1051"/>
      <c r="DQ106" s="1051"/>
      <c r="DR106" s="1051"/>
      <c r="DS106" s="1051"/>
      <c r="DT106" s="1051"/>
      <c r="DU106" s="1051"/>
      <c r="DV106" s="1051"/>
      <c r="DW106" s="1051"/>
      <c r="DX106" s="1051"/>
      <c r="DY106" s="1051"/>
      <c r="DZ106" s="1051"/>
      <c r="EA106" s="1051"/>
      <c r="EB106" s="1051"/>
      <c r="EC106" s="1051"/>
      <c r="ED106" s="1051"/>
      <c r="EE106" s="1051"/>
      <c r="EF106" s="1051"/>
      <c r="EG106" s="1051"/>
      <c r="EH106" s="1051"/>
      <c r="EI106" s="1051"/>
      <c r="EJ106" s="1051"/>
      <c r="EK106" s="1051"/>
      <c r="EL106" s="1051"/>
      <c r="EM106" s="1051"/>
      <c r="EN106" s="1051"/>
      <c r="EO106" s="1051"/>
      <c r="EP106" s="1051"/>
      <c r="EQ106" s="1051"/>
      <c r="ER106" s="1051"/>
      <c r="ES106" s="1051"/>
      <c r="ET106" s="1051"/>
      <c r="EU106" s="1051"/>
      <c r="EV106" s="1051"/>
      <c r="EW106" s="77"/>
      <c r="EX106" s="77"/>
      <c r="EY106" s="77"/>
      <c r="EZ106" s="77"/>
      <c r="FA106" s="77"/>
      <c r="FB106" s="77"/>
      <c r="FC106" s="77"/>
      <c r="FD106" s="77"/>
      <c r="FE106" s="77"/>
      <c r="FF106" s="77"/>
      <c r="FG106" s="77"/>
      <c r="FH106" s="77"/>
      <c r="FI106" s="77"/>
    </row>
    <row r="107" spans="1:168" ht="120" customHeight="1" x14ac:dyDescent="0.85">
      <c r="A107" s="69"/>
      <c r="B107" s="69"/>
      <c r="C107" s="76"/>
      <c r="D107" s="76"/>
      <c r="E107" s="401" t="s">
        <v>334</v>
      </c>
      <c r="F107" s="401"/>
      <c r="G107" s="401"/>
      <c r="H107" s="401"/>
      <c r="I107" s="401"/>
      <c r="J107" s="401"/>
      <c r="K107" s="401"/>
      <c r="L107" s="401"/>
      <c r="M107" s="401"/>
      <c r="N107" s="401"/>
      <c r="O107" s="401"/>
      <c r="P107" s="401"/>
      <c r="Q107" s="401"/>
      <c r="R107" s="401"/>
      <c r="S107" s="401"/>
      <c r="T107" s="401"/>
      <c r="U107" s="401"/>
      <c r="V107" s="401"/>
      <c r="W107" s="401"/>
      <c r="X107" s="401"/>
      <c r="Y107" s="401"/>
      <c r="Z107" s="401"/>
      <c r="AA107" s="401"/>
      <c r="AB107" s="401"/>
      <c r="AC107" s="401"/>
      <c r="AD107" s="401"/>
      <c r="AE107" s="401"/>
      <c r="AF107" s="442">
        <f>HV23</f>
        <v>18</v>
      </c>
      <c r="AG107" s="443"/>
      <c r="AH107" s="443"/>
      <c r="AI107" s="443"/>
      <c r="AJ107" s="443"/>
      <c r="AK107" s="443"/>
      <c r="AL107" s="443"/>
      <c r="AM107" s="443"/>
      <c r="AN107" s="443"/>
      <c r="AO107" s="444"/>
      <c r="AP107" s="445" t="s">
        <v>167</v>
      </c>
      <c r="AQ107" s="446"/>
      <c r="AR107" s="446"/>
      <c r="AS107" s="446"/>
      <c r="AT107" s="446"/>
      <c r="AU107" s="446"/>
      <c r="AV107" s="446"/>
      <c r="AW107" s="447"/>
      <c r="AX107" s="533"/>
      <c r="AY107" s="525"/>
      <c r="AZ107" s="525"/>
      <c r="BA107" s="525"/>
      <c r="BB107" s="525"/>
      <c r="BC107" s="525"/>
      <c r="BD107" s="525"/>
      <c r="BE107" s="525"/>
      <c r="BF107" s="525"/>
      <c r="BG107" s="525"/>
      <c r="BH107" s="525"/>
      <c r="BI107" s="525"/>
      <c r="BJ107" s="525"/>
      <c r="BK107" s="525"/>
      <c r="BL107" s="525"/>
      <c r="BM107" s="525"/>
      <c r="BN107" s="525"/>
      <c r="BO107" s="525"/>
      <c r="BP107" s="525"/>
      <c r="BQ107" s="525"/>
      <c r="BR107" s="525"/>
      <c r="BS107" s="525"/>
      <c r="BT107" s="525"/>
      <c r="BU107" s="525"/>
      <c r="BV107" s="525"/>
      <c r="BW107" s="525"/>
      <c r="BX107" s="525"/>
      <c r="BY107" s="525"/>
      <c r="BZ107" s="525"/>
      <c r="CA107" s="525"/>
      <c r="CB107" s="525"/>
      <c r="CC107" s="525"/>
      <c r="CD107" s="525"/>
      <c r="CE107" s="525"/>
      <c r="CF107" s="525"/>
      <c r="CG107" s="525"/>
      <c r="CH107" s="525"/>
      <c r="CI107" s="525"/>
      <c r="CJ107" s="525"/>
      <c r="CK107" s="525"/>
      <c r="CL107" s="534"/>
      <c r="CM107" s="77"/>
      <c r="CN107" s="77"/>
      <c r="CO107" s="77"/>
      <c r="CP107" s="77"/>
      <c r="CQ107" s="77"/>
      <c r="CR107" s="77"/>
      <c r="CS107" s="1051"/>
      <c r="CT107" s="1051"/>
      <c r="CU107" s="1051"/>
      <c r="CV107" s="1051"/>
      <c r="CW107" s="1051"/>
      <c r="CX107" s="1051"/>
      <c r="CY107" s="1051"/>
      <c r="CZ107" s="1051"/>
      <c r="DA107" s="1051"/>
      <c r="DB107" s="1051"/>
      <c r="DC107" s="1051"/>
      <c r="DD107" s="1051"/>
      <c r="DE107" s="1051"/>
      <c r="DF107" s="1051"/>
      <c r="DG107" s="1051"/>
      <c r="DH107" s="1051"/>
      <c r="DI107" s="1051"/>
      <c r="DJ107" s="1051"/>
      <c r="DK107" s="1051"/>
      <c r="DL107" s="1051"/>
      <c r="DM107" s="1051"/>
      <c r="DN107" s="1051"/>
      <c r="DO107" s="1051"/>
      <c r="DP107" s="1051"/>
      <c r="DQ107" s="1051"/>
      <c r="DR107" s="1051"/>
      <c r="DS107" s="1051"/>
      <c r="DT107" s="1051"/>
      <c r="DU107" s="1051"/>
      <c r="DV107" s="1051"/>
      <c r="DW107" s="1051"/>
      <c r="DX107" s="1051"/>
      <c r="DY107" s="1051"/>
      <c r="DZ107" s="1051"/>
      <c r="EA107" s="1051"/>
      <c r="EB107" s="1051"/>
      <c r="EC107" s="1051"/>
      <c r="ED107" s="1051"/>
      <c r="EE107" s="1051"/>
      <c r="EF107" s="1051"/>
      <c r="EG107" s="1051"/>
      <c r="EH107" s="1051"/>
      <c r="EI107" s="1051"/>
      <c r="EJ107" s="1051"/>
      <c r="EK107" s="1051"/>
      <c r="EL107" s="1051"/>
      <c r="EM107" s="1051"/>
      <c r="EN107" s="1051"/>
      <c r="EO107" s="1051"/>
      <c r="EP107" s="1051"/>
      <c r="EQ107" s="1051"/>
      <c r="ER107" s="1051"/>
      <c r="ES107" s="1051"/>
      <c r="ET107" s="1051"/>
      <c r="EU107" s="1051"/>
      <c r="EV107" s="1051"/>
      <c r="EW107" s="77"/>
      <c r="EX107" s="77"/>
      <c r="EY107" s="77"/>
      <c r="EZ107" s="77"/>
      <c r="FA107" s="77"/>
      <c r="FB107" s="77"/>
      <c r="FC107" s="77"/>
      <c r="FD107" s="77"/>
      <c r="FE107" s="77"/>
      <c r="FF107" s="77"/>
      <c r="FG107" s="77"/>
      <c r="FH107" s="77"/>
      <c r="FI107" s="77"/>
    </row>
    <row r="108" spans="1:168" ht="120" customHeight="1" x14ac:dyDescent="0.85">
      <c r="A108" s="69"/>
      <c r="B108" s="69"/>
      <c r="C108" s="76"/>
      <c r="D108" s="76"/>
      <c r="E108" s="401" t="s">
        <v>168</v>
      </c>
      <c r="F108" s="401"/>
      <c r="G108" s="401"/>
      <c r="H108" s="401"/>
      <c r="I108" s="401"/>
      <c r="J108" s="401"/>
      <c r="K108" s="401"/>
      <c r="L108" s="401"/>
      <c r="M108" s="401"/>
      <c r="N108" s="401"/>
      <c r="O108" s="401"/>
      <c r="P108" s="401"/>
      <c r="Q108" s="401"/>
      <c r="R108" s="401"/>
      <c r="S108" s="401"/>
      <c r="T108" s="401"/>
      <c r="U108" s="401"/>
      <c r="V108" s="401"/>
      <c r="W108" s="401"/>
      <c r="X108" s="401"/>
      <c r="Y108" s="401"/>
      <c r="Z108" s="401"/>
      <c r="AA108" s="401"/>
      <c r="AB108" s="401"/>
      <c r="AC108" s="401"/>
      <c r="AD108" s="401"/>
      <c r="AE108" s="401"/>
      <c r="AF108" s="442">
        <f>HR23</f>
        <v>18</v>
      </c>
      <c r="AG108" s="443"/>
      <c r="AH108" s="443"/>
      <c r="AI108" s="443"/>
      <c r="AJ108" s="443"/>
      <c r="AK108" s="443"/>
      <c r="AL108" s="443"/>
      <c r="AM108" s="443"/>
      <c r="AN108" s="443"/>
      <c r="AO108" s="444"/>
      <c r="AP108" s="445" t="s">
        <v>171</v>
      </c>
      <c r="AQ108" s="446"/>
      <c r="AR108" s="446"/>
      <c r="AS108" s="446"/>
      <c r="AT108" s="446"/>
      <c r="AU108" s="446"/>
      <c r="AV108" s="446"/>
      <c r="AW108" s="447"/>
      <c r="AX108" s="533"/>
      <c r="AY108" s="525"/>
      <c r="AZ108" s="525"/>
      <c r="BA108" s="525"/>
      <c r="BB108" s="525"/>
      <c r="BC108" s="525"/>
      <c r="BD108" s="525"/>
      <c r="BE108" s="525"/>
      <c r="BF108" s="525"/>
      <c r="BG108" s="525"/>
      <c r="BH108" s="525"/>
      <c r="BI108" s="525"/>
      <c r="BJ108" s="525"/>
      <c r="BK108" s="525"/>
      <c r="BL108" s="525"/>
      <c r="BM108" s="525"/>
      <c r="BN108" s="525"/>
      <c r="BO108" s="525"/>
      <c r="BP108" s="525"/>
      <c r="BQ108" s="525"/>
      <c r="BR108" s="525"/>
      <c r="BS108" s="525"/>
      <c r="BT108" s="525"/>
      <c r="BU108" s="525"/>
      <c r="BV108" s="525"/>
      <c r="BW108" s="525"/>
      <c r="BX108" s="525"/>
      <c r="BY108" s="525"/>
      <c r="BZ108" s="525"/>
      <c r="CA108" s="525"/>
      <c r="CB108" s="525"/>
      <c r="CC108" s="525"/>
      <c r="CD108" s="525"/>
      <c r="CE108" s="525"/>
      <c r="CF108" s="525"/>
      <c r="CG108" s="525"/>
      <c r="CH108" s="525"/>
      <c r="CI108" s="525"/>
      <c r="CJ108" s="525"/>
      <c r="CK108" s="525"/>
      <c r="CL108" s="534"/>
      <c r="CM108" s="77"/>
      <c r="CN108" s="77"/>
      <c r="CO108" s="77"/>
      <c r="CP108" s="77"/>
      <c r="CQ108" s="77"/>
      <c r="CR108" s="77"/>
      <c r="CS108" s="1051"/>
      <c r="CT108" s="1051"/>
      <c r="CU108" s="1051"/>
      <c r="CV108" s="1051"/>
      <c r="CW108" s="1051"/>
      <c r="CX108" s="1051"/>
      <c r="CY108" s="1051"/>
      <c r="CZ108" s="1051"/>
      <c r="DA108" s="1051"/>
      <c r="DB108" s="1051"/>
      <c r="DC108" s="1051"/>
      <c r="DD108" s="1051"/>
      <c r="DE108" s="1051"/>
      <c r="DF108" s="1051"/>
      <c r="DG108" s="1051"/>
      <c r="DH108" s="1051"/>
      <c r="DI108" s="1051"/>
      <c r="DJ108" s="1051"/>
      <c r="DK108" s="1051"/>
      <c r="DL108" s="1051"/>
      <c r="DM108" s="1051"/>
      <c r="DN108" s="1051"/>
      <c r="DO108" s="1051"/>
      <c r="DP108" s="1051"/>
      <c r="DQ108" s="1051"/>
      <c r="DR108" s="1051"/>
      <c r="DS108" s="1051"/>
      <c r="DT108" s="1051"/>
      <c r="DU108" s="1051"/>
      <c r="DV108" s="1051"/>
      <c r="DW108" s="1051"/>
      <c r="DX108" s="1051"/>
      <c r="DY108" s="1051"/>
      <c r="DZ108" s="1051"/>
      <c r="EA108" s="1051"/>
      <c r="EB108" s="1051"/>
      <c r="EC108" s="1051"/>
      <c r="ED108" s="1051"/>
      <c r="EE108" s="1051"/>
      <c r="EF108" s="1051"/>
      <c r="EG108" s="1051"/>
      <c r="EH108" s="1051"/>
      <c r="EI108" s="1051"/>
      <c r="EJ108" s="1051"/>
      <c r="EK108" s="1051"/>
      <c r="EL108" s="1051"/>
      <c r="EM108" s="1051"/>
      <c r="EN108" s="1051"/>
      <c r="EO108" s="1051"/>
      <c r="EP108" s="1051"/>
      <c r="EQ108" s="1051"/>
      <c r="ER108" s="1051"/>
      <c r="ES108" s="1051"/>
      <c r="ET108" s="1051"/>
      <c r="EU108" s="1051"/>
      <c r="EV108" s="1051"/>
      <c r="EW108" s="77"/>
      <c r="EX108" s="77"/>
      <c r="EY108" s="77"/>
      <c r="EZ108" s="77"/>
      <c r="FA108" s="77"/>
      <c r="FB108" s="77"/>
      <c r="FC108" s="77"/>
      <c r="FD108" s="77"/>
      <c r="FE108" s="77"/>
      <c r="FF108" s="77"/>
      <c r="FG108" s="77"/>
      <c r="FH108" s="77"/>
      <c r="FI108" s="77"/>
    </row>
    <row r="109" spans="1:168" ht="120" customHeight="1" x14ac:dyDescent="0.85">
      <c r="A109" s="69"/>
      <c r="B109" s="69"/>
      <c r="C109" s="76"/>
      <c r="D109" s="76"/>
      <c r="E109" s="401" t="s">
        <v>169</v>
      </c>
      <c r="F109" s="401"/>
      <c r="G109" s="401"/>
      <c r="H109" s="401"/>
      <c r="I109" s="401"/>
      <c r="J109" s="401"/>
      <c r="K109" s="401"/>
      <c r="L109" s="401"/>
      <c r="M109" s="401"/>
      <c r="N109" s="401"/>
      <c r="O109" s="401"/>
      <c r="P109" s="401"/>
      <c r="Q109" s="401"/>
      <c r="R109" s="401"/>
      <c r="S109" s="401"/>
      <c r="T109" s="401"/>
      <c r="U109" s="401"/>
      <c r="V109" s="401"/>
      <c r="W109" s="401"/>
      <c r="X109" s="401"/>
      <c r="Y109" s="401"/>
      <c r="Z109" s="401"/>
      <c r="AA109" s="401"/>
      <c r="AB109" s="401"/>
      <c r="AC109" s="401"/>
      <c r="AD109" s="401"/>
      <c r="AE109" s="401"/>
      <c r="AF109" s="442">
        <f>HX23</f>
        <v>2</v>
      </c>
      <c r="AG109" s="443"/>
      <c r="AH109" s="443"/>
      <c r="AI109" s="443"/>
      <c r="AJ109" s="443"/>
      <c r="AK109" s="443"/>
      <c r="AL109" s="443"/>
      <c r="AM109" s="443"/>
      <c r="AN109" s="443"/>
      <c r="AO109" s="444"/>
      <c r="AP109" s="445" t="s">
        <v>172</v>
      </c>
      <c r="AQ109" s="446"/>
      <c r="AR109" s="446"/>
      <c r="AS109" s="446"/>
      <c r="AT109" s="446"/>
      <c r="AU109" s="446"/>
      <c r="AV109" s="446"/>
      <c r="AW109" s="447"/>
      <c r="AX109" s="533"/>
      <c r="AY109" s="525"/>
      <c r="AZ109" s="525"/>
      <c r="BA109" s="525"/>
      <c r="BB109" s="525"/>
      <c r="BC109" s="525"/>
      <c r="BD109" s="525"/>
      <c r="BE109" s="525"/>
      <c r="BF109" s="525"/>
      <c r="BG109" s="525"/>
      <c r="BH109" s="525"/>
      <c r="BI109" s="525"/>
      <c r="BJ109" s="525"/>
      <c r="BK109" s="525"/>
      <c r="BL109" s="525"/>
      <c r="BM109" s="525"/>
      <c r="BN109" s="525"/>
      <c r="BO109" s="525"/>
      <c r="BP109" s="525"/>
      <c r="BQ109" s="525"/>
      <c r="BR109" s="525"/>
      <c r="BS109" s="525"/>
      <c r="BT109" s="525"/>
      <c r="BU109" s="525"/>
      <c r="BV109" s="525"/>
      <c r="BW109" s="525"/>
      <c r="BX109" s="525"/>
      <c r="BY109" s="525"/>
      <c r="BZ109" s="525"/>
      <c r="CA109" s="525"/>
      <c r="CB109" s="525"/>
      <c r="CC109" s="525"/>
      <c r="CD109" s="525"/>
      <c r="CE109" s="525"/>
      <c r="CF109" s="525"/>
      <c r="CG109" s="525"/>
      <c r="CH109" s="525"/>
      <c r="CI109" s="525"/>
      <c r="CJ109" s="525"/>
      <c r="CK109" s="525"/>
      <c r="CL109" s="534"/>
      <c r="CM109" s="77"/>
      <c r="CN109" s="77"/>
      <c r="CO109" s="77"/>
      <c r="CP109" s="77"/>
      <c r="CQ109" s="77"/>
      <c r="CR109" s="77"/>
      <c r="CS109" s="1051"/>
      <c r="CT109" s="1051"/>
      <c r="CU109" s="1051"/>
      <c r="CV109" s="1051"/>
      <c r="CW109" s="1051"/>
      <c r="CX109" s="1051"/>
      <c r="CY109" s="1051"/>
      <c r="CZ109" s="1051"/>
      <c r="DA109" s="1051"/>
      <c r="DB109" s="1051"/>
      <c r="DC109" s="1051"/>
      <c r="DD109" s="1051"/>
      <c r="DE109" s="1051"/>
      <c r="DF109" s="1051"/>
      <c r="DG109" s="1051"/>
      <c r="DH109" s="1051"/>
      <c r="DI109" s="1051"/>
      <c r="DJ109" s="1051"/>
      <c r="DK109" s="1051"/>
      <c r="DL109" s="1051"/>
      <c r="DM109" s="1051"/>
      <c r="DN109" s="1051"/>
      <c r="DO109" s="1051"/>
      <c r="DP109" s="1051"/>
      <c r="DQ109" s="1051"/>
      <c r="DR109" s="1051"/>
      <c r="DS109" s="1051"/>
      <c r="DT109" s="1051"/>
      <c r="DU109" s="1051"/>
      <c r="DV109" s="1051"/>
      <c r="DW109" s="1051"/>
      <c r="DX109" s="1051"/>
      <c r="DY109" s="1051"/>
      <c r="DZ109" s="1051"/>
      <c r="EA109" s="1051"/>
      <c r="EB109" s="1051"/>
      <c r="EC109" s="1051"/>
      <c r="ED109" s="1051"/>
      <c r="EE109" s="1051"/>
      <c r="EF109" s="1051"/>
      <c r="EG109" s="1051"/>
      <c r="EH109" s="1051"/>
      <c r="EI109" s="1051"/>
      <c r="EJ109" s="1051"/>
      <c r="EK109" s="1051"/>
      <c r="EL109" s="1051"/>
      <c r="EM109" s="1051"/>
      <c r="EN109" s="1051"/>
      <c r="EO109" s="1051"/>
      <c r="EP109" s="1051"/>
      <c r="EQ109" s="1051"/>
      <c r="ER109" s="1051"/>
      <c r="ES109" s="1051"/>
      <c r="ET109" s="1051"/>
      <c r="EU109" s="1051"/>
      <c r="EV109" s="1051"/>
      <c r="EW109" s="77"/>
      <c r="EX109" s="77"/>
      <c r="EY109" s="77"/>
      <c r="EZ109" s="77"/>
      <c r="FA109" s="77"/>
      <c r="FB109" s="77"/>
      <c r="FC109" s="77"/>
      <c r="FD109" s="77"/>
      <c r="FE109" s="77"/>
      <c r="FF109" s="77"/>
      <c r="FG109" s="77"/>
      <c r="FH109" s="77"/>
      <c r="FI109" s="77"/>
    </row>
    <row r="110" spans="1:168" ht="120" customHeight="1" x14ac:dyDescent="0.85">
      <c r="A110" s="69"/>
      <c r="B110" s="69"/>
      <c r="C110" s="76"/>
      <c r="D110" s="76"/>
      <c r="E110" s="820" t="s">
        <v>170</v>
      </c>
      <c r="F110" s="820"/>
      <c r="G110" s="820"/>
      <c r="H110" s="820"/>
      <c r="I110" s="820"/>
      <c r="J110" s="820"/>
      <c r="K110" s="820"/>
      <c r="L110" s="820"/>
      <c r="M110" s="820"/>
      <c r="N110" s="820"/>
      <c r="O110" s="820"/>
      <c r="P110" s="820"/>
      <c r="Q110" s="820"/>
      <c r="R110" s="820"/>
      <c r="S110" s="820"/>
      <c r="T110" s="820"/>
      <c r="U110" s="820"/>
      <c r="V110" s="820"/>
      <c r="W110" s="820"/>
      <c r="X110" s="820"/>
      <c r="Y110" s="820"/>
      <c r="Z110" s="820"/>
      <c r="AA110" s="820"/>
      <c r="AB110" s="820"/>
      <c r="AC110" s="820"/>
      <c r="AD110" s="820"/>
      <c r="AE110" s="820"/>
      <c r="AF110" s="442">
        <f>HZ23</f>
        <v>56</v>
      </c>
      <c r="AG110" s="443"/>
      <c r="AH110" s="443"/>
      <c r="AI110" s="443"/>
      <c r="AJ110" s="443"/>
      <c r="AK110" s="443"/>
      <c r="AL110" s="443"/>
      <c r="AM110" s="443"/>
      <c r="AN110" s="443"/>
      <c r="AO110" s="444"/>
      <c r="AP110" s="445" t="s">
        <v>100</v>
      </c>
      <c r="AQ110" s="446"/>
      <c r="AR110" s="446"/>
      <c r="AS110" s="446"/>
      <c r="AT110" s="446"/>
      <c r="AU110" s="446"/>
      <c r="AV110" s="446"/>
      <c r="AW110" s="447"/>
      <c r="AX110" s="533"/>
      <c r="AY110" s="525"/>
      <c r="AZ110" s="525"/>
      <c r="BA110" s="525"/>
      <c r="BB110" s="525"/>
      <c r="BC110" s="525"/>
      <c r="BD110" s="525"/>
      <c r="BE110" s="525"/>
      <c r="BF110" s="525"/>
      <c r="BG110" s="525"/>
      <c r="BH110" s="525"/>
      <c r="BI110" s="525"/>
      <c r="BJ110" s="525"/>
      <c r="BK110" s="525"/>
      <c r="BL110" s="525"/>
      <c r="BM110" s="525"/>
      <c r="BN110" s="525"/>
      <c r="BO110" s="525"/>
      <c r="BP110" s="525"/>
      <c r="BQ110" s="525"/>
      <c r="BR110" s="525"/>
      <c r="BS110" s="525"/>
      <c r="BT110" s="525"/>
      <c r="BU110" s="525"/>
      <c r="BV110" s="525"/>
      <c r="BW110" s="525"/>
      <c r="BX110" s="525"/>
      <c r="BY110" s="525"/>
      <c r="BZ110" s="525"/>
      <c r="CA110" s="525"/>
      <c r="CB110" s="525"/>
      <c r="CC110" s="525"/>
      <c r="CD110" s="525"/>
      <c r="CE110" s="525"/>
      <c r="CF110" s="525"/>
      <c r="CG110" s="525"/>
      <c r="CH110" s="525"/>
      <c r="CI110" s="525"/>
      <c r="CJ110" s="525"/>
      <c r="CK110" s="525"/>
      <c r="CL110" s="534"/>
      <c r="CM110" s="77"/>
      <c r="CN110" s="77"/>
      <c r="CO110" s="77"/>
      <c r="CP110" s="77"/>
      <c r="CQ110" s="77"/>
      <c r="CR110" s="77"/>
      <c r="CS110" s="1051"/>
      <c r="CT110" s="1051"/>
      <c r="CU110" s="1051"/>
      <c r="CV110" s="1051"/>
      <c r="CW110" s="1051"/>
      <c r="CX110" s="1051"/>
      <c r="CY110" s="1051"/>
      <c r="CZ110" s="1051"/>
      <c r="DA110" s="1051"/>
      <c r="DB110" s="1051"/>
      <c r="DC110" s="1051"/>
      <c r="DD110" s="1051"/>
      <c r="DE110" s="1051"/>
      <c r="DF110" s="1051"/>
      <c r="DG110" s="1051"/>
      <c r="DH110" s="1051"/>
      <c r="DI110" s="1051"/>
      <c r="DJ110" s="1051"/>
      <c r="DK110" s="1051"/>
      <c r="DL110" s="1051"/>
      <c r="DM110" s="1051"/>
      <c r="DN110" s="1051"/>
      <c r="DO110" s="1051"/>
      <c r="DP110" s="1051"/>
      <c r="DQ110" s="1051"/>
      <c r="DR110" s="1051"/>
      <c r="DS110" s="1051"/>
      <c r="DT110" s="1051"/>
      <c r="DU110" s="1051"/>
      <c r="DV110" s="1051"/>
      <c r="DW110" s="1051"/>
      <c r="DX110" s="1051"/>
      <c r="DY110" s="1051"/>
      <c r="DZ110" s="1051"/>
      <c r="EA110" s="1051"/>
      <c r="EB110" s="1051"/>
      <c r="EC110" s="1051"/>
      <c r="ED110" s="1051"/>
      <c r="EE110" s="1051"/>
      <c r="EF110" s="1051"/>
      <c r="EG110" s="1051"/>
      <c r="EH110" s="1051"/>
      <c r="EI110" s="1051"/>
      <c r="EJ110" s="1051"/>
      <c r="EK110" s="1051"/>
      <c r="EL110" s="1051"/>
      <c r="EM110" s="1051"/>
      <c r="EN110" s="1051"/>
      <c r="EO110" s="1051"/>
      <c r="EP110" s="1051"/>
      <c r="EQ110" s="1051"/>
      <c r="ER110" s="1051"/>
      <c r="ES110" s="1051"/>
      <c r="ET110" s="1051"/>
      <c r="EU110" s="1051"/>
      <c r="EV110" s="1051"/>
      <c r="EW110" s="77"/>
      <c r="EX110" s="77"/>
      <c r="EY110" s="77"/>
      <c r="EZ110" s="77"/>
      <c r="FA110" s="77"/>
      <c r="FB110" s="77"/>
      <c r="FC110" s="77"/>
      <c r="FD110" s="77"/>
      <c r="FE110" s="77"/>
      <c r="FF110" s="77"/>
      <c r="FG110" s="77"/>
      <c r="FH110" s="77"/>
      <c r="FI110" s="77"/>
    </row>
    <row r="111" spans="1:168" ht="120" customHeight="1" x14ac:dyDescent="0.85">
      <c r="A111" s="69"/>
      <c r="B111" s="69"/>
      <c r="C111" s="76"/>
      <c r="D111" s="76"/>
      <c r="E111" s="401" t="s">
        <v>15</v>
      </c>
      <c r="F111" s="401"/>
      <c r="G111" s="401"/>
      <c r="H111" s="401"/>
      <c r="I111" s="401"/>
      <c r="J111" s="401"/>
      <c r="K111" s="401"/>
      <c r="L111" s="401"/>
      <c r="M111" s="401"/>
      <c r="N111" s="401"/>
      <c r="O111" s="401"/>
      <c r="P111" s="401"/>
      <c r="Q111" s="401"/>
      <c r="R111" s="401"/>
      <c r="S111" s="401"/>
      <c r="T111" s="401"/>
      <c r="U111" s="401"/>
      <c r="V111" s="401"/>
      <c r="W111" s="401"/>
      <c r="X111" s="401"/>
      <c r="Y111" s="401"/>
      <c r="Z111" s="401"/>
      <c r="AA111" s="401"/>
      <c r="AB111" s="401"/>
      <c r="AC111" s="401"/>
      <c r="AD111" s="401"/>
      <c r="AE111" s="401"/>
      <c r="AF111" s="442">
        <f>HT23</f>
        <v>5</v>
      </c>
      <c r="AG111" s="443"/>
      <c r="AH111" s="443"/>
      <c r="AI111" s="443"/>
      <c r="AJ111" s="443"/>
      <c r="AK111" s="443"/>
      <c r="AL111" s="443"/>
      <c r="AM111" s="443"/>
      <c r="AN111" s="443"/>
      <c r="AO111" s="444"/>
      <c r="AP111" s="445" t="s">
        <v>173</v>
      </c>
      <c r="AQ111" s="446"/>
      <c r="AR111" s="446"/>
      <c r="AS111" s="446"/>
      <c r="AT111" s="446"/>
      <c r="AU111" s="446"/>
      <c r="AV111" s="446"/>
      <c r="AW111" s="447"/>
      <c r="AX111" s="533"/>
      <c r="AY111" s="525"/>
      <c r="AZ111" s="525"/>
      <c r="BA111" s="525"/>
      <c r="BB111" s="525"/>
      <c r="BC111" s="525"/>
      <c r="BD111" s="525"/>
      <c r="BE111" s="525"/>
      <c r="BF111" s="525"/>
      <c r="BG111" s="525"/>
      <c r="BH111" s="525"/>
      <c r="BI111" s="525"/>
      <c r="BJ111" s="525"/>
      <c r="BK111" s="525"/>
      <c r="BL111" s="525"/>
      <c r="BM111" s="525"/>
      <c r="BN111" s="525"/>
      <c r="BO111" s="525"/>
      <c r="BP111" s="525"/>
      <c r="BQ111" s="525"/>
      <c r="BR111" s="525"/>
      <c r="BS111" s="525"/>
      <c r="BT111" s="525"/>
      <c r="BU111" s="525"/>
      <c r="BV111" s="525"/>
      <c r="BW111" s="525"/>
      <c r="BX111" s="525"/>
      <c r="BY111" s="525"/>
      <c r="BZ111" s="525"/>
      <c r="CA111" s="525"/>
      <c r="CB111" s="525"/>
      <c r="CC111" s="525"/>
      <c r="CD111" s="525"/>
      <c r="CE111" s="525"/>
      <c r="CF111" s="525"/>
      <c r="CG111" s="525"/>
      <c r="CH111" s="525"/>
      <c r="CI111" s="525"/>
      <c r="CJ111" s="525"/>
      <c r="CK111" s="525"/>
      <c r="CL111" s="534"/>
      <c r="CM111" s="77"/>
      <c r="CN111" s="77"/>
      <c r="CO111" s="77"/>
      <c r="CP111" s="77"/>
      <c r="CQ111" s="77"/>
      <c r="CR111" s="77"/>
      <c r="CS111" s="1051"/>
      <c r="CT111" s="1051"/>
      <c r="CU111" s="1051"/>
      <c r="CV111" s="1051"/>
      <c r="CW111" s="1051"/>
      <c r="CX111" s="1051"/>
      <c r="CY111" s="1051"/>
      <c r="CZ111" s="1051"/>
      <c r="DA111" s="1051"/>
      <c r="DB111" s="1051"/>
      <c r="DC111" s="1051"/>
      <c r="DD111" s="1051"/>
      <c r="DE111" s="1051"/>
      <c r="DF111" s="1051"/>
      <c r="DG111" s="1051"/>
      <c r="DH111" s="1051"/>
      <c r="DI111" s="1051"/>
      <c r="DJ111" s="1051"/>
      <c r="DK111" s="1051"/>
      <c r="DL111" s="1051"/>
      <c r="DM111" s="1051"/>
      <c r="DN111" s="1051"/>
      <c r="DO111" s="1051"/>
      <c r="DP111" s="1051"/>
      <c r="DQ111" s="1051"/>
      <c r="DR111" s="1051"/>
      <c r="DS111" s="1051"/>
      <c r="DT111" s="1051"/>
      <c r="DU111" s="1051"/>
      <c r="DV111" s="1051"/>
      <c r="DW111" s="1051"/>
      <c r="DX111" s="1051"/>
      <c r="DY111" s="1051"/>
      <c r="DZ111" s="1051"/>
      <c r="EA111" s="1051"/>
      <c r="EB111" s="1051"/>
      <c r="EC111" s="1051"/>
      <c r="ED111" s="1051"/>
      <c r="EE111" s="1051"/>
      <c r="EF111" s="1051"/>
      <c r="EG111" s="1051"/>
      <c r="EH111" s="1051"/>
      <c r="EI111" s="1051"/>
      <c r="EJ111" s="1051"/>
      <c r="EK111" s="1051"/>
      <c r="EL111" s="1051"/>
      <c r="EM111" s="1051"/>
      <c r="EN111" s="1051"/>
      <c r="EO111" s="1051"/>
      <c r="EP111" s="1051"/>
      <c r="EQ111" s="1051"/>
      <c r="ER111" s="1051"/>
      <c r="ES111" s="1051"/>
      <c r="ET111" s="1051"/>
      <c r="EU111" s="1051"/>
      <c r="EV111" s="1051"/>
      <c r="EW111" s="77"/>
      <c r="EX111" s="77"/>
      <c r="EY111" s="77"/>
      <c r="EZ111" s="77"/>
      <c r="FA111" s="77"/>
      <c r="FB111" s="77"/>
      <c r="FC111" s="77"/>
      <c r="FD111" s="77"/>
      <c r="FE111" s="77"/>
      <c r="FF111" s="77"/>
      <c r="FG111" s="77"/>
      <c r="FH111" s="77"/>
      <c r="FI111" s="77"/>
    </row>
    <row r="112" spans="1:168" ht="120" customHeight="1" x14ac:dyDescent="0.85">
      <c r="A112" s="69"/>
      <c r="B112" s="69"/>
      <c r="C112" s="76"/>
      <c r="D112" s="76"/>
      <c r="E112" s="911" t="s">
        <v>20</v>
      </c>
      <c r="F112" s="911"/>
      <c r="G112" s="911"/>
      <c r="H112" s="911"/>
      <c r="I112" s="911"/>
      <c r="J112" s="911"/>
      <c r="K112" s="911"/>
      <c r="L112" s="911"/>
      <c r="M112" s="911"/>
      <c r="N112" s="911"/>
      <c r="O112" s="911"/>
      <c r="P112" s="911"/>
      <c r="Q112" s="911"/>
      <c r="R112" s="911"/>
      <c r="S112" s="911"/>
      <c r="T112" s="911"/>
      <c r="U112" s="911"/>
      <c r="V112" s="911"/>
      <c r="W112" s="911"/>
      <c r="X112" s="911"/>
      <c r="Y112" s="911"/>
      <c r="Z112" s="911"/>
      <c r="AA112" s="911"/>
      <c r="AB112" s="911"/>
      <c r="AC112" s="911"/>
      <c r="AD112" s="911"/>
      <c r="AE112" s="911"/>
      <c r="AF112" s="440">
        <f>SUM(AF106:AO111)</f>
        <v>234</v>
      </c>
      <c r="AG112" s="449"/>
      <c r="AH112" s="449"/>
      <c r="AI112" s="449"/>
      <c r="AJ112" s="449"/>
      <c r="AK112" s="449"/>
      <c r="AL112" s="449"/>
      <c r="AM112" s="449"/>
      <c r="AN112" s="449"/>
      <c r="AO112" s="450"/>
      <c r="AP112" s="445"/>
      <c r="AQ112" s="446"/>
      <c r="AR112" s="446"/>
      <c r="AS112" s="446"/>
      <c r="AT112" s="446"/>
      <c r="AU112" s="446"/>
      <c r="AV112" s="446"/>
      <c r="AW112" s="447"/>
      <c r="AX112" s="1167"/>
      <c r="AY112" s="327"/>
      <c r="AZ112" s="327"/>
      <c r="BA112" s="327"/>
      <c r="BB112" s="327"/>
      <c r="BC112" s="327"/>
      <c r="BD112" s="327"/>
      <c r="BE112" s="327"/>
      <c r="BF112" s="327"/>
      <c r="BG112" s="327"/>
      <c r="BH112" s="327"/>
      <c r="BI112" s="327"/>
      <c r="BJ112" s="327"/>
      <c r="BK112" s="327"/>
      <c r="BL112" s="327"/>
      <c r="BM112" s="327"/>
      <c r="BN112" s="327"/>
      <c r="BO112" s="327"/>
      <c r="BP112" s="327"/>
      <c r="BQ112" s="327"/>
      <c r="BR112" s="327"/>
      <c r="BS112" s="327"/>
      <c r="BT112" s="327"/>
      <c r="BU112" s="327"/>
      <c r="BV112" s="327"/>
      <c r="BW112" s="327"/>
      <c r="BX112" s="327"/>
      <c r="BY112" s="327"/>
      <c r="BZ112" s="327"/>
      <c r="CA112" s="327"/>
      <c r="CB112" s="327"/>
      <c r="CC112" s="327"/>
      <c r="CD112" s="327"/>
      <c r="CE112" s="327"/>
      <c r="CF112" s="327"/>
      <c r="CG112" s="327"/>
      <c r="CH112" s="327"/>
      <c r="CI112" s="327"/>
      <c r="CJ112" s="327"/>
      <c r="CK112" s="327"/>
      <c r="CL112" s="1168"/>
      <c r="CM112" s="77"/>
      <c r="CN112" s="77"/>
      <c r="CO112" s="77"/>
      <c r="CP112" s="77"/>
      <c r="CQ112" s="77"/>
      <c r="CR112" s="77"/>
      <c r="CS112" s="1051"/>
      <c r="CT112" s="1051"/>
      <c r="CU112" s="1051"/>
      <c r="CV112" s="1051"/>
      <c r="CW112" s="1051"/>
      <c r="CX112" s="1051"/>
      <c r="CY112" s="1051"/>
      <c r="CZ112" s="1051"/>
      <c r="DA112" s="1051"/>
      <c r="DB112" s="1051"/>
      <c r="DC112" s="1051"/>
      <c r="DD112" s="1051"/>
      <c r="DE112" s="1051"/>
      <c r="DF112" s="1051"/>
      <c r="DG112" s="1051"/>
      <c r="DH112" s="1051"/>
      <c r="DI112" s="1051"/>
      <c r="DJ112" s="1051"/>
      <c r="DK112" s="1051"/>
      <c r="DL112" s="1051"/>
      <c r="DM112" s="1051"/>
      <c r="DN112" s="1051"/>
      <c r="DO112" s="1051"/>
      <c r="DP112" s="1051"/>
      <c r="DQ112" s="1051"/>
      <c r="DR112" s="1051"/>
      <c r="DS112" s="1051"/>
      <c r="DT112" s="1051"/>
      <c r="DU112" s="1051"/>
      <c r="DV112" s="1051"/>
      <c r="DW112" s="1051"/>
      <c r="DX112" s="1051"/>
      <c r="DY112" s="1051"/>
      <c r="DZ112" s="1051"/>
      <c r="EA112" s="1051"/>
      <c r="EB112" s="1051"/>
      <c r="EC112" s="1051"/>
      <c r="ED112" s="1051"/>
      <c r="EE112" s="1051"/>
      <c r="EF112" s="1051"/>
      <c r="EG112" s="1051"/>
      <c r="EH112" s="1051"/>
      <c r="EI112" s="1051"/>
      <c r="EJ112" s="1051"/>
      <c r="EK112" s="1051"/>
      <c r="EL112" s="1051"/>
      <c r="EM112" s="1051"/>
      <c r="EN112" s="1051"/>
      <c r="EO112" s="1051"/>
      <c r="EP112" s="1051"/>
      <c r="EQ112" s="1051"/>
      <c r="ER112" s="1051"/>
      <c r="ES112" s="1051"/>
      <c r="ET112" s="1051"/>
      <c r="EU112" s="1051"/>
      <c r="EV112" s="1051"/>
      <c r="EW112" s="77"/>
      <c r="EX112" s="77"/>
      <c r="EY112" s="77"/>
      <c r="EZ112" s="77"/>
      <c r="FA112" s="77"/>
      <c r="FB112" s="77"/>
      <c r="FC112" s="77"/>
      <c r="FD112" s="77"/>
      <c r="FE112" s="77"/>
      <c r="FF112" s="77"/>
      <c r="FG112" s="77"/>
      <c r="FH112" s="77"/>
      <c r="FI112" s="77"/>
    </row>
    <row r="113" spans="1:168" ht="120" customHeight="1" x14ac:dyDescent="0.85">
      <c r="A113" s="69"/>
      <c r="B113" s="69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8"/>
      <c r="X113" s="78"/>
      <c r="Y113" s="78"/>
      <c r="Z113" s="79"/>
      <c r="AA113" s="79"/>
      <c r="AB113" s="79"/>
      <c r="AC113" s="79"/>
      <c r="AD113" s="79"/>
      <c r="AE113" s="77"/>
      <c r="AF113" s="77"/>
      <c r="AG113" s="77"/>
      <c r="AH113" s="77"/>
      <c r="AI113" s="77"/>
      <c r="AJ113" s="77"/>
      <c r="AK113" s="77"/>
      <c r="AL113" s="77"/>
      <c r="AM113" s="77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9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7"/>
      <c r="BK113" s="77"/>
      <c r="BL113" s="78"/>
      <c r="BM113" s="78"/>
      <c r="BN113" s="78"/>
      <c r="BO113" s="78"/>
      <c r="BP113" s="78"/>
      <c r="BQ113" s="78"/>
      <c r="BR113" s="78"/>
      <c r="BS113" s="77"/>
      <c r="BT113" s="77"/>
      <c r="BU113" s="77"/>
      <c r="BV113" s="77"/>
      <c r="BW113" s="77"/>
      <c r="BX113" s="77"/>
      <c r="BY113" s="77"/>
      <c r="BZ113" s="77"/>
      <c r="CA113" s="77"/>
      <c r="CB113" s="77"/>
      <c r="CC113" s="77"/>
      <c r="CD113" s="77"/>
      <c r="CE113" s="77"/>
      <c r="CF113" s="77"/>
      <c r="CG113" s="77"/>
      <c r="CH113" s="77"/>
      <c r="CI113" s="77"/>
      <c r="CJ113" s="77"/>
      <c r="CK113" s="77"/>
      <c r="CL113" s="77"/>
      <c r="CM113" s="77"/>
      <c r="CN113" s="77"/>
      <c r="CO113" s="77"/>
      <c r="CP113" s="77"/>
      <c r="CQ113" s="77"/>
      <c r="CR113" s="77"/>
      <c r="CS113" s="77"/>
      <c r="CT113" s="77"/>
      <c r="CU113" s="77"/>
      <c r="CV113" s="77"/>
      <c r="CW113" s="77"/>
      <c r="CX113" s="77"/>
      <c r="CY113" s="77"/>
      <c r="CZ113" s="77"/>
      <c r="DA113" s="77"/>
      <c r="DB113" s="77"/>
      <c r="DC113" s="77"/>
      <c r="DD113" s="77"/>
      <c r="DE113" s="77"/>
      <c r="DF113" s="77"/>
      <c r="DG113" s="77"/>
      <c r="DH113" s="77"/>
      <c r="DI113" s="77"/>
      <c r="DJ113" s="77"/>
      <c r="DK113" s="77"/>
      <c r="DL113" s="77"/>
      <c r="DM113" s="77"/>
      <c r="DN113" s="77"/>
      <c r="DO113" s="77"/>
      <c r="DP113" s="77"/>
      <c r="DQ113" s="77"/>
      <c r="DR113" s="77"/>
      <c r="DS113" s="77"/>
      <c r="DT113" s="77"/>
      <c r="DU113" s="77"/>
      <c r="DV113" s="77"/>
      <c r="DW113" s="77"/>
      <c r="DX113" s="77"/>
      <c r="DY113" s="77"/>
      <c r="DZ113" s="77"/>
      <c r="EA113" s="77"/>
      <c r="EB113" s="77"/>
      <c r="EC113" s="77"/>
      <c r="ED113" s="77"/>
      <c r="EE113" s="77"/>
      <c r="EF113" s="77"/>
      <c r="EG113" s="77"/>
      <c r="EH113" s="77"/>
      <c r="EI113" s="77"/>
      <c r="EJ113" s="77"/>
      <c r="EK113" s="77"/>
      <c r="EL113" s="77"/>
      <c r="EM113" s="77"/>
      <c r="EN113" s="77"/>
      <c r="EO113" s="77"/>
      <c r="EP113" s="77"/>
      <c r="EQ113" s="77"/>
      <c r="ER113" s="77"/>
      <c r="ES113" s="77"/>
      <c r="ET113" s="77"/>
      <c r="EU113" s="77"/>
      <c r="EV113" s="77"/>
      <c r="EW113" s="77"/>
      <c r="EX113" s="77"/>
      <c r="EY113" s="77"/>
      <c r="EZ113" s="77"/>
      <c r="FA113" s="77"/>
      <c r="FB113" s="77"/>
      <c r="FC113" s="77"/>
      <c r="FD113" s="77"/>
      <c r="FE113" s="77"/>
      <c r="FF113" s="77"/>
      <c r="FG113" s="77"/>
      <c r="FH113" s="77"/>
      <c r="FI113" s="77"/>
    </row>
    <row r="114" spans="1:168" s="1" customFormat="1" ht="120" customHeight="1" x14ac:dyDescent="0.85">
      <c r="A114" s="69"/>
      <c r="B114" s="317" t="s">
        <v>255</v>
      </c>
      <c r="C114" s="317"/>
      <c r="D114" s="317"/>
      <c r="E114" s="317"/>
      <c r="F114" s="317"/>
      <c r="G114" s="317"/>
      <c r="H114" s="317"/>
      <c r="I114" s="317"/>
      <c r="J114" s="317"/>
      <c r="K114" s="317"/>
      <c r="L114" s="317"/>
      <c r="M114" s="317"/>
      <c r="N114" s="317"/>
      <c r="O114" s="317"/>
      <c r="P114" s="317"/>
      <c r="Q114" s="317"/>
      <c r="R114" s="317"/>
      <c r="S114" s="317"/>
      <c r="T114" s="317"/>
      <c r="U114" s="317"/>
      <c r="V114" s="317"/>
      <c r="W114" s="317"/>
      <c r="X114" s="317"/>
      <c r="Y114" s="318" t="s">
        <v>104</v>
      </c>
      <c r="Z114" s="318"/>
      <c r="AA114" s="318"/>
      <c r="AB114" s="318"/>
      <c r="AC114" s="318"/>
      <c r="AD114" s="318"/>
      <c r="AE114" s="318"/>
      <c r="AF114" s="318"/>
      <c r="AG114" s="318"/>
      <c r="AH114" s="318"/>
      <c r="AI114" s="318"/>
      <c r="AJ114" s="318"/>
      <c r="AK114" s="318"/>
      <c r="AL114" s="318"/>
      <c r="AM114" s="318"/>
      <c r="AN114" s="318"/>
      <c r="AO114" s="318"/>
      <c r="AP114" s="318"/>
      <c r="AQ114" s="318"/>
      <c r="AR114" s="318"/>
      <c r="AS114" s="318"/>
      <c r="AT114" s="318"/>
      <c r="AU114" s="318"/>
      <c r="AV114" s="318"/>
      <c r="AW114" s="318"/>
      <c r="AX114" s="318"/>
      <c r="AY114" s="448"/>
      <c r="AZ114" s="448"/>
      <c r="BA114" s="448"/>
      <c r="BB114" s="448"/>
      <c r="BC114" s="448"/>
      <c r="BD114" s="448"/>
      <c r="BE114" s="448"/>
      <c r="BF114" s="448"/>
      <c r="BG114" s="448"/>
      <c r="BH114" s="448"/>
      <c r="BI114" s="448"/>
      <c r="BJ114" s="448"/>
      <c r="BK114" s="448"/>
      <c r="BL114" s="448"/>
      <c r="BM114" s="448"/>
      <c r="BN114" s="448"/>
      <c r="BO114" s="448"/>
      <c r="BP114" s="448"/>
      <c r="BQ114" s="448"/>
      <c r="BR114" s="448"/>
      <c r="BS114" s="448"/>
      <c r="BT114" s="448"/>
      <c r="BU114" s="448"/>
      <c r="BV114" s="448"/>
      <c r="BW114" s="77"/>
      <c r="BX114" s="77"/>
      <c r="BY114" s="77"/>
      <c r="BZ114" s="77"/>
      <c r="CA114" s="77"/>
      <c r="CB114" s="77"/>
      <c r="CC114" s="77"/>
      <c r="CD114" s="77"/>
      <c r="CE114" s="77"/>
      <c r="CF114" s="77"/>
      <c r="CG114" s="77"/>
      <c r="CH114" s="77"/>
      <c r="CI114" s="77"/>
      <c r="CJ114" s="77"/>
      <c r="CK114" s="77"/>
      <c r="CL114" s="77"/>
      <c r="CM114" s="77"/>
      <c r="CN114" s="77"/>
      <c r="CO114" s="77"/>
      <c r="CP114" s="77"/>
      <c r="CQ114" s="77"/>
      <c r="CR114" s="77"/>
      <c r="CS114" s="77"/>
      <c r="CT114" s="77"/>
      <c r="CU114" s="77"/>
      <c r="CV114" s="77"/>
      <c r="CW114" s="77"/>
      <c r="CX114" s="77"/>
      <c r="CY114" s="77"/>
      <c r="CZ114" s="77"/>
      <c r="DA114" s="77"/>
      <c r="DB114" s="77"/>
      <c r="DC114" s="77"/>
      <c r="DD114" s="77"/>
      <c r="DE114" s="77"/>
      <c r="DF114" s="77"/>
      <c r="DG114" s="77"/>
      <c r="DH114" s="77"/>
      <c r="DI114" s="77"/>
      <c r="DJ114" s="77"/>
      <c r="DK114" s="77"/>
      <c r="DL114" s="77"/>
      <c r="DM114" s="77"/>
      <c r="DN114" s="77"/>
      <c r="DO114" s="77"/>
      <c r="DP114" s="77"/>
      <c r="DQ114" s="77"/>
      <c r="DR114" s="77"/>
      <c r="DS114" s="77"/>
      <c r="DT114" s="77"/>
      <c r="DU114" s="77"/>
      <c r="DV114" s="77"/>
      <c r="DW114" s="77"/>
      <c r="DX114" s="77"/>
      <c r="DY114" s="77"/>
      <c r="DZ114" s="77"/>
      <c r="EA114" s="77"/>
      <c r="EB114" s="77"/>
      <c r="EC114" s="77"/>
      <c r="ED114" s="77"/>
      <c r="EE114" s="77"/>
      <c r="EF114" s="77"/>
      <c r="EG114" s="77"/>
      <c r="EH114" s="77"/>
      <c r="EI114" s="77"/>
      <c r="EJ114" s="77"/>
      <c r="EK114" s="77"/>
      <c r="EL114" s="77"/>
      <c r="EM114" s="77"/>
      <c r="EN114" s="77"/>
      <c r="EO114" s="77"/>
      <c r="EP114" s="77"/>
      <c r="EQ114" s="77"/>
      <c r="ER114" s="77"/>
      <c r="ES114" s="77"/>
      <c r="ET114" s="77"/>
      <c r="EU114" s="77"/>
      <c r="EV114" s="77"/>
      <c r="EW114" s="77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</row>
    <row r="115" spans="1:168" s="1" customFormat="1" ht="120" customHeight="1" x14ac:dyDescent="0.85">
      <c r="A115" s="69"/>
      <c r="B115" s="317"/>
      <c r="C115" s="317"/>
      <c r="D115" s="317"/>
      <c r="E115" s="317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17"/>
      <c r="W115" s="317"/>
      <c r="X115" s="317"/>
      <c r="Y115" s="448"/>
      <c r="Z115" s="448"/>
      <c r="AA115" s="448"/>
      <c r="AB115" s="448"/>
      <c r="AC115" s="448"/>
      <c r="AD115" s="448"/>
      <c r="AE115" s="448"/>
      <c r="AF115" s="448"/>
      <c r="AG115" s="448"/>
      <c r="AH115" s="448"/>
      <c r="AI115" s="448"/>
      <c r="AJ115" s="448"/>
      <c r="AK115" s="448"/>
      <c r="AL115" s="448"/>
      <c r="AM115" s="448"/>
      <c r="AN115" s="448"/>
      <c r="AO115" s="448"/>
      <c r="AP115" s="448"/>
      <c r="AQ115" s="448"/>
      <c r="AR115" s="448"/>
      <c r="AS115" s="448"/>
      <c r="AT115" s="448"/>
      <c r="AU115" s="448"/>
      <c r="AV115" s="448"/>
      <c r="AW115" s="448"/>
      <c r="AX115" s="448"/>
      <c r="AY115" s="448"/>
      <c r="AZ115" s="448"/>
      <c r="BA115" s="448"/>
      <c r="BB115" s="448"/>
      <c r="BC115" s="448"/>
      <c r="BD115" s="448"/>
      <c r="BE115" s="448"/>
      <c r="BF115" s="448"/>
      <c r="BG115" s="448"/>
      <c r="BH115" s="448"/>
      <c r="BI115" s="448"/>
      <c r="BJ115" s="448"/>
      <c r="BK115" s="448"/>
      <c r="BL115" s="448"/>
      <c r="BM115" s="448"/>
      <c r="BN115" s="448"/>
      <c r="BO115" s="448"/>
      <c r="BP115" s="448"/>
      <c r="BQ115" s="448"/>
      <c r="BR115" s="448"/>
      <c r="BS115" s="448"/>
      <c r="BT115" s="448"/>
      <c r="BU115" s="448"/>
      <c r="BV115" s="448"/>
      <c r="BW115" s="77"/>
      <c r="BX115" s="77"/>
      <c r="BY115" s="77"/>
      <c r="BZ115" s="77"/>
      <c r="CA115" s="77"/>
      <c r="CB115" s="77"/>
      <c r="CC115" s="77"/>
      <c r="CD115" s="77"/>
      <c r="CE115" s="77"/>
      <c r="CF115" s="77"/>
      <c r="CG115" s="77"/>
      <c r="CH115" s="77"/>
      <c r="CI115" s="77"/>
      <c r="CJ115" s="77"/>
      <c r="CK115" s="77"/>
      <c r="CL115" s="77"/>
      <c r="CM115" s="77"/>
      <c r="CN115" s="77"/>
      <c r="CO115" s="77"/>
      <c r="CP115" s="77"/>
      <c r="CQ115" s="77"/>
      <c r="CR115" s="77"/>
      <c r="CS115" s="77"/>
      <c r="CT115" s="77"/>
      <c r="CU115" s="77"/>
      <c r="CV115" s="77"/>
      <c r="CW115" s="77"/>
      <c r="CX115" s="77"/>
      <c r="CY115" s="77"/>
      <c r="CZ115" s="77"/>
      <c r="DA115" s="77"/>
      <c r="DB115" s="77"/>
      <c r="DC115" s="77"/>
      <c r="DD115" s="77"/>
      <c r="DE115" s="77"/>
      <c r="DF115" s="77"/>
      <c r="DG115" s="77"/>
      <c r="DH115" s="77"/>
      <c r="DI115" s="77"/>
      <c r="DJ115" s="77"/>
      <c r="DK115" s="77"/>
      <c r="DL115" s="77"/>
      <c r="DM115" s="77"/>
      <c r="DN115" s="77"/>
      <c r="DO115" s="77"/>
      <c r="DP115" s="77"/>
      <c r="DQ115" s="77"/>
      <c r="DR115" s="77"/>
      <c r="DS115" s="77"/>
      <c r="DT115" s="77"/>
      <c r="DU115" s="77"/>
      <c r="DV115" s="77"/>
      <c r="DW115" s="77"/>
      <c r="DX115" s="77"/>
      <c r="DY115" s="77"/>
      <c r="DZ115" s="77"/>
      <c r="EA115" s="77"/>
      <c r="EB115" s="77"/>
      <c r="EC115" s="77"/>
      <c r="ED115" s="77"/>
      <c r="EE115" s="77"/>
      <c r="EF115" s="77"/>
      <c r="EG115" s="77"/>
      <c r="EH115" s="77"/>
      <c r="EI115" s="77"/>
      <c r="EJ115" s="77"/>
      <c r="EK115" s="77"/>
      <c r="EL115" s="77"/>
      <c r="EM115" s="77"/>
      <c r="EN115" s="77"/>
      <c r="EO115" s="77"/>
      <c r="EP115" s="77"/>
      <c r="EQ115" s="77"/>
      <c r="ER115" s="77"/>
      <c r="ES115" s="77"/>
      <c r="ET115" s="77"/>
      <c r="EU115" s="77"/>
      <c r="EV115" s="77"/>
      <c r="EW115" s="77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</row>
    <row r="116" spans="1:168" s="1" customFormat="1" ht="120" customHeight="1" x14ac:dyDescent="0.85">
      <c r="A116" s="69"/>
      <c r="B116" s="317" t="s">
        <v>256</v>
      </c>
      <c r="C116" s="317"/>
      <c r="D116" s="317"/>
      <c r="E116" s="317"/>
      <c r="F116" s="317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17"/>
      <c r="V116" s="317"/>
      <c r="W116" s="317"/>
      <c r="X116" s="317"/>
      <c r="Y116" s="318" t="s">
        <v>104</v>
      </c>
      <c r="Z116" s="318"/>
      <c r="AA116" s="318"/>
      <c r="AB116" s="318"/>
      <c r="AC116" s="318"/>
      <c r="AD116" s="318"/>
      <c r="AE116" s="318"/>
      <c r="AF116" s="318"/>
      <c r="AG116" s="318"/>
      <c r="AH116" s="318"/>
      <c r="AI116" s="318"/>
      <c r="AJ116" s="318"/>
      <c r="AK116" s="318"/>
      <c r="AL116" s="318"/>
      <c r="AM116" s="318"/>
      <c r="AN116" s="318"/>
      <c r="AO116" s="318"/>
      <c r="AP116" s="318"/>
      <c r="AQ116" s="318"/>
      <c r="AR116" s="318"/>
      <c r="AS116" s="318"/>
      <c r="AT116" s="318"/>
      <c r="AU116" s="318"/>
      <c r="AV116" s="318"/>
      <c r="AW116" s="318"/>
      <c r="AX116" s="318"/>
      <c r="AY116" s="448"/>
      <c r="AZ116" s="448"/>
      <c r="BA116" s="448"/>
      <c r="BB116" s="448"/>
      <c r="BC116" s="448"/>
      <c r="BD116" s="448"/>
      <c r="BE116" s="448"/>
      <c r="BF116" s="448"/>
      <c r="BG116" s="448"/>
      <c r="BH116" s="448"/>
      <c r="BI116" s="448"/>
      <c r="BJ116" s="448"/>
      <c r="BK116" s="448"/>
      <c r="BL116" s="448"/>
      <c r="BM116" s="448"/>
      <c r="BN116" s="448"/>
      <c r="BO116" s="448"/>
      <c r="BP116" s="448"/>
      <c r="BQ116" s="448"/>
      <c r="BR116" s="448"/>
      <c r="BS116" s="448"/>
      <c r="BT116" s="448"/>
      <c r="BU116" s="448"/>
      <c r="BV116" s="448"/>
      <c r="BW116" s="77"/>
      <c r="BX116" s="77"/>
      <c r="BY116" s="77"/>
      <c r="BZ116" s="77"/>
      <c r="CA116" s="77"/>
      <c r="CB116" s="77"/>
      <c r="CC116" s="77"/>
      <c r="CD116" s="77"/>
      <c r="CE116" s="77"/>
      <c r="CF116" s="77"/>
      <c r="CG116" s="77"/>
      <c r="CH116" s="77"/>
      <c r="CI116" s="77"/>
      <c r="CJ116" s="77"/>
      <c r="CK116" s="77"/>
      <c r="CL116" s="77"/>
      <c r="CM116" s="77"/>
      <c r="CN116" s="77"/>
      <c r="CO116" s="77"/>
      <c r="CP116" s="77"/>
      <c r="CQ116" s="77"/>
      <c r="CR116" s="77"/>
      <c r="CS116" s="77"/>
      <c r="CT116" s="77"/>
      <c r="CU116" s="77"/>
      <c r="CV116" s="77"/>
      <c r="CW116" s="77"/>
      <c r="CX116" s="77"/>
      <c r="CY116" s="77"/>
      <c r="CZ116" s="77"/>
      <c r="DA116" s="77"/>
      <c r="DB116" s="77"/>
      <c r="DC116" s="77"/>
      <c r="DD116" s="77"/>
      <c r="DE116" s="77"/>
      <c r="DF116" s="77"/>
      <c r="DG116" s="77"/>
      <c r="DH116" s="77"/>
      <c r="DI116" s="77"/>
      <c r="DJ116" s="77"/>
      <c r="DK116" s="77"/>
      <c r="DL116" s="77"/>
      <c r="DM116" s="77"/>
      <c r="DN116" s="77"/>
      <c r="DO116" s="77"/>
      <c r="DP116" s="77"/>
      <c r="DQ116" s="77"/>
      <c r="DR116" s="77"/>
      <c r="DS116" s="77"/>
      <c r="DT116" s="77"/>
      <c r="DU116" s="77"/>
      <c r="DV116" s="77"/>
      <c r="DW116" s="77"/>
      <c r="DX116" s="77"/>
      <c r="DY116" s="77"/>
      <c r="DZ116" s="77"/>
      <c r="EA116" s="77"/>
      <c r="EB116" s="77"/>
      <c r="EC116" s="77"/>
      <c r="ED116" s="77"/>
      <c r="EE116" s="77"/>
      <c r="EF116" s="77"/>
      <c r="EG116" s="77"/>
      <c r="EH116" s="77"/>
      <c r="EI116" s="77"/>
      <c r="EJ116" s="77"/>
      <c r="EK116" s="77"/>
      <c r="EL116" s="77"/>
      <c r="EM116" s="77"/>
      <c r="EN116" s="77"/>
      <c r="EO116" s="77"/>
      <c r="EP116" s="77"/>
      <c r="EQ116" s="77"/>
      <c r="ER116" s="77"/>
      <c r="ES116" s="77"/>
      <c r="ET116" s="77"/>
      <c r="EU116" s="77"/>
      <c r="EV116" s="77"/>
      <c r="EW116" s="77"/>
    </row>
    <row r="117" spans="1:168" s="1" customFormat="1" ht="120" customHeight="1" x14ac:dyDescent="0.85">
      <c r="A117" s="69"/>
      <c r="B117" s="317"/>
      <c r="C117" s="317"/>
      <c r="D117" s="317"/>
      <c r="E117" s="317"/>
      <c r="F117" s="317"/>
      <c r="G117" s="317"/>
      <c r="H117" s="317"/>
      <c r="I117" s="317"/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  <c r="T117" s="317"/>
      <c r="U117" s="317"/>
      <c r="V117" s="317"/>
      <c r="W117" s="317"/>
      <c r="X117" s="317"/>
      <c r="Y117" s="448"/>
      <c r="Z117" s="448"/>
      <c r="AA117" s="448"/>
      <c r="AB117" s="448"/>
      <c r="AC117" s="448"/>
      <c r="AD117" s="448"/>
      <c r="AE117" s="448"/>
      <c r="AF117" s="448"/>
      <c r="AG117" s="448"/>
      <c r="AH117" s="448"/>
      <c r="AI117" s="448"/>
      <c r="AJ117" s="448"/>
      <c r="AK117" s="448"/>
      <c r="AL117" s="448"/>
      <c r="AM117" s="448"/>
      <c r="AN117" s="448"/>
      <c r="AO117" s="448"/>
      <c r="AP117" s="448"/>
      <c r="AQ117" s="448"/>
      <c r="AR117" s="448"/>
      <c r="AS117" s="448"/>
      <c r="AT117" s="448"/>
      <c r="AU117" s="448"/>
      <c r="AV117" s="448"/>
      <c r="AW117" s="448"/>
      <c r="AX117" s="448"/>
      <c r="AY117" s="448"/>
      <c r="AZ117" s="448"/>
      <c r="BA117" s="448"/>
      <c r="BB117" s="448"/>
      <c r="BC117" s="448"/>
      <c r="BD117" s="448"/>
      <c r="BE117" s="448"/>
      <c r="BF117" s="448"/>
      <c r="BG117" s="448"/>
      <c r="BH117" s="448"/>
      <c r="BI117" s="448"/>
      <c r="BJ117" s="448"/>
      <c r="BK117" s="448"/>
      <c r="BL117" s="448"/>
      <c r="BM117" s="448"/>
      <c r="BN117" s="448"/>
      <c r="BO117" s="448"/>
      <c r="BP117" s="448"/>
      <c r="BQ117" s="448"/>
      <c r="BR117" s="448"/>
      <c r="BS117" s="448"/>
      <c r="BT117" s="448"/>
      <c r="BU117" s="448"/>
      <c r="BV117" s="448"/>
      <c r="BW117" s="77"/>
      <c r="BX117" s="77"/>
      <c r="BY117" s="77"/>
      <c r="BZ117" s="77"/>
      <c r="CA117" s="77"/>
      <c r="CB117" s="77"/>
      <c r="CC117" s="77"/>
      <c r="CD117" s="77"/>
      <c r="CE117" s="77"/>
      <c r="CF117" s="77"/>
      <c r="CG117" s="77"/>
      <c r="CH117" s="77"/>
      <c r="CI117" s="77"/>
      <c r="CJ117" s="77"/>
      <c r="CK117" s="77"/>
      <c r="CL117" s="77"/>
      <c r="CM117" s="77"/>
      <c r="CN117" s="77"/>
      <c r="CO117" s="77"/>
      <c r="CP117" s="77"/>
      <c r="CQ117" s="77"/>
      <c r="CR117" s="77"/>
      <c r="CS117" s="77"/>
      <c r="CT117" s="77"/>
      <c r="CU117" s="77"/>
      <c r="CV117" s="77"/>
      <c r="CW117" s="77"/>
      <c r="CX117" s="77"/>
      <c r="CY117" s="77"/>
      <c r="CZ117" s="77"/>
      <c r="DA117" s="77"/>
      <c r="DB117" s="77"/>
      <c r="DC117" s="77"/>
      <c r="DD117" s="77"/>
      <c r="DE117" s="77"/>
      <c r="DF117" s="77"/>
      <c r="DG117" s="77"/>
      <c r="DH117" s="77"/>
      <c r="DI117" s="77"/>
      <c r="DJ117" s="77"/>
      <c r="DK117" s="77"/>
      <c r="DL117" s="77"/>
      <c r="DM117" s="77"/>
      <c r="DN117" s="77"/>
      <c r="DO117" s="77"/>
      <c r="DP117" s="77"/>
      <c r="DQ117" s="77"/>
      <c r="DR117" s="77"/>
      <c r="DS117" s="77"/>
      <c r="DT117" s="77"/>
      <c r="DU117" s="77"/>
      <c r="DV117" s="77"/>
      <c r="DW117" s="77"/>
      <c r="DX117" s="77"/>
      <c r="DY117" s="77"/>
      <c r="DZ117" s="77"/>
      <c r="EA117" s="77"/>
      <c r="EB117" s="77"/>
      <c r="EC117" s="77"/>
      <c r="ED117" s="77"/>
      <c r="EE117" s="77"/>
      <c r="EF117" s="77"/>
      <c r="EG117" s="77"/>
      <c r="EH117" s="77"/>
      <c r="EI117" s="77"/>
      <c r="EJ117" s="77"/>
      <c r="EK117" s="77"/>
      <c r="EL117" s="77"/>
      <c r="EM117" s="77"/>
      <c r="EN117" s="77"/>
      <c r="EO117" s="77"/>
      <c r="EP117" s="77"/>
      <c r="EQ117" s="77"/>
      <c r="ER117" s="77"/>
      <c r="ES117" s="77"/>
      <c r="ET117" s="77"/>
      <c r="EU117" s="77"/>
      <c r="EV117" s="77"/>
      <c r="EW117" s="77"/>
    </row>
    <row r="118" spans="1:168" s="1" customFormat="1" ht="120" customHeight="1" x14ac:dyDescent="0.85">
      <c r="A118" s="69"/>
      <c r="B118" s="317" t="s">
        <v>230</v>
      </c>
      <c r="C118" s="317"/>
      <c r="D118" s="317"/>
      <c r="E118" s="317"/>
      <c r="F118" s="317"/>
      <c r="G118" s="317"/>
      <c r="H118" s="317"/>
      <c r="I118" s="317"/>
      <c r="J118" s="317"/>
      <c r="K118" s="317"/>
      <c r="L118" s="317"/>
      <c r="M118" s="317"/>
      <c r="N118" s="317"/>
      <c r="O118" s="317"/>
      <c r="P118" s="317"/>
      <c r="Q118" s="317"/>
      <c r="R118" s="317"/>
      <c r="S118" s="317"/>
      <c r="T118" s="317"/>
      <c r="U118" s="317"/>
      <c r="V118" s="317"/>
      <c r="W118" s="317"/>
      <c r="X118" s="317"/>
      <c r="Y118" s="318" t="s">
        <v>104</v>
      </c>
      <c r="Z118" s="318"/>
      <c r="AA118" s="318"/>
      <c r="AB118" s="318"/>
      <c r="AC118" s="318"/>
      <c r="AD118" s="318"/>
      <c r="AE118" s="318"/>
      <c r="AF118" s="318"/>
      <c r="AG118" s="318"/>
      <c r="AH118" s="318"/>
      <c r="AI118" s="318"/>
      <c r="AJ118" s="318"/>
      <c r="AK118" s="318"/>
      <c r="AL118" s="318"/>
      <c r="AM118" s="318"/>
      <c r="AN118" s="318"/>
      <c r="AO118" s="318"/>
      <c r="AP118" s="318"/>
      <c r="AQ118" s="318"/>
      <c r="AR118" s="318"/>
      <c r="AS118" s="318"/>
      <c r="AT118" s="318"/>
      <c r="AU118" s="318"/>
      <c r="AV118" s="318"/>
      <c r="AW118" s="318"/>
      <c r="AX118" s="318"/>
      <c r="AY118" s="448"/>
      <c r="AZ118" s="448"/>
      <c r="BA118" s="448"/>
      <c r="BB118" s="448"/>
      <c r="BC118" s="448"/>
      <c r="BD118" s="448"/>
      <c r="BE118" s="448"/>
      <c r="BF118" s="448"/>
      <c r="BG118" s="448"/>
      <c r="BH118" s="448"/>
      <c r="BI118" s="448"/>
      <c r="BJ118" s="448"/>
      <c r="BK118" s="448"/>
      <c r="BL118" s="448"/>
      <c r="BM118" s="448"/>
      <c r="BN118" s="448"/>
      <c r="BO118" s="448"/>
      <c r="BP118" s="448"/>
      <c r="BQ118" s="448"/>
      <c r="BR118" s="448"/>
      <c r="BS118" s="448"/>
      <c r="BT118" s="448"/>
      <c r="BU118" s="448"/>
      <c r="BV118" s="448"/>
      <c r="BW118" s="77"/>
      <c r="BX118" s="77"/>
      <c r="BY118" s="77"/>
      <c r="BZ118" s="77"/>
      <c r="CA118" s="77"/>
      <c r="CB118" s="77"/>
      <c r="CC118" s="77"/>
      <c r="CD118" s="77"/>
      <c r="CE118" s="77"/>
      <c r="CF118" s="77"/>
      <c r="CG118" s="77"/>
      <c r="CH118" s="77"/>
      <c r="CI118" s="77"/>
      <c r="CJ118" s="77"/>
      <c r="CK118" s="77"/>
      <c r="CL118" s="77"/>
      <c r="CM118" s="77"/>
      <c r="CN118" s="77"/>
      <c r="CO118" s="77"/>
      <c r="CP118" s="77"/>
      <c r="CQ118" s="77"/>
      <c r="CR118" s="77"/>
      <c r="CS118" s="77"/>
      <c r="CT118" s="77"/>
      <c r="CU118" s="77"/>
      <c r="CV118" s="77"/>
      <c r="CW118" s="77"/>
      <c r="CX118" s="77"/>
      <c r="CY118" s="77"/>
      <c r="CZ118" s="77"/>
      <c r="DA118" s="77"/>
      <c r="DB118" s="77"/>
      <c r="DC118" s="77"/>
      <c r="DD118" s="77"/>
      <c r="DE118" s="77"/>
      <c r="DF118" s="77"/>
      <c r="DG118" s="77"/>
      <c r="DH118" s="77"/>
      <c r="DI118" s="77"/>
      <c r="DJ118" s="77"/>
      <c r="DK118" s="77"/>
      <c r="DL118" s="77"/>
      <c r="DM118" s="77"/>
      <c r="DN118" s="77"/>
      <c r="DO118" s="77"/>
      <c r="DP118" s="77"/>
      <c r="DQ118" s="77"/>
      <c r="DR118" s="77"/>
      <c r="DS118" s="77"/>
      <c r="DT118" s="77"/>
      <c r="DU118" s="77"/>
      <c r="DV118" s="77"/>
      <c r="DW118" s="77"/>
      <c r="DX118" s="77"/>
      <c r="DY118" s="77"/>
      <c r="DZ118" s="77"/>
      <c r="EA118" s="77"/>
      <c r="EB118" s="77"/>
      <c r="EC118" s="77"/>
      <c r="ED118" s="77"/>
      <c r="EE118" s="77"/>
      <c r="EF118" s="77"/>
      <c r="EG118" s="77"/>
      <c r="EH118" s="77"/>
      <c r="EI118" s="77"/>
      <c r="EJ118" s="77"/>
      <c r="EK118" s="77"/>
      <c r="EL118" s="77"/>
      <c r="EM118" s="77"/>
      <c r="EN118" s="77"/>
      <c r="EO118" s="77"/>
      <c r="EP118" s="77"/>
      <c r="EQ118" s="77"/>
      <c r="ER118" s="77"/>
      <c r="ES118" s="77"/>
      <c r="ET118" s="77"/>
      <c r="EU118" s="77"/>
      <c r="EV118" s="77"/>
      <c r="EW118" s="77"/>
    </row>
    <row r="119" spans="1:168" s="1" customFormat="1" ht="120" customHeight="1" x14ac:dyDescent="0.85">
      <c r="A119" s="69"/>
      <c r="B119" s="317"/>
      <c r="C119" s="317"/>
      <c r="D119" s="317"/>
      <c r="E119" s="317"/>
      <c r="F119" s="317"/>
      <c r="G119" s="317"/>
      <c r="H119" s="317"/>
      <c r="I119" s="317"/>
      <c r="J119" s="317"/>
      <c r="K119" s="317"/>
      <c r="L119" s="317"/>
      <c r="M119" s="317"/>
      <c r="N119" s="317"/>
      <c r="O119" s="317"/>
      <c r="P119" s="317"/>
      <c r="Q119" s="317"/>
      <c r="R119" s="317"/>
      <c r="S119" s="317"/>
      <c r="T119" s="317"/>
      <c r="U119" s="317"/>
      <c r="V119" s="317"/>
      <c r="W119" s="317"/>
      <c r="X119" s="317"/>
      <c r="Y119" s="448"/>
      <c r="Z119" s="448"/>
      <c r="AA119" s="448"/>
      <c r="AB119" s="448"/>
      <c r="AC119" s="448"/>
      <c r="AD119" s="448"/>
      <c r="AE119" s="448"/>
      <c r="AF119" s="448"/>
      <c r="AG119" s="448"/>
      <c r="AH119" s="448"/>
      <c r="AI119" s="448"/>
      <c r="AJ119" s="448"/>
      <c r="AK119" s="448"/>
      <c r="AL119" s="448"/>
      <c r="AM119" s="448"/>
      <c r="AN119" s="448"/>
      <c r="AO119" s="448"/>
      <c r="AP119" s="448"/>
      <c r="AQ119" s="448"/>
      <c r="AR119" s="448"/>
      <c r="AS119" s="448"/>
      <c r="AT119" s="448"/>
      <c r="AU119" s="448"/>
      <c r="AV119" s="448"/>
      <c r="AW119" s="448"/>
      <c r="AX119" s="448"/>
      <c r="AY119" s="448"/>
      <c r="AZ119" s="448"/>
      <c r="BA119" s="448"/>
      <c r="BB119" s="448"/>
      <c r="BC119" s="448"/>
      <c r="BD119" s="448"/>
      <c r="BE119" s="448"/>
      <c r="BF119" s="448"/>
      <c r="BG119" s="448"/>
      <c r="BH119" s="448"/>
      <c r="BI119" s="448"/>
      <c r="BJ119" s="448"/>
      <c r="BK119" s="448"/>
      <c r="BL119" s="448"/>
      <c r="BM119" s="448"/>
      <c r="BN119" s="448"/>
      <c r="BO119" s="448"/>
      <c r="BP119" s="448"/>
      <c r="BQ119" s="448"/>
      <c r="BR119" s="448"/>
      <c r="BS119" s="448"/>
      <c r="BT119" s="448"/>
      <c r="BU119" s="448"/>
      <c r="BV119" s="448"/>
      <c r="BW119" s="77"/>
      <c r="BX119" s="77"/>
      <c r="BY119" s="77"/>
      <c r="BZ119" s="77"/>
      <c r="CA119" s="77"/>
      <c r="CB119" s="77"/>
      <c r="CC119" s="77"/>
      <c r="CD119" s="77"/>
      <c r="CE119" s="77"/>
      <c r="CF119" s="77"/>
      <c r="CG119" s="77"/>
      <c r="CH119" s="77"/>
      <c r="CI119" s="77"/>
      <c r="CJ119" s="77"/>
      <c r="CK119" s="77"/>
      <c r="CL119" s="77"/>
      <c r="CM119" s="77"/>
      <c r="CN119" s="77"/>
      <c r="CO119" s="77"/>
      <c r="CP119" s="77"/>
      <c r="CQ119" s="77"/>
      <c r="CR119" s="77"/>
      <c r="CS119" s="77"/>
      <c r="CT119" s="77"/>
      <c r="CU119" s="77"/>
      <c r="CV119" s="77"/>
      <c r="CW119" s="77"/>
      <c r="CX119" s="77"/>
      <c r="CY119" s="77"/>
      <c r="CZ119" s="77"/>
      <c r="DA119" s="77"/>
      <c r="DB119" s="77"/>
      <c r="DC119" s="77"/>
      <c r="DD119" s="77"/>
      <c r="DE119" s="77"/>
      <c r="DF119" s="77"/>
      <c r="DG119" s="77"/>
      <c r="DH119" s="77"/>
      <c r="DI119" s="77"/>
      <c r="DJ119" s="77"/>
      <c r="DK119" s="77"/>
      <c r="DL119" s="77"/>
      <c r="DM119" s="77"/>
      <c r="DN119" s="77"/>
      <c r="DO119" s="77"/>
      <c r="DP119" s="77"/>
      <c r="DQ119" s="77"/>
      <c r="DR119" s="77"/>
      <c r="DS119" s="77"/>
      <c r="DT119" s="77"/>
      <c r="DU119" s="77"/>
      <c r="DV119" s="77"/>
      <c r="DW119" s="77"/>
      <c r="DX119" s="77"/>
      <c r="DY119" s="77"/>
      <c r="DZ119" s="77"/>
      <c r="EA119" s="77"/>
      <c r="EB119" s="77"/>
      <c r="EC119" s="77"/>
      <c r="ED119" s="77"/>
      <c r="EE119" s="77"/>
      <c r="EF119" s="77"/>
      <c r="EG119" s="77"/>
      <c r="EH119" s="77"/>
      <c r="EI119" s="77"/>
      <c r="EJ119" s="77"/>
      <c r="EK119" s="77"/>
      <c r="EL119" s="77"/>
      <c r="EM119" s="77"/>
      <c r="EN119" s="77"/>
      <c r="EO119" s="77"/>
      <c r="EP119" s="77"/>
      <c r="EQ119" s="77"/>
      <c r="ER119" s="77"/>
      <c r="ES119" s="77"/>
      <c r="ET119" s="77"/>
      <c r="EU119" s="77"/>
      <c r="EV119" s="77"/>
      <c r="EW119" s="77"/>
    </row>
    <row r="120" spans="1:168" ht="120" customHeight="1" x14ac:dyDescent="0.25">
      <c r="B120" s="317" t="s">
        <v>201</v>
      </c>
      <c r="C120" s="317"/>
      <c r="D120" s="317"/>
      <c r="E120" s="317"/>
      <c r="F120" s="317"/>
      <c r="G120" s="317"/>
      <c r="H120" s="317"/>
      <c r="I120" s="317"/>
      <c r="J120" s="317"/>
      <c r="K120" s="317"/>
      <c r="L120" s="317"/>
      <c r="M120" s="317"/>
      <c r="N120" s="317"/>
      <c r="O120" s="317"/>
      <c r="P120" s="317"/>
      <c r="Q120" s="317"/>
      <c r="R120" s="317"/>
      <c r="S120" s="317"/>
      <c r="T120" s="317"/>
      <c r="U120" s="317"/>
      <c r="V120" s="317"/>
      <c r="W120" s="317"/>
      <c r="X120" s="317"/>
      <c r="Y120" s="318" t="s">
        <v>104</v>
      </c>
      <c r="Z120" s="318"/>
      <c r="AA120" s="318"/>
      <c r="AB120" s="318"/>
      <c r="AC120" s="318"/>
      <c r="AD120" s="318"/>
      <c r="AE120" s="318"/>
      <c r="AF120" s="318"/>
      <c r="AG120" s="318"/>
      <c r="AH120" s="318"/>
      <c r="AI120" s="318"/>
      <c r="AJ120" s="318"/>
      <c r="AK120" s="318"/>
      <c r="AL120" s="318"/>
      <c r="AM120" s="318"/>
      <c r="AN120" s="318"/>
      <c r="AO120" s="318"/>
      <c r="AP120" s="318"/>
      <c r="AQ120" s="318"/>
      <c r="AR120" s="318"/>
      <c r="AS120" s="318"/>
      <c r="AT120" s="318"/>
      <c r="AU120" s="318"/>
      <c r="AV120" s="318"/>
      <c r="AW120" s="318"/>
      <c r="AX120" s="318"/>
    </row>
  </sheetData>
  <mergeCells count="1633">
    <mergeCell ref="DB54:DF54"/>
    <mergeCell ref="DG54:DK54"/>
    <mergeCell ref="DL54:DP54"/>
    <mergeCell ref="DQ54:DU54"/>
    <mergeCell ref="DV54:DZ54"/>
    <mergeCell ref="EA54:EE54"/>
    <mergeCell ref="EF54:EJ54"/>
    <mergeCell ref="EK54:EO54"/>
    <mergeCell ref="EP54:ET54"/>
    <mergeCell ref="EU54:EY54"/>
    <mergeCell ref="EZ54:FD54"/>
    <mergeCell ref="FE54:FI54"/>
    <mergeCell ref="C54:Y54"/>
    <mergeCell ref="Z54:AD54"/>
    <mergeCell ref="AE54:AI54"/>
    <mergeCell ref="AJ54:AN54"/>
    <mergeCell ref="AO54:AS54"/>
    <mergeCell ref="AT54:AX54"/>
    <mergeCell ref="AY54:BC54"/>
    <mergeCell ref="BD54:BH54"/>
    <mergeCell ref="BI54:BM54"/>
    <mergeCell ref="BN54:BR54"/>
    <mergeCell ref="BS54:BW54"/>
    <mergeCell ref="BX54:CB54"/>
    <mergeCell ref="CC54:CG54"/>
    <mergeCell ref="CH54:CL54"/>
    <mergeCell ref="CM54:CQ54"/>
    <mergeCell ref="CR54:CV54"/>
    <mergeCell ref="CW54:DA54"/>
    <mergeCell ref="HR20:HS20"/>
    <mergeCell ref="HT20:HU20"/>
    <mergeCell ref="HV20:HW20"/>
    <mergeCell ref="HX20:HY20"/>
    <mergeCell ref="HZ20:IA20"/>
    <mergeCell ref="IB20:IC20"/>
    <mergeCell ref="FL23:HM23"/>
    <mergeCell ref="HN23:HO23"/>
    <mergeCell ref="HP23:HQ23"/>
    <mergeCell ref="HR23:HS23"/>
    <mergeCell ref="HT23:HU23"/>
    <mergeCell ref="HV23:HW23"/>
    <mergeCell ref="HX23:HY23"/>
    <mergeCell ref="HZ23:IA23"/>
    <mergeCell ref="IB23:IC23"/>
    <mergeCell ref="FL21:FM21"/>
    <mergeCell ref="HN21:HO21"/>
    <mergeCell ref="HP21:HQ21"/>
    <mergeCell ref="HR21:HS21"/>
    <mergeCell ref="HT21:HU21"/>
    <mergeCell ref="HV21:HW21"/>
    <mergeCell ref="HX21:HY21"/>
    <mergeCell ref="HZ21:IA21"/>
    <mergeCell ref="IB21:IC21"/>
    <mergeCell ref="HN22:HO22"/>
    <mergeCell ref="HP22:HQ22"/>
    <mergeCell ref="HR22:HS22"/>
    <mergeCell ref="HT22:HU22"/>
    <mergeCell ref="HV22:HW22"/>
    <mergeCell ref="HX22:HY22"/>
    <mergeCell ref="HZ22:IA22"/>
    <mergeCell ref="IB22:IC22"/>
    <mergeCell ref="HJ16:HM16"/>
    <mergeCell ref="FL18:FM18"/>
    <mergeCell ref="HN18:HO18"/>
    <mergeCell ref="HP18:HQ18"/>
    <mergeCell ref="HR18:HS18"/>
    <mergeCell ref="HT18:HU18"/>
    <mergeCell ref="HV18:HW18"/>
    <mergeCell ref="HX18:HY18"/>
    <mergeCell ref="HZ18:IA18"/>
    <mergeCell ref="IB18:IC18"/>
    <mergeCell ref="FL19:FM19"/>
    <mergeCell ref="HN19:HO19"/>
    <mergeCell ref="HP19:HQ19"/>
    <mergeCell ref="HR19:HS19"/>
    <mergeCell ref="HT19:HU19"/>
    <mergeCell ref="HV19:HW19"/>
    <mergeCell ref="HX19:HY19"/>
    <mergeCell ref="HZ19:IA19"/>
    <mergeCell ref="IB19:IC19"/>
    <mergeCell ref="HZ12:IA17"/>
    <mergeCell ref="IB12:IC17"/>
    <mergeCell ref="GT16:GW16"/>
    <mergeCell ref="GX16:HA16"/>
    <mergeCell ref="FL22:FM22"/>
    <mergeCell ref="FL20:FM20"/>
    <mergeCell ref="HN20:HO20"/>
    <mergeCell ref="HP20:HQ20"/>
    <mergeCell ref="EF91:EJ92"/>
    <mergeCell ref="EK91:EO92"/>
    <mergeCell ref="EP91:ET92"/>
    <mergeCell ref="EU91:EY92"/>
    <mergeCell ref="EZ91:FD92"/>
    <mergeCell ref="FE91:FI92"/>
    <mergeCell ref="B120:X120"/>
    <mergeCell ref="Y120:AX120"/>
    <mergeCell ref="CT105:DW105"/>
    <mergeCell ref="FL12:FM17"/>
    <mergeCell ref="FN12:HM15"/>
    <mergeCell ref="HN12:HY12"/>
    <mergeCell ref="HN13:HO17"/>
    <mergeCell ref="HP13:HY13"/>
    <mergeCell ref="HP14:HQ17"/>
    <mergeCell ref="HR14:HS17"/>
    <mergeCell ref="HT14:HU17"/>
    <mergeCell ref="HV14:HW17"/>
    <mergeCell ref="HX14:HY17"/>
    <mergeCell ref="FN16:FR16"/>
    <mergeCell ref="FS16:FV16"/>
    <mergeCell ref="FW16:GA16"/>
    <mergeCell ref="GB16:GE16"/>
    <mergeCell ref="GF16:GJ16"/>
    <mergeCell ref="GK16:GN16"/>
    <mergeCell ref="GO16:GS16"/>
    <mergeCell ref="HB16:HE16"/>
    <mergeCell ref="HF16:HI16"/>
    <mergeCell ref="EU87:EY88"/>
    <mergeCell ref="EZ87:FD88"/>
    <mergeCell ref="FE87:FI88"/>
    <mergeCell ref="Z89:AD90"/>
    <mergeCell ref="AE89:AI90"/>
    <mergeCell ref="AJ89:AN90"/>
    <mergeCell ref="AO89:AS90"/>
    <mergeCell ref="AT89:AX90"/>
    <mergeCell ref="AY89:BC90"/>
    <mergeCell ref="BD89:BH90"/>
    <mergeCell ref="BI89:BM90"/>
    <mergeCell ref="BN89:BR90"/>
    <mergeCell ref="BS89:BW90"/>
    <mergeCell ref="BX89:CB90"/>
    <mergeCell ref="CC89:CG90"/>
    <mergeCell ref="CH89:CL90"/>
    <mergeCell ref="CM89:CQ90"/>
    <mergeCell ref="CR89:CV90"/>
    <mergeCell ref="CW89:DA90"/>
    <mergeCell ref="DB89:DF90"/>
    <mergeCell ref="DG89:DK90"/>
    <mergeCell ref="DL89:DP90"/>
    <mergeCell ref="DQ89:DU90"/>
    <mergeCell ref="DV89:DZ90"/>
    <mergeCell ref="EA89:EE90"/>
    <mergeCell ref="EF89:EJ90"/>
    <mergeCell ref="EK89:EO90"/>
    <mergeCell ref="EP89:ET90"/>
    <mergeCell ref="EU89:EY90"/>
    <mergeCell ref="EZ89:FD90"/>
    <mergeCell ref="FE89:FI90"/>
    <mergeCell ref="B118:X118"/>
    <mergeCell ref="Y118:AX118"/>
    <mergeCell ref="AY118:BV118"/>
    <mergeCell ref="AY117:BV117"/>
    <mergeCell ref="C91:Y91"/>
    <mergeCell ref="B119:X119"/>
    <mergeCell ref="Y119:AX119"/>
    <mergeCell ref="AY119:BV119"/>
    <mergeCell ref="FJ90:FL90"/>
    <mergeCell ref="FE65:FI66"/>
    <mergeCell ref="FE67:FI68"/>
    <mergeCell ref="FE69:FI70"/>
    <mergeCell ref="FE71:FI72"/>
    <mergeCell ref="DG65:DK66"/>
    <mergeCell ref="DG67:DK68"/>
    <mergeCell ref="DG69:DK70"/>
    <mergeCell ref="DG71:DK72"/>
    <mergeCell ref="EF69:EJ70"/>
    <mergeCell ref="C92:Y92"/>
    <mergeCell ref="CR87:CV88"/>
    <mergeCell ref="EF87:EJ88"/>
    <mergeCell ref="EK87:EO88"/>
    <mergeCell ref="EP87:ET88"/>
    <mergeCell ref="Z91:AD92"/>
    <mergeCell ref="AE91:AI92"/>
    <mergeCell ref="AJ91:AN92"/>
    <mergeCell ref="AO91:AS92"/>
    <mergeCell ref="AT91:AX92"/>
    <mergeCell ref="AY91:BC92"/>
    <mergeCell ref="BD91:BH92"/>
    <mergeCell ref="BI91:BM92"/>
    <mergeCell ref="BN91:BR92"/>
    <mergeCell ref="A65:A66"/>
    <mergeCell ref="A67:A68"/>
    <mergeCell ref="A69:A70"/>
    <mergeCell ref="A71:A72"/>
    <mergeCell ref="DL65:DP66"/>
    <mergeCell ref="DQ65:DU66"/>
    <mergeCell ref="DV65:DZ66"/>
    <mergeCell ref="EA65:EE66"/>
    <mergeCell ref="EF65:EJ66"/>
    <mergeCell ref="EK65:EO66"/>
    <mergeCell ref="EP65:ET66"/>
    <mergeCell ref="EU65:EY66"/>
    <mergeCell ref="DL67:DP68"/>
    <mergeCell ref="DQ67:DU68"/>
    <mergeCell ref="DV67:DZ68"/>
    <mergeCell ref="EA67:EE68"/>
    <mergeCell ref="EF67:EJ68"/>
    <mergeCell ref="EK67:EO68"/>
    <mergeCell ref="EP67:ET68"/>
    <mergeCell ref="DL69:DP70"/>
    <mergeCell ref="EF71:EJ72"/>
    <mergeCell ref="EK71:EO72"/>
    <mergeCell ref="EP71:ET72"/>
    <mergeCell ref="C72:Y72"/>
    <mergeCell ref="EP69:ET70"/>
    <mergeCell ref="BI69:BM70"/>
    <mergeCell ref="BN69:BR70"/>
    <mergeCell ref="CM71:CQ72"/>
    <mergeCell ref="CR71:CV72"/>
    <mergeCell ref="BN67:BR68"/>
    <mergeCell ref="BN65:BR66"/>
    <mergeCell ref="C68:Y68"/>
    <mergeCell ref="EZ71:FD72"/>
    <mergeCell ref="EU71:EY72"/>
    <mergeCell ref="BS69:BW70"/>
    <mergeCell ref="BX69:CB70"/>
    <mergeCell ref="CC69:CG70"/>
    <mergeCell ref="DV69:DZ70"/>
    <mergeCell ref="EA69:EE70"/>
    <mergeCell ref="DQ69:DU70"/>
    <mergeCell ref="CH67:CL68"/>
    <mergeCell ref="EK64:EO64"/>
    <mergeCell ref="EP64:ET64"/>
    <mergeCell ref="EU64:EY64"/>
    <mergeCell ref="CW71:DA72"/>
    <mergeCell ref="DB71:DF72"/>
    <mergeCell ref="DL71:DP72"/>
    <mergeCell ref="DQ71:DU72"/>
    <mergeCell ref="BS65:BW66"/>
    <mergeCell ref="BX65:CB66"/>
    <mergeCell ref="CC65:CG66"/>
    <mergeCell ref="CH65:CL66"/>
    <mergeCell ref="CM65:CQ66"/>
    <mergeCell ref="CR65:CV66"/>
    <mergeCell ref="CW65:DA66"/>
    <mergeCell ref="DB65:DF66"/>
    <mergeCell ref="EZ69:FD70"/>
    <mergeCell ref="BS67:BW68"/>
    <mergeCell ref="BX67:CB68"/>
    <mergeCell ref="CC67:CG68"/>
    <mergeCell ref="BX64:CB64"/>
    <mergeCell ref="CC64:CG64"/>
    <mergeCell ref="DB67:DF68"/>
    <mergeCell ref="CH64:CL64"/>
    <mergeCell ref="EK57:EO57"/>
    <mergeCell ref="EP57:ET57"/>
    <mergeCell ref="EU57:EY57"/>
    <mergeCell ref="EZ57:FD57"/>
    <mergeCell ref="FE57:FI57"/>
    <mergeCell ref="DB58:DF58"/>
    <mergeCell ref="DG58:DK58"/>
    <mergeCell ref="DB63:DF63"/>
    <mergeCell ref="DB60:DF60"/>
    <mergeCell ref="DG60:DK60"/>
    <mergeCell ref="DL60:DP60"/>
    <mergeCell ref="DB62:DF62"/>
    <mergeCell ref="DG62:DK62"/>
    <mergeCell ref="DL62:DP62"/>
    <mergeCell ref="EF62:EJ62"/>
    <mergeCell ref="EK62:EO62"/>
    <mergeCell ref="EP62:ET62"/>
    <mergeCell ref="EU62:EY62"/>
    <mergeCell ref="EZ62:FD62"/>
    <mergeCell ref="EA60:EE60"/>
    <mergeCell ref="EF60:EJ60"/>
    <mergeCell ref="EK60:EO60"/>
    <mergeCell ref="EA63:EE63"/>
    <mergeCell ref="EP60:ET60"/>
    <mergeCell ref="EU60:EY60"/>
    <mergeCell ref="EZ60:FD60"/>
    <mergeCell ref="DB61:DF61"/>
    <mergeCell ref="DG61:DK61"/>
    <mergeCell ref="DL61:DP61"/>
    <mergeCell ref="DQ61:DU61"/>
    <mergeCell ref="DV61:DZ61"/>
    <mergeCell ref="EA61:EE61"/>
    <mergeCell ref="EZ64:FD64"/>
    <mergeCell ref="FE64:FI64"/>
    <mergeCell ref="DB64:DF64"/>
    <mergeCell ref="BX63:CB63"/>
    <mergeCell ref="CM64:CQ64"/>
    <mergeCell ref="C90:Y90"/>
    <mergeCell ref="A2:Z2"/>
    <mergeCell ref="A3:Z3"/>
    <mergeCell ref="AK4:DI4"/>
    <mergeCell ref="DZ8:EC8"/>
    <mergeCell ref="AK5:DI5"/>
    <mergeCell ref="AK6:DI6"/>
    <mergeCell ref="AK7:DI7"/>
    <mergeCell ref="AK8:DI8"/>
    <mergeCell ref="A1:FI1"/>
    <mergeCell ref="AT2:CY2"/>
    <mergeCell ref="DP3:FI3"/>
    <mergeCell ref="DP4:FI4"/>
    <mergeCell ref="DP5:FI5"/>
    <mergeCell ref="DP6:FI6"/>
    <mergeCell ref="BS50:BW50"/>
    <mergeCell ref="BX50:CB50"/>
    <mergeCell ref="BS48:BW48"/>
    <mergeCell ref="BX48:CB48"/>
    <mergeCell ref="C50:Y50"/>
    <mergeCell ref="Z50:AD50"/>
    <mergeCell ref="AE50:AI50"/>
    <mergeCell ref="AJ50:AN50"/>
    <mergeCell ref="AO50:AS50"/>
    <mergeCell ref="AT50:AX50"/>
    <mergeCell ref="EZ63:FD63"/>
    <mergeCell ref="EZ55:FD55"/>
    <mergeCell ref="EF64:EJ64"/>
    <mergeCell ref="FE63:FI63"/>
    <mergeCell ref="EK69:EO70"/>
    <mergeCell ref="EU69:EY70"/>
    <mergeCell ref="EU67:EY68"/>
    <mergeCell ref="EZ65:FD66"/>
    <mergeCell ref="EZ67:FD68"/>
    <mergeCell ref="Z99:AD99"/>
    <mergeCell ref="AF105:AO105"/>
    <mergeCell ref="AP105:AW105"/>
    <mergeCell ref="AX105:CL105"/>
    <mergeCell ref="B100:EW100"/>
    <mergeCell ref="B101:EW101"/>
    <mergeCell ref="B102:EW102"/>
    <mergeCell ref="B103:EW103"/>
    <mergeCell ref="AT71:AX72"/>
    <mergeCell ref="AY71:BC72"/>
    <mergeCell ref="BD71:BH72"/>
    <mergeCell ref="BI71:BM72"/>
    <mergeCell ref="EF97:EJ97"/>
    <mergeCell ref="EK97:EO97"/>
    <mergeCell ref="EP97:ET97"/>
    <mergeCell ref="EU97:EY97"/>
    <mergeCell ref="C97:Y97"/>
    <mergeCell ref="Z97:AD97"/>
    <mergeCell ref="AE97:AI97"/>
    <mergeCell ref="AJ97:AN97"/>
    <mergeCell ref="AO97:AS97"/>
    <mergeCell ref="AO94:AS94"/>
    <mergeCell ref="BS71:BW72"/>
    <mergeCell ref="AT94:AX94"/>
    <mergeCell ref="CM93:CQ93"/>
    <mergeCell ref="CC63:CG63"/>
    <mergeCell ref="CH63:CL63"/>
    <mergeCell ref="CM63:CQ63"/>
    <mergeCell ref="CR63:CV63"/>
    <mergeCell ref="CW63:DA63"/>
    <mergeCell ref="DL87:DP88"/>
    <mergeCell ref="DQ87:DU88"/>
    <mergeCell ref="DV87:DZ88"/>
    <mergeCell ref="EA87:EE88"/>
    <mergeCell ref="DG64:DK64"/>
    <mergeCell ref="DL64:DP64"/>
    <mergeCell ref="DB69:DF70"/>
    <mergeCell ref="CM67:CQ68"/>
    <mergeCell ref="CR67:CV68"/>
    <mergeCell ref="CW67:DA68"/>
    <mergeCell ref="CW73:DA74"/>
    <mergeCell ref="DB73:DF74"/>
    <mergeCell ref="DG73:DK74"/>
    <mergeCell ref="DL73:DP74"/>
    <mergeCell ref="DQ73:DU74"/>
    <mergeCell ref="DV73:DZ74"/>
    <mergeCell ref="CR64:CV64"/>
    <mergeCell ref="CW64:DA64"/>
    <mergeCell ref="CM81:CQ82"/>
    <mergeCell ref="CR81:CV82"/>
    <mergeCell ref="CW81:DA82"/>
    <mergeCell ref="DB81:DF82"/>
    <mergeCell ref="DG81:DK82"/>
    <mergeCell ref="DL81:DP82"/>
    <mergeCell ref="DG77:DK78"/>
    <mergeCell ref="DL77:DP78"/>
    <mergeCell ref="DQ77:DU78"/>
    <mergeCell ref="B116:X116"/>
    <mergeCell ref="Y116:AX116"/>
    <mergeCell ref="AY116:BV116"/>
    <mergeCell ref="DV95:DZ95"/>
    <mergeCell ref="EA95:EE95"/>
    <mergeCell ref="BX95:CB95"/>
    <mergeCell ref="CC95:CG95"/>
    <mergeCell ref="CR93:CV93"/>
    <mergeCell ref="CW93:DA93"/>
    <mergeCell ref="AT93:AX93"/>
    <mergeCell ref="DV71:DZ72"/>
    <mergeCell ref="EA71:EE72"/>
    <mergeCell ref="DV96:DZ96"/>
    <mergeCell ref="EA96:EE96"/>
    <mergeCell ref="CW87:DA88"/>
    <mergeCell ref="DB87:DF88"/>
    <mergeCell ref="DG87:DK88"/>
    <mergeCell ref="BS91:BW92"/>
    <mergeCell ref="BX91:CB92"/>
    <mergeCell ref="CC91:CG92"/>
    <mergeCell ref="CH91:CL92"/>
    <mergeCell ref="CM91:CQ92"/>
    <mergeCell ref="CR91:CV92"/>
    <mergeCell ref="CW91:DA92"/>
    <mergeCell ref="DB91:DF92"/>
    <mergeCell ref="DG91:DK92"/>
    <mergeCell ref="DL91:DP92"/>
    <mergeCell ref="DQ91:DU92"/>
    <mergeCell ref="DV91:DZ92"/>
    <mergeCell ref="EA91:EE92"/>
    <mergeCell ref="CR97:CV97"/>
    <mergeCell ref="AT97:AX97"/>
    <mergeCell ref="AY97:BC97"/>
    <mergeCell ref="BD97:BH97"/>
    <mergeCell ref="BI97:BM97"/>
    <mergeCell ref="BN97:BR97"/>
    <mergeCell ref="BS97:BW97"/>
    <mergeCell ref="EA73:EE74"/>
    <mergeCell ref="CW77:DA78"/>
    <mergeCell ref="B117:X117"/>
    <mergeCell ref="AF106:AO106"/>
    <mergeCell ref="AP106:AW106"/>
    <mergeCell ref="AX106:CL112"/>
    <mergeCell ref="AF107:AO107"/>
    <mergeCell ref="AP107:AW107"/>
    <mergeCell ref="AF108:AO108"/>
    <mergeCell ref="AP108:AW108"/>
    <mergeCell ref="AF111:AO111"/>
    <mergeCell ref="AP111:AW111"/>
    <mergeCell ref="AF112:AO112"/>
    <mergeCell ref="AP112:AW112"/>
    <mergeCell ref="AF109:AO109"/>
    <mergeCell ref="AP109:AW109"/>
    <mergeCell ref="AF110:AO110"/>
    <mergeCell ref="AP110:AW110"/>
    <mergeCell ref="Y117:AX117"/>
    <mergeCell ref="B114:X114"/>
    <mergeCell ref="Y114:AX114"/>
    <mergeCell ref="AY114:BV114"/>
    <mergeCell ref="B115:X115"/>
    <mergeCell ref="Y115:AX115"/>
    <mergeCell ref="CH95:CL95"/>
    <mergeCell ref="AY115:BV115"/>
    <mergeCell ref="C96:Y96"/>
    <mergeCell ref="EZ97:FD97"/>
    <mergeCell ref="AT95:AX95"/>
    <mergeCell ref="AY95:BC95"/>
    <mergeCell ref="BD95:BH95"/>
    <mergeCell ref="BI95:BM95"/>
    <mergeCell ref="BN95:BR95"/>
    <mergeCell ref="BS95:BW95"/>
    <mergeCell ref="EZ96:FD96"/>
    <mergeCell ref="AY96:BC96"/>
    <mergeCell ref="BD96:BH96"/>
    <mergeCell ref="BI96:BM96"/>
    <mergeCell ref="BN96:BR96"/>
    <mergeCell ref="BS96:BW96"/>
    <mergeCell ref="BX96:CB96"/>
    <mergeCell ref="FE96:FI96"/>
    <mergeCell ref="EZ95:FD95"/>
    <mergeCell ref="FE95:FI95"/>
    <mergeCell ref="CR95:CV95"/>
    <mergeCell ref="CW95:DA95"/>
    <mergeCell ref="DQ95:DU95"/>
    <mergeCell ref="FE97:FI97"/>
    <mergeCell ref="DB97:DF97"/>
    <mergeCell ref="DG97:DK97"/>
    <mergeCell ref="DL97:DP97"/>
    <mergeCell ref="DQ97:DU97"/>
    <mergeCell ref="DV97:DZ97"/>
    <mergeCell ref="EA97:EE97"/>
    <mergeCell ref="BX97:CB97"/>
    <mergeCell ref="CC97:CG97"/>
    <mergeCell ref="CH97:CL97"/>
    <mergeCell ref="CM97:CQ97"/>
    <mergeCell ref="CW97:DA97"/>
    <mergeCell ref="Z96:AD96"/>
    <mergeCell ref="AE96:AI96"/>
    <mergeCell ref="AJ96:AN96"/>
    <mergeCell ref="AO96:AS96"/>
    <mergeCell ref="AT96:AX96"/>
    <mergeCell ref="EF95:EJ95"/>
    <mergeCell ref="EK95:EO95"/>
    <mergeCell ref="EP95:ET95"/>
    <mergeCell ref="EU95:EY95"/>
    <mergeCell ref="EK96:EO96"/>
    <mergeCell ref="EP96:ET96"/>
    <mergeCell ref="EU96:EY96"/>
    <mergeCell ref="DG96:DK96"/>
    <mergeCell ref="DL96:DP96"/>
    <mergeCell ref="DQ96:DU96"/>
    <mergeCell ref="C95:Y95"/>
    <mergeCell ref="Z95:AD95"/>
    <mergeCell ref="AE95:AI95"/>
    <mergeCell ref="AJ95:AN95"/>
    <mergeCell ref="AO95:AS95"/>
    <mergeCell ref="EF96:EJ96"/>
    <mergeCell ref="CC96:CG96"/>
    <mergeCell ref="CH96:CL96"/>
    <mergeCell ref="CM96:CQ96"/>
    <mergeCell ref="CR96:CV96"/>
    <mergeCell ref="CW96:DA96"/>
    <mergeCell ref="DB96:DF96"/>
    <mergeCell ref="DG95:DK95"/>
    <mergeCell ref="DB95:DF95"/>
    <mergeCell ref="DL95:DP95"/>
    <mergeCell ref="CM95:CQ95"/>
    <mergeCell ref="EP94:ET94"/>
    <mergeCell ref="EU94:EY94"/>
    <mergeCell ref="DG94:DK94"/>
    <mergeCell ref="DL94:DP94"/>
    <mergeCell ref="DQ94:DU94"/>
    <mergeCell ref="DV94:DZ94"/>
    <mergeCell ref="EA94:EE94"/>
    <mergeCell ref="EF94:EJ94"/>
    <mergeCell ref="CC94:CG94"/>
    <mergeCell ref="CH94:CL94"/>
    <mergeCell ref="CM94:CQ94"/>
    <mergeCell ref="CR94:CV94"/>
    <mergeCell ref="CW94:DA94"/>
    <mergeCell ref="DB94:DF94"/>
    <mergeCell ref="AY94:BC94"/>
    <mergeCell ref="BD94:BH94"/>
    <mergeCell ref="BI94:BM94"/>
    <mergeCell ref="BN94:BR94"/>
    <mergeCell ref="BS94:BW94"/>
    <mergeCell ref="BX94:CB94"/>
    <mergeCell ref="EZ94:FD94"/>
    <mergeCell ref="FE94:FI94"/>
    <mergeCell ref="C93:Y93"/>
    <mergeCell ref="Z93:AD93"/>
    <mergeCell ref="AE93:AI93"/>
    <mergeCell ref="AJ93:AN93"/>
    <mergeCell ref="AO93:AS93"/>
    <mergeCell ref="EF93:EJ93"/>
    <mergeCell ref="EK93:EO93"/>
    <mergeCell ref="EP93:ET93"/>
    <mergeCell ref="EU93:EY93"/>
    <mergeCell ref="EZ93:FD93"/>
    <mergeCell ref="FE93:FI93"/>
    <mergeCell ref="DB93:DF93"/>
    <mergeCell ref="DG93:DK93"/>
    <mergeCell ref="DL93:DP93"/>
    <mergeCell ref="DQ93:DU93"/>
    <mergeCell ref="DV93:DZ93"/>
    <mergeCell ref="EA93:EE93"/>
    <mergeCell ref="BX93:CB93"/>
    <mergeCell ref="CC93:CG93"/>
    <mergeCell ref="CH93:CL93"/>
    <mergeCell ref="C94:Y94"/>
    <mergeCell ref="Z94:AD94"/>
    <mergeCell ref="AE94:AI94"/>
    <mergeCell ref="AJ94:AN94"/>
    <mergeCell ref="AY93:BC93"/>
    <mergeCell ref="BD93:BH93"/>
    <mergeCell ref="BI93:BM93"/>
    <mergeCell ref="BN93:BR93"/>
    <mergeCell ref="BS93:BW93"/>
    <mergeCell ref="EK94:EO94"/>
    <mergeCell ref="C65:Y65"/>
    <mergeCell ref="Z65:AD66"/>
    <mergeCell ref="AE65:AI66"/>
    <mergeCell ref="AJ65:AN66"/>
    <mergeCell ref="AO65:AS66"/>
    <mergeCell ref="AT65:AX66"/>
    <mergeCell ref="AY65:BC66"/>
    <mergeCell ref="BD65:BH66"/>
    <mergeCell ref="BI65:BM66"/>
    <mergeCell ref="Z69:AD70"/>
    <mergeCell ref="AE69:AI70"/>
    <mergeCell ref="AJ69:AN70"/>
    <mergeCell ref="AO69:AS70"/>
    <mergeCell ref="AT69:AX70"/>
    <mergeCell ref="AY69:BC70"/>
    <mergeCell ref="BD69:BH70"/>
    <mergeCell ref="C66:Y66"/>
    <mergeCell ref="C67:Y67"/>
    <mergeCell ref="Z67:AD68"/>
    <mergeCell ref="AE67:AI68"/>
    <mergeCell ref="AJ67:AN68"/>
    <mergeCell ref="AO67:AS68"/>
    <mergeCell ref="AT67:AX68"/>
    <mergeCell ref="AY67:BC68"/>
    <mergeCell ref="BD67:BH68"/>
    <mergeCell ref="BI67:BM68"/>
    <mergeCell ref="C88:Y88"/>
    <mergeCell ref="C89:Y89"/>
    <mergeCell ref="C87:Y87"/>
    <mergeCell ref="Z71:AD72"/>
    <mergeCell ref="AE71:AI72"/>
    <mergeCell ref="C71:Y71"/>
    <mergeCell ref="CW69:DA70"/>
    <mergeCell ref="Z87:AD88"/>
    <mergeCell ref="AE87:AI88"/>
    <mergeCell ref="AJ87:AN88"/>
    <mergeCell ref="AO87:AS88"/>
    <mergeCell ref="AT87:AX88"/>
    <mergeCell ref="AY87:BC88"/>
    <mergeCell ref="BD87:BH88"/>
    <mergeCell ref="BI87:BM88"/>
    <mergeCell ref="BN87:BR88"/>
    <mergeCell ref="BS87:BW88"/>
    <mergeCell ref="BX87:CB88"/>
    <mergeCell ref="CC87:CG88"/>
    <mergeCell ref="CH87:CL88"/>
    <mergeCell ref="CM87:CQ88"/>
    <mergeCell ref="BN71:BR72"/>
    <mergeCell ref="AJ71:AN72"/>
    <mergeCell ref="AO71:AS72"/>
    <mergeCell ref="C69:Y69"/>
    <mergeCell ref="C70:Y70"/>
    <mergeCell ref="CH69:CL70"/>
    <mergeCell ref="CM69:CQ70"/>
    <mergeCell ref="CR69:CV70"/>
    <mergeCell ref="BX71:CB72"/>
    <mergeCell ref="CC71:CG72"/>
    <mergeCell ref="CH71:CL72"/>
    <mergeCell ref="C63:Y63"/>
    <mergeCell ref="Z63:AD63"/>
    <mergeCell ref="AE63:AI63"/>
    <mergeCell ref="AJ63:AN63"/>
    <mergeCell ref="AO63:AS63"/>
    <mergeCell ref="AT63:AX63"/>
    <mergeCell ref="C64:Y64"/>
    <mergeCell ref="Z64:AD64"/>
    <mergeCell ref="AE64:AI64"/>
    <mergeCell ref="AJ64:AN64"/>
    <mergeCell ref="AO64:AS64"/>
    <mergeCell ref="EK63:EO63"/>
    <mergeCell ref="EP63:ET63"/>
    <mergeCell ref="EU63:EY63"/>
    <mergeCell ref="AT64:AX64"/>
    <mergeCell ref="AY64:BC64"/>
    <mergeCell ref="BD64:BH64"/>
    <mergeCell ref="BI64:BM64"/>
    <mergeCell ref="BN64:BR64"/>
    <mergeCell ref="BS64:BW64"/>
    <mergeCell ref="DQ64:DU64"/>
    <mergeCell ref="DV64:DZ64"/>
    <mergeCell ref="EA64:EE64"/>
    <mergeCell ref="AY63:BC63"/>
    <mergeCell ref="BD63:BH63"/>
    <mergeCell ref="BI63:BM63"/>
    <mergeCell ref="BN63:BR63"/>
    <mergeCell ref="BS63:BW63"/>
    <mergeCell ref="DG63:DK63"/>
    <mergeCell ref="DL63:DP63"/>
    <mergeCell ref="DQ63:DU63"/>
    <mergeCell ref="DV63:DZ63"/>
    <mergeCell ref="EF55:EJ55"/>
    <mergeCell ref="EK55:EO55"/>
    <mergeCell ref="EP55:ET55"/>
    <mergeCell ref="EF53:EJ53"/>
    <mergeCell ref="EK53:EO53"/>
    <mergeCell ref="EP53:ET53"/>
    <mergeCell ref="DB57:DF57"/>
    <mergeCell ref="DG57:DK57"/>
    <mergeCell ref="DL57:DP57"/>
    <mergeCell ref="C55:Y55"/>
    <mergeCell ref="Z55:AD55"/>
    <mergeCell ref="AE55:AI55"/>
    <mergeCell ref="AJ55:AN55"/>
    <mergeCell ref="AO55:AS55"/>
    <mergeCell ref="DB55:DF55"/>
    <mergeCell ref="DG55:DK55"/>
    <mergeCell ref="DL55:DP55"/>
    <mergeCell ref="DQ55:DU55"/>
    <mergeCell ref="DV55:DZ55"/>
    <mergeCell ref="EA55:EE55"/>
    <mergeCell ref="BX55:CB55"/>
    <mergeCell ref="CC55:CG55"/>
    <mergeCell ref="CH55:CL55"/>
    <mergeCell ref="CM55:CQ55"/>
    <mergeCell ref="CR55:CV55"/>
    <mergeCell ref="CW55:DA55"/>
    <mergeCell ref="AT55:AX55"/>
    <mergeCell ref="AY55:BC55"/>
    <mergeCell ref="BD55:BH55"/>
    <mergeCell ref="BI55:BM55"/>
    <mergeCell ref="BN55:BR55"/>
    <mergeCell ref="BS55:BW55"/>
    <mergeCell ref="EP59:ET59"/>
    <mergeCell ref="CM59:CQ59"/>
    <mergeCell ref="CR59:CV59"/>
    <mergeCell ref="CW59:DA59"/>
    <mergeCell ref="AY59:BC59"/>
    <mergeCell ref="BD59:BH59"/>
    <mergeCell ref="BI59:BM59"/>
    <mergeCell ref="BN59:BR59"/>
    <mergeCell ref="BS59:BW59"/>
    <mergeCell ref="EF59:EJ59"/>
    <mergeCell ref="DG59:DK59"/>
    <mergeCell ref="DL59:DP59"/>
    <mergeCell ref="DQ59:DU59"/>
    <mergeCell ref="DV59:DZ59"/>
    <mergeCell ref="EA59:EE59"/>
    <mergeCell ref="CC59:CG59"/>
    <mergeCell ref="CH59:CL59"/>
    <mergeCell ref="DB59:DF59"/>
    <mergeCell ref="BX59:CB59"/>
    <mergeCell ref="EZ53:FD53"/>
    <mergeCell ref="FE53:FI53"/>
    <mergeCell ref="DB53:DF53"/>
    <mergeCell ref="DG53:DK53"/>
    <mergeCell ref="DL53:DP53"/>
    <mergeCell ref="DQ53:DU53"/>
    <mergeCell ref="DV53:DZ53"/>
    <mergeCell ref="EA53:EE53"/>
    <mergeCell ref="BX53:CB53"/>
    <mergeCell ref="CC53:CG53"/>
    <mergeCell ref="CH53:CL53"/>
    <mergeCell ref="CM53:CQ53"/>
    <mergeCell ref="CR53:CV53"/>
    <mergeCell ref="CW53:DA53"/>
    <mergeCell ref="EU59:EY59"/>
    <mergeCell ref="EZ59:FD59"/>
    <mergeCell ref="FE59:FI59"/>
    <mergeCell ref="EU55:EY55"/>
    <mergeCell ref="FE55:FI55"/>
    <mergeCell ref="BX58:CB58"/>
    <mergeCell ref="CC58:CG58"/>
    <mergeCell ref="CH58:CL58"/>
    <mergeCell ref="CM58:CQ58"/>
    <mergeCell ref="CR58:CV58"/>
    <mergeCell ref="CW58:DA58"/>
    <mergeCell ref="DL58:DP58"/>
    <mergeCell ref="FE56:FI56"/>
    <mergeCell ref="DQ57:DU57"/>
    <mergeCell ref="DV57:DZ57"/>
    <mergeCell ref="EA57:EE57"/>
    <mergeCell ref="EF57:EJ57"/>
    <mergeCell ref="EK59:EO59"/>
    <mergeCell ref="DB52:DF52"/>
    <mergeCell ref="AY52:BC52"/>
    <mergeCell ref="BD52:BH52"/>
    <mergeCell ref="BI52:BM52"/>
    <mergeCell ref="BN52:BR52"/>
    <mergeCell ref="BS52:BW52"/>
    <mergeCell ref="BX52:CB52"/>
    <mergeCell ref="C52:Y52"/>
    <mergeCell ref="Z52:AD52"/>
    <mergeCell ref="AE52:AI52"/>
    <mergeCell ref="AJ52:AN52"/>
    <mergeCell ref="AO52:AS52"/>
    <mergeCell ref="AT52:AX52"/>
    <mergeCell ref="AT53:AX53"/>
    <mergeCell ref="AY53:BC53"/>
    <mergeCell ref="BD53:BH53"/>
    <mergeCell ref="EU53:EY53"/>
    <mergeCell ref="BI53:BM53"/>
    <mergeCell ref="BN53:BR53"/>
    <mergeCell ref="BS53:BW53"/>
    <mergeCell ref="EP51:ET51"/>
    <mergeCell ref="EU51:EY51"/>
    <mergeCell ref="EZ51:FD51"/>
    <mergeCell ref="FE51:FI51"/>
    <mergeCell ref="DB51:DF51"/>
    <mergeCell ref="DG51:DK51"/>
    <mergeCell ref="DL51:DP51"/>
    <mergeCell ref="DQ51:DU51"/>
    <mergeCell ref="DV51:DZ51"/>
    <mergeCell ref="EA51:EE51"/>
    <mergeCell ref="BX51:CB51"/>
    <mergeCell ref="CC51:CG51"/>
    <mergeCell ref="CH51:CL51"/>
    <mergeCell ref="CM51:CQ51"/>
    <mergeCell ref="CR51:CV51"/>
    <mergeCell ref="CW51:DA51"/>
    <mergeCell ref="C53:Y53"/>
    <mergeCell ref="Z53:AD53"/>
    <mergeCell ref="AE53:AI53"/>
    <mergeCell ref="AJ53:AN53"/>
    <mergeCell ref="AO53:AS53"/>
    <mergeCell ref="DG52:DK52"/>
    <mergeCell ref="DL52:DP52"/>
    <mergeCell ref="DQ52:DU52"/>
    <mergeCell ref="DV52:DZ52"/>
    <mergeCell ref="EA52:EE52"/>
    <mergeCell ref="EF52:EJ52"/>
    <mergeCell ref="CC52:CG52"/>
    <mergeCell ref="CH52:CL52"/>
    <mergeCell ref="CM52:CQ52"/>
    <mergeCell ref="CR52:CV52"/>
    <mergeCell ref="CW52:DA52"/>
    <mergeCell ref="C49:Y49"/>
    <mergeCell ref="Z49:AD49"/>
    <mergeCell ref="AE49:AI49"/>
    <mergeCell ref="AJ49:AN49"/>
    <mergeCell ref="AO49:AS49"/>
    <mergeCell ref="EK50:EO50"/>
    <mergeCell ref="AT51:AX51"/>
    <mergeCell ref="AY51:BC51"/>
    <mergeCell ref="BD51:BH51"/>
    <mergeCell ref="BI51:BM51"/>
    <mergeCell ref="BN51:BR51"/>
    <mergeCell ref="BS51:BW51"/>
    <mergeCell ref="C51:Y51"/>
    <mergeCell ref="Z51:AD51"/>
    <mergeCell ref="AE51:AI51"/>
    <mergeCell ref="AJ51:AN51"/>
    <mergeCell ref="AO51:AS51"/>
    <mergeCell ref="DG50:DK50"/>
    <mergeCell ref="DL50:DP50"/>
    <mergeCell ref="DQ50:DU50"/>
    <mergeCell ref="DV50:DZ50"/>
    <mergeCell ref="EA50:EE50"/>
    <mergeCell ref="EF50:EJ50"/>
    <mergeCell ref="CC50:CG50"/>
    <mergeCell ref="CH50:CL50"/>
    <mergeCell ref="CM50:CQ50"/>
    <mergeCell ref="CR50:CV50"/>
    <mergeCell ref="BI50:BM50"/>
    <mergeCell ref="BN50:BR50"/>
    <mergeCell ref="EF51:EJ51"/>
    <mergeCell ref="EK51:EO51"/>
    <mergeCell ref="AT49:AX49"/>
    <mergeCell ref="EK49:EO49"/>
    <mergeCell ref="EP49:ET49"/>
    <mergeCell ref="EU49:EY49"/>
    <mergeCell ref="EZ49:FD49"/>
    <mergeCell ref="FE49:FI49"/>
    <mergeCell ref="EP50:ET50"/>
    <mergeCell ref="EU50:EY50"/>
    <mergeCell ref="EZ50:FD50"/>
    <mergeCell ref="FE50:FI50"/>
    <mergeCell ref="DG49:DK49"/>
    <mergeCell ref="DL49:DP49"/>
    <mergeCell ref="DQ49:DU49"/>
    <mergeCell ref="DV49:DZ49"/>
    <mergeCell ref="EA49:EE49"/>
    <mergeCell ref="EF49:EJ49"/>
    <mergeCell ref="CC49:CG49"/>
    <mergeCell ref="CH49:CL49"/>
    <mergeCell ref="CM49:CQ49"/>
    <mergeCell ref="CR49:CV49"/>
    <mergeCell ref="CW49:DA49"/>
    <mergeCell ref="DB49:DF49"/>
    <mergeCell ref="AY49:BC49"/>
    <mergeCell ref="BD49:BH49"/>
    <mergeCell ref="BI49:BM49"/>
    <mergeCell ref="BN49:BR49"/>
    <mergeCell ref="BS49:BW49"/>
    <mergeCell ref="BX49:CB49"/>
    <mergeCell ref="CW50:DA50"/>
    <mergeCell ref="DB50:DF50"/>
    <mergeCell ref="AY50:BC50"/>
    <mergeCell ref="BD50:BH50"/>
    <mergeCell ref="DG46:DK46"/>
    <mergeCell ref="DL46:DP46"/>
    <mergeCell ref="DQ46:DU46"/>
    <mergeCell ref="DV46:DZ46"/>
    <mergeCell ref="EA46:EE46"/>
    <mergeCell ref="EF46:EJ46"/>
    <mergeCell ref="CC46:CG46"/>
    <mergeCell ref="CH46:CL46"/>
    <mergeCell ref="CM46:CQ46"/>
    <mergeCell ref="CR46:CV46"/>
    <mergeCell ref="CW46:DA46"/>
    <mergeCell ref="DB46:DF46"/>
    <mergeCell ref="AY46:BC46"/>
    <mergeCell ref="BD46:BH46"/>
    <mergeCell ref="BI46:BM46"/>
    <mergeCell ref="BN46:BR46"/>
    <mergeCell ref="EF47:EJ47"/>
    <mergeCell ref="DB47:DF47"/>
    <mergeCell ref="AY47:BC47"/>
    <mergeCell ref="BD47:BH47"/>
    <mergeCell ref="BI47:BM47"/>
    <mergeCell ref="BN47:BR47"/>
    <mergeCell ref="DL48:DP48"/>
    <mergeCell ref="DQ48:DU48"/>
    <mergeCell ref="DV48:DZ48"/>
    <mergeCell ref="EK47:EO47"/>
    <mergeCell ref="EA48:EE48"/>
    <mergeCell ref="EF48:EJ48"/>
    <mergeCell ref="CC48:CG48"/>
    <mergeCell ref="CH48:CL48"/>
    <mergeCell ref="CM48:CQ48"/>
    <mergeCell ref="CR48:CV48"/>
    <mergeCell ref="CW48:DA48"/>
    <mergeCell ref="DB48:DF48"/>
    <mergeCell ref="C47:Y47"/>
    <mergeCell ref="Z47:AD47"/>
    <mergeCell ref="AE47:AI47"/>
    <mergeCell ref="AJ47:AN47"/>
    <mergeCell ref="AO47:AS47"/>
    <mergeCell ref="AT47:AX47"/>
    <mergeCell ref="BD48:BH48"/>
    <mergeCell ref="BI48:BM48"/>
    <mergeCell ref="BN48:BR48"/>
    <mergeCell ref="C48:Y48"/>
    <mergeCell ref="Z48:AD48"/>
    <mergeCell ref="AE48:AI48"/>
    <mergeCell ref="AJ48:AN48"/>
    <mergeCell ref="AO48:AS48"/>
    <mergeCell ref="AT48:AX48"/>
    <mergeCell ref="AY48:BC48"/>
    <mergeCell ref="EZ44:FD44"/>
    <mergeCell ref="DB44:DF44"/>
    <mergeCell ref="DG44:DK44"/>
    <mergeCell ref="DL44:DP44"/>
    <mergeCell ref="DQ44:DU44"/>
    <mergeCell ref="DV44:DZ44"/>
    <mergeCell ref="EA44:EE44"/>
    <mergeCell ref="BX44:CB44"/>
    <mergeCell ref="CC44:CG44"/>
    <mergeCell ref="CH44:CL44"/>
    <mergeCell ref="CM44:CQ44"/>
    <mergeCell ref="CR44:CV44"/>
    <mergeCell ref="CW44:DA44"/>
    <mergeCell ref="AT44:AX44"/>
    <mergeCell ref="AY44:BC44"/>
    <mergeCell ref="BD44:BH44"/>
    <mergeCell ref="BI44:BM44"/>
    <mergeCell ref="BN44:BR44"/>
    <mergeCell ref="BS44:BW44"/>
    <mergeCell ref="EU44:EY44"/>
    <mergeCell ref="DL45:DP45"/>
    <mergeCell ref="DQ45:DU45"/>
    <mergeCell ref="DV45:DZ45"/>
    <mergeCell ref="EA45:EE45"/>
    <mergeCell ref="EF45:EJ45"/>
    <mergeCell ref="EK45:EO45"/>
    <mergeCell ref="EP45:ET45"/>
    <mergeCell ref="EK48:EO48"/>
    <mergeCell ref="C44:Y44"/>
    <mergeCell ref="Z44:AD44"/>
    <mergeCell ref="AE44:AI44"/>
    <mergeCell ref="AJ44:AN44"/>
    <mergeCell ref="AO44:AS44"/>
    <mergeCell ref="BS46:BW46"/>
    <mergeCell ref="BX46:CB46"/>
    <mergeCell ref="C46:Y46"/>
    <mergeCell ref="Z46:AD46"/>
    <mergeCell ref="AE46:AI46"/>
    <mergeCell ref="AJ46:AN46"/>
    <mergeCell ref="AO46:AS46"/>
    <mergeCell ref="AT46:AX46"/>
    <mergeCell ref="EF44:EJ44"/>
    <mergeCell ref="EK44:EO44"/>
    <mergeCell ref="EP44:ET44"/>
    <mergeCell ref="C45:Y45"/>
    <mergeCell ref="Z45:AD45"/>
    <mergeCell ref="AE45:AI45"/>
    <mergeCell ref="AJ45:AN45"/>
    <mergeCell ref="BS47:BW47"/>
    <mergeCell ref="CR47:CV47"/>
    <mergeCell ref="CW47:DA47"/>
    <mergeCell ref="DG48:DK48"/>
    <mergeCell ref="AO45:AS45"/>
    <mergeCell ref="AT45:AX45"/>
    <mergeCell ref="AY45:BC45"/>
    <mergeCell ref="BD45:BH45"/>
    <mergeCell ref="BI45:BM45"/>
    <mergeCell ref="BN45:BR45"/>
    <mergeCell ref="BS45:BW45"/>
    <mergeCell ref="BX45:CB45"/>
    <mergeCell ref="CC45:CG45"/>
    <mergeCell ref="CH45:CL45"/>
    <mergeCell ref="CM45:CQ45"/>
    <mergeCell ref="EK43:EO43"/>
    <mergeCell ref="EP43:ET43"/>
    <mergeCell ref="EU43:EY43"/>
    <mergeCell ref="EZ43:FD43"/>
    <mergeCell ref="FE43:FI43"/>
    <mergeCell ref="DB43:DF43"/>
    <mergeCell ref="DG43:DK43"/>
    <mergeCell ref="DL43:DP43"/>
    <mergeCell ref="DQ43:DU43"/>
    <mergeCell ref="DV43:DZ43"/>
    <mergeCell ref="EA43:EE43"/>
    <mergeCell ref="BX43:CB43"/>
    <mergeCell ref="CC43:CG43"/>
    <mergeCell ref="CH43:CL43"/>
    <mergeCell ref="CM43:CQ43"/>
    <mergeCell ref="CR43:CV43"/>
    <mergeCell ref="CW43:DA43"/>
    <mergeCell ref="CR45:CV45"/>
    <mergeCell ref="CW45:DA45"/>
    <mergeCell ref="DB45:DF45"/>
    <mergeCell ref="DG45:DK45"/>
    <mergeCell ref="C42:Y42"/>
    <mergeCell ref="Z42:AD42"/>
    <mergeCell ref="AE42:AI42"/>
    <mergeCell ref="AJ42:AN42"/>
    <mergeCell ref="AO42:AS42"/>
    <mergeCell ref="EF42:EJ42"/>
    <mergeCell ref="DB42:DF42"/>
    <mergeCell ref="DG42:DK42"/>
    <mergeCell ref="DL42:DP42"/>
    <mergeCell ref="DQ42:DU42"/>
    <mergeCell ref="DV42:DZ42"/>
    <mergeCell ref="EA42:EE42"/>
    <mergeCell ref="BX42:CB42"/>
    <mergeCell ref="CC42:CG42"/>
    <mergeCell ref="CH42:CL42"/>
    <mergeCell ref="CM42:CQ42"/>
    <mergeCell ref="C43:Y43"/>
    <mergeCell ref="Z43:AD43"/>
    <mergeCell ref="AE43:AI43"/>
    <mergeCell ref="AJ43:AN43"/>
    <mergeCell ref="AO43:AS43"/>
    <mergeCell ref="EF43:EJ43"/>
    <mergeCell ref="AT43:AX43"/>
    <mergeCell ref="AY43:BC43"/>
    <mergeCell ref="BD43:BH43"/>
    <mergeCell ref="BI43:BM43"/>
    <mergeCell ref="BN43:BR43"/>
    <mergeCell ref="BS43:BW43"/>
    <mergeCell ref="EA41:EE41"/>
    <mergeCell ref="BX41:CB41"/>
    <mergeCell ref="CC41:CG41"/>
    <mergeCell ref="CH41:CL41"/>
    <mergeCell ref="CM41:CQ41"/>
    <mergeCell ref="CR41:CV41"/>
    <mergeCell ref="CW41:DA41"/>
    <mergeCell ref="AT41:AX41"/>
    <mergeCell ref="AY41:BC41"/>
    <mergeCell ref="BD41:BH41"/>
    <mergeCell ref="BI41:BM41"/>
    <mergeCell ref="BN41:BR41"/>
    <mergeCell ref="BS41:BW41"/>
    <mergeCell ref="FE42:FI42"/>
    <mergeCell ref="AT42:AX42"/>
    <mergeCell ref="AY42:BC42"/>
    <mergeCell ref="BD42:BH42"/>
    <mergeCell ref="BI42:BM42"/>
    <mergeCell ref="BN42:BR42"/>
    <mergeCell ref="BS42:BW42"/>
    <mergeCell ref="EK42:EO42"/>
    <mergeCell ref="EP42:ET42"/>
    <mergeCell ref="EU42:EY42"/>
    <mergeCell ref="EZ42:FD42"/>
    <mergeCell ref="CR42:CV42"/>
    <mergeCell ref="CW42:DA42"/>
    <mergeCell ref="DV39:DZ39"/>
    <mergeCell ref="BI39:BM39"/>
    <mergeCell ref="BN39:BR39"/>
    <mergeCell ref="BS39:BW39"/>
    <mergeCell ref="EK40:EO40"/>
    <mergeCell ref="EP40:ET40"/>
    <mergeCell ref="EU40:EY40"/>
    <mergeCell ref="BX40:CB40"/>
    <mergeCell ref="C41:Y41"/>
    <mergeCell ref="Z41:AD41"/>
    <mergeCell ref="AE41:AI41"/>
    <mergeCell ref="AJ41:AN41"/>
    <mergeCell ref="AO41:AS41"/>
    <mergeCell ref="DG40:DK40"/>
    <mergeCell ref="DL40:DP40"/>
    <mergeCell ref="DQ40:DU40"/>
    <mergeCell ref="DV40:DZ40"/>
    <mergeCell ref="EA40:EE40"/>
    <mergeCell ref="EF40:EJ40"/>
    <mergeCell ref="CC40:CG40"/>
    <mergeCell ref="CH40:CL40"/>
    <mergeCell ref="CM40:CQ40"/>
    <mergeCell ref="EF39:EJ39"/>
    <mergeCell ref="EK39:EO39"/>
    <mergeCell ref="AT40:AX40"/>
    <mergeCell ref="EF41:EJ41"/>
    <mergeCell ref="EK41:EO41"/>
    <mergeCell ref="DB41:DF41"/>
    <mergeCell ref="DG41:DK41"/>
    <mergeCell ref="DL41:DP41"/>
    <mergeCell ref="DQ41:DU41"/>
    <mergeCell ref="DV41:DZ41"/>
    <mergeCell ref="EP39:ET39"/>
    <mergeCell ref="EU39:EY39"/>
    <mergeCell ref="CR40:CV40"/>
    <mergeCell ref="CW40:DA40"/>
    <mergeCell ref="DB40:DF40"/>
    <mergeCell ref="DV34:DZ34"/>
    <mergeCell ref="EK38:EO38"/>
    <mergeCell ref="EP38:ET38"/>
    <mergeCell ref="EU38:EY38"/>
    <mergeCell ref="EF37:EJ37"/>
    <mergeCell ref="EZ40:FD40"/>
    <mergeCell ref="FE40:FI40"/>
    <mergeCell ref="BS40:BW40"/>
    <mergeCell ref="C39:Y39"/>
    <mergeCell ref="Z39:AD39"/>
    <mergeCell ref="AE39:AI39"/>
    <mergeCell ref="AJ39:AN39"/>
    <mergeCell ref="AO39:AS39"/>
    <mergeCell ref="C40:Y40"/>
    <mergeCell ref="Z40:AD40"/>
    <mergeCell ref="AE40:AI40"/>
    <mergeCell ref="AJ40:AN40"/>
    <mergeCell ref="AO40:AS40"/>
    <mergeCell ref="AY40:BC40"/>
    <mergeCell ref="BD40:BH40"/>
    <mergeCell ref="BI40:BM40"/>
    <mergeCell ref="BN40:BR40"/>
    <mergeCell ref="EZ39:FD39"/>
    <mergeCell ref="FE39:FI39"/>
    <mergeCell ref="DB39:DF39"/>
    <mergeCell ref="DG39:DK39"/>
    <mergeCell ref="DL39:DP39"/>
    <mergeCell ref="BS34:BW34"/>
    <mergeCell ref="BX34:CB34"/>
    <mergeCell ref="CC34:CG34"/>
    <mergeCell ref="BS38:BW38"/>
    <mergeCell ref="BX38:CB38"/>
    <mergeCell ref="C38:Y38"/>
    <mergeCell ref="Z38:AD38"/>
    <mergeCell ref="AE38:AI38"/>
    <mergeCell ref="AJ38:AN38"/>
    <mergeCell ref="AO38:AS38"/>
    <mergeCell ref="AT38:AX38"/>
    <mergeCell ref="EA39:EE39"/>
    <mergeCell ref="BX39:CB39"/>
    <mergeCell ref="CC39:CG39"/>
    <mergeCell ref="CH39:CL39"/>
    <mergeCell ref="CM39:CQ39"/>
    <mergeCell ref="CR39:CV39"/>
    <mergeCell ref="CW39:DA39"/>
    <mergeCell ref="AT39:AX39"/>
    <mergeCell ref="AY39:BC39"/>
    <mergeCell ref="BD39:BH39"/>
    <mergeCell ref="DG38:DK38"/>
    <mergeCell ref="DL38:DP38"/>
    <mergeCell ref="DQ38:DU38"/>
    <mergeCell ref="DV38:DZ38"/>
    <mergeCell ref="EA38:EE38"/>
    <mergeCell ref="CC38:CG38"/>
    <mergeCell ref="CH38:CL38"/>
    <mergeCell ref="CM38:CQ38"/>
    <mergeCell ref="CR38:CV38"/>
    <mergeCell ref="CW38:DA38"/>
    <mergeCell ref="DQ39:DU39"/>
    <mergeCell ref="EZ38:FD38"/>
    <mergeCell ref="FE38:FI38"/>
    <mergeCell ref="EK37:EO37"/>
    <mergeCell ref="EP37:ET37"/>
    <mergeCell ref="EU37:EY37"/>
    <mergeCell ref="EZ37:FD37"/>
    <mergeCell ref="FE37:FI37"/>
    <mergeCell ref="AT37:AX37"/>
    <mergeCell ref="AY37:BC37"/>
    <mergeCell ref="BD37:BH37"/>
    <mergeCell ref="BI37:BM37"/>
    <mergeCell ref="BN37:BR37"/>
    <mergeCell ref="AY38:BC38"/>
    <mergeCell ref="BD38:BH38"/>
    <mergeCell ref="BI38:BM38"/>
    <mergeCell ref="DQ37:DU37"/>
    <mergeCell ref="DV37:DZ37"/>
    <mergeCell ref="EA37:EE37"/>
    <mergeCell ref="BX37:CB37"/>
    <mergeCell ref="BS37:BW37"/>
    <mergeCell ref="DB38:DF38"/>
    <mergeCell ref="BN38:BR38"/>
    <mergeCell ref="CC37:CG37"/>
    <mergeCell ref="CH37:CL37"/>
    <mergeCell ref="CM37:CQ37"/>
    <mergeCell ref="CR37:CV37"/>
    <mergeCell ref="CW37:DA37"/>
    <mergeCell ref="DB37:DF37"/>
    <mergeCell ref="DG37:DK37"/>
    <mergeCell ref="DL37:DP37"/>
    <mergeCell ref="EF38:EJ38"/>
    <mergeCell ref="E105:AE105"/>
    <mergeCell ref="E106:AE106"/>
    <mergeCell ref="E107:AE107"/>
    <mergeCell ref="E108:AE108"/>
    <mergeCell ref="E109:AE109"/>
    <mergeCell ref="E110:AE110"/>
    <mergeCell ref="E111:AE111"/>
    <mergeCell ref="E112:AE112"/>
    <mergeCell ref="CH34:CL34"/>
    <mergeCell ref="FE36:FI36"/>
    <mergeCell ref="EA36:EE36"/>
    <mergeCell ref="EF36:EJ36"/>
    <mergeCell ref="EK36:EO36"/>
    <mergeCell ref="EP36:ET36"/>
    <mergeCell ref="EU36:EY36"/>
    <mergeCell ref="EZ36:FD36"/>
    <mergeCell ref="FE29:FI35"/>
    <mergeCell ref="BS30:CB30"/>
    <mergeCell ref="CC30:CL30"/>
    <mergeCell ref="CM30:CV30"/>
    <mergeCell ref="CW30:DF30"/>
    <mergeCell ref="DG30:DK30"/>
    <mergeCell ref="DL30:DU30"/>
    <mergeCell ref="Z36:AD36"/>
    <mergeCell ref="AE36:AI36"/>
    <mergeCell ref="BS36:BW36"/>
    <mergeCell ref="BX36:CB36"/>
    <mergeCell ref="CC36:CG36"/>
    <mergeCell ref="CH36:CL36"/>
    <mergeCell ref="CM36:CQ36"/>
    <mergeCell ref="CR36:CV36"/>
    <mergeCell ref="AT31:AX36"/>
    <mergeCell ref="A89:A90"/>
    <mergeCell ref="A91:A92"/>
    <mergeCell ref="B29:B36"/>
    <mergeCell ref="C29:Y36"/>
    <mergeCell ref="Z29:BR29"/>
    <mergeCell ref="BS29:DK29"/>
    <mergeCell ref="DL29:FD29"/>
    <mergeCell ref="DV30:EE30"/>
    <mergeCell ref="DV36:DZ36"/>
    <mergeCell ref="BS35:DK35"/>
    <mergeCell ref="DL35:FD35"/>
    <mergeCell ref="EA34:EE34"/>
    <mergeCell ref="EF34:EJ34"/>
    <mergeCell ref="EK34:EO34"/>
    <mergeCell ref="DG32:DK32"/>
    <mergeCell ref="DL32:DU32"/>
    <mergeCell ref="DB36:DF36"/>
    <mergeCell ref="EP34:ET34"/>
    <mergeCell ref="AJ31:AN36"/>
    <mergeCell ref="AO31:AS36"/>
    <mergeCell ref="EU34:EY34"/>
    <mergeCell ref="EZ34:FD34"/>
    <mergeCell ref="CW34:DA34"/>
    <mergeCell ref="DB34:DF34"/>
    <mergeCell ref="Z30:AI35"/>
    <mergeCell ref="A29:A36"/>
    <mergeCell ref="AY31:BC36"/>
    <mergeCell ref="DG36:DK36"/>
    <mergeCell ref="DL36:DP36"/>
    <mergeCell ref="DQ36:DU36"/>
    <mergeCell ref="C37:Y37"/>
    <mergeCell ref="Z37:AD37"/>
    <mergeCell ref="A10:FH10"/>
    <mergeCell ref="AT3:CY3"/>
    <mergeCell ref="A87:A88"/>
    <mergeCell ref="A28:FI28"/>
    <mergeCell ref="BD31:BH36"/>
    <mergeCell ref="BI31:BM36"/>
    <mergeCell ref="BS31:DK31"/>
    <mergeCell ref="DL31:FD31"/>
    <mergeCell ref="CW36:DA36"/>
    <mergeCell ref="EZ32:FD32"/>
    <mergeCell ref="BS33:DK33"/>
    <mergeCell ref="DL33:FD33"/>
    <mergeCell ref="BS32:CB32"/>
    <mergeCell ref="CC32:CL32"/>
    <mergeCell ref="CM32:CV32"/>
    <mergeCell ref="CW32:DF32"/>
    <mergeCell ref="EP30:EY30"/>
    <mergeCell ref="EZ30:FD30"/>
    <mergeCell ref="AE37:AI37"/>
    <mergeCell ref="AJ37:AN37"/>
    <mergeCell ref="AO37:AS37"/>
    <mergeCell ref="AJ30:BM30"/>
    <mergeCell ref="BN30:BR36"/>
    <mergeCell ref="EF30:EO30"/>
    <mergeCell ref="CM34:CQ34"/>
    <mergeCell ref="CR34:CV34"/>
    <mergeCell ref="DV32:EE32"/>
    <mergeCell ref="EF32:EO32"/>
    <mergeCell ref="EP32:EY32"/>
    <mergeCell ref="DG34:DK34"/>
    <mergeCell ref="DL34:DP34"/>
    <mergeCell ref="DQ34:DU34"/>
    <mergeCell ref="EP75:ET76"/>
    <mergeCell ref="EU75:EY76"/>
    <mergeCell ref="EZ75:FD76"/>
    <mergeCell ref="FE75:FI76"/>
    <mergeCell ref="C76:Y76"/>
    <mergeCell ref="A73:A74"/>
    <mergeCell ref="C73:Y73"/>
    <mergeCell ref="Z73:AD74"/>
    <mergeCell ref="AE73:AI74"/>
    <mergeCell ref="AJ73:AN74"/>
    <mergeCell ref="AO73:AS74"/>
    <mergeCell ref="AT73:AX74"/>
    <mergeCell ref="AY73:BC74"/>
    <mergeCell ref="BD73:BH74"/>
    <mergeCell ref="BI73:BM74"/>
    <mergeCell ref="BN73:BR74"/>
    <mergeCell ref="BS73:BW74"/>
    <mergeCell ref="BX73:CB74"/>
    <mergeCell ref="CC73:CG74"/>
    <mergeCell ref="CH73:CL74"/>
    <mergeCell ref="CM73:CQ74"/>
    <mergeCell ref="CR73:CV74"/>
    <mergeCell ref="EF73:EJ74"/>
    <mergeCell ref="EK73:EO74"/>
    <mergeCell ref="EP73:ET74"/>
    <mergeCell ref="EU73:EY74"/>
    <mergeCell ref="DB75:DF76"/>
    <mergeCell ref="DG75:DK76"/>
    <mergeCell ref="DL75:DP76"/>
    <mergeCell ref="DQ75:DU76"/>
    <mergeCell ref="DV75:DZ76"/>
    <mergeCell ref="BI77:BM78"/>
    <mergeCell ref="BN77:BR78"/>
    <mergeCell ref="BS77:BW78"/>
    <mergeCell ref="BX77:CB78"/>
    <mergeCell ref="CC77:CG78"/>
    <mergeCell ref="CH77:CL78"/>
    <mergeCell ref="CM77:CQ78"/>
    <mergeCell ref="CR77:CV78"/>
    <mergeCell ref="EZ73:FD74"/>
    <mergeCell ref="FE73:FI74"/>
    <mergeCell ref="C74:Y74"/>
    <mergeCell ref="A75:A76"/>
    <mergeCell ref="C75:Y75"/>
    <mergeCell ref="Z75:AD76"/>
    <mergeCell ref="AE75:AI76"/>
    <mergeCell ref="AJ75:AN76"/>
    <mergeCell ref="AO75:AS76"/>
    <mergeCell ref="AT75:AX76"/>
    <mergeCell ref="AY75:BC76"/>
    <mergeCell ref="BD75:BH76"/>
    <mergeCell ref="BI75:BM76"/>
    <mergeCell ref="BN75:BR76"/>
    <mergeCell ref="BS75:BW76"/>
    <mergeCell ref="BX75:CB76"/>
    <mergeCell ref="CC75:CG76"/>
    <mergeCell ref="CH75:CL76"/>
    <mergeCell ref="CM75:CQ76"/>
    <mergeCell ref="CR75:CV76"/>
    <mergeCell ref="CW75:DA76"/>
    <mergeCell ref="EA75:EE76"/>
    <mergeCell ref="EF75:EJ76"/>
    <mergeCell ref="EK75:EO76"/>
    <mergeCell ref="C78:Y78"/>
    <mergeCell ref="CW79:DA80"/>
    <mergeCell ref="DB79:DF80"/>
    <mergeCell ref="DG79:DK80"/>
    <mergeCell ref="C82:Y82"/>
    <mergeCell ref="DB77:DF78"/>
    <mergeCell ref="A79:A80"/>
    <mergeCell ref="C79:Y79"/>
    <mergeCell ref="Z79:AD80"/>
    <mergeCell ref="AE79:AI80"/>
    <mergeCell ref="AJ79:AN80"/>
    <mergeCell ref="AO79:AS80"/>
    <mergeCell ref="AT79:AX80"/>
    <mergeCell ref="AY79:BC80"/>
    <mergeCell ref="BD79:BH80"/>
    <mergeCell ref="BI79:BM80"/>
    <mergeCell ref="BN79:BR80"/>
    <mergeCell ref="BS79:BW80"/>
    <mergeCell ref="BX79:CB80"/>
    <mergeCell ref="CC79:CG80"/>
    <mergeCell ref="CH79:CL80"/>
    <mergeCell ref="CM79:CQ80"/>
    <mergeCell ref="CR79:CV80"/>
    <mergeCell ref="A77:A78"/>
    <mergeCell ref="C77:Y77"/>
    <mergeCell ref="Z77:AD78"/>
    <mergeCell ref="AE77:AI78"/>
    <mergeCell ref="AJ77:AN78"/>
    <mergeCell ref="AO77:AS78"/>
    <mergeCell ref="AT77:AX78"/>
    <mergeCell ref="AY77:BC78"/>
    <mergeCell ref="BD77:BH78"/>
    <mergeCell ref="DV77:DZ78"/>
    <mergeCell ref="EA77:EE78"/>
    <mergeCell ref="EF77:EJ78"/>
    <mergeCell ref="EK77:EO78"/>
    <mergeCell ref="EP77:ET78"/>
    <mergeCell ref="EU77:EY78"/>
    <mergeCell ref="EZ77:FD78"/>
    <mergeCell ref="FE77:FI78"/>
    <mergeCell ref="A81:A82"/>
    <mergeCell ref="CR83:CV84"/>
    <mergeCell ref="CW83:DA84"/>
    <mergeCell ref="DB83:DF84"/>
    <mergeCell ref="DG83:DK84"/>
    <mergeCell ref="DL83:DP84"/>
    <mergeCell ref="DQ83:DU84"/>
    <mergeCell ref="DL79:DP80"/>
    <mergeCell ref="DQ79:DU80"/>
    <mergeCell ref="DV79:DZ80"/>
    <mergeCell ref="EA79:EE80"/>
    <mergeCell ref="EF79:EJ80"/>
    <mergeCell ref="EK79:EO80"/>
    <mergeCell ref="EP79:ET80"/>
    <mergeCell ref="EU79:EY80"/>
    <mergeCell ref="EZ79:FD80"/>
    <mergeCell ref="FE79:FI80"/>
    <mergeCell ref="C80:Y80"/>
    <mergeCell ref="C81:Y81"/>
    <mergeCell ref="Z81:AD82"/>
    <mergeCell ref="AE81:AI82"/>
    <mergeCell ref="AJ81:AN82"/>
    <mergeCell ref="AO81:AS82"/>
    <mergeCell ref="AT81:AX82"/>
    <mergeCell ref="AY81:BC82"/>
    <mergeCell ref="BD81:BH82"/>
    <mergeCell ref="BI81:BM82"/>
    <mergeCell ref="BN81:BR82"/>
    <mergeCell ref="BS81:BW82"/>
    <mergeCell ref="BX81:CB82"/>
    <mergeCell ref="CC81:CG82"/>
    <mergeCell ref="CH81:CL82"/>
    <mergeCell ref="CW85:DA86"/>
    <mergeCell ref="DB85:DF86"/>
    <mergeCell ref="DG85:DK86"/>
    <mergeCell ref="DL85:DP86"/>
    <mergeCell ref="DQ85:DU86"/>
    <mergeCell ref="A83:A84"/>
    <mergeCell ref="C83:Y83"/>
    <mergeCell ref="Z83:AD84"/>
    <mergeCell ref="AE83:AI84"/>
    <mergeCell ref="AJ83:AN84"/>
    <mergeCell ref="AO83:AS84"/>
    <mergeCell ref="AT83:AX84"/>
    <mergeCell ref="AY83:BC84"/>
    <mergeCell ref="BD83:BH84"/>
    <mergeCell ref="BI83:BM84"/>
    <mergeCell ref="BN83:BR84"/>
    <mergeCell ref="BS83:BW84"/>
    <mergeCell ref="BX83:CB84"/>
    <mergeCell ref="CC83:CG84"/>
    <mergeCell ref="CH83:CL84"/>
    <mergeCell ref="CM83:CQ84"/>
    <mergeCell ref="C86:Y86"/>
    <mergeCell ref="DV83:DZ84"/>
    <mergeCell ref="EA83:EE84"/>
    <mergeCell ref="EF83:EJ84"/>
    <mergeCell ref="EK83:EO84"/>
    <mergeCell ref="EP83:ET84"/>
    <mergeCell ref="EU83:EY84"/>
    <mergeCell ref="EZ83:FD84"/>
    <mergeCell ref="FE83:FI84"/>
    <mergeCell ref="C84:Y84"/>
    <mergeCell ref="A85:A86"/>
    <mergeCell ref="C85:Y85"/>
    <mergeCell ref="Z85:AD86"/>
    <mergeCell ref="AE85:AI86"/>
    <mergeCell ref="AJ85:AN86"/>
    <mergeCell ref="AO85:AS86"/>
    <mergeCell ref="AT85:AX86"/>
    <mergeCell ref="AY85:BC86"/>
    <mergeCell ref="BD85:BH86"/>
    <mergeCell ref="BI85:BM86"/>
    <mergeCell ref="BN85:BR86"/>
    <mergeCell ref="BS85:BW86"/>
    <mergeCell ref="BX85:CB86"/>
    <mergeCell ref="CC85:CG86"/>
    <mergeCell ref="CH85:CL86"/>
    <mergeCell ref="CM85:CQ86"/>
    <mergeCell ref="CR85:CV86"/>
    <mergeCell ref="EA85:EE86"/>
    <mergeCell ref="EF85:EJ86"/>
    <mergeCell ref="EK85:EO86"/>
    <mergeCell ref="EP85:ET86"/>
    <mergeCell ref="EU85:EY86"/>
    <mergeCell ref="EZ85:FD86"/>
    <mergeCell ref="FE85:FI86"/>
    <mergeCell ref="DV85:DZ86"/>
    <mergeCell ref="DQ81:DU82"/>
    <mergeCell ref="DV81:DZ82"/>
    <mergeCell ref="EA81:EE82"/>
    <mergeCell ref="EF81:EJ82"/>
    <mergeCell ref="EK81:EO82"/>
    <mergeCell ref="EP81:ET82"/>
    <mergeCell ref="EU81:EY82"/>
    <mergeCell ref="EZ81:FD82"/>
    <mergeCell ref="FE81:FI82"/>
    <mergeCell ref="EA56:EE56"/>
    <mergeCell ref="EF56:EJ56"/>
    <mergeCell ref="EK56:EO56"/>
    <mergeCell ref="EP56:ET56"/>
    <mergeCell ref="EU56:EY56"/>
    <mergeCell ref="EZ56:FD56"/>
    <mergeCell ref="EF63:EJ63"/>
    <mergeCell ref="DQ58:DU58"/>
    <mergeCell ref="DV58:DZ58"/>
    <mergeCell ref="EA58:EE58"/>
    <mergeCell ref="EF58:EJ58"/>
    <mergeCell ref="EK58:EO58"/>
    <mergeCell ref="EP58:ET58"/>
    <mergeCell ref="EU58:EY58"/>
    <mergeCell ref="EZ58:FD58"/>
    <mergeCell ref="FE58:FI58"/>
    <mergeCell ref="DQ60:DU60"/>
    <mergeCell ref="DV60:DZ60"/>
    <mergeCell ref="DQ62:DU62"/>
    <mergeCell ref="DV62:DZ62"/>
    <mergeCell ref="EA62:EE62"/>
    <mergeCell ref="BX57:CB57"/>
    <mergeCell ref="CC57:CG57"/>
    <mergeCell ref="CH57:CL57"/>
    <mergeCell ref="CM57:CQ57"/>
    <mergeCell ref="CR57:CV57"/>
    <mergeCell ref="CW57:DA57"/>
    <mergeCell ref="EZ45:FD45"/>
    <mergeCell ref="FE45:FI45"/>
    <mergeCell ref="DB56:DF56"/>
    <mergeCell ref="DG56:DK56"/>
    <mergeCell ref="DL56:DP56"/>
    <mergeCell ref="DQ56:DU56"/>
    <mergeCell ref="DV56:DZ56"/>
    <mergeCell ref="EK46:EO46"/>
    <mergeCell ref="EP46:ET46"/>
    <mergeCell ref="EU46:EY46"/>
    <mergeCell ref="EZ46:FD46"/>
    <mergeCell ref="FE46:FI46"/>
    <mergeCell ref="EK52:EO52"/>
    <mergeCell ref="EP52:ET52"/>
    <mergeCell ref="EU52:EY52"/>
    <mergeCell ref="EZ52:FD52"/>
    <mergeCell ref="FE52:FI52"/>
    <mergeCell ref="DG47:DK47"/>
    <mergeCell ref="DL47:DP47"/>
    <mergeCell ref="DQ47:DU47"/>
    <mergeCell ref="DV47:DZ47"/>
    <mergeCell ref="EA47:EE47"/>
    <mergeCell ref="BX47:CB47"/>
    <mergeCell ref="CC47:CG47"/>
    <mergeCell ref="CH47:CL47"/>
    <mergeCell ref="CM47:CQ47"/>
    <mergeCell ref="C56:Y56"/>
    <mergeCell ref="Z56:AD56"/>
    <mergeCell ref="AE56:AI56"/>
    <mergeCell ref="AJ56:AN56"/>
    <mergeCell ref="AO56:AS56"/>
    <mergeCell ref="AT56:AX56"/>
    <mergeCell ref="AY56:BC56"/>
    <mergeCell ref="BD56:BH56"/>
    <mergeCell ref="BI56:BM56"/>
    <mergeCell ref="BN56:BR56"/>
    <mergeCell ref="BS56:BW56"/>
    <mergeCell ref="BX56:CB56"/>
    <mergeCell ref="CC56:CG56"/>
    <mergeCell ref="CH56:CL56"/>
    <mergeCell ref="CM56:CQ56"/>
    <mergeCell ref="CR56:CV56"/>
    <mergeCell ref="CW56:DA56"/>
    <mergeCell ref="C59:Y59"/>
    <mergeCell ref="Z59:AD59"/>
    <mergeCell ref="AE59:AI59"/>
    <mergeCell ref="AJ59:AN59"/>
    <mergeCell ref="AO59:AS59"/>
    <mergeCell ref="AT59:AX59"/>
    <mergeCell ref="C57:Y57"/>
    <mergeCell ref="Z57:AD57"/>
    <mergeCell ref="AE57:AI57"/>
    <mergeCell ref="AJ57:AN57"/>
    <mergeCell ref="AO57:AS57"/>
    <mergeCell ref="AT57:AX57"/>
    <mergeCell ref="AY57:BC57"/>
    <mergeCell ref="BD57:BH57"/>
    <mergeCell ref="BI57:BM57"/>
    <mergeCell ref="BN57:BR57"/>
    <mergeCell ref="BS57:BW57"/>
    <mergeCell ref="C58:Y58"/>
    <mergeCell ref="Z58:AD58"/>
    <mergeCell ref="AE58:AI58"/>
    <mergeCell ref="AJ58:AN58"/>
    <mergeCell ref="AO58:AS58"/>
    <mergeCell ref="AT58:AX58"/>
    <mergeCell ref="AY58:BC58"/>
    <mergeCell ref="BD58:BH58"/>
    <mergeCell ref="BI58:BM58"/>
    <mergeCell ref="BN58:BR58"/>
    <mergeCell ref="BS58:BW58"/>
    <mergeCell ref="CC61:CG61"/>
    <mergeCell ref="CH61:CL61"/>
    <mergeCell ref="CM61:CQ61"/>
    <mergeCell ref="CR61:CV61"/>
    <mergeCell ref="CW61:DA61"/>
    <mergeCell ref="C60:Y60"/>
    <mergeCell ref="Z60:AD60"/>
    <mergeCell ref="AE60:AI60"/>
    <mergeCell ref="AJ60:AN60"/>
    <mergeCell ref="AO60:AS60"/>
    <mergeCell ref="AT60:AX60"/>
    <mergeCell ref="AY60:BC60"/>
    <mergeCell ref="BD60:BH60"/>
    <mergeCell ref="BI60:BM60"/>
    <mergeCell ref="BN60:BR60"/>
    <mergeCell ref="BS60:BW60"/>
    <mergeCell ref="BX60:CB60"/>
    <mergeCell ref="CC60:CG60"/>
    <mergeCell ref="CH60:CL60"/>
    <mergeCell ref="CM60:CQ60"/>
    <mergeCell ref="CR60:CV60"/>
    <mergeCell ref="CW60:DA60"/>
    <mergeCell ref="FE47:FI47"/>
    <mergeCell ref="EF61:EJ61"/>
    <mergeCell ref="EK61:EO61"/>
    <mergeCell ref="C62:Y62"/>
    <mergeCell ref="Z62:AD62"/>
    <mergeCell ref="AE62:AI62"/>
    <mergeCell ref="AJ62:AN62"/>
    <mergeCell ref="AO62:AS62"/>
    <mergeCell ref="AT62:AX62"/>
    <mergeCell ref="AY62:BC62"/>
    <mergeCell ref="BD62:BH62"/>
    <mergeCell ref="BI62:BM62"/>
    <mergeCell ref="BN62:BR62"/>
    <mergeCell ref="BS62:BW62"/>
    <mergeCell ref="BX62:CB62"/>
    <mergeCell ref="CC62:CG62"/>
    <mergeCell ref="CH62:CL62"/>
    <mergeCell ref="CM62:CQ62"/>
    <mergeCell ref="CR62:CV62"/>
    <mergeCell ref="CW62:DA62"/>
    <mergeCell ref="C61:Y61"/>
    <mergeCell ref="Z61:AD61"/>
    <mergeCell ref="AE61:AI61"/>
    <mergeCell ref="AJ61:AN61"/>
    <mergeCell ref="AO61:AS61"/>
    <mergeCell ref="AT61:AX61"/>
    <mergeCell ref="AY61:BC61"/>
    <mergeCell ref="BD61:BH61"/>
    <mergeCell ref="BI61:BM61"/>
    <mergeCell ref="BN61:BR61"/>
    <mergeCell ref="BS61:BW61"/>
    <mergeCell ref="BX61:CB61"/>
    <mergeCell ref="CS106:EV112"/>
    <mergeCell ref="FO25:FQ25"/>
    <mergeCell ref="FR25:FW25"/>
    <mergeCell ref="FZ25:GB25"/>
    <mergeCell ref="GC25:GH25"/>
    <mergeCell ref="GK25:GM25"/>
    <mergeCell ref="GN25:GS25"/>
    <mergeCell ref="GV25:GX25"/>
    <mergeCell ref="GY25:HD25"/>
    <mergeCell ref="HG25:HI25"/>
    <mergeCell ref="HJ25:HO25"/>
    <mergeCell ref="HR25:HT25"/>
    <mergeCell ref="HU25:HZ25"/>
    <mergeCell ref="FE62:FI62"/>
    <mergeCell ref="EP61:ET61"/>
    <mergeCell ref="EU61:EY61"/>
    <mergeCell ref="EZ61:FD61"/>
    <mergeCell ref="FE61:FI61"/>
    <mergeCell ref="FE60:FI60"/>
    <mergeCell ref="EU45:EY45"/>
    <mergeCell ref="EP41:ET41"/>
    <mergeCell ref="EU41:EY41"/>
    <mergeCell ref="EZ41:FD41"/>
    <mergeCell ref="FE41:FI41"/>
    <mergeCell ref="FE44:FI44"/>
    <mergeCell ref="EP48:ET48"/>
    <mergeCell ref="EU48:EY48"/>
    <mergeCell ref="EZ48:FD48"/>
    <mergeCell ref="FE48:FI48"/>
    <mergeCell ref="EP47:ET47"/>
    <mergeCell ref="EU47:EY47"/>
    <mergeCell ref="EZ47:FD47"/>
  </mergeCells>
  <printOptions horizontalCentered="1"/>
  <pageMargins left="0.5" right="0" top="0.5" bottom="0" header="0" footer="0"/>
  <pageSetup paperSize="9" scale="14" fitToHeight="0" orientation="landscape" r:id="rId1"/>
  <rowBreaks count="2" manualBreakCount="2">
    <brk id="51" max="164" man="1"/>
    <brk id="97" max="158" man="1"/>
  </rowBreaks>
  <ignoredErrors>
    <ignoredError sqref="Z64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24"/>
  <sheetViews>
    <sheetView workbookViewId="0">
      <selection activeCell="F6" sqref="F6"/>
    </sheetView>
  </sheetViews>
  <sheetFormatPr defaultRowHeight="12.75" x14ac:dyDescent="0.2"/>
  <cols>
    <col min="1" max="1" width="37.28515625" bestFit="1" customWidth="1"/>
    <col min="3" max="3" width="40.5703125" bestFit="1" customWidth="1"/>
  </cols>
  <sheetData>
    <row r="1" spans="1:4" x14ac:dyDescent="0.2">
      <c r="A1" s="276" t="s">
        <v>121</v>
      </c>
      <c r="B1" s="277">
        <v>4</v>
      </c>
      <c r="C1" s="276" t="s">
        <v>121</v>
      </c>
      <c r="D1" s="277">
        <v>4</v>
      </c>
    </row>
    <row r="2" spans="1:4" x14ac:dyDescent="0.2">
      <c r="A2" s="276" t="s">
        <v>114</v>
      </c>
      <c r="B2" s="277">
        <v>4</v>
      </c>
      <c r="C2" s="276" t="s">
        <v>114</v>
      </c>
      <c r="D2" s="277">
        <v>4</v>
      </c>
    </row>
    <row r="3" spans="1:4" x14ac:dyDescent="0.2">
      <c r="A3" s="276" t="s">
        <v>75</v>
      </c>
      <c r="B3" s="277">
        <v>4</v>
      </c>
      <c r="C3" s="276" t="s">
        <v>75</v>
      </c>
      <c r="D3" s="278">
        <v>4</v>
      </c>
    </row>
    <row r="4" spans="1:4" x14ac:dyDescent="0.2">
      <c r="A4" s="276" t="s">
        <v>205</v>
      </c>
      <c r="B4" s="277">
        <v>12</v>
      </c>
      <c r="C4" t="s">
        <v>111</v>
      </c>
      <c r="D4" s="279">
        <v>4</v>
      </c>
    </row>
    <row r="5" spans="1:4" x14ac:dyDescent="0.2">
      <c r="A5" s="276" t="s">
        <v>178</v>
      </c>
      <c r="B5" s="277">
        <v>6</v>
      </c>
      <c r="C5" s="276" t="s">
        <v>122</v>
      </c>
      <c r="D5" s="278">
        <v>12</v>
      </c>
    </row>
    <row r="6" spans="1:4" x14ac:dyDescent="0.2">
      <c r="A6" s="276" t="s">
        <v>115</v>
      </c>
      <c r="B6" s="277">
        <v>4</v>
      </c>
      <c r="C6" t="s">
        <v>123</v>
      </c>
      <c r="D6" s="275">
        <v>15</v>
      </c>
    </row>
    <row r="7" spans="1:4" x14ac:dyDescent="0.2">
      <c r="A7" t="s">
        <v>210</v>
      </c>
      <c r="B7" s="275">
        <v>4</v>
      </c>
      <c r="C7" s="276" t="s">
        <v>178</v>
      </c>
      <c r="D7" s="277">
        <v>6</v>
      </c>
    </row>
    <row r="8" spans="1:4" x14ac:dyDescent="0.2">
      <c r="A8" s="276" t="s">
        <v>124</v>
      </c>
      <c r="B8" s="277">
        <v>4</v>
      </c>
      <c r="C8" t="s">
        <v>180</v>
      </c>
      <c r="D8" s="275">
        <v>4</v>
      </c>
    </row>
    <row r="9" spans="1:4" x14ac:dyDescent="0.2">
      <c r="A9" s="276" t="s">
        <v>187</v>
      </c>
      <c r="B9" s="277">
        <v>5</v>
      </c>
      <c r="C9" s="276" t="s">
        <v>115</v>
      </c>
      <c r="D9" s="277">
        <v>4</v>
      </c>
    </row>
    <row r="10" spans="1:4" x14ac:dyDescent="0.2">
      <c r="A10" s="276" t="s">
        <v>154</v>
      </c>
      <c r="B10" s="277">
        <v>4</v>
      </c>
      <c r="C10" s="276" t="s">
        <v>124</v>
      </c>
      <c r="D10" s="277">
        <v>4</v>
      </c>
    </row>
    <row r="11" spans="1:4" x14ac:dyDescent="0.2">
      <c r="A11" s="276" t="s">
        <v>149</v>
      </c>
      <c r="B11" s="277">
        <v>13</v>
      </c>
      <c r="C11" s="276" t="s">
        <v>187</v>
      </c>
      <c r="D11" s="277">
        <v>5</v>
      </c>
    </row>
    <row r="12" spans="1:4" x14ac:dyDescent="0.2">
      <c r="A12" s="276" t="s">
        <v>186</v>
      </c>
      <c r="B12" s="277">
        <v>7</v>
      </c>
      <c r="C12" s="276" t="s">
        <v>149</v>
      </c>
      <c r="D12" s="277">
        <v>13</v>
      </c>
    </row>
    <row r="13" spans="1:4" x14ac:dyDescent="0.2">
      <c r="A13" s="276" t="s">
        <v>293</v>
      </c>
      <c r="B13" s="277">
        <v>5</v>
      </c>
      <c r="C13" t="s">
        <v>125</v>
      </c>
      <c r="D13" s="275">
        <v>5</v>
      </c>
    </row>
    <row r="14" spans="1:4" x14ac:dyDescent="0.2">
      <c r="A14" s="276" t="s">
        <v>126</v>
      </c>
      <c r="B14" s="277">
        <v>6</v>
      </c>
      <c r="C14" s="276" t="s">
        <v>186</v>
      </c>
      <c r="D14" s="277">
        <v>7</v>
      </c>
    </row>
    <row r="15" spans="1:4" x14ac:dyDescent="0.2">
      <c r="A15" s="276" t="s">
        <v>112</v>
      </c>
      <c r="B15" s="277">
        <v>6</v>
      </c>
      <c r="C15" t="s">
        <v>181</v>
      </c>
      <c r="D15" s="275">
        <v>7</v>
      </c>
    </row>
    <row r="16" spans="1:4" x14ac:dyDescent="0.2">
      <c r="A16" s="276" t="s">
        <v>110</v>
      </c>
      <c r="B16" s="277">
        <v>18</v>
      </c>
      <c r="C16" s="276" t="s">
        <v>249</v>
      </c>
      <c r="D16" s="277">
        <v>5</v>
      </c>
    </row>
    <row r="17" spans="1:4" x14ac:dyDescent="0.2">
      <c r="A17" t="s">
        <v>304</v>
      </c>
      <c r="B17" s="275">
        <v>5</v>
      </c>
      <c r="C17" s="276" t="s">
        <v>126</v>
      </c>
      <c r="D17" s="277">
        <v>6</v>
      </c>
    </row>
    <row r="18" spans="1:4" x14ac:dyDescent="0.2">
      <c r="A18" t="s">
        <v>286</v>
      </c>
      <c r="B18" s="275">
        <v>4</v>
      </c>
      <c r="C18" s="276" t="s">
        <v>154</v>
      </c>
      <c r="D18" s="277">
        <v>4</v>
      </c>
    </row>
    <row r="19" spans="1:4" x14ac:dyDescent="0.2">
      <c r="A19" t="s">
        <v>307</v>
      </c>
      <c r="B19" s="275">
        <v>6</v>
      </c>
      <c r="C19" s="276" t="s">
        <v>112</v>
      </c>
      <c r="D19" s="277">
        <v>6</v>
      </c>
    </row>
    <row r="20" spans="1:4" x14ac:dyDescent="0.2">
      <c r="A20" t="s">
        <v>287</v>
      </c>
      <c r="B20" s="275">
        <v>8</v>
      </c>
      <c r="C20" t="s">
        <v>106</v>
      </c>
      <c r="D20" s="275">
        <v>6</v>
      </c>
    </row>
    <row r="21" spans="1:4" x14ac:dyDescent="0.2">
      <c r="A21" t="s">
        <v>213</v>
      </c>
      <c r="B21" s="275">
        <v>6</v>
      </c>
      <c r="C21" t="s">
        <v>113</v>
      </c>
      <c r="D21" s="275">
        <v>4</v>
      </c>
    </row>
    <row r="22" spans="1:4" x14ac:dyDescent="0.2">
      <c r="A22" t="s">
        <v>291</v>
      </c>
      <c r="B22" s="275">
        <v>6</v>
      </c>
      <c r="C22" s="276" t="s">
        <v>110</v>
      </c>
      <c r="D22" s="277">
        <v>18</v>
      </c>
    </row>
    <row r="23" spans="1:4" x14ac:dyDescent="0.2">
      <c r="A23" t="s">
        <v>290</v>
      </c>
      <c r="B23" s="275">
        <v>4</v>
      </c>
      <c r="D23" s="275"/>
    </row>
    <row r="24" spans="1:4" x14ac:dyDescent="0.2">
      <c r="A24" t="s">
        <v>288</v>
      </c>
      <c r="B24" s="275">
        <v>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Moliya va moliyavit tex</vt:lpstr>
      <vt:lpstr>MMT (Moliy Instit tayanch O‘R)</vt:lpstr>
      <vt:lpstr>Sirtqi (MolIns)</vt:lpstr>
      <vt:lpstr>Kechki (MolIns)</vt:lpstr>
      <vt:lpstr>Лист1</vt:lpstr>
      <vt:lpstr>'Kechki (MolIns)'!Область_печати</vt:lpstr>
      <vt:lpstr>'MMT (Moliy Instit tayanch O‘R)'!Область_печати</vt:lpstr>
      <vt:lpstr>'Moliya va moliyavit tex'!Область_печати</vt:lpstr>
      <vt:lpstr>'Sirtqi (MolIns)'!Область_печати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user07</dc:creator>
  <cp:lastModifiedBy>umbrella_dev</cp:lastModifiedBy>
  <cp:lastPrinted>2026-02-14T05:18:12Z</cp:lastPrinted>
  <dcterms:created xsi:type="dcterms:W3CDTF">2008-07-03T09:29:27Z</dcterms:created>
  <dcterms:modified xsi:type="dcterms:W3CDTF">2026-02-14T05:19:35Z</dcterms:modified>
</cp:coreProperties>
</file>